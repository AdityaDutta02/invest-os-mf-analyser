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T:\INVESTMENTS_VALUATION\2 Regulatory Monthly-Half yearly ReportIng\07 Oct 2025\Portfolio Monthly\LIC MF Monthly Portfolio\"/>
    </mc:Choice>
  </mc:AlternateContent>
  <xr:revisionPtr revIDLastSave="0" documentId="13_ncr:1_{093F03E9-D0DD-4F04-92D4-EE38930AEE8C}" xr6:coauthVersionLast="47" xr6:coauthVersionMax="47" xr10:uidLastSave="{00000000-0000-0000-0000-000000000000}"/>
  <bookViews>
    <workbookView xWindow="-110" yWindow="-110" windowWidth="19420" windowHeight="10420" xr2:uid="{00000000-000D-0000-FFFF-FFFF00000000}"/>
  </bookViews>
  <sheets>
    <sheet name="Sheet1" sheetId="44"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AAF" sheetId="30" r:id="rId21"/>
    <sheet name="LEMETF" sheetId="31" r:id="rId22"/>
    <sheet name="LEMFGF" sheetId="32" r:id="rId23"/>
    <sheet name="LEMIDF" sheetId="33" r:id="rId24"/>
    <sheet name="LEMUCF" sheetId="34" r:id="rId25"/>
    <sheet name="LENI50" sheetId="35" r:id="rId26"/>
    <sheet name="LET100" sheetId="36" r:id="rId27"/>
    <sheet name="LETAXP" sheetId="37" r:id="rId28"/>
    <sheet name="LETF50" sheetId="38" r:id="rId29"/>
    <sheet name="LETFSX" sheetId="39" r:id="rId30"/>
    <sheet name="LEULIS" sheetId="40" r:id="rId31"/>
  </sheets>
  <definedNames>
    <definedName name="_xlnm._FilterDatabase" localSheetId="1" hidden="1">LEARBF!$B$5:$N$100</definedName>
    <definedName name="_xlnm._FilterDatabase" localSheetId="2" hidden="1">LEBADF!$B$5:$N$115</definedName>
    <definedName name="_xlnm._FilterDatabase" localSheetId="3" hidden="1">LEBALF!$B$5:$N$102</definedName>
    <definedName name="_xlnm._FilterDatabase" localSheetId="4" hidden="1">LEBFSF!$B$5:$N$54</definedName>
    <definedName name="_xlnm._FilterDatabase" localSheetId="5" hidden="1">LECHID!$B$5:$N$90</definedName>
    <definedName name="_xlnm._FilterDatabase" localSheetId="6" hidden="1">LEDDYF!$B$5:$N$84</definedName>
    <definedName name="_xlnm._FilterDatabase" localSheetId="7" hidden="1">LEDHCF!$B$5:$N$48</definedName>
    <definedName name="_xlnm._FilterDatabase" localSheetId="8" hidden="1">LEEMCF!$B$5:$N$85</definedName>
    <definedName name="_xlnm._FilterDatabase" localSheetId="9" hidden="1">LEEQSF!$B$5:$N$100</definedName>
    <definedName name="_xlnm._FilterDatabase" localSheetId="10" hidden="1">LEEQTF!$B$5:$N$87</definedName>
    <definedName name="_xlnm._FilterDatabase" localSheetId="11" hidden="1">LEESCF!$B$5:$N$96</definedName>
    <definedName name="_xlnm._FilterDatabase" localSheetId="12" hidden="1">LEFE30!$B$5:$N$50</definedName>
    <definedName name="_xlnm._FilterDatabase" localSheetId="13" hidden="1">LEGFOF!$B$5:$N$20</definedName>
    <definedName name="_xlnm._FilterDatabase" localSheetId="14" hidden="1">LEGOLD!$B$5:$N$20</definedName>
    <definedName name="_xlnm._FilterDatabase" localSheetId="15" hidden="1">LEGROW!$B$5:$N$76</definedName>
    <definedName name="_xlnm._FilterDatabase" localSheetId="16" hidden="1">LEINFA!$B$5:$N$93</definedName>
    <definedName name="_xlnm._FilterDatabase" localSheetId="17" hidden="1">LEINNF!$B$5:$N$71</definedName>
    <definedName name="_xlnm._FilterDatabase" localSheetId="18" hidden="1">LEINSX!$B$5:$N$51</definedName>
    <definedName name="_xlnm._FilterDatabase" localSheetId="19" hidden="1">LELTVF!$B$5:$N$88</definedName>
    <definedName name="_xlnm._FilterDatabase" localSheetId="20" hidden="1">LEMAAF!$B$5:$N$117</definedName>
    <definedName name="_xlnm._FilterDatabase" localSheetId="21" hidden="1">LEMETF!$B$5:$N$120</definedName>
    <definedName name="_xlnm._FilterDatabase" localSheetId="22" hidden="1">LEMFGF!$B$5:$N$99</definedName>
    <definedName name="_xlnm._FilterDatabase" localSheetId="23" hidden="1">LEMIDF!$B$5:$N$102</definedName>
    <definedName name="_xlnm._FilterDatabase" localSheetId="24" hidden="1">LEMUCF!$B$5:$N$104</definedName>
    <definedName name="_xlnm._FilterDatabase" localSheetId="25" hidden="1">LENI50!$B$5:$N$76</definedName>
    <definedName name="_xlnm._FilterDatabase" localSheetId="26" hidden="1">'LET100'!$B$5:$N$127</definedName>
    <definedName name="_xlnm._FilterDatabase" localSheetId="27" hidden="1">LETAXP!$B$5:$N$85</definedName>
    <definedName name="_xlnm._FilterDatabase" localSheetId="28" hidden="1">LETF50!$B$5:$N$71</definedName>
    <definedName name="_xlnm._FilterDatabase" localSheetId="29" hidden="1">LETFSX!$B$5:$N$51</definedName>
    <definedName name="_xlnm._FilterDatabase" localSheetId="30" hidden="1">LEULIS!$B$5:$N$87</definedName>
    <definedName name="Hedging_Positions_through_Futures_AS_ON_MMMM_DD__YYYY___NIL" localSheetId="1">LEARBF!$J$68:$N$84</definedName>
    <definedName name="Hedging_Positions_through_Futures_AS_ON_MMMM_DD__YYYY___NIL" localSheetId="2">LEBADF!$J$67:$N$83</definedName>
    <definedName name="Hedging_Positions_through_Futures_AS_ON_MMMM_DD__YYYY___NIL" localSheetId="3">LEBALF!$J$67:$N$84</definedName>
    <definedName name="Hedging_Positions_through_Futures_AS_ON_MMMM_DD__YYYY___NIL" localSheetId="4">LEBFSF!$J$67:$N$83</definedName>
    <definedName name="Hedging_Positions_through_Futures_AS_ON_MMMM_DD__YYYY___NIL" localSheetId="5">LECHID!$J$67:$N$84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LEEMCF!$J$67:$N$84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LEESCF!$J$67:$N$86</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LEGROW!$J$68:$N$83</definedName>
    <definedName name="Hedging_Positions_through_Futures_AS_ON_MMMM_DD__YYYY___NIL" localSheetId="16">LEINFA!$J$67:$N$84</definedName>
    <definedName name="Hedging_Positions_through_Futures_AS_ON_MMMM_DD__YYYY___NIL" localSheetId="17">LEINNF!$J$68:$N$83</definedName>
    <definedName name="Hedging_Positions_through_Futures_AS_ON_MMMM_DD__YYYY___NIL" localSheetId="18">LEINSX!$J$67:$N$83</definedName>
    <definedName name="Hedging_Positions_through_Futures_AS_ON_MMMM_DD__YYYY___NIL" localSheetId="19">LELTVF!$J$66:$N$84</definedName>
    <definedName name="Hedging_Positions_through_Futures_AS_ON_MMMM_DD__YYYY___NIL" localSheetId="20">LEMAAF!$J$67:$N$84</definedName>
    <definedName name="Hedging_Positions_through_Futures_AS_ON_MMMM_DD__YYYY___NIL" localSheetId="21">LEMETF!$J$68:$N$84</definedName>
    <definedName name="Hedging_Positions_through_Futures_AS_ON_MMMM_DD__YYYY___NIL" localSheetId="22">LEMFGF!$J$67:$N$83</definedName>
    <definedName name="Hedging_Positions_through_Futures_AS_ON_MMMM_DD__YYYY___NIL" localSheetId="23">LEMIDF!$J$68:$N$84</definedName>
    <definedName name="Hedging_Positions_through_Futures_AS_ON_MMMM_DD__YYYY___NIL" localSheetId="24">LEMUCF!$J$68:$N$84</definedName>
    <definedName name="Hedging_Positions_through_Futures_AS_ON_MMMM_DD__YYYY___NIL" localSheetId="25">LENI50!$J$73:$N$88</definedName>
    <definedName name="Hedging_Positions_through_Futures_AS_ON_MMMM_DD__YYYY___NIL" localSheetId="26">'LET100'!$J$68:$N$83</definedName>
    <definedName name="Hedging_Positions_through_Futures_AS_ON_MMMM_DD__YYYY___NIL" localSheetId="27">LETAXP!$J$69:$N$88</definedName>
    <definedName name="Hedging_Positions_through_Futures_AS_ON_MMMM_DD__YYYY___NIL" localSheetId="28">LETF50!$J$68:$N$83</definedName>
    <definedName name="Hedging_Positions_through_Futures_AS_ON_MMMM_DD__YYYY___NIL" localSheetId="29">LETFSX!$J$67:$N$83</definedName>
    <definedName name="Hedging_Positions_through_Futures_AS_ON_MMMM_DD__YYYY___NIL" localSheetId="30">LEULIS!$J$68:$N$84</definedName>
    <definedName name="Hedging_Positions_through_Futures_AS_ON_MMMM_DD__YYYY___NIL">#REF!</definedName>
    <definedName name="JPM_Footer_disp" localSheetId="1">LEARBF!$J$74:$N$84</definedName>
    <definedName name="JPM_Footer_disp" localSheetId="2">LEBADF!$J$73:$N$83</definedName>
    <definedName name="JPM_Footer_disp" localSheetId="3">LEBALF!$J$74:$N$84</definedName>
    <definedName name="JPM_Footer_disp" localSheetId="4">LEBFSF!$J$73:$N$83</definedName>
    <definedName name="JPM_Footer_disp" localSheetId="5">LECHID!$J$74:$N$84</definedName>
    <definedName name="JPM_Footer_disp" localSheetId="6">LEDDYF!$J$74:$N$84</definedName>
    <definedName name="JPM_Footer_disp" localSheetId="7">LEDHCF!$J$74:$N$84</definedName>
    <definedName name="JPM_Footer_disp" localSheetId="8">LEEMCF!$J$75:$N$84</definedName>
    <definedName name="JPM_Footer_disp" localSheetId="9">LEEQSF!$J$74:$N$84</definedName>
    <definedName name="JPM_Footer_disp" localSheetId="10">LEEQTF!$J$74:$N$84</definedName>
    <definedName name="JPM_Footer_disp" localSheetId="11">LEESCF!$J$73:$N$86</definedName>
    <definedName name="JPM_Footer_disp" localSheetId="12">LEFE30!$J$74:$N$84</definedName>
    <definedName name="JPM_Footer_disp" localSheetId="13">LEGFOF!$J$74:$N$84</definedName>
    <definedName name="JPM_Footer_disp" localSheetId="14">LEGOLD!$J$74:$N$84</definedName>
    <definedName name="JPM_Footer_disp" localSheetId="15">LEGROW!$J$74:$N$83</definedName>
    <definedName name="JPM_Footer_disp" localSheetId="16">LEINFA!$J$73:$N$84</definedName>
    <definedName name="JPM_Footer_disp" localSheetId="17">LEINNF!$J$73:$N$83</definedName>
    <definedName name="JPM_Footer_disp" localSheetId="18">LEINSX!$J$73:$N$83</definedName>
    <definedName name="JPM_Footer_disp" localSheetId="19">LELTVF!$J$74:$N$84</definedName>
    <definedName name="JPM_Footer_disp" localSheetId="20">LEMAAF!$J$71:$N$84</definedName>
    <definedName name="JPM_Footer_disp" localSheetId="21">LEMETF!$J$74:$N$84</definedName>
    <definedName name="JPM_Footer_disp" localSheetId="22">LEMFGF!$J$73:$N$83</definedName>
    <definedName name="JPM_Footer_disp" localSheetId="23">LEMIDF!$J$74:$N$84</definedName>
    <definedName name="JPM_Footer_disp" localSheetId="24">LEMUCF!$J$74:$N$84</definedName>
    <definedName name="JPM_Footer_disp" localSheetId="25">LENI50!$J$78:$N$88</definedName>
    <definedName name="JPM_Footer_disp" localSheetId="26">'LET100'!$J$73:$N$83</definedName>
    <definedName name="JPM_Footer_disp" localSheetId="27">LETAXP!$J$79:$N$88</definedName>
    <definedName name="JPM_Footer_disp" localSheetId="28">LETF50!$J$73:$N$83</definedName>
    <definedName name="JPM_Footer_disp" localSheetId="29">LETFSX!$J$73:$N$83</definedName>
    <definedName name="JPM_Footer_disp" localSheetId="30">LEULIS!$J$74:$N$84</definedName>
    <definedName name="JPM_Footer_disp">#REF!</definedName>
    <definedName name="JPM_Footer_disp12" localSheetId="1">LEARBF!$J$68:$N$86</definedName>
    <definedName name="JPM_Footer_disp12" localSheetId="2">LEBADF!$J$67:$N$86</definedName>
    <definedName name="JPM_Footer_disp12" localSheetId="3">LEBALF!$J$67:$N$86</definedName>
    <definedName name="JPM_Footer_disp12" localSheetId="4">LEBFSF!$J$67:$N$85</definedName>
    <definedName name="JPM_Footer_disp12" localSheetId="5">LECHID!$J$67:$N$86</definedName>
    <definedName name="JPM_Footer_disp12" localSheetId="6">LEDDYF!$J$68:$N$86</definedName>
    <definedName name="JPM_Footer_disp12" localSheetId="7">LEDHCF!$J$68:$N$86</definedName>
    <definedName name="JPM_Footer_disp12" localSheetId="8">LEEMCF!$J$67:$N$86</definedName>
    <definedName name="JPM_Footer_disp12" localSheetId="9">LEEQSF!$J$68:$N$86</definedName>
    <definedName name="JPM_Footer_disp12" localSheetId="10">LEEQTF!$J$68:$N$86</definedName>
    <definedName name="JPM_Footer_disp12" localSheetId="11">LEESCF!$J$67:$N$86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LEGROW!$J$68:$N$85</definedName>
    <definedName name="JPM_Footer_disp12" localSheetId="16">LEINFA!$J$67:$N$86</definedName>
    <definedName name="JPM_Footer_disp12" localSheetId="17">LEINNF!$J$68:$N$85</definedName>
    <definedName name="JPM_Footer_disp12" localSheetId="18">LEINSX!$J$67:$N$85</definedName>
    <definedName name="JPM_Footer_disp12" localSheetId="19">LELTVF!$J$66:$N$86</definedName>
    <definedName name="JPM_Footer_disp12" localSheetId="20">LEMAAF!$J$67:$N$86</definedName>
    <definedName name="JPM_Footer_disp12" localSheetId="21">LEMETF!$J$68:$N$86</definedName>
    <definedName name="JPM_Footer_disp12" localSheetId="22">LEMFGF!$J$67:$N$85</definedName>
    <definedName name="JPM_Footer_disp12" localSheetId="23">LEMIDF!$J$68:$N$86</definedName>
    <definedName name="JPM_Footer_disp12" localSheetId="24">LEMUCF!$J$68:$N$85</definedName>
    <definedName name="JPM_Footer_disp12" localSheetId="25">LENI50!$J$73:$N$90</definedName>
    <definedName name="JPM_Footer_disp12" localSheetId="26">'LET100'!$J$68:$N$85</definedName>
    <definedName name="JPM_Footer_disp12" localSheetId="27">LETAXP!$J$69:$N$90</definedName>
    <definedName name="JPM_Footer_disp12" localSheetId="28">LETF50!$J$68:$N$85</definedName>
    <definedName name="JPM_Footer_disp12" localSheetId="29">LETFSX!$J$67:$N$85</definedName>
    <definedName name="JPM_Footer_disp12" localSheetId="30">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7" i="21" l="1"/>
  <c r="G56" i="40"/>
  <c r="G42" i="39"/>
  <c r="F38" i="39"/>
  <c r="F42" i="39" s="1"/>
  <c r="G62" i="38"/>
  <c r="F58" i="38"/>
  <c r="F62" i="38" s="1"/>
  <c r="G80" i="30"/>
  <c r="F76" i="30"/>
  <c r="F80" i="30" s="1"/>
  <c r="G84" i="32"/>
  <c r="G42" i="28"/>
  <c r="F38" i="28"/>
  <c r="F42" i="28" s="1"/>
  <c r="G79" i="29"/>
  <c r="G62" i="27"/>
  <c r="G76" i="18"/>
  <c r="F76" i="18"/>
  <c r="G84" i="26"/>
  <c r="G45" i="14"/>
  <c r="G85" i="19"/>
  <c r="G87" i="12"/>
  <c r="F83" i="12"/>
  <c r="F87" i="12" s="1"/>
  <c r="G67" i="25"/>
  <c r="F108" i="36"/>
  <c r="F112" i="36" s="1"/>
  <c r="G112" i="36"/>
  <c r="F52" i="40"/>
  <c r="F56" i="40" s="1"/>
  <c r="F41" i="14"/>
  <c r="F45" i="14" s="1"/>
  <c r="F83" i="21"/>
  <c r="F87" i="21" s="1"/>
  <c r="F75" i="29"/>
  <c r="F79" i="29" s="1"/>
  <c r="F58" i="27"/>
  <c r="F62" i="27" s="1"/>
  <c r="F80" i="26"/>
  <c r="F84" i="26" s="1"/>
  <c r="F63" i="25"/>
  <c r="F67" i="25" s="1"/>
  <c r="F81" i="19"/>
  <c r="F85" i="19" s="1"/>
  <c r="F66" i="37"/>
  <c r="F70" i="37" s="1"/>
  <c r="G77" i="37"/>
  <c r="F77" i="37"/>
  <c r="G117" i="36"/>
  <c r="G119" i="36" s="1"/>
  <c r="F117" i="36"/>
  <c r="F119" i="36"/>
  <c r="G61" i="35"/>
  <c r="G66" i="35"/>
  <c r="G68" i="35" s="1"/>
  <c r="F66" i="35"/>
  <c r="F68" i="35" s="1"/>
  <c r="F57" i="35"/>
  <c r="F61" i="35" s="1"/>
  <c r="F85" i="34"/>
  <c r="F89" i="34" s="1"/>
  <c r="G94" i="34"/>
  <c r="G96" i="34" s="1"/>
  <c r="F94" i="34"/>
  <c r="F96" i="34" s="1"/>
  <c r="G89" i="34"/>
  <c r="G89" i="32"/>
  <c r="G91" i="32" s="1"/>
  <c r="F89" i="32"/>
  <c r="F91" i="32" s="1"/>
  <c r="F80" i="32"/>
  <c r="F84" i="32" s="1"/>
  <c r="G93" i="13"/>
  <c r="F85" i="13"/>
  <c r="F93" i="13" s="1"/>
  <c r="F73" i="15"/>
  <c r="F81" i="15" s="1"/>
  <c r="G81" i="15"/>
  <c r="G67" i="15"/>
  <c r="F67" i="15"/>
  <c r="F63" i="15"/>
  <c r="F61" i="13"/>
  <c r="F65" i="13" s="1"/>
</calcChain>
</file>

<file path=xl/sharedStrings.xml><?xml version="1.0" encoding="utf-8"?>
<sst xmlns="http://schemas.openxmlformats.org/spreadsheetml/2006/main" count="6700" uniqueCount="1130">
  <si>
    <t>Name of the Instrument</t>
  </si>
  <si>
    <t>ISIN</t>
  </si>
  <si>
    <t>Quantity</t>
  </si>
  <si>
    <t>Market/Fair Value (Rounded, Rs. In Lacs)</t>
  </si>
  <si>
    <t>Rounded, % to Net Assets</t>
  </si>
  <si>
    <t>Industry / Rating</t>
  </si>
  <si>
    <t>Yield</t>
  </si>
  <si>
    <t>Monthly Portfolio Statement as on October 31,2025</t>
  </si>
  <si>
    <t>Index</t>
  </si>
  <si>
    <t>LIC MF ARBITRAGE FUND</t>
  </si>
  <si>
    <t>LIC MF BALANCED ADVANTAGE FUND</t>
  </si>
  <si>
    <t>LIC MF AGGRESSIVE HYBRID FUND</t>
  </si>
  <si>
    <t>LIC MF BANKING AND FINANCIAL SERVICES FUND</t>
  </si>
  <si>
    <t>LIC MF CHILDREN’S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</si>
  <si>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</si>
  <si>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</si>
  <si>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</si>
  <si>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</si>
  <si>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</si>
  <si>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</si>
  <si>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</si>
  <si>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</si>
  <si>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</si>
  <si>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</si>
  <si>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</si>
  <si>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</si>
  <si>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</si>
  <si>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</si>
  <si>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</si>
  <si>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</si>
  <si>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</si>
  <si>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</si>
  <si>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</si>
  <si>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</si>
  <si>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</si>
  <si>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</si>
  <si>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</si>
  <si>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BSE SENSEX ETF</t>
  </si>
  <si>
    <t>LIC MF UNIT LINKED INSURANCE SCHEME</t>
  </si>
  <si>
    <t>Low</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</si>
  <si>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</si>
  <si>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</si>
  <si>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</si>
  <si>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</si>
  <si>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</si>
  <si>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</si>
  <si>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</si>
  <si>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</si>
  <si>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</si>
  <si>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</si>
  <si>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</si>
  <si>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</si>
  <si>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</si>
  <si>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</si>
  <si>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</si>
  <si>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</si>
  <si>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</si>
  <si>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</si>
  <si>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</si>
  <si>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</si>
  <si>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</si>
  <si>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</si>
  <si>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</si>
  <si>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</si>
  <si>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</si>
  <si>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</si>
  <si>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</si>
  <si>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</si>
  <si>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</si>
  <si>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</si>
  <si>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</si>
  <si>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</si>
  <si>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</si>
  <si>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</si>
  <si>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</si>
  <si>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</si>
  <si>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</si>
  <si>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</si>
  <si>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</si>
  <si>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</si>
  <si>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</si>
  <si>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</si>
  <si>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</si>
  <si>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</si>
  <si>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</si>
  <si>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</si>
  <si>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</si>
  <si>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</si>
  <si>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</si>
  <si>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</si>
  <si>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</si>
  <si>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</si>
  <si>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</si>
  <si>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</si>
  <si>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</si>
  <si>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</si>
  <si>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</si>
  <si>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</si>
  <si>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</si>
  <si>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</si>
  <si>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</si>
  <si>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</si>
  <si>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</si>
  <si>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October 31, 2025</t>
  </si>
  <si>
    <t>Scheme</t>
  </si>
  <si>
    <t>Scheme Name</t>
  </si>
  <si>
    <t>Riskometer</t>
  </si>
  <si>
    <t>Debt Instruments</t>
  </si>
  <si>
    <t>(a)Listed / Awaiting listing on stock Exchanges</t>
  </si>
  <si>
    <t>7.1% Government of India</t>
  </si>
  <si>
    <t>IN0020240019</t>
  </si>
  <si>
    <t>SOVEREIGN</t>
  </si>
  <si>
    <t>7.7% State Government of Maharashtra</t>
  </si>
  <si>
    <t>IN2220220205</t>
  </si>
  <si>
    <t>6.79% Government of India</t>
  </si>
  <si>
    <t>IN0020240126</t>
  </si>
  <si>
    <t>7.41% Government of India</t>
  </si>
  <si>
    <t>IN0020220102</t>
  </si>
  <si>
    <t>7.43% Jamnagar Utilities &amp; Power Pvt. Ltd. **</t>
  </si>
  <si>
    <t>INE936D07190</t>
  </si>
  <si>
    <t>CRISIL AAA</t>
  </si>
  <si>
    <t>7.34% Government of India</t>
  </si>
  <si>
    <t>IN0020240035</t>
  </si>
  <si>
    <t>6.33% Government of India</t>
  </si>
  <si>
    <t>IN0020250026</t>
  </si>
  <si>
    <t>6.9% Government of India</t>
  </si>
  <si>
    <t>IN0020250018</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</si>
  <si>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</si>
  <si>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</si>
  <si>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</si>
  <si>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</si>
  <si>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</si>
  <si>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</si>
  <si>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</si>
  <si>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</si>
  <si>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</si>
  <si>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</si>
  <si>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</si>
  <si>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</si>
  <si>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</si>
  <si>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</si>
  <si>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</si>
  <si>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</si>
  <si>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</si>
  <si>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</si>
  <si>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</si>
  <si>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</si>
  <si>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7.09% Government of India</t>
  </si>
  <si>
    <t>IN0020240142</t>
  </si>
  <si>
    <t>7.37% Indian Railway Finance Corporation Ltd. **</t>
  </si>
  <si>
    <t>INE053F08411</t>
  </si>
  <si>
    <t>8.09% NLC India Ltd. **</t>
  </si>
  <si>
    <t>INE589A07037</t>
  </si>
  <si>
    <t>ICRA AAA</t>
  </si>
  <si>
    <t>7.18% Government of India</t>
  </si>
  <si>
    <t>8.13% Nuclear Power Corporation **</t>
  </si>
  <si>
    <t>INE206D08378</t>
  </si>
  <si>
    <t>7.54% Government of India</t>
  </si>
  <si>
    <t>IN0020220029</t>
  </si>
  <si>
    <t>Money Market Instruments</t>
  </si>
  <si>
    <t>CRISIL A1+</t>
  </si>
  <si>
    <t>#  Unlisted Security</t>
  </si>
  <si>
    <t>Equity &amp; Equity related</t>
  </si>
  <si>
    <t>(a)Listed / Awaiting listing on Stock Exchanges</t>
  </si>
  <si>
    <t>HDFC Bank Ltd.</t>
  </si>
  <si>
    <t>INE040A01034</t>
  </si>
  <si>
    <t>Banks</t>
  </si>
  <si>
    <t>Reliance Industries Ltd.</t>
  </si>
  <si>
    <t>INE002A01018</t>
  </si>
  <si>
    <t>Petroleum Products</t>
  </si>
  <si>
    <t>Infosys Ltd.</t>
  </si>
  <si>
    <t>INE009A01021</t>
  </si>
  <si>
    <t>IT - Software</t>
  </si>
  <si>
    <t>Shriram Finance Ltd.</t>
  </si>
  <si>
    <t>INE721A01047</t>
  </si>
  <si>
    <t>Finance</t>
  </si>
  <si>
    <t>Bharat Forge Ltd.</t>
  </si>
  <si>
    <t>INE465A01025</t>
  </si>
  <si>
    <t>Auto Components</t>
  </si>
  <si>
    <t>Axis Bank Ltd.</t>
  </si>
  <si>
    <t>INE238A01034</t>
  </si>
  <si>
    <t>Hindustan Unilever Ltd.</t>
  </si>
  <si>
    <t>INE030A01027</t>
  </si>
  <si>
    <t>Diversified FMCG</t>
  </si>
  <si>
    <t>ICICI Bank Ltd.</t>
  </si>
  <si>
    <t>INE090A01021</t>
  </si>
  <si>
    <t>Mahindra &amp; Mahindra Ltd.</t>
  </si>
  <si>
    <t>INE101A01026</t>
  </si>
  <si>
    <t>Automobiles</t>
  </si>
  <si>
    <t>(b) Unlisted</t>
  </si>
  <si>
    <t>7.38% Government of India</t>
  </si>
  <si>
    <t>IN0020220037</t>
  </si>
  <si>
    <t>7.19% State Government of Tamil Nadu</t>
  </si>
  <si>
    <t>IN3120190225</t>
  </si>
  <si>
    <t>Commercial Paper</t>
  </si>
  <si>
    <t>Angel One Ltd. **</t>
  </si>
  <si>
    <t>Indian Oil Corporation Ltd.</t>
  </si>
  <si>
    <t>•Risk – Low</t>
  </si>
  <si>
    <t>Government of India</t>
  </si>
  <si>
    <t>Tata Consultancy Services Ltd.</t>
  </si>
  <si>
    <t>INE467B01029</t>
  </si>
  <si>
    <t>GMR Airports Ltd.</t>
  </si>
  <si>
    <t>INE776C01039</t>
  </si>
  <si>
    <t>Transport Infrastructure</t>
  </si>
  <si>
    <t>State Bank of India</t>
  </si>
  <si>
    <t>INE062A01020</t>
  </si>
  <si>
    <t>Bharti Airtel Ltd.</t>
  </si>
  <si>
    <t>INE397D01024</t>
  </si>
  <si>
    <t>Telecom - Services</t>
  </si>
  <si>
    <t>Canara Bank</t>
  </si>
  <si>
    <t>INE476A01022</t>
  </si>
  <si>
    <t>Tata Steel Ltd.</t>
  </si>
  <si>
    <t>INE081A01020</t>
  </si>
  <si>
    <t>Ferrous Metals</t>
  </si>
  <si>
    <t>ITC Ltd.</t>
  </si>
  <si>
    <t>INE154A01025</t>
  </si>
  <si>
    <t>Bharat Electronics Ltd.</t>
  </si>
  <si>
    <t>INE263A01024</t>
  </si>
  <si>
    <t>Aerospace &amp; Defense</t>
  </si>
  <si>
    <t>Trent Ltd.</t>
  </si>
  <si>
    <t>INE849A01020</t>
  </si>
  <si>
    <t>Retailing</t>
  </si>
  <si>
    <t>Aurobindo Pharma Ltd.</t>
  </si>
  <si>
    <t>INE406A01037</t>
  </si>
  <si>
    <t>Pharmaceuticals &amp; Biotechnology</t>
  </si>
  <si>
    <t>IndusInd Bank Ltd.</t>
  </si>
  <si>
    <t>INE095A01012</t>
  </si>
  <si>
    <t>Indus Towers Ltd.</t>
  </si>
  <si>
    <t>INE121J01017</t>
  </si>
  <si>
    <t>Jio Financial Services Ltd.</t>
  </si>
  <si>
    <t>INE758E01017</t>
  </si>
  <si>
    <t>Multi Commodity Exchange Of India Ltd.</t>
  </si>
  <si>
    <t>INE745G01035</t>
  </si>
  <si>
    <t>Capital Markets</t>
  </si>
  <si>
    <t>Bank of Baroda</t>
  </si>
  <si>
    <t>INE028A01039</t>
  </si>
  <si>
    <t>Steel Authority of India Ltd.</t>
  </si>
  <si>
    <t>INE114A01011</t>
  </si>
  <si>
    <t>Eternal Ltd.</t>
  </si>
  <si>
    <t>INE758T01015</t>
  </si>
  <si>
    <t>Coforge Ltd.</t>
  </si>
  <si>
    <t>INE591G01025</t>
  </si>
  <si>
    <t>Punjab National Bank</t>
  </si>
  <si>
    <t>INE160A01022</t>
  </si>
  <si>
    <t>DLF Ltd.</t>
  </si>
  <si>
    <t>INE271C01023</t>
  </si>
  <si>
    <t>Realty</t>
  </si>
  <si>
    <t>VARUN BEVERAGES LIMITED</t>
  </si>
  <si>
    <t>INE200M01039</t>
  </si>
  <si>
    <t>Beverages</t>
  </si>
  <si>
    <t>HCL Technologies Ltd.</t>
  </si>
  <si>
    <t>INE860A01027</t>
  </si>
  <si>
    <t>Hindustan Petroleum Corporation Ltd.</t>
  </si>
  <si>
    <t>INE094A01015</t>
  </si>
  <si>
    <t>Lodha Developers Ltd.</t>
  </si>
  <si>
    <t>INE670K01029</t>
  </si>
  <si>
    <t>Info Edge (India) Ltd.</t>
  </si>
  <si>
    <t>INE663F01032</t>
  </si>
  <si>
    <t>Titan Company Ltd.</t>
  </si>
  <si>
    <t>INE280A01028</t>
  </si>
  <si>
    <t>Consumer Durables</t>
  </si>
  <si>
    <t>Nestle India Ltd.</t>
  </si>
  <si>
    <t>INE239A01024</t>
  </si>
  <si>
    <t>Food Products</t>
  </si>
  <si>
    <t>Vedanta Ltd.</t>
  </si>
  <si>
    <t>INE205A01025</t>
  </si>
  <si>
    <t>Diversified Metals</t>
  </si>
  <si>
    <t>Grasim Industries Ltd.</t>
  </si>
  <si>
    <t>INE047A01021</t>
  </si>
  <si>
    <t>Cement &amp; Cement Products</t>
  </si>
  <si>
    <t>Ultratech Cement Ltd.</t>
  </si>
  <si>
    <t>INE481G01011</t>
  </si>
  <si>
    <t>Divi's Laboratories Ltd.</t>
  </si>
  <si>
    <t>INE361B01024</t>
  </si>
  <si>
    <t>Samvardhana Motherson International Ltd.</t>
  </si>
  <si>
    <t>INE775A01035</t>
  </si>
  <si>
    <t>Exide Industries Ltd.</t>
  </si>
  <si>
    <t>INE302A01020</t>
  </si>
  <si>
    <t>Tata Power Company Ltd.</t>
  </si>
  <si>
    <t>INE245A01021</t>
  </si>
  <si>
    <t>Power</t>
  </si>
  <si>
    <t>United Spirits Ltd.</t>
  </si>
  <si>
    <t>INE854D01024</t>
  </si>
  <si>
    <t>JSW Energy Ltd.</t>
  </si>
  <si>
    <t>INE121E01018</t>
  </si>
  <si>
    <t>INE242A01010</t>
  </si>
  <si>
    <t>Crompton Greaves Cons Electrical Ltd.</t>
  </si>
  <si>
    <t>INE299U01018</t>
  </si>
  <si>
    <t>Bharat Heavy Electricals Ltd.</t>
  </si>
  <si>
    <t>INE257A01026</t>
  </si>
  <si>
    <t>Electrical Equipment</t>
  </si>
  <si>
    <t>Dabur India Ltd.</t>
  </si>
  <si>
    <t>INE016A01026</t>
  </si>
  <si>
    <t>Personal Products</t>
  </si>
  <si>
    <t>JSW Steel Ltd.</t>
  </si>
  <si>
    <t>INE019A01038</t>
  </si>
  <si>
    <t>Power Finance Corporation Ltd.</t>
  </si>
  <si>
    <t>INE134E01011</t>
  </si>
  <si>
    <t>Container Corporation Of India Ltd.</t>
  </si>
  <si>
    <t>INE111A01025</t>
  </si>
  <si>
    <t>Transport Services</t>
  </si>
  <si>
    <t>Housing &amp; Urban Development Corp Ltd.</t>
  </si>
  <si>
    <t>INE031A01017</t>
  </si>
  <si>
    <t>Bosch Ltd.</t>
  </si>
  <si>
    <t>INE323A01026</t>
  </si>
  <si>
    <t>Kotak Mahindra Bank Ltd.</t>
  </si>
  <si>
    <t>INE237A01028</t>
  </si>
  <si>
    <t>7.83% National Bk for Agriculture &amp; Rural Dev. **</t>
  </si>
  <si>
    <t>INE261F08ED0</t>
  </si>
  <si>
    <t>INE732I14BZ1</t>
  </si>
  <si>
    <t>INE732I14CD6</t>
  </si>
  <si>
    <t>LIC MF MONEY MARKET FUND-DIRECT PLAN-GR</t>
  </si>
  <si>
    <t>INF767K01RE0</t>
  </si>
  <si>
    <t>LIC MF LIQUID FUND-DR PLN-GR</t>
  </si>
  <si>
    <t>INF767K01DN1</t>
  </si>
  <si>
    <t>Disclosure in Derivatives</t>
  </si>
  <si>
    <t>Rounded,% TO Net Assets)</t>
  </si>
  <si>
    <t>Total</t>
  </si>
  <si>
    <t>Total outstanding position(as at 31 October 2025 ) in Derivative Instruments(Gross National) 19631.09 lacs.</t>
  </si>
  <si>
    <t>Total percentage of existing assets hedge through futures is 68.05%.</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</si>
  <si>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</si>
  <si>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</si>
  <si>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</si>
  <si>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</si>
  <si>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Larsen &amp; Toubro Ltd.</t>
  </si>
  <si>
    <t>INE018A01030</t>
  </si>
  <si>
    <t>Construction</t>
  </si>
  <si>
    <t>Shakti Pumps (India) Ltd.</t>
  </si>
  <si>
    <t>INE908D01010</t>
  </si>
  <si>
    <t>Industrial Products</t>
  </si>
  <si>
    <t>Garware Hi-Tech Films Ltd.</t>
  </si>
  <si>
    <t>INE291A01017</t>
  </si>
  <si>
    <t>Sun Pharmaceutical Industries Ltd.</t>
  </si>
  <si>
    <t>INE044A01036</t>
  </si>
  <si>
    <t>NTPC Ltd.</t>
  </si>
  <si>
    <t>INE733E01010</t>
  </si>
  <si>
    <t>INE16NZ01023</t>
  </si>
  <si>
    <t>Tata Consumer Products Ltd.</t>
  </si>
  <si>
    <t>INE192A01025</t>
  </si>
  <si>
    <t>Agricultural Food &amp; other Products</t>
  </si>
  <si>
    <t>Manorama Industries Ltd.</t>
  </si>
  <si>
    <t>INE00VM01036</t>
  </si>
  <si>
    <t>MAS Financial Services Ltd.</t>
  </si>
  <si>
    <t>INE348L01012</t>
  </si>
  <si>
    <t>Hindalco Industries Ltd.</t>
  </si>
  <si>
    <t>INE038A01020</t>
  </si>
  <si>
    <t>Non - Ferrous Metals</t>
  </si>
  <si>
    <t>S H Kelkar and Company Ltd.</t>
  </si>
  <si>
    <t>INE500L01026</t>
  </si>
  <si>
    <t>Chemicals &amp; Petrochemicals</t>
  </si>
  <si>
    <t>IPCA Laboratories Ltd.</t>
  </si>
  <si>
    <t>INE571A01038</t>
  </si>
  <si>
    <t>ICICI Lombard General Insurance Co. Ltd.</t>
  </si>
  <si>
    <t>INE765G01017</t>
  </si>
  <si>
    <t>Insurance</t>
  </si>
  <si>
    <t>Bharti Hexacom Ltd.</t>
  </si>
  <si>
    <t>INE343G01021</t>
  </si>
  <si>
    <t>SBI Cards &amp; Payment Services Ltd.</t>
  </si>
  <si>
    <t>INE018E01016</t>
  </si>
  <si>
    <t>L&amp;T Technology Services Ltd.</t>
  </si>
  <si>
    <t>INE010V01017</t>
  </si>
  <si>
    <t>IT - Services</t>
  </si>
  <si>
    <t>InterGlobe Aviation Ltd.</t>
  </si>
  <si>
    <t>INE646L01027</t>
  </si>
  <si>
    <t>Swaraj Engines Ltd.</t>
  </si>
  <si>
    <t>INE277A01016</t>
  </si>
  <si>
    <t>Mphasis Ltd.</t>
  </si>
  <si>
    <t>INE356A01018</t>
  </si>
  <si>
    <t>Creditaccess Grameen Ltd.</t>
  </si>
  <si>
    <t>INE741K01010</t>
  </si>
  <si>
    <t>Bajaj Auto Ltd.</t>
  </si>
  <si>
    <t>INE917I01010</t>
  </si>
  <si>
    <t>Bharat Bijlee Ltd.</t>
  </si>
  <si>
    <t>INE464A01036</t>
  </si>
  <si>
    <t>SRF Ltd.</t>
  </si>
  <si>
    <t>INE647A01010</t>
  </si>
  <si>
    <t>Techno Electric &amp; Engineering Co. Ltd.</t>
  </si>
  <si>
    <t>INE285K01026</t>
  </si>
  <si>
    <t>Godrej Properties Ltd.</t>
  </si>
  <si>
    <t>INE484J01027</t>
  </si>
  <si>
    <t>General Insurance Corporation of India</t>
  </si>
  <si>
    <t>INE481Y01014</t>
  </si>
  <si>
    <t>Tech Mahindra Ltd.</t>
  </si>
  <si>
    <t>INE669C01036</t>
  </si>
  <si>
    <t>R K Swamy Ltd.</t>
  </si>
  <si>
    <t>INE0NQ801033</t>
  </si>
  <si>
    <t>Media</t>
  </si>
  <si>
    <t>Mahanagar Gas Ltd.</t>
  </si>
  <si>
    <t>INE002S01010</t>
  </si>
  <si>
    <t>Gas</t>
  </si>
  <si>
    <t>Birla Corporation Ltd.</t>
  </si>
  <si>
    <t>INE340A01012</t>
  </si>
  <si>
    <t>Tata Communications Ltd.</t>
  </si>
  <si>
    <t>INE151A01013</t>
  </si>
  <si>
    <t>Galaxy Surfactants Ltd.</t>
  </si>
  <si>
    <t>INE600K01018</t>
  </si>
  <si>
    <t>Ajanta Pharma Ltd.</t>
  </si>
  <si>
    <t>INE031B01049</t>
  </si>
  <si>
    <t>TVS Holdings Ltd.</t>
  </si>
  <si>
    <t>INE105A01035</t>
  </si>
  <si>
    <t>The South Indian Bank Ltd.</t>
  </si>
  <si>
    <t>INE683A01023</t>
  </si>
  <si>
    <t>Ador Welding Ltd.</t>
  </si>
  <si>
    <t>INE045A01017</t>
  </si>
  <si>
    <t>Isgec Heavy Engineering Ltd.</t>
  </si>
  <si>
    <t>INE858B01029</t>
  </si>
  <si>
    <t>Lupin Ltd.</t>
  </si>
  <si>
    <t>INE326A01037</t>
  </si>
  <si>
    <t>REC Ltd.</t>
  </si>
  <si>
    <t>INE020B01018</t>
  </si>
  <si>
    <t>JK Cement Ltd.</t>
  </si>
  <si>
    <t>INE823G01014</t>
  </si>
  <si>
    <t>Surya Roshni Ltd.</t>
  </si>
  <si>
    <t>INE335A01020</t>
  </si>
  <si>
    <t>JK Paper Ltd.</t>
  </si>
  <si>
    <t>INE789E01012</t>
  </si>
  <si>
    <t>Paper, Forest &amp; Jute Products</t>
  </si>
  <si>
    <t>HDB Financial Services Ltd.</t>
  </si>
  <si>
    <t>INE756I01012</t>
  </si>
  <si>
    <t>Torrent Pharmaceuticals Ltd.</t>
  </si>
  <si>
    <t>INE685A01028</t>
  </si>
  <si>
    <t>Muthoot Finance Ltd.</t>
  </si>
  <si>
    <t>INE414G01012</t>
  </si>
  <si>
    <t>Concord Enviro Systems Ltd.</t>
  </si>
  <si>
    <t>INE037Z01029</t>
  </si>
  <si>
    <t>Other Utilities</t>
  </si>
  <si>
    <t>KPIT Technologies Ltd.</t>
  </si>
  <si>
    <t>INE04I401011</t>
  </si>
  <si>
    <t>Syngene International Ltd.</t>
  </si>
  <si>
    <t>INE398R01022</t>
  </si>
  <si>
    <t>Healthcare Services</t>
  </si>
  <si>
    <t>Quadrant Future Tek Ltd.</t>
  </si>
  <si>
    <t>INE0LRY01011</t>
  </si>
  <si>
    <t>Oil India Ltd.</t>
  </si>
  <si>
    <t>INE274J01014</t>
  </si>
  <si>
    <t>Oil</t>
  </si>
  <si>
    <t>Eicher Motors Ltd.</t>
  </si>
  <si>
    <t>INE066A01021</t>
  </si>
  <si>
    <t>Abbott India Ltd.</t>
  </si>
  <si>
    <t>INE358A01014</t>
  </si>
  <si>
    <t>Godfrey Phillips India Ltd.</t>
  </si>
  <si>
    <t>INE260B01028</t>
  </si>
  <si>
    <t>Cigarettes &amp; Tobacco Products</t>
  </si>
  <si>
    <t>Kirloskar Oil Engines Ltd.</t>
  </si>
  <si>
    <t>INE146L01010</t>
  </si>
  <si>
    <t>$0.00%</t>
  </si>
  <si>
    <t>IN0020230077</t>
  </si>
  <si>
    <t>7.26% Government of India</t>
  </si>
  <si>
    <t>IN0020220060</t>
  </si>
  <si>
    <t>$ Less Than 0.01% of Net Asset Value</t>
  </si>
  <si>
    <t>Total outstanding position(as at 31 October 2025 ) in Derivative Instruments(Gross National) 10957.1 lacs.</t>
  </si>
  <si>
    <t>Total percentage of existing assets hedge through futures is 14.3%.</t>
  </si>
  <si>
    <t>NIFTY 50 Hybrid Composite Debt 50:50 Index</t>
  </si>
  <si>
    <t>•Capital appreciation over a long period of time</t>
  </si>
  <si>
    <t>•Investments in a dynamically managed portfolio of equity and equity related instruments, debt and money market instruments</t>
  </si>
  <si>
    <t>•Risk - Very High</t>
  </si>
  <si>
    <t>•Risk - High</t>
  </si>
  <si>
    <t>Sansera Engineering Ltd.</t>
  </si>
  <si>
    <t>INE953O01021</t>
  </si>
  <si>
    <t>Apollo Hospitals Enterprise Ltd.</t>
  </si>
  <si>
    <t>INE437A01024</t>
  </si>
  <si>
    <t>One 97 Communications Ltd.</t>
  </si>
  <si>
    <t>INE982J01020</t>
  </si>
  <si>
    <t>Financial Technology (Fintech)</t>
  </si>
  <si>
    <t>Dee Development Engineers Ltd.</t>
  </si>
  <si>
    <t>INE841L01016</t>
  </si>
  <si>
    <t>Industrial Manufacturing</t>
  </si>
  <si>
    <t>TVS Motor Company Ltd.</t>
  </si>
  <si>
    <t>INE494B01023</t>
  </si>
  <si>
    <t>Arvind Fashions Ltd.</t>
  </si>
  <si>
    <t>INE955V01021</t>
  </si>
  <si>
    <t>Afcons Infrastructure Ltd.</t>
  </si>
  <si>
    <t>INE101I01011</t>
  </si>
  <si>
    <t>Piramal Pharma Ltd.</t>
  </si>
  <si>
    <t>INE0DK501011</t>
  </si>
  <si>
    <t>LTIMindtree Ltd.</t>
  </si>
  <si>
    <t>INE214T01019</t>
  </si>
  <si>
    <t>GE Vernova T&amp;D India Limited</t>
  </si>
  <si>
    <t>INE200A01026</t>
  </si>
  <si>
    <t>Fortis Healthcare Ltd.</t>
  </si>
  <si>
    <t>INE061F01013</t>
  </si>
  <si>
    <t>MRS Bectors Food Specialities Ltd.</t>
  </si>
  <si>
    <t>INE495P01012</t>
  </si>
  <si>
    <t>Azad Engineering Ltd.</t>
  </si>
  <si>
    <t>INE02IJ01035</t>
  </si>
  <si>
    <t>Onesource Specialty Pharma Ltd.</t>
  </si>
  <si>
    <t>INE013P01021</t>
  </si>
  <si>
    <t>KEI Industries Ltd.</t>
  </si>
  <si>
    <t>INE878B01027</t>
  </si>
  <si>
    <t>Vinati Organics Ltd.</t>
  </si>
  <si>
    <t>INE410B01037</t>
  </si>
  <si>
    <t>The Federal Bank Ltd.</t>
  </si>
  <si>
    <t>INE171A01029</t>
  </si>
  <si>
    <t>ITC Hotels Ltd.</t>
  </si>
  <si>
    <t>INE379A01028</t>
  </si>
  <si>
    <t>Leisure Services</t>
  </si>
  <si>
    <t>Prestige Estates Projects Ltd.</t>
  </si>
  <si>
    <t>INE811K01011</t>
  </si>
  <si>
    <t>Alkem Laboratories Ltd.</t>
  </si>
  <si>
    <t>INE540L01014</t>
  </si>
  <si>
    <t>Saregama India Ltd.</t>
  </si>
  <si>
    <t>INE979A01025</t>
  </si>
  <si>
    <t>Entertainment</t>
  </si>
  <si>
    <t>INE494B04019</t>
  </si>
  <si>
    <t>7.7% State Government of Karnataka</t>
  </si>
  <si>
    <t>IN1920230068</t>
  </si>
  <si>
    <t>7.73% State Government of Karnataka</t>
  </si>
  <si>
    <t>IN1920230084</t>
  </si>
  <si>
    <t>7.45% State Government of Maharashtra</t>
  </si>
  <si>
    <t>IN2220230295</t>
  </si>
  <si>
    <t>IN000631C043</t>
  </si>
  <si>
    <t>IN2220230162</t>
  </si>
  <si>
    <t>7.725% Larsen &amp; Toubro Ltd. **</t>
  </si>
  <si>
    <t>INE018A08BE9</t>
  </si>
  <si>
    <t>7.63% State Government of Maharashtra</t>
  </si>
  <si>
    <t>IN2220230204</t>
  </si>
  <si>
    <t>7.3% Government of India</t>
  </si>
  <si>
    <t>IN0020230051</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</si>
  <si>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</si>
  <si>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</si>
  <si>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</si>
  <si>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</si>
  <si>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IIFL Finance Ltd.</t>
  </si>
  <si>
    <t>INE530B01024</t>
  </si>
  <si>
    <t>Motilal Oswal Financial Services Ltd.</t>
  </si>
  <si>
    <t>INE338I01027</t>
  </si>
  <si>
    <t>CSB Bank Ltd.</t>
  </si>
  <si>
    <t>INE679A01013</t>
  </si>
  <si>
    <t>INDUMMY23096</t>
  </si>
  <si>
    <t>DCB Bank Ltd.</t>
  </si>
  <si>
    <t>INE503A01015</t>
  </si>
  <si>
    <t>Computer Age Management Services Ltd.</t>
  </si>
  <si>
    <t>INE596I01012</t>
  </si>
  <si>
    <t>Aadhar Housing Finance Ltd.</t>
  </si>
  <si>
    <t>INE883F01010</t>
  </si>
  <si>
    <t>Ujjivan Small Finance Bank Ltd.</t>
  </si>
  <si>
    <t>INE551W01018</t>
  </si>
  <si>
    <t>Nippon Life India Asset Management Ltd.</t>
  </si>
  <si>
    <t>INE298J01013</t>
  </si>
  <si>
    <t>Sundaram Finance Ltd.</t>
  </si>
  <si>
    <t>INE660A01013</t>
  </si>
  <si>
    <t>360 One Wam Ltd.</t>
  </si>
  <si>
    <t>INE466L01038</t>
  </si>
  <si>
    <t>Bajaj Housing Finance Ltd.</t>
  </si>
  <si>
    <t>INE377Y01014</t>
  </si>
  <si>
    <t>Five Star Business Finance Ltd.</t>
  </si>
  <si>
    <t>INE128S01021</t>
  </si>
  <si>
    <t>CRISIL Ltd.</t>
  </si>
  <si>
    <t>INE007A01025</t>
  </si>
  <si>
    <t>BSE Ltd.</t>
  </si>
  <si>
    <t>INE118H01025</t>
  </si>
  <si>
    <t>PB Fintech Ltd.</t>
  </si>
  <si>
    <t>INE417T01026</t>
  </si>
  <si>
    <t>Prudent Corporate Advisory Services Ltd.</t>
  </si>
  <si>
    <t>INE00F201020</t>
  </si>
  <si>
    <t>Angel One Ltd.</t>
  </si>
  <si>
    <t>INE732I01013</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</si>
  <si>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</si>
  <si>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</si>
  <si>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</si>
  <si>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</si>
  <si>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</si>
  <si>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</si>
  <si>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Maruti Suzuki India Ltd.</t>
  </si>
  <si>
    <t>INE585B01010</t>
  </si>
  <si>
    <t>Transrail Lighting Ltd.</t>
  </si>
  <si>
    <t>INE454P01035</t>
  </si>
  <si>
    <t>Neuland Laboratories Ltd.</t>
  </si>
  <si>
    <t>INE794A01010</t>
  </si>
  <si>
    <t>Coromandel International Ltd.</t>
  </si>
  <si>
    <t>INE169A01031</t>
  </si>
  <si>
    <t>Fertilizers &amp; Agrochemicals</t>
  </si>
  <si>
    <t>Triveni Turbine Ltd.</t>
  </si>
  <si>
    <t>INE152M01016</t>
  </si>
  <si>
    <t>Radico Khaitan Ltd.</t>
  </si>
  <si>
    <t>INE944F01028</t>
  </si>
  <si>
    <t>BEML Ltd.</t>
  </si>
  <si>
    <t>INE258A01016</t>
  </si>
  <si>
    <t>Agricultural, Commercial &amp; Construction Vehicles</t>
  </si>
  <si>
    <t>VA Tech Wabag Ltd.</t>
  </si>
  <si>
    <t>INE956G01038</t>
  </si>
  <si>
    <t>Chalet Hotels Ltd.</t>
  </si>
  <si>
    <t>INE427F01016</t>
  </si>
  <si>
    <t>International Gemmological Inst Ind Ltd.</t>
  </si>
  <si>
    <t>INE0Q9301021</t>
  </si>
  <si>
    <t>Commercial Services &amp; Supplies</t>
  </si>
  <si>
    <t>Cello World Ltd.</t>
  </si>
  <si>
    <t>INE0LMW01024</t>
  </si>
  <si>
    <t>K.P.R. Mill Ltd.</t>
  </si>
  <si>
    <t>INE930H01031</t>
  </si>
  <si>
    <t>Textiles &amp; Apparels</t>
  </si>
  <si>
    <t>Hitachi Energy India Ltd.</t>
  </si>
  <si>
    <t>INE07Y701011</t>
  </si>
  <si>
    <t>Bikaji Foods International Ltd.</t>
  </si>
  <si>
    <t>INE00E101023</t>
  </si>
  <si>
    <t>Suzlon Energy Ltd.</t>
  </si>
  <si>
    <t>INE040H01021</t>
  </si>
  <si>
    <t>Siemens Energy India Ltd.</t>
  </si>
  <si>
    <t>INE1NPP01017</t>
  </si>
  <si>
    <t>Metro Brands Ltd.</t>
  </si>
  <si>
    <t>INE317I01021</t>
  </si>
  <si>
    <t>Affle 3i Ltd.</t>
  </si>
  <si>
    <t>INE00WC01027</t>
  </si>
  <si>
    <t>Wendt India Ltd.</t>
  </si>
  <si>
    <t>INE274C01019</t>
  </si>
  <si>
    <t>Artemis Medicare Services Ltd.</t>
  </si>
  <si>
    <t>INE025R01021</t>
  </si>
  <si>
    <t>Linde India Ltd.</t>
  </si>
  <si>
    <t>INE473A01011</t>
  </si>
  <si>
    <t>LIC MF Children's Fund</t>
  </si>
  <si>
    <t>•Long term capital appreciation and current income</t>
  </si>
  <si>
    <t>•A fund that invests both in stocks and fixed income instruments.</t>
  </si>
  <si>
    <t>•Risk – High</t>
  </si>
  <si>
    <t>Allied Blenders And Distillers Ltd.</t>
  </si>
  <si>
    <t>INE552Z01027</t>
  </si>
  <si>
    <t>Avalon Technologies Ltd.</t>
  </si>
  <si>
    <t>INE0LCL01028</t>
  </si>
  <si>
    <t>TD Power Systems Ltd.</t>
  </si>
  <si>
    <t>INE419M01027</t>
  </si>
  <si>
    <t>JK Tyre &amp; Industries Ltd.</t>
  </si>
  <si>
    <t>INE573A01042</t>
  </si>
  <si>
    <t>EIH Ltd.</t>
  </si>
  <si>
    <t>INE230A01023</t>
  </si>
  <si>
    <t>Gujarat Gas Ltd.</t>
  </si>
  <si>
    <t>INE844O01030</t>
  </si>
  <si>
    <t>LG Electronics India Ltd.</t>
  </si>
  <si>
    <t>INE324D01010</t>
  </si>
  <si>
    <t>TTK Prestige Ltd.</t>
  </si>
  <si>
    <t>INE690A01028</t>
  </si>
  <si>
    <t>RHI Magnesita India Ltd.</t>
  </si>
  <si>
    <t>INE743M01012</t>
  </si>
  <si>
    <t>Pricol Ltd.</t>
  </si>
  <si>
    <t>INE726V01018</t>
  </si>
  <si>
    <t>Ratnamani Metals &amp; Tubes Ltd.</t>
  </si>
  <si>
    <t>INE703B01027</t>
  </si>
  <si>
    <t>Anthem Biosciences Ltd.</t>
  </si>
  <si>
    <t>INE0CZ201020</t>
  </si>
  <si>
    <t>TARC Ltd.</t>
  </si>
  <si>
    <t>INE0EK901012</t>
  </si>
  <si>
    <t>Maharashtra Seamless Ltd.</t>
  </si>
  <si>
    <t>INE271B01025</t>
  </si>
  <si>
    <t>Tata Technologies Ltd.</t>
  </si>
  <si>
    <t>INE142M01025</t>
  </si>
  <si>
    <t>Divgi Torqtransfer Systems Ltd.</t>
  </si>
  <si>
    <t>INE753U01022</t>
  </si>
  <si>
    <t>NIFTY 500  TRI</t>
  </si>
  <si>
    <t>•Long term capital appreciation</t>
  </si>
  <si>
    <t>•Investment predominantly in dividend yielding equity and equity related instruments.</t>
  </si>
  <si>
    <t>Cipla Ltd.</t>
  </si>
  <si>
    <t>INE059A01026</t>
  </si>
  <si>
    <t>Navin Fluorine International Ltd.</t>
  </si>
  <si>
    <t>INE048G01026</t>
  </si>
  <si>
    <t>Gland Pharma Ltd.</t>
  </si>
  <si>
    <t>INE068V01023</t>
  </si>
  <si>
    <t>Glenmark Pharmaceuticals Ltd.</t>
  </si>
  <si>
    <t>INE935A01035</t>
  </si>
  <si>
    <t>Metropolis Healthcare Ltd.</t>
  </si>
  <si>
    <t>INE112L01020</t>
  </si>
  <si>
    <t>Mankind Pharma Ltd.</t>
  </si>
  <si>
    <t>INE634S01028</t>
  </si>
  <si>
    <t>Dr Agarwal's Health Care Ltd.</t>
  </si>
  <si>
    <t>INE943P01029</t>
  </si>
  <si>
    <t>Global Health Ltd.</t>
  </si>
  <si>
    <t>INE474Q01031</t>
  </si>
  <si>
    <t>Max Healthcare Institute Ltd.</t>
  </si>
  <si>
    <t>INE027H01010</t>
  </si>
  <si>
    <t>Concord Biotech Ltd.</t>
  </si>
  <si>
    <t>INE338H01029</t>
  </si>
  <si>
    <t>Acutaas Chemicals Ltd.</t>
  </si>
  <si>
    <t>INE00FF01025</t>
  </si>
  <si>
    <t>BSE Healthcare Total Return Index</t>
  </si>
  <si>
    <t>•Investment predominantly in equity and equity related instruments of companies engaged in Healthcare &amp; Allied Sectors</t>
  </si>
  <si>
    <t>UNO Minda Ltd.</t>
  </si>
  <si>
    <t>INE405E01023</t>
  </si>
  <si>
    <t>Mahindra &amp; Mahindra Financial Serv Ltd.</t>
  </si>
  <si>
    <t>INE774D01024</t>
  </si>
  <si>
    <t>The Indian Hotels Company Ltd.</t>
  </si>
  <si>
    <t>INE053A01029</t>
  </si>
  <si>
    <t>Persistent Systems Ltd.</t>
  </si>
  <si>
    <t>INE262H01021</t>
  </si>
  <si>
    <t>Schaeffler India Ltd.</t>
  </si>
  <si>
    <t>INE513A01022</t>
  </si>
  <si>
    <t>APL Apollo Tubes Ltd.</t>
  </si>
  <si>
    <t>INE702C01027</t>
  </si>
  <si>
    <t>PI Industries Ltd.</t>
  </si>
  <si>
    <t>INE603J01030</t>
  </si>
  <si>
    <t>Voltas Ltd.</t>
  </si>
  <si>
    <t>INE226A01021</t>
  </si>
  <si>
    <t>INE956O01016</t>
  </si>
  <si>
    <t>Page Industries Ltd.</t>
  </si>
  <si>
    <t>INE761H01022</t>
  </si>
  <si>
    <t>Torrent Power Ltd.</t>
  </si>
  <si>
    <t>INE813H01021</t>
  </si>
  <si>
    <t>Cholamandalam Investment &amp; Fin Co Ltd.</t>
  </si>
  <si>
    <t>INE121A01024</t>
  </si>
  <si>
    <t>Balkrishna Industries Ltd.</t>
  </si>
  <si>
    <t>INE787D01026</t>
  </si>
  <si>
    <t>Dixon Technologies (India) Ltd.</t>
  </si>
  <si>
    <t>INE935N01020</t>
  </si>
  <si>
    <t>Jubilant Foodworks Ltd.</t>
  </si>
  <si>
    <t>INE797F01020</t>
  </si>
  <si>
    <t>Escorts Kubota Ltd.</t>
  </si>
  <si>
    <t>INE042A01014</t>
  </si>
  <si>
    <t>Tata Elxsi Ltd.</t>
  </si>
  <si>
    <t>INE670A01012</t>
  </si>
  <si>
    <t>Astral Ltd.</t>
  </si>
  <si>
    <t>INE006I01046</t>
  </si>
  <si>
    <t>Deepak Nitrite Ltd.</t>
  </si>
  <si>
    <t>INE288B01029</t>
  </si>
  <si>
    <t>Oberoi Realty Ltd.</t>
  </si>
  <si>
    <t>INE093I01010</t>
  </si>
  <si>
    <t>Honeywell Automation India Ltd.</t>
  </si>
  <si>
    <t>INE671A01010</t>
  </si>
  <si>
    <t>LIC MF Midcap Fund</t>
  </si>
  <si>
    <t>NIFTY Midcap 150 - TRI</t>
  </si>
  <si>
    <t>•Investment predominantly in equity and equity related instruments of Midcap companies.</t>
  </si>
  <si>
    <t>Ashok Leyland Ltd.</t>
  </si>
  <si>
    <t>INE208A01029</t>
  </si>
  <si>
    <t>National Aluminium Company Ltd.</t>
  </si>
  <si>
    <t>INE139A01034</t>
  </si>
  <si>
    <t>Hero MotoCorp Ltd.</t>
  </si>
  <si>
    <t>INE158A01026</t>
  </si>
  <si>
    <t>HDFC Asset Management Company Ltd.</t>
  </si>
  <si>
    <t>INE127D01025</t>
  </si>
  <si>
    <t>HDFC Life Insurance Company Ltd.</t>
  </si>
  <si>
    <t>INE795G01014</t>
  </si>
  <si>
    <t>Bajaj Finance Ltd.</t>
  </si>
  <si>
    <t>INE296A01032</t>
  </si>
  <si>
    <t>MOIL Ltd.</t>
  </si>
  <si>
    <t>INE490G01020</t>
  </si>
  <si>
    <t>Minerals &amp; Mining</t>
  </si>
  <si>
    <t>V-Guard Industries Ltd.</t>
  </si>
  <si>
    <t>INE951I01027</t>
  </si>
  <si>
    <t>KSB Ltd.</t>
  </si>
  <si>
    <t>INE999A01023</t>
  </si>
  <si>
    <t>V-Mart Retail Ltd.</t>
  </si>
  <si>
    <t>INE665J01013</t>
  </si>
  <si>
    <t>Pidilite Industries Ltd.</t>
  </si>
  <si>
    <t>INE318A01026</t>
  </si>
  <si>
    <t>ABB India Ltd.</t>
  </si>
  <si>
    <t>INE117A01022</t>
  </si>
  <si>
    <t>Tube Investments Of India Ltd.</t>
  </si>
  <si>
    <t>INE974X01010</t>
  </si>
  <si>
    <t>Vedant Fashions Ltd.</t>
  </si>
  <si>
    <t>INE825V01034</t>
  </si>
  <si>
    <t>INE2J8701016</t>
  </si>
  <si>
    <t>INE1TAE01010</t>
  </si>
  <si>
    <t>Force Motors Ltd.</t>
  </si>
  <si>
    <t>INE451A01017</t>
  </si>
  <si>
    <t>Hindustan Aeronautics Ltd.</t>
  </si>
  <si>
    <t>INE066F01020</t>
  </si>
  <si>
    <t>Hindustan Foods Ltd.</t>
  </si>
  <si>
    <t>INE254N01026</t>
  </si>
  <si>
    <t>Total outstanding position(as at 31 October 2025 ) in Derivative Instruments(Gross National) 1146.64 lacs.</t>
  </si>
  <si>
    <t>Total percentage of existing assets hedge through futures is 37.22%.</t>
  </si>
  <si>
    <t>NIFTY Equity Savings Index</t>
  </si>
  <si>
    <t>•Regular income &amp; Capital appreciation over Medium to Long term</t>
  </si>
  <si>
    <t>•Investment in equity and equity related Instruments including equity derivatives, arbitrage and debt and money market instruments</t>
  </si>
  <si>
    <t>Apollo Micro Systems Ltd.</t>
  </si>
  <si>
    <t>INE713T01028</t>
  </si>
  <si>
    <t>Mahindra Lifespace Developers Ltd.</t>
  </si>
  <si>
    <t>INE813A01018</t>
  </si>
  <si>
    <t>Biocon Ltd.</t>
  </si>
  <si>
    <t>INE376G01013</t>
  </si>
  <si>
    <t>Navkar Corporation Ltd.</t>
  </si>
  <si>
    <t>INE278M01019</t>
  </si>
  <si>
    <t>3M India Ltd.</t>
  </si>
  <si>
    <t>INE470A01017</t>
  </si>
  <si>
    <t>Diversified</t>
  </si>
  <si>
    <t>Syrma Sgs Technology Ltd.</t>
  </si>
  <si>
    <t>INE0DYJ01015</t>
  </si>
  <si>
    <t>Praveg Ltd.</t>
  </si>
  <si>
    <t>INE722B01019</t>
  </si>
  <si>
    <t>JTL Industries Ltd.</t>
  </si>
  <si>
    <t>INE391J01032</t>
  </si>
  <si>
    <t>Jyothy Labs Ltd.</t>
  </si>
  <si>
    <t>INE668F01031</t>
  </si>
  <si>
    <t>Household Products</t>
  </si>
  <si>
    <t>SP Apparels Ltd.</t>
  </si>
  <si>
    <t>INE212I01016</t>
  </si>
  <si>
    <t>FSN E-Commerce Ventures Ltd.</t>
  </si>
  <si>
    <t>INE388Y01029</t>
  </si>
  <si>
    <t>Aditya Birla Sun Life AMC Ltd.</t>
  </si>
  <si>
    <t>INE404A01024</t>
  </si>
  <si>
    <t>Suprajit Engineering Ltd.</t>
  </si>
  <si>
    <t>INE399C01030</t>
  </si>
  <si>
    <t>Nifty 500 TRI</t>
  </si>
  <si>
    <t>•Investing across Large, Mid &amp; Small Cap stocks.</t>
  </si>
  <si>
    <t>Johnson Controls-Hitachi AC India Ltd.</t>
  </si>
  <si>
    <t>INE782A01015</t>
  </si>
  <si>
    <t>CESC Ltd.</t>
  </si>
  <si>
    <t>INE486A01021</t>
  </si>
  <si>
    <t>Campus Activewear Ltd.</t>
  </si>
  <si>
    <t>INE278Y01022</t>
  </si>
  <si>
    <t>Kennametal India Ltd.</t>
  </si>
  <si>
    <t>INE717A01029</t>
  </si>
  <si>
    <t>Aeroflex Industries Ltd.</t>
  </si>
  <si>
    <t>INE024001021</t>
  </si>
  <si>
    <t>Ingersoll Rand (India) Ltd.</t>
  </si>
  <si>
    <t>INE177A01018</t>
  </si>
  <si>
    <t>Gujarat State Petronet Ltd.</t>
  </si>
  <si>
    <t>INE246F01010</t>
  </si>
  <si>
    <t>Schneider Electric Infrastructure Ltd.</t>
  </si>
  <si>
    <t>INE839M01018</t>
  </si>
  <si>
    <t>EID Parry India Ltd.</t>
  </si>
  <si>
    <t>INE126A01031</t>
  </si>
  <si>
    <t>VRL Logistics Ltd.</t>
  </si>
  <si>
    <t>INE366I01010</t>
  </si>
  <si>
    <t>ZF Commercial Vehicle Ctrl Sys Ind Ltd.</t>
  </si>
  <si>
    <t>INE342J01019</t>
  </si>
  <si>
    <t>JSW Infrastructure Ltd.</t>
  </si>
  <si>
    <t>INE880J01026</t>
  </si>
  <si>
    <t>Texmaco Rail &amp; Engineering Ltd.</t>
  </si>
  <si>
    <t>INE621L01012</t>
  </si>
  <si>
    <t>Pfizer Ltd.</t>
  </si>
  <si>
    <t>INE182A01018</t>
  </si>
  <si>
    <t>Transport Corporation Of India Ltd.</t>
  </si>
  <si>
    <t>INE688A01022</t>
  </si>
  <si>
    <t>Kross Ltd.</t>
  </si>
  <si>
    <t>INE0O6601022</t>
  </si>
  <si>
    <t>Mastek Ltd.</t>
  </si>
  <si>
    <t>INE759A01021</t>
  </si>
  <si>
    <t>Arvind Ltd.</t>
  </si>
  <si>
    <t>INE034A01011</t>
  </si>
  <si>
    <t>P N Gadgil Jewellers Ltd.</t>
  </si>
  <si>
    <t>INE953R01016</t>
  </si>
  <si>
    <t>ION Exchange India Ltd.</t>
  </si>
  <si>
    <t>INE570A01022</t>
  </si>
  <si>
    <t>PNC Infratech Ltd.</t>
  </si>
  <si>
    <t>INE195J01029</t>
  </si>
  <si>
    <t>Foseco India Ltd.</t>
  </si>
  <si>
    <t>INE519A01011</t>
  </si>
  <si>
    <t>Roto Pumps Ltd.</t>
  </si>
  <si>
    <t>INE535D01037</t>
  </si>
  <si>
    <t>Greenpanel Industries Ltd.</t>
  </si>
  <si>
    <t>INE08ZM01014</t>
  </si>
  <si>
    <t>LIC MF SmallCap Fund</t>
  </si>
  <si>
    <t>NIFTY Smallcap 250 - TRI</t>
  </si>
  <si>
    <t>•Investment predominantly in equity and equity related instruments of Smallcap companies.</t>
  </si>
  <si>
    <t>Cyient DLM Ltd.</t>
  </si>
  <si>
    <t>INE055S01018</t>
  </si>
  <si>
    <t>Gillette India Ltd.</t>
  </si>
  <si>
    <t>INE322A01010</t>
  </si>
  <si>
    <t>Laxmi Dental Ltd.</t>
  </si>
  <si>
    <t>INE0WO601020</t>
  </si>
  <si>
    <t>Healthcare Equipment &amp; Supplies</t>
  </si>
  <si>
    <t>LIC  MF Focused Fund</t>
  </si>
  <si>
    <t>NIFTY 500 - TRI</t>
  </si>
  <si>
    <t>• Investment in equity &amp; equity related instruments of up to 30 companies across market capitalization</t>
  </si>
  <si>
    <t>LIC Mutual Fund</t>
  </si>
  <si>
    <t>INF397L01554</t>
  </si>
  <si>
    <t>Domestic Price of Gold</t>
  </si>
  <si>
    <t>•To replicate returns of LICMF Gold Exchange Traded Fund with at least medium term horizon</t>
  </si>
  <si>
    <t>•Investments in units of LIC MF Gold ETF / Money Market Instruments/ LIC MF Liquid Fund Scheme</t>
  </si>
  <si>
    <r>
      <t>•</t>
    </r>
    <r>
      <rPr>
        <b/>
        <sz val="9"/>
        <color rgb="FF000000"/>
        <rFont val="Arial"/>
        <family val="2"/>
      </rPr>
      <t>Risk - High</t>
    </r>
  </si>
  <si>
    <t>Gold</t>
  </si>
  <si>
    <t>BSE Symbol:533719</t>
  </si>
  <si>
    <t>NSE Symbol:LICMFGOLD</t>
  </si>
  <si>
    <t>• To replicate the performance of gold in domestic prices with at least medium term horizon.</t>
  </si>
  <si>
    <t>• Investments in physical gold and gold related instruments / debt &amp; money market instruments.</t>
  </si>
  <si>
    <t>SBI Life Insurance Company Ltd.</t>
  </si>
  <si>
    <t>INE123W01016</t>
  </si>
  <si>
    <t>GAIL (India) Ltd.</t>
  </si>
  <si>
    <t>INE129A01019</t>
  </si>
  <si>
    <t>Hyundai Motor India Ltd.</t>
  </si>
  <si>
    <t>INE0V6F01027</t>
  </si>
  <si>
    <t>Blue Star Ltd.</t>
  </si>
  <si>
    <t>INE472A01039</t>
  </si>
  <si>
    <t>NTPC Green Energy Ltd.</t>
  </si>
  <si>
    <t>INE0ONG01011</t>
  </si>
  <si>
    <t>NIFTY 100 TRI</t>
  </si>
  <si>
    <t>•Long Term Capital Appreciation</t>
  </si>
  <si>
    <t>•A Fund that primarily invest in large-cap stock.</t>
  </si>
  <si>
    <t>Cummins India Ltd.</t>
  </si>
  <si>
    <t>INE298A01020</t>
  </si>
  <si>
    <t>Carraro India Ltd.</t>
  </si>
  <si>
    <t>INE0V7W01012</t>
  </si>
  <si>
    <t>NLC India Ltd.</t>
  </si>
  <si>
    <t>INE589A01014</t>
  </si>
  <si>
    <t>Bharat Petroleum Corporation Ltd.</t>
  </si>
  <si>
    <t>INE029A01011</t>
  </si>
  <si>
    <t>Kirloskar Pneumatic Co.Ltd.</t>
  </si>
  <si>
    <t>INE811A01020</t>
  </si>
  <si>
    <t>JNK India Ltd.</t>
  </si>
  <si>
    <t>INE0OAF01028</t>
  </si>
  <si>
    <t>Kalyani Steels Ltd.</t>
  </si>
  <si>
    <t>INE907A01026</t>
  </si>
  <si>
    <t>Kirloskar Ferrous Industries Ltd.</t>
  </si>
  <si>
    <t>INE884B01025</t>
  </si>
  <si>
    <t>Yuken India Ltd.</t>
  </si>
  <si>
    <t>INE384C01016</t>
  </si>
  <si>
    <t>Savita Oil Technologies Ltd.</t>
  </si>
  <si>
    <t>INE035D01020</t>
  </si>
  <si>
    <t>Forbes Precision Tools and Mach Pts Ltd.</t>
  </si>
  <si>
    <t>INE0TT901016</t>
  </si>
  <si>
    <t>Blue Dart Express Ltd.</t>
  </si>
  <si>
    <t>INE233B01017</t>
  </si>
  <si>
    <t>Kirloskar Industries Ltd.</t>
  </si>
  <si>
    <t>INE250A01039</t>
  </si>
  <si>
    <t>Nifty Infrastructure TRI</t>
  </si>
  <si>
    <t>•Long Term Capital Growth</t>
  </si>
  <si>
    <t>•Investment in equity and equity related instruments of companies engaged either directly or indirectly in infrastructure sector.</t>
  </si>
  <si>
    <t>Power Grid Corporation of India Ltd.</t>
  </si>
  <si>
    <t>INE752E01010</t>
  </si>
  <si>
    <t>Bajaj Finserv Ltd.</t>
  </si>
  <si>
    <t>INE918I01026</t>
  </si>
  <si>
    <t>Asian Paints Ltd.</t>
  </si>
  <si>
    <t>INE021A01026</t>
  </si>
  <si>
    <t>Adani Ports &amp; Special Economic Zone Ltd.</t>
  </si>
  <si>
    <t>INE742F01042</t>
  </si>
  <si>
    <t>Oil &amp; Natural Gas Corporation Ltd.</t>
  </si>
  <si>
    <t>INE213A01029</t>
  </si>
  <si>
    <t>Coal India Ltd.</t>
  </si>
  <si>
    <t>INE522F01014</t>
  </si>
  <si>
    <t>Consumable Fuels</t>
  </si>
  <si>
    <t>Tata Motors Passenger Vehicles Ltd.</t>
  </si>
  <si>
    <t>INE155A01022</t>
  </si>
  <si>
    <t>Dr. Reddy's Laboratories Ltd.</t>
  </si>
  <si>
    <t>INE089A01031</t>
  </si>
  <si>
    <t>Wipro Ltd.</t>
  </si>
  <si>
    <t>INE075A01022</t>
  </si>
  <si>
    <t>Adani Enterprises Ltd.</t>
  </si>
  <si>
    <t>INE423A01024</t>
  </si>
  <si>
    <t>Metals &amp; Minerals Trading</t>
  </si>
  <si>
    <t>NIFTY 50 TRI</t>
  </si>
  <si>
    <t>•Investment in equity instrument of respective index stocks subject to tracking error.</t>
  </si>
  <si>
    <t>BSE Sensex Total Return Index</t>
  </si>
  <si>
    <t>•Investment in equity instrument of BSE Sensex index stocks subject to tracking error.</t>
  </si>
  <si>
    <t>S.J.S. Enterprises Ltd.</t>
  </si>
  <si>
    <t>INE284S01014</t>
  </si>
  <si>
    <t>Asahi India Glass Ltd.</t>
  </si>
  <si>
    <t>INE439A01020</t>
  </si>
  <si>
    <t>Lumax Industries Ltd.</t>
  </si>
  <si>
    <t>INE162B01018</t>
  </si>
  <si>
    <t>Motherson Sumi Wiring India Ltd.</t>
  </si>
  <si>
    <t>INE0FS801015</t>
  </si>
  <si>
    <t>Triveni Engineering &amp; Industries Ltd.</t>
  </si>
  <si>
    <t>INE256C01024</t>
  </si>
  <si>
    <t>Gokaldas Exports Ltd.</t>
  </si>
  <si>
    <t>INE887G01027</t>
  </si>
  <si>
    <t>SKF India Ltd.</t>
  </si>
  <si>
    <t>INE640A01023</t>
  </si>
  <si>
    <t>•Long term capital appreciation.</t>
  </si>
  <si>
    <t>•Investment in equity and equity related instruments by following value investment strategy.</t>
  </si>
  <si>
    <t>Siemens Ltd.</t>
  </si>
  <si>
    <t>INE003A01024</t>
  </si>
  <si>
    <t>Aditya Birla Capital Ltd.</t>
  </si>
  <si>
    <t>INE674K01013</t>
  </si>
  <si>
    <t>Vishal Mega Mart Ltd</t>
  </si>
  <si>
    <t>INE01EA01019</t>
  </si>
  <si>
    <t>Dalmia Bharat Ltd.</t>
  </si>
  <si>
    <t>INE00R701025</t>
  </si>
  <si>
    <t>INE206D08394</t>
  </si>
  <si>
    <t>7.58% National Bk for Agriculture &amp; Rural Dev.</t>
  </si>
  <si>
    <t>INE261F08DX0</t>
  </si>
  <si>
    <t>Aditya Birla Sun Life Mutual Fund</t>
  </si>
  <si>
    <t>INF209KB19F6</t>
  </si>
  <si>
    <t>65% Nifty 500 TRI + 25% Nifty Composite Debt Index + 10% Price of Domestic Gold</t>
  </si>
  <si>
    <t>•Capital appreciation over long period of time.</t>
  </si>
  <si>
    <t>•Investments in a diversified portfolio of equity &amp; equity related instruments, Debt &amp; Money Market Instruments and Units of Gold ETFs as per asset allocatopn pattern</t>
  </si>
  <si>
    <t>BSE Symbol:544123</t>
  </si>
  <si>
    <t>NSE Symbol:LICNMID100</t>
  </si>
  <si>
    <t>IDFC First Bank Ltd.</t>
  </si>
  <si>
    <t>INE092T01019</t>
  </si>
  <si>
    <t>AU Small Finance Bank Ltd.</t>
  </si>
  <si>
    <t>INE949L01017</t>
  </si>
  <si>
    <t>Yes Bank Ltd.</t>
  </si>
  <si>
    <t>INE528G01035</t>
  </si>
  <si>
    <t>Max Financial Services Ltd.</t>
  </si>
  <si>
    <t>INE180A01020</t>
  </si>
  <si>
    <t>UPL Ltd.</t>
  </si>
  <si>
    <t>INE628A01036</t>
  </si>
  <si>
    <t>Polycab India Ltd.</t>
  </si>
  <si>
    <t>INE455K01017</t>
  </si>
  <si>
    <t>Marico Ltd.</t>
  </si>
  <si>
    <t>INE196A01026</t>
  </si>
  <si>
    <t>Swiggy Ltd.</t>
  </si>
  <si>
    <t>INE00H001014</t>
  </si>
  <si>
    <t>Waaree Energies Ltd.</t>
  </si>
  <si>
    <t>INE377N01017</t>
  </si>
  <si>
    <t>MRF Ltd.</t>
  </si>
  <si>
    <t>INE883A01011</t>
  </si>
  <si>
    <t>The Phoenix Mills Ltd.</t>
  </si>
  <si>
    <t>INE211B01039</t>
  </si>
  <si>
    <t>Indian Bank</t>
  </si>
  <si>
    <t>INE562A01011</t>
  </si>
  <si>
    <t>Colgate Palmolive (India) Ltd.</t>
  </si>
  <si>
    <t>INE259A01022</t>
  </si>
  <si>
    <t>Union Bank of India</t>
  </si>
  <si>
    <t>INE692A01016</t>
  </si>
  <si>
    <t>NHPC Ltd.</t>
  </si>
  <si>
    <t>INE848E01016</t>
  </si>
  <si>
    <t>NMDC Ltd.</t>
  </si>
  <si>
    <t>INE584A01023</t>
  </si>
  <si>
    <t>Supreme Industries Ltd.</t>
  </si>
  <si>
    <t>INE195A01028</t>
  </si>
  <si>
    <t>Vodafone Idea Ltd.</t>
  </si>
  <si>
    <t>INE669E01016</t>
  </si>
  <si>
    <t>L&amp;T Finance Ltd.</t>
  </si>
  <si>
    <t>INE498L01015</t>
  </si>
  <si>
    <t>Indian Railway Catering &amp;Tou. Corp. Ltd.</t>
  </si>
  <si>
    <t>INE335Y01020</t>
  </si>
  <si>
    <t>Sona BLW Precision Forgings Ltd.</t>
  </si>
  <si>
    <t>INE073K01018</t>
  </si>
  <si>
    <t>Patanjali Foods Ltd.</t>
  </si>
  <si>
    <t>INE619A01035</t>
  </si>
  <si>
    <t>Oracle Financial Services Software Ltd.</t>
  </si>
  <si>
    <t>INE881D01027</t>
  </si>
  <si>
    <t>Kalyan Jewellers India Ltd.</t>
  </si>
  <si>
    <t>INE303R01014</t>
  </si>
  <si>
    <t>Rail Vikas Nigam Ltd.</t>
  </si>
  <si>
    <t>INE415G01027</t>
  </si>
  <si>
    <t>Adani Total Gas Ltd.</t>
  </si>
  <si>
    <t>INE399L01023</t>
  </si>
  <si>
    <t>LIC Housing Finance Ltd.</t>
  </si>
  <si>
    <t>INE115A01026</t>
  </si>
  <si>
    <t>Bank of India</t>
  </si>
  <si>
    <t>INE084A01016</t>
  </si>
  <si>
    <t>Cochin Shipyard Ltd.</t>
  </si>
  <si>
    <t>INE704P01025</t>
  </si>
  <si>
    <t>Indraprastha Gas Ltd.</t>
  </si>
  <si>
    <t>INE203G01027</t>
  </si>
  <si>
    <t>Bharat Dynamics Ltd.</t>
  </si>
  <si>
    <t>INE171Z01026</t>
  </si>
  <si>
    <t>Indian Renewable Energy Dev Agency Ltd.</t>
  </si>
  <si>
    <t>INE202E01016</t>
  </si>
  <si>
    <t>ACC Ltd.</t>
  </si>
  <si>
    <t>INE012A01025</t>
  </si>
  <si>
    <t>Premier Energies Ltd.</t>
  </si>
  <si>
    <t>INE0BS701011</t>
  </si>
  <si>
    <t>IRB Infrastructure Developers Ltd.</t>
  </si>
  <si>
    <t>INE821I01022</t>
  </si>
  <si>
    <t>Nifty Midcap 100 TRI</t>
  </si>
  <si>
    <t>•Long term investment.</t>
  </si>
  <si>
    <t>•Investment in equity and equity related securities and portfolios replicating the composition of Nifty Midcap 100 Total Returns Index, subject to tracking errors.</t>
  </si>
  <si>
    <t>Grindwell Norton Ltd.</t>
  </si>
  <si>
    <t>INE536A01023</t>
  </si>
  <si>
    <t>Gabriel India Ltd.</t>
  </si>
  <si>
    <t>INE524A01029</t>
  </si>
  <si>
    <t>JB Chemicals &amp; Pharmaceuticals Ltd.</t>
  </si>
  <si>
    <t>INE572A01036</t>
  </si>
  <si>
    <t>Nifty India Manufacturing Index TRI</t>
  </si>
  <si>
    <t>•Capital appreciation over long term</t>
  </si>
  <si>
    <t>•Investment predominantly in equity and equity related instruments of companies following manufacturing theme</t>
  </si>
  <si>
    <t>Procter &amp; Gamble Hygiene&amp;HealthCare Ltd.</t>
  </si>
  <si>
    <t>INE179A01014</t>
  </si>
  <si>
    <t>National Securities Depository Ltd.</t>
  </si>
  <si>
    <t>INE301O01023</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</si>
  <si>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</si>
  <si>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</si>
  <si>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</si>
  <si>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</si>
  <si>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</si>
  <si>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Britannia Industries Ltd.</t>
  </si>
  <si>
    <t>INE216A01030</t>
  </si>
  <si>
    <t>Adani Power Ltd.</t>
  </si>
  <si>
    <t>INE814H01029</t>
  </si>
  <si>
    <t>Avenue Supermarts Ltd.</t>
  </si>
  <si>
    <t>INE192R01011</t>
  </si>
  <si>
    <t>Bajaj Holdings &amp; Investment Ltd.</t>
  </si>
  <si>
    <t>INE118A01012</t>
  </si>
  <si>
    <t>CG Power and Industrial Solutions Ltd.</t>
  </si>
  <si>
    <t>INE067A01029</t>
  </si>
  <si>
    <t>Godrej Consumer Products Ltd.</t>
  </si>
  <si>
    <t>INE102D01028</t>
  </si>
  <si>
    <t>Jindal Steel Ltd.</t>
  </si>
  <si>
    <t>INE749A01030</t>
  </si>
  <si>
    <t>Shree Cement Ltd.</t>
  </si>
  <si>
    <t>INE070A01015</t>
  </si>
  <si>
    <t>Havells India Ltd.</t>
  </si>
  <si>
    <t>INE176B01034</t>
  </si>
  <si>
    <t>Ambuja Cements Ltd.</t>
  </si>
  <si>
    <t>INE079A01024</t>
  </si>
  <si>
    <t>Adani Green Energy Ltd.</t>
  </si>
  <si>
    <t>INE364U01010</t>
  </si>
  <si>
    <t>Adani Energy Solutions Ltd.</t>
  </si>
  <si>
    <t>INE931S01010</t>
  </si>
  <si>
    <t>Solar Industries India Ltd.</t>
  </si>
  <si>
    <t>INE343H01029</t>
  </si>
  <si>
    <t>Zydus Lifesciences Ltd.</t>
  </si>
  <si>
    <t>INE010B01027</t>
  </si>
  <si>
    <t>Indian Railway Finance Corporation Ltd.</t>
  </si>
  <si>
    <t>INE053F01010</t>
  </si>
  <si>
    <t>Mazagon Dock Shipbuilders Ltd.</t>
  </si>
  <si>
    <t>INE249Z01020</t>
  </si>
  <si>
    <t>Hindustan Zinc Ltd.</t>
  </si>
  <si>
    <t>INE267A01025</t>
  </si>
  <si>
    <t>Life Insurance Corporation of India</t>
  </si>
  <si>
    <t>INE0J1Y01017</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</si>
  <si>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</si>
  <si>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</si>
  <si>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</si>
  <si>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</si>
  <si>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</si>
  <si>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</si>
  <si>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</si>
  <si>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</si>
  <si>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CCL Products (India) Ltd.</t>
  </si>
  <si>
    <t>INE421D01022</t>
  </si>
  <si>
    <t>Eureka Forbes Ltd.</t>
  </si>
  <si>
    <t>INE0KCE01017</t>
  </si>
  <si>
    <t>Sanofi Consumer Healthcare India Ltd.</t>
  </si>
  <si>
    <t>INE0UOS01011</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</si>
  <si>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</si>
  <si>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</si>
  <si>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</si>
  <si>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</si>
  <si>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</si>
  <si>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</si>
  <si>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</si>
  <si>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</si>
  <si>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</si>
  <si>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Carborundum Universal Ltd.</t>
  </si>
  <si>
    <t>INE120A01034</t>
  </si>
  <si>
    <t>Bajaj Electricals Ltd.</t>
  </si>
  <si>
    <t>INE193E01025</t>
  </si>
  <si>
    <t>8.0% HDFC Bank Ltd. **</t>
  </si>
  <si>
    <t>INE040A08807</t>
  </si>
  <si>
    <t>7.1% National Bk for Agriculture &amp; Rural Dev. **</t>
  </si>
  <si>
    <t>INE261F08BY2</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</si>
  <si>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</si>
  <si>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</si>
  <si>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r>
      <t xml:space="preserve">6% TVS MOTOR CO LTD </t>
    </r>
    <r>
      <rPr>
        <sz val="8"/>
        <color theme="1"/>
        <rFont val="Arial"/>
        <family val="2"/>
      </rPr>
      <t>Non-Convertible Preference shares</t>
    </r>
  </si>
  <si>
    <t>(b)Listed / Awaiting listing on Stock Exchanges</t>
  </si>
  <si>
    <t>Moderate</t>
  </si>
  <si>
    <t>SKF India (Industrial) Ltd.</t>
  </si>
  <si>
    <t>TML Commercial Vehicles Ltd.</t>
  </si>
  <si>
    <t>Lenskart Solutions Private Ltd.</t>
  </si>
  <si>
    <t>Piramal Finance Ltd.</t>
  </si>
  <si>
    <t>Orkla India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</si>
</sst>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5"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
      <sz val="8"/>
      <color theme="1"/>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84">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0" fontId="9" fillId="0" borderId="18" xfId="0" applyFont="1" applyBorder="1" applyAlignment="1">
      <alignment horizontal="left" vertical="center" wrapText="1" indent="3" readingOrder="1"/>
    </xf>
    <xf numFmtId="0" fontId="3" fillId="0" borderId="8" xfId="0" applyFont="1" applyBorder="1" applyAlignment="1">
      <alignment horizontal="left" vertical="top"/>
    </xf>
    <xf numFmtId="0" fontId="2" fillId="0" borderId="8" xfId="0" applyFont="1" applyBorder="1" applyAlignment="1">
      <alignment horizontal="left" vertical="top"/>
    </xf>
    <xf numFmtId="164" fontId="2" fillId="0" borderId="8" xfId="0" applyNumberFormat="1" applyFont="1" applyBorder="1" applyAlignment="1">
      <alignment vertical="top"/>
    </xf>
    <xf numFmtId="4" fontId="2" fillId="0" borderId="8" xfId="0" applyNumberFormat="1" applyFont="1" applyBorder="1" applyAlignment="1">
      <alignment vertical="top"/>
    </xf>
    <xf numFmtId="10" fontId="2" fillId="0" borderId="8" xfId="0" applyNumberFormat="1" applyFont="1" applyBorder="1" applyAlignment="1">
      <alignment horizontal="right" vertical="top"/>
    </xf>
    <xf numFmtId="10" fontId="2" fillId="0" borderId="8" xfId="1" applyNumberFormat="1" applyFont="1" applyBorder="1" applyAlignment="1">
      <alignment vertical="top"/>
    </xf>
    <xf numFmtId="4" fontId="3" fillId="0" borderId="9" xfId="0" applyNumberFormat="1" applyFont="1" applyBorder="1" applyAlignment="1">
      <alignment vertical="top"/>
    </xf>
    <xf numFmtId="10" fontId="3" fillId="0" borderId="9" xfId="0" applyNumberFormat="1" applyFont="1" applyBorder="1" applyAlignment="1">
      <alignment horizontal="right" vertical="top"/>
    </xf>
    <xf numFmtId="0" fontId="3" fillId="0" borderId="9" xfId="0" applyFont="1" applyBorder="1" applyAlignment="1">
      <alignment horizontal="left" vertical="top"/>
    </xf>
    <xf numFmtId="164" fontId="3" fillId="0" borderId="9" xfId="0" applyNumberFormat="1" applyFont="1" applyBorder="1" applyAlignment="1">
      <alignment vertical="top"/>
    </xf>
    <xf numFmtId="10" fontId="3" fillId="0" borderId="8" xfId="1" applyNumberFormat="1" applyFont="1" applyBorder="1" applyAlignment="1">
      <alignment vertical="top"/>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22410</xdr:colOff>
      <xdr:row>182</xdr:row>
      <xdr:rowOff>52294</xdr:rowOff>
    </xdr:from>
    <xdr:to>
      <xdr:col>2</xdr:col>
      <xdr:colOff>2629647</xdr:colOff>
      <xdr:row>185</xdr:row>
      <xdr:rowOff>489696</xdr:rowOff>
    </xdr:to>
    <xdr:pic>
      <xdr:nvPicPr>
        <xdr:cNvPr id="2" name="Picture 1">
          <a:extLst>
            <a:ext uri="{FF2B5EF4-FFF2-40B4-BE49-F238E27FC236}">
              <a16:creationId xmlns:a16="http://schemas.microsoft.com/office/drawing/2014/main" id="{CB6A8EAA-4599-4293-8E47-4AA1DD6906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0910" y="22975794"/>
          <a:ext cx="2607237" cy="19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182</xdr:row>
      <xdr:rowOff>37353</xdr:rowOff>
    </xdr:from>
    <xdr:to>
      <xdr:col>4</xdr:col>
      <xdr:colOff>2668833</xdr:colOff>
      <xdr:row>185</xdr:row>
      <xdr:rowOff>474756</xdr:rowOff>
    </xdr:to>
    <xdr:pic>
      <xdr:nvPicPr>
        <xdr:cNvPr id="3" name="Picture 2">
          <a:extLst>
            <a:ext uri="{FF2B5EF4-FFF2-40B4-BE49-F238E27FC236}">
              <a16:creationId xmlns:a16="http://schemas.microsoft.com/office/drawing/2014/main" id="{B295E98A-DC17-4365-BE8D-9141277AE2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22960853"/>
          <a:ext cx="2624010" cy="19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44825</xdr:colOff>
      <xdr:row>145</xdr:row>
      <xdr:rowOff>63503</xdr:rowOff>
    </xdr:from>
    <xdr:to>
      <xdr:col>2</xdr:col>
      <xdr:colOff>2629647</xdr:colOff>
      <xdr:row>148</xdr:row>
      <xdr:rowOff>495675</xdr:rowOff>
    </xdr:to>
    <xdr:pic>
      <xdr:nvPicPr>
        <xdr:cNvPr id="2" name="Picture 1">
          <a:extLst>
            <a:ext uri="{FF2B5EF4-FFF2-40B4-BE49-F238E27FC236}">
              <a16:creationId xmlns:a16="http://schemas.microsoft.com/office/drawing/2014/main" id="{0A9DCC0E-4E9E-41D7-911E-7F1746CE26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5" y="25019003"/>
          <a:ext cx="2584822" cy="1937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145</xdr:row>
      <xdr:rowOff>29882</xdr:rowOff>
    </xdr:from>
    <xdr:to>
      <xdr:col>4</xdr:col>
      <xdr:colOff>2649846</xdr:colOff>
      <xdr:row>148</xdr:row>
      <xdr:rowOff>496484</xdr:rowOff>
    </xdr:to>
    <xdr:pic>
      <xdr:nvPicPr>
        <xdr:cNvPr id="3" name="Picture 2">
          <a:extLst>
            <a:ext uri="{FF2B5EF4-FFF2-40B4-BE49-F238E27FC236}">
              <a16:creationId xmlns:a16="http://schemas.microsoft.com/office/drawing/2014/main" id="{9500210B-8916-49F9-B97A-C3F3470B5D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24985382"/>
          <a:ext cx="2612493" cy="197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59765</xdr:colOff>
      <xdr:row>108</xdr:row>
      <xdr:rowOff>44824</xdr:rowOff>
    </xdr:from>
    <xdr:to>
      <xdr:col>2</xdr:col>
      <xdr:colOff>2644587</xdr:colOff>
      <xdr:row>111</xdr:row>
      <xdr:rowOff>478490</xdr:rowOff>
    </xdr:to>
    <xdr:pic>
      <xdr:nvPicPr>
        <xdr:cNvPr id="2" name="Picture 1">
          <a:extLst>
            <a:ext uri="{FF2B5EF4-FFF2-40B4-BE49-F238E27FC236}">
              <a16:creationId xmlns:a16="http://schemas.microsoft.com/office/drawing/2014/main" id="{285E63D2-6DAD-44B9-B478-C09EDA9D82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270831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108</xdr:row>
      <xdr:rowOff>44823</xdr:rowOff>
    </xdr:from>
    <xdr:to>
      <xdr:col>4</xdr:col>
      <xdr:colOff>2663666</xdr:colOff>
      <xdr:row>112</xdr:row>
      <xdr:rowOff>14444</xdr:rowOff>
    </xdr:to>
    <xdr:pic>
      <xdr:nvPicPr>
        <xdr:cNvPr id="3" name="Picture 2">
          <a:extLst>
            <a:ext uri="{FF2B5EF4-FFF2-40B4-BE49-F238E27FC236}">
              <a16:creationId xmlns:a16="http://schemas.microsoft.com/office/drawing/2014/main" id="{161875C3-E5CA-4B3D-875B-73BBDF5014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27083123"/>
          <a:ext cx="2612493" cy="1973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44823</xdr:colOff>
      <xdr:row>59</xdr:row>
      <xdr:rowOff>59764</xdr:rowOff>
    </xdr:from>
    <xdr:to>
      <xdr:col>2</xdr:col>
      <xdr:colOff>2629645</xdr:colOff>
      <xdr:row>62</xdr:row>
      <xdr:rowOff>493430</xdr:rowOff>
    </xdr:to>
    <xdr:pic>
      <xdr:nvPicPr>
        <xdr:cNvPr id="2" name="Picture 1">
          <a:extLst>
            <a:ext uri="{FF2B5EF4-FFF2-40B4-BE49-F238E27FC236}">
              <a16:creationId xmlns:a16="http://schemas.microsoft.com/office/drawing/2014/main" id="{9E2551D9-81BD-4CE4-A09A-C1B9517C8E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291300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44825</xdr:colOff>
      <xdr:row>59</xdr:row>
      <xdr:rowOff>52294</xdr:rowOff>
    </xdr:from>
    <xdr:to>
      <xdr:col>4</xdr:col>
      <xdr:colOff>2652061</xdr:colOff>
      <xdr:row>62</xdr:row>
      <xdr:rowOff>478901</xdr:rowOff>
    </xdr:to>
    <xdr:pic>
      <xdr:nvPicPr>
        <xdr:cNvPr id="3" name="Picture 2">
          <a:extLst>
            <a:ext uri="{FF2B5EF4-FFF2-40B4-BE49-F238E27FC236}">
              <a16:creationId xmlns:a16="http://schemas.microsoft.com/office/drawing/2014/main" id="{90FDB827-5E2C-4C17-901A-EE98E13049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5" y="291225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44824</xdr:colOff>
      <xdr:row>96</xdr:row>
      <xdr:rowOff>52294</xdr:rowOff>
    </xdr:from>
    <xdr:to>
      <xdr:col>2</xdr:col>
      <xdr:colOff>2629646</xdr:colOff>
      <xdr:row>99</xdr:row>
      <xdr:rowOff>489135</xdr:rowOff>
    </xdr:to>
    <xdr:pic>
      <xdr:nvPicPr>
        <xdr:cNvPr id="2" name="Picture 1">
          <a:extLst>
            <a:ext uri="{FF2B5EF4-FFF2-40B4-BE49-F238E27FC236}">
              <a16:creationId xmlns:a16="http://schemas.microsoft.com/office/drawing/2014/main" id="{6C5F88E1-DCB2-4E5B-A961-C7909B411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311545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82178</xdr:colOff>
      <xdr:row>96</xdr:row>
      <xdr:rowOff>74706</xdr:rowOff>
    </xdr:from>
    <xdr:to>
      <xdr:col>4</xdr:col>
      <xdr:colOff>2607235</xdr:colOff>
      <xdr:row>99</xdr:row>
      <xdr:rowOff>476767</xdr:rowOff>
    </xdr:to>
    <xdr:pic>
      <xdr:nvPicPr>
        <xdr:cNvPr id="3" name="Picture 2">
          <a:extLst>
            <a:ext uri="{FF2B5EF4-FFF2-40B4-BE49-F238E27FC236}">
              <a16:creationId xmlns:a16="http://schemas.microsoft.com/office/drawing/2014/main" id="{D18D9395-AC6E-48F9-AC25-95B6757254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5128" y="31177006"/>
          <a:ext cx="2525057" cy="1907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52293</xdr:colOff>
      <xdr:row>89</xdr:row>
      <xdr:rowOff>82178</xdr:rowOff>
    </xdr:from>
    <xdr:to>
      <xdr:col>2</xdr:col>
      <xdr:colOff>2637115</xdr:colOff>
      <xdr:row>93</xdr:row>
      <xdr:rowOff>14568</xdr:rowOff>
    </xdr:to>
    <xdr:pic>
      <xdr:nvPicPr>
        <xdr:cNvPr id="2" name="Picture 1">
          <a:extLst>
            <a:ext uri="{FF2B5EF4-FFF2-40B4-BE49-F238E27FC236}">
              <a16:creationId xmlns:a16="http://schemas.microsoft.com/office/drawing/2014/main" id="{F994ADC1-E4A0-4821-B30D-8106BC22A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3" y="33216478"/>
          <a:ext cx="2584822" cy="1938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89</xdr:row>
      <xdr:rowOff>59765</xdr:rowOff>
    </xdr:from>
    <xdr:to>
      <xdr:col>4</xdr:col>
      <xdr:colOff>2652060</xdr:colOff>
      <xdr:row>92</xdr:row>
      <xdr:rowOff>486746</xdr:rowOff>
    </xdr:to>
    <xdr:pic>
      <xdr:nvPicPr>
        <xdr:cNvPr id="3" name="Picture 2">
          <a:extLst>
            <a:ext uri="{FF2B5EF4-FFF2-40B4-BE49-F238E27FC236}">
              <a16:creationId xmlns:a16="http://schemas.microsoft.com/office/drawing/2014/main" id="{5C4B54A4-0F6D-4432-9EAB-975D248C60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33194065"/>
          <a:ext cx="2607236" cy="193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52294</xdr:colOff>
      <xdr:row>53</xdr:row>
      <xdr:rowOff>67235</xdr:rowOff>
    </xdr:from>
    <xdr:to>
      <xdr:col>2</xdr:col>
      <xdr:colOff>2637116</xdr:colOff>
      <xdr:row>56</xdr:row>
      <xdr:rowOff>500901</xdr:rowOff>
    </xdr:to>
    <xdr:pic>
      <xdr:nvPicPr>
        <xdr:cNvPr id="2" name="Picture 1">
          <a:extLst>
            <a:ext uri="{FF2B5EF4-FFF2-40B4-BE49-F238E27FC236}">
              <a16:creationId xmlns:a16="http://schemas.microsoft.com/office/drawing/2014/main" id="{420A2C84-8940-4F95-8717-F1DB7CC3B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531608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53</xdr:row>
      <xdr:rowOff>67236</xdr:rowOff>
    </xdr:from>
    <xdr:to>
      <xdr:col>4</xdr:col>
      <xdr:colOff>2659530</xdr:colOff>
      <xdr:row>56</xdr:row>
      <xdr:rowOff>493843</xdr:rowOff>
    </xdr:to>
    <xdr:pic>
      <xdr:nvPicPr>
        <xdr:cNvPr id="3" name="Picture 2">
          <a:extLst>
            <a:ext uri="{FF2B5EF4-FFF2-40B4-BE49-F238E27FC236}">
              <a16:creationId xmlns:a16="http://schemas.microsoft.com/office/drawing/2014/main" id="{C34BC3C5-A26F-4383-B734-4D71854100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35316086"/>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52294</xdr:colOff>
      <xdr:row>90</xdr:row>
      <xdr:rowOff>52294</xdr:rowOff>
    </xdr:from>
    <xdr:to>
      <xdr:col>2</xdr:col>
      <xdr:colOff>2640291</xdr:colOff>
      <xdr:row>93</xdr:row>
      <xdr:rowOff>489135</xdr:rowOff>
    </xdr:to>
    <xdr:pic>
      <xdr:nvPicPr>
        <xdr:cNvPr id="2" name="Picture 1">
          <a:extLst>
            <a:ext uri="{FF2B5EF4-FFF2-40B4-BE49-F238E27FC236}">
              <a16:creationId xmlns:a16="http://schemas.microsoft.com/office/drawing/2014/main" id="{69577E53-D421-45E7-B0BE-B9E1E9D82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733314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37354</xdr:colOff>
      <xdr:row>90</xdr:row>
      <xdr:rowOff>37353</xdr:rowOff>
    </xdr:from>
    <xdr:to>
      <xdr:col>4</xdr:col>
      <xdr:colOff>2644590</xdr:colOff>
      <xdr:row>93</xdr:row>
      <xdr:rowOff>467135</xdr:rowOff>
    </xdr:to>
    <xdr:pic>
      <xdr:nvPicPr>
        <xdr:cNvPr id="3" name="Picture 2">
          <a:extLst>
            <a:ext uri="{FF2B5EF4-FFF2-40B4-BE49-F238E27FC236}">
              <a16:creationId xmlns:a16="http://schemas.microsoft.com/office/drawing/2014/main" id="{231997FA-3F1A-47E3-84AF-CF0C8EDB47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4" y="3731820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151913</xdr:colOff>
      <xdr:row>135</xdr:row>
      <xdr:rowOff>358774</xdr:rowOff>
    </xdr:from>
    <xdr:to>
      <xdr:col>4</xdr:col>
      <xdr:colOff>2448554</xdr:colOff>
      <xdr:row>138</xdr:row>
      <xdr:rowOff>285750</xdr:rowOff>
    </xdr:to>
    <xdr:pic>
      <xdr:nvPicPr>
        <xdr:cNvPr id="2" name="Picture 1">
          <a:extLst>
            <a:ext uri="{FF2B5EF4-FFF2-40B4-BE49-F238E27FC236}">
              <a16:creationId xmlns:a16="http://schemas.microsoft.com/office/drawing/2014/main" id="{2EA5C0E5-9C5F-4BBB-8B33-0E43A0F98F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413" y="28362274"/>
          <a:ext cx="2296641" cy="1450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196850</xdr:colOff>
      <xdr:row>135</xdr:row>
      <xdr:rowOff>419101</xdr:rowOff>
    </xdr:from>
    <xdr:to>
      <xdr:col>2</xdr:col>
      <xdr:colOff>2835275</xdr:colOff>
      <xdr:row>138</xdr:row>
      <xdr:rowOff>155253</xdr:rowOff>
    </xdr:to>
    <xdr:pic>
      <xdr:nvPicPr>
        <xdr:cNvPr id="4" name="Picture 3">
          <a:extLst>
            <a:ext uri="{FF2B5EF4-FFF2-40B4-BE49-F238E27FC236}">
              <a16:creationId xmlns:a16="http://schemas.microsoft.com/office/drawing/2014/main" id="{2FC88679-C017-4329-AC1F-53F0636D62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13300" y="28422601"/>
          <a:ext cx="2638425" cy="12601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59764</xdr:colOff>
      <xdr:row>92</xdr:row>
      <xdr:rowOff>44824</xdr:rowOff>
    </xdr:from>
    <xdr:to>
      <xdr:col>2</xdr:col>
      <xdr:colOff>2644586</xdr:colOff>
      <xdr:row>95</xdr:row>
      <xdr:rowOff>481851</xdr:rowOff>
    </xdr:to>
    <xdr:pic>
      <xdr:nvPicPr>
        <xdr:cNvPr id="2" name="Picture 1">
          <a:extLst>
            <a:ext uri="{FF2B5EF4-FFF2-40B4-BE49-F238E27FC236}">
              <a16:creationId xmlns:a16="http://schemas.microsoft.com/office/drawing/2014/main" id="{16D135F3-C77D-4A88-B195-FBCE6F88A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41389674"/>
          <a:ext cx="2584822" cy="194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92</xdr:row>
      <xdr:rowOff>67235</xdr:rowOff>
    </xdr:from>
    <xdr:to>
      <xdr:col>4</xdr:col>
      <xdr:colOff>2644589</xdr:colOff>
      <xdr:row>95</xdr:row>
      <xdr:rowOff>497203</xdr:rowOff>
    </xdr:to>
    <xdr:pic>
      <xdr:nvPicPr>
        <xdr:cNvPr id="3" name="Picture 2">
          <a:extLst>
            <a:ext uri="{FF2B5EF4-FFF2-40B4-BE49-F238E27FC236}">
              <a16:creationId xmlns:a16="http://schemas.microsoft.com/office/drawing/2014/main" id="{6F7E3317-7319-43AD-9579-E200C2E58F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41412085"/>
          <a:ext cx="2607236" cy="1934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37353</xdr:colOff>
      <xdr:row>101</xdr:row>
      <xdr:rowOff>44824</xdr:rowOff>
    </xdr:from>
    <xdr:to>
      <xdr:col>2</xdr:col>
      <xdr:colOff>2625350</xdr:colOff>
      <xdr:row>104</xdr:row>
      <xdr:rowOff>478490</xdr:rowOff>
    </xdr:to>
    <xdr:pic>
      <xdr:nvPicPr>
        <xdr:cNvPr id="2" name="Picture 1">
          <a:extLst>
            <a:ext uri="{FF2B5EF4-FFF2-40B4-BE49-F238E27FC236}">
              <a16:creationId xmlns:a16="http://schemas.microsoft.com/office/drawing/2014/main" id="{7FD85A18-A9E4-4187-BB12-84570DD08E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43529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101</xdr:row>
      <xdr:rowOff>44823</xdr:rowOff>
    </xdr:from>
    <xdr:to>
      <xdr:col>4</xdr:col>
      <xdr:colOff>2662705</xdr:colOff>
      <xdr:row>104</xdr:row>
      <xdr:rowOff>474605</xdr:rowOff>
    </xdr:to>
    <xdr:pic>
      <xdr:nvPicPr>
        <xdr:cNvPr id="3" name="Picture 2">
          <a:extLst>
            <a:ext uri="{FF2B5EF4-FFF2-40B4-BE49-F238E27FC236}">
              <a16:creationId xmlns:a16="http://schemas.microsoft.com/office/drawing/2014/main" id="{713FCD1E-96F2-48BF-BCEF-611A2AC8BC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4352962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67236</xdr:colOff>
      <xdr:row>55</xdr:row>
      <xdr:rowOff>59764</xdr:rowOff>
    </xdr:from>
    <xdr:to>
      <xdr:col>2</xdr:col>
      <xdr:colOff>2652058</xdr:colOff>
      <xdr:row>58</xdr:row>
      <xdr:rowOff>493430</xdr:rowOff>
    </xdr:to>
    <xdr:pic>
      <xdr:nvPicPr>
        <xdr:cNvPr id="2" name="Picture 1">
          <a:extLst>
            <a:ext uri="{FF2B5EF4-FFF2-40B4-BE49-F238E27FC236}">
              <a16:creationId xmlns:a16="http://schemas.microsoft.com/office/drawing/2014/main" id="{49A3F137-AEBC-447A-884C-A06E0A3E04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6" y="455765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67235</xdr:colOff>
      <xdr:row>55</xdr:row>
      <xdr:rowOff>29883</xdr:rowOff>
    </xdr:from>
    <xdr:to>
      <xdr:col>4</xdr:col>
      <xdr:colOff>2674471</xdr:colOff>
      <xdr:row>58</xdr:row>
      <xdr:rowOff>456490</xdr:rowOff>
    </xdr:to>
    <xdr:pic>
      <xdr:nvPicPr>
        <xdr:cNvPr id="3" name="Picture 2">
          <a:extLst>
            <a:ext uri="{FF2B5EF4-FFF2-40B4-BE49-F238E27FC236}">
              <a16:creationId xmlns:a16="http://schemas.microsoft.com/office/drawing/2014/main" id="{618DEBD2-A0A1-47CB-A580-8D311B7E98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0185" y="45546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228600</xdr:colOff>
      <xdr:row>25</xdr:row>
      <xdr:rowOff>161925</xdr:rowOff>
    </xdr:from>
    <xdr:to>
      <xdr:col>4</xdr:col>
      <xdr:colOff>2662704</xdr:colOff>
      <xdr:row>28</xdr:row>
      <xdr:rowOff>300403</xdr:rowOff>
    </xdr:to>
    <xdr:pic>
      <xdr:nvPicPr>
        <xdr:cNvPr id="3" name="Picture 2">
          <a:extLst>
            <a:ext uri="{FF2B5EF4-FFF2-40B4-BE49-F238E27FC236}">
              <a16:creationId xmlns:a16="http://schemas.microsoft.com/office/drawing/2014/main" id="{D676E907-23A1-4AE5-AAD2-43BD621903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150" y="5813425"/>
          <a:ext cx="2434104" cy="1662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203200</xdr:colOff>
      <xdr:row>25</xdr:row>
      <xdr:rowOff>260350</xdr:rowOff>
    </xdr:from>
    <xdr:to>
      <xdr:col>2</xdr:col>
      <xdr:colOff>2791197</xdr:colOff>
      <xdr:row>28</xdr:row>
      <xdr:rowOff>370166</xdr:rowOff>
    </xdr:to>
    <xdr:pic>
      <xdr:nvPicPr>
        <xdr:cNvPr id="4" name="Picture 3">
          <a:extLst>
            <a:ext uri="{FF2B5EF4-FFF2-40B4-BE49-F238E27FC236}">
              <a16:creationId xmlns:a16="http://schemas.microsoft.com/office/drawing/2014/main" id="{2A69A757-4868-4854-B5B9-4FC7BD493D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19650" y="5911850"/>
          <a:ext cx="2587997" cy="1633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89647</xdr:colOff>
      <xdr:row>25</xdr:row>
      <xdr:rowOff>74706</xdr:rowOff>
    </xdr:from>
    <xdr:to>
      <xdr:col>2</xdr:col>
      <xdr:colOff>2637119</xdr:colOff>
      <xdr:row>28</xdr:row>
      <xdr:rowOff>422462</xdr:rowOff>
    </xdr:to>
    <xdr:pic>
      <xdr:nvPicPr>
        <xdr:cNvPr id="2" name="Picture 1">
          <a:extLst>
            <a:ext uri="{FF2B5EF4-FFF2-40B4-BE49-F238E27FC236}">
              <a16:creationId xmlns:a16="http://schemas.microsoft.com/office/drawing/2014/main" id="{7AA6FDC8-2B50-4D9B-86DE-151CFDC7A0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8147" y="82167506"/>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25</xdr:row>
      <xdr:rowOff>31558</xdr:rowOff>
    </xdr:from>
    <xdr:to>
      <xdr:col>4</xdr:col>
      <xdr:colOff>2674470</xdr:colOff>
      <xdr:row>28</xdr:row>
      <xdr:rowOff>476168</xdr:rowOff>
    </xdr:to>
    <xdr:pic>
      <xdr:nvPicPr>
        <xdr:cNvPr id="3" name="Picture 2">
          <a:extLst>
            <a:ext uri="{FF2B5EF4-FFF2-40B4-BE49-F238E27FC236}">
              <a16:creationId xmlns:a16="http://schemas.microsoft.com/office/drawing/2014/main" id="{46759350-3D3E-4F59-A5A2-483630F94D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82124358"/>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59765</xdr:colOff>
      <xdr:row>81</xdr:row>
      <xdr:rowOff>37352</xdr:rowOff>
    </xdr:from>
    <xdr:to>
      <xdr:col>2</xdr:col>
      <xdr:colOff>2644587</xdr:colOff>
      <xdr:row>84</xdr:row>
      <xdr:rowOff>474193</xdr:rowOff>
    </xdr:to>
    <xdr:pic>
      <xdr:nvPicPr>
        <xdr:cNvPr id="2" name="Picture 1">
          <a:extLst>
            <a:ext uri="{FF2B5EF4-FFF2-40B4-BE49-F238E27FC236}">
              <a16:creationId xmlns:a16="http://schemas.microsoft.com/office/drawing/2014/main" id="{AF2198F5-7675-487F-9725-6FA77E2679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4961815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81</xdr:row>
      <xdr:rowOff>89647</xdr:rowOff>
    </xdr:from>
    <xdr:to>
      <xdr:col>4</xdr:col>
      <xdr:colOff>2652060</xdr:colOff>
      <xdr:row>85</xdr:row>
      <xdr:rowOff>14604</xdr:rowOff>
    </xdr:to>
    <xdr:pic>
      <xdr:nvPicPr>
        <xdr:cNvPr id="3" name="Picture 2">
          <a:extLst>
            <a:ext uri="{FF2B5EF4-FFF2-40B4-BE49-F238E27FC236}">
              <a16:creationId xmlns:a16="http://schemas.microsoft.com/office/drawing/2014/main" id="{18F77508-3F7C-48A3-90A5-206F457081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4967044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98</xdr:row>
      <xdr:rowOff>44824</xdr:rowOff>
    </xdr:from>
    <xdr:to>
      <xdr:col>2</xdr:col>
      <xdr:colOff>2629646</xdr:colOff>
      <xdr:row>101</xdr:row>
      <xdr:rowOff>478490</xdr:rowOff>
    </xdr:to>
    <xdr:pic>
      <xdr:nvPicPr>
        <xdr:cNvPr id="2" name="Picture 1">
          <a:extLst>
            <a:ext uri="{FF2B5EF4-FFF2-40B4-BE49-F238E27FC236}">
              <a16:creationId xmlns:a16="http://schemas.microsoft.com/office/drawing/2014/main" id="{8949699D-DF9A-4AD7-8F13-5D55F72C72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5165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98</xdr:row>
      <xdr:rowOff>37352</xdr:rowOff>
    </xdr:from>
    <xdr:to>
      <xdr:col>4</xdr:col>
      <xdr:colOff>2652059</xdr:colOff>
      <xdr:row>101</xdr:row>
      <xdr:rowOff>467134</xdr:rowOff>
    </xdr:to>
    <xdr:pic>
      <xdr:nvPicPr>
        <xdr:cNvPr id="3" name="Picture 2">
          <a:extLst>
            <a:ext uri="{FF2B5EF4-FFF2-40B4-BE49-F238E27FC236}">
              <a16:creationId xmlns:a16="http://schemas.microsoft.com/office/drawing/2014/main" id="{44171B52-C50D-4AD3-BD62-2CB36DE9EC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165015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59765</xdr:colOff>
      <xdr:row>76</xdr:row>
      <xdr:rowOff>59765</xdr:rowOff>
    </xdr:from>
    <xdr:to>
      <xdr:col>2</xdr:col>
      <xdr:colOff>2644587</xdr:colOff>
      <xdr:row>79</xdr:row>
      <xdr:rowOff>493431</xdr:rowOff>
    </xdr:to>
    <xdr:pic>
      <xdr:nvPicPr>
        <xdr:cNvPr id="2" name="Picture 1">
          <a:extLst>
            <a:ext uri="{FF2B5EF4-FFF2-40B4-BE49-F238E27FC236}">
              <a16:creationId xmlns:a16="http://schemas.microsoft.com/office/drawing/2014/main" id="{940F8ADF-03E8-4B9B-8E1C-B5AFD645E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370456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76</xdr:row>
      <xdr:rowOff>52293</xdr:rowOff>
    </xdr:from>
    <xdr:to>
      <xdr:col>4</xdr:col>
      <xdr:colOff>2640293</xdr:colOff>
      <xdr:row>79</xdr:row>
      <xdr:rowOff>478900</xdr:rowOff>
    </xdr:to>
    <xdr:pic>
      <xdr:nvPicPr>
        <xdr:cNvPr id="3" name="Picture 2">
          <a:extLst>
            <a:ext uri="{FF2B5EF4-FFF2-40B4-BE49-F238E27FC236}">
              <a16:creationId xmlns:a16="http://schemas.microsoft.com/office/drawing/2014/main" id="{69738343-BCC7-4C23-9B19-4D8FD0C3B0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5369709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59765</xdr:colOff>
      <xdr:row>56</xdr:row>
      <xdr:rowOff>29883</xdr:rowOff>
    </xdr:from>
    <xdr:to>
      <xdr:col>2</xdr:col>
      <xdr:colOff>2644587</xdr:colOff>
      <xdr:row>59</xdr:row>
      <xdr:rowOff>466724</xdr:rowOff>
    </xdr:to>
    <xdr:pic>
      <xdr:nvPicPr>
        <xdr:cNvPr id="2" name="Picture 1">
          <a:extLst>
            <a:ext uri="{FF2B5EF4-FFF2-40B4-BE49-F238E27FC236}">
              <a16:creationId xmlns:a16="http://schemas.microsoft.com/office/drawing/2014/main" id="{11805930-F75D-44ED-B8A6-C95461CF330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570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29883</xdr:colOff>
      <xdr:row>56</xdr:row>
      <xdr:rowOff>52294</xdr:rowOff>
    </xdr:from>
    <xdr:to>
      <xdr:col>4</xdr:col>
      <xdr:colOff>2640294</xdr:colOff>
      <xdr:row>59</xdr:row>
      <xdr:rowOff>478901</xdr:rowOff>
    </xdr:to>
    <xdr:pic>
      <xdr:nvPicPr>
        <xdr:cNvPr id="3" name="Picture 2">
          <a:extLst>
            <a:ext uri="{FF2B5EF4-FFF2-40B4-BE49-F238E27FC236}">
              <a16:creationId xmlns:a16="http://schemas.microsoft.com/office/drawing/2014/main" id="{CEBF6901-F1C8-4CFF-8CCB-41045688EC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3" y="55729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37353</xdr:colOff>
      <xdr:row>93</xdr:row>
      <xdr:rowOff>44823</xdr:rowOff>
    </xdr:from>
    <xdr:to>
      <xdr:col>2</xdr:col>
      <xdr:colOff>2625350</xdr:colOff>
      <xdr:row>96</xdr:row>
      <xdr:rowOff>478489</xdr:rowOff>
    </xdr:to>
    <xdr:pic>
      <xdr:nvPicPr>
        <xdr:cNvPr id="2" name="Picture 1">
          <a:extLst>
            <a:ext uri="{FF2B5EF4-FFF2-40B4-BE49-F238E27FC236}">
              <a16:creationId xmlns:a16="http://schemas.microsoft.com/office/drawing/2014/main" id="{32F90946-5B92-42A2-AE48-EAB157EA2B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57753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93</xdr:row>
      <xdr:rowOff>44824</xdr:rowOff>
    </xdr:from>
    <xdr:to>
      <xdr:col>4</xdr:col>
      <xdr:colOff>2667001</xdr:colOff>
      <xdr:row>96</xdr:row>
      <xdr:rowOff>474606</xdr:rowOff>
    </xdr:to>
    <xdr:pic>
      <xdr:nvPicPr>
        <xdr:cNvPr id="3" name="Picture 2">
          <a:extLst>
            <a:ext uri="{FF2B5EF4-FFF2-40B4-BE49-F238E27FC236}">
              <a16:creationId xmlns:a16="http://schemas.microsoft.com/office/drawing/2014/main" id="{F200E41A-E54D-492D-835E-053F2D07DA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5775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4</xdr:col>
      <xdr:colOff>59765</xdr:colOff>
      <xdr:row>123</xdr:row>
      <xdr:rowOff>59765</xdr:rowOff>
    </xdr:from>
    <xdr:ext cx="2607236" cy="1931557"/>
    <xdr:pic>
      <xdr:nvPicPr>
        <xdr:cNvPr id="2" name="Picture 1">
          <a:extLst>
            <a:ext uri="{FF2B5EF4-FFF2-40B4-BE49-F238E27FC236}">
              <a16:creationId xmlns:a16="http://schemas.microsoft.com/office/drawing/2014/main" id="{E9C0BB94-96B6-44AC-B7B4-F87BD9C247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2715" y="63864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74706</xdr:colOff>
      <xdr:row>123</xdr:row>
      <xdr:rowOff>67236</xdr:rowOff>
    </xdr:from>
    <xdr:to>
      <xdr:col>2</xdr:col>
      <xdr:colOff>2662703</xdr:colOff>
      <xdr:row>126</xdr:row>
      <xdr:rowOff>504077</xdr:rowOff>
    </xdr:to>
    <xdr:pic>
      <xdr:nvPicPr>
        <xdr:cNvPr id="3" name="Picture 2">
          <a:extLst>
            <a:ext uri="{FF2B5EF4-FFF2-40B4-BE49-F238E27FC236}">
              <a16:creationId xmlns:a16="http://schemas.microsoft.com/office/drawing/2014/main" id="{53E0E918-E697-4279-94D3-AA48B73BE2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3206" y="63872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52294</xdr:colOff>
      <xdr:row>125</xdr:row>
      <xdr:rowOff>44824</xdr:rowOff>
    </xdr:from>
    <xdr:to>
      <xdr:col>2</xdr:col>
      <xdr:colOff>2637116</xdr:colOff>
      <xdr:row>128</xdr:row>
      <xdr:rowOff>478490</xdr:rowOff>
    </xdr:to>
    <xdr:pic>
      <xdr:nvPicPr>
        <xdr:cNvPr id="2" name="Picture 1">
          <a:extLst>
            <a:ext uri="{FF2B5EF4-FFF2-40B4-BE49-F238E27FC236}">
              <a16:creationId xmlns:a16="http://schemas.microsoft.com/office/drawing/2014/main" id="{D86D2112-3490-43FF-9E55-B7734CE0E3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59785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125</xdr:row>
      <xdr:rowOff>44825</xdr:rowOff>
    </xdr:from>
    <xdr:to>
      <xdr:col>4</xdr:col>
      <xdr:colOff>2652059</xdr:colOff>
      <xdr:row>128</xdr:row>
      <xdr:rowOff>471432</xdr:rowOff>
    </xdr:to>
    <xdr:pic>
      <xdr:nvPicPr>
        <xdr:cNvPr id="3" name="Picture 2">
          <a:extLst>
            <a:ext uri="{FF2B5EF4-FFF2-40B4-BE49-F238E27FC236}">
              <a16:creationId xmlns:a16="http://schemas.microsoft.com/office/drawing/2014/main" id="{D64DBBCD-7AD3-4CD1-BB23-33F31EC202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97856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67235</xdr:colOff>
      <xdr:row>104</xdr:row>
      <xdr:rowOff>52294</xdr:rowOff>
    </xdr:from>
    <xdr:to>
      <xdr:col>2</xdr:col>
      <xdr:colOff>2652057</xdr:colOff>
      <xdr:row>107</xdr:row>
      <xdr:rowOff>489135</xdr:rowOff>
    </xdr:to>
    <xdr:pic>
      <xdr:nvPicPr>
        <xdr:cNvPr id="2" name="Picture 1">
          <a:extLst>
            <a:ext uri="{FF2B5EF4-FFF2-40B4-BE49-F238E27FC236}">
              <a16:creationId xmlns:a16="http://schemas.microsoft.com/office/drawing/2014/main" id="{8671BAD7-753C-4D41-AAD0-81CFBB3720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618250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104</xdr:row>
      <xdr:rowOff>59765</xdr:rowOff>
    </xdr:from>
    <xdr:to>
      <xdr:col>4</xdr:col>
      <xdr:colOff>2667001</xdr:colOff>
      <xdr:row>107</xdr:row>
      <xdr:rowOff>489547</xdr:rowOff>
    </xdr:to>
    <xdr:pic>
      <xdr:nvPicPr>
        <xdr:cNvPr id="3" name="Picture 2">
          <a:extLst>
            <a:ext uri="{FF2B5EF4-FFF2-40B4-BE49-F238E27FC236}">
              <a16:creationId xmlns:a16="http://schemas.microsoft.com/office/drawing/2014/main" id="{92B4F22B-386B-4874-81C9-C68FD912BB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61832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44823</xdr:colOff>
      <xdr:row>107</xdr:row>
      <xdr:rowOff>29883</xdr:rowOff>
    </xdr:from>
    <xdr:to>
      <xdr:col>2</xdr:col>
      <xdr:colOff>2629645</xdr:colOff>
      <xdr:row>110</xdr:row>
      <xdr:rowOff>463549</xdr:rowOff>
    </xdr:to>
    <xdr:pic>
      <xdr:nvPicPr>
        <xdr:cNvPr id="2" name="Picture 1">
          <a:extLst>
            <a:ext uri="{FF2B5EF4-FFF2-40B4-BE49-F238E27FC236}">
              <a16:creationId xmlns:a16="http://schemas.microsoft.com/office/drawing/2014/main" id="{519EEC06-AB76-42C8-A09B-5874ABC027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586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59764</xdr:colOff>
      <xdr:row>107</xdr:row>
      <xdr:rowOff>37353</xdr:rowOff>
    </xdr:from>
    <xdr:to>
      <xdr:col>4</xdr:col>
      <xdr:colOff>2667000</xdr:colOff>
      <xdr:row>110</xdr:row>
      <xdr:rowOff>463960</xdr:rowOff>
    </xdr:to>
    <xdr:pic>
      <xdr:nvPicPr>
        <xdr:cNvPr id="3" name="Picture 2">
          <a:extLst>
            <a:ext uri="{FF2B5EF4-FFF2-40B4-BE49-F238E27FC236}">
              <a16:creationId xmlns:a16="http://schemas.microsoft.com/office/drawing/2014/main" id="{05A671A1-4CC3-494C-936F-774B34F773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4" y="6587415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44823</xdr:colOff>
      <xdr:row>109</xdr:row>
      <xdr:rowOff>29882</xdr:rowOff>
    </xdr:from>
    <xdr:to>
      <xdr:col>2</xdr:col>
      <xdr:colOff>2629645</xdr:colOff>
      <xdr:row>112</xdr:row>
      <xdr:rowOff>466723</xdr:rowOff>
    </xdr:to>
    <xdr:pic>
      <xdr:nvPicPr>
        <xdr:cNvPr id="2" name="Picture 1">
          <a:extLst>
            <a:ext uri="{FF2B5EF4-FFF2-40B4-BE49-F238E27FC236}">
              <a16:creationId xmlns:a16="http://schemas.microsoft.com/office/drawing/2014/main" id="{AB90DFD7-3F78-49FB-B59F-45E3C3D1C8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789868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109</xdr:row>
      <xdr:rowOff>44824</xdr:rowOff>
    </xdr:from>
    <xdr:to>
      <xdr:col>4</xdr:col>
      <xdr:colOff>2652059</xdr:colOff>
      <xdr:row>112</xdr:row>
      <xdr:rowOff>474606</xdr:rowOff>
    </xdr:to>
    <xdr:pic>
      <xdr:nvPicPr>
        <xdr:cNvPr id="3" name="Picture 2">
          <a:extLst>
            <a:ext uri="{FF2B5EF4-FFF2-40B4-BE49-F238E27FC236}">
              <a16:creationId xmlns:a16="http://schemas.microsoft.com/office/drawing/2014/main" id="{46414C33-5FCA-4B87-A005-3F37D7A5BE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6791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52294</xdr:colOff>
      <xdr:row>81</xdr:row>
      <xdr:rowOff>37353</xdr:rowOff>
    </xdr:from>
    <xdr:to>
      <xdr:col>2</xdr:col>
      <xdr:colOff>2640291</xdr:colOff>
      <xdr:row>84</xdr:row>
      <xdr:rowOff>474194</xdr:rowOff>
    </xdr:to>
    <xdr:pic>
      <xdr:nvPicPr>
        <xdr:cNvPr id="2" name="Picture 1">
          <a:extLst>
            <a:ext uri="{FF2B5EF4-FFF2-40B4-BE49-F238E27FC236}">
              <a16:creationId xmlns:a16="http://schemas.microsoft.com/office/drawing/2014/main" id="{18C5326D-17FD-4243-AD3F-AE2F3FE75B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6993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81</xdr:row>
      <xdr:rowOff>97118</xdr:rowOff>
    </xdr:from>
    <xdr:to>
      <xdr:col>4</xdr:col>
      <xdr:colOff>2644589</xdr:colOff>
      <xdr:row>85</xdr:row>
      <xdr:rowOff>22075</xdr:rowOff>
    </xdr:to>
    <xdr:pic>
      <xdr:nvPicPr>
        <xdr:cNvPr id="3" name="Picture 2">
          <a:extLst>
            <a:ext uri="{FF2B5EF4-FFF2-40B4-BE49-F238E27FC236}">
              <a16:creationId xmlns:a16="http://schemas.microsoft.com/office/drawing/2014/main" id="{B3145E18-849B-4703-ABB2-9EC9D02BA5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69997918"/>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52294</xdr:colOff>
      <xdr:row>132</xdr:row>
      <xdr:rowOff>44824</xdr:rowOff>
    </xdr:from>
    <xdr:to>
      <xdr:col>2</xdr:col>
      <xdr:colOff>2640291</xdr:colOff>
      <xdr:row>135</xdr:row>
      <xdr:rowOff>478490</xdr:rowOff>
    </xdr:to>
    <xdr:pic>
      <xdr:nvPicPr>
        <xdr:cNvPr id="2" name="Picture 1">
          <a:extLst>
            <a:ext uri="{FF2B5EF4-FFF2-40B4-BE49-F238E27FC236}">
              <a16:creationId xmlns:a16="http://schemas.microsoft.com/office/drawing/2014/main" id="{2F685CF5-7439-4F59-9AA8-1FA473FF1B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7197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132</xdr:row>
      <xdr:rowOff>29883</xdr:rowOff>
    </xdr:from>
    <xdr:to>
      <xdr:col>4</xdr:col>
      <xdr:colOff>2667001</xdr:colOff>
      <xdr:row>135</xdr:row>
      <xdr:rowOff>456490</xdr:rowOff>
    </xdr:to>
    <xdr:pic>
      <xdr:nvPicPr>
        <xdr:cNvPr id="3" name="Picture 2">
          <a:extLst>
            <a:ext uri="{FF2B5EF4-FFF2-40B4-BE49-F238E27FC236}">
              <a16:creationId xmlns:a16="http://schemas.microsoft.com/office/drawing/2014/main" id="{7D599E72-1D6C-40DE-85AC-81E6BC761F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71962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67235</xdr:colOff>
      <xdr:row>90</xdr:row>
      <xdr:rowOff>67236</xdr:rowOff>
    </xdr:from>
    <xdr:to>
      <xdr:col>2</xdr:col>
      <xdr:colOff>2652057</xdr:colOff>
      <xdr:row>93</xdr:row>
      <xdr:rowOff>504077</xdr:rowOff>
    </xdr:to>
    <xdr:pic>
      <xdr:nvPicPr>
        <xdr:cNvPr id="2" name="Picture 1">
          <a:extLst>
            <a:ext uri="{FF2B5EF4-FFF2-40B4-BE49-F238E27FC236}">
              <a16:creationId xmlns:a16="http://schemas.microsoft.com/office/drawing/2014/main" id="{3677A46A-8422-47BC-8539-79935A3B19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74032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90</xdr:row>
      <xdr:rowOff>59765</xdr:rowOff>
    </xdr:from>
    <xdr:to>
      <xdr:col>4</xdr:col>
      <xdr:colOff>2652060</xdr:colOff>
      <xdr:row>93</xdr:row>
      <xdr:rowOff>489547</xdr:rowOff>
    </xdr:to>
    <xdr:pic>
      <xdr:nvPicPr>
        <xdr:cNvPr id="3" name="Picture 2">
          <a:extLst>
            <a:ext uri="{FF2B5EF4-FFF2-40B4-BE49-F238E27FC236}">
              <a16:creationId xmlns:a16="http://schemas.microsoft.com/office/drawing/2014/main" id="{7456DEAA-F5D3-4A98-AC3E-992EA22472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74024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37352</xdr:colOff>
      <xdr:row>76</xdr:row>
      <xdr:rowOff>44823</xdr:rowOff>
    </xdr:from>
    <xdr:to>
      <xdr:col>2</xdr:col>
      <xdr:colOff>2625349</xdr:colOff>
      <xdr:row>79</xdr:row>
      <xdr:rowOff>478489</xdr:rowOff>
    </xdr:to>
    <xdr:pic>
      <xdr:nvPicPr>
        <xdr:cNvPr id="2" name="Picture 1">
          <a:extLst>
            <a:ext uri="{FF2B5EF4-FFF2-40B4-BE49-F238E27FC236}">
              <a16:creationId xmlns:a16="http://schemas.microsoft.com/office/drawing/2014/main" id="{1B8C7463-EBC6-46C2-A4E6-BA9E0C346F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2" y="76041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76</xdr:row>
      <xdr:rowOff>74707</xdr:rowOff>
    </xdr:from>
    <xdr:to>
      <xdr:col>4</xdr:col>
      <xdr:colOff>2662705</xdr:colOff>
      <xdr:row>79</xdr:row>
      <xdr:rowOff>504489</xdr:rowOff>
    </xdr:to>
    <xdr:pic>
      <xdr:nvPicPr>
        <xdr:cNvPr id="3" name="Picture 2">
          <a:extLst>
            <a:ext uri="{FF2B5EF4-FFF2-40B4-BE49-F238E27FC236}">
              <a16:creationId xmlns:a16="http://schemas.microsoft.com/office/drawing/2014/main" id="{FA4E1496-6D06-4DEB-A2BE-EE747E6478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7607150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44824</xdr:colOff>
      <xdr:row>56</xdr:row>
      <xdr:rowOff>44824</xdr:rowOff>
    </xdr:from>
    <xdr:to>
      <xdr:col>2</xdr:col>
      <xdr:colOff>2629646</xdr:colOff>
      <xdr:row>59</xdr:row>
      <xdr:rowOff>478490</xdr:rowOff>
    </xdr:to>
    <xdr:pic>
      <xdr:nvPicPr>
        <xdr:cNvPr id="2" name="Picture 1">
          <a:extLst>
            <a:ext uri="{FF2B5EF4-FFF2-40B4-BE49-F238E27FC236}">
              <a16:creationId xmlns:a16="http://schemas.microsoft.com/office/drawing/2014/main" id="{EE7AEF34-5F5A-45AC-8DA1-B2C25D6DF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78073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56</xdr:row>
      <xdr:rowOff>29882</xdr:rowOff>
    </xdr:from>
    <xdr:to>
      <xdr:col>4</xdr:col>
      <xdr:colOff>2652059</xdr:colOff>
      <xdr:row>59</xdr:row>
      <xdr:rowOff>456489</xdr:rowOff>
    </xdr:to>
    <xdr:pic>
      <xdr:nvPicPr>
        <xdr:cNvPr id="3" name="Picture 2">
          <a:extLst>
            <a:ext uri="{FF2B5EF4-FFF2-40B4-BE49-F238E27FC236}">
              <a16:creationId xmlns:a16="http://schemas.microsoft.com/office/drawing/2014/main" id="{E1FC5FE5-BF14-49C4-B2F1-882F87E3CE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7805868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59764</xdr:colOff>
      <xdr:row>93</xdr:row>
      <xdr:rowOff>37353</xdr:rowOff>
    </xdr:from>
    <xdr:to>
      <xdr:col>2</xdr:col>
      <xdr:colOff>2644586</xdr:colOff>
      <xdr:row>96</xdr:row>
      <xdr:rowOff>474194</xdr:rowOff>
    </xdr:to>
    <xdr:pic>
      <xdr:nvPicPr>
        <xdr:cNvPr id="2" name="Picture 1">
          <a:extLst>
            <a:ext uri="{FF2B5EF4-FFF2-40B4-BE49-F238E27FC236}">
              <a16:creationId xmlns:a16="http://schemas.microsoft.com/office/drawing/2014/main" id="{016E6312-FDDD-4B85-8E78-35ED8E52DF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8009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74706</xdr:colOff>
      <xdr:row>93</xdr:row>
      <xdr:rowOff>7471</xdr:rowOff>
    </xdr:from>
    <xdr:to>
      <xdr:col>4</xdr:col>
      <xdr:colOff>2704353</xdr:colOff>
      <xdr:row>96</xdr:row>
      <xdr:rowOff>455256</xdr:rowOff>
    </xdr:to>
    <xdr:pic>
      <xdr:nvPicPr>
        <xdr:cNvPr id="3" name="Picture 2">
          <a:extLst>
            <a:ext uri="{FF2B5EF4-FFF2-40B4-BE49-F238E27FC236}">
              <a16:creationId xmlns:a16="http://schemas.microsoft.com/office/drawing/2014/main" id="{E9078C9A-6C05-43EE-9E74-3868FC0877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7656" y="80068271"/>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5C98-D69B-4451-BD07-281421AD26EE}">
  <dimension ref="A1:C33"/>
  <sheetViews>
    <sheetView tabSelected="1" workbookViewId="0">
      <selection sqref="A1:B1"/>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75" t="s">
        <v>102</v>
      </c>
      <c r="B1" s="75"/>
    </row>
    <row r="2" spans="1:3" x14ac:dyDescent="0.25">
      <c r="A2" s="76" t="s">
        <v>103</v>
      </c>
      <c r="B2" s="76"/>
    </row>
    <row r="3" spans="1:3" x14ac:dyDescent="0.25">
      <c r="A3" s="14" t="s">
        <v>104</v>
      </c>
      <c r="B3" s="14" t="s">
        <v>105</v>
      </c>
      <c r="C3" s="14" t="s">
        <v>106</v>
      </c>
    </row>
    <row r="4" spans="1:3" x14ac:dyDescent="0.25">
      <c r="A4" s="13" t="s">
        <v>40</v>
      </c>
      <c r="B4" s="12" t="s">
        <v>41</v>
      </c>
      <c r="C4" s="12" t="s">
        <v>39</v>
      </c>
    </row>
    <row r="5" spans="1:3" x14ac:dyDescent="0.25">
      <c r="A5" s="13" t="s">
        <v>42</v>
      </c>
      <c r="B5" s="12" t="s">
        <v>43</v>
      </c>
      <c r="C5" s="12" t="s">
        <v>44</v>
      </c>
    </row>
    <row r="6" spans="1:3" x14ac:dyDescent="0.25">
      <c r="A6" s="13" t="s">
        <v>45</v>
      </c>
      <c r="B6" s="12" t="s">
        <v>46</v>
      </c>
      <c r="C6" s="12" t="s">
        <v>44</v>
      </c>
    </row>
    <row r="7" spans="1:3" x14ac:dyDescent="0.25">
      <c r="A7" s="13" t="s">
        <v>47</v>
      </c>
      <c r="B7" s="12" t="s">
        <v>48</v>
      </c>
      <c r="C7" s="12" t="s">
        <v>44</v>
      </c>
    </row>
    <row r="8" spans="1:3" x14ac:dyDescent="0.25">
      <c r="A8" s="13" t="s">
        <v>49</v>
      </c>
      <c r="B8" s="12" t="s">
        <v>50</v>
      </c>
      <c r="C8" s="12" t="s">
        <v>44</v>
      </c>
    </row>
    <row r="9" spans="1:3" x14ac:dyDescent="0.25">
      <c r="A9" s="13" t="s">
        <v>51</v>
      </c>
      <c r="B9" s="12" t="s">
        <v>52</v>
      </c>
      <c r="C9" s="12" t="s">
        <v>44</v>
      </c>
    </row>
    <row r="10" spans="1:3" x14ac:dyDescent="0.25">
      <c r="A10" s="13" t="s">
        <v>53</v>
      </c>
      <c r="B10" s="12" t="s">
        <v>54</v>
      </c>
      <c r="C10" s="12" t="s">
        <v>44</v>
      </c>
    </row>
    <row r="11" spans="1:3" x14ac:dyDescent="0.25">
      <c r="A11" s="13" t="s">
        <v>55</v>
      </c>
      <c r="B11" s="12" t="s">
        <v>56</v>
      </c>
      <c r="C11" s="12" t="s">
        <v>44</v>
      </c>
    </row>
    <row r="12" spans="1:3" x14ac:dyDescent="0.25">
      <c r="A12" s="13" t="s">
        <v>57</v>
      </c>
      <c r="B12" s="12" t="s">
        <v>58</v>
      </c>
      <c r="C12" s="12" t="s">
        <v>1124</v>
      </c>
    </row>
    <row r="13" spans="1:3" x14ac:dyDescent="0.25">
      <c r="A13" s="13" t="s">
        <v>59</v>
      </c>
      <c r="B13" s="12" t="s">
        <v>60</v>
      </c>
      <c r="C13" s="12" t="s">
        <v>44</v>
      </c>
    </row>
    <row r="14" spans="1:3" x14ac:dyDescent="0.25">
      <c r="A14" s="13" t="s">
        <v>61</v>
      </c>
      <c r="B14" s="12" t="s">
        <v>62</v>
      </c>
      <c r="C14" s="12" t="s">
        <v>44</v>
      </c>
    </row>
    <row r="15" spans="1:3" x14ac:dyDescent="0.25">
      <c r="A15" s="13" t="s">
        <v>63</v>
      </c>
      <c r="B15" s="12" t="s">
        <v>64</v>
      </c>
      <c r="C15" s="12" t="s">
        <v>44</v>
      </c>
    </row>
    <row r="16" spans="1:3" x14ac:dyDescent="0.25">
      <c r="A16" s="13" t="s">
        <v>65</v>
      </c>
      <c r="B16" s="12" t="s">
        <v>66</v>
      </c>
      <c r="C16" s="12" t="s">
        <v>44</v>
      </c>
    </row>
    <row r="17" spans="1:3" x14ac:dyDescent="0.25">
      <c r="A17" s="13" t="s">
        <v>68</v>
      </c>
      <c r="B17" s="12" t="s">
        <v>69</v>
      </c>
      <c r="C17" s="12" t="s">
        <v>67</v>
      </c>
    </row>
    <row r="18" spans="1:3" x14ac:dyDescent="0.25">
      <c r="A18" s="13" t="s">
        <v>70</v>
      </c>
      <c r="B18" s="12" t="s">
        <v>71</v>
      </c>
      <c r="C18" s="12" t="s">
        <v>44</v>
      </c>
    </row>
    <row r="19" spans="1:3" x14ac:dyDescent="0.25">
      <c r="A19" s="13" t="s">
        <v>72</v>
      </c>
      <c r="B19" s="12" t="s">
        <v>73</v>
      </c>
      <c r="C19" s="12" t="s">
        <v>44</v>
      </c>
    </row>
    <row r="20" spans="1:3" x14ac:dyDescent="0.25">
      <c r="A20" s="13" t="s">
        <v>74</v>
      </c>
      <c r="B20" s="12" t="s">
        <v>75</v>
      </c>
      <c r="C20" s="12" t="s">
        <v>44</v>
      </c>
    </row>
    <row r="21" spans="1:3" x14ac:dyDescent="0.25">
      <c r="A21" s="13" t="s">
        <v>76</v>
      </c>
      <c r="B21" s="12" t="s">
        <v>77</v>
      </c>
      <c r="C21" s="12" t="s">
        <v>44</v>
      </c>
    </row>
    <row r="22" spans="1:3" x14ac:dyDescent="0.25">
      <c r="A22" s="13" t="s">
        <v>78</v>
      </c>
      <c r="B22" s="12" t="s">
        <v>79</v>
      </c>
      <c r="C22" s="12" t="s">
        <v>44</v>
      </c>
    </row>
    <row r="23" spans="1:3" x14ac:dyDescent="0.25">
      <c r="A23" s="13" t="s">
        <v>80</v>
      </c>
      <c r="B23" s="12" t="s">
        <v>81</v>
      </c>
      <c r="C23" s="12" t="s">
        <v>44</v>
      </c>
    </row>
    <row r="24" spans="1:3" x14ac:dyDescent="0.25">
      <c r="A24" s="13" t="s">
        <v>82</v>
      </c>
      <c r="B24" s="12" t="s">
        <v>83</v>
      </c>
      <c r="C24" s="12" t="s">
        <v>44</v>
      </c>
    </row>
    <row r="25" spans="1:3" x14ac:dyDescent="0.25">
      <c r="A25" s="13" t="s">
        <v>84</v>
      </c>
      <c r="B25" s="12" t="s">
        <v>85</v>
      </c>
      <c r="C25" s="12" t="s">
        <v>44</v>
      </c>
    </row>
    <row r="26" spans="1:3" x14ac:dyDescent="0.25">
      <c r="A26" s="13" t="s">
        <v>86</v>
      </c>
      <c r="B26" s="12" t="s">
        <v>87</v>
      </c>
      <c r="C26" s="12" t="s">
        <v>44</v>
      </c>
    </row>
    <row r="27" spans="1:3" x14ac:dyDescent="0.25">
      <c r="A27" s="13" t="s">
        <v>88</v>
      </c>
      <c r="B27" s="12" t="s">
        <v>89</v>
      </c>
      <c r="C27" s="12" t="s">
        <v>44</v>
      </c>
    </row>
    <row r="28" spans="1:3" x14ac:dyDescent="0.25">
      <c r="A28" s="13" t="s">
        <v>90</v>
      </c>
      <c r="B28" s="12" t="s">
        <v>91</v>
      </c>
      <c r="C28" s="12" t="s">
        <v>44</v>
      </c>
    </row>
    <row r="29" spans="1:3" x14ac:dyDescent="0.25">
      <c r="A29" s="13" t="s">
        <v>92</v>
      </c>
      <c r="B29" s="12" t="s">
        <v>93</v>
      </c>
      <c r="C29" s="12" t="s">
        <v>44</v>
      </c>
    </row>
    <row r="30" spans="1:3" x14ac:dyDescent="0.25">
      <c r="A30" s="13" t="s">
        <v>94</v>
      </c>
      <c r="B30" s="12" t="s">
        <v>95</v>
      </c>
      <c r="C30" s="12" t="s">
        <v>44</v>
      </c>
    </row>
    <row r="31" spans="1:3" x14ac:dyDescent="0.25">
      <c r="A31" s="13" t="s">
        <v>96</v>
      </c>
      <c r="B31" s="12" t="s">
        <v>97</v>
      </c>
      <c r="C31" s="12" t="s">
        <v>44</v>
      </c>
    </row>
    <row r="32" spans="1:3" x14ac:dyDescent="0.25">
      <c r="A32" s="13" t="s">
        <v>98</v>
      </c>
      <c r="B32" s="12" t="s">
        <v>99</v>
      </c>
      <c r="C32" s="12" t="s">
        <v>44</v>
      </c>
    </row>
    <row r="33" spans="1:3" x14ac:dyDescent="0.25">
      <c r="A33" s="13" t="s">
        <v>100</v>
      </c>
      <c r="B33" s="12" t="s">
        <v>101</v>
      </c>
      <c r="C33" s="12" t="s">
        <v>44</v>
      </c>
    </row>
  </sheetData>
  <mergeCells count="2">
    <mergeCell ref="A1:B1"/>
    <mergeCell ref="A2:B2"/>
  </mergeCells>
  <hyperlinks>
    <hyperlink ref="A4" location="'LEARBF'!A1" display="LEARBF" xr:uid="{00C98C76-38FF-45B1-8E16-26BF5A59E536}"/>
    <hyperlink ref="A5" location="'LEBADF'!A1" display="LEBADF" xr:uid="{2132D7AF-495E-425F-9AB8-6B6D03F64959}"/>
    <hyperlink ref="A6" location="'LEBALF'!A1" display="LEBALF" xr:uid="{3EA02D73-1609-4909-977E-8310266D1010}"/>
    <hyperlink ref="A7" location="'LEBFSF'!A1" display="LEBFSF" xr:uid="{23ECDD83-1361-49CB-BE0F-BD911E8493FE}"/>
    <hyperlink ref="A8" location="'LECHID'!A1" display="LECHID" xr:uid="{9C8293DF-5CEC-41F4-A568-A3D2FDC9D1F6}"/>
    <hyperlink ref="A9" location="'LEDDYF'!A1" display="LEDDYF" xr:uid="{005B13EF-C048-47A4-9DDF-59F9D1582D48}"/>
    <hyperlink ref="A10" location="'LEDHCF'!A1" display="LEDHCF" xr:uid="{E7E1EB93-03DC-4DAC-ACC5-3D2CC366C7B2}"/>
    <hyperlink ref="A11" location="'LEEMCF'!A1" display="LEEMCF" xr:uid="{9AA62FCD-6123-44B1-BF65-C4D7217184E3}"/>
    <hyperlink ref="A12" location="'LEEQSF'!A1" display="LEEQSF" xr:uid="{504A061B-1A1C-473E-AAD4-8CE6D649E009}"/>
    <hyperlink ref="A13" location="'LEEQTF'!A1" display="LEEQTF" xr:uid="{3AAFB85E-FD5C-4AED-8E7B-96FD3B747006}"/>
    <hyperlink ref="A14" location="'LEESCF'!A1" display="LEESCF" xr:uid="{7EBCE778-B3DA-4197-A9A4-4A0AB7878B34}"/>
    <hyperlink ref="A15" location="'LEFE30'!A1" display="LEFE30" xr:uid="{93972A10-B9B9-49ED-A4A8-19A11793DA6A}"/>
    <hyperlink ref="A16" location="'LEGFOF'!A1" display="LEGFOF" xr:uid="{06E000D1-7BC0-416A-B370-C7A6F86750B7}"/>
    <hyperlink ref="A17" location="'LEGOLD'!A1" display="LEGOLD" xr:uid="{62261F7C-6CD7-4A85-9695-D2BD44FD874A}"/>
    <hyperlink ref="A18" location="'LEGROW'!A1" display="LEGROW" xr:uid="{ED8CF395-8AB2-487D-B4FB-44E4A3B3FCB2}"/>
    <hyperlink ref="A19" location="'LEINFA'!A1" display="LEINFA" xr:uid="{A4E593D2-B92C-45D1-BACA-859300D7AC09}"/>
    <hyperlink ref="A20" location="'LEINNF'!A1" display="LEINNF" xr:uid="{62AAAB10-DC33-4EA1-97FE-EE2F96838F57}"/>
    <hyperlink ref="A21" location="'LEINSX'!A1" display="LEINSX" xr:uid="{8887C8B0-BE38-415F-A040-777C49D8BA25}"/>
    <hyperlink ref="A22" location="'LELTVF'!A1" display="LELTVF" xr:uid="{5678A30D-07CC-425F-A67A-DA51538D675D}"/>
    <hyperlink ref="A23" location="'LEMAAF'!A1" display="LEMAAF" xr:uid="{29526021-EF58-4889-A3D9-D32999AFEEB7}"/>
    <hyperlink ref="A24" location="'LEMETF'!A1" display="LEMETF" xr:uid="{2A5776A9-744B-436B-A569-3419D90B972C}"/>
    <hyperlink ref="A25" location="'LEMFGF'!A1" display="LEMFGF" xr:uid="{E00F9815-F9DE-4D47-AA38-E4B51FBCAB91}"/>
    <hyperlink ref="A26" location="'LEMIDF'!A1" display="LEMIDF" xr:uid="{E567BE74-CFE3-46AB-8E8D-4157A2A07A35}"/>
    <hyperlink ref="A27" location="'LEMUCF'!A1" display="LEMUCF" xr:uid="{3D457774-C031-4C18-8E1B-4C5D426A9CCD}"/>
    <hyperlink ref="A28" location="'LENI50'!A1" display="LENI50" xr:uid="{3417CF8B-1057-47DB-ABCF-5DA3EA8E0ECE}"/>
    <hyperlink ref="A29" location="'LET100'!A1" display="LET100" xr:uid="{059F694E-21EC-47B1-85BB-B1A172977417}"/>
    <hyperlink ref="A30" location="'LETAXP'!A1" display="LETAXP" xr:uid="{5373ABC2-F93F-4CC7-B451-A7210A162A71}"/>
    <hyperlink ref="A31" location="'LETF50'!A1" display="LETF50" xr:uid="{0B1D10AA-8D70-48D6-B9B0-BFE7DCDD8FE0}"/>
    <hyperlink ref="A32" location="'LETFSX'!A1" display="LETFSX" xr:uid="{A6BFE88E-359D-4D04-B40E-01A58C369E65}"/>
    <hyperlink ref="A33" location="'LEULIS'!A1" display="LEULIS" xr:uid="{BA3A6321-06D8-49CC-8FAA-90F048A2F23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8608-0A01-4639-84E9-13A5DC80B7D0}">
  <dimension ref="B1:N19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184</v>
      </c>
      <c r="C7" s="28" t="s">
        <v>185</v>
      </c>
      <c r="D7" s="28" t="s">
        <v>166</v>
      </c>
      <c r="E7" s="29">
        <v>128800</v>
      </c>
      <c r="F7" s="30">
        <v>1732.75</v>
      </c>
      <c r="G7" s="31">
        <v>6.0100000000000001E-2</v>
      </c>
      <c r="H7" s="32"/>
    </row>
    <row r="8" spans="2:8" ht="15.75" customHeight="1" x14ac:dyDescent="0.2">
      <c r="B8" s="28" t="s">
        <v>167</v>
      </c>
      <c r="C8" s="28" t="s">
        <v>168</v>
      </c>
      <c r="D8" s="28" t="s">
        <v>169</v>
      </c>
      <c r="E8" s="29">
        <v>108000</v>
      </c>
      <c r="F8" s="30">
        <v>1605.31</v>
      </c>
      <c r="G8" s="31">
        <v>5.5599999999999997E-2</v>
      </c>
      <c r="H8" s="32"/>
    </row>
    <row r="9" spans="2:8" ht="15.75" customHeight="1" x14ac:dyDescent="0.2">
      <c r="B9" s="28" t="s">
        <v>199</v>
      </c>
      <c r="C9" s="28" t="s">
        <v>200</v>
      </c>
      <c r="D9" s="28" t="s">
        <v>172</v>
      </c>
      <c r="E9" s="29">
        <v>42875</v>
      </c>
      <c r="F9" s="30">
        <v>1311.12</v>
      </c>
      <c r="G9" s="31">
        <v>4.5400000000000003E-2</v>
      </c>
      <c r="H9" s="32"/>
    </row>
    <row r="10" spans="2:8" ht="15.75" customHeight="1" x14ac:dyDescent="0.2">
      <c r="B10" s="28" t="s">
        <v>201</v>
      </c>
      <c r="C10" s="28" t="s">
        <v>202</v>
      </c>
      <c r="D10" s="28" t="s">
        <v>203</v>
      </c>
      <c r="E10" s="29">
        <v>1374075</v>
      </c>
      <c r="F10" s="30">
        <v>1291.22</v>
      </c>
      <c r="G10" s="31">
        <v>4.4699999999999997E-2</v>
      </c>
      <c r="H10" s="32"/>
    </row>
    <row r="11" spans="2:8" ht="15.75" customHeight="1" x14ac:dyDescent="0.2">
      <c r="B11" s="28" t="s">
        <v>204</v>
      </c>
      <c r="C11" s="28" t="s">
        <v>205</v>
      </c>
      <c r="D11" s="28" t="s">
        <v>166</v>
      </c>
      <c r="E11" s="29">
        <v>134250</v>
      </c>
      <c r="F11" s="30">
        <v>1257.92</v>
      </c>
      <c r="G11" s="31">
        <v>4.36E-2</v>
      </c>
      <c r="H11" s="32"/>
    </row>
    <row r="12" spans="2:8" ht="15.75" customHeight="1" x14ac:dyDescent="0.2">
      <c r="B12" s="28" t="s">
        <v>206</v>
      </c>
      <c r="C12" s="28" t="s">
        <v>207</v>
      </c>
      <c r="D12" s="28" t="s">
        <v>208</v>
      </c>
      <c r="E12" s="29">
        <v>54150</v>
      </c>
      <c r="F12" s="30">
        <v>1112.51</v>
      </c>
      <c r="G12" s="31">
        <v>3.8600000000000002E-2</v>
      </c>
      <c r="H12" s="32"/>
    </row>
    <row r="13" spans="2:8" ht="15.75" customHeight="1" x14ac:dyDescent="0.2">
      <c r="B13" s="28" t="s">
        <v>164</v>
      </c>
      <c r="C13" s="28" t="s">
        <v>165</v>
      </c>
      <c r="D13" s="28" t="s">
        <v>166</v>
      </c>
      <c r="E13" s="29">
        <v>106700</v>
      </c>
      <c r="F13" s="30">
        <v>1053.45</v>
      </c>
      <c r="G13" s="31">
        <v>3.6499999999999998E-2</v>
      </c>
      <c r="H13" s="32"/>
    </row>
    <row r="14" spans="2:8" ht="15.75" customHeight="1" x14ac:dyDescent="0.2">
      <c r="B14" s="28" t="s">
        <v>209</v>
      </c>
      <c r="C14" s="28" t="s">
        <v>210</v>
      </c>
      <c r="D14" s="28" t="s">
        <v>166</v>
      </c>
      <c r="E14" s="29">
        <v>668250</v>
      </c>
      <c r="F14" s="30">
        <v>915.44</v>
      </c>
      <c r="G14" s="31">
        <v>3.1699999999999999E-2</v>
      </c>
      <c r="H14" s="32"/>
    </row>
    <row r="15" spans="2:8" ht="15.75" customHeight="1" x14ac:dyDescent="0.2">
      <c r="B15" s="28" t="s">
        <v>211</v>
      </c>
      <c r="C15" s="28" t="s">
        <v>212</v>
      </c>
      <c r="D15" s="28" t="s">
        <v>213</v>
      </c>
      <c r="E15" s="29">
        <v>462000</v>
      </c>
      <c r="F15" s="30">
        <v>844.72</v>
      </c>
      <c r="G15" s="31">
        <v>2.93E-2</v>
      </c>
      <c r="H15" s="32"/>
    </row>
    <row r="16" spans="2:8" ht="15.75" customHeight="1" x14ac:dyDescent="0.2">
      <c r="B16" s="28" t="s">
        <v>214</v>
      </c>
      <c r="C16" s="28" t="s">
        <v>215</v>
      </c>
      <c r="D16" s="28" t="s">
        <v>183</v>
      </c>
      <c r="E16" s="29">
        <v>171200</v>
      </c>
      <c r="F16" s="30">
        <v>719.64</v>
      </c>
      <c r="G16" s="31">
        <v>2.4899999999999999E-2</v>
      </c>
      <c r="H16" s="32"/>
    </row>
    <row r="17" spans="2:8" ht="15.75" customHeight="1" x14ac:dyDescent="0.2">
      <c r="B17" s="28" t="s">
        <v>179</v>
      </c>
      <c r="C17" s="28" t="s">
        <v>180</v>
      </c>
      <c r="D17" s="28" t="s">
        <v>166</v>
      </c>
      <c r="E17" s="29">
        <v>45625</v>
      </c>
      <c r="F17" s="30">
        <v>562.47</v>
      </c>
      <c r="G17" s="31">
        <v>1.95E-2</v>
      </c>
      <c r="H17" s="32"/>
    </row>
    <row r="18" spans="2:8" ht="15.75" customHeight="1" x14ac:dyDescent="0.2">
      <c r="B18" s="28" t="s">
        <v>216</v>
      </c>
      <c r="C18" s="28" t="s">
        <v>217</v>
      </c>
      <c r="D18" s="28" t="s">
        <v>218</v>
      </c>
      <c r="E18" s="29">
        <v>125400</v>
      </c>
      <c r="F18" s="30">
        <v>534.33000000000004</v>
      </c>
      <c r="G18" s="31">
        <v>1.8499999999999999E-2</v>
      </c>
      <c r="H18" s="32"/>
    </row>
    <row r="19" spans="2:8" ht="15.75" customHeight="1" x14ac:dyDescent="0.2">
      <c r="B19" s="28" t="s">
        <v>219</v>
      </c>
      <c r="C19" s="28" t="s">
        <v>220</v>
      </c>
      <c r="D19" s="28" t="s">
        <v>221</v>
      </c>
      <c r="E19" s="29">
        <v>11100</v>
      </c>
      <c r="F19" s="30">
        <v>521.07000000000005</v>
      </c>
      <c r="G19" s="31">
        <v>1.8100000000000002E-2</v>
      </c>
      <c r="H19" s="32"/>
    </row>
    <row r="20" spans="2:8" ht="15.75" customHeight="1" x14ac:dyDescent="0.2">
      <c r="B20" s="28" t="s">
        <v>222</v>
      </c>
      <c r="C20" s="28" t="s">
        <v>223</v>
      </c>
      <c r="D20" s="28" t="s">
        <v>224</v>
      </c>
      <c r="E20" s="29">
        <v>44000</v>
      </c>
      <c r="F20" s="30">
        <v>501.12</v>
      </c>
      <c r="G20" s="31">
        <v>1.7399999999999999E-2</v>
      </c>
      <c r="H20" s="32"/>
    </row>
    <row r="21" spans="2:8" ht="15.75" customHeight="1" x14ac:dyDescent="0.2">
      <c r="B21" s="28" t="s">
        <v>225</v>
      </c>
      <c r="C21" s="28" t="s">
        <v>226</v>
      </c>
      <c r="D21" s="28" t="s">
        <v>166</v>
      </c>
      <c r="E21" s="29">
        <v>54600</v>
      </c>
      <c r="F21" s="30">
        <v>433.96</v>
      </c>
      <c r="G21" s="31">
        <v>1.4999999999999999E-2</v>
      </c>
      <c r="H21" s="32"/>
    </row>
    <row r="22" spans="2:8" ht="15.75" customHeight="1" x14ac:dyDescent="0.2">
      <c r="B22" s="28" t="s">
        <v>227</v>
      </c>
      <c r="C22" s="28" t="s">
        <v>228</v>
      </c>
      <c r="D22" s="28" t="s">
        <v>208</v>
      </c>
      <c r="E22" s="29">
        <v>105400</v>
      </c>
      <c r="F22" s="30">
        <v>383.23</v>
      </c>
      <c r="G22" s="31">
        <v>1.3299999999999999E-2</v>
      </c>
      <c r="H22" s="32"/>
    </row>
    <row r="23" spans="2:8" ht="15.75" customHeight="1" x14ac:dyDescent="0.2">
      <c r="B23" s="28" t="s">
        <v>229</v>
      </c>
      <c r="C23" s="28" t="s">
        <v>230</v>
      </c>
      <c r="D23" s="28" t="s">
        <v>175</v>
      </c>
      <c r="E23" s="29">
        <v>124550</v>
      </c>
      <c r="F23" s="30">
        <v>382.12</v>
      </c>
      <c r="G23" s="31">
        <v>1.32E-2</v>
      </c>
      <c r="H23" s="32"/>
    </row>
    <row r="24" spans="2:8" ht="15.75" customHeight="1" x14ac:dyDescent="0.2">
      <c r="B24" s="28" t="s">
        <v>231</v>
      </c>
      <c r="C24" s="28" t="s">
        <v>232</v>
      </c>
      <c r="D24" s="28" t="s">
        <v>233</v>
      </c>
      <c r="E24" s="29">
        <v>3250</v>
      </c>
      <c r="F24" s="30">
        <v>300.41000000000003</v>
      </c>
      <c r="G24" s="31">
        <v>1.04E-2</v>
      </c>
      <c r="H24" s="32"/>
    </row>
    <row r="25" spans="2:8" ht="15.75" customHeight="1" x14ac:dyDescent="0.2">
      <c r="B25" s="28" t="s">
        <v>234</v>
      </c>
      <c r="C25" s="28" t="s">
        <v>235</v>
      </c>
      <c r="D25" s="28" t="s">
        <v>166</v>
      </c>
      <c r="E25" s="29">
        <v>105300</v>
      </c>
      <c r="F25" s="30">
        <v>293.16000000000003</v>
      </c>
      <c r="G25" s="31">
        <v>1.0200000000000001E-2</v>
      </c>
      <c r="H25" s="32"/>
    </row>
    <row r="26" spans="2:8" ht="15.75" customHeight="1" x14ac:dyDescent="0.2">
      <c r="B26" s="28" t="s">
        <v>236</v>
      </c>
      <c r="C26" s="28" t="s">
        <v>237</v>
      </c>
      <c r="D26" s="28" t="s">
        <v>213</v>
      </c>
      <c r="E26" s="29">
        <v>206800</v>
      </c>
      <c r="F26" s="30">
        <v>283.01</v>
      </c>
      <c r="G26" s="31">
        <v>9.7999999999999997E-3</v>
      </c>
      <c r="H26" s="32"/>
    </row>
    <row r="27" spans="2:8" ht="15.75" customHeight="1" x14ac:dyDescent="0.2">
      <c r="B27" s="28" t="s">
        <v>238</v>
      </c>
      <c r="C27" s="28" t="s">
        <v>239</v>
      </c>
      <c r="D27" s="28" t="s">
        <v>221</v>
      </c>
      <c r="E27" s="29">
        <v>87300</v>
      </c>
      <c r="F27" s="30">
        <v>277.39999999999998</v>
      </c>
      <c r="G27" s="31">
        <v>9.5999999999999992E-3</v>
      </c>
      <c r="H27" s="32"/>
    </row>
    <row r="28" spans="2:8" ht="15.75" customHeight="1" x14ac:dyDescent="0.2">
      <c r="B28" s="28" t="s">
        <v>240</v>
      </c>
      <c r="C28" s="28" t="s">
        <v>241</v>
      </c>
      <c r="D28" s="28" t="s">
        <v>172</v>
      </c>
      <c r="E28" s="29">
        <v>15375</v>
      </c>
      <c r="F28" s="30">
        <v>273.38</v>
      </c>
      <c r="G28" s="31">
        <v>9.4999999999999998E-3</v>
      </c>
      <c r="H28" s="32"/>
    </row>
    <row r="29" spans="2:8" ht="15.75" customHeight="1" x14ac:dyDescent="0.2">
      <c r="B29" s="28" t="s">
        <v>242</v>
      </c>
      <c r="C29" s="28" t="s">
        <v>243</v>
      </c>
      <c r="D29" s="28" t="s">
        <v>166</v>
      </c>
      <c r="E29" s="29">
        <v>216000</v>
      </c>
      <c r="F29" s="30">
        <v>265.44</v>
      </c>
      <c r="G29" s="31">
        <v>9.1999999999999998E-3</v>
      </c>
      <c r="H29" s="32"/>
    </row>
    <row r="30" spans="2:8" ht="15.75" customHeight="1" x14ac:dyDescent="0.2">
      <c r="B30" s="28" t="s">
        <v>244</v>
      </c>
      <c r="C30" s="28" t="s">
        <v>245</v>
      </c>
      <c r="D30" s="28" t="s">
        <v>246</v>
      </c>
      <c r="E30" s="29">
        <v>28875</v>
      </c>
      <c r="F30" s="30">
        <v>218.37</v>
      </c>
      <c r="G30" s="31">
        <v>7.6E-3</v>
      </c>
      <c r="H30" s="32"/>
    </row>
    <row r="31" spans="2:8" ht="15.75" customHeight="1" x14ac:dyDescent="0.2">
      <c r="B31" s="28" t="s">
        <v>247</v>
      </c>
      <c r="C31" s="28" t="s">
        <v>248</v>
      </c>
      <c r="D31" s="28" t="s">
        <v>249</v>
      </c>
      <c r="E31" s="29">
        <v>44075</v>
      </c>
      <c r="F31" s="30">
        <v>207</v>
      </c>
      <c r="G31" s="31">
        <v>7.1999999999999998E-3</v>
      </c>
      <c r="H31" s="32"/>
    </row>
    <row r="32" spans="2:8" ht="15.75" customHeight="1" x14ac:dyDescent="0.2">
      <c r="B32" s="28" t="s">
        <v>250</v>
      </c>
      <c r="C32" s="28" t="s">
        <v>251</v>
      </c>
      <c r="D32" s="28" t="s">
        <v>172</v>
      </c>
      <c r="E32" s="29">
        <v>12950</v>
      </c>
      <c r="F32" s="30">
        <v>199.62</v>
      </c>
      <c r="G32" s="31">
        <v>6.8999999999999999E-3</v>
      </c>
      <c r="H32" s="32"/>
    </row>
    <row r="33" spans="2:8" ht="15.75" customHeight="1" x14ac:dyDescent="0.2">
      <c r="B33" s="28" t="s">
        <v>252</v>
      </c>
      <c r="C33" s="28" t="s">
        <v>253</v>
      </c>
      <c r="D33" s="28" t="s">
        <v>169</v>
      </c>
      <c r="E33" s="29">
        <v>40500</v>
      </c>
      <c r="F33" s="30">
        <v>192.78</v>
      </c>
      <c r="G33" s="31">
        <v>6.7000000000000002E-3</v>
      </c>
      <c r="H33" s="32"/>
    </row>
    <row r="34" spans="2:8" ht="15.75" customHeight="1" x14ac:dyDescent="0.2">
      <c r="B34" s="28" t="s">
        <v>254</v>
      </c>
      <c r="C34" s="28" t="s">
        <v>255</v>
      </c>
      <c r="D34" s="28" t="s">
        <v>246</v>
      </c>
      <c r="E34" s="29">
        <v>14400</v>
      </c>
      <c r="F34" s="30">
        <v>172.5</v>
      </c>
      <c r="G34" s="31">
        <v>6.0000000000000001E-3</v>
      </c>
      <c r="H34" s="32"/>
    </row>
    <row r="35" spans="2:8" ht="15.75" customHeight="1" x14ac:dyDescent="0.2">
      <c r="B35" s="28" t="s">
        <v>256</v>
      </c>
      <c r="C35" s="28" t="s">
        <v>257</v>
      </c>
      <c r="D35" s="28" t="s">
        <v>221</v>
      </c>
      <c r="E35" s="29">
        <v>12375</v>
      </c>
      <c r="F35" s="30">
        <v>170.56</v>
      </c>
      <c r="G35" s="31">
        <v>5.8999999999999999E-3</v>
      </c>
      <c r="H35" s="32"/>
    </row>
    <row r="36" spans="2:8" ht="15.75" customHeight="1" x14ac:dyDescent="0.2">
      <c r="B36" s="28" t="s">
        <v>258</v>
      </c>
      <c r="C36" s="28" t="s">
        <v>259</v>
      </c>
      <c r="D36" s="28" t="s">
        <v>260</v>
      </c>
      <c r="E36" s="29">
        <v>4375</v>
      </c>
      <c r="F36" s="30">
        <v>163.92</v>
      </c>
      <c r="G36" s="31">
        <v>5.7000000000000002E-3</v>
      </c>
      <c r="H36" s="32"/>
    </row>
    <row r="37" spans="2:8" ht="15.75" customHeight="1" x14ac:dyDescent="0.2">
      <c r="B37" s="28" t="s">
        <v>261</v>
      </c>
      <c r="C37" s="28" t="s">
        <v>262</v>
      </c>
      <c r="D37" s="28" t="s">
        <v>263</v>
      </c>
      <c r="E37" s="29">
        <v>12000</v>
      </c>
      <c r="F37" s="30">
        <v>152.59</v>
      </c>
      <c r="G37" s="31">
        <v>5.3E-3</v>
      </c>
      <c r="H37" s="32"/>
    </row>
    <row r="38" spans="2:8" ht="15.75" customHeight="1" x14ac:dyDescent="0.2">
      <c r="B38" s="28" t="s">
        <v>264</v>
      </c>
      <c r="C38" s="28" t="s">
        <v>265</v>
      </c>
      <c r="D38" s="28" t="s">
        <v>266</v>
      </c>
      <c r="E38" s="29">
        <v>29900</v>
      </c>
      <c r="F38" s="30">
        <v>147.57</v>
      </c>
      <c r="G38" s="31">
        <v>5.1000000000000004E-3</v>
      </c>
      <c r="H38" s="32"/>
    </row>
    <row r="39" spans="2:8" ht="15.75" customHeight="1" x14ac:dyDescent="0.2">
      <c r="B39" s="28" t="s">
        <v>267</v>
      </c>
      <c r="C39" s="28" t="s">
        <v>268</v>
      </c>
      <c r="D39" s="28" t="s">
        <v>269</v>
      </c>
      <c r="E39" s="29">
        <v>5000</v>
      </c>
      <c r="F39" s="30">
        <v>144.59</v>
      </c>
      <c r="G39" s="31">
        <v>5.0000000000000001E-3</v>
      </c>
      <c r="H39" s="32"/>
    </row>
    <row r="40" spans="2:8" ht="15.75" customHeight="1" x14ac:dyDescent="0.2">
      <c r="B40" s="28" t="s">
        <v>270</v>
      </c>
      <c r="C40" s="28" t="s">
        <v>271</v>
      </c>
      <c r="D40" s="28" t="s">
        <v>269</v>
      </c>
      <c r="E40" s="29">
        <v>950</v>
      </c>
      <c r="F40" s="30">
        <v>113.5</v>
      </c>
      <c r="G40" s="31">
        <v>3.8999999999999998E-3</v>
      </c>
      <c r="H40" s="32"/>
    </row>
    <row r="41" spans="2:8" ht="15.75" customHeight="1" x14ac:dyDescent="0.2">
      <c r="B41" s="28" t="s">
        <v>272</v>
      </c>
      <c r="C41" s="28" t="s">
        <v>273</v>
      </c>
      <c r="D41" s="28" t="s">
        <v>224</v>
      </c>
      <c r="E41" s="29">
        <v>1500</v>
      </c>
      <c r="F41" s="30">
        <v>101.07</v>
      </c>
      <c r="G41" s="31">
        <v>3.5000000000000001E-3</v>
      </c>
      <c r="H41" s="32"/>
    </row>
    <row r="42" spans="2:8" ht="15.75" customHeight="1" x14ac:dyDescent="0.2">
      <c r="B42" s="28" t="s">
        <v>274</v>
      </c>
      <c r="C42" s="28" t="s">
        <v>275</v>
      </c>
      <c r="D42" s="28" t="s">
        <v>178</v>
      </c>
      <c r="E42" s="29">
        <v>79950</v>
      </c>
      <c r="F42" s="30">
        <v>84.26</v>
      </c>
      <c r="G42" s="31">
        <v>2.8999999999999998E-3</v>
      </c>
      <c r="H42" s="32"/>
    </row>
    <row r="43" spans="2:8" ht="15.75" customHeight="1" x14ac:dyDescent="0.2">
      <c r="B43" s="28" t="s">
        <v>276</v>
      </c>
      <c r="C43" s="28" t="s">
        <v>277</v>
      </c>
      <c r="D43" s="28" t="s">
        <v>178</v>
      </c>
      <c r="E43" s="29">
        <v>21600</v>
      </c>
      <c r="F43" s="30">
        <v>82.49</v>
      </c>
      <c r="G43" s="31">
        <v>2.8999999999999998E-3</v>
      </c>
      <c r="H43" s="32"/>
    </row>
    <row r="44" spans="2:8" ht="15.75" customHeight="1" x14ac:dyDescent="0.2">
      <c r="B44" s="28" t="s">
        <v>278</v>
      </c>
      <c r="C44" s="28" t="s">
        <v>279</v>
      </c>
      <c r="D44" s="28" t="s">
        <v>280</v>
      </c>
      <c r="E44" s="29">
        <v>18850</v>
      </c>
      <c r="F44" s="30">
        <v>76.319999999999993</v>
      </c>
      <c r="G44" s="31">
        <v>2.5999999999999999E-3</v>
      </c>
      <c r="H44" s="32"/>
    </row>
    <row r="45" spans="2:8" ht="15.75" customHeight="1" x14ac:dyDescent="0.2">
      <c r="B45" s="28" t="s">
        <v>281</v>
      </c>
      <c r="C45" s="28" t="s">
        <v>282</v>
      </c>
      <c r="D45" s="28" t="s">
        <v>249</v>
      </c>
      <c r="E45" s="29">
        <v>5200</v>
      </c>
      <c r="F45" s="30">
        <v>74.430000000000007</v>
      </c>
      <c r="G45" s="31">
        <v>2.5999999999999999E-3</v>
      </c>
      <c r="H45" s="32"/>
    </row>
    <row r="46" spans="2:8" ht="15.75" customHeight="1" x14ac:dyDescent="0.2">
      <c r="B46" s="28" t="s">
        <v>283</v>
      </c>
      <c r="C46" s="28" t="s">
        <v>284</v>
      </c>
      <c r="D46" s="28" t="s">
        <v>280</v>
      </c>
      <c r="E46" s="29">
        <v>13000</v>
      </c>
      <c r="F46" s="30">
        <v>68.569999999999993</v>
      </c>
      <c r="G46" s="31">
        <v>2.3999999999999998E-3</v>
      </c>
      <c r="H46" s="32"/>
    </row>
    <row r="47" spans="2:8" ht="15.75" customHeight="1" x14ac:dyDescent="0.2">
      <c r="B47" s="28" t="s">
        <v>196</v>
      </c>
      <c r="C47" s="28" t="s">
        <v>285</v>
      </c>
      <c r="D47" s="28" t="s">
        <v>169</v>
      </c>
      <c r="E47" s="29">
        <v>29250</v>
      </c>
      <c r="F47" s="30">
        <v>48.53</v>
      </c>
      <c r="G47" s="31">
        <v>1.6999999999999999E-3</v>
      </c>
      <c r="H47" s="32"/>
    </row>
    <row r="48" spans="2:8" ht="15.75" customHeight="1" x14ac:dyDescent="0.2">
      <c r="B48" s="28" t="s">
        <v>286</v>
      </c>
      <c r="C48" s="28" t="s">
        <v>287</v>
      </c>
      <c r="D48" s="28" t="s">
        <v>260</v>
      </c>
      <c r="E48" s="29">
        <v>14400</v>
      </c>
      <c r="F48" s="30">
        <v>40.71</v>
      </c>
      <c r="G48" s="31">
        <v>1.4E-3</v>
      </c>
      <c r="H48" s="32"/>
    </row>
    <row r="49" spans="2:8" ht="15.75" customHeight="1" x14ac:dyDescent="0.2">
      <c r="B49" s="28" t="s">
        <v>288</v>
      </c>
      <c r="C49" s="28" t="s">
        <v>289</v>
      </c>
      <c r="D49" s="28" t="s">
        <v>290</v>
      </c>
      <c r="E49" s="29">
        <v>13125</v>
      </c>
      <c r="F49" s="30">
        <v>34.85</v>
      </c>
      <c r="G49" s="31">
        <v>1.1999999999999999E-3</v>
      </c>
      <c r="H49" s="32"/>
    </row>
    <row r="50" spans="2:8" ht="15.75" customHeight="1" x14ac:dyDescent="0.2">
      <c r="B50" s="28" t="s">
        <v>291</v>
      </c>
      <c r="C50" s="28" t="s">
        <v>292</v>
      </c>
      <c r="D50" s="28" t="s">
        <v>293</v>
      </c>
      <c r="E50" s="29">
        <v>6250</v>
      </c>
      <c r="F50" s="30">
        <v>30.47</v>
      </c>
      <c r="G50" s="31">
        <v>1.1000000000000001E-3</v>
      </c>
      <c r="H50" s="32"/>
    </row>
    <row r="51" spans="2:8" ht="15.75" customHeight="1" x14ac:dyDescent="0.2">
      <c r="B51" s="28" t="s">
        <v>294</v>
      </c>
      <c r="C51" s="28" t="s">
        <v>295</v>
      </c>
      <c r="D51" s="28" t="s">
        <v>213</v>
      </c>
      <c r="E51" s="29">
        <v>2025</v>
      </c>
      <c r="F51" s="30">
        <v>24.42</v>
      </c>
      <c r="G51" s="31">
        <v>8.0000000000000004E-4</v>
      </c>
      <c r="H51" s="32"/>
    </row>
    <row r="52" spans="2:8" ht="15.75" customHeight="1" x14ac:dyDescent="0.2">
      <c r="B52" s="28" t="s">
        <v>296</v>
      </c>
      <c r="C52" s="28" t="s">
        <v>297</v>
      </c>
      <c r="D52" s="28" t="s">
        <v>175</v>
      </c>
      <c r="E52" s="29">
        <v>5200</v>
      </c>
      <c r="F52" s="30">
        <v>20.97</v>
      </c>
      <c r="G52" s="31">
        <v>6.9999999999999999E-4</v>
      </c>
      <c r="H52" s="32"/>
    </row>
    <row r="53" spans="2:8" ht="15.75" customHeight="1" x14ac:dyDescent="0.2">
      <c r="B53" s="28" t="s">
        <v>298</v>
      </c>
      <c r="C53" s="28" t="s">
        <v>299</v>
      </c>
      <c r="D53" s="28" t="s">
        <v>300</v>
      </c>
      <c r="E53" s="29">
        <v>3750</v>
      </c>
      <c r="F53" s="30">
        <v>20.45</v>
      </c>
      <c r="G53" s="31">
        <v>6.9999999999999999E-4</v>
      </c>
      <c r="H53" s="32"/>
    </row>
    <row r="54" spans="2:8" ht="15.75" customHeight="1" x14ac:dyDescent="0.2">
      <c r="B54" s="28" t="s">
        <v>301</v>
      </c>
      <c r="C54" s="28" t="s">
        <v>302</v>
      </c>
      <c r="D54" s="28" t="s">
        <v>175</v>
      </c>
      <c r="E54" s="29">
        <v>8325</v>
      </c>
      <c r="F54" s="30">
        <v>19.73</v>
      </c>
      <c r="G54" s="31">
        <v>6.9999999999999999E-4</v>
      </c>
      <c r="H54" s="32"/>
    </row>
    <row r="55" spans="2:8" ht="15.75" customHeight="1" x14ac:dyDescent="0.2">
      <c r="B55" s="28" t="s">
        <v>181</v>
      </c>
      <c r="C55" s="28" t="s">
        <v>182</v>
      </c>
      <c r="D55" s="28" t="s">
        <v>183</v>
      </c>
      <c r="E55" s="29">
        <v>600</v>
      </c>
      <c r="F55" s="30">
        <v>14.79</v>
      </c>
      <c r="G55" s="31">
        <v>5.0000000000000001E-4</v>
      </c>
      <c r="H55" s="32"/>
    </row>
    <row r="56" spans="2:8" ht="15.75" customHeight="1" x14ac:dyDescent="0.2">
      <c r="B56" s="28" t="s">
        <v>303</v>
      </c>
      <c r="C56" s="28" t="s">
        <v>304</v>
      </c>
      <c r="D56" s="28" t="s">
        <v>178</v>
      </c>
      <c r="E56" s="29">
        <v>25</v>
      </c>
      <c r="F56" s="30">
        <v>9.31</v>
      </c>
      <c r="G56" s="31">
        <v>2.9999999999999997E-4</v>
      </c>
      <c r="H56" s="32"/>
    </row>
    <row r="57" spans="2:8" ht="15.75" customHeight="1" x14ac:dyDescent="0.2">
      <c r="B57" s="28" t="s">
        <v>305</v>
      </c>
      <c r="C57" s="28" t="s">
        <v>306</v>
      </c>
      <c r="D57" s="28" t="s">
        <v>166</v>
      </c>
      <c r="E57" s="29">
        <v>400</v>
      </c>
      <c r="F57" s="30">
        <v>8.41</v>
      </c>
      <c r="G57" s="31">
        <v>2.9999999999999997E-4</v>
      </c>
      <c r="H57" s="32"/>
    </row>
    <row r="58" spans="2:8" ht="15.75" customHeight="1" x14ac:dyDescent="0.2">
      <c r="B58" s="27" t="s">
        <v>127</v>
      </c>
      <c r="C58" s="27"/>
      <c r="D58" s="27"/>
      <c r="E58" s="33"/>
      <c r="F58" s="34">
        <v>19497.96</v>
      </c>
      <c r="G58" s="35">
        <v>0.67569999999999997</v>
      </c>
      <c r="H58" s="36"/>
    </row>
    <row r="59" spans="2:8" ht="15.75" customHeight="1" x14ac:dyDescent="0.2">
      <c r="B59" s="27" t="s">
        <v>189</v>
      </c>
      <c r="C59" s="28"/>
      <c r="D59" s="28"/>
      <c r="E59" s="29"/>
      <c r="F59" s="30"/>
      <c r="G59" s="31"/>
      <c r="H59" s="32"/>
    </row>
    <row r="60" spans="2:8" ht="15.75" customHeight="1" x14ac:dyDescent="0.2">
      <c r="B60" s="27" t="s">
        <v>127</v>
      </c>
      <c r="C60" s="28"/>
      <c r="D60" s="28"/>
      <c r="E60" s="29"/>
      <c r="F60" s="37" t="s">
        <v>129</v>
      </c>
      <c r="G60" s="38" t="s">
        <v>129</v>
      </c>
      <c r="H60" s="32"/>
    </row>
    <row r="61" spans="2:8" ht="15.75" customHeight="1" x14ac:dyDescent="0.2">
      <c r="B61" s="28"/>
      <c r="C61" s="28"/>
      <c r="D61" s="28"/>
      <c r="E61" s="29"/>
      <c r="F61" s="30"/>
      <c r="G61" s="31"/>
      <c r="H61" s="32"/>
    </row>
    <row r="62" spans="2:8" ht="15.75" customHeight="1" x14ac:dyDescent="0.2">
      <c r="B62" s="39" t="s">
        <v>131</v>
      </c>
      <c r="C62" s="39"/>
      <c r="D62" s="39"/>
      <c r="E62" s="40"/>
      <c r="F62" s="34">
        <v>19497.96</v>
      </c>
      <c r="G62" s="35">
        <v>0.67569999999999997</v>
      </c>
      <c r="H62" s="36"/>
    </row>
    <row r="63" spans="2:8" ht="15.75" customHeight="1" x14ac:dyDescent="0.2">
      <c r="B63" s="28"/>
      <c r="C63" s="28"/>
      <c r="D63" s="28"/>
      <c r="E63" s="29"/>
      <c r="F63" s="30"/>
      <c r="G63" s="31"/>
      <c r="H63" s="32"/>
    </row>
    <row r="64" spans="2:8" ht="15.75" customHeight="1" x14ac:dyDescent="0.2">
      <c r="B64" s="27" t="s">
        <v>107</v>
      </c>
      <c r="C64" s="28"/>
      <c r="D64" s="28"/>
      <c r="E64" s="29"/>
      <c r="F64" s="30"/>
      <c r="G64" s="31"/>
      <c r="H64" s="32"/>
    </row>
    <row r="65" spans="2:14" ht="15.75" customHeight="1" x14ac:dyDescent="0.2">
      <c r="B65" s="27" t="s">
        <v>108</v>
      </c>
      <c r="C65" s="28"/>
      <c r="D65" s="28"/>
      <c r="E65" s="29"/>
      <c r="F65" s="30"/>
      <c r="G65" s="31"/>
      <c r="H65" s="32"/>
    </row>
    <row r="66" spans="2:14" ht="15.75" customHeight="1" x14ac:dyDescent="0.2">
      <c r="B66" s="28" t="s">
        <v>307</v>
      </c>
      <c r="C66" s="28" t="s">
        <v>308</v>
      </c>
      <c r="D66" s="28" t="s">
        <v>120</v>
      </c>
      <c r="E66" s="29">
        <v>2000</v>
      </c>
      <c r="F66" s="30">
        <v>2156.39</v>
      </c>
      <c r="G66" s="31">
        <v>7.4700000000000003E-2</v>
      </c>
      <c r="H66" s="32">
        <v>6.6400000000000001E-2</v>
      </c>
    </row>
    <row r="67" spans="2:14" ht="15.75" customHeight="1" x14ac:dyDescent="0.2">
      <c r="B67" s="27" t="s">
        <v>127</v>
      </c>
      <c r="C67" s="27"/>
      <c r="D67" s="27"/>
      <c r="E67" s="33"/>
      <c r="F67" s="34">
        <v>2156.39</v>
      </c>
      <c r="G67" s="35">
        <v>7.4700000000000003E-2</v>
      </c>
      <c r="H67" s="36"/>
    </row>
    <row r="68" spans="2:14" ht="15.75" customHeight="1" x14ac:dyDescent="0.2">
      <c r="B68" s="28"/>
      <c r="C68" s="28"/>
      <c r="D68" s="28"/>
      <c r="E68" s="29"/>
      <c r="F68" s="30"/>
      <c r="G68" s="31"/>
      <c r="H68" s="32"/>
      <c r="J68" s="3"/>
    </row>
    <row r="69" spans="2:14" ht="15.75" customHeight="1" x14ac:dyDescent="0.2">
      <c r="B69" s="27" t="s">
        <v>128</v>
      </c>
      <c r="C69" s="28"/>
      <c r="D69" s="28"/>
      <c r="E69" s="29"/>
      <c r="F69" s="30"/>
      <c r="G69" s="31"/>
      <c r="H69" s="32"/>
    </row>
    <row r="70" spans="2:14" ht="15.75" customHeight="1" x14ac:dyDescent="0.2">
      <c r="B70" s="27" t="s">
        <v>127</v>
      </c>
      <c r="C70" s="28"/>
      <c r="D70" s="28"/>
      <c r="E70" s="29"/>
      <c r="F70" s="37" t="s">
        <v>129</v>
      </c>
      <c r="G70" s="38" t="s">
        <v>129</v>
      </c>
      <c r="H70" s="32"/>
      <c r="J70" s="3"/>
    </row>
    <row r="71" spans="2:14" ht="15.75" customHeight="1" x14ac:dyDescent="0.2">
      <c r="B71" s="28"/>
      <c r="C71" s="28"/>
      <c r="D71" s="28"/>
      <c r="E71" s="29"/>
      <c r="F71" s="30"/>
      <c r="G71" s="31"/>
      <c r="H71" s="32"/>
      <c r="J71" s="3"/>
    </row>
    <row r="72" spans="2:14" ht="15.75" customHeight="1" x14ac:dyDescent="0.2">
      <c r="B72" s="27" t="s">
        <v>130</v>
      </c>
      <c r="C72" s="28"/>
      <c r="D72" s="28"/>
      <c r="E72" s="29"/>
      <c r="F72" s="30"/>
      <c r="G72" s="31"/>
      <c r="H72" s="32"/>
      <c r="J72" s="3"/>
    </row>
    <row r="73" spans="2:14" ht="15.75" customHeight="1" x14ac:dyDescent="0.2">
      <c r="B73" s="27" t="s">
        <v>127</v>
      </c>
      <c r="C73" s="28"/>
      <c r="D73" s="28"/>
      <c r="E73" s="29"/>
      <c r="F73" s="37" t="s">
        <v>129</v>
      </c>
      <c r="G73" s="38" t="s">
        <v>129</v>
      </c>
      <c r="H73" s="32"/>
      <c r="J73" s="3"/>
    </row>
    <row r="74" spans="2:14" ht="15.75" customHeight="1" x14ac:dyDescent="0.2">
      <c r="B74" s="28"/>
      <c r="C74" s="28"/>
      <c r="D74" s="28"/>
      <c r="E74" s="29"/>
      <c r="F74" s="30"/>
      <c r="G74" s="31"/>
      <c r="H74" s="32"/>
      <c r="J74" s="3"/>
    </row>
    <row r="75" spans="2:14" ht="15.75" customHeight="1" x14ac:dyDescent="0.2">
      <c r="B75" s="39" t="s">
        <v>131</v>
      </c>
      <c r="C75" s="39"/>
      <c r="D75" s="39"/>
      <c r="E75" s="40"/>
      <c r="F75" s="34">
        <v>2156.39</v>
      </c>
      <c r="G75" s="35">
        <v>7.4700000000000003E-2</v>
      </c>
      <c r="H75" s="36"/>
      <c r="J75" s="5"/>
      <c r="K75" s="5"/>
      <c r="L75" s="6"/>
      <c r="M75" s="6"/>
      <c r="N75" s="5"/>
    </row>
    <row r="76" spans="2:14" ht="15.75" customHeight="1" x14ac:dyDescent="0.2">
      <c r="B76" s="28"/>
      <c r="C76" s="28"/>
      <c r="D76" s="28"/>
      <c r="E76" s="29"/>
      <c r="F76" s="30"/>
      <c r="G76" s="31"/>
      <c r="H76" s="32"/>
    </row>
    <row r="77" spans="2:14" ht="15.75" customHeight="1" x14ac:dyDescent="0.2">
      <c r="B77" s="27" t="s">
        <v>159</v>
      </c>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194</v>
      </c>
      <c r="C79" s="28"/>
      <c r="D79" s="28"/>
      <c r="E79" s="29"/>
      <c r="F79" s="30"/>
      <c r="G79" s="31"/>
      <c r="H79" s="32"/>
      <c r="J79" s="7"/>
      <c r="K79" s="7"/>
      <c r="L79" s="7"/>
      <c r="M79" s="7"/>
      <c r="N79" s="7"/>
    </row>
    <row r="80" spans="2:14" ht="15.75" customHeight="1" x14ac:dyDescent="0.2">
      <c r="B80" s="28" t="s">
        <v>195</v>
      </c>
      <c r="C80" s="28" t="s">
        <v>309</v>
      </c>
      <c r="D80" s="28" t="s">
        <v>160</v>
      </c>
      <c r="E80" s="29">
        <v>100</v>
      </c>
      <c r="F80" s="30">
        <v>497.57</v>
      </c>
      <c r="G80" s="31">
        <v>1.72E-2</v>
      </c>
      <c r="H80" s="32">
        <v>7.4303999999999995E-2</v>
      </c>
      <c r="J80" s="7"/>
      <c r="K80" s="7"/>
      <c r="L80" s="7"/>
      <c r="M80" s="7"/>
      <c r="N80" s="7"/>
    </row>
    <row r="81" spans="2:14" ht="15.75" customHeight="1" x14ac:dyDescent="0.2">
      <c r="B81" s="28" t="s">
        <v>195</v>
      </c>
      <c r="C81" s="28" t="s">
        <v>310</v>
      </c>
      <c r="D81" s="28" t="s">
        <v>160</v>
      </c>
      <c r="E81" s="29">
        <v>100</v>
      </c>
      <c r="F81" s="30">
        <v>493.03</v>
      </c>
      <c r="G81" s="31">
        <v>1.7100000000000001E-2</v>
      </c>
      <c r="H81" s="32">
        <v>7.8150999999999998E-2</v>
      </c>
      <c r="J81" s="7"/>
      <c r="K81" s="7"/>
      <c r="L81" s="7"/>
      <c r="M81" s="7"/>
      <c r="N81" s="7"/>
    </row>
    <row r="82" spans="2:14" ht="15.75" customHeight="1" x14ac:dyDescent="0.2">
      <c r="B82" s="27" t="s">
        <v>127</v>
      </c>
      <c r="C82" s="27"/>
      <c r="D82" s="27"/>
      <c r="E82" s="33"/>
      <c r="F82" s="34">
        <v>990.6</v>
      </c>
      <c r="G82" s="35">
        <v>3.4299999999999997E-2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131</v>
      </c>
      <c r="C84" s="39"/>
      <c r="D84" s="39"/>
      <c r="E84" s="40"/>
      <c r="F84" s="34">
        <v>990.6</v>
      </c>
      <c r="G84" s="35">
        <v>3.4299999999999997E-2</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132</v>
      </c>
      <c r="C87" s="28"/>
      <c r="D87" s="28"/>
      <c r="E87" s="29"/>
      <c r="F87" s="30"/>
      <c r="G87" s="31"/>
      <c r="H87" s="32"/>
    </row>
    <row r="88" spans="2:14" ht="15.75" customHeight="1" x14ac:dyDescent="0.2">
      <c r="B88" s="27" t="s">
        <v>133</v>
      </c>
      <c r="C88" s="28"/>
      <c r="D88" s="28"/>
      <c r="E88" s="29"/>
      <c r="F88" s="30"/>
      <c r="G88" s="31"/>
      <c r="H88" s="32"/>
    </row>
    <row r="89" spans="2:14" ht="15.75" customHeight="1" x14ac:dyDescent="0.2">
      <c r="B89" s="28" t="s">
        <v>311</v>
      </c>
      <c r="C89" s="28" t="s">
        <v>312</v>
      </c>
      <c r="D89" s="28"/>
      <c r="E89" s="29">
        <v>332242.00599999999</v>
      </c>
      <c r="F89" s="30">
        <v>4091.57</v>
      </c>
      <c r="G89" s="31">
        <v>0.14180000000000001</v>
      </c>
      <c r="H89" s="32"/>
    </row>
    <row r="90" spans="2:14" ht="15.75" customHeight="1" x14ac:dyDescent="0.2">
      <c r="B90" s="28" t="s">
        <v>313</v>
      </c>
      <c r="C90" s="28" t="s">
        <v>314</v>
      </c>
      <c r="D90" s="28"/>
      <c r="E90" s="29">
        <v>21764.106</v>
      </c>
      <c r="F90" s="30">
        <v>1062.19</v>
      </c>
      <c r="G90" s="31">
        <v>3.6799999999999999E-2</v>
      </c>
      <c r="H90" s="32"/>
    </row>
    <row r="91" spans="2:14" ht="15.75" customHeight="1" x14ac:dyDescent="0.2">
      <c r="B91" s="28"/>
      <c r="C91" s="28"/>
      <c r="D91" s="28"/>
      <c r="E91" s="29"/>
      <c r="F91" s="30"/>
      <c r="G91" s="31"/>
      <c r="H91" s="32"/>
    </row>
    <row r="92" spans="2:14" ht="15.75" customHeight="1" x14ac:dyDescent="0.2">
      <c r="B92" s="39" t="s">
        <v>131</v>
      </c>
      <c r="C92" s="39"/>
      <c r="D92" s="39"/>
      <c r="E92" s="40"/>
      <c r="F92" s="34">
        <v>5153.76</v>
      </c>
      <c r="G92" s="35">
        <v>0.17860000000000001</v>
      </c>
      <c r="H92" s="36"/>
    </row>
    <row r="93" spans="2:14" ht="15.75" customHeight="1" x14ac:dyDescent="0.2">
      <c r="B93" s="28"/>
      <c r="C93" s="28"/>
      <c r="D93" s="28"/>
      <c r="E93" s="29"/>
      <c r="F93" s="30"/>
      <c r="G93" s="31"/>
      <c r="H93" s="32"/>
    </row>
    <row r="94" spans="2:14" ht="15.75" customHeight="1" x14ac:dyDescent="0.2">
      <c r="B94" s="27" t="s">
        <v>134</v>
      </c>
      <c r="C94" s="28"/>
      <c r="D94" s="28"/>
      <c r="E94" s="29"/>
      <c r="F94" s="30"/>
      <c r="G94" s="31"/>
      <c r="H94" s="32"/>
    </row>
    <row r="95" spans="2:14" ht="15.75" customHeight="1" x14ac:dyDescent="0.2">
      <c r="B95" s="28" t="s">
        <v>135</v>
      </c>
      <c r="C95" s="28"/>
      <c r="D95" s="28"/>
      <c r="E95" s="29"/>
      <c r="F95" s="30">
        <v>1458.35</v>
      </c>
      <c r="G95" s="31">
        <v>5.0500000000000003E-2</v>
      </c>
      <c r="H95" s="32"/>
    </row>
    <row r="96" spans="2:14" ht="15.75" customHeight="1" x14ac:dyDescent="0.2">
      <c r="B96" s="27" t="s">
        <v>127</v>
      </c>
      <c r="C96" s="27"/>
      <c r="D96" s="27"/>
      <c r="E96" s="33"/>
      <c r="F96" s="34">
        <v>1458.35</v>
      </c>
      <c r="G96" s="35">
        <v>5.0500000000000003E-2</v>
      </c>
      <c r="H96" s="36"/>
    </row>
    <row r="97" spans="2:8" ht="15.75" customHeight="1" x14ac:dyDescent="0.2">
      <c r="B97" s="28"/>
      <c r="C97" s="28"/>
      <c r="D97" s="28"/>
      <c r="E97" s="29"/>
      <c r="F97" s="30"/>
      <c r="G97" s="31"/>
      <c r="H97" s="32"/>
    </row>
    <row r="98" spans="2:8" ht="15.75" customHeight="1" x14ac:dyDescent="0.2">
      <c r="B98" s="39" t="s">
        <v>131</v>
      </c>
      <c r="C98" s="39"/>
      <c r="D98" s="39"/>
      <c r="E98" s="40"/>
      <c r="F98" s="34">
        <v>1458.35</v>
      </c>
      <c r="G98" s="35">
        <v>5.0500000000000003E-2</v>
      </c>
      <c r="H98" s="36"/>
    </row>
    <row r="99" spans="2:8" ht="15.75" customHeight="1" x14ac:dyDescent="0.2">
      <c r="B99" s="28" t="s">
        <v>136</v>
      </c>
      <c r="C99" s="28"/>
      <c r="D99" s="28"/>
      <c r="E99" s="29"/>
      <c r="F99" s="41">
        <v>-402.22</v>
      </c>
      <c r="G99" s="42">
        <v>-1.3800000000000034E-2</v>
      </c>
      <c r="H99" s="32"/>
    </row>
    <row r="100" spans="2:8" ht="15.75" customHeight="1" x14ac:dyDescent="0.2">
      <c r="B100" s="43" t="s">
        <v>137</v>
      </c>
      <c r="C100" s="43"/>
      <c r="D100" s="43"/>
      <c r="E100" s="44"/>
      <c r="F100" s="45">
        <v>28854.84</v>
      </c>
      <c r="G100" s="46">
        <v>1</v>
      </c>
      <c r="H100" s="47"/>
    </row>
    <row r="101" spans="2:8" ht="15.75" customHeight="1" x14ac:dyDescent="0.2">
      <c r="B101" s="2"/>
    </row>
    <row r="102" spans="2:8" ht="15.75" customHeight="1" x14ac:dyDescent="0.2">
      <c r="B102" s="15" t="s">
        <v>138</v>
      </c>
    </row>
    <row r="103" spans="2:8" ht="15.75" customHeight="1" x14ac:dyDescent="0.2">
      <c r="B103" s="60"/>
    </row>
    <row r="104" spans="2:8" ht="15.75" customHeight="1" x14ac:dyDescent="0.2">
      <c r="B104" s="9" t="s">
        <v>318</v>
      </c>
    </row>
    <row r="105" spans="2:8" ht="15.75" customHeight="1" x14ac:dyDescent="0.2">
      <c r="B105" s="9" t="s">
        <v>319</v>
      </c>
    </row>
    <row r="106" spans="2:8" ht="15.75" customHeight="1" x14ac:dyDescent="0.2">
      <c r="B106" s="16" t="s">
        <v>315</v>
      </c>
      <c r="C106" s="57" t="s">
        <v>2</v>
      </c>
      <c r="D106" s="58" t="s">
        <v>3</v>
      </c>
      <c r="E106" s="59" t="s">
        <v>316</v>
      </c>
    </row>
    <row r="107" spans="2:8" ht="15.75" customHeight="1" x14ac:dyDescent="0.2">
      <c r="B107" s="53" t="s">
        <v>234</v>
      </c>
      <c r="C107" s="54">
        <v>-105300</v>
      </c>
      <c r="D107" s="55">
        <v>-294.52</v>
      </c>
      <c r="E107" s="56">
        <v>-1.0200000000000001E-2</v>
      </c>
    </row>
    <row r="108" spans="2:8" ht="15.75" customHeight="1" x14ac:dyDescent="0.2">
      <c r="B108" s="53" t="s">
        <v>214</v>
      </c>
      <c r="C108" s="54">
        <v>-156800</v>
      </c>
      <c r="D108" s="55">
        <v>-663.26</v>
      </c>
      <c r="E108" s="56">
        <v>-2.3E-2</v>
      </c>
    </row>
    <row r="109" spans="2:8" ht="15.75" customHeight="1" x14ac:dyDescent="0.2">
      <c r="B109" s="53" t="s">
        <v>179</v>
      </c>
      <c r="C109" s="54">
        <v>-45625</v>
      </c>
      <c r="D109" s="55">
        <v>-566.02</v>
      </c>
      <c r="E109" s="56">
        <v>-1.9599999999999999E-2</v>
      </c>
    </row>
    <row r="110" spans="2:8" ht="15.75" customHeight="1" x14ac:dyDescent="0.2">
      <c r="B110" s="53" t="s">
        <v>286</v>
      </c>
      <c r="C110" s="54">
        <v>-7200</v>
      </c>
      <c r="D110" s="55">
        <v>-20.48</v>
      </c>
      <c r="E110" s="56">
        <v>-6.9999999999999999E-4</v>
      </c>
    </row>
    <row r="111" spans="2:8" ht="15.75" customHeight="1" x14ac:dyDescent="0.2">
      <c r="B111" s="53" t="s">
        <v>272</v>
      </c>
      <c r="C111" s="54">
        <v>-1500</v>
      </c>
      <c r="D111" s="55">
        <v>-101.84</v>
      </c>
      <c r="E111" s="56">
        <v>-3.5000000000000001E-3</v>
      </c>
    </row>
    <row r="112" spans="2:8" ht="15.75" customHeight="1" x14ac:dyDescent="0.2">
      <c r="B112" s="53" t="s">
        <v>250</v>
      </c>
      <c r="C112" s="54">
        <v>-9450</v>
      </c>
      <c r="D112" s="55">
        <v>-146.47</v>
      </c>
      <c r="E112" s="56">
        <v>-5.1000000000000004E-3</v>
      </c>
    </row>
    <row r="113" spans="2:5" ht="15.75" customHeight="1" x14ac:dyDescent="0.2">
      <c r="B113" s="53" t="s">
        <v>164</v>
      </c>
      <c r="C113" s="54">
        <v>-104500</v>
      </c>
      <c r="D113" s="55">
        <v>-1038.6300000000001</v>
      </c>
      <c r="E113" s="56">
        <v>-3.5999999999999997E-2</v>
      </c>
    </row>
    <row r="114" spans="2:5" ht="15.75" customHeight="1" x14ac:dyDescent="0.2">
      <c r="B114" s="53" t="s">
        <v>184</v>
      </c>
      <c r="C114" s="54">
        <v>-128800</v>
      </c>
      <c r="D114" s="55">
        <v>-1744.47</v>
      </c>
      <c r="E114" s="56">
        <v>-6.0499999999999998E-2</v>
      </c>
    </row>
    <row r="115" spans="2:5" ht="15.75" customHeight="1" x14ac:dyDescent="0.2">
      <c r="B115" s="53" t="s">
        <v>216</v>
      </c>
      <c r="C115" s="54">
        <v>-11400</v>
      </c>
      <c r="D115" s="55">
        <v>-49.2</v>
      </c>
      <c r="E115" s="56">
        <v>-1.6999999999999999E-3</v>
      </c>
    </row>
    <row r="116" spans="2:5" ht="15.75" customHeight="1" x14ac:dyDescent="0.2">
      <c r="B116" s="53" t="s">
        <v>225</v>
      </c>
      <c r="C116" s="54">
        <v>-40600</v>
      </c>
      <c r="D116" s="55">
        <v>-328.54</v>
      </c>
      <c r="E116" s="56">
        <v>-1.14E-2</v>
      </c>
    </row>
    <row r="117" spans="2:5" ht="15.75" customHeight="1" x14ac:dyDescent="0.2">
      <c r="B117" s="53" t="s">
        <v>181</v>
      </c>
      <c r="C117" s="54">
        <v>-600</v>
      </c>
      <c r="D117" s="55">
        <v>-14.77</v>
      </c>
      <c r="E117" s="56">
        <v>-5.0000000000000001E-4</v>
      </c>
    </row>
    <row r="118" spans="2:5" ht="15.75" customHeight="1" x14ac:dyDescent="0.2">
      <c r="B118" s="53" t="s">
        <v>227</v>
      </c>
      <c r="C118" s="54">
        <v>-105400</v>
      </c>
      <c r="D118" s="55">
        <v>-385.92</v>
      </c>
      <c r="E118" s="56">
        <v>-1.34E-2</v>
      </c>
    </row>
    <row r="119" spans="2:5" ht="15.75" customHeight="1" x14ac:dyDescent="0.2">
      <c r="B119" s="53" t="s">
        <v>281</v>
      </c>
      <c r="C119" s="54">
        <v>-5200</v>
      </c>
      <c r="D119" s="55">
        <v>-74.930000000000007</v>
      </c>
      <c r="E119" s="56">
        <v>-2.5999999999999999E-3</v>
      </c>
    </row>
    <row r="120" spans="2:5" ht="15.75" customHeight="1" x14ac:dyDescent="0.2">
      <c r="B120" s="53" t="s">
        <v>274</v>
      </c>
      <c r="C120" s="54">
        <v>-36900</v>
      </c>
      <c r="D120" s="55">
        <v>-39.11</v>
      </c>
      <c r="E120" s="56">
        <v>-1.4E-3</v>
      </c>
    </row>
    <row r="121" spans="2:5" ht="15.75" customHeight="1" x14ac:dyDescent="0.2">
      <c r="B121" s="53" t="s">
        <v>209</v>
      </c>
      <c r="C121" s="54">
        <v>-668249.99999999988</v>
      </c>
      <c r="D121" s="55">
        <v>-920.11</v>
      </c>
      <c r="E121" s="56">
        <v>-3.1899999999999998E-2</v>
      </c>
    </row>
    <row r="122" spans="2:5" ht="15.75" customHeight="1" x14ac:dyDescent="0.2">
      <c r="B122" s="53" t="s">
        <v>276</v>
      </c>
      <c r="C122" s="54">
        <v>-14400</v>
      </c>
      <c r="D122" s="55">
        <v>-55.21</v>
      </c>
      <c r="E122" s="56">
        <v>-1.9E-3</v>
      </c>
    </row>
    <row r="123" spans="2:5" ht="15.75" customHeight="1" x14ac:dyDescent="0.2">
      <c r="B123" s="53" t="s">
        <v>167</v>
      </c>
      <c r="C123" s="54">
        <v>-95000</v>
      </c>
      <c r="D123" s="55">
        <v>-1421.2</v>
      </c>
      <c r="E123" s="56">
        <v>-4.9299999999999997E-2</v>
      </c>
    </row>
    <row r="124" spans="2:5" ht="15.75" customHeight="1" x14ac:dyDescent="0.2">
      <c r="B124" s="53" t="s">
        <v>236</v>
      </c>
      <c r="C124" s="54">
        <v>-192700</v>
      </c>
      <c r="D124" s="55">
        <v>-265.25</v>
      </c>
      <c r="E124" s="56">
        <v>-9.1999999999999998E-3</v>
      </c>
    </row>
    <row r="125" spans="2:5" ht="15.75" customHeight="1" x14ac:dyDescent="0.2">
      <c r="B125" s="53" t="s">
        <v>204</v>
      </c>
      <c r="C125" s="54">
        <v>-126750</v>
      </c>
      <c r="D125" s="55">
        <v>-1195.06</v>
      </c>
      <c r="E125" s="56">
        <v>-4.1399999999999999E-2</v>
      </c>
    </row>
    <row r="126" spans="2:5" ht="15.75" customHeight="1" x14ac:dyDescent="0.2">
      <c r="B126" s="53" t="s">
        <v>283</v>
      </c>
      <c r="C126" s="54">
        <v>-12000</v>
      </c>
      <c r="D126" s="55">
        <v>-63.68</v>
      </c>
      <c r="E126" s="56">
        <v>-2.2000000000000001E-3</v>
      </c>
    </row>
    <row r="127" spans="2:5" ht="15.75" customHeight="1" x14ac:dyDescent="0.2">
      <c r="B127" s="53" t="s">
        <v>219</v>
      </c>
      <c r="C127" s="54">
        <v>-200</v>
      </c>
      <c r="D127" s="55">
        <v>-9.49</v>
      </c>
      <c r="E127" s="56">
        <v>-2.9999999999999997E-4</v>
      </c>
    </row>
    <row r="128" spans="2:5" ht="15.75" customHeight="1" x14ac:dyDescent="0.2">
      <c r="B128" s="53" t="s">
        <v>303</v>
      </c>
      <c r="C128" s="54">
        <v>-25</v>
      </c>
      <c r="D128" s="55">
        <v>-9.35</v>
      </c>
      <c r="E128" s="56">
        <v>-2.9999999999999997E-4</v>
      </c>
    </row>
    <row r="129" spans="2:5" ht="15.75" customHeight="1" x14ac:dyDescent="0.2">
      <c r="B129" s="53" t="s">
        <v>240</v>
      </c>
      <c r="C129" s="54">
        <v>-15375</v>
      </c>
      <c r="D129" s="55">
        <v>-275.24</v>
      </c>
      <c r="E129" s="56">
        <v>-9.4999999999999998E-3</v>
      </c>
    </row>
    <row r="130" spans="2:5" ht="15.75" customHeight="1" x14ac:dyDescent="0.2">
      <c r="B130" s="53" t="s">
        <v>298</v>
      </c>
      <c r="C130" s="54">
        <v>-3750</v>
      </c>
      <c r="D130" s="55">
        <v>-20.49</v>
      </c>
      <c r="E130" s="56">
        <v>-6.9999999999999999E-4</v>
      </c>
    </row>
    <row r="131" spans="2:5" ht="15.75" customHeight="1" x14ac:dyDescent="0.2">
      <c r="B131" s="53" t="s">
        <v>201</v>
      </c>
      <c r="C131" s="54">
        <v>-1374075</v>
      </c>
      <c r="D131" s="55">
        <v>-1297.95</v>
      </c>
      <c r="E131" s="56">
        <v>-4.4999999999999998E-2</v>
      </c>
    </row>
    <row r="132" spans="2:5" ht="15.75" customHeight="1" x14ac:dyDescent="0.2">
      <c r="B132" s="53" t="s">
        <v>196</v>
      </c>
      <c r="C132" s="54">
        <v>-29250</v>
      </c>
      <c r="D132" s="55">
        <v>-48.74</v>
      </c>
      <c r="E132" s="56">
        <v>-1.6999999999999999E-3</v>
      </c>
    </row>
    <row r="133" spans="2:5" ht="15.75" customHeight="1" x14ac:dyDescent="0.2">
      <c r="B133" s="53" t="s">
        <v>206</v>
      </c>
      <c r="C133" s="54">
        <v>-54150</v>
      </c>
      <c r="D133" s="55">
        <v>-1119.6099999999999</v>
      </c>
      <c r="E133" s="56">
        <v>-3.8800000000000001E-2</v>
      </c>
    </row>
    <row r="134" spans="2:5" ht="15.75" customHeight="1" x14ac:dyDescent="0.2">
      <c r="B134" s="53" t="s">
        <v>291</v>
      </c>
      <c r="C134" s="54">
        <v>-6250</v>
      </c>
      <c r="D134" s="55">
        <v>-30.5</v>
      </c>
      <c r="E134" s="56">
        <v>-1.1000000000000001E-3</v>
      </c>
    </row>
    <row r="135" spans="2:5" ht="15.75" customHeight="1" x14ac:dyDescent="0.2">
      <c r="B135" s="53" t="s">
        <v>244</v>
      </c>
      <c r="C135" s="54">
        <v>-14025</v>
      </c>
      <c r="D135" s="55">
        <v>-106.75</v>
      </c>
      <c r="E135" s="56">
        <v>-3.7000000000000002E-3</v>
      </c>
    </row>
    <row r="136" spans="2:5" ht="15.75" customHeight="1" x14ac:dyDescent="0.2">
      <c r="B136" s="53" t="s">
        <v>261</v>
      </c>
      <c r="C136" s="54">
        <v>-12000</v>
      </c>
      <c r="D136" s="55">
        <v>-153.6</v>
      </c>
      <c r="E136" s="56">
        <v>-5.3E-3</v>
      </c>
    </row>
    <row r="137" spans="2:5" ht="15.75" customHeight="1" x14ac:dyDescent="0.2">
      <c r="B137" s="53" t="s">
        <v>254</v>
      </c>
      <c r="C137" s="54">
        <v>-14400</v>
      </c>
      <c r="D137" s="55">
        <v>-173.55</v>
      </c>
      <c r="E137" s="56">
        <v>-6.0000000000000001E-3</v>
      </c>
    </row>
    <row r="138" spans="2:5" ht="15.75" customHeight="1" x14ac:dyDescent="0.2">
      <c r="B138" s="53" t="s">
        <v>242</v>
      </c>
      <c r="C138" s="54">
        <v>-216000</v>
      </c>
      <c r="D138" s="55">
        <v>-268.06</v>
      </c>
      <c r="E138" s="56">
        <v>-9.2999999999999992E-3</v>
      </c>
    </row>
    <row r="139" spans="2:5" ht="15.75" customHeight="1" x14ac:dyDescent="0.2">
      <c r="B139" s="53" t="s">
        <v>238</v>
      </c>
      <c r="C139" s="54">
        <v>-7275</v>
      </c>
      <c r="D139" s="55">
        <v>-23.41</v>
      </c>
      <c r="E139" s="56">
        <v>-8.0000000000000004E-4</v>
      </c>
    </row>
    <row r="140" spans="2:5" ht="15.75" customHeight="1" x14ac:dyDescent="0.2">
      <c r="B140" s="53" t="s">
        <v>256</v>
      </c>
      <c r="C140" s="54">
        <v>-12375</v>
      </c>
      <c r="D140" s="55">
        <v>-170.54</v>
      </c>
      <c r="E140" s="56">
        <v>-5.8999999999999999E-3</v>
      </c>
    </row>
    <row r="141" spans="2:5" ht="15.75" customHeight="1" x14ac:dyDescent="0.2">
      <c r="B141" s="53" t="s">
        <v>278</v>
      </c>
      <c r="C141" s="54">
        <v>-13050</v>
      </c>
      <c r="D141" s="55">
        <v>-53.05</v>
      </c>
      <c r="E141" s="56">
        <v>-1.8E-3</v>
      </c>
    </row>
    <row r="142" spans="2:5" ht="15.75" customHeight="1" x14ac:dyDescent="0.2">
      <c r="B142" s="53" t="s">
        <v>167</v>
      </c>
      <c r="C142" s="54">
        <v>-13000</v>
      </c>
      <c r="D142" s="55">
        <v>-196.91</v>
      </c>
      <c r="E142" s="56">
        <v>-6.7999999999999996E-3</v>
      </c>
    </row>
    <row r="143" spans="2:5" ht="15.75" customHeight="1" x14ac:dyDescent="0.2">
      <c r="B143" s="53" t="s">
        <v>276</v>
      </c>
      <c r="C143" s="54">
        <v>-7200</v>
      </c>
      <c r="D143" s="55">
        <v>-27.8</v>
      </c>
      <c r="E143" s="56">
        <v>-1E-3</v>
      </c>
    </row>
    <row r="144" spans="2:5" ht="15.75" customHeight="1" x14ac:dyDescent="0.2">
      <c r="B144" s="53" t="s">
        <v>278</v>
      </c>
      <c r="C144" s="54">
        <v>-5800</v>
      </c>
      <c r="D144" s="55">
        <v>-23.73</v>
      </c>
      <c r="E144" s="56">
        <v>-8.0000000000000004E-4</v>
      </c>
    </row>
    <row r="145" spans="2:5" ht="15.75" customHeight="1" x14ac:dyDescent="0.2">
      <c r="B145" s="53" t="s">
        <v>244</v>
      </c>
      <c r="C145" s="54">
        <v>-14850</v>
      </c>
      <c r="D145" s="55">
        <v>-114.41</v>
      </c>
      <c r="E145" s="56">
        <v>-4.0000000000000001E-3</v>
      </c>
    </row>
    <row r="146" spans="2:5" ht="15.75" customHeight="1" x14ac:dyDescent="0.2">
      <c r="B146" s="53" t="s">
        <v>229</v>
      </c>
      <c r="C146" s="54">
        <v>-124550</v>
      </c>
      <c r="D146" s="55">
        <v>-389.16</v>
      </c>
      <c r="E146" s="56">
        <v>-1.35E-2</v>
      </c>
    </row>
    <row r="147" spans="2:5" ht="15.75" customHeight="1" x14ac:dyDescent="0.2">
      <c r="B147" s="53" t="s">
        <v>231</v>
      </c>
      <c r="C147" s="54">
        <v>-3250</v>
      </c>
      <c r="D147" s="55">
        <v>-302.22000000000003</v>
      </c>
      <c r="E147" s="56">
        <v>-1.0500000000000001E-2</v>
      </c>
    </row>
    <row r="148" spans="2:5" ht="15.75" customHeight="1" x14ac:dyDescent="0.2">
      <c r="B148" s="53" t="s">
        <v>258</v>
      </c>
      <c r="C148" s="54">
        <v>-4375</v>
      </c>
      <c r="D148" s="55">
        <v>-164.89</v>
      </c>
      <c r="E148" s="56">
        <v>-5.7000000000000002E-3</v>
      </c>
    </row>
    <row r="149" spans="2:5" ht="15.75" customHeight="1" x14ac:dyDescent="0.2">
      <c r="B149" s="53" t="s">
        <v>264</v>
      </c>
      <c r="C149" s="54">
        <v>-29900</v>
      </c>
      <c r="D149" s="55">
        <v>-148.47999999999999</v>
      </c>
      <c r="E149" s="56">
        <v>-5.1000000000000004E-3</v>
      </c>
    </row>
    <row r="150" spans="2:5" ht="15.75" customHeight="1" x14ac:dyDescent="0.2">
      <c r="B150" s="53" t="s">
        <v>225</v>
      </c>
      <c r="C150" s="54">
        <v>-700</v>
      </c>
      <c r="D150" s="55">
        <v>-5.63</v>
      </c>
      <c r="E150" s="56">
        <v>-2.0000000000000001E-4</v>
      </c>
    </row>
    <row r="151" spans="2:5" ht="15.75" customHeight="1" x14ac:dyDescent="0.2">
      <c r="B151" s="53" t="s">
        <v>283</v>
      </c>
      <c r="C151" s="54">
        <v>-1000</v>
      </c>
      <c r="D151" s="55">
        <v>-5.34</v>
      </c>
      <c r="E151" s="56">
        <v>-2.0000000000000001E-4</v>
      </c>
    </row>
    <row r="152" spans="2:5" ht="15.75" customHeight="1" x14ac:dyDescent="0.2">
      <c r="B152" s="53" t="s">
        <v>214</v>
      </c>
      <c r="C152" s="54">
        <v>-14400</v>
      </c>
      <c r="D152" s="55">
        <v>-61.66</v>
      </c>
      <c r="E152" s="56">
        <v>-2.0999999999999999E-3</v>
      </c>
    </row>
    <row r="153" spans="2:5" ht="15.75" customHeight="1" x14ac:dyDescent="0.2">
      <c r="B153" s="53" t="s">
        <v>219</v>
      </c>
      <c r="C153" s="54">
        <v>-10900</v>
      </c>
      <c r="D153" s="55">
        <v>-513.61</v>
      </c>
      <c r="E153" s="56">
        <v>-1.78E-2</v>
      </c>
    </row>
    <row r="154" spans="2:5" ht="15.75" customHeight="1" x14ac:dyDescent="0.2">
      <c r="B154" s="53" t="s">
        <v>270</v>
      </c>
      <c r="C154" s="54">
        <v>-950</v>
      </c>
      <c r="D154" s="55">
        <v>-114.1</v>
      </c>
      <c r="E154" s="56">
        <v>-4.0000000000000001E-3</v>
      </c>
    </row>
    <row r="155" spans="2:5" ht="15.75" customHeight="1" x14ac:dyDescent="0.2">
      <c r="B155" s="53" t="s">
        <v>238</v>
      </c>
      <c r="C155" s="54">
        <v>-41225</v>
      </c>
      <c r="D155" s="55">
        <v>-131.88</v>
      </c>
      <c r="E155" s="56">
        <v>-4.5999999999999999E-3</v>
      </c>
    </row>
    <row r="156" spans="2:5" ht="15.75" customHeight="1" x14ac:dyDescent="0.2">
      <c r="B156" s="53" t="s">
        <v>286</v>
      </c>
      <c r="C156" s="54">
        <v>-7200</v>
      </c>
      <c r="D156" s="55">
        <v>-20.6</v>
      </c>
      <c r="E156" s="56">
        <v>-6.9999999999999999E-4</v>
      </c>
    </row>
    <row r="157" spans="2:5" ht="15.75" customHeight="1" x14ac:dyDescent="0.2">
      <c r="B157" s="53" t="s">
        <v>250</v>
      </c>
      <c r="C157" s="54">
        <v>-3500</v>
      </c>
      <c r="D157" s="55">
        <v>-54.63</v>
      </c>
      <c r="E157" s="56">
        <v>-1.9E-3</v>
      </c>
    </row>
    <row r="158" spans="2:5" ht="15.75" customHeight="1" x14ac:dyDescent="0.2">
      <c r="B158" s="53" t="s">
        <v>274</v>
      </c>
      <c r="C158" s="54">
        <v>-43050</v>
      </c>
      <c r="D158" s="55">
        <v>-45.96</v>
      </c>
      <c r="E158" s="56">
        <v>-1.6000000000000001E-3</v>
      </c>
    </row>
    <row r="159" spans="2:5" ht="15.75" customHeight="1" x14ac:dyDescent="0.2">
      <c r="B159" s="53" t="s">
        <v>204</v>
      </c>
      <c r="C159" s="54">
        <v>-1500</v>
      </c>
      <c r="D159" s="55">
        <v>-14.23</v>
      </c>
      <c r="E159" s="56">
        <v>-5.0000000000000001E-4</v>
      </c>
    </row>
    <row r="160" spans="2:5" ht="15.75" customHeight="1" x14ac:dyDescent="0.2">
      <c r="B160" s="53" t="s">
        <v>164</v>
      </c>
      <c r="C160" s="54">
        <v>-2200</v>
      </c>
      <c r="D160" s="55">
        <v>-22.13</v>
      </c>
      <c r="E160" s="56">
        <v>-8.0000000000000004E-4</v>
      </c>
    </row>
    <row r="161" spans="2:5" ht="15.75" customHeight="1" x14ac:dyDescent="0.2">
      <c r="B161" s="53" t="s">
        <v>238</v>
      </c>
      <c r="C161" s="54">
        <v>-38800</v>
      </c>
      <c r="D161" s="55">
        <v>-125.67</v>
      </c>
      <c r="E161" s="56">
        <v>-4.4000000000000003E-3</v>
      </c>
    </row>
    <row r="162" spans="2:5" ht="15.75" customHeight="1" x14ac:dyDescent="0.2">
      <c r="B162" s="53" t="s">
        <v>222</v>
      </c>
      <c r="C162" s="54">
        <v>-44000</v>
      </c>
      <c r="D162" s="55">
        <v>-504.94</v>
      </c>
      <c r="E162" s="56">
        <v>-1.7500000000000002E-2</v>
      </c>
    </row>
    <row r="163" spans="2:5" ht="15.75" customHeight="1" x14ac:dyDescent="0.2">
      <c r="B163" s="53" t="s">
        <v>216</v>
      </c>
      <c r="C163" s="54">
        <v>-114000</v>
      </c>
      <c r="D163" s="55">
        <v>-489</v>
      </c>
      <c r="E163" s="56">
        <v>-1.6899999999999998E-2</v>
      </c>
    </row>
    <row r="164" spans="2:5" ht="15.75" customHeight="1" x14ac:dyDescent="0.2">
      <c r="B164" s="53" t="s">
        <v>288</v>
      </c>
      <c r="C164" s="54">
        <v>-13125</v>
      </c>
      <c r="D164" s="55">
        <v>-35.01</v>
      </c>
      <c r="E164" s="56">
        <v>-1.1999999999999999E-3</v>
      </c>
    </row>
    <row r="165" spans="2:5" ht="15.75" customHeight="1" x14ac:dyDescent="0.2">
      <c r="B165" s="53" t="s">
        <v>225</v>
      </c>
      <c r="C165" s="54">
        <v>-13300</v>
      </c>
      <c r="D165" s="55">
        <v>-106.17</v>
      </c>
      <c r="E165" s="56">
        <v>-3.7000000000000002E-3</v>
      </c>
    </row>
    <row r="166" spans="2:5" ht="15.75" customHeight="1" x14ac:dyDescent="0.2">
      <c r="B166" s="53" t="s">
        <v>211</v>
      </c>
      <c r="C166" s="54">
        <v>-462000</v>
      </c>
      <c r="D166" s="55">
        <v>-849.57</v>
      </c>
      <c r="E166" s="56">
        <v>-2.9399999999999999E-2</v>
      </c>
    </row>
    <row r="167" spans="2:5" ht="15.75" customHeight="1" x14ac:dyDescent="0.2">
      <c r="B167" s="53" t="s">
        <v>301</v>
      </c>
      <c r="C167" s="54">
        <v>-8325</v>
      </c>
      <c r="D167" s="55">
        <v>-19.78</v>
      </c>
      <c r="E167" s="56">
        <v>-6.9999999999999999E-4</v>
      </c>
    </row>
    <row r="168" spans="2:5" ht="15.75" customHeight="1" x14ac:dyDescent="0.2">
      <c r="B168" s="53" t="s">
        <v>267</v>
      </c>
      <c r="C168" s="54">
        <v>-5000</v>
      </c>
      <c r="D168" s="55">
        <v>-145.21</v>
      </c>
      <c r="E168" s="56">
        <v>-5.0000000000000001E-3</v>
      </c>
    </row>
    <row r="169" spans="2:5" ht="15.75" customHeight="1" x14ac:dyDescent="0.2">
      <c r="B169" s="53" t="s">
        <v>252</v>
      </c>
      <c r="C169" s="54">
        <v>-40500</v>
      </c>
      <c r="D169" s="55">
        <v>-191.93</v>
      </c>
      <c r="E169" s="56">
        <v>-6.7000000000000002E-3</v>
      </c>
    </row>
    <row r="170" spans="2:5" ht="15.75" customHeight="1" x14ac:dyDescent="0.2">
      <c r="B170" s="53" t="s">
        <v>236</v>
      </c>
      <c r="C170" s="54">
        <v>-14100</v>
      </c>
      <c r="D170" s="55">
        <v>-19.510000000000002</v>
      </c>
      <c r="E170" s="56">
        <v>-6.9999999999999999E-4</v>
      </c>
    </row>
    <row r="171" spans="2:5" ht="15.75" customHeight="1" x14ac:dyDescent="0.2">
      <c r="B171" s="53" t="s">
        <v>204</v>
      </c>
      <c r="C171" s="54">
        <v>-6000</v>
      </c>
      <c r="D171" s="55">
        <v>-57.31</v>
      </c>
      <c r="E171" s="56">
        <v>-2E-3</v>
      </c>
    </row>
    <row r="172" spans="2:5" ht="15.75" customHeight="1" x14ac:dyDescent="0.2">
      <c r="B172" s="53" t="s">
        <v>294</v>
      </c>
      <c r="C172" s="54">
        <v>-2025</v>
      </c>
      <c r="D172" s="55">
        <v>-24.55</v>
      </c>
      <c r="E172" s="56">
        <v>-8.9999999999999998E-4</v>
      </c>
    </row>
    <row r="173" spans="2:5" ht="15.75" customHeight="1" x14ac:dyDescent="0.2">
      <c r="B173" s="53" t="s">
        <v>305</v>
      </c>
      <c r="C173" s="54">
        <v>-400</v>
      </c>
      <c r="D173" s="55">
        <v>-8.4600000000000009</v>
      </c>
      <c r="E173" s="56">
        <v>-2.9999999999999997E-4</v>
      </c>
    </row>
    <row r="174" spans="2:5" ht="15.75" customHeight="1" x14ac:dyDescent="0.2">
      <c r="B174" s="53" t="s">
        <v>296</v>
      </c>
      <c r="C174" s="54">
        <v>-5200</v>
      </c>
      <c r="D174" s="55">
        <v>-20.89</v>
      </c>
      <c r="E174" s="56">
        <v>-6.9999999999999999E-4</v>
      </c>
    </row>
    <row r="175" spans="2:5" ht="15.75" customHeight="1" x14ac:dyDescent="0.2">
      <c r="B175" s="53" t="s">
        <v>199</v>
      </c>
      <c r="C175" s="54">
        <v>-42875</v>
      </c>
      <c r="D175" s="55">
        <v>-1318.66</v>
      </c>
      <c r="E175" s="56">
        <v>-4.5699999999999998E-2</v>
      </c>
    </row>
    <row r="176" spans="2:5" ht="15.75" customHeight="1" x14ac:dyDescent="0.2">
      <c r="B176" s="53" t="s">
        <v>247</v>
      </c>
      <c r="C176" s="54">
        <v>-44075</v>
      </c>
      <c r="D176" s="55">
        <v>-208.06</v>
      </c>
      <c r="E176" s="56">
        <v>-7.1999999999999998E-3</v>
      </c>
    </row>
    <row r="177" spans="2:5" ht="15.75" customHeight="1" x14ac:dyDescent="0.2">
      <c r="B177" s="16" t="s">
        <v>317</v>
      </c>
      <c r="C177" s="57">
        <v>-4823850</v>
      </c>
      <c r="D177" s="58">
        <v>-19631.09</v>
      </c>
      <c r="E177" s="59">
        <v>-0.68049999999999999</v>
      </c>
    </row>
    <row r="181" spans="2:5" ht="15.75" customHeight="1" thickBot="1" x14ac:dyDescent="0.25"/>
    <row r="182" spans="2:5" ht="39.75" customHeight="1" thickBot="1" x14ac:dyDescent="0.25">
      <c r="B182" s="48" t="s">
        <v>139</v>
      </c>
      <c r="C182" s="49" t="s">
        <v>140</v>
      </c>
      <c r="D182" s="49" t="s">
        <v>141</v>
      </c>
      <c r="E182" s="49" t="s">
        <v>142</v>
      </c>
    </row>
    <row r="183" spans="2:5" ht="39.75" customHeight="1" x14ac:dyDescent="0.2">
      <c r="B183" s="61" t="s">
        <v>41</v>
      </c>
      <c r="C183" s="77"/>
      <c r="D183" s="80" t="s">
        <v>320</v>
      </c>
      <c r="E183" s="81"/>
    </row>
    <row r="184" spans="2:5" ht="39.75" customHeight="1" x14ac:dyDescent="0.2">
      <c r="B184" s="52" t="s">
        <v>321</v>
      </c>
      <c r="C184" s="78"/>
      <c r="D184" s="80"/>
      <c r="E184" s="82"/>
    </row>
    <row r="185" spans="2:5" ht="39.75" customHeight="1" x14ac:dyDescent="0.2">
      <c r="B185" s="52" t="s">
        <v>322</v>
      </c>
      <c r="C185" s="78"/>
      <c r="D185" s="80"/>
      <c r="E185" s="82"/>
    </row>
    <row r="186" spans="2:5" ht="39.75" customHeight="1" thickBot="1" x14ac:dyDescent="0.25">
      <c r="B186" s="62" t="s">
        <v>323</v>
      </c>
      <c r="C186" s="79"/>
      <c r="D186" s="50" t="s">
        <v>197</v>
      </c>
      <c r="E186" s="83"/>
    </row>
    <row r="187" spans="2:5" ht="15.75" customHeight="1" x14ac:dyDescent="0.2">
      <c r="B187" s="9" t="s">
        <v>144</v>
      </c>
    </row>
    <row r="189" spans="2:5" ht="15.75" customHeight="1" x14ac:dyDescent="0.2">
      <c r="B189" s="9" t="s">
        <v>145</v>
      </c>
    </row>
    <row r="190" spans="2:5" ht="15.75" customHeight="1" x14ac:dyDescent="0.2">
      <c r="B190" s="15" t="s">
        <v>146</v>
      </c>
    </row>
  </sheetData>
  <mergeCells count="3">
    <mergeCell ref="C183:C186"/>
    <mergeCell ref="D183:D185"/>
    <mergeCell ref="E183:E186"/>
  </mergeCells>
  <hyperlinks>
    <hyperlink ref="G1" location="'Sheet1'!A1" display="Index" xr:uid="{FFD86C94-2C84-43E9-AE2F-2A731DCF281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2189A-7328-4A3B-A3E5-AF6C115EE69F}">
  <dimension ref="B1:N15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628077</v>
      </c>
      <c r="F7" s="30">
        <v>6201</v>
      </c>
      <c r="G7" s="31">
        <v>8.09E-2</v>
      </c>
      <c r="H7" s="32"/>
    </row>
    <row r="8" spans="2:8" ht="15.75" customHeight="1" x14ac:dyDescent="0.2">
      <c r="B8" s="28" t="s">
        <v>199</v>
      </c>
      <c r="C8" s="28" t="s">
        <v>200</v>
      </c>
      <c r="D8" s="28" t="s">
        <v>172</v>
      </c>
      <c r="E8" s="29">
        <v>96196</v>
      </c>
      <c r="F8" s="30">
        <v>2941.67</v>
      </c>
      <c r="G8" s="31">
        <v>3.8399999999999997E-2</v>
      </c>
      <c r="H8" s="32"/>
    </row>
    <row r="9" spans="2:8" ht="15.75" customHeight="1" x14ac:dyDescent="0.2">
      <c r="B9" s="28" t="s">
        <v>167</v>
      </c>
      <c r="C9" s="28" t="s">
        <v>168</v>
      </c>
      <c r="D9" s="28" t="s">
        <v>169</v>
      </c>
      <c r="E9" s="29">
        <v>182525</v>
      </c>
      <c r="F9" s="30">
        <v>2713.05</v>
      </c>
      <c r="G9" s="31">
        <v>3.5400000000000001E-2</v>
      </c>
      <c r="H9" s="32"/>
    </row>
    <row r="10" spans="2:8" ht="15.75" customHeight="1" x14ac:dyDescent="0.2">
      <c r="B10" s="28" t="s">
        <v>184</v>
      </c>
      <c r="C10" s="28" t="s">
        <v>185</v>
      </c>
      <c r="D10" s="28" t="s">
        <v>166</v>
      </c>
      <c r="E10" s="29">
        <v>193974</v>
      </c>
      <c r="F10" s="30">
        <v>2609.5300000000002</v>
      </c>
      <c r="G10" s="31">
        <v>3.4000000000000002E-2</v>
      </c>
      <c r="H10" s="32"/>
    </row>
    <row r="11" spans="2:8" ht="15.75" customHeight="1" x14ac:dyDescent="0.2">
      <c r="B11" s="28" t="s">
        <v>204</v>
      </c>
      <c r="C11" s="28" t="s">
        <v>205</v>
      </c>
      <c r="D11" s="28" t="s">
        <v>166</v>
      </c>
      <c r="E11" s="29">
        <v>274883</v>
      </c>
      <c r="F11" s="30">
        <v>2575.65</v>
      </c>
      <c r="G11" s="31">
        <v>3.3599999999999998E-2</v>
      </c>
      <c r="H11" s="32"/>
    </row>
    <row r="12" spans="2:8" ht="15.75" customHeight="1" x14ac:dyDescent="0.2">
      <c r="B12" s="28" t="s">
        <v>170</v>
      </c>
      <c r="C12" s="28" t="s">
        <v>171</v>
      </c>
      <c r="D12" s="28" t="s">
        <v>172</v>
      </c>
      <c r="E12" s="29">
        <v>120607</v>
      </c>
      <c r="F12" s="30">
        <v>1787.76</v>
      </c>
      <c r="G12" s="31">
        <v>2.3300000000000001E-2</v>
      </c>
      <c r="H12" s="32"/>
    </row>
    <row r="13" spans="2:8" ht="15.75" customHeight="1" x14ac:dyDescent="0.2">
      <c r="B13" s="28" t="s">
        <v>324</v>
      </c>
      <c r="C13" s="28" t="s">
        <v>325</v>
      </c>
      <c r="D13" s="28" t="s">
        <v>326</v>
      </c>
      <c r="E13" s="29">
        <v>42781</v>
      </c>
      <c r="F13" s="30">
        <v>1724.46</v>
      </c>
      <c r="G13" s="31">
        <v>2.2499999999999999E-2</v>
      </c>
      <c r="H13" s="32"/>
    </row>
    <row r="14" spans="2:8" ht="15.75" customHeight="1" x14ac:dyDescent="0.2">
      <c r="B14" s="28" t="s">
        <v>327</v>
      </c>
      <c r="C14" s="28" t="s">
        <v>328</v>
      </c>
      <c r="D14" s="28" t="s">
        <v>329</v>
      </c>
      <c r="E14" s="29">
        <v>179992</v>
      </c>
      <c r="F14" s="30">
        <v>1474.94</v>
      </c>
      <c r="G14" s="31">
        <v>1.9199999999999998E-2</v>
      </c>
      <c r="H14" s="32"/>
    </row>
    <row r="15" spans="2:8" ht="15.75" customHeight="1" x14ac:dyDescent="0.2">
      <c r="B15" s="28" t="s">
        <v>305</v>
      </c>
      <c r="C15" s="28" t="s">
        <v>306</v>
      </c>
      <c r="D15" s="28" t="s">
        <v>166</v>
      </c>
      <c r="E15" s="29">
        <v>62379</v>
      </c>
      <c r="F15" s="30">
        <v>1311.33</v>
      </c>
      <c r="G15" s="31">
        <v>1.7100000000000001E-2</v>
      </c>
      <c r="H15" s="32"/>
    </row>
    <row r="16" spans="2:8" ht="15.75" customHeight="1" x14ac:dyDescent="0.2">
      <c r="B16" s="28" t="s">
        <v>179</v>
      </c>
      <c r="C16" s="28" t="s">
        <v>180</v>
      </c>
      <c r="D16" s="28" t="s">
        <v>166</v>
      </c>
      <c r="E16" s="29">
        <v>98776</v>
      </c>
      <c r="F16" s="30">
        <v>1217.71</v>
      </c>
      <c r="G16" s="31">
        <v>1.5900000000000001E-2</v>
      </c>
      <c r="H16" s="32"/>
    </row>
    <row r="17" spans="2:8" ht="15.75" customHeight="1" x14ac:dyDescent="0.2">
      <c r="B17" s="28" t="s">
        <v>250</v>
      </c>
      <c r="C17" s="28" t="s">
        <v>251</v>
      </c>
      <c r="D17" s="28" t="s">
        <v>172</v>
      </c>
      <c r="E17" s="29">
        <v>70352</v>
      </c>
      <c r="F17" s="30">
        <v>1084.48</v>
      </c>
      <c r="G17" s="31">
        <v>1.41E-2</v>
      </c>
      <c r="H17" s="32"/>
    </row>
    <row r="18" spans="2:8" ht="15.75" customHeight="1" x14ac:dyDescent="0.2">
      <c r="B18" s="28" t="s">
        <v>330</v>
      </c>
      <c r="C18" s="28" t="s">
        <v>331</v>
      </c>
      <c r="D18" s="28" t="s">
        <v>329</v>
      </c>
      <c r="E18" s="29">
        <v>31227</v>
      </c>
      <c r="F18" s="30">
        <v>1065.4000000000001</v>
      </c>
      <c r="G18" s="31">
        <v>1.3899999999999999E-2</v>
      </c>
      <c r="H18" s="32"/>
    </row>
    <row r="19" spans="2:8" ht="15.75" customHeight="1" x14ac:dyDescent="0.2">
      <c r="B19" s="28" t="s">
        <v>332</v>
      </c>
      <c r="C19" s="28" t="s">
        <v>333</v>
      </c>
      <c r="D19" s="28" t="s">
        <v>224</v>
      </c>
      <c r="E19" s="29">
        <v>62556</v>
      </c>
      <c r="F19" s="30">
        <v>1057.6300000000001</v>
      </c>
      <c r="G19" s="31">
        <v>1.38E-2</v>
      </c>
      <c r="H19" s="32"/>
    </row>
    <row r="20" spans="2:8" ht="15.75" customHeight="1" x14ac:dyDescent="0.2">
      <c r="B20" s="28" t="s">
        <v>296</v>
      </c>
      <c r="C20" s="28" t="s">
        <v>297</v>
      </c>
      <c r="D20" s="28" t="s">
        <v>175</v>
      </c>
      <c r="E20" s="29">
        <v>257295</v>
      </c>
      <c r="F20" s="30">
        <v>1037.54</v>
      </c>
      <c r="G20" s="31">
        <v>1.35E-2</v>
      </c>
      <c r="H20" s="32"/>
    </row>
    <row r="21" spans="2:8" ht="15.75" customHeight="1" x14ac:dyDescent="0.2">
      <c r="B21" s="28" t="s">
        <v>206</v>
      </c>
      <c r="C21" s="28" t="s">
        <v>207</v>
      </c>
      <c r="D21" s="28" t="s">
        <v>208</v>
      </c>
      <c r="E21" s="29">
        <v>44591</v>
      </c>
      <c r="F21" s="30">
        <v>916.12</v>
      </c>
      <c r="G21" s="31">
        <v>1.1900000000000001E-2</v>
      </c>
      <c r="H21" s="32"/>
    </row>
    <row r="22" spans="2:8" ht="15.75" customHeight="1" x14ac:dyDescent="0.2">
      <c r="B22" s="28" t="s">
        <v>278</v>
      </c>
      <c r="C22" s="28" t="s">
        <v>279</v>
      </c>
      <c r="D22" s="28" t="s">
        <v>280</v>
      </c>
      <c r="E22" s="29">
        <v>224387</v>
      </c>
      <c r="F22" s="30">
        <v>908.54</v>
      </c>
      <c r="G22" s="31">
        <v>1.18E-2</v>
      </c>
      <c r="H22" s="32"/>
    </row>
    <row r="23" spans="2:8" ht="15.75" customHeight="1" x14ac:dyDescent="0.2">
      <c r="B23" s="28" t="s">
        <v>334</v>
      </c>
      <c r="C23" s="28" t="s">
        <v>335</v>
      </c>
      <c r="D23" s="28" t="s">
        <v>280</v>
      </c>
      <c r="E23" s="29">
        <v>269478</v>
      </c>
      <c r="F23" s="30">
        <v>908.01</v>
      </c>
      <c r="G23" s="31">
        <v>1.18E-2</v>
      </c>
      <c r="H23" s="32"/>
    </row>
    <row r="24" spans="2:8" ht="15.75" customHeight="1" x14ac:dyDescent="0.2">
      <c r="B24" s="28" t="s">
        <v>270</v>
      </c>
      <c r="C24" s="28" t="s">
        <v>271</v>
      </c>
      <c r="D24" s="28" t="s">
        <v>269</v>
      </c>
      <c r="E24" s="29">
        <v>7004</v>
      </c>
      <c r="F24" s="30">
        <v>836.77</v>
      </c>
      <c r="G24" s="31">
        <v>1.09E-2</v>
      </c>
      <c r="H24" s="32"/>
    </row>
    <row r="25" spans="2:8" ht="15.75" customHeight="1" x14ac:dyDescent="0.2">
      <c r="B25" s="28" t="s">
        <v>337</v>
      </c>
      <c r="C25" s="28" t="s">
        <v>338</v>
      </c>
      <c r="D25" s="28" t="s">
        <v>339</v>
      </c>
      <c r="E25" s="29">
        <v>69894</v>
      </c>
      <c r="F25" s="30">
        <v>814.27</v>
      </c>
      <c r="G25" s="31">
        <v>1.06E-2</v>
      </c>
      <c r="H25" s="32"/>
    </row>
    <row r="26" spans="2:8" ht="15.75" customHeight="1" x14ac:dyDescent="0.2">
      <c r="B26" s="28" t="s">
        <v>340</v>
      </c>
      <c r="C26" s="28" t="s">
        <v>341</v>
      </c>
      <c r="D26" s="28" t="s">
        <v>263</v>
      </c>
      <c r="E26" s="29">
        <v>54411</v>
      </c>
      <c r="F26" s="30">
        <v>756.91</v>
      </c>
      <c r="G26" s="31">
        <v>9.9000000000000008E-3</v>
      </c>
      <c r="H26" s="32"/>
    </row>
    <row r="27" spans="2:8" ht="15.75" customHeight="1" x14ac:dyDescent="0.2">
      <c r="B27" s="28" t="s">
        <v>342</v>
      </c>
      <c r="C27" s="28" t="s">
        <v>343</v>
      </c>
      <c r="D27" s="28" t="s">
        <v>175</v>
      </c>
      <c r="E27" s="29">
        <v>235400</v>
      </c>
      <c r="F27" s="30">
        <v>719.03</v>
      </c>
      <c r="G27" s="31">
        <v>9.4000000000000004E-3</v>
      </c>
      <c r="H27" s="32"/>
    </row>
    <row r="28" spans="2:8" ht="15.75" customHeight="1" x14ac:dyDescent="0.2">
      <c r="B28" s="28" t="s">
        <v>344</v>
      </c>
      <c r="C28" s="28" t="s">
        <v>345</v>
      </c>
      <c r="D28" s="28" t="s">
        <v>346</v>
      </c>
      <c r="E28" s="29">
        <v>82600</v>
      </c>
      <c r="F28" s="30">
        <v>700.32</v>
      </c>
      <c r="G28" s="31">
        <v>9.1000000000000004E-3</v>
      </c>
      <c r="H28" s="32"/>
    </row>
    <row r="29" spans="2:8" ht="15.75" customHeight="1" x14ac:dyDescent="0.2">
      <c r="B29" s="28" t="s">
        <v>347</v>
      </c>
      <c r="C29" s="28" t="s">
        <v>348</v>
      </c>
      <c r="D29" s="28" t="s">
        <v>349</v>
      </c>
      <c r="E29" s="29">
        <v>303558</v>
      </c>
      <c r="F29" s="30">
        <v>671.26</v>
      </c>
      <c r="G29" s="31">
        <v>8.8000000000000005E-3</v>
      </c>
      <c r="H29" s="32"/>
    </row>
    <row r="30" spans="2:8" ht="15.75" customHeight="1" x14ac:dyDescent="0.2">
      <c r="B30" s="28" t="s">
        <v>350</v>
      </c>
      <c r="C30" s="28" t="s">
        <v>351</v>
      </c>
      <c r="D30" s="28" t="s">
        <v>224</v>
      </c>
      <c r="E30" s="29">
        <v>51972</v>
      </c>
      <c r="F30" s="30">
        <v>660.67</v>
      </c>
      <c r="G30" s="31">
        <v>8.6E-3</v>
      </c>
      <c r="H30" s="32"/>
    </row>
    <row r="31" spans="2:8" ht="15.75" customHeight="1" x14ac:dyDescent="0.2">
      <c r="B31" s="28" t="s">
        <v>352</v>
      </c>
      <c r="C31" s="28" t="s">
        <v>353</v>
      </c>
      <c r="D31" s="28" t="s">
        <v>354</v>
      </c>
      <c r="E31" s="29">
        <v>32500</v>
      </c>
      <c r="F31" s="30">
        <v>647.95000000000005</v>
      </c>
      <c r="G31" s="31">
        <v>8.3999999999999995E-3</v>
      </c>
      <c r="H31" s="32"/>
    </row>
    <row r="32" spans="2:8" ht="15.75" customHeight="1" x14ac:dyDescent="0.2">
      <c r="B32" s="28" t="s">
        <v>355</v>
      </c>
      <c r="C32" s="28" t="s">
        <v>356</v>
      </c>
      <c r="D32" s="28" t="s">
        <v>208</v>
      </c>
      <c r="E32" s="29">
        <v>32643</v>
      </c>
      <c r="F32" s="30">
        <v>607.41999999999996</v>
      </c>
      <c r="G32" s="31">
        <v>7.9000000000000008E-3</v>
      </c>
      <c r="H32" s="32"/>
    </row>
    <row r="33" spans="2:8" ht="15.75" customHeight="1" x14ac:dyDescent="0.2">
      <c r="B33" s="28" t="s">
        <v>357</v>
      </c>
      <c r="C33" s="28" t="s">
        <v>358</v>
      </c>
      <c r="D33" s="28" t="s">
        <v>175</v>
      </c>
      <c r="E33" s="29">
        <v>68324</v>
      </c>
      <c r="F33" s="30">
        <v>600.33000000000004</v>
      </c>
      <c r="G33" s="31">
        <v>7.7999999999999996E-3</v>
      </c>
      <c r="H33" s="32"/>
    </row>
    <row r="34" spans="2:8" ht="15.75" customHeight="1" x14ac:dyDescent="0.2">
      <c r="B34" s="28" t="s">
        <v>211</v>
      </c>
      <c r="C34" s="28" t="s">
        <v>212</v>
      </c>
      <c r="D34" s="28" t="s">
        <v>213</v>
      </c>
      <c r="E34" s="29">
        <v>327042</v>
      </c>
      <c r="F34" s="30">
        <v>597.96</v>
      </c>
      <c r="G34" s="31">
        <v>7.7999999999999996E-3</v>
      </c>
      <c r="H34" s="32"/>
    </row>
    <row r="35" spans="2:8" ht="15.75" customHeight="1" x14ac:dyDescent="0.2">
      <c r="B35" s="28" t="s">
        <v>214</v>
      </c>
      <c r="C35" s="28" t="s">
        <v>215</v>
      </c>
      <c r="D35" s="28" t="s">
        <v>183</v>
      </c>
      <c r="E35" s="29">
        <v>132509</v>
      </c>
      <c r="F35" s="30">
        <v>557</v>
      </c>
      <c r="G35" s="31">
        <v>7.3000000000000001E-3</v>
      </c>
      <c r="H35" s="32"/>
    </row>
    <row r="36" spans="2:8" ht="15.75" customHeight="1" x14ac:dyDescent="0.2">
      <c r="B36" s="28" t="s">
        <v>359</v>
      </c>
      <c r="C36" s="28" t="s">
        <v>360</v>
      </c>
      <c r="D36" s="28" t="s">
        <v>361</v>
      </c>
      <c r="E36" s="29">
        <v>13307</v>
      </c>
      <c r="F36" s="30">
        <v>548.09</v>
      </c>
      <c r="G36" s="31">
        <v>7.1000000000000004E-3</v>
      </c>
      <c r="H36" s="32"/>
    </row>
    <row r="37" spans="2:8" ht="15.75" customHeight="1" x14ac:dyDescent="0.2">
      <c r="B37" s="28" t="s">
        <v>254</v>
      </c>
      <c r="C37" s="28" t="s">
        <v>255</v>
      </c>
      <c r="D37" s="28" t="s">
        <v>246</v>
      </c>
      <c r="E37" s="29">
        <v>44929</v>
      </c>
      <c r="F37" s="30">
        <v>538.20000000000005</v>
      </c>
      <c r="G37" s="31">
        <v>7.0000000000000001E-3</v>
      </c>
      <c r="H37" s="32"/>
    </row>
    <row r="38" spans="2:8" ht="15.75" customHeight="1" x14ac:dyDescent="0.2">
      <c r="B38" s="28" t="s">
        <v>362</v>
      </c>
      <c r="C38" s="28" t="s">
        <v>363</v>
      </c>
      <c r="D38" s="28" t="s">
        <v>300</v>
      </c>
      <c r="E38" s="29">
        <v>9211</v>
      </c>
      <c r="F38" s="30">
        <v>518.12</v>
      </c>
      <c r="G38" s="31">
        <v>6.7999999999999996E-3</v>
      </c>
      <c r="H38" s="32"/>
    </row>
    <row r="39" spans="2:8" ht="15.75" customHeight="1" x14ac:dyDescent="0.2">
      <c r="B39" s="28" t="s">
        <v>364</v>
      </c>
      <c r="C39" s="28" t="s">
        <v>365</v>
      </c>
      <c r="D39" s="28" t="s">
        <v>329</v>
      </c>
      <c r="E39" s="29">
        <v>12786</v>
      </c>
      <c r="F39" s="30">
        <v>511.56</v>
      </c>
      <c r="G39" s="31">
        <v>6.7000000000000002E-3</v>
      </c>
      <c r="H39" s="32"/>
    </row>
    <row r="40" spans="2:8" ht="15.75" customHeight="1" x14ac:dyDescent="0.2">
      <c r="B40" s="28" t="s">
        <v>366</v>
      </c>
      <c r="C40" s="28" t="s">
        <v>367</v>
      </c>
      <c r="D40" s="28" t="s">
        <v>172</v>
      </c>
      <c r="E40" s="29">
        <v>17223</v>
      </c>
      <c r="F40" s="30">
        <v>476.11</v>
      </c>
      <c r="G40" s="31">
        <v>6.1999999999999998E-3</v>
      </c>
      <c r="H40" s="32"/>
    </row>
    <row r="41" spans="2:8" ht="15.75" customHeight="1" x14ac:dyDescent="0.2">
      <c r="B41" s="28" t="s">
        <v>368</v>
      </c>
      <c r="C41" s="28" t="s">
        <v>369</v>
      </c>
      <c r="D41" s="28" t="s">
        <v>175</v>
      </c>
      <c r="E41" s="29">
        <v>33052</v>
      </c>
      <c r="F41" s="30">
        <v>470.53</v>
      </c>
      <c r="G41" s="31">
        <v>6.1000000000000004E-3</v>
      </c>
      <c r="H41" s="32"/>
    </row>
    <row r="42" spans="2:8" ht="15.75" customHeight="1" x14ac:dyDescent="0.2">
      <c r="B42" s="28" t="s">
        <v>267</v>
      </c>
      <c r="C42" s="28" t="s">
        <v>268</v>
      </c>
      <c r="D42" s="28" t="s">
        <v>269</v>
      </c>
      <c r="E42" s="29">
        <v>15851</v>
      </c>
      <c r="F42" s="30">
        <v>458.36</v>
      </c>
      <c r="G42" s="31">
        <v>6.0000000000000001E-3</v>
      </c>
      <c r="H42" s="32"/>
    </row>
    <row r="43" spans="2:8" ht="15.75" customHeight="1" x14ac:dyDescent="0.2">
      <c r="B43" s="28" t="s">
        <v>370</v>
      </c>
      <c r="C43" s="28" t="s">
        <v>371</v>
      </c>
      <c r="D43" s="28" t="s">
        <v>188</v>
      </c>
      <c r="E43" s="29">
        <v>5009</v>
      </c>
      <c r="F43" s="30">
        <v>445.43</v>
      </c>
      <c r="G43" s="31">
        <v>5.7999999999999996E-3</v>
      </c>
      <c r="H43" s="32"/>
    </row>
    <row r="44" spans="2:8" ht="15.75" customHeight="1" x14ac:dyDescent="0.2">
      <c r="B44" s="28" t="s">
        <v>372</v>
      </c>
      <c r="C44" s="28" t="s">
        <v>373</v>
      </c>
      <c r="D44" s="28" t="s">
        <v>290</v>
      </c>
      <c r="E44" s="29">
        <v>14474</v>
      </c>
      <c r="F44" s="30">
        <v>437.61</v>
      </c>
      <c r="G44" s="31">
        <v>5.7000000000000002E-3</v>
      </c>
      <c r="H44" s="32"/>
    </row>
    <row r="45" spans="2:8" ht="15.75" customHeight="1" x14ac:dyDescent="0.2">
      <c r="B45" s="28" t="s">
        <v>173</v>
      </c>
      <c r="C45" s="28" t="s">
        <v>174</v>
      </c>
      <c r="D45" s="28" t="s">
        <v>175</v>
      </c>
      <c r="E45" s="29">
        <v>56735</v>
      </c>
      <c r="F45" s="30">
        <v>424.89</v>
      </c>
      <c r="G45" s="31">
        <v>5.4999999999999997E-3</v>
      </c>
      <c r="H45" s="32"/>
    </row>
    <row r="46" spans="2:8" ht="15.75" customHeight="1" x14ac:dyDescent="0.2">
      <c r="B46" s="28" t="s">
        <v>374</v>
      </c>
      <c r="C46" s="28" t="s">
        <v>375</v>
      </c>
      <c r="D46" s="28" t="s">
        <v>349</v>
      </c>
      <c r="E46" s="29">
        <v>14200</v>
      </c>
      <c r="F46" s="30">
        <v>416.13</v>
      </c>
      <c r="G46" s="31">
        <v>5.4000000000000003E-3</v>
      </c>
      <c r="H46" s="32"/>
    </row>
    <row r="47" spans="2:8" ht="15.75" customHeight="1" x14ac:dyDescent="0.2">
      <c r="B47" s="28" t="s">
        <v>376</v>
      </c>
      <c r="C47" s="28" t="s">
        <v>377</v>
      </c>
      <c r="D47" s="28" t="s">
        <v>326</v>
      </c>
      <c r="E47" s="29">
        <v>31124</v>
      </c>
      <c r="F47" s="30">
        <v>410.56</v>
      </c>
      <c r="G47" s="31">
        <v>5.4000000000000003E-3</v>
      </c>
      <c r="H47" s="32"/>
    </row>
    <row r="48" spans="2:8" ht="15.75" customHeight="1" x14ac:dyDescent="0.2">
      <c r="B48" s="28" t="s">
        <v>186</v>
      </c>
      <c r="C48" s="28" t="s">
        <v>187</v>
      </c>
      <c r="D48" s="28" t="s">
        <v>188</v>
      </c>
      <c r="E48" s="29">
        <v>11671</v>
      </c>
      <c r="F48" s="30">
        <v>406.99</v>
      </c>
      <c r="G48" s="31">
        <v>5.3E-3</v>
      </c>
      <c r="H48" s="32"/>
    </row>
    <row r="49" spans="2:8" ht="15.75" customHeight="1" x14ac:dyDescent="0.2">
      <c r="B49" s="28" t="s">
        <v>378</v>
      </c>
      <c r="C49" s="28" t="s">
        <v>379</v>
      </c>
      <c r="D49" s="28" t="s">
        <v>246</v>
      </c>
      <c r="E49" s="29">
        <v>17329</v>
      </c>
      <c r="F49" s="30">
        <v>396.49</v>
      </c>
      <c r="G49" s="31">
        <v>5.1999999999999998E-3</v>
      </c>
      <c r="H49" s="32"/>
    </row>
    <row r="50" spans="2:8" ht="15.75" customHeight="1" x14ac:dyDescent="0.2">
      <c r="B50" s="28" t="s">
        <v>380</v>
      </c>
      <c r="C50" s="28" t="s">
        <v>381</v>
      </c>
      <c r="D50" s="28" t="s">
        <v>354</v>
      </c>
      <c r="E50" s="29">
        <v>102889</v>
      </c>
      <c r="F50" s="30">
        <v>385.01</v>
      </c>
      <c r="G50" s="31">
        <v>5.0000000000000001E-3</v>
      </c>
      <c r="H50" s="32"/>
    </row>
    <row r="51" spans="2:8" ht="15.75" customHeight="1" x14ac:dyDescent="0.2">
      <c r="B51" s="28" t="s">
        <v>382</v>
      </c>
      <c r="C51" s="28" t="s">
        <v>383</v>
      </c>
      <c r="D51" s="28" t="s">
        <v>172</v>
      </c>
      <c r="E51" s="29">
        <v>26927</v>
      </c>
      <c r="F51" s="30">
        <v>383.55</v>
      </c>
      <c r="G51" s="31">
        <v>5.0000000000000001E-3</v>
      </c>
      <c r="H51" s="32"/>
    </row>
    <row r="52" spans="2:8" ht="15.75" customHeight="1" x14ac:dyDescent="0.2">
      <c r="B52" s="28" t="s">
        <v>384</v>
      </c>
      <c r="C52" s="28" t="s">
        <v>385</v>
      </c>
      <c r="D52" s="28" t="s">
        <v>386</v>
      </c>
      <c r="E52" s="29">
        <v>287997</v>
      </c>
      <c r="F52" s="30">
        <v>380.01</v>
      </c>
      <c r="G52" s="31">
        <v>5.0000000000000001E-3</v>
      </c>
      <c r="H52" s="32"/>
    </row>
    <row r="53" spans="2:8" ht="15.75" customHeight="1" x14ac:dyDescent="0.2">
      <c r="B53" s="28" t="s">
        <v>387</v>
      </c>
      <c r="C53" s="28" t="s">
        <v>388</v>
      </c>
      <c r="D53" s="28" t="s">
        <v>389</v>
      </c>
      <c r="E53" s="29">
        <v>29696</v>
      </c>
      <c r="F53" s="30">
        <v>379.19</v>
      </c>
      <c r="G53" s="31">
        <v>4.8999999999999998E-3</v>
      </c>
      <c r="H53" s="32"/>
    </row>
    <row r="54" spans="2:8" ht="15.75" customHeight="1" x14ac:dyDescent="0.2">
      <c r="B54" s="28" t="s">
        <v>390</v>
      </c>
      <c r="C54" s="28" t="s">
        <v>391</v>
      </c>
      <c r="D54" s="28" t="s">
        <v>269</v>
      </c>
      <c r="E54" s="29">
        <v>31387</v>
      </c>
      <c r="F54" s="30">
        <v>369.99</v>
      </c>
      <c r="G54" s="31">
        <v>4.7999999999999996E-3</v>
      </c>
      <c r="H54" s="32"/>
    </row>
    <row r="55" spans="2:8" ht="15.75" customHeight="1" x14ac:dyDescent="0.2">
      <c r="B55" s="28" t="s">
        <v>392</v>
      </c>
      <c r="C55" s="28" t="s">
        <v>393</v>
      </c>
      <c r="D55" s="28" t="s">
        <v>208</v>
      </c>
      <c r="E55" s="29">
        <v>17993</v>
      </c>
      <c r="F55" s="30">
        <v>337.44</v>
      </c>
      <c r="G55" s="31">
        <v>4.4000000000000003E-3</v>
      </c>
      <c r="H55" s="32"/>
    </row>
    <row r="56" spans="2:8" ht="15.75" customHeight="1" x14ac:dyDescent="0.2">
      <c r="B56" s="28" t="s">
        <v>394</v>
      </c>
      <c r="C56" s="28" t="s">
        <v>395</v>
      </c>
      <c r="D56" s="28" t="s">
        <v>349</v>
      </c>
      <c r="E56" s="29">
        <v>15049</v>
      </c>
      <c r="F56" s="30">
        <v>335.67</v>
      </c>
      <c r="G56" s="31">
        <v>4.4000000000000003E-3</v>
      </c>
      <c r="H56" s="32"/>
    </row>
    <row r="57" spans="2:8" ht="15.75" customHeight="1" x14ac:dyDescent="0.2">
      <c r="B57" s="28" t="s">
        <v>396</v>
      </c>
      <c r="C57" s="28" t="s">
        <v>397</v>
      </c>
      <c r="D57" s="28" t="s">
        <v>224</v>
      </c>
      <c r="E57" s="29">
        <v>13294</v>
      </c>
      <c r="F57" s="30">
        <v>327.74</v>
      </c>
      <c r="G57" s="31">
        <v>4.3E-3</v>
      </c>
      <c r="H57" s="32"/>
    </row>
    <row r="58" spans="2:8" ht="15.75" customHeight="1" x14ac:dyDescent="0.2">
      <c r="B58" s="28" t="s">
        <v>398</v>
      </c>
      <c r="C58" s="28" t="s">
        <v>399</v>
      </c>
      <c r="D58" s="28" t="s">
        <v>175</v>
      </c>
      <c r="E58" s="29">
        <v>2046</v>
      </c>
      <c r="F58" s="30">
        <v>310.48</v>
      </c>
      <c r="G58" s="31">
        <v>4.0000000000000001E-3</v>
      </c>
      <c r="H58" s="32"/>
    </row>
    <row r="59" spans="2:8" ht="15.75" customHeight="1" x14ac:dyDescent="0.2">
      <c r="B59" s="28" t="s">
        <v>400</v>
      </c>
      <c r="C59" s="28" t="s">
        <v>401</v>
      </c>
      <c r="D59" s="28" t="s">
        <v>166</v>
      </c>
      <c r="E59" s="29">
        <v>837842</v>
      </c>
      <c r="F59" s="30">
        <v>306.82</v>
      </c>
      <c r="G59" s="31">
        <v>4.0000000000000001E-3</v>
      </c>
      <c r="H59" s="32"/>
    </row>
    <row r="60" spans="2:8" ht="15.75" customHeight="1" x14ac:dyDescent="0.2">
      <c r="B60" s="28" t="s">
        <v>402</v>
      </c>
      <c r="C60" s="28" t="s">
        <v>403</v>
      </c>
      <c r="D60" s="28" t="s">
        <v>329</v>
      </c>
      <c r="E60" s="29">
        <v>27786</v>
      </c>
      <c r="F60" s="30">
        <v>297.77999999999997</v>
      </c>
      <c r="G60" s="31">
        <v>3.8999999999999998E-3</v>
      </c>
      <c r="H60" s="32"/>
    </row>
    <row r="61" spans="2:8" ht="15.75" customHeight="1" x14ac:dyDescent="0.2">
      <c r="B61" s="28" t="s">
        <v>404</v>
      </c>
      <c r="C61" s="28" t="s">
        <v>405</v>
      </c>
      <c r="D61" s="28" t="s">
        <v>326</v>
      </c>
      <c r="E61" s="29">
        <v>33249</v>
      </c>
      <c r="F61" s="30">
        <v>292.44</v>
      </c>
      <c r="G61" s="31">
        <v>3.8E-3</v>
      </c>
      <c r="H61" s="32"/>
    </row>
    <row r="62" spans="2:8" ht="15.75" customHeight="1" x14ac:dyDescent="0.2">
      <c r="B62" s="28" t="s">
        <v>406</v>
      </c>
      <c r="C62" s="28" t="s">
        <v>407</v>
      </c>
      <c r="D62" s="28" t="s">
        <v>224</v>
      </c>
      <c r="E62" s="29">
        <v>14648</v>
      </c>
      <c r="F62" s="30">
        <v>287.61</v>
      </c>
      <c r="G62" s="31">
        <v>3.8E-3</v>
      </c>
      <c r="H62" s="32"/>
    </row>
    <row r="63" spans="2:8" ht="15.75" customHeight="1" x14ac:dyDescent="0.2">
      <c r="B63" s="28" t="s">
        <v>408</v>
      </c>
      <c r="C63" s="28" t="s">
        <v>409</v>
      </c>
      <c r="D63" s="28" t="s">
        <v>175</v>
      </c>
      <c r="E63" s="29">
        <v>75897</v>
      </c>
      <c r="F63" s="30">
        <v>284.5</v>
      </c>
      <c r="G63" s="31">
        <v>3.7000000000000002E-3</v>
      </c>
      <c r="H63" s="32"/>
    </row>
    <row r="64" spans="2:8" ht="15.75" customHeight="1" x14ac:dyDescent="0.2">
      <c r="B64" s="28" t="s">
        <v>410</v>
      </c>
      <c r="C64" s="28" t="s">
        <v>411</v>
      </c>
      <c r="D64" s="28" t="s">
        <v>269</v>
      </c>
      <c r="E64" s="29">
        <v>4289</v>
      </c>
      <c r="F64" s="30">
        <v>266.52</v>
      </c>
      <c r="G64" s="31">
        <v>3.5000000000000001E-3</v>
      </c>
      <c r="H64" s="32"/>
    </row>
    <row r="65" spans="2:14" ht="15.75" customHeight="1" x14ac:dyDescent="0.2">
      <c r="B65" s="28" t="s">
        <v>412</v>
      </c>
      <c r="C65" s="28" t="s">
        <v>413</v>
      </c>
      <c r="D65" s="28" t="s">
        <v>329</v>
      </c>
      <c r="E65" s="29">
        <v>88829</v>
      </c>
      <c r="F65" s="30">
        <v>261.51</v>
      </c>
      <c r="G65" s="31">
        <v>3.3999999999999998E-3</v>
      </c>
      <c r="H65" s="32"/>
    </row>
    <row r="66" spans="2:14" ht="15.75" customHeight="1" x14ac:dyDescent="0.2">
      <c r="B66" s="28" t="s">
        <v>414</v>
      </c>
      <c r="C66" s="28" t="s">
        <v>415</v>
      </c>
      <c r="D66" s="28" t="s">
        <v>416</v>
      </c>
      <c r="E66" s="29">
        <v>63024</v>
      </c>
      <c r="F66" s="30">
        <v>250.39</v>
      </c>
      <c r="G66" s="31">
        <v>3.3E-3</v>
      </c>
      <c r="H66" s="32"/>
    </row>
    <row r="67" spans="2:14" ht="15.75" customHeight="1" x14ac:dyDescent="0.2">
      <c r="B67" s="28" t="s">
        <v>417</v>
      </c>
      <c r="C67" s="28" t="s">
        <v>418</v>
      </c>
      <c r="D67" s="28" t="s">
        <v>175</v>
      </c>
      <c r="E67" s="29">
        <v>32552</v>
      </c>
      <c r="F67" s="30">
        <v>238.05</v>
      </c>
      <c r="G67" s="31">
        <v>3.0999999999999999E-3</v>
      </c>
      <c r="H67" s="32"/>
      <c r="J67" s="3"/>
    </row>
    <row r="68" spans="2:14" ht="15.75" customHeight="1" x14ac:dyDescent="0.2">
      <c r="B68" s="28" t="s">
        <v>258</v>
      </c>
      <c r="C68" s="28" t="s">
        <v>259</v>
      </c>
      <c r="D68" s="28" t="s">
        <v>260</v>
      </c>
      <c r="E68" s="29">
        <v>6300</v>
      </c>
      <c r="F68" s="30">
        <v>236.04</v>
      </c>
      <c r="G68" s="31">
        <v>3.0999999999999999E-3</v>
      </c>
      <c r="H68" s="32"/>
    </row>
    <row r="69" spans="2:14" ht="15.75" customHeight="1" x14ac:dyDescent="0.2">
      <c r="B69" s="28" t="s">
        <v>419</v>
      </c>
      <c r="C69" s="28" t="s">
        <v>420</v>
      </c>
      <c r="D69" s="28" t="s">
        <v>224</v>
      </c>
      <c r="E69" s="29">
        <v>6500</v>
      </c>
      <c r="F69" s="30">
        <v>231.41</v>
      </c>
      <c r="G69" s="31">
        <v>3.0000000000000001E-3</v>
      </c>
      <c r="H69" s="32"/>
      <c r="J69" s="3"/>
    </row>
    <row r="70" spans="2:14" ht="15.75" customHeight="1" x14ac:dyDescent="0.2">
      <c r="B70" s="28" t="s">
        <v>421</v>
      </c>
      <c r="C70" s="28" t="s">
        <v>422</v>
      </c>
      <c r="D70" s="28" t="s">
        <v>175</v>
      </c>
      <c r="E70" s="29">
        <v>7227</v>
      </c>
      <c r="F70" s="30">
        <v>229.72</v>
      </c>
      <c r="G70" s="31">
        <v>3.0000000000000001E-3</v>
      </c>
      <c r="H70" s="32"/>
      <c r="J70" s="3"/>
    </row>
    <row r="71" spans="2:14" ht="15.75" customHeight="1" x14ac:dyDescent="0.2">
      <c r="B71" s="28" t="s">
        <v>423</v>
      </c>
      <c r="C71" s="28" t="s">
        <v>424</v>
      </c>
      <c r="D71" s="28" t="s">
        <v>425</v>
      </c>
      <c r="E71" s="29">
        <v>45974</v>
      </c>
      <c r="F71" s="30">
        <v>223.11</v>
      </c>
      <c r="G71" s="31">
        <v>2.8999999999999998E-3</v>
      </c>
      <c r="H71" s="32"/>
      <c r="J71" s="3"/>
    </row>
    <row r="72" spans="2:14" ht="15.75" customHeight="1" x14ac:dyDescent="0.2">
      <c r="B72" s="28" t="s">
        <v>426</v>
      </c>
      <c r="C72" s="28" t="s">
        <v>427</v>
      </c>
      <c r="D72" s="28" t="s">
        <v>172</v>
      </c>
      <c r="E72" s="29">
        <v>18172</v>
      </c>
      <c r="F72" s="30">
        <v>212.01</v>
      </c>
      <c r="G72" s="31">
        <v>2.8E-3</v>
      </c>
      <c r="H72" s="32"/>
      <c r="J72" s="3"/>
    </row>
    <row r="73" spans="2:14" ht="15.75" customHeight="1" x14ac:dyDescent="0.2">
      <c r="B73" s="28" t="s">
        <v>428</v>
      </c>
      <c r="C73" s="28" t="s">
        <v>429</v>
      </c>
      <c r="D73" s="28" t="s">
        <v>430</v>
      </c>
      <c r="E73" s="29">
        <v>31873</v>
      </c>
      <c r="F73" s="30">
        <v>207.21</v>
      </c>
      <c r="G73" s="31">
        <v>2.7000000000000001E-3</v>
      </c>
      <c r="H73" s="32"/>
      <c r="J73" s="3"/>
    </row>
    <row r="74" spans="2:14" ht="15.75" customHeight="1" x14ac:dyDescent="0.2">
      <c r="B74" s="28" t="s">
        <v>286</v>
      </c>
      <c r="C74" s="28" t="s">
        <v>287</v>
      </c>
      <c r="D74" s="28" t="s">
        <v>260</v>
      </c>
      <c r="E74" s="29">
        <v>69937</v>
      </c>
      <c r="F74" s="30">
        <v>197.71</v>
      </c>
      <c r="G74" s="31">
        <v>2.5999999999999999E-3</v>
      </c>
      <c r="H74" s="32"/>
      <c r="J74" s="5"/>
      <c r="K74" s="5"/>
      <c r="L74" s="6"/>
      <c r="M74" s="6"/>
      <c r="N74" s="5"/>
    </row>
    <row r="75" spans="2:14" ht="15.75" customHeight="1" x14ac:dyDescent="0.2">
      <c r="B75" s="28" t="s">
        <v>431</v>
      </c>
      <c r="C75" s="28" t="s">
        <v>432</v>
      </c>
      <c r="D75" s="28" t="s">
        <v>329</v>
      </c>
      <c r="E75" s="29">
        <v>51007</v>
      </c>
      <c r="F75" s="30">
        <v>162.36000000000001</v>
      </c>
      <c r="G75" s="31">
        <v>2.0999999999999999E-3</v>
      </c>
      <c r="H75" s="32"/>
    </row>
    <row r="76" spans="2:14" ht="15.75" customHeight="1" x14ac:dyDescent="0.2">
      <c r="B76" s="28" t="s">
        <v>433</v>
      </c>
      <c r="C76" s="28" t="s">
        <v>434</v>
      </c>
      <c r="D76" s="28" t="s">
        <v>435</v>
      </c>
      <c r="E76" s="29">
        <v>34030</v>
      </c>
      <c r="F76" s="30">
        <v>147.47</v>
      </c>
      <c r="G76" s="31">
        <v>1.9E-3</v>
      </c>
      <c r="H76" s="32"/>
    </row>
    <row r="77" spans="2:14" ht="15.75" customHeight="1" x14ac:dyDescent="0.2">
      <c r="B77" s="28" t="s">
        <v>436</v>
      </c>
      <c r="C77" s="28" t="s">
        <v>437</v>
      </c>
      <c r="D77" s="28" t="s">
        <v>188</v>
      </c>
      <c r="E77" s="29">
        <v>1710</v>
      </c>
      <c r="F77" s="30">
        <v>119.82</v>
      </c>
      <c r="G77" s="31">
        <v>1.6000000000000001E-3</v>
      </c>
      <c r="H77" s="32"/>
      <c r="J77" s="7"/>
      <c r="K77" s="7"/>
      <c r="L77" s="7"/>
      <c r="M77" s="7"/>
      <c r="N77" s="7"/>
    </row>
    <row r="78" spans="2:14" ht="15.75" customHeight="1" x14ac:dyDescent="0.2">
      <c r="B78" s="28" t="s">
        <v>438</v>
      </c>
      <c r="C78" s="28" t="s">
        <v>439</v>
      </c>
      <c r="D78" s="28" t="s">
        <v>224</v>
      </c>
      <c r="E78" s="29">
        <v>295</v>
      </c>
      <c r="F78" s="30">
        <v>85.54</v>
      </c>
      <c r="G78" s="31">
        <v>1.1000000000000001E-3</v>
      </c>
      <c r="H78" s="32"/>
      <c r="J78" s="7"/>
      <c r="K78" s="7"/>
      <c r="L78" s="7"/>
      <c r="M78" s="7"/>
      <c r="N78" s="7"/>
    </row>
    <row r="79" spans="2:14" ht="15.75" customHeight="1" x14ac:dyDescent="0.2">
      <c r="B79" s="28" t="s">
        <v>440</v>
      </c>
      <c r="C79" s="28" t="s">
        <v>441</v>
      </c>
      <c r="D79" s="28" t="s">
        <v>442</v>
      </c>
      <c r="E79" s="29">
        <v>748</v>
      </c>
      <c r="F79" s="30">
        <v>23.02</v>
      </c>
      <c r="G79" s="31">
        <v>2.9999999999999997E-4</v>
      </c>
      <c r="H79" s="32"/>
      <c r="J79" s="7"/>
      <c r="K79" s="7"/>
      <c r="L79" s="7"/>
      <c r="M79" s="7"/>
      <c r="N79" s="7"/>
    </row>
    <row r="80" spans="2:14" ht="15.75" customHeight="1" x14ac:dyDescent="0.2">
      <c r="B80" s="28" t="s">
        <v>443</v>
      </c>
      <c r="C80" s="28" t="s">
        <v>444</v>
      </c>
      <c r="D80" s="28" t="s">
        <v>329</v>
      </c>
      <c r="E80" s="29">
        <v>20</v>
      </c>
      <c r="F80" s="30">
        <v>0.2</v>
      </c>
      <c r="G80" s="31" t="s">
        <v>445</v>
      </c>
      <c r="H80" s="32"/>
      <c r="J80" s="7"/>
      <c r="K80" s="7"/>
      <c r="L80" s="7"/>
      <c r="M80" s="7"/>
      <c r="N80" s="7"/>
    </row>
    <row r="81" spans="2:14" ht="15.75" customHeight="1" x14ac:dyDescent="0.2">
      <c r="B81" s="28" t="s">
        <v>1129</v>
      </c>
      <c r="C81" s="28" t="s">
        <v>336</v>
      </c>
      <c r="D81" s="28" t="s">
        <v>263</v>
      </c>
      <c r="E81" s="29">
        <v>122000</v>
      </c>
      <c r="F81" s="30">
        <v>890.6</v>
      </c>
      <c r="G81" s="31">
        <v>1.1599999999999999E-2</v>
      </c>
      <c r="H81" s="32"/>
    </row>
    <row r="82" spans="2:14" ht="15.75" customHeight="1" x14ac:dyDescent="0.2">
      <c r="B82" s="28" t="s">
        <v>176</v>
      </c>
      <c r="C82" s="28" t="s">
        <v>177</v>
      </c>
      <c r="D82" s="28" t="s">
        <v>178</v>
      </c>
      <c r="E82" s="29">
        <v>7</v>
      </c>
      <c r="F82" s="30">
        <v>0.09</v>
      </c>
      <c r="G82" s="31" t="s">
        <v>445</v>
      </c>
      <c r="H82" s="32"/>
      <c r="J82" s="7"/>
      <c r="K82" s="7"/>
      <c r="L82" s="7"/>
      <c r="M82" s="7"/>
      <c r="N82" s="7"/>
    </row>
    <row r="83" spans="2:14" ht="15.75" customHeight="1" x14ac:dyDescent="0.2">
      <c r="B83" s="27" t="s">
        <v>127</v>
      </c>
      <c r="C83" s="27"/>
      <c r="D83" s="27"/>
      <c r="E83" s="33"/>
      <c r="F83" s="34">
        <f>SUM(F7:F82)</f>
        <v>54824.789999999994</v>
      </c>
      <c r="G83" s="35">
        <v>0.71479999999999999</v>
      </c>
      <c r="H83" s="36"/>
      <c r="J83" s="7"/>
      <c r="K83" s="7"/>
      <c r="L83" s="7"/>
      <c r="M83" s="7"/>
      <c r="N83" s="7"/>
    </row>
    <row r="84" spans="2:14" ht="15.75" customHeight="1" x14ac:dyDescent="0.2">
      <c r="B84" s="27" t="s">
        <v>189</v>
      </c>
      <c r="C84" s="28"/>
      <c r="D84" s="28"/>
      <c r="E84" s="29"/>
      <c r="F84" s="30"/>
      <c r="G84" s="31"/>
      <c r="H84" s="32"/>
      <c r="J84" s="3"/>
    </row>
    <row r="85" spans="2:14" ht="15.75" customHeight="1" x14ac:dyDescent="0.2">
      <c r="B85" s="27" t="s">
        <v>127</v>
      </c>
      <c r="C85" s="28"/>
      <c r="D85" s="28"/>
      <c r="E85" s="29"/>
      <c r="F85" s="37" t="s">
        <v>129</v>
      </c>
      <c r="G85" s="38" t="s">
        <v>129</v>
      </c>
      <c r="H85" s="32"/>
      <c r="J85" s="3"/>
    </row>
    <row r="86" spans="2:14" ht="15.75" customHeight="1" x14ac:dyDescent="0.2">
      <c r="B86" s="28"/>
      <c r="C86" s="28"/>
      <c r="D86" s="28"/>
      <c r="E86" s="29"/>
      <c r="F86" s="30"/>
      <c r="G86" s="31"/>
      <c r="H86" s="32"/>
      <c r="J86" s="3"/>
    </row>
    <row r="87" spans="2:14" ht="15.75" customHeight="1" x14ac:dyDescent="0.2">
      <c r="B87" s="39" t="s">
        <v>131</v>
      </c>
      <c r="C87" s="39"/>
      <c r="D87" s="39"/>
      <c r="E87" s="40"/>
      <c r="F87" s="34">
        <f>F83</f>
        <v>54824.789999999994</v>
      </c>
      <c r="G87" s="35">
        <f>G83</f>
        <v>0.71479999999999999</v>
      </c>
      <c r="H87" s="36"/>
    </row>
    <row r="88" spans="2:14" ht="15.75" customHeight="1" x14ac:dyDescent="0.2">
      <c r="B88" s="28"/>
      <c r="C88" s="28"/>
      <c r="D88" s="28"/>
      <c r="E88" s="29"/>
      <c r="F88" s="30"/>
      <c r="G88" s="31"/>
      <c r="H88" s="32"/>
    </row>
    <row r="89" spans="2:14" ht="15.75" customHeight="1" x14ac:dyDescent="0.2">
      <c r="B89" s="27" t="s">
        <v>107</v>
      </c>
      <c r="C89" s="28"/>
      <c r="D89" s="28"/>
      <c r="E89" s="29"/>
      <c r="F89" s="30"/>
      <c r="G89" s="31"/>
      <c r="H89" s="32"/>
    </row>
    <row r="90" spans="2:14" ht="15.75" customHeight="1" x14ac:dyDescent="0.2">
      <c r="B90" s="27" t="s">
        <v>108</v>
      </c>
      <c r="C90" s="28"/>
      <c r="D90" s="28"/>
      <c r="E90" s="29"/>
      <c r="F90" s="30"/>
      <c r="G90" s="31"/>
      <c r="H90" s="32"/>
    </row>
    <row r="91" spans="2:14" ht="15.75" customHeight="1" x14ac:dyDescent="0.2">
      <c r="B91" s="28" t="s">
        <v>118</v>
      </c>
      <c r="C91" s="28" t="s">
        <v>119</v>
      </c>
      <c r="D91" s="28" t="s">
        <v>120</v>
      </c>
      <c r="E91" s="29">
        <v>5000</v>
      </c>
      <c r="F91" s="30">
        <v>5030.3</v>
      </c>
      <c r="G91" s="31">
        <v>6.5600000000000006E-2</v>
      </c>
      <c r="H91" s="32">
        <v>7.3599999999999999E-2</v>
      </c>
    </row>
    <row r="92" spans="2:14" ht="15.75" customHeight="1" x14ac:dyDescent="0.2">
      <c r="B92" s="28" t="s">
        <v>154</v>
      </c>
      <c r="C92" s="28" t="s">
        <v>446</v>
      </c>
      <c r="D92" s="28" t="s">
        <v>111</v>
      </c>
      <c r="E92" s="29">
        <v>3500000</v>
      </c>
      <c r="F92" s="30">
        <v>3660.02</v>
      </c>
      <c r="G92" s="31">
        <v>4.7699999999999999E-2</v>
      </c>
      <c r="H92" s="32">
        <v>6.9646E-2</v>
      </c>
    </row>
    <row r="93" spans="2:14" ht="15.75" customHeight="1" x14ac:dyDescent="0.2">
      <c r="B93" s="28" t="s">
        <v>125</v>
      </c>
      <c r="C93" s="28" t="s">
        <v>126</v>
      </c>
      <c r="D93" s="28" t="s">
        <v>111</v>
      </c>
      <c r="E93" s="29">
        <v>2500000</v>
      </c>
      <c r="F93" s="30">
        <v>2381.21</v>
      </c>
      <c r="G93" s="31">
        <v>3.1E-2</v>
      </c>
      <c r="H93" s="32">
        <v>7.4246000000000006E-2</v>
      </c>
    </row>
    <row r="94" spans="2:14" ht="15.75" customHeight="1" x14ac:dyDescent="0.2">
      <c r="B94" s="28" t="s">
        <v>447</v>
      </c>
      <c r="C94" s="28" t="s">
        <v>448</v>
      </c>
      <c r="D94" s="28" t="s">
        <v>111</v>
      </c>
      <c r="E94" s="29">
        <v>2000000</v>
      </c>
      <c r="F94" s="30">
        <v>2106.3000000000002</v>
      </c>
      <c r="G94" s="31">
        <v>2.75E-2</v>
      </c>
      <c r="H94" s="32">
        <v>6.6409999999999997E-2</v>
      </c>
    </row>
    <row r="95" spans="2:14" ht="15.75" customHeight="1" x14ac:dyDescent="0.2">
      <c r="B95" s="28" t="s">
        <v>157</v>
      </c>
      <c r="C95" s="28" t="s">
        <v>158</v>
      </c>
      <c r="D95" s="28" t="s">
        <v>111</v>
      </c>
      <c r="E95" s="29">
        <v>1000000</v>
      </c>
      <c r="F95" s="30">
        <v>1090.51</v>
      </c>
      <c r="G95" s="31">
        <v>1.4200000000000001E-2</v>
      </c>
      <c r="H95" s="32">
        <v>6.8839999999999998E-2</v>
      </c>
    </row>
    <row r="96" spans="2:14" ht="15.75" customHeight="1" x14ac:dyDescent="0.2">
      <c r="B96" s="28" t="s">
        <v>147</v>
      </c>
      <c r="C96" s="28" t="s">
        <v>148</v>
      </c>
      <c r="D96" s="28" t="s">
        <v>111</v>
      </c>
      <c r="E96" s="29">
        <v>1000000</v>
      </c>
      <c r="F96" s="30">
        <v>998.01</v>
      </c>
      <c r="G96" s="31">
        <v>1.2999999999999999E-2</v>
      </c>
      <c r="H96" s="32">
        <v>7.4712000000000001E-2</v>
      </c>
    </row>
    <row r="97" spans="2:8" ht="15.75" customHeight="1" x14ac:dyDescent="0.2">
      <c r="B97" s="28" t="s">
        <v>114</v>
      </c>
      <c r="C97" s="28" t="s">
        <v>115</v>
      </c>
      <c r="D97" s="28" t="s">
        <v>111</v>
      </c>
      <c r="E97" s="29">
        <v>500000</v>
      </c>
      <c r="F97" s="30">
        <v>509.05</v>
      </c>
      <c r="G97" s="31">
        <v>6.6E-3</v>
      </c>
      <c r="H97" s="32">
        <v>6.694E-2</v>
      </c>
    </row>
    <row r="98" spans="2:8" ht="15.75" customHeight="1" x14ac:dyDescent="0.2">
      <c r="B98" s="27" t="s">
        <v>127</v>
      </c>
      <c r="C98" s="27"/>
      <c r="D98" s="27"/>
      <c r="E98" s="33"/>
      <c r="F98" s="34">
        <v>15775.4</v>
      </c>
      <c r="G98" s="35">
        <v>0.20569999999999999</v>
      </c>
      <c r="H98" s="36"/>
    </row>
    <row r="99" spans="2:8" ht="15.75" customHeight="1" x14ac:dyDescent="0.2">
      <c r="B99" s="28"/>
      <c r="C99" s="28"/>
      <c r="D99" s="28"/>
      <c r="E99" s="29"/>
      <c r="F99" s="30"/>
      <c r="G99" s="31"/>
      <c r="H99" s="32"/>
    </row>
    <row r="100" spans="2:8" ht="15.75" customHeight="1" x14ac:dyDescent="0.2">
      <c r="B100" s="27" t="s">
        <v>128</v>
      </c>
      <c r="C100" s="28"/>
      <c r="D100" s="28"/>
      <c r="E100" s="29"/>
      <c r="F100" s="30"/>
      <c r="G100" s="31"/>
      <c r="H100" s="32"/>
    </row>
    <row r="101" spans="2:8" ht="15.75" customHeight="1" x14ac:dyDescent="0.2">
      <c r="B101" s="27" t="s">
        <v>127</v>
      </c>
      <c r="C101" s="28"/>
      <c r="D101" s="28"/>
      <c r="E101" s="29"/>
      <c r="F101" s="37" t="s">
        <v>129</v>
      </c>
      <c r="G101" s="38" t="s">
        <v>129</v>
      </c>
      <c r="H101" s="32"/>
    </row>
    <row r="102" spans="2:8" ht="15.75" customHeight="1" x14ac:dyDescent="0.2">
      <c r="B102" s="28"/>
      <c r="C102" s="28"/>
      <c r="D102" s="28"/>
      <c r="E102" s="29"/>
      <c r="F102" s="30"/>
      <c r="G102" s="31"/>
      <c r="H102" s="32"/>
    </row>
    <row r="103" spans="2:8" ht="15.75" customHeight="1" x14ac:dyDescent="0.2">
      <c r="B103" s="27" t="s">
        <v>130</v>
      </c>
      <c r="C103" s="28"/>
      <c r="D103" s="28"/>
      <c r="E103" s="29"/>
      <c r="F103" s="30"/>
      <c r="G103" s="31"/>
      <c r="H103" s="32"/>
    </row>
    <row r="104" spans="2:8" ht="15.75" customHeight="1" x14ac:dyDescent="0.2">
      <c r="B104" s="27" t="s">
        <v>127</v>
      </c>
      <c r="C104" s="28"/>
      <c r="D104" s="28"/>
      <c r="E104" s="29"/>
      <c r="F104" s="37" t="s">
        <v>129</v>
      </c>
      <c r="G104" s="38" t="s">
        <v>129</v>
      </c>
      <c r="H104" s="32"/>
    </row>
    <row r="105" spans="2:8" ht="15.75" customHeight="1" x14ac:dyDescent="0.2">
      <c r="B105" s="28"/>
      <c r="C105" s="28"/>
      <c r="D105" s="28"/>
      <c r="E105" s="29"/>
      <c r="F105" s="30"/>
      <c r="G105" s="31"/>
      <c r="H105" s="32"/>
    </row>
    <row r="106" spans="2:8" ht="15.75" customHeight="1" x14ac:dyDescent="0.2">
      <c r="B106" s="39" t="s">
        <v>131</v>
      </c>
      <c r="C106" s="39"/>
      <c r="D106" s="39"/>
      <c r="E106" s="40"/>
      <c r="F106" s="34">
        <v>15775.4</v>
      </c>
      <c r="G106" s="35">
        <v>0.20569999999999999</v>
      </c>
      <c r="H106" s="36"/>
    </row>
    <row r="107" spans="2:8" ht="15.75" customHeight="1" x14ac:dyDescent="0.2">
      <c r="B107" s="28"/>
      <c r="C107" s="28"/>
      <c r="D107" s="28"/>
      <c r="E107" s="29"/>
      <c r="F107" s="30"/>
      <c r="G107" s="31"/>
      <c r="H107" s="32"/>
    </row>
    <row r="108" spans="2:8" ht="15.75" customHeight="1" x14ac:dyDescent="0.2">
      <c r="B108" s="28"/>
      <c r="C108" s="28"/>
      <c r="D108" s="28"/>
      <c r="E108" s="29"/>
      <c r="F108" s="30"/>
      <c r="G108" s="31"/>
      <c r="H108" s="32"/>
    </row>
    <row r="109" spans="2:8" ht="15.75" customHeight="1" x14ac:dyDescent="0.2">
      <c r="B109" s="27" t="s">
        <v>134</v>
      </c>
      <c r="C109" s="28"/>
      <c r="D109" s="28"/>
      <c r="E109" s="29"/>
      <c r="F109" s="30"/>
      <c r="G109" s="31"/>
      <c r="H109" s="32"/>
    </row>
    <row r="110" spans="2:8" ht="15.75" customHeight="1" x14ac:dyDescent="0.2">
      <c r="B110" s="28" t="s">
        <v>135</v>
      </c>
      <c r="C110" s="28"/>
      <c r="D110" s="28"/>
      <c r="E110" s="29"/>
      <c r="F110" s="30">
        <v>5926.59</v>
      </c>
      <c r="G110" s="31">
        <v>7.7299999999999994E-2</v>
      </c>
      <c r="H110" s="32"/>
    </row>
    <row r="111" spans="2:8" ht="15.75" customHeight="1" x14ac:dyDescent="0.2">
      <c r="B111" s="27" t="s">
        <v>127</v>
      </c>
      <c r="C111" s="27"/>
      <c r="D111" s="27"/>
      <c r="E111" s="33"/>
      <c r="F111" s="34">
        <v>5926.59</v>
      </c>
      <c r="G111" s="35">
        <v>7.7299999999999994E-2</v>
      </c>
      <c r="H111" s="36"/>
    </row>
    <row r="112" spans="2:8" ht="15.75" customHeight="1" x14ac:dyDescent="0.2">
      <c r="B112" s="28"/>
      <c r="C112" s="28"/>
      <c r="D112" s="28"/>
      <c r="E112" s="29"/>
      <c r="F112" s="30"/>
      <c r="G112" s="31"/>
      <c r="H112" s="32"/>
    </row>
    <row r="113" spans="2:8" ht="15.75" customHeight="1" x14ac:dyDescent="0.2">
      <c r="B113" s="39" t="s">
        <v>131</v>
      </c>
      <c r="C113" s="39"/>
      <c r="D113" s="39"/>
      <c r="E113" s="40"/>
      <c r="F113" s="34">
        <v>5926.59</v>
      </c>
      <c r="G113" s="35">
        <v>7.7299999999999994E-2</v>
      </c>
      <c r="H113" s="36"/>
    </row>
    <row r="114" spans="2:8" ht="15.75" customHeight="1" x14ac:dyDescent="0.2">
      <c r="B114" s="28" t="s">
        <v>136</v>
      </c>
      <c r="C114" s="28"/>
      <c r="D114" s="28"/>
      <c r="E114" s="29"/>
      <c r="F114" s="30">
        <v>165.35</v>
      </c>
      <c r="G114" s="31">
        <v>2.1999999999999797E-3</v>
      </c>
      <c r="H114" s="32"/>
    </row>
    <row r="115" spans="2:8" ht="15.75" customHeight="1" x14ac:dyDescent="0.2">
      <c r="B115" s="43" t="s">
        <v>137</v>
      </c>
      <c r="C115" s="43"/>
      <c r="D115" s="43"/>
      <c r="E115" s="44"/>
      <c r="F115" s="45">
        <v>76692.13</v>
      </c>
      <c r="G115" s="46">
        <v>1</v>
      </c>
      <c r="H115" s="47"/>
    </row>
    <row r="116" spans="2:8" ht="15.75" customHeight="1" x14ac:dyDescent="0.2">
      <c r="B116" s="2"/>
    </row>
    <row r="117" spans="2:8" ht="15.75" customHeight="1" x14ac:dyDescent="0.2">
      <c r="B117" s="15" t="s">
        <v>449</v>
      </c>
    </row>
    <row r="118" spans="2:8" ht="15.75" customHeight="1" x14ac:dyDescent="0.2">
      <c r="B118" s="15" t="s">
        <v>138</v>
      </c>
    </row>
    <row r="119" spans="2:8" ht="15.75" customHeight="1" x14ac:dyDescent="0.2">
      <c r="B119" s="60"/>
    </row>
    <row r="120" spans="2:8" ht="15.75" customHeight="1" x14ac:dyDescent="0.2">
      <c r="B120" s="9" t="s">
        <v>450</v>
      </c>
    </row>
    <row r="121" spans="2:8" ht="15.75" customHeight="1" x14ac:dyDescent="0.2">
      <c r="B121" s="9" t="s">
        <v>451</v>
      </c>
    </row>
    <row r="122" spans="2:8" ht="15.75" customHeight="1" x14ac:dyDescent="0.2">
      <c r="B122" s="16" t="s">
        <v>315</v>
      </c>
      <c r="C122" s="57" t="s">
        <v>2</v>
      </c>
      <c r="D122" s="58" t="s">
        <v>3</v>
      </c>
      <c r="E122" s="59" t="s">
        <v>316</v>
      </c>
    </row>
    <row r="123" spans="2:8" ht="15.75" customHeight="1" x14ac:dyDescent="0.2">
      <c r="B123" s="53" t="s">
        <v>344</v>
      </c>
      <c r="C123" s="54">
        <v>-82600</v>
      </c>
      <c r="D123" s="55">
        <v>-704.91</v>
      </c>
      <c r="E123" s="56">
        <v>-9.1999999999999998E-3</v>
      </c>
    </row>
    <row r="124" spans="2:8" ht="15.75" customHeight="1" x14ac:dyDescent="0.2">
      <c r="B124" s="53" t="s">
        <v>211</v>
      </c>
      <c r="C124" s="54">
        <v>-44000</v>
      </c>
      <c r="D124" s="55">
        <v>-80.91</v>
      </c>
      <c r="E124" s="56">
        <v>-1.1000000000000001E-3</v>
      </c>
    </row>
    <row r="125" spans="2:8" ht="15.75" customHeight="1" x14ac:dyDescent="0.2">
      <c r="B125" s="53" t="s">
        <v>250</v>
      </c>
      <c r="C125" s="54">
        <v>-35000</v>
      </c>
      <c r="D125" s="55">
        <v>-542.47</v>
      </c>
      <c r="E125" s="56">
        <v>-7.1000000000000004E-3</v>
      </c>
    </row>
    <row r="126" spans="2:8" ht="15.75" customHeight="1" x14ac:dyDescent="0.2">
      <c r="B126" s="53" t="s">
        <v>204</v>
      </c>
      <c r="C126" s="54">
        <v>-172500</v>
      </c>
      <c r="D126" s="55">
        <v>-1626.42</v>
      </c>
      <c r="E126" s="56">
        <v>-2.12E-2</v>
      </c>
    </row>
    <row r="127" spans="2:8" ht="15.75" customHeight="1" x14ac:dyDescent="0.2">
      <c r="B127" s="53" t="s">
        <v>337</v>
      </c>
      <c r="C127" s="54">
        <v>-35750</v>
      </c>
      <c r="D127" s="55">
        <v>-418.95</v>
      </c>
      <c r="E127" s="56">
        <v>-5.4999999999999997E-3</v>
      </c>
    </row>
    <row r="128" spans="2:8" ht="15.75" customHeight="1" x14ac:dyDescent="0.2">
      <c r="B128" s="53" t="s">
        <v>278</v>
      </c>
      <c r="C128" s="54">
        <v>-223300</v>
      </c>
      <c r="D128" s="55">
        <v>-907.71</v>
      </c>
      <c r="E128" s="56">
        <v>-1.18E-2</v>
      </c>
    </row>
    <row r="129" spans="2:5" ht="15.75" customHeight="1" x14ac:dyDescent="0.2">
      <c r="B129" s="53" t="s">
        <v>270</v>
      </c>
      <c r="C129" s="54">
        <v>-2300</v>
      </c>
      <c r="D129" s="55">
        <v>-276.23</v>
      </c>
      <c r="E129" s="56">
        <v>-3.5999999999999999E-3</v>
      </c>
    </row>
    <row r="130" spans="2:5" ht="15.75" customHeight="1" x14ac:dyDescent="0.2">
      <c r="B130" s="53" t="s">
        <v>366</v>
      </c>
      <c r="C130" s="54">
        <v>-5500</v>
      </c>
      <c r="D130" s="55">
        <v>-152.97999999999999</v>
      </c>
      <c r="E130" s="56">
        <v>-2E-3</v>
      </c>
    </row>
    <row r="131" spans="2:5" ht="15.75" customHeight="1" x14ac:dyDescent="0.2">
      <c r="B131" s="53" t="s">
        <v>332</v>
      </c>
      <c r="C131" s="54">
        <v>-18550</v>
      </c>
      <c r="D131" s="55">
        <v>-315.39</v>
      </c>
      <c r="E131" s="56">
        <v>-4.1000000000000003E-3</v>
      </c>
    </row>
    <row r="132" spans="2:5" ht="15.75" customHeight="1" x14ac:dyDescent="0.2">
      <c r="B132" s="53" t="s">
        <v>258</v>
      </c>
      <c r="C132" s="54">
        <v>-6300</v>
      </c>
      <c r="D132" s="55">
        <v>-237.44</v>
      </c>
      <c r="E132" s="56">
        <v>-3.0999999999999999E-3</v>
      </c>
    </row>
    <row r="133" spans="2:5" ht="15.75" customHeight="1" x14ac:dyDescent="0.2">
      <c r="B133" s="53" t="s">
        <v>419</v>
      </c>
      <c r="C133" s="54">
        <v>-6500</v>
      </c>
      <c r="D133" s="55">
        <v>-232.51</v>
      </c>
      <c r="E133" s="56">
        <v>-3.0000000000000001E-3</v>
      </c>
    </row>
    <row r="134" spans="2:5" ht="15.75" customHeight="1" x14ac:dyDescent="0.2">
      <c r="B134" s="53" t="s">
        <v>374</v>
      </c>
      <c r="C134" s="54">
        <v>-14200</v>
      </c>
      <c r="D134" s="55">
        <v>-418.25</v>
      </c>
      <c r="E134" s="56">
        <v>-5.4999999999999997E-3</v>
      </c>
    </row>
    <row r="135" spans="2:5" ht="15.75" customHeight="1" x14ac:dyDescent="0.2">
      <c r="B135" s="53" t="s">
        <v>352</v>
      </c>
      <c r="C135" s="54">
        <v>-32500</v>
      </c>
      <c r="D135" s="55">
        <v>-652.02</v>
      </c>
      <c r="E135" s="56">
        <v>-8.5000000000000006E-3</v>
      </c>
    </row>
    <row r="136" spans="2:5" ht="15.75" customHeight="1" x14ac:dyDescent="0.2">
      <c r="B136" s="53" t="s">
        <v>164</v>
      </c>
      <c r="C136" s="54">
        <v>-61600</v>
      </c>
      <c r="D136" s="55">
        <v>-612.24</v>
      </c>
      <c r="E136" s="56">
        <v>-8.0000000000000002E-3</v>
      </c>
    </row>
    <row r="137" spans="2:5" ht="15.75" customHeight="1" x14ac:dyDescent="0.2">
      <c r="B137" s="53" t="s">
        <v>199</v>
      </c>
      <c r="C137" s="54">
        <v>-54250</v>
      </c>
      <c r="D137" s="55">
        <v>-1668.51</v>
      </c>
      <c r="E137" s="56">
        <v>-2.18E-2</v>
      </c>
    </row>
    <row r="138" spans="2:5" ht="15.75" customHeight="1" x14ac:dyDescent="0.2">
      <c r="B138" s="53" t="s">
        <v>334</v>
      </c>
      <c r="C138" s="54">
        <v>-109500</v>
      </c>
      <c r="D138" s="55">
        <v>-367.32</v>
      </c>
      <c r="E138" s="56">
        <v>-4.7999999999999996E-3</v>
      </c>
    </row>
    <row r="139" spans="2:5" ht="15.75" customHeight="1" x14ac:dyDescent="0.2">
      <c r="B139" s="53" t="s">
        <v>167</v>
      </c>
      <c r="C139" s="54">
        <v>-116500</v>
      </c>
      <c r="D139" s="55">
        <v>-1742.84</v>
      </c>
      <c r="E139" s="56">
        <v>-2.2700000000000001E-2</v>
      </c>
    </row>
    <row r="140" spans="2:5" ht="15.75" customHeight="1" x14ac:dyDescent="0.2">
      <c r="B140" s="16" t="s">
        <v>317</v>
      </c>
      <c r="C140" s="57">
        <v>-1020849.9999999999</v>
      </c>
      <c r="D140" s="58">
        <v>-10957.1</v>
      </c>
      <c r="E140" s="59">
        <v>-0.14299999999999999</v>
      </c>
    </row>
    <row r="144" spans="2:5" ht="15.75" customHeight="1" thickBot="1" x14ac:dyDescent="0.25"/>
    <row r="145" spans="2:5" ht="39.75" customHeight="1" thickBot="1" x14ac:dyDescent="0.25">
      <c r="B145" s="48" t="s">
        <v>139</v>
      </c>
      <c r="C145" s="49" t="s">
        <v>140</v>
      </c>
      <c r="D145" s="49" t="s">
        <v>141</v>
      </c>
      <c r="E145" s="49" t="s">
        <v>142</v>
      </c>
    </row>
    <row r="146" spans="2:5" ht="39.75" customHeight="1" x14ac:dyDescent="0.2">
      <c r="B146" s="61" t="s">
        <v>43</v>
      </c>
      <c r="C146" s="77"/>
      <c r="D146" s="80" t="s">
        <v>452</v>
      </c>
      <c r="E146" s="81"/>
    </row>
    <row r="147" spans="2:5" ht="39.75" customHeight="1" x14ac:dyDescent="0.2">
      <c r="B147" s="52" t="s">
        <v>453</v>
      </c>
      <c r="C147" s="78"/>
      <c r="D147" s="80"/>
      <c r="E147" s="82"/>
    </row>
    <row r="148" spans="2:5" ht="39.75" customHeight="1" x14ac:dyDescent="0.2">
      <c r="B148" s="52" t="s">
        <v>454</v>
      </c>
      <c r="C148" s="78"/>
      <c r="D148" s="80"/>
      <c r="E148" s="82"/>
    </row>
    <row r="149" spans="2:5" ht="39.75" customHeight="1" thickBot="1" x14ac:dyDescent="0.25">
      <c r="B149" s="63" t="s">
        <v>455</v>
      </c>
      <c r="C149" s="79"/>
      <c r="D149" s="50" t="s">
        <v>456</v>
      </c>
      <c r="E149" s="83"/>
    </row>
    <row r="150" spans="2:5" ht="15.75" customHeight="1" x14ac:dyDescent="0.2">
      <c r="B150" s="9" t="s">
        <v>144</v>
      </c>
    </row>
    <row r="152" spans="2:5" ht="15.75" customHeight="1" x14ac:dyDescent="0.2">
      <c r="B152" s="9" t="s">
        <v>145</v>
      </c>
    </row>
    <row r="153" spans="2:5" ht="15.75" customHeight="1" x14ac:dyDescent="0.2">
      <c r="B153" s="15" t="s">
        <v>146</v>
      </c>
    </row>
  </sheetData>
  <mergeCells count="3">
    <mergeCell ref="C146:C149"/>
    <mergeCell ref="D146:D148"/>
    <mergeCell ref="E146:E149"/>
  </mergeCells>
  <hyperlinks>
    <hyperlink ref="G1" location="'Sheet1'!A1" display="Index" xr:uid="{D8A7B897-5D71-4BCF-9567-5964B31A77D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BE506-9455-4301-A609-FED4D7C13F22}">
  <dimension ref="B1:N11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302480</v>
      </c>
      <c r="F7" s="30">
        <v>2986.39</v>
      </c>
      <c r="G7" s="31">
        <v>5.5599999999999997E-2</v>
      </c>
      <c r="H7" s="32"/>
    </row>
    <row r="8" spans="2:8" ht="15.75" customHeight="1" x14ac:dyDescent="0.2">
      <c r="B8" s="28" t="s">
        <v>184</v>
      </c>
      <c r="C8" s="28" t="s">
        <v>185</v>
      </c>
      <c r="D8" s="28" t="s">
        <v>166</v>
      </c>
      <c r="E8" s="29">
        <v>168875</v>
      </c>
      <c r="F8" s="30">
        <v>2271.88</v>
      </c>
      <c r="G8" s="31">
        <v>4.2299999999999997E-2</v>
      </c>
      <c r="H8" s="32"/>
    </row>
    <row r="9" spans="2:8" ht="15.75" customHeight="1" x14ac:dyDescent="0.2">
      <c r="B9" s="28" t="s">
        <v>170</v>
      </c>
      <c r="C9" s="28" t="s">
        <v>171</v>
      </c>
      <c r="D9" s="28" t="s">
        <v>172</v>
      </c>
      <c r="E9" s="29">
        <v>83721</v>
      </c>
      <c r="F9" s="30">
        <v>1241</v>
      </c>
      <c r="G9" s="31">
        <v>2.3099999999999999E-2</v>
      </c>
      <c r="H9" s="32"/>
    </row>
    <row r="10" spans="2:8" ht="15.75" customHeight="1" x14ac:dyDescent="0.2">
      <c r="B10" s="28" t="s">
        <v>179</v>
      </c>
      <c r="C10" s="28" t="s">
        <v>180</v>
      </c>
      <c r="D10" s="28" t="s">
        <v>166</v>
      </c>
      <c r="E10" s="29">
        <v>98902</v>
      </c>
      <c r="F10" s="30">
        <v>1219.26</v>
      </c>
      <c r="G10" s="31">
        <v>2.2700000000000001E-2</v>
      </c>
      <c r="H10" s="32"/>
    </row>
    <row r="11" spans="2:8" ht="15.75" customHeight="1" x14ac:dyDescent="0.2">
      <c r="B11" s="28" t="s">
        <v>305</v>
      </c>
      <c r="C11" s="28" t="s">
        <v>306</v>
      </c>
      <c r="D11" s="28" t="s">
        <v>166</v>
      </c>
      <c r="E11" s="29">
        <v>55755</v>
      </c>
      <c r="F11" s="30">
        <v>1172.08</v>
      </c>
      <c r="G11" s="31">
        <v>2.18E-2</v>
      </c>
      <c r="H11" s="32"/>
    </row>
    <row r="12" spans="2:8" ht="15.75" customHeight="1" x14ac:dyDescent="0.2">
      <c r="B12" s="28" t="s">
        <v>167</v>
      </c>
      <c r="C12" s="28" t="s">
        <v>168</v>
      </c>
      <c r="D12" s="28" t="s">
        <v>169</v>
      </c>
      <c r="E12" s="29">
        <v>77806</v>
      </c>
      <c r="F12" s="30">
        <v>1156.51</v>
      </c>
      <c r="G12" s="31">
        <v>2.1499999999999998E-2</v>
      </c>
      <c r="H12" s="32"/>
    </row>
    <row r="13" spans="2:8" ht="15.75" customHeight="1" x14ac:dyDescent="0.2">
      <c r="B13" s="28" t="s">
        <v>457</v>
      </c>
      <c r="C13" s="28" t="s">
        <v>458</v>
      </c>
      <c r="D13" s="28" t="s">
        <v>178</v>
      </c>
      <c r="E13" s="29">
        <v>70344</v>
      </c>
      <c r="F13" s="30">
        <v>1064.8</v>
      </c>
      <c r="G13" s="31">
        <v>1.9800000000000002E-2</v>
      </c>
      <c r="H13" s="32"/>
    </row>
    <row r="14" spans="2:8" ht="15.75" customHeight="1" x14ac:dyDescent="0.2">
      <c r="B14" s="28" t="s">
        <v>186</v>
      </c>
      <c r="C14" s="28" t="s">
        <v>187</v>
      </c>
      <c r="D14" s="28" t="s">
        <v>188</v>
      </c>
      <c r="E14" s="29">
        <v>30301</v>
      </c>
      <c r="F14" s="30">
        <v>1056.6600000000001</v>
      </c>
      <c r="G14" s="31">
        <v>1.9699999999999999E-2</v>
      </c>
      <c r="H14" s="32"/>
    </row>
    <row r="15" spans="2:8" ht="15.75" customHeight="1" x14ac:dyDescent="0.2">
      <c r="B15" s="28" t="s">
        <v>459</v>
      </c>
      <c r="C15" s="28" t="s">
        <v>460</v>
      </c>
      <c r="D15" s="28" t="s">
        <v>430</v>
      </c>
      <c r="E15" s="29">
        <v>13231</v>
      </c>
      <c r="F15" s="30">
        <v>1016.27</v>
      </c>
      <c r="G15" s="31">
        <v>1.89E-2</v>
      </c>
      <c r="H15" s="32"/>
    </row>
    <row r="16" spans="2:8" ht="15.75" customHeight="1" x14ac:dyDescent="0.2">
      <c r="B16" s="28" t="s">
        <v>214</v>
      </c>
      <c r="C16" s="28" t="s">
        <v>215</v>
      </c>
      <c r="D16" s="28" t="s">
        <v>183</v>
      </c>
      <c r="E16" s="29">
        <v>233521</v>
      </c>
      <c r="F16" s="30">
        <v>981.61</v>
      </c>
      <c r="G16" s="31">
        <v>1.83E-2</v>
      </c>
      <c r="H16" s="32"/>
    </row>
    <row r="17" spans="2:8" ht="15.75" customHeight="1" x14ac:dyDescent="0.2">
      <c r="B17" s="28" t="s">
        <v>199</v>
      </c>
      <c r="C17" s="28" t="s">
        <v>200</v>
      </c>
      <c r="D17" s="28" t="s">
        <v>172</v>
      </c>
      <c r="E17" s="29">
        <v>30866</v>
      </c>
      <c r="F17" s="30">
        <v>943.88</v>
      </c>
      <c r="G17" s="31">
        <v>1.7600000000000001E-2</v>
      </c>
      <c r="H17" s="32"/>
    </row>
    <row r="18" spans="2:8" ht="15.75" customHeight="1" x14ac:dyDescent="0.2">
      <c r="B18" s="28" t="s">
        <v>327</v>
      </c>
      <c r="C18" s="28" t="s">
        <v>328</v>
      </c>
      <c r="D18" s="28" t="s">
        <v>329</v>
      </c>
      <c r="E18" s="29">
        <v>110409</v>
      </c>
      <c r="F18" s="30">
        <v>904.75</v>
      </c>
      <c r="G18" s="31">
        <v>1.6799999999999999E-2</v>
      </c>
      <c r="H18" s="32"/>
    </row>
    <row r="19" spans="2:8" ht="15.75" customHeight="1" x14ac:dyDescent="0.2">
      <c r="B19" s="28" t="s">
        <v>181</v>
      </c>
      <c r="C19" s="28" t="s">
        <v>182</v>
      </c>
      <c r="D19" s="28" t="s">
        <v>183</v>
      </c>
      <c r="E19" s="29">
        <v>34404</v>
      </c>
      <c r="F19" s="30">
        <v>848.23</v>
      </c>
      <c r="G19" s="31">
        <v>1.5800000000000002E-2</v>
      </c>
      <c r="H19" s="32"/>
    </row>
    <row r="20" spans="2:8" ht="15.75" customHeight="1" x14ac:dyDescent="0.2">
      <c r="B20" s="28" t="s">
        <v>461</v>
      </c>
      <c r="C20" s="28" t="s">
        <v>462</v>
      </c>
      <c r="D20" s="28" t="s">
        <v>463</v>
      </c>
      <c r="E20" s="29">
        <v>64660</v>
      </c>
      <c r="F20" s="30">
        <v>842.65</v>
      </c>
      <c r="G20" s="31">
        <v>1.5699999999999999E-2</v>
      </c>
      <c r="H20" s="32"/>
    </row>
    <row r="21" spans="2:8" ht="15.75" customHeight="1" x14ac:dyDescent="0.2">
      <c r="B21" s="28" t="s">
        <v>464</v>
      </c>
      <c r="C21" s="28" t="s">
        <v>465</v>
      </c>
      <c r="D21" s="28" t="s">
        <v>466</v>
      </c>
      <c r="E21" s="29">
        <v>311200</v>
      </c>
      <c r="F21" s="30">
        <v>802.58</v>
      </c>
      <c r="G21" s="31">
        <v>1.49E-2</v>
      </c>
      <c r="H21" s="32"/>
    </row>
    <row r="22" spans="2:8" ht="15.75" customHeight="1" x14ac:dyDescent="0.2">
      <c r="B22" s="28" t="s">
        <v>231</v>
      </c>
      <c r="C22" s="28" t="s">
        <v>232</v>
      </c>
      <c r="D22" s="28" t="s">
        <v>233</v>
      </c>
      <c r="E22" s="29">
        <v>8476</v>
      </c>
      <c r="F22" s="30">
        <v>783.48</v>
      </c>
      <c r="G22" s="31">
        <v>1.46E-2</v>
      </c>
      <c r="H22" s="32"/>
    </row>
    <row r="23" spans="2:8" ht="15.75" customHeight="1" x14ac:dyDescent="0.2">
      <c r="B23" s="28" t="s">
        <v>421</v>
      </c>
      <c r="C23" s="28" t="s">
        <v>422</v>
      </c>
      <c r="D23" s="28" t="s">
        <v>175</v>
      </c>
      <c r="E23" s="29">
        <v>24473</v>
      </c>
      <c r="F23" s="30">
        <v>777.92</v>
      </c>
      <c r="G23" s="31">
        <v>1.4500000000000001E-2</v>
      </c>
      <c r="H23" s="32"/>
    </row>
    <row r="24" spans="2:8" ht="15.75" customHeight="1" x14ac:dyDescent="0.2">
      <c r="B24" s="28" t="s">
        <v>340</v>
      </c>
      <c r="C24" s="28" t="s">
        <v>341</v>
      </c>
      <c r="D24" s="28" t="s">
        <v>263</v>
      </c>
      <c r="E24" s="29">
        <v>55111</v>
      </c>
      <c r="F24" s="30">
        <v>766.65</v>
      </c>
      <c r="G24" s="31">
        <v>1.43E-2</v>
      </c>
      <c r="H24" s="32"/>
    </row>
    <row r="25" spans="2:8" ht="15.75" customHeight="1" x14ac:dyDescent="0.2">
      <c r="B25" s="28" t="s">
        <v>324</v>
      </c>
      <c r="C25" s="28" t="s">
        <v>325</v>
      </c>
      <c r="D25" s="28" t="s">
        <v>326</v>
      </c>
      <c r="E25" s="29">
        <v>19001</v>
      </c>
      <c r="F25" s="30">
        <v>765.91</v>
      </c>
      <c r="G25" s="31">
        <v>1.43E-2</v>
      </c>
      <c r="H25" s="32"/>
    </row>
    <row r="26" spans="2:8" ht="15.75" customHeight="1" x14ac:dyDescent="0.2">
      <c r="B26" s="28" t="s">
        <v>467</v>
      </c>
      <c r="C26" s="28" t="s">
        <v>468</v>
      </c>
      <c r="D26" s="28" t="s">
        <v>188</v>
      </c>
      <c r="E26" s="29">
        <v>21228</v>
      </c>
      <c r="F26" s="30">
        <v>744.83</v>
      </c>
      <c r="G26" s="31">
        <v>1.3899999999999999E-2</v>
      </c>
      <c r="H26" s="32"/>
    </row>
    <row r="27" spans="2:8" ht="15.75" customHeight="1" x14ac:dyDescent="0.2">
      <c r="B27" s="28" t="s">
        <v>216</v>
      </c>
      <c r="C27" s="28" t="s">
        <v>217</v>
      </c>
      <c r="D27" s="28" t="s">
        <v>218</v>
      </c>
      <c r="E27" s="29">
        <v>170105</v>
      </c>
      <c r="F27" s="30">
        <v>724.82</v>
      </c>
      <c r="G27" s="31">
        <v>1.35E-2</v>
      </c>
      <c r="H27" s="32"/>
    </row>
    <row r="28" spans="2:8" ht="15.75" customHeight="1" x14ac:dyDescent="0.2">
      <c r="B28" s="28" t="s">
        <v>469</v>
      </c>
      <c r="C28" s="28" t="s">
        <v>470</v>
      </c>
      <c r="D28" s="28" t="s">
        <v>221</v>
      </c>
      <c r="E28" s="29">
        <v>138457</v>
      </c>
      <c r="F28" s="30">
        <v>696.23</v>
      </c>
      <c r="G28" s="31">
        <v>1.2999999999999999E-2</v>
      </c>
      <c r="H28" s="32"/>
    </row>
    <row r="29" spans="2:8" ht="15.75" customHeight="1" x14ac:dyDescent="0.2">
      <c r="B29" s="28" t="s">
        <v>471</v>
      </c>
      <c r="C29" s="28" t="s">
        <v>472</v>
      </c>
      <c r="D29" s="28" t="s">
        <v>326</v>
      </c>
      <c r="E29" s="29">
        <v>150752</v>
      </c>
      <c r="F29" s="30">
        <v>675.44</v>
      </c>
      <c r="G29" s="31">
        <v>1.26E-2</v>
      </c>
      <c r="H29" s="32"/>
    </row>
    <row r="30" spans="2:8" ht="15.75" customHeight="1" x14ac:dyDescent="0.2">
      <c r="B30" s="28" t="s">
        <v>206</v>
      </c>
      <c r="C30" s="28" t="s">
        <v>207</v>
      </c>
      <c r="D30" s="28" t="s">
        <v>208</v>
      </c>
      <c r="E30" s="29">
        <v>32603</v>
      </c>
      <c r="F30" s="30">
        <v>669.83</v>
      </c>
      <c r="G30" s="31">
        <v>1.2500000000000001E-2</v>
      </c>
      <c r="H30" s="32"/>
    </row>
    <row r="31" spans="2:8" ht="15.75" customHeight="1" x14ac:dyDescent="0.2">
      <c r="B31" s="28" t="s">
        <v>473</v>
      </c>
      <c r="C31" s="28" t="s">
        <v>474</v>
      </c>
      <c r="D31" s="28" t="s">
        <v>224</v>
      </c>
      <c r="E31" s="29">
        <v>333476</v>
      </c>
      <c r="F31" s="30">
        <v>665.72</v>
      </c>
      <c r="G31" s="31">
        <v>1.24E-2</v>
      </c>
      <c r="H31" s="32"/>
    </row>
    <row r="32" spans="2:8" ht="15.75" customHeight="1" x14ac:dyDescent="0.2">
      <c r="B32" s="28" t="s">
        <v>475</v>
      </c>
      <c r="C32" s="28" t="s">
        <v>476</v>
      </c>
      <c r="D32" s="28" t="s">
        <v>172</v>
      </c>
      <c r="E32" s="29">
        <v>11651</v>
      </c>
      <c r="F32" s="30">
        <v>662.3</v>
      </c>
      <c r="G32" s="31">
        <v>1.23E-2</v>
      </c>
      <c r="H32" s="32"/>
    </row>
    <row r="33" spans="2:8" ht="15.75" customHeight="1" x14ac:dyDescent="0.2">
      <c r="B33" s="28" t="s">
        <v>222</v>
      </c>
      <c r="C33" s="28" t="s">
        <v>223</v>
      </c>
      <c r="D33" s="28" t="s">
        <v>224</v>
      </c>
      <c r="E33" s="29">
        <v>57479</v>
      </c>
      <c r="F33" s="30">
        <v>654.63</v>
      </c>
      <c r="G33" s="31">
        <v>1.2200000000000001E-2</v>
      </c>
      <c r="H33" s="32"/>
    </row>
    <row r="34" spans="2:8" ht="15.75" customHeight="1" x14ac:dyDescent="0.2">
      <c r="B34" s="28" t="s">
        <v>366</v>
      </c>
      <c r="C34" s="28" t="s">
        <v>367</v>
      </c>
      <c r="D34" s="28" t="s">
        <v>172</v>
      </c>
      <c r="E34" s="29">
        <v>22898</v>
      </c>
      <c r="F34" s="30">
        <v>632.99</v>
      </c>
      <c r="G34" s="31">
        <v>1.18E-2</v>
      </c>
      <c r="H34" s="32"/>
    </row>
    <row r="35" spans="2:8" ht="15.75" customHeight="1" x14ac:dyDescent="0.2">
      <c r="B35" s="28" t="s">
        <v>173</v>
      </c>
      <c r="C35" s="28" t="s">
        <v>174</v>
      </c>
      <c r="D35" s="28" t="s">
        <v>175</v>
      </c>
      <c r="E35" s="29">
        <v>83703</v>
      </c>
      <c r="F35" s="30">
        <v>626.85</v>
      </c>
      <c r="G35" s="31">
        <v>1.17E-2</v>
      </c>
      <c r="H35" s="32"/>
    </row>
    <row r="36" spans="2:8" ht="15.75" customHeight="1" x14ac:dyDescent="0.2">
      <c r="B36" s="28" t="s">
        <v>296</v>
      </c>
      <c r="C36" s="28" t="s">
        <v>297</v>
      </c>
      <c r="D36" s="28" t="s">
        <v>175</v>
      </c>
      <c r="E36" s="29">
        <v>152616</v>
      </c>
      <c r="F36" s="30">
        <v>615.41999999999996</v>
      </c>
      <c r="G36" s="31">
        <v>1.15E-2</v>
      </c>
      <c r="H36" s="32"/>
    </row>
    <row r="37" spans="2:8" ht="15.75" customHeight="1" x14ac:dyDescent="0.2">
      <c r="B37" s="28" t="s">
        <v>270</v>
      </c>
      <c r="C37" s="28" t="s">
        <v>271</v>
      </c>
      <c r="D37" s="28" t="s">
        <v>269</v>
      </c>
      <c r="E37" s="29">
        <v>5116</v>
      </c>
      <c r="F37" s="30">
        <v>611.21</v>
      </c>
      <c r="G37" s="31">
        <v>1.14E-2</v>
      </c>
      <c r="H37" s="32"/>
    </row>
    <row r="38" spans="2:8" ht="15.75" customHeight="1" x14ac:dyDescent="0.2">
      <c r="B38" s="28" t="s">
        <v>477</v>
      </c>
      <c r="C38" s="28" t="s">
        <v>478</v>
      </c>
      <c r="D38" s="28" t="s">
        <v>290</v>
      </c>
      <c r="E38" s="29">
        <v>19830</v>
      </c>
      <c r="F38" s="30">
        <v>602.32000000000005</v>
      </c>
      <c r="G38" s="31">
        <v>1.12E-2</v>
      </c>
      <c r="H38" s="32"/>
    </row>
    <row r="39" spans="2:8" ht="15.75" customHeight="1" x14ac:dyDescent="0.2">
      <c r="B39" s="28" t="s">
        <v>479</v>
      </c>
      <c r="C39" s="28" t="s">
        <v>480</v>
      </c>
      <c r="D39" s="28" t="s">
        <v>430</v>
      </c>
      <c r="E39" s="29">
        <v>58744</v>
      </c>
      <c r="F39" s="30">
        <v>600.98</v>
      </c>
      <c r="G39" s="31">
        <v>1.12E-2</v>
      </c>
      <c r="H39" s="32"/>
    </row>
    <row r="40" spans="2:8" ht="15.75" customHeight="1" x14ac:dyDescent="0.2">
      <c r="B40" s="28" t="s">
        <v>481</v>
      </c>
      <c r="C40" s="28" t="s">
        <v>482</v>
      </c>
      <c r="D40" s="28" t="s">
        <v>263</v>
      </c>
      <c r="E40" s="29">
        <v>44073</v>
      </c>
      <c r="F40" s="30">
        <v>590.36</v>
      </c>
      <c r="G40" s="31">
        <v>1.0999999999999999E-2</v>
      </c>
      <c r="H40" s="32"/>
    </row>
    <row r="41" spans="2:8" ht="15.75" customHeight="1" x14ac:dyDescent="0.2">
      <c r="B41" s="28" t="s">
        <v>483</v>
      </c>
      <c r="C41" s="28" t="s">
        <v>484</v>
      </c>
      <c r="D41" s="28" t="s">
        <v>290</v>
      </c>
      <c r="E41" s="29">
        <v>34768</v>
      </c>
      <c r="F41" s="30">
        <v>589.87</v>
      </c>
      <c r="G41" s="31">
        <v>1.0999999999999999E-2</v>
      </c>
      <c r="H41" s="32"/>
    </row>
    <row r="42" spans="2:8" ht="15.75" customHeight="1" x14ac:dyDescent="0.2">
      <c r="B42" s="28" t="s">
        <v>281</v>
      </c>
      <c r="C42" s="28" t="s">
        <v>282</v>
      </c>
      <c r="D42" s="28" t="s">
        <v>249</v>
      </c>
      <c r="E42" s="29">
        <v>39856</v>
      </c>
      <c r="F42" s="30">
        <v>570.5</v>
      </c>
      <c r="G42" s="31">
        <v>1.06E-2</v>
      </c>
      <c r="H42" s="32"/>
    </row>
    <row r="43" spans="2:8" ht="15.75" customHeight="1" x14ac:dyDescent="0.2">
      <c r="B43" s="28" t="s">
        <v>485</v>
      </c>
      <c r="C43" s="28" t="s">
        <v>486</v>
      </c>
      <c r="D43" s="28" t="s">
        <v>224</v>
      </c>
      <c r="E43" s="29">
        <v>30657</v>
      </c>
      <c r="F43" s="30">
        <v>568.41</v>
      </c>
      <c r="G43" s="31">
        <v>1.06E-2</v>
      </c>
      <c r="H43" s="32"/>
    </row>
    <row r="44" spans="2:8" ht="15.75" customHeight="1" x14ac:dyDescent="0.2">
      <c r="B44" s="28" t="s">
        <v>219</v>
      </c>
      <c r="C44" s="28" t="s">
        <v>220</v>
      </c>
      <c r="D44" s="28" t="s">
        <v>221</v>
      </c>
      <c r="E44" s="29">
        <v>11909</v>
      </c>
      <c r="F44" s="30">
        <v>559.04</v>
      </c>
      <c r="G44" s="31">
        <v>1.04E-2</v>
      </c>
      <c r="H44" s="32"/>
    </row>
    <row r="45" spans="2:8" ht="15.75" customHeight="1" x14ac:dyDescent="0.2">
      <c r="B45" s="28" t="s">
        <v>267</v>
      </c>
      <c r="C45" s="28" t="s">
        <v>268</v>
      </c>
      <c r="D45" s="28" t="s">
        <v>269</v>
      </c>
      <c r="E45" s="29">
        <v>18948</v>
      </c>
      <c r="F45" s="30">
        <v>547.91999999999996</v>
      </c>
      <c r="G45" s="31">
        <v>1.0200000000000001E-2</v>
      </c>
      <c r="H45" s="32"/>
    </row>
    <row r="46" spans="2:8" ht="15.75" customHeight="1" x14ac:dyDescent="0.2">
      <c r="B46" s="28" t="s">
        <v>487</v>
      </c>
      <c r="C46" s="28" t="s">
        <v>488</v>
      </c>
      <c r="D46" s="28" t="s">
        <v>329</v>
      </c>
      <c r="E46" s="29">
        <v>13513</v>
      </c>
      <c r="F46" s="30">
        <v>544.84</v>
      </c>
      <c r="G46" s="31">
        <v>1.01E-2</v>
      </c>
      <c r="H46" s="32"/>
    </row>
    <row r="47" spans="2:8" ht="15.75" customHeight="1" x14ac:dyDescent="0.2">
      <c r="B47" s="28" t="s">
        <v>278</v>
      </c>
      <c r="C47" s="28" t="s">
        <v>279</v>
      </c>
      <c r="D47" s="28" t="s">
        <v>280</v>
      </c>
      <c r="E47" s="29">
        <v>131330</v>
      </c>
      <c r="F47" s="30">
        <v>531.76</v>
      </c>
      <c r="G47" s="31">
        <v>9.9000000000000008E-3</v>
      </c>
      <c r="H47" s="32"/>
    </row>
    <row r="48" spans="2:8" ht="15.75" customHeight="1" x14ac:dyDescent="0.2">
      <c r="B48" s="28" t="s">
        <v>247</v>
      </c>
      <c r="C48" s="28" t="s">
        <v>248</v>
      </c>
      <c r="D48" s="28" t="s">
        <v>249</v>
      </c>
      <c r="E48" s="29">
        <v>112577</v>
      </c>
      <c r="F48" s="30">
        <v>528.72</v>
      </c>
      <c r="G48" s="31">
        <v>9.7999999999999997E-3</v>
      </c>
      <c r="H48" s="32"/>
    </row>
    <row r="49" spans="2:8" ht="15.75" customHeight="1" x14ac:dyDescent="0.2">
      <c r="B49" s="28" t="s">
        <v>374</v>
      </c>
      <c r="C49" s="28" t="s">
        <v>375</v>
      </c>
      <c r="D49" s="28" t="s">
        <v>349</v>
      </c>
      <c r="E49" s="29">
        <v>17954</v>
      </c>
      <c r="F49" s="30">
        <v>526.14</v>
      </c>
      <c r="G49" s="31">
        <v>9.7999999999999997E-3</v>
      </c>
      <c r="H49" s="32"/>
    </row>
    <row r="50" spans="2:8" ht="15.75" customHeight="1" x14ac:dyDescent="0.2">
      <c r="B50" s="28" t="s">
        <v>357</v>
      </c>
      <c r="C50" s="28" t="s">
        <v>358</v>
      </c>
      <c r="D50" s="28" t="s">
        <v>175</v>
      </c>
      <c r="E50" s="29">
        <v>55859</v>
      </c>
      <c r="F50" s="30">
        <v>490.81</v>
      </c>
      <c r="G50" s="31">
        <v>9.1000000000000004E-3</v>
      </c>
      <c r="H50" s="32"/>
    </row>
    <row r="51" spans="2:8" ht="15.75" customHeight="1" x14ac:dyDescent="0.2">
      <c r="B51" s="28" t="s">
        <v>426</v>
      </c>
      <c r="C51" s="28" t="s">
        <v>427</v>
      </c>
      <c r="D51" s="28" t="s">
        <v>172</v>
      </c>
      <c r="E51" s="29">
        <v>41241</v>
      </c>
      <c r="F51" s="30">
        <v>481.16</v>
      </c>
      <c r="G51" s="31">
        <v>8.9999999999999993E-3</v>
      </c>
      <c r="H51" s="32"/>
    </row>
    <row r="52" spans="2:8" ht="15.75" customHeight="1" x14ac:dyDescent="0.2">
      <c r="B52" s="28" t="s">
        <v>489</v>
      </c>
      <c r="C52" s="28" t="s">
        <v>490</v>
      </c>
      <c r="D52" s="28" t="s">
        <v>349</v>
      </c>
      <c r="E52" s="29">
        <v>26538</v>
      </c>
      <c r="F52" s="30">
        <v>438.49</v>
      </c>
      <c r="G52" s="31">
        <v>8.2000000000000007E-3</v>
      </c>
      <c r="H52" s="32"/>
    </row>
    <row r="53" spans="2:8" ht="15.75" customHeight="1" x14ac:dyDescent="0.2">
      <c r="B53" s="28" t="s">
        <v>491</v>
      </c>
      <c r="C53" s="28" t="s">
        <v>492</v>
      </c>
      <c r="D53" s="28" t="s">
        <v>166</v>
      </c>
      <c r="E53" s="29">
        <v>184929</v>
      </c>
      <c r="F53" s="30">
        <v>437.56</v>
      </c>
      <c r="G53" s="31">
        <v>8.0999999999999996E-3</v>
      </c>
      <c r="H53" s="32"/>
    </row>
    <row r="54" spans="2:8" ht="15.75" customHeight="1" x14ac:dyDescent="0.2">
      <c r="B54" s="28" t="s">
        <v>493</v>
      </c>
      <c r="C54" s="28" t="s">
        <v>494</v>
      </c>
      <c r="D54" s="28" t="s">
        <v>495</v>
      </c>
      <c r="E54" s="29">
        <v>184144</v>
      </c>
      <c r="F54" s="30">
        <v>399.37</v>
      </c>
      <c r="G54" s="31">
        <v>7.4000000000000003E-3</v>
      </c>
      <c r="H54" s="32"/>
    </row>
    <row r="55" spans="2:8" ht="15.75" customHeight="1" x14ac:dyDescent="0.2">
      <c r="B55" s="28" t="s">
        <v>496</v>
      </c>
      <c r="C55" s="28" t="s">
        <v>497</v>
      </c>
      <c r="D55" s="28" t="s">
        <v>246</v>
      </c>
      <c r="E55" s="29">
        <v>22868</v>
      </c>
      <c r="F55" s="30">
        <v>398.98</v>
      </c>
      <c r="G55" s="31">
        <v>7.4000000000000003E-3</v>
      </c>
      <c r="H55" s="32"/>
    </row>
    <row r="56" spans="2:8" ht="15.75" customHeight="1" x14ac:dyDescent="0.2">
      <c r="B56" s="28" t="s">
        <v>274</v>
      </c>
      <c r="C56" s="28" t="s">
        <v>275</v>
      </c>
      <c r="D56" s="28" t="s">
        <v>178</v>
      </c>
      <c r="E56" s="29">
        <v>351308</v>
      </c>
      <c r="F56" s="30">
        <v>370.24</v>
      </c>
      <c r="G56" s="31">
        <v>6.8999999999999999E-3</v>
      </c>
      <c r="H56" s="32"/>
    </row>
    <row r="57" spans="2:8" ht="15.75" customHeight="1" x14ac:dyDescent="0.2">
      <c r="B57" s="28" t="s">
        <v>355</v>
      </c>
      <c r="C57" s="28" t="s">
        <v>356</v>
      </c>
      <c r="D57" s="28" t="s">
        <v>208</v>
      </c>
      <c r="E57" s="29">
        <v>18382</v>
      </c>
      <c r="F57" s="30">
        <v>342.05</v>
      </c>
      <c r="G57" s="31">
        <v>6.4000000000000003E-3</v>
      </c>
      <c r="H57" s="32"/>
    </row>
    <row r="58" spans="2:8" ht="15.75" customHeight="1" x14ac:dyDescent="0.2">
      <c r="B58" s="28" t="s">
        <v>498</v>
      </c>
      <c r="C58" s="28" t="s">
        <v>499</v>
      </c>
      <c r="D58" s="28" t="s">
        <v>224</v>
      </c>
      <c r="E58" s="29">
        <v>6020</v>
      </c>
      <c r="F58" s="30">
        <v>331.49</v>
      </c>
      <c r="G58" s="31">
        <v>6.1999999999999998E-3</v>
      </c>
      <c r="H58" s="32"/>
    </row>
    <row r="59" spans="2:8" ht="15.75" customHeight="1" x14ac:dyDescent="0.2">
      <c r="B59" s="28" t="s">
        <v>417</v>
      </c>
      <c r="C59" s="28" t="s">
        <v>418</v>
      </c>
      <c r="D59" s="28" t="s">
        <v>175</v>
      </c>
      <c r="E59" s="29">
        <v>40918</v>
      </c>
      <c r="F59" s="30">
        <v>299.23</v>
      </c>
      <c r="G59" s="31">
        <v>5.5999999999999999E-3</v>
      </c>
      <c r="H59" s="32"/>
    </row>
    <row r="60" spans="2:8" ht="15.75" customHeight="1" x14ac:dyDescent="0.2">
      <c r="B60" s="28" t="s">
        <v>500</v>
      </c>
      <c r="C60" s="28" t="s">
        <v>501</v>
      </c>
      <c r="D60" s="28" t="s">
        <v>502</v>
      </c>
      <c r="E60" s="29">
        <v>18306</v>
      </c>
      <c r="F60" s="30">
        <v>83.27</v>
      </c>
      <c r="G60" s="31">
        <v>1.6000000000000001E-3</v>
      </c>
      <c r="H60" s="32"/>
    </row>
    <row r="61" spans="2:8" ht="15.75" customHeight="1" x14ac:dyDescent="0.2">
      <c r="B61" s="27" t="s">
        <v>127</v>
      </c>
      <c r="C61" s="27"/>
      <c r="D61" s="27"/>
      <c r="E61" s="33"/>
      <c r="F61" s="34">
        <f>SUM(F7:F60)</f>
        <v>40416.29</v>
      </c>
      <c r="G61" s="35">
        <v>0.75249999999999995</v>
      </c>
      <c r="H61" s="36"/>
    </row>
    <row r="62" spans="2:8" ht="15.75" customHeight="1" x14ac:dyDescent="0.2">
      <c r="B62" s="27" t="s">
        <v>189</v>
      </c>
      <c r="C62" s="28"/>
      <c r="D62" s="28"/>
      <c r="E62" s="29"/>
      <c r="F62" s="30"/>
      <c r="G62" s="31"/>
      <c r="H62" s="32"/>
    </row>
    <row r="63" spans="2:8" ht="15.75" customHeight="1" x14ac:dyDescent="0.2">
      <c r="B63" s="27" t="s">
        <v>127</v>
      </c>
      <c r="C63" s="28"/>
      <c r="D63" s="28"/>
      <c r="E63" s="29"/>
      <c r="F63" s="37" t="s">
        <v>129</v>
      </c>
      <c r="G63" s="38" t="s">
        <v>129</v>
      </c>
      <c r="H63" s="32"/>
    </row>
    <row r="64" spans="2:8" ht="15.75" customHeight="1" x14ac:dyDescent="0.2">
      <c r="B64" s="28"/>
      <c r="C64" s="28"/>
      <c r="D64" s="28"/>
      <c r="E64" s="29"/>
      <c r="F64" s="30"/>
      <c r="G64" s="31"/>
      <c r="H64" s="32"/>
    </row>
    <row r="65" spans="2:14" ht="15.75" customHeight="1" x14ac:dyDescent="0.2">
      <c r="B65" s="39" t="s">
        <v>131</v>
      </c>
      <c r="C65" s="39"/>
      <c r="D65" s="39"/>
      <c r="E65" s="40"/>
      <c r="F65" s="34">
        <f>F61</f>
        <v>40416.29</v>
      </c>
      <c r="G65" s="35">
        <v>0.75249999999999995</v>
      </c>
      <c r="H65" s="36"/>
    </row>
    <row r="66" spans="2:14" ht="15.75" customHeight="1" x14ac:dyDescent="0.2">
      <c r="B66" s="28"/>
      <c r="C66" s="28"/>
      <c r="D66" s="28"/>
      <c r="E66" s="29"/>
      <c r="F66" s="30"/>
      <c r="G66" s="31"/>
      <c r="H66" s="32"/>
    </row>
    <row r="67" spans="2:14" ht="15.75" customHeight="1" x14ac:dyDescent="0.2">
      <c r="B67" s="27" t="s">
        <v>107</v>
      </c>
      <c r="C67" s="28"/>
      <c r="D67" s="28"/>
      <c r="E67" s="29"/>
      <c r="F67" s="30"/>
      <c r="G67" s="31"/>
      <c r="H67" s="32"/>
      <c r="J67" s="3"/>
    </row>
    <row r="68" spans="2:14" ht="15.75" customHeight="1" x14ac:dyDescent="0.2">
      <c r="B68" s="27" t="s">
        <v>108</v>
      </c>
      <c r="C68" s="28"/>
      <c r="D68" s="28"/>
      <c r="E68" s="29"/>
      <c r="F68" s="30"/>
      <c r="G68" s="31"/>
      <c r="H68" s="32"/>
    </row>
    <row r="69" spans="2:14" ht="15.75" customHeight="1" x14ac:dyDescent="0.2">
      <c r="B69" s="28" t="s">
        <v>1122</v>
      </c>
      <c r="C69" s="28" t="s">
        <v>503</v>
      </c>
      <c r="D69" s="28" t="s">
        <v>188</v>
      </c>
      <c r="E69" s="29">
        <v>84912</v>
      </c>
      <c r="F69" s="30">
        <v>8.57</v>
      </c>
      <c r="G69" s="31">
        <v>2.0000000000000001E-4</v>
      </c>
      <c r="H69" s="32"/>
    </row>
    <row r="70" spans="2:14" ht="15.75" customHeight="1" x14ac:dyDescent="0.2">
      <c r="B70" s="28" t="s">
        <v>504</v>
      </c>
      <c r="C70" s="28" t="s">
        <v>505</v>
      </c>
      <c r="D70" s="28" t="s">
        <v>111</v>
      </c>
      <c r="E70" s="29">
        <v>1500000</v>
      </c>
      <c r="F70" s="30">
        <v>1607.13</v>
      </c>
      <c r="G70" s="31">
        <v>2.9899999999999999E-2</v>
      </c>
      <c r="H70" s="32">
        <v>7.2557999999999997E-2</v>
      </c>
      <c r="J70" s="3"/>
    </row>
    <row r="71" spans="2:14" ht="15.75" customHeight="1" x14ac:dyDescent="0.2">
      <c r="B71" s="28" t="s">
        <v>154</v>
      </c>
      <c r="C71" s="28" t="s">
        <v>446</v>
      </c>
      <c r="D71" s="28" t="s">
        <v>111</v>
      </c>
      <c r="E71" s="29">
        <v>1500000</v>
      </c>
      <c r="F71" s="30">
        <v>1568.58</v>
      </c>
      <c r="G71" s="31">
        <v>2.92E-2</v>
      </c>
      <c r="H71" s="32">
        <v>6.9646E-2</v>
      </c>
      <c r="J71" s="3"/>
    </row>
    <row r="72" spans="2:14" ht="15.75" customHeight="1" x14ac:dyDescent="0.2">
      <c r="B72" s="28" t="s">
        <v>121</v>
      </c>
      <c r="C72" s="28" t="s">
        <v>122</v>
      </c>
      <c r="D72" s="28" t="s">
        <v>111</v>
      </c>
      <c r="E72" s="29">
        <v>1098400</v>
      </c>
      <c r="F72" s="30">
        <v>1103.6300000000001</v>
      </c>
      <c r="G72" s="31">
        <v>2.0500000000000001E-2</v>
      </c>
      <c r="H72" s="32">
        <v>7.4507000000000004E-2</v>
      </c>
      <c r="J72" s="3"/>
    </row>
    <row r="73" spans="2:14" ht="15.75" customHeight="1" x14ac:dyDescent="0.2">
      <c r="B73" s="28" t="s">
        <v>151</v>
      </c>
      <c r="C73" s="28" t="s">
        <v>152</v>
      </c>
      <c r="D73" s="28" t="s">
        <v>153</v>
      </c>
      <c r="E73" s="29">
        <v>100</v>
      </c>
      <c r="F73" s="30">
        <v>1077.71</v>
      </c>
      <c r="G73" s="31">
        <v>2.01E-2</v>
      </c>
      <c r="H73" s="32">
        <v>6.6725999999999994E-2</v>
      </c>
      <c r="J73" s="3"/>
    </row>
    <row r="74" spans="2:14" ht="15.75" customHeight="1" x14ac:dyDescent="0.2">
      <c r="B74" s="28" t="s">
        <v>506</v>
      </c>
      <c r="C74" s="28" t="s">
        <v>507</v>
      </c>
      <c r="D74" s="28" t="s">
        <v>111</v>
      </c>
      <c r="E74" s="29">
        <v>1000000</v>
      </c>
      <c r="F74" s="30">
        <v>1070.8</v>
      </c>
      <c r="G74" s="31">
        <v>1.9900000000000001E-2</v>
      </c>
      <c r="H74" s="32">
        <v>7.2777999999999995E-2</v>
      </c>
      <c r="J74" s="3"/>
    </row>
    <row r="75" spans="2:14" ht="15.75" customHeight="1" x14ac:dyDescent="0.2">
      <c r="B75" s="28" t="s">
        <v>508</v>
      </c>
      <c r="C75" s="28" t="s">
        <v>509</v>
      </c>
      <c r="D75" s="28" t="s">
        <v>111</v>
      </c>
      <c r="E75" s="29">
        <v>1000000</v>
      </c>
      <c r="F75" s="30">
        <v>1025.24</v>
      </c>
      <c r="G75" s="31">
        <v>1.9099999999999999E-2</v>
      </c>
      <c r="H75" s="32">
        <v>7.3607000000000006E-2</v>
      </c>
      <c r="J75" s="5"/>
      <c r="K75" s="5"/>
      <c r="L75" s="6"/>
      <c r="M75" s="6"/>
      <c r="N75" s="5"/>
    </row>
    <row r="76" spans="2:14" ht="15.75" customHeight="1" x14ac:dyDescent="0.2">
      <c r="B76" s="28" t="s">
        <v>198</v>
      </c>
      <c r="C76" s="28" t="s">
        <v>510</v>
      </c>
      <c r="D76" s="28" t="s">
        <v>111</v>
      </c>
      <c r="E76" s="29">
        <v>1000000</v>
      </c>
      <c r="F76" s="30">
        <v>694.9</v>
      </c>
      <c r="G76" s="31">
        <v>1.29E-2</v>
      </c>
      <c r="H76" s="32">
        <v>6.8107000000000001E-2</v>
      </c>
    </row>
    <row r="77" spans="2:14" ht="15.75" customHeight="1" x14ac:dyDescent="0.2">
      <c r="B77" s="28" t="s">
        <v>112</v>
      </c>
      <c r="C77" s="28" t="s">
        <v>511</v>
      </c>
      <c r="D77" s="28" t="s">
        <v>111</v>
      </c>
      <c r="E77" s="29">
        <v>500000</v>
      </c>
      <c r="F77" s="30">
        <v>535.80999999999995</v>
      </c>
      <c r="G77" s="31">
        <v>0.01</v>
      </c>
      <c r="H77" s="32">
        <v>7.2777999999999995E-2</v>
      </c>
    </row>
    <row r="78" spans="2:14" ht="15.75" customHeight="1" x14ac:dyDescent="0.2">
      <c r="B78" s="28" t="s">
        <v>116</v>
      </c>
      <c r="C78" s="28" t="s">
        <v>117</v>
      </c>
      <c r="D78" s="28" t="s">
        <v>111</v>
      </c>
      <c r="E78" s="29">
        <v>500000</v>
      </c>
      <c r="F78" s="30">
        <v>535.25</v>
      </c>
      <c r="G78" s="31">
        <v>0.01</v>
      </c>
      <c r="H78" s="32">
        <v>6.9631999999999999E-2</v>
      </c>
      <c r="J78" s="7"/>
      <c r="K78" s="7"/>
      <c r="L78" s="7"/>
      <c r="M78" s="7"/>
      <c r="N78" s="7"/>
    </row>
    <row r="79" spans="2:14" ht="15.75" customHeight="1" x14ac:dyDescent="0.2">
      <c r="B79" s="28" t="s">
        <v>512</v>
      </c>
      <c r="C79" s="28" t="s">
        <v>513</v>
      </c>
      <c r="D79" s="28" t="s">
        <v>120</v>
      </c>
      <c r="E79" s="29">
        <v>500</v>
      </c>
      <c r="F79" s="30">
        <v>532.01</v>
      </c>
      <c r="G79" s="31">
        <v>9.9000000000000008E-3</v>
      </c>
      <c r="H79" s="32">
        <v>6.6000000000000003E-2</v>
      </c>
      <c r="J79" s="7"/>
      <c r="K79" s="7"/>
      <c r="L79" s="7"/>
      <c r="M79" s="7"/>
      <c r="N79" s="7"/>
    </row>
    <row r="80" spans="2:14" ht="15.75" customHeight="1" x14ac:dyDescent="0.2">
      <c r="B80" s="28" t="s">
        <v>514</v>
      </c>
      <c r="C80" s="28" t="s">
        <v>515</v>
      </c>
      <c r="D80" s="28" t="s">
        <v>111</v>
      </c>
      <c r="E80" s="29">
        <v>500000</v>
      </c>
      <c r="F80" s="30">
        <v>525.34</v>
      </c>
      <c r="G80" s="31">
        <v>9.7999999999999997E-3</v>
      </c>
      <c r="H80" s="32">
        <v>7.3188000000000003E-2</v>
      </c>
      <c r="J80" s="7"/>
      <c r="K80" s="7"/>
      <c r="L80" s="7"/>
      <c r="M80" s="7"/>
      <c r="N80" s="7"/>
    </row>
    <row r="81" spans="2:14" ht="15.75" customHeight="1" x14ac:dyDescent="0.2">
      <c r="B81" s="28" t="s">
        <v>516</v>
      </c>
      <c r="C81" s="28" t="s">
        <v>517</v>
      </c>
      <c r="D81" s="28" t="s">
        <v>111</v>
      </c>
      <c r="E81" s="29">
        <v>500000</v>
      </c>
      <c r="F81" s="30">
        <v>518.38</v>
      </c>
      <c r="G81" s="31">
        <v>9.7000000000000003E-3</v>
      </c>
      <c r="H81" s="32">
        <v>7.3451000000000002E-2</v>
      </c>
      <c r="J81" s="7"/>
      <c r="K81" s="7"/>
      <c r="L81" s="7"/>
      <c r="M81" s="7"/>
      <c r="N81" s="7"/>
    </row>
    <row r="82" spans="2:14" ht="15.75" customHeight="1" x14ac:dyDescent="0.2">
      <c r="B82" s="28" t="s">
        <v>118</v>
      </c>
      <c r="C82" s="28" t="s">
        <v>119</v>
      </c>
      <c r="D82" s="28" t="s">
        <v>120</v>
      </c>
      <c r="E82" s="29">
        <v>500</v>
      </c>
      <c r="F82" s="30">
        <v>503.03</v>
      </c>
      <c r="G82" s="31">
        <v>9.4000000000000004E-3</v>
      </c>
      <c r="H82" s="32">
        <v>7.3599999999999999E-2</v>
      </c>
      <c r="J82" s="7"/>
      <c r="K82" s="7"/>
      <c r="L82" s="7"/>
      <c r="M82" s="7"/>
      <c r="N82" s="7"/>
    </row>
    <row r="83" spans="2:14" ht="15.75" customHeight="1" x14ac:dyDescent="0.2">
      <c r="B83" s="28" t="s">
        <v>190</v>
      </c>
      <c r="C83" s="28" t="s">
        <v>191</v>
      </c>
      <c r="D83" s="28" t="s">
        <v>111</v>
      </c>
      <c r="E83" s="29">
        <v>150000</v>
      </c>
      <c r="F83" s="30">
        <v>157.87</v>
      </c>
      <c r="G83" s="31">
        <v>2.8999999999999998E-3</v>
      </c>
      <c r="H83" s="32">
        <v>5.7950000000000002E-2</v>
      </c>
      <c r="J83" s="7"/>
      <c r="K83" s="7"/>
      <c r="L83" s="7"/>
      <c r="M83" s="7"/>
      <c r="N83" s="7"/>
    </row>
    <row r="84" spans="2:14" ht="15.75" customHeight="1" x14ac:dyDescent="0.2">
      <c r="B84" s="28" t="s">
        <v>109</v>
      </c>
      <c r="C84" s="28" t="s">
        <v>110</v>
      </c>
      <c r="D84" s="28" t="s">
        <v>111</v>
      </c>
      <c r="E84" s="29">
        <v>100000</v>
      </c>
      <c r="F84" s="30">
        <v>103.67</v>
      </c>
      <c r="G84" s="31">
        <v>1.9E-3</v>
      </c>
      <c r="H84" s="32">
        <v>6.7038E-2</v>
      </c>
      <c r="J84" s="7"/>
      <c r="K84" s="7"/>
      <c r="L84" s="7"/>
      <c r="M84" s="7"/>
      <c r="N84" s="7"/>
    </row>
    <row r="85" spans="2:14" ht="15.75" customHeight="1" x14ac:dyDescent="0.2">
      <c r="B85" s="27" t="s">
        <v>127</v>
      </c>
      <c r="C85" s="27"/>
      <c r="D85" s="27"/>
      <c r="E85" s="33"/>
      <c r="F85" s="34">
        <f>SUM(F69:F84)</f>
        <v>11567.92</v>
      </c>
      <c r="G85" s="35">
        <v>0.21540000000000001</v>
      </c>
      <c r="H85" s="36"/>
    </row>
    <row r="86" spans="2:14" ht="15.75" customHeight="1" x14ac:dyDescent="0.2">
      <c r="B86" s="28"/>
      <c r="C86" s="28"/>
      <c r="D86" s="28"/>
      <c r="E86" s="29"/>
      <c r="F86" s="30"/>
      <c r="G86" s="31"/>
      <c r="H86" s="32"/>
      <c r="J86" s="3"/>
    </row>
    <row r="87" spans="2:14" ht="15.75" customHeight="1" x14ac:dyDescent="0.2">
      <c r="B87" s="27" t="s">
        <v>128</v>
      </c>
      <c r="C87" s="28"/>
      <c r="D87" s="28"/>
      <c r="E87" s="29"/>
      <c r="F87" s="30"/>
      <c r="G87" s="31"/>
      <c r="H87" s="32"/>
    </row>
    <row r="88" spans="2:14" ht="15.75" customHeight="1" x14ac:dyDescent="0.2">
      <c r="B88" s="27" t="s">
        <v>127</v>
      </c>
      <c r="C88" s="28"/>
      <c r="D88" s="28"/>
      <c r="E88" s="29"/>
      <c r="F88" s="37" t="s">
        <v>129</v>
      </c>
      <c r="G88" s="38" t="s">
        <v>129</v>
      </c>
      <c r="H88" s="32"/>
    </row>
    <row r="89" spans="2:14" ht="15.75" customHeight="1" x14ac:dyDescent="0.2">
      <c r="B89" s="28"/>
      <c r="C89" s="28"/>
      <c r="D89" s="28"/>
      <c r="E89" s="29"/>
      <c r="F89" s="30"/>
      <c r="G89" s="31"/>
      <c r="H89" s="32"/>
    </row>
    <row r="90" spans="2:14" ht="15.75" customHeight="1" x14ac:dyDescent="0.2">
      <c r="B90" s="27" t="s">
        <v>130</v>
      </c>
      <c r="C90" s="28"/>
      <c r="D90" s="28"/>
      <c r="E90" s="29"/>
      <c r="F90" s="30"/>
      <c r="G90" s="31"/>
      <c r="H90" s="32"/>
    </row>
    <row r="91" spans="2:14" ht="15.75" customHeight="1" x14ac:dyDescent="0.2">
      <c r="B91" s="27" t="s">
        <v>127</v>
      </c>
      <c r="C91" s="28"/>
      <c r="D91" s="28"/>
      <c r="E91" s="29"/>
      <c r="F91" s="37" t="s">
        <v>129</v>
      </c>
      <c r="G91" s="38" t="s">
        <v>129</v>
      </c>
      <c r="H91" s="32"/>
    </row>
    <row r="92" spans="2:14" ht="15.75" customHeight="1" x14ac:dyDescent="0.2">
      <c r="B92" s="28"/>
      <c r="C92" s="28"/>
      <c r="D92" s="28"/>
      <c r="E92" s="29"/>
      <c r="F92" s="30"/>
      <c r="G92" s="31"/>
      <c r="H92" s="32"/>
    </row>
    <row r="93" spans="2:14" ht="15.75" customHeight="1" x14ac:dyDescent="0.2">
      <c r="B93" s="39" t="s">
        <v>131</v>
      </c>
      <c r="C93" s="39"/>
      <c r="D93" s="39"/>
      <c r="E93" s="40"/>
      <c r="F93" s="34">
        <f>F85</f>
        <v>11567.92</v>
      </c>
      <c r="G93" s="35">
        <f>G85</f>
        <v>0.21540000000000001</v>
      </c>
      <c r="H93" s="36"/>
    </row>
    <row r="94" spans="2:14" ht="15.75" customHeight="1" x14ac:dyDescent="0.2">
      <c r="B94" s="28"/>
      <c r="C94" s="28"/>
      <c r="D94" s="28"/>
      <c r="E94" s="29"/>
      <c r="F94" s="30"/>
      <c r="G94" s="31"/>
      <c r="H94" s="32"/>
    </row>
    <row r="95" spans="2:14" ht="15.75" customHeight="1" x14ac:dyDescent="0.2">
      <c r="B95" s="28"/>
      <c r="C95" s="28"/>
      <c r="D95" s="28"/>
      <c r="E95" s="29"/>
      <c r="F95" s="30"/>
      <c r="G95" s="31"/>
      <c r="H95" s="32"/>
    </row>
    <row r="96" spans="2:14" ht="15.75" customHeight="1" x14ac:dyDescent="0.2">
      <c r="B96" s="27" t="s">
        <v>134</v>
      </c>
      <c r="C96" s="28"/>
      <c r="D96" s="28"/>
      <c r="E96" s="29"/>
      <c r="F96" s="30"/>
      <c r="G96" s="31"/>
      <c r="H96" s="32"/>
    </row>
    <row r="97" spans="2:8" ht="15.75" customHeight="1" x14ac:dyDescent="0.2">
      <c r="B97" s="28" t="s">
        <v>135</v>
      </c>
      <c r="C97" s="28"/>
      <c r="D97" s="28"/>
      <c r="E97" s="29"/>
      <c r="F97" s="30">
        <v>1296.4100000000001</v>
      </c>
      <c r="G97" s="31">
        <v>2.41E-2</v>
      </c>
      <c r="H97" s="32"/>
    </row>
    <row r="98" spans="2:8" ht="15.75" customHeight="1" x14ac:dyDescent="0.2">
      <c r="B98" s="27" t="s">
        <v>127</v>
      </c>
      <c r="C98" s="27"/>
      <c r="D98" s="27"/>
      <c r="E98" s="33"/>
      <c r="F98" s="34">
        <v>1296.4100000000001</v>
      </c>
      <c r="G98" s="35">
        <v>2.41E-2</v>
      </c>
      <c r="H98" s="36"/>
    </row>
    <row r="99" spans="2:8" ht="15.75" customHeight="1" x14ac:dyDescent="0.2">
      <c r="B99" s="28"/>
      <c r="C99" s="28"/>
      <c r="D99" s="28"/>
      <c r="E99" s="29"/>
      <c r="F99" s="30"/>
      <c r="G99" s="31"/>
      <c r="H99" s="32"/>
    </row>
    <row r="100" spans="2:8" ht="15.75" customHeight="1" x14ac:dyDescent="0.2">
      <c r="B100" s="39" t="s">
        <v>131</v>
      </c>
      <c r="C100" s="39"/>
      <c r="D100" s="39"/>
      <c r="E100" s="40"/>
      <c r="F100" s="34">
        <v>1296.4100000000001</v>
      </c>
      <c r="G100" s="35">
        <v>2.41E-2</v>
      </c>
      <c r="H100" s="36"/>
    </row>
    <row r="101" spans="2:8" ht="15.75" customHeight="1" x14ac:dyDescent="0.2">
      <c r="B101" s="28" t="s">
        <v>136</v>
      </c>
      <c r="C101" s="28"/>
      <c r="D101" s="28"/>
      <c r="E101" s="29"/>
      <c r="F101" s="30">
        <v>425.5</v>
      </c>
      <c r="G101" s="31">
        <v>8.0000000000000071E-3</v>
      </c>
      <c r="H101" s="32"/>
    </row>
    <row r="102" spans="2:8" ht="15.75" customHeight="1" x14ac:dyDescent="0.2">
      <c r="B102" s="43" t="s">
        <v>137</v>
      </c>
      <c r="C102" s="43"/>
      <c r="D102" s="43"/>
      <c r="E102" s="44"/>
      <c r="F102" s="45">
        <v>53706.12</v>
      </c>
      <c r="G102" s="46">
        <v>1</v>
      </c>
      <c r="H102" s="47"/>
    </row>
    <row r="103" spans="2:8" ht="15.75" customHeight="1" x14ac:dyDescent="0.2">
      <c r="B103" s="2"/>
    </row>
    <row r="104" spans="2:8" ht="15.75" customHeight="1" x14ac:dyDescent="0.2">
      <c r="B104" s="15" t="s">
        <v>138</v>
      </c>
    </row>
    <row r="107" spans="2:8" ht="15.75" customHeight="1" thickBot="1" x14ac:dyDescent="0.25"/>
    <row r="108" spans="2:8" ht="39.75" customHeight="1" thickBot="1" x14ac:dyDescent="0.25">
      <c r="B108" s="48" t="s">
        <v>139</v>
      </c>
      <c r="C108" s="49" t="s">
        <v>140</v>
      </c>
      <c r="D108" s="49" t="s">
        <v>141</v>
      </c>
      <c r="E108" s="49" t="s">
        <v>142</v>
      </c>
    </row>
    <row r="109" spans="2:8" ht="39.75" customHeight="1" x14ac:dyDescent="0.2">
      <c r="B109" s="61" t="s">
        <v>11</v>
      </c>
      <c r="C109" s="77"/>
      <c r="D109" s="80" t="s">
        <v>518</v>
      </c>
      <c r="E109" s="81"/>
    </row>
    <row r="110" spans="2:8" ht="39.75" customHeight="1" x14ac:dyDescent="0.2">
      <c r="B110" s="52" t="s">
        <v>519</v>
      </c>
      <c r="C110" s="78"/>
      <c r="D110" s="80"/>
      <c r="E110" s="82"/>
    </row>
    <row r="111" spans="2:8" ht="39.75" customHeight="1" x14ac:dyDescent="0.2">
      <c r="B111" s="52" t="s">
        <v>520</v>
      </c>
      <c r="C111" s="78"/>
      <c r="D111" s="80"/>
      <c r="E111" s="82"/>
    </row>
    <row r="112" spans="2:8" ht="39.75" customHeight="1" thickBot="1" x14ac:dyDescent="0.25">
      <c r="B112" s="62" t="s">
        <v>521</v>
      </c>
      <c r="C112" s="79"/>
      <c r="D112" s="50" t="s">
        <v>456</v>
      </c>
      <c r="E112" s="83"/>
    </row>
    <row r="113" spans="2:2" ht="15.75" customHeight="1" x14ac:dyDescent="0.2">
      <c r="B113" s="9" t="s">
        <v>144</v>
      </c>
    </row>
    <row r="115" spans="2:2" ht="15.75" customHeight="1" x14ac:dyDescent="0.2">
      <c r="B115" s="9" t="s">
        <v>145</v>
      </c>
    </row>
    <row r="116" spans="2:2" ht="15.75" customHeight="1" x14ac:dyDescent="0.2">
      <c r="B116" s="15" t="s">
        <v>146</v>
      </c>
    </row>
  </sheetData>
  <mergeCells count="3">
    <mergeCell ref="C109:C112"/>
    <mergeCell ref="D109:D111"/>
    <mergeCell ref="E109:E112"/>
  </mergeCells>
  <hyperlinks>
    <hyperlink ref="G1" location="'Sheet1'!A1" display="Index" xr:uid="{F5FF1B1F-C73D-4141-ACC9-630A9BBC98C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05D6-0F55-4FE8-9491-E3A47509EB2B}">
  <dimension ref="B1:N8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638376</v>
      </c>
      <c r="F7" s="30">
        <v>6302.69</v>
      </c>
      <c r="G7" s="31">
        <v>0.22140000000000001</v>
      </c>
      <c r="H7" s="32"/>
    </row>
    <row r="8" spans="2:8" ht="15.75" customHeight="1" x14ac:dyDescent="0.2">
      <c r="B8" s="28" t="s">
        <v>184</v>
      </c>
      <c r="C8" s="28" t="s">
        <v>185</v>
      </c>
      <c r="D8" s="28" t="s">
        <v>166</v>
      </c>
      <c r="E8" s="29">
        <v>257998</v>
      </c>
      <c r="F8" s="30">
        <v>3470.85</v>
      </c>
      <c r="G8" s="31">
        <v>0.12189999999999999</v>
      </c>
      <c r="H8" s="32"/>
    </row>
    <row r="9" spans="2:8" ht="15.75" customHeight="1" x14ac:dyDescent="0.2">
      <c r="B9" s="28" t="s">
        <v>179</v>
      </c>
      <c r="C9" s="28" t="s">
        <v>180</v>
      </c>
      <c r="D9" s="28" t="s">
        <v>166</v>
      </c>
      <c r="E9" s="29">
        <v>166028</v>
      </c>
      <c r="F9" s="30">
        <v>2046.79</v>
      </c>
      <c r="G9" s="31">
        <v>7.1900000000000006E-2</v>
      </c>
      <c r="H9" s="32"/>
    </row>
    <row r="10" spans="2:8" ht="15.75" customHeight="1" x14ac:dyDescent="0.2">
      <c r="B10" s="28" t="s">
        <v>305</v>
      </c>
      <c r="C10" s="28" t="s">
        <v>306</v>
      </c>
      <c r="D10" s="28" t="s">
        <v>166</v>
      </c>
      <c r="E10" s="29">
        <v>90147</v>
      </c>
      <c r="F10" s="30">
        <v>1895.07</v>
      </c>
      <c r="G10" s="31">
        <v>6.6600000000000006E-2</v>
      </c>
      <c r="H10" s="32"/>
    </row>
    <row r="11" spans="2:8" ht="15.75" customHeight="1" x14ac:dyDescent="0.2">
      <c r="B11" s="28" t="s">
        <v>204</v>
      </c>
      <c r="C11" s="28" t="s">
        <v>205</v>
      </c>
      <c r="D11" s="28" t="s">
        <v>166</v>
      </c>
      <c r="E11" s="29">
        <v>143886</v>
      </c>
      <c r="F11" s="30">
        <v>1348.21</v>
      </c>
      <c r="G11" s="31">
        <v>4.7399999999999998E-2</v>
      </c>
      <c r="H11" s="32"/>
    </row>
    <row r="12" spans="2:8" ht="15.75" customHeight="1" x14ac:dyDescent="0.2">
      <c r="B12" s="28" t="s">
        <v>342</v>
      </c>
      <c r="C12" s="28" t="s">
        <v>343</v>
      </c>
      <c r="D12" s="28" t="s">
        <v>175</v>
      </c>
      <c r="E12" s="29">
        <v>402877</v>
      </c>
      <c r="F12" s="30">
        <v>1230.5899999999999</v>
      </c>
      <c r="G12" s="31">
        <v>4.3200000000000002E-2</v>
      </c>
      <c r="H12" s="32"/>
    </row>
    <row r="13" spans="2:8" ht="15.75" customHeight="1" x14ac:dyDescent="0.2">
      <c r="B13" s="28" t="s">
        <v>357</v>
      </c>
      <c r="C13" s="28" t="s">
        <v>358</v>
      </c>
      <c r="D13" s="28" t="s">
        <v>175</v>
      </c>
      <c r="E13" s="29">
        <v>118687</v>
      </c>
      <c r="F13" s="30">
        <v>1042.8399999999999</v>
      </c>
      <c r="G13" s="31">
        <v>3.6600000000000001E-2</v>
      </c>
      <c r="H13" s="32"/>
    </row>
    <row r="14" spans="2:8" ht="15.75" customHeight="1" x14ac:dyDescent="0.2">
      <c r="B14" s="28" t="s">
        <v>173</v>
      </c>
      <c r="C14" s="28" t="s">
        <v>174</v>
      </c>
      <c r="D14" s="28" t="s">
        <v>175</v>
      </c>
      <c r="E14" s="29">
        <v>124916</v>
      </c>
      <c r="F14" s="30">
        <v>935.5</v>
      </c>
      <c r="G14" s="31">
        <v>3.2899999999999999E-2</v>
      </c>
      <c r="H14" s="32"/>
    </row>
    <row r="15" spans="2:8" ht="15.75" customHeight="1" x14ac:dyDescent="0.2">
      <c r="B15" s="28" t="s">
        <v>296</v>
      </c>
      <c r="C15" s="28" t="s">
        <v>297</v>
      </c>
      <c r="D15" s="28" t="s">
        <v>175</v>
      </c>
      <c r="E15" s="29">
        <v>218047</v>
      </c>
      <c r="F15" s="30">
        <v>879.27</v>
      </c>
      <c r="G15" s="31">
        <v>3.09E-2</v>
      </c>
      <c r="H15" s="32"/>
    </row>
    <row r="16" spans="2:8" ht="15.75" customHeight="1" x14ac:dyDescent="0.2">
      <c r="B16" s="28" t="s">
        <v>368</v>
      </c>
      <c r="C16" s="28" t="s">
        <v>369</v>
      </c>
      <c r="D16" s="28" t="s">
        <v>175</v>
      </c>
      <c r="E16" s="29">
        <v>61586</v>
      </c>
      <c r="F16" s="30">
        <v>876.74</v>
      </c>
      <c r="G16" s="31">
        <v>3.0800000000000001E-2</v>
      </c>
      <c r="H16" s="32"/>
    </row>
    <row r="17" spans="2:8" ht="15.75" customHeight="1" x14ac:dyDescent="0.2">
      <c r="B17" s="28" t="s">
        <v>522</v>
      </c>
      <c r="C17" s="28" t="s">
        <v>523</v>
      </c>
      <c r="D17" s="28" t="s">
        <v>175</v>
      </c>
      <c r="E17" s="29">
        <v>153101</v>
      </c>
      <c r="F17" s="30">
        <v>818.48</v>
      </c>
      <c r="G17" s="31">
        <v>2.87E-2</v>
      </c>
      <c r="H17" s="32"/>
    </row>
    <row r="18" spans="2:8" ht="15.75" customHeight="1" x14ac:dyDescent="0.2">
      <c r="B18" s="28" t="s">
        <v>398</v>
      </c>
      <c r="C18" s="28" t="s">
        <v>399</v>
      </c>
      <c r="D18" s="28" t="s">
        <v>175</v>
      </c>
      <c r="E18" s="29">
        <v>4236</v>
      </c>
      <c r="F18" s="30">
        <v>642.80999999999995</v>
      </c>
      <c r="G18" s="31">
        <v>2.2599999999999999E-2</v>
      </c>
      <c r="H18" s="32"/>
    </row>
    <row r="19" spans="2:8" ht="15.75" customHeight="1" x14ac:dyDescent="0.2">
      <c r="B19" s="28" t="s">
        <v>524</v>
      </c>
      <c r="C19" s="28" t="s">
        <v>525</v>
      </c>
      <c r="D19" s="28" t="s">
        <v>233</v>
      </c>
      <c r="E19" s="29">
        <v>59633</v>
      </c>
      <c r="F19" s="30">
        <v>583.21</v>
      </c>
      <c r="G19" s="31">
        <v>2.0500000000000001E-2</v>
      </c>
      <c r="H19" s="32"/>
    </row>
    <row r="20" spans="2:8" ht="15.75" customHeight="1" x14ac:dyDescent="0.2">
      <c r="B20" s="28" t="s">
        <v>400</v>
      </c>
      <c r="C20" s="28" t="s">
        <v>401</v>
      </c>
      <c r="D20" s="28" t="s">
        <v>166</v>
      </c>
      <c r="E20" s="29">
        <v>1565449</v>
      </c>
      <c r="F20" s="30">
        <v>573.27</v>
      </c>
      <c r="G20" s="31">
        <v>2.01E-2</v>
      </c>
      <c r="H20" s="32"/>
    </row>
    <row r="21" spans="2:8" ht="15.75" customHeight="1" x14ac:dyDescent="0.2">
      <c r="B21" s="28" t="s">
        <v>421</v>
      </c>
      <c r="C21" s="28" t="s">
        <v>422</v>
      </c>
      <c r="D21" s="28" t="s">
        <v>175</v>
      </c>
      <c r="E21" s="29">
        <v>17289</v>
      </c>
      <c r="F21" s="30">
        <v>549.57000000000005</v>
      </c>
      <c r="G21" s="31">
        <v>1.9300000000000001E-2</v>
      </c>
      <c r="H21" s="32"/>
    </row>
    <row r="22" spans="2:8" ht="15.75" customHeight="1" x14ac:dyDescent="0.2">
      <c r="B22" s="28" t="s">
        <v>526</v>
      </c>
      <c r="C22" s="28" t="s">
        <v>527</v>
      </c>
      <c r="D22" s="28" t="s">
        <v>166</v>
      </c>
      <c r="E22" s="29">
        <v>132282</v>
      </c>
      <c r="F22" s="30">
        <v>546.79</v>
      </c>
      <c r="G22" s="31">
        <v>1.9199999999999998E-2</v>
      </c>
      <c r="H22" s="32"/>
    </row>
    <row r="23" spans="2:8" ht="15.75" customHeight="1" x14ac:dyDescent="0.2">
      <c r="B23" s="28" t="s">
        <v>529</v>
      </c>
      <c r="C23" s="28" t="s">
        <v>530</v>
      </c>
      <c r="D23" s="28" t="s">
        <v>166</v>
      </c>
      <c r="E23" s="29">
        <v>275207</v>
      </c>
      <c r="F23" s="30">
        <v>434.69</v>
      </c>
      <c r="G23" s="31">
        <v>1.5299999999999999E-2</v>
      </c>
      <c r="H23" s="32"/>
    </row>
    <row r="24" spans="2:8" ht="15.75" customHeight="1" x14ac:dyDescent="0.2">
      <c r="B24" s="28" t="s">
        <v>531</v>
      </c>
      <c r="C24" s="28" t="s">
        <v>532</v>
      </c>
      <c r="D24" s="28" t="s">
        <v>233</v>
      </c>
      <c r="E24" s="29">
        <v>10934</v>
      </c>
      <c r="F24" s="30">
        <v>430.94</v>
      </c>
      <c r="G24" s="31">
        <v>1.5100000000000001E-2</v>
      </c>
      <c r="H24" s="32"/>
    </row>
    <row r="25" spans="2:8" ht="15.75" customHeight="1" x14ac:dyDescent="0.2">
      <c r="B25" s="28" t="s">
        <v>533</v>
      </c>
      <c r="C25" s="28" t="s">
        <v>534</v>
      </c>
      <c r="D25" s="28" t="s">
        <v>175</v>
      </c>
      <c r="E25" s="29">
        <v>74313</v>
      </c>
      <c r="F25" s="30">
        <v>378.88</v>
      </c>
      <c r="G25" s="31">
        <v>1.3299999999999999E-2</v>
      </c>
      <c r="H25" s="32"/>
    </row>
    <row r="26" spans="2:8" ht="15.75" customHeight="1" x14ac:dyDescent="0.2">
      <c r="B26" s="28" t="s">
        <v>535</v>
      </c>
      <c r="C26" s="28" t="s">
        <v>536</v>
      </c>
      <c r="D26" s="28" t="s">
        <v>166</v>
      </c>
      <c r="E26" s="29">
        <v>620922</v>
      </c>
      <c r="F26" s="30">
        <v>321.89</v>
      </c>
      <c r="G26" s="31">
        <v>1.1299999999999999E-2</v>
      </c>
      <c r="H26" s="32"/>
    </row>
    <row r="27" spans="2:8" ht="15.75" customHeight="1" x14ac:dyDescent="0.2">
      <c r="B27" s="28" t="s">
        <v>461</v>
      </c>
      <c r="C27" s="28" t="s">
        <v>462</v>
      </c>
      <c r="D27" s="28" t="s">
        <v>463</v>
      </c>
      <c r="E27" s="29">
        <v>24546</v>
      </c>
      <c r="F27" s="30">
        <v>319.88</v>
      </c>
      <c r="G27" s="31">
        <v>1.12E-2</v>
      </c>
      <c r="H27" s="32"/>
    </row>
    <row r="28" spans="2:8" ht="15.75" customHeight="1" x14ac:dyDescent="0.2">
      <c r="B28" s="28" t="s">
        <v>537</v>
      </c>
      <c r="C28" s="28" t="s">
        <v>538</v>
      </c>
      <c r="D28" s="28" t="s">
        <v>233</v>
      </c>
      <c r="E28" s="29">
        <v>32587</v>
      </c>
      <c r="F28" s="30">
        <v>285.07</v>
      </c>
      <c r="G28" s="31">
        <v>0.01</v>
      </c>
      <c r="H28" s="32"/>
    </row>
    <row r="29" spans="2:8" ht="15.75" customHeight="1" x14ac:dyDescent="0.2">
      <c r="B29" s="28" t="s">
        <v>539</v>
      </c>
      <c r="C29" s="28" t="s">
        <v>540</v>
      </c>
      <c r="D29" s="28" t="s">
        <v>175</v>
      </c>
      <c r="E29" s="29">
        <v>5792</v>
      </c>
      <c r="F29" s="30">
        <v>266.11</v>
      </c>
      <c r="G29" s="31">
        <v>9.2999999999999992E-3</v>
      </c>
      <c r="H29" s="32"/>
    </row>
    <row r="30" spans="2:8" ht="15.75" customHeight="1" x14ac:dyDescent="0.2">
      <c r="B30" s="28" t="s">
        <v>231</v>
      </c>
      <c r="C30" s="28" t="s">
        <v>232</v>
      </c>
      <c r="D30" s="28" t="s">
        <v>233</v>
      </c>
      <c r="E30" s="29">
        <v>2502</v>
      </c>
      <c r="F30" s="30">
        <v>231.27</v>
      </c>
      <c r="G30" s="31">
        <v>8.0999999999999996E-3</v>
      </c>
      <c r="H30" s="32"/>
    </row>
    <row r="31" spans="2:8" ht="15.75" customHeight="1" x14ac:dyDescent="0.2">
      <c r="B31" s="28" t="s">
        <v>541</v>
      </c>
      <c r="C31" s="28" t="s">
        <v>542</v>
      </c>
      <c r="D31" s="28" t="s">
        <v>233</v>
      </c>
      <c r="E31" s="29">
        <v>20193</v>
      </c>
      <c r="F31" s="30">
        <v>218.23</v>
      </c>
      <c r="G31" s="31">
        <v>7.7000000000000002E-3</v>
      </c>
      <c r="H31" s="32"/>
    </row>
    <row r="32" spans="2:8" ht="15.75" customHeight="1" x14ac:dyDescent="0.2">
      <c r="B32" s="28" t="s">
        <v>543</v>
      </c>
      <c r="C32" s="28" t="s">
        <v>544</v>
      </c>
      <c r="D32" s="28" t="s">
        <v>175</v>
      </c>
      <c r="E32" s="29">
        <v>192643</v>
      </c>
      <c r="F32" s="30">
        <v>212.31</v>
      </c>
      <c r="G32" s="31">
        <v>7.4999999999999997E-3</v>
      </c>
      <c r="H32" s="32"/>
    </row>
    <row r="33" spans="2:10" ht="15.75" customHeight="1" x14ac:dyDescent="0.2">
      <c r="B33" s="28" t="s">
        <v>545</v>
      </c>
      <c r="C33" s="28" t="s">
        <v>546</v>
      </c>
      <c r="D33" s="28" t="s">
        <v>175</v>
      </c>
      <c r="E33" s="29">
        <v>31092</v>
      </c>
      <c r="F33" s="30">
        <v>202.95</v>
      </c>
      <c r="G33" s="31">
        <v>7.1000000000000004E-3</v>
      </c>
      <c r="H33" s="32"/>
    </row>
    <row r="34" spans="2:10" ht="15.75" customHeight="1" x14ac:dyDescent="0.2">
      <c r="B34" s="28" t="s">
        <v>547</v>
      </c>
      <c r="C34" s="28" t="s">
        <v>548</v>
      </c>
      <c r="D34" s="28" t="s">
        <v>175</v>
      </c>
      <c r="E34" s="29">
        <v>3495</v>
      </c>
      <c r="F34" s="30">
        <v>172.28</v>
      </c>
      <c r="G34" s="31">
        <v>6.1000000000000004E-3</v>
      </c>
      <c r="H34" s="32"/>
    </row>
    <row r="35" spans="2:10" ht="15.75" customHeight="1" x14ac:dyDescent="0.2">
      <c r="B35" s="28" t="s">
        <v>549</v>
      </c>
      <c r="C35" s="28" t="s">
        <v>550</v>
      </c>
      <c r="D35" s="28" t="s">
        <v>233</v>
      </c>
      <c r="E35" s="29">
        <v>5889</v>
      </c>
      <c r="F35" s="30">
        <v>145.99</v>
      </c>
      <c r="G35" s="31">
        <v>5.1000000000000004E-3</v>
      </c>
      <c r="H35" s="32"/>
    </row>
    <row r="36" spans="2:10" ht="15.75" customHeight="1" x14ac:dyDescent="0.2">
      <c r="B36" s="28" t="s">
        <v>551</v>
      </c>
      <c r="C36" s="28" t="s">
        <v>552</v>
      </c>
      <c r="D36" s="28" t="s">
        <v>463</v>
      </c>
      <c r="E36" s="29">
        <v>4307</v>
      </c>
      <c r="F36" s="30">
        <v>76.900000000000006</v>
      </c>
      <c r="G36" s="31">
        <v>2.7000000000000001E-3</v>
      </c>
      <c r="H36" s="32"/>
    </row>
    <row r="37" spans="2:10" ht="15.75" customHeight="1" x14ac:dyDescent="0.2">
      <c r="B37" s="28" t="s">
        <v>553</v>
      </c>
      <c r="C37" s="28" t="s">
        <v>554</v>
      </c>
      <c r="D37" s="28" t="s">
        <v>233</v>
      </c>
      <c r="E37" s="29">
        <v>2812</v>
      </c>
      <c r="F37" s="30">
        <v>71.86</v>
      </c>
      <c r="G37" s="31">
        <v>2.5000000000000001E-3</v>
      </c>
      <c r="H37" s="32"/>
    </row>
    <row r="38" spans="2:10" ht="15.75" customHeight="1" x14ac:dyDescent="0.2">
      <c r="B38" s="28" t="s">
        <v>555</v>
      </c>
      <c r="C38" s="28" t="s">
        <v>556</v>
      </c>
      <c r="D38" s="28" t="s">
        <v>233</v>
      </c>
      <c r="E38" s="29">
        <v>2667</v>
      </c>
      <c r="F38" s="30">
        <v>66.47</v>
      </c>
      <c r="G38" s="31">
        <v>2.3E-3</v>
      </c>
      <c r="H38" s="32"/>
    </row>
    <row r="39" spans="2:10" ht="15.75" customHeight="1" x14ac:dyDescent="0.2">
      <c r="B39" s="28" t="s">
        <v>1128</v>
      </c>
      <c r="C39" s="28" t="s">
        <v>528</v>
      </c>
      <c r="D39" s="28" t="s">
        <v>175</v>
      </c>
      <c r="E39" s="29">
        <v>51618</v>
      </c>
      <c r="F39" s="30">
        <v>522.26</v>
      </c>
      <c r="G39" s="31">
        <v>1.83E-2</v>
      </c>
      <c r="H39" s="32"/>
    </row>
    <row r="40" spans="2:10" ht="15.75" customHeight="1" x14ac:dyDescent="0.2">
      <c r="B40" s="28" t="s">
        <v>380</v>
      </c>
      <c r="C40" s="28" t="s">
        <v>381</v>
      </c>
      <c r="D40" s="28" t="s">
        <v>354</v>
      </c>
      <c r="E40" s="29">
        <v>4881</v>
      </c>
      <c r="F40" s="30">
        <v>18.260000000000002</v>
      </c>
      <c r="G40" s="31">
        <v>5.9999999999999995E-4</v>
      </c>
      <c r="H40" s="32"/>
    </row>
    <row r="41" spans="2:10" ht="15.75" customHeight="1" x14ac:dyDescent="0.2">
      <c r="B41" s="27" t="s">
        <v>127</v>
      </c>
      <c r="C41" s="27"/>
      <c r="D41" s="27"/>
      <c r="E41" s="33"/>
      <c r="F41" s="34">
        <f>SUM(F7:F40)</f>
        <v>28118.920000000002</v>
      </c>
      <c r="G41" s="35">
        <v>0.98760000000000003</v>
      </c>
      <c r="H41" s="36"/>
    </row>
    <row r="42" spans="2:10" ht="15.75" customHeight="1" x14ac:dyDescent="0.2">
      <c r="B42" s="27" t="s">
        <v>189</v>
      </c>
      <c r="C42" s="28"/>
      <c r="D42" s="28"/>
      <c r="E42" s="29"/>
      <c r="F42" s="30"/>
      <c r="G42" s="31"/>
      <c r="H42" s="32"/>
      <c r="J42" s="3"/>
    </row>
    <row r="43" spans="2:10" ht="15.75" customHeight="1" x14ac:dyDescent="0.2">
      <c r="B43" s="27" t="s">
        <v>127</v>
      </c>
      <c r="C43" s="28"/>
      <c r="D43" s="28"/>
      <c r="E43" s="29"/>
      <c r="F43" s="37" t="s">
        <v>129</v>
      </c>
      <c r="G43" s="38" t="s">
        <v>129</v>
      </c>
      <c r="H43" s="32"/>
      <c r="J43" s="3"/>
    </row>
    <row r="44" spans="2:10" ht="15.75" customHeight="1" x14ac:dyDescent="0.2">
      <c r="B44" s="28"/>
      <c r="C44" s="28"/>
      <c r="D44" s="28"/>
      <c r="E44" s="29"/>
      <c r="F44" s="30"/>
      <c r="G44" s="31"/>
      <c r="H44" s="32"/>
    </row>
    <row r="45" spans="2:10" ht="15.75" customHeight="1" x14ac:dyDescent="0.2">
      <c r="B45" s="39" t="s">
        <v>131</v>
      </c>
      <c r="C45" s="39"/>
      <c r="D45" s="39"/>
      <c r="E45" s="40"/>
      <c r="F45" s="34">
        <f>F41</f>
        <v>28118.920000000002</v>
      </c>
      <c r="G45" s="35">
        <f>G41</f>
        <v>0.98760000000000003</v>
      </c>
      <c r="H45" s="36"/>
    </row>
    <row r="46" spans="2:10" ht="15.75" customHeight="1" x14ac:dyDescent="0.2">
      <c r="B46" s="28"/>
      <c r="C46" s="28"/>
      <c r="D46" s="28"/>
      <c r="E46" s="29"/>
      <c r="F46" s="30"/>
      <c r="G46" s="31"/>
      <c r="H46" s="32"/>
    </row>
    <row r="47" spans="2:10" ht="15.75" customHeight="1" x14ac:dyDescent="0.2">
      <c r="B47" s="28"/>
      <c r="C47" s="28"/>
      <c r="D47" s="28"/>
      <c r="E47" s="29"/>
      <c r="F47" s="30"/>
      <c r="G47" s="31"/>
      <c r="H47" s="32"/>
    </row>
    <row r="48" spans="2:10" ht="15.75" customHeight="1" x14ac:dyDescent="0.2">
      <c r="B48" s="27" t="s">
        <v>134</v>
      </c>
      <c r="C48" s="28"/>
      <c r="D48" s="28"/>
      <c r="E48" s="29"/>
      <c r="F48" s="30"/>
      <c r="G48" s="31"/>
      <c r="H48" s="32"/>
    </row>
    <row r="49" spans="2:8" ht="15.75" customHeight="1" x14ac:dyDescent="0.2">
      <c r="B49" s="28" t="s">
        <v>135</v>
      </c>
      <c r="C49" s="28"/>
      <c r="D49" s="28"/>
      <c r="E49" s="29"/>
      <c r="F49" s="30">
        <v>296.02</v>
      </c>
      <c r="G49" s="31">
        <v>1.04E-2</v>
      </c>
      <c r="H49" s="32"/>
    </row>
    <row r="50" spans="2:8" ht="15.75" customHeight="1" x14ac:dyDescent="0.2">
      <c r="B50" s="27" t="s">
        <v>127</v>
      </c>
      <c r="C50" s="27"/>
      <c r="D50" s="27"/>
      <c r="E50" s="33"/>
      <c r="F50" s="34">
        <v>296.02</v>
      </c>
      <c r="G50" s="35">
        <v>1.04E-2</v>
      </c>
      <c r="H50" s="36"/>
    </row>
    <row r="51" spans="2:8" ht="15.75" customHeight="1" x14ac:dyDescent="0.2">
      <c r="B51" s="28"/>
      <c r="C51" s="28"/>
      <c r="D51" s="28"/>
      <c r="E51" s="29"/>
      <c r="F51" s="30"/>
      <c r="G51" s="31"/>
      <c r="H51" s="32"/>
    </row>
    <row r="52" spans="2:8" ht="15.75" customHeight="1" x14ac:dyDescent="0.2">
      <c r="B52" s="39" t="s">
        <v>131</v>
      </c>
      <c r="C52" s="39"/>
      <c r="D52" s="39"/>
      <c r="E52" s="40"/>
      <c r="F52" s="34">
        <v>296.02</v>
      </c>
      <c r="G52" s="35">
        <v>1.04E-2</v>
      </c>
      <c r="H52" s="36"/>
    </row>
    <row r="53" spans="2:8" ht="15.75" customHeight="1" x14ac:dyDescent="0.2">
      <c r="B53" s="28" t="s">
        <v>136</v>
      </c>
      <c r="C53" s="28"/>
      <c r="D53" s="28"/>
      <c r="E53" s="29"/>
      <c r="F53" s="30">
        <v>55.73</v>
      </c>
      <c r="G53" s="31">
        <v>2.0000000000000018E-3</v>
      </c>
      <c r="H53" s="32"/>
    </row>
    <row r="54" spans="2:8" ht="15.75" customHeight="1" x14ac:dyDescent="0.2">
      <c r="B54" s="43" t="s">
        <v>137</v>
      </c>
      <c r="C54" s="43"/>
      <c r="D54" s="43"/>
      <c r="E54" s="44"/>
      <c r="F54" s="45">
        <v>28470.67</v>
      </c>
      <c r="G54" s="46">
        <v>1</v>
      </c>
      <c r="H54" s="47"/>
    </row>
    <row r="55" spans="2:8" ht="15.75" customHeight="1" x14ac:dyDescent="0.2">
      <c r="B55" s="2"/>
    </row>
    <row r="58" spans="2:8" ht="15.75" customHeight="1" thickBot="1" x14ac:dyDescent="0.25"/>
    <row r="59" spans="2:8" ht="39.75" customHeight="1" thickBot="1" x14ac:dyDescent="0.25">
      <c r="B59" s="48" t="s">
        <v>139</v>
      </c>
      <c r="C59" s="49" t="s">
        <v>140</v>
      </c>
      <c r="D59" s="49" t="s">
        <v>141</v>
      </c>
      <c r="E59" s="49" t="s">
        <v>142</v>
      </c>
    </row>
    <row r="60" spans="2:8" ht="39.75" customHeight="1" x14ac:dyDescent="0.2">
      <c r="B60" s="61" t="s">
        <v>557</v>
      </c>
      <c r="C60" s="77"/>
      <c r="D60" s="80" t="s">
        <v>558</v>
      </c>
      <c r="E60" s="81"/>
    </row>
    <row r="61" spans="2:8" ht="39.75" customHeight="1" x14ac:dyDescent="0.2">
      <c r="B61" s="52" t="s">
        <v>559</v>
      </c>
      <c r="C61" s="78"/>
      <c r="D61" s="80"/>
      <c r="E61" s="82"/>
    </row>
    <row r="62" spans="2:8" ht="39.75" customHeight="1" x14ac:dyDescent="0.2">
      <c r="B62" s="52" t="s">
        <v>560</v>
      </c>
      <c r="C62" s="78"/>
      <c r="D62" s="80"/>
      <c r="E62" s="82"/>
    </row>
    <row r="63" spans="2:8" ht="39.75" customHeight="1" thickBot="1" x14ac:dyDescent="0.25">
      <c r="B63" s="62" t="s">
        <v>561</v>
      </c>
      <c r="C63" s="79"/>
      <c r="D63" s="50" t="s">
        <v>562</v>
      </c>
      <c r="E63" s="83"/>
    </row>
    <row r="64" spans="2:8" ht="15.75" customHeight="1" x14ac:dyDescent="0.2">
      <c r="B64" s="9" t="s">
        <v>144</v>
      </c>
    </row>
    <row r="66" spans="2:14" ht="15.75" customHeight="1" x14ac:dyDescent="0.2">
      <c r="B66" s="9" t="s">
        <v>145</v>
      </c>
    </row>
    <row r="67" spans="2:14" ht="15.75" customHeight="1" x14ac:dyDescent="0.2">
      <c r="B67" s="15" t="s">
        <v>146</v>
      </c>
      <c r="J67" s="3"/>
    </row>
    <row r="69" spans="2:14" ht="15.75" customHeight="1" x14ac:dyDescent="0.2">
      <c r="J69" s="3"/>
    </row>
    <row r="70" spans="2:14" ht="15.75" customHeight="1" x14ac:dyDescent="0.2">
      <c r="J70" s="3"/>
    </row>
    <row r="71" spans="2:14" ht="15.75" customHeight="1" x14ac:dyDescent="0.2">
      <c r="J71" s="3"/>
    </row>
    <row r="72" spans="2:14" ht="15.75" customHeight="1" x14ac:dyDescent="0.2">
      <c r="J72" s="3"/>
    </row>
    <row r="73" spans="2:14" ht="15.75" customHeight="1" x14ac:dyDescent="0.2">
      <c r="J73" s="3"/>
    </row>
    <row r="74" spans="2:14" ht="15.75" customHeight="1" x14ac:dyDescent="0.2">
      <c r="J74" s="5"/>
      <c r="K74" s="5"/>
      <c r="L74" s="6"/>
      <c r="M74" s="6"/>
      <c r="N74" s="5"/>
    </row>
    <row r="77" spans="2:14" ht="15.75" customHeight="1" x14ac:dyDescent="0.2">
      <c r="J77" s="7"/>
      <c r="K77" s="7"/>
      <c r="L77" s="7"/>
      <c r="M77" s="7"/>
      <c r="N77" s="7"/>
    </row>
    <row r="78" spans="2:14" ht="15.75" customHeight="1" x14ac:dyDescent="0.2">
      <c r="J78" s="7"/>
      <c r="K78" s="7"/>
      <c r="L78" s="7"/>
      <c r="M78" s="7"/>
      <c r="N78" s="7"/>
    </row>
    <row r="79" spans="2:14" ht="15.75" customHeight="1" x14ac:dyDescent="0.2">
      <c r="J79" s="7"/>
      <c r="K79" s="7"/>
      <c r="L79" s="7"/>
      <c r="M79" s="7"/>
      <c r="N79" s="7"/>
    </row>
    <row r="80" spans="2: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5" spans="10:14" ht="15.75" customHeight="1" x14ac:dyDescent="0.2">
      <c r="J85" s="3"/>
    </row>
  </sheetData>
  <mergeCells count="3">
    <mergeCell ref="C60:C63"/>
    <mergeCell ref="D60:D62"/>
    <mergeCell ref="E60:E63"/>
  </mergeCells>
  <hyperlinks>
    <hyperlink ref="G1" location="'Sheet1'!A1" display="Index" xr:uid="{B545E3EA-9727-4E54-BFF7-53021256CAB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9BB1-76AD-484F-A26D-4208AE091CB4}">
  <dimension ref="B1:N104"/>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204</v>
      </c>
      <c r="C7" s="28" t="s">
        <v>205</v>
      </c>
      <c r="D7" s="28" t="s">
        <v>166</v>
      </c>
      <c r="E7" s="29">
        <v>7098</v>
      </c>
      <c r="F7" s="30">
        <v>66.510000000000005</v>
      </c>
      <c r="G7" s="31">
        <v>4.2599999999999999E-2</v>
      </c>
      <c r="H7" s="32"/>
    </row>
    <row r="8" spans="2:8" ht="15.75" customHeight="1" x14ac:dyDescent="0.2">
      <c r="B8" s="28" t="s">
        <v>179</v>
      </c>
      <c r="C8" s="28" t="s">
        <v>180</v>
      </c>
      <c r="D8" s="28" t="s">
        <v>166</v>
      </c>
      <c r="E8" s="29">
        <v>4370</v>
      </c>
      <c r="F8" s="30">
        <v>53.87</v>
      </c>
      <c r="G8" s="31">
        <v>3.4500000000000003E-2</v>
      </c>
      <c r="H8" s="32"/>
    </row>
    <row r="9" spans="2:8" ht="15.75" customHeight="1" x14ac:dyDescent="0.2">
      <c r="B9" s="28" t="s">
        <v>324</v>
      </c>
      <c r="C9" s="28" t="s">
        <v>325</v>
      </c>
      <c r="D9" s="28" t="s">
        <v>326</v>
      </c>
      <c r="E9" s="29">
        <v>1055</v>
      </c>
      <c r="F9" s="30">
        <v>42.53</v>
      </c>
      <c r="G9" s="31">
        <v>2.7300000000000001E-2</v>
      </c>
      <c r="H9" s="32"/>
    </row>
    <row r="10" spans="2:8" ht="15.75" customHeight="1" x14ac:dyDescent="0.2">
      <c r="B10" s="28" t="s">
        <v>563</v>
      </c>
      <c r="C10" s="28" t="s">
        <v>564</v>
      </c>
      <c r="D10" s="28" t="s">
        <v>188</v>
      </c>
      <c r="E10" s="29">
        <v>242</v>
      </c>
      <c r="F10" s="30">
        <v>39.17</v>
      </c>
      <c r="G10" s="31">
        <v>2.5100000000000001E-2</v>
      </c>
      <c r="H10" s="32"/>
    </row>
    <row r="11" spans="2:8" ht="15.75" customHeight="1" x14ac:dyDescent="0.2">
      <c r="B11" s="28" t="s">
        <v>184</v>
      </c>
      <c r="C11" s="28" t="s">
        <v>185</v>
      </c>
      <c r="D11" s="28" t="s">
        <v>166</v>
      </c>
      <c r="E11" s="29">
        <v>2884</v>
      </c>
      <c r="F11" s="30">
        <v>38.799999999999997</v>
      </c>
      <c r="G11" s="31">
        <v>2.4899999999999999E-2</v>
      </c>
      <c r="H11" s="32"/>
    </row>
    <row r="12" spans="2:8" ht="15.75" customHeight="1" x14ac:dyDescent="0.2">
      <c r="B12" s="28" t="s">
        <v>305</v>
      </c>
      <c r="C12" s="28" t="s">
        <v>306</v>
      </c>
      <c r="D12" s="28" t="s">
        <v>166</v>
      </c>
      <c r="E12" s="29">
        <v>1842</v>
      </c>
      <c r="F12" s="30">
        <v>38.72</v>
      </c>
      <c r="G12" s="31">
        <v>2.4799999999999999E-2</v>
      </c>
      <c r="H12" s="32"/>
    </row>
    <row r="13" spans="2:8" ht="15.75" customHeight="1" x14ac:dyDescent="0.2">
      <c r="B13" s="28" t="s">
        <v>278</v>
      </c>
      <c r="C13" s="28" t="s">
        <v>279</v>
      </c>
      <c r="D13" s="28" t="s">
        <v>280</v>
      </c>
      <c r="E13" s="29">
        <v>9334</v>
      </c>
      <c r="F13" s="30">
        <v>37.79</v>
      </c>
      <c r="G13" s="31">
        <v>2.4199999999999999E-2</v>
      </c>
      <c r="H13" s="32"/>
    </row>
    <row r="14" spans="2:8" ht="15.75" customHeight="1" x14ac:dyDescent="0.2">
      <c r="B14" s="28" t="s">
        <v>469</v>
      </c>
      <c r="C14" s="28" t="s">
        <v>470</v>
      </c>
      <c r="D14" s="28" t="s">
        <v>221</v>
      </c>
      <c r="E14" s="29">
        <v>7203</v>
      </c>
      <c r="F14" s="30">
        <v>36.22</v>
      </c>
      <c r="G14" s="31">
        <v>2.3199999999999998E-2</v>
      </c>
      <c r="H14" s="32"/>
    </row>
    <row r="15" spans="2:8" ht="15.75" customHeight="1" x14ac:dyDescent="0.2">
      <c r="B15" s="28" t="s">
        <v>186</v>
      </c>
      <c r="C15" s="28" t="s">
        <v>187</v>
      </c>
      <c r="D15" s="28" t="s">
        <v>188</v>
      </c>
      <c r="E15" s="29">
        <v>976</v>
      </c>
      <c r="F15" s="30">
        <v>34.04</v>
      </c>
      <c r="G15" s="31">
        <v>2.18E-2</v>
      </c>
      <c r="H15" s="32"/>
    </row>
    <row r="16" spans="2:8" ht="15.75" customHeight="1" x14ac:dyDescent="0.2">
      <c r="B16" s="28" t="s">
        <v>485</v>
      </c>
      <c r="C16" s="28" t="s">
        <v>486</v>
      </c>
      <c r="D16" s="28" t="s">
        <v>224</v>
      </c>
      <c r="E16" s="29">
        <v>1741</v>
      </c>
      <c r="F16" s="30">
        <v>32.28</v>
      </c>
      <c r="G16" s="31">
        <v>2.07E-2</v>
      </c>
      <c r="H16" s="32"/>
    </row>
    <row r="17" spans="2:8" ht="15.75" customHeight="1" x14ac:dyDescent="0.2">
      <c r="B17" s="28" t="s">
        <v>214</v>
      </c>
      <c r="C17" s="28" t="s">
        <v>215</v>
      </c>
      <c r="D17" s="28" t="s">
        <v>183</v>
      </c>
      <c r="E17" s="29">
        <v>7536</v>
      </c>
      <c r="F17" s="30">
        <v>31.68</v>
      </c>
      <c r="G17" s="31">
        <v>2.0299999999999999E-2</v>
      </c>
      <c r="H17" s="32"/>
    </row>
    <row r="18" spans="2:8" ht="15.75" customHeight="1" x14ac:dyDescent="0.2">
      <c r="B18" s="28" t="s">
        <v>565</v>
      </c>
      <c r="C18" s="28" t="s">
        <v>566</v>
      </c>
      <c r="D18" s="28" t="s">
        <v>290</v>
      </c>
      <c r="E18" s="29">
        <v>4348</v>
      </c>
      <c r="F18" s="30">
        <v>31.64</v>
      </c>
      <c r="G18" s="31">
        <v>2.0299999999999999E-2</v>
      </c>
      <c r="H18" s="32"/>
    </row>
    <row r="19" spans="2:8" ht="15.75" customHeight="1" x14ac:dyDescent="0.2">
      <c r="B19" s="28" t="s">
        <v>164</v>
      </c>
      <c r="C19" s="28" t="s">
        <v>165</v>
      </c>
      <c r="D19" s="28" t="s">
        <v>166</v>
      </c>
      <c r="E19" s="29">
        <v>3140</v>
      </c>
      <c r="F19" s="30">
        <v>31</v>
      </c>
      <c r="G19" s="31">
        <v>1.9900000000000001E-2</v>
      </c>
      <c r="H19" s="32"/>
    </row>
    <row r="20" spans="2:8" ht="15.75" customHeight="1" x14ac:dyDescent="0.2">
      <c r="B20" s="28" t="s">
        <v>567</v>
      </c>
      <c r="C20" s="28" t="s">
        <v>568</v>
      </c>
      <c r="D20" s="28" t="s">
        <v>224</v>
      </c>
      <c r="E20" s="29">
        <v>185</v>
      </c>
      <c r="F20" s="30">
        <v>30.48</v>
      </c>
      <c r="G20" s="31">
        <v>1.95E-2</v>
      </c>
      <c r="H20" s="32"/>
    </row>
    <row r="21" spans="2:8" ht="15.75" customHeight="1" x14ac:dyDescent="0.2">
      <c r="B21" s="28" t="s">
        <v>173</v>
      </c>
      <c r="C21" s="28" t="s">
        <v>174</v>
      </c>
      <c r="D21" s="28" t="s">
        <v>175</v>
      </c>
      <c r="E21" s="29">
        <v>4056</v>
      </c>
      <c r="F21" s="30">
        <v>30.38</v>
      </c>
      <c r="G21" s="31">
        <v>1.95E-2</v>
      </c>
      <c r="H21" s="32"/>
    </row>
    <row r="22" spans="2:8" ht="15.75" customHeight="1" x14ac:dyDescent="0.2">
      <c r="B22" s="28" t="s">
        <v>426</v>
      </c>
      <c r="C22" s="28" t="s">
        <v>427</v>
      </c>
      <c r="D22" s="28" t="s">
        <v>172</v>
      </c>
      <c r="E22" s="29">
        <v>2537</v>
      </c>
      <c r="F22" s="30">
        <v>29.6</v>
      </c>
      <c r="G22" s="31">
        <v>1.9E-2</v>
      </c>
      <c r="H22" s="32"/>
    </row>
    <row r="23" spans="2:8" ht="15.75" customHeight="1" x14ac:dyDescent="0.2">
      <c r="B23" s="28" t="s">
        <v>231</v>
      </c>
      <c r="C23" s="28" t="s">
        <v>232</v>
      </c>
      <c r="D23" s="28" t="s">
        <v>233</v>
      </c>
      <c r="E23" s="29">
        <v>285</v>
      </c>
      <c r="F23" s="30">
        <v>26.34</v>
      </c>
      <c r="G23" s="31">
        <v>1.6899999999999998E-2</v>
      </c>
      <c r="H23" s="32"/>
    </row>
    <row r="24" spans="2:8" ht="15.75" customHeight="1" x14ac:dyDescent="0.2">
      <c r="B24" s="28" t="s">
        <v>270</v>
      </c>
      <c r="C24" s="28" t="s">
        <v>271</v>
      </c>
      <c r="D24" s="28" t="s">
        <v>269</v>
      </c>
      <c r="E24" s="29">
        <v>219</v>
      </c>
      <c r="F24" s="30">
        <v>26.16</v>
      </c>
      <c r="G24" s="31">
        <v>1.6799999999999999E-2</v>
      </c>
      <c r="H24" s="32"/>
    </row>
    <row r="25" spans="2:8" ht="15.75" customHeight="1" x14ac:dyDescent="0.2">
      <c r="B25" s="28" t="s">
        <v>366</v>
      </c>
      <c r="C25" s="28" t="s">
        <v>367</v>
      </c>
      <c r="D25" s="28" t="s">
        <v>172</v>
      </c>
      <c r="E25" s="29">
        <v>927</v>
      </c>
      <c r="F25" s="30">
        <v>25.63</v>
      </c>
      <c r="G25" s="31">
        <v>1.6400000000000001E-2</v>
      </c>
      <c r="H25" s="32"/>
    </row>
    <row r="26" spans="2:8" ht="15.75" customHeight="1" x14ac:dyDescent="0.2">
      <c r="B26" s="28" t="s">
        <v>569</v>
      </c>
      <c r="C26" s="28" t="s">
        <v>570</v>
      </c>
      <c r="D26" s="28" t="s">
        <v>571</v>
      </c>
      <c r="E26" s="29">
        <v>1206</v>
      </c>
      <c r="F26" s="30">
        <v>25.62</v>
      </c>
      <c r="G26" s="31">
        <v>1.6400000000000001E-2</v>
      </c>
      <c r="H26" s="32"/>
    </row>
    <row r="27" spans="2:8" ht="15.75" customHeight="1" x14ac:dyDescent="0.2">
      <c r="B27" s="28" t="s">
        <v>473</v>
      </c>
      <c r="C27" s="28" t="s">
        <v>474</v>
      </c>
      <c r="D27" s="28" t="s">
        <v>224</v>
      </c>
      <c r="E27" s="29">
        <v>12768</v>
      </c>
      <c r="F27" s="30">
        <v>25.49</v>
      </c>
      <c r="G27" s="31">
        <v>1.6299999999999999E-2</v>
      </c>
      <c r="H27" s="32"/>
    </row>
    <row r="28" spans="2:8" ht="15.75" customHeight="1" x14ac:dyDescent="0.2">
      <c r="B28" s="28" t="s">
        <v>572</v>
      </c>
      <c r="C28" s="28" t="s">
        <v>573</v>
      </c>
      <c r="D28" s="28" t="s">
        <v>290</v>
      </c>
      <c r="E28" s="29">
        <v>4641</v>
      </c>
      <c r="F28" s="30">
        <v>24.84</v>
      </c>
      <c r="G28" s="31">
        <v>1.5900000000000001E-2</v>
      </c>
      <c r="H28" s="32"/>
    </row>
    <row r="29" spans="2:8" ht="15.75" customHeight="1" x14ac:dyDescent="0.2">
      <c r="B29" s="28" t="s">
        <v>574</v>
      </c>
      <c r="C29" s="28" t="s">
        <v>575</v>
      </c>
      <c r="D29" s="28" t="s">
        <v>249</v>
      </c>
      <c r="E29" s="29">
        <v>773</v>
      </c>
      <c r="F29" s="30">
        <v>24.21</v>
      </c>
      <c r="G29" s="31">
        <v>1.55E-2</v>
      </c>
      <c r="H29" s="32"/>
    </row>
    <row r="30" spans="2:8" ht="15.75" customHeight="1" x14ac:dyDescent="0.2">
      <c r="B30" s="28" t="s">
        <v>332</v>
      </c>
      <c r="C30" s="28" t="s">
        <v>333</v>
      </c>
      <c r="D30" s="28" t="s">
        <v>224</v>
      </c>
      <c r="E30" s="29">
        <v>1418</v>
      </c>
      <c r="F30" s="30">
        <v>23.97</v>
      </c>
      <c r="G30" s="31">
        <v>1.54E-2</v>
      </c>
      <c r="H30" s="32"/>
    </row>
    <row r="31" spans="2:8" ht="15.75" customHeight="1" x14ac:dyDescent="0.2">
      <c r="B31" s="28" t="s">
        <v>489</v>
      </c>
      <c r="C31" s="28" t="s">
        <v>490</v>
      </c>
      <c r="D31" s="28" t="s">
        <v>349</v>
      </c>
      <c r="E31" s="29">
        <v>1412</v>
      </c>
      <c r="F31" s="30">
        <v>23.33</v>
      </c>
      <c r="G31" s="31">
        <v>1.4999999999999999E-2</v>
      </c>
      <c r="H31" s="32"/>
    </row>
    <row r="32" spans="2:8" ht="15.75" customHeight="1" x14ac:dyDescent="0.2">
      <c r="B32" s="28" t="s">
        <v>576</v>
      </c>
      <c r="C32" s="28" t="s">
        <v>577</v>
      </c>
      <c r="D32" s="28" t="s">
        <v>578</v>
      </c>
      <c r="E32" s="29">
        <v>528</v>
      </c>
      <c r="F32" s="30">
        <v>23.23</v>
      </c>
      <c r="G32" s="31">
        <v>1.49E-2</v>
      </c>
      <c r="H32" s="32"/>
    </row>
    <row r="33" spans="2:8" ht="15.75" customHeight="1" x14ac:dyDescent="0.2">
      <c r="B33" s="28" t="s">
        <v>362</v>
      </c>
      <c r="C33" s="28" t="s">
        <v>363</v>
      </c>
      <c r="D33" s="28" t="s">
        <v>300</v>
      </c>
      <c r="E33" s="29">
        <v>411</v>
      </c>
      <c r="F33" s="30">
        <v>23.12</v>
      </c>
      <c r="G33" s="31">
        <v>1.4800000000000001E-2</v>
      </c>
      <c r="H33" s="32"/>
    </row>
    <row r="34" spans="2:8" ht="15.75" customHeight="1" x14ac:dyDescent="0.2">
      <c r="B34" s="28" t="s">
        <v>471</v>
      </c>
      <c r="C34" s="28" t="s">
        <v>472</v>
      </c>
      <c r="D34" s="28" t="s">
        <v>326</v>
      </c>
      <c r="E34" s="29">
        <v>5050</v>
      </c>
      <c r="F34" s="30">
        <v>22.63</v>
      </c>
      <c r="G34" s="31">
        <v>1.4500000000000001E-2</v>
      </c>
      <c r="H34" s="32"/>
    </row>
    <row r="35" spans="2:8" ht="15.75" customHeight="1" x14ac:dyDescent="0.2">
      <c r="B35" s="28" t="s">
        <v>355</v>
      </c>
      <c r="C35" s="28" t="s">
        <v>356</v>
      </c>
      <c r="D35" s="28" t="s">
        <v>208</v>
      </c>
      <c r="E35" s="29">
        <v>1152</v>
      </c>
      <c r="F35" s="30">
        <v>21.44</v>
      </c>
      <c r="G35" s="31">
        <v>1.37E-2</v>
      </c>
      <c r="H35" s="32"/>
    </row>
    <row r="36" spans="2:8" ht="15.75" customHeight="1" x14ac:dyDescent="0.2">
      <c r="B36" s="28" t="s">
        <v>579</v>
      </c>
      <c r="C36" s="28" t="s">
        <v>580</v>
      </c>
      <c r="D36" s="28" t="s">
        <v>425</v>
      </c>
      <c r="E36" s="29">
        <v>1496</v>
      </c>
      <c r="F36" s="30">
        <v>21.15</v>
      </c>
      <c r="G36" s="31">
        <v>1.3599999999999999E-2</v>
      </c>
      <c r="H36" s="32"/>
    </row>
    <row r="37" spans="2:8" ht="15.75" customHeight="1" x14ac:dyDescent="0.2">
      <c r="B37" s="28" t="s">
        <v>581</v>
      </c>
      <c r="C37" s="28" t="s">
        <v>582</v>
      </c>
      <c r="D37" s="28" t="s">
        <v>495</v>
      </c>
      <c r="E37" s="29">
        <v>2147</v>
      </c>
      <c r="F37" s="30">
        <v>20.39</v>
      </c>
      <c r="G37" s="31">
        <v>1.3100000000000001E-2</v>
      </c>
      <c r="H37" s="32"/>
    </row>
    <row r="38" spans="2:8" ht="15.75" customHeight="1" x14ac:dyDescent="0.2">
      <c r="B38" s="28" t="s">
        <v>583</v>
      </c>
      <c r="C38" s="28" t="s">
        <v>584</v>
      </c>
      <c r="D38" s="28" t="s">
        <v>585</v>
      </c>
      <c r="E38" s="29">
        <v>5858</v>
      </c>
      <c r="F38" s="30">
        <v>19.78</v>
      </c>
      <c r="G38" s="31">
        <v>1.2699999999999999E-2</v>
      </c>
      <c r="H38" s="32"/>
    </row>
    <row r="39" spans="2:8" ht="15.75" customHeight="1" x14ac:dyDescent="0.2">
      <c r="B39" s="28" t="s">
        <v>467</v>
      </c>
      <c r="C39" s="28" t="s">
        <v>468</v>
      </c>
      <c r="D39" s="28" t="s">
        <v>188</v>
      </c>
      <c r="E39" s="29">
        <v>559</v>
      </c>
      <c r="F39" s="30">
        <v>19.61</v>
      </c>
      <c r="G39" s="31">
        <v>1.26E-2</v>
      </c>
      <c r="H39" s="32"/>
    </row>
    <row r="40" spans="2:8" ht="15.75" customHeight="1" x14ac:dyDescent="0.2">
      <c r="B40" s="28" t="s">
        <v>359</v>
      </c>
      <c r="C40" s="28" t="s">
        <v>360</v>
      </c>
      <c r="D40" s="28" t="s">
        <v>361</v>
      </c>
      <c r="E40" s="29">
        <v>460</v>
      </c>
      <c r="F40" s="30">
        <v>18.95</v>
      </c>
      <c r="G40" s="31">
        <v>1.21E-2</v>
      </c>
      <c r="H40" s="32"/>
    </row>
    <row r="41" spans="2:8" ht="15.75" customHeight="1" x14ac:dyDescent="0.2">
      <c r="B41" s="28" t="s">
        <v>586</v>
      </c>
      <c r="C41" s="28" t="s">
        <v>587</v>
      </c>
      <c r="D41" s="28" t="s">
        <v>260</v>
      </c>
      <c r="E41" s="29">
        <v>2879</v>
      </c>
      <c r="F41" s="30">
        <v>18.850000000000001</v>
      </c>
      <c r="G41" s="31">
        <v>1.21E-2</v>
      </c>
      <c r="H41" s="32"/>
    </row>
    <row r="42" spans="2:8" ht="15.75" customHeight="1" x14ac:dyDescent="0.2">
      <c r="B42" s="28" t="s">
        <v>498</v>
      </c>
      <c r="C42" s="28" t="s">
        <v>499</v>
      </c>
      <c r="D42" s="28" t="s">
        <v>224</v>
      </c>
      <c r="E42" s="29">
        <v>338</v>
      </c>
      <c r="F42" s="30">
        <v>18.61</v>
      </c>
      <c r="G42" s="31">
        <v>1.1900000000000001E-2</v>
      </c>
      <c r="H42" s="32"/>
    </row>
    <row r="43" spans="2:8" ht="15.75" customHeight="1" x14ac:dyDescent="0.2">
      <c r="B43" s="28" t="s">
        <v>461</v>
      </c>
      <c r="C43" s="28" t="s">
        <v>462</v>
      </c>
      <c r="D43" s="28" t="s">
        <v>463</v>
      </c>
      <c r="E43" s="29">
        <v>1426</v>
      </c>
      <c r="F43" s="30">
        <v>18.579999999999998</v>
      </c>
      <c r="G43" s="31">
        <v>1.1900000000000001E-2</v>
      </c>
      <c r="H43" s="32"/>
    </row>
    <row r="44" spans="2:8" ht="15.75" customHeight="1" x14ac:dyDescent="0.2">
      <c r="B44" s="28" t="s">
        <v>491</v>
      </c>
      <c r="C44" s="28" t="s">
        <v>492</v>
      </c>
      <c r="D44" s="28" t="s">
        <v>166</v>
      </c>
      <c r="E44" s="29">
        <v>7736</v>
      </c>
      <c r="F44" s="30">
        <v>18.3</v>
      </c>
      <c r="G44" s="31">
        <v>1.17E-2</v>
      </c>
      <c r="H44" s="32"/>
    </row>
    <row r="45" spans="2:8" ht="15.75" customHeight="1" x14ac:dyDescent="0.2">
      <c r="B45" s="28" t="s">
        <v>588</v>
      </c>
      <c r="C45" s="28" t="s">
        <v>589</v>
      </c>
      <c r="D45" s="28" t="s">
        <v>590</v>
      </c>
      <c r="E45" s="29">
        <v>1683</v>
      </c>
      <c r="F45" s="30">
        <v>18</v>
      </c>
      <c r="G45" s="31">
        <v>1.15E-2</v>
      </c>
      <c r="H45" s="32"/>
    </row>
    <row r="46" spans="2:8" ht="15.75" customHeight="1" x14ac:dyDescent="0.2">
      <c r="B46" s="28" t="s">
        <v>591</v>
      </c>
      <c r="C46" s="28" t="s">
        <v>592</v>
      </c>
      <c r="D46" s="28" t="s">
        <v>290</v>
      </c>
      <c r="E46" s="29">
        <v>98</v>
      </c>
      <c r="F46" s="30">
        <v>17.420000000000002</v>
      </c>
      <c r="G46" s="31">
        <v>1.12E-2</v>
      </c>
      <c r="H46" s="32"/>
    </row>
    <row r="47" spans="2:8" ht="15.75" customHeight="1" x14ac:dyDescent="0.2">
      <c r="B47" s="28" t="s">
        <v>593</v>
      </c>
      <c r="C47" s="28" t="s">
        <v>594</v>
      </c>
      <c r="D47" s="28" t="s">
        <v>263</v>
      </c>
      <c r="E47" s="29">
        <v>2319</v>
      </c>
      <c r="F47" s="30">
        <v>16.940000000000001</v>
      </c>
      <c r="G47" s="31">
        <v>1.09E-2</v>
      </c>
      <c r="H47" s="32"/>
    </row>
    <row r="48" spans="2:8" ht="15.75" customHeight="1" x14ac:dyDescent="0.2">
      <c r="B48" s="28" t="s">
        <v>382</v>
      </c>
      <c r="C48" s="28" t="s">
        <v>383</v>
      </c>
      <c r="D48" s="28" t="s">
        <v>172</v>
      </c>
      <c r="E48" s="29">
        <v>1187</v>
      </c>
      <c r="F48" s="30">
        <v>16.91</v>
      </c>
      <c r="G48" s="31">
        <v>1.0800000000000001E-2</v>
      </c>
      <c r="H48" s="32"/>
    </row>
    <row r="49" spans="2:8" ht="15.75" customHeight="1" x14ac:dyDescent="0.2">
      <c r="B49" s="28" t="s">
        <v>258</v>
      </c>
      <c r="C49" s="28" t="s">
        <v>259</v>
      </c>
      <c r="D49" s="28" t="s">
        <v>260</v>
      </c>
      <c r="E49" s="29">
        <v>449</v>
      </c>
      <c r="F49" s="30">
        <v>16.82</v>
      </c>
      <c r="G49" s="31">
        <v>1.0800000000000001E-2</v>
      </c>
      <c r="H49" s="32"/>
    </row>
    <row r="50" spans="2:8" ht="15.75" customHeight="1" x14ac:dyDescent="0.2">
      <c r="B50" s="28" t="s">
        <v>595</v>
      </c>
      <c r="C50" s="28" t="s">
        <v>596</v>
      </c>
      <c r="D50" s="28" t="s">
        <v>290</v>
      </c>
      <c r="E50" s="29">
        <v>28215</v>
      </c>
      <c r="F50" s="30">
        <v>16.73</v>
      </c>
      <c r="G50" s="31">
        <v>1.0699999999999999E-2</v>
      </c>
      <c r="H50" s="32"/>
    </row>
    <row r="51" spans="2:8" ht="15.75" customHeight="1" x14ac:dyDescent="0.2">
      <c r="B51" s="28" t="s">
        <v>597</v>
      </c>
      <c r="C51" s="28" t="s">
        <v>598</v>
      </c>
      <c r="D51" s="28" t="s">
        <v>290</v>
      </c>
      <c r="E51" s="29">
        <v>497</v>
      </c>
      <c r="F51" s="30">
        <v>15.83</v>
      </c>
      <c r="G51" s="31">
        <v>1.01E-2</v>
      </c>
      <c r="H51" s="32"/>
    </row>
    <row r="52" spans="2:8" ht="15.75" customHeight="1" x14ac:dyDescent="0.2">
      <c r="B52" s="28" t="s">
        <v>599</v>
      </c>
      <c r="C52" s="28" t="s">
        <v>600</v>
      </c>
      <c r="D52" s="28" t="s">
        <v>260</v>
      </c>
      <c r="E52" s="29">
        <v>1389</v>
      </c>
      <c r="F52" s="30">
        <v>15.68</v>
      </c>
      <c r="G52" s="31">
        <v>0.01</v>
      </c>
      <c r="H52" s="32"/>
    </row>
    <row r="53" spans="2:8" ht="15.75" customHeight="1" x14ac:dyDescent="0.2">
      <c r="B53" s="28" t="s">
        <v>549</v>
      </c>
      <c r="C53" s="28" t="s">
        <v>550</v>
      </c>
      <c r="D53" s="28" t="s">
        <v>233</v>
      </c>
      <c r="E53" s="29">
        <v>631</v>
      </c>
      <c r="F53" s="30">
        <v>15.64</v>
      </c>
      <c r="G53" s="31">
        <v>0.01</v>
      </c>
      <c r="H53" s="32"/>
    </row>
    <row r="54" spans="2:8" ht="15.75" customHeight="1" x14ac:dyDescent="0.2">
      <c r="B54" s="28" t="s">
        <v>419</v>
      </c>
      <c r="C54" s="28" t="s">
        <v>420</v>
      </c>
      <c r="D54" s="28" t="s">
        <v>224</v>
      </c>
      <c r="E54" s="29">
        <v>436</v>
      </c>
      <c r="F54" s="30">
        <v>15.52</v>
      </c>
      <c r="G54" s="31">
        <v>9.9000000000000008E-3</v>
      </c>
      <c r="H54" s="32"/>
    </row>
    <row r="55" spans="2:8" ht="15.75" customHeight="1" x14ac:dyDescent="0.2">
      <c r="B55" s="28" t="s">
        <v>601</v>
      </c>
      <c r="C55" s="28" t="s">
        <v>602</v>
      </c>
      <c r="D55" s="28" t="s">
        <v>361</v>
      </c>
      <c r="E55" s="29">
        <v>798</v>
      </c>
      <c r="F55" s="30">
        <v>15.41</v>
      </c>
      <c r="G55" s="31">
        <v>9.9000000000000008E-3</v>
      </c>
      <c r="H55" s="32"/>
    </row>
    <row r="56" spans="2:8" ht="15.75" customHeight="1" x14ac:dyDescent="0.2">
      <c r="B56" s="28" t="s">
        <v>327</v>
      </c>
      <c r="C56" s="28" t="s">
        <v>328</v>
      </c>
      <c r="D56" s="28" t="s">
        <v>329</v>
      </c>
      <c r="E56" s="29">
        <v>1789</v>
      </c>
      <c r="F56" s="30">
        <v>14.66</v>
      </c>
      <c r="G56" s="31">
        <v>9.4000000000000004E-3</v>
      </c>
      <c r="H56" s="32"/>
    </row>
    <row r="57" spans="2:8" ht="15.75" customHeight="1" x14ac:dyDescent="0.2">
      <c r="B57" s="28" t="s">
        <v>408</v>
      </c>
      <c r="C57" s="28" t="s">
        <v>409</v>
      </c>
      <c r="D57" s="28" t="s">
        <v>175</v>
      </c>
      <c r="E57" s="29">
        <v>3807</v>
      </c>
      <c r="F57" s="30">
        <v>14.27</v>
      </c>
      <c r="G57" s="31">
        <v>9.1000000000000004E-3</v>
      </c>
      <c r="H57" s="32"/>
    </row>
    <row r="58" spans="2:8" ht="15.75" customHeight="1" x14ac:dyDescent="0.2">
      <c r="B58" s="28" t="s">
        <v>603</v>
      </c>
      <c r="C58" s="28" t="s">
        <v>604</v>
      </c>
      <c r="D58" s="28" t="s">
        <v>329</v>
      </c>
      <c r="E58" s="29">
        <v>148</v>
      </c>
      <c r="F58" s="30">
        <v>12.79</v>
      </c>
      <c r="G58" s="31">
        <v>8.2000000000000007E-3</v>
      </c>
      <c r="H58" s="32"/>
    </row>
    <row r="59" spans="2:8" ht="15.75" customHeight="1" x14ac:dyDescent="0.2">
      <c r="B59" s="28" t="s">
        <v>605</v>
      </c>
      <c r="C59" s="28" t="s">
        <v>606</v>
      </c>
      <c r="D59" s="28" t="s">
        <v>430</v>
      </c>
      <c r="E59" s="29">
        <v>5111</v>
      </c>
      <c r="F59" s="30">
        <v>12.65</v>
      </c>
      <c r="G59" s="31">
        <v>8.0999999999999996E-3</v>
      </c>
      <c r="H59" s="32"/>
    </row>
    <row r="60" spans="2:8" ht="15.75" customHeight="1" x14ac:dyDescent="0.2">
      <c r="B60" s="28" t="s">
        <v>340</v>
      </c>
      <c r="C60" s="28" t="s">
        <v>341</v>
      </c>
      <c r="D60" s="28" t="s">
        <v>263</v>
      </c>
      <c r="E60" s="29">
        <v>903</v>
      </c>
      <c r="F60" s="30">
        <v>12.56</v>
      </c>
      <c r="G60" s="31">
        <v>8.0999999999999996E-3</v>
      </c>
      <c r="H60" s="32"/>
    </row>
    <row r="61" spans="2:8" ht="15.75" customHeight="1" x14ac:dyDescent="0.2">
      <c r="B61" s="28" t="s">
        <v>607</v>
      </c>
      <c r="C61" s="28" t="s">
        <v>608</v>
      </c>
      <c r="D61" s="28" t="s">
        <v>349</v>
      </c>
      <c r="E61" s="29">
        <v>191</v>
      </c>
      <c r="F61" s="30">
        <v>11.49</v>
      </c>
      <c r="G61" s="31">
        <v>7.4000000000000003E-3</v>
      </c>
      <c r="H61" s="32"/>
    </row>
    <row r="62" spans="2:8" ht="15.75" customHeight="1" x14ac:dyDescent="0.2">
      <c r="B62" s="28" t="s">
        <v>440</v>
      </c>
      <c r="C62" s="28" t="s">
        <v>441</v>
      </c>
      <c r="D62" s="28" t="s">
        <v>442</v>
      </c>
      <c r="E62" s="29">
        <v>273</v>
      </c>
      <c r="F62" s="30">
        <v>8.4</v>
      </c>
      <c r="G62" s="31">
        <v>5.4000000000000003E-3</v>
      </c>
      <c r="H62" s="32"/>
    </row>
    <row r="63" spans="2:8" ht="15.75" customHeight="1" x14ac:dyDescent="0.2">
      <c r="B63" s="27" t="s">
        <v>127</v>
      </c>
      <c r="C63" s="27"/>
      <c r="D63" s="27"/>
      <c r="E63" s="33"/>
      <c r="F63" s="34">
        <f>SUM(F7:F62)</f>
        <v>1362.6600000000005</v>
      </c>
      <c r="G63" s="35">
        <v>0.87329999999999997</v>
      </c>
      <c r="H63" s="36"/>
    </row>
    <row r="64" spans="2:8" ht="15.75" customHeight="1" x14ac:dyDescent="0.2">
      <c r="B64" s="27" t="s">
        <v>189</v>
      </c>
      <c r="C64" s="28"/>
      <c r="D64" s="28"/>
      <c r="E64" s="29"/>
      <c r="F64" s="30"/>
      <c r="G64" s="31"/>
      <c r="H64" s="32"/>
    </row>
    <row r="65" spans="2:14" ht="15.75" customHeight="1" x14ac:dyDescent="0.2">
      <c r="B65" s="27" t="s">
        <v>127</v>
      </c>
      <c r="C65" s="28"/>
      <c r="D65" s="28"/>
      <c r="E65" s="29"/>
      <c r="F65" s="37" t="s">
        <v>129</v>
      </c>
      <c r="G65" s="38" t="s">
        <v>129</v>
      </c>
      <c r="H65" s="32"/>
    </row>
    <row r="66" spans="2:14" ht="15.75" customHeight="1" x14ac:dyDescent="0.2">
      <c r="B66" s="28"/>
      <c r="C66" s="28"/>
      <c r="D66" s="28"/>
      <c r="E66" s="29"/>
      <c r="F66" s="30"/>
      <c r="G66" s="31"/>
      <c r="H66" s="32"/>
    </row>
    <row r="67" spans="2:14" ht="15.75" customHeight="1" x14ac:dyDescent="0.2">
      <c r="B67" s="39" t="s">
        <v>131</v>
      </c>
      <c r="C67" s="39"/>
      <c r="D67" s="39"/>
      <c r="E67" s="40"/>
      <c r="F67" s="34">
        <f>F63</f>
        <v>1362.6600000000005</v>
      </c>
      <c r="G67" s="35">
        <f>G63</f>
        <v>0.87329999999999997</v>
      </c>
      <c r="H67" s="36"/>
      <c r="J67" s="3"/>
    </row>
    <row r="68" spans="2:14" ht="15.75" customHeight="1" x14ac:dyDescent="0.2">
      <c r="B68" s="28"/>
      <c r="C68" s="28"/>
      <c r="D68" s="28"/>
      <c r="E68" s="29"/>
      <c r="F68" s="30"/>
      <c r="G68" s="31"/>
      <c r="H68" s="32"/>
    </row>
    <row r="69" spans="2:14" ht="15.75" customHeight="1" x14ac:dyDescent="0.2">
      <c r="B69" s="27" t="s">
        <v>107</v>
      </c>
      <c r="C69" s="28"/>
      <c r="D69" s="28"/>
      <c r="E69" s="29"/>
      <c r="F69" s="30"/>
      <c r="G69" s="31"/>
      <c r="H69" s="32"/>
      <c r="J69" s="3"/>
    </row>
    <row r="70" spans="2:14" ht="15.75" customHeight="1" x14ac:dyDescent="0.2">
      <c r="B70" s="27" t="s">
        <v>108</v>
      </c>
      <c r="C70" s="28"/>
      <c r="D70" s="28"/>
      <c r="E70" s="29"/>
      <c r="F70" s="30"/>
      <c r="G70" s="31"/>
      <c r="H70" s="32"/>
      <c r="J70" s="3"/>
    </row>
    <row r="71" spans="2:14" ht="15.75" customHeight="1" x14ac:dyDescent="0.2">
      <c r="B71" s="28" t="s">
        <v>1122</v>
      </c>
      <c r="C71" s="28" t="s">
        <v>503</v>
      </c>
      <c r="D71" s="28" t="s">
        <v>188</v>
      </c>
      <c r="E71" s="29">
        <v>2236</v>
      </c>
      <c r="F71" s="30">
        <v>0.23</v>
      </c>
      <c r="G71" s="31">
        <v>1E-4</v>
      </c>
      <c r="H71" s="32"/>
    </row>
    <row r="72" spans="2:14" ht="15.75" customHeight="1" x14ac:dyDescent="0.2">
      <c r="B72" s="28" t="s">
        <v>190</v>
      </c>
      <c r="C72" s="28" t="s">
        <v>191</v>
      </c>
      <c r="D72" s="28" t="s">
        <v>111</v>
      </c>
      <c r="E72" s="29">
        <v>150000</v>
      </c>
      <c r="F72" s="30">
        <v>157.87</v>
      </c>
      <c r="G72" s="31">
        <v>0.1012</v>
      </c>
      <c r="H72" s="32">
        <v>5.7950000000000002E-2</v>
      </c>
      <c r="J72" s="3"/>
    </row>
    <row r="73" spans="2:14" ht="15.75" customHeight="1" x14ac:dyDescent="0.2">
      <c r="B73" s="27" t="s">
        <v>127</v>
      </c>
      <c r="C73" s="27"/>
      <c r="D73" s="27"/>
      <c r="E73" s="33"/>
      <c r="F73" s="34">
        <f>SUM(F71:F72)</f>
        <v>158.1</v>
      </c>
      <c r="G73" s="35">
        <v>0.1013</v>
      </c>
      <c r="H73" s="36"/>
      <c r="J73" s="3"/>
    </row>
    <row r="74" spans="2:14" ht="15.75" customHeight="1" x14ac:dyDescent="0.2">
      <c r="B74" s="28"/>
      <c r="C74" s="28"/>
      <c r="D74" s="28"/>
      <c r="E74" s="29"/>
      <c r="F74" s="30"/>
      <c r="G74" s="31"/>
      <c r="H74" s="32"/>
      <c r="J74" s="3"/>
    </row>
    <row r="75" spans="2:14" ht="15.75" customHeight="1" x14ac:dyDescent="0.2">
      <c r="B75" s="27" t="s">
        <v>128</v>
      </c>
      <c r="C75" s="28"/>
      <c r="D75" s="28"/>
      <c r="E75" s="29"/>
      <c r="F75" s="30"/>
      <c r="G75" s="31"/>
      <c r="H75" s="32"/>
      <c r="J75" s="5"/>
      <c r="K75" s="5"/>
      <c r="L75" s="6"/>
      <c r="M75" s="6"/>
      <c r="N75" s="5"/>
    </row>
    <row r="76" spans="2:14" ht="15.75" customHeight="1" x14ac:dyDescent="0.2">
      <c r="B76" s="27" t="s">
        <v>127</v>
      </c>
      <c r="C76" s="28"/>
      <c r="D76" s="28"/>
      <c r="E76" s="29"/>
      <c r="F76" s="37" t="s">
        <v>129</v>
      </c>
      <c r="G76" s="38" t="s">
        <v>129</v>
      </c>
      <c r="H76" s="32"/>
    </row>
    <row r="77" spans="2:14" ht="15.75" customHeight="1" x14ac:dyDescent="0.2">
      <c r="B77" s="28"/>
      <c r="C77" s="28"/>
      <c r="D77" s="28"/>
      <c r="E77" s="29"/>
      <c r="F77" s="30"/>
      <c r="G77" s="31"/>
      <c r="H77" s="32"/>
    </row>
    <row r="78" spans="2:14" ht="15.75" customHeight="1" x14ac:dyDescent="0.2">
      <c r="B78" s="27" t="s">
        <v>130</v>
      </c>
      <c r="C78" s="28"/>
      <c r="D78" s="28"/>
      <c r="E78" s="29"/>
      <c r="F78" s="30"/>
      <c r="G78" s="31"/>
      <c r="H78" s="32"/>
      <c r="J78" s="7"/>
      <c r="K78" s="7"/>
      <c r="L78" s="7"/>
      <c r="M78" s="7"/>
      <c r="N78" s="7"/>
    </row>
    <row r="79" spans="2:14" ht="15.75" customHeight="1" x14ac:dyDescent="0.2">
      <c r="B79" s="27" t="s">
        <v>127</v>
      </c>
      <c r="C79" s="28"/>
      <c r="D79" s="28"/>
      <c r="E79" s="29"/>
      <c r="F79" s="37" t="s">
        <v>129</v>
      </c>
      <c r="G79" s="38" t="s">
        <v>129</v>
      </c>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131</v>
      </c>
      <c r="C81" s="39"/>
      <c r="D81" s="39"/>
      <c r="E81" s="40"/>
      <c r="F81" s="34">
        <f>F73</f>
        <v>158.1</v>
      </c>
      <c r="G81" s="35">
        <f>G73</f>
        <v>0.1013</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7" t="s">
        <v>134</v>
      </c>
      <c r="C84" s="28"/>
      <c r="D84" s="28"/>
      <c r="E84" s="29"/>
      <c r="F84" s="30"/>
      <c r="G84" s="31"/>
      <c r="H84" s="32"/>
      <c r="J84" s="7"/>
      <c r="K84" s="7"/>
      <c r="L84" s="7"/>
      <c r="M84" s="7"/>
      <c r="N84" s="7"/>
    </row>
    <row r="85" spans="2:14" ht="15.75" customHeight="1" x14ac:dyDescent="0.2">
      <c r="B85" s="28" t="s">
        <v>135</v>
      </c>
      <c r="C85" s="28"/>
      <c r="D85" s="28"/>
      <c r="E85" s="29"/>
      <c r="F85" s="30">
        <v>42.52</v>
      </c>
      <c r="G85" s="31">
        <v>2.7300000000000001E-2</v>
      </c>
      <c r="H85" s="32"/>
    </row>
    <row r="86" spans="2:14" ht="15.75" customHeight="1" x14ac:dyDescent="0.2">
      <c r="B86" s="27" t="s">
        <v>127</v>
      </c>
      <c r="C86" s="27"/>
      <c r="D86" s="27"/>
      <c r="E86" s="33"/>
      <c r="F86" s="34">
        <v>42.52</v>
      </c>
      <c r="G86" s="35">
        <v>2.7300000000000001E-2</v>
      </c>
      <c r="H86" s="36"/>
      <c r="J86" s="3"/>
    </row>
    <row r="87" spans="2:14" ht="15.75" customHeight="1" x14ac:dyDescent="0.2">
      <c r="B87" s="28"/>
      <c r="C87" s="28"/>
      <c r="D87" s="28"/>
      <c r="E87" s="29"/>
      <c r="F87" s="30"/>
      <c r="G87" s="31"/>
      <c r="H87" s="32"/>
    </row>
    <row r="88" spans="2:14" ht="15.75" customHeight="1" x14ac:dyDescent="0.2">
      <c r="B88" s="39" t="s">
        <v>131</v>
      </c>
      <c r="C88" s="39"/>
      <c r="D88" s="39"/>
      <c r="E88" s="40"/>
      <c r="F88" s="34">
        <v>42.52</v>
      </c>
      <c r="G88" s="35">
        <v>2.7300000000000001E-2</v>
      </c>
      <c r="H88" s="36"/>
    </row>
    <row r="89" spans="2:14" ht="15.75" customHeight="1" x14ac:dyDescent="0.2">
      <c r="B89" s="28" t="s">
        <v>136</v>
      </c>
      <c r="C89" s="28"/>
      <c r="D89" s="28"/>
      <c r="E89" s="29"/>
      <c r="F89" s="41">
        <v>-3.02</v>
      </c>
      <c r="G89" s="42">
        <v>-1.9000000000000128E-3</v>
      </c>
      <c r="H89" s="32"/>
    </row>
    <row r="90" spans="2:14" ht="15.75" customHeight="1" x14ac:dyDescent="0.2">
      <c r="B90" s="43" t="s">
        <v>137</v>
      </c>
      <c r="C90" s="43"/>
      <c r="D90" s="43"/>
      <c r="E90" s="44"/>
      <c r="F90" s="45">
        <v>1560.26</v>
      </c>
      <c r="G90" s="46">
        <v>1</v>
      </c>
      <c r="H90" s="47"/>
    </row>
    <row r="91" spans="2:14" ht="15.75" customHeight="1" x14ac:dyDescent="0.2">
      <c r="B91" s="2"/>
    </row>
    <row r="92" spans="2:14" ht="15.75" customHeight="1" x14ac:dyDescent="0.2">
      <c r="B92" s="15" t="s">
        <v>161</v>
      </c>
    </row>
    <row r="95" spans="2:14" ht="15.75" customHeight="1" thickBot="1" x14ac:dyDescent="0.25"/>
    <row r="96" spans="2:14" ht="39.75" customHeight="1" thickBot="1" x14ac:dyDescent="0.25">
      <c r="B96" s="48" t="s">
        <v>139</v>
      </c>
      <c r="C96" s="49" t="s">
        <v>140</v>
      </c>
      <c r="D96" s="49" t="s">
        <v>141</v>
      </c>
      <c r="E96" s="49" t="s">
        <v>142</v>
      </c>
    </row>
    <row r="97" spans="2:5" ht="39.75" customHeight="1" x14ac:dyDescent="0.2">
      <c r="B97" s="61" t="s">
        <v>609</v>
      </c>
      <c r="C97" s="77"/>
      <c r="D97" s="80" t="s">
        <v>518</v>
      </c>
      <c r="E97" s="81"/>
    </row>
    <row r="98" spans="2:5" ht="39.75" customHeight="1" x14ac:dyDescent="0.2">
      <c r="B98" s="52" t="s">
        <v>610</v>
      </c>
      <c r="C98" s="78"/>
      <c r="D98" s="80"/>
      <c r="E98" s="82"/>
    </row>
    <row r="99" spans="2:5" ht="39.75" customHeight="1" x14ac:dyDescent="0.2">
      <c r="B99" s="52" t="s">
        <v>611</v>
      </c>
      <c r="C99" s="78"/>
      <c r="D99" s="80"/>
      <c r="E99" s="82"/>
    </row>
    <row r="100" spans="2:5" ht="39.75" customHeight="1" thickBot="1" x14ac:dyDescent="0.25">
      <c r="B100" s="62" t="s">
        <v>521</v>
      </c>
      <c r="C100" s="79"/>
      <c r="D100" s="50" t="s">
        <v>612</v>
      </c>
      <c r="E100" s="83"/>
    </row>
    <row r="101" spans="2:5" ht="15.75" customHeight="1" x14ac:dyDescent="0.2">
      <c r="B101" s="9" t="s">
        <v>144</v>
      </c>
    </row>
    <row r="103" spans="2:5" ht="15.75" customHeight="1" x14ac:dyDescent="0.2">
      <c r="B103" s="9" t="s">
        <v>145</v>
      </c>
    </row>
    <row r="104" spans="2:5" ht="15.75" customHeight="1" x14ac:dyDescent="0.2">
      <c r="B104" s="15" t="s">
        <v>146</v>
      </c>
    </row>
  </sheetData>
  <mergeCells count="3">
    <mergeCell ref="C97:C100"/>
    <mergeCell ref="D97:D99"/>
    <mergeCell ref="E97:E100"/>
  </mergeCells>
  <hyperlinks>
    <hyperlink ref="G1" location="'Sheet1'!A1" display="Index" xr:uid="{9E0279B3-DF29-46C2-9245-EF469D09592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839BA-5884-4AA1-8B05-8809AFDF5BC5}">
  <dimension ref="B1:N9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425501</v>
      </c>
      <c r="F7" s="30">
        <v>4200.97</v>
      </c>
      <c r="G7" s="31">
        <v>6.0199999999999997E-2</v>
      </c>
      <c r="H7" s="32"/>
    </row>
    <row r="8" spans="2:8" ht="15.75" customHeight="1" x14ac:dyDescent="0.2">
      <c r="B8" s="28" t="s">
        <v>184</v>
      </c>
      <c r="C8" s="28" t="s">
        <v>185</v>
      </c>
      <c r="D8" s="28" t="s">
        <v>166</v>
      </c>
      <c r="E8" s="29">
        <v>185730</v>
      </c>
      <c r="F8" s="30">
        <v>2498.63</v>
      </c>
      <c r="G8" s="31">
        <v>3.5799999999999998E-2</v>
      </c>
      <c r="H8" s="32"/>
    </row>
    <row r="9" spans="2:8" ht="15.75" customHeight="1" x14ac:dyDescent="0.2">
      <c r="B9" s="28" t="s">
        <v>305</v>
      </c>
      <c r="C9" s="28" t="s">
        <v>306</v>
      </c>
      <c r="D9" s="28" t="s">
        <v>166</v>
      </c>
      <c r="E9" s="29">
        <v>105996</v>
      </c>
      <c r="F9" s="30">
        <v>2228.25</v>
      </c>
      <c r="G9" s="31">
        <v>3.1899999999999998E-2</v>
      </c>
      <c r="H9" s="32"/>
    </row>
    <row r="10" spans="2:8" ht="15.75" customHeight="1" x14ac:dyDescent="0.2">
      <c r="B10" s="28" t="s">
        <v>179</v>
      </c>
      <c r="C10" s="28" t="s">
        <v>180</v>
      </c>
      <c r="D10" s="28" t="s">
        <v>166</v>
      </c>
      <c r="E10" s="29">
        <v>157093</v>
      </c>
      <c r="F10" s="30">
        <v>1936.64</v>
      </c>
      <c r="G10" s="31">
        <v>2.7699999999999999E-2</v>
      </c>
      <c r="H10" s="32"/>
    </row>
    <row r="11" spans="2:8" ht="15.75" customHeight="1" x14ac:dyDescent="0.2">
      <c r="B11" s="28" t="s">
        <v>199</v>
      </c>
      <c r="C11" s="28" t="s">
        <v>200</v>
      </c>
      <c r="D11" s="28" t="s">
        <v>172</v>
      </c>
      <c r="E11" s="29">
        <v>58112</v>
      </c>
      <c r="F11" s="30">
        <v>1777.06</v>
      </c>
      <c r="G11" s="31">
        <v>2.5499999999999998E-2</v>
      </c>
      <c r="H11" s="32"/>
    </row>
    <row r="12" spans="2:8" ht="15.75" customHeight="1" x14ac:dyDescent="0.2">
      <c r="B12" s="28" t="s">
        <v>362</v>
      </c>
      <c r="C12" s="28" t="s">
        <v>363</v>
      </c>
      <c r="D12" s="28" t="s">
        <v>300</v>
      </c>
      <c r="E12" s="29">
        <v>31283</v>
      </c>
      <c r="F12" s="30">
        <v>1759.67</v>
      </c>
      <c r="G12" s="31">
        <v>2.52E-2</v>
      </c>
      <c r="H12" s="32"/>
    </row>
    <row r="13" spans="2:8" ht="15.75" customHeight="1" x14ac:dyDescent="0.2">
      <c r="B13" s="28" t="s">
        <v>214</v>
      </c>
      <c r="C13" s="28" t="s">
        <v>215</v>
      </c>
      <c r="D13" s="28" t="s">
        <v>183</v>
      </c>
      <c r="E13" s="29">
        <v>417415</v>
      </c>
      <c r="F13" s="30">
        <v>1754.6</v>
      </c>
      <c r="G13" s="31">
        <v>2.5100000000000001E-2</v>
      </c>
      <c r="H13" s="32"/>
    </row>
    <row r="14" spans="2:8" ht="15.75" customHeight="1" x14ac:dyDescent="0.2">
      <c r="B14" s="28" t="s">
        <v>613</v>
      </c>
      <c r="C14" s="28" t="s">
        <v>614</v>
      </c>
      <c r="D14" s="28" t="s">
        <v>249</v>
      </c>
      <c r="E14" s="29">
        <v>262727</v>
      </c>
      <c r="F14" s="30">
        <v>1739.38</v>
      </c>
      <c r="G14" s="31">
        <v>2.4899999999999999E-2</v>
      </c>
      <c r="H14" s="32"/>
    </row>
    <row r="15" spans="2:8" ht="15.75" customHeight="1" x14ac:dyDescent="0.2">
      <c r="B15" s="28" t="s">
        <v>615</v>
      </c>
      <c r="C15" s="28" t="s">
        <v>616</v>
      </c>
      <c r="D15" s="28" t="s">
        <v>290</v>
      </c>
      <c r="E15" s="29">
        <v>139011</v>
      </c>
      <c r="F15" s="30">
        <v>1655.2</v>
      </c>
      <c r="G15" s="31">
        <v>2.3699999999999999E-2</v>
      </c>
      <c r="H15" s="32"/>
    </row>
    <row r="16" spans="2:8" ht="15.75" customHeight="1" x14ac:dyDescent="0.2">
      <c r="B16" s="28" t="s">
        <v>216</v>
      </c>
      <c r="C16" s="28" t="s">
        <v>217</v>
      </c>
      <c r="D16" s="28" t="s">
        <v>218</v>
      </c>
      <c r="E16" s="29">
        <v>378997</v>
      </c>
      <c r="F16" s="30">
        <v>1614.91</v>
      </c>
      <c r="G16" s="31">
        <v>2.3099999999999999E-2</v>
      </c>
      <c r="H16" s="32"/>
    </row>
    <row r="17" spans="2:8" ht="15.75" customHeight="1" x14ac:dyDescent="0.2">
      <c r="B17" s="28" t="s">
        <v>475</v>
      </c>
      <c r="C17" s="28" t="s">
        <v>476</v>
      </c>
      <c r="D17" s="28" t="s">
        <v>172</v>
      </c>
      <c r="E17" s="29">
        <v>28111</v>
      </c>
      <c r="F17" s="30">
        <v>1597.97</v>
      </c>
      <c r="G17" s="31">
        <v>2.29E-2</v>
      </c>
      <c r="H17" s="32"/>
    </row>
    <row r="18" spans="2:8" ht="15.75" customHeight="1" x14ac:dyDescent="0.2">
      <c r="B18" s="28" t="s">
        <v>330</v>
      </c>
      <c r="C18" s="28" t="s">
        <v>331</v>
      </c>
      <c r="D18" s="28" t="s">
        <v>329</v>
      </c>
      <c r="E18" s="29">
        <v>46363</v>
      </c>
      <c r="F18" s="30">
        <v>1581.81</v>
      </c>
      <c r="G18" s="31">
        <v>2.2700000000000001E-2</v>
      </c>
      <c r="H18" s="32"/>
    </row>
    <row r="19" spans="2:8" ht="15.75" customHeight="1" x14ac:dyDescent="0.2">
      <c r="B19" s="28" t="s">
        <v>173</v>
      </c>
      <c r="C19" s="28" t="s">
        <v>174</v>
      </c>
      <c r="D19" s="28" t="s">
        <v>175</v>
      </c>
      <c r="E19" s="29">
        <v>190452</v>
      </c>
      <c r="F19" s="30">
        <v>1426.3</v>
      </c>
      <c r="G19" s="31">
        <v>2.0400000000000001E-2</v>
      </c>
      <c r="H19" s="32"/>
    </row>
    <row r="20" spans="2:8" ht="15.75" customHeight="1" x14ac:dyDescent="0.2">
      <c r="B20" s="28" t="s">
        <v>459</v>
      </c>
      <c r="C20" s="28" t="s">
        <v>460</v>
      </c>
      <c r="D20" s="28" t="s">
        <v>430</v>
      </c>
      <c r="E20" s="29">
        <v>17996</v>
      </c>
      <c r="F20" s="30">
        <v>1382.27</v>
      </c>
      <c r="G20" s="31">
        <v>1.9800000000000002E-2</v>
      </c>
      <c r="H20" s="32"/>
    </row>
    <row r="21" spans="2:8" ht="15.75" customHeight="1" x14ac:dyDescent="0.2">
      <c r="B21" s="28" t="s">
        <v>334</v>
      </c>
      <c r="C21" s="28" t="s">
        <v>335</v>
      </c>
      <c r="D21" s="28" t="s">
        <v>280</v>
      </c>
      <c r="E21" s="29">
        <v>397517</v>
      </c>
      <c r="F21" s="30">
        <v>1339.43</v>
      </c>
      <c r="G21" s="31">
        <v>1.9199999999999998E-2</v>
      </c>
      <c r="H21" s="32"/>
    </row>
    <row r="22" spans="2:8" ht="15.75" customHeight="1" x14ac:dyDescent="0.2">
      <c r="B22" s="28" t="s">
        <v>296</v>
      </c>
      <c r="C22" s="28" t="s">
        <v>297</v>
      </c>
      <c r="D22" s="28" t="s">
        <v>175</v>
      </c>
      <c r="E22" s="29">
        <v>324021</v>
      </c>
      <c r="F22" s="30">
        <v>1306.6099999999999</v>
      </c>
      <c r="G22" s="31">
        <v>1.8700000000000001E-2</v>
      </c>
      <c r="H22" s="32"/>
    </row>
    <row r="23" spans="2:8" ht="15.75" customHeight="1" x14ac:dyDescent="0.2">
      <c r="B23" s="28" t="s">
        <v>267</v>
      </c>
      <c r="C23" s="28" t="s">
        <v>268</v>
      </c>
      <c r="D23" s="28" t="s">
        <v>269</v>
      </c>
      <c r="E23" s="29">
        <v>45158</v>
      </c>
      <c r="F23" s="30">
        <v>1305.83</v>
      </c>
      <c r="G23" s="31">
        <v>1.8700000000000001E-2</v>
      </c>
      <c r="H23" s="32"/>
    </row>
    <row r="24" spans="2:8" ht="15.75" customHeight="1" x14ac:dyDescent="0.2">
      <c r="B24" s="28" t="s">
        <v>186</v>
      </c>
      <c r="C24" s="28" t="s">
        <v>187</v>
      </c>
      <c r="D24" s="28" t="s">
        <v>188</v>
      </c>
      <c r="E24" s="29">
        <v>35411</v>
      </c>
      <c r="F24" s="30">
        <v>1234.8499999999999</v>
      </c>
      <c r="G24" s="31">
        <v>1.77E-2</v>
      </c>
      <c r="H24" s="32"/>
    </row>
    <row r="25" spans="2:8" ht="15.75" customHeight="1" x14ac:dyDescent="0.2">
      <c r="B25" s="28" t="s">
        <v>567</v>
      </c>
      <c r="C25" s="28" t="s">
        <v>568</v>
      </c>
      <c r="D25" s="28" t="s">
        <v>224</v>
      </c>
      <c r="E25" s="29">
        <v>7487</v>
      </c>
      <c r="F25" s="30">
        <v>1233.33</v>
      </c>
      <c r="G25" s="31">
        <v>1.77E-2</v>
      </c>
      <c r="H25" s="32"/>
    </row>
    <row r="26" spans="2:8" ht="15.75" customHeight="1" x14ac:dyDescent="0.2">
      <c r="B26" s="28" t="s">
        <v>469</v>
      </c>
      <c r="C26" s="28" t="s">
        <v>470</v>
      </c>
      <c r="D26" s="28" t="s">
        <v>221</v>
      </c>
      <c r="E26" s="29">
        <v>243393</v>
      </c>
      <c r="F26" s="30">
        <v>1223.9000000000001</v>
      </c>
      <c r="G26" s="31">
        <v>1.7500000000000002E-2</v>
      </c>
      <c r="H26" s="32"/>
    </row>
    <row r="27" spans="2:8" ht="15.75" customHeight="1" x14ac:dyDescent="0.2">
      <c r="B27" s="28" t="s">
        <v>440</v>
      </c>
      <c r="C27" s="28" t="s">
        <v>441</v>
      </c>
      <c r="D27" s="28" t="s">
        <v>442</v>
      </c>
      <c r="E27" s="29">
        <v>37865</v>
      </c>
      <c r="F27" s="30">
        <v>1165.3699999999999</v>
      </c>
      <c r="G27" s="31">
        <v>1.67E-2</v>
      </c>
      <c r="H27" s="32"/>
    </row>
    <row r="28" spans="2:8" ht="15.75" customHeight="1" x14ac:dyDescent="0.2">
      <c r="B28" s="28" t="s">
        <v>370</v>
      </c>
      <c r="C28" s="28" t="s">
        <v>371</v>
      </c>
      <c r="D28" s="28" t="s">
        <v>188</v>
      </c>
      <c r="E28" s="29">
        <v>12775</v>
      </c>
      <c r="F28" s="30">
        <v>1136.02</v>
      </c>
      <c r="G28" s="31">
        <v>1.6299999999999999E-2</v>
      </c>
      <c r="H28" s="32"/>
    </row>
    <row r="29" spans="2:8" ht="15.75" customHeight="1" x14ac:dyDescent="0.2">
      <c r="B29" s="28" t="s">
        <v>563</v>
      </c>
      <c r="C29" s="28" t="s">
        <v>564</v>
      </c>
      <c r="D29" s="28" t="s">
        <v>188</v>
      </c>
      <c r="E29" s="29">
        <v>6726</v>
      </c>
      <c r="F29" s="30">
        <v>1088.67</v>
      </c>
      <c r="G29" s="31">
        <v>1.5599999999999999E-2</v>
      </c>
      <c r="H29" s="32"/>
    </row>
    <row r="30" spans="2:8" ht="15.75" customHeight="1" x14ac:dyDescent="0.2">
      <c r="B30" s="28" t="s">
        <v>181</v>
      </c>
      <c r="C30" s="28" t="s">
        <v>182</v>
      </c>
      <c r="D30" s="28" t="s">
        <v>183</v>
      </c>
      <c r="E30" s="29">
        <v>43242</v>
      </c>
      <c r="F30" s="30">
        <v>1066.1300000000001</v>
      </c>
      <c r="G30" s="31">
        <v>1.5299999999999999E-2</v>
      </c>
      <c r="H30" s="32"/>
    </row>
    <row r="31" spans="2:8" ht="15.75" customHeight="1" x14ac:dyDescent="0.2">
      <c r="B31" s="28" t="s">
        <v>392</v>
      </c>
      <c r="C31" s="28" t="s">
        <v>393</v>
      </c>
      <c r="D31" s="28" t="s">
        <v>208</v>
      </c>
      <c r="E31" s="29">
        <v>56753</v>
      </c>
      <c r="F31" s="30">
        <v>1064.3499999999999</v>
      </c>
      <c r="G31" s="31">
        <v>1.52E-2</v>
      </c>
      <c r="H31" s="32"/>
    </row>
    <row r="32" spans="2:8" ht="15.75" customHeight="1" x14ac:dyDescent="0.2">
      <c r="B32" s="28" t="s">
        <v>281</v>
      </c>
      <c r="C32" s="28" t="s">
        <v>282</v>
      </c>
      <c r="D32" s="28" t="s">
        <v>249</v>
      </c>
      <c r="E32" s="29">
        <v>72719</v>
      </c>
      <c r="F32" s="30">
        <v>1040.9000000000001</v>
      </c>
      <c r="G32" s="31">
        <v>1.49E-2</v>
      </c>
      <c r="H32" s="32"/>
    </row>
    <row r="33" spans="2:8" ht="15.75" customHeight="1" x14ac:dyDescent="0.2">
      <c r="B33" s="28" t="s">
        <v>374</v>
      </c>
      <c r="C33" s="28" t="s">
        <v>375</v>
      </c>
      <c r="D33" s="28" t="s">
        <v>349</v>
      </c>
      <c r="E33" s="29">
        <v>34974</v>
      </c>
      <c r="F33" s="30">
        <v>1024.9100000000001</v>
      </c>
      <c r="G33" s="31">
        <v>1.47E-2</v>
      </c>
      <c r="H33" s="32"/>
    </row>
    <row r="34" spans="2:8" ht="15.75" customHeight="1" x14ac:dyDescent="0.2">
      <c r="B34" s="28" t="s">
        <v>376</v>
      </c>
      <c r="C34" s="28" t="s">
        <v>377</v>
      </c>
      <c r="D34" s="28" t="s">
        <v>326</v>
      </c>
      <c r="E34" s="29">
        <v>77450</v>
      </c>
      <c r="F34" s="30">
        <v>1021.64</v>
      </c>
      <c r="G34" s="31">
        <v>1.46E-2</v>
      </c>
      <c r="H34" s="32"/>
    </row>
    <row r="35" spans="2:8" ht="15.75" customHeight="1" x14ac:dyDescent="0.2">
      <c r="B35" s="28" t="s">
        <v>539</v>
      </c>
      <c r="C35" s="28" t="s">
        <v>540</v>
      </c>
      <c r="D35" s="28" t="s">
        <v>175</v>
      </c>
      <c r="E35" s="29">
        <v>22134</v>
      </c>
      <c r="F35" s="30">
        <v>1016.95</v>
      </c>
      <c r="G35" s="31">
        <v>1.46E-2</v>
      </c>
      <c r="H35" s="32"/>
    </row>
    <row r="36" spans="2:8" ht="15.75" customHeight="1" x14ac:dyDescent="0.2">
      <c r="B36" s="28" t="s">
        <v>617</v>
      </c>
      <c r="C36" s="28" t="s">
        <v>618</v>
      </c>
      <c r="D36" s="28" t="s">
        <v>290</v>
      </c>
      <c r="E36" s="29">
        <v>125280</v>
      </c>
      <c r="F36" s="30">
        <v>970.79</v>
      </c>
      <c r="G36" s="31">
        <v>1.3899999999999999E-2</v>
      </c>
      <c r="H36" s="32"/>
    </row>
    <row r="37" spans="2:8" ht="15.75" customHeight="1" x14ac:dyDescent="0.2">
      <c r="B37" s="28" t="s">
        <v>357</v>
      </c>
      <c r="C37" s="28" t="s">
        <v>358</v>
      </c>
      <c r="D37" s="28" t="s">
        <v>175</v>
      </c>
      <c r="E37" s="29">
        <v>109827</v>
      </c>
      <c r="F37" s="30">
        <v>964.99</v>
      </c>
      <c r="G37" s="31">
        <v>1.38E-2</v>
      </c>
      <c r="H37" s="32"/>
    </row>
    <row r="38" spans="2:8" ht="15.75" customHeight="1" x14ac:dyDescent="0.2">
      <c r="B38" s="28" t="s">
        <v>498</v>
      </c>
      <c r="C38" s="28" t="s">
        <v>499</v>
      </c>
      <c r="D38" s="28" t="s">
        <v>224</v>
      </c>
      <c r="E38" s="29">
        <v>17346</v>
      </c>
      <c r="F38" s="30">
        <v>955.16</v>
      </c>
      <c r="G38" s="31">
        <v>1.37E-2</v>
      </c>
      <c r="H38" s="32"/>
    </row>
    <row r="39" spans="2:8" ht="15.75" customHeight="1" x14ac:dyDescent="0.2">
      <c r="B39" s="28" t="s">
        <v>619</v>
      </c>
      <c r="C39" s="28" t="s">
        <v>620</v>
      </c>
      <c r="D39" s="28" t="s">
        <v>178</v>
      </c>
      <c r="E39" s="29">
        <v>221033</v>
      </c>
      <c r="F39" s="30">
        <v>954.97</v>
      </c>
      <c r="G39" s="31">
        <v>1.37E-2</v>
      </c>
      <c r="H39" s="32"/>
    </row>
    <row r="40" spans="2:8" ht="15.75" customHeight="1" x14ac:dyDescent="0.2">
      <c r="B40" s="28" t="s">
        <v>621</v>
      </c>
      <c r="C40" s="28" t="s">
        <v>622</v>
      </c>
      <c r="D40" s="28" t="s">
        <v>495</v>
      </c>
      <c r="E40" s="29">
        <v>239601</v>
      </c>
      <c r="F40" s="30">
        <v>933.96</v>
      </c>
      <c r="G40" s="31">
        <v>1.34E-2</v>
      </c>
      <c r="H40" s="32"/>
    </row>
    <row r="41" spans="2:8" ht="15.75" customHeight="1" x14ac:dyDescent="0.2">
      <c r="B41" s="28" t="s">
        <v>623</v>
      </c>
      <c r="C41" s="28" t="s">
        <v>624</v>
      </c>
      <c r="D41" s="28" t="s">
        <v>389</v>
      </c>
      <c r="E41" s="29">
        <v>225625</v>
      </c>
      <c r="F41" s="30">
        <v>919.2</v>
      </c>
      <c r="G41" s="31">
        <v>1.32E-2</v>
      </c>
      <c r="H41" s="32"/>
    </row>
    <row r="42" spans="2:8" ht="15.75" customHeight="1" x14ac:dyDescent="0.2">
      <c r="B42" s="28" t="s">
        <v>426</v>
      </c>
      <c r="C42" s="28" t="s">
        <v>427</v>
      </c>
      <c r="D42" s="28" t="s">
        <v>172</v>
      </c>
      <c r="E42" s="29">
        <v>77756</v>
      </c>
      <c r="F42" s="30">
        <v>907.18</v>
      </c>
      <c r="G42" s="31">
        <v>1.2999999999999999E-2</v>
      </c>
      <c r="H42" s="32"/>
    </row>
    <row r="43" spans="2:8" ht="15.75" customHeight="1" x14ac:dyDescent="0.2">
      <c r="B43" s="28" t="s">
        <v>327</v>
      </c>
      <c r="C43" s="28" t="s">
        <v>328</v>
      </c>
      <c r="D43" s="28" t="s">
        <v>329</v>
      </c>
      <c r="E43" s="29">
        <v>110566</v>
      </c>
      <c r="F43" s="30">
        <v>906.03</v>
      </c>
      <c r="G43" s="31">
        <v>1.2999999999999999E-2</v>
      </c>
      <c r="H43" s="32"/>
    </row>
    <row r="44" spans="2:8" ht="15.75" customHeight="1" x14ac:dyDescent="0.2">
      <c r="B44" s="28" t="s">
        <v>258</v>
      </c>
      <c r="C44" s="28" t="s">
        <v>259</v>
      </c>
      <c r="D44" s="28" t="s">
        <v>260</v>
      </c>
      <c r="E44" s="29">
        <v>23638</v>
      </c>
      <c r="F44" s="30">
        <v>885.64</v>
      </c>
      <c r="G44" s="31">
        <v>1.2699999999999999E-2</v>
      </c>
      <c r="H44" s="32"/>
    </row>
    <row r="45" spans="2:8" ht="15.75" customHeight="1" x14ac:dyDescent="0.2">
      <c r="B45" s="28" t="s">
        <v>412</v>
      </c>
      <c r="C45" s="28" t="s">
        <v>413</v>
      </c>
      <c r="D45" s="28" t="s">
        <v>329</v>
      </c>
      <c r="E45" s="29">
        <v>293006</v>
      </c>
      <c r="F45" s="30">
        <v>862.61</v>
      </c>
      <c r="G45" s="31">
        <v>1.24E-2</v>
      </c>
      <c r="H45" s="32"/>
    </row>
    <row r="46" spans="2:8" ht="15.75" customHeight="1" x14ac:dyDescent="0.2">
      <c r="B46" s="28" t="s">
        <v>500</v>
      </c>
      <c r="C46" s="28" t="s">
        <v>501</v>
      </c>
      <c r="D46" s="28" t="s">
        <v>502</v>
      </c>
      <c r="E46" s="29">
        <v>185810</v>
      </c>
      <c r="F46" s="30">
        <v>845.25</v>
      </c>
      <c r="G46" s="31">
        <v>1.21E-2</v>
      </c>
      <c r="H46" s="32"/>
    </row>
    <row r="47" spans="2:8" ht="15.75" customHeight="1" x14ac:dyDescent="0.2">
      <c r="B47" s="28" t="s">
        <v>464</v>
      </c>
      <c r="C47" s="28" t="s">
        <v>465</v>
      </c>
      <c r="D47" s="28" t="s">
        <v>466</v>
      </c>
      <c r="E47" s="29">
        <v>313593</v>
      </c>
      <c r="F47" s="30">
        <v>808.76</v>
      </c>
      <c r="G47" s="31">
        <v>1.1599999999999999E-2</v>
      </c>
      <c r="H47" s="32"/>
    </row>
    <row r="48" spans="2:8" ht="15.75" customHeight="1" x14ac:dyDescent="0.2">
      <c r="B48" s="28" t="s">
        <v>274</v>
      </c>
      <c r="C48" s="28" t="s">
        <v>275</v>
      </c>
      <c r="D48" s="28" t="s">
        <v>178</v>
      </c>
      <c r="E48" s="29">
        <v>733915</v>
      </c>
      <c r="F48" s="30">
        <v>773.47</v>
      </c>
      <c r="G48" s="31">
        <v>1.11E-2</v>
      </c>
      <c r="H48" s="32"/>
    </row>
    <row r="49" spans="2:8" ht="15.75" customHeight="1" x14ac:dyDescent="0.2">
      <c r="B49" s="28" t="s">
        <v>625</v>
      </c>
      <c r="C49" s="28" t="s">
        <v>626</v>
      </c>
      <c r="D49" s="28" t="s">
        <v>260</v>
      </c>
      <c r="E49" s="29">
        <v>45795</v>
      </c>
      <c r="F49" s="30">
        <v>761.85</v>
      </c>
      <c r="G49" s="31">
        <v>1.09E-2</v>
      </c>
      <c r="H49" s="32"/>
    </row>
    <row r="50" spans="2:8" ht="15.75" customHeight="1" x14ac:dyDescent="0.2">
      <c r="B50" s="28" t="s">
        <v>483</v>
      </c>
      <c r="C50" s="28" t="s">
        <v>484</v>
      </c>
      <c r="D50" s="28" t="s">
        <v>290</v>
      </c>
      <c r="E50" s="29">
        <v>44804</v>
      </c>
      <c r="F50" s="30">
        <v>760.14</v>
      </c>
      <c r="G50" s="31">
        <v>1.09E-2</v>
      </c>
      <c r="H50" s="32"/>
    </row>
    <row r="51" spans="2:8" ht="15.75" customHeight="1" x14ac:dyDescent="0.2">
      <c r="B51" s="28" t="s">
        <v>593</v>
      </c>
      <c r="C51" s="28" t="s">
        <v>594</v>
      </c>
      <c r="D51" s="28" t="s">
        <v>263</v>
      </c>
      <c r="E51" s="29">
        <v>97361</v>
      </c>
      <c r="F51" s="30">
        <v>711.32</v>
      </c>
      <c r="G51" s="31">
        <v>1.0200000000000001E-2</v>
      </c>
      <c r="H51" s="32"/>
    </row>
    <row r="52" spans="2:8" ht="15.75" customHeight="1" x14ac:dyDescent="0.2">
      <c r="B52" s="28" t="s">
        <v>489</v>
      </c>
      <c r="C52" s="28" t="s">
        <v>490</v>
      </c>
      <c r="D52" s="28" t="s">
        <v>349</v>
      </c>
      <c r="E52" s="29">
        <v>42297</v>
      </c>
      <c r="F52" s="30">
        <v>698.87</v>
      </c>
      <c r="G52" s="31">
        <v>0.01</v>
      </c>
      <c r="H52" s="32"/>
    </row>
    <row r="53" spans="2:8" ht="15.75" customHeight="1" x14ac:dyDescent="0.2">
      <c r="B53" s="28" t="s">
        <v>231</v>
      </c>
      <c r="C53" s="28" t="s">
        <v>232</v>
      </c>
      <c r="D53" s="28" t="s">
        <v>233</v>
      </c>
      <c r="E53" s="29">
        <v>7371</v>
      </c>
      <c r="F53" s="30">
        <v>681.34</v>
      </c>
      <c r="G53" s="31">
        <v>9.7999999999999997E-3</v>
      </c>
      <c r="H53" s="32"/>
    </row>
    <row r="54" spans="2:8" ht="15.75" customHeight="1" x14ac:dyDescent="0.2">
      <c r="B54" s="28" t="s">
        <v>342</v>
      </c>
      <c r="C54" s="28" t="s">
        <v>343</v>
      </c>
      <c r="D54" s="28" t="s">
        <v>175</v>
      </c>
      <c r="E54" s="29">
        <v>219213</v>
      </c>
      <c r="F54" s="30">
        <v>669.59</v>
      </c>
      <c r="G54" s="31">
        <v>9.5999999999999992E-3</v>
      </c>
      <c r="H54" s="32"/>
    </row>
    <row r="55" spans="2:8" ht="15.75" customHeight="1" x14ac:dyDescent="0.2">
      <c r="B55" s="28" t="s">
        <v>347</v>
      </c>
      <c r="C55" s="28" t="s">
        <v>348</v>
      </c>
      <c r="D55" s="28" t="s">
        <v>349</v>
      </c>
      <c r="E55" s="29">
        <v>294810</v>
      </c>
      <c r="F55" s="30">
        <v>651.91</v>
      </c>
      <c r="G55" s="31">
        <v>9.2999999999999992E-3</v>
      </c>
      <c r="H55" s="32"/>
    </row>
    <row r="56" spans="2:8" ht="15.75" customHeight="1" x14ac:dyDescent="0.2">
      <c r="B56" s="28" t="s">
        <v>404</v>
      </c>
      <c r="C56" s="28" t="s">
        <v>405</v>
      </c>
      <c r="D56" s="28" t="s">
        <v>326</v>
      </c>
      <c r="E56" s="29">
        <v>69935</v>
      </c>
      <c r="F56" s="30">
        <v>615.11</v>
      </c>
      <c r="G56" s="31">
        <v>8.8000000000000005E-3</v>
      </c>
      <c r="H56" s="32"/>
    </row>
    <row r="57" spans="2:8" ht="15.75" customHeight="1" x14ac:dyDescent="0.2">
      <c r="B57" s="28" t="s">
        <v>372</v>
      </c>
      <c r="C57" s="28" t="s">
        <v>373</v>
      </c>
      <c r="D57" s="28" t="s">
        <v>290</v>
      </c>
      <c r="E57" s="29">
        <v>18723</v>
      </c>
      <c r="F57" s="30">
        <v>566.07000000000005</v>
      </c>
      <c r="G57" s="31">
        <v>8.0999999999999996E-3</v>
      </c>
      <c r="H57" s="32"/>
    </row>
    <row r="58" spans="2:8" ht="15.75" customHeight="1" x14ac:dyDescent="0.2">
      <c r="B58" s="28" t="s">
        <v>627</v>
      </c>
      <c r="C58" s="28" t="s">
        <v>628</v>
      </c>
      <c r="D58" s="28" t="s">
        <v>260</v>
      </c>
      <c r="E58" s="29">
        <v>84183</v>
      </c>
      <c r="F58" s="30">
        <v>563.86</v>
      </c>
      <c r="G58" s="31">
        <v>8.0999999999999996E-3</v>
      </c>
      <c r="H58" s="32"/>
    </row>
    <row r="59" spans="2:8" ht="15.75" customHeight="1" x14ac:dyDescent="0.2">
      <c r="B59" s="28" t="s">
        <v>433</v>
      </c>
      <c r="C59" s="28" t="s">
        <v>434</v>
      </c>
      <c r="D59" s="28" t="s">
        <v>435</v>
      </c>
      <c r="E59" s="29">
        <v>128617</v>
      </c>
      <c r="F59" s="30">
        <v>557.36</v>
      </c>
      <c r="G59" s="31">
        <v>8.0000000000000002E-3</v>
      </c>
      <c r="H59" s="32"/>
    </row>
    <row r="60" spans="2:8" ht="15.75" customHeight="1" x14ac:dyDescent="0.2">
      <c r="B60" s="28" t="s">
        <v>629</v>
      </c>
      <c r="C60" s="28" t="s">
        <v>630</v>
      </c>
      <c r="D60" s="28" t="s">
        <v>329</v>
      </c>
      <c r="E60" s="29">
        <v>113663</v>
      </c>
      <c r="F60" s="30">
        <v>541.95000000000005</v>
      </c>
      <c r="G60" s="31">
        <v>7.7999999999999996E-3</v>
      </c>
      <c r="H60" s="32"/>
    </row>
    <row r="61" spans="2:8" ht="15.75" customHeight="1" x14ac:dyDescent="0.2">
      <c r="B61" s="28" t="s">
        <v>631</v>
      </c>
      <c r="C61" s="28" t="s">
        <v>632</v>
      </c>
      <c r="D61" s="28" t="s">
        <v>178</v>
      </c>
      <c r="E61" s="29">
        <v>100894</v>
      </c>
      <c r="F61" s="30">
        <v>534.03</v>
      </c>
      <c r="G61" s="31">
        <v>7.7000000000000002E-3</v>
      </c>
      <c r="H61" s="32"/>
    </row>
    <row r="62" spans="2:8" ht="15.75" customHeight="1" x14ac:dyDescent="0.2">
      <c r="B62" s="28" t="s">
        <v>332</v>
      </c>
      <c r="C62" s="28" t="s">
        <v>333</v>
      </c>
      <c r="D62" s="28" t="s">
        <v>224</v>
      </c>
      <c r="E62" s="29">
        <v>30652</v>
      </c>
      <c r="F62" s="30">
        <v>518.23</v>
      </c>
      <c r="G62" s="31">
        <v>7.4000000000000003E-3</v>
      </c>
      <c r="H62" s="32"/>
    </row>
    <row r="63" spans="2:8" ht="15.75" customHeight="1" x14ac:dyDescent="0.2">
      <c r="B63" s="28" t="s">
        <v>633</v>
      </c>
      <c r="C63" s="28" t="s">
        <v>634</v>
      </c>
      <c r="D63" s="28" t="s">
        <v>329</v>
      </c>
      <c r="E63" s="29">
        <v>21012</v>
      </c>
      <c r="F63" s="30">
        <v>509.5</v>
      </c>
      <c r="G63" s="31">
        <v>7.3000000000000001E-3</v>
      </c>
      <c r="H63" s="32"/>
    </row>
    <row r="64" spans="2:8" ht="15.75" customHeight="1" x14ac:dyDescent="0.2">
      <c r="B64" s="28" t="s">
        <v>635</v>
      </c>
      <c r="C64" s="28" t="s">
        <v>636</v>
      </c>
      <c r="D64" s="28" t="s">
        <v>224</v>
      </c>
      <c r="E64" s="29">
        <v>66082</v>
      </c>
      <c r="F64" s="30">
        <v>469.25</v>
      </c>
      <c r="G64" s="31">
        <v>6.7000000000000002E-3</v>
      </c>
      <c r="H64" s="32"/>
    </row>
    <row r="65" spans="2:14" ht="15.75" customHeight="1" x14ac:dyDescent="0.2">
      <c r="B65" s="28" t="s">
        <v>402</v>
      </c>
      <c r="C65" s="28" t="s">
        <v>403</v>
      </c>
      <c r="D65" s="28" t="s">
        <v>329</v>
      </c>
      <c r="E65" s="29">
        <v>43348</v>
      </c>
      <c r="F65" s="30">
        <v>464.56</v>
      </c>
      <c r="G65" s="31">
        <v>6.7000000000000002E-3</v>
      </c>
      <c r="H65" s="32"/>
    </row>
    <row r="66" spans="2:14" ht="15.75" customHeight="1" x14ac:dyDescent="0.2">
      <c r="B66" s="28" t="s">
        <v>637</v>
      </c>
      <c r="C66" s="28" t="s">
        <v>638</v>
      </c>
      <c r="D66" s="28" t="s">
        <v>246</v>
      </c>
      <c r="E66" s="29">
        <v>289926</v>
      </c>
      <c r="F66" s="30">
        <v>461.59</v>
      </c>
      <c r="G66" s="31">
        <v>6.6E-3</v>
      </c>
      <c r="H66" s="32"/>
    </row>
    <row r="67" spans="2:14" ht="15.75" customHeight="1" x14ac:dyDescent="0.2">
      <c r="B67" s="28" t="s">
        <v>471</v>
      </c>
      <c r="C67" s="28" t="s">
        <v>472</v>
      </c>
      <c r="D67" s="28" t="s">
        <v>326</v>
      </c>
      <c r="E67" s="29">
        <v>101876</v>
      </c>
      <c r="F67" s="30">
        <v>456.46</v>
      </c>
      <c r="G67" s="31">
        <v>6.4999999999999997E-3</v>
      </c>
      <c r="H67" s="32"/>
    </row>
    <row r="68" spans="2:14" ht="15.75" customHeight="1" x14ac:dyDescent="0.2">
      <c r="B68" s="28" t="s">
        <v>639</v>
      </c>
      <c r="C68" s="28" t="s">
        <v>640</v>
      </c>
      <c r="D68" s="28" t="s">
        <v>329</v>
      </c>
      <c r="E68" s="29">
        <v>78583</v>
      </c>
      <c r="F68" s="30">
        <v>446.35</v>
      </c>
      <c r="G68" s="31">
        <v>6.4000000000000003E-3</v>
      </c>
      <c r="H68" s="32"/>
      <c r="J68" s="3"/>
    </row>
    <row r="69" spans="2:14" ht="15.75" customHeight="1" x14ac:dyDescent="0.2">
      <c r="B69" s="28" t="s">
        <v>641</v>
      </c>
      <c r="C69" s="28" t="s">
        <v>642</v>
      </c>
      <c r="D69" s="28" t="s">
        <v>361</v>
      </c>
      <c r="E69" s="29">
        <v>58427</v>
      </c>
      <c r="F69" s="30">
        <v>404.46</v>
      </c>
      <c r="G69" s="31">
        <v>5.7999999999999996E-3</v>
      </c>
      <c r="H69" s="32"/>
    </row>
    <row r="70" spans="2:14" ht="15.75" customHeight="1" x14ac:dyDescent="0.2">
      <c r="B70" s="28" t="s">
        <v>643</v>
      </c>
      <c r="C70" s="28" t="s">
        <v>644</v>
      </c>
      <c r="D70" s="28" t="s">
        <v>178</v>
      </c>
      <c r="E70" s="29">
        <v>53521</v>
      </c>
      <c r="F70" s="30">
        <v>331.48</v>
      </c>
      <c r="G70" s="31">
        <v>4.7000000000000002E-3</v>
      </c>
      <c r="H70" s="32"/>
      <c r="J70" s="3"/>
    </row>
    <row r="71" spans="2:14" ht="15.75" customHeight="1" x14ac:dyDescent="0.2">
      <c r="B71" s="27" t="s">
        <v>127</v>
      </c>
      <c r="C71" s="27"/>
      <c r="D71" s="27"/>
      <c r="E71" s="33"/>
      <c r="F71" s="34">
        <v>68485.84</v>
      </c>
      <c r="G71" s="35">
        <v>0.98119999999999996</v>
      </c>
      <c r="H71" s="36"/>
      <c r="J71" s="3"/>
    </row>
    <row r="72" spans="2:14" ht="15.75" customHeight="1" x14ac:dyDescent="0.2">
      <c r="B72" s="27" t="s">
        <v>189</v>
      </c>
      <c r="C72" s="28"/>
      <c r="D72" s="28"/>
      <c r="E72" s="29"/>
      <c r="F72" s="30"/>
      <c r="G72" s="31"/>
      <c r="H72" s="32"/>
      <c r="J72" s="3"/>
    </row>
    <row r="73" spans="2:14" ht="15.75" customHeight="1" x14ac:dyDescent="0.2">
      <c r="B73" s="27" t="s">
        <v>127</v>
      </c>
      <c r="C73" s="28"/>
      <c r="D73" s="28"/>
      <c r="E73" s="29"/>
      <c r="F73" s="37" t="s">
        <v>129</v>
      </c>
      <c r="G73" s="38" t="s">
        <v>129</v>
      </c>
      <c r="H73" s="32"/>
      <c r="J73" s="3"/>
    </row>
    <row r="74" spans="2:14" ht="15.75" customHeight="1" x14ac:dyDescent="0.2">
      <c r="B74" s="28"/>
      <c r="C74" s="28"/>
      <c r="D74" s="28"/>
      <c r="E74" s="29"/>
      <c r="F74" s="30"/>
      <c r="G74" s="31"/>
      <c r="H74" s="32"/>
      <c r="J74" s="3"/>
    </row>
    <row r="75" spans="2:14" ht="15.75" customHeight="1" x14ac:dyDescent="0.2">
      <c r="B75" s="39" t="s">
        <v>131</v>
      </c>
      <c r="C75" s="39"/>
      <c r="D75" s="39"/>
      <c r="E75" s="40"/>
      <c r="F75" s="34">
        <v>68485.84</v>
      </c>
      <c r="G75" s="35">
        <v>0.98119999999999996</v>
      </c>
      <c r="H75" s="36"/>
      <c r="J75" s="5"/>
      <c r="K75" s="5"/>
      <c r="L75" s="6"/>
      <c r="M75" s="6"/>
      <c r="N75" s="5"/>
    </row>
    <row r="76" spans="2:14" ht="15.75" customHeight="1" x14ac:dyDescent="0.2">
      <c r="B76" s="28"/>
      <c r="C76" s="28"/>
      <c r="D76" s="28"/>
      <c r="E76" s="29"/>
      <c r="F76" s="30"/>
      <c r="G76" s="31"/>
      <c r="H76" s="32"/>
    </row>
    <row r="77" spans="2:14" ht="15.75" customHeight="1" x14ac:dyDescent="0.2">
      <c r="B77" s="28"/>
      <c r="C77" s="28"/>
      <c r="D77" s="28"/>
      <c r="E77" s="29"/>
      <c r="F77" s="30"/>
      <c r="G77" s="31"/>
      <c r="H77" s="32"/>
    </row>
    <row r="78" spans="2:14" ht="15.75" customHeight="1" x14ac:dyDescent="0.2">
      <c r="B78" s="27" t="s">
        <v>134</v>
      </c>
      <c r="C78" s="28"/>
      <c r="D78" s="28"/>
      <c r="E78" s="29"/>
      <c r="F78" s="30"/>
      <c r="G78" s="31"/>
      <c r="H78" s="32"/>
      <c r="J78" s="7"/>
      <c r="K78" s="7"/>
      <c r="L78" s="7"/>
      <c r="M78" s="7"/>
      <c r="N78" s="7"/>
    </row>
    <row r="79" spans="2:14" ht="15.75" customHeight="1" x14ac:dyDescent="0.2">
      <c r="B79" s="28" t="s">
        <v>135</v>
      </c>
      <c r="C79" s="28"/>
      <c r="D79" s="28"/>
      <c r="E79" s="29"/>
      <c r="F79" s="30">
        <v>1500.86</v>
      </c>
      <c r="G79" s="31">
        <v>2.1499999999999998E-2</v>
      </c>
      <c r="H79" s="32"/>
      <c r="J79" s="7"/>
      <c r="K79" s="7"/>
      <c r="L79" s="7"/>
      <c r="M79" s="7"/>
      <c r="N79" s="7"/>
    </row>
    <row r="80" spans="2:14" ht="15.75" customHeight="1" x14ac:dyDescent="0.2">
      <c r="B80" s="27" t="s">
        <v>127</v>
      </c>
      <c r="C80" s="27"/>
      <c r="D80" s="27"/>
      <c r="E80" s="33"/>
      <c r="F80" s="34">
        <v>1500.86</v>
      </c>
      <c r="G80" s="35">
        <v>2.1499999999999998E-2</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131</v>
      </c>
      <c r="C82" s="39"/>
      <c r="D82" s="39"/>
      <c r="E82" s="40"/>
      <c r="F82" s="34">
        <v>1500.86</v>
      </c>
      <c r="G82" s="35">
        <v>2.1499999999999998E-2</v>
      </c>
      <c r="H82" s="36"/>
      <c r="J82" s="7"/>
      <c r="K82" s="7"/>
      <c r="L82" s="7"/>
      <c r="M82" s="7"/>
      <c r="N82" s="7"/>
    </row>
    <row r="83" spans="2:14" ht="15.75" customHeight="1" x14ac:dyDescent="0.2">
      <c r="B83" s="28" t="s">
        <v>136</v>
      </c>
      <c r="C83" s="28"/>
      <c r="D83" s="28"/>
      <c r="E83" s="29"/>
      <c r="F83" s="41">
        <v>-189.08</v>
      </c>
      <c r="G83" s="42">
        <v>-2.6999999999999247E-3</v>
      </c>
      <c r="H83" s="32"/>
      <c r="J83" s="7"/>
      <c r="K83" s="7"/>
      <c r="L83" s="7"/>
      <c r="M83" s="7"/>
      <c r="N83" s="7"/>
    </row>
    <row r="84" spans="2:14" ht="15.75" customHeight="1" x14ac:dyDescent="0.2">
      <c r="B84" s="43" t="s">
        <v>137</v>
      </c>
      <c r="C84" s="43"/>
      <c r="D84" s="43"/>
      <c r="E84" s="44"/>
      <c r="F84" s="45">
        <v>69797.62</v>
      </c>
      <c r="G84" s="46">
        <v>1</v>
      </c>
      <c r="H84" s="47"/>
      <c r="J84" s="7"/>
      <c r="K84" s="7"/>
      <c r="L84" s="7"/>
      <c r="M84" s="7"/>
      <c r="N84" s="7"/>
    </row>
    <row r="85" spans="2:14" ht="15.75" customHeight="1" x14ac:dyDescent="0.2">
      <c r="B85" s="2"/>
    </row>
    <row r="86" spans="2:14" ht="15.75" customHeight="1" x14ac:dyDescent="0.2">
      <c r="J86" s="3"/>
    </row>
    <row r="88" spans="2:14" ht="15.75" customHeight="1" thickBot="1" x14ac:dyDescent="0.25"/>
    <row r="89" spans="2:14" ht="39.75" customHeight="1" thickBot="1" x14ac:dyDescent="0.25">
      <c r="B89" s="48" t="s">
        <v>139</v>
      </c>
      <c r="C89" s="49" t="s">
        <v>140</v>
      </c>
      <c r="D89" s="49" t="s">
        <v>141</v>
      </c>
      <c r="E89" s="49" t="s">
        <v>142</v>
      </c>
    </row>
    <row r="90" spans="2:14" ht="39.75" customHeight="1" x14ac:dyDescent="0.2">
      <c r="B90" s="61" t="s">
        <v>52</v>
      </c>
      <c r="C90" s="77"/>
      <c r="D90" s="80" t="s">
        <v>645</v>
      </c>
      <c r="E90" s="81"/>
    </row>
    <row r="91" spans="2:14" ht="39.75" customHeight="1" x14ac:dyDescent="0.2">
      <c r="B91" s="52" t="s">
        <v>646</v>
      </c>
      <c r="C91" s="78"/>
      <c r="D91" s="80"/>
      <c r="E91" s="82"/>
    </row>
    <row r="92" spans="2:14" ht="39.75" customHeight="1" x14ac:dyDescent="0.2">
      <c r="B92" s="52" t="s">
        <v>647</v>
      </c>
      <c r="C92" s="78"/>
      <c r="D92" s="80"/>
      <c r="E92" s="82"/>
    </row>
    <row r="93" spans="2:14" ht="39.75" customHeight="1" thickBot="1" x14ac:dyDescent="0.25">
      <c r="B93" s="62" t="s">
        <v>521</v>
      </c>
      <c r="C93" s="79"/>
      <c r="D93" s="50" t="s">
        <v>562</v>
      </c>
      <c r="E93" s="83"/>
    </row>
    <row r="94" spans="2:14" ht="15.75" customHeight="1" x14ac:dyDescent="0.2">
      <c r="B94" s="9" t="s">
        <v>144</v>
      </c>
    </row>
    <row r="96" spans="2:14" ht="15.75" customHeight="1" x14ac:dyDescent="0.2">
      <c r="B96" s="9" t="s">
        <v>145</v>
      </c>
    </row>
    <row r="97" spans="2:2" ht="15.75" customHeight="1" x14ac:dyDescent="0.2">
      <c r="B97" s="15" t="s">
        <v>146</v>
      </c>
    </row>
  </sheetData>
  <mergeCells count="3">
    <mergeCell ref="C90:C93"/>
    <mergeCell ref="D90:D92"/>
    <mergeCell ref="E90:E93"/>
  </mergeCells>
  <hyperlinks>
    <hyperlink ref="G1" location="'Sheet1'!A1" display="Index" xr:uid="{7D8A933D-4287-49B7-81CF-DA6A9166D4C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2F77-64C8-4C7C-BF86-CEDE1F621046}">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332</v>
      </c>
      <c r="C7" s="28" t="s">
        <v>333</v>
      </c>
      <c r="D7" s="28" t="s">
        <v>224</v>
      </c>
      <c r="E7" s="29">
        <v>53851</v>
      </c>
      <c r="F7" s="30">
        <v>910.46</v>
      </c>
      <c r="G7" s="31">
        <v>0.10390000000000001</v>
      </c>
      <c r="H7" s="32"/>
    </row>
    <row r="8" spans="2:8" ht="15.75" customHeight="1" x14ac:dyDescent="0.2">
      <c r="B8" s="28" t="s">
        <v>459</v>
      </c>
      <c r="C8" s="28" t="s">
        <v>460</v>
      </c>
      <c r="D8" s="28" t="s">
        <v>430</v>
      </c>
      <c r="E8" s="29">
        <v>6723</v>
      </c>
      <c r="F8" s="30">
        <v>516.39</v>
      </c>
      <c r="G8" s="31">
        <v>5.8999999999999997E-2</v>
      </c>
      <c r="H8" s="32"/>
    </row>
    <row r="9" spans="2:8" ht="15.75" customHeight="1" x14ac:dyDescent="0.2">
      <c r="B9" s="28" t="s">
        <v>648</v>
      </c>
      <c r="C9" s="28" t="s">
        <v>649</v>
      </c>
      <c r="D9" s="28" t="s">
        <v>224</v>
      </c>
      <c r="E9" s="29">
        <v>31218</v>
      </c>
      <c r="F9" s="30">
        <v>468.68</v>
      </c>
      <c r="G9" s="31">
        <v>5.3499999999999999E-2</v>
      </c>
      <c r="H9" s="32"/>
    </row>
    <row r="10" spans="2:8" ht="15.75" customHeight="1" x14ac:dyDescent="0.2">
      <c r="B10" s="28" t="s">
        <v>419</v>
      </c>
      <c r="C10" s="28" t="s">
        <v>420</v>
      </c>
      <c r="D10" s="28" t="s">
        <v>224</v>
      </c>
      <c r="E10" s="29">
        <v>13130</v>
      </c>
      <c r="F10" s="30">
        <v>467.44</v>
      </c>
      <c r="G10" s="31">
        <v>5.3400000000000003E-2</v>
      </c>
      <c r="H10" s="32"/>
    </row>
    <row r="11" spans="2:8" ht="15.75" customHeight="1" x14ac:dyDescent="0.2">
      <c r="B11" s="28" t="s">
        <v>479</v>
      </c>
      <c r="C11" s="28" t="s">
        <v>480</v>
      </c>
      <c r="D11" s="28" t="s">
        <v>430</v>
      </c>
      <c r="E11" s="29">
        <v>42102</v>
      </c>
      <c r="F11" s="30">
        <v>430.72</v>
      </c>
      <c r="G11" s="31">
        <v>4.9200000000000001E-2</v>
      </c>
      <c r="H11" s="32"/>
    </row>
    <row r="12" spans="2:8" ht="15.75" customHeight="1" x14ac:dyDescent="0.2">
      <c r="B12" s="28" t="s">
        <v>272</v>
      </c>
      <c r="C12" s="28" t="s">
        <v>273</v>
      </c>
      <c r="D12" s="28" t="s">
        <v>224</v>
      </c>
      <c r="E12" s="29">
        <v>6158</v>
      </c>
      <c r="F12" s="30">
        <v>414.93</v>
      </c>
      <c r="G12" s="31">
        <v>4.7399999999999998E-2</v>
      </c>
      <c r="H12" s="32"/>
    </row>
    <row r="13" spans="2:8" ht="15.75" customHeight="1" x14ac:dyDescent="0.2">
      <c r="B13" s="28" t="s">
        <v>567</v>
      </c>
      <c r="C13" s="28" t="s">
        <v>568</v>
      </c>
      <c r="D13" s="28" t="s">
        <v>224</v>
      </c>
      <c r="E13" s="29">
        <v>2414</v>
      </c>
      <c r="F13" s="30">
        <v>397.66</v>
      </c>
      <c r="G13" s="31">
        <v>4.5400000000000003E-2</v>
      </c>
      <c r="H13" s="32"/>
    </row>
    <row r="14" spans="2:8" ht="15.75" customHeight="1" x14ac:dyDescent="0.2">
      <c r="B14" s="28" t="s">
        <v>473</v>
      </c>
      <c r="C14" s="28" t="s">
        <v>474</v>
      </c>
      <c r="D14" s="28" t="s">
        <v>224</v>
      </c>
      <c r="E14" s="29">
        <v>198385</v>
      </c>
      <c r="F14" s="30">
        <v>396.04</v>
      </c>
      <c r="G14" s="31">
        <v>4.5199999999999997E-2</v>
      </c>
      <c r="H14" s="32"/>
    </row>
    <row r="15" spans="2:8" ht="15.75" customHeight="1" x14ac:dyDescent="0.2">
      <c r="B15" s="28" t="s">
        <v>222</v>
      </c>
      <c r="C15" s="28" t="s">
        <v>223</v>
      </c>
      <c r="D15" s="28" t="s">
        <v>224</v>
      </c>
      <c r="E15" s="29">
        <v>31301</v>
      </c>
      <c r="F15" s="30">
        <v>356.49</v>
      </c>
      <c r="G15" s="31">
        <v>4.07E-2</v>
      </c>
      <c r="H15" s="32"/>
    </row>
    <row r="16" spans="2:8" ht="15.75" customHeight="1" x14ac:dyDescent="0.2">
      <c r="B16" s="28" t="s">
        <v>498</v>
      </c>
      <c r="C16" s="28" t="s">
        <v>499</v>
      </c>
      <c r="D16" s="28" t="s">
        <v>224</v>
      </c>
      <c r="E16" s="29">
        <v>6212</v>
      </c>
      <c r="F16" s="30">
        <v>342.06</v>
      </c>
      <c r="G16" s="31">
        <v>3.9100000000000003E-2</v>
      </c>
      <c r="H16" s="32"/>
    </row>
    <row r="17" spans="2:8" ht="15.75" customHeight="1" x14ac:dyDescent="0.2">
      <c r="B17" s="28" t="s">
        <v>485</v>
      </c>
      <c r="C17" s="28" t="s">
        <v>486</v>
      </c>
      <c r="D17" s="28" t="s">
        <v>224</v>
      </c>
      <c r="E17" s="29">
        <v>16962</v>
      </c>
      <c r="F17" s="30">
        <v>314.49</v>
      </c>
      <c r="G17" s="31">
        <v>3.5900000000000001E-2</v>
      </c>
      <c r="H17" s="32"/>
    </row>
    <row r="18" spans="2:8" ht="15.75" customHeight="1" x14ac:dyDescent="0.2">
      <c r="B18" s="28" t="s">
        <v>438</v>
      </c>
      <c r="C18" s="28" t="s">
        <v>439</v>
      </c>
      <c r="D18" s="28" t="s">
        <v>224</v>
      </c>
      <c r="E18" s="29">
        <v>968</v>
      </c>
      <c r="F18" s="30">
        <v>280.67</v>
      </c>
      <c r="G18" s="31">
        <v>3.2000000000000001E-2</v>
      </c>
      <c r="H18" s="32"/>
    </row>
    <row r="19" spans="2:8" ht="15.75" customHeight="1" x14ac:dyDescent="0.2">
      <c r="B19" s="28" t="s">
        <v>650</v>
      </c>
      <c r="C19" s="28" t="s">
        <v>651</v>
      </c>
      <c r="D19" s="28" t="s">
        <v>349</v>
      </c>
      <c r="E19" s="29">
        <v>4796</v>
      </c>
      <c r="F19" s="30">
        <v>272.77</v>
      </c>
      <c r="G19" s="31">
        <v>3.1099999999999999E-2</v>
      </c>
      <c r="H19" s="32"/>
    </row>
    <row r="20" spans="2:8" ht="15.75" customHeight="1" x14ac:dyDescent="0.2">
      <c r="B20" s="28" t="s">
        <v>605</v>
      </c>
      <c r="C20" s="28" t="s">
        <v>606</v>
      </c>
      <c r="D20" s="28" t="s">
        <v>430</v>
      </c>
      <c r="E20" s="29">
        <v>108832</v>
      </c>
      <c r="F20" s="30">
        <v>269.42</v>
      </c>
      <c r="G20" s="31">
        <v>3.0800000000000001E-2</v>
      </c>
      <c r="H20" s="32"/>
    </row>
    <row r="21" spans="2:8" ht="15.75" customHeight="1" x14ac:dyDescent="0.2">
      <c r="B21" s="28" t="s">
        <v>652</v>
      </c>
      <c r="C21" s="28" t="s">
        <v>653</v>
      </c>
      <c r="D21" s="28" t="s">
        <v>224</v>
      </c>
      <c r="E21" s="29">
        <v>13351</v>
      </c>
      <c r="F21" s="30">
        <v>257.52999999999997</v>
      </c>
      <c r="G21" s="31">
        <v>2.9399999999999999E-2</v>
      </c>
      <c r="H21" s="32"/>
    </row>
    <row r="22" spans="2:8" ht="15.75" customHeight="1" x14ac:dyDescent="0.2">
      <c r="B22" s="28" t="s">
        <v>350</v>
      </c>
      <c r="C22" s="28" t="s">
        <v>351</v>
      </c>
      <c r="D22" s="28" t="s">
        <v>224</v>
      </c>
      <c r="E22" s="29">
        <v>18311</v>
      </c>
      <c r="F22" s="30">
        <v>232.77</v>
      </c>
      <c r="G22" s="31">
        <v>2.6599999999999999E-2</v>
      </c>
      <c r="H22" s="32"/>
    </row>
    <row r="23" spans="2:8" ht="15.75" customHeight="1" x14ac:dyDescent="0.2">
      <c r="B23" s="28" t="s">
        <v>654</v>
      </c>
      <c r="C23" s="28" t="s">
        <v>655</v>
      </c>
      <c r="D23" s="28" t="s">
        <v>224</v>
      </c>
      <c r="E23" s="29">
        <v>11994</v>
      </c>
      <c r="F23" s="30">
        <v>226.83</v>
      </c>
      <c r="G23" s="31">
        <v>2.5899999999999999E-2</v>
      </c>
      <c r="H23" s="32"/>
    </row>
    <row r="24" spans="2:8" ht="15.75" customHeight="1" x14ac:dyDescent="0.2">
      <c r="B24" s="28" t="s">
        <v>656</v>
      </c>
      <c r="C24" s="28" t="s">
        <v>657</v>
      </c>
      <c r="D24" s="28" t="s">
        <v>430</v>
      </c>
      <c r="E24" s="29">
        <v>11417</v>
      </c>
      <c r="F24" s="30">
        <v>224.96</v>
      </c>
      <c r="G24" s="31">
        <v>2.5700000000000001E-2</v>
      </c>
      <c r="H24" s="32"/>
    </row>
    <row r="25" spans="2:8" ht="15.75" customHeight="1" x14ac:dyDescent="0.2">
      <c r="B25" s="28" t="s">
        <v>658</v>
      </c>
      <c r="C25" s="28" t="s">
        <v>659</v>
      </c>
      <c r="D25" s="28" t="s">
        <v>224</v>
      </c>
      <c r="E25" s="29">
        <v>8577</v>
      </c>
      <c r="F25" s="30">
        <v>204.48</v>
      </c>
      <c r="G25" s="31">
        <v>2.3300000000000001E-2</v>
      </c>
      <c r="H25" s="32"/>
    </row>
    <row r="26" spans="2:8" ht="15.75" customHeight="1" x14ac:dyDescent="0.2">
      <c r="B26" s="28" t="s">
        <v>660</v>
      </c>
      <c r="C26" s="28" t="s">
        <v>661</v>
      </c>
      <c r="D26" s="28" t="s">
        <v>430</v>
      </c>
      <c r="E26" s="29">
        <v>39576</v>
      </c>
      <c r="F26" s="30">
        <v>200.35</v>
      </c>
      <c r="G26" s="31">
        <v>2.29E-2</v>
      </c>
      <c r="H26" s="32"/>
    </row>
    <row r="27" spans="2:8" ht="15.75" customHeight="1" x14ac:dyDescent="0.2">
      <c r="B27" s="28" t="s">
        <v>662</v>
      </c>
      <c r="C27" s="28" t="s">
        <v>663</v>
      </c>
      <c r="D27" s="28" t="s">
        <v>430</v>
      </c>
      <c r="E27" s="29">
        <v>14952</v>
      </c>
      <c r="F27" s="30">
        <v>196.1</v>
      </c>
      <c r="G27" s="31">
        <v>2.24E-2</v>
      </c>
      <c r="H27" s="32"/>
    </row>
    <row r="28" spans="2:8" ht="15.75" customHeight="1" x14ac:dyDescent="0.2">
      <c r="B28" s="28" t="s">
        <v>664</v>
      </c>
      <c r="C28" s="28" t="s">
        <v>665</v>
      </c>
      <c r="D28" s="28" t="s">
        <v>430</v>
      </c>
      <c r="E28" s="29">
        <v>16775</v>
      </c>
      <c r="F28" s="30">
        <v>192.54</v>
      </c>
      <c r="G28" s="31">
        <v>2.1999999999999999E-2</v>
      </c>
      <c r="H28" s="32"/>
    </row>
    <row r="29" spans="2:8" ht="15.75" customHeight="1" x14ac:dyDescent="0.2">
      <c r="B29" s="28" t="s">
        <v>428</v>
      </c>
      <c r="C29" s="28" t="s">
        <v>429</v>
      </c>
      <c r="D29" s="28" t="s">
        <v>430</v>
      </c>
      <c r="E29" s="29">
        <v>28260</v>
      </c>
      <c r="F29" s="30">
        <v>183.72</v>
      </c>
      <c r="G29" s="31">
        <v>2.1000000000000001E-2</v>
      </c>
      <c r="H29" s="32"/>
    </row>
    <row r="30" spans="2:8" ht="15.75" customHeight="1" x14ac:dyDescent="0.2">
      <c r="B30" s="28" t="s">
        <v>666</v>
      </c>
      <c r="C30" s="28" t="s">
        <v>667</v>
      </c>
      <c r="D30" s="28" t="s">
        <v>224</v>
      </c>
      <c r="E30" s="29">
        <v>12341</v>
      </c>
      <c r="F30" s="30">
        <v>178.18</v>
      </c>
      <c r="G30" s="31">
        <v>2.0299999999999999E-2</v>
      </c>
      <c r="H30" s="32"/>
    </row>
    <row r="31" spans="2:8" ht="15.75" customHeight="1" x14ac:dyDescent="0.2">
      <c r="B31" s="28" t="s">
        <v>668</v>
      </c>
      <c r="C31" s="28" t="s">
        <v>669</v>
      </c>
      <c r="D31" s="28" t="s">
        <v>224</v>
      </c>
      <c r="E31" s="29">
        <v>9711</v>
      </c>
      <c r="F31" s="30">
        <v>167.78</v>
      </c>
      <c r="G31" s="31">
        <v>1.9199999999999998E-2</v>
      </c>
      <c r="H31" s="32"/>
    </row>
    <row r="32" spans="2:8" ht="15.75" customHeight="1" x14ac:dyDescent="0.2">
      <c r="B32" s="28" t="s">
        <v>635</v>
      </c>
      <c r="C32" s="28" t="s">
        <v>636</v>
      </c>
      <c r="D32" s="28" t="s">
        <v>224</v>
      </c>
      <c r="E32" s="29">
        <v>22961</v>
      </c>
      <c r="F32" s="30">
        <v>163.05000000000001</v>
      </c>
      <c r="G32" s="31">
        <v>1.8599999999999998E-2</v>
      </c>
      <c r="H32" s="32"/>
    </row>
    <row r="33" spans="2:10" ht="15.75" customHeight="1" x14ac:dyDescent="0.2">
      <c r="B33" s="28" t="s">
        <v>489</v>
      </c>
      <c r="C33" s="28" t="s">
        <v>490</v>
      </c>
      <c r="D33" s="28" t="s">
        <v>349</v>
      </c>
      <c r="E33" s="29">
        <v>8741</v>
      </c>
      <c r="F33" s="30">
        <v>144.43</v>
      </c>
      <c r="G33" s="31">
        <v>1.6500000000000001E-2</v>
      </c>
      <c r="H33" s="32"/>
    </row>
    <row r="34" spans="2:10" ht="15.75" customHeight="1" x14ac:dyDescent="0.2">
      <c r="B34" s="28" t="s">
        <v>607</v>
      </c>
      <c r="C34" s="28" t="s">
        <v>608</v>
      </c>
      <c r="D34" s="28" t="s">
        <v>349</v>
      </c>
      <c r="E34" s="29">
        <v>1559</v>
      </c>
      <c r="F34" s="30">
        <v>93.75</v>
      </c>
      <c r="G34" s="31">
        <v>1.0699999999999999E-2</v>
      </c>
      <c r="H34" s="32"/>
    </row>
    <row r="35" spans="2:10" ht="15.75" customHeight="1" x14ac:dyDescent="0.2">
      <c r="B35" s="27" t="s">
        <v>127</v>
      </c>
      <c r="C35" s="27"/>
      <c r="D35" s="27"/>
      <c r="E35" s="33"/>
      <c r="F35" s="34">
        <v>8504.69</v>
      </c>
      <c r="G35" s="35">
        <v>0.97099999999999997</v>
      </c>
      <c r="H35" s="36"/>
    </row>
    <row r="36" spans="2:10" ht="15.75" customHeight="1" x14ac:dyDescent="0.2">
      <c r="B36" s="27" t="s">
        <v>189</v>
      </c>
      <c r="C36" s="28"/>
      <c r="D36" s="28"/>
      <c r="E36" s="29"/>
      <c r="F36" s="30"/>
      <c r="G36" s="31"/>
      <c r="H36" s="32"/>
      <c r="J36" s="3"/>
    </row>
    <row r="37" spans="2:10" ht="15.75" customHeight="1" x14ac:dyDescent="0.2">
      <c r="B37" s="27" t="s">
        <v>127</v>
      </c>
      <c r="C37" s="28"/>
      <c r="D37" s="28"/>
      <c r="E37" s="29"/>
      <c r="F37" s="37" t="s">
        <v>129</v>
      </c>
      <c r="G37" s="38" t="s">
        <v>129</v>
      </c>
      <c r="H37" s="32"/>
      <c r="J37" s="3"/>
    </row>
    <row r="38" spans="2:10" ht="15.75" customHeight="1" x14ac:dyDescent="0.2">
      <c r="B38" s="28"/>
      <c r="C38" s="28"/>
      <c r="D38" s="28"/>
      <c r="E38" s="29"/>
      <c r="F38" s="30"/>
      <c r="G38" s="31"/>
      <c r="H38" s="32"/>
    </row>
    <row r="39" spans="2:10" ht="15.75" customHeight="1" x14ac:dyDescent="0.2">
      <c r="B39" s="39" t="s">
        <v>131</v>
      </c>
      <c r="C39" s="39"/>
      <c r="D39" s="39"/>
      <c r="E39" s="40"/>
      <c r="F39" s="34">
        <v>8504.69</v>
      </c>
      <c r="G39" s="35">
        <v>0.97099999999999997</v>
      </c>
      <c r="H39" s="36"/>
    </row>
    <row r="40" spans="2:10" ht="15.75" customHeight="1" x14ac:dyDescent="0.2">
      <c r="B40" s="28"/>
      <c r="C40" s="28"/>
      <c r="D40" s="28"/>
      <c r="E40" s="29"/>
      <c r="F40" s="30"/>
      <c r="G40" s="31"/>
      <c r="H40" s="32"/>
    </row>
    <row r="41" spans="2:10" ht="15.75" customHeight="1" x14ac:dyDescent="0.2">
      <c r="B41" s="28"/>
      <c r="C41" s="28"/>
      <c r="D41" s="28"/>
      <c r="E41" s="29"/>
      <c r="F41" s="30"/>
      <c r="G41" s="31"/>
      <c r="H41" s="32"/>
    </row>
    <row r="42" spans="2:10" ht="15.75" customHeight="1" x14ac:dyDescent="0.2">
      <c r="B42" s="27" t="s">
        <v>134</v>
      </c>
      <c r="C42" s="28"/>
      <c r="D42" s="28"/>
      <c r="E42" s="29"/>
      <c r="F42" s="30"/>
      <c r="G42" s="31"/>
      <c r="H42" s="32"/>
    </row>
    <row r="43" spans="2:10" ht="15.75" customHeight="1" x14ac:dyDescent="0.2">
      <c r="B43" s="28" t="s">
        <v>135</v>
      </c>
      <c r="C43" s="28"/>
      <c r="D43" s="28"/>
      <c r="E43" s="29"/>
      <c r="F43" s="30">
        <v>261.05</v>
      </c>
      <c r="G43" s="31">
        <v>2.98E-2</v>
      </c>
      <c r="H43" s="32"/>
    </row>
    <row r="44" spans="2:10" ht="15.75" customHeight="1" x14ac:dyDescent="0.2">
      <c r="B44" s="27" t="s">
        <v>127</v>
      </c>
      <c r="C44" s="27"/>
      <c r="D44" s="27"/>
      <c r="E44" s="33"/>
      <c r="F44" s="34">
        <v>261.05</v>
      </c>
      <c r="G44" s="35">
        <v>2.98E-2</v>
      </c>
      <c r="H44" s="36"/>
    </row>
    <row r="45" spans="2:10" ht="15.75" customHeight="1" x14ac:dyDescent="0.2">
      <c r="B45" s="28"/>
      <c r="C45" s="28"/>
      <c r="D45" s="28"/>
      <c r="E45" s="29"/>
      <c r="F45" s="30"/>
      <c r="G45" s="31"/>
      <c r="H45" s="32"/>
    </row>
    <row r="46" spans="2:10" ht="15.75" customHeight="1" x14ac:dyDescent="0.2">
      <c r="B46" s="39" t="s">
        <v>131</v>
      </c>
      <c r="C46" s="39"/>
      <c r="D46" s="39"/>
      <c r="E46" s="40"/>
      <c r="F46" s="34">
        <v>261.05</v>
      </c>
      <c r="G46" s="35">
        <v>2.98E-2</v>
      </c>
      <c r="H46" s="36"/>
    </row>
    <row r="47" spans="2:10" ht="15.75" customHeight="1" x14ac:dyDescent="0.2">
      <c r="B47" s="28" t="s">
        <v>136</v>
      </c>
      <c r="C47" s="28"/>
      <c r="D47" s="28"/>
      <c r="E47" s="29"/>
      <c r="F47" s="41">
        <v>-6.91</v>
      </c>
      <c r="G47" s="42">
        <v>-7.9999999999991189E-4</v>
      </c>
      <c r="H47" s="32"/>
    </row>
    <row r="48" spans="2:10" ht="15.75" customHeight="1" x14ac:dyDescent="0.2">
      <c r="B48" s="43" t="s">
        <v>137</v>
      </c>
      <c r="C48" s="43"/>
      <c r="D48" s="43"/>
      <c r="E48" s="44"/>
      <c r="F48" s="45">
        <v>8758.83</v>
      </c>
      <c r="G48" s="46">
        <v>1</v>
      </c>
      <c r="H48" s="47"/>
    </row>
    <row r="49" spans="2:5" ht="15.75" customHeight="1" x14ac:dyDescent="0.2">
      <c r="B49" s="2"/>
    </row>
    <row r="52" spans="2:5" ht="15.75" customHeight="1" thickBot="1" x14ac:dyDescent="0.25"/>
    <row r="53" spans="2:5" ht="39.75" customHeight="1" thickBot="1" x14ac:dyDescent="0.25">
      <c r="B53" s="48" t="s">
        <v>139</v>
      </c>
      <c r="C53" s="49" t="s">
        <v>140</v>
      </c>
      <c r="D53" s="49" t="s">
        <v>141</v>
      </c>
      <c r="E53" s="49" t="s">
        <v>142</v>
      </c>
    </row>
    <row r="54" spans="2:5" ht="39.75" customHeight="1" x14ac:dyDescent="0.2">
      <c r="B54" s="61" t="s">
        <v>54</v>
      </c>
      <c r="C54" s="77"/>
      <c r="D54" s="80" t="s">
        <v>670</v>
      </c>
      <c r="E54" s="81"/>
    </row>
    <row r="55" spans="2:5" ht="39.75" customHeight="1" x14ac:dyDescent="0.2">
      <c r="B55" s="52" t="s">
        <v>646</v>
      </c>
      <c r="C55" s="78"/>
      <c r="D55" s="80"/>
      <c r="E55" s="82"/>
    </row>
    <row r="56" spans="2:5" ht="39.75" customHeight="1" x14ac:dyDescent="0.2">
      <c r="B56" s="52" t="s">
        <v>671</v>
      </c>
      <c r="C56" s="78"/>
      <c r="D56" s="80"/>
      <c r="E56" s="82"/>
    </row>
    <row r="57" spans="2:5" ht="39.75" customHeight="1" thickBot="1" x14ac:dyDescent="0.25">
      <c r="B57" s="62" t="s">
        <v>521</v>
      </c>
      <c r="C57" s="79"/>
      <c r="D57" s="50" t="s">
        <v>562</v>
      </c>
      <c r="E57" s="83"/>
    </row>
    <row r="58" spans="2:5" ht="15.75" customHeight="1" x14ac:dyDescent="0.2">
      <c r="B58" s="9" t="s">
        <v>144</v>
      </c>
    </row>
    <row r="60" spans="2:5" ht="15.75" customHeight="1" x14ac:dyDescent="0.2">
      <c r="B60" s="9" t="s">
        <v>145</v>
      </c>
    </row>
    <row r="61" spans="2:5" ht="15.75" customHeight="1" x14ac:dyDescent="0.2">
      <c r="B61" s="15" t="s">
        <v>146</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4:C57"/>
    <mergeCell ref="D54:D56"/>
    <mergeCell ref="E54:E57"/>
  </mergeCells>
  <hyperlinks>
    <hyperlink ref="G1" location="'Sheet1'!A1" display="Index" xr:uid="{42E4E343-2214-41D5-B67D-6470EE6D4D3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5818F-D41E-49BA-BE6E-4C4F521D7B1B}">
  <dimension ref="B1:N9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672</v>
      </c>
      <c r="C7" s="28" t="s">
        <v>673</v>
      </c>
      <c r="D7" s="28" t="s">
        <v>178</v>
      </c>
      <c r="E7" s="29">
        <v>105773</v>
      </c>
      <c r="F7" s="30">
        <v>1306.51</v>
      </c>
      <c r="G7" s="31">
        <v>3.7600000000000001E-2</v>
      </c>
      <c r="H7" s="32"/>
    </row>
    <row r="8" spans="2:8" ht="15.75" customHeight="1" x14ac:dyDescent="0.2">
      <c r="B8" s="28" t="s">
        <v>327</v>
      </c>
      <c r="C8" s="28" t="s">
        <v>328</v>
      </c>
      <c r="D8" s="28" t="s">
        <v>329</v>
      </c>
      <c r="E8" s="29">
        <v>143945</v>
      </c>
      <c r="F8" s="30">
        <v>1179.56</v>
      </c>
      <c r="G8" s="31">
        <v>3.39E-2</v>
      </c>
      <c r="H8" s="32"/>
    </row>
    <row r="9" spans="2:8" ht="15.75" customHeight="1" x14ac:dyDescent="0.2">
      <c r="B9" s="28" t="s">
        <v>491</v>
      </c>
      <c r="C9" s="28" t="s">
        <v>492</v>
      </c>
      <c r="D9" s="28" t="s">
        <v>166</v>
      </c>
      <c r="E9" s="29">
        <v>359305</v>
      </c>
      <c r="F9" s="30">
        <v>850.15</v>
      </c>
      <c r="G9" s="31">
        <v>2.4500000000000001E-2</v>
      </c>
      <c r="H9" s="32"/>
    </row>
    <row r="10" spans="2:8" ht="15.75" customHeight="1" x14ac:dyDescent="0.2">
      <c r="B10" s="28" t="s">
        <v>674</v>
      </c>
      <c r="C10" s="28" t="s">
        <v>675</v>
      </c>
      <c r="D10" s="28" t="s">
        <v>175</v>
      </c>
      <c r="E10" s="29">
        <v>267974</v>
      </c>
      <c r="F10" s="30">
        <v>845.59</v>
      </c>
      <c r="G10" s="31">
        <v>2.4299999999999999E-2</v>
      </c>
      <c r="H10" s="32"/>
    </row>
    <row r="11" spans="2:8" ht="15.75" customHeight="1" x14ac:dyDescent="0.2">
      <c r="B11" s="28" t="s">
        <v>421</v>
      </c>
      <c r="C11" s="28" t="s">
        <v>422</v>
      </c>
      <c r="D11" s="28" t="s">
        <v>175</v>
      </c>
      <c r="E11" s="29">
        <v>25597</v>
      </c>
      <c r="F11" s="30">
        <v>813.65</v>
      </c>
      <c r="G11" s="31">
        <v>2.3400000000000001E-2</v>
      </c>
      <c r="H11" s="32"/>
    </row>
    <row r="12" spans="2:8" ht="15.75" customHeight="1" x14ac:dyDescent="0.2">
      <c r="B12" s="28" t="s">
        <v>216</v>
      </c>
      <c r="C12" s="28" t="s">
        <v>217</v>
      </c>
      <c r="D12" s="28" t="s">
        <v>218</v>
      </c>
      <c r="E12" s="29">
        <v>189881</v>
      </c>
      <c r="F12" s="30">
        <v>809.08</v>
      </c>
      <c r="G12" s="31">
        <v>2.3300000000000001E-2</v>
      </c>
      <c r="H12" s="32"/>
    </row>
    <row r="13" spans="2:8" ht="15.75" customHeight="1" x14ac:dyDescent="0.2">
      <c r="B13" s="28" t="s">
        <v>219</v>
      </c>
      <c r="C13" s="28" t="s">
        <v>220</v>
      </c>
      <c r="D13" s="28" t="s">
        <v>221</v>
      </c>
      <c r="E13" s="29">
        <v>16206</v>
      </c>
      <c r="F13" s="30">
        <v>760.76</v>
      </c>
      <c r="G13" s="31">
        <v>2.1899999999999999E-2</v>
      </c>
      <c r="H13" s="32"/>
    </row>
    <row r="14" spans="2:8" ht="15.75" customHeight="1" x14ac:dyDescent="0.2">
      <c r="B14" s="28" t="s">
        <v>613</v>
      </c>
      <c r="C14" s="28" t="s">
        <v>614</v>
      </c>
      <c r="D14" s="28" t="s">
        <v>249</v>
      </c>
      <c r="E14" s="29">
        <v>113454</v>
      </c>
      <c r="F14" s="30">
        <v>751.12</v>
      </c>
      <c r="G14" s="31">
        <v>2.1600000000000001E-2</v>
      </c>
      <c r="H14" s="32"/>
    </row>
    <row r="15" spans="2:8" ht="15.75" customHeight="1" x14ac:dyDescent="0.2">
      <c r="B15" s="28" t="s">
        <v>676</v>
      </c>
      <c r="C15" s="28" t="s">
        <v>677</v>
      </c>
      <c r="D15" s="28" t="s">
        <v>495</v>
      </c>
      <c r="E15" s="29">
        <v>97473</v>
      </c>
      <c r="F15" s="30">
        <v>723.05</v>
      </c>
      <c r="G15" s="31">
        <v>2.0799999999999999E-2</v>
      </c>
      <c r="H15" s="32"/>
    </row>
    <row r="16" spans="2:8" ht="15.75" customHeight="1" x14ac:dyDescent="0.2">
      <c r="B16" s="28" t="s">
        <v>498</v>
      </c>
      <c r="C16" s="28" t="s">
        <v>499</v>
      </c>
      <c r="D16" s="28" t="s">
        <v>224</v>
      </c>
      <c r="E16" s="29">
        <v>12978</v>
      </c>
      <c r="F16" s="30">
        <v>714.63</v>
      </c>
      <c r="G16" s="31">
        <v>2.06E-2</v>
      </c>
      <c r="H16" s="32"/>
    </row>
    <row r="17" spans="2:8" ht="15.75" customHeight="1" x14ac:dyDescent="0.2">
      <c r="B17" s="28" t="s">
        <v>461</v>
      </c>
      <c r="C17" s="28" t="s">
        <v>462</v>
      </c>
      <c r="D17" s="28" t="s">
        <v>463</v>
      </c>
      <c r="E17" s="29">
        <v>53968</v>
      </c>
      <c r="F17" s="30">
        <v>703.31</v>
      </c>
      <c r="G17" s="31">
        <v>2.0199999999999999E-2</v>
      </c>
      <c r="H17" s="32"/>
    </row>
    <row r="18" spans="2:8" ht="15.75" customHeight="1" x14ac:dyDescent="0.2">
      <c r="B18" s="28" t="s">
        <v>678</v>
      </c>
      <c r="C18" s="28" t="s">
        <v>679</v>
      </c>
      <c r="D18" s="28" t="s">
        <v>172</v>
      </c>
      <c r="E18" s="29">
        <v>11637</v>
      </c>
      <c r="F18" s="30">
        <v>688.51</v>
      </c>
      <c r="G18" s="31">
        <v>1.9800000000000002E-2</v>
      </c>
      <c r="H18" s="32"/>
    </row>
    <row r="19" spans="2:8" ht="15.75" customHeight="1" x14ac:dyDescent="0.2">
      <c r="B19" s="28" t="s">
        <v>374</v>
      </c>
      <c r="C19" s="28" t="s">
        <v>375</v>
      </c>
      <c r="D19" s="28" t="s">
        <v>349</v>
      </c>
      <c r="E19" s="29">
        <v>22981</v>
      </c>
      <c r="F19" s="30">
        <v>673.46</v>
      </c>
      <c r="G19" s="31">
        <v>1.9400000000000001E-2</v>
      </c>
      <c r="H19" s="32"/>
    </row>
    <row r="20" spans="2:8" ht="15.75" customHeight="1" x14ac:dyDescent="0.2">
      <c r="B20" s="28" t="s">
        <v>496</v>
      </c>
      <c r="C20" s="28" t="s">
        <v>497</v>
      </c>
      <c r="D20" s="28" t="s">
        <v>246</v>
      </c>
      <c r="E20" s="29">
        <v>37678</v>
      </c>
      <c r="F20" s="30">
        <v>657.37</v>
      </c>
      <c r="G20" s="31">
        <v>1.89E-2</v>
      </c>
      <c r="H20" s="32"/>
    </row>
    <row r="21" spans="2:8" ht="15.75" customHeight="1" x14ac:dyDescent="0.2">
      <c r="B21" s="28" t="s">
        <v>680</v>
      </c>
      <c r="C21" s="28" t="s">
        <v>681</v>
      </c>
      <c r="D21" s="28" t="s">
        <v>178</v>
      </c>
      <c r="E21" s="29">
        <v>16173</v>
      </c>
      <c r="F21" s="30">
        <v>650.38</v>
      </c>
      <c r="G21" s="31">
        <v>1.8700000000000001E-2</v>
      </c>
      <c r="H21" s="32"/>
    </row>
    <row r="22" spans="2:8" ht="15.75" customHeight="1" x14ac:dyDescent="0.2">
      <c r="B22" s="28" t="s">
        <v>426</v>
      </c>
      <c r="C22" s="28" t="s">
        <v>427</v>
      </c>
      <c r="D22" s="28" t="s">
        <v>172</v>
      </c>
      <c r="E22" s="29">
        <v>54930</v>
      </c>
      <c r="F22" s="30">
        <v>640.87</v>
      </c>
      <c r="G22" s="31">
        <v>1.84E-2</v>
      </c>
      <c r="H22" s="32"/>
    </row>
    <row r="23" spans="2:8" ht="15.75" customHeight="1" x14ac:dyDescent="0.2">
      <c r="B23" s="28" t="s">
        <v>479</v>
      </c>
      <c r="C23" s="28" t="s">
        <v>480</v>
      </c>
      <c r="D23" s="28" t="s">
        <v>430</v>
      </c>
      <c r="E23" s="29">
        <v>60487</v>
      </c>
      <c r="F23" s="30">
        <v>618.80999999999995</v>
      </c>
      <c r="G23" s="31">
        <v>1.78E-2</v>
      </c>
      <c r="H23" s="32"/>
    </row>
    <row r="24" spans="2:8" ht="15.75" customHeight="1" x14ac:dyDescent="0.2">
      <c r="B24" s="28" t="s">
        <v>537</v>
      </c>
      <c r="C24" s="28" t="s">
        <v>538</v>
      </c>
      <c r="D24" s="28" t="s">
        <v>233</v>
      </c>
      <c r="E24" s="29">
        <v>70475</v>
      </c>
      <c r="F24" s="30">
        <v>616.52</v>
      </c>
      <c r="G24" s="31">
        <v>1.77E-2</v>
      </c>
      <c r="H24" s="32"/>
    </row>
    <row r="25" spans="2:8" ht="15.75" customHeight="1" x14ac:dyDescent="0.2">
      <c r="B25" s="28" t="s">
        <v>569</v>
      </c>
      <c r="C25" s="28" t="s">
        <v>570</v>
      </c>
      <c r="D25" s="28" t="s">
        <v>571</v>
      </c>
      <c r="E25" s="29">
        <v>27488</v>
      </c>
      <c r="F25" s="30">
        <v>584.01</v>
      </c>
      <c r="G25" s="31">
        <v>1.6799999999999999E-2</v>
      </c>
      <c r="H25" s="32"/>
    </row>
    <row r="26" spans="2:8" ht="15.75" customHeight="1" x14ac:dyDescent="0.2">
      <c r="B26" s="28" t="s">
        <v>682</v>
      </c>
      <c r="C26" s="28" t="s">
        <v>683</v>
      </c>
      <c r="D26" s="28" t="s">
        <v>329</v>
      </c>
      <c r="E26" s="29">
        <v>32409</v>
      </c>
      <c r="F26" s="30">
        <v>580.61</v>
      </c>
      <c r="G26" s="31">
        <v>1.67E-2</v>
      </c>
      <c r="H26" s="32"/>
    </row>
    <row r="27" spans="2:8" ht="15.75" customHeight="1" x14ac:dyDescent="0.2">
      <c r="B27" s="28" t="s">
        <v>684</v>
      </c>
      <c r="C27" s="28" t="s">
        <v>685</v>
      </c>
      <c r="D27" s="28" t="s">
        <v>571</v>
      </c>
      <c r="E27" s="29">
        <v>15785</v>
      </c>
      <c r="F27" s="30">
        <v>564.69000000000005</v>
      </c>
      <c r="G27" s="31">
        <v>1.6199999999999999E-2</v>
      </c>
      <c r="H27" s="32"/>
    </row>
    <row r="28" spans="2:8" ht="15.75" customHeight="1" x14ac:dyDescent="0.2">
      <c r="B28" s="28" t="s">
        <v>340</v>
      </c>
      <c r="C28" s="28" t="s">
        <v>341</v>
      </c>
      <c r="D28" s="28" t="s">
        <v>263</v>
      </c>
      <c r="E28" s="29">
        <v>40502</v>
      </c>
      <c r="F28" s="30">
        <v>563.41999999999996</v>
      </c>
      <c r="G28" s="31">
        <v>1.6199999999999999E-2</v>
      </c>
      <c r="H28" s="32"/>
    </row>
    <row r="29" spans="2:8" ht="15.75" customHeight="1" x14ac:dyDescent="0.2">
      <c r="B29" s="28" t="s">
        <v>469</v>
      </c>
      <c r="C29" s="28" t="s">
        <v>470</v>
      </c>
      <c r="D29" s="28" t="s">
        <v>221</v>
      </c>
      <c r="E29" s="29">
        <v>111562</v>
      </c>
      <c r="F29" s="30">
        <v>560.99</v>
      </c>
      <c r="G29" s="31">
        <v>1.61E-2</v>
      </c>
      <c r="H29" s="32"/>
    </row>
    <row r="30" spans="2:8" ht="15.75" customHeight="1" x14ac:dyDescent="0.2">
      <c r="B30" s="28" t="s">
        <v>686</v>
      </c>
      <c r="C30" s="28" t="s">
        <v>687</v>
      </c>
      <c r="D30" s="28" t="s">
        <v>260</v>
      </c>
      <c r="E30" s="29">
        <v>39624</v>
      </c>
      <c r="F30" s="30">
        <v>548.24</v>
      </c>
      <c r="G30" s="31">
        <v>1.5800000000000002E-2</v>
      </c>
      <c r="H30" s="32"/>
    </row>
    <row r="31" spans="2:8" ht="15.75" customHeight="1" x14ac:dyDescent="0.2">
      <c r="B31" s="28" t="s">
        <v>392</v>
      </c>
      <c r="C31" s="28" t="s">
        <v>393</v>
      </c>
      <c r="D31" s="28" t="s">
        <v>208</v>
      </c>
      <c r="E31" s="29">
        <v>29197</v>
      </c>
      <c r="F31" s="30">
        <v>547.55999999999995</v>
      </c>
      <c r="G31" s="31">
        <v>1.5699999999999999E-2</v>
      </c>
      <c r="H31" s="32"/>
    </row>
    <row r="32" spans="2:8" ht="15.75" customHeight="1" x14ac:dyDescent="0.2">
      <c r="B32" s="28" t="s">
        <v>330</v>
      </c>
      <c r="C32" s="28" t="s">
        <v>331</v>
      </c>
      <c r="D32" s="28" t="s">
        <v>329</v>
      </c>
      <c r="E32" s="29">
        <v>15607</v>
      </c>
      <c r="F32" s="30">
        <v>532.48</v>
      </c>
      <c r="G32" s="31">
        <v>1.5299999999999999E-2</v>
      </c>
      <c r="H32" s="32"/>
    </row>
    <row r="33" spans="2:8" ht="15.75" customHeight="1" x14ac:dyDescent="0.2">
      <c r="B33" s="28" t="s">
        <v>599</v>
      </c>
      <c r="C33" s="28" t="s">
        <v>600</v>
      </c>
      <c r="D33" s="28" t="s">
        <v>260</v>
      </c>
      <c r="E33" s="29">
        <v>46892</v>
      </c>
      <c r="F33" s="30">
        <v>529.32000000000005</v>
      </c>
      <c r="G33" s="31">
        <v>1.52E-2</v>
      </c>
      <c r="H33" s="32"/>
    </row>
    <row r="34" spans="2:8" ht="15.75" customHeight="1" x14ac:dyDescent="0.2">
      <c r="B34" s="28" t="s">
        <v>222</v>
      </c>
      <c r="C34" s="28" t="s">
        <v>223</v>
      </c>
      <c r="D34" s="28" t="s">
        <v>224</v>
      </c>
      <c r="E34" s="29">
        <v>44963</v>
      </c>
      <c r="F34" s="30">
        <v>512.08000000000004</v>
      </c>
      <c r="G34" s="31">
        <v>1.47E-2</v>
      </c>
      <c r="H34" s="32"/>
    </row>
    <row r="35" spans="2:8" ht="15.75" customHeight="1" x14ac:dyDescent="0.2">
      <c r="B35" s="28" t="s">
        <v>440</v>
      </c>
      <c r="C35" s="28" t="s">
        <v>441</v>
      </c>
      <c r="D35" s="28" t="s">
        <v>442</v>
      </c>
      <c r="E35" s="29">
        <v>16342</v>
      </c>
      <c r="F35" s="30">
        <v>502.96</v>
      </c>
      <c r="G35" s="31">
        <v>1.4500000000000001E-2</v>
      </c>
      <c r="H35" s="32"/>
    </row>
    <row r="36" spans="2:8" ht="15.75" customHeight="1" x14ac:dyDescent="0.2">
      <c r="B36" s="28" t="s">
        <v>417</v>
      </c>
      <c r="C36" s="28" t="s">
        <v>418</v>
      </c>
      <c r="D36" s="28" t="s">
        <v>175</v>
      </c>
      <c r="E36" s="29">
        <v>67560</v>
      </c>
      <c r="F36" s="30">
        <v>494.07</v>
      </c>
      <c r="G36" s="31">
        <v>1.4200000000000001E-2</v>
      </c>
      <c r="H36" s="32"/>
    </row>
    <row r="37" spans="2:8" ht="15.75" customHeight="1" x14ac:dyDescent="0.2">
      <c r="B37" s="28" t="s">
        <v>591</v>
      </c>
      <c r="C37" s="28" t="s">
        <v>592</v>
      </c>
      <c r="D37" s="28" t="s">
        <v>290</v>
      </c>
      <c r="E37" s="29">
        <v>2767</v>
      </c>
      <c r="F37" s="30">
        <v>491.92</v>
      </c>
      <c r="G37" s="31">
        <v>1.41E-2</v>
      </c>
      <c r="H37" s="32"/>
    </row>
    <row r="38" spans="2:8" ht="15.75" customHeight="1" x14ac:dyDescent="0.2">
      <c r="B38" s="28" t="s">
        <v>689</v>
      </c>
      <c r="C38" s="28" t="s">
        <v>690</v>
      </c>
      <c r="D38" s="28" t="s">
        <v>590</v>
      </c>
      <c r="E38" s="29">
        <v>1185</v>
      </c>
      <c r="F38" s="30">
        <v>488.22</v>
      </c>
      <c r="G38" s="31">
        <v>1.4E-2</v>
      </c>
      <c r="H38" s="32"/>
    </row>
    <row r="39" spans="2:8" ht="15.75" customHeight="1" x14ac:dyDescent="0.2">
      <c r="B39" s="28" t="s">
        <v>691</v>
      </c>
      <c r="C39" s="28" t="s">
        <v>692</v>
      </c>
      <c r="D39" s="28" t="s">
        <v>280</v>
      </c>
      <c r="E39" s="29">
        <v>36806</v>
      </c>
      <c r="F39" s="30">
        <v>484.55</v>
      </c>
      <c r="G39" s="31">
        <v>1.3899999999999999E-2</v>
      </c>
      <c r="H39" s="32"/>
    </row>
    <row r="40" spans="2:8" ht="15.75" customHeight="1" x14ac:dyDescent="0.2">
      <c r="B40" s="28" t="s">
        <v>179</v>
      </c>
      <c r="C40" s="28" t="s">
        <v>180</v>
      </c>
      <c r="D40" s="28" t="s">
        <v>166</v>
      </c>
      <c r="E40" s="29">
        <v>39158</v>
      </c>
      <c r="F40" s="30">
        <v>482.74</v>
      </c>
      <c r="G40" s="31">
        <v>1.3899999999999999E-2</v>
      </c>
      <c r="H40" s="32"/>
    </row>
    <row r="41" spans="2:8" ht="15.75" customHeight="1" x14ac:dyDescent="0.2">
      <c r="B41" s="28" t="s">
        <v>693</v>
      </c>
      <c r="C41" s="28" t="s">
        <v>694</v>
      </c>
      <c r="D41" s="28" t="s">
        <v>175</v>
      </c>
      <c r="E41" s="29">
        <v>28027</v>
      </c>
      <c r="F41" s="30">
        <v>475.56</v>
      </c>
      <c r="G41" s="31">
        <v>1.37E-2</v>
      </c>
      <c r="H41" s="32"/>
    </row>
    <row r="42" spans="2:8" ht="15.75" customHeight="1" x14ac:dyDescent="0.2">
      <c r="B42" s="28" t="s">
        <v>487</v>
      </c>
      <c r="C42" s="28" t="s">
        <v>488</v>
      </c>
      <c r="D42" s="28" t="s">
        <v>329</v>
      </c>
      <c r="E42" s="29">
        <v>11650</v>
      </c>
      <c r="F42" s="30">
        <v>469.73</v>
      </c>
      <c r="G42" s="31">
        <v>1.35E-2</v>
      </c>
      <c r="H42" s="32"/>
    </row>
    <row r="43" spans="2:8" ht="15.75" customHeight="1" x14ac:dyDescent="0.2">
      <c r="B43" s="28" t="s">
        <v>433</v>
      </c>
      <c r="C43" s="28" t="s">
        <v>434</v>
      </c>
      <c r="D43" s="28" t="s">
        <v>435</v>
      </c>
      <c r="E43" s="29">
        <v>105026</v>
      </c>
      <c r="F43" s="30">
        <v>455.13</v>
      </c>
      <c r="G43" s="31">
        <v>1.3100000000000001E-2</v>
      </c>
      <c r="H43" s="32"/>
    </row>
    <row r="44" spans="2:8" ht="15.75" customHeight="1" x14ac:dyDescent="0.2">
      <c r="B44" s="28" t="s">
        <v>296</v>
      </c>
      <c r="C44" s="28" t="s">
        <v>297</v>
      </c>
      <c r="D44" s="28" t="s">
        <v>175</v>
      </c>
      <c r="E44" s="29">
        <v>111582</v>
      </c>
      <c r="F44" s="30">
        <v>449.95</v>
      </c>
      <c r="G44" s="31">
        <v>1.29E-2</v>
      </c>
      <c r="H44" s="32"/>
    </row>
    <row r="45" spans="2:8" ht="15.75" customHeight="1" x14ac:dyDescent="0.2">
      <c r="B45" s="28" t="s">
        <v>695</v>
      </c>
      <c r="C45" s="28" t="s">
        <v>696</v>
      </c>
      <c r="D45" s="28" t="s">
        <v>178</v>
      </c>
      <c r="E45" s="29">
        <v>19673</v>
      </c>
      <c r="F45" s="30">
        <v>448.51</v>
      </c>
      <c r="G45" s="31">
        <v>1.29E-2</v>
      </c>
      <c r="H45" s="32"/>
    </row>
    <row r="46" spans="2:8" ht="15.75" customHeight="1" x14ac:dyDescent="0.2">
      <c r="B46" s="28" t="s">
        <v>595</v>
      </c>
      <c r="C46" s="28" t="s">
        <v>596</v>
      </c>
      <c r="D46" s="28" t="s">
        <v>290</v>
      </c>
      <c r="E46" s="29">
        <v>745771</v>
      </c>
      <c r="F46" s="30">
        <v>442.24</v>
      </c>
      <c r="G46" s="31">
        <v>1.2699999999999999E-2</v>
      </c>
      <c r="H46" s="32"/>
    </row>
    <row r="47" spans="2:8" ht="15.75" customHeight="1" x14ac:dyDescent="0.2">
      <c r="B47" s="28" t="s">
        <v>176</v>
      </c>
      <c r="C47" s="28" t="s">
        <v>177</v>
      </c>
      <c r="D47" s="28" t="s">
        <v>178</v>
      </c>
      <c r="E47" s="29">
        <v>32124</v>
      </c>
      <c r="F47" s="30">
        <v>425.55</v>
      </c>
      <c r="G47" s="31">
        <v>1.2200000000000001E-2</v>
      </c>
      <c r="H47" s="32"/>
    </row>
    <row r="48" spans="2:8" ht="15.75" customHeight="1" x14ac:dyDescent="0.2">
      <c r="B48" s="28" t="s">
        <v>359</v>
      </c>
      <c r="C48" s="28" t="s">
        <v>360</v>
      </c>
      <c r="D48" s="28" t="s">
        <v>361</v>
      </c>
      <c r="E48" s="29">
        <v>10261</v>
      </c>
      <c r="F48" s="30">
        <v>422.63</v>
      </c>
      <c r="G48" s="31">
        <v>1.2200000000000001E-2</v>
      </c>
      <c r="H48" s="32"/>
    </row>
    <row r="49" spans="2:8" ht="15.75" customHeight="1" x14ac:dyDescent="0.2">
      <c r="B49" s="28" t="s">
        <v>588</v>
      </c>
      <c r="C49" s="28" t="s">
        <v>589</v>
      </c>
      <c r="D49" s="28" t="s">
        <v>590</v>
      </c>
      <c r="E49" s="29">
        <v>38736</v>
      </c>
      <c r="F49" s="30">
        <v>414.24</v>
      </c>
      <c r="G49" s="31">
        <v>1.1900000000000001E-2</v>
      </c>
      <c r="H49" s="32"/>
    </row>
    <row r="50" spans="2:8" ht="15.75" customHeight="1" x14ac:dyDescent="0.2">
      <c r="B50" s="28" t="s">
        <v>366</v>
      </c>
      <c r="C50" s="28" t="s">
        <v>367</v>
      </c>
      <c r="D50" s="28" t="s">
        <v>172</v>
      </c>
      <c r="E50" s="29">
        <v>14259</v>
      </c>
      <c r="F50" s="30">
        <v>394.18</v>
      </c>
      <c r="G50" s="31">
        <v>1.1299999999999999E-2</v>
      </c>
      <c r="H50" s="32"/>
    </row>
    <row r="51" spans="2:8" ht="15.75" customHeight="1" x14ac:dyDescent="0.2">
      <c r="B51" s="28" t="s">
        <v>357</v>
      </c>
      <c r="C51" s="28" t="s">
        <v>358</v>
      </c>
      <c r="D51" s="28" t="s">
        <v>175</v>
      </c>
      <c r="E51" s="29">
        <v>44586</v>
      </c>
      <c r="F51" s="30">
        <v>391.75</v>
      </c>
      <c r="G51" s="31">
        <v>1.1299999999999999E-2</v>
      </c>
      <c r="H51" s="32"/>
    </row>
    <row r="52" spans="2:8" ht="15.75" customHeight="1" x14ac:dyDescent="0.2">
      <c r="B52" s="28" t="s">
        <v>464</v>
      </c>
      <c r="C52" s="28" t="s">
        <v>465</v>
      </c>
      <c r="D52" s="28" t="s">
        <v>466</v>
      </c>
      <c r="E52" s="29">
        <v>151180</v>
      </c>
      <c r="F52" s="30">
        <v>389.89</v>
      </c>
      <c r="G52" s="31">
        <v>1.12E-2</v>
      </c>
      <c r="H52" s="32"/>
    </row>
    <row r="53" spans="2:8" ht="15.75" customHeight="1" x14ac:dyDescent="0.2">
      <c r="B53" s="28" t="s">
        <v>231</v>
      </c>
      <c r="C53" s="28" t="s">
        <v>232</v>
      </c>
      <c r="D53" s="28" t="s">
        <v>233</v>
      </c>
      <c r="E53" s="29">
        <v>4169</v>
      </c>
      <c r="F53" s="30">
        <v>385.36</v>
      </c>
      <c r="G53" s="31">
        <v>1.11E-2</v>
      </c>
      <c r="H53" s="32"/>
    </row>
    <row r="54" spans="2:8" ht="15.75" customHeight="1" x14ac:dyDescent="0.2">
      <c r="B54" s="28" t="s">
        <v>697</v>
      </c>
      <c r="C54" s="28" t="s">
        <v>698</v>
      </c>
      <c r="D54" s="28" t="s">
        <v>260</v>
      </c>
      <c r="E54" s="29">
        <v>2438</v>
      </c>
      <c r="F54" s="30">
        <v>377.74</v>
      </c>
      <c r="G54" s="31">
        <v>1.09E-2</v>
      </c>
      <c r="H54" s="32"/>
    </row>
    <row r="55" spans="2:8" ht="15.75" customHeight="1" x14ac:dyDescent="0.2">
      <c r="B55" s="28" t="s">
        <v>699</v>
      </c>
      <c r="C55" s="28" t="s">
        <v>700</v>
      </c>
      <c r="D55" s="28" t="s">
        <v>495</v>
      </c>
      <c r="E55" s="29">
        <v>63179</v>
      </c>
      <c r="F55" s="30">
        <v>377.72</v>
      </c>
      <c r="G55" s="31">
        <v>1.09E-2</v>
      </c>
      <c r="H55" s="32"/>
    </row>
    <row r="56" spans="2:8" ht="15.75" customHeight="1" x14ac:dyDescent="0.2">
      <c r="B56" s="28" t="s">
        <v>549</v>
      </c>
      <c r="C56" s="28" t="s">
        <v>550</v>
      </c>
      <c r="D56" s="28" t="s">
        <v>233</v>
      </c>
      <c r="E56" s="29">
        <v>15061</v>
      </c>
      <c r="F56" s="30">
        <v>373.36</v>
      </c>
      <c r="G56" s="31">
        <v>1.0699999999999999E-2</v>
      </c>
      <c r="H56" s="32"/>
    </row>
    <row r="57" spans="2:8" ht="15.75" customHeight="1" x14ac:dyDescent="0.2">
      <c r="B57" s="28" t="s">
        <v>412</v>
      </c>
      <c r="C57" s="28" t="s">
        <v>413</v>
      </c>
      <c r="D57" s="28" t="s">
        <v>329</v>
      </c>
      <c r="E57" s="29">
        <v>125459</v>
      </c>
      <c r="F57" s="30">
        <v>369.35</v>
      </c>
      <c r="G57" s="31">
        <v>1.06E-2</v>
      </c>
      <c r="H57" s="32"/>
    </row>
    <row r="58" spans="2:8" ht="15.75" customHeight="1" x14ac:dyDescent="0.2">
      <c r="B58" s="28" t="s">
        <v>701</v>
      </c>
      <c r="C58" s="28" t="s">
        <v>702</v>
      </c>
      <c r="D58" s="28" t="s">
        <v>578</v>
      </c>
      <c r="E58" s="29">
        <v>9575</v>
      </c>
      <c r="F58" s="30">
        <v>362.56</v>
      </c>
      <c r="G58" s="31">
        <v>1.04E-2</v>
      </c>
      <c r="H58" s="32"/>
    </row>
    <row r="59" spans="2:8" ht="15.75" customHeight="1" x14ac:dyDescent="0.2">
      <c r="B59" s="28" t="s">
        <v>703</v>
      </c>
      <c r="C59" s="28" t="s">
        <v>704</v>
      </c>
      <c r="D59" s="28" t="s">
        <v>172</v>
      </c>
      <c r="E59" s="29">
        <v>6633</v>
      </c>
      <c r="F59" s="30">
        <v>361.8</v>
      </c>
      <c r="G59" s="31">
        <v>1.04E-2</v>
      </c>
      <c r="H59" s="32"/>
    </row>
    <row r="60" spans="2:8" ht="15.75" customHeight="1" x14ac:dyDescent="0.2">
      <c r="B60" s="28" t="s">
        <v>355</v>
      </c>
      <c r="C60" s="28" t="s">
        <v>356</v>
      </c>
      <c r="D60" s="28" t="s">
        <v>208</v>
      </c>
      <c r="E60" s="29">
        <v>19409</v>
      </c>
      <c r="F60" s="30">
        <v>361.16</v>
      </c>
      <c r="G60" s="31">
        <v>1.04E-2</v>
      </c>
      <c r="H60" s="32"/>
    </row>
    <row r="61" spans="2:8" ht="15.75" customHeight="1" x14ac:dyDescent="0.2">
      <c r="B61" s="28" t="s">
        <v>660</v>
      </c>
      <c r="C61" s="28" t="s">
        <v>661</v>
      </c>
      <c r="D61" s="28" t="s">
        <v>430</v>
      </c>
      <c r="E61" s="29">
        <v>70125</v>
      </c>
      <c r="F61" s="30">
        <v>355.01</v>
      </c>
      <c r="G61" s="31">
        <v>1.0200000000000001E-2</v>
      </c>
      <c r="H61" s="32"/>
    </row>
    <row r="62" spans="2:8" ht="15.75" customHeight="1" x14ac:dyDescent="0.2">
      <c r="B62" s="28" t="s">
        <v>370</v>
      </c>
      <c r="C62" s="28" t="s">
        <v>371</v>
      </c>
      <c r="D62" s="28" t="s">
        <v>188</v>
      </c>
      <c r="E62" s="29">
        <v>3821</v>
      </c>
      <c r="F62" s="30">
        <v>339.78</v>
      </c>
      <c r="G62" s="31">
        <v>9.7999999999999997E-3</v>
      </c>
      <c r="H62" s="32"/>
    </row>
    <row r="63" spans="2:8" ht="15.75" customHeight="1" x14ac:dyDescent="0.2">
      <c r="B63" s="28" t="s">
        <v>705</v>
      </c>
      <c r="C63" s="28" t="s">
        <v>706</v>
      </c>
      <c r="D63" s="28" t="s">
        <v>329</v>
      </c>
      <c r="E63" s="29">
        <v>22151</v>
      </c>
      <c r="F63" s="30">
        <v>321.20999999999998</v>
      </c>
      <c r="G63" s="31">
        <v>9.1999999999999998E-3</v>
      </c>
      <c r="H63" s="32"/>
    </row>
    <row r="64" spans="2:8" ht="15.75" customHeight="1" x14ac:dyDescent="0.2">
      <c r="B64" s="28" t="s">
        <v>256</v>
      </c>
      <c r="C64" s="28" t="s">
        <v>257</v>
      </c>
      <c r="D64" s="28" t="s">
        <v>221</v>
      </c>
      <c r="E64" s="29">
        <v>23091</v>
      </c>
      <c r="F64" s="30">
        <v>318.26</v>
      </c>
      <c r="G64" s="31">
        <v>9.1999999999999998E-3</v>
      </c>
      <c r="H64" s="32"/>
    </row>
    <row r="65" spans="2:14" ht="15.75" customHeight="1" x14ac:dyDescent="0.2">
      <c r="B65" s="28" t="s">
        <v>662</v>
      </c>
      <c r="C65" s="28" t="s">
        <v>663</v>
      </c>
      <c r="D65" s="28" t="s">
        <v>430</v>
      </c>
      <c r="E65" s="29">
        <v>22720</v>
      </c>
      <c r="F65" s="30">
        <v>297.97000000000003</v>
      </c>
      <c r="G65" s="31">
        <v>8.6E-3</v>
      </c>
      <c r="H65" s="32"/>
    </row>
    <row r="66" spans="2:14" ht="15.75" customHeight="1" x14ac:dyDescent="0.2">
      <c r="B66" s="28" t="s">
        <v>707</v>
      </c>
      <c r="C66" s="28" t="s">
        <v>708</v>
      </c>
      <c r="D66" s="28" t="s">
        <v>349</v>
      </c>
      <c r="E66" s="29">
        <v>16669</v>
      </c>
      <c r="F66" s="30">
        <v>288.11</v>
      </c>
      <c r="G66" s="31">
        <v>8.3000000000000001E-3</v>
      </c>
      <c r="H66" s="32"/>
    </row>
    <row r="67" spans="2:14" ht="15.75" customHeight="1" x14ac:dyDescent="0.2">
      <c r="B67" s="28" t="s">
        <v>709</v>
      </c>
      <c r="C67" s="28" t="s">
        <v>710</v>
      </c>
      <c r="D67" s="28" t="s">
        <v>246</v>
      </c>
      <c r="E67" s="29">
        <v>15795</v>
      </c>
      <c r="F67" s="30">
        <v>280.88</v>
      </c>
      <c r="G67" s="31">
        <v>8.0999999999999996E-3</v>
      </c>
      <c r="H67" s="32"/>
      <c r="J67" s="3"/>
    </row>
    <row r="68" spans="2:14" ht="15.75" customHeight="1" x14ac:dyDescent="0.2">
      <c r="B68" s="28" t="s">
        <v>500</v>
      </c>
      <c r="C68" s="28" t="s">
        <v>501</v>
      </c>
      <c r="D68" s="28" t="s">
        <v>502</v>
      </c>
      <c r="E68" s="29">
        <v>61238</v>
      </c>
      <c r="F68" s="30">
        <v>278.57</v>
      </c>
      <c r="G68" s="31">
        <v>8.0000000000000002E-3</v>
      </c>
      <c r="H68" s="32"/>
    </row>
    <row r="69" spans="2:14" ht="15.75" customHeight="1" x14ac:dyDescent="0.2">
      <c r="B69" s="28" t="s">
        <v>711</v>
      </c>
      <c r="C69" s="28" t="s">
        <v>712</v>
      </c>
      <c r="D69" s="28" t="s">
        <v>466</v>
      </c>
      <c r="E69" s="29">
        <v>737</v>
      </c>
      <c r="F69" s="30">
        <v>268.97000000000003</v>
      </c>
      <c r="G69" s="31">
        <v>7.7000000000000002E-3</v>
      </c>
      <c r="H69" s="32"/>
      <c r="J69" s="3"/>
    </row>
    <row r="70" spans="2:14" ht="15.75" customHeight="1" x14ac:dyDescent="0.2">
      <c r="B70" s="28" t="s">
        <v>524</v>
      </c>
      <c r="C70" s="28" t="s">
        <v>525</v>
      </c>
      <c r="D70" s="28" t="s">
        <v>233</v>
      </c>
      <c r="E70" s="29">
        <v>19001</v>
      </c>
      <c r="F70" s="30">
        <v>185.83</v>
      </c>
      <c r="G70" s="31">
        <v>5.3E-3</v>
      </c>
      <c r="H70" s="32"/>
      <c r="J70" s="3"/>
    </row>
    <row r="71" spans="2:14" ht="15.75" customHeight="1" x14ac:dyDescent="0.2">
      <c r="B71" s="28" t="s">
        <v>1127</v>
      </c>
      <c r="C71" s="28" t="s">
        <v>688</v>
      </c>
      <c r="D71" s="28" t="s">
        <v>221</v>
      </c>
      <c r="E71" s="29">
        <v>124835</v>
      </c>
      <c r="F71" s="30">
        <v>501.84</v>
      </c>
      <c r="G71" s="31">
        <v>1.44E-2</v>
      </c>
      <c r="H71" s="32"/>
    </row>
    <row r="72" spans="2:14" ht="15.75" customHeight="1" x14ac:dyDescent="0.2">
      <c r="B72" s="27" t="s">
        <v>127</v>
      </c>
      <c r="C72" s="27"/>
      <c r="D72" s="27"/>
      <c r="E72" s="33"/>
      <c r="F72" s="34">
        <v>34056.03</v>
      </c>
      <c r="G72" s="35">
        <v>0.97950000000000004</v>
      </c>
      <c r="H72" s="36"/>
      <c r="J72" s="3"/>
    </row>
    <row r="73" spans="2:14" ht="15.75" customHeight="1" x14ac:dyDescent="0.2">
      <c r="B73" s="27" t="s">
        <v>189</v>
      </c>
      <c r="C73" s="28"/>
      <c r="D73" s="28"/>
      <c r="E73" s="29"/>
      <c r="F73" s="30"/>
      <c r="G73" s="31"/>
      <c r="H73" s="32"/>
      <c r="J73" s="3"/>
    </row>
    <row r="74" spans="2:14" ht="15.75" customHeight="1" x14ac:dyDescent="0.2">
      <c r="B74" s="27" t="s">
        <v>127</v>
      </c>
      <c r="C74" s="28"/>
      <c r="D74" s="28"/>
      <c r="E74" s="29"/>
      <c r="F74" s="37" t="s">
        <v>129</v>
      </c>
      <c r="G74" s="38" t="s">
        <v>129</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131</v>
      </c>
      <c r="C76" s="39"/>
      <c r="D76" s="39"/>
      <c r="E76" s="40"/>
      <c r="F76" s="34">
        <f>F72</f>
        <v>34056.03</v>
      </c>
      <c r="G76" s="35">
        <f>G72</f>
        <v>0.97950000000000004</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134</v>
      </c>
      <c r="C79" s="28"/>
      <c r="D79" s="28"/>
      <c r="E79" s="29"/>
      <c r="F79" s="30"/>
      <c r="G79" s="31"/>
      <c r="H79" s="32"/>
      <c r="J79" s="7"/>
      <c r="K79" s="7"/>
      <c r="L79" s="7"/>
      <c r="M79" s="7"/>
      <c r="N79" s="7"/>
    </row>
    <row r="80" spans="2:14" ht="15.75" customHeight="1" x14ac:dyDescent="0.2">
      <c r="B80" s="28" t="s">
        <v>135</v>
      </c>
      <c r="C80" s="28"/>
      <c r="D80" s="28"/>
      <c r="E80" s="29"/>
      <c r="F80" s="30">
        <v>292.60000000000002</v>
      </c>
      <c r="G80" s="31">
        <v>8.3999999999999995E-3</v>
      </c>
      <c r="H80" s="32"/>
      <c r="J80" s="7"/>
      <c r="K80" s="7"/>
      <c r="L80" s="7"/>
      <c r="M80" s="7"/>
      <c r="N80" s="7"/>
    </row>
    <row r="81" spans="2:14" ht="15.75" customHeight="1" x14ac:dyDescent="0.2">
      <c r="B81" s="27" t="s">
        <v>127</v>
      </c>
      <c r="C81" s="27"/>
      <c r="D81" s="27"/>
      <c r="E81" s="33"/>
      <c r="F81" s="34">
        <v>292.60000000000002</v>
      </c>
      <c r="G81" s="35">
        <v>8.3999999999999995E-3</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131</v>
      </c>
      <c r="C83" s="39"/>
      <c r="D83" s="39"/>
      <c r="E83" s="40"/>
      <c r="F83" s="34">
        <v>292.60000000000002</v>
      </c>
      <c r="G83" s="35">
        <v>8.3999999999999995E-3</v>
      </c>
      <c r="H83" s="36"/>
      <c r="J83" s="7"/>
      <c r="K83" s="7"/>
      <c r="L83" s="7"/>
      <c r="M83" s="7"/>
      <c r="N83" s="7"/>
    </row>
    <row r="84" spans="2:14" ht="15.75" customHeight="1" x14ac:dyDescent="0.2">
      <c r="B84" s="28" t="s">
        <v>136</v>
      </c>
      <c r="C84" s="28"/>
      <c r="D84" s="28"/>
      <c r="E84" s="29"/>
      <c r="F84" s="30">
        <v>418.43</v>
      </c>
      <c r="G84" s="31">
        <v>1.21E-2</v>
      </c>
      <c r="H84" s="32"/>
      <c r="J84" s="7"/>
      <c r="K84" s="7"/>
      <c r="L84" s="7"/>
      <c r="M84" s="7"/>
      <c r="N84" s="7"/>
    </row>
    <row r="85" spans="2:14" ht="15.75" customHeight="1" x14ac:dyDescent="0.2">
      <c r="B85" s="43" t="s">
        <v>137</v>
      </c>
      <c r="C85" s="43"/>
      <c r="D85" s="43"/>
      <c r="E85" s="44"/>
      <c r="F85" s="45">
        <v>34767.06</v>
      </c>
      <c r="G85" s="46">
        <v>1</v>
      </c>
      <c r="H85" s="47"/>
    </row>
    <row r="86" spans="2:14" ht="15.75" customHeight="1" x14ac:dyDescent="0.2">
      <c r="B86" s="2"/>
      <c r="J86" s="3"/>
    </row>
    <row r="89" spans="2:14" ht="15.75" customHeight="1" thickBot="1" x14ac:dyDescent="0.25"/>
    <row r="90" spans="2:14" ht="39.75" customHeight="1" thickBot="1" x14ac:dyDescent="0.25">
      <c r="B90" s="48" t="s">
        <v>139</v>
      </c>
      <c r="C90" s="49" t="s">
        <v>140</v>
      </c>
      <c r="D90" s="49" t="s">
        <v>141</v>
      </c>
      <c r="E90" s="49" t="s">
        <v>142</v>
      </c>
    </row>
    <row r="91" spans="2:14" ht="39.75" customHeight="1" x14ac:dyDescent="0.2">
      <c r="B91" s="61" t="s">
        <v>713</v>
      </c>
      <c r="C91" s="77"/>
      <c r="D91" s="80" t="s">
        <v>714</v>
      </c>
      <c r="E91" s="81"/>
    </row>
    <row r="92" spans="2:14" ht="39.75" customHeight="1" x14ac:dyDescent="0.2">
      <c r="B92" s="52" t="s">
        <v>646</v>
      </c>
      <c r="C92" s="78"/>
      <c r="D92" s="80"/>
      <c r="E92" s="82"/>
    </row>
    <row r="93" spans="2:14" ht="39.75" customHeight="1" x14ac:dyDescent="0.2">
      <c r="B93" s="52" t="s">
        <v>715</v>
      </c>
      <c r="C93" s="78"/>
      <c r="D93" s="80"/>
      <c r="E93" s="82"/>
    </row>
    <row r="94" spans="2:14" ht="39.75" customHeight="1" thickBot="1" x14ac:dyDescent="0.25">
      <c r="B94" s="62" t="s">
        <v>521</v>
      </c>
      <c r="C94" s="79"/>
      <c r="D94" s="50" t="s">
        <v>562</v>
      </c>
      <c r="E94" s="83"/>
    </row>
    <row r="95" spans="2:14" ht="15.75" customHeight="1" x14ac:dyDescent="0.2">
      <c r="B95" s="9" t="s">
        <v>144</v>
      </c>
    </row>
    <row r="97" spans="2:2" ht="15.75" customHeight="1" x14ac:dyDescent="0.2">
      <c r="B97" s="9" t="s">
        <v>145</v>
      </c>
    </row>
    <row r="98" spans="2:2" ht="15.75" customHeight="1" x14ac:dyDescent="0.2">
      <c r="B98" s="15" t="s">
        <v>146</v>
      </c>
    </row>
  </sheetData>
  <mergeCells count="3">
    <mergeCell ref="C91:C94"/>
    <mergeCell ref="D91:D93"/>
    <mergeCell ref="E91:E94"/>
  </mergeCells>
  <hyperlinks>
    <hyperlink ref="G1" location="'Sheet1'!A1" display="Index" xr:uid="{F3593897-F686-44FA-8311-4E68016631D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D2070-CEFF-44FB-8F11-04476A858D9B}">
  <dimension ref="B1:N14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36.5703125" style="9" bestFit="1"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211</v>
      </c>
      <c r="C7" s="28" t="s">
        <v>212</v>
      </c>
      <c r="D7" s="28" t="s">
        <v>213</v>
      </c>
      <c r="E7" s="29">
        <v>49500</v>
      </c>
      <c r="F7" s="30">
        <v>90.51</v>
      </c>
      <c r="G7" s="31">
        <v>2.9399999999999999E-2</v>
      </c>
      <c r="H7" s="32"/>
    </row>
    <row r="8" spans="2:8" ht="15.75" customHeight="1" x14ac:dyDescent="0.2">
      <c r="B8" s="28" t="s">
        <v>234</v>
      </c>
      <c r="C8" s="28" t="s">
        <v>235</v>
      </c>
      <c r="D8" s="28" t="s">
        <v>166</v>
      </c>
      <c r="E8" s="29">
        <v>29250</v>
      </c>
      <c r="F8" s="30">
        <v>81.430000000000007</v>
      </c>
      <c r="G8" s="31">
        <v>2.64E-2</v>
      </c>
      <c r="H8" s="32"/>
    </row>
    <row r="9" spans="2:8" ht="15.75" customHeight="1" x14ac:dyDescent="0.2">
      <c r="B9" s="28" t="s">
        <v>199</v>
      </c>
      <c r="C9" s="28" t="s">
        <v>200</v>
      </c>
      <c r="D9" s="28" t="s">
        <v>172</v>
      </c>
      <c r="E9" s="29">
        <v>2100</v>
      </c>
      <c r="F9" s="30">
        <v>64.22</v>
      </c>
      <c r="G9" s="31">
        <v>2.0799999999999999E-2</v>
      </c>
      <c r="H9" s="32"/>
    </row>
    <row r="10" spans="2:8" ht="15.75" customHeight="1" x14ac:dyDescent="0.2">
      <c r="B10" s="28" t="s">
        <v>270</v>
      </c>
      <c r="C10" s="28" t="s">
        <v>271</v>
      </c>
      <c r="D10" s="28" t="s">
        <v>269</v>
      </c>
      <c r="E10" s="29">
        <v>500</v>
      </c>
      <c r="F10" s="30">
        <v>59.74</v>
      </c>
      <c r="G10" s="31">
        <v>1.9400000000000001E-2</v>
      </c>
      <c r="H10" s="32"/>
    </row>
    <row r="11" spans="2:8" ht="15.75" customHeight="1" x14ac:dyDescent="0.2">
      <c r="B11" s="28" t="s">
        <v>181</v>
      </c>
      <c r="C11" s="28" t="s">
        <v>182</v>
      </c>
      <c r="D11" s="28" t="s">
        <v>183</v>
      </c>
      <c r="E11" s="29">
        <v>2400</v>
      </c>
      <c r="F11" s="30">
        <v>59.17</v>
      </c>
      <c r="G11" s="31">
        <v>1.9199999999999998E-2</v>
      </c>
      <c r="H11" s="32"/>
    </row>
    <row r="12" spans="2:8" ht="15.75" customHeight="1" x14ac:dyDescent="0.2">
      <c r="B12" s="28" t="s">
        <v>716</v>
      </c>
      <c r="C12" s="28" t="s">
        <v>717</v>
      </c>
      <c r="D12" s="28" t="s">
        <v>578</v>
      </c>
      <c r="E12" s="29">
        <v>40000</v>
      </c>
      <c r="F12" s="30">
        <v>56.61</v>
      </c>
      <c r="G12" s="31">
        <v>1.84E-2</v>
      </c>
      <c r="H12" s="32"/>
    </row>
    <row r="13" spans="2:8" ht="15.75" customHeight="1" x14ac:dyDescent="0.2">
      <c r="B13" s="28" t="s">
        <v>170</v>
      </c>
      <c r="C13" s="28" t="s">
        <v>171</v>
      </c>
      <c r="D13" s="28" t="s">
        <v>172</v>
      </c>
      <c r="E13" s="29">
        <v>3600</v>
      </c>
      <c r="F13" s="30">
        <v>53.36</v>
      </c>
      <c r="G13" s="31">
        <v>1.7299999999999999E-2</v>
      </c>
      <c r="H13" s="32"/>
    </row>
    <row r="14" spans="2:8" ht="15.75" customHeight="1" x14ac:dyDescent="0.2">
      <c r="B14" s="28" t="s">
        <v>718</v>
      </c>
      <c r="C14" s="28" t="s">
        <v>719</v>
      </c>
      <c r="D14" s="28" t="s">
        <v>346</v>
      </c>
      <c r="E14" s="29">
        <v>22500</v>
      </c>
      <c r="F14" s="30">
        <v>52.68</v>
      </c>
      <c r="G14" s="31">
        <v>1.7100000000000001E-2</v>
      </c>
      <c r="H14" s="32"/>
    </row>
    <row r="15" spans="2:8" ht="15.75" customHeight="1" x14ac:dyDescent="0.2">
      <c r="B15" s="28" t="s">
        <v>305</v>
      </c>
      <c r="C15" s="28" t="s">
        <v>306</v>
      </c>
      <c r="D15" s="28" t="s">
        <v>166</v>
      </c>
      <c r="E15" s="29">
        <v>2400</v>
      </c>
      <c r="F15" s="30">
        <v>50.45</v>
      </c>
      <c r="G15" s="31">
        <v>1.6400000000000001E-2</v>
      </c>
      <c r="H15" s="32"/>
    </row>
    <row r="16" spans="2:8" ht="15.75" customHeight="1" x14ac:dyDescent="0.2">
      <c r="B16" s="28" t="s">
        <v>720</v>
      </c>
      <c r="C16" s="28" t="s">
        <v>721</v>
      </c>
      <c r="D16" s="28" t="s">
        <v>188</v>
      </c>
      <c r="E16" s="29">
        <v>900</v>
      </c>
      <c r="F16" s="30">
        <v>49.9</v>
      </c>
      <c r="G16" s="31">
        <v>1.6199999999999999E-2</v>
      </c>
      <c r="H16" s="32"/>
    </row>
    <row r="17" spans="2:8" ht="15.75" customHeight="1" x14ac:dyDescent="0.2">
      <c r="B17" s="28" t="s">
        <v>206</v>
      </c>
      <c r="C17" s="28" t="s">
        <v>207</v>
      </c>
      <c r="D17" s="28" t="s">
        <v>208</v>
      </c>
      <c r="E17" s="29">
        <v>2375</v>
      </c>
      <c r="F17" s="30">
        <v>48.79</v>
      </c>
      <c r="G17" s="31">
        <v>1.5800000000000002E-2</v>
      </c>
      <c r="H17" s="32"/>
    </row>
    <row r="18" spans="2:8" ht="15.75" customHeight="1" x14ac:dyDescent="0.2">
      <c r="B18" s="28" t="s">
        <v>563</v>
      </c>
      <c r="C18" s="28" t="s">
        <v>564</v>
      </c>
      <c r="D18" s="28" t="s">
        <v>188</v>
      </c>
      <c r="E18" s="29">
        <v>300</v>
      </c>
      <c r="F18" s="30">
        <v>48.56</v>
      </c>
      <c r="G18" s="31">
        <v>1.5800000000000002E-2</v>
      </c>
      <c r="H18" s="32"/>
    </row>
    <row r="19" spans="2:8" ht="15.75" customHeight="1" x14ac:dyDescent="0.2">
      <c r="B19" s="28" t="s">
        <v>344</v>
      </c>
      <c r="C19" s="28" t="s">
        <v>345</v>
      </c>
      <c r="D19" s="28" t="s">
        <v>346</v>
      </c>
      <c r="E19" s="29">
        <v>5600</v>
      </c>
      <c r="F19" s="30">
        <v>47.48</v>
      </c>
      <c r="G19" s="31">
        <v>1.54E-2</v>
      </c>
      <c r="H19" s="32"/>
    </row>
    <row r="20" spans="2:8" ht="15.75" customHeight="1" x14ac:dyDescent="0.2">
      <c r="B20" s="28" t="s">
        <v>219</v>
      </c>
      <c r="C20" s="28" t="s">
        <v>220</v>
      </c>
      <c r="D20" s="28" t="s">
        <v>221</v>
      </c>
      <c r="E20" s="29">
        <v>1000</v>
      </c>
      <c r="F20" s="30">
        <v>46.94</v>
      </c>
      <c r="G20" s="31">
        <v>1.52E-2</v>
      </c>
      <c r="H20" s="32"/>
    </row>
    <row r="21" spans="2:8" ht="15.75" customHeight="1" x14ac:dyDescent="0.2">
      <c r="B21" s="28" t="s">
        <v>324</v>
      </c>
      <c r="C21" s="28" t="s">
        <v>325</v>
      </c>
      <c r="D21" s="28" t="s">
        <v>326</v>
      </c>
      <c r="E21" s="29">
        <v>1097</v>
      </c>
      <c r="F21" s="30">
        <v>44.22</v>
      </c>
      <c r="G21" s="31">
        <v>1.44E-2</v>
      </c>
      <c r="H21" s="32"/>
    </row>
    <row r="22" spans="2:8" ht="15.75" customHeight="1" x14ac:dyDescent="0.2">
      <c r="B22" s="28" t="s">
        <v>330</v>
      </c>
      <c r="C22" s="28" t="s">
        <v>331</v>
      </c>
      <c r="D22" s="28" t="s">
        <v>329</v>
      </c>
      <c r="E22" s="29">
        <v>1218</v>
      </c>
      <c r="F22" s="30">
        <v>41.56</v>
      </c>
      <c r="G22" s="31">
        <v>1.35E-2</v>
      </c>
      <c r="H22" s="32"/>
    </row>
    <row r="23" spans="2:8" ht="15.75" customHeight="1" x14ac:dyDescent="0.2">
      <c r="B23" s="28" t="s">
        <v>722</v>
      </c>
      <c r="C23" s="28" t="s">
        <v>723</v>
      </c>
      <c r="D23" s="28" t="s">
        <v>233</v>
      </c>
      <c r="E23" s="29">
        <v>750</v>
      </c>
      <c r="F23" s="30">
        <v>40.340000000000003</v>
      </c>
      <c r="G23" s="31">
        <v>1.3100000000000001E-2</v>
      </c>
      <c r="H23" s="32"/>
    </row>
    <row r="24" spans="2:8" ht="15.75" customHeight="1" x14ac:dyDescent="0.2">
      <c r="B24" s="28" t="s">
        <v>724</v>
      </c>
      <c r="C24" s="28" t="s">
        <v>725</v>
      </c>
      <c r="D24" s="28" t="s">
        <v>354</v>
      </c>
      <c r="E24" s="29">
        <v>5500</v>
      </c>
      <c r="F24" s="30">
        <v>40.25</v>
      </c>
      <c r="G24" s="31">
        <v>1.3100000000000001E-2</v>
      </c>
      <c r="H24" s="32"/>
    </row>
    <row r="25" spans="2:8" ht="15.75" customHeight="1" x14ac:dyDescent="0.2">
      <c r="B25" s="28" t="s">
        <v>726</v>
      </c>
      <c r="C25" s="28" t="s">
        <v>727</v>
      </c>
      <c r="D25" s="28" t="s">
        <v>175</v>
      </c>
      <c r="E25" s="29">
        <v>3750</v>
      </c>
      <c r="F25" s="30">
        <v>39.11</v>
      </c>
      <c r="G25" s="31">
        <v>1.2699999999999999E-2</v>
      </c>
      <c r="H25" s="32"/>
    </row>
    <row r="26" spans="2:8" ht="15.75" customHeight="1" x14ac:dyDescent="0.2">
      <c r="B26" s="28" t="s">
        <v>459</v>
      </c>
      <c r="C26" s="28" t="s">
        <v>460</v>
      </c>
      <c r="D26" s="28" t="s">
        <v>430</v>
      </c>
      <c r="E26" s="29">
        <v>503</v>
      </c>
      <c r="F26" s="30">
        <v>38.64</v>
      </c>
      <c r="G26" s="31">
        <v>1.2500000000000001E-2</v>
      </c>
      <c r="H26" s="32"/>
    </row>
    <row r="27" spans="2:8" ht="15.75" customHeight="1" x14ac:dyDescent="0.2">
      <c r="B27" s="28" t="s">
        <v>184</v>
      </c>
      <c r="C27" s="28" t="s">
        <v>185</v>
      </c>
      <c r="D27" s="28" t="s">
        <v>166</v>
      </c>
      <c r="E27" s="29">
        <v>2800</v>
      </c>
      <c r="F27" s="30">
        <v>37.67</v>
      </c>
      <c r="G27" s="31">
        <v>1.2200000000000001E-2</v>
      </c>
      <c r="H27" s="32"/>
    </row>
    <row r="28" spans="2:8" ht="15.75" customHeight="1" x14ac:dyDescent="0.2">
      <c r="B28" s="28" t="s">
        <v>327</v>
      </c>
      <c r="C28" s="28" t="s">
        <v>328</v>
      </c>
      <c r="D28" s="28" t="s">
        <v>329</v>
      </c>
      <c r="E28" s="29">
        <v>4546</v>
      </c>
      <c r="F28" s="30">
        <v>37.25</v>
      </c>
      <c r="G28" s="31">
        <v>1.21E-2</v>
      </c>
      <c r="H28" s="32"/>
    </row>
    <row r="29" spans="2:8" ht="15.75" customHeight="1" x14ac:dyDescent="0.2">
      <c r="B29" s="28" t="s">
        <v>214</v>
      </c>
      <c r="C29" s="28" t="s">
        <v>215</v>
      </c>
      <c r="D29" s="28" t="s">
        <v>183</v>
      </c>
      <c r="E29" s="29">
        <v>8544</v>
      </c>
      <c r="F29" s="30">
        <v>35.909999999999997</v>
      </c>
      <c r="G29" s="31">
        <v>1.17E-2</v>
      </c>
      <c r="H29" s="32"/>
    </row>
    <row r="30" spans="2:8" ht="15.75" customHeight="1" x14ac:dyDescent="0.2">
      <c r="B30" s="28" t="s">
        <v>372</v>
      </c>
      <c r="C30" s="28" t="s">
        <v>373</v>
      </c>
      <c r="D30" s="28" t="s">
        <v>290</v>
      </c>
      <c r="E30" s="29">
        <v>1176</v>
      </c>
      <c r="F30" s="30">
        <v>35.56</v>
      </c>
      <c r="G30" s="31">
        <v>1.15E-2</v>
      </c>
      <c r="H30" s="32"/>
    </row>
    <row r="31" spans="2:8" ht="15.75" customHeight="1" x14ac:dyDescent="0.2">
      <c r="B31" s="28" t="s">
        <v>332</v>
      </c>
      <c r="C31" s="28" t="s">
        <v>333</v>
      </c>
      <c r="D31" s="28" t="s">
        <v>224</v>
      </c>
      <c r="E31" s="29">
        <v>2100</v>
      </c>
      <c r="F31" s="30">
        <v>35.5</v>
      </c>
      <c r="G31" s="31">
        <v>1.15E-2</v>
      </c>
      <c r="H31" s="32"/>
    </row>
    <row r="32" spans="2:8" ht="15.75" customHeight="1" x14ac:dyDescent="0.2">
      <c r="B32" s="28" t="s">
        <v>678</v>
      </c>
      <c r="C32" s="28" t="s">
        <v>679</v>
      </c>
      <c r="D32" s="28" t="s">
        <v>172</v>
      </c>
      <c r="E32" s="29">
        <v>600</v>
      </c>
      <c r="F32" s="30">
        <v>35.5</v>
      </c>
      <c r="G32" s="31">
        <v>1.15E-2</v>
      </c>
      <c r="H32" s="32"/>
    </row>
    <row r="33" spans="2:8" ht="15.75" customHeight="1" x14ac:dyDescent="0.2">
      <c r="B33" s="28" t="s">
        <v>281</v>
      </c>
      <c r="C33" s="28" t="s">
        <v>282</v>
      </c>
      <c r="D33" s="28" t="s">
        <v>249</v>
      </c>
      <c r="E33" s="29">
        <v>2400</v>
      </c>
      <c r="F33" s="30">
        <v>34.35</v>
      </c>
      <c r="G33" s="31">
        <v>1.12E-2</v>
      </c>
      <c r="H33" s="32"/>
    </row>
    <row r="34" spans="2:8" ht="15.75" customHeight="1" x14ac:dyDescent="0.2">
      <c r="B34" s="28" t="s">
        <v>627</v>
      </c>
      <c r="C34" s="28" t="s">
        <v>628</v>
      </c>
      <c r="D34" s="28" t="s">
        <v>260</v>
      </c>
      <c r="E34" s="29">
        <v>4794</v>
      </c>
      <c r="F34" s="30">
        <v>32.11</v>
      </c>
      <c r="G34" s="31">
        <v>1.04E-2</v>
      </c>
      <c r="H34" s="32"/>
    </row>
    <row r="35" spans="2:8" ht="15.75" customHeight="1" x14ac:dyDescent="0.2">
      <c r="B35" s="28" t="s">
        <v>728</v>
      </c>
      <c r="C35" s="28" t="s">
        <v>729</v>
      </c>
      <c r="D35" s="28" t="s">
        <v>730</v>
      </c>
      <c r="E35" s="29">
        <v>8761</v>
      </c>
      <c r="F35" s="30">
        <v>32.06</v>
      </c>
      <c r="G35" s="31">
        <v>1.04E-2</v>
      </c>
      <c r="H35" s="32"/>
    </row>
    <row r="36" spans="2:8" ht="15.75" customHeight="1" x14ac:dyDescent="0.2">
      <c r="B36" s="28" t="s">
        <v>222</v>
      </c>
      <c r="C36" s="28" t="s">
        <v>223</v>
      </c>
      <c r="D36" s="28" t="s">
        <v>224</v>
      </c>
      <c r="E36" s="29">
        <v>2797</v>
      </c>
      <c r="F36" s="30">
        <v>31.86</v>
      </c>
      <c r="G36" s="31">
        <v>1.03E-2</v>
      </c>
      <c r="H36" s="32"/>
    </row>
    <row r="37" spans="2:8" ht="15.75" customHeight="1" x14ac:dyDescent="0.2">
      <c r="B37" s="28" t="s">
        <v>473</v>
      </c>
      <c r="C37" s="28" t="s">
        <v>474</v>
      </c>
      <c r="D37" s="28" t="s">
        <v>224</v>
      </c>
      <c r="E37" s="29">
        <v>15940</v>
      </c>
      <c r="F37" s="30">
        <v>31.82</v>
      </c>
      <c r="G37" s="31">
        <v>1.03E-2</v>
      </c>
      <c r="H37" s="32"/>
    </row>
    <row r="38" spans="2:8" ht="15.75" customHeight="1" x14ac:dyDescent="0.2">
      <c r="B38" s="28" t="s">
        <v>731</v>
      </c>
      <c r="C38" s="28" t="s">
        <v>732</v>
      </c>
      <c r="D38" s="28" t="s">
        <v>260</v>
      </c>
      <c r="E38" s="29">
        <v>8351</v>
      </c>
      <c r="F38" s="30">
        <v>30.25</v>
      </c>
      <c r="G38" s="31">
        <v>9.7999999999999997E-3</v>
      </c>
      <c r="H38" s="32"/>
    </row>
    <row r="39" spans="2:8" ht="15.75" customHeight="1" x14ac:dyDescent="0.2">
      <c r="B39" s="28" t="s">
        <v>408</v>
      </c>
      <c r="C39" s="28" t="s">
        <v>409</v>
      </c>
      <c r="D39" s="28" t="s">
        <v>175</v>
      </c>
      <c r="E39" s="29">
        <v>8015</v>
      </c>
      <c r="F39" s="30">
        <v>30.04</v>
      </c>
      <c r="G39" s="31">
        <v>9.7999999999999997E-3</v>
      </c>
      <c r="H39" s="32"/>
    </row>
    <row r="40" spans="2:8" ht="15.75" customHeight="1" x14ac:dyDescent="0.2">
      <c r="B40" s="28" t="s">
        <v>303</v>
      </c>
      <c r="C40" s="28" t="s">
        <v>304</v>
      </c>
      <c r="D40" s="28" t="s">
        <v>178</v>
      </c>
      <c r="E40" s="29">
        <v>78</v>
      </c>
      <c r="F40" s="30">
        <v>29.05</v>
      </c>
      <c r="G40" s="31">
        <v>9.4000000000000004E-3</v>
      </c>
      <c r="H40" s="32"/>
    </row>
    <row r="41" spans="2:8" ht="15.75" customHeight="1" x14ac:dyDescent="0.2">
      <c r="B41" s="28" t="s">
        <v>733</v>
      </c>
      <c r="C41" s="28" t="s">
        <v>734</v>
      </c>
      <c r="D41" s="28" t="s">
        <v>329</v>
      </c>
      <c r="E41" s="29">
        <v>3566</v>
      </c>
      <c r="F41" s="30">
        <v>28.19</v>
      </c>
      <c r="G41" s="31">
        <v>9.1999999999999998E-3</v>
      </c>
      <c r="H41" s="32"/>
    </row>
    <row r="42" spans="2:8" ht="15.75" customHeight="1" x14ac:dyDescent="0.2">
      <c r="B42" s="28" t="s">
        <v>267</v>
      </c>
      <c r="C42" s="28" t="s">
        <v>268</v>
      </c>
      <c r="D42" s="28" t="s">
        <v>269</v>
      </c>
      <c r="E42" s="29">
        <v>973</v>
      </c>
      <c r="F42" s="30">
        <v>28.14</v>
      </c>
      <c r="G42" s="31">
        <v>9.1000000000000004E-3</v>
      </c>
      <c r="H42" s="32"/>
    </row>
    <row r="43" spans="2:8" ht="15.75" customHeight="1" x14ac:dyDescent="0.2">
      <c r="B43" s="28" t="s">
        <v>485</v>
      </c>
      <c r="C43" s="28" t="s">
        <v>486</v>
      </c>
      <c r="D43" s="28" t="s">
        <v>224</v>
      </c>
      <c r="E43" s="29">
        <v>1509</v>
      </c>
      <c r="F43" s="30">
        <v>27.98</v>
      </c>
      <c r="G43" s="31">
        <v>9.1000000000000004E-3</v>
      </c>
      <c r="H43" s="32"/>
    </row>
    <row r="44" spans="2:8" ht="15.75" customHeight="1" x14ac:dyDescent="0.2">
      <c r="B44" s="28" t="s">
        <v>735</v>
      </c>
      <c r="C44" s="28" t="s">
        <v>736</v>
      </c>
      <c r="D44" s="28" t="s">
        <v>221</v>
      </c>
      <c r="E44" s="29">
        <v>3340</v>
      </c>
      <c r="F44" s="30">
        <v>27.7</v>
      </c>
      <c r="G44" s="31">
        <v>8.9999999999999993E-3</v>
      </c>
      <c r="H44" s="32"/>
    </row>
    <row r="45" spans="2:8" ht="15.75" customHeight="1" x14ac:dyDescent="0.2">
      <c r="B45" s="28" t="s">
        <v>737</v>
      </c>
      <c r="C45" s="28" t="s">
        <v>738</v>
      </c>
      <c r="D45" s="28" t="s">
        <v>349</v>
      </c>
      <c r="E45" s="29">
        <v>1854</v>
      </c>
      <c r="F45" s="30">
        <v>26.78</v>
      </c>
      <c r="G45" s="31">
        <v>8.6999999999999994E-3</v>
      </c>
      <c r="H45" s="32"/>
    </row>
    <row r="46" spans="2:8" ht="15.75" customHeight="1" x14ac:dyDescent="0.2">
      <c r="B46" s="28" t="s">
        <v>739</v>
      </c>
      <c r="C46" s="28" t="s">
        <v>740</v>
      </c>
      <c r="D46" s="28" t="s">
        <v>290</v>
      </c>
      <c r="E46" s="29">
        <v>500</v>
      </c>
      <c r="F46" s="30">
        <v>26.1</v>
      </c>
      <c r="G46" s="31">
        <v>8.5000000000000006E-3</v>
      </c>
      <c r="H46" s="32"/>
    </row>
    <row r="47" spans="2:8" ht="15.75" customHeight="1" x14ac:dyDescent="0.2">
      <c r="B47" s="28" t="s">
        <v>574</v>
      </c>
      <c r="C47" s="28" t="s">
        <v>575</v>
      </c>
      <c r="D47" s="28" t="s">
        <v>249</v>
      </c>
      <c r="E47" s="29">
        <v>794</v>
      </c>
      <c r="F47" s="30">
        <v>24.86</v>
      </c>
      <c r="G47" s="31">
        <v>8.0999999999999996E-3</v>
      </c>
      <c r="H47" s="32"/>
    </row>
    <row r="48" spans="2:8" ht="15.75" customHeight="1" x14ac:dyDescent="0.2">
      <c r="B48" s="28" t="s">
        <v>588</v>
      </c>
      <c r="C48" s="28" t="s">
        <v>589</v>
      </c>
      <c r="D48" s="28" t="s">
        <v>590</v>
      </c>
      <c r="E48" s="29">
        <v>2320</v>
      </c>
      <c r="F48" s="30">
        <v>24.81</v>
      </c>
      <c r="G48" s="31">
        <v>8.0999999999999996E-3</v>
      </c>
      <c r="H48" s="32"/>
    </row>
    <row r="49" spans="2:8" ht="15.75" customHeight="1" x14ac:dyDescent="0.2">
      <c r="B49" s="28" t="s">
        <v>296</v>
      </c>
      <c r="C49" s="28" t="s">
        <v>297</v>
      </c>
      <c r="D49" s="28" t="s">
        <v>175</v>
      </c>
      <c r="E49" s="29">
        <v>6025</v>
      </c>
      <c r="F49" s="30">
        <v>24.3</v>
      </c>
      <c r="G49" s="31">
        <v>7.9000000000000008E-3</v>
      </c>
      <c r="H49" s="32"/>
    </row>
    <row r="50" spans="2:8" ht="15.75" customHeight="1" x14ac:dyDescent="0.2">
      <c r="B50" s="28" t="s">
        <v>741</v>
      </c>
      <c r="C50" s="28" t="s">
        <v>742</v>
      </c>
      <c r="D50" s="28" t="s">
        <v>178</v>
      </c>
      <c r="E50" s="29">
        <v>800</v>
      </c>
      <c r="F50" s="30">
        <v>24.18</v>
      </c>
      <c r="G50" s="31">
        <v>7.9000000000000008E-3</v>
      </c>
      <c r="H50" s="32"/>
    </row>
    <row r="51" spans="2:8" ht="15.75" customHeight="1" x14ac:dyDescent="0.2">
      <c r="B51" s="28" t="s">
        <v>186</v>
      </c>
      <c r="C51" s="28" t="s">
        <v>187</v>
      </c>
      <c r="D51" s="28" t="s">
        <v>188</v>
      </c>
      <c r="E51" s="29">
        <v>685</v>
      </c>
      <c r="F51" s="30">
        <v>23.89</v>
      </c>
      <c r="G51" s="31">
        <v>7.7999999999999996E-3</v>
      </c>
      <c r="H51" s="32"/>
    </row>
    <row r="52" spans="2:8" ht="15.75" customHeight="1" x14ac:dyDescent="0.2">
      <c r="B52" s="28" t="s">
        <v>433</v>
      </c>
      <c r="C52" s="28" t="s">
        <v>434</v>
      </c>
      <c r="D52" s="28" t="s">
        <v>435</v>
      </c>
      <c r="E52" s="29">
        <v>5477</v>
      </c>
      <c r="F52" s="30">
        <v>23.73</v>
      </c>
      <c r="G52" s="31">
        <v>7.7000000000000002E-3</v>
      </c>
      <c r="H52" s="32"/>
    </row>
    <row r="53" spans="2:8" ht="15.75" customHeight="1" x14ac:dyDescent="0.2">
      <c r="B53" s="28" t="s">
        <v>278</v>
      </c>
      <c r="C53" s="28" t="s">
        <v>279</v>
      </c>
      <c r="D53" s="28" t="s">
        <v>280</v>
      </c>
      <c r="E53" s="29">
        <v>5428</v>
      </c>
      <c r="F53" s="30">
        <v>21.98</v>
      </c>
      <c r="G53" s="31">
        <v>7.1000000000000004E-3</v>
      </c>
      <c r="H53" s="32"/>
    </row>
    <row r="54" spans="2:8" ht="15.75" customHeight="1" x14ac:dyDescent="0.2">
      <c r="B54" s="28" t="s">
        <v>179</v>
      </c>
      <c r="C54" s="28" t="s">
        <v>180</v>
      </c>
      <c r="D54" s="28" t="s">
        <v>166</v>
      </c>
      <c r="E54" s="29">
        <v>1722</v>
      </c>
      <c r="F54" s="30">
        <v>21.23</v>
      </c>
      <c r="G54" s="31">
        <v>6.8999999999999999E-3</v>
      </c>
      <c r="H54" s="32"/>
    </row>
    <row r="55" spans="2:8" ht="15.75" customHeight="1" x14ac:dyDescent="0.2">
      <c r="B55" s="28" t="s">
        <v>440</v>
      </c>
      <c r="C55" s="28" t="s">
        <v>441</v>
      </c>
      <c r="D55" s="28" t="s">
        <v>442</v>
      </c>
      <c r="E55" s="29">
        <v>676</v>
      </c>
      <c r="F55" s="30">
        <v>20.81</v>
      </c>
      <c r="G55" s="31">
        <v>6.7999999999999996E-3</v>
      </c>
      <c r="H55" s="32"/>
    </row>
    <row r="56" spans="2:8" ht="15.75" customHeight="1" x14ac:dyDescent="0.2">
      <c r="B56" s="28" t="s">
        <v>204</v>
      </c>
      <c r="C56" s="28" t="s">
        <v>205</v>
      </c>
      <c r="D56" s="28" t="s">
        <v>166</v>
      </c>
      <c r="E56" s="29">
        <v>2176</v>
      </c>
      <c r="F56" s="30">
        <v>20.39</v>
      </c>
      <c r="G56" s="31">
        <v>6.6E-3</v>
      </c>
      <c r="H56" s="32"/>
    </row>
    <row r="57" spans="2:8" ht="15.75" customHeight="1" x14ac:dyDescent="0.2">
      <c r="B57" s="28" t="s">
        <v>286</v>
      </c>
      <c r="C57" s="28" t="s">
        <v>287</v>
      </c>
      <c r="D57" s="28" t="s">
        <v>260</v>
      </c>
      <c r="E57" s="29">
        <v>7200</v>
      </c>
      <c r="F57" s="30">
        <v>20.350000000000001</v>
      </c>
      <c r="G57" s="31">
        <v>6.6E-3</v>
      </c>
      <c r="H57" s="32"/>
    </row>
    <row r="58" spans="2:8" ht="15.75" customHeight="1" x14ac:dyDescent="0.2">
      <c r="B58" s="28" t="s">
        <v>167</v>
      </c>
      <c r="C58" s="28" t="s">
        <v>168</v>
      </c>
      <c r="D58" s="28" t="s">
        <v>169</v>
      </c>
      <c r="E58" s="29">
        <v>1367</v>
      </c>
      <c r="F58" s="30">
        <v>20.32</v>
      </c>
      <c r="G58" s="31">
        <v>6.6E-3</v>
      </c>
      <c r="H58" s="32"/>
    </row>
    <row r="59" spans="2:8" ht="15.75" customHeight="1" x14ac:dyDescent="0.2">
      <c r="B59" s="28" t="s">
        <v>674</v>
      </c>
      <c r="C59" s="28" t="s">
        <v>675</v>
      </c>
      <c r="D59" s="28" t="s">
        <v>175</v>
      </c>
      <c r="E59" s="29">
        <v>6116</v>
      </c>
      <c r="F59" s="30">
        <v>19.3</v>
      </c>
      <c r="G59" s="31">
        <v>6.3E-3</v>
      </c>
      <c r="H59" s="32"/>
    </row>
    <row r="60" spans="2:8" ht="15.75" customHeight="1" x14ac:dyDescent="0.2">
      <c r="B60" s="28" t="s">
        <v>164</v>
      </c>
      <c r="C60" s="28" t="s">
        <v>165</v>
      </c>
      <c r="D60" s="28" t="s">
        <v>166</v>
      </c>
      <c r="E60" s="29">
        <v>1922</v>
      </c>
      <c r="F60" s="30">
        <v>18.98</v>
      </c>
      <c r="G60" s="31">
        <v>6.1999999999999998E-3</v>
      </c>
      <c r="H60" s="32"/>
    </row>
    <row r="61" spans="2:8" ht="15.75" customHeight="1" x14ac:dyDescent="0.2">
      <c r="B61" s="28" t="s">
        <v>340</v>
      </c>
      <c r="C61" s="28" t="s">
        <v>341</v>
      </c>
      <c r="D61" s="28" t="s">
        <v>263</v>
      </c>
      <c r="E61" s="29">
        <v>1363</v>
      </c>
      <c r="F61" s="30">
        <v>18.96</v>
      </c>
      <c r="G61" s="31">
        <v>6.1999999999999998E-3</v>
      </c>
      <c r="H61" s="32"/>
    </row>
    <row r="62" spans="2:8" ht="15.75" customHeight="1" x14ac:dyDescent="0.2">
      <c r="B62" s="28" t="s">
        <v>699</v>
      </c>
      <c r="C62" s="28" t="s">
        <v>700</v>
      </c>
      <c r="D62" s="28" t="s">
        <v>495</v>
      </c>
      <c r="E62" s="29">
        <v>3159</v>
      </c>
      <c r="F62" s="30">
        <v>18.89</v>
      </c>
      <c r="G62" s="31">
        <v>6.1000000000000004E-3</v>
      </c>
      <c r="H62" s="32"/>
    </row>
    <row r="63" spans="2:8" ht="15.75" customHeight="1" x14ac:dyDescent="0.2">
      <c r="B63" s="28" t="s">
        <v>491</v>
      </c>
      <c r="C63" s="28" t="s">
        <v>492</v>
      </c>
      <c r="D63" s="28" t="s">
        <v>166</v>
      </c>
      <c r="E63" s="29">
        <v>7828</v>
      </c>
      <c r="F63" s="30">
        <v>18.52</v>
      </c>
      <c r="G63" s="31">
        <v>6.0000000000000001E-3</v>
      </c>
      <c r="H63" s="32"/>
    </row>
    <row r="64" spans="2:8" ht="15.75" customHeight="1" x14ac:dyDescent="0.2">
      <c r="B64" s="28" t="s">
        <v>400</v>
      </c>
      <c r="C64" s="28" t="s">
        <v>401</v>
      </c>
      <c r="D64" s="28" t="s">
        <v>166</v>
      </c>
      <c r="E64" s="29">
        <v>48528</v>
      </c>
      <c r="F64" s="30">
        <v>17.77</v>
      </c>
      <c r="G64" s="31">
        <v>5.7999999999999996E-3</v>
      </c>
      <c r="H64" s="32"/>
    </row>
    <row r="65" spans="2:14" ht="15.75" customHeight="1" x14ac:dyDescent="0.2">
      <c r="B65" s="28" t="s">
        <v>176</v>
      </c>
      <c r="C65" s="28" t="s">
        <v>177</v>
      </c>
      <c r="D65" s="28" t="s">
        <v>178</v>
      </c>
      <c r="E65" s="29">
        <v>1315</v>
      </c>
      <c r="F65" s="30">
        <v>17.420000000000002</v>
      </c>
      <c r="G65" s="31">
        <v>5.7000000000000002E-3</v>
      </c>
      <c r="H65" s="32"/>
    </row>
    <row r="66" spans="2:14" ht="15.75" customHeight="1" x14ac:dyDescent="0.2">
      <c r="B66" s="28" t="s">
        <v>743</v>
      </c>
      <c r="C66" s="28" t="s">
        <v>744</v>
      </c>
      <c r="D66" s="28" t="s">
        <v>221</v>
      </c>
      <c r="E66" s="29">
        <v>2613</v>
      </c>
      <c r="F66" s="30">
        <v>16.87</v>
      </c>
      <c r="G66" s="31">
        <v>5.4999999999999997E-3</v>
      </c>
      <c r="H66" s="32"/>
    </row>
    <row r="67" spans="2:14" ht="15.75" customHeight="1" x14ac:dyDescent="0.2">
      <c r="B67" s="28" t="s">
        <v>535</v>
      </c>
      <c r="C67" s="28" t="s">
        <v>536</v>
      </c>
      <c r="D67" s="28" t="s">
        <v>166</v>
      </c>
      <c r="E67" s="29">
        <v>32337</v>
      </c>
      <c r="F67" s="30">
        <v>16.760000000000002</v>
      </c>
      <c r="G67" s="31">
        <v>5.4000000000000003E-3</v>
      </c>
      <c r="H67" s="32"/>
    </row>
    <row r="68" spans="2:14" ht="15.75" customHeight="1" x14ac:dyDescent="0.2">
      <c r="B68" s="28" t="s">
        <v>337</v>
      </c>
      <c r="C68" s="28" t="s">
        <v>338</v>
      </c>
      <c r="D68" s="28" t="s">
        <v>339</v>
      </c>
      <c r="E68" s="29">
        <v>1289</v>
      </c>
      <c r="F68" s="30">
        <v>15.02</v>
      </c>
      <c r="G68" s="31">
        <v>4.8999999999999998E-3</v>
      </c>
      <c r="H68" s="32"/>
      <c r="J68" s="3"/>
    </row>
    <row r="69" spans="2:14" ht="15.75" customHeight="1" x14ac:dyDescent="0.2">
      <c r="B69" s="28" t="s">
        <v>216</v>
      </c>
      <c r="C69" s="28" t="s">
        <v>217</v>
      </c>
      <c r="D69" s="28" t="s">
        <v>218</v>
      </c>
      <c r="E69" s="29">
        <v>3499</v>
      </c>
      <c r="F69" s="30">
        <v>14.91</v>
      </c>
      <c r="G69" s="31">
        <v>4.7999999999999996E-3</v>
      </c>
      <c r="H69" s="32"/>
    </row>
    <row r="70" spans="2:14" ht="15.75" customHeight="1" x14ac:dyDescent="0.2">
      <c r="B70" s="28" t="s">
        <v>342</v>
      </c>
      <c r="C70" s="28" t="s">
        <v>343</v>
      </c>
      <c r="D70" s="28" t="s">
        <v>175</v>
      </c>
      <c r="E70" s="29">
        <v>3730</v>
      </c>
      <c r="F70" s="30">
        <v>11.39</v>
      </c>
      <c r="G70" s="31">
        <v>3.7000000000000002E-3</v>
      </c>
      <c r="H70" s="32"/>
      <c r="J70" s="3"/>
    </row>
    <row r="71" spans="2:14" ht="15.75" customHeight="1" x14ac:dyDescent="0.2">
      <c r="B71" s="28" t="s">
        <v>366</v>
      </c>
      <c r="C71" s="28" t="s">
        <v>367</v>
      </c>
      <c r="D71" s="28" t="s">
        <v>172</v>
      </c>
      <c r="E71" s="29">
        <v>402</v>
      </c>
      <c r="F71" s="30">
        <v>11.11</v>
      </c>
      <c r="G71" s="31">
        <v>3.5999999999999999E-3</v>
      </c>
      <c r="H71" s="32"/>
      <c r="J71" s="3"/>
    </row>
    <row r="72" spans="2:14" ht="15.75" customHeight="1" x14ac:dyDescent="0.2">
      <c r="B72" s="28" t="s">
        <v>613</v>
      </c>
      <c r="C72" s="28" t="s">
        <v>614</v>
      </c>
      <c r="D72" s="28" t="s">
        <v>249</v>
      </c>
      <c r="E72" s="29">
        <v>1516</v>
      </c>
      <c r="F72" s="30">
        <v>10.039999999999999</v>
      </c>
      <c r="G72" s="31">
        <v>3.3E-3</v>
      </c>
      <c r="H72" s="32"/>
      <c r="J72" s="3"/>
    </row>
    <row r="73" spans="2:14" ht="15.75" customHeight="1" x14ac:dyDescent="0.2">
      <c r="B73" s="28" t="s">
        <v>288</v>
      </c>
      <c r="C73" s="28" t="s">
        <v>289</v>
      </c>
      <c r="D73" s="28" t="s">
        <v>290</v>
      </c>
      <c r="E73" s="29">
        <v>3664</v>
      </c>
      <c r="F73" s="30">
        <v>9.73</v>
      </c>
      <c r="G73" s="31">
        <v>3.2000000000000002E-3</v>
      </c>
      <c r="H73" s="32"/>
      <c r="J73" s="3"/>
    </row>
    <row r="74" spans="2:14" ht="15.75" customHeight="1" x14ac:dyDescent="0.2">
      <c r="B74" s="28" t="s">
        <v>747</v>
      </c>
      <c r="C74" s="28" t="s">
        <v>748</v>
      </c>
      <c r="D74" s="28" t="s">
        <v>188</v>
      </c>
      <c r="E74" s="29">
        <v>39</v>
      </c>
      <c r="F74" s="30">
        <v>6.89</v>
      </c>
      <c r="G74" s="31">
        <v>2.2000000000000001E-3</v>
      </c>
      <c r="H74" s="32"/>
    </row>
    <row r="75" spans="2:14" ht="15.75" customHeight="1" x14ac:dyDescent="0.2">
      <c r="B75" s="28" t="s">
        <v>749</v>
      </c>
      <c r="C75" s="28" t="s">
        <v>750</v>
      </c>
      <c r="D75" s="28" t="s">
        <v>218</v>
      </c>
      <c r="E75" s="29">
        <v>96</v>
      </c>
      <c r="F75" s="30">
        <v>4.49</v>
      </c>
      <c r="G75" s="31">
        <v>1.5E-3</v>
      </c>
      <c r="H75" s="32"/>
    </row>
    <row r="76" spans="2:14" ht="15.75" customHeight="1" x14ac:dyDescent="0.2">
      <c r="B76" s="28" t="s">
        <v>489</v>
      </c>
      <c r="C76" s="28" t="s">
        <v>490</v>
      </c>
      <c r="D76" s="28" t="s">
        <v>349</v>
      </c>
      <c r="E76" s="29">
        <v>239</v>
      </c>
      <c r="F76" s="30">
        <v>3.95</v>
      </c>
      <c r="G76" s="31">
        <v>1.2999999999999999E-3</v>
      </c>
      <c r="H76" s="32"/>
      <c r="J76" s="7"/>
      <c r="K76" s="7"/>
      <c r="L76" s="7"/>
      <c r="M76" s="7"/>
      <c r="N76" s="7"/>
    </row>
    <row r="77" spans="2:14" ht="15.75" customHeight="1" x14ac:dyDescent="0.2">
      <c r="B77" s="28" t="s">
        <v>625</v>
      </c>
      <c r="C77" s="28" t="s">
        <v>626</v>
      </c>
      <c r="D77" s="28" t="s">
        <v>260</v>
      </c>
      <c r="E77" s="29">
        <v>150</v>
      </c>
      <c r="F77" s="30">
        <v>2.5</v>
      </c>
      <c r="G77" s="31">
        <v>8.0000000000000004E-4</v>
      </c>
      <c r="H77" s="32"/>
      <c r="J77" s="7"/>
      <c r="K77" s="7"/>
      <c r="L77" s="7"/>
      <c r="M77" s="7"/>
      <c r="N77" s="7"/>
    </row>
    <row r="78" spans="2:14" ht="15.75" customHeight="1" x14ac:dyDescent="0.2">
      <c r="B78" s="28" t="s">
        <v>1125</v>
      </c>
      <c r="C78" s="28" t="s">
        <v>745</v>
      </c>
      <c r="D78" s="28" t="s">
        <v>329</v>
      </c>
      <c r="E78" s="29">
        <v>323</v>
      </c>
      <c r="F78" s="30">
        <v>8.75</v>
      </c>
      <c r="G78" s="31">
        <v>2.8E-3</v>
      </c>
      <c r="H78" s="32"/>
      <c r="J78" s="3"/>
    </row>
    <row r="79" spans="2:14" ht="15.75" customHeight="1" x14ac:dyDescent="0.2">
      <c r="B79" s="28" t="s">
        <v>1126</v>
      </c>
      <c r="C79" s="28" t="s">
        <v>746</v>
      </c>
      <c r="D79" s="28" t="s">
        <v>578</v>
      </c>
      <c r="E79" s="29">
        <v>3313</v>
      </c>
      <c r="F79" s="30">
        <v>8.64</v>
      </c>
      <c r="G79" s="31">
        <v>2.8E-3</v>
      </c>
      <c r="H79" s="32"/>
      <c r="J79" s="5"/>
      <c r="K79" s="5"/>
      <c r="L79" s="6"/>
      <c r="M79" s="6"/>
      <c r="N79" s="5"/>
    </row>
    <row r="80" spans="2:14" ht="15.75" customHeight="1" x14ac:dyDescent="0.2">
      <c r="B80" s="28" t="s">
        <v>751</v>
      </c>
      <c r="C80" s="28" t="s">
        <v>752</v>
      </c>
      <c r="D80" s="28" t="s">
        <v>183</v>
      </c>
      <c r="E80" s="29">
        <v>386</v>
      </c>
      <c r="F80" s="30">
        <v>2.02</v>
      </c>
      <c r="G80" s="31">
        <v>6.9999999999999999E-4</v>
      </c>
      <c r="H80" s="32"/>
      <c r="J80" s="7"/>
      <c r="K80" s="7"/>
      <c r="L80" s="7"/>
      <c r="M80" s="7"/>
      <c r="N80" s="7"/>
    </row>
    <row r="81" spans="2:14" ht="15.75" customHeight="1" x14ac:dyDescent="0.2">
      <c r="B81" s="27" t="s">
        <v>127</v>
      </c>
      <c r="C81" s="27"/>
      <c r="D81" s="27"/>
      <c r="E81" s="33"/>
      <c r="F81" s="34">
        <f>SUM(F7:F80)</f>
        <v>2231.5399999999995</v>
      </c>
      <c r="G81" s="35">
        <v>0.72440000000000004</v>
      </c>
      <c r="H81" s="36"/>
      <c r="J81" s="7"/>
      <c r="K81" s="7"/>
      <c r="L81" s="7"/>
      <c r="M81" s="7"/>
      <c r="N81" s="7"/>
    </row>
    <row r="82" spans="2:14" ht="15.75" customHeight="1" x14ac:dyDescent="0.2">
      <c r="B82" s="27" t="s">
        <v>189</v>
      </c>
      <c r="C82" s="28"/>
      <c r="D82" s="28"/>
      <c r="E82" s="29"/>
      <c r="F82" s="30"/>
      <c r="G82" s="31"/>
      <c r="H82" s="32"/>
      <c r="J82" s="3"/>
    </row>
    <row r="83" spans="2:14" ht="15.75" customHeight="1" x14ac:dyDescent="0.2">
      <c r="B83" s="27" t="s">
        <v>127</v>
      </c>
      <c r="C83" s="28"/>
      <c r="D83" s="28"/>
      <c r="E83" s="29"/>
      <c r="F83" s="37" t="s">
        <v>129</v>
      </c>
      <c r="G83" s="38" t="s">
        <v>129</v>
      </c>
      <c r="H83" s="32"/>
      <c r="J83" s="3"/>
    </row>
    <row r="84" spans="2:14" ht="15.75" customHeight="1" x14ac:dyDescent="0.2">
      <c r="B84" s="28"/>
      <c r="C84" s="28"/>
      <c r="D84" s="28"/>
      <c r="E84" s="29"/>
      <c r="F84" s="30"/>
      <c r="G84" s="31"/>
      <c r="H84" s="32"/>
      <c r="J84" s="7"/>
      <c r="K84" s="7"/>
      <c r="L84" s="7"/>
      <c r="M84" s="7"/>
      <c r="N84" s="7"/>
    </row>
    <row r="85" spans="2:14" ht="15.75" customHeight="1" x14ac:dyDescent="0.2">
      <c r="B85" s="39" t="s">
        <v>131</v>
      </c>
      <c r="C85" s="39"/>
      <c r="D85" s="39"/>
      <c r="E85" s="40"/>
      <c r="F85" s="34">
        <f>F81</f>
        <v>2231.5399999999995</v>
      </c>
      <c r="G85" s="35">
        <f>G81</f>
        <v>0.72440000000000004</v>
      </c>
      <c r="H85" s="36"/>
    </row>
    <row r="86" spans="2:14" ht="15.75" customHeight="1" x14ac:dyDescent="0.2">
      <c r="B86" s="28"/>
      <c r="C86" s="28"/>
      <c r="D86" s="28"/>
      <c r="E86" s="29"/>
      <c r="F86" s="30"/>
      <c r="G86" s="31"/>
      <c r="H86" s="32"/>
      <c r="J86" s="3"/>
    </row>
    <row r="87" spans="2:14" ht="15.75" customHeight="1" x14ac:dyDescent="0.2">
      <c r="B87" s="28"/>
      <c r="C87" s="28"/>
      <c r="D87" s="28"/>
      <c r="E87" s="29"/>
      <c r="F87" s="30"/>
      <c r="G87" s="31"/>
      <c r="H87" s="32"/>
    </row>
    <row r="88" spans="2:14" ht="15.75" customHeight="1" x14ac:dyDescent="0.2">
      <c r="B88" s="27" t="s">
        <v>132</v>
      </c>
      <c r="C88" s="28"/>
      <c r="D88" s="28"/>
      <c r="E88" s="29"/>
      <c r="F88" s="30"/>
      <c r="G88" s="31"/>
      <c r="H88" s="32"/>
    </row>
    <row r="89" spans="2:14" ht="15.75" customHeight="1" x14ac:dyDescent="0.2">
      <c r="B89" s="27" t="s">
        <v>133</v>
      </c>
      <c r="C89" s="28"/>
      <c r="D89" s="28"/>
      <c r="E89" s="29"/>
      <c r="F89" s="30"/>
      <c r="G89" s="31"/>
      <c r="H89" s="32"/>
    </row>
    <row r="90" spans="2:14" ht="15.75" customHeight="1" x14ac:dyDescent="0.2">
      <c r="B90" s="28" t="s">
        <v>313</v>
      </c>
      <c r="C90" s="28" t="s">
        <v>314</v>
      </c>
      <c r="D90" s="28"/>
      <c r="E90" s="29">
        <v>7279.7340000000004</v>
      </c>
      <c r="F90" s="30">
        <v>355.28</v>
      </c>
      <c r="G90" s="31">
        <v>0.1153</v>
      </c>
      <c r="H90" s="32"/>
    </row>
    <row r="91" spans="2:14" ht="15.75" customHeight="1" x14ac:dyDescent="0.2">
      <c r="B91" s="28"/>
      <c r="C91" s="28"/>
      <c r="D91" s="28"/>
      <c r="E91" s="29"/>
      <c r="F91" s="30"/>
      <c r="G91" s="31"/>
      <c r="H91" s="32"/>
    </row>
    <row r="92" spans="2:14" ht="15.75" customHeight="1" x14ac:dyDescent="0.2">
      <c r="B92" s="39" t="s">
        <v>131</v>
      </c>
      <c r="C92" s="39"/>
      <c r="D92" s="39"/>
      <c r="E92" s="40"/>
      <c r="F92" s="34">
        <v>355.28</v>
      </c>
      <c r="G92" s="35">
        <v>0.1153</v>
      </c>
      <c r="H92" s="36"/>
    </row>
    <row r="93" spans="2:14" ht="15.75" customHeight="1" x14ac:dyDescent="0.2">
      <c r="B93" s="28"/>
      <c r="C93" s="28"/>
      <c r="D93" s="28"/>
      <c r="E93" s="29"/>
      <c r="F93" s="30"/>
      <c r="G93" s="31"/>
      <c r="H93" s="32"/>
    </row>
    <row r="94" spans="2:14" ht="15.75" customHeight="1" x14ac:dyDescent="0.2">
      <c r="B94" s="27" t="s">
        <v>134</v>
      </c>
      <c r="C94" s="28"/>
      <c r="D94" s="28"/>
      <c r="E94" s="29"/>
      <c r="F94" s="30"/>
      <c r="G94" s="31"/>
      <c r="H94" s="32"/>
    </row>
    <row r="95" spans="2:14" ht="15.75" customHeight="1" x14ac:dyDescent="0.2">
      <c r="B95" s="28" t="s">
        <v>135</v>
      </c>
      <c r="C95" s="28"/>
      <c r="D95" s="28"/>
      <c r="E95" s="29"/>
      <c r="F95" s="30">
        <v>400.73</v>
      </c>
      <c r="G95" s="31">
        <v>0.13009999999999999</v>
      </c>
      <c r="H95" s="32"/>
    </row>
    <row r="96" spans="2:14" ht="15.75" customHeight="1" x14ac:dyDescent="0.2">
      <c r="B96" s="27" t="s">
        <v>127</v>
      </c>
      <c r="C96" s="27"/>
      <c r="D96" s="27"/>
      <c r="E96" s="33"/>
      <c r="F96" s="34">
        <v>400.73</v>
      </c>
      <c r="G96" s="35">
        <v>0.13009999999999999</v>
      </c>
      <c r="H96" s="36"/>
    </row>
    <row r="97" spans="2:8" ht="15.75" customHeight="1" x14ac:dyDescent="0.2">
      <c r="B97" s="28"/>
      <c r="C97" s="28"/>
      <c r="D97" s="28"/>
      <c r="E97" s="29"/>
      <c r="F97" s="30"/>
      <c r="G97" s="31"/>
      <c r="H97" s="32"/>
    </row>
    <row r="98" spans="2:8" ht="15.75" customHeight="1" x14ac:dyDescent="0.2">
      <c r="B98" s="39" t="s">
        <v>131</v>
      </c>
      <c r="C98" s="39"/>
      <c r="D98" s="39"/>
      <c r="E98" s="40"/>
      <c r="F98" s="34">
        <v>400.73</v>
      </c>
      <c r="G98" s="35">
        <v>0.13009999999999999</v>
      </c>
      <c r="H98" s="36"/>
    </row>
    <row r="99" spans="2:8" ht="15.75" customHeight="1" x14ac:dyDescent="0.2">
      <c r="B99" s="28" t="s">
        <v>136</v>
      </c>
      <c r="C99" s="28"/>
      <c r="D99" s="28"/>
      <c r="E99" s="29"/>
      <c r="F99" s="30">
        <v>92.93</v>
      </c>
      <c r="G99" s="31">
        <v>3.0200000000000005E-2</v>
      </c>
      <c r="H99" s="32"/>
    </row>
    <row r="100" spans="2:8" ht="15.75" customHeight="1" x14ac:dyDescent="0.2">
      <c r="B100" s="43" t="s">
        <v>137</v>
      </c>
      <c r="C100" s="43"/>
      <c r="D100" s="43"/>
      <c r="E100" s="44"/>
      <c r="F100" s="45">
        <v>3080.48</v>
      </c>
      <c r="G100" s="46">
        <v>1</v>
      </c>
      <c r="H100" s="47"/>
    </row>
    <row r="101" spans="2:8" ht="15.75" customHeight="1" x14ac:dyDescent="0.2">
      <c r="B101" s="2"/>
    </row>
    <row r="102" spans="2:8" ht="15.75" customHeight="1" x14ac:dyDescent="0.2">
      <c r="B102" s="60"/>
    </row>
    <row r="103" spans="2:8" ht="15.75" customHeight="1" x14ac:dyDescent="0.2">
      <c r="B103" s="9" t="s">
        <v>753</v>
      </c>
    </row>
    <row r="104" spans="2:8" ht="15.75" customHeight="1" x14ac:dyDescent="0.2">
      <c r="B104" s="9" t="s">
        <v>754</v>
      </c>
    </row>
    <row r="105" spans="2:8" ht="15.75" customHeight="1" x14ac:dyDescent="0.2">
      <c r="B105" s="16" t="s">
        <v>315</v>
      </c>
      <c r="C105" s="57" t="s">
        <v>2</v>
      </c>
      <c r="D105" s="58" t="s">
        <v>3</v>
      </c>
      <c r="E105" s="59" t="s">
        <v>316</v>
      </c>
    </row>
    <row r="106" spans="2:8" ht="15.75" customHeight="1" x14ac:dyDescent="0.2">
      <c r="B106" s="53" t="s">
        <v>219</v>
      </c>
      <c r="C106" s="54">
        <v>-1000</v>
      </c>
      <c r="D106" s="55">
        <v>-47.12</v>
      </c>
      <c r="E106" s="56">
        <v>-1.5299999999999999E-2</v>
      </c>
    </row>
    <row r="107" spans="2:8" ht="15.75" customHeight="1" x14ac:dyDescent="0.2">
      <c r="B107" s="53" t="s">
        <v>741</v>
      </c>
      <c r="C107" s="54">
        <v>-800</v>
      </c>
      <c r="D107" s="55">
        <v>-24.33</v>
      </c>
      <c r="E107" s="56">
        <v>-7.9000000000000008E-3</v>
      </c>
    </row>
    <row r="108" spans="2:8" ht="15.75" customHeight="1" x14ac:dyDescent="0.2">
      <c r="B108" s="53" t="s">
        <v>563</v>
      </c>
      <c r="C108" s="54">
        <v>-300</v>
      </c>
      <c r="D108" s="55">
        <v>-48.86</v>
      </c>
      <c r="E108" s="56">
        <v>-1.5900000000000001E-2</v>
      </c>
    </row>
    <row r="109" spans="2:8" ht="15.75" customHeight="1" x14ac:dyDescent="0.2">
      <c r="B109" s="53" t="s">
        <v>270</v>
      </c>
      <c r="C109" s="54">
        <v>-500</v>
      </c>
      <c r="D109" s="55">
        <v>-60.05</v>
      </c>
      <c r="E109" s="56">
        <v>-1.95E-2</v>
      </c>
    </row>
    <row r="110" spans="2:8" ht="15.75" customHeight="1" x14ac:dyDescent="0.2">
      <c r="B110" s="53" t="s">
        <v>724</v>
      </c>
      <c r="C110" s="54">
        <v>-5500</v>
      </c>
      <c r="D110" s="55">
        <v>-40.5</v>
      </c>
      <c r="E110" s="56">
        <v>-1.3100000000000001E-2</v>
      </c>
    </row>
    <row r="111" spans="2:8" ht="15.75" customHeight="1" x14ac:dyDescent="0.2">
      <c r="B111" s="53" t="s">
        <v>181</v>
      </c>
      <c r="C111" s="54">
        <v>-2400</v>
      </c>
      <c r="D111" s="55">
        <v>-59.1</v>
      </c>
      <c r="E111" s="56">
        <v>-1.9199999999999998E-2</v>
      </c>
    </row>
    <row r="112" spans="2:8" ht="15.75" customHeight="1" x14ac:dyDescent="0.2">
      <c r="B112" s="53" t="s">
        <v>726</v>
      </c>
      <c r="C112" s="54">
        <v>-3750</v>
      </c>
      <c r="D112" s="55">
        <v>-39.36</v>
      </c>
      <c r="E112" s="56">
        <v>-1.2800000000000001E-2</v>
      </c>
    </row>
    <row r="113" spans="2:5" ht="15.75" customHeight="1" x14ac:dyDescent="0.2">
      <c r="B113" s="53" t="s">
        <v>234</v>
      </c>
      <c r="C113" s="54">
        <v>-29250</v>
      </c>
      <c r="D113" s="55">
        <v>-81.81</v>
      </c>
      <c r="E113" s="56">
        <v>-2.6599999999999999E-2</v>
      </c>
    </row>
    <row r="114" spans="2:5" ht="15.75" customHeight="1" x14ac:dyDescent="0.2">
      <c r="B114" s="53" t="s">
        <v>722</v>
      </c>
      <c r="C114" s="54">
        <v>-750</v>
      </c>
      <c r="D114" s="55">
        <v>-40.43</v>
      </c>
      <c r="E114" s="56">
        <v>-1.3100000000000001E-2</v>
      </c>
    </row>
    <row r="115" spans="2:5" ht="15.75" customHeight="1" x14ac:dyDescent="0.2">
      <c r="B115" s="53" t="s">
        <v>718</v>
      </c>
      <c r="C115" s="54">
        <v>-22500</v>
      </c>
      <c r="D115" s="55">
        <v>-52.58</v>
      </c>
      <c r="E115" s="56">
        <v>-1.7100000000000001E-2</v>
      </c>
    </row>
    <row r="116" spans="2:5" ht="15.75" customHeight="1" x14ac:dyDescent="0.2">
      <c r="B116" s="53" t="s">
        <v>211</v>
      </c>
      <c r="C116" s="54">
        <v>-49500</v>
      </c>
      <c r="D116" s="55">
        <v>-91.03</v>
      </c>
      <c r="E116" s="56">
        <v>-2.9499999999999998E-2</v>
      </c>
    </row>
    <row r="117" spans="2:5" ht="15.75" customHeight="1" x14ac:dyDescent="0.2">
      <c r="B117" s="53" t="s">
        <v>305</v>
      </c>
      <c r="C117" s="54">
        <v>-2400</v>
      </c>
      <c r="D117" s="55">
        <v>-50.79</v>
      </c>
      <c r="E117" s="56">
        <v>-1.6500000000000001E-2</v>
      </c>
    </row>
    <row r="118" spans="2:5" ht="15.75" customHeight="1" x14ac:dyDescent="0.2">
      <c r="B118" s="53" t="s">
        <v>739</v>
      </c>
      <c r="C118" s="54">
        <v>-500</v>
      </c>
      <c r="D118" s="55">
        <v>-26.24</v>
      </c>
      <c r="E118" s="56">
        <v>-8.5000000000000006E-3</v>
      </c>
    </row>
    <row r="119" spans="2:5" ht="15.75" customHeight="1" x14ac:dyDescent="0.2">
      <c r="B119" s="53" t="s">
        <v>716</v>
      </c>
      <c r="C119" s="54">
        <v>-40000</v>
      </c>
      <c r="D119" s="55">
        <v>-55.15</v>
      </c>
      <c r="E119" s="56">
        <v>-1.7899999999999999E-2</v>
      </c>
    </row>
    <row r="120" spans="2:5" ht="15.75" customHeight="1" x14ac:dyDescent="0.2">
      <c r="B120" s="53" t="s">
        <v>286</v>
      </c>
      <c r="C120" s="54">
        <v>-7200</v>
      </c>
      <c r="D120" s="55">
        <v>-20.48</v>
      </c>
      <c r="E120" s="56">
        <v>-6.6E-3</v>
      </c>
    </row>
    <row r="121" spans="2:5" ht="15.75" customHeight="1" x14ac:dyDescent="0.2">
      <c r="B121" s="53" t="s">
        <v>720</v>
      </c>
      <c r="C121" s="54">
        <v>-900</v>
      </c>
      <c r="D121" s="55">
        <v>-50.21</v>
      </c>
      <c r="E121" s="56">
        <v>-1.6299999999999999E-2</v>
      </c>
    </row>
    <row r="122" spans="2:5" ht="15.75" customHeight="1" x14ac:dyDescent="0.2">
      <c r="B122" s="53" t="s">
        <v>281</v>
      </c>
      <c r="C122" s="54">
        <v>-2400</v>
      </c>
      <c r="D122" s="55">
        <v>-34.58</v>
      </c>
      <c r="E122" s="56">
        <v>-1.12E-2</v>
      </c>
    </row>
    <row r="123" spans="2:5" ht="15.75" customHeight="1" x14ac:dyDescent="0.2">
      <c r="B123" s="53" t="s">
        <v>678</v>
      </c>
      <c r="C123" s="54">
        <v>-600</v>
      </c>
      <c r="D123" s="55">
        <v>-35.630000000000003</v>
      </c>
      <c r="E123" s="56">
        <v>-1.1599999999999999E-2</v>
      </c>
    </row>
    <row r="124" spans="2:5" ht="15.75" customHeight="1" x14ac:dyDescent="0.2">
      <c r="B124" s="53" t="s">
        <v>332</v>
      </c>
      <c r="C124" s="54">
        <v>-2100</v>
      </c>
      <c r="D124" s="55">
        <v>-35.700000000000003</v>
      </c>
      <c r="E124" s="56">
        <v>-1.1599999999999999E-2</v>
      </c>
    </row>
    <row r="125" spans="2:5" ht="15.75" customHeight="1" x14ac:dyDescent="0.2">
      <c r="B125" s="53" t="s">
        <v>199</v>
      </c>
      <c r="C125" s="54">
        <v>-2100</v>
      </c>
      <c r="D125" s="55">
        <v>-64.59</v>
      </c>
      <c r="E125" s="56">
        <v>-2.1000000000000001E-2</v>
      </c>
    </row>
    <row r="126" spans="2:5" ht="15.75" customHeight="1" x14ac:dyDescent="0.2">
      <c r="B126" s="53" t="s">
        <v>206</v>
      </c>
      <c r="C126" s="54">
        <v>-2375</v>
      </c>
      <c r="D126" s="55">
        <v>-49.11</v>
      </c>
      <c r="E126" s="56">
        <v>-1.5900000000000001E-2</v>
      </c>
    </row>
    <row r="127" spans="2:5" ht="15.75" customHeight="1" x14ac:dyDescent="0.2">
      <c r="B127" s="53" t="s">
        <v>344</v>
      </c>
      <c r="C127" s="54">
        <v>-5600</v>
      </c>
      <c r="D127" s="55">
        <v>-47.79</v>
      </c>
      <c r="E127" s="56">
        <v>-1.55E-2</v>
      </c>
    </row>
    <row r="128" spans="2:5" ht="15.75" customHeight="1" x14ac:dyDescent="0.2">
      <c r="B128" s="53" t="s">
        <v>184</v>
      </c>
      <c r="C128" s="54">
        <v>-2800</v>
      </c>
      <c r="D128" s="55">
        <v>-37.92</v>
      </c>
      <c r="E128" s="56">
        <v>-1.23E-2</v>
      </c>
    </row>
    <row r="129" spans="2:5" ht="15.75" customHeight="1" x14ac:dyDescent="0.2">
      <c r="B129" s="53" t="s">
        <v>170</v>
      </c>
      <c r="C129" s="54">
        <v>-3600</v>
      </c>
      <c r="D129" s="55">
        <v>-53.28</v>
      </c>
      <c r="E129" s="56">
        <v>-1.7299999999999999E-2</v>
      </c>
    </row>
    <row r="130" spans="2:5" ht="15.75" customHeight="1" x14ac:dyDescent="0.2">
      <c r="B130" s="16" t="s">
        <v>317</v>
      </c>
      <c r="C130" s="57">
        <v>-188825</v>
      </c>
      <c r="D130" s="58">
        <v>-1146.6400000000001</v>
      </c>
      <c r="E130" s="59">
        <v>-0.37219999999999998</v>
      </c>
    </row>
    <row r="134" spans="2:5" ht="15.75" customHeight="1" thickBot="1" x14ac:dyDescent="0.25"/>
    <row r="135" spans="2:5" ht="39.75" customHeight="1" thickBot="1" x14ac:dyDescent="0.25">
      <c r="B135" s="48" t="s">
        <v>139</v>
      </c>
      <c r="C135" s="49" t="s">
        <v>140</v>
      </c>
      <c r="D135" s="49" t="s">
        <v>141</v>
      </c>
      <c r="E135" s="49" t="s">
        <v>142</v>
      </c>
    </row>
    <row r="136" spans="2:5" ht="39.75" customHeight="1" x14ac:dyDescent="0.2">
      <c r="B136" s="61" t="s">
        <v>58</v>
      </c>
      <c r="C136" s="77"/>
      <c r="D136" s="80" t="s">
        <v>755</v>
      </c>
      <c r="E136" s="81"/>
    </row>
    <row r="137" spans="2:5" ht="39.75" customHeight="1" x14ac:dyDescent="0.2">
      <c r="B137" s="52" t="s">
        <v>756</v>
      </c>
      <c r="C137" s="78"/>
      <c r="D137" s="80"/>
      <c r="E137" s="82"/>
    </row>
    <row r="138" spans="2:5" ht="39.75" customHeight="1" x14ac:dyDescent="0.2">
      <c r="B138" s="52" t="s">
        <v>757</v>
      </c>
      <c r="C138" s="78"/>
      <c r="D138" s="80"/>
      <c r="E138" s="82"/>
    </row>
    <row r="139" spans="2:5" ht="39.75" customHeight="1" thickBot="1" x14ac:dyDescent="0.25">
      <c r="B139" s="63" t="s">
        <v>143</v>
      </c>
      <c r="C139" s="79"/>
      <c r="D139" s="50" t="s">
        <v>143</v>
      </c>
      <c r="E139" s="83"/>
    </row>
    <row r="140" spans="2:5" ht="15.75" customHeight="1" x14ac:dyDescent="0.2">
      <c r="B140" s="9" t="s">
        <v>144</v>
      </c>
    </row>
    <row r="142" spans="2:5" ht="15.75" customHeight="1" x14ac:dyDescent="0.2">
      <c r="B142" s="9" t="s">
        <v>145</v>
      </c>
    </row>
    <row r="143" spans="2:5" ht="15.75" customHeight="1" x14ac:dyDescent="0.2">
      <c r="B143" s="15" t="s">
        <v>146</v>
      </c>
    </row>
  </sheetData>
  <mergeCells count="3">
    <mergeCell ref="C136:C139"/>
    <mergeCell ref="D136:D138"/>
    <mergeCell ref="E136:E139"/>
  </mergeCells>
  <hyperlinks>
    <hyperlink ref="G1" location="'Sheet1'!A1" display="Index" xr:uid="{AE43DD18-1405-4146-B047-3895E04060F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E79B-AC84-4B43-A8A3-F4542E685787}">
  <dimension ref="B1:N10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671005</v>
      </c>
      <c r="F7" s="30">
        <v>6624.83</v>
      </c>
      <c r="G7" s="31">
        <v>6.1600000000000002E-2</v>
      </c>
      <c r="H7" s="32"/>
    </row>
    <row r="8" spans="2:8" ht="15.75" customHeight="1" x14ac:dyDescent="0.2">
      <c r="B8" s="28" t="s">
        <v>305</v>
      </c>
      <c r="C8" s="28" t="s">
        <v>306</v>
      </c>
      <c r="D8" s="28" t="s">
        <v>166</v>
      </c>
      <c r="E8" s="29">
        <v>208859</v>
      </c>
      <c r="F8" s="30">
        <v>4390.63</v>
      </c>
      <c r="G8" s="31">
        <v>4.0800000000000003E-2</v>
      </c>
      <c r="H8" s="32"/>
    </row>
    <row r="9" spans="2:8" ht="15.75" customHeight="1" x14ac:dyDescent="0.2">
      <c r="B9" s="28" t="s">
        <v>758</v>
      </c>
      <c r="C9" s="28" t="s">
        <v>759</v>
      </c>
      <c r="D9" s="28" t="s">
        <v>218</v>
      </c>
      <c r="E9" s="29">
        <v>1754386</v>
      </c>
      <c r="F9" s="30">
        <v>4370.53</v>
      </c>
      <c r="G9" s="31">
        <v>4.07E-2</v>
      </c>
      <c r="H9" s="32"/>
    </row>
    <row r="10" spans="2:8" ht="15.75" customHeight="1" x14ac:dyDescent="0.2">
      <c r="B10" s="28" t="s">
        <v>613</v>
      </c>
      <c r="C10" s="28" t="s">
        <v>614</v>
      </c>
      <c r="D10" s="28" t="s">
        <v>249</v>
      </c>
      <c r="E10" s="29">
        <v>518870</v>
      </c>
      <c r="F10" s="30">
        <v>3435.18</v>
      </c>
      <c r="G10" s="31">
        <v>3.2000000000000001E-2</v>
      </c>
      <c r="H10" s="32"/>
    </row>
    <row r="11" spans="2:8" ht="15.75" customHeight="1" x14ac:dyDescent="0.2">
      <c r="B11" s="28" t="s">
        <v>368</v>
      </c>
      <c r="C11" s="28" t="s">
        <v>369</v>
      </c>
      <c r="D11" s="28" t="s">
        <v>175</v>
      </c>
      <c r="E11" s="29">
        <v>206626</v>
      </c>
      <c r="F11" s="30">
        <v>2941.53</v>
      </c>
      <c r="G11" s="31">
        <v>2.7400000000000001E-2</v>
      </c>
      <c r="H11" s="32"/>
    </row>
    <row r="12" spans="2:8" ht="15.75" customHeight="1" x14ac:dyDescent="0.2">
      <c r="B12" s="28" t="s">
        <v>173</v>
      </c>
      <c r="C12" s="28" t="s">
        <v>174</v>
      </c>
      <c r="D12" s="28" t="s">
        <v>175</v>
      </c>
      <c r="E12" s="29">
        <v>383329</v>
      </c>
      <c r="F12" s="30">
        <v>2870.75</v>
      </c>
      <c r="G12" s="31">
        <v>2.6700000000000002E-2</v>
      </c>
      <c r="H12" s="32"/>
    </row>
    <row r="13" spans="2:8" ht="15.75" customHeight="1" x14ac:dyDescent="0.2">
      <c r="B13" s="28" t="s">
        <v>579</v>
      </c>
      <c r="C13" s="28" t="s">
        <v>580</v>
      </c>
      <c r="D13" s="28" t="s">
        <v>425</v>
      </c>
      <c r="E13" s="29">
        <v>187100</v>
      </c>
      <c r="F13" s="30">
        <v>2645.78</v>
      </c>
      <c r="G13" s="31">
        <v>2.46E-2</v>
      </c>
      <c r="H13" s="32"/>
    </row>
    <row r="14" spans="2:8" ht="15.75" customHeight="1" x14ac:dyDescent="0.2">
      <c r="B14" s="28" t="s">
        <v>419</v>
      </c>
      <c r="C14" s="28" t="s">
        <v>420</v>
      </c>
      <c r="D14" s="28" t="s">
        <v>224</v>
      </c>
      <c r="E14" s="29">
        <v>73446</v>
      </c>
      <c r="F14" s="30">
        <v>2614.75</v>
      </c>
      <c r="G14" s="31">
        <v>2.4299999999999999E-2</v>
      </c>
      <c r="H14" s="32"/>
    </row>
    <row r="15" spans="2:8" ht="15.75" customHeight="1" x14ac:dyDescent="0.2">
      <c r="B15" s="28" t="s">
        <v>459</v>
      </c>
      <c r="C15" s="28" t="s">
        <v>460</v>
      </c>
      <c r="D15" s="28" t="s">
        <v>430</v>
      </c>
      <c r="E15" s="29">
        <v>30600</v>
      </c>
      <c r="F15" s="30">
        <v>2350.39</v>
      </c>
      <c r="G15" s="31">
        <v>2.1899999999999999E-2</v>
      </c>
      <c r="H15" s="32"/>
    </row>
    <row r="16" spans="2:8" ht="15.75" customHeight="1" x14ac:dyDescent="0.2">
      <c r="B16" s="28" t="s">
        <v>362</v>
      </c>
      <c r="C16" s="28" t="s">
        <v>363</v>
      </c>
      <c r="D16" s="28" t="s">
        <v>300</v>
      </c>
      <c r="E16" s="29">
        <v>41722</v>
      </c>
      <c r="F16" s="30">
        <v>2346.86</v>
      </c>
      <c r="G16" s="31">
        <v>2.18E-2</v>
      </c>
      <c r="H16" s="32"/>
    </row>
    <row r="17" spans="2:8" ht="15.75" customHeight="1" x14ac:dyDescent="0.2">
      <c r="B17" s="28" t="s">
        <v>324</v>
      </c>
      <c r="C17" s="28" t="s">
        <v>325</v>
      </c>
      <c r="D17" s="28" t="s">
        <v>326</v>
      </c>
      <c r="E17" s="29">
        <v>57903</v>
      </c>
      <c r="F17" s="30">
        <v>2334.0100000000002</v>
      </c>
      <c r="G17" s="31">
        <v>2.1700000000000001E-2</v>
      </c>
      <c r="H17" s="32"/>
    </row>
    <row r="18" spans="2:8" ht="15.75" customHeight="1" x14ac:dyDescent="0.2">
      <c r="B18" s="28" t="s">
        <v>179</v>
      </c>
      <c r="C18" s="28" t="s">
        <v>180</v>
      </c>
      <c r="D18" s="28" t="s">
        <v>166</v>
      </c>
      <c r="E18" s="29">
        <v>187357</v>
      </c>
      <c r="F18" s="30">
        <v>2309.7399999999998</v>
      </c>
      <c r="G18" s="31">
        <v>2.1499999999999998E-2</v>
      </c>
      <c r="H18" s="32"/>
    </row>
    <row r="19" spans="2:8" ht="15.75" customHeight="1" x14ac:dyDescent="0.2">
      <c r="B19" s="28" t="s">
        <v>469</v>
      </c>
      <c r="C19" s="28" t="s">
        <v>470</v>
      </c>
      <c r="D19" s="28" t="s">
        <v>221</v>
      </c>
      <c r="E19" s="29">
        <v>438222</v>
      </c>
      <c r="F19" s="30">
        <v>2203.6</v>
      </c>
      <c r="G19" s="31">
        <v>2.0500000000000001E-2</v>
      </c>
      <c r="H19" s="32"/>
    </row>
    <row r="20" spans="2:8" ht="15.75" customHeight="1" x14ac:dyDescent="0.2">
      <c r="B20" s="28" t="s">
        <v>366</v>
      </c>
      <c r="C20" s="28" t="s">
        <v>367</v>
      </c>
      <c r="D20" s="28" t="s">
        <v>172</v>
      </c>
      <c r="E20" s="29">
        <v>77943</v>
      </c>
      <c r="F20" s="30">
        <v>2154.66</v>
      </c>
      <c r="G20" s="31">
        <v>0.02</v>
      </c>
      <c r="H20" s="32"/>
    </row>
    <row r="21" spans="2:8" ht="15.75" customHeight="1" x14ac:dyDescent="0.2">
      <c r="B21" s="28" t="s">
        <v>535</v>
      </c>
      <c r="C21" s="28" t="s">
        <v>536</v>
      </c>
      <c r="D21" s="28" t="s">
        <v>166</v>
      </c>
      <c r="E21" s="29">
        <v>4068686</v>
      </c>
      <c r="F21" s="30">
        <v>2109.21</v>
      </c>
      <c r="G21" s="31">
        <v>1.9599999999999999E-2</v>
      </c>
      <c r="H21" s="32"/>
    </row>
    <row r="22" spans="2:8" ht="15.75" customHeight="1" x14ac:dyDescent="0.2">
      <c r="B22" s="28" t="s">
        <v>563</v>
      </c>
      <c r="C22" s="28" t="s">
        <v>564</v>
      </c>
      <c r="D22" s="28" t="s">
        <v>188</v>
      </c>
      <c r="E22" s="29">
        <v>12719</v>
      </c>
      <c r="F22" s="30">
        <v>2058.6999999999998</v>
      </c>
      <c r="G22" s="31">
        <v>1.9099999999999999E-2</v>
      </c>
      <c r="H22" s="32"/>
    </row>
    <row r="23" spans="2:8" ht="15.75" customHeight="1" x14ac:dyDescent="0.2">
      <c r="B23" s="28" t="s">
        <v>650</v>
      </c>
      <c r="C23" s="28" t="s">
        <v>651</v>
      </c>
      <c r="D23" s="28" t="s">
        <v>349</v>
      </c>
      <c r="E23" s="29">
        <v>35960</v>
      </c>
      <c r="F23" s="30">
        <v>2045.19</v>
      </c>
      <c r="G23" s="31">
        <v>1.9E-2</v>
      </c>
      <c r="H23" s="32"/>
    </row>
    <row r="24" spans="2:8" ht="15.75" customHeight="1" x14ac:dyDescent="0.2">
      <c r="B24" s="28" t="s">
        <v>760</v>
      </c>
      <c r="C24" s="28" t="s">
        <v>761</v>
      </c>
      <c r="D24" s="28" t="s">
        <v>246</v>
      </c>
      <c r="E24" s="29">
        <v>530100</v>
      </c>
      <c r="F24" s="30">
        <v>2045.13</v>
      </c>
      <c r="G24" s="31">
        <v>1.9E-2</v>
      </c>
      <c r="H24" s="32"/>
    </row>
    <row r="25" spans="2:8" ht="15.75" customHeight="1" x14ac:dyDescent="0.2">
      <c r="B25" s="28" t="s">
        <v>461</v>
      </c>
      <c r="C25" s="28" t="s">
        <v>462</v>
      </c>
      <c r="D25" s="28" t="s">
        <v>463</v>
      </c>
      <c r="E25" s="29">
        <v>150007</v>
      </c>
      <c r="F25" s="30">
        <v>1954.89</v>
      </c>
      <c r="G25" s="31">
        <v>1.8200000000000001E-2</v>
      </c>
      <c r="H25" s="32"/>
    </row>
    <row r="26" spans="2:8" ht="15.75" customHeight="1" x14ac:dyDescent="0.2">
      <c r="B26" s="28" t="s">
        <v>762</v>
      </c>
      <c r="C26" s="28" t="s">
        <v>763</v>
      </c>
      <c r="D26" s="28" t="s">
        <v>224</v>
      </c>
      <c r="E26" s="29">
        <v>485033</v>
      </c>
      <c r="F26" s="30">
        <v>1804.81</v>
      </c>
      <c r="G26" s="31">
        <v>1.6799999999999999E-2</v>
      </c>
      <c r="H26" s="32"/>
    </row>
    <row r="27" spans="2:8" ht="15.75" customHeight="1" x14ac:dyDescent="0.2">
      <c r="B27" s="28" t="s">
        <v>720</v>
      </c>
      <c r="C27" s="28" t="s">
        <v>721</v>
      </c>
      <c r="D27" s="28" t="s">
        <v>188</v>
      </c>
      <c r="E27" s="29">
        <v>30973</v>
      </c>
      <c r="F27" s="30">
        <v>1717.14</v>
      </c>
      <c r="G27" s="31">
        <v>1.6E-2</v>
      </c>
      <c r="H27" s="32"/>
    </row>
    <row r="28" spans="2:8" ht="15.75" customHeight="1" x14ac:dyDescent="0.2">
      <c r="B28" s="28" t="s">
        <v>764</v>
      </c>
      <c r="C28" s="28" t="s">
        <v>765</v>
      </c>
      <c r="D28" s="28" t="s">
        <v>300</v>
      </c>
      <c r="E28" s="29">
        <v>1403033</v>
      </c>
      <c r="F28" s="30">
        <v>1659.65</v>
      </c>
      <c r="G28" s="31">
        <v>1.54E-2</v>
      </c>
      <c r="H28" s="32"/>
    </row>
    <row r="29" spans="2:8" ht="15.75" customHeight="1" x14ac:dyDescent="0.2">
      <c r="B29" s="28" t="s">
        <v>204</v>
      </c>
      <c r="C29" s="28" t="s">
        <v>205</v>
      </c>
      <c r="D29" s="28" t="s">
        <v>166</v>
      </c>
      <c r="E29" s="29">
        <v>175051</v>
      </c>
      <c r="F29" s="30">
        <v>1640.23</v>
      </c>
      <c r="G29" s="31">
        <v>1.5299999999999999E-2</v>
      </c>
      <c r="H29" s="32"/>
    </row>
    <row r="30" spans="2:8" ht="15.75" customHeight="1" x14ac:dyDescent="0.2">
      <c r="B30" s="28" t="s">
        <v>526</v>
      </c>
      <c r="C30" s="28" t="s">
        <v>527</v>
      </c>
      <c r="D30" s="28" t="s">
        <v>166</v>
      </c>
      <c r="E30" s="29">
        <v>382980</v>
      </c>
      <c r="F30" s="30">
        <v>1583.05</v>
      </c>
      <c r="G30" s="31">
        <v>1.47E-2</v>
      </c>
      <c r="H30" s="32"/>
    </row>
    <row r="31" spans="2:8" ht="15.75" customHeight="1" x14ac:dyDescent="0.2">
      <c r="B31" s="28" t="s">
        <v>288</v>
      </c>
      <c r="C31" s="28" t="s">
        <v>289</v>
      </c>
      <c r="D31" s="28" t="s">
        <v>290</v>
      </c>
      <c r="E31" s="29">
        <v>591460</v>
      </c>
      <c r="F31" s="30">
        <v>1570.27</v>
      </c>
      <c r="G31" s="31">
        <v>1.46E-2</v>
      </c>
      <c r="H31" s="32"/>
    </row>
    <row r="32" spans="2:8" ht="15.75" customHeight="1" x14ac:dyDescent="0.2">
      <c r="B32" s="28" t="s">
        <v>473</v>
      </c>
      <c r="C32" s="28" t="s">
        <v>474</v>
      </c>
      <c r="D32" s="28" t="s">
        <v>224</v>
      </c>
      <c r="E32" s="29">
        <v>714476</v>
      </c>
      <c r="F32" s="30">
        <v>1426.31</v>
      </c>
      <c r="G32" s="31">
        <v>1.3299999999999999E-2</v>
      </c>
      <c r="H32" s="32"/>
    </row>
    <row r="33" spans="2:8" ht="15.75" customHeight="1" x14ac:dyDescent="0.2">
      <c r="B33" s="28" t="s">
        <v>400</v>
      </c>
      <c r="C33" s="28" t="s">
        <v>401</v>
      </c>
      <c r="D33" s="28" t="s">
        <v>166</v>
      </c>
      <c r="E33" s="29">
        <v>3862346</v>
      </c>
      <c r="F33" s="30">
        <v>1414.39</v>
      </c>
      <c r="G33" s="31">
        <v>1.32E-2</v>
      </c>
      <c r="H33" s="32"/>
    </row>
    <row r="34" spans="2:8" ht="15.75" customHeight="1" x14ac:dyDescent="0.2">
      <c r="B34" s="28" t="s">
        <v>766</v>
      </c>
      <c r="C34" s="28" t="s">
        <v>767</v>
      </c>
      <c r="D34" s="28" t="s">
        <v>768</v>
      </c>
      <c r="E34" s="29">
        <v>4753</v>
      </c>
      <c r="F34" s="30">
        <v>1404.99</v>
      </c>
      <c r="G34" s="31">
        <v>1.3100000000000001E-2</v>
      </c>
      <c r="H34" s="32"/>
    </row>
    <row r="35" spans="2:8" ht="15.75" customHeight="1" x14ac:dyDescent="0.2">
      <c r="B35" s="28" t="s">
        <v>382</v>
      </c>
      <c r="C35" s="28" t="s">
        <v>383</v>
      </c>
      <c r="D35" s="28" t="s">
        <v>172</v>
      </c>
      <c r="E35" s="29">
        <v>97103</v>
      </c>
      <c r="F35" s="30">
        <v>1383.14</v>
      </c>
      <c r="G35" s="31">
        <v>1.29E-2</v>
      </c>
      <c r="H35" s="32"/>
    </row>
    <row r="36" spans="2:8" ht="15.75" customHeight="1" x14ac:dyDescent="0.2">
      <c r="B36" s="28" t="s">
        <v>267</v>
      </c>
      <c r="C36" s="28" t="s">
        <v>268</v>
      </c>
      <c r="D36" s="28" t="s">
        <v>269</v>
      </c>
      <c r="E36" s="29">
        <v>47593</v>
      </c>
      <c r="F36" s="30">
        <v>1376.25</v>
      </c>
      <c r="G36" s="31">
        <v>1.2800000000000001E-2</v>
      </c>
      <c r="H36" s="32"/>
    </row>
    <row r="37" spans="2:8" ht="15.75" customHeight="1" x14ac:dyDescent="0.2">
      <c r="B37" s="28" t="s">
        <v>421</v>
      </c>
      <c r="C37" s="28" t="s">
        <v>422</v>
      </c>
      <c r="D37" s="28" t="s">
        <v>175</v>
      </c>
      <c r="E37" s="29">
        <v>43194</v>
      </c>
      <c r="F37" s="30">
        <v>1373.01</v>
      </c>
      <c r="G37" s="31">
        <v>1.2800000000000001E-2</v>
      </c>
      <c r="H37" s="32"/>
    </row>
    <row r="38" spans="2:8" ht="15.75" customHeight="1" x14ac:dyDescent="0.2">
      <c r="B38" s="28" t="s">
        <v>769</v>
      </c>
      <c r="C38" s="28" t="s">
        <v>770</v>
      </c>
      <c r="D38" s="28" t="s">
        <v>466</v>
      </c>
      <c r="E38" s="29">
        <v>164357</v>
      </c>
      <c r="F38" s="30">
        <v>1337.54</v>
      </c>
      <c r="G38" s="31">
        <v>1.24E-2</v>
      </c>
      <c r="H38" s="32"/>
    </row>
    <row r="39" spans="2:8" ht="15.75" customHeight="1" x14ac:dyDescent="0.2">
      <c r="B39" s="28" t="s">
        <v>374</v>
      </c>
      <c r="C39" s="28" t="s">
        <v>375</v>
      </c>
      <c r="D39" s="28" t="s">
        <v>349</v>
      </c>
      <c r="E39" s="29">
        <v>44628</v>
      </c>
      <c r="F39" s="30">
        <v>1307.82</v>
      </c>
      <c r="G39" s="31">
        <v>1.2200000000000001E-2</v>
      </c>
      <c r="H39" s="32"/>
    </row>
    <row r="40" spans="2:8" ht="15.75" customHeight="1" x14ac:dyDescent="0.2">
      <c r="B40" s="28" t="s">
        <v>524</v>
      </c>
      <c r="C40" s="28" t="s">
        <v>525</v>
      </c>
      <c r="D40" s="28" t="s">
        <v>233</v>
      </c>
      <c r="E40" s="29">
        <v>133264</v>
      </c>
      <c r="F40" s="30">
        <v>1303.32</v>
      </c>
      <c r="G40" s="31">
        <v>1.21E-2</v>
      </c>
      <c r="H40" s="32"/>
    </row>
    <row r="41" spans="2:8" ht="15.75" customHeight="1" x14ac:dyDescent="0.2">
      <c r="B41" s="28" t="s">
        <v>337</v>
      </c>
      <c r="C41" s="28" t="s">
        <v>338</v>
      </c>
      <c r="D41" s="28" t="s">
        <v>339</v>
      </c>
      <c r="E41" s="29">
        <v>111605</v>
      </c>
      <c r="F41" s="30">
        <v>1300.2</v>
      </c>
      <c r="G41" s="31">
        <v>1.21E-2</v>
      </c>
      <c r="H41" s="32"/>
    </row>
    <row r="42" spans="2:8" ht="15.75" customHeight="1" x14ac:dyDescent="0.2">
      <c r="B42" s="28" t="s">
        <v>615</v>
      </c>
      <c r="C42" s="28" t="s">
        <v>616</v>
      </c>
      <c r="D42" s="28" t="s">
        <v>290</v>
      </c>
      <c r="E42" s="29">
        <v>108997</v>
      </c>
      <c r="F42" s="30">
        <v>1297.83</v>
      </c>
      <c r="G42" s="31">
        <v>1.21E-2</v>
      </c>
      <c r="H42" s="32"/>
    </row>
    <row r="43" spans="2:8" ht="15.75" customHeight="1" x14ac:dyDescent="0.2">
      <c r="B43" s="28" t="s">
        <v>641</v>
      </c>
      <c r="C43" s="28" t="s">
        <v>642</v>
      </c>
      <c r="D43" s="28" t="s">
        <v>361</v>
      </c>
      <c r="E43" s="29">
        <v>184562</v>
      </c>
      <c r="F43" s="30">
        <v>1277.6300000000001</v>
      </c>
      <c r="G43" s="31">
        <v>1.1900000000000001E-2</v>
      </c>
      <c r="H43" s="32"/>
    </row>
    <row r="44" spans="2:8" ht="15.75" customHeight="1" x14ac:dyDescent="0.2">
      <c r="B44" s="28" t="s">
        <v>426</v>
      </c>
      <c r="C44" s="28" t="s">
        <v>427</v>
      </c>
      <c r="D44" s="28" t="s">
        <v>172</v>
      </c>
      <c r="E44" s="29">
        <v>103683</v>
      </c>
      <c r="F44" s="30">
        <v>1209.67</v>
      </c>
      <c r="G44" s="31">
        <v>1.1299999999999999E-2</v>
      </c>
      <c r="H44" s="32"/>
    </row>
    <row r="45" spans="2:8" ht="15.75" customHeight="1" x14ac:dyDescent="0.2">
      <c r="B45" s="28" t="s">
        <v>588</v>
      </c>
      <c r="C45" s="28" t="s">
        <v>589</v>
      </c>
      <c r="D45" s="28" t="s">
        <v>590</v>
      </c>
      <c r="E45" s="29">
        <v>108178</v>
      </c>
      <c r="F45" s="30">
        <v>1156.8599999999999</v>
      </c>
      <c r="G45" s="31">
        <v>1.0800000000000001E-2</v>
      </c>
      <c r="H45" s="32"/>
    </row>
    <row r="46" spans="2:8" ht="15.75" customHeight="1" x14ac:dyDescent="0.2">
      <c r="B46" s="28" t="s">
        <v>485</v>
      </c>
      <c r="C46" s="28" t="s">
        <v>486</v>
      </c>
      <c r="D46" s="28" t="s">
        <v>224</v>
      </c>
      <c r="E46" s="29">
        <v>57826</v>
      </c>
      <c r="F46" s="30">
        <v>1072.1500000000001</v>
      </c>
      <c r="G46" s="31">
        <v>0.01</v>
      </c>
      <c r="H46" s="32"/>
    </row>
    <row r="47" spans="2:8" ht="15.75" customHeight="1" x14ac:dyDescent="0.2">
      <c r="B47" s="28" t="s">
        <v>733</v>
      </c>
      <c r="C47" s="28" t="s">
        <v>734</v>
      </c>
      <c r="D47" s="28" t="s">
        <v>329</v>
      </c>
      <c r="E47" s="29">
        <v>129912</v>
      </c>
      <c r="F47" s="30">
        <v>1027.1500000000001</v>
      </c>
      <c r="G47" s="31">
        <v>9.5999999999999992E-3</v>
      </c>
      <c r="H47" s="32"/>
    </row>
    <row r="48" spans="2:8" ht="15.75" customHeight="1" x14ac:dyDescent="0.2">
      <c r="B48" s="28" t="s">
        <v>355</v>
      </c>
      <c r="C48" s="28" t="s">
        <v>356</v>
      </c>
      <c r="D48" s="28" t="s">
        <v>208</v>
      </c>
      <c r="E48" s="29">
        <v>53796</v>
      </c>
      <c r="F48" s="30">
        <v>1001.04</v>
      </c>
      <c r="G48" s="31">
        <v>9.2999999999999992E-3</v>
      </c>
      <c r="H48" s="32"/>
    </row>
    <row r="49" spans="2:8" ht="15.75" customHeight="1" x14ac:dyDescent="0.2">
      <c r="B49" s="28" t="s">
        <v>206</v>
      </c>
      <c r="C49" s="28" t="s">
        <v>207</v>
      </c>
      <c r="D49" s="28" t="s">
        <v>208</v>
      </c>
      <c r="E49" s="29">
        <v>48032</v>
      </c>
      <c r="F49" s="30">
        <v>986.82</v>
      </c>
      <c r="G49" s="31">
        <v>9.1999999999999998E-3</v>
      </c>
      <c r="H49" s="32"/>
    </row>
    <row r="50" spans="2:8" ht="15.75" customHeight="1" x14ac:dyDescent="0.2">
      <c r="B50" s="28" t="s">
        <v>595</v>
      </c>
      <c r="C50" s="28" t="s">
        <v>596</v>
      </c>
      <c r="D50" s="28" t="s">
        <v>290</v>
      </c>
      <c r="E50" s="29">
        <v>1657693</v>
      </c>
      <c r="F50" s="30">
        <v>983.01</v>
      </c>
      <c r="G50" s="31">
        <v>9.1000000000000004E-3</v>
      </c>
      <c r="H50" s="32"/>
    </row>
    <row r="51" spans="2:8" ht="15.75" customHeight="1" x14ac:dyDescent="0.2">
      <c r="B51" s="28" t="s">
        <v>170</v>
      </c>
      <c r="C51" s="28" t="s">
        <v>171</v>
      </c>
      <c r="D51" s="28" t="s">
        <v>172</v>
      </c>
      <c r="E51" s="29">
        <v>64945</v>
      </c>
      <c r="F51" s="30">
        <v>962.68</v>
      </c>
      <c r="G51" s="31">
        <v>8.9999999999999993E-3</v>
      </c>
      <c r="H51" s="32"/>
    </row>
    <row r="52" spans="2:8" ht="15.75" customHeight="1" x14ac:dyDescent="0.2">
      <c r="B52" s="28" t="s">
        <v>258</v>
      </c>
      <c r="C52" s="28" t="s">
        <v>259</v>
      </c>
      <c r="D52" s="28" t="s">
        <v>260</v>
      </c>
      <c r="E52" s="29">
        <v>24270</v>
      </c>
      <c r="F52" s="30">
        <v>909.32</v>
      </c>
      <c r="G52" s="31">
        <v>8.5000000000000006E-3</v>
      </c>
      <c r="H52" s="32"/>
    </row>
    <row r="53" spans="2:8" ht="15.75" customHeight="1" x14ac:dyDescent="0.2">
      <c r="B53" s="28" t="s">
        <v>489</v>
      </c>
      <c r="C53" s="28" t="s">
        <v>490</v>
      </c>
      <c r="D53" s="28" t="s">
        <v>349</v>
      </c>
      <c r="E53" s="29">
        <v>53446</v>
      </c>
      <c r="F53" s="30">
        <v>883.09</v>
      </c>
      <c r="G53" s="31">
        <v>8.2000000000000007E-3</v>
      </c>
      <c r="H53" s="32"/>
    </row>
    <row r="54" spans="2:8" ht="15.75" customHeight="1" x14ac:dyDescent="0.2">
      <c r="B54" s="28" t="s">
        <v>286</v>
      </c>
      <c r="C54" s="28" t="s">
        <v>287</v>
      </c>
      <c r="D54" s="28" t="s">
        <v>260</v>
      </c>
      <c r="E54" s="29">
        <v>309939</v>
      </c>
      <c r="F54" s="30">
        <v>876.2</v>
      </c>
      <c r="G54" s="31">
        <v>8.2000000000000007E-3</v>
      </c>
      <c r="H54" s="32"/>
    </row>
    <row r="55" spans="2:8" ht="15.75" customHeight="1" x14ac:dyDescent="0.2">
      <c r="B55" s="28" t="s">
        <v>402</v>
      </c>
      <c r="C55" s="28" t="s">
        <v>403</v>
      </c>
      <c r="D55" s="28" t="s">
        <v>329</v>
      </c>
      <c r="E55" s="29">
        <v>80100</v>
      </c>
      <c r="F55" s="30">
        <v>858.43</v>
      </c>
      <c r="G55" s="31">
        <v>8.0000000000000002E-3</v>
      </c>
      <c r="H55" s="32"/>
    </row>
    <row r="56" spans="2:8" ht="15.75" customHeight="1" x14ac:dyDescent="0.2">
      <c r="B56" s="28" t="s">
        <v>771</v>
      </c>
      <c r="C56" s="28" t="s">
        <v>772</v>
      </c>
      <c r="D56" s="28" t="s">
        <v>495</v>
      </c>
      <c r="E56" s="29">
        <v>251501</v>
      </c>
      <c r="F56" s="30">
        <v>817.76</v>
      </c>
      <c r="G56" s="31">
        <v>7.6E-3</v>
      </c>
      <c r="H56" s="32"/>
    </row>
    <row r="57" spans="2:8" ht="15.75" customHeight="1" x14ac:dyDescent="0.2">
      <c r="B57" s="28" t="s">
        <v>547</v>
      </c>
      <c r="C57" s="28" t="s">
        <v>548</v>
      </c>
      <c r="D57" s="28" t="s">
        <v>175</v>
      </c>
      <c r="E57" s="29">
        <v>16547</v>
      </c>
      <c r="F57" s="30">
        <v>815.63</v>
      </c>
      <c r="G57" s="31">
        <v>7.6E-3</v>
      </c>
      <c r="H57" s="32"/>
    </row>
    <row r="58" spans="2:8" ht="15.75" customHeight="1" x14ac:dyDescent="0.2">
      <c r="B58" s="28" t="s">
        <v>406</v>
      </c>
      <c r="C58" s="28" t="s">
        <v>407</v>
      </c>
      <c r="D58" s="28" t="s">
        <v>224</v>
      </c>
      <c r="E58" s="29">
        <v>40470</v>
      </c>
      <c r="F58" s="30">
        <v>794.63</v>
      </c>
      <c r="G58" s="31">
        <v>7.4000000000000003E-3</v>
      </c>
      <c r="H58" s="32"/>
    </row>
    <row r="59" spans="2:8" ht="15.75" customHeight="1" x14ac:dyDescent="0.2">
      <c r="B59" s="28" t="s">
        <v>599</v>
      </c>
      <c r="C59" s="28" t="s">
        <v>600</v>
      </c>
      <c r="D59" s="28" t="s">
        <v>260</v>
      </c>
      <c r="E59" s="29">
        <v>64878</v>
      </c>
      <c r="F59" s="30">
        <v>732.34</v>
      </c>
      <c r="G59" s="31">
        <v>6.7999999999999996E-3</v>
      </c>
      <c r="H59" s="32"/>
    </row>
    <row r="60" spans="2:8" ht="15.75" customHeight="1" x14ac:dyDescent="0.2">
      <c r="B60" s="28" t="s">
        <v>773</v>
      </c>
      <c r="C60" s="28" t="s">
        <v>774</v>
      </c>
      <c r="D60" s="28" t="s">
        <v>329</v>
      </c>
      <c r="E60" s="29">
        <v>1093516</v>
      </c>
      <c r="F60" s="30">
        <v>725.44</v>
      </c>
      <c r="G60" s="31">
        <v>6.7000000000000002E-3</v>
      </c>
      <c r="H60" s="32"/>
    </row>
    <row r="61" spans="2:8" ht="15.75" customHeight="1" x14ac:dyDescent="0.2">
      <c r="B61" s="28" t="s">
        <v>428</v>
      </c>
      <c r="C61" s="28" t="s">
        <v>429</v>
      </c>
      <c r="D61" s="28" t="s">
        <v>430</v>
      </c>
      <c r="E61" s="29">
        <v>106450</v>
      </c>
      <c r="F61" s="30">
        <v>692.03</v>
      </c>
      <c r="G61" s="31">
        <v>6.4000000000000003E-3</v>
      </c>
      <c r="H61" s="32"/>
    </row>
    <row r="62" spans="2:8" ht="15.75" customHeight="1" x14ac:dyDescent="0.2">
      <c r="B62" s="28" t="s">
        <v>775</v>
      </c>
      <c r="C62" s="28" t="s">
        <v>776</v>
      </c>
      <c r="D62" s="28" t="s">
        <v>777</v>
      </c>
      <c r="E62" s="29">
        <v>216450</v>
      </c>
      <c r="F62" s="30">
        <v>680.74</v>
      </c>
      <c r="G62" s="31">
        <v>6.3E-3</v>
      </c>
      <c r="H62" s="32"/>
    </row>
    <row r="63" spans="2:8" ht="15.75" customHeight="1" x14ac:dyDescent="0.2">
      <c r="B63" s="28" t="s">
        <v>778</v>
      </c>
      <c r="C63" s="28" t="s">
        <v>779</v>
      </c>
      <c r="D63" s="28" t="s">
        <v>590</v>
      </c>
      <c r="E63" s="29">
        <v>90621</v>
      </c>
      <c r="F63" s="30">
        <v>670.19</v>
      </c>
      <c r="G63" s="31">
        <v>6.1999999999999998E-3</v>
      </c>
      <c r="H63" s="32"/>
    </row>
    <row r="64" spans="2:8" ht="15.75" customHeight="1" x14ac:dyDescent="0.2">
      <c r="B64" s="28" t="s">
        <v>440</v>
      </c>
      <c r="C64" s="28" t="s">
        <v>441</v>
      </c>
      <c r="D64" s="28" t="s">
        <v>442</v>
      </c>
      <c r="E64" s="29">
        <v>21452</v>
      </c>
      <c r="F64" s="30">
        <v>660.23</v>
      </c>
      <c r="G64" s="31">
        <v>6.1000000000000004E-3</v>
      </c>
      <c r="H64" s="32"/>
    </row>
    <row r="65" spans="2:14" ht="15.75" customHeight="1" x14ac:dyDescent="0.2">
      <c r="B65" s="28" t="s">
        <v>181</v>
      </c>
      <c r="C65" s="28" t="s">
        <v>182</v>
      </c>
      <c r="D65" s="28" t="s">
        <v>183</v>
      </c>
      <c r="E65" s="29">
        <v>22848</v>
      </c>
      <c r="F65" s="30">
        <v>563.32000000000005</v>
      </c>
      <c r="G65" s="31">
        <v>5.1999999999999998E-3</v>
      </c>
      <c r="H65" s="32"/>
    </row>
    <row r="66" spans="2:14" ht="15.75" customHeight="1" x14ac:dyDescent="0.2">
      <c r="B66" s="28" t="s">
        <v>780</v>
      </c>
      <c r="C66" s="28" t="s">
        <v>781</v>
      </c>
      <c r="D66" s="28" t="s">
        <v>221</v>
      </c>
      <c r="E66" s="29">
        <v>226597</v>
      </c>
      <c r="F66" s="30">
        <v>561.82000000000005</v>
      </c>
      <c r="G66" s="31">
        <v>5.1999999999999998E-3</v>
      </c>
      <c r="H66" s="32"/>
    </row>
    <row r="67" spans="2:14" ht="15.75" customHeight="1" x14ac:dyDescent="0.2">
      <c r="B67" s="28" t="s">
        <v>782</v>
      </c>
      <c r="C67" s="28" t="s">
        <v>783</v>
      </c>
      <c r="D67" s="28" t="s">
        <v>233</v>
      </c>
      <c r="E67" s="29">
        <v>66859</v>
      </c>
      <c r="F67" s="30">
        <v>509.47</v>
      </c>
      <c r="G67" s="31">
        <v>4.7000000000000002E-3</v>
      </c>
      <c r="H67" s="32"/>
    </row>
    <row r="68" spans="2:14" ht="15.75" customHeight="1" x14ac:dyDescent="0.2">
      <c r="B68" s="28" t="s">
        <v>619</v>
      </c>
      <c r="C68" s="28" t="s">
        <v>620</v>
      </c>
      <c r="D68" s="28" t="s">
        <v>178</v>
      </c>
      <c r="E68" s="29">
        <v>108935</v>
      </c>
      <c r="F68" s="30">
        <v>470.65</v>
      </c>
      <c r="G68" s="31">
        <v>4.4000000000000003E-3</v>
      </c>
      <c r="H68" s="32"/>
      <c r="J68" s="3"/>
    </row>
    <row r="69" spans="2:14" ht="15.75" customHeight="1" x14ac:dyDescent="0.2">
      <c r="B69" s="28" t="s">
        <v>684</v>
      </c>
      <c r="C69" s="28" t="s">
        <v>685</v>
      </c>
      <c r="D69" s="28" t="s">
        <v>571</v>
      </c>
      <c r="E69" s="29">
        <v>11233</v>
      </c>
      <c r="F69" s="30">
        <v>401.85</v>
      </c>
      <c r="G69" s="31">
        <v>3.7000000000000002E-3</v>
      </c>
      <c r="H69" s="32"/>
    </row>
    <row r="70" spans="2:14" ht="15.75" customHeight="1" x14ac:dyDescent="0.2">
      <c r="B70" s="28" t="s">
        <v>254</v>
      </c>
      <c r="C70" s="28" t="s">
        <v>255</v>
      </c>
      <c r="D70" s="28" t="s">
        <v>246</v>
      </c>
      <c r="E70" s="29">
        <v>27505</v>
      </c>
      <c r="F70" s="30">
        <v>329.48</v>
      </c>
      <c r="G70" s="31">
        <v>3.0999999999999999E-3</v>
      </c>
      <c r="H70" s="32"/>
      <c r="J70" s="3"/>
    </row>
    <row r="71" spans="2:14" ht="15.75" customHeight="1" x14ac:dyDescent="0.2">
      <c r="B71" s="28" t="s">
        <v>784</v>
      </c>
      <c r="C71" s="28" t="s">
        <v>785</v>
      </c>
      <c r="D71" s="28" t="s">
        <v>178</v>
      </c>
      <c r="E71" s="29">
        <v>58505</v>
      </c>
      <c r="F71" s="30">
        <v>261.25</v>
      </c>
      <c r="G71" s="31">
        <v>2.3999999999999998E-3</v>
      </c>
      <c r="H71" s="32"/>
      <c r="J71" s="3"/>
    </row>
    <row r="72" spans="2:14" ht="15.75" customHeight="1" x14ac:dyDescent="0.2">
      <c r="B72" s="28" t="s">
        <v>751</v>
      </c>
      <c r="C72" s="28" t="s">
        <v>752</v>
      </c>
      <c r="D72" s="28" t="s">
        <v>183</v>
      </c>
      <c r="E72" s="29">
        <v>27614</v>
      </c>
      <c r="F72" s="30">
        <v>144.74</v>
      </c>
      <c r="G72" s="31">
        <v>1.2999999999999999E-3</v>
      </c>
      <c r="H72" s="32"/>
      <c r="J72" s="3"/>
    </row>
    <row r="73" spans="2:14" ht="15.75" customHeight="1" x14ac:dyDescent="0.2">
      <c r="B73" s="28" t="s">
        <v>625</v>
      </c>
      <c r="C73" s="28" t="s">
        <v>626</v>
      </c>
      <c r="D73" s="28" t="s">
        <v>260</v>
      </c>
      <c r="E73" s="29">
        <v>3744</v>
      </c>
      <c r="F73" s="30">
        <v>62.29</v>
      </c>
      <c r="G73" s="31">
        <v>5.9999999999999995E-4</v>
      </c>
      <c r="H73" s="32"/>
      <c r="J73" s="3"/>
    </row>
    <row r="74" spans="2:14" ht="15.75" customHeight="1" x14ac:dyDescent="0.2">
      <c r="B74" s="27" t="s">
        <v>127</v>
      </c>
      <c r="C74" s="27"/>
      <c r="D74" s="27"/>
      <c r="E74" s="33"/>
      <c r="F74" s="34">
        <v>101804.22</v>
      </c>
      <c r="G74" s="35">
        <v>0.94689999999999996</v>
      </c>
      <c r="H74" s="36"/>
      <c r="J74" s="3"/>
    </row>
    <row r="75" spans="2:14" ht="15.75" customHeight="1" x14ac:dyDescent="0.2">
      <c r="B75" s="27" t="s">
        <v>189</v>
      </c>
      <c r="C75" s="28"/>
      <c r="D75" s="28"/>
      <c r="E75" s="29"/>
      <c r="F75" s="30"/>
      <c r="G75" s="31"/>
      <c r="H75" s="32"/>
      <c r="J75" s="3"/>
    </row>
    <row r="76" spans="2:14" ht="15.75" customHeight="1" x14ac:dyDescent="0.2">
      <c r="B76" s="27" t="s">
        <v>127</v>
      </c>
      <c r="C76" s="28"/>
      <c r="D76" s="28"/>
      <c r="E76" s="29"/>
      <c r="F76" s="37" t="s">
        <v>129</v>
      </c>
      <c r="G76" s="38" t="s">
        <v>129</v>
      </c>
      <c r="H76" s="32"/>
      <c r="J76" s="3"/>
    </row>
    <row r="77" spans="2:14" ht="15.75" customHeight="1" x14ac:dyDescent="0.2">
      <c r="B77" s="27"/>
      <c r="C77" s="28"/>
      <c r="D77" s="28"/>
      <c r="E77" s="29"/>
      <c r="F77" s="30"/>
      <c r="G77" s="31"/>
      <c r="H77" s="32"/>
      <c r="J77" s="5"/>
      <c r="K77" s="5"/>
      <c r="L77" s="6"/>
      <c r="M77" s="6"/>
      <c r="N77" s="5"/>
    </row>
    <row r="78" spans="2:14" ht="15.75" customHeight="1" x14ac:dyDescent="0.2">
      <c r="B78" s="39" t="s">
        <v>131</v>
      </c>
      <c r="C78" s="39"/>
      <c r="D78" s="39"/>
      <c r="E78" s="40"/>
      <c r="F78" s="34">
        <v>101804.22</v>
      </c>
      <c r="G78" s="35">
        <v>0.94689999999999996</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134</v>
      </c>
      <c r="C81" s="28"/>
      <c r="D81" s="28"/>
      <c r="E81" s="29"/>
      <c r="F81" s="30"/>
      <c r="G81" s="31"/>
      <c r="H81" s="32"/>
      <c r="J81" s="7"/>
      <c r="K81" s="7"/>
      <c r="L81" s="7"/>
      <c r="M81" s="7"/>
      <c r="N81" s="7"/>
    </row>
    <row r="82" spans="2:14" ht="15.75" customHeight="1" x14ac:dyDescent="0.2">
      <c r="B82" s="28" t="s">
        <v>135</v>
      </c>
      <c r="C82" s="28"/>
      <c r="D82" s="28"/>
      <c r="E82" s="29"/>
      <c r="F82" s="30">
        <v>4866.47</v>
      </c>
      <c r="G82" s="31">
        <v>4.53E-2</v>
      </c>
      <c r="H82" s="32"/>
      <c r="J82" s="7"/>
      <c r="K82" s="7"/>
      <c r="L82" s="7"/>
      <c r="M82" s="7"/>
      <c r="N82" s="7"/>
    </row>
    <row r="83" spans="2:14" ht="15.75" customHeight="1" x14ac:dyDescent="0.2">
      <c r="B83" s="27" t="s">
        <v>127</v>
      </c>
      <c r="C83" s="27"/>
      <c r="D83" s="27"/>
      <c r="E83" s="33"/>
      <c r="F83" s="34">
        <v>4866.47</v>
      </c>
      <c r="G83" s="35">
        <v>4.53E-2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131</v>
      </c>
      <c r="C85" s="39"/>
      <c r="D85" s="39"/>
      <c r="E85" s="40"/>
      <c r="F85" s="34">
        <v>4866.47</v>
      </c>
      <c r="G85" s="35">
        <v>4.53E-2</v>
      </c>
      <c r="H85" s="36"/>
    </row>
    <row r="86" spans="2:14" ht="15.75" customHeight="1" x14ac:dyDescent="0.2">
      <c r="B86" s="28" t="s">
        <v>136</v>
      </c>
      <c r="C86" s="28"/>
      <c r="D86" s="28"/>
      <c r="E86" s="29"/>
      <c r="F86" s="30">
        <v>835.06</v>
      </c>
      <c r="G86" s="31">
        <v>7.8000000000000291E-3</v>
      </c>
      <c r="H86" s="32"/>
      <c r="J86" s="3"/>
    </row>
    <row r="87" spans="2:14" ht="15.75" customHeight="1" x14ac:dyDescent="0.2">
      <c r="B87" s="43" t="s">
        <v>137</v>
      </c>
      <c r="C87" s="43"/>
      <c r="D87" s="43"/>
      <c r="E87" s="44"/>
      <c r="F87" s="45">
        <v>107505.75</v>
      </c>
      <c r="G87" s="46">
        <v>1</v>
      </c>
      <c r="H87" s="47"/>
    </row>
    <row r="88" spans="2:14" ht="15.75" customHeight="1" x14ac:dyDescent="0.2">
      <c r="B88" s="2"/>
    </row>
    <row r="91" spans="2:14" ht="15.75" customHeight="1" thickBot="1" x14ac:dyDescent="0.25"/>
    <row r="92" spans="2:14" ht="39.75" customHeight="1" thickBot="1" x14ac:dyDescent="0.25">
      <c r="B92" s="48" t="s">
        <v>139</v>
      </c>
      <c r="C92" s="49" t="s">
        <v>140</v>
      </c>
      <c r="D92" s="49" t="s">
        <v>141</v>
      </c>
      <c r="E92" s="49" t="s">
        <v>142</v>
      </c>
    </row>
    <row r="93" spans="2:14" ht="39.75" customHeight="1" x14ac:dyDescent="0.2">
      <c r="B93" s="61" t="s">
        <v>60</v>
      </c>
      <c r="C93" s="77"/>
      <c r="D93" s="80" t="s">
        <v>786</v>
      </c>
      <c r="E93" s="81"/>
    </row>
    <row r="94" spans="2:14" ht="39.75" customHeight="1" x14ac:dyDescent="0.2">
      <c r="B94" s="52" t="s">
        <v>646</v>
      </c>
      <c r="C94" s="78"/>
      <c r="D94" s="80"/>
      <c r="E94" s="82"/>
    </row>
    <row r="95" spans="2:14" ht="39.75" customHeight="1" x14ac:dyDescent="0.2">
      <c r="B95" s="52" t="s">
        <v>787</v>
      </c>
      <c r="C95" s="78"/>
      <c r="D95" s="80"/>
      <c r="E95" s="82"/>
    </row>
    <row r="96" spans="2:14" ht="39.75" customHeight="1" thickBot="1" x14ac:dyDescent="0.25">
      <c r="B96" s="62" t="s">
        <v>521</v>
      </c>
      <c r="C96" s="79"/>
      <c r="D96" s="50" t="s">
        <v>562</v>
      </c>
      <c r="E96" s="83"/>
    </row>
    <row r="97" spans="2:2" ht="15.75" customHeight="1" x14ac:dyDescent="0.2">
      <c r="B97" s="9" t="s">
        <v>144</v>
      </c>
    </row>
    <row r="99" spans="2:2" ht="15.75" customHeight="1" x14ac:dyDescent="0.2">
      <c r="B99" s="9" t="s">
        <v>145</v>
      </c>
    </row>
    <row r="100" spans="2:2" ht="15.75" customHeight="1" x14ac:dyDescent="0.2">
      <c r="B100" s="15" t="s">
        <v>146</v>
      </c>
    </row>
  </sheetData>
  <mergeCells count="3">
    <mergeCell ref="C93:C96"/>
    <mergeCell ref="D93:D95"/>
    <mergeCell ref="E93:E96"/>
  </mergeCells>
  <hyperlinks>
    <hyperlink ref="G1" location="'Sheet1'!A1" display="Index" xr:uid="{0D3172F5-5D8C-43EA-86FD-69F7814837D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6A25B-E5B3-4D54-BCAD-37E82DFE5F65}">
  <dimension ref="B1:N10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758</v>
      </c>
      <c r="C7" s="28" t="s">
        <v>759</v>
      </c>
      <c r="D7" s="28" t="s">
        <v>218</v>
      </c>
      <c r="E7" s="29">
        <v>877192</v>
      </c>
      <c r="F7" s="30">
        <v>2185.2600000000002</v>
      </c>
      <c r="G7" s="31">
        <v>3.3799999999999997E-2</v>
      </c>
      <c r="H7" s="32"/>
    </row>
    <row r="8" spans="2:8" ht="15.75" customHeight="1" x14ac:dyDescent="0.2">
      <c r="B8" s="28" t="s">
        <v>613</v>
      </c>
      <c r="C8" s="28" t="s">
        <v>614</v>
      </c>
      <c r="D8" s="28" t="s">
        <v>249</v>
      </c>
      <c r="E8" s="29">
        <v>326140</v>
      </c>
      <c r="F8" s="30">
        <v>2159.21</v>
      </c>
      <c r="G8" s="31">
        <v>3.3399999999999999E-2</v>
      </c>
      <c r="H8" s="32"/>
    </row>
    <row r="9" spans="2:8" ht="15.75" customHeight="1" x14ac:dyDescent="0.2">
      <c r="B9" s="28" t="s">
        <v>615</v>
      </c>
      <c r="C9" s="28" t="s">
        <v>616</v>
      </c>
      <c r="D9" s="28" t="s">
        <v>290</v>
      </c>
      <c r="E9" s="29">
        <v>135939</v>
      </c>
      <c r="F9" s="30">
        <v>1618.63</v>
      </c>
      <c r="G9" s="31">
        <v>2.5000000000000001E-2</v>
      </c>
      <c r="H9" s="32"/>
    </row>
    <row r="10" spans="2:8" ht="15.75" customHeight="1" x14ac:dyDescent="0.2">
      <c r="B10" s="28" t="s">
        <v>340</v>
      </c>
      <c r="C10" s="28" t="s">
        <v>341</v>
      </c>
      <c r="D10" s="28" t="s">
        <v>263</v>
      </c>
      <c r="E10" s="29">
        <v>109106</v>
      </c>
      <c r="F10" s="30">
        <v>1517.77</v>
      </c>
      <c r="G10" s="31">
        <v>2.35E-2</v>
      </c>
      <c r="H10" s="32"/>
    </row>
    <row r="11" spans="2:8" ht="15.75" customHeight="1" x14ac:dyDescent="0.2">
      <c r="B11" s="28" t="s">
        <v>769</v>
      </c>
      <c r="C11" s="28" t="s">
        <v>770</v>
      </c>
      <c r="D11" s="28" t="s">
        <v>466</v>
      </c>
      <c r="E11" s="29">
        <v>180780</v>
      </c>
      <c r="F11" s="30">
        <v>1471.19</v>
      </c>
      <c r="G11" s="31">
        <v>2.2700000000000001E-2</v>
      </c>
      <c r="H11" s="32"/>
    </row>
    <row r="12" spans="2:8" ht="15.75" customHeight="1" x14ac:dyDescent="0.2">
      <c r="B12" s="28" t="s">
        <v>764</v>
      </c>
      <c r="C12" s="28" t="s">
        <v>765</v>
      </c>
      <c r="D12" s="28" t="s">
        <v>300</v>
      </c>
      <c r="E12" s="29">
        <v>1130075</v>
      </c>
      <c r="F12" s="30">
        <v>1336.77</v>
      </c>
      <c r="G12" s="31">
        <v>2.07E-2</v>
      </c>
      <c r="H12" s="32"/>
    </row>
    <row r="13" spans="2:8" ht="15.75" customHeight="1" x14ac:dyDescent="0.2">
      <c r="B13" s="28" t="s">
        <v>301</v>
      </c>
      <c r="C13" s="28" t="s">
        <v>302</v>
      </c>
      <c r="D13" s="28" t="s">
        <v>175</v>
      </c>
      <c r="E13" s="29">
        <v>557918</v>
      </c>
      <c r="F13" s="30">
        <v>1322.27</v>
      </c>
      <c r="G13" s="31">
        <v>2.0400000000000001E-2</v>
      </c>
      <c r="H13" s="32"/>
    </row>
    <row r="14" spans="2:8" ht="15.75" customHeight="1" x14ac:dyDescent="0.2">
      <c r="B14" s="28" t="s">
        <v>423</v>
      </c>
      <c r="C14" s="28" t="s">
        <v>424</v>
      </c>
      <c r="D14" s="28" t="s">
        <v>425</v>
      </c>
      <c r="E14" s="29">
        <v>270441</v>
      </c>
      <c r="F14" s="30">
        <v>1312.45</v>
      </c>
      <c r="G14" s="31">
        <v>2.0299999999999999E-2</v>
      </c>
      <c r="H14" s="32"/>
    </row>
    <row r="15" spans="2:8" ht="15.75" customHeight="1" x14ac:dyDescent="0.2">
      <c r="B15" s="28" t="s">
        <v>469</v>
      </c>
      <c r="C15" s="28" t="s">
        <v>470</v>
      </c>
      <c r="D15" s="28" t="s">
        <v>221</v>
      </c>
      <c r="E15" s="29">
        <v>259739</v>
      </c>
      <c r="F15" s="30">
        <v>1306.0999999999999</v>
      </c>
      <c r="G15" s="31">
        <v>2.0199999999999999E-2</v>
      </c>
      <c r="H15" s="32"/>
    </row>
    <row r="16" spans="2:8" ht="15.75" customHeight="1" x14ac:dyDescent="0.2">
      <c r="B16" s="28" t="s">
        <v>650</v>
      </c>
      <c r="C16" s="28" t="s">
        <v>651</v>
      </c>
      <c r="D16" s="28" t="s">
        <v>349</v>
      </c>
      <c r="E16" s="29">
        <v>22671</v>
      </c>
      <c r="F16" s="30">
        <v>1289.3900000000001</v>
      </c>
      <c r="G16" s="31">
        <v>1.9900000000000001E-2</v>
      </c>
      <c r="H16" s="32"/>
    </row>
    <row r="17" spans="2:8" ht="15.75" customHeight="1" x14ac:dyDescent="0.2">
      <c r="B17" s="28" t="s">
        <v>372</v>
      </c>
      <c r="C17" s="28" t="s">
        <v>373</v>
      </c>
      <c r="D17" s="28" t="s">
        <v>290</v>
      </c>
      <c r="E17" s="29">
        <v>40646</v>
      </c>
      <c r="F17" s="30">
        <v>1228.8900000000001</v>
      </c>
      <c r="G17" s="31">
        <v>1.9E-2</v>
      </c>
      <c r="H17" s="32"/>
    </row>
    <row r="18" spans="2:8" ht="15.75" customHeight="1" x14ac:dyDescent="0.2">
      <c r="B18" s="28" t="s">
        <v>473</v>
      </c>
      <c r="C18" s="28" t="s">
        <v>474</v>
      </c>
      <c r="D18" s="28" t="s">
        <v>224</v>
      </c>
      <c r="E18" s="29">
        <v>605456</v>
      </c>
      <c r="F18" s="30">
        <v>1208.67</v>
      </c>
      <c r="G18" s="31">
        <v>1.8700000000000001E-2</v>
      </c>
      <c r="H18" s="32"/>
    </row>
    <row r="19" spans="2:8" ht="15.75" customHeight="1" x14ac:dyDescent="0.2">
      <c r="B19" s="28" t="s">
        <v>751</v>
      </c>
      <c r="C19" s="28" t="s">
        <v>752</v>
      </c>
      <c r="D19" s="28" t="s">
        <v>183</v>
      </c>
      <c r="E19" s="29">
        <v>228376</v>
      </c>
      <c r="F19" s="30">
        <v>1197.03</v>
      </c>
      <c r="G19" s="31">
        <v>1.8499999999999999E-2</v>
      </c>
      <c r="H19" s="32"/>
    </row>
    <row r="20" spans="2:8" ht="15.75" customHeight="1" x14ac:dyDescent="0.2">
      <c r="B20" s="28" t="s">
        <v>583</v>
      </c>
      <c r="C20" s="28" t="s">
        <v>584</v>
      </c>
      <c r="D20" s="28" t="s">
        <v>585</v>
      </c>
      <c r="E20" s="29">
        <v>337832</v>
      </c>
      <c r="F20" s="30">
        <v>1140.8599999999999</v>
      </c>
      <c r="G20" s="31">
        <v>1.7600000000000001E-2</v>
      </c>
      <c r="H20" s="32"/>
    </row>
    <row r="21" spans="2:8" ht="15.75" customHeight="1" x14ac:dyDescent="0.2">
      <c r="B21" s="28" t="s">
        <v>567</v>
      </c>
      <c r="C21" s="28" t="s">
        <v>568</v>
      </c>
      <c r="D21" s="28" t="s">
        <v>224</v>
      </c>
      <c r="E21" s="29">
        <v>6653</v>
      </c>
      <c r="F21" s="30">
        <v>1095.95</v>
      </c>
      <c r="G21" s="31">
        <v>1.6899999999999998E-2</v>
      </c>
      <c r="H21" s="32"/>
    </row>
    <row r="22" spans="2:8" ht="15.75" customHeight="1" x14ac:dyDescent="0.2">
      <c r="B22" s="28" t="s">
        <v>631</v>
      </c>
      <c r="C22" s="28" t="s">
        <v>632</v>
      </c>
      <c r="D22" s="28" t="s">
        <v>178</v>
      </c>
      <c r="E22" s="29">
        <v>202903</v>
      </c>
      <c r="F22" s="30">
        <v>1073.97</v>
      </c>
      <c r="G22" s="31">
        <v>1.66E-2</v>
      </c>
      <c r="H22" s="32"/>
    </row>
    <row r="23" spans="2:8" ht="15.75" customHeight="1" x14ac:dyDescent="0.2">
      <c r="B23" s="28" t="s">
        <v>733</v>
      </c>
      <c r="C23" s="28" t="s">
        <v>734</v>
      </c>
      <c r="D23" s="28" t="s">
        <v>329</v>
      </c>
      <c r="E23" s="29">
        <v>132471</v>
      </c>
      <c r="F23" s="30">
        <v>1047.3800000000001</v>
      </c>
      <c r="G23" s="31">
        <v>1.6199999999999999E-2</v>
      </c>
      <c r="H23" s="32"/>
    </row>
    <row r="24" spans="2:8" ht="15.75" customHeight="1" x14ac:dyDescent="0.2">
      <c r="B24" s="28" t="s">
        <v>605</v>
      </c>
      <c r="C24" s="28" t="s">
        <v>606</v>
      </c>
      <c r="D24" s="28" t="s">
        <v>430</v>
      </c>
      <c r="E24" s="29">
        <v>404858</v>
      </c>
      <c r="F24" s="30">
        <v>1002.27</v>
      </c>
      <c r="G24" s="31">
        <v>1.55E-2</v>
      </c>
      <c r="H24" s="32"/>
    </row>
    <row r="25" spans="2:8" ht="15.75" customHeight="1" x14ac:dyDescent="0.2">
      <c r="B25" s="28" t="s">
        <v>278</v>
      </c>
      <c r="C25" s="28" t="s">
        <v>279</v>
      </c>
      <c r="D25" s="28" t="s">
        <v>280</v>
      </c>
      <c r="E25" s="29">
        <v>246957</v>
      </c>
      <c r="F25" s="30">
        <v>999.93</v>
      </c>
      <c r="G25" s="31">
        <v>1.55E-2</v>
      </c>
      <c r="H25" s="32"/>
    </row>
    <row r="26" spans="2:8" ht="15.75" customHeight="1" x14ac:dyDescent="0.2">
      <c r="B26" s="28" t="s">
        <v>443</v>
      </c>
      <c r="C26" s="28" t="s">
        <v>444</v>
      </c>
      <c r="D26" s="28" t="s">
        <v>329</v>
      </c>
      <c r="E26" s="29">
        <v>98601</v>
      </c>
      <c r="F26" s="30">
        <v>985.91</v>
      </c>
      <c r="G26" s="31">
        <v>1.52E-2</v>
      </c>
      <c r="H26" s="32"/>
    </row>
    <row r="27" spans="2:8" ht="15.75" customHeight="1" x14ac:dyDescent="0.2">
      <c r="B27" s="28" t="s">
        <v>471</v>
      </c>
      <c r="C27" s="28" t="s">
        <v>472</v>
      </c>
      <c r="D27" s="28" t="s">
        <v>326</v>
      </c>
      <c r="E27" s="29">
        <v>219152</v>
      </c>
      <c r="F27" s="30">
        <v>981.91</v>
      </c>
      <c r="G27" s="31">
        <v>1.52E-2</v>
      </c>
      <c r="H27" s="32"/>
    </row>
    <row r="28" spans="2:8" ht="15.75" customHeight="1" x14ac:dyDescent="0.2">
      <c r="B28" s="28" t="s">
        <v>788</v>
      </c>
      <c r="C28" s="28" t="s">
        <v>789</v>
      </c>
      <c r="D28" s="28" t="s">
        <v>260</v>
      </c>
      <c r="E28" s="29">
        <v>56768</v>
      </c>
      <c r="F28" s="30">
        <v>976.92</v>
      </c>
      <c r="G28" s="31">
        <v>1.5100000000000001E-2</v>
      </c>
      <c r="H28" s="32"/>
    </row>
    <row r="29" spans="2:8" ht="15.75" customHeight="1" x14ac:dyDescent="0.2">
      <c r="B29" s="28" t="s">
        <v>728</v>
      </c>
      <c r="C29" s="28" t="s">
        <v>729</v>
      </c>
      <c r="D29" s="28" t="s">
        <v>730</v>
      </c>
      <c r="E29" s="29">
        <v>259387</v>
      </c>
      <c r="F29" s="30">
        <v>949.1</v>
      </c>
      <c r="G29" s="31">
        <v>1.47E-2</v>
      </c>
      <c r="H29" s="32"/>
    </row>
    <row r="30" spans="2:8" ht="15.75" customHeight="1" x14ac:dyDescent="0.2">
      <c r="B30" s="28" t="s">
        <v>790</v>
      </c>
      <c r="C30" s="28" t="s">
        <v>791</v>
      </c>
      <c r="D30" s="28" t="s">
        <v>280</v>
      </c>
      <c r="E30" s="29">
        <v>524295</v>
      </c>
      <c r="F30" s="30">
        <v>943.52</v>
      </c>
      <c r="G30" s="31">
        <v>1.46E-2</v>
      </c>
      <c r="H30" s="32"/>
    </row>
    <row r="31" spans="2:8" ht="15.75" customHeight="1" x14ac:dyDescent="0.2">
      <c r="B31" s="28" t="s">
        <v>327</v>
      </c>
      <c r="C31" s="28" t="s">
        <v>328</v>
      </c>
      <c r="D31" s="28" t="s">
        <v>329</v>
      </c>
      <c r="E31" s="29">
        <v>114221</v>
      </c>
      <c r="F31" s="30">
        <v>935.98</v>
      </c>
      <c r="G31" s="31">
        <v>1.4500000000000001E-2</v>
      </c>
      <c r="H31" s="32"/>
    </row>
    <row r="32" spans="2:8" ht="15.75" customHeight="1" x14ac:dyDescent="0.2">
      <c r="B32" s="28" t="s">
        <v>489</v>
      </c>
      <c r="C32" s="28" t="s">
        <v>490</v>
      </c>
      <c r="D32" s="28" t="s">
        <v>349</v>
      </c>
      <c r="E32" s="29">
        <v>53560</v>
      </c>
      <c r="F32" s="30">
        <v>884.97</v>
      </c>
      <c r="G32" s="31">
        <v>1.37E-2</v>
      </c>
      <c r="H32" s="32"/>
    </row>
    <row r="33" spans="2:8" ht="15.75" customHeight="1" x14ac:dyDescent="0.2">
      <c r="B33" s="28" t="s">
        <v>792</v>
      </c>
      <c r="C33" s="28" t="s">
        <v>793</v>
      </c>
      <c r="D33" s="28" t="s">
        <v>260</v>
      </c>
      <c r="E33" s="29">
        <v>314456</v>
      </c>
      <c r="F33" s="30">
        <v>880.01</v>
      </c>
      <c r="G33" s="31">
        <v>1.3599999999999999E-2</v>
      </c>
      <c r="H33" s="32"/>
    </row>
    <row r="34" spans="2:8" ht="15.75" customHeight="1" x14ac:dyDescent="0.2">
      <c r="B34" s="28" t="s">
        <v>408</v>
      </c>
      <c r="C34" s="28" t="s">
        <v>409</v>
      </c>
      <c r="D34" s="28" t="s">
        <v>175</v>
      </c>
      <c r="E34" s="29">
        <v>233441</v>
      </c>
      <c r="F34" s="30">
        <v>875.05</v>
      </c>
      <c r="G34" s="31">
        <v>1.35E-2</v>
      </c>
      <c r="H34" s="32"/>
    </row>
    <row r="35" spans="2:8" ht="15.75" customHeight="1" x14ac:dyDescent="0.2">
      <c r="B35" s="28" t="s">
        <v>782</v>
      </c>
      <c r="C35" s="28" t="s">
        <v>783</v>
      </c>
      <c r="D35" s="28" t="s">
        <v>233</v>
      </c>
      <c r="E35" s="29">
        <v>114793</v>
      </c>
      <c r="F35" s="30">
        <v>874.72</v>
      </c>
      <c r="G35" s="31">
        <v>1.35E-2</v>
      </c>
      <c r="H35" s="32"/>
    </row>
    <row r="36" spans="2:8" ht="15.75" customHeight="1" x14ac:dyDescent="0.2">
      <c r="B36" s="28" t="s">
        <v>364</v>
      </c>
      <c r="C36" s="28" t="s">
        <v>365</v>
      </c>
      <c r="D36" s="28" t="s">
        <v>329</v>
      </c>
      <c r="E36" s="29">
        <v>21811</v>
      </c>
      <c r="F36" s="30">
        <v>872.64</v>
      </c>
      <c r="G36" s="31">
        <v>1.35E-2</v>
      </c>
      <c r="H36" s="32"/>
    </row>
    <row r="37" spans="2:8" ht="15.75" customHeight="1" x14ac:dyDescent="0.2">
      <c r="B37" s="28" t="s">
        <v>330</v>
      </c>
      <c r="C37" s="28" t="s">
        <v>331</v>
      </c>
      <c r="D37" s="28" t="s">
        <v>329</v>
      </c>
      <c r="E37" s="29">
        <v>25333</v>
      </c>
      <c r="F37" s="30">
        <v>864.31</v>
      </c>
      <c r="G37" s="31">
        <v>1.34E-2</v>
      </c>
      <c r="H37" s="32"/>
    </row>
    <row r="38" spans="2:8" ht="15.75" customHeight="1" x14ac:dyDescent="0.2">
      <c r="B38" s="28" t="s">
        <v>593</v>
      </c>
      <c r="C38" s="28" t="s">
        <v>594</v>
      </c>
      <c r="D38" s="28" t="s">
        <v>263</v>
      </c>
      <c r="E38" s="29">
        <v>116973</v>
      </c>
      <c r="F38" s="30">
        <v>854.6</v>
      </c>
      <c r="G38" s="31">
        <v>1.32E-2</v>
      </c>
      <c r="H38" s="32"/>
    </row>
    <row r="39" spans="2:8" ht="15.75" customHeight="1" x14ac:dyDescent="0.2">
      <c r="B39" s="28" t="s">
        <v>576</v>
      </c>
      <c r="C39" s="28" t="s">
        <v>577</v>
      </c>
      <c r="D39" s="28" t="s">
        <v>578</v>
      </c>
      <c r="E39" s="29">
        <v>19379</v>
      </c>
      <c r="F39" s="30">
        <v>852.64</v>
      </c>
      <c r="G39" s="31">
        <v>1.32E-2</v>
      </c>
      <c r="H39" s="32"/>
    </row>
    <row r="40" spans="2:8" ht="15.75" customHeight="1" x14ac:dyDescent="0.2">
      <c r="B40" s="28" t="s">
        <v>794</v>
      </c>
      <c r="C40" s="28" t="s">
        <v>795</v>
      </c>
      <c r="D40" s="28" t="s">
        <v>466</v>
      </c>
      <c r="E40" s="29">
        <v>40590</v>
      </c>
      <c r="F40" s="30">
        <v>846.63</v>
      </c>
      <c r="G40" s="31">
        <v>1.3100000000000001E-2</v>
      </c>
      <c r="H40" s="32"/>
    </row>
    <row r="41" spans="2:8" ht="15.75" customHeight="1" x14ac:dyDescent="0.2">
      <c r="B41" s="28" t="s">
        <v>773</v>
      </c>
      <c r="C41" s="28" t="s">
        <v>774</v>
      </c>
      <c r="D41" s="28" t="s">
        <v>329</v>
      </c>
      <c r="E41" s="29">
        <v>1219939</v>
      </c>
      <c r="F41" s="30">
        <v>809.31</v>
      </c>
      <c r="G41" s="31">
        <v>1.2500000000000001E-2</v>
      </c>
      <c r="H41" s="32"/>
    </row>
    <row r="42" spans="2:8" ht="15.75" customHeight="1" x14ac:dyDescent="0.2">
      <c r="B42" s="28" t="s">
        <v>796</v>
      </c>
      <c r="C42" s="28" t="s">
        <v>797</v>
      </c>
      <c r="D42" s="28" t="s">
        <v>329</v>
      </c>
      <c r="E42" s="29">
        <v>430400</v>
      </c>
      <c r="F42" s="30">
        <v>805.41</v>
      </c>
      <c r="G42" s="31">
        <v>1.24E-2</v>
      </c>
      <c r="H42" s="32"/>
    </row>
    <row r="43" spans="2:8" ht="15.75" customHeight="1" x14ac:dyDescent="0.2">
      <c r="B43" s="28" t="s">
        <v>607</v>
      </c>
      <c r="C43" s="28" t="s">
        <v>608</v>
      </c>
      <c r="D43" s="28" t="s">
        <v>349</v>
      </c>
      <c r="E43" s="29">
        <v>13373</v>
      </c>
      <c r="F43" s="30">
        <v>804.19</v>
      </c>
      <c r="G43" s="31">
        <v>1.24E-2</v>
      </c>
      <c r="H43" s="32"/>
    </row>
    <row r="44" spans="2:8" ht="15.75" customHeight="1" x14ac:dyDescent="0.2">
      <c r="B44" s="28" t="s">
        <v>394</v>
      </c>
      <c r="C44" s="28" t="s">
        <v>395</v>
      </c>
      <c r="D44" s="28" t="s">
        <v>349</v>
      </c>
      <c r="E44" s="29">
        <v>35549</v>
      </c>
      <c r="F44" s="30">
        <v>792.92</v>
      </c>
      <c r="G44" s="31">
        <v>1.23E-2</v>
      </c>
      <c r="H44" s="32"/>
    </row>
    <row r="45" spans="2:8" ht="15.75" customHeight="1" x14ac:dyDescent="0.2">
      <c r="B45" s="28" t="s">
        <v>629</v>
      </c>
      <c r="C45" s="28" t="s">
        <v>630</v>
      </c>
      <c r="D45" s="28" t="s">
        <v>329</v>
      </c>
      <c r="E45" s="29">
        <v>165781</v>
      </c>
      <c r="F45" s="30">
        <v>790.44</v>
      </c>
      <c r="G45" s="31">
        <v>1.2200000000000001E-2</v>
      </c>
      <c r="H45" s="32"/>
    </row>
    <row r="46" spans="2:8" ht="15.75" customHeight="1" x14ac:dyDescent="0.2">
      <c r="B46" s="28" t="s">
        <v>798</v>
      </c>
      <c r="C46" s="28" t="s">
        <v>799</v>
      </c>
      <c r="D46" s="28" t="s">
        <v>329</v>
      </c>
      <c r="E46" s="29">
        <v>20590</v>
      </c>
      <c r="F46" s="30">
        <v>786.85</v>
      </c>
      <c r="G46" s="31">
        <v>1.2200000000000001E-2</v>
      </c>
      <c r="H46" s="32"/>
    </row>
    <row r="47" spans="2:8" ht="15.75" customHeight="1" x14ac:dyDescent="0.2">
      <c r="B47" s="28" t="s">
        <v>342</v>
      </c>
      <c r="C47" s="28" t="s">
        <v>343</v>
      </c>
      <c r="D47" s="28" t="s">
        <v>175</v>
      </c>
      <c r="E47" s="29">
        <v>253350</v>
      </c>
      <c r="F47" s="30">
        <v>773.86</v>
      </c>
      <c r="G47" s="31">
        <v>1.2E-2</v>
      </c>
      <c r="H47" s="32"/>
    </row>
    <row r="48" spans="2:8" ht="15.75" customHeight="1" x14ac:dyDescent="0.2">
      <c r="B48" s="28" t="s">
        <v>619</v>
      </c>
      <c r="C48" s="28" t="s">
        <v>620</v>
      </c>
      <c r="D48" s="28" t="s">
        <v>178</v>
      </c>
      <c r="E48" s="29">
        <v>178923</v>
      </c>
      <c r="F48" s="30">
        <v>773.04</v>
      </c>
      <c r="G48" s="31">
        <v>1.1900000000000001E-2</v>
      </c>
      <c r="H48" s="32"/>
    </row>
    <row r="49" spans="2:8" ht="15.75" customHeight="1" x14ac:dyDescent="0.2">
      <c r="B49" s="28" t="s">
        <v>170</v>
      </c>
      <c r="C49" s="28" t="s">
        <v>171</v>
      </c>
      <c r="D49" s="28" t="s">
        <v>172</v>
      </c>
      <c r="E49" s="29">
        <v>51188</v>
      </c>
      <c r="F49" s="30">
        <v>758.76</v>
      </c>
      <c r="G49" s="31">
        <v>1.17E-2</v>
      </c>
      <c r="H49" s="32"/>
    </row>
    <row r="50" spans="2:8" ht="15.75" customHeight="1" x14ac:dyDescent="0.2">
      <c r="B50" s="28" t="s">
        <v>485</v>
      </c>
      <c r="C50" s="28" t="s">
        <v>486</v>
      </c>
      <c r="D50" s="28" t="s">
        <v>224</v>
      </c>
      <c r="E50" s="29">
        <v>40146</v>
      </c>
      <c r="F50" s="30">
        <v>744.35</v>
      </c>
      <c r="G50" s="31">
        <v>1.15E-2</v>
      </c>
      <c r="H50" s="32"/>
    </row>
    <row r="51" spans="2:8" ht="15.75" customHeight="1" x14ac:dyDescent="0.2">
      <c r="B51" s="28" t="s">
        <v>288</v>
      </c>
      <c r="C51" s="28" t="s">
        <v>289</v>
      </c>
      <c r="D51" s="28" t="s">
        <v>290</v>
      </c>
      <c r="E51" s="29">
        <v>270069</v>
      </c>
      <c r="F51" s="30">
        <v>717.01</v>
      </c>
      <c r="G51" s="31">
        <v>1.11E-2</v>
      </c>
      <c r="H51" s="32"/>
    </row>
    <row r="52" spans="2:8" ht="15.75" customHeight="1" x14ac:dyDescent="0.2">
      <c r="B52" s="28" t="s">
        <v>231</v>
      </c>
      <c r="C52" s="28" t="s">
        <v>232</v>
      </c>
      <c r="D52" s="28" t="s">
        <v>233</v>
      </c>
      <c r="E52" s="29">
        <v>7743</v>
      </c>
      <c r="F52" s="30">
        <v>715.72</v>
      </c>
      <c r="G52" s="31">
        <v>1.11E-2</v>
      </c>
      <c r="H52" s="32"/>
    </row>
    <row r="53" spans="2:8" ht="15.75" customHeight="1" x14ac:dyDescent="0.2">
      <c r="B53" s="28" t="s">
        <v>347</v>
      </c>
      <c r="C53" s="28" t="s">
        <v>348</v>
      </c>
      <c r="D53" s="28" t="s">
        <v>349</v>
      </c>
      <c r="E53" s="29">
        <v>319836</v>
      </c>
      <c r="F53" s="30">
        <v>707.25</v>
      </c>
      <c r="G53" s="31">
        <v>1.09E-2</v>
      </c>
      <c r="H53" s="32"/>
    </row>
    <row r="54" spans="2:8" ht="15.75" customHeight="1" x14ac:dyDescent="0.2">
      <c r="B54" s="28" t="s">
        <v>800</v>
      </c>
      <c r="C54" s="28" t="s">
        <v>801</v>
      </c>
      <c r="D54" s="28" t="s">
        <v>389</v>
      </c>
      <c r="E54" s="29">
        <v>222080</v>
      </c>
      <c r="F54" s="30">
        <v>687.67</v>
      </c>
      <c r="G54" s="31">
        <v>1.06E-2</v>
      </c>
      <c r="H54" s="32"/>
    </row>
    <row r="55" spans="2:8" ht="15.75" customHeight="1" x14ac:dyDescent="0.2">
      <c r="B55" s="28" t="s">
        <v>802</v>
      </c>
      <c r="C55" s="28" t="s">
        <v>803</v>
      </c>
      <c r="D55" s="28" t="s">
        <v>290</v>
      </c>
      <c r="E55" s="29">
        <v>80929</v>
      </c>
      <c r="F55" s="30">
        <v>676.97</v>
      </c>
      <c r="G55" s="31">
        <v>1.0500000000000001E-2</v>
      </c>
      <c r="H55" s="32"/>
    </row>
    <row r="56" spans="2:8" ht="15.75" customHeight="1" x14ac:dyDescent="0.2">
      <c r="B56" s="28" t="s">
        <v>588</v>
      </c>
      <c r="C56" s="28" t="s">
        <v>589</v>
      </c>
      <c r="D56" s="28" t="s">
        <v>590</v>
      </c>
      <c r="E56" s="29">
        <v>63071</v>
      </c>
      <c r="F56" s="30">
        <v>674.48</v>
      </c>
      <c r="G56" s="31">
        <v>1.04E-2</v>
      </c>
      <c r="H56" s="32"/>
    </row>
    <row r="57" spans="2:8" ht="15.75" customHeight="1" x14ac:dyDescent="0.2">
      <c r="B57" s="28" t="s">
        <v>804</v>
      </c>
      <c r="C57" s="28" t="s">
        <v>805</v>
      </c>
      <c r="D57" s="28" t="s">
        <v>263</v>
      </c>
      <c r="E57" s="29">
        <v>61568</v>
      </c>
      <c r="F57" s="30">
        <v>660.26</v>
      </c>
      <c r="G57" s="31">
        <v>1.0200000000000001E-2</v>
      </c>
      <c r="H57" s="32"/>
    </row>
    <row r="58" spans="2:8" ht="15.75" customHeight="1" x14ac:dyDescent="0.2">
      <c r="B58" s="28" t="s">
        <v>806</v>
      </c>
      <c r="C58" s="28" t="s">
        <v>807</v>
      </c>
      <c r="D58" s="28" t="s">
        <v>300</v>
      </c>
      <c r="E58" s="29">
        <v>228352</v>
      </c>
      <c r="F58" s="30">
        <v>639.04</v>
      </c>
      <c r="G58" s="31">
        <v>9.9000000000000008E-3</v>
      </c>
      <c r="H58" s="32"/>
    </row>
    <row r="59" spans="2:8" ht="15.75" customHeight="1" x14ac:dyDescent="0.2">
      <c r="B59" s="28" t="s">
        <v>808</v>
      </c>
      <c r="C59" s="28" t="s">
        <v>809</v>
      </c>
      <c r="D59" s="28" t="s">
        <v>178</v>
      </c>
      <c r="E59" s="29">
        <v>5001</v>
      </c>
      <c r="F59" s="30">
        <v>621.32000000000005</v>
      </c>
      <c r="G59" s="31">
        <v>9.5999999999999992E-3</v>
      </c>
      <c r="H59" s="32"/>
    </row>
    <row r="60" spans="2:8" ht="15.75" customHeight="1" x14ac:dyDescent="0.2">
      <c r="B60" s="28" t="s">
        <v>810</v>
      </c>
      <c r="C60" s="28" t="s">
        <v>811</v>
      </c>
      <c r="D60" s="28" t="s">
        <v>203</v>
      </c>
      <c r="E60" s="29">
        <v>209236</v>
      </c>
      <c r="F60" s="30">
        <v>606.47</v>
      </c>
      <c r="G60" s="31">
        <v>9.4000000000000004E-3</v>
      </c>
      <c r="H60" s="32"/>
    </row>
    <row r="61" spans="2:8" ht="15.75" customHeight="1" x14ac:dyDescent="0.2">
      <c r="B61" s="28" t="s">
        <v>812</v>
      </c>
      <c r="C61" s="28" t="s">
        <v>813</v>
      </c>
      <c r="D61" s="28" t="s">
        <v>466</v>
      </c>
      <c r="E61" s="29">
        <v>436832</v>
      </c>
      <c r="F61" s="30">
        <v>596.1</v>
      </c>
      <c r="G61" s="31">
        <v>9.1999999999999998E-3</v>
      </c>
      <c r="H61" s="32"/>
    </row>
    <row r="62" spans="2:8" ht="15.75" customHeight="1" x14ac:dyDescent="0.2">
      <c r="B62" s="28" t="s">
        <v>601</v>
      </c>
      <c r="C62" s="28" t="s">
        <v>602</v>
      </c>
      <c r="D62" s="28" t="s">
        <v>361</v>
      </c>
      <c r="E62" s="29">
        <v>30225</v>
      </c>
      <c r="F62" s="30">
        <v>583.52</v>
      </c>
      <c r="G62" s="31">
        <v>8.9999999999999993E-3</v>
      </c>
      <c r="H62" s="32"/>
    </row>
    <row r="63" spans="2:8" ht="15.75" customHeight="1" x14ac:dyDescent="0.2">
      <c r="B63" s="28" t="s">
        <v>814</v>
      </c>
      <c r="C63" s="28" t="s">
        <v>815</v>
      </c>
      <c r="D63" s="28" t="s">
        <v>224</v>
      </c>
      <c r="E63" s="29">
        <v>11033</v>
      </c>
      <c r="F63" s="30">
        <v>574.71</v>
      </c>
      <c r="G63" s="31">
        <v>8.8999999999999999E-3</v>
      </c>
      <c r="H63" s="32"/>
    </row>
    <row r="64" spans="2:8" ht="15.75" customHeight="1" x14ac:dyDescent="0.2">
      <c r="B64" s="28" t="s">
        <v>816</v>
      </c>
      <c r="C64" s="28" t="s">
        <v>817</v>
      </c>
      <c r="D64" s="28" t="s">
        <v>300</v>
      </c>
      <c r="E64" s="29">
        <v>44267</v>
      </c>
      <c r="F64" s="30">
        <v>531.51</v>
      </c>
      <c r="G64" s="31">
        <v>8.2000000000000007E-3</v>
      </c>
      <c r="H64" s="32"/>
    </row>
    <row r="65" spans="2:14" ht="15.75" customHeight="1" x14ac:dyDescent="0.2">
      <c r="B65" s="28" t="s">
        <v>818</v>
      </c>
      <c r="C65" s="28" t="s">
        <v>819</v>
      </c>
      <c r="D65" s="28" t="s">
        <v>178</v>
      </c>
      <c r="E65" s="29">
        <v>292008</v>
      </c>
      <c r="F65" s="30">
        <v>530.58000000000004</v>
      </c>
      <c r="G65" s="31">
        <v>8.2000000000000007E-3</v>
      </c>
      <c r="H65" s="32"/>
    </row>
    <row r="66" spans="2:14" ht="15.75" customHeight="1" x14ac:dyDescent="0.2">
      <c r="B66" s="28" t="s">
        <v>820</v>
      </c>
      <c r="C66" s="28" t="s">
        <v>821</v>
      </c>
      <c r="D66" s="28" t="s">
        <v>172</v>
      </c>
      <c r="E66" s="29">
        <v>24509</v>
      </c>
      <c r="F66" s="30">
        <v>524.39</v>
      </c>
      <c r="G66" s="31">
        <v>8.0999999999999996E-3</v>
      </c>
      <c r="H66" s="32"/>
    </row>
    <row r="67" spans="2:14" ht="15.75" customHeight="1" x14ac:dyDescent="0.2">
      <c r="B67" s="28" t="s">
        <v>822</v>
      </c>
      <c r="C67" s="28" t="s">
        <v>823</v>
      </c>
      <c r="D67" s="28" t="s">
        <v>590</v>
      </c>
      <c r="E67" s="29">
        <v>159963</v>
      </c>
      <c r="F67" s="30">
        <v>509.96</v>
      </c>
      <c r="G67" s="31">
        <v>7.9000000000000008E-3</v>
      </c>
      <c r="H67" s="32"/>
      <c r="J67" s="3"/>
    </row>
    <row r="68" spans="2:14" ht="15.75" customHeight="1" x14ac:dyDescent="0.2">
      <c r="B68" s="28" t="s">
        <v>778</v>
      </c>
      <c r="C68" s="28" t="s">
        <v>779</v>
      </c>
      <c r="D68" s="28" t="s">
        <v>590</v>
      </c>
      <c r="E68" s="29">
        <v>66808</v>
      </c>
      <c r="F68" s="30">
        <v>494.08</v>
      </c>
      <c r="G68" s="31">
        <v>7.6E-3</v>
      </c>
      <c r="H68" s="32"/>
    </row>
    <row r="69" spans="2:14" ht="15.75" customHeight="1" x14ac:dyDescent="0.2">
      <c r="B69" s="28" t="s">
        <v>684</v>
      </c>
      <c r="C69" s="28" t="s">
        <v>685</v>
      </c>
      <c r="D69" s="28" t="s">
        <v>571</v>
      </c>
      <c r="E69" s="29">
        <v>12705</v>
      </c>
      <c r="F69" s="30">
        <v>454.51</v>
      </c>
      <c r="G69" s="31">
        <v>7.0000000000000001E-3</v>
      </c>
      <c r="H69" s="32"/>
      <c r="J69" s="3"/>
    </row>
    <row r="70" spans="2:14" ht="15.75" customHeight="1" x14ac:dyDescent="0.2">
      <c r="B70" s="28" t="s">
        <v>824</v>
      </c>
      <c r="C70" s="28" t="s">
        <v>825</v>
      </c>
      <c r="D70" s="28" t="s">
        <v>260</v>
      </c>
      <c r="E70" s="29">
        <v>70133</v>
      </c>
      <c r="F70" s="30">
        <v>454.25</v>
      </c>
      <c r="G70" s="31">
        <v>7.0000000000000001E-3</v>
      </c>
      <c r="H70" s="32"/>
      <c r="J70" s="3"/>
    </row>
    <row r="71" spans="2:14" ht="15.75" customHeight="1" x14ac:dyDescent="0.2">
      <c r="B71" s="28" t="s">
        <v>826</v>
      </c>
      <c r="C71" s="28" t="s">
        <v>827</v>
      </c>
      <c r="D71" s="28" t="s">
        <v>425</v>
      </c>
      <c r="E71" s="29">
        <v>105977</v>
      </c>
      <c r="F71" s="30">
        <v>424.17</v>
      </c>
      <c r="G71" s="31">
        <v>6.6E-3</v>
      </c>
      <c r="H71" s="32"/>
      <c r="J71" s="3"/>
    </row>
    <row r="72" spans="2:14" ht="15.75" customHeight="1" x14ac:dyDescent="0.2">
      <c r="B72" s="28" t="s">
        <v>376</v>
      </c>
      <c r="C72" s="28" t="s">
        <v>377</v>
      </c>
      <c r="D72" s="28" t="s">
        <v>326</v>
      </c>
      <c r="E72" s="29">
        <v>29152</v>
      </c>
      <c r="F72" s="30">
        <v>384.54</v>
      </c>
      <c r="G72" s="31">
        <v>5.8999999999999999E-3</v>
      </c>
      <c r="H72" s="32"/>
      <c r="J72" s="3"/>
    </row>
    <row r="73" spans="2:14" ht="15.75" customHeight="1" x14ac:dyDescent="0.2">
      <c r="B73" s="28" t="s">
        <v>402</v>
      </c>
      <c r="C73" s="28" t="s">
        <v>403</v>
      </c>
      <c r="D73" s="28" t="s">
        <v>329</v>
      </c>
      <c r="E73" s="29">
        <v>35137</v>
      </c>
      <c r="F73" s="30">
        <v>376.56</v>
      </c>
      <c r="G73" s="31">
        <v>5.7999999999999996E-3</v>
      </c>
      <c r="H73" s="32"/>
      <c r="J73" s="3"/>
    </row>
    <row r="74" spans="2:14" ht="15.75" customHeight="1" x14ac:dyDescent="0.2">
      <c r="B74" s="28" t="s">
        <v>828</v>
      </c>
      <c r="C74" s="28" t="s">
        <v>829</v>
      </c>
      <c r="D74" s="28" t="s">
        <v>326</v>
      </c>
      <c r="E74" s="29">
        <v>124830</v>
      </c>
      <c r="F74" s="30">
        <v>350.09</v>
      </c>
      <c r="G74" s="31">
        <v>5.4000000000000003E-3</v>
      </c>
      <c r="H74" s="32"/>
      <c r="J74" s="5"/>
      <c r="K74" s="5"/>
      <c r="L74" s="6"/>
      <c r="M74" s="6"/>
      <c r="N74" s="5"/>
    </row>
    <row r="75" spans="2:14" ht="15.75" customHeight="1" x14ac:dyDescent="0.2">
      <c r="B75" s="28" t="s">
        <v>641</v>
      </c>
      <c r="C75" s="28" t="s">
        <v>642</v>
      </c>
      <c r="D75" s="28" t="s">
        <v>361</v>
      </c>
      <c r="E75" s="29">
        <v>47080</v>
      </c>
      <c r="F75" s="30">
        <v>325.91000000000003</v>
      </c>
      <c r="G75" s="31">
        <v>5.0000000000000001E-3</v>
      </c>
      <c r="H75" s="32"/>
    </row>
    <row r="76" spans="2:14" ht="15.75" customHeight="1" x14ac:dyDescent="0.2">
      <c r="B76" s="28" t="s">
        <v>743</v>
      </c>
      <c r="C76" s="28" t="s">
        <v>744</v>
      </c>
      <c r="D76" s="28" t="s">
        <v>221</v>
      </c>
      <c r="E76" s="29">
        <v>38071</v>
      </c>
      <c r="F76" s="30">
        <v>245.84</v>
      </c>
      <c r="G76" s="31">
        <v>3.8E-3</v>
      </c>
      <c r="H76" s="32"/>
    </row>
    <row r="77" spans="2:14" ht="15.75" customHeight="1" x14ac:dyDescent="0.2">
      <c r="B77" s="28" t="s">
        <v>830</v>
      </c>
      <c r="C77" s="28" t="s">
        <v>831</v>
      </c>
      <c r="D77" s="28" t="s">
        <v>349</v>
      </c>
      <c r="E77" s="29">
        <v>4051</v>
      </c>
      <c r="F77" s="30">
        <v>231.23</v>
      </c>
      <c r="G77" s="31">
        <v>3.5999999999999999E-3</v>
      </c>
      <c r="H77" s="32"/>
      <c r="J77" s="7"/>
      <c r="K77" s="7"/>
      <c r="L77" s="7"/>
      <c r="M77" s="7"/>
      <c r="N77" s="7"/>
    </row>
    <row r="78" spans="2:14" ht="15.75" customHeight="1" x14ac:dyDescent="0.2">
      <c r="B78" s="28" t="s">
        <v>832</v>
      </c>
      <c r="C78" s="28" t="s">
        <v>833</v>
      </c>
      <c r="D78" s="28" t="s">
        <v>329</v>
      </c>
      <c r="E78" s="29">
        <v>285220</v>
      </c>
      <c r="F78" s="30">
        <v>199.74</v>
      </c>
      <c r="G78" s="31">
        <v>3.0999999999999999E-3</v>
      </c>
      <c r="H78" s="32"/>
      <c r="J78" s="7"/>
      <c r="K78" s="7"/>
      <c r="L78" s="7"/>
      <c r="M78" s="7"/>
      <c r="N78" s="7"/>
    </row>
    <row r="79" spans="2:14" ht="15.75" customHeight="1" x14ac:dyDescent="0.2">
      <c r="B79" s="28" t="s">
        <v>199</v>
      </c>
      <c r="C79" s="28" t="s">
        <v>200</v>
      </c>
      <c r="D79" s="28" t="s">
        <v>172</v>
      </c>
      <c r="E79" s="29">
        <v>4930</v>
      </c>
      <c r="F79" s="30">
        <v>150.76</v>
      </c>
      <c r="G79" s="31">
        <v>2.3E-3</v>
      </c>
      <c r="H79" s="32"/>
      <c r="J79" s="7"/>
      <c r="K79" s="7"/>
      <c r="L79" s="7"/>
      <c r="M79" s="7"/>
      <c r="N79" s="7"/>
    </row>
    <row r="80" spans="2:14" ht="15.75" customHeight="1" x14ac:dyDescent="0.2">
      <c r="B80" s="28" t="s">
        <v>834</v>
      </c>
      <c r="C80" s="28" t="s">
        <v>835</v>
      </c>
      <c r="D80" s="28" t="s">
        <v>260</v>
      </c>
      <c r="E80" s="29">
        <v>35600</v>
      </c>
      <c r="F80" s="30">
        <v>101.42</v>
      </c>
      <c r="G80" s="31">
        <v>1.6000000000000001E-3</v>
      </c>
      <c r="H80" s="32"/>
      <c r="J80" s="7"/>
      <c r="K80" s="7"/>
      <c r="L80" s="7"/>
      <c r="M80" s="7"/>
      <c r="N80" s="7"/>
    </row>
    <row r="81" spans="2:14" ht="15.75" customHeight="1" x14ac:dyDescent="0.2">
      <c r="B81" s="28" t="s">
        <v>1129</v>
      </c>
      <c r="C81" s="28" t="s">
        <v>336</v>
      </c>
      <c r="D81" s="28" t="s">
        <v>263</v>
      </c>
      <c r="E81" s="29">
        <v>137080</v>
      </c>
      <c r="F81" s="30">
        <v>1000.68</v>
      </c>
      <c r="G81" s="31">
        <v>1.55E-2</v>
      </c>
      <c r="H81" s="32"/>
    </row>
    <row r="82" spans="2:14" ht="15.75" customHeight="1" x14ac:dyDescent="0.2">
      <c r="B82" s="28" t="s">
        <v>760</v>
      </c>
      <c r="C82" s="28" t="s">
        <v>761</v>
      </c>
      <c r="D82" s="28" t="s">
        <v>246</v>
      </c>
      <c r="E82" s="29">
        <v>3829</v>
      </c>
      <c r="F82" s="30">
        <v>14.77</v>
      </c>
      <c r="G82" s="31">
        <v>2.0000000000000001E-4</v>
      </c>
      <c r="H82" s="32"/>
      <c r="J82" s="7"/>
      <c r="K82" s="7"/>
      <c r="L82" s="7"/>
      <c r="M82" s="7"/>
      <c r="N82" s="7"/>
    </row>
    <row r="83" spans="2:14" ht="15.75" customHeight="1" x14ac:dyDescent="0.2">
      <c r="B83" s="27" t="s">
        <v>127</v>
      </c>
      <c r="C83" s="27"/>
      <c r="D83" s="27"/>
      <c r="E83" s="33"/>
      <c r="F83" s="34">
        <f>SUM(F7:F82)</f>
        <v>62697.540000000008</v>
      </c>
      <c r="G83" s="35">
        <v>0.96879999999999999</v>
      </c>
      <c r="H83" s="36"/>
      <c r="J83" s="7"/>
      <c r="K83" s="7"/>
      <c r="L83" s="7"/>
      <c r="M83" s="7"/>
      <c r="N83" s="7"/>
    </row>
    <row r="84" spans="2:14" ht="15.75" customHeight="1" x14ac:dyDescent="0.2">
      <c r="B84" s="27" t="s">
        <v>189</v>
      </c>
      <c r="C84" s="28"/>
      <c r="D84" s="28"/>
      <c r="E84" s="29"/>
      <c r="F84" s="30"/>
      <c r="G84" s="31"/>
      <c r="H84" s="32"/>
      <c r="J84" s="3"/>
    </row>
    <row r="85" spans="2:14" ht="15.75" customHeight="1" x14ac:dyDescent="0.2">
      <c r="B85" s="27" t="s">
        <v>127</v>
      </c>
      <c r="C85" s="28"/>
      <c r="D85" s="28"/>
      <c r="E85" s="29"/>
      <c r="F85" s="37" t="s">
        <v>129</v>
      </c>
      <c r="G85" s="38" t="s">
        <v>129</v>
      </c>
      <c r="H85" s="32"/>
      <c r="J85" s="3"/>
    </row>
    <row r="86" spans="2:14" ht="15.75" customHeight="1" x14ac:dyDescent="0.2">
      <c r="B86" s="27"/>
      <c r="C86" s="28"/>
      <c r="D86" s="28"/>
      <c r="E86" s="29"/>
      <c r="F86" s="30"/>
      <c r="G86" s="31"/>
      <c r="H86" s="32"/>
      <c r="J86" s="7"/>
      <c r="K86" s="7"/>
      <c r="L86" s="7"/>
      <c r="M86" s="7"/>
      <c r="N86" s="7"/>
    </row>
    <row r="87" spans="2:14" ht="15.75" customHeight="1" x14ac:dyDescent="0.2">
      <c r="B87" s="39" t="s">
        <v>131</v>
      </c>
      <c r="C87" s="39"/>
      <c r="D87" s="39"/>
      <c r="E87" s="40"/>
      <c r="F87" s="34">
        <f>F83</f>
        <v>62697.540000000008</v>
      </c>
      <c r="G87" s="35">
        <f>G83</f>
        <v>0.96879999999999999</v>
      </c>
      <c r="H87" s="36"/>
    </row>
    <row r="88" spans="2:14" ht="15.75" customHeight="1" x14ac:dyDescent="0.2">
      <c r="B88" s="28"/>
      <c r="C88" s="28"/>
      <c r="D88" s="28"/>
      <c r="E88" s="29"/>
      <c r="F88" s="30"/>
      <c r="G88" s="31"/>
      <c r="H88" s="32"/>
    </row>
    <row r="89" spans="2:14" ht="15.75" customHeight="1" x14ac:dyDescent="0.2">
      <c r="B89" s="28"/>
      <c r="C89" s="28"/>
      <c r="D89" s="28"/>
      <c r="E89" s="29"/>
      <c r="F89" s="30"/>
      <c r="G89" s="31"/>
      <c r="H89" s="32"/>
    </row>
    <row r="90" spans="2:14" ht="15.75" customHeight="1" x14ac:dyDescent="0.2">
      <c r="B90" s="27" t="s">
        <v>134</v>
      </c>
      <c r="C90" s="28"/>
      <c r="D90" s="28"/>
      <c r="E90" s="29"/>
      <c r="F90" s="30"/>
      <c r="G90" s="31"/>
      <c r="H90" s="32"/>
    </row>
    <row r="91" spans="2:14" ht="15.75" customHeight="1" x14ac:dyDescent="0.2">
      <c r="B91" s="28" t="s">
        <v>135</v>
      </c>
      <c r="C91" s="28"/>
      <c r="D91" s="28"/>
      <c r="E91" s="29"/>
      <c r="F91" s="30">
        <v>2213.8200000000002</v>
      </c>
      <c r="G91" s="31">
        <v>3.4200000000000001E-2</v>
      </c>
      <c r="H91" s="32"/>
    </row>
    <row r="92" spans="2:14" ht="15.75" customHeight="1" x14ac:dyDescent="0.2">
      <c r="B92" s="27" t="s">
        <v>127</v>
      </c>
      <c r="C92" s="27"/>
      <c r="D92" s="27"/>
      <c r="E92" s="33"/>
      <c r="F92" s="34">
        <v>2213.8200000000002</v>
      </c>
      <c r="G92" s="35">
        <v>3.4200000000000001E-2</v>
      </c>
      <c r="H92" s="36"/>
    </row>
    <row r="93" spans="2:14" ht="15.75" customHeight="1" x14ac:dyDescent="0.2">
      <c r="B93" s="28"/>
      <c r="C93" s="28"/>
      <c r="D93" s="28"/>
      <c r="E93" s="29"/>
      <c r="F93" s="30"/>
      <c r="G93" s="31"/>
      <c r="H93" s="32"/>
    </row>
    <row r="94" spans="2:14" ht="15.75" customHeight="1" x14ac:dyDescent="0.2">
      <c r="B94" s="39" t="s">
        <v>131</v>
      </c>
      <c r="C94" s="39"/>
      <c r="D94" s="39"/>
      <c r="E94" s="40"/>
      <c r="F94" s="34">
        <v>2213.8200000000002</v>
      </c>
      <c r="G94" s="35">
        <v>3.4200000000000001E-2</v>
      </c>
      <c r="H94" s="36"/>
    </row>
    <row r="95" spans="2:14" ht="15.75" customHeight="1" x14ac:dyDescent="0.2">
      <c r="B95" s="28" t="s">
        <v>136</v>
      </c>
      <c r="C95" s="28"/>
      <c r="D95" s="28"/>
      <c r="E95" s="29"/>
      <c r="F95" s="41">
        <v>-200.13</v>
      </c>
      <c r="G95" s="42">
        <v>-2.9999999999998916E-3</v>
      </c>
      <c r="H95" s="32"/>
    </row>
    <row r="96" spans="2:14" ht="15.75" customHeight="1" x14ac:dyDescent="0.2">
      <c r="B96" s="43" t="s">
        <v>137</v>
      </c>
      <c r="C96" s="43"/>
      <c r="D96" s="43"/>
      <c r="E96" s="44"/>
      <c r="F96" s="45">
        <v>64711.23</v>
      </c>
      <c r="G96" s="46">
        <v>1</v>
      </c>
      <c r="H96" s="47"/>
    </row>
    <row r="97" spans="2:5" ht="15.75" customHeight="1" x14ac:dyDescent="0.2">
      <c r="B97" s="2"/>
    </row>
    <row r="100" spans="2:5" ht="15.75" customHeight="1" thickBot="1" x14ac:dyDescent="0.25"/>
    <row r="101" spans="2:5" ht="39.75" customHeight="1" thickBot="1" x14ac:dyDescent="0.25">
      <c r="B101" s="48" t="s">
        <v>139</v>
      </c>
      <c r="C101" s="49" t="s">
        <v>140</v>
      </c>
      <c r="D101" s="49" t="s">
        <v>141</v>
      </c>
      <c r="E101" s="49" t="s">
        <v>142</v>
      </c>
    </row>
    <row r="102" spans="2:5" ht="39.75" customHeight="1" x14ac:dyDescent="0.2">
      <c r="B102" s="61" t="s">
        <v>836</v>
      </c>
      <c r="C102" s="77"/>
      <c r="D102" s="80" t="s">
        <v>837</v>
      </c>
      <c r="E102" s="81"/>
    </row>
    <row r="103" spans="2:5" ht="39.75" customHeight="1" x14ac:dyDescent="0.2">
      <c r="B103" s="52" t="s">
        <v>646</v>
      </c>
      <c r="C103" s="78"/>
      <c r="D103" s="80"/>
      <c r="E103" s="82"/>
    </row>
    <row r="104" spans="2:5" ht="39.75" customHeight="1" x14ac:dyDescent="0.2">
      <c r="B104" s="52" t="s">
        <v>838</v>
      </c>
      <c r="C104" s="78"/>
      <c r="D104" s="80"/>
      <c r="E104" s="82"/>
    </row>
    <row r="105" spans="2:5" ht="39.75" customHeight="1" thickBot="1" x14ac:dyDescent="0.25">
      <c r="B105" s="62" t="s">
        <v>521</v>
      </c>
      <c r="C105" s="79"/>
      <c r="D105" s="50" t="s">
        <v>562</v>
      </c>
      <c r="E105" s="83"/>
    </row>
    <row r="106" spans="2:5" ht="15.75" customHeight="1" x14ac:dyDescent="0.2">
      <c r="B106" s="9" t="s">
        <v>144</v>
      </c>
    </row>
    <row r="108" spans="2:5" ht="15.75" customHeight="1" x14ac:dyDescent="0.2">
      <c r="B108" s="9" t="s">
        <v>145</v>
      </c>
    </row>
    <row r="109" spans="2:5" ht="15.75" customHeight="1" x14ac:dyDescent="0.2">
      <c r="B109" s="15" t="s">
        <v>146</v>
      </c>
    </row>
  </sheetData>
  <mergeCells count="3">
    <mergeCell ref="C102:C105"/>
    <mergeCell ref="D102:D104"/>
    <mergeCell ref="E102:E105"/>
  </mergeCells>
  <hyperlinks>
    <hyperlink ref="G1" location="'Sheet1'!A1" display="Index" xr:uid="{3F38650A-D606-4E6F-B8A3-3576677AB54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1CA34-5601-4AAC-8207-9824F25AAE9B}">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305</v>
      </c>
      <c r="C7" s="28" t="s">
        <v>306</v>
      </c>
      <c r="D7" s="28" t="s">
        <v>166</v>
      </c>
      <c r="E7" s="29">
        <v>59497</v>
      </c>
      <c r="F7" s="30">
        <v>1250.75</v>
      </c>
      <c r="G7" s="31">
        <v>7.1099999999999997E-2</v>
      </c>
      <c r="H7" s="32"/>
    </row>
    <row r="8" spans="2:8" ht="15.75" customHeight="1" x14ac:dyDescent="0.2">
      <c r="B8" s="28" t="s">
        <v>199</v>
      </c>
      <c r="C8" s="28" t="s">
        <v>200</v>
      </c>
      <c r="D8" s="28" t="s">
        <v>172</v>
      </c>
      <c r="E8" s="29">
        <v>34313</v>
      </c>
      <c r="F8" s="30">
        <v>1049.29</v>
      </c>
      <c r="G8" s="31">
        <v>5.9700000000000003E-2</v>
      </c>
      <c r="H8" s="32"/>
    </row>
    <row r="9" spans="2:8" ht="15.75" customHeight="1" x14ac:dyDescent="0.2">
      <c r="B9" s="28" t="s">
        <v>337</v>
      </c>
      <c r="C9" s="28" t="s">
        <v>338</v>
      </c>
      <c r="D9" s="28" t="s">
        <v>339</v>
      </c>
      <c r="E9" s="29">
        <v>83122</v>
      </c>
      <c r="F9" s="30">
        <v>968.37</v>
      </c>
      <c r="G9" s="31">
        <v>5.5100000000000003E-2</v>
      </c>
      <c r="H9" s="32"/>
    </row>
    <row r="10" spans="2:8" ht="15.75" customHeight="1" x14ac:dyDescent="0.2">
      <c r="B10" s="28" t="s">
        <v>342</v>
      </c>
      <c r="C10" s="28" t="s">
        <v>343</v>
      </c>
      <c r="D10" s="28" t="s">
        <v>175</v>
      </c>
      <c r="E10" s="29">
        <v>291188</v>
      </c>
      <c r="F10" s="30">
        <v>889.43</v>
      </c>
      <c r="G10" s="31">
        <v>5.0599999999999999E-2</v>
      </c>
      <c r="H10" s="32"/>
    </row>
    <row r="11" spans="2:8" ht="15.75" customHeight="1" x14ac:dyDescent="0.2">
      <c r="B11" s="28" t="s">
        <v>173</v>
      </c>
      <c r="C11" s="28" t="s">
        <v>174</v>
      </c>
      <c r="D11" s="28" t="s">
        <v>175</v>
      </c>
      <c r="E11" s="29">
        <v>106700</v>
      </c>
      <c r="F11" s="30">
        <v>799.08</v>
      </c>
      <c r="G11" s="31">
        <v>4.5400000000000003E-2</v>
      </c>
      <c r="H11" s="32"/>
    </row>
    <row r="12" spans="2:8" ht="15.75" customHeight="1" x14ac:dyDescent="0.2">
      <c r="B12" s="28" t="s">
        <v>376</v>
      </c>
      <c r="C12" s="28" t="s">
        <v>377</v>
      </c>
      <c r="D12" s="28" t="s">
        <v>326</v>
      </c>
      <c r="E12" s="29">
        <v>60093</v>
      </c>
      <c r="F12" s="30">
        <v>792.69</v>
      </c>
      <c r="G12" s="31">
        <v>4.5100000000000001E-2</v>
      </c>
      <c r="H12" s="32"/>
    </row>
    <row r="13" spans="2:8" ht="15.75" customHeight="1" x14ac:dyDescent="0.2">
      <c r="B13" s="28" t="s">
        <v>357</v>
      </c>
      <c r="C13" s="28" t="s">
        <v>358</v>
      </c>
      <c r="D13" s="28" t="s">
        <v>175</v>
      </c>
      <c r="E13" s="29">
        <v>84721</v>
      </c>
      <c r="F13" s="30">
        <v>744.4</v>
      </c>
      <c r="G13" s="31">
        <v>4.2299999999999997E-2</v>
      </c>
      <c r="H13" s="32"/>
    </row>
    <row r="14" spans="2:8" ht="15.75" customHeight="1" x14ac:dyDescent="0.2">
      <c r="B14" s="28" t="s">
        <v>347</v>
      </c>
      <c r="C14" s="28" t="s">
        <v>348</v>
      </c>
      <c r="D14" s="28" t="s">
        <v>349</v>
      </c>
      <c r="E14" s="29">
        <v>301129</v>
      </c>
      <c r="F14" s="30">
        <v>665.89</v>
      </c>
      <c r="G14" s="31">
        <v>3.7900000000000003E-2</v>
      </c>
      <c r="H14" s="32"/>
    </row>
    <row r="15" spans="2:8" ht="15.75" customHeight="1" x14ac:dyDescent="0.2">
      <c r="B15" s="28" t="s">
        <v>382</v>
      </c>
      <c r="C15" s="28" t="s">
        <v>383</v>
      </c>
      <c r="D15" s="28" t="s">
        <v>172</v>
      </c>
      <c r="E15" s="29">
        <v>44285</v>
      </c>
      <c r="F15" s="30">
        <v>630.79999999999995</v>
      </c>
      <c r="G15" s="31">
        <v>3.5900000000000001E-2</v>
      </c>
      <c r="H15" s="32"/>
    </row>
    <row r="16" spans="2:8" ht="15.75" customHeight="1" x14ac:dyDescent="0.2">
      <c r="B16" s="28" t="s">
        <v>607</v>
      </c>
      <c r="C16" s="28" t="s">
        <v>608</v>
      </c>
      <c r="D16" s="28" t="s">
        <v>349</v>
      </c>
      <c r="E16" s="29">
        <v>10080</v>
      </c>
      <c r="F16" s="30">
        <v>606.16</v>
      </c>
      <c r="G16" s="31">
        <v>3.4500000000000003E-2</v>
      </c>
      <c r="H16" s="32"/>
    </row>
    <row r="17" spans="2:8" ht="15.75" customHeight="1" x14ac:dyDescent="0.2">
      <c r="B17" s="28" t="s">
        <v>621</v>
      </c>
      <c r="C17" s="28" t="s">
        <v>622</v>
      </c>
      <c r="D17" s="28" t="s">
        <v>495</v>
      </c>
      <c r="E17" s="29">
        <v>154450</v>
      </c>
      <c r="F17" s="30">
        <v>602.04999999999995</v>
      </c>
      <c r="G17" s="31">
        <v>3.4200000000000001E-2</v>
      </c>
      <c r="H17" s="32"/>
    </row>
    <row r="18" spans="2:8" ht="15.75" customHeight="1" x14ac:dyDescent="0.2">
      <c r="B18" s="28" t="s">
        <v>605</v>
      </c>
      <c r="C18" s="28" t="s">
        <v>606</v>
      </c>
      <c r="D18" s="28" t="s">
        <v>430</v>
      </c>
      <c r="E18" s="29">
        <v>238629</v>
      </c>
      <c r="F18" s="30">
        <v>590.75</v>
      </c>
      <c r="G18" s="31">
        <v>3.3599999999999998E-2</v>
      </c>
      <c r="H18" s="32"/>
    </row>
    <row r="19" spans="2:8" ht="15.75" customHeight="1" x14ac:dyDescent="0.2">
      <c r="B19" s="28" t="s">
        <v>368</v>
      </c>
      <c r="C19" s="28" t="s">
        <v>369</v>
      </c>
      <c r="D19" s="28" t="s">
        <v>175</v>
      </c>
      <c r="E19" s="29">
        <v>39223</v>
      </c>
      <c r="F19" s="30">
        <v>558.38</v>
      </c>
      <c r="G19" s="31">
        <v>3.1800000000000002E-2</v>
      </c>
      <c r="H19" s="32"/>
    </row>
    <row r="20" spans="2:8" ht="15.75" customHeight="1" x14ac:dyDescent="0.2">
      <c r="B20" s="28" t="s">
        <v>830</v>
      </c>
      <c r="C20" s="28" t="s">
        <v>831</v>
      </c>
      <c r="D20" s="28" t="s">
        <v>349</v>
      </c>
      <c r="E20" s="29">
        <v>9717</v>
      </c>
      <c r="F20" s="30">
        <v>554.65</v>
      </c>
      <c r="G20" s="31">
        <v>3.15E-2</v>
      </c>
      <c r="H20" s="32"/>
    </row>
    <row r="21" spans="2:8" ht="15.75" customHeight="1" x14ac:dyDescent="0.2">
      <c r="B21" s="28" t="s">
        <v>762</v>
      </c>
      <c r="C21" s="28" t="s">
        <v>763</v>
      </c>
      <c r="D21" s="28" t="s">
        <v>224</v>
      </c>
      <c r="E21" s="29">
        <v>138176</v>
      </c>
      <c r="F21" s="30">
        <v>514.15</v>
      </c>
      <c r="G21" s="31">
        <v>2.92E-2</v>
      </c>
      <c r="H21" s="32"/>
    </row>
    <row r="22" spans="2:8" ht="15.75" customHeight="1" x14ac:dyDescent="0.2">
      <c r="B22" s="28" t="s">
        <v>615</v>
      </c>
      <c r="C22" s="28" t="s">
        <v>616</v>
      </c>
      <c r="D22" s="28" t="s">
        <v>290</v>
      </c>
      <c r="E22" s="29">
        <v>42307</v>
      </c>
      <c r="F22" s="30">
        <v>503.75</v>
      </c>
      <c r="G22" s="31">
        <v>2.87E-2</v>
      </c>
      <c r="H22" s="32"/>
    </row>
    <row r="23" spans="2:8" ht="15.75" customHeight="1" x14ac:dyDescent="0.2">
      <c r="B23" s="28" t="s">
        <v>637</v>
      </c>
      <c r="C23" s="28" t="s">
        <v>638</v>
      </c>
      <c r="D23" s="28" t="s">
        <v>246</v>
      </c>
      <c r="E23" s="29">
        <v>304462</v>
      </c>
      <c r="F23" s="30">
        <v>484.73</v>
      </c>
      <c r="G23" s="31">
        <v>2.76E-2</v>
      </c>
      <c r="H23" s="32"/>
    </row>
    <row r="24" spans="2:8" ht="15.75" customHeight="1" x14ac:dyDescent="0.2">
      <c r="B24" s="28" t="s">
        <v>461</v>
      </c>
      <c r="C24" s="28" t="s">
        <v>462</v>
      </c>
      <c r="D24" s="28" t="s">
        <v>463</v>
      </c>
      <c r="E24" s="29">
        <v>36740</v>
      </c>
      <c r="F24" s="30">
        <v>478.8</v>
      </c>
      <c r="G24" s="31">
        <v>2.7199999999999998E-2</v>
      </c>
      <c r="H24" s="32"/>
    </row>
    <row r="25" spans="2:8" ht="15.75" customHeight="1" x14ac:dyDescent="0.2">
      <c r="B25" s="28" t="s">
        <v>668</v>
      </c>
      <c r="C25" s="28" t="s">
        <v>669</v>
      </c>
      <c r="D25" s="28" t="s">
        <v>224</v>
      </c>
      <c r="E25" s="29">
        <v>27562</v>
      </c>
      <c r="F25" s="30">
        <v>476.19</v>
      </c>
      <c r="G25" s="31">
        <v>2.7099999999999999E-2</v>
      </c>
      <c r="H25" s="32"/>
    </row>
    <row r="26" spans="2:8" ht="15.75" customHeight="1" x14ac:dyDescent="0.2">
      <c r="B26" s="28" t="s">
        <v>489</v>
      </c>
      <c r="C26" s="28" t="s">
        <v>490</v>
      </c>
      <c r="D26" s="28" t="s">
        <v>349</v>
      </c>
      <c r="E26" s="29">
        <v>23543</v>
      </c>
      <c r="F26" s="30">
        <v>389</v>
      </c>
      <c r="G26" s="31">
        <v>2.2100000000000002E-2</v>
      </c>
      <c r="H26" s="32"/>
    </row>
    <row r="27" spans="2:8" ht="15.75" customHeight="1" x14ac:dyDescent="0.2">
      <c r="B27" s="28" t="s">
        <v>414</v>
      </c>
      <c r="C27" s="28" t="s">
        <v>415</v>
      </c>
      <c r="D27" s="28" t="s">
        <v>416</v>
      </c>
      <c r="E27" s="29">
        <v>84678</v>
      </c>
      <c r="F27" s="30">
        <v>336.43</v>
      </c>
      <c r="G27" s="31">
        <v>1.9099999999999999E-2</v>
      </c>
      <c r="H27" s="32"/>
    </row>
    <row r="28" spans="2:8" ht="15.75" customHeight="1" x14ac:dyDescent="0.2">
      <c r="B28" s="28" t="s">
        <v>286</v>
      </c>
      <c r="C28" s="28" t="s">
        <v>287</v>
      </c>
      <c r="D28" s="28" t="s">
        <v>260</v>
      </c>
      <c r="E28" s="29">
        <v>118973</v>
      </c>
      <c r="F28" s="30">
        <v>336.34</v>
      </c>
      <c r="G28" s="31">
        <v>1.9099999999999999E-2</v>
      </c>
      <c r="H28" s="32"/>
    </row>
    <row r="29" spans="2:8" ht="15.75" customHeight="1" x14ac:dyDescent="0.2">
      <c r="B29" s="28" t="s">
        <v>839</v>
      </c>
      <c r="C29" s="28" t="s">
        <v>840</v>
      </c>
      <c r="D29" s="28" t="s">
        <v>218</v>
      </c>
      <c r="E29" s="29">
        <v>73422</v>
      </c>
      <c r="F29" s="30">
        <v>331.76</v>
      </c>
      <c r="G29" s="31">
        <v>1.89E-2</v>
      </c>
      <c r="H29" s="32"/>
    </row>
    <row r="30" spans="2:8" ht="15.75" customHeight="1" x14ac:dyDescent="0.2">
      <c r="B30" s="28" t="s">
        <v>443</v>
      </c>
      <c r="C30" s="28" t="s">
        <v>444</v>
      </c>
      <c r="D30" s="28" t="s">
        <v>329</v>
      </c>
      <c r="E30" s="29">
        <v>32995</v>
      </c>
      <c r="F30" s="30">
        <v>329.92</v>
      </c>
      <c r="G30" s="31">
        <v>1.8800000000000001E-2</v>
      </c>
      <c r="H30" s="32"/>
    </row>
    <row r="31" spans="2:8" ht="15.75" customHeight="1" x14ac:dyDescent="0.2">
      <c r="B31" s="28" t="s">
        <v>841</v>
      </c>
      <c r="C31" s="28" t="s">
        <v>842</v>
      </c>
      <c r="D31" s="28" t="s">
        <v>293</v>
      </c>
      <c r="E31" s="29">
        <v>3504</v>
      </c>
      <c r="F31" s="30">
        <v>315.94</v>
      </c>
      <c r="G31" s="31">
        <v>1.7999999999999999E-2</v>
      </c>
      <c r="H31" s="32"/>
    </row>
    <row r="32" spans="2:8" ht="15.75" customHeight="1" x14ac:dyDescent="0.2">
      <c r="B32" s="28" t="s">
        <v>404</v>
      </c>
      <c r="C32" s="28" t="s">
        <v>405</v>
      </c>
      <c r="D32" s="28" t="s">
        <v>326</v>
      </c>
      <c r="E32" s="29">
        <v>35864</v>
      </c>
      <c r="F32" s="30">
        <v>315.44</v>
      </c>
      <c r="G32" s="31">
        <v>1.7899999999999999E-2</v>
      </c>
      <c r="H32" s="32"/>
    </row>
    <row r="33" spans="2:10" ht="15.75" customHeight="1" x14ac:dyDescent="0.2">
      <c r="B33" s="28" t="s">
        <v>843</v>
      </c>
      <c r="C33" s="28" t="s">
        <v>844</v>
      </c>
      <c r="D33" s="28" t="s">
        <v>845</v>
      </c>
      <c r="E33" s="29">
        <v>88539</v>
      </c>
      <c r="F33" s="30">
        <v>278.19</v>
      </c>
      <c r="G33" s="31">
        <v>1.5800000000000002E-2</v>
      </c>
      <c r="H33" s="32"/>
    </row>
    <row r="34" spans="2:10" ht="15.75" customHeight="1" x14ac:dyDescent="0.2">
      <c r="B34" s="28" t="s">
        <v>784</v>
      </c>
      <c r="C34" s="28" t="s">
        <v>785</v>
      </c>
      <c r="D34" s="28" t="s">
        <v>178</v>
      </c>
      <c r="E34" s="29">
        <v>49909</v>
      </c>
      <c r="F34" s="30">
        <v>222.87</v>
      </c>
      <c r="G34" s="31">
        <v>1.2699999999999999E-2</v>
      </c>
      <c r="H34" s="32"/>
    </row>
    <row r="35" spans="2:10" ht="15.75" customHeight="1" x14ac:dyDescent="0.2">
      <c r="B35" s="28" t="s">
        <v>599</v>
      </c>
      <c r="C35" s="28" t="s">
        <v>600</v>
      </c>
      <c r="D35" s="28" t="s">
        <v>260</v>
      </c>
      <c r="E35" s="29">
        <v>14642</v>
      </c>
      <c r="F35" s="30">
        <v>165.28</v>
      </c>
      <c r="G35" s="31">
        <v>9.4000000000000004E-3</v>
      </c>
      <c r="H35" s="32"/>
    </row>
    <row r="36" spans="2:10" ht="15.75" customHeight="1" x14ac:dyDescent="0.2">
      <c r="B36" s="28" t="s">
        <v>431</v>
      </c>
      <c r="C36" s="28" t="s">
        <v>432</v>
      </c>
      <c r="D36" s="28" t="s">
        <v>329</v>
      </c>
      <c r="E36" s="29">
        <v>44678</v>
      </c>
      <c r="F36" s="30">
        <v>142.21</v>
      </c>
      <c r="G36" s="31">
        <v>8.0999999999999996E-3</v>
      </c>
      <c r="H36" s="32"/>
    </row>
    <row r="37" spans="2:10" ht="15.75" customHeight="1" x14ac:dyDescent="0.2">
      <c r="B37" s="27" t="s">
        <v>127</v>
      </c>
      <c r="C37" s="27"/>
      <c r="D37" s="27"/>
      <c r="E37" s="33"/>
      <c r="F37" s="34">
        <v>16323.69</v>
      </c>
      <c r="G37" s="35">
        <v>0.9284</v>
      </c>
      <c r="H37" s="36"/>
    </row>
    <row r="38" spans="2:10" ht="15.75" customHeight="1" x14ac:dyDescent="0.2">
      <c r="B38" s="27" t="s">
        <v>189</v>
      </c>
      <c r="C38" s="28"/>
      <c r="D38" s="28"/>
      <c r="E38" s="29"/>
      <c r="F38" s="30"/>
      <c r="G38" s="31"/>
      <c r="H38" s="32"/>
      <c r="J38" s="3"/>
    </row>
    <row r="39" spans="2:10" ht="15.75" customHeight="1" x14ac:dyDescent="0.2">
      <c r="B39" s="27" t="s">
        <v>127</v>
      </c>
      <c r="C39" s="28"/>
      <c r="D39" s="28"/>
      <c r="E39" s="29"/>
      <c r="F39" s="37" t="s">
        <v>129</v>
      </c>
      <c r="G39" s="38" t="s">
        <v>129</v>
      </c>
      <c r="H39" s="32"/>
      <c r="J39" s="3"/>
    </row>
    <row r="40" spans="2:10" ht="15.75" customHeight="1" x14ac:dyDescent="0.2">
      <c r="B40" s="28"/>
      <c r="C40" s="28"/>
      <c r="D40" s="28"/>
      <c r="E40" s="29"/>
      <c r="F40" s="30"/>
      <c r="G40" s="31"/>
      <c r="H40" s="32"/>
    </row>
    <row r="41" spans="2:10" ht="15.75" customHeight="1" x14ac:dyDescent="0.2">
      <c r="B41" s="39" t="s">
        <v>131</v>
      </c>
      <c r="C41" s="39"/>
      <c r="D41" s="39"/>
      <c r="E41" s="40"/>
      <c r="F41" s="34">
        <v>16323.69</v>
      </c>
      <c r="G41" s="35">
        <v>0.9284</v>
      </c>
      <c r="H41" s="36"/>
    </row>
    <row r="42" spans="2:10" ht="15.75" customHeight="1" x14ac:dyDescent="0.2">
      <c r="B42" s="28"/>
      <c r="C42" s="28"/>
      <c r="D42" s="28"/>
      <c r="E42" s="29"/>
      <c r="F42" s="30"/>
      <c r="G42" s="31"/>
      <c r="H42" s="32"/>
    </row>
    <row r="43" spans="2:10" ht="15.75" customHeight="1" x14ac:dyDescent="0.2">
      <c r="B43" s="28"/>
      <c r="C43" s="28"/>
      <c r="D43" s="28"/>
      <c r="E43" s="29"/>
      <c r="F43" s="30"/>
      <c r="G43" s="31"/>
      <c r="H43" s="32"/>
    </row>
    <row r="44" spans="2:10" ht="15.75" customHeight="1" x14ac:dyDescent="0.2">
      <c r="B44" s="27" t="s">
        <v>134</v>
      </c>
      <c r="C44" s="28"/>
      <c r="D44" s="28"/>
      <c r="E44" s="29"/>
      <c r="F44" s="30"/>
      <c r="G44" s="31"/>
      <c r="H44" s="32"/>
    </row>
    <row r="45" spans="2:10" ht="15.75" customHeight="1" x14ac:dyDescent="0.2">
      <c r="B45" s="28" t="s">
        <v>135</v>
      </c>
      <c r="C45" s="28"/>
      <c r="D45" s="28"/>
      <c r="E45" s="29"/>
      <c r="F45" s="30">
        <v>1239.5999999999999</v>
      </c>
      <c r="G45" s="31">
        <v>7.0499999999999993E-2</v>
      </c>
      <c r="H45" s="32"/>
    </row>
    <row r="46" spans="2:10" ht="15.75" customHeight="1" x14ac:dyDescent="0.2">
      <c r="B46" s="27" t="s">
        <v>127</v>
      </c>
      <c r="C46" s="27"/>
      <c r="D46" s="27"/>
      <c r="E46" s="33"/>
      <c r="F46" s="34">
        <v>1239.5999999999999</v>
      </c>
      <c r="G46" s="35">
        <v>7.0499999999999993E-2</v>
      </c>
      <c r="H46" s="36"/>
    </row>
    <row r="47" spans="2:10" ht="15.75" customHeight="1" x14ac:dyDescent="0.2">
      <c r="B47" s="28"/>
      <c r="C47" s="28"/>
      <c r="D47" s="28"/>
      <c r="E47" s="29"/>
      <c r="F47" s="30"/>
      <c r="G47" s="31"/>
      <c r="H47" s="32"/>
    </row>
    <row r="48" spans="2:10" ht="15.75" customHeight="1" x14ac:dyDescent="0.2">
      <c r="B48" s="39" t="s">
        <v>131</v>
      </c>
      <c r="C48" s="39"/>
      <c r="D48" s="39"/>
      <c r="E48" s="40"/>
      <c r="F48" s="34">
        <v>1239.5999999999999</v>
      </c>
      <c r="G48" s="35">
        <v>7.0499999999999993E-2</v>
      </c>
      <c r="H48" s="36"/>
    </row>
    <row r="49" spans="2:8" ht="15.75" customHeight="1" x14ac:dyDescent="0.2">
      <c r="B49" s="28" t="s">
        <v>136</v>
      </c>
      <c r="C49" s="28"/>
      <c r="D49" s="28"/>
      <c r="E49" s="29"/>
      <c r="F49" s="30">
        <v>18.77</v>
      </c>
      <c r="G49" s="31">
        <v>1.0999999999999899E-3</v>
      </c>
      <c r="H49" s="32"/>
    </row>
    <row r="50" spans="2:8" ht="15.75" customHeight="1" x14ac:dyDescent="0.2">
      <c r="B50" s="43" t="s">
        <v>137</v>
      </c>
      <c r="C50" s="43"/>
      <c r="D50" s="43"/>
      <c r="E50" s="44"/>
      <c r="F50" s="45">
        <v>17582.060000000001</v>
      </c>
      <c r="G50" s="46">
        <v>1</v>
      </c>
      <c r="H50" s="47"/>
    </row>
    <row r="51" spans="2:8" ht="15.75" customHeight="1" x14ac:dyDescent="0.2">
      <c r="B51" s="2"/>
    </row>
    <row r="54" spans="2:8" ht="15.75" customHeight="1" thickBot="1" x14ac:dyDescent="0.25"/>
    <row r="55" spans="2:8" ht="39.75" customHeight="1" thickBot="1" x14ac:dyDescent="0.25">
      <c r="B55" s="48" t="s">
        <v>139</v>
      </c>
      <c r="C55" s="49" t="s">
        <v>140</v>
      </c>
      <c r="D55" s="49" t="s">
        <v>141</v>
      </c>
      <c r="E55" s="49" t="s">
        <v>142</v>
      </c>
    </row>
    <row r="56" spans="2:8" ht="39.75" customHeight="1" x14ac:dyDescent="0.2">
      <c r="B56" s="61" t="s">
        <v>846</v>
      </c>
      <c r="C56" s="77"/>
      <c r="D56" s="80" t="s">
        <v>847</v>
      </c>
      <c r="E56" s="81"/>
    </row>
    <row r="57" spans="2:8" ht="39.75" customHeight="1" x14ac:dyDescent="0.2">
      <c r="B57" s="52" t="s">
        <v>646</v>
      </c>
      <c r="C57" s="78"/>
      <c r="D57" s="80"/>
      <c r="E57" s="82"/>
    </row>
    <row r="58" spans="2:8" ht="39.75" customHeight="1" x14ac:dyDescent="0.2">
      <c r="B58" s="52" t="s">
        <v>848</v>
      </c>
      <c r="C58" s="78"/>
      <c r="D58" s="80"/>
      <c r="E58" s="82"/>
    </row>
    <row r="59" spans="2:8" ht="39.75" customHeight="1" thickBot="1" x14ac:dyDescent="0.25">
      <c r="B59" s="62" t="s">
        <v>521</v>
      </c>
      <c r="C59" s="79"/>
      <c r="D59" s="50" t="s">
        <v>562</v>
      </c>
      <c r="E59" s="83"/>
    </row>
    <row r="60" spans="2:8" ht="15.75" customHeight="1" x14ac:dyDescent="0.2">
      <c r="B60" s="9" t="s">
        <v>144</v>
      </c>
    </row>
    <row r="62" spans="2:8" ht="15.75" customHeight="1" x14ac:dyDescent="0.2">
      <c r="B62" s="9" t="s">
        <v>145</v>
      </c>
    </row>
    <row r="63" spans="2:8" ht="15.75" customHeight="1" x14ac:dyDescent="0.2">
      <c r="B63" s="15" t="s">
        <v>146</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853505EC-25F4-496C-8DA5-9317F84B614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C03F6-D077-460A-B66C-65EB3A84261E}">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132</v>
      </c>
      <c r="C7" s="28"/>
      <c r="D7" s="28"/>
      <c r="E7" s="29"/>
      <c r="F7" s="30"/>
      <c r="G7" s="31"/>
      <c r="H7" s="32"/>
    </row>
    <row r="8" spans="2:8" ht="15.75" customHeight="1" x14ac:dyDescent="0.2">
      <c r="B8" s="27" t="s">
        <v>133</v>
      </c>
      <c r="C8" s="28"/>
      <c r="D8" s="28"/>
      <c r="E8" s="29"/>
      <c r="F8" s="30"/>
      <c r="G8" s="31"/>
      <c r="H8" s="32"/>
    </row>
    <row r="9" spans="2:8" ht="15.75" customHeight="1" x14ac:dyDescent="0.2">
      <c r="B9" s="28" t="s">
        <v>849</v>
      </c>
      <c r="C9" s="28" t="s">
        <v>850</v>
      </c>
      <c r="D9" s="28"/>
      <c r="E9" s="29">
        <v>430952</v>
      </c>
      <c r="F9" s="30">
        <v>46708.95</v>
      </c>
      <c r="G9" s="31">
        <v>1.0049999999999999</v>
      </c>
      <c r="H9" s="32"/>
    </row>
    <row r="10" spans="2:8" ht="15.75" customHeight="1" x14ac:dyDescent="0.2">
      <c r="B10" s="27" t="s">
        <v>127</v>
      </c>
      <c r="C10" s="27"/>
      <c r="D10" s="27"/>
      <c r="E10" s="33"/>
      <c r="F10" s="34">
        <v>46708.95</v>
      </c>
      <c r="G10" s="35">
        <v>1.0049999999999999</v>
      </c>
      <c r="H10" s="36"/>
    </row>
    <row r="11" spans="2:8" ht="15.75" customHeight="1" x14ac:dyDescent="0.2">
      <c r="B11" s="28"/>
      <c r="C11" s="28"/>
      <c r="D11" s="28"/>
      <c r="E11" s="29"/>
      <c r="F11" s="30"/>
      <c r="G11" s="31"/>
      <c r="H11" s="32"/>
    </row>
    <row r="12" spans="2:8" ht="15.75" customHeight="1" x14ac:dyDescent="0.2">
      <c r="B12" s="39" t="s">
        <v>131</v>
      </c>
      <c r="C12" s="39"/>
      <c r="D12" s="39"/>
      <c r="E12" s="40"/>
      <c r="F12" s="34">
        <v>46708.95</v>
      </c>
      <c r="G12" s="35">
        <v>1.0049999999999999</v>
      </c>
      <c r="H12" s="36"/>
    </row>
    <row r="13" spans="2:8" ht="15.75" customHeight="1" x14ac:dyDescent="0.2">
      <c r="B13" s="28"/>
      <c r="C13" s="28"/>
      <c r="D13" s="28"/>
      <c r="E13" s="29"/>
      <c r="F13" s="30"/>
      <c r="G13" s="31"/>
      <c r="H13" s="32"/>
    </row>
    <row r="14" spans="2:8" ht="15.75" customHeight="1" x14ac:dyDescent="0.2">
      <c r="B14" s="27" t="s">
        <v>134</v>
      </c>
      <c r="C14" s="28"/>
      <c r="D14" s="28"/>
      <c r="E14" s="29"/>
      <c r="F14" s="30"/>
      <c r="G14" s="31"/>
      <c r="H14" s="32"/>
    </row>
    <row r="15" spans="2:8" ht="15.75" customHeight="1" x14ac:dyDescent="0.2">
      <c r="B15" s="28" t="s">
        <v>135</v>
      </c>
      <c r="C15" s="28"/>
      <c r="D15" s="28"/>
      <c r="E15" s="29"/>
      <c r="F15" s="30">
        <v>236.29</v>
      </c>
      <c r="G15" s="31">
        <v>5.1000000000000004E-3</v>
      </c>
      <c r="H15" s="32"/>
    </row>
    <row r="16" spans="2:8" ht="15.75" customHeight="1" x14ac:dyDescent="0.2">
      <c r="B16" s="27" t="s">
        <v>127</v>
      </c>
      <c r="C16" s="27"/>
      <c r="D16" s="27"/>
      <c r="E16" s="33"/>
      <c r="F16" s="34">
        <v>236.29</v>
      </c>
      <c r="G16" s="35">
        <v>5.1000000000000004E-3</v>
      </c>
      <c r="H16" s="36"/>
    </row>
    <row r="17" spans="2:8" ht="15.75" customHeight="1" x14ac:dyDescent="0.2">
      <c r="B17" s="28"/>
      <c r="C17" s="28"/>
      <c r="D17" s="28"/>
      <c r="E17" s="29"/>
      <c r="F17" s="30"/>
      <c r="G17" s="31"/>
      <c r="H17" s="32"/>
    </row>
    <row r="18" spans="2:8" ht="15.75" customHeight="1" x14ac:dyDescent="0.2">
      <c r="B18" s="39" t="s">
        <v>131</v>
      </c>
      <c r="C18" s="39"/>
      <c r="D18" s="39"/>
      <c r="E18" s="40"/>
      <c r="F18" s="34">
        <v>236.29</v>
      </c>
      <c r="G18" s="35">
        <v>5.1000000000000004E-3</v>
      </c>
      <c r="H18" s="36"/>
    </row>
    <row r="19" spans="2:8" ht="15.75" customHeight="1" x14ac:dyDescent="0.2">
      <c r="B19" s="28" t="s">
        <v>136</v>
      </c>
      <c r="C19" s="28"/>
      <c r="D19" s="28"/>
      <c r="E19" s="29"/>
      <c r="F19" s="41">
        <v>-469.73</v>
      </c>
      <c r="G19" s="42">
        <v>-1.0099999999999998E-2</v>
      </c>
      <c r="H19" s="32"/>
    </row>
    <row r="20" spans="2:8" ht="15.75" customHeight="1" x14ac:dyDescent="0.2">
      <c r="B20" s="43" t="s">
        <v>137</v>
      </c>
      <c r="C20" s="43"/>
      <c r="D20" s="43"/>
      <c r="E20" s="44"/>
      <c r="F20" s="45">
        <v>46475.51</v>
      </c>
      <c r="G20" s="46">
        <v>1</v>
      </c>
      <c r="H20" s="47"/>
    </row>
    <row r="21" spans="2:8" ht="15.75" customHeight="1" x14ac:dyDescent="0.2">
      <c r="B21" s="2"/>
    </row>
    <row r="24" spans="2:8" ht="15.75" customHeight="1" thickBot="1" x14ac:dyDescent="0.25"/>
    <row r="25" spans="2:8" ht="39.75" customHeight="1" thickBot="1" x14ac:dyDescent="0.25">
      <c r="B25" s="48" t="s">
        <v>139</v>
      </c>
      <c r="C25" s="49" t="s">
        <v>140</v>
      </c>
      <c r="D25" s="49" t="s">
        <v>141</v>
      </c>
      <c r="E25" s="49" t="s">
        <v>142</v>
      </c>
    </row>
    <row r="26" spans="2:8" ht="39.75" customHeight="1" x14ac:dyDescent="0.2">
      <c r="B26" s="61" t="s">
        <v>66</v>
      </c>
      <c r="C26" s="77"/>
      <c r="D26" s="80" t="s">
        <v>851</v>
      </c>
      <c r="E26" s="81"/>
    </row>
    <row r="27" spans="2:8" ht="39.75" customHeight="1" x14ac:dyDescent="0.2">
      <c r="B27" s="52" t="s">
        <v>852</v>
      </c>
      <c r="C27" s="78"/>
      <c r="D27" s="80"/>
      <c r="E27" s="82"/>
    </row>
    <row r="28" spans="2:8" ht="39.75" customHeight="1" x14ac:dyDescent="0.2">
      <c r="B28" s="52" t="s">
        <v>853</v>
      </c>
      <c r="C28" s="78"/>
      <c r="D28" s="80"/>
      <c r="E28" s="82"/>
    </row>
    <row r="29" spans="2:8" ht="39.75" customHeight="1" thickBot="1" x14ac:dyDescent="0.25">
      <c r="B29" s="62" t="s">
        <v>521</v>
      </c>
      <c r="C29" s="79"/>
      <c r="D29" s="50" t="s">
        <v>612</v>
      </c>
      <c r="E29" s="83"/>
    </row>
    <row r="30" spans="2:8" ht="15.75" customHeight="1" x14ac:dyDescent="0.2">
      <c r="B30" s="9" t="s">
        <v>144</v>
      </c>
    </row>
    <row r="32" spans="2:8" ht="15.75" customHeight="1" x14ac:dyDescent="0.2">
      <c r="B32" s="9" t="s">
        <v>145</v>
      </c>
    </row>
    <row r="33" spans="2:2" ht="15.75" customHeight="1" x14ac:dyDescent="0.2">
      <c r="B33" s="15" t="s">
        <v>146</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AAB0C119-8E91-4254-A8D8-1EB5496BF56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46FA4-2B61-421E-878F-03F9E5958472}">
  <dimension ref="B1:N86"/>
  <sheetViews>
    <sheetView workbookViewId="0">
      <selection activeCell="B1" sqref="B1"/>
    </sheetView>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t="s">
        <v>857</v>
      </c>
      <c r="D1" s="4" t="s">
        <v>856</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132</v>
      </c>
      <c r="C7" s="28"/>
      <c r="D7" s="28"/>
      <c r="E7" s="29"/>
      <c r="F7" s="30"/>
      <c r="G7" s="31"/>
      <c r="H7" s="32"/>
    </row>
    <row r="8" spans="2:8" ht="15.75" customHeight="1" x14ac:dyDescent="0.2">
      <c r="B8" s="27" t="s">
        <v>133</v>
      </c>
      <c r="C8" s="28"/>
      <c r="D8" s="28"/>
      <c r="E8" s="29"/>
      <c r="F8" s="30"/>
      <c r="G8" s="31"/>
      <c r="H8" s="32"/>
    </row>
    <row r="9" spans="2:8" ht="15.75" customHeight="1" x14ac:dyDescent="0.2">
      <c r="B9" s="28" t="s">
        <v>855</v>
      </c>
      <c r="C9" s="28" t="s">
        <v>850</v>
      </c>
      <c r="D9" s="28"/>
      <c r="E9" s="29">
        <v>694</v>
      </c>
      <c r="F9" s="30">
        <v>84015.43</v>
      </c>
      <c r="G9" s="31">
        <v>0.97860000000000003</v>
      </c>
      <c r="H9" s="32"/>
    </row>
    <row r="10" spans="2:8" ht="15.75" customHeight="1" x14ac:dyDescent="0.2">
      <c r="B10" s="27" t="s">
        <v>127</v>
      </c>
      <c r="C10" s="27"/>
      <c r="D10" s="27"/>
      <c r="E10" s="33"/>
      <c r="F10" s="34">
        <v>84015.43</v>
      </c>
      <c r="G10" s="35">
        <v>0.97860000000000003</v>
      </c>
      <c r="H10" s="36"/>
    </row>
    <row r="11" spans="2:8" ht="15.75" customHeight="1" x14ac:dyDescent="0.2">
      <c r="B11" s="28"/>
      <c r="C11" s="28"/>
      <c r="D11" s="28"/>
      <c r="E11" s="29"/>
      <c r="F11" s="30"/>
      <c r="G11" s="31"/>
      <c r="H11" s="32"/>
    </row>
    <row r="12" spans="2:8" ht="15.75" customHeight="1" x14ac:dyDescent="0.2">
      <c r="B12" s="39" t="s">
        <v>131</v>
      </c>
      <c r="C12" s="39"/>
      <c r="D12" s="39"/>
      <c r="E12" s="40"/>
      <c r="F12" s="34">
        <v>84015.43</v>
      </c>
      <c r="G12" s="35">
        <v>0.97860000000000003</v>
      </c>
      <c r="H12" s="36"/>
    </row>
    <row r="13" spans="2:8" ht="15.75" customHeight="1" x14ac:dyDescent="0.2">
      <c r="B13" s="28"/>
      <c r="C13" s="28"/>
      <c r="D13" s="28"/>
      <c r="E13" s="29"/>
      <c r="F13" s="30"/>
      <c r="G13" s="31"/>
      <c r="H13" s="32"/>
    </row>
    <row r="14" spans="2:8" ht="15.75" customHeight="1" x14ac:dyDescent="0.2">
      <c r="B14" s="27" t="s">
        <v>134</v>
      </c>
      <c r="C14" s="28"/>
      <c r="D14" s="28"/>
      <c r="E14" s="29"/>
      <c r="F14" s="30"/>
      <c r="G14" s="31"/>
      <c r="H14" s="32"/>
    </row>
    <row r="15" spans="2:8" ht="15.75" customHeight="1" x14ac:dyDescent="0.2">
      <c r="B15" s="28" t="s">
        <v>135</v>
      </c>
      <c r="C15" s="28"/>
      <c r="D15" s="28"/>
      <c r="E15" s="29"/>
      <c r="F15" s="30">
        <v>362.69</v>
      </c>
      <c r="G15" s="31">
        <v>4.1999999999999997E-3</v>
      </c>
      <c r="H15" s="32"/>
    </row>
    <row r="16" spans="2:8" ht="15.75" customHeight="1" x14ac:dyDescent="0.2">
      <c r="B16" s="27" t="s">
        <v>127</v>
      </c>
      <c r="C16" s="27"/>
      <c r="D16" s="27"/>
      <c r="E16" s="33"/>
      <c r="F16" s="34">
        <v>362.69</v>
      </c>
      <c r="G16" s="35">
        <v>4.1999999999999997E-3</v>
      </c>
      <c r="H16" s="36"/>
    </row>
    <row r="17" spans="2:8" ht="15.75" customHeight="1" x14ac:dyDescent="0.2">
      <c r="B17" s="28"/>
      <c r="C17" s="28"/>
      <c r="D17" s="28"/>
      <c r="E17" s="29"/>
      <c r="F17" s="30"/>
      <c r="G17" s="31"/>
      <c r="H17" s="32"/>
    </row>
    <row r="18" spans="2:8" ht="15.75" customHeight="1" x14ac:dyDescent="0.2">
      <c r="B18" s="39" t="s">
        <v>131</v>
      </c>
      <c r="C18" s="39"/>
      <c r="D18" s="39"/>
      <c r="E18" s="40"/>
      <c r="F18" s="34">
        <v>362.69</v>
      </c>
      <c r="G18" s="35">
        <v>4.1999999999999997E-3</v>
      </c>
      <c r="H18" s="36"/>
    </row>
    <row r="19" spans="2:8" ht="15.75" customHeight="1" x14ac:dyDescent="0.2">
      <c r="B19" s="28" t="s">
        <v>136</v>
      </c>
      <c r="C19" s="28"/>
      <c r="D19" s="28"/>
      <c r="E19" s="29"/>
      <c r="F19" s="30">
        <v>1478.75</v>
      </c>
      <c r="G19" s="31">
        <v>1.7199999999999993E-2</v>
      </c>
      <c r="H19" s="32"/>
    </row>
    <row r="20" spans="2:8" ht="15.75" customHeight="1" x14ac:dyDescent="0.2">
      <c r="B20" s="43" t="s">
        <v>137</v>
      </c>
      <c r="C20" s="43"/>
      <c r="D20" s="43"/>
      <c r="E20" s="44"/>
      <c r="F20" s="45">
        <v>85856.87</v>
      </c>
      <c r="G20" s="46">
        <v>1</v>
      </c>
      <c r="H20" s="47"/>
    </row>
    <row r="21" spans="2:8" ht="15.75" customHeight="1" x14ac:dyDescent="0.2">
      <c r="B21" s="2"/>
    </row>
    <row r="24" spans="2:8" ht="15.75" customHeight="1" thickBot="1" x14ac:dyDescent="0.25"/>
    <row r="25" spans="2:8" ht="39.75" customHeight="1" thickBot="1" x14ac:dyDescent="0.25">
      <c r="B25" s="48" t="s">
        <v>139</v>
      </c>
      <c r="C25" s="49" t="s">
        <v>140</v>
      </c>
      <c r="D25" s="49" t="s">
        <v>141</v>
      </c>
      <c r="E25" s="49" t="s">
        <v>142</v>
      </c>
    </row>
    <row r="26" spans="2:8" ht="39.75" customHeight="1" x14ac:dyDescent="0.2">
      <c r="B26" s="61" t="s">
        <v>69</v>
      </c>
      <c r="C26" s="77"/>
      <c r="D26" s="80" t="s">
        <v>851</v>
      </c>
      <c r="E26" s="81"/>
    </row>
    <row r="27" spans="2:8" ht="39.75" customHeight="1" x14ac:dyDescent="0.2">
      <c r="B27" s="52" t="s">
        <v>858</v>
      </c>
      <c r="C27" s="78"/>
      <c r="D27" s="80"/>
      <c r="E27" s="82"/>
    </row>
    <row r="28" spans="2:8" ht="39.75" customHeight="1" x14ac:dyDescent="0.2">
      <c r="B28" s="52" t="s">
        <v>859</v>
      </c>
      <c r="C28" s="78"/>
      <c r="D28" s="80"/>
      <c r="E28" s="82"/>
    </row>
    <row r="29" spans="2:8" ht="39.75" customHeight="1" thickBot="1" x14ac:dyDescent="0.25">
      <c r="B29" s="62" t="s">
        <v>854</v>
      </c>
      <c r="C29" s="79"/>
      <c r="D29" s="50" t="s">
        <v>612</v>
      </c>
      <c r="E29" s="83"/>
    </row>
    <row r="30" spans="2:8" ht="15.75" customHeight="1" x14ac:dyDescent="0.2">
      <c r="B30" s="9" t="s">
        <v>144</v>
      </c>
    </row>
    <row r="32" spans="2:8" ht="15.75" customHeight="1" x14ac:dyDescent="0.2">
      <c r="B32" s="9" t="s">
        <v>145</v>
      </c>
    </row>
    <row r="33" spans="2:2" ht="15.75" customHeight="1" x14ac:dyDescent="0.2">
      <c r="B33" s="15" t="s">
        <v>146</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AD8A35D5-FAC4-4F37-904D-46D6C403489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8387-1738-4726-B480-CFD53DB1CD97}">
  <dimension ref="B1:N8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1411966</v>
      </c>
      <c r="F7" s="30">
        <v>13940.34</v>
      </c>
      <c r="G7" s="31">
        <v>9.2999999999999999E-2</v>
      </c>
      <c r="H7" s="32"/>
    </row>
    <row r="8" spans="2:8" ht="15.75" customHeight="1" x14ac:dyDescent="0.2">
      <c r="B8" s="28" t="s">
        <v>184</v>
      </c>
      <c r="C8" s="28" t="s">
        <v>185</v>
      </c>
      <c r="D8" s="28" t="s">
        <v>166</v>
      </c>
      <c r="E8" s="29">
        <v>801959</v>
      </c>
      <c r="F8" s="30">
        <v>10788.75</v>
      </c>
      <c r="G8" s="31">
        <v>7.1999999999999995E-2</v>
      </c>
      <c r="H8" s="32"/>
    </row>
    <row r="9" spans="2:8" ht="15.75" customHeight="1" x14ac:dyDescent="0.2">
      <c r="B9" s="28" t="s">
        <v>167</v>
      </c>
      <c r="C9" s="28" t="s">
        <v>168</v>
      </c>
      <c r="D9" s="28" t="s">
        <v>169</v>
      </c>
      <c r="E9" s="29">
        <v>657318</v>
      </c>
      <c r="F9" s="30">
        <v>9770.3700000000008</v>
      </c>
      <c r="G9" s="31">
        <v>6.5199999999999994E-2</v>
      </c>
      <c r="H9" s="32"/>
    </row>
    <row r="10" spans="2:8" ht="15.75" customHeight="1" x14ac:dyDescent="0.2">
      <c r="B10" s="28" t="s">
        <v>324</v>
      </c>
      <c r="C10" s="28" t="s">
        <v>325</v>
      </c>
      <c r="D10" s="28" t="s">
        <v>326</v>
      </c>
      <c r="E10" s="29">
        <v>187361</v>
      </c>
      <c r="F10" s="30">
        <v>7552.33</v>
      </c>
      <c r="G10" s="31">
        <v>5.04E-2</v>
      </c>
      <c r="H10" s="32"/>
    </row>
    <row r="11" spans="2:8" ht="15.75" customHeight="1" x14ac:dyDescent="0.2">
      <c r="B11" s="28" t="s">
        <v>206</v>
      </c>
      <c r="C11" s="28" t="s">
        <v>207</v>
      </c>
      <c r="D11" s="28" t="s">
        <v>208</v>
      </c>
      <c r="E11" s="29">
        <v>307339</v>
      </c>
      <c r="F11" s="30">
        <v>6314.28</v>
      </c>
      <c r="G11" s="31">
        <v>4.2099999999999999E-2</v>
      </c>
      <c r="H11" s="32"/>
    </row>
    <row r="12" spans="2:8" ht="15.75" customHeight="1" x14ac:dyDescent="0.2">
      <c r="B12" s="28" t="s">
        <v>170</v>
      </c>
      <c r="C12" s="28" t="s">
        <v>171</v>
      </c>
      <c r="D12" s="28" t="s">
        <v>172</v>
      </c>
      <c r="E12" s="29">
        <v>353988</v>
      </c>
      <c r="F12" s="30">
        <v>5247.16</v>
      </c>
      <c r="G12" s="31">
        <v>3.5000000000000003E-2</v>
      </c>
      <c r="H12" s="32"/>
    </row>
    <row r="13" spans="2:8" ht="15.75" customHeight="1" x14ac:dyDescent="0.2">
      <c r="B13" s="28" t="s">
        <v>214</v>
      </c>
      <c r="C13" s="28" t="s">
        <v>215</v>
      </c>
      <c r="D13" s="28" t="s">
        <v>183</v>
      </c>
      <c r="E13" s="29">
        <v>1064972</v>
      </c>
      <c r="F13" s="30">
        <v>4476.6099999999997</v>
      </c>
      <c r="G13" s="31">
        <v>2.9899999999999999E-2</v>
      </c>
      <c r="H13" s="32"/>
    </row>
    <row r="14" spans="2:8" ht="15.75" customHeight="1" x14ac:dyDescent="0.2">
      <c r="B14" s="28" t="s">
        <v>204</v>
      </c>
      <c r="C14" s="28" t="s">
        <v>205</v>
      </c>
      <c r="D14" s="28" t="s">
        <v>166</v>
      </c>
      <c r="E14" s="29">
        <v>471282</v>
      </c>
      <c r="F14" s="30">
        <v>4415.91</v>
      </c>
      <c r="G14" s="31">
        <v>2.9499999999999998E-2</v>
      </c>
      <c r="H14" s="32"/>
    </row>
    <row r="15" spans="2:8" ht="15.75" customHeight="1" x14ac:dyDescent="0.2">
      <c r="B15" s="28" t="s">
        <v>278</v>
      </c>
      <c r="C15" s="28" t="s">
        <v>279</v>
      </c>
      <c r="D15" s="28" t="s">
        <v>280</v>
      </c>
      <c r="E15" s="29">
        <v>902801</v>
      </c>
      <c r="F15" s="30">
        <v>3655.44</v>
      </c>
      <c r="G15" s="31">
        <v>2.4400000000000002E-2</v>
      </c>
      <c r="H15" s="32"/>
    </row>
    <row r="16" spans="2:8" ht="15.75" customHeight="1" x14ac:dyDescent="0.2">
      <c r="B16" s="28" t="s">
        <v>179</v>
      </c>
      <c r="C16" s="28" t="s">
        <v>180</v>
      </c>
      <c r="D16" s="28" t="s">
        <v>166</v>
      </c>
      <c r="E16" s="29">
        <v>286620</v>
      </c>
      <c r="F16" s="30">
        <v>3533.45</v>
      </c>
      <c r="G16" s="31">
        <v>2.3599999999999999E-2</v>
      </c>
      <c r="H16" s="32"/>
    </row>
    <row r="17" spans="2:8" ht="15.75" customHeight="1" x14ac:dyDescent="0.2">
      <c r="B17" s="28" t="s">
        <v>181</v>
      </c>
      <c r="C17" s="28" t="s">
        <v>182</v>
      </c>
      <c r="D17" s="28" t="s">
        <v>183</v>
      </c>
      <c r="E17" s="29">
        <v>136736</v>
      </c>
      <c r="F17" s="30">
        <v>3371.23</v>
      </c>
      <c r="G17" s="31">
        <v>2.2499999999999999E-2</v>
      </c>
      <c r="H17" s="32"/>
    </row>
    <row r="18" spans="2:8" ht="15.75" customHeight="1" x14ac:dyDescent="0.2">
      <c r="B18" s="28" t="s">
        <v>305</v>
      </c>
      <c r="C18" s="28" t="s">
        <v>306</v>
      </c>
      <c r="D18" s="28" t="s">
        <v>166</v>
      </c>
      <c r="E18" s="29">
        <v>150900</v>
      </c>
      <c r="F18" s="30">
        <v>3172.22</v>
      </c>
      <c r="G18" s="31">
        <v>2.12E-2</v>
      </c>
      <c r="H18" s="32"/>
    </row>
    <row r="19" spans="2:8" ht="15.75" customHeight="1" x14ac:dyDescent="0.2">
      <c r="B19" s="28" t="s">
        <v>216</v>
      </c>
      <c r="C19" s="28" t="s">
        <v>217</v>
      </c>
      <c r="D19" s="28" t="s">
        <v>218</v>
      </c>
      <c r="E19" s="29">
        <v>716423</v>
      </c>
      <c r="F19" s="30">
        <v>3052.68</v>
      </c>
      <c r="G19" s="31">
        <v>2.0400000000000001E-2</v>
      </c>
      <c r="H19" s="32"/>
    </row>
    <row r="20" spans="2:8" ht="15.75" customHeight="1" x14ac:dyDescent="0.2">
      <c r="B20" s="28" t="s">
        <v>267</v>
      </c>
      <c r="C20" s="28" t="s">
        <v>268</v>
      </c>
      <c r="D20" s="28" t="s">
        <v>269</v>
      </c>
      <c r="E20" s="29">
        <v>102974</v>
      </c>
      <c r="F20" s="30">
        <v>2977.7</v>
      </c>
      <c r="G20" s="31">
        <v>1.9900000000000001E-2</v>
      </c>
      <c r="H20" s="32"/>
    </row>
    <row r="21" spans="2:8" ht="15.75" customHeight="1" x14ac:dyDescent="0.2">
      <c r="B21" s="28" t="s">
        <v>332</v>
      </c>
      <c r="C21" s="28" t="s">
        <v>333</v>
      </c>
      <c r="D21" s="28" t="s">
        <v>224</v>
      </c>
      <c r="E21" s="29">
        <v>170341</v>
      </c>
      <c r="F21" s="30">
        <v>2879.96</v>
      </c>
      <c r="G21" s="31">
        <v>1.9199999999999998E-2</v>
      </c>
      <c r="H21" s="32"/>
    </row>
    <row r="22" spans="2:8" ht="15.75" customHeight="1" x14ac:dyDescent="0.2">
      <c r="B22" s="28" t="s">
        <v>327</v>
      </c>
      <c r="C22" s="28" t="s">
        <v>328</v>
      </c>
      <c r="D22" s="28" t="s">
        <v>329</v>
      </c>
      <c r="E22" s="29">
        <v>326108</v>
      </c>
      <c r="F22" s="30">
        <v>2672.29</v>
      </c>
      <c r="G22" s="31">
        <v>1.78E-2</v>
      </c>
      <c r="H22" s="32"/>
    </row>
    <row r="23" spans="2:8" ht="15.75" customHeight="1" x14ac:dyDescent="0.2">
      <c r="B23" s="28" t="s">
        <v>860</v>
      </c>
      <c r="C23" s="28" t="s">
        <v>861</v>
      </c>
      <c r="D23" s="28" t="s">
        <v>354</v>
      </c>
      <c r="E23" s="29">
        <v>133924</v>
      </c>
      <c r="F23" s="30">
        <v>2619.15</v>
      </c>
      <c r="G23" s="31">
        <v>1.7500000000000002E-2</v>
      </c>
      <c r="H23" s="32"/>
    </row>
    <row r="24" spans="2:8" ht="15.75" customHeight="1" x14ac:dyDescent="0.2">
      <c r="B24" s="28" t="s">
        <v>648</v>
      </c>
      <c r="C24" s="28" t="s">
        <v>649</v>
      </c>
      <c r="D24" s="28" t="s">
        <v>224</v>
      </c>
      <c r="E24" s="29">
        <v>173967</v>
      </c>
      <c r="F24" s="30">
        <v>2611.77</v>
      </c>
      <c r="G24" s="31">
        <v>1.7399999999999999E-2</v>
      </c>
      <c r="H24" s="32"/>
    </row>
    <row r="25" spans="2:8" ht="15.75" customHeight="1" x14ac:dyDescent="0.2">
      <c r="B25" s="28" t="s">
        <v>258</v>
      </c>
      <c r="C25" s="28" t="s">
        <v>259</v>
      </c>
      <c r="D25" s="28" t="s">
        <v>260</v>
      </c>
      <c r="E25" s="29">
        <v>66116</v>
      </c>
      <c r="F25" s="30">
        <v>2477.17</v>
      </c>
      <c r="G25" s="31">
        <v>1.6500000000000001E-2</v>
      </c>
      <c r="H25" s="32"/>
    </row>
    <row r="26" spans="2:8" ht="15.75" customHeight="1" x14ac:dyDescent="0.2">
      <c r="B26" s="28" t="s">
        <v>186</v>
      </c>
      <c r="C26" s="28" t="s">
        <v>187</v>
      </c>
      <c r="D26" s="28" t="s">
        <v>188</v>
      </c>
      <c r="E26" s="29">
        <v>69894</v>
      </c>
      <c r="F26" s="30">
        <v>2437.34</v>
      </c>
      <c r="G26" s="31">
        <v>1.6299999999999999E-2</v>
      </c>
      <c r="H26" s="32"/>
    </row>
    <row r="27" spans="2:8" ht="15.75" customHeight="1" x14ac:dyDescent="0.2">
      <c r="B27" s="28" t="s">
        <v>296</v>
      </c>
      <c r="C27" s="28" t="s">
        <v>297</v>
      </c>
      <c r="D27" s="28" t="s">
        <v>175</v>
      </c>
      <c r="E27" s="29">
        <v>599498</v>
      </c>
      <c r="F27" s="30">
        <v>2417.48</v>
      </c>
      <c r="G27" s="31">
        <v>1.61E-2</v>
      </c>
      <c r="H27" s="32"/>
    </row>
    <row r="28" spans="2:8" ht="15.75" customHeight="1" x14ac:dyDescent="0.2">
      <c r="B28" s="28" t="s">
        <v>563</v>
      </c>
      <c r="C28" s="28" t="s">
        <v>564</v>
      </c>
      <c r="D28" s="28" t="s">
        <v>188</v>
      </c>
      <c r="E28" s="29">
        <v>14479</v>
      </c>
      <c r="F28" s="30">
        <v>2343.5700000000002</v>
      </c>
      <c r="G28" s="31">
        <v>1.5599999999999999E-2</v>
      </c>
      <c r="H28" s="32"/>
    </row>
    <row r="29" spans="2:8" ht="15.75" customHeight="1" x14ac:dyDescent="0.2">
      <c r="B29" s="28" t="s">
        <v>199</v>
      </c>
      <c r="C29" s="28" t="s">
        <v>200</v>
      </c>
      <c r="D29" s="28" t="s">
        <v>172</v>
      </c>
      <c r="E29" s="29">
        <v>76470</v>
      </c>
      <c r="F29" s="30">
        <v>2338.4499999999998</v>
      </c>
      <c r="G29" s="31">
        <v>1.5599999999999999E-2</v>
      </c>
      <c r="H29" s="32"/>
    </row>
    <row r="30" spans="2:8" ht="15.75" customHeight="1" x14ac:dyDescent="0.2">
      <c r="B30" s="28" t="s">
        <v>173</v>
      </c>
      <c r="C30" s="28" t="s">
        <v>174</v>
      </c>
      <c r="D30" s="28" t="s">
        <v>175</v>
      </c>
      <c r="E30" s="29">
        <v>302984</v>
      </c>
      <c r="F30" s="30">
        <v>2269.0500000000002</v>
      </c>
      <c r="G30" s="31">
        <v>1.5100000000000001E-2</v>
      </c>
      <c r="H30" s="32"/>
    </row>
    <row r="31" spans="2:8" ht="15.75" customHeight="1" x14ac:dyDescent="0.2">
      <c r="B31" s="28" t="s">
        <v>459</v>
      </c>
      <c r="C31" s="28" t="s">
        <v>460</v>
      </c>
      <c r="D31" s="28" t="s">
        <v>430</v>
      </c>
      <c r="E31" s="29">
        <v>29511</v>
      </c>
      <c r="F31" s="30">
        <v>2266.7399999999998</v>
      </c>
      <c r="G31" s="31">
        <v>1.5100000000000001E-2</v>
      </c>
      <c r="H31" s="32"/>
    </row>
    <row r="32" spans="2:8" ht="15.75" customHeight="1" x14ac:dyDescent="0.2">
      <c r="B32" s="28" t="s">
        <v>737</v>
      </c>
      <c r="C32" s="28" t="s">
        <v>738</v>
      </c>
      <c r="D32" s="28" t="s">
        <v>349</v>
      </c>
      <c r="E32" s="29">
        <v>145588</v>
      </c>
      <c r="F32" s="30">
        <v>2103.16</v>
      </c>
      <c r="G32" s="31">
        <v>1.4E-2</v>
      </c>
      <c r="H32" s="32"/>
    </row>
    <row r="33" spans="2:8" ht="15.75" customHeight="1" x14ac:dyDescent="0.2">
      <c r="B33" s="28" t="s">
        <v>408</v>
      </c>
      <c r="C33" s="28" t="s">
        <v>409</v>
      </c>
      <c r="D33" s="28" t="s">
        <v>175</v>
      </c>
      <c r="E33" s="29">
        <v>546160</v>
      </c>
      <c r="F33" s="30">
        <v>2047.28</v>
      </c>
      <c r="G33" s="31">
        <v>1.37E-2</v>
      </c>
      <c r="H33" s="32"/>
    </row>
    <row r="34" spans="2:8" ht="15.75" customHeight="1" x14ac:dyDescent="0.2">
      <c r="B34" s="28" t="s">
        <v>613</v>
      </c>
      <c r="C34" s="28" t="s">
        <v>614</v>
      </c>
      <c r="D34" s="28" t="s">
        <v>249</v>
      </c>
      <c r="E34" s="29">
        <v>304660</v>
      </c>
      <c r="F34" s="30">
        <v>2017</v>
      </c>
      <c r="G34" s="31">
        <v>1.35E-2</v>
      </c>
      <c r="H34" s="32"/>
    </row>
    <row r="35" spans="2:8" ht="15.75" customHeight="1" x14ac:dyDescent="0.2">
      <c r="B35" s="28" t="s">
        <v>270</v>
      </c>
      <c r="C35" s="28" t="s">
        <v>271</v>
      </c>
      <c r="D35" s="28" t="s">
        <v>269</v>
      </c>
      <c r="E35" s="29">
        <v>16566</v>
      </c>
      <c r="F35" s="30">
        <v>1979.14</v>
      </c>
      <c r="G35" s="31">
        <v>1.32E-2</v>
      </c>
      <c r="H35" s="32"/>
    </row>
    <row r="36" spans="2:8" ht="15.75" customHeight="1" x14ac:dyDescent="0.2">
      <c r="B36" s="28" t="s">
        <v>862</v>
      </c>
      <c r="C36" s="28" t="s">
        <v>863</v>
      </c>
      <c r="D36" s="28" t="s">
        <v>389</v>
      </c>
      <c r="E36" s="29">
        <v>1068048</v>
      </c>
      <c r="F36" s="30">
        <v>1951.96</v>
      </c>
      <c r="G36" s="31">
        <v>1.2999999999999999E-2</v>
      </c>
      <c r="H36" s="32"/>
    </row>
    <row r="37" spans="2:8" ht="15.75" customHeight="1" x14ac:dyDescent="0.2">
      <c r="B37" s="28" t="s">
        <v>238</v>
      </c>
      <c r="C37" s="28" t="s">
        <v>239</v>
      </c>
      <c r="D37" s="28" t="s">
        <v>221</v>
      </c>
      <c r="E37" s="29">
        <v>603715</v>
      </c>
      <c r="F37" s="30">
        <v>1918.3</v>
      </c>
      <c r="G37" s="31">
        <v>1.2800000000000001E-2</v>
      </c>
      <c r="H37" s="32"/>
    </row>
    <row r="38" spans="2:8" ht="15.75" customHeight="1" x14ac:dyDescent="0.2">
      <c r="B38" s="28" t="s">
        <v>720</v>
      </c>
      <c r="C38" s="28" t="s">
        <v>721</v>
      </c>
      <c r="D38" s="28" t="s">
        <v>188</v>
      </c>
      <c r="E38" s="29">
        <v>31942</v>
      </c>
      <c r="F38" s="30">
        <v>1770.86</v>
      </c>
      <c r="G38" s="31">
        <v>1.18E-2</v>
      </c>
      <c r="H38" s="32"/>
    </row>
    <row r="39" spans="2:8" ht="15.75" customHeight="1" x14ac:dyDescent="0.2">
      <c r="B39" s="28" t="s">
        <v>303</v>
      </c>
      <c r="C39" s="28" t="s">
        <v>304</v>
      </c>
      <c r="D39" s="28" t="s">
        <v>178</v>
      </c>
      <c r="E39" s="29">
        <v>4555</v>
      </c>
      <c r="F39" s="30">
        <v>1696.51</v>
      </c>
      <c r="G39" s="31">
        <v>1.1299999999999999E-2</v>
      </c>
      <c r="H39" s="32"/>
    </row>
    <row r="40" spans="2:8" ht="15.75" customHeight="1" x14ac:dyDescent="0.2">
      <c r="B40" s="28" t="s">
        <v>864</v>
      </c>
      <c r="C40" s="28" t="s">
        <v>865</v>
      </c>
      <c r="D40" s="28" t="s">
        <v>188</v>
      </c>
      <c r="E40" s="29">
        <v>64082</v>
      </c>
      <c r="F40" s="30">
        <v>1562.77</v>
      </c>
      <c r="G40" s="31">
        <v>1.04E-2</v>
      </c>
      <c r="H40" s="32"/>
    </row>
    <row r="41" spans="2:8" ht="15.75" customHeight="1" x14ac:dyDescent="0.2">
      <c r="B41" s="28" t="s">
        <v>176</v>
      </c>
      <c r="C41" s="28" t="s">
        <v>177</v>
      </c>
      <c r="D41" s="28" t="s">
        <v>178</v>
      </c>
      <c r="E41" s="29">
        <v>115094</v>
      </c>
      <c r="F41" s="30">
        <v>1524.65</v>
      </c>
      <c r="G41" s="31">
        <v>1.0200000000000001E-2</v>
      </c>
      <c r="H41" s="32"/>
    </row>
    <row r="42" spans="2:8" ht="15.75" customHeight="1" x14ac:dyDescent="0.2">
      <c r="B42" s="28" t="s">
        <v>749</v>
      </c>
      <c r="C42" s="28" t="s">
        <v>750</v>
      </c>
      <c r="D42" s="28" t="s">
        <v>218</v>
      </c>
      <c r="E42" s="29">
        <v>32574</v>
      </c>
      <c r="F42" s="30">
        <v>1524.4</v>
      </c>
      <c r="G42" s="31">
        <v>1.0200000000000001E-2</v>
      </c>
      <c r="H42" s="32"/>
    </row>
    <row r="43" spans="2:8" ht="15.75" customHeight="1" x14ac:dyDescent="0.2">
      <c r="B43" s="28" t="s">
        <v>866</v>
      </c>
      <c r="C43" s="28" t="s">
        <v>867</v>
      </c>
      <c r="D43" s="28" t="s">
        <v>260</v>
      </c>
      <c r="E43" s="29">
        <v>74018</v>
      </c>
      <c r="F43" s="30">
        <v>1434.02</v>
      </c>
      <c r="G43" s="31">
        <v>9.5999999999999992E-3</v>
      </c>
      <c r="H43" s="32"/>
    </row>
    <row r="44" spans="2:8" ht="15.75" customHeight="1" x14ac:dyDescent="0.2">
      <c r="B44" s="28" t="s">
        <v>247</v>
      </c>
      <c r="C44" s="28" t="s">
        <v>248</v>
      </c>
      <c r="D44" s="28" t="s">
        <v>249</v>
      </c>
      <c r="E44" s="29">
        <v>275612</v>
      </c>
      <c r="F44" s="30">
        <v>1294.4100000000001</v>
      </c>
      <c r="G44" s="31">
        <v>8.6E-3</v>
      </c>
      <c r="H44" s="32"/>
    </row>
    <row r="45" spans="2:8" ht="15.75" customHeight="1" x14ac:dyDescent="0.2">
      <c r="B45" s="28" t="s">
        <v>728</v>
      </c>
      <c r="C45" s="28" t="s">
        <v>729</v>
      </c>
      <c r="D45" s="28" t="s">
        <v>730</v>
      </c>
      <c r="E45" s="29">
        <v>331566</v>
      </c>
      <c r="F45" s="30">
        <v>1213.2</v>
      </c>
      <c r="G45" s="31">
        <v>8.0999999999999996E-3</v>
      </c>
      <c r="H45" s="32"/>
    </row>
    <row r="46" spans="2:8" ht="15.75" customHeight="1" x14ac:dyDescent="0.2">
      <c r="B46" s="28" t="s">
        <v>868</v>
      </c>
      <c r="C46" s="28" t="s">
        <v>869</v>
      </c>
      <c r="D46" s="28" t="s">
        <v>280</v>
      </c>
      <c r="E46" s="29">
        <v>1118491</v>
      </c>
      <c r="F46" s="30">
        <v>1153.6099999999999</v>
      </c>
      <c r="G46" s="31">
        <v>7.7000000000000002E-3</v>
      </c>
      <c r="H46" s="32"/>
    </row>
    <row r="47" spans="2:8" ht="15.75" customHeight="1" x14ac:dyDescent="0.2">
      <c r="B47" s="28" t="s">
        <v>219</v>
      </c>
      <c r="C47" s="28" t="s">
        <v>220</v>
      </c>
      <c r="D47" s="28" t="s">
        <v>221</v>
      </c>
      <c r="E47" s="29">
        <v>24198</v>
      </c>
      <c r="F47" s="30">
        <v>1135.93</v>
      </c>
      <c r="G47" s="31">
        <v>7.6E-3</v>
      </c>
      <c r="H47" s="32"/>
    </row>
    <row r="48" spans="2:8" ht="15.75" customHeight="1" x14ac:dyDescent="0.2">
      <c r="B48" s="28" t="s">
        <v>579</v>
      </c>
      <c r="C48" s="28" t="s">
        <v>580</v>
      </c>
      <c r="D48" s="28" t="s">
        <v>425</v>
      </c>
      <c r="E48" s="29">
        <v>80005</v>
      </c>
      <c r="F48" s="30">
        <v>1131.3499999999999</v>
      </c>
      <c r="G48" s="31">
        <v>7.4999999999999997E-3</v>
      </c>
      <c r="H48" s="32"/>
    </row>
    <row r="49" spans="2:10" ht="15.75" customHeight="1" x14ac:dyDescent="0.2">
      <c r="B49" s="28" t="s">
        <v>676</v>
      </c>
      <c r="C49" s="28" t="s">
        <v>677</v>
      </c>
      <c r="D49" s="28" t="s">
        <v>495</v>
      </c>
      <c r="E49" s="29">
        <v>136401</v>
      </c>
      <c r="F49" s="30">
        <v>1011.82</v>
      </c>
      <c r="G49" s="31">
        <v>6.7999999999999996E-3</v>
      </c>
      <c r="H49" s="32"/>
    </row>
    <row r="50" spans="2:10" ht="15.75" customHeight="1" x14ac:dyDescent="0.2">
      <c r="B50" s="28" t="s">
        <v>699</v>
      </c>
      <c r="C50" s="28" t="s">
        <v>700</v>
      </c>
      <c r="D50" s="28" t="s">
        <v>495</v>
      </c>
      <c r="E50" s="29">
        <v>155969</v>
      </c>
      <c r="F50" s="30">
        <v>932.46</v>
      </c>
      <c r="G50" s="31">
        <v>6.1999999999999998E-3</v>
      </c>
      <c r="H50" s="32"/>
    </row>
    <row r="51" spans="2:10" ht="15.75" customHeight="1" x14ac:dyDescent="0.2">
      <c r="B51" s="28" t="s">
        <v>743</v>
      </c>
      <c r="C51" s="28" t="s">
        <v>744</v>
      </c>
      <c r="D51" s="28" t="s">
        <v>221</v>
      </c>
      <c r="E51" s="29">
        <v>132428</v>
      </c>
      <c r="F51" s="30">
        <v>855.15</v>
      </c>
      <c r="G51" s="31">
        <v>5.7000000000000002E-3</v>
      </c>
      <c r="H51" s="32"/>
    </row>
    <row r="52" spans="2:10" ht="15.75" customHeight="1" x14ac:dyDescent="0.2">
      <c r="B52" s="28" t="s">
        <v>281</v>
      </c>
      <c r="C52" s="28" t="s">
        <v>282</v>
      </c>
      <c r="D52" s="28" t="s">
        <v>249</v>
      </c>
      <c r="E52" s="29">
        <v>56560</v>
      </c>
      <c r="F52" s="30">
        <v>809.6</v>
      </c>
      <c r="G52" s="31">
        <v>5.4000000000000003E-3</v>
      </c>
      <c r="H52" s="32"/>
    </row>
    <row r="53" spans="2:10" ht="15.75" customHeight="1" x14ac:dyDescent="0.2">
      <c r="B53" s="28" t="s">
        <v>535</v>
      </c>
      <c r="C53" s="28" t="s">
        <v>536</v>
      </c>
      <c r="D53" s="28" t="s">
        <v>166</v>
      </c>
      <c r="E53" s="29">
        <v>1528503</v>
      </c>
      <c r="F53" s="30">
        <v>792.38</v>
      </c>
      <c r="G53" s="31">
        <v>5.3E-3</v>
      </c>
      <c r="H53" s="32"/>
    </row>
    <row r="54" spans="2:10" ht="15.75" customHeight="1" x14ac:dyDescent="0.2">
      <c r="B54" s="28" t="s">
        <v>359</v>
      </c>
      <c r="C54" s="28" t="s">
        <v>360</v>
      </c>
      <c r="D54" s="28" t="s">
        <v>361</v>
      </c>
      <c r="E54" s="29">
        <v>16575</v>
      </c>
      <c r="F54" s="30">
        <v>682.69</v>
      </c>
      <c r="G54" s="31">
        <v>4.5999999999999999E-3</v>
      </c>
      <c r="H54" s="32"/>
    </row>
    <row r="55" spans="2:10" ht="15.75" customHeight="1" x14ac:dyDescent="0.2">
      <c r="B55" s="28" t="s">
        <v>588</v>
      </c>
      <c r="C55" s="28" t="s">
        <v>589</v>
      </c>
      <c r="D55" s="28" t="s">
        <v>590</v>
      </c>
      <c r="E55" s="29">
        <v>61974</v>
      </c>
      <c r="F55" s="30">
        <v>662.75</v>
      </c>
      <c r="G55" s="31">
        <v>4.4000000000000003E-3</v>
      </c>
      <c r="H55" s="32"/>
    </row>
    <row r="56" spans="2:10" ht="15.75" customHeight="1" x14ac:dyDescent="0.2">
      <c r="B56" s="28" t="s">
        <v>491</v>
      </c>
      <c r="C56" s="28" t="s">
        <v>492</v>
      </c>
      <c r="D56" s="28" t="s">
        <v>166</v>
      </c>
      <c r="E56" s="29">
        <v>268745</v>
      </c>
      <c r="F56" s="30">
        <v>635.88</v>
      </c>
      <c r="G56" s="31">
        <v>4.1999999999999997E-3</v>
      </c>
      <c r="H56" s="32"/>
    </row>
    <row r="57" spans="2:10" ht="15.75" customHeight="1" x14ac:dyDescent="0.2">
      <c r="B57" s="28" t="s">
        <v>288</v>
      </c>
      <c r="C57" s="28" t="s">
        <v>289</v>
      </c>
      <c r="D57" s="28" t="s">
        <v>290</v>
      </c>
      <c r="E57" s="29">
        <v>150065</v>
      </c>
      <c r="F57" s="30">
        <v>398.41</v>
      </c>
      <c r="G57" s="31">
        <v>2.7000000000000001E-3</v>
      </c>
      <c r="H57" s="32"/>
    </row>
    <row r="58" spans="2:10" ht="15.75" customHeight="1" x14ac:dyDescent="0.2">
      <c r="B58" s="28" t="s">
        <v>440</v>
      </c>
      <c r="C58" s="28" t="s">
        <v>441</v>
      </c>
      <c r="D58" s="28" t="s">
        <v>442</v>
      </c>
      <c r="E58" s="29">
        <v>10896</v>
      </c>
      <c r="F58" s="30">
        <v>335.35</v>
      </c>
      <c r="G58" s="31">
        <v>2.2000000000000001E-3</v>
      </c>
      <c r="H58" s="32"/>
    </row>
    <row r="59" spans="2:10" ht="15.75" customHeight="1" x14ac:dyDescent="0.2">
      <c r="B59" s="28" t="s">
        <v>693</v>
      </c>
      <c r="C59" s="28" t="s">
        <v>694</v>
      </c>
      <c r="D59" s="28" t="s">
        <v>175</v>
      </c>
      <c r="E59" s="29">
        <v>9947</v>
      </c>
      <c r="F59" s="30">
        <v>168.78</v>
      </c>
      <c r="G59" s="31">
        <v>1.1000000000000001E-3</v>
      </c>
      <c r="H59" s="32"/>
    </row>
    <row r="60" spans="2:10" ht="15.75" customHeight="1" x14ac:dyDescent="0.2">
      <c r="B60" s="28" t="s">
        <v>625</v>
      </c>
      <c r="C60" s="28" t="s">
        <v>626</v>
      </c>
      <c r="D60" s="28" t="s">
        <v>260</v>
      </c>
      <c r="E60" s="29">
        <v>1871</v>
      </c>
      <c r="F60" s="30">
        <v>31.13</v>
      </c>
      <c r="G60" s="31">
        <v>2.0000000000000001E-4</v>
      </c>
      <c r="H60" s="32"/>
    </row>
    <row r="61" spans="2:10" ht="15.75" customHeight="1" x14ac:dyDescent="0.2">
      <c r="B61" s="28" t="s">
        <v>417</v>
      </c>
      <c r="C61" s="28" t="s">
        <v>418</v>
      </c>
      <c r="D61" s="28" t="s">
        <v>175</v>
      </c>
      <c r="E61" s="29">
        <v>2974</v>
      </c>
      <c r="F61" s="30">
        <v>21.75</v>
      </c>
      <c r="G61" s="31">
        <v>1E-4</v>
      </c>
      <c r="H61" s="32"/>
    </row>
    <row r="62" spans="2:10" ht="15.75" customHeight="1" x14ac:dyDescent="0.2">
      <c r="B62" s="28" t="s">
        <v>1126</v>
      </c>
      <c r="C62" s="28" t="s">
        <v>746</v>
      </c>
      <c r="D62" s="28" t="s">
        <v>578</v>
      </c>
      <c r="E62" s="29">
        <v>275115</v>
      </c>
      <c r="F62" s="30">
        <v>717.36</v>
      </c>
      <c r="G62" s="31">
        <v>4.7999999999999996E-3</v>
      </c>
      <c r="H62" s="32"/>
    </row>
    <row r="63" spans="2:10" ht="15.75" customHeight="1" x14ac:dyDescent="0.2">
      <c r="B63" s="27" t="s">
        <v>127</v>
      </c>
      <c r="C63" s="27"/>
      <c r="D63" s="27"/>
      <c r="E63" s="33"/>
      <c r="F63" s="34">
        <f>SUM(F7:F62)</f>
        <v>145115.5</v>
      </c>
      <c r="G63" s="35">
        <v>0.96840000000000004</v>
      </c>
      <c r="H63" s="36"/>
    </row>
    <row r="64" spans="2:10" ht="15.75" customHeight="1" x14ac:dyDescent="0.2">
      <c r="B64" s="27" t="s">
        <v>189</v>
      </c>
      <c r="C64" s="28"/>
      <c r="D64" s="28"/>
      <c r="E64" s="29"/>
      <c r="F64" s="30"/>
      <c r="G64" s="31"/>
      <c r="H64" s="32"/>
      <c r="J64" s="3"/>
    </row>
    <row r="65" spans="2:14" ht="15.75" customHeight="1" x14ac:dyDescent="0.2">
      <c r="B65" s="27" t="s">
        <v>127</v>
      </c>
      <c r="C65" s="28"/>
      <c r="D65" s="28"/>
      <c r="E65" s="29"/>
      <c r="F65" s="37" t="s">
        <v>129</v>
      </c>
      <c r="G65" s="38" t="s">
        <v>129</v>
      </c>
      <c r="H65" s="32"/>
      <c r="J65" s="3"/>
    </row>
    <row r="66" spans="2:14" ht="15.75" customHeight="1" x14ac:dyDescent="0.2">
      <c r="B66" s="28"/>
      <c r="C66" s="28"/>
      <c r="D66" s="28"/>
      <c r="E66" s="29"/>
      <c r="F66" s="30"/>
      <c r="G66" s="31"/>
      <c r="H66" s="32"/>
    </row>
    <row r="67" spans="2:14" ht="15.75" customHeight="1" x14ac:dyDescent="0.2">
      <c r="B67" s="39" t="s">
        <v>131</v>
      </c>
      <c r="C67" s="39"/>
      <c r="D67" s="39"/>
      <c r="E67" s="40"/>
      <c r="F67" s="34">
        <f>F63</f>
        <v>145115.5</v>
      </c>
      <c r="G67" s="35">
        <f>G63</f>
        <v>0.96840000000000004</v>
      </c>
      <c r="H67" s="36"/>
    </row>
    <row r="68" spans="2:14" ht="15.75" customHeight="1" x14ac:dyDescent="0.2">
      <c r="B68" s="28"/>
      <c r="C68" s="28"/>
      <c r="D68" s="28"/>
      <c r="E68" s="29"/>
      <c r="F68" s="30"/>
      <c r="G68" s="31"/>
      <c r="H68" s="32"/>
      <c r="J68" s="3"/>
    </row>
    <row r="69" spans="2:14" ht="15.75" customHeight="1" x14ac:dyDescent="0.2">
      <c r="B69" s="28"/>
      <c r="C69" s="28"/>
      <c r="D69" s="28"/>
      <c r="E69" s="29"/>
      <c r="F69" s="30"/>
      <c r="G69" s="31"/>
      <c r="H69" s="32"/>
    </row>
    <row r="70" spans="2:14" ht="15.75" customHeight="1" x14ac:dyDescent="0.2">
      <c r="B70" s="27" t="s">
        <v>134</v>
      </c>
      <c r="C70" s="28"/>
      <c r="D70" s="28"/>
      <c r="E70" s="29"/>
      <c r="F70" s="30"/>
      <c r="G70" s="31"/>
      <c r="H70" s="32"/>
      <c r="J70" s="3"/>
    </row>
    <row r="71" spans="2:14" ht="15.75" customHeight="1" x14ac:dyDescent="0.2">
      <c r="B71" s="28" t="s">
        <v>135</v>
      </c>
      <c r="C71" s="28"/>
      <c r="D71" s="28"/>
      <c r="E71" s="29"/>
      <c r="F71" s="30">
        <v>1458.89</v>
      </c>
      <c r="G71" s="31">
        <v>9.7000000000000003E-3</v>
      </c>
      <c r="H71" s="32"/>
      <c r="J71" s="3"/>
    </row>
    <row r="72" spans="2:14" ht="15.75" customHeight="1" x14ac:dyDescent="0.2">
      <c r="B72" s="27" t="s">
        <v>127</v>
      </c>
      <c r="C72" s="27"/>
      <c r="D72" s="27"/>
      <c r="E72" s="33"/>
      <c r="F72" s="34">
        <v>1458.89</v>
      </c>
      <c r="G72" s="35">
        <v>9.7000000000000003E-3</v>
      </c>
      <c r="H72" s="36"/>
      <c r="J72" s="3"/>
    </row>
    <row r="73" spans="2:14" ht="15.75" customHeight="1" x14ac:dyDescent="0.2">
      <c r="B73" s="28"/>
      <c r="C73" s="28"/>
      <c r="D73" s="28"/>
      <c r="E73" s="29"/>
      <c r="F73" s="30"/>
      <c r="G73" s="31"/>
      <c r="H73" s="32"/>
      <c r="J73" s="3"/>
    </row>
    <row r="74" spans="2:14" ht="15.75" customHeight="1" x14ac:dyDescent="0.2">
      <c r="B74" s="39" t="s">
        <v>131</v>
      </c>
      <c r="C74" s="39"/>
      <c r="D74" s="39"/>
      <c r="E74" s="40"/>
      <c r="F74" s="34">
        <v>1458.89</v>
      </c>
      <c r="G74" s="35">
        <v>9.7000000000000003E-3</v>
      </c>
      <c r="H74" s="36"/>
      <c r="J74" s="3"/>
    </row>
    <row r="75" spans="2:14" ht="15.75" customHeight="1" x14ac:dyDescent="0.2">
      <c r="B75" s="28" t="s">
        <v>136</v>
      </c>
      <c r="C75" s="28"/>
      <c r="D75" s="28"/>
      <c r="E75" s="29"/>
      <c r="F75" s="30">
        <v>3275.89</v>
      </c>
      <c r="G75" s="31">
        <v>2.189999999999992E-2</v>
      </c>
      <c r="H75" s="32"/>
      <c r="J75" s="5"/>
      <c r="K75" s="5"/>
      <c r="L75" s="6"/>
      <c r="M75" s="6"/>
      <c r="N75" s="5"/>
    </row>
    <row r="76" spans="2:14" ht="15.75" customHeight="1" x14ac:dyDescent="0.2">
      <c r="B76" s="43" t="s">
        <v>137</v>
      </c>
      <c r="C76" s="43"/>
      <c r="D76" s="43"/>
      <c r="E76" s="44"/>
      <c r="F76" s="45">
        <v>149850.28</v>
      </c>
      <c r="G76" s="46">
        <v>1</v>
      </c>
      <c r="H76" s="47"/>
    </row>
    <row r="77" spans="2:14" ht="15.75" customHeight="1" x14ac:dyDescent="0.2">
      <c r="B77" s="2"/>
    </row>
    <row r="78" spans="2:14" ht="15.75" customHeight="1" x14ac:dyDescent="0.2">
      <c r="J78" s="7"/>
      <c r="K78" s="7"/>
      <c r="L78" s="7"/>
      <c r="M78" s="7"/>
      <c r="N78" s="7"/>
    </row>
    <row r="79" spans="2:14" ht="15.75" customHeight="1" x14ac:dyDescent="0.2">
      <c r="J79" s="7"/>
      <c r="K79" s="7"/>
      <c r="L79" s="7"/>
      <c r="M79" s="7"/>
      <c r="N79" s="7"/>
    </row>
    <row r="80" spans="2:14" ht="15.75" customHeight="1" thickBot="1" x14ac:dyDescent="0.25">
      <c r="J80" s="7"/>
      <c r="K80" s="7"/>
      <c r="L80" s="7"/>
      <c r="M80" s="7"/>
      <c r="N80" s="7"/>
    </row>
    <row r="81" spans="2:14" ht="39.75" customHeight="1" thickBot="1" x14ac:dyDescent="0.25">
      <c r="B81" s="48" t="s">
        <v>139</v>
      </c>
      <c r="C81" s="49" t="s">
        <v>140</v>
      </c>
      <c r="D81" s="49" t="s">
        <v>141</v>
      </c>
      <c r="E81" s="49" t="s">
        <v>142</v>
      </c>
      <c r="J81" s="7"/>
      <c r="K81" s="7"/>
      <c r="L81" s="7"/>
      <c r="M81" s="7"/>
      <c r="N81" s="7"/>
    </row>
    <row r="82" spans="2:14" ht="39.75" customHeight="1" x14ac:dyDescent="0.2">
      <c r="B82" s="61" t="s">
        <v>71</v>
      </c>
      <c r="C82" s="77"/>
      <c r="D82" s="80" t="s">
        <v>870</v>
      </c>
      <c r="E82" s="81"/>
      <c r="J82" s="7"/>
      <c r="K82" s="7"/>
      <c r="L82" s="7"/>
      <c r="M82" s="7"/>
      <c r="N82" s="7"/>
    </row>
    <row r="83" spans="2:14" ht="39.75" customHeight="1" x14ac:dyDescent="0.2">
      <c r="B83" s="52" t="s">
        <v>871</v>
      </c>
      <c r="C83" s="78"/>
      <c r="D83" s="80"/>
      <c r="E83" s="82"/>
      <c r="J83" s="7"/>
      <c r="K83" s="7"/>
      <c r="L83" s="7"/>
      <c r="M83" s="7"/>
      <c r="N83" s="7"/>
    </row>
    <row r="84" spans="2:14" ht="39.75" customHeight="1" x14ac:dyDescent="0.2">
      <c r="B84" s="52" t="s">
        <v>872</v>
      </c>
      <c r="C84" s="78"/>
      <c r="D84" s="80"/>
      <c r="E84" s="82"/>
    </row>
    <row r="85" spans="2:14" ht="39.75" customHeight="1" thickBot="1" x14ac:dyDescent="0.25">
      <c r="B85" s="62" t="s">
        <v>561</v>
      </c>
      <c r="C85" s="79"/>
      <c r="D85" s="50" t="s">
        <v>562</v>
      </c>
      <c r="E85" s="83"/>
      <c r="J85" s="3"/>
    </row>
    <row r="86" spans="2:14" ht="15.75" customHeight="1" x14ac:dyDescent="0.2">
      <c r="B86" s="9" t="s">
        <v>144</v>
      </c>
    </row>
    <row r="88" spans="2:14" ht="15.75" customHeight="1" x14ac:dyDescent="0.2">
      <c r="B88" s="9" t="s">
        <v>145</v>
      </c>
    </row>
    <row r="89" spans="2:14" ht="15.75" customHeight="1" x14ac:dyDescent="0.2">
      <c r="B89" s="15" t="s">
        <v>146</v>
      </c>
    </row>
  </sheetData>
  <mergeCells count="3">
    <mergeCell ref="C82:C85"/>
    <mergeCell ref="D82:D84"/>
    <mergeCell ref="E82:E85"/>
  </mergeCells>
  <hyperlinks>
    <hyperlink ref="G1" location="'Sheet1'!A1" display="Index" xr:uid="{EFB867C8-F12D-42DB-98CF-4928EA82305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E9F89-D7F8-40EA-91E3-54814ADF5D14}">
  <dimension ref="B1:N10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327</v>
      </c>
      <c r="C7" s="28" t="s">
        <v>328</v>
      </c>
      <c r="D7" s="28" t="s">
        <v>329</v>
      </c>
      <c r="E7" s="29">
        <v>693857</v>
      </c>
      <c r="F7" s="30">
        <v>5685.81</v>
      </c>
      <c r="G7" s="31">
        <v>5.3900000000000003E-2</v>
      </c>
      <c r="H7" s="32"/>
    </row>
    <row r="8" spans="2:8" ht="15.75" customHeight="1" x14ac:dyDescent="0.2">
      <c r="B8" s="28" t="s">
        <v>324</v>
      </c>
      <c r="C8" s="28" t="s">
        <v>325</v>
      </c>
      <c r="D8" s="28" t="s">
        <v>326</v>
      </c>
      <c r="E8" s="29">
        <v>109584</v>
      </c>
      <c r="F8" s="30">
        <v>4417.22</v>
      </c>
      <c r="G8" s="31">
        <v>4.19E-2</v>
      </c>
      <c r="H8" s="32"/>
    </row>
    <row r="9" spans="2:8" ht="15.75" customHeight="1" x14ac:dyDescent="0.2">
      <c r="B9" s="28" t="s">
        <v>471</v>
      </c>
      <c r="C9" s="28" t="s">
        <v>472</v>
      </c>
      <c r="D9" s="28" t="s">
        <v>326</v>
      </c>
      <c r="E9" s="29">
        <v>769765</v>
      </c>
      <c r="F9" s="30">
        <v>3448.93</v>
      </c>
      <c r="G9" s="31">
        <v>3.27E-2</v>
      </c>
      <c r="H9" s="32"/>
    </row>
    <row r="10" spans="2:8" ht="15.75" customHeight="1" x14ac:dyDescent="0.2">
      <c r="B10" s="28" t="s">
        <v>408</v>
      </c>
      <c r="C10" s="28" t="s">
        <v>409</v>
      </c>
      <c r="D10" s="28" t="s">
        <v>175</v>
      </c>
      <c r="E10" s="29">
        <v>911009</v>
      </c>
      <c r="F10" s="30">
        <v>3414.92</v>
      </c>
      <c r="G10" s="31">
        <v>3.2399999999999998E-2</v>
      </c>
      <c r="H10" s="32"/>
    </row>
    <row r="11" spans="2:8" ht="15.75" customHeight="1" x14ac:dyDescent="0.2">
      <c r="B11" s="28" t="s">
        <v>615</v>
      </c>
      <c r="C11" s="28" t="s">
        <v>616</v>
      </c>
      <c r="D11" s="28" t="s">
        <v>290</v>
      </c>
      <c r="E11" s="29">
        <v>286134</v>
      </c>
      <c r="F11" s="30">
        <v>3407</v>
      </c>
      <c r="G11" s="31">
        <v>3.2300000000000002E-2</v>
      </c>
      <c r="H11" s="32"/>
    </row>
    <row r="12" spans="2:8" ht="15.75" customHeight="1" x14ac:dyDescent="0.2">
      <c r="B12" s="28" t="s">
        <v>459</v>
      </c>
      <c r="C12" s="28" t="s">
        <v>460</v>
      </c>
      <c r="D12" s="28" t="s">
        <v>430</v>
      </c>
      <c r="E12" s="29">
        <v>44149</v>
      </c>
      <c r="F12" s="30">
        <v>3391.08</v>
      </c>
      <c r="G12" s="31">
        <v>3.2199999999999999E-2</v>
      </c>
      <c r="H12" s="32"/>
    </row>
    <row r="13" spans="2:8" ht="15.75" customHeight="1" x14ac:dyDescent="0.2">
      <c r="B13" s="28" t="s">
        <v>330</v>
      </c>
      <c r="C13" s="28" t="s">
        <v>331</v>
      </c>
      <c r="D13" s="28" t="s">
        <v>329</v>
      </c>
      <c r="E13" s="29">
        <v>94287</v>
      </c>
      <c r="F13" s="30">
        <v>3216.88</v>
      </c>
      <c r="G13" s="31">
        <v>3.0499999999999999E-2</v>
      </c>
      <c r="H13" s="32"/>
    </row>
    <row r="14" spans="2:8" ht="15.75" customHeight="1" x14ac:dyDescent="0.2">
      <c r="B14" s="28" t="s">
        <v>372</v>
      </c>
      <c r="C14" s="28" t="s">
        <v>373</v>
      </c>
      <c r="D14" s="28" t="s">
        <v>290</v>
      </c>
      <c r="E14" s="29">
        <v>93633</v>
      </c>
      <c r="F14" s="30">
        <v>2830.9</v>
      </c>
      <c r="G14" s="31">
        <v>2.69E-2</v>
      </c>
      <c r="H14" s="32"/>
    </row>
    <row r="15" spans="2:8" ht="15.75" customHeight="1" x14ac:dyDescent="0.2">
      <c r="B15" s="28" t="s">
        <v>873</v>
      </c>
      <c r="C15" s="28" t="s">
        <v>874</v>
      </c>
      <c r="D15" s="28" t="s">
        <v>329</v>
      </c>
      <c r="E15" s="29">
        <v>62276</v>
      </c>
      <c r="F15" s="30">
        <v>2705.33</v>
      </c>
      <c r="G15" s="31">
        <v>2.5700000000000001E-2</v>
      </c>
      <c r="H15" s="32"/>
    </row>
    <row r="16" spans="2:8" ht="15.75" customHeight="1" x14ac:dyDescent="0.2">
      <c r="B16" s="28" t="s">
        <v>802</v>
      </c>
      <c r="C16" s="28" t="s">
        <v>803</v>
      </c>
      <c r="D16" s="28" t="s">
        <v>290</v>
      </c>
      <c r="E16" s="29">
        <v>319302</v>
      </c>
      <c r="F16" s="30">
        <v>2670.96</v>
      </c>
      <c r="G16" s="31">
        <v>2.53E-2</v>
      </c>
      <c r="H16" s="32"/>
    </row>
    <row r="17" spans="2:8" ht="15.75" customHeight="1" x14ac:dyDescent="0.2">
      <c r="B17" s="28" t="s">
        <v>760</v>
      </c>
      <c r="C17" s="28" t="s">
        <v>761</v>
      </c>
      <c r="D17" s="28" t="s">
        <v>246</v>
      </c>
      <c r="E17" s="29">
        <v>666245</v>
      </c>
      <c r="F17" s="30">
        <v>2570.37</v>
      </c>
      <c r="G17" s="31">
        <v>2.4400000000000002E-2</v>
      </c>
      <c r="H17" s="32"/>
    </row>
    <row r="18" spans="2:8" ht="15.75" customHeight="1" x14ac:dyDescent="0.2">
      <c r="B18" s="28" t="s">
        <v>288</v>
      </c>
      <c r="C18" s="28" t="s">
        <v>289</v>
      </c>
      <c r="D18" s="28" t="s">
        <v>290</v>
      </c>
      <c r="E18" s="29">
        <v>913126</v>
      </c>
      <c r="F18" s="30">
        <v>2424.2600000000002</v>
      </c>
      <c r="G18" s="31">
        <v>2.3E-2</v>
      </c>
      <c r="H18" s="32"/>
    </row>
    <row r="19" spans="2:8" ht="15.75" customHeight="1" x14ac:dyDescent="0.2">
      <c r="B19" s="28" t="s">
        <v>875</v>
      </c>
      <c r="C19" s="28" t="s">
        <v>876</v>
      </c>
      <c r="D19" s="28" t="s">
        <v>178</v>
      </c>
      <c r="E19" s="29">
        <v>426422</v>
      </c>
      <c r="F19" s="30">
        <v>2232.11</v>
      </c>
      <c r="G19" s="31">
        <v>2.12E-2</v>
      </c>
      <c r="H19" s="32"/>
    </row>
    <row r="20" spans="2:8" ht="15.75" customHeight="1" x14ac:dyDescent="0.2">
      <c r="B20" s="28" t="s">
        <v>267</v>
      </c>
      <c r="C20" s="28" t="s">
        <v>268</v>
      </c>
      <c r="D20" s="28" t="s">
        <v>269</v>
      </c>
      <c r="E20" s="29">
        <v>75555</v>
      </c>
      <c r="F20" s="30">
        <v>2184.8200000000002</v>
      </c>
      <c r="G20" s="31">
        <v>2.07E-2</v>
      </c>
      <c r="H20" s="32"/>
    </row>
    <row r="21" spans="2:8" ht="15.75" customHeight="1" x14ac:dyDescent="0.2">
      <c r="B21" s="28" t="s">
        <v>477</v>
      </c>
      <c r="C21" s="28" t="s">
        <v>478</v>
      </c>
      <c r="D21" s="28" t="s">
        <v>290</v>
      </c>
      <c r="E21" s="29">
        <v>69815</v>
      </c>
      <c r="F21" s="30">
        <v>2120.56</v>
      </c>
      <c r="G21" s="31">
        <v>2.01E-2</v>
      </c>
      <c r="H21" s="32"/>
    </row>
    <row r="22" spans="2:8" ht="15.75" customHeight="1" x14ac:dyDescent="0.2">
      <c r="B22" s="28" t="s">
        <v>296</v>
      </c>
      <c r="C22" s="28" t="s">
        <v>297</v>
      </c>
      <c r="D22" s="28" t="s">
        <v>175</v>
      </c>
      <c r="E22" s="29">
        <v>492522</v>
      </c>
      <c r="F22" s="30">
        <v>1986.09</v>
      </c>
      <c r="G22" s="31">
        <v>1.8800000000000001E-2</v>
      </c>
      <c r="H22" s="32"/>
    </row>
    <row r="23" spans="2:8" ht="15.75" customHeight="1" x14ac:dyDescent="0.2">
      <c r="B23" s="28" t="s">
        <v>816</v>
      </c>
      <c r="C23" s="28" t="s">
        <v>817</v>
      </c>
      <c r="D23" s="28" t="s">
        <v>300</v>
      </c>
      <c r="E23" s="29">
        <v>146926</v>
      </c>
      <c r="F23" s="30">
        <v>1764.14</v>
      </c>
      <c r="G23" s="31">
        <v>1.67E-2</v>
      </c>
      <c r="H23" s="32"/>
    </row>
    <row r="24" spans="2:8" ht="15.75" customHeight="1" x14ac:dyDescent="0.2">
      <c r="B24" s="28" t="s">
        <v>298</v>
      </c>
      <c r="C24" s="28" t="s">
        <v>299</v>
      </c>
      <c r="D24" s="28" t="s">
        <v>300</v>
      </c>
      <c r="E24" s="29">
        <v>323224</v>
      </c>
      <c r="F24" s="30">
        <v>1762.38</v>
      </c>
      <c r="G24" s="31">
        <v>1.67E-2</v>
      </c>
      <c r="H24" s="32"/>
    </row>
    <row r="25" spans="2:8" ht="15.75" customHeight="1" x14ac:dyDescent="0.2">
      <c r="B25" s="28" t="s">
        <v>176</v>
      </c>
      <c r="C25" s="28" t="s">
        <v>177</v>
      </c>
      <c r="D25" s="28" t="s">
        <v>178</v>
      </c>
      <c r="E25" s="29">
        <v>129947</v>
      </c>
      <c r="F25" s="30">
        <v>1721.41</v>
      </c>
      <c r="G25" s="31">
        <v>1.6299999999999999E-2</v>
      </c>
      <c r="H25" s="32"/>
    </row>
    <row r="26" spans="2:8" ht="15.75" customHeight="1" x14ac:dyDescent="0.2">
      <c r="B26" s="28" t="s">
        <v>617</v>
      </c>
      <c r="C26" s="28" t="s">
        <v>618</v>
      </c>
      <c r="D26" s="28" t="s">
        <v>290</v>
      </c>
      <c r="E26" s="29">
        <v>211943</v>
      </c>
      <c r="F26" s="30">
        <v>1642.35</v>
      </c>
      <c r="G26" s="31">
        <v>1.5599999999999999E-2</v>
      </c>
      <c r="H26" s="32"/>
    </row>
    <row r="27" spans="2:8" ht="15.75" customHeight="1" x14ac:dyDescent="0.2">
      <c r="B27" s="28" t="s">
        <v>443</v>
      </c>
      <c r="C27" s="28" t="s">
        <v>444</v>
      </c>
      <c r="D27" s="28" t="s">
        <v>329</v>
      </c>
      <c r="E27" s="29">
        <v>159957</v>
      </c>
      <c r="F27" s="30">
        <v>1599.41</v>
      </c>
      <c r="G27" s="31">
        <v>1.52E-2</v>
      </c>
      <c r="H27" s="32"/>
    </row>
    <row r="28" spans="2:8" ht="15.75" customHeight="1" x14ac:dyDescent="0.2">
      <c r="B28" s="28" t="s">
        <v>749</v>
      </c>
      <c r="C28" s="28" t="s">
        <v>750</v>
      </c>
      <c r="D28" s="28" t="s">
        <v>218</v>
      </c>
      <c r="E28" s="29">
        <v>32321</v>
      </c>
      <c r="F28" s="30">
        <v>1512.56</v>
      </c>
      <c r="G28" s="31">
        <v>1.43E-2</v>
      </c>
      <c r="H28" s="32"/>
    </row>
    <row r="29" spans="2:8" ht="15.75" customHeight="1" x14ac:dyDescent="0.2">
      <c r="B29" s="28" t="s">
        <v>733</v>
      </c>
      <c r="C29" s="28" t="s">
        <v>734</v>
      </c>
      <c r="D29" s="28" t="s">
        <v>329</v>
      </c>
      <c r="E29" s="29">
        <v>189383</v>
      </c>
      <c r="F29" s="30">
        <v>1497.36</v>
      </c>
      <c r="G29" s="31">
        <v>1.4200000000000001E-2</v>
      </c>
      <c r="H29" s="32"/>
    </row>
    <row r="30" spans="2:8" ht="15.75" customHeight="1" x14ac:dyDescent="0.2">
      <c r="B30" s="28" t="s">
        <v>464</v>
      </c>
      <c r="C30" s="28" t="s">
        <v>465</v>
      </c>
      <c r="D30" s="28" t="s">
        <v>466</v>
      </c>
      <c r="E30" s="29">
        <v>574447</v>
      </c>
      <c r="F30" s="30">
        <v>1481.5</v>
      </c>
      <c r="G30" s="31">
        <v>1.41E-2</v>
      </c>
      <c r="H30" s="32"/>
    </row>
    <row r="31" spans="2:8" ht="15.75" customHeight="1" x14ac:dyDescent="0.2">
      <c r="B31" s="28" t="s">
        <v>392</v>
      </c>
      <c r="C31" s="28" t="s">
        <v>393</v>
      </c>
      <c r="D31" s="28" t="s">
        <v>208</v>
      </c>
      <c r="E31" s="29">
        <v>77751</v>
      </c>
      <c r="F31" s="30">
        <v>1458.14</v>
      </c>
      <c r="G31" s="31">
        <v>1.38E-2</v>
      </c>
      <c r="H31" s="32"/>
    </row>
    <row r="32" spans="2:8" ht="15.75" customHeight="1" x14ac:dyDescent="0.2">
      <c r="B32" s="28" t="s">
        <v>355</v>
      </c>
      <c r="C32" s="28" t="s">
        <v>356</v>
      </c>
      <c r="D32" s="28" t="s">
        <v>208</v>
      </c>
      <c r="E32" s="29">
        <v>75946</v>
      </c>
      <c r="F32" s="30">
        <v>1413.2</v>
      </c>
      <c r="G32" s="31">
        <v>1.34E-2</v>
      </c>
      <c r="H32" s="32"/>
    </row>
    <row r="33" spans="2:8" ht="15.75" customHeight="1" x14ac:dyDescent="0.2">
      <c r="B33" s="28" t="s">
        <v>173</v>
      </c>
      <c r="C33" s="28" t="s">
        <v>174</v>
      </c>
      <c r="D33" s="28" t="s">
        <v>175</v>
      </c>
      <c r="E33" s="29">
        <v>188329</v>
      </c>
      <c r="F33" s="30">
        <v>1410.4</v>
      </c>
      <c r="G33" s="31">
        <v>1.34E-2</v>
      </c>
      <c r="H33" s="32"/>
    </row>
    <row r="34" spans="2:8" ht="15.75" customHeight="1" x14ac:dyDescent="0.2">
      <c r="B34" s="28" t="s">
        <v>303</v>
      </c>
      <c r="C34" s="28" t="s">
        <v>304</v>
      </c>
      <c r="D34" s="28" t="s">
        <v>178</v>
      </c>
      <c r="E34" s="29">
        <v>3702</v>
      </c>
      <c r="F34" s="30">
        <v>1378.81</v>
      </c>
      <c r="G34" s="31">
        <v>1.3100000000000001E-2</v>
      </c>
      <c r="H34" s="32"/>
    </row>
    <row r="35" spans="2:8" ht="15.75" customHeight="1" x14ac:dyDescent="0.2">
      <c r="B35" s="28" t="s">
        <v>301</v>
      </c>
      <c r="C35" s="28" t="s">
        <v>302</v>
      </c>
      <c r="D35" s="28" t="s">
        <v>175</v>
      </c>
      <c r="E35" s="29">
        <v>568657</v>
      </c>
      <c r="F35" s="30">
        <v>1347.72</v>
      </c>
      <c r="G35" s="31">
        <v>1.2800000000000001E-2</v>
      </c>
      <c r="H35" s="32"/>
    </row>
    <row r="36" spans="2:8" ht="15.75" customHeight="1" x14ac:dyDescent="0.2">
      <c r="B36" s="28" t="s">
        <v>404</v>
      </c>
      <c r="C36" s="28" t="s">
        <v>405</v>
      </c>
      <c r="D36" s="28" t="s">
        <v>326</v>
      </c>
      <c r="E36" s="29">
        <v>151302</v>
      </c>
      <c r="F36" s="30">
        <v>1330.78</v>
      </c>
      <c r="G36" s="31">
        <v>1.26E-2</v>
      </c>
      <c r="H36" s="32"/>
    </row>
    <row r="37" spans="2:8" ht="15.75" customHeight="1" x14ac:dyDescent="0.2">
      <c r="B37" s="28" t="s">
        <v>839</v>
      </c>
      <c r="C37" s="28" t="s">
        <v>840</v>
      </c>
      <c r="D37" s="28" t="s">
        <v>218</v>
      </c>
      <c r="E37" s="29">
        <v>280393</v>
      </c>
      <c r="F37" s="30">
        <v>1266.96</v>
      </c>
      <c r="G37" s="31">
        <v>1.2E-2</v>
      </c>
      <c r="H37" s="32"/>
    </row>
    <row r="38" spans="2:8" ht="15.75" customHeight="1" x14ac:dyDescent="0.2">
      <c r="B38" s="28" t="s">
        <v>877</v>
      </c>
      <c r="C38" s="28" t="s">
        <v>878</v>
      </c>
      <c r="D38" s="28" t="s">
        <v>280</v>
      </c>
      <c r="E38" s="29">
        <v>446142</v>
      </c>
      <c r="F38" s="30">
        <v>1170.23</v>
      </c>
      <c r="G38" s="31">
        <v>1.11E-2</v>
      </c>
      <c r="H38" s="32"/>
    </row>
    <row r="39" spans="2:8" ht="15.75" customHeight="1" x14ac:dyDescent="0.2">
      <c r="B39" s="28" t="s">
        <v>211</v>
      </c>
      <c r="C39" s="28" t="s">
        <v>212</v>
      </c>
      <c r="D39" s="28" t="s">
        <v>213</v>
      </c>
      <c r="E39" s="29">
        <v>638215</v>
      </c>
      <c r="F39" s="30">
        <v>1166.9100000000001</v>
      </c>
      <c r="G39" s="31">
        <v>1.11E-2</v>
      </c>
      <c r="H39" s="32"/>
    </row>
    <row r="40" spans="2:8" ht="15.75" customHeight="1" x14ac:dyDescent="0.2">
      <c r="B40" s="28" t="s">
        <v>402</v>
      </c>
      <c r="C40" s="28" t="s">
        <v>403</v>
      </c>
      <c r="D40" s="28" t="s">
        <v>329</v>
      </c>
      <c r="E40" s="29">
        <v>104138</v>
      </c>
      <c r="F40" s="30">
        <v>1116.05</v>
      </c>
      <c r="G40" s="31">
        <v>1.06E-2</v>
      </c>
      <c r="H40" s="32"/>
    </row>
    <row r="41" spans="2:8" ht="15.75" customHeight="1" x14ac:dyDescent="0.2">
      <c r="B41" s="28" t="s">
        <v>711</v>
      </c>
      <c r="C41" s="28" t="s">
        <v>712</v>
      </c>
      <c r="D41" s="28" t="s">
        <v>466</v>
      </c>
      <c r="E41" s="29">
        <v>2959</v>
      </c>
      <c r="F41" s="30">
        <v>1079.8900000000001</v>
      </c>
      <c r="G41" s="31">
        <v>1.0200000000000001E-2</v>
      </c>
      <c r="H41" s="32"/>
    </row>
    <row r="42" spans="2:8" ht="15.75" customHeight="1" x14ac:dyDescent="0.2">
      <c r="B42" s="28" t="s">
        <v>563</v>
      </c>
      <c r="C42" s="28" t="s">
        <v>564</v>
      </c>
      <c r="D42" s="28" t="s">
        <v>188</v>
      </c>
      <c r="E42" s="29">
        <v>6505</v>
      </c>
      <c r="F42" s="30">
        <v>1052.9000000000001</v>
      </c>
      <c r="G42" s="31">
        <v>0.01</v>
      </c>
      <c r="H42" s="32"/>
    </row>
    <row r="43" spans="2:8" ht="15.75" customHeight="1" x14ac:dyDescent="0.2">
      <c r="B43" s="28" t="s">
        <v>879</v>
      </c>
      <c r="C43" s="28" t="s">
        <v>880</v>
      </c>
      <c r="D43" s="28" t="s">
        <v>169</v>
      </c>
      <c r="E43" s="29">
        <v>289837</v>
      </c>
      <c r="F43" s="30">
        <v>1034.1400000000001</v>
      </c>
      <c r="G43" s="31">
        <v>9.7999999999999997E-3</v>
      </c>
      <c r="H43" s="32"/>
    </row>
    <row r="44" spans="2:8" ht="15.75" customHeight="1" x14ac:dyDescent="0.2">
      <c r="B44" s="28" t="s">
        <v>800</v>
      </c>
      <c r="C44" s="28" t="s">
        <v>801</v>
      </c>
      <c r="D44" s="28" t="s">
        <v>389</v>
      </c>
      <c r="E44" s="29">
        <v>332197</v>
      </c>
      <c r="F44" s="30">
        <v>1028.6500000000001</v>
      </c>
      <c r="G44" s="31">
        <v>9.7999999999999997E-3</v>
      </c>
      <c r="H44" s="32"/>
    </row>
    <row r="45" spans="2:8" ht="15.75" customHeight="1" x14ac:dyDescent="0.2">
      <c r="B45" s="28" t="s">
        <v>334</v>
      </c>
      <c r="C45" s="28" t="s">
        <v>335</v>
      </c>
      <c r="D45" s="28" t="s">
        <v>280</v>
      </c>
      <c r="E45" s="29">
        <v>297708</v>
      </c>
      <c r="F45" s="30">
        <v>1003.13</v>
      </c>
      <c r="G45" s="31">
        <v>9.4999999999999998E-3</v>
      </c>
      <c r="H45" s="32"/>
    </row>
    <row r="46" spans="2:8" ht="15.75" customHeight="1" x14ac:dyDescent="0.2">
      <c r="B46" s="28" t="s">
        <v>881</v>
      </c>
      <c r="C46" s="28" t="s">
        <v>882</v>
      </c>
      <c r="D46" s="28" t="s">
        <v>329</v>
      </c>
      <c r="E46" s="29">
        <v>88543</v>
      </c>
      <c r="F46" s="30">
        <v>990.44</v>
      </c>
      <c r="G46" s="31">
        <v>9.4000000000000004E-3</v>
      </c>
      <c r="H46" s="32"/>
    </row>
    <row r="47" spans="2:8" ht="15.75" customHeight="1" x14ac:dyDescent="0.2">
      <c r="B47" s="28" t="s">
        <v>883</v>
      </c>
      <c r="C47" s="28" t="s">
        <v>884</v>
      </c>
      <c r="D47" s="28" t="s">
        <v>466</v>
      </c>
      <c r="E47" s="29">
        <v>332300</v>
      </c>
      <c r="F47" s="30">
        <v>971.98</v>
      </c>
      <c r="G47" s="31">
        <v>9.1999999999999998E-3</v>
      </c>
      <c r="H47" s="32"/>
    </row>
    <row r="48" spans="2:8" ht="15.75" customHeight="1" x14ac:dyDescent="0.2">
      <c r="B48" s="28" t="s">
        <v>216</v>
      </c>
      <c r="C48" s="28" t="s">
        <v>217</v>
      </c>
      <c r="D48" s="28" t="s">
        <v>218</v>
      </c>
      <c r="E48" s="29">
        <v>227053</v>
      </c>
      <c r="F48" s="30">
        <v>967.47</v>
      </c>
      <c r="G48" s="31">
        <v>9.1999999999999998E-3</v>
      </c>
      <c r="H48" s="32"/>
    </row>
    <row r="49" spans="2:8" ht="15.75" customHeight="1" x14ac:dyDescent="0.2">
      <c r="B49" s="28" t="s">
        <v>830</v>
      </c>
      <c r="C49" s="28" t="s">
        <v>831</v>
      </c>
      <c r="D49" s="28" t="s">
        <v>349</v>
      </c>
      <c r="E49" s="29">
        <v>16617</v>
      </c>
      <c r="F49" s="30">
        <v>948.5</v>
      </c>
      <c r="G49" s="31">
        <v>8.9999999999999993E-3</v>
      </c>
      <c r="H49" s="32"/>
    </row>
    <row r="50" spans="2:8" ht="15.75" customHeight="1" x14ac:dyDescent="0.2">
      <c r="B50" s="28" t="s">
        <v>270</v>
      </c>
      <c r="C50" s="28" t="s">
        <v>271</v>
      </c>
      <c r="D50" s="28" t="s">
        <v>269</v>
      </c>
      <c r="E50" s="29">
        <v>7923</v>
      </c>
      <c r="F50" s="30">
        <v>946.56</v>
      </c>
      <c r="G50" s="31">
        <v>8.9999999999999993E-3</v>
      </c>
      <c r="H50" s="32"/>
    </row>
    <row r="51" spans="2:8" ht="15.75" customHeight="1" x14ac:dyDescent="0.2">
      <c r="B51" s="28" t="s">
        <v>680</v>
      </c>
      <c r="C51" s="28" t="s">
        <v>681</v>
      </c>
      <c r="D51" s="28" t="s">
        <v>178</v>
      </c>
      <c r="E51" s="29">
        <v>22569</v>
      </c>
      <c r="F51" s="30">
        <v>907.59</v>
      </c>
      <c r="G51" s="31">
        <v>8.6E-3</v>
      </c>
      <c r="H51" s="32"/>
    </row>
    <row r="52" spans="2:8" ht="15.75" customHeight="1" x14ac:dyDescent="0.2">
      <c r="B52" s="28" t="s">
        <v>637</v>
      </c>
      <c r="C52" s="28" t="s">
        <v>638</v>
      </c>
      <c r="D52" s="28" t="s">
        <v>246</v>
      </c>
      <c r="E52" s="29">
        <v>568598</v>
      </c>
      <c r="F52" s="30">
        <v>905.26</v>
      </c>
      <c r="G52" s="31">
        <v>8.6E-3</v>
      </c>
      <c r="H52" s="32"/>
    </row>
    <row r="53" spans="2:8" ht="15.75" customHeight="1" x14ac:dyDescent="0.2">
      <c r="B53" s="28" t="s">
        <v>597</v>
      </c>
      <c r="C53" s="28" t="s">
        <v>598</v>
      </c>
      <c r="D53" s="28" t="s">
        <v>290</v>
      </c>
      <c r="E53" s="29">
        <v>26340</v>
      </c>
      <c r="F53" s="30">
        <v>839.09</v>
      </c>
      <c r="G53" s="31">
        <v>8.0000000000000002E-3</v>
      </c>
      <c r="H53" s="32"/>
    </row>
    <row r="54" spans="2:8" ht="15.75" customHeight="1" x14ac:dyDescent="0.2">
      <c r="B54" s="28" t="s">
        <v>344</v>
      </c>
      <c r="C54" s="28" t="s">
        <v>345</v>
      </c>
      <c r="D54" s="28" t="s">
        <v>346</v>
      </c>
      <c r="E54" s="29">
        <v>98298</v>
      </c>
      <c r="F54" s="30">
        <v>833.42</v>
      </c>
      <c r="G54" s="31">
        <v>7.9000000000000008E-3</v>
      </c>
      <c r="H54" s="32"/>
    </row>
    <row r="55" spans="2:8" ht="15.75" customHeight="1" x14ac:dyDescent="0.2">
      <c r="B55" s="28" t="s">
        <v>885</v>
      </c>
      <c r="C55" s="28" t="s">
        <v>886</v>
      </c>
      <c r="D55" s="28" t="s">
        <v>329</v>
      </c>
      <c r="E55" s="29">
        <v>94746</v>
      </c>
      <c r="F55" s="30">
        <v>819.93</v>
      </c>
      <c r="G55" s="31">
        <v>7.7999999999999996E-3</v>
      </c>
      <c r="H55" s="32"/>
    </row>
    <row r="56" spans="2:8" ht="15.75" customHeight="1" x14ac:dyDescent="0.2">
      <c r="B56" s="28" t="s">
        <v>643</v>
      </c>
      <c r="C56" s="28" t="s">
        <v>644</v>
      </c>
      <c r="D56" s="28" t="s">
        <v>178</v>
      </c>
      <c r="E56" s="29">
        <v>123025</v>
      </c>
      <c r="F56" s="30">
        <v>761.96</v>
      </c>
      <c r="G56" s="31">
        <v>7.1999999999999998E-3</v>
      </c>
      <c r="H56" s="32"/>
    </row>
    <row r="57" spans="2:8" ht="15.75" customHeight="1" x14ac:dyDescent="0.2">
      <c r="B57" s="28" t="s">
        <v>794</v>
      </c>
      <c r="C57" s="28" t="s">
        <v>795</v>
      </c>
      <c r="D57" s="28" t="s">
        <v>466</v>
      </c>
      <c r="E57" s="29">
        <v>36517</v>
      </c>
      <c r="F57" s="30">
        <v>761.67</v>
      </c>
      <c r="G57" s="31">
        <v>7.1999999999999998E-3</v>
      </c>
      <c r="H57" s="32"/>
    </row>
    <row r="58" spans="2:8" ht="15.75" customHeight="1" x14ac:dyDescent="0.2">
      <c r="B58" s="28" t="s">
        <v>423</v>
      </c>
      <c r="C58" s="28" t="s">
        <v>424</v>
      </c>
      <c r="D58" s="28" t="s">
        <v>425</v>
      </c>
      <c r="E58" s="29">
        <v>151943</v>
      </c>
      <c r="F58" s="30">
        <v>737.38</v>
      </c>
      <c r="G58" s="31">
        <v>7.0000000000000001E-3</v>
      </c>
      <c r="H58" s="32"/>
    </row>
    <row r="59" spans="2:8" ht="15.75" customHeight="1" x14ac:dyDescent="0.2">
      <c r="B59" s="28" t="s">
        <v>887</v>
      </c>
      <c r="C59" s="28" t="s">
        <v>888</v>
      </c>
      <c r="D59" s="28" t="s">
        <v>213</v>
      </c>
      <c r="E59" s="29">
        <v>140350</v>
      </c>
      <c r="F59" s="30">
        <v>725.61</v>
      </c>
      <c r="G59" s="31">
        <v>6.8999999999999999E-3</v>
      </c>
      <c r="H59" s="32"/>
    </row>
    <row r="60" spans="2:8" ht="15.75" customHeight="1" x14ac:dyDescent="0.2">
      <c r="B60" s="28" t="s">
        <v>889</v>
      </c>
      <c r="C60" s="28" t="s">
        <v>890</v>
      </c>
      <c r="D60" s="28" t="s">
        <v>329</v>
      </c>
      <c r="E60" s="29">
        <v>72790</v>
      </c>
      <c r="F60" s="30">
        <v>719.75</v>
      </c>
      <c r="G60" s="31">
        <v>6.7999999999999996E-3</v>
      </c>
      <c r="H60" s="32"/>
    </row>
    <row r="61" spans="2:8" ht="15.75" customHeight="1" x14ac:dyDescent="0.2">
      <c r="B61" s="28" t="s">
        <v>812</v>
      </c>
      <c r="C61" s="28" t="s">
        <v>813</v>
      </c>
      <c r="D61" s="28" t="s">
        <v>466</v>
      </c>
      <c r="E61" s="29">
        <v>490706</v>
      </c>
      <c r="F61" s="30">
        <v>669.62</v>
      </c>
      <c r="G61" s="31">
        <v>6.4000000000000003E-3</v>
      </c>
      <c r="H61" s="32"/>
    </row>
    <row r="62" spans="2:8" ht="15.75" customHeight="1" x14ac:dyDescent="0.2">
      <c r="B62" s="28" t="s">
        <v>591</v>
      </c>
      <c r="C62" s="28" t="s">
        <v>592</v>
      </c>
      <c r="D62" s="28" t="s">
        <v>290</v>
      </c>
      <c r="E62" s="29">
        <v>3381</v>
      </c>
      <c r="F62" s="30">
        <v>601.07000000000005</v>
      </c>
      <c r="G62" s="31">
        <v>5.7000000000000002E-3</v>
      </c>
      <c r="H62" s="32"/>
    </row>
    <row r="63" spans="2:8" ht="15.75" customHeight="1" x14ac:dyDescent="0.2">
      <c r="B63" s="28" t="s">
        <v>737</v>
      </c>
      <c r="C63" s="28" t="s">
        <v>738</v>
      </c>
      <c r="D63" s="28" t="s">
        <v>349</v>
      </c>
      <c r="E63" s="29">
        <v>36212</v>
      </c>
      <c r="F63" s="30">
        <v>523.12</v>
      </c>
      <c r="G63" s="31">
        <v>5.0000000000000001E-3</v>
      </c>
      <c r="H63" s="32"/>
    </row>
    <row r="64" spans="2:8" ht="15.75" customHeight="1" x14ac:dyDescent="0.2">
      <c r="B64" s="28" t="s">
        <v>623</v>
      </c>
      <c r="C64" s="28" t="s">
        <v>624</v>
      </c>
      <c r="D64" s="28" t="s">
        <v>389</v>
      </c>
      <c r="E64" s="29">
        <v>122074</v>
      </c>
      <c r="F64" s="30">
        <v>497.33</v>
      </c>
      <c r="G64" s="31">
        <v>4.7000000000000002E-3</v>
      </c>
      <c r="H64" s="32"/>
    </row>
    <row r="65" spans="2:14" ht="15.75" customHeight="1" x14ac:dyDescent="0.2">
      <c r="B65" s="28" t="s">
        <v>798</v>
      </c>
      <c r="C65" s="28" t="s">
        <v>799</v>
      </c>
      <c r="D65" s="28" t="s">
        <v>329</v>
      </c>
      <c r="E65" s="29">
        <v>12224</v>
      </c>
      <c r="F65" s="30">
        <v>467.14</v>
      </c>
      <c r="G65" s="31">
        <v>4.4000000000000003E-3</v>
      </c>
      <c r="H65" s="32"/>
    </row>
    <row r="66" spans="2:14" ht="15.75" customHeight="1" x14ac:dyDescent="0.2">
      <c r="B66" s="28" t="s">
        <v>832</v>
      </c>
      <c r="C66" s="28" t="s">
        <v>833</v>
      </c>
      <c r="D66" s="28" t="s">
        <v>329</v>
      </c>
      <c r="E66" s="29">
        <v>645912</v>
      </c>
      <c r="F66" s="30">
        <v>452.33</v>
      </c>
      <c r="G66" s="31">
        <v>4.3E-3</v>
      </c>
      <c r="H66" s="32"/>
    </row>
    <row r="67" spans="2:14" ht="15.75" customHeight="1" x14ac:dyDescent="0.2">
      <c r="B67" s="28" t="s">
        <v>206</v>
      </c>
      <c r="C67" s="28" t="s">
        <v>207</v>
      </c>
      <c r="D67" s="28" t="s">
        <v>208</v>
      </c>
      <c r="E67" s="29">
        <v>19748</v>
      </c>
      <c r="F67" s="30">
        <v>405.72</v>
      </c>
      <c r="G67" s="31">
        <v>3.8E-3</v>
      </c>
      <c r="H67" s="32"/>
      <c r="J67" s="3"/>
    </row>
    <row r="68" spans="2:14" ht="15.75" customHeight="1" x14ac:dyDescent="0.2">
      <c r="B68" s="28" t="s">
        <v>633</v>
      </c>
      <c r="C68" s="28" t="s">
        <v>634</v>
      </c>
      <c r="D68" s="28" t="s">
        <v>329</v>
      </c>
      <c r="E68" s="29">
        <v>14867</v>
      </c>
      <c r="F68" s="30">
        <v>360.5</v>
      </c>
      <c r="G68" s="31">
        <v>3.3999999999999998E-3</v>
      </c>
      <c r="H68" s="32"/>
    </row>
    <row r="69" spans="2:14" ht="15.75" customHeight="1" x14ac:dyDescent="0.2">
      <c r="B69" s="28" t="s">
        <v>278</v>
      </c>
      <c r="C69" s="28" t="s">
        <v>279</v>
      </c>
      <c r="D69" s="28" t="s">
        <v>280</v>
      </c>
      <c r="E69" s="29">
        <v>85235</v>
      </c>
      <c r="F69" s="30">
        <v>345.12</v>
      </c>
      <c r="G69" s="31">
        <v>3.3E-3</v>
      </c>
      <c r="H69" s="32"/>
      <c r="J69" s="3"/>
    </row>
    <row r="70" spans="2:14" ht="15.75" customHeight="1" x14ac:dyDescent="0.2">
      <c r="B70" s="28" t="s">
        <v>891</v>
      </c>
      <c r="C70" s="28" t="s">
        <v>892</v>
      </c>
      <c r="D70" s="28" t="s">
        <v>169</v>
      </c>
      <c r="E70" s="29">
        <v>78360</v>
      </c>
      <c r="F70" s="30">
        <v>309.72000000000003</v>
      </c>
      <c r="G70" s="31">
        <v>2.8999999999999998E-3</v>
      </c>
      <c r="H70" s="32"/>
      <c r="J70" s="3"/>
    </row>
    <row r="71" spans="2:14" ht="15.75" customHeight="1" x14ac:dyDescent="0.2">
      <c r="B71" s="28" t="s">
        <v>818</v>
      </c>
      <c r="C71" s="28" t="s">
        <v>819</v>
      </c>
      <c r="D71" s="28" t="s">
        <v>178</v>
      </c>
      <c r="E71" s="29">
        <v>164307</v>
      </c>
      <c r="F71" s="30">
        <v>298.55</v>
      </c>
      <c r="G71" s="31">
        <v>2.8E-3</v>
      </c>
      <c r="H71" s="32"/>
      <c r="J71" s="3"/>
    </row>
    <row r="72" spans="2:14" ht="15.75" customHeight="1" x14ac:dyDescent="0.2">
      <c r="B72" s="28" t="s">
        <v>496</v>
      </c>
      <c r="C72" s="28" t="s">
        <v>497</v>
      </c>
      <c r="D72" s="28" t="s">
        <v>246</v>
      </c>
      <c r="E72" s="29">
        <v>15862</v>
      </c>
      <c r="F72" s="30">
        <v>276.74</v>
      </c>
      <c r="G72" s="31">
        <v>2.5999999999999999E-3</v>
      </c>
      <c r="H72" s="32"/>
      <c r="J72" s="3"/>
    </row>
    <row r="73" spans="2:14" ht="15.75" customHeight="1" x14ac:dyDescent="0.2">
      <c r="B73" s="28" t="s">
        <v>893</v>
      </c>
      <c r="C73" s="28" t="s">
        <v>894</v>
      </c>
      <c r="D73" s="28" t="s">
        <v>466</v>
      </c>
      <c r="E73" s="29">
        <v>141145</v>
      </c>
      <c r="F73" s="30">
        <v>272.41000000000003</v>
      </c>
      <c r="G73" s="31">
        <v>2.5999999999999999E-3</v>
      </c>
      <c r="H73" s="32"/>
      <c r="J73" s="3"/>
    </row>
    <row r="74" spans="2:14" ht="15.75" customHeight="1" x14ac:dyDescent="0.2">
      <c r="B74" s="28" t="s">
        <v>629</v>
      </c>
      <c r="C74" s="28" t="s">
        <v>630</v>
      </c>
      <c r="D74" s="28" t="s">
        <v>329</v>
      </c>
      <c r="E74" s="29">
        <v>40743</v>
      </c>
      <c r="F74" s="30">
        <v>194.26</v>
      </c>
      <c r="G74" s="31">
        <v>1.8E-3</v>
      </c>
      <c r="H74" s="32"/>
      <c r="J74" s="5"/>
      <c r="K74" s="5"/>
      <c r="L74" s="6"/>
      <c r="M74" s="6"/>
      <c r="N74" s="5"/>
    </row>
    <row r="75" spans="2:14" ht="15.75" customHeight="1" x14ac:dyDescent="0.2">
      <c r="B75" s="28" t="s">
        <v>660</v>
      </c>
      <c r="C75" s="28" t="s">
        <v>661</v>
      </c>
      <c r="D75" s="28" t="s">
        <v>430</v>
      </c>
      <c r="E75" s="29">
        <v>38357</v>
      </c>
      <c r="F75" s="30">
        <v>194.18</v>
      </c>
      <c r="G75" s="31">
        <v>1.8E-3</v>
      </c>
      <c r="H75" s="32"/>
    </row>
    <row r="76" spans="2:14" ht="15.75" customHeight="1" x14ac:dyDescent="0.2">
      <c r="B76" s="28" t="s">
        <v>895</v>
      </c>
      <c r="C76" s="28" t="s">
        <v>896</v>
      </c>
      <c r="D76" s="28" t="s">
        <v>300</v>
      </c>
      <c r="E76" s="29">
        <v>2736</v>
      </c>
      <c r="F76" s="30">
        <v>179.81</v>
      </c>
      <c r="G76" s="31">
        <v>1.6999999999999999E-3</v>
      </c>
      <c r="H76" s="32"/>
    </row>
    <row r="77" spans="2:14" ht="15.75" customHeight="1" x14ac:dyDescent="0.2">
      <c r="B77" s="28" t="s">
        <v>897</v>
      </c>
      <c r="C77" s="28" t="s">
        <v>898</v>
      </c>
      <c r="D77" s="28" t="s">
        <v>329</v>
      </c>
      <c r="E77" s="29">
        <v>3386</v>
      </c>
      <c r="F77" s="30">
        <v>128.53</v>
      </c>
      <c r="G77" s="31">
        <v>1.1999999999999999E-3</v>
      </c>
      <c r="H77" s="32"/>
      <c r="J77" s="7"/>
      <c r="K77" s="7"/>
      <c r="L77" s="7"/>
      <c r="M77" s="7"/>
      <c r="N77" s="7"/>
    </row>
    <row r="78" spans="2:14" ht="15.75" customHeight="1" x14ac:dyDescent="0.2">
      <c r="B78" s="28" t="s">
        <v>1126</v>
      </c>
      <c r="C78" s="28" t="s">
        <v>746</v>
      </c>
      <c r="D78" s="28" t="s">
        <v>578</v>
      </c>
      <c r="E78" s="29">
        <v>215066</v>
      </c>
      <c r="F78" s="30">
        <v>560.78</v>
      </c>
      <c r="G78" s="31">
        <v>5.3E-3</v>
      </c>
      <c r="H78" s="32"/>
    </row>
    <row r="79" spans="2:14" ht="15.75" customHeight="1" x14ac:dyDescent="0.2">
      <c r="B79" s="28" t="s">
        <v>625</v>
      </c>
      <c r="C79" s="28" t="s">
        <v>626</v>
      </c>
      <c r="D79" s="28" t="s">
        <v>260</v>
      </c>
      <c r="E79" s="29">
        <v>1871</v>
      </c>
      <c r="F79" s="30">
        <v>31.13</v>
      </c>
      <c r="G79" s="31">
        <v>2.9999999999999997E-4</v>
      </c>
      <c r="H79" s="32"/>
      <c r="J79" s="7"/>
      <c r="K79" s="7"/>
      <c r="L79" s="7"/>
      <c r="M79" s="7"/>
      <c r="N79" s="7"/>
    </row>
    <row r="80" spans="2:14" ht="15.75" customHeight="1" x14ac:dyDescent="0.2">
      <c r="B80" s="27" t="s">
        <v>127</v>
      </c>
      <c r="C80" s="27"/>
      <c r="D80" s="27"/>
      <c r="E80" s="33"/>
      <c r="F80" s="34">
        <f>SUM(F7:F79)</f>
        <v>99550.929999999978</v>
      </c>
      <c r="G80" s="35">
        <v>0.94439999999999991</v>
      </c>
      <c r="H80" s="36"/>
      <c r="J80" s="7"/>
      <c r="K80" s="7"/>
      <c r="L80" s="7"/>
      <c r="M80" s="7"/>
      <c r="N80" s="7"/>
    </row>
    <row r="81" spans="2:14" ht="15.75" customHeight="1" x14ac:dyDescent="0.2">
      <c r="B81" s="27" t="s">
        <v>189</v>
      </c>
      <c r="C81" s="28"/>
      <c r="D81" s="28"/>
      <c r="E81" s="29"/>
      <c r="F81" s="30"/>
      <c r="G81" s="31"/>
      <c r="H81" s="32"/>
      <c r="J81" s="3"/>
    </row>
    <row r="82" spans="2:14" ht="15.75" customHeight="1" x14ac:dyDescent="0.2">
      <c r="B82" s="27" t="s">
        <v>127</v>
      </c>
      <c r="C82" s="28"/>
      <c r="D82" s="28"/>
      <c r="E82" s="29"/>
      <c r="F82" s="37" t="s">
        <v>129</v>
      </c>
      <c r="G82" s="38" t="s">
        <v>129</v>
      </c>
      <c r="H82" s="32"/>
      <c r="J82" s="3"/>
    </row>
    <row r="83" spans="2:14" ht="15.75" customHeight="1" x14ac:dyDescent="0.2">
      <c r="B83" s="28"/>
      <c r="C83" s="28"/>
      <c r="D83" s="28"/>
      <c r="E83" s="29"/>
      <c r="F83" s="30"/>
      <c r="G83" s="31"/>
      <c r="H83" s="32"/>
      <c r="J83" s="7"/>
      <c r="K83" s="7"/>
      <c r="L83" s="7"/>
      <c r="M83" s="7"/>
      <c r="N83" s="7"/>
    </row>
    <row r="84" spans="2:14" ht="15.75" customHeight="1" x14ac:dyDescent="0.2">
      <c r="B84" s="39" t="s">
        <v>131</v>
      </c>
      <c r="C84" s="39"/>
      <c r="D84" s="39"/>
      <c r="E84" s="40"/>
      <c r="F84" s="34">
        <f>F80</f>
        <v>99550.929999999978</v>
      </c>
      <c r="G84" s="35">
        <f>G80</f>
        <v>0.94439999999999991</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134</v>
      </c>
      <c r="C87" s="28"/>
      <c r="D87" s="28"/>
      <c r="E87" s="29"/>
      <c r="F87" s="30"/>
      <c r="G87" s="31"/>
      <c r="H87" s="32"/>
    </row>
    <row r="88" spans="2:14" ht="15.75" customHeight="1" x14ac:dyDescent="0.2">
      <c r="B88" s="28" t="s">
        <v>135</v>
      </c>
      <c r="C88" s="28"/>
      <c r="D88" s="28"/>
      <c r="E88" s="29"/>
      <c r="F88" s="30">
        <v>6534.3</v>
      </c>
      <c r="G88" s="31">
        <v>6.2E-2</v>
      </c>
      <c r="H88" s="32"/>
    </row>
    <row r="89" spans="2:14" ht="15.75" customHeight="1" x14ac:dyDescent="0.2">
      <c r="B89" s="27" t="s">
        <v>127</v>
      </c>
      <c r="C89" s="27"/>
      <c r="D89" s="27"/>
      <c r="E89" s="33"/>
      <c r="F89" s="34">
        <v>6534.3</v>
      </c>
      <c r="G89" s="35">
        <v>6.2E-2</v>
      </c>
      <c r="H89" s="36"/>
    </row>
    <row r="90" spans="2:14" ht="15.75" customHeight="1" x14ac:dyDescent="0.2">
      <c r="B90" s="28"/>
      <c r="C90" s="28"/>
      <c r="D90" s="28"/>
      <c r="E90" s="29"/>
      <c r="F90" s="30"/>
      <c r="G90" s="31"/>
      <c r="H90" s="32"/>
    </row>
    <row r="91" spans="2:14" ht="15.75" customHeight="1" x14ac:dyDescent="0.2">
      <c r="B91" s="39" t="s">
        <v>131</v>
      </c>
      <c r="C91" s="39"/>
      <c r="D91" s="39"/>
      <c r="E91" s="40"/>
      <c r="F91" s="34">
        <v>6534.3</v>
      </c>
      <c r="G91" s="35">
        <v>6.2E-2</v>
      </c>
      <c r="H91" s="36"/>
    </row>
    <row r="92" spans="2:14" ht="15.75" customHeight="1" x14ac:dyDescent="0.2">
      <c r="B92" s="28" t="s">
        <v>136</v>
      </c>
      <c r="C92" s="28"/>
      <c r="D92" s="28"/>
      <c r="E92" s="29"/>
      <c r="F92" s="41">
        <v>-675.29</v>
      </c>
      <c r="G92" s="42">
        <v>-6.3999999999999613E-3</v>
      </c>
      <c r="H92" s="32"/>
    </row>
    <row r="93" spans="2:14" ht="15.75" customHeight="1" x14ac:dyDescent="0.2">
      <c r="B93" s="43" t="s">
        <v>137</v>
      </c>
      <c r="C93" s="43"/>
      <c r="D93" s="43"/>
      <c r="E93" s="44"/>
      <c r="F93" s="45">
        <v>105409.94</v>
      </c>
      <c r="G93" s="46">
        <v>1</v>
      </c>
      <c r="H93" s="47"/>
    </row>
    <row r="94" spans="2:14" ht="15.75" customHeight="1" x14ac:dyDescent="0.2">
      <c r="B94" s="2"/>
    </row>
    <row r="97" spans="2:5" ht="15.75" customHeight="1" thickBot="1" x14ac:dyDescent="0.25"/>
    <row r="98" spans="2:5" ht="39.75" customHeight="1" thickBot="1" x14ac:dyDescent="0.25">
      <c r="B98" s="48" t="s">
        <v>139</v>
      </c>
      <c r="C98" s="49" t="s">
        <v>140</v>
      </c>
      <c r="D98" s="49" t="s">
        <v>141</v>
      </c>
      <c r="E98" s="49" t="s">
        <v>142</v>
      </c>
    </row>
    <row r="99" spans="2:5" ht="39.75" customHeight="1" x14ac:dyDescent="0.2">
      <c r="B99" s="61" t="s">
        <v>73</v>
      </c>
      <c r="C99" s="77"/>
      <c r="D99" s="80" t="s">
        <v>899</v>
      </c>
      <c r="E99" s="81"/>
    </row>
    <row r="100" spans="2:5" ht="39.75" customHeight="1" x14ac:dyDescent="0.2">
      <c r="B100" s="52" t="s">
        <v>900</v>
      </c>
      <c r="C100" s="78"/>
      <c r="D100" s="80"/>
      <c r="E100" s="82"/>
    </row>
    <row r="101" spans="2:5" ht="39.75" customHeight="1" x14ac:dyDescent="0.2">
      <c r="B101" s="52" t="s">
        <v>901</v>
      </c>
      <c r="C101" s="78"/>
      <c r="D101" s="80"/>
      <c r="E101" s="82"/>
    </row>
    <row r="102" spans="2:5" ht="39.75" customHeight="1" thickBot="1" x14ac:dyDescent="0.25">
      <c r="B102" s="62" t="s">
        <v>561</v>
      </c>
      <c r="C102" s="79"/>
      <c r="D102" s="50" t="s">
        <v>562</v>
      </c>
      <c r="E102" s="83"/>
    </row>
    <row r="103" spans="2:5" ht="15.75" customHeight="1" x14ac:dyDescent="0.2">
      <c r="B103" s="9" t="s">
        <v>144</v>
      </c>
    </row>
    <row r="105" spans="2:5" ht="15.75" customHeight="1" x14ac:dyDescent="0.2">
      <c r="B105" s="9" t="s">
        <v>145</v>
      </c>
    </row>
    <row r="106" spans="2:5" ht="15.75" customHeight="1" x14ac:dyDescent="0.2">
      <c r="B106" s="15" t="s">
        <v>146</v>
      </c>
    </row>
  </sheetData>
  <mergeCells count="3">
    <mergeCell ref="C99:C102"/>
    <mergeCell ref="D99:D101"/>
    <mergeCell ref="E99:E102"/>
  </mergeCells>
  <hyperlinks>
    <hyperlink ref="G1" location="'Sheet1'!A1" display="Index" xr:uid="{AD9AF0B5-BF97-4993-BF85-BA62A8A2D0A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352F3-ACE5-45E0-90CE-D8AE58D13365}">
  <dimension ref="B1:N8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447812</v>
      </c>
      <c r="F7" s="30">
        <v>4421.25</v>
      </c>
      <c r="G7" s="31">
        <v>0.128</v>
      </c>
      <c r="H7" s="32"/>
    </row>
    <row r="8" spans="2:8" ht="15.75" customHeight="1" x14ac:dyDescent="0.2">
      <c r="B8" s="28" t="s">
        <v>167</v>
      </c>
      <c r="C8" s="28" t="s">
        <v>168</v>
      </c>
      <c r="D8" s="28" t="s">
        <v>169</v>
      </c>
      <c r="E8" s="29">
        <v>198527</v>
      </c>
      <c r="F8" s="30">
        <v>2950.91</v>
      </c>
      <c r="G8" s="31">
        <v>8.5400000000000004E-2</v>
      </c>
      <c r="H8" s="32"/>
    </row>
    <row r="9" spans="2:8" ht="15.75" customHeight="1" x14ac:dyDescent="0.2">
      <c r="B9" s="28" t="s">
        <v>184</v>
      </c>
      <c r="C9" s="28" t="s">
        <v>185</v>
      </c>
      <c r="D9" s="28" t="s">
        <v>166</v>
      </c>
      <c r="E9" s="29">
        <v>209234</v>
      </c>
      <c r="F9" s="30">
        <v>2814.83</v>
      </c>
      <c r="G9" s="31">
        <v>8.1500000000000003E-2</v>
      </c>
      <c r="H9" s="32"/>
    </row>
    <row r="10" spans="2:8" ht="15.75" customHeight="1" x14ac:dyDescent="0.2">
      <c r="B10" s="28" t="s">
        <v>206</v>
      </c>
      <c r="C10" s="28" t="s">
        <v>207</v>
      </c>
      <c r="D10" s="28" t="s">
        <v>208</v>
      </c>
      <c r="E10" s="29">
        <v>79827</v>
      </c>
      <c r="F10" s="30">
        <v>1640.05</v>
      </c>
      <c r="G10" s="31">
        <v>4.7500000000000001E-2</v>
      </c>
      <c r="H10" s="32"/>
    </row>
    <row r="11" spans="2:8" ht="15.75" customHeight="1" x14ac:dyDescent="0.2">
      <c r="B11" s="28" t="s">
        <v>170</v>
      </c>
      <c r="C11" s="28" t="s">
        <v>171</v>
      </c>
      <c r="D11" s="28" t="s">
        <v>172</v>
      </c>
      <c r="E11" s="29">
        <v>105610</v>
      </c>
      <c r="F11" s="30">
        <v>1565.46</v>
      </c>
      <c r="G11" s="31">
        <v>4.53E-2</v>
      </c>
      <c r="H11" s="32"/>
    </row>
    <row r="12" spans="2:8" ht="15.75" customHeight="1" x14ac:dyDescent="0.2">
      <c r="B12" s="28" t="s">
        <v>324</v>
      </c>
      <c r="C12" s="28" t="s">
        <v>325</v>
      </c>
      <c r="D12" s="28" t="s">
        <v>326</v>
      </c>
      <c r="E12" s="29">
        <v>34304</v>
      </c>
      <c r="F12" s="30">
        <v>1382.76</v>
      </c>
      <c r="G12" s="31">
        <v>0.04</v>
      </c>
      <c r="H12" s="32"/>
    </row>
    <row r="13" spans="2:8" ht="15.75" customHeight="1" x14ac:dyDescent="0.2">
      <c r="B13" s="28" t="s">
        <v>214</v>
      </c>
      <c r="C13" s="28" t="s">
        <v>215</v>
      </c>
      <c r="D13" s="28" t="s">
        <v>183</v>
      </c>
      <c r="E13" s="29">
        <v>280772</v>
      </c>
      <c r="F13" s="30">
        <v>1180.23</v>
      </c>
      <c r="G13" s="31">
        <v>3.4200000000000001E-2</v>
      </c>
      <c r="H13" s="32"/>
    </row>
    <row r="14" spans="2:8" ht="15.75" customHeight="1" x14ac:dyDescent="0.2">
      <c r="B14" s="28" t="s">
        <v>204</v>
      </c>
      <c r="C14" s="28" t="s">
        <v>205</v>
      </c>
      <c r="D14" s="28" t="s">
        <v>166</v>
      </c>
      <c r="E14" s="29">
        <v>121046</v>
      </c>
      <c r="F14" s="30">
        <v>1134.2</v>
      </c>
      <c r="G14" s="31">
        <v>3.2800000000000003E-2</v>
      </c>
      <c r="H14" s="32"/>
    </row>
    <row r="15" spans="2:8" ht="15.75" customHeight="1" x14ac:dyDescent="0.2">
      <c r="B15" s="28" t="s">
        <v>179</v>
      </c>
      <c r="C15" s="28" t="s">
        <v>180</v>
      </c>
      <c r="D15" s="28" t="s">
        <v>166</v>
      </c>
      <c r="E15" s="29">
        <v>83795</v>
      </c>
      <c r="F15" s="30">
        <v>1033.02</v>
      </c>
      <c r="G15" s="31">
        <v>2.9899999999999999E-2</v>
      </c>
      <c r="H15" s="32"/>
    </row>
    <row r="16" spans="2:8" ht="15.75" customHeight="1" x14ac:dyDescent="0.2">
      <c r="B16" s="28" t="s">
        <v>199</v>
      </c>
      <c r="C16" s="28" t="s">
        <v>200</v>
      </c>
      <c r="D16" s="28" t="s">
        <v>172</v>
      </c>
      <c r="E16" s="29">
        <v>29720</v>
      </c>
      <c r="F16" s="30">
        <v>908.84</v>
      </c>
      <c r="G16" s="31">
        <v>2.63E-2</v>
      </c>
      <c r="H16" s="32"/>
    </row>
    <row r="17" spans="2:8" ht="15.75" customHeight="1" x14ac:dyDescent="0.2">
      <c r="B17" s="28" t="s">
        <v>305</v>
      </c>
      <c r="C17" s="28" t="s">
        <v>306</v>
      </c>
      <c r="D17" s="28" t="s">
        <v>166</v>
      </c>
      <c r="E17" s="29">
        <v>43074</v>
      </c>
      <c r="F17" s="30">
        <v>905.5</v>
      </c>
      <c r="G17" s="31">
        <v>2.6200000000000001E-2</v>
      </c>
      <c r="H17" s="32"/>
    </row>
    <row r="18" spans="2:8" ht="15.75" customHeight="1" x14ac:dyDescent="0.2">
      <c r="B18" s="28" t="s">
        <v>186</v>
      </c>
      <c r="C18" s="28" t="s">
        <v>187</v>
      </c>
      <c r="D18" s="28" t="s">
        <v>188</v>
      </c>
      <c r="E18" s="29">
        <v>25907</v>
      </c>
      <c r="F18" s="30">
        <v>903.43</v>
      </c>
      <c r="G18" s="31">
        <v>2.6100000000000002E-2</v>
      </c>
      <c r="H18" s="32"/>
    </row>
    <row r="19" spans="2:8" ht="15.75" customHeight="1" x14ac:dyDescent="0.2">
      <c r="B19" s="28" t="s">
        <v>726</v>
      </c>
      <c r="C19" s="28" t="s">
        <v>727</v>
      </c>
      <c r="D19" s="28" t="s">
        <v>175</v>
      </c>
      <c r="E19" s="29">
        <v>77377</v>
      </c>
      <c r="F19" s="30">
        <v>806.89</v>
      </c>
      <c r="G19" s="31">
        <v>2.3400000000000001E-2</v>
      </c>
      <c r="H19" s="32"/>
    </row>
    <row r="20" spans="2:8" ht="15.75" customHeight="1" x14ac:dyDescent="0.2">
      <c r="B20" s="28" t="s">
        <v>238</v>
      </c>
      <c r="C20" s="28" t="s">
        <v>239</v>
      </c>
      <c r="D20" s="28" t="s">
        <v>221</v>
      </c>
      <c r="E20" s="29">
        <v>206325</v>
      </c>
      <c r="F20" s="30">
        <v>655.6</v>
      </c>
      <c r="G20" s="31">
        <v>1.9E-2</v>
      </c>
      <c r="H20" s="32"/>
    </row>
    <row r="21" spans="2:8" ht="15.75" customHeight="1" x14ac:dyDescent="0.2">
      <c r="B21" s="28" t="s">
        <v>181</v>
      </c>
      <c r="C21" s="28" t="s">
        <v>182</v>
      </c>
      <c r="D21" s="28" t="s">
        <v>183</v>
      </c>
      <c r="E21" s="29">
        <v>26060</v>
      </c>
      <c r="F21" s="30">
        <v>642.51</v>
      </c>
      <c r="G21" s="31">
        <v>1.8599999999999998E-2</v>
      </c>
      <c r="H21" s="32"/>
    </row>
    <row r="22" spans="2:8" ht="15.75" customHeight="1" x14ac:dyDescent="0.2">
      <c r="B22" s="28" t="s">
        <v>563</v>
      </c>
      <c r="C22" s="28" t="s">
        <v>564</v>
      </c>
      <c r="D22" s="28" t="s">
        <v>188</v>
      </c>
      <c r="E22" s="29">
        <v>3841</v>
      </c>
      <c r="F22" s="30">
        <v>621.70000000000005</v>
      </c>
      <c r="G22" s="31">
        <v>1.7999999999999999E-2</v>
      </c>
      <c r="H22" s="32"/>
    </row>
    <row r="23" spans="2:8" ht="15.75" customHeight="1" x14ac:dyDescent="0.2">
      <c r="B23" s="28" t="s">
        <v>332</v>
      </c>
      <c r="C23" s="28" t="s">
        <v>333</v>
      </c>
      <c r="D23" s="28" t="s">
        <v>224</v>
      </c>
      <c r="E23" s="29">
        <v>30757</v>
      </c>
      <c r="F23" s="30">
        <v>520.01</v>
      </c>
      <c r="G23" s="31">
        <v>1.4999999999999999E-2</v>
      </c>
      <c r="H23" s="32"/>
    </row>
    <row r="24" spans="2:8" ht="15.75" customHeight="1" x14ac:dyDescent="0.2">
      <c r="B24" s="28" t="s">
        <v>250</v>
      </c>
      <c r="C24" s="28" t="s">
        <v>251</v>
      </c>
      <c r="D24" s="28" t="s">
        <v>172</v>
      </c>
      <c r="E24" s="29">
        <v>30852</v>
      </c>
      <c r="F24" s="30">
        <v>475.58</v>
      </c>
      <c r="G24" s="31">
        <v>1.38E-2</v>
      </c>
      <c r="H24" s="32"/>
    </row>
    <row r="25" spans="2:8" ht="15.75" customHeight="1" x14ac:dyDescent="0.2">
      <c r="B25" s="28" t="s">
        <v>334</v>
      </c>
      <c r="C25" s="28" t="s">
        <v>335</v>
      </c>
      <c r="D25" s="28" t="s">
        <v>280</v>
      </c>
      <c r="E25" s="29">
        <v>137960</v>
      </c>
      <c r="F25" s="30">
        <v>464.86</v>
      </c>
      <c r="G25" s="31">
        <v>1.35E-2</v>
      </c>
      <c r="H25" s="32"/>
    </row>
    <row r="26" spans="2:8" ht="15.75" customHeight="1" x14ac:dyDescent="0.2">
      <c r="B26" s="28" t="s">
        <v>258</v>
      </c>
      <c r="C26" s="28" t="s">
        <v>259</v>
      </c>
      <c r="D26" s="28" t="s">
        <v>260</v>
      </c>
      <c r="E26" s="29">
        <v>11985</v>
      </c>
      <c r="F26" s="30">
        <v>449.04</v>
      </c>
      <c r="G26" s="31">
        <v>1.2999999999999999E-2</v>
      </c>
      <c r="H26" s="32"/>
    </row>
    <row r="27" spans="2:8" ht="15.75" customHeight="1" x14ac:dyDescent="0.2">
      <c r="B27" s="28" t="s">
        <v>216</v>
      </c>
      <c r="C27" s="28" t="s">
        <v>217</v>
      </c>
      <c r="D27" s="28" t="s">
        <v>218</v>
      </c>
      <c r="E27" s="29">
        <v>104492</v>
      </c>
      <c r="F27" s="30">
        <v>445.24</v>
      </c>
      <c r="G27" s="31">
        <v>1.29E-2</v>
      </c>
      <c r="H27" s="32"/>
    </row>
    <row r="28" spans="2:8" ht="15.75" customHeight="1" x14ac:dyDescent="0.2">
      <c r="B28" s="28" t="s">
        <v>211</v>
      </c>
      <c r="C28" s="28" t="s">
        <v>212</v>
      </c>
      <c r="D28" s="28" t="s">
        <v>213</v>
      </c>
      <c r="E28" s="29">
        <v>241812</v>
      </c>
      <c r="F28" s="30">
        <v>442.13</v>
      </c>
      <c r="G28" s="31">
        <v>1.2800000000000001E-2</v>
      </c>
      <c r="H28" s="32"/>
    </row>
    <row r="29" spans="2:8" ht="15.75" customHeight="1" x14ac:dyDescent="0.2">
      <c r="B29" s="28" t="s">
        <v>270</v>
      </c>
      <c r="C29" s="28" t="s">
        <v>271</v>
      </c>
      <c r="D29" s="28" t="s">
        <v>269</v>
      </c>
      <c r="E29" s="29">
        <v>3465</v>
      </c>
      <c r="F29" s="30">
        <v>413.96</v>
      </c>
      <c r="G29" s="31">
        <v>1.2E-2</v>
      </c>
      <c r="H29" s="32"/>
    </row>
    <row r="30" spans="2:8" ht="15.75" customHeight="1" x14ac:dyDescent="0.2">
      <c r="B30" s="28" t="s">
        <v>902</v>
      </c>
      <c r="C30" s="28" t="s">
        <v>903</v>
      </c>
      <c r="D30" s="28" t="s">
        <v>280</v>
      </c>
      <c r="E30" s="29">
        <v>132038</v>
      </c>
      <c r="F30" s="30">
        <v>380.47</v>
      </c>
      <c r="G30" s="31">
        <v>1.0999999999999999E-2</v>
      </c>
      <c r="H30" s="32"/>
    </row>
    <row r="31" spans="2:8" ht="15.75" customHeight="1" x14ac:dyDescent="0.2">
      <c r="B31" s="28" t="s">
        <v>344</v>
      </c>
      <c r="C31" s="28" t="s">
        <v>345</v>
      </c>
      <c r="D31" s="28" t="s">
        <v>346</v>
      </c>
      <c r="E31" s="29">
        <v>42501</v>
      </c>
      <c r="F31" s="30">
        <v>360.34</v>
      </c>
      <c r="G31" s="31">
        <v>1.04E-2</v>
      </c>
      <c r="H31" s="32"/>
    </row>
    <row r="32" spans="2:8" ht="15.75" customHeight="1" x14ac:dyDescent="0.2">
      <c r="B32" s="28" t="s">
        <v>362</v>
      </c>
      <c r="C32" s="28" t="s">
        <v>363</v>
      </c>
      <c r="D32" s="28" t="s">
        <v>300</v>
      </c>
      <c r="E32" s="29">
        <v>6383</v>
      </c>
      <c r="F32" s="30">
        <v>359.04</v>
      </c>
      <c r="G32" s="31">
        <v>1.04E-2</v>
      </c>
      <c r="H32" s="32"/>
    </row>
    <row r="33" spans="2:8" ht="15.75" customHeight="1" x14ac:dyDescent="0.2">
      <c r="B33" s="28" t="s">
        <v>904</v>
      </c>
      <c r="C33" s="28" t="s">
        <v>905</v>
      </c>
      <c r="D33" s="28" t="s">
        <v>175</v>
      </c>
      <c r="E33" s="29">
        <v>16584</v>
      </c>
      <c r="F33" s="30">
        <v>346.32</v>
      </c>
      <c r="G33" s="31">
        <v>0.01</v>
      </c>
      <c r="H33" s="32"/>
    </row>
    <row r="34" spans="2:8" ht="15.75" customHeight="1" x14ac:dyDescent="0.2">
      <c r="B34" s="28" t="s">
        <v>906</v>
      </c>
      <c r="C34" s="28" t="s">
        <v>907</v>
      </c>
      <c r="D34" s="28" t="s">
        <v>260</v>
      </c>
      <c r="E34" s="29">
        <v>13228</v>
      </c>
      <c r="F34" s="30">
        <v>332.13</v>
      </c>
      <c r="G34" s="31">
        <v>9.5999999999999992E-3</v>
      </c>
      <c r="H34" s="32"/>
    </row>
    <row r="35" spans="2:8" ht="15.75" customHeight="1" x14ac:dyDescent="0.2">
      <c r="B35" s="28" t="s">
        <v>294</v>
      </c>
      <c r="C35" s="28" t="s">
        <v>295</v>
      </c>
      <c r="D35" s="28" t="s">
        <v>213</v>
      </c>
      <c r="E35" s="29">
        <v>27429</v>
      </c>
      <c r="F35" s="30">
        <v>330.79</v>
      </c>
      <c r="G35" s="31">
        <v>9.5999999999999992E-3</v>
      </c>
      <c r="H35" s="32"/>
    </row>
    <row r="36" spans="2:8" ht="15.75" customHeight="1" x14ac:dyDescent="0.2">
      <c r="B36" s="28" t="s">
        <v>267</v>
      </c>
      <c r="C36" s="28" t="s">
        <v>268</v>
      </c>
      <c r="D36" s="28" t="s">
        <v>269</v>
      </c>
      <c r="E36" s="29">
        <v>11171</v>
      </c>
      <c r="F36" s="30">
        <v>323.02999999999997</v>
      </c>
      <c r="G36" s="31">
        <v>9.2999999999999992E-3</v>
      </c>
      <c r="H36" s="32"/>
    </row>
    <row r="37" spans="2:8" ht="15.75" customHeight="1" x14ac:dyDescent="0.2">
      <c r="B37" s="28" t="s">
        <v>908</v>
      </c>
      <c r="C37" s="28" t="s">
        <v>909</v>
      </c>
      <c r="D37" s="28" t="s">
        <v>203</v>
      </c>
      <c r="E37" s="29">
        <v>21515</v>
      </c>
      <c r="F37" s="30">
        <v>312.29000000000002</v>
      </c>
      <c r="G37" s="31">
        <v>8.9999999999999993E-3</v>
      </c>
      <c r="H37" s="32"/>
    </row>
    <row r="38" spans="2:8" ht="15.75" customHeight="1" x14ac:dyDescent="0.2">
      <c r="B38" s="28" t="s">
        <v>173</v>
      </c>
      <c r="C38" s="28" t="s">
        <v>174</v>
      </c>
      <c r="D38" s="28" t="s">
        <v>175</v>
      </c>
      <c r="E38" s="29">
        <v>41071</v>
      </c>
      <c r="F38" s="30">
        <v>307.58</v>
      </c>
      <c r="G38" s="31">
        <v>8.8999999999999999E-3</v>
      </c>
      <c r="H38" s="32"/>
    </row>
    <row r="39" spans="2:8" ht="15.75" customHeight="1" x14ac:dyDescent="0.2">
      <c r="B39" s="28" t="s">
        <v>219</v>
      </c>
      <c r="C39" s="28" t="s">
        <v>220</v>
      </c>
      <c r="D39" s="28" t="s">
        <v>221</v>
      </c>
      <c r="E39" s="29">
        <v>6490</v>
      </c>
      <c r="F39" s="30">
        <v>304.66000000000003</v>
      </c>
      <c r="G39" s="31">
        <v>8.8000000000000005E-3</v>
      </c>
      <c r="H39" s="32"/>
    </row>
    <row r="40" spans="2:8" ht="15.75" customHeight="1" x14ac:dyDescent="0.2">
      <c r="B40" s="28" t="s">
        <v>910</v>
      </c>
      <c r="C40" s="28" t="s">
        <v>911</v>
      </c>
      <c r="D40" s="28" t="s">
        <v>435</v>
      </c>
      <c r="E40" s="29">
        <v>114167</v>
      </c>
      <c r="F40" s="30">
        <v>291.55</v>
      </c>
      <c r="G40" s="31">
        <v>8.3999999999999995E-3</v>
      </c>
      <c r="H40" s="32"/>
    </row>
    <row r="41" spans="2:8" ht="15.75" customHeight="1" x14ac:dyDescent="0.2">
      <c r="B41" s="28" t="s">
        <v>229</v>
      </c>
      <c r="C41" s="28" t="s">
        <v>230</v>
      </c>
      <c r="D41" s="28" t="s">
        <v>175</v>
      </c>
      <c r="E41" s="29">
        <v>94951</v>
      </c>
      <c r="F41" s="30">
        <v>291.31</v>
      </c>
      <c r="G41" s="31">
        <v>8.3999999999999995E-3</v>
      </c>
      <c r="H41" s="32"/>
    </row>
    <row r="42" spans="2:8" ht="15.75" customHeight="1" x14ac:dyDescent="0.2">
      <c r="B42" s="28" t="s">
        <v>370</v>
      </c>
      <c r="C42" s="28" t="s">
        <v>371</v>
      </c>
      <c r="D42" s="28" t="s">
        <v>188</v>
      </c>
      <c r="E42" s="29">
        <v>3246</v>
      </c>
      <c r="F42" s="30">
        <v>288.64999999999998</v>
      </c>
      <c r="G42" s="31">
        <v>8.3999999999999995E-3</v>
      </c>
      <c r="H42" s="32"/>
    </row>
    <row r="43" spans="2:8" ht="15.75" customHeight="1" x14ac:dyDescent="0.2">
      <c r="B43" s="28" t="s">
        <v>436</v>
      </c>
      <c r="C43" s="28" t="s">
        <v>437</v>
      </c>
      <c r="D43" s="28" t="s">
        <v>188</v>
      </c>
      <c r="E43" s="29">
        <v>4036</v>
      </c>
      <c r="F43" s="30">
        <v>282.8</v>
      </c>
      <c r="G43" s="31">
        <v>8.2000000000000007E-3</v>
      </c>
      <c r="H43" s="32"/>
    </row>
    <row r="44" spans="2:8" ht="15.75" customHeight="1" x14ac:dyDescent="0.2">
      <c r="B44" s="28" t="s">
        <v>261</v>
      </c>
      <c r="C44" s="28" t="s">
        <v>262</v>
      </c>
      <c r="D44" s="28" t="s">
        <v>263</v>
      </c>
      <c r="E44" s="29">
        <v>21076</v>
      </c>
      <c r="F44" s="30">
        <v>268</v>
      </c>
      <c r="G44" s="31">
        <v>7.7999999999999996E-3</v>
      </c>
      <c r="H44" s="32"/>
    </row>
    <row r="45" spans="2:8" ht="15.75" customHeight="1" x14ac:dyDescent="0.2">
      <c r="B45" s="28" t="s">
        <v>382</v>
      </c>
      <c r="C45" s="28" t="s">
        <v>383</v>
      </c>
      <c r="D45" s="28" t="s">
        <v>172</v>
      </c>
      <c r="E45" s="29">
        <v>18443</v>
      </c>
      <c r="F45" s="30">
        <v>262.7</v>
      </c>
      <c r="G45" s="31">
        <v>7.6E-3</v>
      </c>
      <c r="H45" s="32"/>
    </row>
    <row r="46" spans="2:8" ht="15.75" customHeight="1" x14ac:dyDescent="0.2">
      <c r="B46" s="28" t="s">
        <v>912</v>
      </c>
      <c r="C46" s="28" t="s">
        <v>913</v>
      </c>
      <c r="D46" s="28" t="s">
        <v>914</v>
      </c>
      <c r="E46" s="29">
        <v>66519</v>
      </c>
      <c r="F46" s="30">
        <v>258.52999999999997</v>
      </c>
      <c r="G46" s="31">
        <v>7.4999999999999997E-3</v>
      </c>
      <c r="H46" s="32"/>
    </row>
    <row r="47" spans="2:8" ht="15.75" customHeight="1" x14ac:dyDescent="0.2">
      <c r="B47" s="28" t="s">
        <v>860</v>
      </c>
      <c r="C47" s="28" t="s">
        <v>861</v>
      </c>
      <c r="D47" s="28" t="s">
        <v>354</v>
      </c>
      <c r="E47" s="29">
        <v>13119</v>
      </c>
      <c r="F47" s="30">
        <v>256.57</v>
      </c>
      <c r="G47" s="31">
        <v>7.4000000000000003E-3</v>
      </c>
      <c r="H47" s="32"/>
    </row>
    <row r="48" spans="2:8" ht="15.75" customHeight="1" x14ac:dyDescent="0.2">
      <c r="B48" s="28" t="s">
        <v>664</v>
      </c>
      <c r="C48" s="28" t="s">
        <v>665</v>
      </c>
      <c r="D48" s="28" t="s">
        <v>430</v>
      </c>
      <c r="E48" s="29">
        <v>21717</v>
      </c>
      <c r="F48" s="30">
        <v>249.27</v>
      </c>
      <c r="G48" s="31">
        <v>7.1999999999999998E-3</v>
      </c>
      <c r="H48" s="32"/>
    </row>
    <row r="49" spans="2:10" ht="15.75" customHeight="1" x14ac:dyDescent="0.2">
      <c r="B49" s="28" t="s">
        <v>915</v>
      </c>
      <c r="C49" s="28" t="s">
        <v>916</v>
      </c>
      <c r="D49" s="28" t="s">
        <v>188</v>
      </c>
      <c r="E49" s="29">
        <v>60700</v>
      </c>
      <c r="F49" s="30">
        <v>248.87</v>
      </c>
      <c r="G49" s="31">
        <v>7.1999999999999998E-3</v>
      </c>
      <c r="H49" s="32"/>
    </row>
    <row r="50" spans="2:10" ht="15.75" customHeight="1" x14ac:dyDescent="0.2">
      <c r="B50" s="28" t="s">
        <v>648</v>
      </c>
      <c r="C50" s="28" t="s">
        <v>649</v>
      </c>
      <c r="D50" s="28" t="s">
        <v>224</v>
      </c>
      <c r="E50" s="29">
        <v>16459</v>
      </c>
      <c r="F50" s="30">
        <v>247.1</v>
      </c>
      <c r="G50" s="31">
        <v>7.1999999999999998E-3</v>
      </c>
      <c r="H50" s="32"/>
    </row>
    <row r="51" spans="2:10" ht="15.75" customHeight="1" x14ac:dyDescent="0.2">
      <c r="B51" s="28" t="s">
        <v>724</v>
      </c>
      <c r="C51" s="28" t="s">
        <v>725</v>
      </c>
      <c r="D51" s="28" t="s">
        <v>354</v>
      </c>
      <c r="E51" s="29">
        <v>31352</v>
      </c>
      <c r="F51" s="30">
        <v>229.45</v>
      </c>
      <c r="G51" s="31">
        <v>6.6E-3</v>
      </c>
      <c r="H51" s="32"/>
    </row>
    <row r="52" spans="2:10" ht="15.75" customHeight="1" x14ac:dyDescent="0.2">
      <c r="B52" s="28" t="s">
        <v>459</v>
      </c>
      <c r="C52" s="28" t="s">
        <v>460</v>
      </c>
      <c r="D52" s="28" t="s">
        <v>430</v>
      </c>
      <c r="E52" s="29">
        <v>2953</v>
      </c>
      <c r="F52" s="30">
        <v>226.82</v>
      </c>
      <c r="G52" s="31">
        <v>6.6E-3</v>
      </c>
      <c r="H52" s="32"/>
    </row>
    <row r="53" spans="2:10" ht="15.75" customHeight="1" x14ac:dyDescent="0.2">
      <c r="B53" s="28" t="s">
        <v>337</v>
      </c>
      <c r="C53" s="28" t="s">
        <v>338</v>
      </c>
      <c r="D53" s="28" t="s">
        <v>339</v>
      </c>
      <c r="E53" s="29">
        <v>19076</v>
      </c>
      <c r="F53" s="30">
        <v>222.24</v>
      </c>
      <c r="G53" s="31">
        <v>6.4000000000000003E-3</v>
      </c>
      <c r="H53" s="32"/>
    </row>
    <row r="54" spans="2:10" ht="15.75" customHeight="1" x14ac:dyDescent="0.2">
      <c r="B54" s="28" t="s">
        <v>917</v>
      </c>
      <c r="C54" s="28" t="s">
        <v>918</v>
      </c>
      <c r="D54" s="28" t="s">
        <v>224</v>
      </c>
      <c r="E54" s="29">
        <v>17738</v>
      </c>
      <c r="F54" s="30">
        <v>212.43</v>
      </c>
      <c r="G54" s="31">
        <v>6.1000000000000004E-3</v>
      </c>
      <c r="H54" s="32"/>
    </row>
    <row r="55" spans="2:10" ht="15.75" customHeight="1" x14ac:dyDescent="0.2">
      <c r="B55" s="28" t="s">
        <v>919</v>
      </c>
      <c r="C55" s="28" t="s">
        <v>920</v>
      </c>
      <c r="D55" s="28" t="s">
        <v>172</v>
      </c>
      <c r="E55" s="29">
        <v>83051</v>
      </c>
      <c r="F55" s="30">
        <v>199.88</v>
      </c>
      <c r="G55" s="31">
        <v>5.7999999999999996E-3</v>
      </c>
      <c r="H55" s="32"/>
    </row>
    <row r="56" spans="2:10" ht="15.75" customHeight="1" x14ac:dyDescent="0.2">
      <c r="B56" s="28" t="s">
        <v>1126</v>
      </c>
      <c r="C56" s="28" t="s">
        <v>746</v>
      </c>
      <c r="D56" s="28" t="s">
        <v>578</v>
      </c>
      <c r="E56" s="29">
        <v>61025</v>
      </c>
      <c r="F56" s="30">
        <v>159.12</v>
      </c>
      <c r="G56" s="31">
        <v>4.5999999999999999E-3</v>
      </c>
      <c r="H56" s="32"/>
    </row>
    <row r="57" spans="2:10" ht="15.75" customHeight="1" x14ac:dyDescent="0.2">
      <c r="B57" s="28" t="s">
        <v>921</v>
      </c>
      <c r="C57" s="28" t="s">
        <v>922</v>
      </c>
      <c r="D57" s="28" t="s">
        <v>923</v>
      </c>
      <c r="E57" s="29">
        <v>7669</v>
      </c>
      <c r="F57" s="30">
        <v>190.27</v>
      </c>
      <c r="G57" s="31">
        <v>5.4999999999999997E-3</v>
      </c>
      <c r="H57" s="32"/>
    </row>
    <row r="58" spans="2:10" ht="15.75" customHeight="1" x14ac:dyDescent="0.2">
      <c r="B58" s="27" t="s">
        <v>127</v>
      </c>
      <c r="C58" s="27"/>
      <c r="D58" s="27"/>
      <c r="E58" s="33"/>
      <c r="F58" s="34">
        <f>SUM(F7:F57)</f>
        <v>34520.21</v>
      </c>
      <c r="G58" s="35">
        <v>0.999</v>
      </c>
      <c r="H58" s="36"/>
    </row>
    <row r="59" spans="2:10" ht="15.75" customHeight="1" x14ac:dyDescent="0.2">
      <c r="B59" s="27" t="s">
        <v>189</v>
      </c>
      <c r="C59" s="28"/>
      <c r="D59" s="28"/>
      <c r="E59" s="29"/>
      <c r="F59" s="30"/>
      <c r="G59" s="31"/>
      <c r="H59" s="32"/>
      <c r="J59" s="3"/>
    </row>
    <row r="60" spans="2:10" ht="15.75" customHeight="1" x14ac:dyDescent="0.2">
      <c r="B60" s="27" t="s">
        <v>127</v>
      </c>
      <c r="C60" s="28"/>
      <c r="D60" s="28"/>
      <c r="E60" s="29"/>
      <c r="F60" s="37" t="s">
        <v>129</v>
      </c>
      <c r="G60" s="38" t="s">
        <v>129</v>
      </c>
      <c r="H60" s="32"/>
      <c r="J60" s="3"/>
    </row>
    <row r="61" spans="2:10" ht="15.75" customHeight="1" x14ac:dyDescent="0.2">
      <c r="B61" s="28"/>
      <c r="C61" s="28"/>
      <c r="D61" s="28"/>
      <c r="E61" s="29"/>
      <c r="F61" s="30"/>
      <c r="G61" s="31"/>
      <c r="H61" s="32"/>
    </row>
    <row r="62" spans="2:10" ht="15.75" customHeight="1" x14ac:dyDescent="0.2">
      <c r="B62" s="39" t="s">
        <v>131</v>
      </c>
      <c r="C62" s="39"/>
      <c r="D62" s="39"/>
      <c r="E62" s="40"/>
      <c r="F62" s="34">
        <f>F58</f>
        <v>34520.21</v>
      </c>
      <c r="G62" s="35">
        <f>G58</f>
        <v>0.999</v>
      </c>
      <c r="H62" s="36"/>
    </row>
    <row r="63" spans="2:10" ht="15.75" customHeight="1" x14ac:dyDescent="0.2">
      <c r="B63" s="28"/>
      <c r="C63" s="28"/>
      <c r="D63" s="28"/>
      <c r="E63" s="29"/>
      <c r="F63" s="30"/>
      <c r="G63" s="31"/>
      <c r="H63" s="32"/>
    </row>
    <row r="64" spans="2:10" ht="15.75" customHeight="1" x14ac:dyDescent="0.2">
      <c r="B64" s="28"/>
      <c r="C64" s="28"/>
      <c r="D64" s="28"/>
      <c r="E64" s="29"/>
      <c r="F64" s="30"/>
      <c r="G64" s="31"/>
      <c r="H64" s="32"/>
    </row>
    <row r="65" spans="2:14" ht="15.75" customHeight="1" x14ac:dyDescent="0.2">
      <c r="B65" s="27" t="s">
        <v>134</v>
      </c>
      <c r="C65" s="28"/>
      <c r="D65" s="28"/>
      <c r="E65" s="29"/>
      <c r="F65" s="30"/>
      <c r="G65" s="31"/>
      <c r="H65" s="32"/>
    </row>
    <row r="66" spans="2:14" ht="15.75" customHeight="1" x14ac:dyDescent="0.2">
      <c r="B66" s="28" t="s">
        <v>135</v>
      </c>
      <c r="C66" s="28"/>
      <c r="D66" s="28"/>
      <c r="E66" s="29"/>
      <c r="F66" s="30">
        <v>42.62</v>
      </c>
      <c r="G66" s="31">
        <v>1.1999999999999999E-3</v>
      </c>
      <c r="H66" s="32"/>
    </row>
    <row r="67" spans="2:14" ht="15.75" customHeight="1" x14ac:dyDescent="0.2">
      <c r="B67" s="27" t="s">
        <v>127</v>
      </c>
      <c r="C67" s="27"/>
      <c r="D67" s="27"/>
      <c r="E67" s="33"/>
      <c r="F67" s="34">
        <v>42.62</v>
      </c>
      <c r="G67" s="35">
        <v>1.1999999999999999E-3</v>
      </c>
      <c r="H67" s="36"/>
    </row>
    <row r="68" spans="2:14" ht="15.75" customHeight="1" x14ac:dyDescent="0.2">
      <c r="B68" s="28"/>
      <c r="C68" s="28"/>
      <c r="D68" s="28"/>
      <c r="E68" s="29"/>
      <c r="F68" s="30"/>
      <c r="G68" s="31"/>
      <c r="H68" s="32"/>
      <c r="J68" s="3"/>
    </row>
    <row r="69" spans="2:14" ht="15.75" customHeight="1" x14ac:dyDescent="0.2">
      <c r="B69" s="39" t="s">
        <v>131</v>
      </c>
      <c r="C69" s="39"/>
      <c r="D69" s="39"/>
      <c r="E69" s="40"/>
      <c r="F69" s="34">
        <v>42.62</v>
      </c>
      <c r="G69" s="35">
        <v>1.1999999999999999E-3</v>
      </c>
      <c r="H69" s="36"/>
    </row>
    <row r="70" spans="2:14" ht="15.75" customHeight="1" x14ac:dyDescent="0.2">
      <c r="B70" s="28" t="s">
        <v>136</v>
      </c>
      <c r="C70" s="28"/>
      <c r="D70" s="28"/>
      <c r="E70" s="29"/>
      <c r="F70" s="41">
        <v>-8.5</v>
      </c>
      <c r="G70" s="42">
        <v>-1.9999999999997797E-4</v>
      </c>
      <c r="H70" s="32"/>
      <c r="J70" s="3"/>
    </row>
    <row r="71" spans="2:14" ht="15.75" customHeight="1" x14ac:dyDescent="0.2">
      <c r="B71" s="43" t="s">
        <v>137</v>
      </c>
      <c r="C71" s="43"/>
      <c r="D71" s="43"/>
      <c r="E71" s="44"/>
      <c r="F71" s="45">
        <v>34554.33</v>
      </c>
      <c r="G71" s="46">
        <v>1</v>
      </c>
      <c r="H71" s="47"/>
      <c r="J71" s="3"/>
    </row>
    <row r="72" spans="2:14" ht="15.75" customHeight="1" x14ac:dyDescent="0.2">
      <c r="B72" s="2"/>
      <c r="J72" s="3"/>
    </row>
    <row r="73" spans="2:14" ht="15.75" customHeight="1" x14ac:dyDescent="0.2">
      <c r="J73" s="3"/>
    </row>
    <row r="74" spans="2:14" ht="15.75" customHeight="1" x14ac:dyDescent="0.2">
      <c r="J74" s="5"/>
      <c r="K74" s="5"/>
      <c r="L74" s="6"/>
      <c r="M74" s="6"/>
      <c r="N74" s="5"/>
    </row>
    <row r="75" spans="2:14" ht="15.75" customHeight="1" thickBot="1" x14ac:dyDescent="0.25"/>
    <row r="76" spans="2:14" ht="39.75" customHeight="1" thickBot="1" x14ac:dyDescent="0.25">
      <c r="B76" s="48" t="s">
        <v>139</v>
      </c>
      <c r="C76" s="49" t="s">
        <v>140</v>
      </c>
      <c r="D76" s="49" t="s">
        <v>141</v>
      </c>
      <c r="E76" s="49" t="s">
        <v>142</v>
      </c>
    </row>
    <row r="77" spans="2:14" ht="39.75" customHeight="1" x14ac:dyDescent="0.2">
      <c r="B77" s="61" t="s">
        <v>75</v>
      </c>
      <c r="C77" s="77"/>
      <c r="D77" s="80" t="s">
        <v>924</v>
      </c>
      <c r="E77" s="81"/>
      <c r="J77" s="7"/>
      <c r="K77" s="7"/>
      <c r="L77" s="7"/>
      <c r="M77" s="7"/>
      <c r="N77" s="7"/>
    </row>
    <row r="78" spans="2:14" ht="39.75" customHeight="1" x14ac:dyDescent="0.2">
      <c r="B78" s="52" t="s">
        <v>900</v>
      </c>
      <c r="C78" s="78"/>
      <c r="D78" s="80"/>
      <c r="E78" s="82"/>
      <c r="J78" s="7"/>
      <c r="K78" s="7"/>
      <c r="L78" s="7"/>
      <c r="M78" s="7"/>
      <c r="N78" s="7"/>
    </row>
    <row r="79" spans="2:14" ht="39.75" customHeight="1" x14ac:dyDescent="0.2">
      <c r="B79" s="52" t="s">
        <v>925</v>
      </c>
      <c r="C79" s="78"/>
      <c r="D79" s="80"/>
      <c r="E79" s="82"/>
      <c r="J79" s="7"/>
      <c r="K79" s="7"/>
      <c r="L79" s="7"/>
      <c r="M79" s="7"/>
      <c r="N79" s="7"/>
    </row>
    <row r="80" spans="2:14" ht="39.75" customHeight="1" thickBot="1" x14ac:dyDescent="0.25">
      <c r="B80" s="63" t="s">
        <v>455</v>
      </c>
      <c r="C80" s="79"/>
      <c r="D80" s="50" t="s">
        <v>562</v>
      </c>
      <c r="E80" s="83"/>
      <c r="J80" s="7"/>
      <c r="K80" s="7"/>
      <c r="L80" s="7"/>
      <c r="M80" s="7"/>
      <c r="N80" s="7"/>
    </row>
    <row r="81" spans="2:14" ht="15.75" customHeight="1" x14ac:dyDescent="0.2">
      <c r="B81" s="9" t="s">
        <v>144</v>
      </c>
      <c r="J81" s="7"/>
      <c r="K81" s="7"/>
      <c r="L81" s="7"/>
      <c r="M81" s="7"/>
      <c r="N81" s="7"/>
    </row>
    <row r="82" spans="2:14" ht="15.75" customHeight="1" x14ac:dyDescent="0.2">
      <c r="J82" s="7"/>
      <c r="K82" s="7"/>
      <c r="L82" s="7"/>
      <c r="M82" s="7"/>
      <c r="N82" s="7"/>
    </row>
    <row r="83" spans="2:14" ht="15.75" customHeight="1" x14ac:dyDescent="0.2">
      <c r="B83" s="9" t="s">
        <v>145</v>
      </c>
      <c r="J83" s="7"/>
      <c r="K83" s="7"/>
      <c r="L83" s="7"/>
      <c r="M83" s="7"/>
      <c r="N83" s="7"/>
    </row>
    <row r="84" spans="2:14" ht="15.75" customHeight="1" x14ac:dyDescent="0.2">
      <c r="B84" s="15" t="s">
        <v>146</v>
      </c>
    </row>
    <row r="85" spans="2:14" ht="15.75" customHeight="1" x14ac:dyDescent="0.2">
      <c r="J85" s="3"/>
    </row>
  </sheetData>
  <mergeCells count="3">
    <mergeCell ref="C77:C80"/>
    <mergeCell ref="D77:D79"/>
    <mergeCell ref="E77:E80"/>
  </mergeCells>
  <hyperlinks>
    <hyperlink ref="G1" location="'Sheet1'!A1" display="Index" xr:uid="{1887806E-1592-4F1F-B8E9-AF73F086F7F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0E38D-DFD2-4680-88D7-83DAD6EBB160}">
  <dimension ref="B1:N8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140423</v>
      </c>
      <c r="F7" s="30">
        <v>1386.89</v>
      </c>
      <c r="G7" s="31">
        <v>0.15079999999999999</v>
      </c>
      <c r="H7" s="32"/>
    </row>
    <row r="8" spans="2:8" ht="15.75" customHeight="1" x14ac:dyDescent="0.2">
      <c r="B8" s="28" t="s">
        <v>167</v>
      </c>
      <c r="C8" s="28" t="s">
        <v>168</v>
      </c>
      <c r="D8" s="28" t="s">
        <v>169</v>
      </c>
      <c r="E8" s="29">
        <v>62596</v>
      </c>
      <c r="F8" s="30">
        <v>930.49</v>
      </c>
      <c r="G8" s="31">
        <v>0.1012</v>
      </c>
      <c r="H8" s="32"/>
    </row>
    <row r="9" spans="2:8" ht="15.75" customHeight="1" x14ac:dyDescent="0.2">
      <c r="B9" s="28" t="s">
        <v>184</v>
      </c>
      <c r="C9" s="28" t="s">
        <v>185</v>
      </c>
      <c r="D9" s="28" t="s">
        <v>166</v>
      </c>
      <c r="E9" s="29">
        <v>66051</v>
      </c>
      <c r="F9" s="30">
        <v>888.42</v>
      </c>
      <c r="G9" s="31">
        <v>9.6600000000000005E-2</v>
      </c>
      <c r="H9" s="32"/>
    </row>
    <row r="10" spans="2:8" ht="15.75" customHeight="1" x14ac:dyDescent="0.2">
      <c r="B10" s="28" t="s">
        <v>206</v>
      </c>
      <c r="C10" s="28" t="s">
        <v>207</v>
      </c>
      <c r="D10" s="28" t="s">
        <v>208</v>
      </c>
      <c r="E10" s="29">
        <v>25356</v>
      </c>
      <c r="F10" s="30">
        <v>520.96</v>
      </c>
      <c r="G10" s="31">
        <v>5.6599999999999998E-2</v>
      </c>
      <c r="H10" s="32"/>
    </row>
    <row r="11" spans="2:8" ht="15.75" customHeight="1" x14ac:dyDescent="0.2">
      <c r="B11" s="28" t="s">
        <v>170</v>
      </c>
      <c r="C11" s="28" t="s">
        <v>171</v>
      </c>
      <c r="D11" s="28" t="s">
        <v>172</v>
      </c>
      <c r="E11" s="29">
        <v>33021</v>
      </c>
      <c r="F11" s="30">
        <v>489.54</v>
      </c>
      <c r="G11" s="31">
        <v>5.3199999999999997E-2</v>
      </c>
      <c r="H11" s="32"/>
    </row>
    <row r="12" spans="2:8" ht="15.75" customHeight="1" x14ac:dyDescent="0.2">
      <c r="B12" s="28" t="s">
        <v>324</v>
      </c>
      <c r="C12" s="28" t="s">
        <v>325</v>
      </c>
      <c r="D12" s="28" t="s">
        <v>326</v>
      </c>
      <c r="E12" s="29">
        <v>10795</v>
      </c>
      <c r="F12" s="30">
        <v>435.17</v>
      </c>
      <c r="G12" s="31">
        <v>4.7300000000000002E-2</v>
      </c>
      <c r="H12" s="32"/>
    </row>
    <row r="13" spans="2:8" ht="15.75" customHeight="1" x14ac:dyDescent="0.2">
      <c r="B13" s="28" t="s">
        <v>214</v>
      </c>
      <c r="C13" s="28" t="s">
        <v>215</v>
      </c>
      <c r="D13" s="28" t="s">
        <v>183</v>
      </c>
      <c r="E13" s="29">
        <v>88867</v>
      </c>
      <c r="F13" s="30">
        <v>373.46</v>
      </c>
      <c r="G13" s="31">
        <v>4.0599999999999997E-2</v>
      </c>
      <c r="H13" s="32"/>
    </row>
    <row r="14" spans="2:8" ht="15.75" customHeight="1" x14ac:dyDescent="0.2">
      <c r="B14" s="28" t="s">
        <v>204</v>
      </c>
      <c r="C14" s="28" t="s">
        <v>205</v>
      </c>
      <c r="D14" s="28" t="s">
        <v>166</v>
      </c>
      <c r="E14" s="29">
        <v>38384</v>
      </c>
      <c r="F14" s="30">
        <v>359.66</v>
      </c>
      <c r="G14" s="31">
        <v>3.9100000000000003E-2</v>
      </c>
      <c r="H14" s="32"/>
    </row>
    <row r="15" spans="2:8" ht="15.75" customHeight="1" x14ac:dyDescent="0.2">
      <c r="B15" s="28" t="s">
        <v>179</v>
      </c>
      <c r="C15" s="28" t="s">
        <v>180</v>
      </c>
      <c r="D15" s="28" t="s">
        <v>166</v>
      </c>
      <c r="E15" s="29">
        <v>26337</v>
      </c>
      <c r="F15" s="30">
        <v>324.74</v>
      </c>
      <c r="G15" s="31">
        <v>3.5299999999999998E-2</v>
      </c>
      <c r="H15" s="32"/>
    </row>
    <row r="16" spans="2:8" ht="15.75" customHeight="1" x14ac:dyDescent="0.2">
      <c r="B16" s="28" t="s">
        <v>305</v>
      </c>
      <c r="C16" s="28" t="s">
        <v>306</v>
      </c>
      <c r="D16" s="28" t="s">
        <v>166</v>
      </c>
      <c r="E16" s="29">
        <v>13593</v>
      </c>
      <c r="F16" s="30">
        <v>285.72000000000003</v>
      </c>
      <c r="G16" s="31">
        <v>3.1099999999999999E-2</v>
      </c>
      <c r="H16" s="32"/>
    </row>
    <row r="17" spans="2:8" ht="15.75" customHeight="1" x14ac:dyDescent="0.2">
      <c r="B17" s="28" t="s">
        <v>199</v>
      </c>
      <c r="C17" s="28" t="s">
        <v>200</v>
      </c>
      <c r="D17" s="28" t="s">
        <v>172</v>
      </c>
      <c r="E17" s="29">
        <v>9307</v>
      </c>
      <c r="F17" s="30">
        <v>284.58999999999997</v>
      </c>
      <c r="G17" s="31">
        <v>3.09E-2</v>
      </c>
      <c r="H17" s="32"/>
    </row>
    <row r="18" spans="2:8" ht="15.75" customHeight="1" x14ac:dyDescent="0.2">
      <c r="B18" s="28" t="s">
        <v>186</v>
      </c>
      <c r="C18" s="28" t="s">
        <v>187</v>
      </c>
      <c r="D18" s="28" t="s">
        <v>188</v>
      </c>
      <c r="E18" s="29">
        <v>8136</v>
      </c>
      <c r="F18" s="30">
        <v>283.64999999999998</v>
      </c>
      <c r="G18" s="31">
        <v>3.0800000000000001E-2</v>
      </c>
      <c r="H18" s="32"/>
    </row>
    <row r="19" spans="2:8" ht="15.75" customHeight="1" x14ac:dyDescent="0.2">
      <c r="B19" s="28" t="s">
        <v>726</v>
      </c>
      <c r="C19" s="28" t="s">
        <v>727</v>
      </c>
      <c r="D19" s="28" t="s">
        <v>175</v>
      </c>
      <c r="E19" s="29">
        <v>24034</v>
      </c>
      <c r="F19" s="30">
        <v>250.58</v>
      </c>
      <c r="G19" s="31">
        <v>2.7199999999999998E-2</v>
      </c>
      <c r="H19" s="32"/>
    </row>
    <row r="20" spans="2:8" ht="15.75" customHeight="1" x14ac:dyDescent="0.2">
      <c r="B20" s="28" t="s">
        <v>238</v>
      </c>
      <c r="C20" s="28" t="s">
        <v>239</v>
      </c>
      <c r="D20" s="28" t="s">
        <v>221</v>
      </c>
      <c r="E20" s="29">
        <v>64977</v>
      </c>
      <c r="F20" s="30">
        <v>206.46</v>
      </c>
      <c r="G20" s="31">
        <v>2.24E-2</v>
      </c>
      <c r="H20" s="32"/>
    </row>
    <row r="21" spans="2:8" ht="15.75" customHeight="1" x14ac:dyDescent="0.2">
      <c r="B21" s="28" t="s">
        <v>181</v>
      </c>
      <c r="C21" s="28" t="s">
        <v>182</v>
      </c>
      <c r="D21" s="28" t="s">
        <v>183</v>
      </c>
      <c r="E21" s="29">
        <v>8286</v>
      </c>
      <c r="F21" s="30">
        <v>204.39</v>
      </c>
      <c r="G21" s="31">
        <v>2.2200000000000001E-2</v>
      </c>
      <c r="H21" s="32"/>
    </row>
    <row r="22" spans="2:8" ht="15.75" customHeight="1" x14ac:dyDescent="0.2">
      <c r="B22" s="28" t="s">
        <v>563</v>
      </c>
      <c r="C22" s="28" t="s">
        <v>564</v>
      </c>
      <c r="D22" s="28" t="s">
        <v>188</v>
      </c>
      <c r="E22" s="29">
        <v>1220</v>
      </c>
      <c r="F22" s="30">
        <v>197.54</v>
      </c>
      <c r="G22" s="31">
        <v>2.1499999999999998E-2</v>
      </c>
      <c r="H22" s="32"/>
    </row>
    <row r="23" spans="2:8" ht="15.75" customHeight="1" x14ac:dyDescent="0.2">
      <c r="B23" s="28" t="s">
        <v>332</v>
      </c>
      <c r="C23" s="28" t="s">
        <v>333</v>
      </c>
      <c r="D23" s="28" t="s">
        <v>224</v>
      </c>
      <c r="E23" s="29">
        <v>9723</v>
      </c>
      <c r="F23" s="30">
        <v>164.3</v>
      </c>
      <c r="G23" s="31">
        <v>1.7899999999999999E-2</v>
      </c>
      <c r="H23" s="32"/>
    </row>
    <row r="24" spans="2:8" ht="15.75" customHeight="1" x14ac:dyDescent="0.2">
      <c r="B24" s="28" t="s">
        <v>250</v>
      </c>
      <c r="C24" s="28" t="s">
        <v>251</v>
      </c>
      <c r="D24" s="28" t="s">
        <v>172</v>
      </c>
      <c r="E24" s="29">
        <v>9720</v>
      </c>
      <c r="F24" s="30">
        <v>149.82</v>
      </c>
      <c r="G24" s="31">
        <v>1.6299999999999999E-2</v>
      </c>
      <c r="H24" s="32"/>
    </row>
    <row r="25" spans="2:8" ht="15.75" customHeight="1" x14ac:dyDescent="0.2">
      <c r="B25" s="28" t="s">
        <v>334</v>
      </c>
      <c r="C25" s="28" t="s">
        <v>335</v>
      </c>
      <c r="D25" s="28" t="s">
        <v>280</v>
      </c>
      <c r="E25" s="29">
        <v>43679</v>
      </c>
      <c r="F25" s="30">
        <v>147.13</v>
      </c>
      <c r="G25" s="31">
        <v>1.6E-2</v>
      </c>
      <c r="H25" s="32"/>
    </row>
    <row r="26" spans="2:8" ht="15.75" customHeight="1" x14ac:dyDescent="0.2">
      <c r="B26" s="28" t="s">
        <v>216</v>
      </c>
      <c r="C26" s="28" t="s">
        <v>217</v>
      </c>
      <c r="D26" s="28" t="s">
        <v>218</v>
      </c>
      <c r="E26" s="29">
        <v>32963</v>
      </c>
      <c r="F26" s="30">
        <v>140.47</v>
      </c>
      <c r="G26" s="31">
        <v>1.5299999999999999E-2</v>
      </c>
      <c r="H26" s="32"/>
    </row>
    <row r="27" spans="2:8" ht="15.75" customHeight="1" x14ac:dyDescent="0.2">
      <c r="B27" s="28" t="s">
        <v>258</v>
      </c>
      <c r="C27" s="28" t="s">
        <v>259</v>
      </c>
      <c r="D27" s="28" t="s">
        <v>260</v>
      </c>
      <c r="E27" s="29">
        <v>3750</v>
      </c>
      <c r="F27" s="30">
        <v>140.44999999999999</v>
      </c>
      <c r="G27" s="31">
        <v>1.5299999999999999E-2</v>
      </c>
      <c r="H27" s="32"/>
    </row>
    <row r="28" spans="2:8" ht="15.75" customHeight="1" x14ac:dyDescent="0.2">
      <c r="B28" s="28" t="s">
        <v>211</v>
      </c>
      <c r="C28" s="28" t="s">
        <v>212</v>
      </c>
      <c r="D28" s="28" t="s">
        <v>213</v>
      </c>
      <c r="E28" s="29">
        <v>76136</v>
      </c>
      <c r="F28" s="30">
        <v>139.29</v>
      </c>
      <c r="G28" s="31">
        <v>1.5100000000000001E-2</v>
      </c>
      <c r="H28" s="32"/>
    </row>
    <row r="29" spans="2:8" ht="15.75" customHeight="1" x14ac:dyDescent="0.2">
      <c r="B29" s="28" t="s">
        <v>270</v>
      </c>
      <c r="C29" s="28" t="s">
        <v>271</v>
      </c>
      <c r="D29" s="28" t="s">
        <v>269</v>
      </c>
      <c r="E29" s="29">
        <v>1088</v>
      </c>
      <c r="F29" s="30">
        <v>129.97999999999999</v>
      </c>
      <c r="G29" s="31">
        <v>1.41E-2</v>
      </c>
      <c r="H29" s="32"/>
    </row>
    <row r="30" spans="2:8" ht="15.75" customHeight="1" x14ac:dyDescent="0.2">
      <c r="B30" s="28" t="s">
        <v>902</v>
      </c>
      <c r="C30" s="28" t="s">
        <v>903</v>
      </c>
      <c r="D30" s="28" t="s">
        <v>280</v>
      </c>
      <c r="E30" s="29">
        <v>41960</v>
      </c>
      <c r="F30" s="30">
        <v>120.91</v>
      </c>
      <c r="G30" s="31">
        <v>1.3100000000000001E-2</v>
      </c>
      <c r="H30" s="32"/>
    </row>
    <row r="31" spans="2:8" ht="15.75" customHeight="1" x14ac:dyDescent="0.2">
      <c r="B31" s="28" t="s">
        <v>904</v>
      </c>
      <c r="C31" s="28" t="s">
        <v>905</v>
      </c>
      <c r="D31" s="28" t="s">
        <v>175</v>
      </c>
      <c r="E31" s="29">
        <v>5301</v>
      </c>
      <c r="F31" s="30">
        <v>110.7</v>
      </c>
      <c r="G31" s="31">
        <v>1.2E-2</v>
      </c>
      <c r="H31" s="32"/>
    </row>
    <row r="32" spans="2:8" ht="15.75" customHeight="1" x14ac:dyDescent="0.2">
      <c r="B32" s="28" t="s">
        <v>906</v>
      </c>
      <c r="C32" s="28" t="s">
        <v>907</v>
      </c>
      <c r="D32" s="28" t="s">
        <v>260</v>
      </c>
      <c r="E32" s="29">
        <v>4163</v>
      </c>
      <c r="F32" s="30">
        <v>104.49</v>
      </c>
      <c r="G32" s="31">
        <v>1.14E-2</v>
      </c>
      <c r="H32" s="32"/>
    </row>
    <row r="33" spans="2:10" ht="15.75" customHeight="1" x14ac:dyDescent="0.2">
      <c r="B33" s="28" t="s">
        <v>908</v>
      </c>
      <c r="C33" s="28" t="s">
        <v>909</v>
      </c>
      <c r="D33" s="28" t="s">
        <v>203</v>
      </c>
      <c r="E33" s="29">
        <v>6791</v>
      </c>
      <c r="F33" s="30">
        <v>98.57</v>
      </c>
      <c r="G33" s="31">
        <v>1.0699999999999999E-2</v>
      </c>
      <c r="H33" s="32"/>
    </row>
    <row r="34" spans="2:10" ht="15.75" customHeight="1" x14ac:dyDescent="0.2">
      <c r="B34" s="28" t="s">
        <v>219</v>
      </c>
      <c r="C34" s="28" t="s">
        <v>220</v>
      </c>
      <c r="D34" s="28" t="s">
        <v>221</v>
      </c>
      <c r="E34" s="29">
        <v>2038</v>
      </c>
      <c r="F34" s="30">
        <v>95.66</v>
      </c>
      <c r="G34" s="31">
        <v>1.04E-2</v>
      </c>
      <c r="H34" s="32"/>
    </row>
    <row r="35" spans="2:10" ht="15.75" customHeight="1" x14ac:dyDescent="0.2">
      <c r="B35" s="28" t="s">
        <v>382</v>
      </c>
      <c r="C35" s="28" t="s">
        <v>383</v>
      </c>
      <c r="D35" s="28" t="s">
        <v>172</v>
      </c>
      <c r="E35" s="29">
        <v>5847</v>
      </c>
      <c r="F35" s="30">
        <v>83.31</v>
      </c>
      <c r="G35" s="31">
        <v>9.1000000000000004E-3</v>
      </c>
      <c r="H35" s="32"/>
    </row>
    <row r="36" spans="2:10" ht="15.75" customHeight="1" x14ac:dyDescent="0.2">
      <c r="B36" s="28" t="s">
        <v>1126</v>
      </c>
      <c r="C36" s="28" t="s">
        <v>746</v>
      </c>
      <c r="D36" s="28" t="s">
        <v>578</v>
      </c>
      <c r="E36" s="29">
        <v>19860</v>
      </c>
      <c r="F36" s="30">
        <v>52.01</v>
      </c>
      <c r="G36" s="31">
        <v>5.7000000000000002E-3</v>
      </c>
      <c r="H36" s="32"/>
    </row>
    <row r="37" spans="2:10" ht="15.75" customHeight="1" x14ac:dyDescent="0.2">
      <c r="B37" s="28" t="s">
        <v>915</v>
      </c>
      <c r="C37" s="28" t="s">
        <v>916</v>
      </c>
      <c r="D37" s="28" t="s">
        <v>188</v>
      </c>
      <c r="E37" s="29">
        <v>19283</v>
      </c>
      <c r="F37" s="30">
        <v>79.08</v>
      </c>
      <c r="G37" s="31">
        <v>8.6E-3</v>
      </c>
      <c r="H37" s="32"/>
    </row>
    <row r="38" spans="2:10" ht="15.75" customHeight="1" x14ac:dyDescent="0.2">
      <c r="B38" s="27" t="s">
        <v>127</v>
      </c>
      <c r="C38" s="27"/>
      <c r="D38" s="27"/>
      <c r="E38" s="33"/>
      <c r="F38" s="34">
        <f>SUM(F7:F37)</f>
        <v>9178.43</v>
      </c>
      <c r="G38" s="35">
        <v>0.99780000000000002</v>
      </c>
      <c r="H38" s="36"/>
    </row>
    <row r="39" spans="2:10" ht="15.75" customHeight="1" x14ac:dyDescent="0.2">
      <c r="B39" s="27" t="s">
        <v>189</v>
      </c>
      <c r="C39" s="28"/>
      <c r="D39" s="28"/>
      <c r="E39" s="29"/>
      <c r="F39" s="30"/>
      <c r="G39" s="31"/>
      <c r="H39" s="32"/>
      <c r="J39" s="3"/>
    </row>
    <row r="40" spans="2:10" ht="15.75" customHeight="1" x14ac:dyDescent="0.2">
      <c r="B40" s="27" t="s">
        <v>127</v>
      </c>
      <c r="C40" s="28"/>
      <c r="D40" s="28"/>
      <c r="E40" s="29"/>
      <c r="F40" s="37" t="s">
        <v>129</v>
      </c>
      <c r="G40" s="38" t="s">
        <v>129</v>
      </c>
      <c r="H40" s="32"/>
      <c r="J40" s="3"/>
    </row>
    <row r="41" spans="2:10" ht="15.75" customHeight="1" x14ac:dyDescent="0.2">
      <c r="B41" s="28"/>
      <c r="C41" s="28"/>
      <c r="D41" s="28"/>
      <c r="E41" s="29"/>
      <c r="F41" s="30"/>
      <c r="G41" s="31"/>
      <c r="H41" s="32"/>
    </row>
    <row r="42" spans="2:10" ht="15.75" customHeight="1" x14ac:dyDescent="0.2">
      <c r="B42" s="39" t="s">
        <v>131</v>
      </c>
      <c r="C42" s="39"/>
      <c r="D42" s="39"/>
      <c r="E42" s="40"/>
      <c r="F42" s="34">
        <f>F38</f>
        <v>9178.43</v>
      </c>
      <c r="G42" s="35">
        <f>G38</f>
        <v>0.99780000000000002</v>
      </c>
      <c r="H42" s="36"/>
    </row>
    <row r="43" spans="2:10" ht="15.75" customHeight="1" x14ac:dyDescent="0.2">
      <c r="B43" s="28"/>
      <c r="C43" s="28"/>
      <c r="D43" s="28"/>
      <c r="E43" s="29"/>
      <c r="F43" s="30"/>
      <c r="G43" s="31"/>
      <c r="H43" s="32"/>
    </row>
    <row r="44" spans="2:10" ht="15.75" customHeight="1" x14ac:dyDescent="0.2">
      <c r="B44" s="28"/>
      <c r="C44" s="28"/>
      <c r="D44" s="28"/>
      <c r="E44" s="29"/>
      <c r="F44" s="30"/>
      <c r="G44" s="31"/>
      <c r="H44" s="32"/>
    </row>
    <row r="45" spans="2:10" ht="15.75" customHeight="1" x14ac:dyDescent="0.2">
      <c r="B45" s="27" t="s">
        <v>134</v>
      </c>
      <c r="C45" s="28"/>
      <c r="D45" s="28"/>
      <c r="E45" s="29"/>
      <c r="F45" s="30"/>
      <c r="G45" s="31"/>
      <c r="H45" s="32"/>
    </row>
    <row r="46" spans="2:10" ht="15.75" customHeight="1" x14ac:dyDescent="0.2">
      <c r="B46" s="28" t="s">
        <v>135</v>
      </c>
      <c r="C46" s="28"/>
      <c r="D46" s="28"/>
      <c r="E46" s="29"/>
      <c r="F46" s="30">
        <v>16.09</v>
      </c>
      <c r="G46" s="31">
        <v>1.6999999999999999E-3</v>
      </c>
      <c r="H46" s="32"/>
    </row>
    <row r="47" spans="2:10" ht="15.75" customHeight="1" x14ac:dyDescent="0.2">
      <c r="B47" s="27" t="s">
        <v>127</v>
      </c>
      <c r="C47" s="27"/>
      <c r="D47" s="27"/>
      <c r="E47" s="33"/>
      <c r="F47" s="34">
        <v>16.09</v>
      </c>
      <c r="G47" s="35">
        <v>1.6999999999999999E-3</v>
      </c>
      <c r="H47" s="36"/>
    </row>
    <row r="48" spans="2:10" ht="15.75" customHeight="1" x14ac:dyDescent="0.2">
      <c r="B48" s="28"/>
      <c r="C48" s="28"/>
      <c r="D48" s="28"/>
      <c r="E48" s="29"/>
      <c r="F48" s="30"/>
      <c r="G48" s="31"/>
      <c r="H48" s="32"/>
    </row>
    <row r="49" spans="2:8" ht="15.75" customHeight="1" x14ac:dyDescent="0.2">
      <c r="B49" s="39" t="s">
        <v>131</v>
      </c>
      <c r="C49" s="39"/>
      <c r="D49" s="39"/>
      <c r="E49" s="40"/>
      <c r="F49" s="34">
        <v>16.09</v>
      </c>
      <c r="G49" s="35">
        <v>1.6999999999999999E-3</v>
      </c>
      <c r="H49" s="36"/>
    </row>
    <row r="50" spans="2:8" ht="15.75" customHeight="1" x14ac:dyDescent="0.2">
      <c r="B50" s="28" t="s">
        <v>136</v>
      </c>
      <c r="C50" s="28"/>
      <c r="D50" s="28"/>
      <c r="E50" s="29"/>
      <c r="F50" s="30">
        <v>4.4400000000000004</v>
      </c>
      <c r="G50" s="31">
        <v>4.9999999999994493E-4</v>
      </c>
      <c r="H50" s="32"/>
    </row>
    <row r="51" spans="2:8" ht="15.75" customHeight="1" x14ac:dyDescent="0.2">
      <c r="B51" s="43" t="s">
        <v>137</v>
      </c>
      <c r="C51" s="43"/>
      <c r="D51" s="43"/>
      <c r="E51" s="44"/>
      <c r="F51" s="45">
        <v>9198.9599999999991</v>
      </c>
      <c r="G51" s="46">
        <v>1</v>
      </c>
      <c r="H51" s="47"/>
    </row>
    <row r="52" spans="2:8" ht="15.75" customHeight="1" x14ac:dyDescent="0.2">
      <c r="B52" s="2"/>
    </row>
    <row r="55" spans="2:8" ht="15.75" customHeight="1" thickBot="1" x14ac:dyDescent="0.25"/>
    <row r="56" spans="2:8" ht="39.75" customHeight="1" thickBot="1" x14ac:dyDescent="0.25">
      <c r="B56" s="48" t="s">
        <v>139</v>
      </c>
      <c r="C56" s="49" t="s">
        <v>140</v>
      </c>
      <c r="D56" s="49" t="s">
        <v>141</v>
      </c>
      <c r="E56" s="49" t="s">
        <v>142</v>
      </c>
    </row>
    <row r="57" spans="2:8" ht="39.75" customHeight="1" x14ac:dyDescent="0.2">
      <c r="B57" s="61" t="s">
        <v>77</v>
      </c>
      <c r="C57" s="77"/>
      <c r="D57" s="80" t="s">
        <v>926</v>
      </c>
      <c r="E57" s="81"/>
    </row>
    <row r="58" spans="2:8" ht="39.75" customHeight="1" x14ac:dyDescent="0.2">
      <c r="B58" s="52" t="s">
        <v>900</v>
      </c>
      <c r="C58" s="78"/>
      <c r="D58" s="80"/>
      <c r="E58" s="82"/>
    </row>
    <row r="59" spans="2:8" ht="39.75" customHeight="1" x14ac:dyDescent="0.2">
      <c r="B59" s="52" t="s">
        <v>927</v>
      </c>
      <c r="C59" s="78"/>
      <c r="D59" s="80"/>
      <c r="E59" s="82"/>
    </row>
    <row r="60" spans="2:8" ht="39.75" customHeight="1" thickBot="1" x14ac:dyDescent="0.25">
      <c r="B60" s="63" t="s">
        <v>455</v>
      </c>
      <c r="C60" s="79"/>
      <c r="D60" s="50" t="s">
        <v>562</v>
      </c>
      <c r="E60" s="83"/>
    </row>
    <row r="61" spans="2:8" ht="15.75" customHeight="1" x14ac:dyDescent="0.2">
      <c r="B61" s="9" t="s">
        <v>144</v>
      </c>
    </row>
    <row r="63" spans="2:8" ht="15.75" customHeight="1" x14ac:dyDescent="0.2">
      <c r="B63" s="9" t="s">
        <v>145</v>
      </c>
    </row>
    <row r="64" spans="2:8" ht="15.75" customHeight="1" x14ac:dyDescent="0.2">
      <c r="B64" s="15" t="s">
        <v>146</v>
      </c>
    </row>
    <row r="67" spans="10:14" ht="15.75" customHeight="1" x14ac:dyDescent="0.2">
      <c r="J67" s="3"/>
    </row>
    <row r="69" spans="10:14" ht="15.75" customHeight="1" x14ac:dyDescent="0.2">
      <c r="J69"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5"/>
      <c r="K74" s="5"/>
      <c r="L74" s="6"/>
      <c r="M74" s="6"/>
      <c r="N74" s="5"/>
    </row>
    <row r="77" spans="10:14" ht="15.75" customHeight="1" x14ac:dyDescent="0.2">
      <c r="J77" s="7"/>
      <c r="K77" s="7"/>
      <c r="L77" s="7"/>
      <c r="M77" s="7"/>
      <c r="N77" s="7"/>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5" spans="10:14" ht="15.75" customHeight="1" x14ac:dyDescent="0.2">
      <c r="J85" s="3"/>
    </row>
  </sheetData>
  <mergeCells count="3">
    <mergeCell ref="C57:C60"/>
    <mergeCell ref="D57:D59"/>
    <mergeCell ref="E57:E60"/>
  </mergeCells>
  <hyperlinks>
    <hyperlink ref="G1" location="'Sheet1'!A1" display="Index" xr:uid="{CCE76D83-8F41-4E8F-A786-16A1F5178A1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14BF-ACBA-4390-A7A5-1DF8F1DD3B40}">
  <dimension ref="B1:N101"/>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563</v>
      </c>
      <c r="C7" s="28" t="s">
        <v>564</v>
      </c>
      <c r="D7" s="28" t="s">
        <v>188</v>
      </c>
      <c r="E7" s="29">
        <v>3753</v>
      </c>
      <c r="F7" s="30">
        <v>607.46</v>
      </c>
      <c r="G7" s="31">
        <v>2.8799999999999999E-2</v>
      </c>
      <c r="H7" s="32"/>
    </row>
    <row r="8" spans="2:8" ht="15.75" customHeight="1" x14ac:dyDescent="0.2">
      <c r="B8" s="28" t="s">
        <v>613</v>
      </c>
      <c r="C8" s="28" t="s">
        <v>614</v>
      </c>
      <c r="D8" s="28" t="s">
        <v>249</v>
      </c>
      <c r="E8" s="29">
        <v>88107</v>
      </c>
      <c r="F8" s="30">
        <v>583.30999999999995</v>
      </c>
      <c r="G8" s="31">
        <v>2.7699999999999999E-2</v>
      </c>
      <c r="H8" s="32"/>
    </row>
    <row r="9" spans="2:8" ht="15.75" customHeight="1" x14ac:dyDescent="0.2">
      <c r="B9" s="28" t="s">
        <v>330</v>
      </c>
      <c r="C9" s="28" t="s">
        <v>331</v>
      </c>
      <c r="D9" s="28" t="s">
        <v>329</v>
      </c>
      <c r="E9" s="29">
        <v>16752</v>
      </c>
      <c r="F9" s="30">
        <v>571.54</v>
      </c>
      <c r="G9" s="31">
        <v>2.7099999999999999E-2</v>
      </c>
      <c r="H9" s="32"/>
    </row>
    <row r="10" spans="2:8" ht="15.75" customHeight="1" x14ac:dyDescent="0.2">
      <c r="B10" s="28" t="s">
        <v>184</v>
      </c>
      <c r="C10" s="28" t="s">
        <v>185</v>
      </c>
      <c r="D10" s="28" t="s">
        <v>166</v>
      </c>
      <c r="E10" s="29">
        <v>40927</v>
      </c>
      <c r="F10" s="30">
        <v>550.59</v>
      </c>
      <c r="G10" s="31">
        <v>2.6100000000000002E-2</v>
      </c>
      <c r="H10" s="32"/>
    </row>
    <row r="11" spans="2:8" ht="15.75" customHeight="1" x14ac:dyDescent="0.2">
      <c r="B11" s="28" t="s">
        <v>733</v>
      </c>
      <c r="C11" s="28" t="s">
        <v>734</v>
      </c>
      <c r="D11" s="28" t="s">
        <v>329</v>
      </c>
      <c r="E11" s="29">
        <v>68531</v>
      </c>
      <c r="F11" s="30">
        <v>541.84</v>
      </c>
      <c r="G11" s="31">
        <v>2.5700000000000001E-2</v>
      </c>
      <c r="H11" s="32"/>
    </row>
    <row r="12" spans="2:8" ht="15.75" customHeight="1" x14ac:dyDescent="0.2">
      <c r="B12" s="28" t="s">
        <v>471</v>
      </c>
      <c r="C12" s="28" t="s">
        <v>472</v>
      </c>
      <c r="D12" s="28" t="s">
        <v>326</v>
      </c>
      <c r="E12" s="29">
        <v>120181</v>
      </c>
      <c r="F12" s="30">
        <v>538.47</v>
      </c>
      <c r="G12" s="31">
        <v>2.5499999999999998E-2</v>
      </c>
      <c r="H12" s="32"/>
    </row>
    <row r="13" spans="2:8" ht="15.75" customHeight="1" x14ac:dyDescent="0.2">
      <c r="B13" s="28" t="s">
        <v>760</v>
      </c>
      <c r="C13" s="28" t="s">
        <v>761</v>
      </c>
      <c r="D13" s="28" t="s">
        <v>246</v>
      </c>
      <c r="E13" s="29">
        <v>135603</v>
      </c>
      <c r="F13" s="30">
        <v>523.16</v>
      </c>
      <c r="G13" s="31">
        <v>2.4799999999999999E-2</v>
      </c>
      <c r="H13" s="32"/>
    </row>
    <row r="14" spans="2:8" ht="15.75" customHeight="1" x14ac:dyDescent="0.2">
      <c r="B14" s="28" t="s">
        <v>298</v>
      </c>
      <c r="C14" s="28" t="s">
        <v>299</v>
      </c>
      <c r="D14" s="28" t="s">
        <v>300</v>
      </c>
      <c r="E14" s="29">
        <v>88471</v>
      </c>
      <c r="F14" s="30">
        <v>482.39</v>
      </c>
      <c r="G14" s="31">
        <v>2.29E-2</v>
      </c>
      <c r="H14" s="32"/>
    </row>
    <row r="15" spans="2:8" ht="15.75" customHeight="1" x14ac:dyDescent="0.2">
      <c r="B15" s="28" t="s">
        <v>164</v>
      </c>
      <c r="C15" s="28" t="s">
        <v>165</v>
      </c>
      <c r="D15" s="28" t="s">
        <v>166</v>
      </c>
      <c r="E15" s="29">
        <v>48240</v>
      </c>
      <c r="F15" s="30">
        <v>476.27</v>
      </c>
      <c r="G15" s="31">
        <v>2.2599999999999999E-2</v>
      </c>
      <c r="H15" s="32"/>
    </row>
    <row r="16" spans="2:8" ht="15.75" customHeight="1" x14ac:dyDescent="0.2">
      <c r="B16" s="28" t="s">
        <v>340</v>
      </c>
      <c r="C16" s="28" t="s">
        <v>341</v>
      </c>
      <c r="D16" s="28" t="s">
        <v>263</v>
      </c>
      <c r="E16" s="29">
        <v>29892</v>
      </c>
      <c r="F16" s="30">
        <v>415.83</v>
      </c>
      <c r="G16" s="31">
        <v>1.9699999999999999E-2</v>
      </c>
      <c r="H16" s="32"/>
    </row>
    <row r="17" spans="2:8" ht="15.75" customHeight="1" x14ac:dyDescent="0.2">
      <c r="B17" s="28" t="s">
        <v>674</v>
      </c>
      <c r="C17" s="28" t="s">
        <v>675</v>
      </c>
      <c r="D17" s="28" t="s">
        <v>175</v>
      </c>
      <c r="E17" s="29">
        <v>130812</v>
      </c>
      <c r="F17" s="30">
        <v>412.78</v>
      </c>
      <c r="G17" s="31">
        <v>1.9599999999999999E-2</v>
      </c>
      <c r="H17" s="32"/>
    </row>
    <row r="18" spans="2:8" ht="15.75" customHeight="1" x14ac:dyDescent="0.2">
      <c r="B18" s="28" t="s">
        <v>214</v>
      </c>
      <c r="C18" s="28" t="s">
        <v>215</v>
      </c>
      <c r="D18" s="28" t="s">
        <v>183</v>
      </c>
      <c r="E18" s="29">
        <v>97181</v>
      </c>
      <c r="F18" s="30">
        <v>408.5</v>
      </c>
      <c r="G18" s="31">
        <v>1.9400000000000001E-2</v>
      </c>
      <c r="H18" s="32"/>
    </row>
    <row r="19" spans="2:8" ht="15.75" customHeight="1" x14ac:dyDescent="0.2">
      <c r="B19" s="28" t="s">
        <v>173</v>
      </c>
      <c r="C19" s="28" t="s">
        <v>174</v>
      </c>
      <c r="D19" s="28" t="s">
        <v>175</v>
      </c>
      <c r="E19" s="29">
        <v>54374</v>
      </c>
      <c r="F19" s="30">
        <v>407.21</v>
      </c>
      <c r="G19" s="31">
        <v>1.9300000000000001E-2</v>
      </c>
      <c r="H19" s="32"/>
    </row>
    <row r="20" spans="2:8" ht="15.75" customHeight="1" x14ac:dyDescent="0.2">
      <c r="B20" s="28" t="s">
        <v>332</v>
      </c>
      <c r="C20" s="28" t="s">
        <v>333</v>
      </c>
      <c r="D20" s="28" t="s">
        <v>224</v>
      </c>
      <c r="E20" s="29">
        <v>24080</v>
      </c>
      <c r="F20" s="30">
        <v>407.12</v>
      </c>
      <c r="G20" s="31">
        <v>1.9300000000000001E-2</v>
      </c>
      <c r="H20" s="32"/>
    </row>
    <row r="21" spans="2:8" ht="15.75" customHeight="1" x14ac:dyDescent="0.2">
      <c r="B21" s="28" t="s">
        <v>720</v>
      </c>
      <c r="C21" s="28" t="s">
        <v>721</v>
      </c>
      <c r="D21" s="28" t="s">
        <v>188</v>
      </c>
      <c r="E21" s="29">
        <v>6979</v>
      </c>
      <c r="F21" s="30">
        <v>386.92</v>
      </c>
      <c r="G21" s="31">
        <v>1.83E-2</v>
      </c>
      <c r="H21" s="32"/>
    </row>
    <row r="22" spans="2:8" ht="15.75" customHeight="1" x14ac:dyDescent="0.2">
      <c r="B22" s="28" t="s">
        <v>204</v>
      </c>
      <c r="C22" s="28" t="s">
        <v>205</v>
      </c>
      <c r="D22" s="28" t="s">
        <v>166</v>
      </c>
      <c r="E22" s="29">
        <v>39667</v>
      </c>
      <c r="F22" s="30">
        <v>371.68</v>
      </c>
      <c r="G22" s="31">
        <v>1.7600000000000001E-2</v>
      </c>
      <c r="H22" s="32"/>
    </row>
    <row r="23" spans="2:8" ht="15.75" customHeight="1" x14ac:dyDescent="0.2">
      <c r="B23" s="28" t="s">
        <v>875</v>
      </c>
      <c r="C23" s="28" t="s">
        <v>876</v>
      </c>
      <c r="D23" s="28" t="s">
        <v>178</v>
      </c>
      <c r="E23" s="29">
        <v>69029</v>
      </c>
      <c r="F23" s="30">
        <v>361.33</v>
      </c>
      <c r="G23" s="31">
        <v>1.7100000000000001E-2</v>
      </c>
      <c r="H23" s="32"/>
    </row>
    <row r="24" spans="2:8" ht="15.75" customHeight="1" x14ac:dyDescent="0.2">
      <c r="B24" s="28" t="s">
        <v>459</v>
      </c>
      <c r="C24" s="28" t="s">
        <v>460</v>
      </c>
      <c r="D24" s="28" t="s">
        <v>430</v>
      </c>
      <c r="E24" s="29">
        <v>4501</v>
      </c>
      <c r="F24" s="30">
        <v>345.72</v>
      </c>
      <c r="G24" s="31">
        <v>1.6400000000000001E-2</v>
      </c>
      <c r="H24" s="32"/>
    </row>
    <row r="25" spans="2:8" ht="15.75" customHeight="1" x14ac:dyDescent="0.2">
      <c r="B25" s="28" t="s">
        <v>234</v>
      </c>
      <c r="C25" s="28" t="s">
        <v>235</v>
      </c>
      <c r="D25" s="28" t="s">
        <v>166</v>
      </c>
      <c r="E25" s="29">
        <v>123108</v>
      </c>
      <c r="F25" s="30">
        <v>342.73</v>
      </c>
      <c r="G25" s="31">
        <v>1.6199999999999999E-2</v>
      </c>
      <c r="H25" s="32"/>
    </row>
    <row r="26" spans="2:8" ht="15.75" customHeight="1" x14ac:dyDescent="0.2">
      <c r="B26" s="28" t="s">
        <v>473</v>
      </c>
      <c r="C26" s="28" t="s">
        <v>474</v>
      </c>
      <c r="D26" s="28" t="s">
        <v>224</v>
      </c>
      <c r="E26" s="29">
        <v>170740</v>
      </c>
      <c r="F26" s="30">
        <v>340.85</v>
      </c>
      <c r="G26" s="31">
        <v>1.6199999999999999E-2</v>
      </c>
      <c r="H26" s="32"/>
    </row>
    <row r="27" spans="2:8" ht="15.75" customHeight="1" x14ac:dyDescent="0.2">
      <c r="B27" s="28" t="s">
        <v>370</v>
      </c>
      <c r="C27" s="28" t="s">
        <v>371</v>
      </c>
      <c r="D27" s="28" t="s">
        <v>188</v>
      </c>
      <c r="E27" s="29">
        <v>3830</v>
      </c>
      <c r="F27" s="30">
        <v>340.58</v>
      </c>
      <c r="G27" s="31">
        <v>1.61E-2</v>
      </c>
      <c r="H27" s="32"/>
    </row>
    <row r="28" spans="2:8" ht="15.75" customHeight="1" x14ac:dyDescent="0.2">
      <c r="B28" s="28" t="s">
        <v>278</v>
      </c>
      <c r="C28" s="28" t="s">
        <v>279</v>
      </c>
      <c r="D28" s="28" t="s">
        <v>280</v>
      </c>
      <c r="E28" s="29">
        <v>79745</v>
      </c>
      <c r="F28" s="30">
        <v>322.89</v>
      </c>
      <c r="G28" s="31">
        <v>1.5299999999999999E-2</v>
      </c>
      <c r="H28" s="32"/>
    </row>
    <row r="29" spans="2:8" ht="15.75" customHeight="1" x14ac:dyDescent="0.2">
      <c r="B29" s="28" t="s">
        <v>324</v>
      </c>
      <c r="C29" s="28" t="s">
        <v>325</v>
      </c>
      <c r="D29" s="28" t="s">
        <v>326</v>
      </c>
      <c r="E29" s="29">
        <v>7996</v>
      </c>
      <c r="F29" s="30">
        <v>322.31</v>
      </c>
      <c r="G29" s="31">
        <v>1.5299999999999999E-2</v>
      </c>
      <c r="H29" s="32"/>
    </row>
    <row r="30" spans="2:8" ht="15.75" customHeight="1" x14ac:dyDescent="0.2">
      <c r="B30" s="28" t="s">
        <v>928</v>
      </c>
      <c r="C30" s="28" t="s">
        <v>929</v>
      </c>
      <c r="D30" s="28" t="s">
        <v>178</v>
      </c>
      <c r="E30" s="29">
        <v>19954</v>
      </c>
      <c r="F30" s="30">
        <v>322.16000000000003</v>
      </c>
      <c r="G30" s="31">
        <v>1.5299999999999999E-2</v>
      </c>
      <c r="H30" s="32"/>
    </row>
    <row r="31" spans="2:8" ht="15.75" customHeight="1" x14ac:dyDescent="0.2">
      <c r="B31" s="28" t="s">
        <v>469</v>
      </c>
      <c r="C31" s="28" t="s">
        <v>470</v>
      </c>
      <c r="D31" s="28" t="s">
        <v>221</v>
      </c>
      <c r="E31" s="29">
        <v>63957</v>
      </c>
      <c r="F31" s="30">
        <v>321.61</v>
      </c>
      <c r="G31" s="31">
        <v>1.52E-2</v>
      </c>
      <c r="H31" s="32"/>
    </row>
    <row r="32" spans="2:8" ht="15.75" customHeight="1" x14ac:dyDescent="0.2">
      <c r="B32" s="28" t="s">
        <v>605</v>
      </c>
      <c r="C32" s="28" t="s">
        <v>606</v>
      </c>
      <c r="D32" s="28" t="s">
        <v>430</v>
      </c>
      <c r="E32" s="29">
        <v>127619</v>
      </c>
      <c r="F32" s="30">
        <v>315.93</v>
      </c>
      <c r="G32" s="31">
        <v>1.4999999999999999E-2</v>
      </c>
      <c r="H32" s="32"/>
    </row>
    <row r="33" spans="2:8" ht="15.75" customHeight="1" x14ac:dyDescent="0.2">
      <c r="B33" s="28" t="s">
        <v>267</v>
      </c>
      <c r="C33" s="28" t="s">
        <v>268</v>
      </c>
      <c r="D33" s="28" t="s">
        <v>269</v>
      </c>
      <c r="E33" s="29">
        <v>10351</v>
      </c>
      <c r="F33" s="30">
        <v>299.32</v>
      </c>
      <c r="G33" s="31">
        <v>1.4200000000000001E-2</v>
      </c>
      <c r="H33" s="32"/>
    </row>
    <row r="34" spans="2:8" ht="15.75" customHeight="1" x14ac:dyDescent="0.2">
      <c r="B34" s="28" t="s">
        <v>822</v>
      </c>
      <c r="C34" s="28" t="s">
        <v>823</v>
      </c>
      <c r="D34" s="28" t="s">
        <v>590</v>
      </c>
      <c r="E34" s="29">
        <v>90168</v>
      </c>
      <c r="F34" s="30">
        <v>287.45999999999998</v>
      </c>
      <c r="G34" s="31">
        <v>1.3599999999999999E-2</v>
      </c>
      <c r="H34" s="32"/>
    </row>
    <row r="35" spans="2:8" ht="15.75" customHeight="1" x14ac:dyDescent="0.2">
      <c r="B35" s="28" t="s">
        <v>588</v>
      </c>
      <c r="C35" s="28" t="s">
        <v>589</v>
      </c>
      <c r="D35" s="28" t="s">
        <v>590</v>
      </c>
      <c r="E35" s="29">
        <v>26155</v>
      </c>
      <c r="F35" s="30">
        <v>279.7</v>
      </c>
      <c r="G35" s="31">
        <v>1.3299999999999999E-2</v>
      </c>
      <c r="H35" s="32"/>
    </row>
    <row r="36" spans="2:8" ht="15.75" customHeight="1" x14ac:dyDescent="0.2">
      <c r="B36" s="28" t="s">
        <v>347</v>
      </c>
      <c r="C36" s="28" t="s">
        <v>348</v>
      </c>
      <c r="D36" s="28" t="s">
        <v>349</v>
      </c>
      <c r="E36" s="29">
        <v>125240</v>
      </c>
      <c r="F36" s="30">
        <v>276.94</v>
      </c>
      <c r="G36" s="31">
        <v>1.3100000000000001E-2</v>
      </c>
      <c r="H36" s="32"/>
    </row>
    <row r="37" spans="2:8" ht="15.75" customHeight="1" x14ac:dyDescent="0.2">
      <c r="B37" s="28" t="s">
        <v>930</v>
      </c>
      <c r="C37" s="28" t="s">
        <v>931</v>
      </c>
      <c r="D37" s="28" t="s">
        <v>178</v>
      </c>
      <c r="E37" s="29">
        <v>29833</v>
      </c>
      <c r="F37" s="30">
        <v>275.33</v>
      </c>
      <c r="G37" s="31">
        <v>1.3100000000000001E-2</v>
      </c>
      <c r="H37" s="32"/>
    </row>
    <row r="38" spans="2:8" ht="15.75" customHeight="1" x14ac:dyDescent="0.2">
      <c r="B38" s="28" t="s">
        <v>372</v>
      </c>
      <c r="C38" s="28" t="s">
        <v>373</v>
      </c>
      <c r="D38" s="28" t="s">
        <v>290</v>
      </c>
      <c r="E38" s="29">
        <v>8972</v>
      </c>
      <c r="F38" s="30">
        <v>271.26</v>
      </c>
      <c r="G38" s="31">
        <v>1.29E-2</v>
      </c>
      <c r="H38" s="32"/>
    </row>
    <row r="39" spans="2:8" ht="15.75" customHeight="1" x14ac:dyDescent="0.2">
      <c r="B39" s="28" t="s">
        <v>820</v>
      </c>
      <c r="C39" s="28" t="s">
        <v>821</v>
      </c>
      <c r="D39" s="28" t="s">
        <v>172</v>
      </c>
      <c r="E39" s="29">
        <v>12360</v>
      </c>
      <c r="F39" s="30">
        <v>264.45</v>
      </c>
      <c r="G39" s="31">
        <v>1.2500000000000001E-2</v>
      </c>
      <c r="H39" s="32"/>
    </row>
    <row r="40" spans="2:8" ht="15.75" customHeight="1" x14ac:dyDescent="0.2">
      <c r="B40" s="28" t="s">
        <v>932</v>
      </c>
      <c r="C40" s="28" t="s">
        <v>933</v>
      </c>
      <c r="D40" s="28" t="s">
        <v>178</v>
      </c>
      <c r="E40" s="29">
        <v>5035</v>
      </c>
      <c r="F40" s="30">
        <v>251.3</v>
      </c>
      <c r="G40" s="31">
        <v>1.1900000000000001E-2</v>
      </c>
      <c r="H40" s="32"/>
    </row>
    <row r="41" spans="2:8" ht="15.75" customHeight="1" x14ac:dyDescent="0.2">
      <c r="B41" s="28" t="s">
        <v>362</v>
      </c>
      <c r="C41" s="28" t="s">
        <v>363</v>
      </c>
      <c r="D41" s="28" t="s">
        <v>300</v>
      </c>
      <c r="E41" s="29">
        <v>4364</v>
      </c>
      <c r="F41" s="30">
        <v>245.48</v>
      </c>
      <c r="G41" s="31">
        <v>1.1599999999999999E-2</v>
      </c>
      <c r="H41" s="32"/>
    </row>
    <row r="42" spans="2:8" ht="15.75" customHeight="1" x14ac:dyDescent="0.2">
      <c r="B42" s="28" t="s">
        <v>167</v>
      </c>
      <c r="C42" s="28" t="s">
        <v>168</v>
      </c>
      <c r="D42" s="28" t="s">
        <v>169</v>
      </c>
      <c r="E42" s="29">
        <v>16417</v>
      </c>
      <c r="F42" s="30">
        <v>244.02</v>
      </c>
      <c r="G42" s="31">
        <v>1.1599999999999999E-2</v>
      </c>
      <c r="H42" s="32"/>
    </row>
    <row r="43" spans="2:8" ht="15.75" customHeight="1" x14ac:dyDescent="0.2">
      <c r="B43" s="28" t="s">
        <v>764</v>
      </c>
      <c r="C43" s="28" t="s">
        <v>765</v>
      </c>
      <c r="D43" s="28" t="s">
        <v>300</v>
      </c>
      <c r="E43" s="29">
        <v>203850</v>
      </c>
      <c r="F43" s="30">
        <v>241.13</v>
      </c>
      <c r="G43" s="31">
        <v>1.14E-2</v>
      </c>
      <c r="H43" s="32"/>
    </row>
    <row r="44" spans="2:8" ht="15.75" customHeight="1" x14ac:dyDescent="0.2">
      <c r="B44" s="28" t="s">
        <v>749</v>
      </c>
      <c r="C44" s="28" t="s">
        <v>750</v>
      </c>
      <c r="D44" s="28" t="s">
        <v>218</v>
      </c>
      <c r="E44" s="29">
        <v>4942</v>
      </c>
      <c r="F44" s="30">
        <v>231.28</v>
      </c>
      <c r="G44" s="31">
        <v>1.0999999999999999E-2</v>
      </c>
      <c r="H44" s="32"/>
    </row>
    <row r="45" spans="2:8" ht="15.75" customHeight="1" x14ac:dyDescent="0.2">
      <c r="B45" s="28" t="s">
        <v>359</v>
      </c>
      <c r="C45" s="28" t="s">
        <v>360</v>
      </c>
      <c r="D45" s="28" t="s">
        <v>361</v>
      </c>
      <c r="E45" s="29">
        <v>5560</v>
      </c>
      <c r="F45" s="30">
        <v>229.01</v>
      </c>
      <c r="G45" s="31">
        <v>1.09E-2</v>
      </c>
      <c r="H45" s="32"/>
    </row>
    <row r="46" spans="2:8" ht="15.75" customHeight="1" x14ac:dyDescent="0.2">
      <c r="B46" s="28" t="s">
        <v>743</v>
      </c>
      <c r="C46" s="28" t="s">
        <v>744</v>
      </c>
      <c r="D46" s="28" t="s">
        <v>221</v>
      </c>
      <c r="E46" s="29">
        <v>33598</v>
      </c>
      <c r="F46" s="30">
        <v>216.96</v>
      </c>
      <c r="G46" s="31">
        <v>1.03E-2</v>
      </c>
      <c r="H46" s="32"/>
    </row>
    <row r="47" spans="2:8" ht="15.75" customHeight="1" x14ac:dyDescent="0.2">
      <c r="B47" s="28" t="s">
        <v>216</v>
      </c>
      <c r="C47" s="28" t="s">
        <v>217</v>
      </c>
      <c r="D47" s="28" t="s">
        <v>218</v>
      </c>
      <c r="E47" s="29">
        <v>47606</v>
      </c>
      <c r="F47" s="30">
        <v>202.85</v>
      </c>
      <c r="G47" s="31">
        <v>9.5999999999999992E-3</v>
      </c>
      <c r="H47" s="32"/>
    </row>
    <row r="48" spans="2:8" ht="15.75" customHeight="1" x14ac:dyDescent="0.2">
      <c r="B48" s="28" t="s">
        <v>436</v>
      </c>
      <c r="C48" s="28" t="s">
        <v>437</v>
      </c>
      <c r="D48" s="28" t="s">
        <v>188</v>
      </c>
      <c r="E48" s="29">
        <v>2838</v>
      </c>
      <c r="F48" s="30">
        <v>198.86</v>
      </c>
      <c r="G48" s="31">
        <v>9.4000000000000004E-3</v>
      </c>
      <c r="H48" s="32"/>
    </row>
    <row r="49" spans="2:8" ht="15.75" customHeight="1" x14ac:dyDescent="0.2">
      <c r="B49" s="28" t="s">
        <v>199</v>
      </c>
      <c r="C49" s="28" t="s">
        <v>200</v>
      </c>
      <c r="D49" s="28" t="s">
        <v>172</v>
      </c>
      <c r="E49" s="29">
        <v>6500</v>
      </c>
      <c r="F49" s="30">
        <v>198.77</v>
      </c>
      <c r="G49" s="31">
        <v>9.4000000000000004E-3</v>
      </c>
      <c r="H49" s="32"/>
    </row>
    <row r="50" spans="2:8" ht="15.75" customHeight="1" x14ac:dyDescent="0.2">
      <c r="B50" s="28" t="s">
        <v>934</v>
      </c>
      <c r="C50" s="28" t="s">
        <v>935</v>
      </c>
      <c r="D50" s="28" t="s">
        <v>178</v>
      </c>
      <c r="E50" s="29">
        <v>415262</v>
      </c>
      <c r="F50" s="30">
        <v>196.05</v>
      </c>
      <c r="G50" s="31">
        <v>9.2999999999999992E-3</v>
      </c>
      <c r="H50" s="32"/>
    </row>
    <row r="51" spans="2:8" ht="15.75" customHeight="1" x14ac:dyDescent="0.2">
      <c r="B51" s="28" t="s">
        <v>500</v>
      </c>
      <c r="C51" s="28" t="s">
        <v>501</v>
      </c>
      <c r="D51" s="28" t="s">
        <v>502</v>
      </c>
      <c r="E51" s="29">
        <v>43015</v>
      </c>
      <c r="F51" s="30">
        <v>195.68</v>
      </c>
      <c r="G51" s="31">
        <v>9.2999999999999992E-3</v>
      </c>
      <c r="H51" s="32"/>
    </row>
    <row r="52" spans="2:8" ht="15.75" customHeight="1" x14ac:dyDescent="0.2">
      <c r="B52" s="28" t="s">
        <v>489</v>
      </c>
      <c r="C52" s="28" t="s">
        <v>490</v>
      </c>
      <c r="D52" s="28" t="s">
        <v>349</v>
      </c>
      <c r="E52" s="29">
        <v>11588</v>
      </c>
      <c r="F52" s="30">
        <v>191.47</v>
      </c>
      <c r="G52" s="31">
        <v>9.1000000000000004E-3</v>
      </c>
      <c r="H52" s="32"/>
    </row>
    <row r="53" spans="2:8" ht="15.75" customHeight="1" x14ac:dyDescent="0.2">
      <c r="B53" s="28" t="s">
        <v>576</v>
      </c>
      <c r="C53" s="28" t="s">
        <v>577</v>
      </c>
      <c r="D53" s="28" t="s">
        <v>578</v>
      </c>
      <c r="E53" s="29">
        <v>4316</v>
      </c>
      <c r="F53" s="30">
        <v>189.9</v>
      </c>
      <c r="G53" s="31">
        <v>8.9999999999999993E-3</v>
      </c>
      <c r="H53" s="32"/>
    </row>
    <row r="54" spans="2:8" ht="15.75" customHeight="1" x14ac:dyDescent="0.2">
      <c r="B54" s="28" t="s">
        <v>800</v>
      </c>
      <c r="C54" s="28" t="s">
        <v>801</v>
      </c>
      <c r="D54" s="28" t="s">
        <v>389</v>
      </c>
      <c r="E54" s="29">
        <v>60235</v>
      </c>
      <c r="F54" s="30">
        <v>186.52</v>
      </c>
      <c r="G54" s="31">
        <v>8.8000000000000005E-3</v>
      </c>
      <c r="H54" s="32"/>
    </row>
    <row r="55" spans="2:8" ht="15.75" customHeight="1" x14ac:dyDescent="0.2">
      <c r="B55" s="28" t="s">
        <v>368</v>
      </c>
      <c r="C55" s="28" t="s">
        <v>369</v>
      </c>
      <c r="D55" s="28" t="s">
        <v>175</v>
      </c>
      <c r="E55" s="29">
        <v>12772</v>
      </c>
      <c r="F55" s="30">
        <v>181.82</v>
      </c>
      <c r="G55" s="31">
        <v>8.6E-3</v>
      </c>
      <c r="H55" s="32"/>
    </row>
    <row r="56" spans="2:8" ht="15.75" customHeight="1" x14ac:dyDescent="0.2">
      <c r="B56" s="28" t="s">
        <v>296</v>
      </c>
      <c r="C56" s="28" t="s">
        <v>297</v>
      </c>
      <c r="D56" s="28" t="s">
        <v>175</v>
      </c>
      <c r="E56" s="29">
        <v>43755</v>
      </c>
      <c r="F56" s="30">
        <v>176.44</v>
      </c>
      <c r="G56" s="31">
        <v>8.3999999999999995E-3</v>
      </c>
      <c r="H56" s="32"/>
    </row>
    <row r="57" spans="2:8" ht="15.75" customHeight="1" x14ac:dyDescent="0.2">
      <c r="B57" s="28" t="s">
        <v>426</v>
      </c>
      <c r="C57" s="28" t="s">
        <v>427</v>
      </c>
      <c r="D57" s="28" t="s">
        <v>172</v>
      </c>
      <c r="E57" s="29">
        <v>14832</v>
      </c>
      <c r="F57" s="30">
        <v>173.04</v>
      </c>
      <c r="G57" s="31">
        <v>8.2000000000000007E-3</v>
      </c>
      <c r="H57" s="32"/>
    </row>
    <row r="58" spans="2:8" ht="15.75" customHeight="1" x14ac:dyDescent="0.2">
      <c r="B58" s="28" t="s">
        <v>806</v>
      </c>
      <c r="C58" s="28" t="s">
        <v>807</v>
      </c>
      <c r="D58" s="28" t="s">
        <v>300</v>
      </c>
      <c r="E58" s="29">
        <v>59494</v>
      </c>
      <c r="F58" s="30">
        <v>166.49</v>
      </c>
      <c r="G58" s="31">
        <v>7.9000000000000008E-3</v>
      </c>
      <c r="H58" s="32"/>
    </row>
    <row r="59" spans="2:8" ht="15.75" customHeight="1" x14ac:dyDescent="0.2">
      <c r="B59" s="28" t="s">
        <v>595</v>
      </c>
      <c r="C59" s="28" t="s">
        <v>596</v>
      </c>
      <c r="D59" s="28" t="s">
        <v>290</v>
      </c>
      <c r="E59" s="29">
        <v>274170</v>
      </c>
      <c r="F59" s="30">
        <v>162.58000000000001</v>
      </c>
      <c r="G59" s="31">
        <v>7.7000000000000002E-3</v>
      </c>
      <c r="H59" s="32"/>
    </row>
    <row r="60" spans="2:8" ht="15.75" customHeight="1" x14ac:dyDescent="0.2">
      <c r="B60" s="28" t="s">
        <v>889</v>
      </c>
      <c r="C60" s="28" t="s">
        <v>890</v>
      </c>
      <c r="D60" s="28" t="s">
        <v>329</v>
      </c>
      <c r="E60" s="29">
        <v>16080</v>
      </c>
      <c r="F60" s="30">
        <v>159</v>
      </c>
      <c r="G60" s="31">
        <v>7.4999999999999997E-3</v>
      </c>
      <c r="H60" s="32"/>
    </row>
    <row r="61" spans="2:8" ht="15.75" customHeight="1" x14ac:dyDescent="0.2">
      <c r="B61" s="28" t="s">
        <v>684</v>
      </c>
      <c r="C61" s="28" t="s">
        <v>685</v>
      </c>
      <c r="D61" s="28" t="s">
        <v>571</v>
      </c>
      <c r="E61" s="29">
        <v>4312</v>
      </c>
      <c r="F61" s="30">
        <v>154.26</v>
      </c>
      <c r="G61" s="31">
        <v>7.3000000000000001E-3</v>
      </c>
      <c r="H61" s="32"/>
    </row>
    <row r="62" spans="2:8" ht="15.75" customHeight="1" x14ac:dyDescent="0.2">
      <c r="B62" s="28" t="s">
        <v>936</v>
      </c>
      <c r="C62" s="28" t="s">
        <v>937</v>
      </c>
      <c r="D62" s="28" t="s">
        <v>339</v>
      </c>
      <c r="E62" s="29">
        <v>41718</v>
      </c>
      <c r="F62" s="30">
        <v>148.94999999999999</v>
      </c>
      <c r="G62" s="31">
        <v>7.1000000000000004E-3</v>
      </c>
      <c r="H62" s="32"/>
    </row>
    <row r="63" spans="2:8" ht="15.75" customHeight="1" x14ac:dyDescent="0.2">
      <c r="B63" s="28" t="s">
        <v>400</v>
      </c>
      <c r="C63" s="28" t="s">
        <v>401</v>
      </c>
      <c r="D63" s="28" t="s">
        <v>166</v>
      </c>
      <c r="E63" s="29">
        <v>374392</v>
      </c>
      <c r="F63" s="30">
        <v>137.1</v>
      </c>
      <c r="G63" s="31">
        <v>6.4999999999999997E-3</v>
      </c>
      <c r="H63" s="32"/>
    </row>
    <row r="64" spans="2:8" ht="15.75" customHeight="1" x14ac:dyDescent="0.2">
      <c r="B64" s="28" t="s">
        <v>802</v>
      </c>
      <c r="C64" s="28" t="s">
        <v>803</v>
      </c>
      <c r="D64" s="28" t="s">
        <v>290</v>
      </c>
      <c r="E64" s="29">
        <v>15736</v>
      </c>
      <c r="F64" s="30">
        <v>131.63</v>
      </c>
      <c r="G64" s="31">
        <v>6.1999999999999998E-3</v>
      </c>
      <c r="H64" s="32"/>
    </row>
    <row r="65" spans="2:14" ht="15.75" customHeight="1" x14ac:dyDescent="0.2">
      <c r="B65" s="28" t="s">
        <v>938</v>
      </c>
      <c r="C65" s="28" t="s">
        <v>939</v>
      </c>
      <c r="D65" s="28" t="s">
        <v>590</v>
      </c>
      <c r="E65" s="29">
        <v>13592</v>
      </c>
      <c r="F65" s="30">
        <v>113.95</v>
      </c>
      <c r="G65" s="31">
        <v>5.4000000000000003E-3</v>
      </c>
      <c r="H65" s="32"/>
    </row>
    <row r="66" spans="2:14" ht="15.75" customHeight="1" x14ac:dyDescent="0.2">
      <c r="B66" s="28" t="s">
        <v>567</v>
      </c>
      <c r="C66" s="28" t="s">
        <v>568</v>
      </c>
      <c r="D66" s="28" t="s">
        <v>224</v>
      </c>
      <c r="E66" s="29">
        <v>675</v>
      </c>
      <c r="F66" s="30">
        <v>111.19</v>
      </c>
      <c r="G66" s="31">
        <v>5.3E-3</v>
      </c>
      <c r="H66" s="32"/>
      <c r="J66" s="3"/>
    </row>
    <row r="67" spans="2:14" ht="15.75" customHeight="1" x14ac:dyDescent="0.2">
      <c r="B67" s="28" t="s">
        <v>250</v>
      </c>
      <c r="C67" s="28" t="s">
        <v>251</v>
      </c>
      <c r="D67" s="28" t="s">
        <v>172</v>
      </c>
      <c r="E67" s="29">
        <v>5992</v>
      </c>
      <c r="F67" s="30">
        <v>92.37</v>
      </c>
      <c r="G67" s="31">
        <v>4.4000000000000003E-3</v>
      </c>
      <c r="H67" s="32"/>
    </row>
    <row r="68" spans="2:14" ht="15.75" customHeight="1" x14ac:dyDescent="0.2">
      <c r="B68" s="28" t="s">
        <v>652</v>
      </c>
      <c r="C68" s="28" t="s">
        <v>653</v>
      </c>
      <c r="D68" s="28" t="s">
        <v>224</v>
      </c>
      <c r="E68" s="29">
        <v>4632</v>
      </c>
      <c r="F68" s="30">
        <v>89.35</v>
      </c>
      <c r="G68" s="31">
        <v>4.1999999999999997E-3</v>
      </c>
      <c r="H68" s="32"/>
      <c r="J68" s="3"/>
    </row>
    <row r="69" spans="2:14" ht="15.75" customHeight="1" x14ac:dyDescent="0.2">
      <c r="B69" s="28" t="s">
        <v>778</v>
      </c>
      <c r="C69" s="28" t="s">
        <v>779</v>
      </c>
      <c r="D69" s="28" t="s">
        <v>590</v>
      </c>
      <c r="E69" s="29">
        <v>11927</v>
      </c>
      <c r="F69" s="30">
        <v>88.21</v>
      </c>
      <c r="G69" s="31">
        <v>4.1999999999999997E-3</v>
      </c>
      <c r="H69" s="32"/>
      <c r="J69" s="3"/>
    </row>
    <row r="70" spans="2:14" ht="15.75" customHeight="1" x14ac:dyDescent="0.2">
      <c r="B70" s="28" t="s">
        <v>396</v>
      </c>
      <c r="C70" s="28" t="s">
        <v>397</v>
      </c>
      <c r="D70" s="28" t="s">
        <v>224</v>
      </c>
      <c r="E70" s="29">
        <v>3474</v>
      </c>
      <c r="F70" s="30">
        <v>85.64</v>
      </c>
      <c r="G70" s="31">
        <v>4.1000000000000003E-3</v>
      </c>
      <c r="H70" s="32"/>
      <c r="J70" s="3"/>
    </row>
    <row r="71" spans="2:14" ht="15.75" customHeight="1" x14ac:dyDescent="0.2">
      <c r="B71" s="28" t="s">
        <v>940</v>
      </c>
      <c r="C71" s="28" t="s">
        <v>941</v>
      </c>
      <c r="D71" s="28" t="s">
        <v>178</v>
      </c>
      <c r="E71" s="29">
        <v>2852</v>
      </c>
      <c r="F71" s="30">
        <v>61.06</v>
      </c>
      <c r="G71" s="31">
        <v>2.8999999999999998E-3</v>
      </c>
      <c r="H71" s="32"/>
      <c r="J71" s="3"/>
    </row>
    <row r="72" spans="2:14" ht="15.75" customHeight="1" x14ac:dyDescent="0.2">
      <c r="B72" s="28" t="s">
        <v>1126</v>
      </c>
      <c r="C72" s="28" t="s">
        <v>746</v>
      </c>
      <c r="D72" s="28" t="s">
        <v>578</v>
      </c>
      <c r="E72" s="29">
        <v>97121</v>
      </c>
      <c r="F72" s="30">
        <v>253.24</v>
      </c>
      <c r="G72" s="31">
        <v>1.2E-2</v>
      </c>
      <c r="H72" s="32"/>
    </row>
    <row r="73" spans="2:14" ht="15.75" customHeight="1" x14ac:dyDescent="0.2">
      <c r="B73" s="28" t="s">
        <v>1125</v>
      </c>
      <c r="C73" s="28" t="s">
        <v>745</v>
      </c>
      <c r="D73" s="28" t="s">
        <v>329</v>
      </c>
      <c r="E73" s="29">
        <v>11004</v>
      </c>
      <c r="F73" s="30">
        <v>298.02999999999997</v>
      </c>
      <c r="G73" s="31">
        <v>1.41E-2</v>
      </c>
      <c r="H73" s="32"/>
    </row>
    <row r="74" spans="2:14" ht="15.75" customHeight="1" x14ac:dyDescent="0.2">
      <c r="B74" s="28" t="s">
        <v>625</v>
      </c>
      <c r="C74" s="28" t="s">
        <v>626</v>
      </c>
      <c r="D74" s="28" t="s">
        <v>260</v>
      </c>
      <c r="E74" s="29">
        <v>375</v>
      </c>
      <c r="F74" s="30">
        <v>6.24</v>
      </c>
      <c r="G74" s="31">
        <v>2.9999999999999997E-4</v>
      </c>
      <c r="H74" s="32"/>
      <c r="J74" s="3"/>
    </row>
    <row r="75" spans="2:14" ht="15.75" customHeight="1" x14ac:dyDescent="0.2">
      <c r="B75" s="27" t="s">
        <v>127</v>
      </c>
      <c r="C75" s="27"/>
      <c r="D75" s="27"/>
      <c r="E75" s="33"/>
      <c r="F75" s="34">
        <f>SUM(F7:F74)</f>
        <v>18985.510000000002</v>
      </c>
      <c r="G75" s="35">
        <v>0.90010000000000001</v>
      </c>
      <c r="H75" s="36"/>
      <c r="J75" s="5"/>
      <c r="K75" s="5"/>
      <c r="L75" s="6"/>
      <c r="M75" s="6"/>
      <c r="N75" s="5"/>
    </row>
    <row r="76" spans="2:14" ht="15.75" customHeight="1" x14ac:dyDescent="0.2">
      <c r="B76" s="27" t="s">
        <v>189</v>
      </c>
      <c r="C76" s="28"/>
      <c r="D76" s="28"/>
      <c r="E76" s="29"/>
      <c r="F76" s="30"/>
      <c r="G76" s="31"/>
      <c r="H76" s="32"/>
      <c r="J76" s="3"/>
    </row>
    <row r="77" spans="2:14" ht="15.75" customHeight="1" x14ac:dyDescent="0.2">
      <c r="B77" s="27" t="s">
        <v>127</v>
      </c>
      <c r="C77" s="28"/>
      <c r="D77" s="28"/>
      <c r="E77" s="29"/>
      <c r="F77" s="37" t="s">
        <v>129</v>
      </c>
      <c r="G77" s="38" t="s">
        <v>129</v>
      </c>
      <c r="H77" s="32"/>
      <c r="J77" s="3"/>
    </row>
    <row r="78" spans="2:14" ht="15.75" customHeight="1" x14ac:dyDescent="0.2">
      <c r="B78" s="28"/>
      <c r="C78" s="28"/>
      <c r="D78" s="28"/>
      <c r="E78" s="29"/>
      <c r="F78" s="30"/>
      <c r="G78" s="31"/>
      <c r="H78" s="32"/>
      <c r="J78" s="7"/>
      <c r="K78" s="7"/>
      <c r="L78" s="7"/>
      <c r="M78" s="7"/>
      <c r="N78" s="7"/>
    </row>
    <row r="79" spans="2:14" ht="15.75" customHeight="1" x14ac:dyDescent="0.2">
      <c r="B79" s="39" t="s">
        <v>131</v>
      </c>
      <c r="C79" s="39"/>
      <c r="D79" s="39"/>
      <c r="E79" s="40"/>
      <c r="F79" s="34">
        <f>F75</f>
        <v>18985.510000000002</v>
      </c>
      <c r="G79" s="35">
        <f>G75</f>
        <v>0.90010000000000001</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134</v>
      </c>
      <c r="C82" s="28"/>
      <c r="D82" s="28"/>
      <c r="E82" s="29"/>
      <c r="F82" s="30"/>
      <c r="G82" s="31"/>
      <c r="H82" s="32"/>
      <c r="J82" s="7"/>
      <c r="K82" s="7"/>
      <c r="L82" s="7"/>
      <c r="M82" s="7"/>
      <c r="N82" s="7"/>
    </row>
    <row r="83" spans="2:14" ht="15.75" customHeight="1" x14ac:dyDescent="0.2">
      <c r="B83" s="28" t="s">
        <v>135</v>
      </c>
      <c r="C83" s="28"/>
      <c r="D83" s="28"/>
      <c r="E83" s="29"/>
      <c r="F83" s="30">
        <v>2130.52</v>
      </c>
      <c r="G83" s="31">
        <v>0.10100000000000001</v>
      </c>
      <c r="H83" s="32"/>
      <c r="J83" s="7"/>
      <c r="K83" s="7"/>
      <c r="L83" s="7"/>
      <c r="M83" s="7"/>
      <c r="N83" s="7"/>
    </row>
    <row r="84" spans="2:14" ht="15.75" customHeight="1" x14ac:dyDescent="0.2">
      <c r="B84" s="27" t="s">
        <v>127</v>
      </c>
      <c r="C84" s="27"/>
      <c r="D84" s="27"/>
      <c r="E84" s="33"/>
      <c r="F84" s="34">
        <v>2130.52</v>
      </c>
      <c r="G84" s="35">
        <v>0.10100000000000001</v>
      </c>
      <c r="H84" s="36"/>
      <c r="J84" s="7"/>
      <c r="K84" s="7"/>
      <c r="L84" s="7"/>
      <c r="M84" s="7"/>
      <c r="N84" s="7"/>
    </row>
    <row r="85" spans="2:14" ht="15.75" customHeight="1" x14ac:dyDescent="0.2">
      <c r="B85" s="28"/>
      <c r="C85" s="28"/>
      <c r="D85" s="28"/>
      <c r="E85" s="29"/>
      <c r="F85" s="30"/>
      <c r="G85" s="31"/>
      <c r="H85" s="32"/>
    </row>
    <row r="86" spans="2:14" ht="15.75" customHeight="1" x14ac:dyDescent="0.2">
      <c r="B86" s="39" t="s">
        <v>131</v>
      </c>
      <c r="C86" s="39"/>
      <c r="D86" s="39"/>
      <c r="E86" s="40"/>
      <c r="F86" s="34">
        <v>2130.52</v>
      </c>
      <c r="G86" s="35">
        <v>0.10100000000000001</v>
      </c>
      <c r="H86" s="36"/>
      <c r="J86" s="3"/>
    </row>
    <row r="87" spans="2:14" ht="15.75" customHeight="1" x14ac:dyDescent="0.2">
      <c r="B87" s="28" t="s">
        <v>136</v>
      </c>
      <c r="C87" s="28"/>
      <c r="D87" s="28"/>
      <c r="E87" s="29"/>
      <c r="F87" s="41">
        <v>-24.3</v>
      </c>
      <c r="G87" s="42">
        <v>-1.1000000000001009E-3</v>
      </c>
      <c r="H87" s="32"/>
    </row>
    <row r="88" spans="2:14" ht="15.75" customHeight="1" x14ac:dyDescent="0.2">
      <c r="B88" s="43" t="s">
        <v>137</v>
      </c>
      <c r="C88" s="43"/>
      <c r="D88" s="43"/>
      <c r="E88" s="44"/>
      <c r="F88" s="45">
        <v>21091.73</v>
      </c>
      <c r="G88" s="46">
        <v>1</v>
      </c>
      <c r="H88" s="47"/>
    </row>
    <row r="89" spans="2:14" ht="15.75" customHeight="1" x14ac:dyDescent="0.2">
      <c r="B89" s="2"/>
    </row>
    <row r="92" spans="2:14" ht="15.75" customHeight="1" thickBot="1" x14ac:dyDescent="0.25"/>
    <row r="93" spans="2:14" ht="39.75" customHeight="1" thickBot="1" x14ac:dyDescent="0.25">
      <c r="B93" s="48" t="s">
        <v>139</v>
      </c>
      <c r="C93" s="49" t="s">
        <v>140</v>
      </c>
      <c r="D93" s="49" t="s">
        <v>141</v>
      </c>
      <c r="E93" s="49" t="s">
        <v>142</v>
      </c>
    </row>
    <row r="94" spans="2:14" ht="39.75" customHeight="1" x14ac:dyDescent="0.2">
      <c r="B94" s="61" t="s">
        <v>79</v>
      </c>
      <c r="C94" s="77"/>
      <c r="D94" s="80" t="s">
        <v>847</v>
      </c>
      <c r="E94" s="81"/>
    </row>
    <row r="95" spans="2:14" ht="39.75" customHeight="1" x14ac:dyDescent="0.2">
      <c r="B95" s="52" t="s">
        <v>942</v>
      </c>
      <c r="C95" s="78"/>
      <c r="D95" s="80"/>
      <c r="E95" s="82"/>
    </row>
    <row r="96" spans="2:14" ht="39.75" customHeight="1" x14ac:dyDescent="0.2">
      <c r="B96" s="52" t="s">
        <v>943</v>
      </c>
      <c r="C96" s="78"/>
      <c r="D96" s="80"/>
      <c r="E96" s="82"/>
    </row>
    <row r="97" spans="2:5" ht="39.75" customHeight="1" thickBot="1" x14ac:dyDescent="0.25">
      <c r="B97" s="62" t="s">
        <v>521</v>
      </c>
      <c r="C97" s="79"/>
      <c r="D97" s="50" t="s">
        <v>562</v>
      </c>
      <c r="E97" s="83"/>
    </row>
    <row r="98" spans="2:5" ht="15.75" customHeight="1" x14ac:dyDescent="0.2">
      <c r="B98" s="9" t="s">
        <v>144</v>
      </c>
    </row>
    <row r="100" spans="2:5" ht="15.75" customHeight="1" x14ac:dyDescent="0.2">
      <c r="B100" s="9" t="s">
        <v>145</v>
      </c>
    </row>
    <row r="101" spans="2:5" ht="15.75" customHeight="1" x14ac:dyDescent="0.2">
      <c r="B101" s="15" t="s">
        <v>146</v>
      </c>
    </row>
  </sheetData>
  <mergeCells count="3">
    <mergeCell ref="C94:C97"/>
    <mergeCell ref="D94:D96"/>
    <mergeCell ref="E94:E97"/>
  </mergeCells>
  <hyperlinks>
    <hyperlink ref="G1" location="'Sheet1'!A1" display="Index" xr:uid="{1AA87C24-8D59-4CA6-8463-E34439A47C7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97117-0D57-4427-B63F-B257A0A6467F}">
  <dimension ref="B1:N131"/>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206</v>
      </c>
      <c r="C7" s="28" t="s">
        <v>207</v>
      </c>
      <c r="D7" s="28" t="s">
        <v>208</v>
      </c>
      <c r="E7" s="29">
        <v>98599</v>
      </c>
      <c r="F7" s="30">
        <v>2025.72</v>
      </c>
      <c r="G7" s="31">
        <v>2.52E-2</v>
      </c>
      <c r="H7" s="32"/>
    </row>
    <row r="8" spans="2:8" ht="15.75" customHeight="1" x14ac:dyDescent="0.2">
      <c r="B8" s="28" t="s">
        <v>179</v>
      </c>
      <c r="C8" s="28" t="s">
        <v>180</v>
      </c>
      <c r="D8" s="28" t="s">
        <v>166</v>
      </c>
      <c r="E8" s="29">
        <v>119904</v>
      </c>
      <c r="F8" s="30">
        <v>1478.18</v>
      </c>
      <c r="G8" s="31">
        <v>1.84E-2</v>
      </c>
      <c r="H8" s="32"/>
    </row>
    <row r="9" spans="2:8" ht="15.75" customHeight="1" x14ac:dyDescent="0.2">
      <c r="B9" s="28" t="s">
        <v>214</v>
      </c>
      <c r="C9" s="28" t="s">
        <v>215</v>
      </c>
      <c r="D9" s="28" t="s">
        <v>183</v>
      </c>
      <c r="E9" s="29">
        <v>338146</v>
      </c>
      <c r="F9" s="30">
        <v>1421.4</v>
      </c>
      <c r="G9" s="31">
        <v>1.77E-2</v>
      </c>
      <c r="H9" s="32"/>
    </row>
    <row r="10" spans="2:8" ht="15.75" customHeight="1" x14ac:dyDescent="0.2">
      <c r="B10" s="28" t="s">
        <v>164</v>
      </c>
      <c r="C10" s="28" t="s">
        <v>165</v>
      </c>
      <c r="D10" s="28" t="s">
        <v>166</v>
      </c>
      <c r="E10" s="29">
        <v>131805</v>
      </c>
      <c r="F10" s="30">
        <v>1301.31</v>
      </c>
      <c r="G10" s="31">
        <v>1.6199999999999999E-2</v>
      </c>
      <c r="H10" s="32"/>
    </row>
    <row r="11" spans="2:8" ht="15.75" customHeight="1" x14ac:dyDescent="0.2">
      <c r="B11" s="28" t="s">
        <v>305</v>
      </c>
      <c r="C11" s="28" t="s">
        <v>306</v>
      </c>
      <c r="D11" s="28" t="s">
        <v>166</v>
      </c>
      <c r="E11" s="29">
        <v>61390</v>
      </c>
      <c r="F11" s="30">
        <v>1290.54</v>
      </c>
      <c r="G11" s="31">
        <v>1.61E-2</v>
      </c>
      <c r="H11" s="32"/>
    </row>
    <row r="12" spans="2:8" ht="15.75" customHeight="1" x14ac:dyDescent="0.2">
      <c r="B12" s="28" t="s">
        <v>267</v>
      </c>
      <c r="C12" s="28" t="s">
        <v>268</v>
      </c>
      <c r="D12" s="28" t="s">
        <v>269</v>
      </c>
      <c r="E12" s="29">
        <v>43093</v>
      </c>
      <c r="F12" s="30">
        <v>1246.1199999999999</v>
      </c>
      <c r="G12" s="31">
        <v>1.55E-2</v>
      </c>
      <c r="H12" s="32"/>
    </row>
    <row r="13" spans="2:8" ht="15.75" customHeight="1" x14ac:dyDescent="0.2">
      <c r="B13" s="28" t="s">
        <v>613</v>
      </c>
      <c r="C13" s="28" t="s">
        <v>614</v>
      </c>
      <c r="D13" s="28" t="s">
        <v>249</v>
      </c>
      <c r="E13" s="29">
        <v>183202</v>
      </c>
      <c r="F13" s="30">
        <v>1212.8900000000001</v>
      </c>
      <c r="G13" s="31">
        <v>1.5100000000000001E-2</v>
      </c>
      <c r="H13" s="32"/>
    </row>
    <row r="14" spans="2:8" ht="15.75" customHeight="1" x14ac:dyDescent="0.2">
      <c r="B14" s="28" t="s">
        <v>204</v>
      </c>
      <c r="C14" s="28" t="s">
        <v>205</v>
      </c>
      <c r="D14" s="28" t="s">
        <v>166</v>
      </c>
      <c r="E14" s="29">
        <v>127924</v>
      </c>
      <c r="F14" s="30">
        <v>1198.6500000000001</v>
      </c>
      <c r="G14" s="31">
        <v>1.49E-2</v>
      </c>
      <c r="H14" s="32"/>
    </row>
    <row r="15" spans="2:8" ht="15.75" customHeight="1" x14ac:dyDescent="0.2">
      <c r="B15" s="28" t="s">
        <v>728</v>
      </c>
      <c r="C15" s="28" t="s">
        <v>729</v>
      </c>
      <c r="D15" s="28" t="s">
        <v>730</v>
      </c>
      <c r="E15" s="29">
        <v>321070</v>
      </c>
      <c r="F15" s="30">
        <v>1174.8</v>
      </c>
      <c r="G15" s="31">
        <v>1.46E-2</v>
      </c>
      <c r="H15" s="32"/>
    </row>
    <row r="16" spans="2:8" ht="15.75" customHeight="1" x14ac:dyDescent="0.2">
      <c r="B16" s="28" t="s">
        <v>324</v>
      </c>
      <c r="C16" s="28" t="s">
        <v>325</v>
      </c>
      <c r="D16" s="28" t="s">
        <v>326</v>
      </c>
      <c r="E16" s="29">
        <v>27695</v>
      </c>
      <c r="F16" s="30">
        <v>1116.3599999999999</v>
      </c>
      <c r="G16" s="31">
        <v>1.3899999999999999E-2</v>
      </c>
      <c r="H16" s="32"/>
    </row>
    <row r="17" spans="2:8" ht="15.75" customHeight="1" x14ac:dyDescent="0.2">
      <c r="B17" s="28" t="s">
        <v>357</v>
      </c>
      <c r="C17" s="28" t="s">
        <v>358</v>
      </c>
      <c r="D17" s="28" t="s">
        <v>175</v>
      </c>
      <c r="E17" s="29">
        <v>126976</v>
      </c>
      <c r="F17" s="30">
        <v>1115.67</v>
      </c>
      <c r="G17" s="31">
        <v>1.3899999999999999E-2</v>
      </c>
      <c r="H17" s="32"/>
    </row>
    <row r="18" spans="2:8" ht="15.75" customHeight="1" x14ac:dyDescent="0.2">
      <c r="B18" s="28" t="s">
        <v>216</v>
      </c>
      <c r="C18" s="28" t="s">
        <v>217</v>
      </c>
      <c r="D18" s="28" t="s">
        <v>218</v>
      </c>
      <c r="E18" s="29">
        <v>261742</v>
      </c>
      <c r="F18" s="30">
        <v>1115.28</v>
      </c>
      <c r="G18" s="31">
        <v>1.3899999999999999E-2</v>
      </c>
      <c r="H18" s="32"/>
    </row>
    <row r="19" spans="2:8" ht="15.75" customHeight="1" x14ac:dyDescent="0.2">
      <c r="B19" s="28" t="s">
        <v>270</v>
      </c>
      <c r="C19" s="28" t="s">
        <v>271</v>
      </c>
      <c r="D19" s="28" t="s">
        <v>269</v>
      </c>
      <c r="E19" s="29">
        <v>9121</v>
      </c>
      <c r="F19" s="30">
        <v>1089.69</v>
      </c>
      <c r="G19" s="31">
        <v>1.3599999999999999E-2</v>
      </c>
      <c r="H19" s="32"/>
    </row>
    <row r="20" spans="2:8" ht="15.75" customHeight="1" x14ac:dyDescent="0.2">
      <c r="B20" s="28" t="s">
        <v>167</v>
      </c>
      <c r="C20" s="28" t="s">
        <v>168</v>
      </c>
      <c r="D20" s="28" t="s">
        <v>169</v>
      </c>
      <c r="E20" s="29">
        <v>71874</v>
      </c>
      <c r="F20" s="30">
        <v>1068.3399999999999</v>
      </c>
      <c r="G20" s="31">
        <v>1.3299999999999999E-2</v>
      </c>
      <c r="H20" s="32"/>
    </row>
    <row r="21" spans="2:8" ht="15.75" customHeight="1" x14ac:dyDescent="0.2">
      <c r="B21" s="28" t="s">
        <v>459</v>
      </c>
      <c r="C21" s="28" t="s">
        <v>460</v>
      </c>
      <c r="D21" s="28" t="s">
        <v>430</v>
      </c>
      <c r="E21" s="29">
        <v>13623</v>
      </c>
      <c r="F21" s="30">
        <v>1046.3800000000001</v>
      </c>
      <c r="G21" s="31">
        <v>1.2999999999999999E-2</v>
      </c>
      <c r="H21" s="32"/>
    </row>
    <row r="22" spans="2:8" ht="15.75" customHeight="1" x14ac:dyDescent="0.2">
      <c r="B22" s="28" t="s">
        <v>332</v>
      </c>
      <c r="C22" s="28" t="s">
        <v>333</v>
      </c>
      <c r="D22" s="28" t="s">
        <v>224</v>
      </c>
      <c r="E22" s="29">
        <v>59676</v>
      </c>
      <c r="F22" s="30">
        <v>1008.94</v>
      </c>
      <c r="G22" s="31">
        <v>1.26E-2</v>
      </c>
      <c r="H22" s="32"/>
    </row>
    <row r="23" spans="2:8" ht="15.75" customHeight="1" x14ac:dyDescent="0.2">
      <c r="B23" s="28" t="s">
        <v>170</v>
      </c>
      <c r="C23" s="28" t="s">
        <v>171</v>
      </c>
      <c r="D23" s="28" t="s">
        <v>172</v>
      </c>
      <c r="E23" s="29">
        <v>67177</v>
      </c>
      <c r="F23" s="30">
        <v>995.76</v>
      </c>
      <c r="G23" s="31">
        <v>1.24E-2</v>
      </c>
      <c r="H23" s="32"/>
    </row>
    <row r="24" spans="2:8" ht="15.75" customHeight="1" x14ac:dyDescent="0.2">
      <c r="B24" s="28" t="s">
        <v>574</v>
      </c>
      <c r="C24" s="28" t="s">
        <v>575</v>
      </c>
      <c r="D24" s="28" t="s">
        <v>249</v>
      </c>
      <c r="E24" s="29">
        <v>31633</v>
      </c>
      <c r="F24" s="30">
        <v>990.59</v>
      </c>
      <c r="G24" s="31">
        <v>1.23E-2</v>
      </c>
      <c r="H24" s="32"/>
    </row>
    <row r="25" spans="2:8" ht="15.75" customHeight="1" x14ac:dyDescent="0.2">
      <c r="B25" s="28" t="s">
        <v>684</v>
      </c>
      <c r="C25" s="28" t="s">
        <v>685</v>
      </c>
      <c r="D25" s="28" t="s">
        <v>571</v>
      </c>
      <c r="E25" s="29">
        <v>27497</v>
      </c>
      <c r="F25" s="30">
        <v>983.68</v>
      </c>
      <c r="G25" s="31">
        <v>1.23E-2</v>
      </c>
      <c r="H25" s="32"/>
    </row>
    <row r="26" spans="2:8" ht="15.75" customHeight="1" x14ac:dyDescent="0.2">
      <c r="B26" s="28" t="s">
        <v>473</v>
      </c>
      <c r="C26" s="28" t="s">
        <v>474</v>
      </c>
      <c r="D26" s="28" t="s">
        <v>224</v>
      </c>
      <c r="E26" s="29">
        <v>490446</v>
      </c>
      <c r="F26" s="30">
        <v>979.08</v>
      </c>
      <c r="G26" s="31">
        <v>1.2200000000000001E-2</v>
      </c>
      <c r="H26" s="32"/>
    </row>
    <row r="27" spans="2:8" ht="15.75" customHeight="1" x14ac:dyDescent="0.2">
      <c r="B27" s="28" t="s">
        <v>247</v>
      </c>
      <c r="C27" s="28" t="s">
        <v>248</v>
      </c>
      <c r="D27" s="28" t="s">
        <v>249</v>
      </c>
      <c r="E27" s="29">
        <v>207497</v>
      </c>
      <c r="F27" s="30">
        <v>974.51</v>
      </c>
      <c r="G27" s="31">
        <v>1.21E-2</v>
      </c>
      <c r="H27" s="32"/>
    </row>
    <row r="28" spans="2:8" ht="15.75" customHeight="1" x14ac:dyDescent="0.2">
      <c r="B28" s="28" t="s">
        <v>650</v>
      </c>
      <c r="C28" s="28" t="s">
        <v>651</v>
      </c>
      <c r="D28" s="28" t="s">
        <v>349</v>
      </c>
      <c r="E28" s="29">
        <v>17003</v>
      </c>
      <c r="F28" s="30">
        <v>967.03</v>
      </c>
      <c r="G28" s="31">
        <v>1.21E-2</v>
      </c>
      <c r="H28" s="32"/>
    </row>
    <row r="29" spans="2:8" ht="15.75" customHeight="1" x14ac:dyDescent="0.2">
      <c r="B29" s="28" t="s">
        <v>588</v>
      </c>
      <c r="C29" s="28" t="s">
        <v>589</v>
      </c>
      <c r="D29" s="28" t="s">
        <v>590</v>
      </c>
      <c r="E29" s="29">
        <v>89530</v>
      </c>
      <c r="F29" s="30">
        <v>957.43</v>
      </c>
      <c r="G29" s="31">
        <v>1.1900000000000001E-2</v>
      </c>
      <c r="H29" s="32"/>
    </row>
    <row r="30" spans="2:8" ht="15.75" customHeight="1" x14ac:dyDescent="0.2">
      <c r="B30" s="28" t="s">
        <v>296</v>
      </c>
      <c r="C30" s="28" t="s">
        <v>297</v>
      </c>
      <c r="D30" s="28" t="s">
        <v>175</v>
      </c>
      <c r="E30" s="29">
        <v>237158</v>
      </c>
      <c r="F30" s="30">
        <v>956.34</v>
      </c>
      <c r="G30" s="31">
        <v>1.1900000000000001E-2</v>
      </c>
      <c r="H30" s="32"/>
    </row>
    <row r="31" spans="2:8" ht="15.75" customHeight="1" x14ac:dyDescent="0.2">
      <c r="B31" s="28" t="s">
        <v>866</v>
      </c>
      <c r="C31" s="28" t="s">
        <v>867</v>
      </c>
      <c r="D31" s="28" t="s">
        <v>260</v>
      </c>
      <c r="E31" s="29">
        <v>49178</v>
      </c>
      <c r="F31" s="30">
        <v>952.77</v>
      </c>
      <c r="G31" s="31">
        <v>1.1900000000000001E-2</v>
      </c>
      <c r="H31" s="32"/>
    </row>
    <row r="32" spans="2:8" ht="15.75" customHeight="1" x14ac:dyDescent="0.2">
      <c r="B32" s="28" t="s">
        <v>199</v>
      </c>
      <c r="C32" s="28" t="s">
        <v>200</v>
      </c>
      <c r="D32" s="28" t="s">
        <v>172</v>
      </c>
      <c r="E32" s="29">
        <v>30869</v>
      </c>
      <c r="F32" s="30">
        <v>943.97</v>
      </c>
      <c r="G32" s="31">
        <v>1.18E-2</v>
      </c>
      <c r="H32" s="32"/>
    </row>
    <row r="33" spans="2:8" ht="15.75" customHeight="1" x14ac:dyDescent="0.2">
      <c r="B33" s="28" t="s">
        <v>176</v>
      </c>
      <c r="C33" s="28" t="s">
        <v>177</v>
      </c>
      <c r="D33" s="28" t="s">
        <v>178</v>
      </c>
      <c r="E33" s="29">
        <v>69905</v>
      </c>
      <c r="F33" s="30">
        <v>926.03</v>
      </c>
      <c r="G33" s="31">
        <v>1.15E-2</v>
      </c>
      <c r="H33" s="32"/>
    </row>
    <row r="34" spans="2:8" ht="15.75" customHeight="1" x14ac:dyDescent="0.2">
      <c r="B34" s="28" t="s">
        <v>234</v>
      </c>
      <c r="C34" s="28" t="s">
        <v>235</v>
      </c>
      <c r="D34" s="28" t="s">
        <v>166</v>
      </c>
      <c r="E34" s="29">
        <v>323989</v>
      </c>
      <c r="F34" s="30">
        <v>901.99</v>
      </c>
      <c r="G34" s="31">
        <v>1.12E-2</v>
      </c>
      <c r="H34" s="32"/>
    </row>
    <row r="35" spans="2:8" ht="15.75" customHeight="1" x14ac:dyDescent="0.2">
      <c r="B35" s="28" t="s">
        <v>599</v>
      </c>
      <c r="C35" s="28" t="s">
        <v>600</v>
      </c>
      <c r="D35" s="28" t="s">
        <v>260</v>
      </c>
      <c r="E35" s="29">
        <v>78400</v>
      </c>
      <c r="F35" s="30">
        <v>884.98</v>
      </c>
      <c r="G35" s="31">
        <v>1.0999999999999999E-2</v>
      </c>
      <c r="H35" s="32"/>
    </row>
    <row r="36" spans="2:8" ht="15.75" customHeight="1" x14ac:dyDescent="0.2">
      <c r="B36" s="28" t="s">
        <v>440</v>
      </c>
      <c r="C36" s="28" t="s">
        <v>441</v>
      </c>
      <c r="D36" s="28" t="s">
        <v>442</v>
      </c>
      <c r="E36" s="29">
        <v>28688</v>
      </c>
      <c r="F36" s="30">
        <v>882.93</v>
      </c>
      <c r="G36" s="31">
        <v>1.0999999999999999E-2</v>
      </c>
      <c r="H36" s="32"/>
    </row>
    <row r="37" spans="2:8" ht="15.75" customHeight="1" x14ac:dyDescent="0.2">
      <c r="B37" s="28" t="s">
        <v>565</v>
      </c>
      <c r="C37" s="28" t="s">
        <v>566</v>
      </c>
      <c r="D37" s="28" t="s">
        <v>290</v>
      </c>
      <c r="E37" s="29">
        <v>120843</v>
      </c>
      <c r="F37" s="30">
        <v>879.5</v>
      </c>
      <c r="G37" s="31">
        <v>1.0999999999999999E-2</v>
      </c>
      <c r="H37" s="32"/>
    </row>
    <row r="38" spans="2:8" ht="15.75" customHeight="1" x14ac:dyDescent="0.2">
      <c r="B38" s="28" t="s">
        <v>408</v>
      </c>
      <c r="C38" s="28" t="s">
        <v>409</v>
      </c>
      <c r="D38" s="28" t="s">
        <v>175</v>
      </c>
      <c r="E38" s="29">
        <v>227768</v>
      </c>
      <c r="F38" s="30">
        <v>853.79</v>
      </c>
      <c r="G38" s="31">
        <v>1.06E-2</v>
      </c>
      <c r="H38" s="32"/>
    </row>
    <row r="39" spans="2:8" ht="15.75" customHeight="1" x14ac:dyDescent="0.2">
      <c r="B39" s="28" t="s">
        <v>471</v>
      </c>
      <c r="C39" s="28" t="s">
        <v>472</v>
      </c>
      <c r="D39" s="28" t="s">
        <v>326</v>
      </c>
      <c r="E39" s="29">
        <v>190008</v>
      </c>
      <c r="F39" s="30">
        <v>851.33</v>
      </c>
      <c r="G39" s="31">
        <v>1.06E-2</v>
      </c>
      <c r="H39" s="32"/>
    </row>
    <row r="40" spans="2:8" ht="15.75" customHeight="1" x14ac:dyDescent="0.2">
      <c r="B40" s="28" t="s">
        <v>737</v>
      </c>
      <c r="C40" s="28" t="s">
        <v>738</v>
      </c>
      <c r="D40" s="28" t="s">
        <v>349</v>
      </c>
      <c r="E40" s="29">
        <v>57904</v>
      </c>
      <c r="F40" s="30">
        <v>836.48</v>
      </c>
      <c r="G40" s="31">
        <v>1.04E-2</v>
      </c>
      <c r="H40" s="32"/>
    </row>
    <row r="41" spans="2:8" ht="15.75" customHeight="1" x14ac:dyDescent="0.2">
      <c r="B41" s="28" t="s">
        <v>674</v>
      </c>
      <c r="C41" s="28" t="s">
        <v>675</v>
      </c>
      <c r="D41" s="28" t="s">
        <v>175</v>
      </c>
      <c r="E41" s="29">
        <v>255737</v>
      </c>
      <c r="F41" s="30">
        <v>806.98</v>
      </c>
      <c r="G41" s="31">
        <v>1.01E-2</v>
      </c>
      <c r="H41" s="32"/>
    </row>
    <row r="42" spans="2:8" ht="15.75" customHeight="1" x14ac:dyDescent="0.2">
      <c r="B42" s="28" t="s">
        <v>595</v>
      </c>
      <c r="C42" s="28" t="s">
        <v>596</v>
      </c>
      <c r="D42" s="28" t="s">
        <v>290</v>
      </c>
      <c r="E42" s="29">
        <v>1344041</v>
      </c>
      <c r="F42" s="30">
        <v>797.02</v>
      </c>
      <c r="G42" s="31">
        <v>9.9000000000000008E-3</v>
      </c>
      <c r="H42" s="32"/>
    </row>
    <row r="43" spans="2:8" ht="15.75" customHeight="1" x14ac:dyDescent="0.2">
      <c r="B43" s="28" t="s">
        <v>720</v>
      </c>
      <c r="C43" s="28" t="s">
        <v>721</v>
      </c>
      <c r="D43" s="28" t="s">
        <v>188</v>
      </c>
      <c r="E43" s="29">
        <v>14363</v>
      </c>
      <c r="F43" s="30">
        <v>796.28</v>
      </c>
      <c r="G43" s="31">
        <v>9.9000000000000008E-3</v>
      </c>
      <c r="H43" s="32"/>
    </row>
    <row r="44" spans="2:8" ht="15.75" customHeight="1" x14ac:dyDescent="0.2">
      <c r="B44" s="28" t="s">
        <v>303</v>
      </c>
      <c r="C44" s="28" t="s">
        <v>304</v>
      </c>
      <c r="D44" s="28" t="s">
        <v>178</v>
      </c>
      <c r="E44" s="29">
        <v>2131</v>
      </c>
      <c r="F44" s="30">
        <v>793.69</v>
      </c>
      <c r="G44" s="31">
        <v>9.9000000000000008E-3</v>
      </c>
      <c r="H44" s="32"/>
    </row>
    <row r="45" spans="2:8" ht="15.75" customHeight="1" x14ac:dyDescent="0.2">
      <c r="B45" s="28" t="s">
        <v>762</v>
      </c>
      <c r="C45" s="28" t="s">
        <v>763</v>
      </c>
      <c r="D45" s="28" t="s">
        <v>224</v>
      </c>
      <c r="E45" s="29">
        <v>212453</v>
      </c>
      <c r="F45" s="30">
        <v>790.54</v>
      </c>
      <c r="G45" s="31">
        <v>9.9000000000000008E-3</v>
      </c>
      <c r="H45" s="32"/>
    </row>
    <row r="46" spans="2:8" ht="15.75" customHeight="1" x14ac:dyDescent="0.2">
      <c r="B46" s="28" t="s">
        <v>733</v>
      </c>
      <c r="C46" s="28" t="s">
        <v>734</v>
      </c>
      <c r="D46" s="28" t="s">
        <v>329</v>
      </c>
      <c r="E46" s="29">
        <v>96843</v>
      </c>
      <c r="F46" s="30">
        <v>765.69</v>
      </c>
      <c r="G46" s="31">
        <v>9.4999999999999998E-3</v>
      </c>
      <c r="H46" s="32"/>
    </row>
    <row r="47" spans="2:8" ht="15.75" customHeight="1" x14ac:dyDescent="0.2">
      <c r="B47" s="28" t="s">
        <v>563</v>
      </c>
      <c r="C47" s="28" t="s">
        <v>564</v>
      </c>
      <c r="D47" s="28" t="s">
        <v>188</v>
      </c>
      <c r="E47" s="29">
        <v>4688</v>
      </c>
      <c r="F47" s="30">
        <v>758.8</v>
      </c>
      <c r="G47" s="31">
        <v>9.4999999999999998E-3</v>
      </c>
      <c r="H47" s="32"/>
    </row>
    <row r="48" spans="2:8" ht="15.75" customHeight="1" x14ac:dyDescent="0.2">
      <c r="B48" s="28" t="s">
        <v>281</v>
      </c>
      <c r="C48" s="28" t="s">
        <v>282</v>
      </c>
      <c r="D48" s="28" t="s">
        <v>249</v>
      </c>
      <c r="E48" s="29">
        <v>52844</v>
      </c>
      <c r="F48" s="30">
        <v>756.41</v>
      </c>
      <c r="G48" s="31">
        <v>9.4000000000000004E-3</v>
      </c>
      <c r="H48" s="32"/>
    </row>
    <row r="49" spans="2:8" ht="15.75" customHeight="1" x14ac:dyDescent="0.2">
      <c r="B49" s="28" t="s">
        <v>735</v>
      </c>
      <c r="C49" s="28" t="s">
        <v>736</v>
      </c>
      <c r="D49" s="28" t="s">
        <v>221</v>
      </c>
      <c r="E49" s="29">
        <v>90963</v>
      </c>
      <c r="F49" s="30">
        <v>754.49</v>
      </c>
      <c r="G49" s="31">
        <v>9.4000000000000004E-3</v>
      </c>
      <c r="H49" s="32"/>
    </row>
    <row r="50" spans="2:8" ht="15.75" customHeight="1" x14ac:dyDescent="0.2">
      <c r="B50" s="28" t="s">
        <v>699</v>
      </c>
      <c r="C50" s="28" t="s">
        <v>700</v>
      </c>
      <c r="D50" s="28" t="s">
        <v>495</v>
      </c>
      <c r="E50" s="29">
        <v>126185</v>
      </c>
      <c r="F50" s="30">
        <v>754.4</v>
      </c>
      <c r="G50" s="31">
        <v>9.4000000000000004E-3</v>
      </c>
      <c r="H50" s="32"/>
    </row>
    <row r="51" spans="2:8" ht="15.75" customHeight="1" x14ac:dyDescent="0.2">
      <c r="B51" s="28" t="s">
        <v>576</v>
      </c>
      <c r="C51" s="28" t="s">
        <v>577</v>
      </c>
      <c r="D51" s="28" t="s">
        <v>578</v>
      </c>
      <c r="E51" s="29">
        <v>17093</v>
      </c>
      <c r="F51" s="30">
        <v>752.06</v>
      </c>
      <c r="G51" s="31">
        <v>9.4000000000000004E-3</v>
      </c>
      <c r="H51" s="32"/>
    </row>
    <row r="52" spans="2:8" ht="15.75" customHeight="1" x14ac:dyDescent="0.2">
      <c r="B52" s="28" t="s">
        <v>648</v>
      </c>
      <c r="C52" s="28" t="s">
        <v>649</v>
      </c>
      <c r="D52" s="28" t="s">
        <v>224</v>
      </c>
      <c r="E52" s="29">
        <v>47639</v>
      </c>
      <c r="F52" s="30">
        <v>715.2</v>
      </c>
      <c r="G52" s="31">
        <v>8.8999999999999999E-3</v>
      </c>
      <c r="H52" s="32"/>
    </row>
    <row r="53" spans="2:8" ht="15.75" customHeight="1" x14ac:dyDescent="0.2">
      <c r="B53" s="28" t="s">
        <v>707</v>
      </c>
      <c r="C53" s="28" t="s">
        <v>708</v>
      </c>
      <c r="D53" s="28" t="s">
        <v>349</v>
      </c>
      <c r="E53" s="29">
        <v>40534</v>
      </c>
      <c r="F53" s="30">
        <v>700.59</v>
      </c>
      <c r="G53" s="31">
        <v>8.6999999999999994E-3</v>
      </c>
      <c r="H53" s="32"/>
    </row>
    <row r="54" spans="2:8" ht="15.75" customHeight="1" x14ac:dyDescent="0.2">
      <c r="B54" s="28" t="s">
        <v>340</v>
      </c>
      <c r="C54" s="28" t="s">
        <v>341</v>
      </c>
      <c r="D54" s="28" t="s">
        <v>263</v>
      </c>
      <c r="E54" s="29">
        <v>49181</v>
      </c>
      <c r="F54" s="30">
        <v>684.16</v>
      </c>
      <c r="G54" s="31">
        <v>8.5000000000000006E-3</v>
      </c>
      <c r="H54" s="32"/>
    </row>
    <row r="55" spans="2:8" ht="15.75" customHeight="1" x14ac:dyDescent="0.2">
      <c r="B55" s="28" t="s">
        <v>944</v>
      </c>
      <c r="C55" s="28" t="s">
        <v>945</v>
      </c>
      <c r="D55" s="28" t="s">
        <v>290</v>
      </c>
      <c r="E55" s="29">
        <v>20220</v>
      </c>
      <c r="F55" s="30">
        <v>626.07000000000005</v>
      </c>
      <c r="G55" s="31">
        <v>7.7999999999999996E-3</v>
      </c>
      <c r="H55" s="32"/>
    </row>
    <row r="56" spans="2:8" ht="15.75" customHeight="1" x14ac:dyDescent="0.2">
      <c r="B56" s="28" t="s">
        <v>749</v>
      </c>
      <c r="C56" s="28" t="s">
        <v>750</v>
      </c>
      <c r="D56" s="28" t="s">
        <v>218</v>
      </c>
      <c r="E56" s="29">
        <v>13352</v>
      </c>
      <c r="F56" s="30">
        <v>624.85</v>
      </c>
      <c r="G56" s="31">
        <v>7.7999999999999996E-3</v>
      </c>
      <c r="H56" s="32"/>
    </row>
    <row r="57" spans="2:8" ht="15.75" customHeight="1" x14ac:dyDescent="0.2">
      <c r="B57" s="28" t="s">
        <v>359</v>
      </c>
      <c r="C57" s="28" t="s">
        <v>360</v>
      </c>
      <c r="D57" s="28" t="s">
        <v>361</v>
      </c>
      <c r="E57" s="29">
        <v>13842</v>
      </c>
      <c r="F57" s="30">
        <v>570.12</v>
      </c>
      <c r="G57" s="31">
        <v>7.1000000000000004E-3</v>
      </c>
      <c r="H57" s="32"/>
    </row>
    <row r="58" spans="2:8" ht="15.75" customHeight="1" x14ac:dyDescent="0.2">
      <c r="B58" s="28" t="s">
        <v>946</v>
      </c>
      <c r="C58" s="28" t="s">
        <v>947</v>
      </c>
      <c r="D58" s="28" t="s">
        <v>175</v>
      </c>
      <c r="E58" s="29">
        <v>128368</v>
      </c>
      <c r="F58" s="30">
        <v>416.17</v>
      </c>
      <c r="G58" s="31">
        <v>5.1999999999999998E-3</v>
      </c>
      <c r="H58" s="32"/>
    </row>
    <row r="59" spans="2:8" ht="15.75" customHeight="1" x14ac:dyDescent="0.2">
      <c r="B59" s="28" t="s">
        <v>535</v>
      </c>
      <c r="C59" s="28" t="s">
        <v>536</v>
      </c>
      <c r="D59" s="28" t="s">
        <v>166</v>
      </c>
      <c r="E59" s="29">
        <v>778911</v>
      </c>
      <c r="F59" s="30">
        <v>403.79</v>
      </c>
      <c r="G59" s="31">
        <v>5.0000000000000001E-3</v>
      </c>
      <c r="H59" s="32"/>
    </row>
    <row r="60" spans="2:8" ht="15.75" customHeight="1" x14ac:dyDescent="0.2">
      <c r="B60" s="28" t="s">
        <v>864</v>
      </c>
      <c r="C60" s="28" t="s">
        <v>865</v>
      </c>
      <c r="D60" s="28" t="s">
        <v>188</v>
      </c>
      <c r="E60" s="29">
        <v>16523</v>
      </c>
      <c r="F60" s="30">
        <v>402.95</v>
      </c>
      <c r="G60" s="31">
        <v>5.0000000000000001E-3</v>
      </c>
      <c r="H60" s="32"/>
    </row>
    <row r="61" spans="2:8" ht="15.75" customHeight="1" x14ac:dyDescent="0.2">
      <c r="B61" s="28" t="s">
        <v>607</v>
      </c>
      <c r="C61" s="28" t="s">
        <v>608</v>
      </c>
      <c r="D61" s="28" t="s">
        <v>349</v>
      </c>
      <c r="E61" s="29">
        <v>6529</v>
      </c>
      <c r="F61" s="30">
        <v>392.62</v>
      </c>
      <c r="G61" s="31">
        <v>4.8999999999999998E-3</v>
      </c>
      <c r="H61" s="32"/>
    </row>
    <row r="62" spans="2:8" ht="15.75" customHeight="1" x14ac:dyDescent="0.2">
      <c r="B62" s="28" t="s">
        <v>278</v>
      </c>
      <c r="C62" s="28" t="s">
        <v>279</v>
      </c>
      <c r="D62" s="28" t="s">
        <v>280</v>
      </c>
      <c r="E62" s="29">
        <v>96514</v>
      </c>
      <c r="F62" s="30">
        <v>390.79</v>
      </c>
      <c r="G62" s="31">
        <v>4.8999999999999998E-3</v>
      </c>
      <c r="H62" s="32"/>
    </row>
    <row r="63" spans="2:8" ht="15.75" customHeight="1" x14ac:dyDescent="0.2">
      <c r="B63" s="28" t="s">
        <v>537</v>
      </c>
      <c r="C63" s="28" t="s">
        <v>538</v>
      </c>
      <c r="D63" s="28" t="s">
        <v>233</v>
      </c>
      <c r="E63" s="29">
        <v>39926</v>
      </c>
      <c r="F63" s="30">
        <v>349.27</v>
      </c>
      <c r="G63" s="31">
        <v>4.4000000000000003E-3</v>
      </c>
      <c r="H63" s="32"/>
    </row>
    <row r="64" spans="2:8" ht="15.75" customHeight="1" x14ac:dyDescent="0.2">
      <c r="B64" s="28" t="s">
        <v>625</v>
      </c>
      <c r="C64" s="28" t="s">
        <v>626</v>
      </c>
      <c r="D64" s="28" t="s">
        <v>260</v>
      </c>
      <c r="E64" s="29">
        <v>18588</v>
      </c>
      <c r="F64" s="30">
        <v>309.23</v>
      </c>
      <c r="G64" s="31">
        <v>3.8999999999999998E-3</v>
      </c>
      <c r="H64" s="32"/>
    </row>
    <row r="65" spans="2:14" ht="15.75" customHeight="1" x14ac:dyDescent="0.2">
      <c r="B65" s="28" t="s">
        <v>342</v>
      </c>
      <c r="C65" s="28" t="s">
        <v>343</v>
      </c>
      <c r="D65" s="28" t="s">
        <v>175</v>
      </c>
      <c r="E65" s="29">
        <v>96805</v>
      </c>
      <c r="F65" s="30">
        <v>295.69</v>
      </c>
      <c r="G65" s="31">
        <v>3.7000000000000002E-3</v>
      </c>
      <c r="H65" s="32"/>
    </row>
    <row r="66" spans="2:14" ht="15.75" customHeight="1" x14ac:dyDescent="0.2">
      <c r="B66" s="28" t="s">
        <v>491</v>
      </c>
      <c r="C66" s="28" t="s">
        <v>492</v>
      </c>
      <c r="D66" s="28" t="s">
        <v>166</v>
      </c>
      <c r="E66" s="29">
        <v>105550</v>
      </c>
      <c r="F66" s="30">
        <v>249.74</v>
      </c>
      <c r="G66" s="31">
        <v>3.0999999999999999E-3</v>
      </c>
      <c r="H66" s="32"/>
    </row>
    <row r="67" spans="2:14" ht="15.75" customHeight="1" x14ac:dyDescent="0.2">
      <c r="B67" s="28" t="s">
        <v>423</v>
      </c>
      <c r="C67" s="28" t="s">
        <v>424</v>
      </c>
      <c r="D67" s="28" t="s">
        <v>425</v>
      </c>
      <c r="E67" s="29">
        <v>47160</v>
      </c>
      <c r="F67" s="30">
        <v>228.87</v>
      </c>
      <c r="G67" s="31">
        <v>2.8999999999999998E-3</v>
      </c>
      <c r="H67" s="32"/>
      <c r="J67" s="3"/>
    </row>
    <row r="68" spans="2:14" ht="15.75" customHeight="1" x14ac:dyDescent="0.2">
      <c r="B68" s="28" t="s">
        <v>940</v>
      </c>
      <c r="C68" s="28" t="s">
        <v>941</v>
      </c>
      <c r="D68" s="28" t="s">
        <v>178</v>
      </c>
      <c r="E68" s="29">
        <v>3731</v>
      </c>
      <c r="F68" s="30">
        <v>79.87</v>
      </c>
      <c r="G68" s="31">
        <v>1E-3</v>
      </c>
      <c r="H68" s="32"/>
      <c r="J68" s="3"/>
    </row>
    <row r="69" spans="2:14" ht="15.75" customHeight="1" x14ac:dyDescent="0.2">
      <c r="B69" s="28" t="s">
        <v>591</v>
      </c>
      <c r="C69" s="28" t="s">
        <v>592</v>
      </c>
      <c r="D69" s="28" t="s">
        <v>290</v>
      </c>
      <c r="E69" s="29">
        <v>157</v>
      </c>
      <c r="F69" s="30">
        <v>27.91</v>
      </c>
      <c r="G69" s="31">
        <v>2.9999999999999997E-4</v>
      </c>
      <c r="H69" s="32"/>
      <c r="J69" s="3"/>
    </row>
    <row r="70" spans="2:14" ht="15.75" customHeight="1" x14ac:dyDescent="0.2">
      <c r="B70" s="28" t="s">
        <v>948</v>
      </c>
      <c r="C70" s="28" t="s">
        <v>949</v>
      </c>
      <c r="D70" s="28" t="s">
        <v>221</v>
      </c>
      <c r="E70" s="29">
        <v>14689</v>
      </c>
      <c r="F70" s="30">
        <v>21.25</v>
      </c>
      <c r="G70" s="31">
        <v>2.9999999999999997E-4</v>
      </c>
      <c r="H70" s="32"/>
      <c r="J70" s="3"/>
    </row>
    <row r="71" spans="2:14" ht="15.75" customHeight="1" x14ac:dyDescent="0.2">
      <c r="B71" s="28" t="s">
        <v>374</v>
      </c>
      <c r="C71" s="28" t="s">
        <v>375</v>
      </c>
      <c r="D71" s="28" t="s">
        <v>349</v>
      </c>
      <c r="E71" s="29">
        <v>662</v>
      </c>
      <c r="F71" s="30">
        <v>19.399999999999999</v>
      </c>
      <c r="G71" s="31">
        <v>2.0000000000000001E-4</v>
      </c>
      <c r="H71" s="32"/>
      <c r="J71" s="3"/>
    </row>
    <row r="72" spans="2:14" ht="15.75" customHeight="1" x14ac:dyDescent="0.2">
      <c r="B72" s="28" t="s">
        <v>1125</v>
      </c>
      <c r="C72" s="28" t="s">
        <v>745</v>
      </c>
      <c r="D72" s="28" t="s">
        <v>329</v>
      </c>
      <c r="E72" s="29">
        <v>7344</v>
      </c>
      <c r="F72" s="30">
        <v>198.9</v>
      </c>
      <c r="G72" s="31">
        <v>2.5000000000000001E-3</v>
      </c>
      <c r="H72" s="32"/>
    </row>
    <row r="73" spans="2:14" ht="15.75" customHeight="1" x14ac:dyDescent="0.2">
      <c r="B73" s="28" t="s">
        <v>1126</v>
      </c>
      <c r="C73" s="28" t="s">
        <v>746</v>
      </c>
      <c r="D73" s="28" t="s">
        <v>578</v>
      </c>
      <c r="E73" s="29">
        <v>75233</v>
      </c>
      <c r="F73" s="30">
        <v>196.17</v>
      </c>
      <c r="G73" s="31">
        <v>2.3999999999999998E-3</v>
      </c>
      <c r="H73" s="32"/>
      <c r="J73" s="3"/>
    </row>
    <row r="74" spans="2:14" ht="15.75" customHeight="1" x14ac:dyDescent="0.2">
      <c r="B74" s="28" t="s">
        <v>1129</v>
      </c>
      <c r="C74" s="28" t="s">
        <v>336</v>
      </c>
      <c r="D74" s="28" t="s">
        <v>263</v>
      </c>
      <c r="E74" s="29">
        <v>137080</v>
      </c>
      <c r="F74" s="30">
        <v>1000.68</v>
      </c>
      <c r="G74" s="31">
        <v>1.2500000000000001E-2</v>
      </c>
      <c r="H74" s="32"/>
    </row>
    <row r="75" spans="2:14" ht="15.75" customHeight="1" x14ac:dyDescent="0.2">
      <c r="B75" s="28" t="s">
        <v>950</v>
      </c>
      <c r="C75" s="28" t="s">
        <v>951</v>
      </c>
      <c r="D75" s="28" t="s">
        <v>269</v>
      </c>
      <c r="E75" s="29">
        <v>385</v>
      </c>
      <c r="F75" s="30">
        <v>8.07</v>
      </c>
      <c r="G75" s="31">
        <v>1E-4</v>
      </c>
      <c r="H75" s="32"/>
      <c r="J75" s="5"/>
      <c r="K75" s="5"/>
      <c r="L75" s="6"/>
      <c r="M75" s="6"/>
      <c r="N75" s="5"/>
    </row>
    <row r="76" spans="2:14" ht="15.75" customHeight="1" x14ac:dyDescent="0.2">
      <c r="B76" s="27" t="s">
        <v>127</v>
      </c>
      <c r="C76" s="27"/>
      <c r="D76" s="27"/>
      <c r="E76" s="33"/>
      <c r="F76" s="34">
        <f>SUM(F7:F75)</f>
        <v>54067.180000000022</v>
      </c>
      <c r="G76" s="35">
        <v>0.67390000000000005</v>
      </c>
      <c r="H76" s="36"/>
    </row>
    <row r="77" spans="2:14" ht="15.75" customHeight="1" x14ac:dyDescent="0.2">
      <c r="B77" s="27" t="s">
        <v>189</v>
      </c>
      <c r="C77" s="28"/>
      <c r="D77" s="28"/>
      <c r="E77" s="29"/>
      <c r="F77" s="30"/>
      <c r="G77" s="31"/>
      <c r="H77" s="32"/>
      <c r="J77" s="3"/>
    </row>
    <row r="78" spans="2:14" ht="15.75" customHeight="1" x14ac:dyDescent="0.2">
      <c r="B78" s="27" t="s">
        <v>127</v>
      </c>
      <c r="C78" s="28"/>
      <c r="D78" s="28"/>
      <c r="E78" s="29"/>
      <c r="F78" s="37" t="s">
        <v>129</v>
      </c>
      <c r="G78" s="38" t="s">
        <v>129</v>
      </c>
      <c r="H78" s="32"/>
      <c r="J78" s="3"/>
    </row>
    <row r="79" spans="2:14" ht="15.75" customHeight="1" x14ac:dyDescent="0.2">
      <c r="B79" s="28"/>
      <c r="C79" s="28"/>
      <c r="D79" s="28"/>
      <c r="E79" s="29"/>
      <c r="F79" s="30"/>
      <c r="G79" s="31"/>
      <c r="H79" s="32"/>
      <c r="J79" s="7"/>
      <c r="K79" s="7"/>
      <c r="L79" s="7"/>
      <c r="M79" s="7"/>
      <c r="N79" s="7"/>
    </row>
    <row r="80" spans="2:14" ht="15.75" customHeight="1" x14ac:dyDescent="0.2">
      <c r="B80" s="39" t="s">
        <v>131</v>
      </c>
      <c r="C80" s="39"/>
      <c r="D80" s="39"/>
      <c r="E80" s="40"/>
      <c r="F80" s="34">
        <f>F76</f>
        <v>54067.180000000022</v>
      </c>
      <c r="G80" s="35">
        <f>G76</f>
        <v>0.67390000000000005</v>
      </c>
      <c r="H80" s="36"/>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107</v>
      </c>
      <c r="C82" s="28"/>
      <c r="D82" s="28"/>
      <c r="E82" s="29"/>
      <c r="F82" s="30"/>
      <c r="G82" s="31"/>
      <c r="H82" s="32"/>
      <c r="J82" s="7"/>
      <c r="K82" s="7"/>
      <c r="L82" s="7"/>
      <c r="M82" s="7"/>
      <c r="N82" s="7"/>
    </row>
    <row r="83" spans="2:14" ht="15.75" customHeight="1" x14ac:dyDescent="0.2">
      <c r="B83" s="27" t="s">
        <v>108</v>
      </c>
      <c r="C83" s="28"/>
      <c r="D83" s="28"/>
      <c r="E83" s="29"/>
      <c r="F83" s="30"/>
      <c r="G83" s="31"/>
      <c r="H83" s="32"/>
      <c r="J83" s="7"/>
      <c r="K83" s="7"/>
      <c r="L83" s="7"/>
      <c r="M83" s="7"/>
      <c r="N83" s="7"/>
    </row>
    <row r="84" spans="2:14" ht="15.75" customHeight="1" x14ac:dyDescent="0.2">
      <c r="B84" s="28" t="s">
        <v>109</v>
      </c>
      <c r="C84" s="28" t="s">
        <v>110</v>
      </c>
      <c r="D84" s="28" t="s">
        <v>111</v>
      </c>
      <c r="E84" s="29">
        <v>1500000</v>
      </c>
      <c r="F84" s="30">
        <v>1555.11</v>
      </c>
      <c r="G84" s="31">
        <v>1.9400000000000001E-2</v>
      </c>
      <c r="H84" s="32">
        <v>6.7038E-2</v>
      </c>
      <c r="J84" s="7"/>
      <c r="K84" s="7"/>
      <c r="L84" s="7"/>
      <c r="M84" s="7"/>
      <c r="N84" s="7"/>
    </row>
    <row r="85" spans="2:14" ht="15.75" customHeight="1" x14ac:dyDescent="0.2">
      <c r="B85" s="28" t="s">
        <v>116</v>
      </c>
      <c r="C85" s="28" t="s">
        <v>117</v>
      </c>
      <c r="D85" s="28" t="s">
        <v>111</v>
      </c>
      <c r="E85" s="29">
        <v>1000000</v>
      </c>
      <c r="F85" s="30">
        <v>1070.5</v>
      </c>
      <c r="G85" s="31">
        <v>1.3299999999999999E-2</v>
      </c>
      <c r="H85" s="32">
        <v>6.9631999999999999E-2</v>
      </c>
    </row>
    <row r="86" spans="2:14" ht="15.75" customHeight="1" x14ac:dyDescent="0.2">
      <c r="B86" s="28" t="s">
        <v>154</v>
      </c>
      <c r="C86" s="28" t="s">
        <v>446</v>
      </c>
      <c r="D86" s="28" t="s">
        <v>111</v>
      </c>
      <c r="E86" s="29">
        <v>1000000</v>
      </c>
      <c r="F86" s="30">
        <v>1045.72</v>
      </c>
      <c r="G86" s="31">
        <v>1.2999999999999999E-2</v>
      </c>
      <c r="H86" s="32">
        <v>6.9646E-2</v>
      </c>
      <c r="J86" s="3"/>
    </row>
    <row r="87" spans="2:14" ht="15.75" customHeight="1" x14ac:dyDescent="0.2">
      <c r="B87" s="28" t="s">
        <v>112</v>
      </c>
      <c r="C87" s="28" t="s">
        <v>113</v>
      </c>
      <c r="D87" s="28" t="s">
        <v>111</v>
      </c>
      <c r="E87" s="29">
        <v>1000000</v>
      </c>
      <c r="F87" s="30">
        <v>1044.94</v>
      </c>
      <c r="G87" s="31">
        <v>1.2999999999999999E-2</v>
      </c>
      <c r="H87" s="32">
        <v>7.2289999999999993E-2</v>
      </c>
    </row>
    <row r="88" spans="2:14" ht="15.75" customHeight="1" x14ac:dyDescent="0.2">
      <c r="B88" s="28" t="s">
        <v>114</v>
      </c>
      <c r="C88" s="28" t="s">
        <v>115</v>
      </c>
      <c r="D88" s="28" t="s">
        <v>111</v>
      </c>
      <c r="E88" s="29">
        <v>1000000</v>
      </c>
      <c r="F88" s="30">
        <v>1018.1</v>
      </c>
      <c r="G88" s="31">
        <v>1.2699999999999999E-2</v>
      </c>
      <c r="H88" s="32">
        <v>6.694E-2</v>
      </c>
    </row>
    <row r="89" spans="2:14" ht="15.75" customHeight="1" x14ac:dyDescent="0.2">
      <c r="B89" s="28" t="s">
        <v>123</v>
      </c>
      <c r="C89" s="28" t="s">
        <v>124</v>
      </c>
      <c r="D89" s="28" t="s">
        <v>111</v>
      </c>
      <c r="E89" s="29">
        <v>1000000</v>
      </c>
      <c r="F89" s="30">
        <v>1016.73</v>
      </c>
      <c r="G89" s="31">
        <v>1.2699999999999999E-2</v>
      </c>
      <c r="H89" s="32">
        <v>6.6395999999999997E-2</v>
      </c>
    </row>
    <row r="90" spans="2:14" ht="15.75" customHeight="1" x14ac:dyDescent="0.2">
      <c r="B90" s="28" t="s">
        <v>155</v>
      </c>
      <c r="C90" s="28" t="s">
        <v>952</v>
      </c>
      <c r="D90" s="28" t="s">
        <v>120</v>
      </c>
      <c r="E90" s="29">
        <v>50</v>
      </c>
      <c r="F90" s="30">
        <v>531.29999999999995</v>
      </c>
      <c r="G90" s="31">
        <v>6.6E-3</v>
      </c>
      <c r="H90" s="32">
        <v>6.7701999999999998E-2</v>
      </c>
    </row>
    <row r="91" spans="2:14" ht="15.75" customHeight="1" x14ac:dyDescent="0.2">
      <c r="B91" s="28" t="s">
        <v>953</v>
      </c>
      <c r="C91" s="28" t="s">
        <v>954</v>
      </c>
      <c r="D91" s="28" t="s">
        <v>120</v>
      </c>
      <c r="E91" s="29">
        <v>500</v>
      </c>
      <c r="F91" s="30">
        <v>512.54</v>
      </c>
      <c r="G91" s="31">
        <v>6.4000000000000003E-3</v>
      </c>
      <c r="H91" s="32">
        <v>6.6400000000000001E-2</v>
      </c>
    </row>
    <row r="92" spans="2:14" ht="15.75" customHeight="1" x14ac:dyDescent="0.2">
      <c r="B92" s="27" t="s">
        <v>127</v>
      </c>
      <c r="C92" s="27"/>
      <c r="D92" s="27"/>
      <c r="E92" s="33"/>
      <c r="F92" s="34">
        <v>7794.94</v>
      </c>
      <c r="G92" s="35">
        <v>9.7199999999999995E-2</v>
      </c>
      <c r="H92" s="36"/>
    </row>
    <row r="93" spans="2:14" ht="15.75" customHeight="1" x14ac:dyDescent="0.2">
      <c r="B93" s="28"/>
      <c r="C93" s="28"/>
      <c r="D93" s="28"/>
      <c r="E93" s="29"/>
      <c r="F93" s="30"/>
      <c r="G93" s="31"/>
      <c r="H93" s="32"/>
    </row>
    <row r="94" spans="2:14" ht="15.75" customHeight="1" x14ac:dyDescent="0.2">
      <c r="B94" s="27" t="s">
        <v>128</v>
      </c>
      <c r="C94" s="28"/>
      <c r="D94" s="28"/>
      <c r="E94" s="29"/>
      <c r="F94" s="30"/>
      <c r="G94" s="31"/>
      <c r="H94" s="32"/>
    </row>
    <row r="95" spans="2:14" ht="15.75" customHeight="1" x14ac:dyDescent="0.2">
      <c r="B95" s="27" t="s">
        <v>127</v>
      </c>
      <c r="C95" s="28"/>
      <c r="D95" s="28"/>
      <c r="E95" s="29"/>
      <c r="F95" s="37" t="s">
        <v>129</v>
      </c>
      <c r="G95" s="38" t="s">
        <v>129</v>
      </c>
      <c r="H95" s="32"/>
    </row>
    <row r="96" spans="2:14" ht="15.75" customHeight="1" x14ac:dyDescent="0.2">
      <c r="B96" s="28"/>
      <c r="C96" s="28"/>
      <c r="D96" s="28"/>
      <c r="E96" s="29"/>
      <c r="F96" s="30"/>
      <c r="G96" s="31"/>
      <c r="H96" s="32"/>
    </row>
    <row r="97" spans="2:8" ht="15.75" customHeight="1" x14ac:dyDescent="0.2">
      <c r="B97" s="27" t="s">
        <v>130</v>
      </c>
      <c r="C97" s="28"/>
      <c r="D97" s="28"/>
      <c r="E97" s="29"/>
      <c r="F97" s="30"/>
      <c r="G97" s="31"/>
      <c r="H97" s="32"/>
    </row>
    <row r="98" spans="2:8" ht="15.75" customHeight="1" x14ac:dyDescent="0.2">
      <c r="B98" s="27" t="s">
        <v>127</v>
      </c>
      <c r="C98" s="28"/>
      <c r="D98" s="28"/>
      <c r="E98" s="29"/>
      <c r="F98" s="37" t="s">
        <v>129</v>
      </c>
      <c r="G98" s="38" t="s">
        <v>129</v>
      </c>
      <c r="H98" s="32"/>
    </row>
    <row r="99" spans="2:8" ht="15.75" customHeight="1" x14ac:dyDescent="0.2">
      <c r="B99" s="28"/>
      <c r="C99" s="28"/>
      <c r="D99" s="28"/>
      <c r="E99" s="29"/>
      <c r="F99" s="30"/>
      <c r="G99" s="31"/>
      <c r="H99" s="32"/>
    </row>
    <row r="100" spans="2:8" ht="15.75" customHeight="1" x14ac:dyDescent="0.2">
      <c r="B100" s="39" t="s">
        <v>131</v>
      </c>
      <c r="C100" s="39"/>
      <c r="D100" s="39"/>
      <c r="E100" s="40"/>
      <c r="F100" s="34">
        <v>7794.94</v>
      </c>
      <c r="G100" s="35">
        <v>9.7199999999999995E-2</v>
      </c>
      <c r="H100" s="36"/>
    </row>
    <row r="101" spans="2:8" ht="15.75" customHeight="1" x14ac:dyDescent="0.2">
      <c r="B101" s="28"/>
      <c r="C101" s="28"/>
      <c r="D101" s="28"/>
      <c r="E101" s="29"/>
      <c r="F101" s="30"/>
      <c r="G101" s="31"/>
      <c r="H101" s="32"/>
    </row>
    <row r="102" spans="2:8" ht="15.75" customHeight="1" x14ac:dyDescent="0.2">
      <c r="B102" s="28"/>
      <c r="C102" s="28"/>
      <c r="D102" s="28"/>
      <c r="E102" s="29"/>
      <c r="F102" s="30"/>
      <c r="G102" s="31"/>
      <c r="H102" s="32"/>
    </row>
    <row r="103" spans="2:8" ht="15.75" customHeight="1" x14ac:dyDescent="0.2">
      <c r="B103" s="27" t="s">
        <v>132</v>
      </c>
      <c r="C103" s="28"/>
      <c r="D103" s="28"/>
      <c r="E103" s="29"/>
      <c r="F103" s="30"/>
      <c r="G103" s="31"/>
      <c r="H103" s="32"/>
    </row>
    <row r="104" spans="2:8" ht="15.75" customHeight="1" x14ac:dyDescent="0.2">
      <c r="B104" s="27" t="s">
        <v>133</v>
      </c>
      <c r="C104" s="28"/>
      <c r="D104" s="28"/>
      <c r="E104" s="29"/>
      <c r="F104" s="30"/>
      <c r="G104" s="31"/>
      <c r="H104" s="32"/>
    </row>
    <row r="105" spans="2:8" ht="15.75" customHeight="1" x14ac:dyDescent="0.2">
      <c r="B105" s="28" t="s">
        <v>849</v>
      </c>
      <c r="C105" s="28" t="s">
        <v>850</v>
      </c>
      <c r="D105" s="28"/>
      <c r="E105" s="29">
        <v>112125</v>
      </c>
      <c r="F105" s="30">
        <v>12152.72</v>
      </c>
      <c r="G105" s="31">
        <v>0.1515</v>
      </c>
      <c r="H105" s="32"/>
    </row>
    <row r="106" spans="2:8" ht="15.75" customHeight="1" x14ac:dyDescent="0.2">
      <c r="B106" s="28" t="s">
        <v>955</v>
      </c>
      <c r="C106" s="28" t="s">
        <v>956</v>
      </c>
      <c r="D106" s="28"/>
      <c r="E106" s="29">
        <v>1112538</v>
      </c>
      <c r="F106" s="30">
        <v>1653.79</v>
      </c>
      <c r="G106" s="31">
        <v>2.06E-2</v>
      </c>
      <c r="H106" s="32"/>
    </row>
    <row r="107" spans="2:8" ht="15.75" customHeight="1" x14ac:dyDescent="0.2">
      <c r="B107" s="27" t="s">
        <v>127</v>
      </c>
      <c r="C107" s="27"/>
      <c r="D107" s="27"/>
      <c r="E107" s="33"/>
      <c r="F107" s="34">
        <v>13806.51</v>
      </c>
      <c r="G107" s="35">
        <v>0.1721</v>
      </c>
      <c r="H107" s="36"/>
    </row>
    <row r="108" spans="2:8" ht="15.75" customHeight="1" x14ac:dyDescent="0.2">
      <c r="B108" s="28"/>
      <c r="C108" s="28"/>
      <c r="D108" s="28"/>
      <c r="E108" s="29"/>
      <c r="F108" s="30"/>
      <c r="G108" s="31"/>
      <c r="H108" s="32"/>
    </row>
    <row r="109" spans="2:8" ht="15.75" customHeight="1" x14ac:dyDescent="0.2">
      <c r="B109" s="39" t="s">
        <v>131</v>
      </c>
      <c r="C109" s="39"/>
      <c r="D109" s="39"/>
      <c r="E109" s="40"/>
      <c r="F109" s="34">
        <v>13806.51</v>
      </c>
      <c r="G109" s="35">
        <v>0.1721</v>
      </c>
      <c r="H109" s="36"/>
    </row>
    <row r="110" spans="2:8" ht="15.75" customHeight="1" x14ac:dyDescent="0.2">
      <c r="B110" s="28"/>
      <c r="C110" s="28"/>
      <c r="D110" s="28"/>
      <c r="E110" s="29"/>
      <c r="F110" s="30"/>
      <c r="G110" s="31"/>
      <c r="H110" s="32"/>
    </row>
    <row r="111" spans="2:8" ht="15.75" customHeight="1" x14ac:dyDescent="0.2">
      <c r="B111" s="27" t="s">
        <v>134</v>
      </c>
      <c r="C111" s="28"/>
      <c r="D111" s="28"/>
      <c r="E111" s="29"/>
      <c r="F111" s="30"/>
      <c r="G111" s="31"/>
      <c r="H111" s="32"/>
    </row>
    <row r="112" spans="2:8" ht="15.75" customHeight="1" x14ac:dyDescent="0.2">
      <c r="B112" s="28" t="s">
        <v>135</v>
      </c>
      <c r="C112" s="28"/>
      <c r="D112" s="28"/>
      <c r="E112" s="29"/>
      <c r="F112" s="30">
        <v>5646</v>
      </c>
      <c r="G112" s="31">
        <v>7.0400000000000004E-2</v>
      </c>
      <c r="H112" s="32"/>
    </row>
    <row r="113" spans="2:8" ht="15.75" customHeight="1" x14ac:dyDescent="0.2">
      <c r="B113" s="27" t="s">
        <v>127</v>
      </c>
      <c r="C113" s="27"/>
      <c r="D113" s="27"/>
      <c r="E113" s="33"/>
      <c r="F113" s="34">
        <v>5646</v>
      </c>
      <c r="G113" s="35">
        <v>7.0400000000000004E-2</v>
      </c>
      <c r="H113" s="36"/>
    </row>
    <row r="114" spans="2:8" ht="15.75" customHeight="1" x14ac:dyDescent="0.2">
      <c r="B114" s="28"/>
      <c r="C114" s="28"/>
      <c r="D114" s="28"/>
      <c r="E114" s="29"/>
      <c r="F114" s="30"/>
      <c r="G114" s="31"/>
      <c r="H114" s="32"/>
    </row>
    <row r="115" spans="2:8" ht="15.75" customHeight="1" x14ac:dyDescent="0.2">
      <c r="B115" s="39" t="s">
        <v>131</v>
      </c>
      <c r="C115" s="39"/>
      <c r="D115" s="39"/>
      <c r="E115" s="40"/>
      <c r="F115" s="34">
        <v>5646</v>
      </c>
      <c r="G115" s="35">
        <v>7.0400000000000004E-2</v>
      </c>
      <c r="H115" s="36"/>
    </row>
    <row r="116" spans="2:8" ht="15.75" customHeight="1" x14ac:dyDescent="0.2">
      <c r="B116" s="28" t="s">
        <v>136</v>
      </c>
      <c r="C116" s="28"/>
      <c r="D116" s="28"/>
      <c r="E116" s="29"/>
      <c r="F116" s="41">
        <v>-1087.23</v>
      </c>
      <c r="G116" s="42">
        <v>-1.3600000000000056E-2</v>
      </c>
      <c r="H116" s="32"/>
    </row>
    <row r="117" spans="2:8" ht="15.75" customHeight="1" x14ac:dyDescent="0.2">
      <c r="B117" s="43" t="s">
        <v>137</v>
      </c>
      <c r="C117" s="43"/>
      <c r="D117" s="43"/>
      <c r="E117" s="44"/>
      <c r="F117" s="45">
        <v>80227.399999999994</v>
      </c>
      <c r="G117" s="46">
        <v>1</v>
      </c>
      <c r="H117" s="47"/>
    </row>
    <row r="118" spans="2:8" ht="15.75" customHeight="1" x14ac:dyDescent="0.2">
      <c r="B118" s="2"/>
    </row>
    <row r="119" spans="2:8" ht="15.75" customHeight="1" x14ac:dyDescent="0.2">
      <c r="B119" s="15" t="s">
        <v>138</v>
      </c>
    </row>
    <row r="122" spans="2:8" ht="15.75" customHeight="1" thickBot="1" x14ac:dyDescent="0.25"/>
    <row r="123" spans="2:8" ht="39.75" customHeight="1" thickBot="1" x14ac:dyDescent="0.25">
      <c r="B123" s="48" t="s">
        <v>139</v>
      </c>
      <c r="C123" s="49" t="s">
        <v>140</v>
      </c>
      <c r="D123" s="49" t="s">
        <v>141</v>
      </c>
      <c r="E123" s="49" t="s">
        <v>142</v>
      </c>
    </row>
    <row r="124" spans="2:8" ht="39.75" customHeight="1" x14ac:dyDescent="0.2">
      <c r="B124" s="61" t="s">
        <v>81</v>
      </c>
      <c r="C124" s="77"/>
      <c r="D124" s="80" t="s">
        <v>957</v>
      </c>
      <c r="E124" s="81"/>
    </row>
    <row r="125" spans="2:8" ht="39.75" customHeight="1" x14ac:dyDescent="0.2">
      <c r="B125" s="52" t="s">
        <v>958</v>
      </c>
      <c r="C125" s="78"/>
      <c r="D125" s="80"/>
      <c r="E125" s="82"/>
    </row>
    <row r="126" spans="2:8" ht="39.75" customHeight="1" x14ac:dyDescent="0.2">
      <c r="B126" s="52" t="s">
        <v>959</v>
      </c>
      <c r="C126" s="78"/>
      <c r="D126" s="80"/>
      <c r="E126" s="82"/>
    </row>
    <row r="127" spans="2:8" ht="39.75" customHeight="1" thickBot="1" x14ac:dyDescent="0.25">
      <c r="B127" s="62" t="s">
        <v>521</v>
      </c>
      <c r="C127" s="79"/>
      <c r="D127" s="50" t="s">
        <v>562</v>
      </c>
      <c r="E127" s="83"/>
    </row>
    <row r="128" spans="2:8" ht="15.75" customHeight="1" x14ac:dyDescent="0.2">
      <c r="B128" s="9" t="s">
        <v>144</v>
      </c>
    </row>
    <row r="130" spans="2:2" ht="15.75" customHeight="1" x14ac:dyDescent="0.2">
      <c r="B130" s="9" t="s">
        <v>145</v>
      </c>
    </row>
    <row r="131" spans="2:2" ht="15.75" customHeight="1" x14ac:dyDescent="0.2">
      <c r="B131" s="15" t="s">
        <v>146</v>
      </c>
    </row>
  </sheetData>
  <mergeCells count="3">
    <mergeCell ref="C124:C127"/>
    <mergeCell ref="D124:D126"/>
    <mergeCell ref="E124:E127"/>
  </mergeCells>
  <hyperlinks>
    <hyperlink ref="G1" location="'Sheet1'!A1" display="Index" xr:uid="{42B3D545-F6C3-4836-AB2E-5EFDF9FBEA2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7921-0F66-42B8-87BF-F0496278FF19}">
  <dimension ref="B1:N13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t="s">
        <v>961</v>
      </c>
      <c r="D1" s="4" t="s">
        <v>960</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549</v>
      </c>
      <c r="C7" s="28" t="s">
        <v>550</v>
      </c>
      <c r="D7" s="28" t="s">
        <v>233</v>
      </c>
      <c r="E7" s="29">
        <v>98090</v>
      </c>
      <c r="F7" s="30">
        <v>2431.65</v>
      </c>
      <c r="G7" s="31">
        <v>3.2599999999999997E-2</v>
      </c>
      <c r="H7" s="32"/>
    </row>
    <row r="8" spans="2:8" ht="15.75" customHeight="1" x14ac:dyDescent="0.2">
      <c r="B8" s="28" t="s">
        <v>595</v>
      </c>
      <c r="C8" s="28" t="s">
        <v>596</v>
      </c>
      <c r="D8" s="28" t="s">
        <v>290</v>
      </c>
      <c r="E8" s="29">
        <v>2913347</v>
      </c>
      <c r="F8" s="30">
        <v>1727.61</v>
      </c>
      <c r="G8" s="31">
        <v>2.3199999999999998E-2</v>
      </c>
      <c r="H8" s="32"/>
    </row>
    <row r="9" spans="2:8" ht="15.75" customHeight="1" x14ac:dyDescent="0.2">
      <c r="B9" s="28" t="s">
        <v>720</v>
      </c>
      <c r="C9" s="28" t="s">
        <v>721</v>
      </c>
      <c r="D9" s="28" t="s">
        <v>188</v>
      </c>
      <c r="E9" s="29">
        <v>30979</v>
      </c>
      <c r="F9" s="30">
        <v>1717.48</v>
      </c>
      <c r="G9" s="31">
        <v>2.3099999999999999E-2</v>
      </c>
      <c r="H9" s="32"/>
    </row>
    <row r="10" spans="2:8" ht="15.75" customHeight="1" x14ac:dyDescent="0.2">
      <c r="B10" s="28" t="s">
        <v>697</v>
      </c>
      <c r="C10" s="28" t="s">
        <v>698</v>
      </c>
      <c r="D10" s="28" t="s">
        <v>260</v>
      </c>
      <c r="E10" s="29">
        <v>9846</v>
      </c>
      <c r="F10" s="30">
        <v>1525.54</v>
      </c>
      <c r="G10" s="31">
        <v>2.0500000000000001E-2</v>
      </c>
      <c r="H10" s="32"/>
    </row>
    <row r="11" spans="2:8" ht="15.75" customHeight="1" x14ac:dyDescent="0.2">
      <c r="B11" s="28" t="s">
        <v>678</v>
      </c>
      <c r="C11" s="28" t="s">
        <v>679</v>
      </c>
      <c r="D11" s="28" t="s">
        <v>172</v>
      </c>
      <c r="E11" s="29">
        <v>25772</v>
      </c>
      <c r="F11" s="30">
        <v>1524.83</v>
      </c>
      <c r="G11" s="31">
        <v>2.0500000000000001E-2</v>
      </c>
      <c r="H11" s="32"/>
    </row>
    <row r="12" spans="2:8" ht="15.75" customHeight="1" x14ac:dyDescent="0.2">
      <c r="B12" s="28" t="s">
        <v>551</v>
      </c>
      <c r="C12" s="28" t="s">
        <v>552</v>
      </c>
      <c r="D12" s="28" t="s">
        <v>463</v>
      </c>
      <c r="E12" s="29">
        <v>80996</v>
      </c>
      <c r="F12" s="30">
        <v>1446.1</v>
      </c>
      <c r="G12" s="31">
        <v>1.9400000000000001E-2</v>
      </c>
      <c r="H12" s="32"/>
    </row>
    <row r="13" spans="2:8" ht="15.75" customHeight="1" x14ac:dyDescent="0.2">
      <c r="B13" s="28" t="s">
        <v>240</v>
      </c>
      <c r="C13" s="28" t="s">
        <v>241</v>
      </c>
      <c r="D13" s="28" t="s">
        <v>172</v>
      </c>
      <c r="E13" s="29">
        <v>80291</v>
      </c>
      <c r="F13" s="30">
        <v>1427.65</v>
      </c>
      <c r="G13" s="31">
        <v>1.9199999999999998E-2</v>
      </c>
      <c r="H13" s="32"/>
    </row>
    <row r="14" spans="2:8" ht="15.75" customHeight="1" x14ac:dyDescent="0.2">
      <c r="B14" s="28" t="s">
        <v>873</v>
      </c>
      <c r="C14" s="28" t="s">
        <v>874</v>
      </c>
      <c r="D14" s="28" t="s">
        <v>329</v>
      </c>
      <c r="E14" s="29">
        <v>32458</v>
      </c>
      <c r="F14" s="30">
        <v>1410.01</v>
      </c>
      <c r="G14" s="31">
        <v>1.89E-2</v>
      </c>
      <c r="H14" s="32"/>
    </row>
    <row r="15" spans="2:8" ht="15.75" customHeight="1" x14ac:dyDescent="0.2">
      <c r="B15" s="28" t="s">
        <v>491</v>
      </c>
      <c r="C15" s="28" t="s">
        <v>492</v>
      </c>
      <c r="D15" s="28" t="s">
        <v>166</v>
      </c>
      <c r="E15" s="29">
        <v>590401</v>
      </c>
      <c r="F15" s="30">
        <v>1396.95</v>
      </c>
      <c r="G15" s="31">
        <v>1.8800000000000001E-2</v>
      </c>
      <c r="H15" s="32"/>
    </row>
    <row r="16" spans="2:8" ht="15.75" customHeight="1" x14ac:dyDescent="0.2">
      <c r="B16" s="28" t="s">
        <v>722</v>
      </c>
      <c r="C16" s="28" t="s">
        <v>723</v>
      </c>
      <c r="D16" s="28" t="s">
        <v>233</v>
      </c>
      <c r="E16" s="29">
        <v>24412</v>
      </c>
      <c r="F16" s="30">
        <v>1313.12</v>
      </c>
      <c r="G16" s="31">
        <v>1.7600000000000001E-2</v>
      </c>
      <c r="H16" s="32"/>
    </row>
    <row r="17" spans="2:8" ht="15.75" customHeight="1" x14ac:dyDescent="0.2">
      <c r="B17" s="28" t="s">
        <v>962</v>
      </c>
      <c r="C17" s="28" t="s">
        <v>963</v>
      </c>
      <c r="D17" s="28" t="s">
        <v>166</v>
      </c>
      <c r="E17" s="29">
        <v>1588405</v>
      </c>
      <c r="F17" s="30">
        <v>1298.8399999999999</v>
      </c>
      <c r="G17" s="31">
        <v>1.7399999999999999E-2</v>
      </c>
      <c r="H17" s="32"/>
    </row>
    <row r="18" spans="2:8" ht="15.75" customHeight="1" x14ac:dyDescent="0.2">
      <c r="B18" s="28" t="s">
        <v>479</v>
      </c>
      <c r="C18" s="28" t="s">
        <v>480</v>
      </c>
      <c r="D18" s="28" t="s">
        <v>430</v>
      </c>
      <c r="E18" s="29">
        <v>123492</v>
      </c>
      <c r="F18" s="30">
        <v>1263.3800000000001</v>
      </c>
      <c r="G18" s="31">
        <v>1.7000000000000001E-2</v>
      </c>
      <c r="H18" s="32"/>
    </row>
    <row r="19" spans="2:8" ht="15.75" customHeight="1" x14ac:dyDescent="0.2">
      <c r="B19" s="28" t="s">
        <v>225</v>
      </c>
      <c r="C19" s="28" t="s">
        <v>226</v>
      </c>
      <c r="D19" s="28" t="s">
        <v>166</v>
      </c>
      <c r="E19" s="29">
        <v>156682</v>
      </c>
      <c r="F19" s="30">
        <v>1245.31</v>
      </c>
      <c r="G19" s="31">
        <v>1.67E-2</v>
      </c>
      <c r="H19" s="32"/>
    </row>
    <row r="20" spans="2:8" ht="15.75" customHeight="1" x14ac:dyDescent="0.2">
      <c r="B20" s="28" t="s">
        <v>964</v>
      </c>
      <c r="C20" s="28" t="s">
        <v>965</v>
      </c>
      <c r="D20" s="28" t="s">
        <v>166</v>
      </c>
      <c r="E20" s="29">
        <v>135169</v>
      </c>
      <c r="F20" s="30">
        <v>1186.58</v>
      </c>
      <c r="G20" s="31">
        <v>1.5900000000000001E-2</v>
      </c>
      <c r="H20" s="32"/>
    </row>
    <row r="21" spans="2:8" ht="15.75" customHeight="1" x14ac:dyDescent="0.2">
      <c r="B21" s="28" t="s">
        <v>227</v>
      </c>
      <c r="C21" s="28" t="s">
        <v>228</v>
      </c>
      <c r="D21" s="28" t="s">
        <v>208</v>
      </c>
      <c r="E21" s="29">
        <v>317457</v>
      </c>
      <c r="F21" s="30">
        <v>1154.27</v>
      </c>
      <c r="G21" s="31">
        <v>1.55E-2</v>
      </c>
      <c r="H21" s="32"/>
    </row>
    <row r="22" spans="2:8" ht="15.75" customHeight="1" x14ac:dyDescent="0.2">
      <c r="B22" s="28" t="s">
        <v>461</v>
      </c>
      <c r="C22" s="28" t="s">
        <v>462</v>
      </c>
      <c r="D22" s="28" t="s">
        <v>463</v>
      </c>
      <c r="E22" s="29">
        <v>88238</v>
      </c>
      <c r="F22" s="30">
        <v>1149.92</v>
      </c>
      <c r="G22" s="31">
        <v>1.54E-2</v>
      </c>
      <c r="H22" s="32"/>
    </row>
    <row r="23" spans="2:8" ht="15.75" customHeight="1" x14ac:dyDescent="0.2">
      <c r="B23" s="28" t="s">
        <v>406</v>
      </c>
      <c r="C23" s="28" t="s">
        <v>407</v>
      </c>
      <c r="D23" s="28" t="s">
        <v>224</v>
      </c>
      <c r="E23" s="29">
        <v>58106</v>
      </c>
      <c r="F23" s="30">
        <v>1140.9100000000001</v>
      </c>
      <c r="G23" s="31">
        <v>1.5299999999999999E-2</v>
      </c>
      <c r="H23" s="32"/>
    </row>
    <row r="24" spans="2:8" ht="15.75" customHeight="1" x14ac:dyDescent="0.2">
      <c r="B24" s="28" t="s">
        <v>252</v>
      </c>
      <c r="C24" s="28" t="s">
        <v>253</v>
      </c>
      <c r="D24" s="28" t="s">
        <v>169</v>
      </c>
      <c r="E24" s="29">
        <v>230659</v>
      </c>
      <c r="F24" s="30">
        <v>1097.94</v>
      </c>
      <c r="G24" s="31">
        <v>1.47E-2</v>
      </c>
      <c r="H24" s="32"/>
    </row>
    <row r="25" spans="2:8" ht="15.75" customHeight="1" x14ac:dyDescent="0.2">
      <c r="B25" s="28" t="s">
        <v>966</v>
      </c>
      <c r="C25" s="28" t="s">
        <v>967</v>
      </c>
      <c r="D25" s="28" t="s">
        <v>166</v>
      </c>
      <c r="E25" s="29">
        <v>4729840</v>
      </c>
      <c r="F25" s="30">
        <v>1075.57</v>
      </c>
      <c r="G25" s="31">
        <v>1.44E-2</v>
      </c>
      <c r="H25" s="32"/>
    </row>
    <row r="26" spans="2:8" ht="15.75" customHeight="1" x14ac:dyDescent="0.2">
      <c r="B26" s="28" t="s">
        <v>374</v>
      </c>
      <c r="C26" s="28" t="s">
        <v>375</v>
      </c>
      <c r="D26" s="28" t="s">
        <v>349</v>
      </c>
      <c r="E26" s="29">
        <v>34865</v>
      </c>
      <c r="F26" s="30">
        <v>1021.72</v>
      </c>
      <c r="G26" s="31">
        <v>1.37E-2</v>
      </c>
      <c r="H26" s="32"/>
    </row>
    <row r="27" spans="2:8" ht="15.75" customHeight="1" x14ac:dyDescent="0.2">
      <c r="B27" s="28" t="s">
        <v>968</v>
      </c>
      <c r="C27" s="28" t="s">
        <v>969</v>
      </c>
      <c r="D27" s="28" t="s">
        <v>354</v>
      </c>
      <c r="E27" s="29">
        <v>63291</v>
      </c>
      <c r="F27" s="30">
        <v>978.8</v>
      </c>
      <c r="G27" s="31">
        <v>1.3100000000000001E-2</v>
      </c>
      <c r="H27" s="32"/>
    </row>
    <row r="28" spans="2:8" ht="15.75" customHeight="1" x14ac:dyDescent="0.2">
      <c r="B28" s="28" t="s">
        <v>716</v>
      </c>
      <c r="C28" s="28" t="s">
        <v>717</v>
      </c>
      <c r="D28" s="28" t="s">
        <v>578</v>
      </c>
      <c r="E28" s="29">
        <v>687198</v>
      </c>
      <c r="F28" s="30">
        <v>972.59</v>
      </c>
      <c r="G28" s="31">
        <v>1.3100000000000001E-2</v>
      </c>
      <c r="H28" s="32"/>
    </row>
    <row r="29" spans="2:8" ht="15.75" customHeight="1" x14ac:dyDescent="0.2">
      <c r="B29" s="28" t="s">
        <v>970</v>
      </c>
      <c r="C29" s="28" t="s">
        <v>971</v>
      </c>
      <c r="D29" s="28" t="s">
        <v>571</v>
      </c>
      <c r="E29" s="29">
        <v>133115</v>
      </c>
      <c r="F29" s="30">
        <v>958.56</v>
      </c>
      <c r="G29" s="31">
        <v>1.29E-2</v>
      </c>
      <c r="H29" s="32"/>
    </row>
    <row r="30" spans="2:8" ht="15.75" customHeight="1" x14ac:dyDescent="0.2">
      <c r="B30" s="28" t="s">
        <v>972</v>
      </c>
      <c r="C30" s="28" t="s">
        <v>973</v>
      </c>
      <c r="D30" s="28" t="s">
        <v>329</v>
      </c>
      <c r="E30" s="29">
        <v>12076</v>
      </c>
      <c r="F30" s="30">
        <v>930.34</v>
      </c>
      <c r="G30" s="31">
        <v>1.2500000000000001E-2</v>
      </c>
      <c r="H30" s="32"/>
    </row>
    <row r="31" spans="2:8" ht="15.75" customHeight="1" x14ac:dyDescent="0.2">
      <c r="B31" s="28" t="s">
        <v>974</v>
      </c>
      <c r="C31" s="28" t="s">
        <v>975</v>
      </c>
      <c r="D31" s="28" t="s">
        <v>339</v>
      </c>
      <c r="E31" s="29">
        <v>127122</v>
      </c>
      <c r="F31" s="30">
        <v>915.21</v>
      </c>
      <c r="G31" s="31">
        <v>1.23E-2</v>
      </c>
      <c r="H31" s="32"/>
    </row>
    <row r="32" spans="2:8" ht="15.75" customHeight="1" x14ac:dyDescent="0.2">
      <c r="B32" s="28" t="s">
        <v>176</v>
      </c>
      <c r="C32" s="28" t="s">
        <v>177</v>
      </c>
      <c r="D32" s="28" t="s">
        <v>178</v>
      </c>
      <c r="E32" s="29">
        <v>64042</v>
      </c>
      <c r="F32" s="30">
        <v>848.36</v>
      </c>
      <c r="G32" s="31">
        <v>1.14E-2</v>
      </c>
      <c r="H32" s="32"/>
    </row>
    <row r="33" spans="2:8" ht="15.75" customHeight="1" x14ac:dyDescent="0.2">
      <c r="B33" s="28" t="s">
        <v>378</v>
      </c>
      <c r="C33" s="28" t="s">
        <v>379</v>
      </c>
      <c r="D33" s="28" t="s">
        <v>246</v>
      </c>
      <c r="E33" s="29">
        <v>36084</v>
      </c>
      <c r="F33" s="30">
        <v>825.6</v>
      </c>
      <c r="G33" s="31">
        <v>1.11E-2</v>
      </c>
      <c r="H33" s="32"/>
    </row>
    <row r="34" spans="2:8" ht="15.75" customHeight="1" x14ac:dyDescent="0.2">
      <c r="B34" s="28" t="s">
        <v>976</v>
      </c>
      <c r="C34" s="28" t="s">
        <v>977</v>
      </c>
      <c r="D34" s="28" t="s">
        <v>221</v>
      </c>
      <c r="E34" s="29">
        <v>200365</v>
      </c>
      <c r="F34" s="30">
        <v>821.4</v>
      </c>
      <c r="G34" s="31">
        <v>1.0999999999999999E-2</v>
      </c>
      <c r="H34" s="32"/>
    </row>
    <row r="35" spans="2:8" ht="15.75" customHeight="1" x14ac:dyDescent="0.2">
      <c r="B35" s="28" t="s">
        <v>288</v>
      </c>
      <c r="C35" s="28" t="s">
        <v>289</v>
      </c>
      <c r="D35" s="28" t="s">
        <v>290</v>
      </c>
      <c r="E35" s="29">
        <v>308633</v>
      </c>
      <c r="F35" s="30">
        <v>819.39</v>
      </c>
      <c r="G35" s="31">
        <v>1.0999999999999999E-2</v>
      </c>
      <c r="H35" s="32"/>
    </row>
    <row r="36" spans="2:8" ht="15.75" customHeight="1" x14ac:dyDescent="0.2">
      <c r="B36" s="28" t="s">
        <v>421</v>
      </c>
      <c r="C36" s="28" t="s">
        <v>422</v>
      </c>
      <c r="D36" s="28" t="s">
        <v>175</v>
      </c>
      <c r="E36" s="29">
        <v>25755</v>
      </c>
      <c r="F36" s="30">
        <v>818.67</v>
      </c>
      <c r="G36" s="31">
        <v>1.0999999999999999E-2</v>
      </c>
      <c r="H36" s="32"/>
    </row>
    <row r="37" spans="2:8" ht="15.75" customHeight="1" x14ac:dyDescent="0.2">
      <c r="B37" s="28" t="s">
        <v>780</v>
      </c>
      <c r="C37" s="28" t="s">
        <v>781</v>
      </c>
      <c r="D37" s="28" t="s">
        <v>221</v>
      </c>
      <c r="E37" s="29">
        <v>327807</v>
      </c>
      <c r="F37" s="30">
        <v>812.76</v>
      </c>
      <c r="G37" s="31">
        <v>1.09E-2</v>
      </c>
      <c r="H37" s="32"/>
    </row>
    <row r="38" spans="2:8" ht="15.75" customHeight="1" x14ac:dyDescent="0.2">
      <c r="B38" s="28" t="s">
        <v>201</v>
      </c>
      <c r="C38" s="28" t="s">
        <v>202</v>
      </c>
      <c r="D38" s="28" t="s">
        <v>203</v>
      </c>
      <c r="E38" s="29">
        <v>857023</v>
      </c>
      <c r="F38" s="30">
        <v>805.34</v>
      </c>
      <c r="G38" s="31">
        <v>1.0800000000000001E-2</v>
      </c>
      <c r="H38" s="32"/>
    </row>
    <row r="39" spans="2:8" ht="15.75" customHeight="1" x14ac:dyDescent="0.2">
      <c r="B39" s="28" t="s">
        <v>682</v>
      </c>
      <c r="C39" s="28" t="s">
        <v>683</v>
      </c>
      <c r="D39" s="28" t="s">
        <v>329</v>
      </c>
      <c r="E39" s="29">
        <v>43561</v>
      </c>
      <c r="F39" s="30">
        <v>780.4</v>
      </c>
      <c r="G39" s="31">
        <v>1.0500000000000001E-2</v>
      </c>
      <c r="H39" s="32"/>
    </row>
    <row r="40" spans="2:8" ht="15.75" customHeight="1" x14ac:dyDescent="0.2">
      <c r="B40" s="28" t="s">
        <v>741</v>
      </c>
      <c r="C40" s="28" t="s">
        <v>742</v>
      </c>
      <c r="D40" s="28" t="s">
        <v>178</v>
      </c>
      <c r="E40" s="29">
        <v>25646</v>
      </c>
      <c r="F40" s="30">
        <v>775.28</v>
      </c>
      <c r="G40" s="31">
        <v>1.04E-2</v>
      </c>
      <c r="H40" s="32"/>
    </row>
    <row r="41" spans="2:8" ht="15.75" customHeight="1" x14ac:dyDescent="0.2">
      <c r="B41" s="28" t="s">
        <v>978</v>
      </c>
      <c r="C41" s="28" t="s">
        <v>979</v>
      </c>
      <c r="D41" s="28" t="s">
        <v>290</v>
      </c>
      <c r="E41" s="29">
        <v>22401</v>
      </c>
      <c r="F41" s="30">
        <v>767.77</v>
      </c>
      <c r="G41" s="31">
        <v>1.03E-2</v>
      </c>
      <c r="H41" s="32"/>
    </row>
    <row r="42" spans="2:8" ht="15.75" customHeight="1" x14ac:dyDescent="0.2">
      <c r="B42" s="28" t="s">
        <v>980</v>
      </c>
      <c r="C42" s="28" t="s">
        <v>981</v>
      </c>
      <c r="D42" s="28" t="s">
        <v>178</v>
      </c>
      <c r="E42" s="29">
        <v>487</v>
      </c>
      <c r="F42" s="30">
        <v>767.1</v>
      </c>
      <c r="G42" s="31">
        <v>1.03E-2</v>
      </c>
      <c r="H42" s="32"/>
    </row>
    <row r="43" spans="2:8" ht="15.75" customHeight="1" x14ac:dyDescent="0.2">
      <c r="B43" s="28" t="s">
        <v>222</v>
      </c>
      <c r="C43" s="28" t="s">
        <v>223</v>
      </c>
      <c r="D43" s="28" t="s">
        <v>224</v>
      </c>
      <c r="E43" s="29">
        <v>67168</v>
      </c>
      <c r="F43" s="30">
        <v>764.98</v>
      </c>
      <c r="G43" s="31">
        <v>1.03E-2</v>
      </c>
      <c r="H43" s="32"/>
    </row>
    <row r="44" spans="2:8" ht="15.75" customHeight="1" x14ac:dyDescent="0.2">
      <c r="B44" s="28" t="s">
        <v>686</v>
      </c>
      <c r="C44" s="28" t="s">
        <v>687</v>
      </c>
      <c r="D44" s="28" t="s">
        <v>260</v>
      </c>
      <c r="E44" s="29">
        <v>54684</v>
      </c>
      <c r="F44" s="30">
        <v>756.61</v>
      </c>
      <c r="G44" s="31">
        <v>1.0200000000000001E-2</v>
      </c>
      <c r="H44" s="32"/>
    </row>
    <row r="45" spans="2:8" ht="15.75" customHeight="1" x14ac:dyDescent="0.2">
      <c r="B45" s="28" t="s">
        <v>366</v>
      </c>
      <c r="C45" s="28" t="s">
        <v>367</v>
      </c>
      <c r="D45" s="28" t="s">
        <v>172</v>
      </c>
      <c r="E45" s="29">
        <v>27347</v>
      </c>
      <c r="F45" s="30">
        <v>755.98</v>
      </c>
      <c r="G45" s="31">
        <v>1.0200000000000001E-2</v>
      </c>
      <c r="H45" s="32"/>
    </row>
    <row r="46" spans="2:8" ht="15.75" customHeight="1" x14ac:dyDescent="0.2">
      <c r="B46" s="28" t="s">
        <v>982</v>
      </c>
      <c r="C46" s="28" t="s">
        <v>983</v>
      </c>
      <c r="D46" s="28" t="s">
        <v>246</v>
      </c>
      <c r="E46" s="29">
        <v>44809</v>
      </c>
      <c r="F46" s="30">
        <v>753.96</v>
      </c>
      <c r="G46" s="31">
        <v>1.01E-2</v>
      </c>
      <c r="H46" s="32"/>
    </row>
    <row r="47" spans="2:8" ht="15.75" customHeight="1" x14ac:dyDescent="0.2">
      <c r="B47" s="28" t="s">
        <v>498</v>
      </c>
      <c r="C47" s="28" t="s">
        <v>499</v>
      </c>
      <c r="D47" s="28" t="s">
        <v>224</v>
      </c>
      <c r="E47" s="29">
        <v>13524</v>
      </c>
      <c r="F47" s="30">
        <v>744.7</v>
      </c>
      <c r="G47" s="31">
        <v>0.01</v>
      </c>
      <c r="H47" s="32"/>
    </row>
    <row r="48" spans="2:8" ht="15.75" customHeight="1" x14ac:dyDescent="0.2">
      <c r="B48" s="28" t="s">
        <v>984</v>
      </c>
      <c r="C48" s="28" t="s">
        <v>985</v>
      </c>
      <c r="D48" s="28" t="s">
        <v>166</v>
      </c>
      <c r="E48" s="29">
        <v>84877</v>
      </c>
      <c r="F48" s="30">
        <v>728.84</v>
      </c>
      <c r="G48" s="31">
        <v>9.7999999999999997E-3</v>
      </c>
      <c r="H48" s="32"/>
    </row>
    <row r="49" spans="2:8" ht="15.75" customHeight="1" x14ac:dyDescent="0.2">
      <c r="B49" s="28" t="s">
        <v>948</v>
      </c>
      <c r="C49" s="28" t="s">
        <v>949</v>
      </c>
      <c r="D49" s="28" t="s">
        <v>221</v>
      </c>
      <c r="E49" s="29">
        <v>491889</v>
      </c>
      <c r="F49" s="30">
        <v>711.71</v>
      </c>
      <c r="G49" s="31">
        <v>9.5999999999999992E-3</v>
      </c>
      <c r="H49" s="32"/>
    </row>
    <row r="50" spans="2:8" ht="15.75" customHeight="1" x14ac:dyDescent="0.2">
      <c r="B50" s="28" t="s">
        <v>986</v>
      </c>
      <c r="C50" s="28" t="s">
        <v>987</v>
      </c>
      <c r="D50" s="28" t="s">
        <v>293</v>
      </c>
      <c r="E50" s="29">
        <v>31632</v>
      </c>
      <c r="F50" s="30">
        <v>709.51</v>
      </c>
      <c r="G50" s="31">
        <v>9.4999999999999998E-3</v>
      </c>
      <c r="H50" s="32"/>
    </row>
    <row r="51" spans="2:8" ht="15.75" customHeight="1" x14ac:dyDescent="0.2">
      <c r="B51" s="28" t="s">
        <v>496</v>
      </c>
      <c r="C51" s="28" t="s">
        <v>497</v>
      </c>
      <c r="D51" s="28" t="s">
        <v>246</v>
      </c>
      <c r="E51" s="29">
        <v>40519</v>
      </c>
      <c r="F51" s="30">
        <v>706.93</v>
      </c>
      <c r="G51" s="31">
        <v>9.4999999999999998E-3</v>
      </c>
      <c r="H51" s="32"/>
    </row>
    <row r="52" spans="2:8" ht="15.75" customHeight="1" x14ac:dyDescent="0.2">
      <c r="B52" s="28" t="s">
        <v>684</v>
      </c>
      <c r="C52" s="28" t="s">
        <v>685</v>
      </c>
      <c r="D52" s="28" t="s">
        <v>571</v>
      </c>
      <c r="E52" s="29">
        <v>19458</v>
      </c>
      <c r="F52" s="30">
        <v>696.09</v>
      </c>
      <c r="G52" s="31">
        <v>9.2999999999999992E-3</v>
      </c>
      <c r="H52" s="32"/>
    </row>
    <row r="53" spans="2:8" ht="15.75" customHeight="1" x14ac:dyDescent="0.2">
      <c r="B53" s="28" t="s">
        <v>988</v>
      </c>
      <c r="C53" s="28" t="s">
        <v>989</v>
      </c>
      <c r="D53" s="28" t="s">
        <v>166</v>
      </c>
      <c r="E53" s="29">
        <v>464099</v>
      </c>
      <c r="F53" s="30">
        <v>689.98</v>
      </c>
      <c r="G53" s="31">
        <v>9.2999999999999992E-3</v>
      </c>
      <c r="H53" s="32"/>
    </row>
    <row r="54" spans="2:8" ht="15.75" customHeight="1" x14ac:dyDescent="0.2">
      <c r="B54" s="28" t="s">
        <v>291</v>
      </c>
      <c r="C54" s="28" t="s">
        <v>292</v>
      </c>
      <c r="D54" s="28" t="s">
        <v>293</v>
      </c>
      <c r="E54" s="29">
        <v>140542</v>
      </c>
      <c r="F54" s="30">
        <v>685.21</v>
      </c>
      <c r="G54" s="31">
        <v>9.1999999999999998E-3</v>
      </c>
      <c r="H54" s="32"/>
    </row>
    <row r="55" spans="2:8" ht="15.75" customHeight="1" x14ac:dyDescent="0.2">
      <c r="B55" s="28" t="s">
        <v>654</v>
      </c>
      <c r="C55" s="28" t="s">
        <v>655</v>
      </c>
      <c r="D55" s="28" t="s">
        <v>224</v>
      </c>
      <c r="E55" s="29">
        <v>36171</v>
      </c>
      <c r="F55" s="30">
        <v>684.07</v>
      </c>
      <c r="G55" s="31">
        <v>9.1999999999999998E-3</v>
      </c>
      <c r="H55" s="32"/>
    </row>
    <row r="56" spans="2:8" ht="15.75" customHeight="1" x14ac:dyDescent="0.2">
      <c r="B56" s="28" t="s">
        <v>658</v>
      </c>
      <c r="C56" s="28" t="s">
        <v>659</v>
      </c>
      <c r="D56" s="28" t="s">
        <v>224</v>
      </c>
      <c r="E56" s="29">
        <v>27157</v>
      </c>
      <c r="F56" s="30">
        <v>647.41999999999996</v>
      </c>
      <c r="G56" s="31">
        <v>8.6999999999999994E-3</v>
      </c>
      <c r="H56" s="32"/>
    </row>
    <row r="57" spans="2:8" ht="15.75" customHeight="1" x14ac:dyDescent="0.2">
      <c r="B57" s="28" t="s">
        <v>990</v>
      </c>
      <c r="C57" s="28" t="s">
        <v>991</v>
      </c>
      <c r="D57" s="28" t="s">
        <v>280</v>
      </c>
      <c r="E57" s="29">
        <v>759843</v>
      </c>
      <c r="F57" s="30">
        <v>644.65</v>
      </c>
      <c r="G57" s="31">
        <v>8.6999999999999994E-3</v>
      </c>
      <c r="H57" s="32"/>
    </row>
    <row r="58" spans="2:8" ht="15.75" customHeight="1" x14ac:dyDescent="0.2">
      <c r="B58" s="28" t="s">
        <v>357</v>
      </c>
      <c r="C58" s="28" t="s">
        <v>358</v>
      </c>
      <c r="D58" s="28" t="s">
        <v>175</v>
      </c>
      <c r="E58" s="29">
        <v>71994</v>
      </c>
      <c r="F58" s="30">
        <v>632.58000000000004</v>
      </c>
      <c r="G58" s="31">
        <v>8.5000000000000006E-3</v>
      </c>
      <c r="H58" s="32"/>
    </row>
    <row r="59" spans="2:8" ht="15.75" customHeight="1" x14ac:dyDescent="0.2">
      <c r="B59" s="28" t="s">
        <v>992</v>
      </c>
      <c r="C59" s="28" t="s">
        <v>993</v>
      </c>
      <c r="D59" s="28" t="s">
        <v>730</v>
      </c>
      <c r="E59" s="29">
        <v>830117</v>
      </c>
      <c r="F59" s="30">
        <v>629.15</v>
      </c>
      <c r="G59" s="31">
        <v>8.3999999999999995E-3</v>
      </c>
      <c r="H59" s="32"/>
    </row>
    <row r="60" spans="2:8" ht="15.75" customHeight="1" x14ac:dyDescent="0.2">
      <c r="B60" s="28" t="s">
        <v>689</v>
      </c>
      <c r="C60" s="28" t="s">
        <v>690</v>
      </c>
      <c r="D60" s="28" t="s">
        <v>590</v>
      </c>
      <c r="E60" s="29">
        <v>1515</v>
      </c>
      <c r="F60" s="30">
        <v>624.17999999999995</v>
      </c>
      <c r="G60" s="31">
        <v>8.3999999999999995E-3</v>
      </c>
      <c r="H60" s="32"/>
    </row>
    <row r="61" spans="2:8" ht="15.75" customHeight="1" x14ac:dyDescent="0.2">
      <c r="B61" s="28" t="s">
        <v>691</v>
      </c>
      <c r="C61" s="28" t="s">
        <v>692</v>
      </c>
      <c r="D61" s="28" t="s">
        <v>280</v>
      </c>
      <c r="E61" s="29">
        <v>45699</v>
      </c>
      <c r="F61" s="30">
        <v>601.63</v>
      </c>
      <c r="G61" s="31">
        <v>8.0999999999999996E-3</v>
      </c>
      <c r="H61" s="32"/>
    </row>
    <row r="62" spans="2:8" ht="15.75" customHeight="1" x14ac:dyDescent="0.2">
      <c r="B62" s="28" t="s">
        <v>946</v>
      </c>
      <c r="C62" s="28" t="s">
        <v>947</v>
      </c>
      <c r="D62" s="28" t="s">
        <v>175</v>
      </c>
      <c r="E62" s="29">
        <v>183590</v>
      </c>
      <c r="F62" s="30">
        <v>595.20000000000005</v>
      </c>
      <c r="G62" s="31">
        <v>8.0000000000000002E-3</v>
      </c>
      <c r="H62" s="32"/>
    </row>
    <row r="63" spans="2:8" ht="15.75" customHeight="1" x14ac:dyDescent="0.2">
      <c r="B63" s="28" t="s">
        <v>994</v>
      </c>
      <c r="C63" s="28" t="s">
        <v>995</v>
      </c>
      <c r="D63" s="28" t="s">
        <v>329</v>
      </c>
      <c r="E63" s="29">
        <v>15507</v>
      </c>
      <c r="F63" s="30">
        <v>591.20000000000005</v>
      </c>
      <c r="G63" s="31">
        <v>7.9000000000000008E-3</v>
      </c>
      <c r="H63" s="32"/>
    </row>
    <row r="64" spans="2:8" ht="15.75" customHeight="1" x14ac:dyDescent="0.2">
      <c r="B64" s="28" t="s">
        <v>866</v>
      </c>
      <c r="C64" s="28" t="s">
        <v>867</v>
      </c>
      <c r="D64" s="28" t="s">
        <v>260</v>
      </c>
      <c r="E64" s="29">
        <v>30471</v>
      </c>
      <c r="F64" s="30">
        <v>590.35</v>
      </c>
      <c r="G64" s="31">
        <v>7.9000000000000008E-3</v>
      </c>
      <c r="H64" s="32"/>
    </row>
    <row r="65" spans="2:14" ht="15.75" customHeight="1" x14ac:dyDescent="0.2">
      <c r="B65" s="28" t="s">
        <v>569</v>
      </c>
      <c r="C65" s="28" t="s">
        <v>570</v>
      </c>
      <c r="D65" s="28" t="s">
        <v>571</v>
      </c>
      <c r="E65" s="29">
        <v>27622</v>
      </c>
      <c r="F65" s="30">
        <v>586.86</v>
      </c>
      <c r="G65" s="31">
        <v>7.9000000000000008E-3</v>
      </c>
      <c r="H65" s="32"/>
    </row>
    <row r="66" spans="2:14" ht="15.75" customHeight="1" x14ac:dyDescent="0.2">
      <c r="B66" s="28" t="s">
        <v>541</v>
      </c>
      <c r="C66" s="28" t="s">
        <v>542</v>
      </c>
      <c r="D66" s="28" t="s">
        <v>233</v>
      </c>
      <c r="E66" s="29">
        <v>53985</v>
      </c>
      <c r="F66" s="30">
        <v>583.41999999999996</v>
      </c>
      <c r="G66" s="31">
        <v>7.7999999999999996E-3</v>
      </c>
      <c r="H66" s="32"/>
    </row>
    <row r="67" spans="2:14" ht="15.75" customHeight="1" x14ac:dyDescent="0.2">
      <c r="B67" s="28" t="s">
        <v>487</v>
      </c>
      <c r="C67" s="28" t="s">
        <v>488</v>
      </c>
      <c r="D67" s="28" t="s">
        <v>329</v>
      </c>
      <c r="E67" s="29">
        <v>14397</v>
      </c>
      <c r="F67" s="30">
        <v>580.49</v>
      </c>
      <c r="G67" s="31">
        <v>7.7999999999999996E-3</v>
      </c>
      <c r="H67" s="32"/>
    </row>
    <row r="68" spans="2:14" ht="15.75" customHeight="1" x14ac:dyDescent="0.2">
      <c r="B68" s="28" t="s">
        <v>996</v>
      </c>
      <c r="C68" s="28" t="s">
        <v>997</v>
      </c>
      <c r="D68" s="28" t="s">
        <v>208</v>
      </c>
      <c r="E68" s="29">
        <v>6631734</v>
      </c>
      <c r="F68" s="30">
        <v>578.95000000000005</v>
      </c>
      <c r="G68" s="31">
        <v>7.7999999999999996E-3</v>
      </c>
      <c r="H68" s="32"/>
      <c r="J68" s="3"/>
    </row>
    <row r="69" spans="2:14" ht="15.75" customHeight="1" x14ac:dyDescent="0.2">
      <c r="B69" s="28" t="s">
        <v>433</v>
      </c>
      <c r="C69" s="28" t="s">
        <v>434</v>
      </c>
      <c r="D69" s="28" t="s">
        <v>435</v>
      </c>
      <c r="E69" s="29">
        <v>130995</v>
      </c>
      <c r="F69" s="30">
        <v>567.66999999999996</v>
      </c>
      <c r="G69" s="31">
        <v>7.6E-3</v>
      </c>
      <c r="H69" s="32"/>
    </row>
    <row r="70" spans="2:14" ht="15.75" customHeight="1" x14ac:dyDescent="0.2">
      <c r="B70" s="28" t="s">
        <v>699</v>
      </c>
      <c r="C70" s="28" t="s">
        <v>700</v>
      </c>
      <c r="D70" s="28" t="s">
        <v>495</v>
      </c>
      <c r="E70" s="29">
        <v>94040</v>
      </c>
      <c r="F70" s="30">
        <v>562.22</v>
      </c>
      <c r="G70" s="31">
        <v>7.4999999999999997E-3</v>
      </c>
      <c r="H70" s="32"/>
      <c r="J70" s="3"/>
    </row>
    <row r="71" spans="2:14" ht="15.75" customHeight="1" x14ac:dyDescent="0.2">
      <c r="B71" s="28" t="s">
        <v>762</v>
      </c>
      <c r="C71" s="28" t="s">
        <v>763</v>
      </c>
      <c r="D71" s="28" t="s">
        <v>224</v>
      </c>
      <c r="E71" s="29">
        <v>144272</v>
      </c>
      <c r="F71" s="30">
        <v>536.84</v>
      </c>
      <c r="G71" s="31">
        <v>7.1999999999999998E-3</v>
      </c>
      <c r="H71" s="32"/>
      <c r="J71" s="3"/>
    </row>
    <row r="72" spans="2:14" ht="15.75" customHeight="1" x14ac:dyDescent="0.2">
      <c r="B72" s="28" t="s">
        <v>998</v>
      </c>
      <c r="C72" s="28" t="s">
        <v>999</v>
      </c>
      <c r="D72" s="28" t="s">
        <v>175</v>
      </c>
      <c r="E72" s="29">
        <v>195828</v>
      </c>
      <c r="F72" s="30">
        <v>529.70000000000005</v>
      </c>
      <c r="G72" s="31">
        <v>7.1000000000000004E-3</v>
      </c>
      <c r="H72" s="32"/>
      <c r="J72" s="3"/>
    </row>
    <row r="73" spans="2:14" ht="15.75" customHeight="1" x14ac:dyDescent="0.2">
      <c r="B73" s="28" t="s">
        <v>591</v>
      </c>
      <c r="C73" s="28" t="s">
        <v>592</v>
      </c>
      <c r="D73" s="28" t="s">
        <v>290</v>
      </c>
      <c r="E73" s="29">
        <v>2977</v>
      </c>
      <c r="F73" s="30">
        <v>529.25</v>
      </c>
      <c r="G73" s="31">
        <v>7.1000000000000004E-3</v>
      </c>
      <c r="H73" s="32"/>
      <c r="J73" s="3"/>
    </row>
    <row r="74" spans="2:14" ht="15.75" customHeight="1" x14ac:dyDescent="0.2">
      <c r="B74" s="28" t="s">
        <v>392</v>
      </c>
      <c r="C74" s="28" t="s">
        <v>393</v>
      </c>
      <c r="D74" s="28" t="s">
        <v>208</v>
      </c>
      <c r="E74" s="29">
        <v>28209</v>
      </c>
      <c r="F74" s="30">
        <v>529.03</v>
      </c>
      <c r="G74" s="31">
        <v>7.1000000000000004E-3</v>
      </c>
      <c r="H74" s="32"/>
      <c r="J74" s="3"/>
    </row>
    <row r="75" spans="2:14" ht="15.75" customHeight="1" x14ac:dyDescent="0.2">
      <c r="B75" s="28" t="s">
        <v>1000</v>
      </c>
      <c r="C75" s="28" t="s">
        <v>1001</v>
      </c>
      <c r="D75" s="28" t="s">
        <v>495</v>
      </c>
      <c r="E75" s="29">
        <v>72448</v>
      </c>
      <c r="F75" s="30">
        <v>520.67999999999995</v>
      </c>
      <c r="G75" s="31">
        <v>7.0000000000000001E-3</v>
      </c>
      <c r="H75" s="32"/>
      <c r="J75" s="5"/>
      <c r="K75" s="5"/>
      <c r="L75" s="6"/>
      <c r="M75" s="6"/>
      <c r="N75" s="5"/>
    </row>
    <row r="76" spans="2:14" ht="15.75" customHeight="1" x14ac:dyDescent="0.2">
      <c r="B76" s="28" t="s">
        <v>1002</v>
      </c>
      <c r="C76" s="28" t="s">
        <v>1003</v>
      </c>
      <c r="D76" s="28" t="s">
        <v>178</v>
      </c>
      <c r="E76" s="29">
        <v>107651</v>
      </c>
      <c r="F76" s="30">
        <v>508.92</v>
      </c>
      <c r="G76" s="31">
        <v>6.7999999999999996E-3</v>
      </c>
      <c r="H76" s="32"/>
    </row>
    <row r="77" spans="2:14" ht="15.75" customHeight="1" x14ac:dyDescent="0.2">
      <c r="B77" s="28" t="s">
        <v>718</v>
      </c>
      <c r="C77" s="28" t="s">
        <v>719</v>
      </c>
      <c r="D77" s="28" t="s">
        <v>346</v>
      </c>
      <c r="E77" s="29">
        <v>215379</v>
      </c>
      <c r="F77" s="30">
        <v>504.29</v>
      </c>
      <c r="G77" s="31">
        <v>6.7999999999999996E-3</v>
      </c>
      <c r="H77" s="32"/>
    </row>
    <row r="78" spans="2:14" ht="15.75" customHeight="1" x14ac:dyDescent="0.2">
      <c r="B78" s="28" t="s">
        <v>709</v>
      </c>
      <c r="C78" s="28" t="s">
        <v>710</v>
      </c>
      <c r="D78" s="28" t="s">
        <v>246</v>
      </c>
      <c r="E78" s="29">
        <v>28270</v>
      </c>
      <c r="F78" s="30">
        <v>502.73</v>
      </c>
      <c r="G78" s="31">
        <v>6.7999999999999996E-3</v>
      </c>
      <c r="H78" s="32"/>
      <c r="J78" s="7"/>
      <c r="K78" s="7"/>
      <c r="L78" s="7"/>
      <c r="M78" s="7"/>
      <c r="N78" s="7"/>
    </row>
    <row r="79" spans="2:14" ht="15.75" customHeight="1" x14ac:dyDescent="0.2">
      <c r="B79" s="28" t="s">
        <v>674</v>
      </c>
      <c r="C79" s="28" t="s">
        <v>675</v>
      </c>
      <c r="D79" s="28" t="s">
        <v>175</v>
      </c>
      <c r="E79" s="29">
        <v>158864</v>
      </c>
      <c r="F79" s="30">
        <v>501.3</v>
      </c>
      <c r="G79" s="31">
        <v>6.7000000000000002E-3</v>
      </c>
      <c r="H79" s="32"/>
      <c r="J79" s="7"/>
      <c r="K79" s="7"/>
      <c r="L79" s="7"/>
      <c r="M79" s="7"/>
      <c r="N79" s="7"/>
    </row>
    <row r="80" spans="2:14" ht="15.75" customHeight="1" x14ac:dyDescent="0.2">
      <c r="B80" s="28" t="s">
        <v>1004</v>
      </c>
      <c r="C80" s="28" t="s">
        <v>1005</v>
      </c>
      <c r="D80" s="28" t="s">
        <v>339</v>
      </c>
      <c r="E80" s="29">
        <v>81677</v>
      </c>
      <c r="F80" s="30">
        <v>492.02</v>
      </c>
      <c r="G80" s="31">
        <v>6.6E-3</v>
      </c>
      <c r="H80" s="32"/>
      <c r="J80" s="7"/>
      <c r="K80" s="7"/>
      <c r="L80" s="7"/>
      <c r="M80" s="7"/>
      <c r="N80" s="7"/>
    </row>
    <row r="81" spans="2:14" ht="15.75" customHeight="1" x14ac:dyDescent="0.2">
      <c r="B81" s="28" t="s">
        <v>1006</v>
      </c>
      <c r="C81" s="28" t="s">
        <v>1007</v>
      </c>
      <c r="D81" s="28" t="s">
        <v>172</v>
      </c>
      <c r="E81" s="29">
        <v>5702</v>
      </c>
      <c r="F81" s="30">
        <v>485.53</v>
      </c>
      <c r="G81" s="31">
        <v>6.4999999999999997E-3</v>
      </c>
      <c r="H81" s="32"/>
      <c r="J81" s="7"/>
      <c r="K81" s="7"/>
      <c r="L81" s="7"/>
      <c r="M81" s="7"/>
      <c r="N81" s="7"/>
    </row>
    <row r="82" spans="2:14" ht="15.75" customHeight="1" x14ac:dyDescent="0.2">
      <c r="B82" s="28" t="s">
        <v>236</v>
      </c>
      <c r="C82" s="28" t="s">
        <v>237</v>
      </c>
      <c r="D82" s="28" t="s">
        <v>213</v>
      </c>
      <c r="E82" s="29">
        <v>347231</v>
      </c>
      <c r="F82" s="30">
        <v>475.19</v>
      </c>
      <c r="G82" s="31">
        <v>6.4000000000000003E-3</v>
      </c>
      <c r="H82" s="32"/>
      <c r="J82" s="7"/>
      <c r="K82" s="7"/>
      <c r="L82" s="7"/>
      <c r="M82" s="7"/>
      <c r="N82" s="7"/>
    </row>
    <row r="83" spans="2:14" ht="15.75" customHeight="1" x14ac:dyDescent="0.2">
      <c r="B83" s="28" t="s">
        <v>493</v>
      </c>
      <c r="C83" s="28" t="s">
        <v>494</v>
      </c>
      <c r="D83" s="28" t="s">
        <v>495</v>
      </c>
      <c r="E83" s="29">
        <v>218785</v>
      </c>
      <c r="F83" s="30">
        <v>474.5</v>
      </c>
      <c r="G83" s="31">
        <v>6.4000000000000003E-3</v>
      </c>
      <c r="H83" s="32"/>
      <c r="J83" s="7"/>
      <c r="K83" s="7"/>
      <c r="L83" s="7"/>
      <c r="M83" s="7"/>
      <c r="N83" s="7"/>
    </row>
    <row r="84" spans="2:14" ht="15.75" customHeight="1" x14ac:dyDescent="0.2">
      <c r="B84" s="28" t="s">
        <v>1008</v>
      </c>
      <c r="C84" s="28" t="s">
        <v>1009</v>
      </c>
      <c r="D84" s="28" t="s">
        <v>260</v>
      </c>
      <c r="E84" s="29">
        <v>92390</v>
      </c>
      <c r="F84" s="30">
        <v>470.91</v>
      </c>
      <c r="G84" s="31">
        <v>6.3E-3</v>
      </c>
      <c r="H84" s="32"/>
      <c r="J84" s="7"/>
      <c r="K84" s="7"/>
      <c r="L84" s="7"/>
      <c r="M84" s="7"/>
      <c r="N84" s="7"/>
    </row>
    <row r="85" spans="2:14" ht="15.75" customHeight="1" x14ac:dyDescent="0.2">
      <c r="B85" s="28" t="s">
        <v>426</v>
      </c>
      <c r="C85" s="28" t="s">
        <v>427</v>
      </c>
      <c r="D85" s="28" t="s">
        <v>172</v>
      </c>
      <c r="E85" s="29">
        <v>39304</v>
      </c>
      <c r="F85" s="30">
        <v>458.56</v>
      </c>
      <c r="G85" s="31">
        <v>6.1999999999999998E-3</v>
      </c>
      <c r="H85" s="32"/>
    </row>
    <row r="86" spans="2:14" ht="15.75" customHeight="1" x14ac:dyDescent="0.2">
      <c r="B86" s="28" t="s">
        <v>703</v>
      </c>
      <c r="C86" s="28" t="s">
        <v>704</v>
      </c>
      <c r="D86" s="28" t="s">
        <v>172</v>
      </c>
      <c r="E86" s="29">
        <v>8329</v>
      </c>
      <c r="F86" s="30">
        <v>454.31</v>
      </c>
      <c r="G86" s="31">
        <v>6.1000000000000004E-3</v>
      </c>
      <c r="H86" s="32"/>
      <c r="J86" s="3"/>
    </row>
    <row r="87" spans="2:14" ht="15.75" customHeight="1" x14ac:dyDescent="0.2">
      <c r="B87" s="28" t="s">
        <v>298</v>
      </c>
      <c r="C87" s="28" t="s">
        <v>299</v>
      </c>
      <c r="D87" s="28" t="s">
        <v>300</v>
      </c>
      <c r="E87" s="29">
        <v>82760</v>
      </c>
      <c r="F87" s="30">
        <v>451.25</v>
      </c>
      <c r="G87" s="31">
        <v>6.1000000000000004E-3</v>
      </c>
      <c r="H87" s="32"/>
    </row>
    <row r="88" spans="2:14" ht="15.75" customHeight="1" x14ac:dyDescent="0.2">
      <c r="B88" s="28" t="s">
        <v>1010</v>
      </c>
      <c r="C88" s="28" t="s">
        <v>1011</v>
      </c>
      <c r="D88" s="28" t="s">
        <v>326</v>
      </c>
      <c r="E88" s="29">
        <v>136341</v>
      </c>
      <c r="F88" s="30">
        <v>448.29</v>
      </c>
      <c r="G88" s="31">
        <v>6.0000000000000001E-3</v>
      </c>
      <c r="H88" s="32"/>
    </row>
    <row r="89" spans="2:14" ht="15.75" customHeight="1" x14ac:dyDescent="0.2">
      <c r="B89" s="28" t="s">
        <v>705</v>
      </c>
      <c r="C89" s="28" t="s">
        <v>706</v>
      </c>
      <c r="D89" s="28" t="s">
        <v>329</v>
      </c>
      <c r="E89" s="29">
        <v>29563</v>
      </c>
      <c r="F89" s="30">
        <v>428.69</v>
      </c>
      <c r="G89" s="31">
        <v>5.7999999999999996E-3</v>
      </c>
      <c r="H89" s="32"/>
    </row>
    <row r="90" spans="2:14" ht="15.75" customHeight="1" x14ac:dyDescent="0.2">
      <c r="B90" s="28" t="s">
        <v>1012</v>
      </c>
      <c r="C90" s="28" t="s">
        <v>1013</v>
      </c>
      <c r="D90" s="28" t="s">
        <v>389</v>
      </c>
      <c r="E90" s="29">
        <v>66627</v>
      </c>
      <c r="F90" s="30">
        <v>420.82</v>
      </c>
      <c r="G90" s="31">
        <v>5.7000000000000002E-3</v>
      </c>
      <c r="H90" s="32"/>
    </row>
    <row r="91" spans="2:14" ht="15.75" customHeight="1" x14ac:dyDescent="0.2">
      <c r="B91" s="28" t="s">
        <v>276</v>
      </c>
      <c r="C91" s="28" t="s">
        <v>277</v>
      </c>
      <c r="D91" s="28" t="s">
        <v>178</v>
      </c>
      <c r="E91" s="29">
        <v>109319</v>
      </c>
      <c r="F91" s="30">
        <v>417.49</v>
      </c>
      <c r="G91" s="31">
        <v>5.5999999999999999E-3</v>
      </c>
      <c r="H91" s="32"/>
    </row>
    <row r="92" spans="2:14" ht="15.75" customHeight="1" x14ac:dyDescent="0.2">
      <c r="B92" s="28" t="s">
        <v>1014</v>
      </c>
      <c r="C92" s="28" t="s">
        <v>1015</v>
      </c>
      <c r="D92" s="28" t="s">
        <v>175</v>
      </c>
      <c r="E92" s="29">
        <v>72227</v>
      </c>
      <c r="F92" s="30">
        <v>412.38</v>
      </c>
      <c r="G92" s="31">
        <v>5.4999999999999997E-3</v>
      </c>
      <c r="H92" s="32"/>
    </row>
    <row r="93" spans="2:14" ht="15.75" customHeight="1" x14ac:dyDescent="0.2">
      <c r="B93" s="28" t="s">
        <v>1016</v>
      </c>
      <c r="C93" s="28" t="s">
        <v>1017</v>
      </c>
      <c r="D93" s="28" t="s">
        <v>166</v>
      </c>
      <c r="E93" s="29">
        <v>291847</v>
      </c>
      <c r="F93" s="30">
        <v>408.24</v>
      </c>
      <c r="G93" s="31">
        <v>5.4999999999999997E-3</v>
      </c>
      <c r="H93" s="32"/>
    </row>
    <row r="94" spans="2:14" ht="15.75" customHeight="1" x14ac:dyDescent="0.2">
      <c r="B94" s="28" t="s">
        <v>1018</v>
      </c>
      <c r="C94" s="28" t="s">
        <v>1019</v>
      </c>
      <c r="D94" s="28" t="s">
        <v>466</v>
      </c>
      <c r="E94" s="29">
        <v>20329</v>
      </c>
      <c r="F94" s="30">
        <v>363.79</v>
      </c>
      <c r="G94" s="31">
        <v>4.8999999999999998E-3</v>
      </c>
      <c r="H94" s="32"/>
    </row>
    <row r="95" spans="2:14" ht="15.75" customHeight="1" x14ac:dyDescent="0.2">
      <c r="B95" s="28" t="s">
        <v>524</v>
      </c>
      <c r="C95" s="28" t="s">
        <v>525</v>
      </c>
      <c r="D95" s="28" t="s">
        <v>233</v>
      </c>
      <c r="E95" s="29">
        <v>37075</v>
      </c>
      <c r="F95" s="30">
        <v>362.59</v>
      </c>
      <c r="G95" s="31">
        <v>4.8999999999999998E-3</v>
      </c>
      <c r="H95" s="32"/>
    </row>
    <row r="96" spans="2:14" ht="15.75" customHeight="1" x14ac:dyDescent="0.2">
      <c r="B96" s="28" t="s">
        <v>1020</v>
      </c>
      <c r="C96" s="28" t="s">
        <v>1021</v>
      </c>
      <c r="D96" s="28" t="s">
        <v>389</v>
      </c>
      <c r="E96" s="29">
        <v>168487</v>
      </c>
      <c r="F96" s="30">
        <v>357.09</v>
      </c>
      <c r="G96" s="31">
        <v>4.7999999999999996E-3</v>
      </c>
      <c r="H96" s="32"/>
    </row>
    <row r="97" spans="2:10" ht="15.75" customHeight="1" x14ac:dyDescent="0.2">
      <c r="B97" s="28" t="s">
        <v>1022</v>
      </c>
      <c r="C97" s="28" t="s">
        <v>1023</v>
      </c>
      <c r="D97" s="28" t="s">
        <v>218</v>
      </c>
      <c r="E97" s="29">
        <v>22135</v>
      </c>
      <c r="F97" s="30">
        <v>338.64</v>
      </c>
      <c r="G97" s="31">
        <v>4.4999999999999997E-3</v>
      </c>
      <c r="H97" s="32"/>
    </row>
    <row r="98" spans="2:10" ht="15.75" customHeight="1" x14ac:dyDescent="0.2">
      <c r="B98" s="28" t="s">
        <v>355</v>
      </c>
      <c r="C98" s="28" t="s">
        <v>356</v>
      </c>
      <c r="D98" s="28" t="s">
        <v>208</v>
      </c>
      <c r="E98" s="29">
        <v>18063</v>
      </c>
      <c r="F98" s="30">
        <v>336.12</v>
      </c>
      <c r="G98" s="31">
        <v>4.4999999999999997E-3</v>
      </c>
      <c r="H98" s="32"/>
    </row>
    <row r="99" spans="2:10" ht="15.75" customHeight="1" x14ac:dyDescent="0.2">
      <c r="B99" s="28" t="s">
        <v>1024</v>
      </c>
      <c r="C99" s="28" t="s">
        <v>1025</v>
      </c>
      <c r="D99" s="28" t="s">
        <v>175</v>
      </c>
      <c r="E99" s="29">
        <v>191088</v>
      </c>
      <c r="F99" s="30">
        <v>290.32</v>
      </c>
      <c r="G99" s="31">
        <v>3.8999999999999998E-3</v>
      </c>
      <c r="H99" s="32"/>
    </row>
    <row r="100" spans="2:10" ht="15.75" customHeight="1" x14ac:dyDescent="0.2">
      <c r="B100" s="28" t="s">
        <v>440</v>
      </c>
      <c r="C100" s="28" t="s">
        <v>441</v>
      </c>
      <c r="D100" s="28" t="s">
        <v>442</v>
      </c>
      <c r="E100" s="29">
        <v>9413</v>
      </c>
      <c r="F100" s="30">
        <v>289.7</v>
      </c>
      <c r="G100" s="31">
        <v>3.8999999999999998E-3</v>
      </c>
      <c r="H100" s="32"/>
    </row>
    <row r="101" spans="2:10" ht="15.75" customHeight="1" x14ac:dyDescent="0.2">
      <c r="B101" s="28" t="s">
        <v>301</v>
      </c>
      <c r="C101" s="28" t="s">
        <v>302</v>
      </c>
      <c r="D101" s="28" t="s">
        <v>175</v>
      </c>
      <c r="E101" s="29">
        <v>120536</v>
      </c>
      <c r="F101" s="30">
        <v>285.67</v>
      </c>
      <c r="G101" s="31">
        <v>3.8E-3</v>
      </c>
      <c r="H101" s="32"/>
    </row>
    <row r="102" spans="2:10" ht="15.75" customHeight="1" x14ac:dyDescent="0.2">
      <c r="B102" s="28" t="s">
        <v>641</v>
      </c>
      <c r="C102" s="28" t="s">
        <v>642</v>
      </c>
      <c r="D102" s="28" t="s">
        <v>361</v>
      </c>
      <c r="E102" s="29">
        <v>41209</v>
      </c>
      <c r="F102" s="30">
        <v>285.27</v>
      </c>
      <c r="G102" s="31">
        <v>3.8E-3</v>
      </c>
      <c r="H102" s="32"/>
    </row>
    <row r="103" spans="2:10" ht="15.75" customHeight="1" x14ac:dyDescent="0.2">
      <c r="B103" s="28" t="s">
        <v>1026</v>
      </c>
      <c r="C103" s="28" t="s">
        <v>1027</v>
      </c>
      <c r="D103" s="28" t="s">
        <v>269</v>
      </c>
      <c r="E103" s="29">
        <v>15044</v>
      </c>
      <c r="F103" s="30">
        <v>283.05</v>
      </c>
      <c r="G103" s="31">
        <v>3.8E-3</v>
      </c>
      <c r="H103" s="32"/>
    </row>
    <row r="104" spans="2:10" ht="15.75" customHeight="1" x14ac:dyDescent="0.2">
      <c r="B104" s="28" t="s">
        <v>1028</v>
      </c>
      <c r="C104" s="28" t="s">
        <v>1029</v>
      </c>
      <c r="D104" s="28" t="s">
        <v>290</v>
      </c>
      <c r="E104" s="29">
        <v>25310</v>
      </c>
      <c r="F104" s="30">
        <v>276.69</v>
      </c>
      <c r="G104" s="31">
        <v>3.7000000000000002E-3</v>
      </c>
      <c r="H104" s="32"/>
    </row>
    <row r="105" spans="2:10" ht="15.75" customHeight="1" x14ac:dyDescent="0.2">
      <c r="B105" s="28" t="s">
        <v>868</v>
      </c>
      <c r="C105" s="28" t="s">
        <v>869</v>
      </c>
      <c r="D105" s="28" t="s">
        <v>280</v>
      </c>
      <c r="E105" s="29">
        <v>223125</v>
      </c>
      <c r="F105" s="30">
        <v>230.13</v>
      </c>
      <c r="G105" s="31">
        <v>3.0999999999999999E-3</v>
      </c>
      <c r="H105" s="32"/>
    </row>
    <row r="106" spans="2:10" ht="15.75" customHeight="1" x14ac:dyDescent="0.2">
      <c r="B106" s="28" t="s">
        <v>1030</v>
      </c>
      <c r="C106" s="28" t="s">
        <v>1031</v>
      </c>
      <c r="D106" s="28" t="s">
        <v>326</v>
      </c>
      <c r="E106" s="29">
        <v>476395</v>
      </c>
      <c r="F106" s="30">
        <v>213.38</v>
      </c>
      <c r="G106" s="31">
        <v>2.8999999999999998E-3</v>
      </c>
      <c r="H106" s="32"/>
    </row>
    <row r="107" spans="2:10" ht="15.75" customHeight="1" x14ac:dyDescent="0.2">
      <c r="B107" s="27" t="s">
        <v>127</v>
      </c>
      <c r="C107" s="27"/>
      <c r="D107" s="27"/>
      <c r="E107" s="33"/>
      <c r="F107" s="34">
        <v>74430.850000000006</v>
      </c>
      <c r="G107" s="35">
        <v>0.99929999999999997</v>
      </c>
      <c r="H107" s="36"/>
    </row>
    <row r="108" spans="2:10" ht="15.75" customHeight="1" x14ac:dyDescent="0.2">
      <c r="B108" s="27" t="s">
        <v>189</v>
      </c>
      <c r="C108" s="28"/>
      <c r="D108" s="28"/>
      <c r="E108" s="29"/>
      <c r="F108" s="30"/>
      <c r="G108" s="31"/>
      <c r="H108" s="32"/>
      <c r="J108" s="3"/>
    </row>
    <row r="109" spans="2:10" ht="15.75" customHeight="1" x14ac:dyDescent="0.2">
      <c r="B109" s="27" t="s">
        <v>127</v>
      </c>
      <c r="C109" s="28"/>
      <c r="D109" s="28"/>
      <c r="E109" s="29"/>
      <c r="F109" s="37" t="s">
        <v>129</v>
      </c>
      <c r="G109" s="38" t="s">
        <v>129</v>
      </c>
      <c r="H109" s="32"/>
      <c r="J109" s="3"/>
    </row>
    <row r="110" spans="2:10" ht="15.75" customHeight="1" x14ac:dyDescent="0.2">
      <c r="B110" s="28"/>
      <c r="C110" s="28"/>
      <c r="D110" s="28"/>
      <c r="E110" s="29"/>
      <c r="F110" s="30"/>
      <c r="G110" s="31"/>
      <c r="H110" s="32"/>
    </row>
    <row r="111" spans="2:10" ht="15.75" customHeight="1" x14ac:dyDescent="0.2">
      <c r="B111" s="39" t="s">
        <v>131</v>
      </c>
      <c r="C111" s="39"/>
      <c r="D111" s="39"/>
      <c r="E111" s="40"/>
      <c r="F111" s="34">
        <v>74430.850000000006</v>
      </c>
      <c r="G111" s="35">
        <v>0.99929999999999997</v>
      </c>
      <c r="H111" s="36"/>
    </row>
    <row r="112" spans="2:10"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134</v>
      </c>
      <c r="C114" s="28"/>
      <c r="D114" s="28"/>
      <c r="E114" s="29"/>
      <c r="F114" s="30"/>
      <c r="G114" s="31"/>
      <c r="H114" s="32"/>
    </row>
    <row r="115" spans="2:8" ht="15.75" customHeight="1" x14ac:dyDescent="0.2">
      <c r="B115" s="28" t="s">
        <v>135</v>
      </c>
      <c r="C115" s="28"/>
      <c r="D115" s="28"/>
      <c r="E115" s="29"/>
      <c r="F115" s="30">
        <v>32.68</v>
      </c>
      <c r="G115" s="31">
        <v>4.0000000000000002E-4</v>
      </c>
      <c r="H115" s="32"/>
    </row>
    <row r="116" spans="2:8" ht="15.75" customHeight="1" x14ac:dyDescent="0.2">
      <c r="B116" s="27" t="s">
        <v>127</v>
      </c>
      <c r="C116" s="27"/>
      <c r="D116" s="27"/>
      <c r="E116" s="33"/>
      <c r="F116" s="34">
        <v>32.68</v>
      </c>
      <c r="G116" s="35">
        <v>4.0000000000000002E-4</v>
      </c>
      <c r="H116" s="36"/>
    </row>
    <row r="117" spans="2:8" ht="15.75" customHeight="1" x14ac:dyDescent="0.2">
      <c r="B117" s="28"/>
      <c r="C117" s="28"/>
      <c r="D117" s="28"/>
      <c r="E117" s="29"/>
      <c r="F117" s="30"/>
      <c r="G117" s="31"/>
      <c r="H117" s="32"/>
    </row>
    <row r="118" spans="2:8" ht="15.75" customHeight="1" x14ac:dyDescent="0.2">
      <c r="B118" s="39" t="s">
        <v>131</v>
      </c>
      <c r="C118" s="39"/>
      <c r="D118" s="39"/>
      <c r="E118" s="40"/>
      <c r="F118" s="34">
        <v>32.68</v>
      </c>
      <c r="G118" s="35">
        <v>4.0000000000000002E-4</v>
      </c>
      <c r="H118" s="36"/>
    </row>
    <row r="119" spans="2:8" ht="15.75" customHeight="1" x14ac:dyDescent="0.2">
      <c r="B119" s="28" t="s">
        <v>136</v>
      </c>
      <c r="C119" s="28"/>
      <c r="D119" s="28"/>
      <c r="E119" s="29"/>
      <c r="F119" s="30">
        <v>14.26</v>
      </c>
      <c r="G119" s="31">
        <v>3.0000000000007798E-4</v>
      </c>
      <c r="H119" s="32"/>
    </row>
    <row r="120" spans="2:8" ht="15.75" customHeight="1" x14ac:dyDescent="0.2">
      <c r="B120" s="43" t="s">
        <v>137</v>
      </c>
      <c r="C120" s="43"/>
      <c r="D120" s="43"/>
      <c r="E120" s="44"/>
      <c r="F120" s="45">
        <v>74477.789999999994</v>
      </c>
      <c r="G120" s="46">
        <v>1</v>
      </c>
      <c r="H120" s="47"/>
    </row>
    <row r="121" spans="2:8" ht="15.75" customHeight="1" x14ac:dyDescent="0.2">
      <c r="B121" s="2"/>
    </row>
    <row r="124" spans="2:8" ht="15.75" customHeight="1" thickBot="1" x14ac:dyDescent="0.25"/>
    <row r="125" spans="2:8" ht="39.75" customHeight="1" thickBot="1" x14ac:dyDescent="0.25">
      <c r="B125" s="48" t="s">
        <v>139</v>
      </c>
      <c r="C125" s="49" t="s">
        <v>140</v>
      </c>
      <c r="D125" s="49" t="s">
        <v>141</v>
      </c>
      <c r="E125" s="49" t="s">
        <v>142</v>
      </c>
    </row>
    <row r="126" spans="2:8" ht="39.75" customHeight="1" x14ac:dyDescent="0.2">
      <c r="B126" s="61" t="s">
        <v>83</v>
      </c>
      <c r="C126" s="77"/>
      <c r="D126" s="80" t="s">
        <v>1032</v>
      </c>
      <c r="E126" s="81"/>
    </row>
    <row r="127" spans="2:8" ht="39.75" customHeight="1" x14ac:dyDescent="0.2">
      <c r="B127" s="52" t="s">
        <v>1033</v>
      </c>
      <c r="C127" s="78"/>
      <c r="D127" s="80"/>
      <c r="E127" s="82"/>
    </row>
    <row r="128" spans="2:8" ht="39.75" customHeight="1" x14ac:dyDescent="0.2">
      <c r="B128" s="52" t="s">
        <v>1034</v>
      </c>
      <c r="C128" s="78"/>
      <c r="D128" s="80"/>
      <c r="E128" s="82"/>
    </row>
    <row r="129" spans="2:5" ht="39.75" customHeight="1" thickBot="1" x14ac:dyDescent="0.25">
      <c r="B129" s="62" t="s">
        <v>521</v>
      </c>
      <c r="C129" s="79"/>
      <c r="D129" s="50" t="s">
        <v>562</v>
      </c>
      <c r="E129" s="83"/>
    </row>
    <row r="130" spans="2:5" ht="15.75" customHeight="1" x14ac:dyDescent="0.2">
      <c r="B130" s="9" t="s">
        <v>144</v>
      </c>
    </row>
    <row r="132" spans="2:5" ht="15.75" customHeight="1" x14ac:dyDescent="0.2">
      <c r="B132" s="9" t="s">
        <v>145</v>
      </c>
    </row>
    <row r="133" spans="2:5" ht="15.75" customHeight="1" x14ac:dyDescent="0.2">
      <c r="B133" s="15" t="s">
        <v>146</v>
      </c>
    </row>
  </sheetData>
  <mergeCells count="3">
    <mergeCell ref="C126:C129"/>
    <mergeCell ref="D126:D128"/>
    <mergeCell ref="E126:E129"/>
  </mergeCells>
  <hyperlinks>
    <hyperlink ref="G1" location="'Sheet1'!A1" display="Index" xr:uid="{795D2748-3772-4E64-BFD1-0C990BDC0DE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3F0F-6DD4-40B0-967A-E04BE79FCDED}">
  <dimension ref="B1:N112"/>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327</v>
      </c>
      <c r="C7" s="28" t="s">
        <v>328</v>
      </c>
      <c r="D7" s="28" t="s">
        <v>329</v>
      </c>
      <c r="E7" s="29">
        <v>524012</v>
      </c>
      <c r="F7" s="30">
        <v>4294.0200000000004</v>
      </c>
      <c r="G7" s="31">
        <v>5.1200000000000002E-2</v>
      </c>
      <c r="H7" s="32"/>
    </row>
    <row r="8" spans="2:8" ht="15.75" customHeight="1" x14ac:dyDescent="0.2">
      <c r="B8" s="28" t="s">
        <v>186</v>
      </c>
      <c r="C8" s="28" t="s">
        <v>187</v>
      </c>
      <c r="D8" s="28" t="s">
        <v>188</v>
      </c>
      <c r="E8" s="29">
        <v>85571</v>
      </c>
      <c r="F8" s="30">
        <v>2984.03</v>
      </c>
      <c r="G8" s="31">
        <v>3.56E-2</v>
      </c>
      <c r="H8" s="32"/>
    </row>
    <row r="9" spans="2:8" ht="15.75" customHeight="1" x14ac:dyDescent="0.2">
      <c r="B9" s="28" t="s">
        <v>340</v>
      </c>
      <c r="C9" s="28" t="s">
        <v>341</v>
      </c>
      <c r="D9" s="28" t="s">
        <v>263</v>
      </c>
      <c r="E9" s="29">
        <v>209570</v>
      </c>
      <c r="F9" s="30">
        <v>2915.33</v>
      </c>
      <c r="G9" s="31">
        <v>3.4799999999999998E-2</v>
      </c>
      <c r="H9" s="32"/>
    </row>
    <row r="10" spans="2:8" ht="15.75" customHeight="1" x14ac:dyDescent="0.2">
      <c r="B10" s="28" t="s">
        <v>330</v>
      </c>
      <c r="C10" s="28" t="s">
        <v>331</v>
      </c>
      <c r="D10" s="28" t="s">
        <v>329</v>
      </c>
      <c r="E10" s="29">
        <v>82272</v>
      </c>
      <c r="F10" s="30">
        <v>2806.96</v>
      </c>
      <c r="G10" s="31">
        <v>3.3500000000000002E-2</v>
      </c>
      <c r="H10" s="32"/>
    </row>
    <row r="11" spans="2:8" ht="15.75" customHeight="1" x14ac:dyDescent="0.2">
      <c r="B11" s="28" t="s">
        <v>873</v>
      </c>
      <c r="C11" s="28" t="s">
        <v>874</v>
      </c>
      <c r="D11" s="28" t="s">
        <v>329</v>
      </c>
      <c r="E11" s="29">
        <v>56640</v>
      </c>
      <c r="F11" s="30">
        <v>2460.5</v>
      </c>
      <c r="G11" s="31">
        <v>2.93E-2</v>
      </c>
      <c r="H11" s="32"/>
    </row>
    <row r="12" spans="2:8" ht="15.75" customHeight="1" x14ac:dyDescent="0.2">
      <c r="B12" s="28" t="s">
        <v>875</v>
      </c>
      <c r="C12" s="28" t="s">
        <v>876</v>
      </c>
      <c r="D12" s="28" t="s">
        <v>178</v>
      </c>
      <c r="E12" s="29">
        <v>465606</v>
      </c>
      <c r="F12" s="30">
        <v>2437.21</v>
      </c>
      <c r="G12" s="31">
        <v>2.9100000000000001E-2</v>
      </c>
      <c r="H12" s="32"/>
    </row>
    <row r="13" spans="2:8" ht="15.75" customHeight="1" x14ac:dyDescent="0.2">
      <c r="B13" s="28" t="s">
        <v>372</v>
      </c>
      <c r="C13" s="28" t="s">
        <v>373</v>
      </c>
      <c r="D13" s="28" t="s">
        <v>290</v>
      </c>
      <c r="E13" s="29">
        <v>78478</v>
      </c>
      <c r="F13" s="30">
        <v>2372.6999999999998</v>
      </c>
      <c r="G13" s="31">
        <v>2.8299999999999999E-2</v>
      </c>
      <c r="H13" s="32"/>
    </row>
    <row r="14" spans="2:8" ht="15.75" customHeight="1" x14ac:dyDescent="0.2">
      <c r="B14" s="28" t="s">
        <v>720</v>
      </c>
      <c r="C14" s="28" t="s">
        <v>721</v>
      </c>
      <c r="D14" s="28" t="s">
        <v>188</v>
      </c>
      <c r="E14" s="29">
        <v>36100</v>
      </c>
      <c r="F14" s="30">
        <v>2001.38</v>
      </c>
      <c r="G14" s="31">
        <v>2.3900000000000001E-2</v>
      </c>
      <c r="H14" s="32"/>
    </row>
    <row r="15" spans="2:8" ht="15.75" customHeight="1" x14ac:dyDescent="0.2">
      <c r="B15" s="28" t="s">
        <v>473</v>
      </c>
      <c r="C15" s="28" t="s">
        <v>474</v>
      </c>
      <c r="D15" s="28" t="s">
        <v>224</v>
      </c>
      <c r="E15" s="29">
        <v>928947</v>
      </c>
      <c r="F15" s="30">
        <v>1854.46</v>
      </c>
      <c r="G15" s="31">
        <v>2.2100000000000002E-2</v>
      </c>
      <c r="H15" s="32"/>
    </row>
    <row r="16" spans="2:8" ht="15.75" customHeight="1" x14ac:dyDescent="0.2">
      <c r="B16" s="28" t="s">
        <v>802</v>
      </c>
      <c r="C16" s="28" t="s">
        <v>803</v>
      </c>
      <c r="D16" s="28" t="s">
        <v>290</v>
      </c>
      <c r="E16" s="29">
        <v>212601</v>
      </c>
      <c r="F16" s="30">
        <v>1778.41</v>
      </c>
      <c r="G16" s="31">
        <v>2.12E-2</v>
      </c>
      <c r="H16" s="32"/>
    </row>
    <row r="17" spans="2:8" ht="15.75" customHeight="1" x14ac:dyDescent="0.2">
      <c r="B17" s="28" t="s">
        <v>176</v>
      </c>
      <c r="C17" s="28" t="s">
        <v>177</v>
      </c>
      <c r="D17" s="28" t="s">
        <v>178</v>
      </c>
      <c r="E17" s="29">
        <v>127862</v>
      </c>
      <c r="F17" s="30">
        <v>1693.79</v>
      </c>
      <c r="G17" s="31">
        <v>2.0199999999999999E-2</v>
      </c>
      <c r="H17" s="32"/>
    </row>
    <row r="18" spans="2:8" ht="15.75" customHeight="1" x14ac:dyDescent="0.2">
      <c r="B18" s="28" t="s">
        <v>1035</v>
      </c>
      <c r="C18" s="28" t="s">
        <v>1036</v>
      </c>
      <c r="D18" s="28" t="s">
        <v>329</v>
      </c>
      <c r="E18" s="29">
        <v>100271</v>
      </c>
      <c r="F18" s="30">
        <v>1693.68</v>
      </c>
      <c r="G18" s="31">
        <v>2.0199999999999999E-2</v>
      </c>
      <c r="H18" s="32"/>
    </row>
    <row r="19" spans="2:8" ht="15.75" customHeight="1" x14ac:dyDescent="0.2">
      <c r="B19" s="28" t="s">
        <v>615</v>
      </c>
      <c r="C19" s="28" t="s">
        <v>616</v>
      </c>
      <c r="D19" s="28" t="s">
        <v>290</v>
      </c>
      <c r="E19" s="29">
        <v>140517</v>
      </c>
      <c r="F19" s="30">
        <v>1673.14</v>
      </c>
      <c r="G19" s="31">
        <v>0.02</v>
      </c>
      <c r="H19" s="32"/>
    </row>
    <row r="20" spans="2:8" ht="15.75" customHeight="1" x14ac:dyDescent="0.2">
      <c r="B20" s="28" t="s">
        <v>798</v>
      </c>
      <c r="C20" s="28" t="s">
        <v>799</v>
      </c>
      <c r="D20" s="28" t="s">
        <v>329</v>
      </c>
      <c r="E20" s="29">
        <v>42547</v>
      </c>
      <c r="F20" s="30">
        <v>1625.93</v>
      </c>
      <c r="G20" s="31">
        <v>1.9400000000000001E-2</v>
      </c>
      <c r="H20" s="32"/>
    </row>
    <row r="21" spans="2:8" ht="15.75" customHeight="1" x14ac:dyDescent="0.2">
      <c r="B21" s="28" t="s">
        <v>563</v>
      </c>
      <c r="C21" s="28" t="s">
        <v>564</v>
      </c>
      <c r="D21" s="28" t="s">
        <v>188</v>
      </c>
      <c r="E21" s="29">
        <v>9650</v>
      </c>
      <c r="F21" s="30">
        <v>1561.95</v>
      </c>
      <c r="G21" s="31">
        <v>1.8599999999999998E-2</v>
      </c>
      <c r="H21" s="32"/>
    </row>
    <row r="22" spans="2:8" ht="15.75" customHeight="1" x14ac:dyDescent="0.2">
      <c r="B22" s="28" t="s">
        <v>181</v>
      </c>
      <c r="C22" s="28" t="s">
        <v>182</v>
      </c>
      <c r="D22" s="28" t="s">
        <v>183</v>
      </c>
      <c r="E22" s="29">
        <v>62970</v>
      </c>
      <c r="F22" s="30">
        <v>1552.53</v>
      </c>
      <c r="G22" s="31">
        <v>1.8499999999999999E-2</v>
      </c>
      <c r="H22" s="32"/>
    </row>
    <row r="23" spans="2:8" ht="15.75" customHeight="1" x14ac:dyDescent="0.2">
      <c r="B23" s="28" t="s">
        <v>711</v>
      </c>
      <c r="C23" s="28" t="s">
        <v>712</v>
      </c>
      <c r="D23" s="28" t="s">
        <v>466</v>
      </c>
      <c r="E23" s="29">
        <v>4210</v>
      </c>
      <c r="F23" s="30">
        <v>1536.44</v>
      </c>
      <c r="G23" s="31">
        <v>1.83E-2</v>
      </c>
      <c r="H23" s="32"/>
    </row>
    <row r="24" spans="2:8" ht="15.75" customHeight="1" x14ac:dyDescent="0.2">
      <c r="B24" s="28" t="s">
        <v>617</v>
      </c>
      <c r="C24" s="28" t="s">
        <v>618</v>
      </c>
      <c r="D24" s="28" t="s">
        <v>290</v>
      </c>
      <c r="E24" s="29">
        <v>185222</v>
      </c>
      <c r="F24" s="30">
        <v>1435.29</v>
      </c>
      <c r="G24" s="31">
        <v>1.7100000000000001E-2</v>
      </c>
      <c r="H24" s="32"/>
    </row>
    <row r="25" spans="2:8" ht="15.75" customHeight="1" x14ac:dyDescent="0.2">
      <c r="B25" s="28" t="s">
        <v>477</v>
      </c>
      <c r="C25" s="28" t="s">
        <v>478</v>
      </c>
      <c r="D25" s="28" t="s">
        <v>290</v>
      </c>
      <c r="E25" s="29">
        <v>47014</v>
      </c>
      <c r="F25" s="30">
        <v>1428</v>
      </c>
      <c r="G25" s="31">
        <v>1.7000000000000001E-2</v>
      </c>
      <c r="H25" s="32"/>
    </row>
    <row r="26" spans="2:8" ht="15.75" customHeight="1" x14ac:dyDescent="0.2">
      <c r="B26" s="28" t="s">
        <v>347</v>
      </c>
      <c r="C26" s="28" t="s">
        <v>348</v>
      </c>
      <c r="D26" s="28" t="s">
        <v>349</v>
      </c>
      <c r="E26" s="29">
        <v>637136</v>
      </c>
      <c r="F26" s="30">
        <v>1408.9</v>
      </c>
      <c r="G26" s="31">
        <v>1.6799999999999999E-2</v>
      </c>
      <c r="H26" s="32"/>
    </row>
    <row r="27" spans="2:8" ht="15.75" customHeight="1" x14ac:dyDescent="0.2">
      <c r="B27" s="28" t="s">
        <v>839</v>
      </c>
      <c r="C27" s="28" t="s">
        <v>840</v>
      </c>
      <c r="D27" s="28" t="s">
        <v>218</v>
      </c>
      <c r="E27" s="29">
        <v>310884</v>
      </c>
      <c r="F27" s="30">
        <v>1404.73</v>
      </c>
      <c r="G27" s="31">
        <v>1.67E-2</v>
      </c>
      <c r="H27" s="32"/>
    </row>
    <row r="28" spans="2:8" ht="15.75" customHeight="1" x14ac:dyDescent="0.2">
      <c r="B28" s="28" t="s">
        <v>288</v>
      </c>
      <c r="C28" s="28" t="s">
        <v>289</v>
      </c>
      <c r="D28" s="28" t="s">
        <v>290</v>
      </c>
      <c r="E28" s="29">
        <v>525310</v>
      </c>
      <c r="F28" s="30">
        <v>1394.65</v>
      </c>
      <c r="G28" s="31">
        <v>1.66E-2</v>
      </c>
      <c r="H28" s="32"/>
    </row>
    <row r="29" spans="2:8" ht="15.75" customHeight="1" x14ac:dyDescent="0.2">
      <c r="B29" s="28" t="s">
        <v>1037</v>
      </c>
      <c r="C29" s="28" t="s">
        <v>1038</v>
      </c>
      <c r="D29" s="28" t="s">
        <v>178</v>
      </c>
      <c r="E29" s="29">
        <v>104336</v>
      </c>
      <c r="F29" s="30">
        <v>1329.14</v>
      </c>
      <c r="G29" s="31">
        <v>1.5800000000000002E-2</v>
      </c>
      <c r="H29" s="32"/>
    </row>
    <row r="30" spans="2:8" ht="15.75" customHeight="1" x14ac:dyDescent="0.2">
      <c r="B30" s="28" t="s">
        <v>471</v>
      </c>
      <c r="C30" s="28" t="s">
        <v>472</v>
      </c>
      <c r="D30" s="28" t="s">
        <v>326</v>
      </c>
      <c r="E30" s="29">
        <v>290583</v>
      </c>
      <c r="F30" s="30">
        <v>1301.96</v>
      </c>
      <c r="G30" s="31">
        <v>1.55E-2</v>
      </c>
      <c r="H30" s="32"/>
    </row>
    <row r="31" spans="2:8" ht="15.75" customHeight="1" x14ac:dyDescent="0.2">
      <c r="B31" s="28" t="s">
        <v>760</v>
      </c>
      <c r="C31" s="28" t="s">
        <v>761</v>
      </c>
      <c r="D31" s="28" t="s">
        <v>246</v>
      </c>
      <c r="E31" s="29">
        <v>327107</v>
      </c>
      <c r="F31" s="30">
        <v>1261.98</v>
      </c>
      <c r="G31" s="31">
        <v>1.4999999999999999E-2</v>
      </c>
      <c r="H31" s="32"/>
    </row>
    <row r="32" spans="2:8" ht="15.75" customHeight="1" x14ac:dyDescent="0.2">
      <c r="B32" s="28" t="s">
        <v>443</v>
      </c>
      <c r="C32" s="28" t="s">
        <v>444</v>
      </c>
      <c r="D32" s="28" t="s">
        <v>329</v>
      </c>
      <c r="E32" s="29">
        <v>118317</v>
      </c>
      <c r="F32" s="30">
        <v>1183.05</v>
      </c>
      <c r="G32" s="31">
        <v>1.41E-2</v>
      </c>
      <c r="H32" s="32"/>
    </row>
    <row r="33" spans="2:8" ht="15.75" customHeight="1" x14ac:dyDescent="0.2">
      <c r="B33" s="28" t="s">
        <v>428</v>
      </c>
      <c r="C33" s="28" t="s">
        <v>429</v>
      </c>
      <c r="D33" s="28" t="s">
        <v>430</v>
      </c>
      <c r="E33" s="29">
        <v>174445</v>
      </c>
      <c r="F33" s="30">
        <v>1134.07</v>
      </c>
      <c r="G33" s="31">
        <v>1.35E-2</v>
      </c>
      <c r="H33" s="32"/>
    </row>
    <row r="34" spans="2:8" ht="15.75" customHeight="1" x14ac:dyDescent="0.2">
      <c r="B34" s="28" t="s">
        <v>733</v>
      </c>
      <c r="C34" s="28" t="s">
        <v>734</v>
      </c>
      <c r="D34" s="28" t="s">
        <v>329</v>
      </c>
      <c r="E34" s="29">
        <v>143425</v>
      </c>
      <c r="F34" s="30">
        <v>1133.99</v>
      </c>
      <c r="G34" s="31">
        <v>1.35E-2</v>
      </c>
      <c r="H34" s="32"/>
    </row>
    <row r="35" spans="2:8" ht="15.75" customHeight="1" x14ac:dyDescent="0.2">
      <c r="B35" s="28" t="s">
        <v>216</v>
      </c>
      <c r="C35" s="28" t="s">
        <v>217</v>
      </c>
      <c r="D35" s="28" t="s">
        <v>218</v>
      </c>
      <c r="E35" s="29">
        <v>261985</v>
      </c>
      <c r="F35" s="30">
        <v>1116.32</v>
      </c>
      <c r="G35" s="31">
        <v>1.3299999999999999E-2</v>
      </c>
      <c r="H35" s="32"/>
    </row>
    <row r="36" spans="2:8" ht="15.75" customHeight="1" x14ac:dyDescent="0.2">
      <c r="B36" s="28" t="s">
        <v>749</v>
      </c>
      <c r="C36" s="28" t="s">
        <v>750</v>
      </c>
      <c r="D36" s="28" t="s">
        <v>218</v>
      </c>
      <c r="E36" s="29">
        <v>23803</v>
      </c>
      <c r="F36" s="30">
        <v>1113.93</v>
      </c>
      <c r="G36" s="31">
        <v>1.3299999999999999E-2</v>
      </c>
      <c r="H36" s="32"/>
    </row>
    <row r="37" spans="2:8" ht="15.75" customHeight="1" x14ac:dyDescent="0.2">
      <c r="B37" s="28" t="s">
        <v>332</v>
      </c>
      <c r="C37" s="28" t="s">
        <v>333</v>
      </c>
      <c r="D37" s="28" t="s">
        <v>224</v>
      </c>
      <c r="E37" s="29">
        <v>63284</v>
      </c>
      <c r="F37" s="30">
        <v>1069.94</v>
      </c>
      <c r="G37" s="31">
        <v>1.2800000000000001E-2</v>
      </c>
      <c r="H37" s="32"/>
    </row>
    <row r="38" spans="2:8" ht="15.75" customHeight="1" x14ac:dyDescent="0.2">
      <c r="B38" s="28" t="s">
        <v>214</v>
      </c>
      <c r="C38" s="28" t="s">
        <v>215</v>
      </c>
      <c r="D38" s="28" t="s">
        <v>183</v>
      </c>
      <c r="E38" s="29">
        <v>250086</v>
      </c>
      <c r="F38" s="30">
        <v>1051.24</v>
      </c>
      <c r="G38" s="31">
        <v>1.2500000000000001E-2</v>
      </c>
      <c r="H38" s="32"/>
    </row>
    <row r="39" spans="2:8" ht="15.75" customHeight="1" x14ac:dyDescent="0.2">
      <c r="B39" s="28" t="s">
        <v>278</v>
      </c>
      <c r="C39" s="28" t="s">
        <v>279</v>
      </c>
      <c r="D39" s="28" t="s">
        <v>280</v>
      </c>
      <c r="E39" s="29">
        <v>257092</v>
      </c>
      <c r="F39" s="30">
        <v>1040.97</v>
      </c>
      <c r="G39" s="31">
        <v>1.24E-2</v>
      </c>
      <c r="H39" s="32"/>
    </row>
    <row r="40" spans="2:8" ht="15.75" customHeight="1" x14ac:dyDescent="0.2">
      <c r="B40" s="28" t="s">
        <v>489</v>
      </c>
      <c r="C40" s="28" t="s">
        <v>490</v>
      </c>
      <c r="D40" s="28" t="s">
        <v>349</v>
      </c>
      <c r="E40" s="29">
        <v>62734</v>
      </c>
      <c r="F40" s="30">
        <v>1036.55</v>
      </c>
      <c r="G40" s="31">
        <v>1.24E-2</v>
      </c>
      <c r="H40" s="32"/>
    </row>
    <row r="41" spans="2:8" ht="15.75" customHeight="1" x14ac:dyDescent="0.2">
      <c r="B41" s="28" t="s">
        <v>822</v>
      </c>
      <c r="C41" s="28" t="s">
        <v>823</v>
      </c>
      <c r="D41" s="28" t="s">
        <v>590</v>
      </c>
      <c r="E41" s="29">
        <v>313080</v>
      </c>
      <c r="F41" s="30">
        <v>998.1</v>
      </c>
      <c r="G41" s="31">
        <v>1.1900000000000001E-2</v>
      </c>
      <c r="H41" s="32"/>
    </row>
    <row r="42" spans="2:8" ht="15.75" customHeight="1" x14ac:dyDescent="0.2">
      <c r="B42" s="28" t="s">
        <v>467</v>
      </c>
      <c r="C42" s="28" t="s">
        <v>468</v>
      </c>
      <c r="D42" s="28" t="s">
        <v>188</v>
      </c>
      <c r="E42" s="29">
        <v>26383</v>
      </c>
      <c r="F42" s="30">
        <v>925.7</v>
      </c>
      <c r="G42" s="31">
        <v>1.0999999999999999E-2</v>
      </c>
      <c r="H42" s="32"/>
    </row>
    <row r="43" spans="2:8" ht="15.75" customHeight="1" x14ac:dyDescent="0.2">
      <c r="B43" s="28" t="s">
        <v>766</v>
      </c>
      <c r="C43" s="28" t="s">
        <v>767</v>
      </c>
      <c r="D43" s="28" t="s">
        <v>768</v>
      </c>
      <c r="E43" s="29">
        <v>3115</v>
      </c>
      <c r="F43" s="30">
        <v>920.79</v>
      </c>
      <c r="G43" s="31">
        <v>1.0999999999999999E-2</v>
      </c>
      <c r="H43" s="32"/>
    </row>
    <row r="44" spans="2:8" ht="15.75" customHeight="1" x14ac:dyDescent="0.2">
      <c r="B44" s="28" t="s">
        <v>881</v>
      </c>
      <c r="C44" s="28" t="s">
        <v>882</v>
      </c>
      <c r="D44" s="28" t="s">
        <v>329</v>
      </c>
      <c r="E44" s="29">
        <v>78203</v>
      </c>
      <c r="F44" s="30">
        <v>874.78</v>
      </c>
      <c r="G44" s="31">
        <v>1.04E-2</v>
      </c>
      <c r="H44" s="32"/>
    </row>
    <row r="45" spans="2:8" ht="15.75" customHeight="1" x14ac:dyDescent="0.2">
      <c r="B45" s="28" t="s">
        <v>324</v>
      </c>
      <c r="C45" s="28" t="s">
        <v>325</v>
      </c>
      <c r="D45" s="28" t="s">
        <v>326</v>
      </c>
      <c r="E45" s="29">
        <v>20620</v>
      </c>
      <c r="F45" s="30">
        <v>831.17</v>
      </c>
      <c r="G45" s="31">
        <v>9.9000000000000008E-3</v>
      </c>
      <c r="H45" s="32"/>
    </row>
    <row r="46" spans="2:8" ht="15.75" customHeight="1" x14ac:dyDescent="0.2">
      <c r="B46" s="28" t="s">
        <v>812</v>
      </c>
      <c r="C46" s="28" t="s">
        <v>813</v>
      </c>
      <c r="D46" s="28" t="s">
        <v>466</v>
      </c>
      <c r="E46" s="29">
        <v>583916</v>
      </c>
      <c r="F46" s="30">
        <v>796.81</v>
      </c>
      <c r="G46" s="31">
        <v>9.4999999999999998E-3</v>
      </c>
      <c r="H46" s="32"/>
    </row>
    <row r="47" spans="2:8" ht="15.75" customHeight="1" x14ac:dyDescent="0.2">
      <c r="B47" s="28" t="s">
        <v>944</v>
      </c>
      <c r="C47" s="28" t="s">
        <v>945</v>
      </c>
      <c r="D47" s="28" t="s">
        <v>290</v>
      </c>
      <c r="E47" s="29">
        <v>25696</v>
      </c>
      <c r="F47" s="30">
        <v>795.63</v>
      </c>
      <c r="G47" s="31">
        <v>9.4999999999999998E-3</v>
      </c>
      <c r="H47" s="32"/>
    </row>
    <row r="48" spans="2:8" ht="15.75" customHeight="1" x14ac:dyDescent="0.2">
      <c r="B48" s="28" t="s">
        <v>934</v>
      </c>
      <c r="C48" s="28" t="s">
        <v>935</v>
      </c>
      <c r="D48" s="28" t="s">
        <v>178</v>
      </c>
      <c r="E48" s="29">
        <v>1660956</v>
      </c>
      <c r="F48" s="30">
        <v>784.14</v>
      </c>
      <c r="G48" s="31">
        <v>9.2999999999999992E-3</v>
      </c>
      <c r="H48" s="32"/>
    </row>
    <row r="49" spans="2:8" ht="15.75" customHeight="1" x14ac:dyDescent="0.2">
      <c r="B49" s="28" t="s">
        <v>792</v>
      </c>
      <c r="C49" s="28" t="s">
        <v>793</v>
      </c>
      <c r="D49" s="28" t="s">
        <v>260</v>
      </c>
      <c r="E49" s="29">
        <v>279083</v>
      </c>
      <c r="F49" s="30">
        <v>781.01</v>
      </c>
      <c r="G49" s="31">
        <v>9.2999999999999992E-3</v>
      </c>
      <c r="H49" s="32"/>
    </row>
    <row r="50" spans="2:8" ht="15.75" customHeight="1" x14ac:dyDescent="0.2">
      <c r="B50" s="28" t="s">
        <v>680</v>
      </c>
      <c r="C50" s="28" t="s">
        <v>681</v>
      </c>
      <c r="D50" s="28" t="s">
        <v>178</v>
      </c>
      <c r="E50" s="29">
        <v>19055</v>
      </c>
      <c r="F50" s="30">
        <v>766.28</v>
      </c>
      <c r="G50" s="31">
        <v>9.1000000000000004E-3</v>
      </c>
      <c r="H50" s="32"/>
    </row>
    <row r="51" spans="2:8" ht="15.75" customHeight="1" x14ac:dyDescent="0.2">
      <c r="B51" s="28" t="s">
        <v>832</v>
      </c>
      <c r="C51" s="28" t="s">
        <v>833</v>
      </c>
      <c r="D51" s="28" t="s">
        <v>329</v>
      </c>
      <c r="E51" s="29">
        <v>1072014</v>
      </c>
      <c r="F51" s="30">
        <v>750.73</v>
      </c>
      <c r="G51" s="31">
        <v>8.9999999999999993E-3</v>
      </c>
      <c r="H51" s="32"/>
    </row>
    <row r="52" spans="2:8" ht="15.75" customHeight="1" x14ac:dyDescent="0.2">
      <c r="B52" s="28" t="s">
        <v>794</v>
      </c>
      <c r="C52" s="28" t="s">
        <v>795</v>
      </c>
      <c r="D52" s="28" t="s">
        <v>466</v>
      </c>
      <c r="E52" s="29">
        <v>35851</v>
      </c>
      <c r="F52" s="30">
        <v>747.78</v>
      </c>
      <c r="G52" s="31">
        <v>8.8999999999999999E-3</v>
      </c>
      <c r="H52" s="32"/>
    </row>
    <row r="53" spans="2:8" ht="15.75" customHeight="1" x14ac:dyDescent="0.2">
      <c r="B53" s="28" t="s">
        <v>404</v>
      </c>
      <c r="C53" s="28" t="s">
        <v>405</v>
      </c>
      <c r="D53" s="28" t="s">
        <v>326</v>
      </c>
      <c r="E53" s="29">
        <v>81881</v>
      </c>
      <c r="F53" s="30">
        <v>720.18</v>
      </c>
      <c r="G53" s="31">
        <v>8.6E-3</v>
      </c>
      <c r="H53" s="32"/>
    </row>
    <row r="54" spans="2:8" ht="15.75" customHeight="1" x14ac:dyDescent="0.2">
      <c r="B54" s="28" t="s">
        <v>438</v>
      </c>
      <c r="C54" s="28" t="s">
        <v>439</v>
      </c>
      <c r="D54" s="28" t="s">
        <v>224</v>
      </c>
      <c r="E54" s="29">
        <v>2407</v>
      </c>
      <c r="F54" s="30">
        <v>697.91</v>
      </c>
      <c r="G54" s="31">
        <v>8.3000000000000001E-3</v>
      </c>
      <c r="H54" s="32"/>
    </row>
    <row r="55" spans="2:8" ht="15.75" customHeight="1" x14ac:dyDescent="0.2">
      <c r="B55" s="28" t="s">
        <v>830</v>
      </c>
      <c r="C55" s="28" t="s">
        <v>831</v>
      </c>
      <c r="D55" s="28" t="s">
        <v>349</v>
      </c>
      <c r="E55" s="29">
        <v>12069</v>
      </c>
      <c r="F55" s="30">
        <v>688.9</v>
      </c>
      <c r="G55" s="31">
        <v>8.2000000000000007E-3</v>
      </c>
      <c r="H55" s="32"/>
    </row>
    <row r="56" spans="2:8" ht="15.75" customHeight="1" x14ac:dyDescent="0.2">
      <c r="B56" s="28" t="s">
        <v>623</v>
      </c>
      <c r="C56" s="28" t="s">
        <v>624</v>
      </c>
      <c r="D56" s="28" t="s">
        <v>389</v>
      </c>
      <c r="E56" s="29">
        <v>164650</v>
      </c>
      <c r="F56" s="30">
        <v>670.78</v>
      </c>
      <c r="G56" s="31">
        <v>8.0000000000000002E-3</v>
      </c>
      <c r="H56" s="32"/>
    </row>
    <row r="57" spans="2:8" ht="15.75" customHeight="1" x14ac:dyDescent="0.2">
      <c r="B57" s="28" t="s">
        <v>841</v>
      </c>
      <c r="C57" s="28" t="s">
        <v>842</v>
      </c>
      <c r="D57" s="28" t="s">
        <v>293</v>
      </c>
      <c r="E57" s="29">
        <v>7409</v>
      </c>
      <c r="F57" s="30">
        <v>668.03</v>
      </c>
      <c r="G57" s="31">
        <v>8.0000000000000002E-3</v>
      </c>
      <c r="H57" s="32"/>
    </row>
    <row r="58" spans="2:8" ht="15.75" customHeight="1" x14ac:dyDescent="0.2">
      <c r="B58" s="28" t="s">
        <v>588</v>
      </c>
      <c r="C58" s="28" t="s">
        <v>589</v>
      </c>
      <c r="D58" s="28" t="s">
        <v>590</v>
      </c>
      <c r="E58" s="29">
        <v>61974</v>
      </c>
      <c r="F58" s="30">
        <v>662.75</v>
      </c>
      <c r="G58" s="31">
        <v>7.9000000000000008E-3</v>
      </c>
      <c r="H58" s="32"/>
    </row>
    <row r="59" spans="2:8" ht="15.75" customHeight="1" x14ac:dyDescent="0.2">
      <c r="B59" s="28" t="s">
        <v>597</v>
      </c>
      <c r="C59" s="28" t="s">
        <v>598</v>
      </c>
      <c r="D59" s="28" t="s">
        <v>290</v>
      </c>
      <c r="E59" s="29">
        <v>18349</v>
      </c>
      <c r="F59" s="30">
        <v>584.53</v>
      </c>
      <c r="G59" s="31">
        <v>7.0000000000000001E-3</v>
      </c>
      <c r="H59" s="32"/>
    </row>
    <row r="60" spans="2:8" ht="15.75" customHeight="1" x14ac:dyDescent="0.2">
      <c r="B60" s="28" t="s">
        <v>1039</v>
      </c>
      <c r="C60" s="28" t="s">
        <v>1040</v>
      </c>
      <c r="D60" s="28" t="s">
        <v>224</v>
      </c>
      <c r="E60" s="29">
        <v>34094</v>
      </c>
      <c r="F60" s="30">
        <v>573.55999999999995</v>
      </c>
      <c r="G60" s="31">
        <v>6.7999999999999996E-3</v>
      </c>
      <c r="H60" s="32"/>
    </row>
    <row r="61" spans="2:8" ht="15.75" customHeight="1" x14ac:dyDescent="0.2">
      <c r="B61" s="28" t="s">
        <v>402</v>
      </c>
      <c r="C61" s="28" t="s">
        <v>403</v>
      </c>
      <c r="D61" s="28" t="s">
        <v>329</v>
      </c>
      <c r="E61" s="29">
        <v>48965</v>
      </c>
      <c r="F61" s="30">
        <v>524.76</v>
      </c>
      <c r="G61" s="31">
        <v>6.3E-3</v>
      </c>
      <c r="H61" s="32"/>
    </row>
    <row r="62" spans="2:8" ht="15.75" customHeight="1" x14ac:dyDescent="0.2">
      <c r="B62" s="28" t="s">
        <v>648</v>
      </c>
      <c r="C62" s="28" t="s">
        <v>649</v>
      </c>
      <c r="D62" s="28" t="s">
        <v>224</v>
      </c>
      <c r="E62" s="29">
        <v>34255</v>
      </c>
      <c r="F62" s="30">
        <v>514.27</v>
      </c>
      <c r="G62" s="31">
        <v>6.1000000000000004E-3</v>
      </c>
      <c r="H62" s="32"/>
    </row>
    <row r="63" spans="2:8" ht="15.75" customHeight="1" x14ac:dyDescent="0.2">
      <c r="B63" s="28" t="s">
        <v>883</v>
      </c>
      <c r="C63" s="28" t="s">
        <v>884</v>
      </c>
      <c r="D63" s="28" t="s">
        <v>466</v>
      </c>
      <c r="E63" s="29">
        <v>167410</v>
      </c>
      <c r="F63" s="30">
        <v>489.67</v>
      </c>
      <c r="G63" s="31">
        <v>5.7999999999999996E-3</v>
      </c>
      <c r="H63" s="32"/>
    </row>
    <row r="64" spans="2:8" ht="15.75" customHeight="1" x14ac:dyDescent="0.2">
      <c r="B64" s="28" t="s">
        <v>211</v>
      </c>
      <c r="C64" s="28" t="s">
        <v>212</v>
      </c>
      <c r="D64" s="28" t="s">
        <v>213</v>
      </c>
      <c r="E64" s="29">
        <v>262161</v>
      </c>
      <c r="F64" s="30">
        <v>479.34</v>
      </c>
      <c r="G64" s="31">
        <v>5.7000000000000002E-3</v>
      </c>
      <c r="H64" s="32"/>
    </row>
    <row r="65" spans="2:14" ht="15.75" customHeight="1" x14ac:dyDescent="0.2">
      <c r="B65" s="28" t="s">
        <v>625</v>
      </c>
      <c r="C65" s="28" t="s">
        <v>626</v>
      </c>
      <c r="D65" s="28" t="s">
        <v>260</v>
      </c>
      <c r="E65" s="29">
        <v>26962</v>
      </c>
      <c r="F65" s="30">
        <v>448.54</v>
      </c>
      <c r="G65" s="31">
        <v>5.3E-3</v>
      </c>
      <c r="H65" s="32"/>
    </row>
    <row r="66" spans="2:14" ht="15.75" customHeight="1" x14ac:dyDescent="0.2">
      <c r="B66" s="28" t="s">
        <v>464</v>
      </c>
      <c r="C66" s="28" t="s">
        <v>465</v>
      </c>
      <c r="D66" s="28" t="s">
        <v>466</v>
      </c>
      <c r="E66" s="29">
        <v>169012</v>
      </c>
      <c r="F66" s="30">
        <v>435.88</v>
      </c>
      <c r="G66" s="31">
        <v>5.1999999999999998E-3</v>
      </c>
      <c r="H66" s="32"/>
    </row>
    <row r="67" spans="2:14" ht="15.75" customHeight="1" x14ac:dyDescent="0.2">
      <c r="B67" s="28" t="s">
        <v>303</v>
      </c>
      <c r="C67" s="28" t="s">
        <v>304</v>
      </c>
      <c r="D67" s="28" t="s">
        <v>178</v>
      </c>
      <c r="E67" s="29">
        <v>1131</v>
      </c>
      <c r="F67" s="30">
        <v>421.24</v>
      </c>
      <c r="G67" s="31">
        <v>5.0000000000000001E-3</v>
      </c>
      <c r="H67" s="32"/>
      <c r="J67" s="3"/>
    </row>
    <row r="68" spans="2:14" ht="15.75" customHeight="1" x14ac:dyDescent="0.2">
      <c r="B68" s="28" t="s">
        <v>485</v>
      </c>
      <c r="C68" s="28" t="s">
        <v>486</v>
      </c>
      <c r="D68" s="28" t="s">
        <v>224</v>
      </c>
      <c r="E68" s="29">
        <v>21846</v>
      </c>
      <c r="F68" s="30">
        <v>405.05</v>
      </c>
      <c r="G68" s="31">
        <v>4.7999999999999996E-3</v>
      </c>
      <c r="H68" s="32"/>
    </row>
    <row r="69" spans="2:14" ht="15.75" customHeight="1" x14ac:dyDescent="0.2">
      <c r="B69" s="28" t="s">
        <v>591</v>
      </c>
      <c r="C69" s="28" t="s">
        <v>592</v>
      </c>
      <c r="D69" s="28" t="s">
        <v>290</v>
      </c>
      <c r="E69" s="29">
        <v>1889</v>
      </c>
      <c r="F69" s="30">
        <v>335.83</v>
      </c>
      <c r="G69" s="31">
        <v>4.0000000000000001E-3</v>
      </c>
      <c r="H69" s="32"/>
      <c r="J69" s="3"/>
    </row>
    <row r="70" spans="2:14" ht="15.75" customHeight="1" x14ac:dyDescent="0.2">
      <c r="B70" s="28" t="s">
        <v>633</v>
      </c>
      <c r="C70" s="28" t="s">
        <v>634</v>
      </c>
      <c r="D70" s="28" t="s">
        <v>329</v>
      </c>
      <c r="E70" s="29">
        <v>13535</v>
      </c>
      <c r="F70" s="30">
        <v>328.2</v>
      </c>
      <c r="G70" s="31">
        <v>3.8999999999999998E-3</v>
      </c>
      <c r="H70" s="32"/>
      <c r="J70" s="3"/>
    </row>
    <row r="71" spans="2:14" ht="15.75" customHeight="1" x14ac:dyDescent="0.2">
      <c r="B71" s="28" t="s">
        <v>891</v>
      </c>
      <c r="C71" s="28" t="s">
        <v>892</v>
      </c>
      <c r="D71" s="28" t="s">
        <v>169</v>
      </c>
      <c r="E71" s="29">
        <v>76978</v>
      </c>
      <c r="F71" s="30">
        <v>304.26</v>
      </c>
      <c r="G71" s="31">
        <v>3.5999999999999999E-3</v>
      </c>
      <c r="H71" s="32"/>
      <c r="J71" s="3"/>
    </row>
    <row r="72" spans="2:14" ht="15.75" customHeight="1" x14ac:dyDescent="0.2">
      <c r="B72" s="28" t="s">
        <v>928</v>
      </c>
      <c r="C72" s="28" t="s">
        <v>929</v>
      </c>
      <c r="D72" s="28" t="s">
        <v>178</v>
      </c>
      <c r="E72" s="29">
        <v>17023</v>
      </c>
      <c r="F72" s="30">
        <v>274.83999999999997</v>
      </c>
      <c r="G72" s="31">
        <v>3.3E-3</v>
      </c>
      <c r="H72" s="32"/>
      <c r="J72" s="3"/>
    </row>
    <row r="73" spans="2:14" ht="15.75" customHeight="1" x14ac:dyDescent="0.2">
      <c r="B73" s="28" t="s">
        <v>593</v>
      </c>
      <c r="C73" s="28" t="s">
        <v>594</v>
      </c>
      <c r="D73" s="28" t="s">
        <v>263</v>
      </c>
      <c r="E73" s="29">
        <v>34151</v>
      </c>
      <c r="F73" s="30">
        <v>249.51</v>
      </c>
      <c r="G73" s="31">
        <v>3.0000000000000001E-3</v>
      </c>
      <c r="H73" s="32"/>
      <c r="J73" s="3"/>
    </row>
    <row r="74" spans="2:14" ht="15.75" customHeight="1" x14ac:dyDescent="0.2">
      <c r="B74" s="28" t="s">
        <v>887</v>
      </c>
      <c r="C74" s="28" t="s">
        <v>888</v>
      </c>
      <c r="D74" s="28" t="s">
        <v>213</v>
      </c>
      <c r="E74" s="29">
        <v>45419</v>
      </c>
      <c r="F74" s="30">
        <v>234.82</v>
      </c>
      <c r="G74" s="31">
        <v>2.8E-3</v>
      </c>
      <c r="H74" s="32"/>
      <c r="J74" s="5"/>
      <c r="K74" s="5"/>
      <c r="L74" s="6"/>
      <c r="M74" s="6"/>
      <c r="N74" s="5"/>
    </row>
    <row r="75" spans="2:14" ht="15.75" customHeight="1" x14ac:dyDescent="0.2">
      <c r="B75" s="28" t="s">
        <v>737</v>
      </c>
      <c r="C75" s="28" t="s">
        <v>738</v>
      </c>
      <c r="D75" s="28" t="s">
        <v>349</v>
      </c>
      <c r="E75" s="29">
        <v>14402</v>
      </c>
      <c r="F75" s="30">
        <v>208.05</v>
      </c>
      <c r="G75" s="31">
        <v>2.5000000000000001E-3</v>
      </c>
      <c r="H75" s="32"/>
    </row>
    <row r="76" spans="2:14" ht="15.75" customHeight="1" x14ac:dyDescent="0.2">
      <c r="B76" s="28" t="s">
        <v>440</v>
      </c>
      <c r="C76" s="28" t="s">
        <v>441</v>
      </c>
      <c r="D76" s="28" t="s">
        <v>442</v>
      </c>
      <c r="E76" s="29">
        <v>6483</v>
      </c>
      <c r="F76" s="30">
        <v>199.53</v>
      </c>
      <c r="G76" s="31">
        <v>2.3999999999999998E-3</v>
      </c>
      <c r="H76" s="32"/>
    </row>
    <row r="77" spans="2:14" ht="15.75" customHeight="1" x14ac:dyDescent="0.2">
      <c r="B77" s="28" t="s">
        <v>394</v>
      </c>
      <c r="C77" s="28" t="s">
        <v>395</v>
      </c>
      <c r="D77" s="28" t="s">
        <v>349</v>
      </c>
      <c r="E77" s="29">
        <v>7855</v>
      </c>
      <c r="F77" s="30">
        <v>175.21</v>
      </c>
      <c r="G77" s="31">
        <v>2.0999999999999999E-3</v>
      </c>
      <c r="H77" s="32"/>
      <c r="J77" s="7"/>
      <c r="K77" s="7"/>
      <c r="L77" s="7"/>
      <c r="M77" s="7"/>
      <c r="N77" s="7"/>
    </row>
    <row r="78" spans="2:14" ht="15.75" customHeight="1" x14ac:dyDescent="0.2">
      <c r="B78" s="28" t="s">
        <v>1126</v>
      </c>
      <c r="C78" s="28" t="s">
        <v>746</v>
      </c>
      <c r="D78" s="28" t="s">
        <v>578</v>
      </c>
      <c r="E78" s="29">
        <v>182785</v>
      </c>
      <c r="F78" s="30">
        <v>476.61</v>
      </c>
      <c r="G78" s="31">
        <v>5.7000000000000002E-3</v>
      </c>
      <c r="H78" s="32"/>
    </row>
    <row r="79" spans="2:14" ht="15.75" customHeight="1" x14ac:dyDescent="0.2">
      <c r="B79" s="28" t="s">
        <v>629</v>
      </c>
      <c r="C79" s="28" t="s">
        <v>630</v>
      </c>
      <c r="D79" s="28" t="s">
        <v>329</v>
      </c>
      <c r="E79" s="29">
        <v>34164</v>
      </c>
      <c r="F79" s="30">
        <v>162.88999999999999</v>
      </c>
      <c r="G79" s="31">
        <v>1.9E-3</v>
      </c>
      <c r="H79" s="32"/>
      <c r="J79" s="7"/>
      <c r="K79" s="7"/>
      <c r="L79" s="7"/>
      <c r="M79" s="7"/>
      <c r="N79" s="7"/>
    </row>
    <row r="80" spans="2:14" ht="15.75" customHeight="1" x14ac:dyDescent="0.2">
      <c r="B80" s="27" t="s">
        <v>127</v>
      </c>
      <c r="C80" s="27"/>
      <c r="D80" s="27"/>
      <c r="E80" s="33"/>
      <c r="F80" s="34">
        <f>SUM(F7:F79)</f>
        <v>79995.229999999981</v>
      </c>
      <c r="G80" s="35">
        <v>0.95380000000000009</v>
      </c>
      <c r="H80" s="36"/>
      <c r="J80" s="7"/>
      <c r="K80" s="7"/>
      <c r="L80" s="7"/>
      <c r="M80" s="7"/>
      <c r="N80" s="7"/>
    </row>
    <row r="81" spans="2:14" ht="15.75" customHeight="1" x14ac:dyDescent="0.2">
      <c r="B81" s="27" t="s">
        <v>189</v>
      </c>
      <c r="C81" s="28"/>
      <c r="D81" s="28"/>
      <c r="E81" s="29"/>
      <c r="F81" s="30"/>
      <c r="G81" s="31"/>
      <c r="H81" s="32"/>
      <c r="J81" s="3"/>
    </row>
    <row r="82" spans="2:14" ht="15.75" customHeight="1" x14ac:dyDescent="0.2">
      <c r="B82" s="27" t="s">
        <v>127</v>
      </c>
      <c r="C82" s="28"/>
      <c r="D82" s="28"/>
      <c r="E82" s="29"/>
      <c r="F82" s="37" t="s">
        <v>129</v>
      </c>
      <c r="G82" s="38" t="s">
        <v>129</v>
      </c>
      <c r="H82" s="32"/>
      <c r="J82" s="3"/>
    </row>
    <row r="83" spans="2:14" ht="15.75" customHeight="1" x14ac:dyDescent="0.2">
      <c r="B83" s="28"/>
      <c r="C83" s="28"/>
      <c r="D83" s="28"/>
      <c r="E83" s="29"/>
      <c r="F83" s="30"/>
      <c r="G83" s="31"/>
      <c r="H83" s="32"/>
      <c r="J83" s="7"/>
      <c r="K83" s="7"/>
      <c r="L83" s="7"/>
      <c r="M83" s="7"/>
      <c r="N83" s="7"/>
    </row>
    <row r="84" spans="2:14" ht="15.75" customHeight="1" x14ac:dyDescent="0.2">
      <c r="B84" s="39" t="s">
        <v>131</v>
      </c>
      <c r="C84" s="39"/>
      <c r="D84" s="39"/>
      <c r="E84" s="40"/>
      <c r="F84" s="34">
        <f>F80</f>
        <v>79995.229999999981</v>
      </c>
      <c r="G84" s="35">
        <f>G80</f>
        <v>0.95380000000000009</v>
      </c>
      <c r="H84" s="36"/>
    </row>
    <row r="85" spans="2:14" ht="15.75" customHeight="1" x14ac:dyDescent="0.2">
      <c r="B85" s="28"/>
      <c r="C85" s="28"/>
      <c r="D85" s="28"/>
      <c r="E85" s="29"/>
      <c r="F85" s="30"/>
      <c r="G85" s="31"/>
      <c r="H85" s="32"/>
      <c r="J85" s="3"/>
    </row>
    <row r="86" spans="2:14" s="7" customFormat="1" ht="15.6" customHeight="1" x14ac:dyDescent="0.25">
      <c r="B86" s="64" t="s">
        <v>107</v>
      </c>
      <c r="C86" s="65"/>
      <c r="D86" s="65"/>
      <c r="E86" s="66"/>
      <c r="F86" s="67"/>
      <c r="G86" s="68"/>
      <c r="H86" s="69"/>
    </row>
    <row r="87" spans="2:14" s="7" customFormat="1" ht="15.6" customHeight="1" x14ac:dyDescent="0.25">
      <c r="B87" s="64" t="s">
        <v>1123</v>
      </c>
      <c r="C87" s="65"/>
      <c r="D87" s="65"/>
      <c r="E87" s="66"/>
      <c r="F87" s="67"/>
      <c r="G87" s="68"/>
      <c r="H87" s="69"/>
    </row>
    <row r="88" spans="2:14" ht="15.75" customHeight="1" x14ac:dyDescent="0.2">
      <c r="B88" s="65" t="s">
        <v>1122</v>
      </c>
      <c r="C88" s="28" t="s">
        <v>503</v>
      </c>
      <c r="D88" s="28" t="s">
        <v>188</v>
      </c>
      <c r="E88" s="29">
        <v>175468</v>
      </c>
      <c r="F88" s="30">
        <v>17.71</v>
      </c>
      <c r="G88" s="31">
        <v>2.0000000000000001E-4</v>
      </c>
      <c r="H88" s="32"/>
      <c r="J88" s="7"/>
      <c r="K88" s="7"/>
      <c r="L88" s="7"/>
      <c r="M88" s="7"/>
      <c r="N88" s="7"/>
    </row>
    <row r="89" spans="2:14" s="7" customFormat="1" ht="15.6" customHeight="1" x14ac:dyDescent="0.25">
      <c r="B89" s="64" t="s">
        <v>127</v>
      </c>
      <c r="C89" s="65"/>
      <c r="D89" s="65"/>
      <c r="E89" s="66"/>
      <c r="F89" s="70">
        <f>F88</f>
        <v>17.71</v>
      </c>
      <c r="G89" s="71">
        <f>G88</f>
        <v>2.0000000000000001E-4</v>
      </c>
      <c r="H89" s="69"/>
    </row>
    <row r="90" spans="2:14" ht="15.75" customHeight="1" x14ac:dyDescent="0.2">
      <c r="B90" s="28"/>
      <c r="C90" s="28"/>
      <c r="D90" s="28"/>
      <c r="E90" s="29"/>
      <c r="F90" s="30"/>
      <c r="G90" s="31"/>
      <c r="H90" s="32"/>
    </row>
    <row r="91" spans="2:14" s="7" customFormat="1" ht="15.6" customHeight="1" x14ac:dyDescent="0.25">
      <c r="B91" s="72" t="s">
        <v>131</v>
      </c>
      <c r="C91" s="72"/>
      <c r="D91" s="72"/>
      <c r="E91" s="73"/>
      <c r="F91" s="70">
        <f>F89</f>
        <v>17.71</v>
      </c>
      <c r="G91" s="71">
        <f>G89</f>
        <v>2.0000000000000001E-4</v>
      </c>
      <c r="H91" s="74"/>
    </row>
    <row r="92" spans="2:14" ht="15.75" customHeight="1" x14ac:dyDescent="0.2">
      <c r="B92" s="28"/>
      <c r="C92" s="28"/>
      <c r="D92" s="28"/>
      <c r="E92" s="29"/>
      <c r="F92" s="30"/>
      <c r="G92" s="31"/>
      <c r="H92" s="32"/>
    </row>
    <row r="93" spans="2:14" ht="15.75" customHeight="1" x14ac:dyDescent="0.2">
      <c r="B93" s="27" t="s">
        <v>134</v>
      </c>
      <c r="C93" s="28"/>
      <c r="D93" s="28"/>
      <c r="E93" s="29"/>
      <c r="F93" s="30"/>
      <c r="G93" s="31"/>
      <c r="H93" s="32"/>
    </row>
    <row r="94" spans="2:14" ht="15.75" customHeight="1" x14ac:dyDescent="0.2">
      <c r="B94" s="28" t="s">
        <v>135</v>
      </c>
      <c r="C94" s="28"/>
      <c r="D94" s="28"/>
      <c r="E94" s="29"/>
      <c r="F94" s="30">
        <v>3219.81</v>
      </c>
      <c r="G94" s="31">
        <v>3.8399999999999997E-2</v>
      </c>
      <c r="H94" s="32"/>
    </row>
    <row r="95" spans="2:14" ht="15.75" customHeight="1" x14ac:dyDescent="0.2">
      <c r="B95" s="27" t="s">
        <v>127</v>
      </c>
      <c r="C95" s="27"/>
      <c r="D95" s="27"/>
      <c r="E95" s="33"/>
      <c r="F95" s="34">
        <v>3219.81</v>
      </c>
      <c r="G95" s="35">
        <v>3.8399999999999997E-2</v>
      </c>
      <c r="H95" s="36"/>
    </row>
    <row r="96" spans="2:14" ht="15.75" customHeight="1" x14ac:dyDescent="0.2">
      <c r="B96" s="28"/>
      <c r="C96" s="28"/>
      <c r="D96" s="28"/>
      <c r="E96" s="29"/>
      <c r="F96" s="30"/>
      <c r="G96" s="31"/>
      <c r="H96" s="32"/>
    </row>
    <row r="97" spans="2:8" ht="15.75" customHeight="1" x14ac:dyDescent="0.2">
      <c r="B97" s="39" t="s">
        <v>131</v>
      </c>
      <c r="C97" s="39"/>
      <c r="D97" s="39"/>
      <c r="E97" s="40"/>
      <c r="F97" s="34">
        <v>3219.81</v>
      </c>
      <c r="G97" s="35">
        <v>3.8399999999999997E-2</v>
      </c>
      <c r="H97" s="36"/>
    </row>
    <row r="98" spans="2:8" ht="15.75" customHeight="1" x14ac:dyDescent="0.2">
      <c r="B98" s="28" t="s">
        <v>136</v>
      </c>
      <c r="C98" s="28"/>
      <c r="D98" s="28"/>
      <c r="E98" s="29"/>
      <c r="F98" s="30">
        <v>632.45000000000005</v>
      </c>
      <c r="G98" s="31">
        <v>7.6000000000000512E-3</v>
      </c>
      <c r="H98" s="32"/>
    </row>
    <row r="99" spans="2:8" ht="15.75" customHeight="1" x14ac:dyDescent="0.2">
      <c r="B99" s="43" t="s">
        <v>137</v>
      </c>
      <c r="C99" s="43"/>
      <c r="D99" s="43"/>
      <c r="E99" s="44"/>
      <c r="F99" s="45">
        <v>83865.2</v>
      </c>
      <c r="G99" s="46">
        <v>1</v>
      </c>
      <c r="H99" s="47"/>
    </row>
    <row r="100" spans="2:8" ht="15.75" customHeight="1" x14ac:dyDescent="0.2">
      <c r="B100" s="2"/>
    </row>
    <row r="103" spans="2:8" ht="15.75" customHeight="1" thickBot="1" x14ac:dyDescent="0.25"/>
    <row r="104" spans="2:8" ht="39.75" customHeight="1" thickBot="1" x14ac:dyDescent="0.25">
      <c r="B104" s="48" t="s">
        <v>139</v>
      </c>
      <c r="C104" s="49" t="s">
        <v>140</v>
      </c>
      <c r="D104" s="49" t="s">
        <v>141</v>
      </c>
      <c r="E104" s="49" t="s">
        <v>142</v>
      </c>
    </row>
    <row r="105" spans="2:8" ht="39.75" customHeight="1" x14ac:dyDescent="0.2">
      <c r="B105" s="61" t="s">
        <v>85</v>
      </c>
      <c r="C105" s="77"/>
      <c r="D105" s="80" t="s">
        <v>1041</v>
      </c>
      <c r="E105" s="81"/>
    </row>
    <row r="106" spans="2:8" ht="39.75" customHeight="1" x14ac:dyDescent="0.2">
      <c r="B106" s="52" t="s">
        <v>1042</v>
      </c>
      <c r="C106" s="78"/>
      <c r="D106" s="80"/>
      <c r="E106" s="82"/>
    </row>
    <row r="107" spans="2:8" ht="39.75" customHeight="1" x14ac:dyDescent="0.2">
      <c r="B107" s="52" t="s">
        <v>1043</v>
      </c>
      <c r="C107" s="78"/>
      <c r="D107" s="80"/>
      <c r="E107" s="82"/>
    </row>
    <row r="108" spans="2:8" ht="39.75" customHeight="1" thickBot="1" x14ac:dyDescent="0.25">
      <c r="B108" s="62" t="s">
        <v>521</v>
      </c>
      <c r="C108" s="79"/>
      <c r="D108" s="50" t="s">
        <v>562</v>
      </c>
      <c r="E108" s="83"/>
    </row>
    <row r="109" spans="2:8" ht="15.75" customHeight="1" x14ac:dyDescent="0.2">
      <c r="B109" s="9" t="s">
        <v>144</v>
      </c>
    </row>
    <row r="111" spans="2:8" ht="15.75" customHeight="1" x14ac:dyDescent="0.2">
      <c r="B111" s="9" t="s">
        <v>145</v>
      </c>
    </row>
    <row r="112" spans="2:8" ht="15.75" customHeight="1" x14ac:dyDescent="0.2">
      <c r="B112" s="15" t="s">
        <v>146</v>
      </c>
    </row>
  </sheetData>
  <mergeCells count="3">
    <mergeCell ref="C105:C108"/>
    <mergeCell ref="D105:D107"/>
    <mergeCell ref="E105:E108"/>
  </mergeCells>
  <hyperlinks>
    <hyperlink ref="G1" location="'Sheet1'!A1" display="Index" xr:uid="{AAB50F3C-E709-46E6-BE6A-51064582313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EE5D1-9B2A-4025-A251-25EF6A13BD20}">
  <dimension ref="B1:N11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1629382</v>
      </c>
      <c r="F7" s="30">
        <v>16086.89</v>
      </c>
      <c r="G7" s="31">
        <v>5.0999999999999997E-2</v>
      </c>
      <c r="H7" s="32"/>
    </row>
    <row r="8" spans="2:8" ht="15.75" customHeight="1" x14ac:dyDescent="0.2">
      <c r="B8" s="28" t="s">
        <v>184</v>
      </c>
      <c r="C8" s="28" t="s">
        <v>185</v>
      </c>
      <c r="D8" s="28" t="s">
        <v>166</v>
      </c>
      <c r="E8" s="29">
        <v>1082678</v>
      </c>
      <c r="F8" s="30">
        <v>14565.27</v>
      </c>
      <c r="G8" s="31">
        <v>4.6199999999999998E-2</v>
      </c>
      <c r="H8" s="32"/>
    </row>
    <row r="9" spans="2:8" ht="15.75" customHeight="1" x14ac:dyDescent="0.2">
      <c r="B9" s="28" t="s">
        <v>327</v>
      </c>
      <c r="C9" s="28" t="s">
        <v>328</v>
      </c>
      <c r="D9" s="28" t="s">
        <v>329</v>
      </c>
      <c r="E9" s="29">
        <v>1312479</v>
      </c>
      <c r="F9" s="30">
        <v>10755.11</v>
      </c>
      <c r="G9" s="31">
        <v>3.4099999999999998E-2</v>
      </c>
      <c r="H9" s="32"/>
    </row>
    <row r="10" spans="2:8" ht="15.75" customHeight="1" x14ac:dyDescent="0.2">
      <c r="B10" s="28" t="s">
        <v>305</v>
      </c>
      <c r="C10" s="28" t="s">
        <v>306</v>
      </c>
      <c r="D10" s="28" t="s">
        <v>166</v>
      </c>
      <c r="E10" s="29">
        <v>355421</v>
      </c>
      <c r="F10" s="30">
        <v>7471.66</v>
      </c>
      <c r="G10" s="31">
        <v>2.3699999999999999E-2</v>
      </c>
      <c r="H10" s="32"/>
    </row>
    <row r="11" spans="2:8" ht="15.75" customHeight="1" x14ac:dyDescent="0.2">
      <c r="B11" s="28" t="s">
        <v>330</v>
      </c>
      <c r="C11" s="28" t="s">
        <v>331</v>
      </c>
      <c r="D11" s="28" t="s">
        <v>329</v>
      </c>
      <c r="E11" s="29">
        <v>193087</v>
      </c>
      <c r="F11" s="30">
        <v>6587.74</v>
      </c>
      <c r="G11" s="31">
        <v>2.0899999999999998E-2</v>
      </c>
      <c r="H11" s="32"/>
    </row>
    <row r="12" spans="2:8" ht="15.75" customHeight="1" x14ac:dyDescent="0.2">
      <c r="B12" s="28" t="s">
        <v>167</v>
      </c>
      <c r="C12" s="28" t="s">
        <v>168</v>
      </c>
      <c r="D12" s="28" t="s">
        <v>169</v>
      </c>
      <c r="E12" s="29">
        <v>424022</v>
      </c>
      <c r="F12" s="30">
        <v>6302.66</v>
      </c>
      <c r="G12" s="31">
        <v>0.02</v>
      </c>
      <c r="H12" s="32"/>
    </row>
    <row r="13" spans="2:8" ht="15.75" customHeight="1" x14ac:dyDescent="0.2">
      <c r="B13" s="28" t="s">
        <v>199</v>
      </c>
      <c r="C13" s="28" t="s">
        <v>200</v>
      </c>
      <c r="D13" s="28" t="s">
        <v>172</v>
      </c>
      <c r="E13" s="29">
        <v>205366</v>
      </c>
      <c r="F13" s="30">
        <v>6280.09</v>
      </c>
      <c r="G13" s="31">
        <v>1.9900000000000001E-2</v>
      </c>
      <c r="H13" s="32"/>
    </row>
    <row r="14" spans="2:8" ht="15.75" customHeight="1" x14ac:dyDescent="0.2">
      <c r="B14" s="28" t="s">
        <v>459</v>
      </c>
      <c r="C14" s="28" t="s">
        <v>460</v>
      </c>
      <c r="D14" s="28" t="s">
        <v>430</v>
      </c>
      <c r="E14" s="29">
        <v>80314</v>
      </c>
      <c r="F14" s="30">
        <v>6168.92</v>
      </c>
      <c r="G14" s="31">
        <v>1.9599999999999999E-2</v>
      </c>
      <c r="H14" s="32"/>
    </row>
    <row r="15" spans="2:8" ht="15.75" customHeight="1" x14ac:dyDescent="0.2">
      <c r="B15" s="28" t="s">
        <v>408</v>
      </c>
      <c r="C15" s="28" t="s">
        <v>409</v>
      </c>
      <c r="D15" s="28" t="s">
        <v>175</v>
      </c>
      <c r="E15" s="29">
        <v>1608375</v>
      </c>
      <c r="F15" s="30">
        <v>6028.99</v>
      </c>
      <c r="G15" s="31">
        <v>1.9099999999999999E-2</v>
      </c>
      <c r="H15" s="32"/>
    </row>
    <row r="16" spans="2:8" ht="15.75" customHeight="1" x14ac:dyDescent="0.2">
      <c r="B16" s="28" t="s">
        <v>216</v>
      </c>
      <c r="C16" s="28" t="s">
        <v>217</v>
      </c>
      <c r="D16" s="28" t="s">
        <v>218</v>
      </c>
      <c r="E16" s="29">
        <v>1382230</v>
      </c>
      <c r="F16" s="30">
        <v>5889.68</v>
      </c>
      <c r="G16" s="31">
        <v>1.8700000000000001E-2</v>
      </c>
      <c r="H16" s="32"/>
    </row>
    <row r="17" spans="2:8" ht="15.75" customHeight="1" x14ac:dyDescent="0.2">
      <c r="B17" s="28" t="s">
        <v>219</v>
      </c>
      <c r="C17" s="28" t="s">
        <v>220</v>
      </c>
      <c r="D17" s="28" t="s">
        <v>221</v>
      </c>
      <c r="E17" s="29">
        <v>122723</v>
      </c>
      <c r="F17" s="30">
        <v>5760.99</v>
      </c>
      <c r="G17" s="31">
        <v>1.83E-2</v>
      </c>
      <c r="H17" s="32"/>
    </row>
    <row r="18" spans="2:8" ht="15.75" customHeight="1" x14ac:dyDescent="0.2">
      <c r="B18" s="28" t="s">
        <v>173</v>
      </c>
      <c r="C18" s="28" t="s">
        <v>174</v>
      </c>
      <c r="D18" s="28" t="s">
        <v>175</v>
      </c>
      <c r="E18" s="29">
        <v>756137</v>
      </c>
      <c r="F18" s="30">
        <v>5662.71</v>
      </c>
      <c r="G18" s="31">
        <v>1.7999999999999999E-2</v>
      </c>
      <c r="H18" s="32"/>
    </row>
    <row r="19" spans="2:8" ht="15.75" customHeight="1" x14ac:dyDescent="0.2">
      <c r="B19" s="28" t="s">
        <v>873</v>
      </c>
      <c r="C19" s="28" t="s">
        <v>874</v>
      </c>
      <c r="D19" s="28" t="s">
        <v>329</v>
      </c>
      <c r="E19" s="29">
        <v>127558</v>
      </c>
      <c r="F19" s="30">
        <v>5541.25</v>
      </c>
      <c r="G19" s="31">
        <v>1.7600000000000001E-2</v>
      </c>
      <c r="H19" s="32"/>
    </row>
    <row r="20" spans="2:8" ht="15.75" customHeight="1" x14ac:dyDescent="0.2">
      <c r="B20" s="28" t="s">
        <v>438</v>
      </c>
      <c r="C20" s="28" t="s">
        <v>439</v>
      </c>
      <c r="D20" s="28" t="s">
        <v>224</v>
      </c>
      <c r="E20" s="29">
        <v>18886</v>
      </c>
      <c r="F20" s="30">
        <v>5476</v>
      </c>
      <c r="G20" s="31">
        <v>1.7399999999999999E-2</v>
      </c>
      <c r="H20" s="32"/>
    </row>
    <row r="21" spans="2:8" ht="15.75" customHeight="1" x14ac:dyDescent="0.2">
      <c r="B21" s="28" t="s">
        <v>498</v>
      </c>
      <c r="C21" s="28" t="s">
        <v>499</v>
      </c>
      <c r="D21" s="28" t="s">
        <v>224</v>
      </c>
      <c r="E21" s="29">
        <v>88806</v>
      </c>
      <c r="F21" s="30">
        <v>4890.1000000000004</v>
      </c>
      <c r="G21" s="31">
        <v>1.55E-2</v>
      </c>
      <c r="H21" s="32"/>
    </row>
    <row r="22" spans="2:8" ht="15.75" customHeight="1" x14ac:dyDescent="0.2">
      <c r="B22" s="28" t="s">
        <v>179</v>
      </c>
      <c r="C22" s="28" t="s">
        <v>180</v>
      </c>
      <c r="D22" s="28" t="s">
        <v>166</v>
      </c>
      <c r="E22" s="29">
        <v>396224</v>
      </c>
      <c r="F22" s="30">
        <v>4884.6499999999996</v>
      </c>
      <c r="G22" s="31">
        <v>1.55E-2</v>
      </c>
      <c r="H22" s="32"/>
    </row>
    <row r="23" spans="2:8" ht="15.75" customHeight="1" x14ac:dyDescent="0.2">
      <c r="B23" s="28" t="s">
        <v>204</v>
      </c>
      <c r="C23" s="28" t="s">
        <v>205</v>
      </c>
      <c r="D23" s="28" t="s">
        <v>166</v>
      </c>
      <c r="E23" s="29">
        <v>512722</v>
      </c>
      <c r="F23" s="30">
        <v>4804.21</v>
      </c>
      <c r="G23" s="31">
        <v>1.52E-2</v>
      </c>
      <c r="H23" s="32"/>
    </row>
    <row r="24" spans="2:8" ht="15.75" customHeight="1" x14ac:dyDescent="0.2">
      <c r="B24" s="28" t="s">
        <v>496</v>
      </c>
      <c r="C24" s="28" t="s">
        <v>497</v>
      </c>
      <c r="D24" s="28" t="s">
        <v>246</v>
      </c>
      <c r="E24" s="29">
        <v>274330</v>
      </c>
      <c r="F24" s="30">
        <v>4786.24</v>
      </c>
      <c r="G24" s="31">
        <v>1.52E-2</v>
      </c>
      <c r="H24" s="32"/>
    </row>
    <row r="25" spans="2:8" ht="15.75" customHeight="1" x14ac:dyDescent="0.2">
      <c r="B25" s="28" t="s">
        <v>296</v>
      </c>
      <c r="C25" s="28" t="s">
        <v>297</v>
      </c>
      <c r="D25" s="28" t="s">
        <v>175</v>
      </c>
      <c r="E25" s="29">
        <v>1174714</v>
      </c>
      <c r="F25" s="30">
        <v>4737.03</v>
      </c>
      <c r="G25" s="31">
        <v>1.4999999999999999E-2</v>
      </c>
      <c r="H25" s="32"/>
    </row>
    <row r="26" spans="2:8" ht="15.75" customHeight="1" x14ac:dyDescent="0.2">
      <c r="B26" s="28" t="s">
        <v>267</v>
      </c>
      <c r="C26" s="28" t="s">
        <v>268</v>
      </c>
      <c r="D26" s="28" t="s">
        <v>269</v>
      </c>
      <c r="E26" s="29">
        <v>161182</v>
      </c>
      <c r="F26" s="30">
        <v>4660.8999999999996</v>
      </c>
      <c r="G26" s="31">
        <v>1.4800000000000001E-2</v>
      </c>
      <c r="H26" s="32"/>
    </row>
    <row r="27" spans="2:8" ht="15.75" customHeight="1" x14ac:dyDescent="0.2">
      <c r="B27" s="28" t="s">
        <v>676</v>
      </c>
      <c r="C27" s="28" t="s">
        <v>677</v>
      </c>
      <c r="D27" s="28" t="s">
        <v>495</v>
      </c>
      <c r="E27" s="29">
        <v>607377</v>
      </c>
      <c r="F27" s="30">
        <v>4505.5200000000004</v>
      </c>
      <c r="G27" s="31">
        <v>1.43E-2</v>
      </c>
      <c r="H27" s="32"/>
    </row>
    <row r="28" spans="2:8" ht="15.75" customHeight="1" x14ac:dyDescent="0.2">
      <c r="B28" s="28" t="s">
        <v>674</v>
      </c>
      <c r="C28" s="28" t="s">
        <v>675</v>
      </c>
      <c r="D28" s="28" t="s">
        <v>175</v>
      </c>
      <c r="E28" s="29">
        <v>1416143</v>
      </c>
      <c r="F28" s="30">
        <v>4468.6400000000003</v>
      </c>
      <c r="G28" s="31">
        <v>1.4200000000000001E-2</v>
      </c>
      <c r="H28" s="32"/>
    </row>
    <row r="29" spans="2:8" ht="15.75" customHeight="1" x14ac:dyDescent="0.2">
      <c r="B29" s="28" t="s">
        <v>563</v>
      </c>
      <c r="C29" s="28" t="s">
        <v>564</v>
      </c>
      <c r="D29" s="28" t="s">
        <v>188</v>
      </c>
      <c r="E29" s="29">
        <v>26877</v>
      </c>
      <c r="F29" s="30">
        <v>4350.3100000000004</v>
      </c>
      <c r="G29" s="31">
        <v>1.38E-2</v>
      </c>
      <c r="H29" s="32"/>
    </row>
    <row r="30" spans="2:8" ht="15.75" customHeight="1" x14ac:dyDescent="0.2">
      <c r="B30" s="28" t="s">
        <v>1044</v>
      </c>
      <c r="C30" s="28" t="s">
        <v>1045</v>
      </c>
      <c r="D30" s="28" t="s">
        <v>293</v>
      </c>
      <c r="E30" s="29">
        <v>32084</v>
      </c>
      <c r="F30" s="30">
        <v>4283.53</v>
      </c>
      <c r="G30" s="31">
        <v>1.3599999999999999E-2</v>
      </c>
      <c r="H30" s="32"/>
    </row>
    <row r="31" spans="2:8" ht="15.75" customHeight="1" x14ac:dyDescent="0.2">
      <c r="B31" s="28" t="s">
        <v>355</v>
      </c>
      <c r="C31" s="28" t="s">
        <v>356</v>
      </c>
      <c r="D31" s="28" t="s">
        <v>208</v>
      </c>
      <c r="E31" s="29">
        <v>226643</v>
      </c>
      <c r="F31" s="30">
        <v>4217.37</v>
      </c>
      <c r="G31" s="31">
        <v>1.34E-2</v>
      </c>
      <c r="H31" s="32"/>
    </row>
    <row r="32" spans="2:8" ht="15.75" customHeight="1" x14ac:dyDescent="0.2">
      <c r="B32" s="28" t="s">
        <v>372</v>
      </c>
      <c r="C32" s="28" t="s">
        <v>373</v>
      </c>
      <c r="D32" s="28" t="s">
        <v>290</v>
      </c>
      <c r="E32" s="29">
        <v>138858</v>
      </c>
      <c r="F32" s="30">
        <v>4198.2299999999996</v>
      </c>
      <c r="G32" s="31">
        <v>1.3299999999999999E-2</v>
      </c>
      <c r="H32" s="32"/>
    </row>
    <row r="33" spans="2:8" ht="15.75" customHeight="1" x14ac:dyDescent="0.2">
      <c r="B33" s="28" t="s">
        <v>720</v>
      </c>
      <c r="C33" s="28" t="s">
        <v>721</v>
      </c>
      <c r="D33" s="28" t="s">
        <v>188</v>
      </c>
      <c r="E33" s="29">
        <v>74755</v>
      </c>
      <c r="F33" s="30">
        <v>4144.42</v>
      </c>
      <c r="G33" s="31">
        <v>1.32E-2</v>
      </c>
      <c r="H33" s="32"/>
    </row>
    <row r="34" spans="2:8" ht="15.75" customHeight="1" x14ac:dyDescent="0.2">
      <c r="B34" s="28" t="s">
        <v>569</v>
      </c>
      <c r="C34" s="28" t="s">
        <v>570</v>
      </c>
      <c r="D34" s="28" t="s">
        <v>571</v>
      </c>
      <c r="E34" s="29">
        <v>191985</v>
      </c>
      <c r="F34" s="30">
        <v>4078.91</v>
      </c>
      <c r="G34" s="31">
        <v>1.29E-2</v>
      </c>
      <c r="H34" s="32"/>
    </row>
    <row r="35" spans="2:8" ht="15.75" customHeight="1" x14ac:dyDescent="0.2">
      <c r="B35" s="28" t="s">
        <v>176</v>
      </c>
      <c r="C35" s="28" t="s">
        <v>177</v>
      </c>
      <c r="D35" s="28" t="s">
        <v>178</v>
      </c>
      <c r="E35" s="29">
        <v>301826</v>
      </c>
      <c r="F35" s="30">
        <v>3998.29</v>
      </c>
      <c r="G35" s="31">
        <v>1.2699999999999999E-2</v>
      </c>
      <c r="H35" s="32"/>
    </row>
    <row r="36" spans="2:8" ht="15.75" customHeight="1" x14ac:dyDescent="0.2">
      <c r="B36" s="28" t="s">
        <v>680</v>
      </c>
      <c r="C36" s="28" t="s">
        <v>681</v>
      </c>
      <c r="D36" s="28" t="s">
        <v>178</v>
      </c>
      <c r="E36" s="29">
        <v>95244</v>
      </c>
      <c r="F36" s="30">
        <v>3830.14</v>
      </c>
      <c r="G36" s="31">
        <v>1.2200000000000001E-2</v>
      </c>
      <c r="H36" s="32"/>
    </row>
    <row r="37" spans="2:8" ht="15.75" customHeight="1" x14ac:dyDescent="0.2">
      <c r="B37" s="28" t="s">
        <v>392</v>
      </c>
      <c r="C37" s="28" t="s">
        <v>393</v>
      </c>
      <c r="D37" s="28" t="s">
        <v>208</v>
      </c>
      <c r="E37" s="29">
        <v>198657</v>
      </c>
      <c r="F37" s="30">
        <v>3725.61</v>
      </c>
      <c r="G37" s="31">
        <v>1.18E-2</v>
      </c>
      <c r="H37" s="32"/>
    </row>
    <row r="38" spans="2:8" ht="15.75" customHeight="1" x14ac:dyDescent="0.2">
      <c r="B38" s="28" t="s">
        <v>711</v>
      </c>
      <c r="C38" s="28" t="s">
        <v>712</v>
      </c>
      <c r="D38" s="28" t="s">
        <v>466</v>
      </c>
      <c r="E38" s="29">
        <v>10091</v>
      </c>
      <c r="F38" s="30">
        <v>3682.71</v>
      </c>
      <c r="G38" s="31">
        <v>1.17E-2</v>
      </c>
      <c r="H38" s="32"/>
    </row>
    <row r="39" spans="2:8" ht="15.75" customHeight="1" x14ac:dyDescent="0.2">
      <c r="B39" s="28" t="s">
        <v>475</v>
      </c>
      <c r="C39" s="28" t="s">
        <v>476</v>
      </c>
      <c r="D39" s="28" t="s">
        <v>172</v>
      </c>
      <c r="E39" s="29">
        <v>63330</v>
      </c>
      <c r="F39" s="30">
        <v>3599.99</v>
      </c>
      <c r="G39" s="31">
        <v>1.14E-2</v>
      </c>
      <c r="H39" s="32"/>
    </row>
    <row r="40" spans="2:8" ht="15.75" customHeight="1" x14ac:dyDescent="0.2">
      <c r="B40" s="28" t="s">
        <v>428</v>
      </c>
      <c r="C40" s="28" t="s">
        <v>429</v>
      </c>
      <c r="D40" s="28" t="s">
        <v>430</v>
      </c>
      <c r="E40" s="29">
        <v>553104</v>
      </c>
      <c r="F40" s="30">
        <v>3595.73</v>
      </c>
      <c r="G40" s="31">
        <v>1.14E-2</v>
      </c>
      <c r="H40" s="32"/>
    </row>
    <row r="41" spans="2:8" ht="15.75" customHeight="1" x14ac:dyDescent="0.2">
      <c r="B41" s="28" t="s">
        <v>181</v>
      </c>
      <c r="C41" s="28" t="s">
        <v>182</v>
      </c>
      <c r="D41" s="28" t="s">
        <v>183</v>
      </c>
      <c r="E41" s="29">
        <v>144465</v>
      </c>
      <c r="F41" s="30">
        <v>3561.78</v>
      </c>
      <c r="G41" s="31">
        <v>1.1299999999999999E-2</v>
      </c>
      <c r="H41" s="32"/>
    </row>
    <row r="42" spans="2:8" ht="15.75" customHeight="1" x14ac:dyDescent="0.2">
      <c r="B42" s="28" t="s">
        <v>231</v>
      </c>
      <c r="C42" s="28" t="s">
        <v>232</v>
      </c>
      <c r="D42" s="28" t="s">
        <v>233</v>
      </c>
      <c r="E42" s="29">
        <v>38420</v>
      </c>
      <c r="F42" s="30">
        <v>3551.35</v>
      </c>
      <c r="G42" s="31">
        <v>1.1299999999999999E-2</v>
      </c>
      <c r="H42" s="32"/>
    </row>
    <row r="43" spans="2:8" ht="15.75" customHeight="1" x14ac:dyDescent="0.2">
      <c r="B43" s="28" t="s">
        <v>802</v>
      </c>
      <c r="C43" s="28" t="s">
        <v>803</v>
      </c>
      <c r="D43" s="28" t="s">
        <v>290</v>
      </c>
      <c r="E43" s="29">
        <v>420897</v>
      </c>
      <c r="F43" s="30">
        <v>3520.8</v>
      </c>
      <c r="G43" s="31">
        <v>1.12E-2</v>
      </c>
      <c r="H43" s="32"/>
    </row>
    <row r="44" spans="2:8" ht="15.75" customHeight="1" x14ac:dyDescent="0.2">
      <c r="B44" s="28" t="s">
        <v>303</v>
      </c>
      <c r="C44" s="28" t="s">
        <v>304</v>
      </c>
      <c r="D44" s="28" t="s">
        <v>178</v>
      </c>
      <c r="E44" s="29">
        <v>9316</v>
      </c>
      <c r="F44" s="30">
        <v>3469.74</v>
      </c>
      <c r="G44" s="31">
        <v>1.0999999999999999E-2</v>
      </c>
      <c r="H44" s="32"/>
    </row>
    <row r="45" spans="2:8" ht="15.75" customHeight="1" x14ac:dyDescent="0.2">
      <c r="B45" s="28" t="s">
        <v>816</v>
      </c>
      <c r="C45" s="28" t="s">
        <v>817</v>
      </c>
      <c r="D45" s="28" t="s">
        <v>300</v>
      </c>
      <c r="E45" s="29">
        <v>287215</v>
      </c>
      <c r="F45" s="30">
        <v>3448.59</v>
      </c>
      <c r="G45" s="31">
        <v>1.09E-2</v>
      </c>
      <c r="H45" s="32"/>
    </row>
    <row r="46" spans="2:8" ht="15.75" customHeight="1" x14ac:dyDescent="0.2">
      <c r="B46" s="28" t="s">
        <v>278</v>
      </c>
      <c r="C46" s="28" t="s">
        <v>279</v>
      </c>
      <c r="D46" s="28" t="s">
        <v>280</v>
      </c>
      <c r="E46" s="29">
        <v>850456</v>
      </c>
      <c r="F46" s="30">
        <v>3443.5</v>
      </c>
      <c r="G46" s="31">
        <v>1.09E-2</v>
      </c>
      <c r="H46" s="32"/>
    </row>
    <row r="47" spans="2:8" ht="15.75" customHeight="1" x14ac:dyDescent="0.2">
      <c r="B47" s="28" t="s">
        <v>804</v>
      </c>
      <c r="C47" s="28" t="s">
        <v>805</v>
      </c>
      <c r="D47" s="28" t="s">
        <v>263</v>
      </c>
      <c r="E47" s="29">
        <v>313731</v>
      </c>
      <c r="F47" s="30">
        <v>3364.45</v>
      </c>
      <c r="G47" s="31">
        <v>1.0699999999999999E-2</v>
      </c>
      <c r="H47" s="32"/>
    </row>
    <row r="48" spans="2:8" ht="15.75" customHeight="1" x14ac:dyDescent="0.2">
      <c r="B48" s="28" t="s">
        <v>337</v>
      </c>
      <c r="C48" s="28" t="s">
        <v>338</v>
      </c>
      <c r="D48" s="28" t="s">
        <v>339</v>
      </c>
      <c r="E48" s="29">
        <v>286827</v>
      </c>
      <c r="F48" s="30">
        <v>3341.53</v>
      </c>
      <c r="G48" s="31">
        <v>1.06E-2</v>
      </c>
      <c r="H48" s="32"/>
    </row>
    <row r="49" spans="2:8" ht="15.75" customHeight="1" x14ac:dyDescent="0.2">
      <c r="B49" s="28" t="s">
        <v>672</v>
      </c>
      <c r="C49" s="28" t="s">
        <v>673</v>
      </c>
      <c r="D49" s="28" t="s">
        <v>178</v>
      </c>
      <c r="E49" s="29">
        <v>264334</v>
      </c>
      <c r="F49" s="30">
        <v>3265.05</v>
      </c>
      <c r="G49" s="31">
        <v>1.04E-2</v>
      </c>
      <c r="H49" s="32"/>
    </row>
    <row r="50" spans="2:8" ht="15.75" customHeight="1" x14ac:dyDescent="0.2">
      <c r="B50" s="28" t="s">
        <v>810</v>
      </c>
      <c r="C50" s="28" t="s">
        <v>811</v>
      </c>
      <c r="D50" s="28" t="s">
        <v>203</v>
      </c>
      <c r="E50" s="29">
        <v>1108376</v>
      </c>
      <c r="F50" s="30">
        <v>3212.63</v>
      </c>
      <c r="G50" s="31">
        <v>1.0200000000000001E-2</v>
      </c>
      <c r="H50" s="32"/>
    </row>
    <row r="51" spans="2:8" ht="15.75" customHeight="1" x14ac:dyDescent="0.2">
      <c r="B51" s="28" t="s">
        <v>298</v>
      </c>
      <c r="C51" s="28" t="s">
        <v>299</v>
      </c>
      <c r="D51" s="28" t="s">
        <v>300</v>
      </c>
      <c r="E51" s="29">
        <v>586017</v>
      </c>
      <c r="F51" s="30">
        <v>3195.26</v>
      </c>
      <c r="G51" s="31">
        <v>1.01E-2</v>
      </c>
      <c r="H51" s="32"/>
    </row>
    <row r="52" spans="2:8" ht="15.75" customHeight="1" x14ac:dyDescent="0.2">
      <c r="B52" s="28" t="s">
        <v>623</v>
      </c>
      <c r="C52" s="28" t="s">
        <v>624</v>
      </c>
      <c r="D52" s="28" t="s">
        <v>389</v>
      </c>
      <c r="E52" s="29">
        <v>782123</v>
      </c>
      <c r="F52" s="30">
        <v>3186.37</v>
      </c>
      <c r="G52" s="31">
        <v>1.01E-2</v>
      </c>
      <c r="H52" s="32"/>
    </row>
    <row r="53" spans="2:8" ht="15.75" customHeight="1" x14ac:dyDescent="0.2">
      <c r="B53" s="28" t="s">
        <v>469</v>
      </c>
      <c r="C53" s="28" t="s">
        <v>470</v>
      </c>
      <c r="D53" s="28" t="s">
        <v>221</v>
      </c>
      <c r="E53" s="29">
        <v>629545</v>
      </c>
      <c r="F53" s="30">
        <v>3165.67</v>
      </c>
      <c r="G53" s="31">
        <v>0.01</v>
      </c>
      <c r="H53" s="32"/>
    </row>
    <row r="54" spans="2:8" ht="15.75" customHeight="1" x14ac:dyDescent="0.2">
      <c r="B54" s="28" t="s">
        <v>682</v>
      </c>
      <c r="C54" s="28" t="s">
        <v>683</v>
      </c>
      <c r="D54" s="28" t="s">
        <v>329</v>
      </c>
      <c r="E54" s="29">
        <v>172768</v>
      </c>
      <c r="F54" s="30">
        <v>3095.14</v>
      </c>
      <c r="G54" s="31">
        <v>9.7999999999999997E-3</v>
      </c>
      <c r="H54" s="32"/>
    </row>
    <row r="55" spans="2:8" ht="15.75" customHeight="1" x14ac:dyDescent="0.2">
      <c r="B55" s="28" t="s">
        <v>170</v>
      </c>
      <c r="C55" s="28" t="s">
        <v>171</v>
      </c>
      <c r="D55" s="28" t="s">
        <v>172</v>
      </c>
      <c r="E55" s="29">
        <v>202213</v>
      </c>
      <c r="F55" s="30">
        <v>2997.4</v>
      </c>
      <c r="G55" s="31">
        <v>9.4999999999999998E-3</v>
      </c>
      <c r="H55" s="32"/>
    </row>
    <row r="56" spans="2:8" ht="15.75" customHeight="1" x14ac:dyDescent="0.2">
      <c r="B56" s="28" t="s">
        <v>186</v>
      </c>
      <c r="C56" s="28" t="s">
        <v>187</v>
      </c>
      <c r="D56" s="28" t="s">
        <v>188</v>
      </c>
      <c r="E56" s="29">
        <v>85769</v>
      </c>
      <c r="F56" s="30">
        <v>2990.94</v>
      </c>
      <c r="G56" s="31">
        <v>9.4999999999999998E-3</v>
      </c>
      <c r="H56" s="32"/>
    </row>
    <row r="57" spans="2:8" ht="15.75" customHeight="1" x14ac:dyDescent="0.2">
      <c r="B57" s="28" t="s">
        <v>477</v>
      </c>
      <c r="C57" s="28" t="s">
        <v>478</v>
      </c>
      <c r="D57" s="28" t="s">
        <v>290</v>
      </c>
      <c r="E57" s="29">
        <v>95832</v>
      </c>
      <c r="F57" s="30">
        <v>2910.8</v>
      </c>
      <c r="G57" s="31">
        <v>9.1999999999999998E-3</v>
      </c>
      <c r="H57" s="32"/>
    </row>
    <row r="58" spans="2:8" ht="15.75" customHeight="1" x14ac:dyDescent="0.2">
      <c r="B58" s="28" t="s">
        <v>340</v>
      </c>
      <c r="C58" s="28" t="s">
        <v>341</v>
      </c>
      <c r="D58" s="28" t="s">
        <v>263</v>
      </c>
      <c r="E58" s="29">
        <v>205852</v>
      </c>
      <c r="F58" s="30">
        <v>2863.61</v>
      </c>
      <c r="G58" s="31">
        <v>9.1000000000000004E-3</v>
      </c>
      <c r="H58" s="32"/>
    </row>
    <row r="59" spans="2:8" ht="15.75" customHeight="1" x14ac:dyDescent="0.2">
      <c r="B59" s="28" t="s">
        <v>214</v>
      </c>
      <c r="C59" s="28" t="s">
        <v>215</v>
      </c>
      <c r="D59" s="28" t="s">
        <v>183</v>
      </c>
      <c r="E59" s="29">
        <v>668175</v>
      </c>
      <c r="F59" s="30">
        <v>2808.67</v>
      </c>
      <c r="G59" s="31">
        <v>8.8999999999999999E-3</v>
      </c>
      <c r="H59" s="32"/>
    </row>
    <row r="60" spans="2:8" ht="15.75" customHeight="1" x14ac:dyDescent="0.2">
      <c r="B60" s="28" t="s">
        <v>617</v>
      </c>
      <c r="C60" s="28" t="s">
        <v>618</v>
      </c>
      <c r="D60" s="28" t="s">
        <v>290</v>
      </c>
      <c r="E60" s="29">
        <v>358716</v>
      </c>
      <c r="F60" s="30">
        <v>2779.69</v>
      </c>
      <c r="G60" s="31">
        <v>8.8000000000000005E-3</v>
      </c>
      <c r="H60" s="32"/>
    </row>
    <row r="61" spans="2:8" ht="15.75" customHeight="1" x14ac:dyDescent="0.2">
      <c r="B61" s="28" t="s">
        <v>648</v>
      </c>
      <c r="C61" s="28" t="s">
        <v>649</v>
      </c>
      <c r="D61" s="28" t="s">
        <v>224</v>
      </c>
      <c r="E61" s="29">
        <v>179534</v>
      </c>
      <c r="F61" s="30">
        <v>2695.34</v>
      </c>
      <c r="G61" s="31">
        <v>8.6E-3</v>
      </c>
      <c r="H61" s="32"/>
    </row>
    <row r="62" spans="2:8" ht="15.75" customHeight="1" x14ac:dyDescent="0.2">
      <c r="B62" s="28" t="s">
        <v>374</v>
      </c>
      <c r="C62" s="28" t="s">
        <v>375</v>
      </c>
      <c r="D62" s="28" t="s">
        <v>349</v>
      </c>
      <c r="E62" s="29">
        <v>89655</v>
      </c>
      <c r="F62" s="30">
        <v>2627.34</v>
      </c>
      <c r="G62" s="31">
        <v>8.3000000000000001E-3</v>
      </c>
      <c r="H62" s="32"/>
    </row>
    <row r="63" spans="2:8" ht="15.75" customHeight="1" x14ac:dyDescent="0.2">
      <c r="B63" s="28" t="s">
        <v>974</v>
      </c>
      <c r="C63" s="28" t="s">
        <v>975</v>
      </c>
      <c r="D63" s="28" t="s">
        <v>339</v>
      </c>
      <c r="E63" s="29">
        <v>359619</v>
      </c>
      <c r="F63" s="30">
        <v>2589.08</v>
      </c>
      <c r="G63" s="31">
        <v>8.2000000000000007E-3</v>
      </c>
      <c r="H63" s="32"/>
    </row>
    <row r="64" spans="2:8" ht="15.75" customHeight="1" x14ac:dyDescent="0.2">
      <c r="B64" s="28" t="s">
        <v>689</v>
      </c>
      <c r="C64" s="28" t="s">
        <v>690</v>
      </c>
      <c r="D64" s="28" t="s">
        <v>590</v>
      </c>
      <c r="E64" s="29">
        <v>5950</v>
      </c>
      <c r="F64" s="30">
        <v>2451.4</v>
      </c>
      <c r="G64" s="31">
        <v>7.7999999999999996E-3</v>
      </c>
      <c r="H64" s="32"/>
    </row>
    <row r="65" spans="2:14" ht="15.75" customHeight="1" x14ac:dyDescent="0.2">
      <c r="B65" s="28" t="s">
        <v>992</v>
      </c>
      <c r="C65" s="28" t="s">
        <v>993</v>
      </c>
      <c r="D65" s="28" t="s">
        <v>730</v>
      </c>
      <c r="E65" s="29">
        <v>3107378</v>
      </c>
      <c r="F65" s="30">
        <v>2355.08</v>
      </c>
      <c r="G65" s="31">
        <v>7.4999999999999997E-3</v>
      </c>
      <c r="H65" s="32"/>
    </row>
    <row r="66" spans="2:14" ht="15.75" customHeight="1" x14ac:dyDescent="0.2">
      <c r="B66" s="28" t="s">
        <v>699</v>
      </c>
      <c r="C66" s="28" t="s">
        <v>700</v>
      </c>
      <c r="D66" s="28" t="s">
        <v>495</v>
      </c>
      <c r="E66" s="29">
        <v>390995</v>
      </c>
      <c r="F66" s="30">
        <v>2337.56</v>
      </c>
      <c r="G66" s="31">
        <v>7.4000000000000003E-3</v>
      </c>
      <c r="H66" s="32"/>
    </row>
    <row r="67" spans="2:14" ht="15.75" customHeight="1" x14ac:dyDescent="0.2">
      <c r="B67" s="28" t="s">
        <v>426</v>
      </c>
      <c r="C67" s="28" t="s">
        <v>427</v>
      </c>
      <c r="D67" s="28" t="s">
        <v>172</v>
      </c>
      <c r="E67" s="29">
        <v>188373</v>
      </c>
      <c r="F67" s="30">
        <v>2197.75</v>
      </c>
      <c r="G67" s="31">
        <v>7.0000000000000001E-3</v>
      </c>
      <c r="H67" s="32"/>
    </row>
    <row r="68" spans="2:14" ht="15.75" customHeight="1" x14ac:dyDescent="0.2">
      <c r="B68" s="28" t="s">
        <v>588</v>
      </c>
      <c r="C68" s="28" t="s">
        <v>589</v>
      </c>
      <c r="D68" s="28" t="s">
        <v>590</v>
      </c>
      <c r="E68" s="29">
        <v>198794</v>
      </c>
      <c r="F68" s="30">
        <v>2125.9</v>
      </c>
      <c r="G68" s="31">
        <v>6.7000000000000002E-3</v>
      </c>
      <c r="H68" s="32"/>
      <c r="J68" s="3"/>
    </row>
    <row r="69" spans="2:14" ht="15.75" customHeight="1" x14ac:dyDescent="0.2">
      <c r="B69" s="28" t="s">
        <v>359</v>
      </c>
      <c r="C69" s="28" t="s">
        <v>360</v>
      </c>
      <c r="D69" s="28" t="s">
        <v>361</v>
      </c>
      <c r="E69" s="29">
        <v>51415</v>
      </c>
      <c r="F69" s="30">
        <v>2117.6799999999998</v>
      </c>
      <c r="G69" s="31">
        <v>6.7000000000000002E-3</v>
      </c>
      <c r="H69" s="32"/>
    </row>
    <row r="70" spans="2:14" ht="15.75" customHeight="1" x14ac:dyDescent="0.2">
      <c r="B70" s="28" t="s">
        <v>794</v>
      </c>
      <c r="C70" s="28" t="s">
        <v>795</v>
      </c>
      <c r="D70" s="28" t="s">
        <v>466</v>
      </c>
      <c r="E70" s="29">
        <v>100967</v>
      </c>
      <c r="F70" s="30">
        <v>2105.9699999999998</v>
      </c>
      <c r="G70" s="31">
        <v>6.7000000000000002E-3</v>
      </c>
      <c r="H70" s="32"/>
      <c r="J70" s="3"/>
    </row>
    <row r="71" spans="2:14" ht="15.75" customHeight="1" x14ac:dyDescent="0.2">
      <c r="B71" s="28" t="s">
        <v>607</v>
      </c>
      <c r="C71" s="28" t="s">
        <v>608</v>
      </c>
      <c r="D71" s="28" t="s">
        <v>349</v>
      </c>
      <c r="E71" s="29">
        <v>33920</v>
      </c>
      <c r="F71" s="30">
        <v>2039.78</v>
      </c>
      <c r="G71" s="31">
        <v>6.4999999999999997E-3</v>
      </c>
      <c r="H71" s="32"/>
      <c r="J71" s="3"/>
    </row>
    <row r="72" spans="2:14" ht="15.75" customHeight="1" x14ac:dyDescent="0.2">
      <c r="B72" s="28" t="s">
        <v>549</v>
      </c>
      <c r="C72" s="28" t="s">
        <v>550</v>
      </c>
      <c r="D72" s="28" t="s">
        <v>233</v>
      </c>
      <c r="E72" s="29">
        <v>82091</v>
      </c>
      <c r="F72" s="30">
        <v>2035.04</v>
      </c>
      <c r="G72" s="31">
        <v>6.4999999999999997E-3</v>
      </c>
      <c r="H72" s="32"/>
      <c r="J72" s="3"/>
    </row>
    <row r="73" spans="2:14" ht="15.75" customHeight="1" x14ac:dyDescent="0.2">
      <c r="B73" s="28" t="s">
        <v>471</v>
      </c>
      <c r="C73" s="28" t="s">
        <v>472</v>
      </c>
      <c r="D73" s="28" t="s">
        <v>326</v>
      </c>
      <c r="E73" s="29">
        <v>426938</v>
      </c>
      <c r="F73" s="30">
        <v>1912.9</v>
      </c>
      <c r="G73" s="31">
        <v>6.1000000000000004E-3</v>
      </c>
      <c r="H73" s="32"/>
      <c r="J73" s="3"/>
    </row>
    <row r="74" spans="2:14" ht="15.75" customHeight="1" x14ac:dyDescent="0.2">
      <c r="B74" s="28" t="s">
        <v>678</v>
      </c>
      <c r="C74" s="28" t="s">
        <v>679</v>
      </c>
      <c r="D74" s="28" t="s">
        <v>172</v>
      </c>
      <c r="E74" s="29">
        <v>31721</v>
      </c>
      <c r="F74" s="30">
        <v>1876.8</v>
      </c>
      <c r="G74" s="31">
        <v>6.0000000000000001E-3</v>
      </c>
      <c r="H74" s="32"/>
      <c r="J74" s="3"/>
    </row>
    <row r="75" spans="2:14" ht="15.75" customHeight="1" x14ac:dyDescent="0.2">
      <c r="B75" s="28" t="s">
        <v>404</v>
      </c>
      <c r="C75" s="28" t="s">
        <v>405</v>
      </c>
      <c r="D75" s="28" t="s">
        <v>326</v>
      </c>
      <c r="E75" s="29">
        <v>210922</v>
      </c>
      <c r="F75" s="30">
        <v>1855.16</v>
      </c>
      <c r="G75" s="31">
        <v>5.8999999999999999E-3</v>
      </c>
      <c r="H75" s="32"/>
      <c r="J75" s="5"/>
      <c r="K75" s="5"/>
      <c r="L75" s="6"/>
      <c r="M75" s="6"/>
      <c r="N75" s="5"/>
    </row>
    <row r="76" spans="2:14" ht="15.75" customHeight="1" x14ac:dyDescent="0.2">
      <c r="B76" s="28" t="s">
        <v>539</v>
      </c>
      <c r="C76" s="28" t="s">
        <v>540</v>
      </c>
      <c r="D76" s="28" t="s">
        <v>175</v>
      </c>
      <c r="E76" s="29">
        <v>38458</v>
      </c>
      <c r="F76" s="30">
        <v>1766.95</v>
      </c>
      <c r="G76" s="31">
        <v>5.5999999999999999E-3</v>
      </c>
      <c r="H76" s="32"/>
    </row>
    <row r="77" spans="2:14" ht="15.75" customHeight="1" x14ac:dyDescent="0.2">
      <c r="B77" s="28" t="s">
        <v>324</v>
      </c>
      <c r="C77" s="28" t="s">
        <v>325</v>
      </c>
      <c r="D77" s="28" t="s">
        <v>326</v>
      </c>
      <c r="E77" s="29">
        <v>41573</v>
      </c>
      <c r="F77" s="30">
        <v>1675.77</v>
      </c>
      <c r="G77" s="31">
        <v>5.3E-3</v>
      </c>
      <c r="H77" s="32"/>
    </row>
    <row r="78" spans="2:14" ht="15.75" customHeight="1" x14ac:dyDescent="0.2">
      <c r="B78" s="28" t="s">
        <v>288</v>
      </c>
      <c r="C78" s="28" t="s">
        <v>289</v>
      </c>
      <c r="D78" s="28" t="s">
        <v>290</v>
      </c>
      <c r="E78" s="29">
        <v>579611</v>
      </c>
      <c r="F78" s="30">
        <v>1538.81</v>
      </c>
      <c r="G78" s="31">
        <v>4.8999999999999998E-3</v>
      </c>
      <c r="H78" s="32"/>
      <c r="J78" s="7"/>
      <c r="K78" s="7"/>
      <c r="L78" s="7"/>
      <c r="M78" s="7"/>
      <c r="N78" s="7"/>
    </row>
    <row r="79" spans="2:14" ht="15.75" customHeight="1" x14ac:dyDescent="0.2">
      <c r="B79" s="28" t="s">
        <v>625</v>
      </c>
      <c r="C79" s="28" t="s">
        <v>626</v>
      </c>
      <c r="D79" s="28" t="s">
        <v>260</v>
      </c>
      <c r="E79" s="29">
        <v>83206</v>
      </c>
      <c r="F79" s="30">
        <v>1384.22</v>
      </c>
      <c r="G79" s="31">
        <v>4.4000000000000003E-3</v>
      </c>
      <c r="H79" s="32"/>
      <c r="J79" s="7"/>
      <c r="K79" s="7"/>
      <c r="L79" s="7"/>
      <c r="M79" s="7"/>
      <c r="N79" s="7"/>
    </row>
    <row r="80" spans="2:14" ht="15.75" customHeight="1" x14ac:dyDescent="0.2">
      <c r="B80" s="28" t="s">
        <v>615</v>
      </c>
      <c r="C80" s="28" t="s">
        <v>616</v>
      </c>
      <c r="D80" s="28" t="s">
        <v>290</v>
      </c>
      <c r="E80" s="29">
        <v>108310</v>
      </c>
      <c r="F80" s="30">
        <v>1289.6500000000001</v>
      </c>
      <c r="G80" s="31">
        <v>4.1000000000000003E-3</v>
      </c>
      <c r="H80" s="32"/>
      <c r="J80" s="7"/>
      <c r="K80" s="7"/>
      <c r="L80" s="7"/>
      <c r="M80" s="7"/>
      <c r="N80" s="7"/>
    </row>
    <row r="81" spans="2:14" ht="15.75" customHeight="1" x14ac:dyDescent="0.2">
      <c r="B81" s="28" t="s">
        <v>464</v>
      </c>
      <c r="C81" s="28" t="s">
        <v>465</v>
      </c>
      <c r="D81" s="28" t="s">
        <v>466</v>
      </c>
      <c r="E81" s="29">
        <v>487946</v>
      </c>
      <c r="F81" s="30">
        <v>1258.4100000000001</v>
      </c>
      <c r="G81" s="31">
        <v>4.0000000000000001E-3</v>
      </c>
      <c r="H81" s="32"/>
      <c r="J81" s="7"/>
      <c r="K81" s="7"/>
      <c r="L81" s="7"/>
      <c r="M81" s="7"/>
      <c r="N81" s="7"/>
    </row>
    <row r="82" spans="2:14" ht="15.75" customHeight="1" x14ac:dyDescent="0.2">
      <c r="B82" s="28" t="s">
        <v>423</v>
      </c>
      <c r="C82" s="28" t="s">
        <v>424</v>
      </c>
      <c r="D82" s="28" t="s">
        <v>425</v>
      </c>
      <c r="E82" s="29">
        <v>183120</v>
      </c>
      <c r="F82" s="30">
        <v>888.68</v>
      </c>
      <c r="G82" s="31">
        <v>2.8E-3</v>
      </c>
      <c r="H82" s="32"/>
      <c r="J82" s="7"/>
      <c r="K82" s="7"/>
      <c r="L82" s="7"/>
      <c r="M82" s="7"/>
      <c r="N82" s="7"/>
    </row>
    <row r="83" spans="2:14" ht="15.75" customHeight="1" x14ac:dyDescent="0.2">
      <c r="B83" s="28" t="s">
        <v>883</v>
      </c>
      <c r="C83" s="28" t="s">
        <v>884</v>
      </c>
      <c r="D83" s="28" t="s">
        <v>466</v>
      </c>
      <c r="E83" s="29">
        <v>300284</v>
      </c>
      <c r="F83" s="30">
        <v>878.33</v>
      </c>
      <c r="G83" s="31">
        <v>2.8E-3</v>
      </c>
      <c r="H83" s="32"/>
      <c r="J83" s="7"/>
      <c r="K83" s="7"/>
      <c r="L83" s="7"/>
      <c r="M83" s="7"/>
      <c r="N83" s="7"/>
    </row>
    <row r="84" spans="2:14" ht="15.75" customHeight="1" x14ac:dyDescent="0.2">
      <c r="B84" s="28" t="s">
        <v>1046</v>
      </c>
      <c r="C84" s="28" t="s">
        <v>1047</v>
      </c>
      <c r="D84" s="28" t="s">
        <v>233</v>
      </c>
      <c r="E84" s="29">
        <v>72231</v>
      </c>
      <c r="F84" s="30">
        <v>836.83</v>
      </c>
      <c r="G84" s="31">
        <v>2.7000000000000001E-3</v>
      </c>
      <c r="H84" s="32"/>
      <c r="J84" s="7"/>
      <c r="K84" s="7"/>
      <c r="L84" s="7"/>
      <c r="M84" s="7"/>
      <c r="N84" s="7"/>
    </row>
    <row r="85" spans="2:14" ht="15.75" customHeight="1" x14ac:dyDescent="0.2">
      <c r="B85" s="28" t="s">
        <v>780</v>
      </c>
      <c r="C85" s="28" t="s">
        <v>781</v>
      </c>
      <c r="D85" s="28" t="s">
        <v>221</v>
      </c>
      <c r="E85" s="29">
        <v>257942</v>
      </c>
      <c r="F85" s="30">
        <v>639.54</v>
      </c>
      <c r="G85" s="31">
        <v>2E-3</v>
      </c>
      <c r="H85" s="32"/>
    </row>
    <row r="86" spans="2:14" ht="15.75" customHeight="1" x14ac:dyDescent="0.2">
      <c r="B86" s="28" t="s">
        <v>599</v>
      </c>
      <c r="C86" s="28" t="s">
        <v>600</v>
      </c>
      <c r="D86" s="28" t="s">
        <v>260</v>
      </c>
      <c r="E86" s="29">
        <v>48464</v>
      </c>
      <c r="F86" s="30">
        <v>547.05999999999995</v>
      </c>
      <c r="G86" s="31">
        <v>1.6999999999999999E-3</v>
      </c>
      <c r="H86" s="32"/>
      <c r="J86" s="3"/>
    </row>
    <row r="87" spans="2:14" ht="15.75" customHeight="1" x14ac:dyDescent="0.2">
      <c r="B87" s="28" t="s">
        <v>643</v>
      </c>
      <c r="C87" s="28" t="s">
        <v>644</v>
      </c>
      <c r="D87" s="28" t="s">
        <v>178</v>
      </c>
      <c r="E87" s="29">
        <v>63557</v>
      </c>
      <c r="F87" s="30">
        <v>393.64</v>
      </c>
      <c r="G87" s="31">
        <v>1.1999999999999999E-3</v>
      </c>
      <c r="H87" s="32"/>
    </row>
    <row r="88" spans="2:14" ht="15.75" customHeight="1" x14ac:dyDescent="0.2">
      <c r="B88" s="28" t="s">
        <v>875</v>
      </c>
      <c r="C88" s="28" t="s">
        <v>876</v>
      </c>
      <c r="D88" s="28" t="s">
        <v>178</v>
      </c>
      <c r="E88" s="29">
        <v>68000</v>
      </c>
      <c r="F88" s="30">
        <v>355.95</v>
      </c>
      <c r="G88" s="31">
        <v>1.1000000000000001E-3</v>
      </c>
      <c r="H88" s="32"/>
    </row>
    <row r="89" spans="2:14" ht="15.75" customHeight="1" x14ac:dyDescent="0.2">
      <c r="B89" s="27" t="s">
        <v>127</v>
      </c>
      <c r="C89" s="27"/>
      <c r="D89" s="27"/>
      <c r="E89" s="33"/>
      <c r="F89" s="34">
        <v>304970.08</v>
      </c>
      <c r="G89" s="35">
        <v>0.96760000000000002</v>
      </c>
      <c r="H89" s="36"/>
    </row>
    <row r="90" spans="2:14" ht="15.75" customHeight="1" x14ac:dyDescent="0.2">
      <c r="B90" s="27" t="s">
        <v>189</v>
      </c>
      <c r="C90" s="28"/>
      <c r="D90" s="28"/>
      <c r="E90" s="29"/>
      <c r="F90" s="30"/>
      <c r="G90" s="31"/>
      <c r="H90" s="32"/>
    </row>
    <row r="91" spans="2:14" ht="15.75" customHeight="1" x14ac:dyDescent="0.2">
      <c r="B91" s="27" t="s">
        <v>127</v>
      </c>
      <c r="C91" s="28"/>
      <c r="D91" s="28"/>
      <c r="E91" s="29"/>
      <c r="F91" s="37" t="s">
        <v>129</v>
      </c>
      <c r="G91" s="38" t="s">
        <v>129</v>
      </c>
      <c r="H91" s="32"/>
    </row>
    <row r="92" spans="2:14" ht="15.75" customHeight="1" x14ac:dyDescent="0.2">
      <c r="B92" s="28"/>
      <c r="C92" s="28"/>
      <c r="D92" s="28"/>
      <c r="E92" s="29"/>
      <c r="F92" s="30"/>
      <c r="G92" s="31"/>
      <c r="H92" s="32"/>
    </row>
    <row r="93" spans="2:14" ht="15.75" customHeight="1" x14ac:dyDescent="0.2">
      <c r="B93" s="39" t="s">
        <v>131</v>
      </c>
      <c r="C93" s="39"/>
      <c r="D93" s="39"/>
      <c r="E93" s="40"/>
      <c r="F93" s="34">
        <v>304970.08</v>
      </c>
      <c r="G93" s="35">
        <v>0.96760000000000002</v>
      </c>
      <c r="H93" s="36"/>
    </row>
    <row r="94" spans="2:14" ht="15.75" customHeight="1" x14ac:dyDescent="0.2">
      <c r="B94" s="28"/>
      <c r="C94" s="28"/>
      <c r="D94" s="28"/>
      <c r="E94" s="29"/>
      <c r="F94" s="30"/>
      <c r="G94" s="31"/>
      <c r="H94" s="32"/>
    </row>
    <row r="95" spans="2:14" ht="15.75" customHeight="1" x14ac:dyDescent="0.2">
      <c r="B95" s="28"/>
      <c r="C95" s="28"/>
      <c r="D95" s="28"/>
      <c r="E95" s="29"/>
      <c r="F95" s="30"/>
      <c r="G95" s="31"/>
      <c r="H95" s="32"/>
    </row>
    <row r="96" spans="2:14" ht="15.75" customHeight="1" x14ac:dyDescent="0.2">
      <c r="B96" s="27" t="s">
        <v>134</v>
      </c>
      <c r="C96" s="28"/>
      <c r="D96" s="28"/>
      <c r="E96" s="29"/>
      <c r="F96" s="30"/>
      <c r="G96" s="31"/>
      <c r="H96" s="32"/>
    </row>
    <row r="97" spans="2:8" ht="15.75" customHeight="1" x14ac:dyDescent="0.2">
      <c r="B97" s="28" t="s">
        <v>135</v>
      </c>
      <c r="C97" s="28"/>
      <c r="D97" s="28"/>
      <c r="E97" s="29"/>
      <c r="F97" s="30">
        <v>10342.040000000001</v>
      </c>
      <c r="G97" s="31">
        <v>3.2800000000000003E-2</v>
      </c>
      <c r="H97" s="32"/>
    </row>
    <row r="98" spans="2:8" ht="15.75" customHeight="1" x14ac:dyDescent="0.2">
      <c r="B98" s="27" t="s">
        <v>127</v>
      </c>
      <c r="C98" s="27"/>
      <c r="D98" s="27"/>
      <c r="E98" s="33"/>
      <c r="F98" s="34">
        <v>10342.040000000001</v>
      </c>
      <c r="G98" s="35">
        <v>3.2800000000000003E-2</v>
      </c>
      <c r="H98" s="36"/>
    </row>
    <row r="99" spans="2:8" ht="15.75" customHeight="1" x14ac:dyDescent="0.2">
      <c r="B99" s="28"/>
      <c r="C99" s="28"/>
      <c r="D99" s="28"/>
      <c r="E99" s="29"/>
      <c r="F99" s="30"/>
      <c r="G99" s="31"/>
      <c r="H99" s="32"/>
    </row>
    <row r="100" spans="2:8" ht="15.75" customHeight="1" x14ac:dyDescent="0.2">
      <c r="B100" s="39" t="s">
        <v>131</v>
      </c>
      <c r="C100" s="39"/>
      <c r="D100" s="39"/>
      <c r="E100" s="40"/>
      <c r="F100" s="34">
        <v>10342.040000000001</v>
      </c>
      <c r="G100" s="35">
        <v>3.2800000000000003E-2</v>
      </c>
      <c r="H100" s="36"/>
    </row>
    <row r="101" spans="2:8" ht="15.75" customHeight="1" x14ac:dyDescent="0.2">
      <c r="B101" s="28" t="s">
        <v>136</v>
      </c>
      <c r="C101" s="28"/>
      <c r="D101" s="28"/>
      <c r="E101" s="29"/>
      <c r="F101" s="41">
        <v>-158.97</v>
      </c>
      <c r="G101" s="42">
        <v>-3.9999999999995595E-4</v>
      </c>
      <c r="H101" s="32"/>
    </row>
    <row r="102" spans="2:8" ht="15.75" customHeight="1" x14ac:dyDescent="0.2">
      <c r="B102" s="43" t="s">
        <v>137</v>
      </c>
      <c r="C102" s="43"/>
      <c r="D102" s="43"/>
      <c r="E102" s="44"/>
      <c r="F102" s="45">
        <v>315153.15000000002</v>
      </c>
      <c r="G102" s="46">
        <v>1</v>
      </c>
      <c r="H102" s="47"/>
    </row>
    <row r="103" spans="2:8" ht="15.75" customHeight="1" x14ac:dyDescent="0.2">
      <c r="B103" s="2"/>
    </row>
    <row r="106" spans="2:8" ht="15.75" customHeight="1" thickBot="1" x14ac:dyDescent="0.25"/>
    <row r="107" spans="2:8" ht="39.75" customHeight="1" thickBot="1" x14ac:dyDescent="0.25">
      <c r="B107" s="48" t="s">
        <v>139</v>
      </c>
      <c r="C107" s="49" t="s">
        <v>140</v>
      </c>
      <c r="D107" s="49" t="s">
        <v>141</v>
      </c>
      <c r="E107" s="49" t="s">
        <v>142</v>
      </c>
    </row>
    <row r="108" spans="2:8" ht="39.75" customHeight="1" x14ac:dyDescent="0.2">
      <c r="B108" s="61" t="s">
        <v>31</v>
      </c>
      <c r="C108" s="77"/>
      <c r="D108" s="80" t="s">
        <v>1048</v>
      </c>
      <c r="E108" s="81"/>
    </row>
    <row r="109" spans="2:8" ht="39.75" customHeight="1" x14ac:dyDescent="0.2">
      <c r="B109" s="52" t="s">
        <v>1049</v>
      </c>
      <c r="C109" s="78"/>
      <c r="D109" s="80"/>
      <c r="E109" s="82"/>
    </row>
    <row r="110" spans="2:8" ht="39.75" customHeight="1" x14ac:dyDescent="0.2">
      <c r="B110" s="52" t="s">
        <v>1050</v>
      </c>
      <c r="C110" s="78"/>
      <c r="D110" s="80"/>
      <c r="E110" s="82"/>
    </row>
    <row r="111" spans="2:8" ht="39.75" customHeight="1" thickBot="1" x14ac:dyDescent="0.25">
      <c r="B111" s="62" t="s">
        <v>561</v>
      </c>
      <c r="C111" s="79"/>
      <c r="D111" s="50" t="s">
        <v>562</v>
      </c>
      <c r="E111" s="83"/>
    </row>
    <row r="112" spans="2:8" ht="15.75" customHeight="1" x14ac:dyDescent="0.2">
      <c r="B112" s="9" t="s">
        <v>144</v>
      </c>
    </row>
    <row r="114" spans="2:2" ht="15.75" customHeight="1" x14ac:dyDescent="0.2">
      <c r="B114" s="9" t="s">
        <v>145</v>
      </c>
    </row>
    <row r="115" spans="2:2" ht="15.75" customHeight="1" x14ac:dyDescent="0.2">
      <c r="B115" s="15" t="s">
        <v>146</v>
      </c>
    </row>
  </sheetData>
  <mergeCells count="3">
    <mergeCell ref="C108:C111"/>
    <mergeCell ref="D108:D110"/>
    <mergeCell ref="E108:E111"/>
  </mergeCells>
  <hyperlinks>
    <hyperlink ref="G1" location="'Sheet1'!A1" display="Index" xr:uid="{1E9C9821-CA68-47CE-95F1-6158FCA27DE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69EA4-1CC7-49A0-8317-AD47253CB7A5}">
  <dimension ref="B1:N11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779672</v>
      </c>
      <c r="F7" s="30">
        <v>7697.7</v>
      </c>
      <c r="G7" s="31">
        <v>4.2799999999999998E-2</v>
      </c>
      <c r="H7" s="32"/>
    </row>
    <row r="8" spans="2:8" ht="15.75" customHeight="1" x14ac:dyDescent="0.2">
      <c r="B8" s="28" t="s">
        <v>184</v>
      </c>
      <c r="C8" s="28" t="s">
        <v>185</v>
      </c>
      <c r="D8" s="28" t="s">
        <v>166</v>
      </c>
      <c r="E8" s="29">
        <v>357899</v>
      </c>
      <c r="F8" s="30">
        <v>4814.82</v>
      </c>
      <c r="G8" s="31">
        <v>2.6800000000000001E-2</v>
      </c>
      <c r="H8" s="32"/>
    </row>
    <row r="9" spans="2:8" ht="15.75" customHeight="1" x14ac:dyDescent="0.2">
      <c r="B9" s="28" t="s">
        <v>327</v>
      </c>
      <c r="C9" s="28" t="s">
        <v>328</v>
      </c>
      <c r="D9" s="28" t="s">
        <v>329</v>
      </c>
      <c r="E9" s="29">
        <v>563193</v>
      </c>
      <c r="F9" s="30">
        <v>4615.09</v>
      </c>
      <c r="G9" s="31">
        <v>2.5700000000000001E-2</v>
      </c>
      <c r="H9" s="32"/>
    </row>
    <row r="10" spans="2:8" ht="15.75" customHeight="1" x14ac:dyDescent="0.2">
      <c r="B10" s="28" t="s">
        <v>330</v>
      </c>
      <c r="C10" s="28" t="s">
        <v>331</v>
      </c>
      <c r="D10" s="28" t="s">
        <v>329</v>
      </c>
      <c r="E10" s="29">
        <v>122790</v>
      </c>
      <c r="F10" s="30">
        <v>4189.3500000000004</v>
      </c>
      <c r="G10" s="31">
        <v>2.3300000000000001E-2</v>
      </c>
      <c r="H10" s="32"/>
    </row>
    <row r="11" spans="2:8" ht="15.75" customHeight="1" x14ac:dyDescent="0.2">
      <c r="B11" s="28" t="s">
        <v>615</v>
      </c>
      <c r="C11" s="28" t="s">
        <v>616</v>
      </c>
      <c r="D11" s="28" t="s">
        <v>290</v>
      </c>
      <c r="E11" s="29">
        <v>331781</v>
      </c>
      <c r="F11" s="30">
        <v>3950.52</v>
      </c>
      <c r="G11" s="31">
        <v>2.1999999999999999E-2</v>
      </c>
      <c r="H11" s="32"/>
    </row>
    <row r="12" spans="2:8" ht="15.75" customHeight="1" x14ac:dyDescent="0.2">
      <c r="B12" s="28" t="s">
        <v>179</v>
      </c>
      <c r="C12" s="28" t="s">
        <v>180</v>
      </c>
      <c r="D12" s="28" t="s">
        <v>166</v>
      </c>
      <c r="E12" s="29">
        <v>303926</v>
      </c>
      <c r="F12" s="30">
        <v>3746.8</v>
      </c>
      <c r="G12" s="31">
        <v>2.0899999999999998E-2</v>
      </c>
      <c r="H12" s="32"/>
    </row>
    <row r="13" spans="2:8" ht="15.75" customHeight="1" x14ac:dyDescent="0.2">
      <c r="B13" s="28" t="s">
        <v>305</v>
      </c>
      <c r="C13" s="28" t="s">
        <v>306</v>
      </c>
      <c r="D13" s="28" t="s">
        <v>166</v>
      </c>
      <c r="E13" s="29">
        <v>176004</v>
      </c>
      <c r="F13" s="30">
        <v>3699.96</v>
      </c>
      <c r="G13" s="31">
        <v>2.06E-2</v>
      </c>
      <c r="H13" s="32"/>
    </row>
    <row r="14" spans="2:8" ht="15.75" customHeight="1" x14ac:dyDescent="0.2">
      <c r="B14" s="28" t="s">
        <v>613</v>
      </c>
      <c r="C14" s="28" t="s">
        <v>614</v>
      </c>
      <c r="D14" s="28" t="s">
        <v>249</v>
      </c>
      <c r="E14" s="29">
        <v>523195</v>
      </c>
      <c r="F14" s="30">
        <v>3463.81</v>
      </c>
      <c r="G14" s="31">
        <v>1.9300000000000001E-2</v>
      </c>
      <c r="H14" s="32"/>
    </row>
    <row r="15" spans="2:8" ht="15.75" customHeight="1" x14ac:dyDescent="0.2">
      <c r="B15" s="28" t="s">
        <v>355</v>
      </c>
      <c r="C15" s="28" t="s">
        <v>356</v>
      </c>
      <c r="D15" s="28" t="s">
        <v>208</v>
      </c>
      <c r="E15" s="29">
        <v>171202</v>
      </c>
      <c r="F15" s="30">
        <v>3185.73</v>
      </c>
      <c r="G15" s="31">
        <v>1.77E-2</v>
      </c>
      <c r="H15" s="32"/>
    </row>
    <row r="16" spans="2:8" ht="15.75" customHeight="1" x14ac:dyDescent="0.2">
      <c r="B16" s="28" t="s">
        <v>199</v>
      </c>
      <c r="C16" s="28" t="s">
        <v>200</v>
      </c>
      <c r="D16" s="28" t="s">
        <v>172</v>
      </c>
      <c r="E16" s="29">
        <v>102770</v>
      </c>
      <c r="F16" s="30">
        <v>3142.71</v>
      </c>
      <c r="G16" s="31">
        <v>1.7500000000000002E-2</v>
      </c>
      <c r="H16" s="32"/>
    </row>
    <row r="17" spans="2:8" ht="15.75" customHeight="1" x14ac:dyDescent="0.2">
      <c r="B17" s="28" t="s">
        <v>477</v>
      </c>
      <c r="C17" s="28" t="s">
        <v>478</v>
      </c>
      <c r="D17" s="28" t="s">
        <v>290</v>
      </c>
      <c r="E17" s="29">
        <v>103256</v>
      </c>
      <c r="F17" s="30">
        <v>3136.3</v>
      </c>
      <c r="G17" s="31">
        <v>1.7500000000000002E-2</v>
      </c>
      <c r="H17" s="32"/>
    </row>
    <row r="18" spans="2:8" ht="15.75" customHeight="1" x14ac:dyDescent="0.2">
      <c r="B18" s="28" t="s">
        <v>498</v>
      </c>
      <c r="C18" s="28" t="s">
        <v>499</v>
      </c>
      <c r="D18" s="28" t="s">
        <v>224</v>
      </c>
      <c r="E18" s="29">
        <v>52581</v>
      </c>
      <c r="F18" s="30">
        <v>2895.37</v>
      </c>
      <c r="G18" s="31">
        <v>1.61E-2</v>
      </c>
      <c r="H18" s="32"/>
    </row>
    <row r="19" spans="2:8" ht="15.75" customHeight="1" x14ac:dyDescent="0.2">
      <c r="B19" s="28" t="s">
        <v>204</v>
      </c>
      <c r="C19" s="28" t="s">
        <v>205</v>
      </c>
      <c r="D19" s="28" t="s">
        <v>166</v>
      </c>
      <c r="E19" s="29">
        <v>307284</v>
      </c>
      <c r="F19" s="30">
        <v>2879.25</v>
      </c>
      <c r="G19" s="31">
        <v>1.6E-2</v>
      </c>
      <c r="H19" s="32"/>
    </row>
    <row r="20" spans="2:8" ht="15.75" customHeight="1" x14ac:dyDescent="0.2">
      <c r="B20" s="28" t="s">
        <v>173</v>
      </c>
      <c r="C20" s="28" t="s">
        <v>174</v>
      </c>
      <c r="D20" s="28" t="s">
        <v>175</v>
      </c>
      <c r="E20" s="29">
        <v>381598</v>
      </c>
      <c r="F20" s="30">
        <v>2857.79</v>
      </c>
      <c r="G20" s="31">
        <v>1.5900000000000001E-2</v>
      </c>
      <c r="H20" s="32"/>
    </row>
    <row r="21" spans="2:8" ht="15.75" customHeight="1" x14ac:dyDescent="0.2">
      <c r="B21" s="28" t="s">
        <v>296</v>
      </c>
      <c r="C21" s="28" t="s">
        <v>297</v>
      </c>
      <c r="D21" s="28" t="s">
        <v>175</v>
      </c>
      <c r="E21" s="29">
        <v>702000</v>
      </c>
      <c r="F21" s="30">
        <v>2830.82</v>
      </c>
      <c r="G21" s="31">
        <v>1.5800000000000002E-2</v>
      </c>
      <c r="H21" s="32"/>
    </row>
    <row r="22" spans="2:8" ht="15.75" customHeight="1" x14ac:dyDescent="0.2">
      <c r="B22" s="28" t="s">
        <v>186</v>
      </c>
      <c r="C22" s="28" t="s">
        <v>187</v>
      </c>
      <c r="D22" s="28" t="s">
        <v>188</v>
      </c>
      <c r="E22" s="29">
        <v>80163</v>
      </c>
      <c r="F22" s="30">
        <v>2795.44</v>
      </c>
      <c r="G22" s="31">
        <v>1.5599999999999999E-2</v>
      </c>
      <c r="H22" s="32"/>
    </row>
    <row r="23" spans="2:8" ht="15.75" customHeight="1" x14ac:dyDescent="0.2">
      <c r="B23" s="28" t="s">
        <v>563</v>
      </c>
      <c r="C23" s="28" t="s">
        <v>564</v>
      </c>
      <c r="D23" s="28" t="s">
        <v>188</v>
      </c>
      <c r="E23" s="29">
        <v>17238</v>
      </c>
      <c r="F23" s="30">
        <v>2790.14</v>
      </c>
      <c r="G23" s="31">
        <v>1.55E-2</v>
      </c>
      <c r="H23" s="32"/>
    </row>
    <row r="24" spans="2:8" ht="15.75" customHeight="1" x14ac:dyDescent="0.2">
      <c r="B24" s="28" t="s">
        <v>475</v>
      </c>
      <c r="C24" s="28" t="s">
        <v>476</v>
      </c>
      <c r="D24" s="28" t="s">
        <v>172</v>
      </c>
      <c r="E24" s="29">
        <v>48767</v>
      </c>
      <c r="F24" s="30">
        <v>2772.16</v>
      </c>
      <c r="G24" s="31">
        <v>1.54E-2</v>
      </c>
      <c r="H24" s="32"/>
    </row>
    <row r="25" spans="2:8" ht="15.75" customHeight="1" x14ac:dyDescent="0.2">
      <c r="B25" s="28" t="s">
        <v>214</v>
      </c>
      <c r="C25" s="28" t="s">
        <v>215</v>
      </c>
      <c r="D25" s="28" t="s">
        <v>183</v>
      </c>
      <c r="E25" s="29">
        <v>652468</v>
      </c>
      <c r="F25" s="30">
        <v>2742.65</v>
      </c>
      <c r="G25" s="31">
        <v>1.5299999999999999E-2</v>
      </c>
      <c r="H25" s="32"/>
    </row>
    <row r="26" spans="2:8" ht="15.75" customHeight="1" x14ac:dyDescent="0.2">
      <c r="B26" s="28" t="s">
        <v>238</v>
      </c>
      <c r="C26" s="28" t="s">
        <v>239</v>
      </c>
      <c r="D26" s="28" t="s">
        <v>221</v>
      </c>
      <c r="E26" s="29">
        <v>856651</v>
      </c>
      <c r="F26" s="30">
        <v>2722.01</v>
      </c>
      <c r="G26" s="31">
        <v>1.52E-2</v>
      </c>
      <c r="H26" s="32"/>
    </row>
    <row r="27" spans="2:8" ht="15.75" customHeight="1" x14ac:dyDescent="0.2">
      <c r="B27" s="28" t="s">
        <v>267</v>
      </c>
      <c r="C27" s="28" t="s">
        <v>268</v>
      </c>
      <c r="D27" s="28" t="s">
        <v>269</v>
      </c>
      <c r="E27" s="29">
        <v>90834</v>
      </c>
      <c r="F27" s="30">
        <v>2626.65</v>
      </c>
      <c r="G27" s="31">
        <v>1.46E-2</v>
      </c>
      <c r="H27" s="32"/>
    </row>
    <row r="28" spans="2:8" ht="15.75" customHeight="1" x14ac:dyDescent="0.2">
      <c r="B28" s="28" t="s">
        <v>617</v>
      </c>
      <c r="C28" s="28" t="s">
        <v>618</v>
      </c>
      <c r="D28" s="28" t="s">
        <v>290</v>
      </c>
      <c r="E28" s="29">
        <v>331305</v>
      </c>
      <c r="F28" s="30">
        <v>2567.2800000000002</v>
      </c>
      <c r="G28" s="31">
        <v>1.43E-2</v>
      </c>
      <c r="H28" s="32"/>
    </row>
    <row r="29" spans="2:8" ht="15.75" customHeight="1" x14ac:dyDescent="0.2">
      <c r="B29" s="28" t="s">
        <v>461</v>
      </c>
      <c r="C29" s="28" t="s">
        <v>462</v>
      </c>
      <c r="D29" s="28" t="s">
        <v>463</v>
      </c>
      <c r="E29" s="29">
        <v>192270</v>
      </c>
      <c r="F29" s="30">
        <v>2505.66</v>
      </c>
      <c r="G29" s="31">
        <v>1.3899999999999999E-2</v>
      </c>
      <c r="H29" s="32"/>
    </row>
    <row r="30" spans="2:8" ht="15.75" customHeight="1" x14ac:dyDescent="0.2">
      <c r="B30" s="28" t="s">
        <v>467</v>
      </c>
      <c r="C30" s="28" t="s">
        <v>468</v>
      </c>
      <c r="D30" s="28" t="s">
        <v>188</v>
      </c>
      <c r="E30" s="29">
        <v>70026</v>
      </c>
      <c r="F30" s="30">
        <v>2457</v>
      </c>
      <c r="G30" s="31">
        <v>1.37E-2</v>
      </c>
      <c r="H30" s="32"/>
    </row>
    <row r="31" spans="2:8" ht="15.75" customHeight="1" x14ac:dyDescent="0.2">
      <c r="B31" s="28" t="s">
        <v>623</v>
      </c>
      <c r="C31" s="28" t="s">
        <v>624</v>
      </c>
      <c r="D31" s="28" t="s">
        <v>389</v>
      </c>
      <c r="E31" s="29">
        <v>594488</v>
      </c>
      <c r="F31" s="30">
        <v>2421.94</v>
      </c>
      <c r="G31" s="31">
        <v>1.35E-2</v>
      </c>
      <c r="H31" s="32"/>
    </row>
    <row r="32" spans="2:8" ht="15.75" customHeight="1" x14ac:dyDescent="0.2">
      <c r="B32" s="28" t="s">
        <v>332</v>
      </c>
      <c r="C32" s="28" t="s">
        <v>333</v>
      </c>
      <c r="D32" s="28" t="s">
        <v>224</v>
      </c>
      <c r="E32" s="29">
        <v>143034</v>
      </c>
      <c r="F32" s="30">
        <v>2418.2800000000002</v>
      </c>
      <c r="G32" s="31">
        <v>1.35E-2</v>
      </c>
      <c r="H32" s="32"/>
    </row>
    <row r="33" spans="2:8" ht="15.75" customHeight="1" x14ac:dyDescent="0.2">
      <c r="B33" s="28" t="s">
        <v>496</v>
      </c>
      <c r="C33" s="28" t="s">
        <v>497</v>
      </c>
      <c r="D33" s="28" t="s">
        <v>246</v>
      </c>
      <c r="E33" s="29">
        <v>137615</v>
      </c>
      <c r="F33" s="30">
        <v>2400.9699999999998</v>
      </c>
      <c r="G33" s="31">
        <v>1.34E-2</v>
      </c>
      <c r="H33" s="32"/>
    </row>
    <row r="34" spans="2:8" ht="15.75" customHeight="1" x14ac:dyDescent="0.2">
      <c r="B34" s="28" t="s">
        <v>684</v>
      </c>
      <c r="C34" s="28" t="s">
        <v>685</v>
      </c>
      <c r="D34" s="28" t="s">
        <v>571</v>
      </c>
      <c r="E34" s="29">
        <v>66496</v>
      </c>
      <c r="F34" s="30">
        <v>2378.83</v>
      </c>
      <c r="G34" s="31">
        <v>1.32E-2</v>
      </c>
      <c r="H34" s="32"/>
    </row>
    <row r="35" spans="2:8" ht="15.75" customHeight="1" x14ac:dyDescent="0.2">
      <c r="B35" s="28" t="s">
        <v>176</v>
      </c>
      <c r="C35" s="28" t="s">
        <v>177</v>
      </c>
      <c r="D35" s="28" t="s">
        <v>178</v>
      </c>
      <c r="E35" s="29">
        <v>179161</v>
      </c>
      <c r="F35" s="30">
        <v>2373.35</v>
      </c>
      <c r="G35" s="31">
        <v>1.32E-2</v>
      </c>
      <c r="H35" s="32"/>
    </row>
    <row r="36" spans="2:8" ht="15.75" customHeight="1" x14ac:dyDescent="0.2">
      <c r="B36" s="28" t="s">
        <v>469</v>
      </c>
      <c r="C36" s="28" t="s">
        <v>470</v>
      </c>
      <c r="D36" s="28" t="s">
        <v>221</v>
      </c>
      <c r="E36" s="29">
        <v>466912</v>
      </c>
      <c r="F36" s="30">
        <v>2347.87</v>
      </c>
      <c r="G36" s="31">
        <v>1.3100000000000001E-2</v>
      </c>
      <c r="H36" s="32"/>
    </row>
    <row r="37" spans="2:8" ht="15.75" customHeight="1" x14ac:dyDescent="0.2">
      <c r="B37" s="28" t="s">
        <v>674</v>
      </c>
      <c r="C37" s="28" t="s">
        <v>675</v>
      </c>
      <c r="D37" s="28" t="s">
        <v>175</v>
      </c>
      <c r="E37" s="29">
        <v>707561</v>
      </c>
      <c r="F37" s="30">
        <v>2232.71</v>
      </c>
      <c r="G37" s="31">
        <v>1.24E-2</v>
      </c>
      <c r="H37" s="32"/>
    </row>
    <row r="38" spans="2:8" ht="15.75" customHeight="1" x14ac:dyDescent="0.2">
      <c r="B38" s="28" t="s">
        <v>804</v>
      </c>
      <c r="C38" s="28" t="s">
        <v>805</v>
      </c>
      <c r="D38" s="28" t="s">
        <v>263</v>
      </c>
      <c r="E38" s="29">
        <v>207833</v>
      </c>
      <c r="F38" s="30">
        <v>2228.8000000000002</v>
      </c>
      <c r="G38" s="31">
        <v>1.24E-2</v>
      </c>
      <c r="H38" s="32"/>
    </row>
    <row r="39" spans="2:8" ht="15.75" customHeight="1" x14ac:dyDescent="0.2">
      <c r="B39" s="28" t="s">
        <v>459</v>
      </c>
      <c r="C39" s="28" t="s">
        <v>460</v>
      </c>
      <c r="D39" s="28" t="s">
        <v>430</v>
      </c>
      <c r="E39" s="29">
        <v>27850</v>
      </c>
      <c r="F39" s="30">
        <v>2139.16</v>
      </c>
      <c r="G39" s="31">
        <v>1.1900000000000001E-2</v>
      </c>
      <c r="H39" s="32"/>
    </row>
    <row r="40" spans="2:8" ht="15.75" customHeight="1" x14ac:dyDescent="0.2">
      <c r="B40" s="28" t="s">
        <v>340</v>
      </c>
      <c r="C40" s="28" t="s">
        <v>341</v>
      </c>
      <c r="D40" s="28" t="s">
        <v>263</v>
      </c>
      <c r="E40" s="29">
        <v>153737</v>
      </c>
      <c r="F40" s="30">
        <v>2138.64</v>
      </c>
      <c r="G40" s="31">
        <v>1.1900000000000001E-2</v>
      </c>
      <c r="H40" s="32"/>
    </row>
    <row r="41" spans="2:8" ht="15.75" customHeight="1" x14ac:dyDescent="0.2">
      <c r="B41" s="28" t="s">
        <v>621</v>
      </c>
      <c r="C41" s="28" t="s">
        <v>622</v>
      </c>
      <c r="D41" s="28" t="s">
        <v>495</v>
      </c>
      <c r="E41" s="29">
        <v>544955</v>
      </c>
      <c r="F41" s="30">
        <v>2124.23</v>
      </c>
      <c r="G41" s="31">
        <v>1.18E-2</v>
      </c>
      <c r="H41" s="32"/>
    </row>
    <row r="42" spans="2:8" ht="15.75" customHeight="1" x14ac:dyDescent="0.2">
      <c r="B42" s="28" t="s">
        <v>167</v>
      </c>
      <c r="C42" s="28" t="s">
        <v>168</v>
      </c>
      <c r="D42" s="28" t="s">
        <v>169</v>
      </c>
      <c r="E42" s="29">
        <v>141927</v>
      </c>
      <c r="F42" s="30">
        <v>2109.6</v>
      </c>
      <c r="G42" s="31">
        <v>1.17E-2</v>
      </c>
      <c r="H42" s="32"/>
    </row>
    <row r="43" spans="2:8" ht="15.75" customHeight="1" x14ac:dyDescent="0.2">
      <c r="B43" s="28" t="s">
        <v>428</v>
      </c>
      <c r="C43" s="28" t="s">
        <v>429</v>
      </c>
      <c r="D43" s="28" t="s">
        <v>430</v>
      </c>
      <c r="E43" s="29">
        <v>319350</v>
      </c>
      <c r="F43" s="30">
        <v>2076.09</v>
      </c>
      <c r="G43" s="31">
        <v>1.1599999999999999E-2</v>
      </c>
      <c r="H43" s="32"/>
    </row>
    <row r="44" spans="2:8" ht="15.75" customHeight="1" x14ac:dyDescent="0.2">
      <c r="B44" s="28" t="s">
        <v>231</v>
      </c>
      <c r="C44" s="28" t="s">
        <v>232</v>
      </c>
      <c r="D44" s="28" t="s">
        <v>233</v>
      </c>
      <c r="E44" s="29">
        <v>22436</v>
      </c>
      <c r="F44" s="30">
        <v>2073.87</v>
      </c>
      <c r="G44" s="31">
        <v>1.15E-2</v>
      </c>
      <c r="H44" s="32"/>
    </row>
    <row r="45" spans="2:8" ht="15.75" customHeight="1" x14ac:dyDescent="0.2">
      <c r="B45" s="28" t="s">
        <v>569</v>
      </c>
      <c r="C45" s="28" t="s">
        <v>570</v>
      </c>
      <c r="D45" s="28" t="s">
        <v>571</v>
      </c>
      <c r="E45" s="29">
        <v>97521</v>
      </c>
      <c r="F45" s="30">
        <v>2071.9299999999998</v>
      </c>
      <c r="G45" s="31">
        <v>1.15E-2</v>
      </c>
      <c r="H45" s="32"/>
    </row>
    <row r="46" spans="2:8" ht="15.75" customHeight="1" x14ac:dyDescent="0.2">
      <c r="B46" s="28" t="s">
        <v>802</v>
      </c>
      <c r="C46" s="28" t="s">
        <v>803</v>
      </c>
      <c r="D46" s="28" t="s">
        <v>290</v>
      </c>
      <c r="E46" s="29">
        <v>245758</v>
      </c>
      <c r="F46" s="30">
        <v>2055.77</v>
      </c>
      <c r="G46" s="31">
        <v>1.14E-2</v>
      </c>
      <c r="H46" s="32"/>
    </row>
    <row r="47" spans="2:8" ht="15.75" customHeight="1" x14ac:dyDescent="0.2">
      <c r="B47" s="28" t="s">
        <v>491</v>
      </c>
      <c r="C47" s="28" t="s">
        <v>492</v>
      </c>
      <c r="D47" s="28" t="s">
        <v>166</v>
      </c>
      <c r="E47" s="29">
        <v>864697</v>
      </c>
      <c r="F47" s="30">
        <v>2045.96</v>
      </c>
      <c r="G47" s="31">
        <v>1.14E-2</v>
      </c>
      <c r="H47" s="32"/>
    </row>
    <row r="48" spans="2:8" ht="15.75" customHeight="1" x14ac:dyDescent="0.2">
      <c r="B48" s="28" t="s">
        <v>974</v>
      </c>
      <c r="C48" s="28" t="s">
        <v>975</v>
      </c>
      <c r="D48" s="28" t="s">
        <v>339</v>
      </c>
      <c r="E48" s="29">
        <v>283140</v>
      </c>
      <c r="F48" s="30">
        <v>2038.47</v>
      </c>
      <c r="G48" s="31">
        <v>1.1299999999999999E-2</v>
      </c>
      <c r="H48" s="32"/>
    </row>
    <row r="49" spans="2:8" ht="15.75" customHeight="1" x14ac:dyDescent="0.2">
      <c r="B49" s="28" t="s">
        <v>672</v>
      </c>
      <c r="C49" s="28" t="s">
        <v>673</v>
      </c>
      <c r="D49" s="28" t="s">
        <v>178</v>
      </c>
      <c r="E49" s="29">
        <v>163218</v>
      </c>
      <c r="F49" s="30">
        <v>2016.07</v>
      </c>
      <c r="G49" s="31">
        <v>1.12E-2</v>
      </c>
      <c r="H49" s="32"/>
    </row>
    <row r="50" spans="2:8" ht="15.75" customHeight="1" x14ac:dyDescent="0.2">
      <c r="B50" s="28" t="s">
        <v>374</v>
      </c>
      <c r="C50" s="28" t="s">
        <v>375</v>
      </c>
      <c r="D50" s="28" t="s">
        <v>349</v>
      </c>
      <c r="E50" s="29">
        <v>67543</v>
      </c>
      <c r="F50" s="30">
        <v>1979.35</v>
      </c>
      <c r="G50" s="31">
        <v>1.0999999999999999E-2</v>
      </c>
      <c r="H50" s="32"/>
    </row>
    <row r="51" spans="2:8" ht="15.75" customHeight="1" x14ac:dyDescent="0.2">
      <c r="B51" s="28" t="s">
        <v>586</v>
      </c>
      <c r="C51" s="28" t="s">
        <v>587</v>
      </c>
      <c r="D51" s="28" t="s">
        <v>260</v>
      </c>
      <c r="E51" s="29">
        <v>301422</v>
      </c>
      <c r="F51" s="30">
        <v>1973.26</v>
      </c>
      <c r="G51" s="31">
        <v>1.0999999999999999E-2</v>
      </c>
      <c r="H51" s="32"/>
    </row>
    <row r="52" spans="2:8" ht="15.75" customHeight="1" x14ac:dyDescent="0.2">
      <c r="B52" s="28" t="s">
        <v>362</v>
      </c>
      <c r="C52" s="28" t="s">
        <v>363</v>
      </c>
      <c r="D52" s="28" t="s">
        <v>300</v>
      </c>
      <c r="E52" s="29">
        <v>34951</v>
      </c>
      <c r="F52" s="30">
        <v>1965.99</v>
      </c>
      <c r="G52" s="31">
        <v>1.09E-2</v>
      </c>
      <c r="H52" s="32"/>
    </row>
    <row r="53" spans="2:8" ht="15.75" customHeight="1" x14ac:dyDescent="0.2">
      <c r="B53" s="28" t="s">
        <v>593</v>
      </c>
      <c r="C53" s="28" t="s">
        <v>594</v>
      </c>
      <c r="D53" s="28" t="s">
        <v>263</v>
      </c>
      <c r="E53" s="29">
        <v>265498</v>
      </c>
      <c r="F53" s="30">
        <v>1939.73</v>
      </c>
      <c r="G53" s="31">
        <v>1.0800000000000001E-2</v>
      </c>
      <c r="H53" s="32"/>
    </row>
    <row r="54" spans="2:8" ht="15.75" customHeight="1" x14ac:dyDescent="0.2">
      <c r="B54" s="28" t="s">
        <v>247</v>
      </c>
      <c r="C54" s="28" t="s">
        <v>248</v>
      </c>
      <c r="D54" s="28" t="s">
        <v>249</v>
      </c>
      <c r="E54" s="29">
        <v>402862</v>
      </c>
      <c r="F54" s="30">
        <v>1892.04</v>
      </c>
      <c r="G54" s="31">
        <v>1.0500000000000001E-2</v>
      </c>
      <c r="H54" s="32"/>
    </row>
    <row r="55" spans="2:8" ht="15.75" customHeight="1" x14ac:dyDescent="0.2">
      <c r="B55" s="28" t="s">
        <v>500</v>
      </c>
      <c r="C55" s="28" t="s">
        <v>501</v>
      </c>
      <c r="D55" s="28" t="s">
        <v>502</v>
      </c>
      <c r="E55" s="29">
        <v>412603</v>
      </c>
      <c r="F55" s="30">
        <v>1876.93</v>
      </c>
      <c r="G55" s="31">
        <v>1.04E-2</v>
      </c>
      <c r="H55" s="32"/>
    </row>
    <row r="56" spans="2:8" ht="15.75" customHeight="1" x14ac:dyDescent="0.2">
      <c r="B56" s="28" t="s">
        <v>359</v>
      </c>
      <c r="C56" s="28" t="s">
        <v>360</v>
      </c>
      <c r="D56" s="28" t="s">
        <v>361</v>
      </c>
      <c r="E56" s="29">
        <v>44918</v>
      </c>
      <c r="F56" s="30">
        <v>1850.08</v>
      </c>
      <c r="G56" s="31">
        <v>1.03E-2</v>
      </c>
      <c r="H56" s="32"/>
    </row>
    <row r="57" spans="2:8" ht="15.75" customHeight="1" x14ac:dyDescent="0.2">
      <c r="B57" s="28" t="s">
        <v>357</v>
      </c>
      <c r="C57" s="28" t="s">
        <v>358</v>
      </c>
      <c r="D57" s="28" t="s">
        <v>175</v>
      </c>
      <c r="E57" s="29">
        <v>209362</v>
      </c>
      <c r="F57" s="30">
        <v>1839.56</v>
      </c>
      <c r="G57" s="31">
        <v>1.0200000000000001E-2</v>
      </c>
      <c r="H57" s="32"/>
    </row>
    <row r="58" spans="2:8" ht="15.75" customHeight="1" x14ac:dyDescent="0.2">
      <c r="B58" s="28" t="s">
        <v>660</v>
      </c>
      <c r="C58" s="28" t="s">
        <v>661</v>
      </c>
      <c r="D58" s="28" t="s">
        <v>430</v>
      </c>
      <c r="E58" s="29">
        <v>355113</v>
      </c>
      <c r="F58" s="30">
        <v>1797.76</v>
      </c>
      <c r="G58" s="31">
        <v>0.01</v>
      </c>
      <c r="H58" s="32"/>
    </row>
    <row r="59" spans="2:8" ht="15.75" customHeight="1" x14ac:dyDescent="0.2">
      <c r="B59" s="28" t="s">
        <v>419</v>
      </c>
      <c r="C59" s="28" t="s">
        <v>420</v>
      </c>
      <c r="D59" s="28" t="s">
        <v>224</v>
      </c>
      <c r="E59" s="29">
        <v>50067</v>
      </c>
      <c r="F59" s="30">
        <v>1782.44</v>
      </c>
      <c r="G59" s="31">
        <v>9.9000000000000008E-3</v>
      </c>
      <c r="H59" s="32"/>
    </row>
    <row r="60" spans="2:8" ht="15.75" customHeight="1" x14ac:dyDescent="0.2">
      <c r="B60" s="28" t="s">
        <v>252</v>
      </c>
      <c r="C60" s="28" t="s">
        <v>253</v>
      </c>
      <c r="D60" s="28" t="s">
        <v>169</v>
      </c>
      <c r="E60" s="29">
        <v>373495</v>
      </c>
      <c r="F60" s="30">
        <v>1777.84</v>
      </c>
      <c r="G60" s="31">
        <v>9.9000000000000008E-3</v>
      </c>
      <c r="H60" s="32"/>
    </row>
    <row r="61" spans="2:8" ht="15.75" customHeight="1" x14ac:dyDescent="0.2">
      <c r="B61" s="28" t="s">
        <v>588</v>
      </c>
      <c r="C61" s="28" t="s">
        <v>589</v>
      </c>
      <c r="D61" s="28" t="s">
        <v>590</v>
      </c>
      <c r="E61" s="29">
        <v>158720</v>
      </c>
      <c r="F61" s="30">
        <v>1697.35</v>
      </c>
      <c r="G61" s="31">
        <v>9.4000000000000004E-3</v>
      </c>
      <c r="H61" s="32"/>
    </row>
    <row r="62" spans="2:8" ht="15.75" customHeight="1" x14ac:dyDescent="0.2">
      <c r="B62" s="28" t="s">
        <v>464</v>
      </c>
      <c r="C62" s="28" t="s">
        <v>465</v>
      </c>
      <c r="D62" s="28" t="s">
        <v>466</v>
      </c>
      <c r="E62" s="29">
        <v>627388</v>
      </c>
      <c r="F62" s="30">
        <v>1618.03</v>
      </c>
      <c r="G62" s="31">
        <v>8.9999999999999993E-3</v>
      </c>
      <c r="H62" s="32"/>
    </row>
    <row r="63" spans="2:8" ht="15.75" customHeight="1" x14ac:dyDescent="0.2">
      <c r="B63" s="28" t="s">
        <v>303</v>
      </c>
      <c r="C63" s="28" t="s">
        <v>304</v>
      </c>
      <c r="D63" s="28" t="s">
        <v>178</v>
      </c>
      <c r="E63" s="29">
        <v>4150</v>
      </c>
      <c r="F63" s="30">
        <v>1545.67</v>
      </c>
      <c r="G63" s="31">
        <v>8.6E-3</v>
      </c>
      <c r="H63" s="32"/>
    </row>
    <row r="64" spans="2:8" ht="15.75" customHeight="1" x14ac:dyDescent="0.2">
      <c r="B64" s="28" t="s">
        <v>324</v>
      </c>
      <c r="C64" s="28" t="s">
        <v>325</v>
      </c>
      <c r="D64" s="28" t="s">
        <v>326</v>
      </c>
      <c r="E64" s="29">
        <v>38305</v>
      </c>
      <c r="F64" s="30">
        <v>1544.04</v>
      </c>
      <c r="G64" s="31">
        <v>8.6E-3</v>
      </c>
      <c r="H64" s="32"/>
    </row>
    <row r="65" spans="2:14" ht="15.75" customHeight="1" x14ac:dyDescent="0.2">
      <c r="B65" s="28" t="s">
        <v>841</v>
      </c>
      <c r="C65" s="28" t="s">
        <v>842</v>
      </c>
      <c r="D65" s="28" t="s">
        <v>293</v>
      </c>
      <c r="E65" s="29">
        <v>17071</v>
      </c>
      <c r="F65" s="30">
        <v>1539.21</v>
      </c>
      <c r="G65" s="31">
        <v>8.6E-3</v>
      </c>
      <c r="H65" s="32"/>
    </row>
    <row r="66" spans="2:14" ht="15.75" customHeight="1" x14ac:dyDescent="0.2">
      <c r="B66" s="28" t="s">
        <v>274</v>
      </c>
      <c r="C66" s="28" t="s">
        <v>275</v>
      </c>
      <c r="D66" s="28" t="s">
        <v>178</v>
      </c>
      <c r="E66" s="29">
        <v>1441363</v>
      </c>
      <c r="F66" s="30">
        <v>1519.05</v>
      </c>
      <c r="G66" s="31">
        <v>8.5000000000000006E-3</v>
      </c>
      <c r="H66" s="32"/>
    </row>
    <row r="67" spans="2:14" ht="15.75" customHeight="1" x14ac:dyDescent="0.2">
      <c r="B67" s="28" t="s">
        <v>372</v>
      </c>
      <c r="C67" s="28" t="s">
        <v>373</v>
      </c>
      <c r="D67" s="28" t="s">
        <v>290</v>
      </c>
      <c r="E67" s="29">
        <v>49034</v>
      </c>
      <c r="F67" s="30">
        <v>1482.49</v>
      </c>
      <c r="G67" s="31">
        <v>8.3000000000000001E-3</v>
      </c>
      <c r="H67" s="32"/>
    </row>
    <row r="68" spans="2:14" ht="15.75" customHeight="1" x14ac:dyDescent="0.2">
      <c r="B68" s="28" t="s">
        <v>170</v>
      </c>
      <c r="C68" s="28" t="s">
        <v>171</v>
      </c>
      <c r="D68" s="28" t="s">
        <v>172</v>
      </c>
      <c r="E68" s="29">
        <v>99491</v>
      </c>
      <c r="F68" s="30">
        <v>1474.76</v>
      </c>
      <c r="G68" s="31">
        <v>8.2000000000000007E-3</v>
      </c>
      <c r="H68" s="32"/>
      <c r="J68" s="3"/>
    </row>
    <row r="69" spans="2:14" ht="15.75" customHeight="1" x14ac:dyDescent="0.2">
      <c r="B69" s="28" t="s">
        <v>412</v>
      </c>
      <c r="C69" s="28" t="s">
        <v>413</v>
      </c>
      <c r="D69" s="28" t="s">
        <v>329</v>
      </c>
      <c r="E69" s="29">
        <v>487662</v>
      </c>
      <c r="F69" s="30">
        <v>1435.68</v>
      </c>
      <c r="G69" s="31">
        <v>8.0000000000000002E-3</v>
      </c>
      <c r="H69" s="32"/>
    </row>
    <row r="70" spans="2:14" ht="15.75" customHeight="1" x14ac:dyDescent="0.2">
      <c r="B70" s="28" t="s">
        <v>875</v>
      </c>
      <c r="C70" s="28" t="s">
        <v>876</v>
      </c>
      <c r="D70" s="28" t="s">
        <v>178</v>
      </c>
      <c r="E70" s="29">
        <v>268422</v>
      </c>
      <c r="F70" s="30">
        <v>1405.05</v>
      </c>
      <c r="G70" s="31">
        <v>7.7999999999999996E-3</v>
      </c>
      <c r="H70" s="32"/>
      <c r="J70" s="3"/>
    </row>
    <row r="71" spans="2:14" ht="15.75" customHeight="1" x14ac:dyDescent="0.2">
      <c r="B71" s="28" t="s">
        <v>599</v>
      </c>
      <c r="C71" s="28" t="s">
        <v>600</v>
      </c>
      <c r="D71" s="28" t="s">
        <v>260</v>
      </c>
      <c r="E71" s="29">
        <v>122625</v>
      </c>
      <c r="F71" s="30">
        <v>1384.19</v>
      </c>
      <c r="G71" s="31">
        <v>7.7000000000000002E-3</v>
      </c>
      <c r="H71" s="32"/>
      <c r="J71" s="3"/>
    </row>
    <row r="72" spans="2:14" ht="15.75" customHeight="1" x14ac:dyDescent="0.2">
      <c r="B72" s="28" t="s">
        <v>625</v>
      </c>
      <c r="C72" s="28" t="s">
        <v>626</v>
      </c>
      <c r="D72" s="28" t="s">
        <v>260</v>
      </c>
      <c r="E72" s="29">
        <v>82295</v>
      </c>
      <c r="F72" s="30">
        <v>1369.06</v>
      </c>
      <c r="G72" s="31">
        <v>7.6E-3</v>
      </c>
      <c r="H72" s="32"/>
      <c r="J72" s="3"/>
    </row>
    <row r="73" spans="2:14" ht="15.75" customHeight="1" x14ac:dyDescent="0.2">
      <c r="B73" s="28" t="s">
        <v>376</v>
      </c>
      <c r="C73" s="28" t="s">
        <v>377</v>
      </c>
      <c r="D73" s="28" t="s">
        <v>326</v>
      </c>
      <c r="E73" s="29">
        <v>102686</v>
      </c>
      <c r="F73" s="30">
        <v>1354.53</v>
      </c>
      <c r="G73" s="31">
        <v>7.4999999999999997E-3</v>
      </c>
      <c r="H73" s="32"/>
      <c r="J73" s="3"/>
    </row>
    <row r="74" spans="2:14" ht="15.75" customHeight="1" x14ac:dyDescent="0.2">
      <c r="B74" s="28" t="s">
        <v>483</v>
      </c>
      <c r="C74" s="28" t="s">
        <v>484</v>
      </c>
      <c r="D74" s="28" t="s">
        <v>290</v>
      </c>
      <c r="E74" s="29">
        <v>69924</v>
      </c>
      <c r="F74" s="30">
        <v>1186.33</v>
      </c>
      <c r="G74" s="31">
        <v>6.6E-3</v>
      </c>
      <c r="H74" s="32"/>
      <c r="J74" s="3"/>
    </row>
    <row r="75" spans="2:14" ht="15.75" customHeight="1" x14ac:dyDescent="0.2">
      <c r="B75" s="28" t="s">
        <v>549</v>
      </c>
      <c r="C75" s="28" t="s">
        <v>550</v>
      </c>
      <c r="D75" s="28" t="s">
        <v>233</v>
      </c>
      <c r="E75" s="29">
        <v>45580</v>
      </c>
      <c r="F75" s="30">
        <v>1129.93</v>
      </c>
      <c r="G75" s="31">
        <v>6.3E-3</v>
      </c>
      <c r="H75" s="32"/>
      <c r="J75" s="5"/>
      <c r="K75" s="5"/>
      <c r="L75" s="6"/>
      <c r="M75" s="6"/>
      <c r="N75" s="5"/>
    </row>
    <row r="76" spans="2:14" ht="15.75" customHeight="1" x14ac:dyDescent="0.2">
      <c r="B76" s="28" t="s">
        <v>794</v>
      </c>
      <c r="C76" s="28" t="s">
        <v>795</v>
      </c>
      <c r="D76" s="28" t="s">
        <v>466</v>
      </c>
      <c r="E76" s="29">
        <v>52161</v>
      </c>
      <c r="F76" s="30">
        <v>1087.97</v>
      </c>
      <c r="G76" s="31">
        <v>6.1000000000000004E-3</v>
      </c>
      <c r="H76" s="32"/>
    </row>
    <row r="77" spans="2:14" ht="15.75" customHeight="1" x14ac:dyDescent="0.2">
      <c r="B77" s="28" t="s">
        <v>473</v>
      </c>
      <c r="C77" s="28" t="s">
        <v>474</v>
      </c>
      <c r="D77" s="28" t="s">
        <v>224</v>
      </c>
      <c r="E77" s="29">
        <v>537134</v>
      </c>
      <c r="F77" s="30">
        <v>1072.28</v>
      </c>
      <c r="G77" s="31">
        <v>6.0000000000000001E-3</v>
      </c>
      <c r="H77" s="32"/>
    </row>
    <row r="78" spans="2:14" ht="15.75" customHeight="1" x14ac:dyDescent="0.2">
      <c r="B78" s="28" t="s">
        <v>629</v>
      </c>
      <c r="C78" s="28" t="s">
        <v>630</v>
      </c>
      <c r="D78" s="28" t="s">
        <v>329</v>
      </c>
      <c r="E78" s="29">
        <v>211505</v>
      </c>
      <c r="F78" s="30">
        <v>1008.46</v>
      </c>
      <c r="G78" s="31">
        <v>5.5999999999999999E-3</v>
      </c>
      <c r="H78" s="32"/>
      <c r="J78" s="7"/>
      <c r="K78" s="7"/>
      <c r="L78" s="7"/>
      <c r="M78" s="7"/>
      <c r="N78" s="7"/>
    </row>
    <row r="79" spans="2:14" ht="15.75" customHeight="1" x14ac:dyDescent="0.2">
      <c r="B79" s="28" t="s">
        <v>433</v>
      </c>
      <c r="C79" s="28" t="s">
        <v>434</v>
      </c>
      <c r="D79" s="28" t="s">
        <v>435</v>
      </c>
      <c r="E79" s="29">
        <v>227867</v>
      </c>
      <c r="F79" s="30">
        <v>987.46</v>
      </c>
      <c r="G79" s="31">
        <v>5.4999999999999997E-3</v>
      </c>
      <c r="H79" s="32"/>
      <c r="J79" s="7"/>
      <c r="K79" s="7"/>
      <c r="L79" s="7"/>
      <c r="M79" s="7"/>
      <c r="N79" s="7"/>
    </row>
    <row r="80" spans="2:14" ht="15.75" customHeight="1" x14ac:dyDescent="0.2">
      <c r="B80" s="28" t="s">
        <v>471</v>
      </c>
      <c r="C80" s="28" t="s">
        <v>472</v>
      </c>
      <c r="D80" s="28" t="s">
        <v>326</v>
      </c>
      <c r="E80" s="29">
        <v>213449</v>
      </c>
      <c r="F80" s="30">
        <v>956.36</v>
      </c>
      <c r="G80" s="31">
        <v>5.3E-3</v>
      </c>
      <c r="H80" s="32"/>
      <c r="J80" s="7"/>
      <c r="K80" s="7"/>
      <c r="L80" s="7"/>
      <c r="M80" s="7"/>
      <c r="N80" s="7"/>
    </row>
    <row r="81" spans="2:14" ht="15.75" customHeight="1" x14ac:dyDescent="0.2">
      <c r="B81" s="28" t="s">
        <v>402</v>
      </c>
      <c r="C81" s="28" t="s">
        <v>403</v>
      </c>
      <c r="D81" s="28" t="s">
        <v>329</v>
      </c>
      <c r="E81" s="29">
        <v>85538</v>
      </c>
      <c r="F81" s="30">
        <v>916.71</v>
      </c>
      <c r="G81" s="31">
        <v>5.1000000000000004E-3</v>
      </c>
      <c r="H81" s="32"/>
      <c r="J81" s="7"/>
      <c r="K81" s="7"/>
      <c r="L81" s="7"/>
      <c r="M81" s="7"/>
      <c r="N81" s="7"/>
    </row>
    <row r="82" spans="2:14" ht="15.75" customHeight="1" x14ac:dyDescent="0.2">
      <c r="B82" s="28" t="s">
        <v>404</v>
      </c>
      <c r="C82" s="28" t="s">
        <v>405</v>
      </c>
      <c r="D82" s="28" t="s">
        <v>326</v>
      </c>
      <c r="E82" s="29">
        <v>101850</v>
      </c>
      <c r="F82" s="30">
        <v>895.82</v>
      </c>
      <c r="G82" s="31">
        <v>5.0000000000000001E-3</v>
      </c>
      <c r="H82" s="32"/>
      <c r="J82" s="7"/>
      <c r="K82" s="7"/>
      <c r="L82" s="7"/>
      <c r="M82" s="7"/>
      <c r="N82" s="7"/>
    </row>
    <row r="83" spans="2:14" ht="15.75" customHeight="1" x14ac:dyDescent="0.2">
      <c r="B83" s="28" t="s">
        <v>643</v>
      </c>
      <c r="C83" s="28" t="s">
        <v>644</v>
      </c>
      <c r="D83" s="28" t="s">
        <v>178</v>
      </c>
      <c r="E83" s="29">
        <v>141215</v>
      </c>
      <c r="F83" s="30">
        <v>874.62</v>
      </c>
      <c r="G83" s="31">
        <v>4.8999999999999998E-3</v>
      </c>
      <c r="H83" s="32"/>
      <c r="J83" s="7"/>
      <c r="K83" s="7"/>
      <c r="L83" s="7"/>
      <c r="M83" s="7"/>
      <c r="N83" s="7"/>
    </row>
    <row r="84" spans="2:14" ht="15.75" customHeight="1" x14ac:dyDescent="0.2">
      <c r="B84" s="28" t="s">
        <v>489</v>
      </c>
      <c r="C84" s="28" t="s">
        <v>490</v>
      </c>
      <c r="D84" s="28" t="s">
        <v>349</v>
      </c>
      <c r="E84" s="29">
        <v>43954</v>
      </c>
      <c r="F84" s="30">
        <v>726.25</v>
      </c>
      <c r="G84" s="31">
        <v>4.0000000000000001E-3</v>
      </c>
      <c r="H84" s="32"/>
      <c r="J84" s="7"/>
      <c r="K84" s="7"/>
      <c r="L84" s="7"/>
      <c r="M84" s="7"/>
      <c r="N84" s="7"/>
    </row>
    <row r="85" spans="2:14" ht="15.75" customHeight="1" x14ac:dyDescent="0.2">
      <c r="B85" s="27" t="s">
        <v>127</v>
      </c>
      <c r="C85" s="27"/>
      <c r="D85" s="27"/>
      <c r="E85" s="33"/>
      <c r="F85" s="34">
        <f>SUM(F7:F84)</f>
        <v>173663.82999999993</v>
      </c>
      <c r="G85" s="35">
        <v>0.96660000000000001</v>
      </c>
      <c r="H85" s="36"/>
      <c r="J85" s="3"/>
    </row>
    <row r="86" spans="2:14" ht="15.75" customHeight="1" x14ac:dyDescent="0.2">
      <c r="B86" s="27" t="s">
        <v>189</v>
      </c>
      <c r="C86" s="28"/>
      <c r="D86" s="28"/>
      <c r="E86" s="29"/>
      <c r="F86" s="30"/>
      <c r="G86" s="31"/>
      <c r="H86" s="32"/>
    </row>
    <row r="87" spans="2:14" ht="15.75" customHeight="1" x14ac:dyDescent="0.2">
      <c r="B87" s="27" t="s">
        <v>127</v>
      </c>
      <c r="C87" s="28"/>
      <c r="D87" s="28"/>
      <c r="E87" s="29"/>
      <c r="F87" s="37" t="s">
        <v>129</v>
      </c>
      <c r="G87" s="38" t="s">
        <v>129</v>
      </c>
      <c r="H87" s="32"/>
    </row>
    <row r="88" spans="2:14" ht="15.75" customHeight="1" x14ac:dyDescent="0.2">
      <c r="B88" s="28"/>
      <c r="C88" s="28"/>
      <c r="D88" s="28"/>
      <c r="E88" s="29"/>
      <c r="F88" s="30"/>
      <c r="G88" s="31"/>
      <c r="H88" s="32"/>
    </row>
    <row r="89" spans="2:14" ht="15.75" customHeight="1" x14ac:dyDescent="0.2">
      <c r="B89" s="39" t="s">
        <v>131</v>
      </c>
      <c r="C89" s="39"/>
      <c r="D89" s="39"/>
      <c r="E89" s="40"/>
      <c r="F89" s="34">
        <f>F85</f>
        <v>173663.82999999993</v>
      </c>
      <c r="G89" s="35">
        <f>G85</f>
        <v>0.96660000000000001</v>
      </c>
      <c r="H89" s="36"/>
    </row>
    <row r="90" spans="2:14" ht="15.75" customHeight="1" x14ac:dyDescent="0.2">
      <c r="B90" s="28"/>
      <c r="C90" s="28"/>
      <c r="D90" s="28"/>
      <c r="E90" s="29"/>
      <c r="F90" s="30"/>
      <c r="G90" s="31"/>
      <c r="H90" s="32"/>
    </row>
    <row r="91" spans="2:14" s="7" customFormat="1" ht="15.6" customHeight="1" x14ac:dyDescent="0.25">
      <c r="B91" s="64" t="s">
        <v>107</v>
      </c>
      <c r="C91" s="65"/>
      <c r="D91" s="65"/>
      <c r="E91" s="66"/>
      <c r="F91" s="67"/>
      <c r="G91" s="68"/>
      <c r="H91" s="69"/>
    </row>
    <row r="92" spans="2:14" s="7" customFormat="1" ht="15.6" customHeight="1" x14ac:dyDescent="0.25">
      <c r="B92" s="64" t="s">
        <v>1123</v>
      </c>
      <c r="C92" s="65"/>
      <c r="D92" s="65"/>
      <c r="E92" s="66"/>
      <c r="F92" s="67"/>
      <c r="G92" s="68"/>
      <c r="H92" s="69"/>
    </row>
    <row r="93" spans="2:14" s="7" customFormat="1" ht="15.6" customHeight="1" x14ac:dyDescent="0.2">
      <c r="B93" s="65" t="s">
        <v>1122</v>
      </c>
      <c r="C93" s="28" t="s">
        <v>503</v>
      </c>
      <c r="D93" s="28" t="s">
        <v>188</v>
      </c>
      <c r="E93" s="29">
        <v>148212</v>
      </c>
      <c r="F93" s="30">
        <v>14.96</v>
      </c>
      <c r="G93" s="31">
        <v>1E-4</v>
      </c>
      <c r="H93" s="69"/>
    </row>
    <row r="94" spans="2:14" s="7" customFormat="1" ht="15.6" customHeight="1" x14ac:dyDescent="0.25">
      <c r="B94" s="64" t="s">
        <v>127</v>
      </c>
      <c r="C94" s="65"/>
      <c r="D94" s="65"/>
      <c r="E94" s="66"/>
      <c r="F94" s="70">
        <f>F93</f>
        <v>14.96</v>
      </c>
      <c r="G94" s="71">
        <f>G93</f>
        <v>1E-4</v>
      </c>
      <c r="H94" s="69"/>
    </row>
    <row r="95" spans="2:14" ht="15.75" customHeight="1" x14ac:dyDescent="0.2">
      <c r="B95" s="28"/>
      <c r="C95" s="28"/>
      <c r="D95" s="28"/>
      <c r="E95" s="29"/>
      <c r="F95" s="30"/>
      <c r="G95" s="31"/>
      <c r="H95" s="32"/>
    </row>
    <row r="96" spans="2:14" s="7" customFormat="1" ht="15.6" customHeight="1" x14ac:dyDescent="0.25">
      <c r="B96" s="72" t="s">
        <v>131</v>
      </c>
      <c r="C96" s="72"/>
      <c r="D96" s="72"/>
      <c r="E96" s="73"/>
      <c r="F96" s="70">
        <f>F94</f>
        <v>14.96</v>
      </c>
      <c r="G96" s="71">
        <f>G94</f>
        <v>1E-4</v>
      </c>
      <c r="H96" s="74"/>
    </row>
    <row r="97" spans="2:8" ht="15.75" customHeight="1" x14ac:dyDescent="0.2">
      <c r="B97" s="28"/>
      <c r="C97" s="28"/>
      <c r="D97" s="28"/>
      <c r="E97" s="29"/>
      <c r="F97" s="30"/>
      <c r="G97" s="31"/>
      <c r="H97" s="32"/>
    </row>
    <row r="98" spans="2:8" ht="15.75" customHeight="1" x14ac:dyDescent="0.2">
      <c r="B98" s="27" t="s">
        <v>134</v>
      </c>
      <c r="C98" s="28"/>
      <c r="D98" s="28"/>
      <c r="E98" s="29"/>
      <c r="F98" s="30"/>
      <c r="G98" s="31"/>
      <c r="H98" s="32"/>
    </row>
    <row r="99" spans="2:8" ht="15.75" customHeight="1" x14ac:dyDescent="0.2">
      <c r="B99" s="28" t="s">
        <v>135</v>
      </c>
      <c r="C99" s="28"/>
      <c r="D99" s="28"/>
      <c r="E99" s="29"/>
      <c r="F99" s="30">
        <v>7224.81</v>
      </c>
      <c r="G99" s="31">
        <v>4.02E-2</v>
      </c>
      <c r="H99" s="32"/>
    </row>
    <row r="100" spans="2:8" ht="15.75" customHeight="1" x14ac:dyDescent="0.2">
      <c r="B100" s="27" t="s">
        <v>127</v>
      </c>
      <c r="C100" s="27"/>
      <c r="D100" s="27"/>
      <c r="E100" s="33"/>
      <c r="F100" s="34">
        <v>7224.81</v>
      </c>
      <c r="G100" s="35">
        <v>4.02E-2</v>
      </c>
      <c r="H100" s="36"/>
    </row>
    <row r="101" spans="2:8" ht="15.75" customHeight="1" x14ac:dyDescent="0.2">
      <c r="B101" s="28"/>
      <c r="C101" s="28"/>
      <c r="D101" s="28"/>
      <c r="E101" s="29"/>
      <c r="F101" s="30"/>
      <c r="G101" s="31"/>
      <c r="H101" s="32"/>
    </row>
    <row r="102" spans="2:8" ht="15.75" customHeight="1" x14ac:dyDescent="0.2">
      <c r="B102" s="39" t="s">
        <v>131</v>
      </c>
      <c r="C102" s="39"/>
      <c r="D102" s="39"/>
      <c r="E102" s="40"/>
      <c r="F102" s="34">
        <v>7224.81</v>
      </c>
      <c r="G102" s="35">
        <v>4.02E-2</v>
      </c>
      <c r="H102" s="36"/>
    </row>
    <row r="103" spans="2:8" ht="15.75" customHeight="1" x14ac:dyDescent="0.2">
      <c r="B103" s="28" t="s">
        <v>136</v>
      </c>
      <c r="C103" s="28"/>
      <c r="D103" s="28"/>
      <c r="E103" s="29"/>
      <c r="F103" s="41">
        <v>-1246.98</v>
      </c>
      <c r="G103" s="42">
        <v>-6.8999999999999062E-3</v>
      </c>
      <c r="H103" s="32"/>
    </row>
    <row r="104" spans="2:8" ht="15.75" customHeight="1" x14ac:dyDescent="0.2">
      <c r="B104" s="43" t="s">
        <v>137</v>
      </c>
      <c r="C104" s="43"/>
      <c r="D104" s="43"/>
      <c r="E104" s="44"/>
      <c r="F104" s="45">
        <v>179656.62</v>
      </c>
      <c r="G104" s="46">
        <v>1</v>
      </c>
      <c r="H104" s="47"/>
    </row>
    <row r="105" spans="2:8" ht="15.75" customHeight="1" x14ac:dyDescent="0.2">
      <c r="B105" s="2"/>
    </row>
    <row r="108" spans="2:8" ht="15.75" customHeight="1" thickBot="1" x14ac:dyDescent="0.25"/>
    <row r="109" spans="2:8" ht="39.75" customHeight="1" thickBot="1" x14ac:dyDescent="0.25">
      <c r="B109" s="48" t="s">
        <v>139</v>
      </c>
      <c r="C109" s="49" t="s">
        <v>140</v>
      </c>
      <c r="D109" s="49" t="s">
        <v>141</v>
      </c>
      <c r="E109" s="49" t="s">
        <v>142</v>
      </c>
    </row>
    <row r="110" spans="2:8" ht="39.75" customHeight="1" x14ac:dyDescent="0.2">
      <c r="B110" s="61" t="s">
        <v>32</v>
      </c>
      <c r="C110" s="77"/>
      <c r="D110" s="80" t="s">
        <v>1051</v>
      </c>
      <c r="E110" s="81"/>
    </row>
    <row r="111" spans="2:8" ht="39.75" customHeight="1" x14ac:dyDescent="0.2">
      <c r="B111" s="52" t="s">
        <v>1049</v>
      </c>
      <c r="C111" s="78"/>
      <c r="D111" s="80"/>
      <c r="E111" s="82"/>
    </row>
    <row r="112" spans="2:8" ht="39.75" customHeight="1" x14ac:dyDescent="0.2">
      <c r="B112" s="52" t="s">
        <v>1052</v>
      </c>
      <c r="C112" s="78"/>
      <c r="D112" s="80"/>
      <c r="E112" s="82"/>
    </row>
    <row r="113" spans="2:5" ht="39.75" customHeight="1" thickBot="1" x14ac:dyDescent="0.25">
      <c r="B113" s="62" t="s">
        <v>561</v>
      </c>
      <c r="C113" s="79"/>
      <c r="D113" s="50" t="s">
        <v>562</v>
      </c>
      <c r="E113" s="83"/>
    </row>
    <row r="114" spans="2:5" ht="15.75" customHeight="1" x14ac:dyDescent="0.2">
      <c r="B114" s="9" t="s">
        <v>144</v>
      </c>
    </row>
    <row r="116" spans="2:5" ht="15.75" customHeight="1" x14ac:dyDescent="0.2">
      <c r="B116" s="9" t="s">
        <v>145</v>
      </c>
    </row>
    <row r="117" spans="2:5" ht="15.75" customHeight="1" x14ac:dyDescent="0.2">
      <c r="B117" s="15" t="s">
        <v>146</v>
      </c>
    </row>
  </sheetData>
  <mergeCells count="3">
    <mergeCell ref="C110:C113"/>
    <mergeCell ref="D110:D112"/>
    <mergeCell ref="E110:E113"/>
  </mergeCells>
  <hyperlinks>
    <hyperlink ref="G1" location="'Sheet1'!A1" display="Index" xr:uid="{A2EB486F-8E10-4333-A1A3-F63C6A07944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8B88-7FBD-42E6-819F-BE19933CDB45}">
  <dimension ref="B1:N9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749</v>
      </c>
      <c r="C7" s="28" t="s">
        <v>750</v>
      </c>
      <c r="D7" s="28" t="s">
        <v>218</v>
      </c>
      <c r="E7" s="29">
        <v>8253</v>
      </c>
      <c r="F7" s="30">
        <v>386.22</v>
      </c>
      <c r="G7" s="31">
        <v>3.7900000000000003E-2</v>
      </c>
      <c r="H7" s="32"/>
    </row>
    <row r="8" spans="2:8" ht="15.75" customHeight="1" x14ac:dyDescent="0.2">
      <c r="B8" s="28" t="s">
        <v>272</v>
      </c>
      <c r="C8" s="28" t="s">
        <v>273</v>
      </c>
      <c r="D8" s="28" t="s">
        <v>224</v>
      </c>
      <c r="E8" s="29">
        <v>5496</v>
      </c>
      <c r="F8" s="30">
        <v>370.32</v>
      </c>
      <c r="G8" s="31">
        <v>3.6400000000000002E-2</v>
      </c>
      <c r="H8" s="32"/>
    </row>
    <row r="9" spans="2:8" ht="15.75" customHeight="1" x14ac:dyDescent="0.2">
      <c r="B9" s="28" t="s">
        <v>264</v>
      </c>
      <c r="C9" s="28" t="s">
        <v>265</v>
      </c>
      <c r="D9" s="28" t="s">
        <v>266</v>
      </c>
      <c r="E9" s="29">
        <v>73920</v>
      </c>
      <c r="F9" s="30">
        <v>364.83</v>
      </c>
      <c r="G9" s="31">
        <v>3.5799999999999998E-2</v>
      </c>
      <c r="H9" s="32"/>
    </row>
    <row r="10" spans="2:8" ht="15.75" customHeight="1" x14ac:dyDescent="0.2">
      <c r="B10" s="28" t="s">
        <v>467</v>
      </c>
      <c r="C10" s="28" t="s">
        <v>468</v>
      </c>
      <c r="D10" s="28" t="s">
        <v>188</v>
      </c>
      <c r="E10" s="29">
        <v>10227</v>
      </c>
      <c r="F10" s="30">
        <v>358.83</v>
      </c>
      <c r="G10" s="31">
        <v>3.5200000000000002E-2</v>
      </c>
      <c r="H10" s="32"/>
    </row>
    <row r="11" spans="2:8" ht="15.75" customHeight="1" x14ac:dyDescent="0.2">
      <c r="B11" s="28" t="s">
        <v>693</v>
      </c>
      <c r="C11" s="28" t="s">
        <v>694</v>
      </c>
      <c r="D11" s="28" t="s">
        <v>175</v>
      </c>
      <c r="E11" s="29">
        <v>18380</v>
      </c>
      <c r="F11" s="30">
        <v>311.87</v>
      </c>
      <c r="G11" s="31">
        <v>3.0599999999999999E-2</v>
      </c>
      <c r="H11" s="32"/>
    </row>
    <row r="12" spans="2:8" ht="15.75" customHeight="1" x14ac:dyDescent="0.2">
      <c r="B12" s="28" t="s">
        <v>1053</v>
      </c>
      <c r="C12" s="28" t="s">
        <v>1054</v>
      </c>
      <c r="D12" s="28" t="s">
        <v>263</v>
      </c>
      <c r="E12" s="29">
        <v>5159</v>
      </c>
      <c r="F12" s="30">
        <v>301.11</v>
      </c>
      <c r="G12" s="31">
        <v>2.9600000000000001E-2</v>
      </c>
      <c r="H12" s="32"/>
    </row>
    <row r="13" spans="2:8" ht="15.75" customHeight="1" x14ac:dyDescent="0.2">
      <c r="B13" s="28" t="s">
        <v>879</v>
      </c>
      <c r="C13" s="28" t="s">
        <v>880</v>
      </c>
      <c r="D13" s="28" t="s">
        <v>169</v>
      </c>
      <c r="E13" s="29">
        <v>83804</v>
      </c>
      <c r="F13" s="30">
        <v>299.01</v>
      </c>
      <c r="G13" s="31">
        <v>2.9399999999999999E-2</v>
      </c>
      <c r="H13" s="32"/>
    </row>
    <row r="14" spans="2:8" ht="15.75" customHeight="1" x14ac:dyDescent="0.2">
      <c r="B14" s="28" t="s">
        <v>278</v>
      </c>
      <c r="C14" s="28" t="s">
        <v>279</v>
      </c>
      <c r="D14" s="28" t="s">
        <v>280</v>
      </c>
      <c r="E14" s="29">
        <v>73101</v>
      </c>
      <c r="F14" s="30">
        <v>295.99</v>
      </c>
      <c r="G14" s="31">
        <v>2.9100000000000001E-2</v>
      </c>
      <c r="H14" s="32"/>
    </row>
    <row r="15" spans="2:8" ht="15.75" customHeight="1" x14ac:dyDescent="0.2">
      <c r="B15" s="28" t="s">
        <v>676</v>
      </c>
      <c r="C15" s="28" t="s">
        <v>677</v>
      </c>
      <c r="D15" s="28" t="s">
        <v>495</v>
      </c>
      <c r="E15" s="29">
        <v>38097</v>
      </c>
      <c r="F15" s="30">
        <v>282.60000000000002</v>
      </c>
      <c r="G15" s="31">
        <v>2.7799999999999998E-2</v>
      </c>
      <c r="H15" s="32"/>
    </row>
    <row r="16" spans="2:8" ht="15.75" customHeight="1" x14ac:dyDescent="0.2">
      <c r="B16" s="28" t="s">
        <v>247</v>
      </c>
      <c r="C16" s="28" t="s">
        <v>248</v>
      </c>
      <c r="D16" s="28" t="s">
        <v>249</v>
      </c>
      <c r="E16" s="29">
        <v>59553</v>
      </c>
      <c r="F16" s="30">
        <v>279.69</v>
      </c>
      <c r="G16" s="31">
        <v>2.75E-2</v>
      </c>
      <c r="H16" s="32"/>
    </row>
    <row r="17" spans="2:8" ht="15.75" customHeight="1" x14ac:dyDescent="0.2">
      <c r="B17" s="28" t="s">
        <v>1055</v>
      </c>
      <c r="C17" s="28" t="s">
        <v>1056</v>
      </c>
      <c r="D17" s="28" t="s">
        <v>280</v>
      </c>
      <c r="E17" s="29">
        <v>171892</v>
      </c>
      <c r="F17" s="30">
        <v>271.33</v>
      </c>
      <c r="G17" s="31">
        <v>2.6700000000000002E-2</v>
      </c>
      <c r="H17" s="32"/>
    </row>
    <row r="18" spans="2:8" ht="15.75" customHeight="1" x14ac:dyDescent="0.2">
      <c r="B18" s="28" t="s">
        <v>196</v>
      </c>
      <c r="C18" s="28" t="s">
        <v>285</v>
      </c>
      <c r="D18" s="28" t="s">
        <v>169</v>
      </c>
      <c r="E18" s="29">
        <v>161718</v>
      </c>
      <c r="F18" s="30">
        <v>268.29000000000002</v>
      </c>
      <c r="G18" s="31">
        <v>2.64E-2</v>
      </c>
      <c r="H18" s="32"/>
    </row>
    <row r="19" spans="2:8" ht="15.75" customHeight="1" x14ac:dyDescent="0.2">
      <c r="B19" s="28" t="s">
        <v>1057</v>
      </c>
      <c r="C19" s="28" t="s">
        <v>1058</v>
      </c>
      <c r="D19" s="28" t="s">
        <v>221</v>
      </c>
      <c r="E19" s="29">
        <v>6414</v>
      </c>
      <c r="F19" s="30">
        <v>266.41000000000003</v>
      </c>
      <c r="G19" s="31">
        <v>2.6200000000000001E-2</v>
      </c>
      <c r="H19" s="32"/>
    </row>
    <row r="20" spans="2:8" ht="15.75" customHeight="1" x14ac:dyDescent="0.2">
      <c r="B20" s="28" t="s">
        <v>296</v>
      </c>
      <c r="C20" s="28" t="s">
        <v>297</v>
      </c>
      <c r="D20" s="28" t="s">
        <v>175</v>
      </c>
      <c r="E20" s="29">
        <v>63572</v>
      </c>
      <c r="F20" s="30">
        <v>256.35000000000002</v>
      </c>
      <c r="G20" s="31">
        <v>2.52E-2</v>
      </c>
      <c r="H20" s="32"/>
    </row>
    <row r="21" spans="2:8" ht="15.75" customHeight="1" x14ac:dyDescent="0.2">
      <c r="B21" s="28" t="s">
        <v>256</v>
      </c>
      <c r="C21" s="28" t="s">
        <v>257</v>
      </c>
      <c r="D21" s="28" t="s">
        <v>221</v>
      </c>
      <c r="E21" s="29">
        <v>16942</v>
      </c>
      <c r="F21" s="30">
        <v>233.51</v>
      </c>
      <c r="G21" s="31">
        <v>2.29E-2</v>
      </c>
      <c r="H21" s="32"/>
    </row>
    <row r="22" spans="2:8" ht="15.75" customHeight="1" x14ac:dyDescent="0.2">
      <c r="B22" s="28" t="s">
        <v>1059</v>
      </c>
      <c r="C22" s="28" t="s">
        <v>1060</v>
      </c>
      <c r="D22" s="28" t="s">
        <v>175</v>
      </c>
      <c r="E22" s="29">
        <v>1886</v>
      </c>
      <c r="F22" s="30">
        <v>232.03</v>
      </c>
      <c r="G22" s="31">
        <v>2.2800000000000001E-2</v>
      </c>
      <c r="H22" s="32"/>
    </row>
    <row r="23" spans="2:8" ht="15.75" customHeight="1" x14ac:dyDescent="0.2">
      <c r="B23" s="28" t="s">
        <v>475</v>
      </c>
      <c r="C23" s="28" t="s">
        <v>476</v>
      </c>
      <c r="D23" s="28" t="s">
        <v>172</v>
      </c>
      <c r="E23" s="29">
        <v>4034</v>
      </c>
      <c r="F23" s="30">
        <v>229.31</v>
      </c>
      <c r="G23" s="31">
        <v>2.2499999999999999E-2</v>
      </c>
      <c r="H23" s="32"/>
    </row>
    <row r="24" spans="2:8" ht="15.75" customHeight="1" x14ac:dyDescent="0.2">
      <c r="B24" s="28" t="s">
        <v>234</v>
      </c>
      <c r="C24" s="28" t="s">
        <v>235</v>
      </c>
      <c r="D24" s="28" t="s">
        <v>166</v>
      </c>
      <c r="E24" s="29">
        <v>80541</v>
      </c>
      <c r="F24" s="30">
        <v>224.23</v>
      </c>
      <c r="G24" s="31">
        <v>2.1999999999999999E-2</v>
      </c>
      <c r="H24" s="32"/>
    </row>
    <row r="25" spans="2:8" ht="15.75" customHeight="1" x14ac:dyDescent="0.2">
      <c r="B25" s="28" t="s">
        <v>1061</v>
      </c>
      <c r="C25" s="28" t="s">
        <v>1062</v>
      </c>
      <c r="D25" s="28" t="s">
        <v>290</v>
      </c>
      <c r="E25" s="29">
        <v>29659</v>
      </c>
      <c r="F25" s="30">
        <v>218.48</v>
      </c>
      <c r="G25" s="31">
        <v>2.1499999999999998E-2</v>
      </c>
      <c r="H25" s="32"/>
    </row>
    <row r="26" spans="2:8" ht="15.75" customHeight="1" x14ac:dyDescent="0.2">
      <c r="B26" s="28" t="s">
        <v>862</v>
      </c>
      <c r="C26" s="28" t="s">
        <v>863</v>
      </c>
      <c r="D26" s="28" t="s">
        <v>389</v>
      </c>
      <c r="E26" s="29">
        <v>117123</v>
      </c>
      <c r="F26" s="30">
        <v>214.05</v>
      </c>
      <c r="G26" s="31">
        <v>2.1000000000000001E-2</v>
      </c>
      <c r="H26" s="32"/>
    </row>
    <row r="27" spans="2:8" ht="15.75" customHeight="1" x14ac:dyDescent="0.2">
      <c r="B27" s="28" t="s">
        <v>244</v>
      </c>
      <c r="C27" s="28" t="s">
        <v>245</v>
      </c>
      <c r="D27" s="28" t="s">
        <v>246</v>
      </c>
      <c r="E27" s="29">
        <v>28018</v>
      </c>
      <c r="F27" s="30">
        <v>211.89</v>
      </c>
      <c r="G27" s="31">
        <v>2.0799999999999999E-2</v>
      </c>
      <c r="H27" s="32"/>
    </row>
    <row r="28" spans="2:8" ht="15.75" customHeight="1" x14ac:dyDescent="0.2">
      <c r="B28" s="28" t="s">
        <v>352</v>
      </c>
      <c r="C28" s="28" t="s">
        <v>353</v>
      </c>
      <c r="D28" s="28" t="s">
        <v>354</v>
      </c>
      <c r="E28" s="29">
        <v>10524</v>
      </c>
      <c r="F28" s="30">
        <v>209.82</v>
      </c>
      <c r="G28" s="31">
        <v>2.06E-2</v>
      </c>
      <c r="H28" s="32"/>
    </row>
    <row r="29" spans="2:8" ht="15.75" customHeight="1" x14ac:dyDescent="0.2">
      <c r="B29" s="28" t="s">
        <v>408</v>
      </c>
      <c r="C29" s="28" t="s">
        <v>409</v>
      </c>
      <c r="D29" s="28" t="s">
        <v>175</v>
      </c>
      <c r="E29" s="29">
        <v>54485</v>
      </c>
      <c r="F29" s="30">
        <v>204.24</v>
      </c>
      <c r="G29" s="31">
        <v>2.01E-2</v>
      </c>
      <c r="H29" s="32"/>
    </row>
    <row r="30" spans="2:8" ht="15.75" customHeight="1" x14ac:dyDescent="0.2">
      <c r="B30" s="28" t="s">
        <v>274</v>
      </c>
      <c r="C30" s="28" t="s">
        <v>275</v>
      </c>
      <c r="D30" s="28" t="s">
        <v>178</v>
      </c>
      <c r="E30" s="29">
        <v>193406</v>
      </c>
      <c r="F30" s="30">
        <v>203.83</v>
      </c>
      <c r="G30" s="31">
        <v>0.02</v>
      </c>
      <c r="H30" s="32"/>
    </row>
    <row r="31" spans="2:8" ht="15.75" customHeight="1" x14ac:dyDescent="0.2">
      <c r="B31" s="28" t="s">
        <v>209</v>
      </c>
      <c r="C31" s="28" t="s">
        <v>210</v>
      </c>
      <c r="D31" s="28" t="s">
        <v>166</v>
      </c>
      <c r="E31" s="29">
        <v>147060</v>
      </c>
      <c r="F31" s="30">
        <v>201.46</v>
      </c>
      <c r="G31" s="31">
        <v>1.9800000000000002E-2</v>
      </c>
      <c r="H31" s="32"/>
    </row>
    <row r="32" spans="2:8" ht="15.75" customHeight="1" x14ac:dyDescent="0.2">
      <c r="B32" s="28" t="s">
        <v>1063</v>
      </c>
      <c r="C32" s="28" t="s">
        <v>1064</v>
      </c>
      <c r="D32" s="28" t="s">
        <v>293</v>
      </c>
      <c r="E32" s="29">
        <v>17515</v>
      </c>
      <c r="F32" s="30">
        <v>195.92</v>
      </c>
      <c r="G32" s="31">
        <v>1.9199999999999998E-2</v>
      </c>
      <c r="H32" s="32"/>
    </row>
    <row r="33" spans="2:8" ht="15.75" customHeight="1" x14ac:dyDescent="0.2">
      <c r="B33" s="28" t="s">
        <v>737</v>
      </c>
      <c r="C33" s="28" t="s">
        <v>738</v>
      </c>
      <c r="D33" s="28" t="s">
        <v>349</v>
      </c>
      <c r="E33" s="29">
        <v>13514</v>
      </c>
      <c r="F33" s="30">
        <v>195.22</v>
      </c>
      <c r="G33" s="31">
        <v>1.9199999999999998E-2</v>
      </c>
      <c r="H33" s="32"/>
    </row>
    <row r="34" spans="2:8" ht="15.75" customHeight="1" x14ac:dyDescent="0.2">
      <c r="B34" s="28" t="s">
        <v>242</v>
      </c>
      <c r="C34" s="28" t="s">
        <v>243</v>
      </c>
      <c r="D34" s="28" t="s">
        <v>166</v>
      </c>
      <c r="E34" s="29">
        <v>150657</v>
      </c>
      <c r="F34" s="30">
        <v>185.14</v>
      </c>
      <c r="G34" s="31">
        <v>1.8200000000000001E-2</v>
      </c>
      <c r="H34" s="32"/>
    </row>
    <row r="35" spans="2:8" ht="15.75" customHeight="1" x14ac:dyDescent="0.2">
      <c r="B35" s="28" t="s">
        <v>281</v>
      </c>
      <c r="C35" s="28" t="s">
        <v>282</v>
      </c>
      <c r="D35" s="28" t="s">
        <v>249</v>
      </c>
      <c r="E35" s="29">
        <v>12895</v>
      </c>
      <c r="F35" s="30">
        <v>184.58</v>
      </c>
      <c r="G35" s="31">
        <v>1.8100000000000002E-2</v>
      </c>
      <c r="H35" s="32"/>
    </row>
    <row r="36" spans="2:8" ht="15.75" customHeight="1" x14ac:dyDescent="0.2">
      <c r="B36" s="28" t="s">
        <v>1065</v>
      </c>
      <c r="C36" s="28" t="s">
        <v>1066</v>
      </c>
      <c r="D36" s="28" t="s">
        <v>213</v>
      </c>
      <c r="E36" s="29">
        <v>16277</v>
      </c>
      <c r="F36" s="30">
        <v>173.64</v>
      </c>
      <c r="G36" s="31">
        <v>1.7100000000000001E-2</v>
      </c>
      <c r="H36" s="32"/>
    </row>
    <row r="37" spans="2:8" ht="15.75" customHeight="1" x14ac:dyDescent="0.2">
      <c r="B37" s="28" t="s">
        <v>1067</v>
      </c>
      <c r="C37" s="28" t="s">
        <v>1068</v>
      </c>
      <c r="D37" s="28" t="s">
        <v>269</v>
      </c>
      <c r="E37" s="29">
        <v>583</v>
      </c>
      <c r="F37" s="30">
        <v>165.05</v>
      </c>
      <c r="G37" s="31">
        <v>1.6199999999999999E-2</v>
      </c>
      <c r="H37" s="32"/>
    </row>
    <row r="38" spans="2:8" ht="15.75" customHeight="1" x14ac:dyDescent="0.2">
      <c r="B38" s="28" t="s">
        <v>1069</v>
      </c>
      <c r="C38" s="28" t="s">
        <v>1070</v>
      </c>
      <c r="D38" s="28" t="s">
        <v>260</v>
      </c>
      <c r="E38" s="29">
        <v>10950</v>
      </c>
      <c r="F38" s="30">
        <v>163.58000000000001</v>
      </c>
      <c r="G38" s="31">
        <v>1.61E-2</v>
      </c>
      <c r="H38" s="32"/>
    </row>
    <row r="39" spans="2:8" ht="15.75" customHeight="1" x14ac:dyDescent="0.2">
      <c r="B39" s="28" t="s">
        <v>419</v>
      </c>
      <c r="C39" s="28" t="s">
        <v>420</v>
      </c>
      <c r="D39" s="28" t="s">
        <v>224</v>
      </c>
      <c r="E39" s="29">
        <v>4551</v>
      </c>
      <c r="F39" s="30">
        <v>162.02000000000001</v>
      </c>
      <c r="G39" s="31">
        <v>1.5900000000000001E-2</v>
      </c>
      <c r="H39" s="32"/>
    </row>
    <row r="40" spans="2:8" ht="15.75" customHeight="1" x14ac:dyDescent="0.2">
      <c r="B40" s="28" t="s">
        <v>1071</v>
      </c>
      <c r="C40" s="28" t="s">
        <v>1072</v>
      </c>
      <c r="D40" s="28" t="s">
        <v>269</v>
      </c>
      <c r="E40" s="29">
        <v>27169</v>
      </c>
      <c r="F40" s="30">
        <v>153.61000000000001</v>
      </c>
      <c r="G40" s="31">
        <v>1.5100000000000001E-2</v>
      </c>
      <c r="H40" s="32"/>
    </row>
    <row r="41" spans="2:8" ht="15.75" customHeight="1" x14ac:dyDescent="0.2">
      <c r="B41" s="28" t="s">
        <v>1073</v>
      </c>
      <c r="C41" s="28" t="s">
        <v>1074</v>
      </c>
      <c r="D41" s="28" t="s">
        <v>280</v>
      </c>
      <c r="E41" s="29">
        <v>13378</v>
      </c>
      <c r="F41" s="30">
        <v>152.51</v>
      </c>
      <c r="G41" s="31">
        <v>1.4999999999999999E-2</v>
      </c>
      <c r="H41" s="32"/>
    </row>
    <row r="42" spans="2:8" ht="15.75" customHeight="1" x14ac:dyDescent="0.2">
      <c r="B42" s="28" t="s">
        <v>864</v>
      </c>
      <c r="C42" s="28" t="s">
        <v>865</v>
      </c>
      <c r="D42" s="28" t="s">
        <v>188</v>
      </c>
      <c r="E42" s="29">
        <v>6175</v>
      </c>
      <c r="F42" s="30">
        <v>150.59</v>
      </c>
      <c r="G42" s="31">
        <v>1.4800000000000001E-2</v>
      </c>
      <c r="H42" s="32"/>
    </row>
    <row r="43" spans="2:8" ht="15.75" customHeight="1" x14ac:dyDescent="0.2">
      <c r="B43" s="28" t="s">
        <v>1075</v>
      </c>
      <c r="C43" s="28" t="s">
        <v>1076</v>
      </c>
      <c r="D43" s="28" t="s">
        <v>280</v>
      </c>
      <c r="E43" s="29">
        <v>15173</v>
      </c>
      <c r="F43" s="30">
        <v>149.63999999999999</v>
      </c>
      <c r="G43" s="31">
        <v>1.47E-2</v>
      </c>
      <c r="H43" s="32"/>
    </row>
    <row r="44" spans="2:8" ht="15.75" customHeight="1" x14ac:dyDescent="0.2">
      <c r="B44" s="28" t="s">
        <v>254</v>
      </c>
      <c r="C44" s="28" t="s">
        <v>255</v>
      </c>
      <c r="D44" s="28" t="s">
        <v>246</v>
      </c>
      <c r="E44" s="29">
        <v>12390</v>
      </c>
      <c r="F44" s="30">
        <v>148.41999999999999</v>
      </c>
      <c r="G44" s="31">
        <v>1.46E-2</v>
      </c>
      <c r="H44" s="32"/>
    </row>
    <row r="45" spans="2:8" ht="15.75" customHeight="1" x14ac:dyDescent="0.2">
      <c r="B45" s="28" t="s">
        <v>1077</v>
      </c>
      <c r="C45" s="28" t="s">
        <v>1078</v>
      </c>
      <c r="D45" s="28" t="s">
        <v>349</v>
      </c>
      <c r="E45" s="29">
        <v>1061</v>
      </c>
      <c r="F45" s="30">
        <v>147.25</v>
      </c>
      <c r="G45" s="31">
        <v>1.4500000000000001E-2</v>
      </c>
      <c r="H45" s="32"/>
    </row>
    <row r="46" spans="2:8" ht="15.75" customHeight="1" x14ac:dyDescent="0.2">
      <c r="B46" s="28" t="s">
        <v>303</v>
      </c>
      <c r="C46" s="28" t="s">
        <v>304</v>
      </c>
      <c r="D46" s="28" t="s">
        <v>178</v>
      </c>
      <c r="E46" s="29">
        <v>377</v>
      </c>
      <c r="F46" s="30">
        <v>140.41</v>
      </c>
      <c r="G46" s="31">
        <v>1.38E-2</v>
      </c>
      <c r="H46" s="32"/>
    </row>
    <row r="47" spans="2:8" ht="15.75" customHeight="1" x14ac:dyDescent="0.2">
      <c r="B47" s="28" t="s">
        <v>283</v>
      </c>
      <c r="C47" s="28" t="s">
        <v>284</v>
      </c>
      <c r="D47" s="28" t="s">
        <v>280</v>
      </c>
      <c r="E47" s="29">
        <v>23257</v>
      </c>
      <c r="F47" s="30">
        <v>122.67</v>
      </c>
      <c r="G47" s="31">
        <v>1.2E-2</v>
      </c>
      <c r="H47" s="32"/>
    </row>
    <row r="48" spans="2:8" ht="15.75" customHeight="1" x14ac:dyDescent="0.2">
      <c r="B48" s="28" t="s">
        <v>597</v>
      </c>
      <c r="C48" s="28" t="s">
        <v>598</v>
      </c>
      <c r="D48" s="28" t="s">
        <v>290</v>
      </c>
      <c r="E48" s="29">
        <v>3846</v>
      </c>
      <c r="F48" s="30">
        <v>122.52</v>
      </c>
      <c r="G48" s="31">
        <v>1.2E-2</v>
      </c>
      <c r="H48" s="32"/>
    </row>
    <row r="49" spans="2:8" ht="15.75" customHeight="1" x14ac:dyDescent="0.2">
      <c r="B49" s="28" t="s">
        <v>944</v>
      </c>
      <c r="C49" s="28" t="s">
        <v>945</v>
      </c>
      <c r="D49" s="28" t="s">
        <v>290</v>
      </c>
      <c r="E49" s="29">
        <v>3854</v>
      </c>
      <c r="F49" s="30">
        <v>119.33</v>
      </c>
      <c r="G49" s="31">
        <v>1.17E-2</v>
      </c>
      <c r="H49" s="32"/>
    </row>
    <row r="50" spans="2:8" ht="15.75" customHeight="1" x14ac:dyDescent="0.2">
      <c r="B50" s="28" t="s">
        <v>739</v>
      </c>
      <c r="C50" s="28" t="s">
        <v>740</v>
      </c>
      <c r="D50" s="28" t="s">
        <v>290</v>
      </c>
      <c r="E50" s="29">
        <v>2285</v>
      </c>
      <c r="F50" s="30">
        <v>119.28</v>
      </c>
      <c r="G50" s="31">
        <v>1.17E-2</v>
      </c>
      <c r="H50" s="32"/>
    </row>
    <row r="51" spans="2:8" ht="15.75" customHeight="1" x14ac:dyDescent="0.2">
      <c r="B51" s="28" t="s">
        <v>1079</v>
      </c>
      <c r="C51" s="28" t="s">
        <v>1080</v>
      </c>
      <c r="D51" s="28" t="s">
        <v>224</v>
      </c>
      <c r="E51" s="29">
        <v>10814</v>
      </c>
      <c r="F51" s="30">
        <v>105.38</v>
      </c>
      <c r="G51" s="31">
        <v>1.04E-2</v>
      </c>
      <c r="H51" s="32"/>
    </row>
    <row r="52" spans="2:8" ht="15.75" customHeight="1" x14ac:dyDescent="0.2">
      <c r="B52" s="28" t="s">
        <v>1081</v>
      </c>
      <c r="C52" s="28" t="s">
        <v>1082</v>
      </c>
      <c r="D52" s="28" t="s">
        <v>175</v>
      </c>
      <c r="E52" s="29">
        <v>77774</v>
      </c>
      <c r="F52" s="30">
        <v>95.9</v>
      </c>
      <c r="G52" s="31">
        <v>9.4000000000000004E-3</v>
      </c>
      <c r="H52" s="32"/>
    </row>
    <row r="53" spans="2:8" ht="15.75" customHeight="1" x14ac:dyDescent="0.2">
      <c r="B53" s="28" t="s">
        <v>1083</v>
      </c>
      <c r="C53" s="28" t="s">
        <v>1084</v>
      </c>
      <c r="D53" s="28" t="s">
        <v>466</v>
      </c>
      <c r="E53" s="29">
        <v>3323</v>
      </c>
      <c r="F53" s="30">
        <v>90.68</v>
      </c>
      <c r="G53" s="31">
        <v>8.8999999999999999E-3</v>
      </c>
      <c r="H53" s="32"/>
    </row>
    <row r="54" spans="2:8" ht="15.75" customHeight="1" x14ac:dyDescent="0.2">
      <c r="B54" s="28" t="s">
        <v>1085</v>
      </c>
      <c r="C54" s="28" t="s">
        <v>1086</v>
      </c>
      <c r="D54" s="28" t="s">
        <v>346</v>
      </c>
      <c r="E54" s="29">
        <v>18842</v>
      </c>
      <c r="F54" s="30">
        <v>89.78</v>
      </c>
      <c r="G54" s="31">
        <v>8.8000000000000005E-3</v>
      </c>
      <c r="H54" s="32"/>
    </row>
    <row r="55" spans="2:8" ht="15.75" customHeight="1" x14ac:dyDescent="0.2">
      <c r="B55" s="28" t="s">
        <v>1087</v>
      </c>
      <c r="C55" s="28" t="s">
        <v>1088</v>
      </c>
      <c r="D55" s="28" t="s">
        <v>354</v>
      </c>
      <c r="E55" s="29">
        <v>9655</v>
      </c>
      <c r="F55" s="30">
        <v>86.38</v>
      </c>
      <c r="G55" s="31">
        <v>8.5000000000000006E-3</v>
      </c>
      <c r="H55" s="32"/>
    </row>
    <row r="56" spans="2:8" ht="15.75" customHeight="1" x14ac:dyDescent="0.2">
      <c r="B56" s="28" t="s">
        <v>543</v>
      </c>
      <c r="C56" s="28" t="s">
        <v>544</v>
      </c>
      <c r="D56" s="28" t="s">
        <v>175</v>
      </c>
      <c r="E56" s="29">
        <v>40544</v>
      </c>
      <c r="F56" s="30">
        <v>44.68</v>
      </c>
      <c r="G56" s="31">
        <v>4.4000000000000003E-3</v>
      </c>
      <c r="H56" s="32"/>
    </row>
    <row r="57" spans="2:8" ht="15.75" customHeight="1" x14ac:dyDescent="0.2">
      <c r="B57" s="27" t="s">
        <v>127</v>
      </c>
      <c r="C57" s="27"/>
      <c r="D57" s="27"/>
      <c r="E57" s="33"/>
      <c r="F57" s="34">
        <f>SUM(F7:F56)</f>
        <v>10159.880000000001</v>
      </c>
      <c r="G57" s="35">
        <v>0.99790000000000001</v>
      </c>
      <c r="H57" s="36"/>
    </row>
    <row r="58" spans="2:8" ht="15.75" customHeight="1" x14ac:dyDescent="0.2">
      <c r="B58" s="27" t="s">
        <v>189</v>
      </c>
      <c r="C58" s="28"/>
      <c r="D58" s="28"/>
      <c r="E58" s="29"/>
      <c r="F58" s="30"/>
      <c r="G58" s="31"/>
      <c r="H58" s="32"/>
    </row>
    <row r="59" spans="2:8" ht="15.75" customHeight="1" x14ac:dyDescent="0.2">
      <c r="B59" s="27" t="s">
        <v>127</v>
      </c>
      <c r="C59" s="28"/>
      <c r="D59" s="28"/>
      <c r="E59" s="29"/>
      <c r="F59" s="37" t="s">
        <v>129</v>
      </c>
      <c r="G59" s="38" t="s">
        <v>129</v>
      </c>
      <c r="H59" s="32"/>
    </row>
    <row r="60" spans="2:8" ht="15.75" customHeight="1" x14ac:dyDescent="0.2">
      <c r="B60" s="28"/>
      <c r="C60" s="28"/>
      <c r="D60" s="28"/>
      <c r="E60" s="29"/>
      <c r="F60" s="30"/>
      <c r="G60" s="31"/>
      <c r="H60" s="32"/>
    </row>
    <row r="61" spans="2:8" ht="15.75" customHeight="1" x14ac:dyDescent="0.2">
      <c r="B61" s="39" t="s">
        <v>131</v>
      </c>
      <c r="C61" s="39"/>
      <c r="D61" s="39"/>
      <c r="E61" s="40"/>
      <c r="F61" s="34">
        <f>F57</f>
        <v>10159.880000000001</v>
      </c>
      <c r="G61" s="35">
        <f>G57</f>
        <v>0.99790000000000001</v>
      </c>
      <c r="H61" s="36"/>
    </row>
    <row r="62" spans="2:8" ht="15.75" customHeight="1" x14ac:dyDescent="0.2">
      <c r="B62" s="28"/>
      <c r="C62" s="28"/>
      <c r="D62" s="28"/>
      <c r="E62" s="29"/>
      <c r="F62" s="30"/>
      <c r="G62" s="31"/>
      <c r="H62" s="32"/>
    </row>
    <row r="63" spans="2:8" s="7" customFormat="1" ht="15.6" customHeight="1" x14ac:dyDescent="0.25">
      <c r="B63" s="64" t="s">
        <v>107</v>
      </c>
      <c r="C63" s="65"/>
      <c r="D63" s="65"/>
      <c r="E63" s="66"/>
      <c r="F63" s="67"/>
      <c r="G63" s="68"/>
      <c r="H63" s="69"/>
    </row>
    <row r="64" spans="2:8" s="7" customFormat="1" ht="15.6" customHeight="1" x14ac:dyDescent="0.25">
      <c r="B64" s="64" t="s">
        <v>1123</v>
      </c>
      <c r="C64" s="65"/>
      <c r="D64" s="65"/>
      <c r="E64" s="66"/>
      <c r="F64" s="67"/>
      <c r="G64" s="68"/>
      <c r="H64" s="69"/>
    </row>
    <row r="65" spans="2:14" s="7" customFormat="1" ht="15.6" customHeight="1" x14ac:dyDescent="0.2">
      <c r="B65" s="65" t="s">
        <v>1122</v>
      </c>
      <c r="C65" s="28" t="s">
        <v>503</v>
      </c>
      <c r="D65" s="28" t="s">
        <v>188</v>
      </c>
      <c r="E65" s="29">
        <v>39824</v>
      </c>
      <c r="F65" s="30">
        <v>4.0199999999999996</v>
      </c>
      <c r="G65" s="31">
        <v>4.0000000000000002E-4</v>
      </c>
      <c r="H65" s="69"/>
    </row>
    <row r="66" spans="2:14" s="7" customFormat="1" ht="15.6" customHeight="1" x14ac:dyDescent="0.25">
      <c r="B66" s="64" t="s">
        <v>127</v>
      </c>
      <c r="C66" s="65"/>
      <c r="D66" s="65"/>
      <c r="E66" s="66"/>
      <c r="F66" s="70">
        <f>SUM(F65)</f>
        <v>4.0199999999999996</v>
      </c>
      <c r="G66" s="71">
        <f>G65</f>
        <v>4.0000000000000002E-4</v>
      </c>
      <c r="H66" s="69"/>
    </row>
    <row r="67" spans="2:14" ht="15.75" customHeight="1" x14ac:dyDescent="0.2">
      <c r="B67" s="28"/>
      <c r="C67" s="28"/>
      <c r="D67" s="28"/>
      <c r="E67" s="29"/>
      <c r="F67" s="30"/>
      <c r="G67" s="31"/>
      <c r="H67" s="32"/>
    </row>
    <row r="68" spans="2:14" s="7" customFormat="1" ht="15.6" customHeight="1" x14ac:dyDescent="0.25">
      <c r="B68" s="72" t="s">
        <v>131</v>
      </c>
      <c r="C68" s="72"/>
      <c r="D68" s="72"/>
      <c r="E68" s="73"/>
      <c r="F68" s="70">
        <f>F66</f>
        <v>4.0199999999999996</v>
      </c>
      <c r="G68" s="71">
        <f>G66</f>
        <v>4.0000000000000002E-4</v>
      </c>
      <c r="H68" s="74"/>
    </row>
    <row r="69" spans="2:14" ht="15.75" customHeight="1" x14ac:dyDescent="0.2">
      <c r="B69" s="28"/>
      <c r="C69" s="28"/>
      <c r="D69" s="28"/>
      <c r="E69" s="29"/>
      <c r="F69" s="30"/>
      <c r="G69" s="31"/>
      <c r="H69" s="32"/>
    </row>
    <row r="70" spans="2:14" ht="15.75" customHeight="1" x14ac:dyDescent="0.2">
      <c r="B70" s="27" t="s">
        <v>134</v>
      </c>
      <c r="C70" s="28"/>
      <c r="D70" s="28"/>
      <c r="E70" s="29"/>
      <c r="F70" s="30"/>
      <c r="G70" s="31"/>
      <c r="H70" s="32"/>
    </row>
    <row r="71" spans="2:14" ht="15.75" customHeight="1" x14ac:dyDescent="0.2">
      <c r="B71" s="28" t="s">
        <v>135</v>
      </c>
      <c r="C71" s="28"/>
      <c r="D71" s="28"/>
      <c r="E71" s="29"/>
      <c r="F71" s="30">
        <v>1.42</v>
      </c>
      <c r="G71" s="31">
        <v>1E-4</v>
      </c>
      <c r="H71" s="32"/>
    </row>
    <row r="72" spans="2:14" ht="15.75" customHeight="1" x14ac:dyDescent="0.2">
      <c r="B72" s="27" t="s">
        <v>127</v>
      </c>
      <c r="C72" s="27"/>
      <c r="D72" s="27"/>
      <c r="E72" s="33"/>
      <c r="F72" s="34">
        <v>1.42</v>
      </c>
      <c r="G72" s="35">
        <v>1E-4</v>
      </c>
      <c r="H72" s="36"/>
    </row>
    <row r="73" spans="2:14" ht="15.75" customHeight="1" x14ac:dyDescent="0.2">
      <c r="B73" s="28"/>
      <c r="C73" s="28"/>
      <c r="D73" s="28"/>
      <c r="E73" s="29"/>
      <c r="F73" s="30"/>
      <c r="G73" s="31"/>
      <c r="H73" s="32"/>
      <c r="J73" s="3"/>
    </row>
    <row r="74" spans="2:14" ht="15.75" customHeight="1" x14ac:dyDescent="0.2">
      <c r="B74" s="39" t="s">
        <v>131</v>
      </c>
      <c r="C74" s="39"/>
      <c r="D74" s="39"/>
      <c r="E74" s="40"/>
      <c r="F74" s="34">
        <v>1.42</v>
      </c>
      <c r="G74" s="35">
        <v>1E-4</v>
      </c>
      <c r="H74" s="36"/>
    </row>
    <row r="75" spans="2:14" ht="15.75" customHeight="1" x14ac:dyDescent="0.2">
      <c r="B75" s="28" t="s">
        <v>136</v>
      </c>
      <c r="C75" s="28"/>
      <c r="D75" s="28"/>
      <c r="E75" s="29"/>
      <c r="F75" s="30">
        <v>15.34</v>
      </c>
      <c r="G75" s="31">
        <v>1.6000000000000458E-3</v>
      </c>
      <c r="H75" s="32"/>
      <c r="J75" s="3"/>
    </row>
    <row r="76" spans="2:14" ht="15.75" customHeight="1" x14ac:dyDescent="0.2">
      <c r="B76" s="43" t="s">
        <v>137</v>
      </c>
      <c r="C76" s="43"/>
      <c r="D76" s="43"/>
      <c r="E76" s="44"/>
      <c r="F76" s="45">
        <v>10180.66</v>
      </c>
      <c r="G76" s="46">
        <v>1</v>
      </c>
      <c r="H76" s="47"/>
      <c r="J76" s="3"/>
    </row>
    <row r="77" spans="2:14" ht="15.75" customHeight="1" x14ac:dyDescent="0.2">
      <c r="B77" s="2"/>
      <c r="J77" s="3"/>
    </row>
    <row r="78" spans="2:14" ht="15.75" customHeight="1" x14ac:dyDescent="0.2">
      <c r="J78" s="3"/>
    </row>
    <row r="79" spans="2:14" ht="15.75" customHeight="1" x14ac:dyDescent="0.2">
      <c r="J79" s="5"/>
      <c r="K79" s="5"/>
      <c r="L79" s="6"/>
      <c r="M79" s="6"/>
      <c r="N79" s="5"/>
    </row>
    <row r="80" spans="2:14" ht="15.75" customHeight="1" thickBot="1" x14ac:dyDescent="0.25"/>
    <row r="81" spans="2:14" ht="39.75" customHeight="1" thickBot="1" x14ac:dyDescent="0.25">
      <c r="B81" s="48" t="s">
        <v>139</v>
      </c>
      <c r="C81" s="49" t="s">
        <v>140</v>
      </c>
      <c r="D81" s="49" t="s">
        <v>141</v>
      </c>
      <c r="E81" s="49" t="s">
        <v>142</v>
      </c>
    </row>
    <row r="82" spans="2:14" ht="39.75" customHeight="1" x14ac:dyDescent="0.2">
      <c r="B82" s="61" t="s">
        <v>33</v>
      </c>
      <c r="C82" s="77"/>
      <c r="D82" s="80" t="s">
        <v>1089</v>
      </c>
      <c r="E82" s="81"/>
      <c r="J82" s="7"/>
      <c r="K82" s="7"/>
      <c r="L82" s="7"/>
      <c r="M82" s="7"/>
      <c r="N82" s="7"/>
    </row>
    <row r="83" spans="2:14" ht="39.75" customHeight="1" x14ac:dyDescent="0.2">
      <c r="B83" s="52" t="s">
        <v>1090</v>
      </c>
      <c r="C83" s="78"/>
      <c r="D83" s="80"/>
      <c r="E83" s="82"/>
      <c r="J83" s="7"/>
      <c r="K83" s="7"/>
      <c r="L83" s="7"/>
      <c r="M83" s="7"/>
      <c r="N83" s="7"/>
    </row>
    <row r="84" spans="2:14" ht="39.75" customHeight="1" x14ac:dyDescent="0.2">
      <c r="B84" s="52" t="s">
        <v>1091</v>
      </c>
      <c r="C84" s="78"/>
      <c r="D84" s="80"/>
      <c r="E84" s="82"/>
      <c r="J84" s="7"/>
      <c r="K84" s="7"/>
      <c r="L84" s="7"/>
      <c r="M84" s="7"/>
      <c r="N84" s="7"/>
    </row>
    <row r="85" spans="2:14" ht="39.75" customHeight="1" thickBot="1" x14ac:dyDescent="0.25">
      <c r="B85" s="62" t="s">
        <v>521</v>
      </c>
      <c r="C85" s="79"/>
      <c r="D85" s="50" t="s">
        <v>562</v>
      </c>
      <c r="E85" s="83"/>
      <c r="J85" s="7"/>
      <c r="K85" s="7"/>
      <c r="L85" s="7"/>
      <c r="M85" s="7"/>
      <c r="N85" s="7"/>
    </row>
    <row r="86" spans="2:14" ht="15.75" customHeight="1" x14ac:dyDescent="0.2">
      <c r="B86" s="9" t="s">
        <v>144</v>
      </c>
      <c r="J86" s="7"/>
      <c r="K86" s="7"/>
      <c r="L86" s="7"/>
      <c r="M86" s="7"/>
      <c r="N86" s="7"/>
    </row>
    <row r="87" spans="2:14" ht="15.75" customHeight="1" x14ac:dyDescent="0.2">
      <c r="J87" s="7"/>
      <c r="K87" s="7"/>
      <c r="L87" s="7"/>
      <c r="M87" s="7"/>
      <c r="N87" s="7"/>
    </row>
    <row r="88" spans="2:14" ht="15.75" customHeight="1" x14ac:dyDescent="0.2">
      <c r="B88" s="9" t="s">
        <v>145</v>
      </c>
      <c r="J88" s="7"/>
      <c r="K88" s="7"/>
      <c r="L88" s="7"/>
      <c r="M88" s="7"/>
      <c r="N88" s="7"/>
    </row>
    <row r="89" spans="2:14" ht="15.75" customHeight="1" x14ac:dyDescent="0.2">
      <c r="B89" s="15" t="s">
        <v>146</v>
      </c>
    </row>
    <row r="90" spans="2:14" ht="15.75" customHeight="1" x14ac:dyDescent="0.2">
      <c r="J90" s="3"/>
    </row>
  </sheetData>
  <mergeCells count="3">
    <mergeCell ref="C82:C85"/>
    <mergeCell ref="D82:D84"/>
    <mergeCell ref="E82:E85"/>
  </mergeCells>
  <hyperlinks>
    <hyperlink ref="G1" location="'Sheet1'!A1" display="Index" xr:uid="{2F1CC950-E26D-4B45-AF52-05B730A42E5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71261-5E27-437B-A4EA-83449C785C94}">
  <dimension ref="B1:N14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34</v>
      </c>
      <c r="C1" s="4" t="s">
        <v>1093</v>
      </c>
      <c r="D1" s="4" t="s">
        <v>1092</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831318</v>
      </c>
      <c r="F7" s="30">
        <v>8207.6</v>
      </c>
      <c r="G7" s="31">
        <v>0.1066</v>
      </c>
      <c r="H7" s="32"/>
    </row>
    <row r="8" spans="2:8" ht="15.75" customHeight="1" x14ac:dyDescent="0.2">
      <c r="B8" s="28" t="s">
        <v>167</v>
      </c>
      <c r="C8" s="28" t="s">
        <v>168</v>
      </c>
      <c r="D8" s="28" t="s">
        <v>169</v>
      </c>
      <c r="E8" s="29">
        <v>368475</v>
      </c>
      <c r="F8" s="30">
        <v>5477.01</v>
      </c>
      <c r="G8" s="31">
        <v>7.1199999999999999E-2</v>
      </c>
      <c r="H8" s="32"/>
    </row>
    <row r="9" spans="2:8" ht="15.75" customHeight="1" x14ac:dyDescent="0.2">
      <c r="B9" s="28" t="s">
        <v>184</v>
      </c>
      <c r="C9" s="28" t="s">
        <v>185</v>
      </c>
      <c r="D9" s="28" t="s">
        <v>166</v>
      </c>
      <c r="E9" s="29">
        <v>388418</v>
      </c>
      <c r="F9" s="30">
        <v>5225.3900000000003</v>
      </c>
      <c r="G9" s="31">
        <v>6.7900000000000002E-2</v>
      </c>
      <c r="H9" s="32"/>
    </row>
    <row r="10" spans="2:8" ht="15.75" customHeight="1" x14ac:dyDescent="0.2">
      <c r="B10" s="28" t="s">
        <v>206</v>
      </c>
      <c r="C10" s="28" t="s">
        <v>207</v>
      </c>
      <c r="D10" s="28" t="s">
        <v>208</v>
      </c>
      <c r="E10" s="29">
        <v>148354</v>
      </c>
      <c r="F10" s="30">
        <v>3047.93</v>
      </c>
      <c r="G10" s="31">
        <v>3.9600000000000003E-2</v>
      </c>
      <c r="H10" s="32"/>
    </row>
    <row r="11" spans="2:8" ht="15.75" customHeight="1" x14ac:dyDescent="0.2">
      <c r="B11" s="28" t="s">
        <v>170</v>
      </c>
      <c r="C11" s="28" t="s">
        <v>171</v>
      </c>
      <c r="D11" s="28" t="s">
        <v>172</v>
      </c>
      <c r="E11" s="29">
        <v>196094</v>
      </c>
      <c r="F11" s="30">
        <v>2906.7</v>
      </c>
      <c r="G11" s="31">
        <v>3.78E-2</v>
      </c>
      <c r="H11" s="32"/>
    </row>
    <row r="12" spans="2:8" ht="15.75" customHeight="1" x14ac:dyDescent="0.2">
      <c r="B12" s="28" t="s">
        <v>324</v>
      </c>
      <c r="C12" s="28" t="s">
        <v>325</v>
      </c>
      <c r="D12" s="28" t="s">
        <v>326</v>
      </c>
      <c r="E12" s="29">
        <v>63922</v>
      </c>
      <c r="F12" s="30">
        <v>2576.63</v>
      </c>
      <c r="G12" s="31">
        <v>3.3500000000000002E-2</v>
      </c>
      <c r="H12" s="32"/>
    </row>
    <row r="13" spans="2:8" ht="15.75" customHeight="1" x14ac:dyDescent="0.2">
      <c r="B13" s="28" t="s">
        <v>214</v>
      </c>
      <c r="C13" s="28" t="s">
        <v>215</v>
      </c>
      <c r="D13" s="28" t="s">
        <v>183</v>
      </c>
      <c r="E13" s="29">
        <v>522479</v>
      </c>
      <c r="F13" s="30">
        <v>2196.2399999999998</v>
      </c>
      <c r="G13" s="31">
        <v>2.8500000000000001E-2</v>
      </c>
      <c r="H13" s="32"/>
    </row>
    <row r="14" spans="2:8" ht="15.75" customHeight="1" x14ac:dyDescent="0.2">
      <c r="B14" s="28" t="s">
        <v>204</v>
      </c>
      <c r="C14" s="28" t="s">
        <v>205</v>
      </c>
      <c r="D14" s="28" t="s">
        <v>166</v>
      </c>
      <c r="E14" s="29">
        <v>225433</v>
      </c>
      <c r="F14" s="30">
        <v>2112.31</v>
      </c>
      <c r="G14" s="31">
        <v>2.7400000000000001E-2</v>
      </c>
      <c r="H14" s="32"/>
    </row>
    <row r="15" spans="2:8" ht="15.75" customHeight="1" x14ac:dyDescent="0.2">
      <c r="B15" s="28" t="s">
        <v>179</v>
      </c>
      <c r="C15" s="28" t="s">
        <v>180</v>
      </c>
      <c r="D15" s="28" t="s">
        <v>166</v>
      </c>
      <c r="E15" s="29">
        <v>155312</v>
      </c>
      <c r="F15" s="30">
        <v>1914.69</v>
      </c>
      <c r="G15" s="31">
        <v>2.4899999999999999E-2</v>
      </c>
      <c r="H15" s="32"/>
    </row>
    <row r="16" spans="2:8" ht="15.75" customHeight="1" x14ac:dyDescent="0.2">
      <c r="B16" s="28" t="s">
        <v>199</v>
      </c>
      <c r="C16" s="28" t="s">
        <v>200</v>
      </c>
      <c r="D16" s="28" t="s">
        <v>172</v>
      </c>
      <c r="E16" s="29">
        <v>55589</v>
      </c>
      <c r="F16" s="30">
        <v>1699.91</v>
      </c>
      <c r="G16" s="31">
        <v>2.2100000000000002E-2</v>
      </c>
      <c r="H16" s="32"/>
    </row>
    <row r="17" spans="2:8" ht="15.75" customHeight="1" x14ac:dyDescent="0.2">
      <c r="B17" s="28" t="s">
        <v>305</v>
      </c>
      <c r="C17" s="28" t="s">
        <v>306</v>
      </c>
      <c r="D17" s="28" t="s">
        <v>166</v>
      </c>
      <c r="E17" s="29">
        <v>80045</v>
      </c>
      <c r="F17" s="30">
        <v>1682.71</v>
      </c>
      <c r="G17" s="31">
        <v>2.1899999999999999E-2</v>
      </c>
      <c r="H17" s="32"/>
    </row>
    <row r="18" spans="2:8" ht="15.75" customHeight="1" x14ac:dyDescent="0.2">
      <c r="B18" s="28" t="s">
        <v>186</v>
      </c>
      <c r="C18" s="28" t="s">
        <v>187</v>
      </c>
      <c r="D18" s="28" t="s">
        <v>188</v>
      </c>
      <c r="E18" s="29">
        <v>48238</v>
      </c>
      <c r="F18" s="30">
        <v>1682.16</v>
      </c>
      <c r="G18" s="31">
        <v>2.1899999999999999E-2</v>
      </c>
      <c r="H18" s="32"/>
    </row>
    <row r="19" spans="2:8" ht="15.75" customHeight="1" x14ac:dyDescent="0.2">
      <c r="B19" s="28" t="s">
        <v>726</v>
      </c>
      <c r="C19" s="28" t="s">
        <v>727</v>
      </c>
      <c r="D19" s="28" t="s">
        <v>175</v>
      </c>
      <c r="E19" s="29">
        <v>144817</v>
      </c>
      <c r="F19" s="30">
        <v>1510.15</v>
      </c>
      <c r="G19" s="31">
        <v>1.9599999999999999E-2</v>
      </c>
      <c r="H19" s="32"/>
    </row>
    <row r="20" spans="2:8" ht="15.75" customHeight="1" x14ac:dyDescent="0.2">
      <c r="B20" s="28" t="s">
        <v>238</v>
      </c>
      <c r="C20" s="28" t="s">
        <v>239</v>
      </c>
      <c r="D20" s="28" t="s">
        <v>221</v>
      </c>
      <c r="E20" s="29">
        <v>379019</v>
      </c>
      <c r="F20" s="30">
        <v>1204.33</v>
      </c>
      <c r="G20" s="31">
        <v>1.5599999999999999E-2</v>
      </c>
      <c r="H20" s="32"/>
    </row>
    <row r="21" spans="2:8" ht="15.75" customHeight="1" x14ac:dyDescent="0.2">
      <c r="B21" s="28" t="s">
        <v>181</v>
      </c>
      <c r="C21" s="28" t="s">
        <v>182</v>
      </c>
      <c r="D21" s="28" t="s">
        <v>183</v>
      </c>
      <c r="E21" s="29">
        <v>48305</v>
      </c>
      <c r="F21" s="30">
        <v>1190.96</v>
      </c>
      <c r="G21" s="31">
        <v>1.55E-2</v>
      </c>
      <c r="H21" s="32"/>
    </row>
    <row r="22" spans="2:8" ht="15.75" customHeight="1" x14ac:dyDescent="0.2">
      <c r="B22" s="28" t="s">
        <v>563</v>
      </c>
      <c r="C22" s="28" t="s">
        <v>564</v>
      </c>
      <c r="D22" s="28" t="s">
        <v>188</v>
      </c>
      <c r="E22" s="29">
        <v>7143</v>
      </c>
      <c r="F22" s="30">
        <v>1156.17</v>
      </c>
      <c r="G22" s="31">
        <v>1.4999999999999999E-2</v>
      </c>
      <c r="H22" s="32"/>
    </row>
    <row r="23" spans="2:8" ht="15.75" customHeight="1" x14ac:dyDescent="0.2">
      <c r="B23" s="28" t="s">
        <v>332</v>
      </c>
      <c r="C23" s="28" t="s">
        <v>333</v>
      </c>
      <c r="D23" s="28" t="s">
        <v>224</v>
      </c>
      <c r="E23" s="29">
        <v>57360</v>
      </c>
      <c r="F23" s="30">
        <v>969.79</v>
      </c>
      <c r="G23" s="31">
        <v>1.26E-2</v>
      </c>
      <c r="H23" s="32"/>
    </row>
    <row r="24" spans="2:8" ht="15.75" customHeight="1" x14ac:dyDescent="0.2">
      <c r="B24" s="28" t="s">
        <v>250</v>
      </c>
      <c r="C24" s="28" t="s">
        <v>251</v>
      </c>
      <c r="D24" s="28" t="s">
        <v>172</v>
      </c>
      <c r="E24" s="29">
        <v>57670</v>
      </c>
      <c r="F24" s="30">
        <v>888.98</v>
      </c>
      <c r="G24" s="31">
        <v>1.1599999999999999E-2</v>
      </c>
      <c r="H24" s="32"/>
    </row>
    <row r="25" spans="2:8" ht="15.75" customHeight="1" x14ac:dyDescent="0.2">
      <c r="B25" s="28" t="s">
        <v>334</v>
      </c>
      <c r="C25" s="28" t="s">
        <v>335</v>
      </c>
      <c r="D25" s="28" t="s">
        <v>280</v>
      </c>
      <c r="E25" s="29">
        <v>258057</v>
      </c>
      <c r="F25" s="30">
        <v>869.52</v>
      </c>
      <c r="G25" s="31">
        <v>1.1299999999999999E-2</v>
      </c>
      <c r="H25" s="32"/>
    </row>
    <row r="26" spans="2:8" ht="15.75" customHeight="1" x14ac:dyDescent="0.2">
      <c r="B26" s="28" t="s">
        <v>258</v>
      </c>
      <c r="C26" s="28" t="s">
        <v>259</v>
      </c>
      <c r="D26" s="28" t="s">
        <v>260</v>
      </c>
      <c r="E26" s="29">
        <v>22461</v>
      </c>
      <c r="F26" s="30">
        <v>841.55</v>
      </c>
      <c r="G26" s="31">
        <v>1.09E-2</v>
      </c>
      <c r="H26" s="32"/>
    </row>
    <row r="27" spans="2:8" ht="15.75" customHeight="1" x14ac:dyDescent="0.2">
      <c r="B27" s="28" t="s">
        <v>216</v>
      </c>
      <c r="C27" s="28" t="s">
        <v>217</v>
      </c>
      <c r="D27" s="28" t="s">
        <v>218</v>
      </c>
      <c r="E27" s="29">
        <v>194961</v>
      </c>
      <c r="F27" s="30">
        <v>830.73</v>
      </c>
      <c r="G27" s="31">
        <v>1.0800000000000001E-2</v>
      </c>
      <c r="H27" s="32"/>
    </row>
    <row r="28" spans="2:8" ht="15.75" customHeight="1" x14ac:dyDescent="0.2">
      <c r="B28" s="28" t="s">
        <v>211</v>
      </c>
      <c r="C28" s="28" t="s">
        <v>212</v>
      </c>
      <c r="D28" s="28" t="s">
        <v>213</v>
      </c>
      <c r="E28" s="29">
        <v>450125</v>
      </c>
      <c r="F28" s="30">
        <v>823.01</v>
      </c>
      <c r="G28" s="31">
        <v>1.0699999999999999E-2</v>
      </c>
      <c r="H28" s="32"/>
    </row>
    <row r="29" spans="2:8" ht="15.75" customHeight="1" x14ac:dyDescent="0.2">
      <c r="B29" s="28" t="s">
        <v>270</v>
      </c>
      <c r="C29" s="28" t="s">
        <v>271</v>
      </c>
      <c r="D29" s="28" t="s">
        <v>269</v>
      </c>
      <c r="E29" s="29">
        <v>6461</v>
      </c>
      <c r="F29" s="30">
        <v>771.9</v>
      </c>
      <c r="G29" s="31">
        <v>0.01</v>
      </c>
      <c r="H29" s="32"/>
    </row>
    <row r="30" spans="2:8" ht="15.75" customHeight="1" x14ac:dyDescent="0.2">
      <c r="B30" s="28" t="s">
        <v>902</v>
      </c>
      <c r="C30" s="28" t="s">
        <v>903</v>
      </c>
      <c r="D30" s="28" t="s">
        <v>280</v>
      </c>
      <c r="E30" s="29">
        <v>246551</v>
      </c>
      <c r="F30" s="30">
        <v>710.44</v>
      </c>
      <c r="G30" s="31">
        <v>9.1999999999999998E-3</v>
      </c>
      <c r="H30" s="32"/>
    </row>
    <row r="31" spans="2:8" ht="15.75" customHeight="1" x14ac:dyDescent="0.2">
      <c r="B31" s="28" t="s">
        <v>344</v>
      </c>
      <c r="C31" s="28" t="s">
        <v>345</v>
      </c>
      <c r="D31" s="28" t="s">
        <v>346</v>
      </c>
      <c r="E31" s="29">
        <v>78832</v>
      </c>
      <c r="F31" s="30">
        <v>668.38</v>
      </c>
      <c r="G31" s="31">
        <v>8.6999999999999994E-3</v>
      </c>
      <c r="H31" s="32"/>
    </row>
    <row r="32" spans="2:8" ht="15.75" customHeight="1" x14ac:dyDescent="0.2">
      <c r="B32" s="28" t="s">
        <v>362</v>
      </c>
      <c r="C32" s="28" t="s">
        <v>363</v>
      </c>
      <c r="D32" s="28" t="s">
        <v>300</v>
      </c>
      <c r="E32" s="29">
        <v>11769</v>
      </c>
      <c r="F32" s="30">
        <v>662.01</v>
      </c>
      <c r="G32" s="31">
        <v>8.6E-3</v>
      </c>
      <c r="H32" s="32"/>
    </row>
    <row r="33" spans="2:8" ht="15.75" customHeight="1" x14ac:dyDescent="0.2">
      <c r="B33" s="28" t="s">
        <v>904</v>
      </c>
      <c r="C33" s="28" t="s">
        <v>905</v>
      </c>
      <c r="D33" s="28" t="s">
        <v>175</v>
      </c>
      <c r="E33" s="29">
        <v>31069</v>
      </c>
      <c r="F33" s="30">
        <v>648.80999999999995</v>
      </c>
      <c r="G33" s="31">
        <v>8.3999999999999995E-3</v>
      </c>
      <c r="H33" s="32"/>
    </row>
    <row r="34" spans="2:8" ht="15.75" customHeight="1" x14ac:dyDescent="0.2">
      <c r="B34" s="28" t="s">
        <v>294</v>
      </c>
      <c r="C34" s="28" t="s">
        <v>295</v>
      </c>
      <c r="D34" s="28" t="s">
        <v>213</v>
      </c>
      <c r="E34" s="29">
        <v>50985</v>
      </c>
      <c r="F34" s="30">
        <v>614.88</v>
      </c>
      <c r="G34" s="31">
        <v>8.0000000000000002E-3</v>
      </c>
      <c r="H34" s="32"/>
    </row>
    <row r="35" spans="2:8" ht="15.75" customHeight="1" x14ac:dyDescent="0.2">
      <c r="B35" s="28" t="s">
        <v>906</v>
      </c>
      <c r="C35" s="28" t="s">
        <v>907</v>
      </c>
      <c r="D35" s="28" t="s">
        <v>260</v>
      </c>
      <c r="E35" s="29">
        <v>24304</v>
      </c>
      <c r="F35" s="30">
        <v>610.22</v>
      </c>
      <c r="G35" s="31">
        <v>7.9000000000000008E-3</v>
      </c>
      <c r="H35" s="32"/>
    </row>
    <row r="36" spans="2:8" ht="15.75" customHeight="1" x14ac:dyDescent="0.2">
      <c r="B36" s="28" t="s">
        <v>267</v>
      </c>
      <c r="C36" s="28" t="s">
        <v>268</v>
      </c>
      <c r="D36" s="28" t="s">
        <v>269</v>
      </c>
      <c r="E36" s="29">
        <v>20798</v>
      </c>
      <c r="F36" s="30">
        <v>601.41999999999996</v>
      </c>
      <c r="G36" s="31">
        <v>7.7999999999999996E-3</v>
      </c>
      <c r="H36" s="32"/>
    </row>
    <row r="37" spans="2:8" ht="15.75" customHeight="1" x14ac:dyDescent="0.2">
      <c r="B37" s="28" t="s">
        <v>908</v>
      </c>
      <c r="C37" s="28" t="s">
        <v>909</v>
      </c>
      <c r="D37" s="28" t="s">
        <v>203</v>
      </c>
      <c r="E37" s="29">
        <v>40171</v>
      </c>
      <c r="F37" s="30">
        <v>583.08000000000004</v>
      </c>
      <c r="G37" s="31">
        <v>7.6E-3</v>
      </c>
      <c r="H37" s="32"/>
    </row>
    <row r="38" spans="2:8" ht="15.75" customHeight="1" x14ac:dyDescent="0.2">
      <c r="B38" s="28" t="s">
        <v>173</v>
      </c>
      <c r="C38" s="28" t="s">
        <v>174</v>
      </c>
      <c r="D38" s="28" t="s">
        <v>175</v>
      </c>
      <c r="E38" s="29">
        <v>76206</v>
      </c>
      <c r="F38" s="30">
        <v>570.71</v>
      </c>
      <c r="G38" s="31">
        <v>7.4000000000000003E-3</v>
      </c>
      <c r="H38" s="32"/>
    </row>
    <row r="39" spans="2:8" ht="15.75" customHeight="1" x14ac:dyDescent="0.2">
      <c r="B39" s="28" t="s">
        <v>219</v>
      </c>
      <c r="C39" s="28" t="s">
        <v>220</v>
      </c>
      <c r="D39" s="28" t="s">
        <v>221</v>
      </c>
      <c r="E39" s="29">
        <v>12082</v>
      </c>
      <c r="F39" s="30">
        <v>567.16999999999996</v>
      </c>
      <c r="G39" s="31">
        <v>7.4000000000000003E-3</v>
      </c>
      <c r="H39" s="32"/>
    </row>
    <row r="40" spans="2:8" ht="15.75" customHeight="1" x14ac:dyDescent="0.2">
      <c r="B40" s="28" t="s">
        <v>229</v>
      </c>
      <c r="C40" s="28" t="s">
        <v>230</v>
      </c>
      <c r="D40" s="28" t="s">
        <v>175</v>
      </c>
      <c r="E40" s="29">
        <v>178368</v>
      </c>
      <c r="F40" s="30">
        <v>547.23</v>
      </c>
      <c r="G40" s="31">
        <v>7.1000000000000004E-3</v>
      </c>
      <c r="H40" s="32"/>
    </row>
    <row r="41" spans="2:8" ht="15.75" customHeight="1" x14ac:dyDescent="0.2">
      <c r="B41" s="28" t="s">
        <v>910</v>
      </c>
      <c r="C41" s="28" t="s">
        <v>911</v>
      </c>
      <c r="D41" s="28" t="s">
        <v>435</v>
      </c>
      <c r="E41" s="29">
        <v>211422</v>
      </c>
      <c r="F41" s="30">
        <v>539.91</v>
      </c>
      <c r="G41" s="31">
        <v>7.0000000000000001E-3</v>
      </c>
      <c r="H41" s="32"/>
    </row>
    <row r="42" spans="2:8" ht="15.75" customHeight="1" x14ac:dyDescent="0.2">
      <c r="B42" s="28" t="s">
        <v>370</v>
      </c>
      <c r="C42" s="28" t="s">
        <v>371</v>
      </c>
      <c r="D42" s="28" t="s">
        <v>188</v>
      </c>
      <c r="E42" s="29">
        <v>6033</v>
      </c>
      <c r="F42" s="30">
        <v>536.48</v>
      </c>
      <c r="G42" s="31">
        <v>7.0000000000000001E-3</v>
      </c>
      <c r="H42" s="32"/>
    </row>
    <row r="43" spans="2:8" ht="15.75" customHeight="1" x14ac:dyDescent="0.2">
      <c r="B43" s="28" t="s">
        <v>436</v>
      </c>
      <c r="C43" s="28" t="s">
        <v>437</v>
      </c>
      <c r="D43" s="28" t="s">
        <v>188</v>
      </c>
      <c r="E43" s="29">
        <v>7490</v>
      </c>
      <c r="F43" s="30">
        <v>524.82000000000005</v>
      </c>
      <c r="G43" s="31">
        <v>6.7999999999999996E-3</v>
      </c>
      <c r="H43" s="32"/>
    </row>
    <row r="44" spans="2:8" ht="15.75" customHeight="1" x14ac:dyDescent="0.2">
      <c r="B44" s="28" t="s">
        <v>261</v>
      </c>
      <c r="C44" s="28" t="s">
        <v>262</v>
      </c>
      <c r="D44" s="28" t="s">
        <v>263</v>
      </c>
      <c r="E44" s="29">
        <v>39026</v>
      </c>
      <c r="F44" s="30">
        <v>496.25</v>
      </c>
      <c r="G44" s="31">
        <v>6.4000000000000003E-3</v>
      </c>
      <c r="H44" s="32"/>
    </row>
    <row r="45" spans="2:8" ht="15.75" customHeight="1" x14ac:dyDescent="0.2">
      <c r="B45" s="28" t="s">
        <v>382</v>
      </c>
      <c r="C45" s="28" t="s">
        <v>383</v>
      </c>
      <c r="D45" s="28" t="s">
        <v>172</v>
      </c>
      <c r="E45" s="29">
        <v>34555</v>
      </c>
      <c r="F45" s="30">
        <v>492.2</v>
      </c>
      <c r="G45" s="31">
        <v>6.4000000000000003E-3</v>
      </c>
      <c r="H45" s="32"/>
    </row>
    <row r="46" spans="2:8" ht="15.75" customHeight="1" x14ac:dyDescent="0.2">
      <c r="B46" s="28" t="s">
        <v>749</v>
      </c>
      <c r="C46" s="28" t="s">
        <v>750</v>
      </c>
      <c r="D46" s="28" t="s">
        <v>218</v>
      </c>
      <c r="E46" s="29">
        <v>10333</v>
      </c>
      <c r="F46" s="30">
        <v>483.56</v>
      </c>
      <c r="G46" s="31">
        <v>6.3E-3</v>
      </c>
      <c r="H46" s="32"/>
    </row>
    <row r="47" spans="2:8" ht="15.75" customHeight="1" x14ac:dyDescent="0.2">
      <c r="B47" s="28" t="s">
        <v>912</v>
      </c>
      <c r="C47" s="28" t="s">
        <v>913</v>
      </c>
      <c r="D47" s="28" t="s">
        <v>914</v>
      </c>
      <c r="E47" s="29">
        <v>123606</v>
      </c>
      <c r="F47" s="30">
        <v>480.39</v>
      </c>
      <c r="G47" s="31">
        <v>6.1999999999999998E-3</v>
      </c>
      <c r="H47" s="32"/>
    </row>
    <row r="48" spans="2:8" ht="15.75" customHeight="1" x14ac:dyDescent="0.2">
      <c r="B48" s="28" t="s">
        <v>860</v>
      </c>
      <c r="C48" s="28" t="s">
        <v>861</v>
      </c>
      <c r="D48" s="28" t="s">
        <v>354</v>
      </c>
      <c r="E48" s="29">
        <v>24419</v>
      </c>
      <c r="F48" s="30">
        <v>477.56</v>
      </c>
      <c r="G48" s="31">
        <v>6.1999999999999998E-3</v>
      </c>
      <c r="H48" s="32"/>
    </row>
    <row r="49" spans="2:8" ht="15.75" customHeight="1" x14ac:dyDescent="0.2">
      <c r="B49" s="28" t="s">
        <v>664</v>
      </c>
      <c r="C49" s="28" t="s">
        <v>665</v>
      </c>
      <c r="D49" s="28" t="s">
        <v>430</v>
      </c>
      <c r="E49" s="29">
        <v>40699</v>
      </c>
      <c r="F49" s="30">
        <v>467.14</v>
      </c>
      <c r="G49" s="31">
        <v>6.1000000000000004E-3</v>
      </c>
      <c r="H49" s="32"/>
    </row>
    <row r="50" spans="2:8" ht="15.75" customHeight="1" x14ac:dyDescent="0.2">
      <c r="B50" s="28" t="s">
        <v>915</v>
      </c>
      <c r="C50" s="28" t="s">
        <v>916</v>
      </c>
      <c r="D50" s="28" t="s">
        <v>188</v>
      </c>
      <c r="E50" s="29">
        <v>113702</v>
      </c>
      <c r="F50" s="30">
        <v>466.18</v>
      </c>
      <c r="G50" s="31">
        <v>6.1000000000000004E-3</v>
      </c>
      <c r="H50" s="32"/>
    </row>
    <row r="51" spans="2:8" ht="15.75" customHeight="1" x14ac:dyDescent="0.2">
      <c r="B51" s="28" t="s">
        <v>272</v>
      </c>
      <c r="C51" s="28" t="s">
        <v>273</v>
      </c>
      <c r="D51" s="28" t="s">
        <v>224</v>
      </c>
      <c r="E51" s="29">
        <v>6913</v>
      </c>
      <c r="F51" s="30">
        <v>465.8</v>
      </c>
      <c r="G51" s="31">
        <v>6.1000000000000004E-3</v>
      </c>
      <c r="H51" s="32"/>
    </row>
    <row r="52" spans="2:8" ht="15.75" customHeight="1" x14ac:dyDescent="0.2">
      <c r="B52" s="28" t="s">
        <v>648</v>
      </c>
      <c r="C52" s="28" t="s">
        <v>649</v>
      </c>
      <c r="D52" s="28" t="s">
        <v>224</v>
      </c>
      <c r="E52" s="29">
        <v>30454</v>
      </c>
      <c r="F52" s="30">
        <v>457.21</v>
      </c>
      <c r="G52" s="31">
        <v>5.8999999999999999E-3</v>
      </c>
      <c r="H52" s="32"/>
    </row>
    <row r="53" spans="2:8" ht="15.75" customHeight="1" x14ac:dyDescent="0.2">
      <c r="B53" s="28" t="s">
        <v>264</v>
      </c>
      <c r="C53" s="28" t="s">
        <v>265</v>
      </c>
      <c r="D53" s="28" t="s">
        <v>266</v>
      </c>
      <c r="E53" s="29">
        <v>92337</v>
      </c>
      <c r="F53" s="30">
        <v>455.73</v>
      </c>
      <c r="G53" s="31">
        <v>5.8999999999999999E-3</v>
      </c>
      <c r="H53" s="32"/>
    </row>
    <row r="54" spans="2:8" ht="15.75" customHeight="1" x14ac:dyDescent="0.2">
      <c r="B54" s="28" t="s">
        <v>467</v>
      </c>
      <c r="C54" s="28" t="s">
        <v>468</v>
      </c>
      <c r="D54" s="28" t="s">
        <v>188</v>
      </c>
      <c r="E54" s="29">
        <v>12775</v>
      </c>
      <c r="F54" s="30">
        <v>448.24</v>
      </c>
      <c r="G54" s="31">
        <v>5.7999999999999996E-3</v>
      </c>
      <c r="H54" s="32"/>
    </row>
    <row r="55" spans="2:8" ht="15.75" customHeight="1" x14ac:dyDescent="0.2">
      <c r="B55" s="28" t="s">
        <v>724</v>
      </c>
      <c r="C55" s="28" t="s">
        <v>725</v>
      </c>
      <c r="D55" s="28" t="s">
        <v>354</v>
      </c>
      <c r="E55" s="29">
        <v>58409</v>
      </c>
      <c r="F55" s="30">
        <v>427.47</v>
      </c>
      <c r="G55" s="31">
        <v>5.5999999999999999E-3</v>
      </c>
      <c r="H55" s="32"/>
    </row>
    <row r="56" spans="2:8" ht="15.75" customHeight="1" x14ac:dyDescent="0.2">
      <c r="B56" s="28" t="s">
        <v>459</v>
      </c>
      <c r="C56" s="28" t="s">
        <v>460</v>
      </c>
      <c r="D56" s="28" t="s">
        <v>430</v>
      </c>
      <c r="E56" s="29">
        <v>5450</v>
      </c>
      <c r="F56" s="30">
        <v>418.61</v>
      </c>
      <c r="G56" s="31">
        <v>5.4000000000000003E-3</v>
      </c>
      <c r="H56" s="32"/>
    </row>
    <row r="57" spans="2:8" ht="15.75" customHeight="1" x14ac:dyDescent="0.2">
      <c r="B57" s="28" t="s">
        <v>337</v>
      </c>
      <c r="C57" s="28" t="s">
        <v>338</v>
      </c>
      <c r="D57" s="28" t="s">
        <v>339</v>
      </c>
      <c r="E57" s="29">
        <v>35451</v>
      </c>
      <c r="F57" s="30">
        <v>413</v>
      </c>
      <c r="G57" s="31">
        <v>5.4000000000000003E-3</v>
      </c>
      <c r="H57" s="32"/>
    </row>
    <row r="58" spans="2:8" ht="15.75" customHeight="1" x14ac:dyDescent="0.2">
      <c r="B58" s="28" t="s">
        <v>917</v>
      </c>
      <c r="C58" s="28" t="s">
        <v>918</v>
      </c>
      <c r="D58" s="28" t="s">
        <v>224</v>
      </c>
      <c r="E58" s="29">
        <v>33162</v>
      </c>
      <c r="F58" s="30">
        <v>397.15</v>
      </c>
      <c r="G58" s="31">
        <v>5.1999999999999998E-3</v>
      </c>
      <c r="H58" s="32"/>
    </row>
    <row r="59" spans="2:8" ht="15.75" customHeight="1" x14ac:dyDescent="0.2">
      <c r="B59" s="28" t="s">
        <v>693</v>
      </c>
      <c r="C59" s="28" t="s">
        <v>694</v>
      </c>
      <c r="D59" s="28" t="s">
        <v>175</v>
      </c>
      <c r="E59" s="29">
        <v>22940</v>
      </c>
      <c r="F59" s="30">
        <v>389.25</v>
      </c>
      <c r="G59" s="31">
        <v>5.1000000000000004E-3</v>
      </c>
      <c r="H59" s="32"/>
    </row>
    <row r="60" spans="2:8" ht="15.75" customHeight="1" x14ac:dyDescent="0.2">
      <c r="B60" s="28" t="s">
        <v>879</v>
      </c>
      <c r="C60" s="28" t="s">
        <v>880</v>
      </c>
      <c r="D60" s="28" t="s">
        <v>169</v>
      </c>
      <c r="E60" s="29">
        <v>105511</v>
      </c>
      <c r="F60" s="30">
        <v>376.46</v>
      </c>
      <c r="G60" s="31">
        <v>4.8999999999999998E-3</v>
      </c>
      <c r="H60" s="32"/>
    </row>
    <row r="61" spans="2:8" ht="15.75" customHeight="1" x14ac:dyDescent="0.2">
      <c r="B61" s="28" t="s">
        <v>1053</v>
      </c>
      <c r="C61" s="28" t="s">
        <v>1054</v>
      </c>
      <c r="D61" s="28" t="s">
        <v>263</v>
      </c>
      <c r="E61" s="29">
        <v>6419</v>
      </c>
      <c r="F61" s="30">
        <v>374.64</v>
      </c>
      <c r="G61" s="31">
        <v>4.8999999999999998E-3</v>
      </c>
      <c r="H61" s="32"/>
    </row>
    <row r="62" spans="2:8" ht="15.75" customHeight="1" x14ac:dyDescent="0.2">
      <c r="B62" s="28" t="s">
        <v>919</v>
      </c>
      <c r="C62" s="28" t="s">
        <v>920</v>
      </c>
      <c r="D62" s="28" t="s">
        <v>172</v>
      </c>
      <c r="E62" s="29">
        <v>155312</v>
      </c>
      <c r="F62" s="30">
        <v>373.79</v>
      </c>
      <c r="G62" s="31">
        <v>4.8999999999999998E-3</v>
      </c>
      <c r="H62" s="32"/>
    </row>
    <row r="63" spans="2:8" ht="15.75" customHeight="1" x14ac:dyDescent="0.2">
      <c r="B63" s="28" t="s">
        <v>278</v>
      </c>
      <c r="C63" s="28" t="s">
        <v>279</v>
      </c>
      <c r="D63" s="28" t="s">
        <v>280</v>
      </c>
      <c r="E63" s="29">
        <v>91403</v>
      </c>
      <c r="F63" s="30">
        <v>370.09</v>
      </c>
      <c r="G63" s="31">
        <v>4.7999999999999996E-3</v>
      </c>
      <c r="H63" s="32"/>
    </row>
    <row r="64" spans="2:8" ht="15.75" customHeight="1" x14ac:dyDescent="0.2">
      <c r="B64" s="28" t="s">
        <v>676</v>
      </c>
      <c r="C64" s="28" t="s">
        <v>677</v>
      </c>
      <c r="D64" s="28" t="s">
        <v>495</v>
      </c>
      <c r="E64" s="29">
        <v>47811</v>
      </c>
      <c r="F64" s="30">
        <v>354.66</v>
      </c>
      <c r="G64" s="31">
        <v>4.5999999999999999E-3</v>
      </c>
      <c r="H64" s="32"/>
    </row>
    <row r="65" spans="2:14" ht="15.75" customHeight="1" x14ac:dyDescent="0.2">
      <c r="B65" s="28" t="s">
        <v>921</v>
      </c>
      <c r="C65" s="28" t="s">
        <v>922</v>
      </c>
      <c r="D65" s="28" t="s">
        <v>923</v>
      </c>
      <c r="E65" s="29">
        <v>14177</v>
      </c>
      <c r="F65" s="30">
        <v>351.73</v>
      </c>
      <c r="G65" s="31">
        <v>4.5999999999999999E-3</v>
      </c>
      <c r="H65" s="32"/>
    </row>
    <row r="66" spans="2:14" ht="15.75" customHeight="1" x14ac:dyDescent="0.2">
      <c r="B66" s="28" t="s">
        <v>247</v>
      </c>
      <c r="C66" s="28" t="s">
        <v>248</v>
      </c>
      <c r="D66" s="28" t="s">
        <v>249</v>
      </c>
      <c r="E66" s="29">
        <v>73738</v>
      </c>
      <c r="F66" s="30">
        <v>346.31</v>
      </c>
      <c r="G66" s="31">
        <v>4.4999999999999997E-3</v>
      </c>
      <c r="H66" s="32"/>
    </row>
    <row r="67" spans="2:14" ht="15.75" customHeight="1" x14ac:dyDescent="0.2">
      <c r="B67" s="28" t="s">
        <v>196</v>
      </c>
      <c r="C67" s="28" t="s">
        <v>285</v>
      </c>
      <c r="D67" s="28" t="s">
        <v>169</v>
      </c>
      <c r="E67" s="29">
        <v>203370</v>
      </c>
      <c r="F67" s="30">
        <v>337.39</v>
      </c>
      <c r="G67" s="31">
        <v>4.4000000000000003E-3</v>
      </c>
      <c r="H67" s="32"/>
    </row>
    <row r="68" spans="2:14" ht="15.75" customHeight="1" x14ac:dyDescent="0.2">
      <c r="B68" s="28" t="s">
        <v>1057</v>
      </c>
      <c r="C68" s="28" t="s">
        <v>1058</v>
      </c>
      <c r="D68" s="28" t="s">
        <v>221</v>
      </c>
      <c r="E68" s="29">
        <v>8012</v>
      </c>
      <c r="F68" s="30">
        <v>332.78</v>
      </c>
      <c r="G68" s="31">
        <v>4.3E-3</v>
      </c>
      <c r="H68" s="32"/>
      <c r="J68" s="3"/>
    </row>
    <row r="69" spans="2:14" ht="15.75" customHeight="1" x14ac:dyDescent="0.2">
      <c r="B69" s="28" t="s">
        <v>1055</v>
      </c>
      <c r="C69" s="28" t="s">
        <v>1056</v>
      </c>
      <c r="D69" s="28" t="s">
        <v>280</v>
      </c>
      <c r="E69" s="29">
        <v>207932</v>
      </c>
      <c r="F69" s="30">
        <v>328.22</v>
      </c>
      <c r="G69" s="31">
        <v>4.3E-3</v>
      </c>
      <c r="H69" s="32"/>
    </row>
    <row r="70" spans="2:14" ht="15.75" customHeight="1" x14ac:dyDescent="0.2">
      <c r="B70" s="28" t="s">
        <v>296</v>
      </c>
      <c r="C70" s="28" t="s">
        <v>297</v>
      </c>
      <c r="D70" s="28" t="s">
        <v>175</v>
      </c>
      <c r="E70" s="29">
        <v>79254</v>
      </c>
      <c r="F70" s="30">
        <v>319.58999999999997</v>
      </c>
      <c r="G70" s="31">
        <v>4.1999999999999997E-3</v>
      </c>
      <c r="H70" s="32"/>
      <c r="J70" s="3"/>
    </row>
    <row r="71" spans="2:14" ht="15.75" customHeight="1" x14ac:dyDescent="0.2">
      <c r="B71" s="28" t="s">
        <v>256</v>
      </c>
      <c r="C71" s="28" t="s">
        <v>257</v>
      </c>
      <c r="D71" s="28" t="s">
        <v>221</v>
      </c>
      <c r="E71" s="29">
        <v>21156</v>
      </c>
      <c r="F71" s="30">
        <v>291.58999999999997</v>
      </c>
      <c r="G71" s="31">
        <v>3.8E-3</v>
      </c>
      <c r="H71" s="32"/>
      <c r="J71" s="3"/>
    </row>
    <row r="72" spans="2:14" ht="15.75" customHeight="1" x14ac:dyDescent="0.2">
      <c r="B72" s="28" t="s">
        <v>1059</v>
      </c>
      <c r="C72" s="28" t="s">
        <v>1060</v>
      </c>
      <c r="D72" s="28" t="s">
        <v>175</v>
      </c>
      <c r="E72" s="29">
        <v>2357</v>
      </c>
      <c r="F72" s="30">
        <v>289.98</v>
      </c>
      <c r="G72" s="31">
        <v>3.8E-3</v>
      </c>
      <c r="H72" s="32"/>
      <c r="J72" s="3"/>
    </row>
    <row r="73" spans="2:14" ht="15.75" customHeight="1" x14ac:dyDescent="0.2">
      <c r="B73" s="28" t="s">
        <v>475</v>
      </c>
      <c r="C73" s="28" t="s">
        <v>476</v>
      </c>
      <c r="D73" s="28" t="s">
        <v>172</v>
      </c>
      <c r="E73" s="29">
        <v>5047</v>
      </c>
      <c r="F73" s="30">
        <v>286.89999999999998</v>
      </c>
      <c r="G73" s="31">
        <v>3.7000000000000002E-3</v>
      </c>
      <c r="H73" s="32"/>
      <c r="J73" s="3"/>
    </row>
    <row r="74" spans="2:14" ht="15.75" customHeight="1" x14ac:dyDescent="0.2">
      <c r="B74" s="28" t="s">
        <v>234</v>
      </c>
      <c r="C74" s="28" t="s">
        <v>235</v>
      </c>
      <c r="D74" s="28" t="s">
        <v>166</v>
      </c>
      <c r="E74" s="29">
        <v>100496</v>
      </c>
      <c r="F74" s="30">
        <v>279.77999999999997</v>
      </c>
      <c r="G74" s="31">
        <v>3.5999999999999999E-3</v>
      </c>
      <c r="H74" s="32"/>
      <c r="J74" s="5"/>
      <c r="K74" s="5"/>
      <c r="L74" s="6"/>
      <c r="M74" s="6"/>
      <c r="N74" s="5"/>
    </row>
    <row r="75" spans="2:14" ht="15.75" customHeight="1" x14ac:dyDescent="0.2">
      <c r="B75" s="28" t="s">
        <v>1061</v>
      </c>
      <c r="C75" s="28" t="s">
        <v>1062</v>
      </c>
      <c r="D75" s="28" t="s">
        <v>290</v>
      </c>
      <c r="E75" s="29">
        <v>37368</v>
      </c>
      <c r="F75" s="30">
        <v>275.27</v>
      </c>
      <c r="G75" s="31">
        <v>3.5999999999999999E-3</v>
      </c>
      <c r="H75" s="32"/>
    </row>
    <row r="76" spans="2:14" ht="15.75" customHeight="1" x14ac:dyDescent="0.2">
      <c r="B76" s="28" t="s">
        <v>862</v>
      </c>
      <c r="C76" s="28" t="s">
        <v>863</v>
      </c>
      <c r="D76" s="28" t="s">
        <v>389</v>
      </c>
      <c r="E76" s="29">
        <v>146809</v>
      </c>
      <c r="F76" s="30">
        <v>268.31</v>
      </c>
      <c r="G76" s="31">
        <v>3.5000000000000001E-3</v>
      </c>
      <c r="H76" s="32"/>
    </row>
    <row r="77" spans="2:14" ht="15.75" customHeight="1" x14ac:dyDescent="0.2">
      <c r="B77" s="28" t="s">
        <v>244</v>
      </c>
      <c r="C77" s="28" t="s">
        <v>245</v>
      </c>
      <c r="D77" s="28" t="s">
        <v>246</v>
      </c>
      <c r="E77" s="29">
        <v>34920</v>
      </c>
      <c r="F77" s="30">
        <v>264.08</v>
      </c>
      <c r="G77" s="31">
        <v>3.3999999999999998E-3</v>
      </c>
      <c r="H77" s="32"/>
      <c r="J77" s="7"/>
      <c r="K77" s="7"/>
      <c r="L77" s="7"/>
      <c r="M77" s="7"/>
      <c r="N77" s="7"/>
    </row>
    <row r="78" spans="2:14" ht="15.75" customHeight="1" x14ac:dyDescent="0.2">
      <c r="B78" s="28" t="s">
        <v>352</v>
      </c>
      <c r="C78" s="28" t="s">
        <v>353</v>
      </c>
      <c r="D78" s="28" t="s">
        <v>354</v>
      </c>
      <c r="E78" s="29">
        <v>13139</v>
      </c>
      <c r="F78" s="30">
        <v>261.95</v>
      </c>
      <c r="G78" s="31">
        <v>3.3999999999999998E-3</v>
      </c>
      <c r="H78" s="32"/>
      <c r="J78" s="7"/>
      <c r="K78" s="7"/>
      <c r="L78" s="7"/>
      <c r="M78" s="7"/>
      <c r="N78" s="7"/>
    </row>
    <row r="79" spans="2:14" ht="15.75" customHeight="1" x14ac:dyDescent="0.2">
      <c r="B79" s="28" t="s">
        <v>408</v>
      </c>
      <c r="C79" s="28" t="s">
        <v>409</v>
      </c>
      <c r="D79" s="28" t="s">
        <v>175</v>
      </c>
      <c r="E79" s="29">
        <v>67980</v>
      </c>
      <c r="F79" s="30">
        <v>254.82</v>
      </c>
      <c r="G79" s="31">
        <v>3.3E-3</v>
      </c>
      <c r="H79" s="32"/>
      <c r="J79" s="7"/>
      <c r="K79" s="7"/>
      <c r="L79" s="7"/>
      <c r="M79" s="7"/>
      <c r="N79" s="7"/>
    </row>
    <row r="80" spans="2:14" ht="15.75" customHeight="1" x14ac:dyDescent="0.2">
      <c r="B80" s="28" t="s">
        <v>274</v>
      </c>
      <c r="C80" s="28" t="s">
        <v>275</v>
      </c>
      <c r="D80" s="28" t="s">
        <v>178</v>
      </c>
      <c r="E80" s="29">
        <v>241686</v>
      </c>
      <c r="F80" s="30">
        <v>254.71</v>
      </c>
      <c r="G80" s="31">
        <v>3.3E-3</v>
      </c>
      <c r="H80" s="32"/>
      <c r="J80" s="7"/>
      <c r="K80" s="7"/>
      <c r="L80" s="7"/>
      <c r="M80" s="7"/>
      <c r="N80" s="7"/>
    </row>
    <row r="81" spans="2:14" ht="15.75" customHeight="1" x14ac:dyDescent="0.2">
      <c r="B81" s="28" t="s">
        <v>209</v>
      </c>
      <c r="C81" s="28" t="s">
        <v>210</v>
      </c>
      <c r="D81" s="28" t="s">
        <v>166</v>
      </c>
      <c r="E81" s="29">
        <v>183499</v>
      </c>
      <c r="F81" s="30">
        <v>251.38</v>
      </c>
      <c r="G81" s="31">
        <v>3.3E-3</v>
      </c>
      <c r="H81" s="32"/>
      <c r="J81" s="7"/>
      <c r="K81" s="7"/>
      <c r="L81" s="7"/>
      <c r="M81" s="7"/>
      <c r="N81" s="7"/>
    </row>
    <row r="82" spans="2:14" ht="15.75" customHeight="1" x14ac:dyDescent="0.2">
      <c r="B82" s="28" t="s">
        <v>1063</v>
      </c>
      <c r="C82" s="28" t="s">
        <v>1064</v>
      </c>
      <c r="D82" s="28" t="s">
        <v>293</v>
      </c>
      <c r="E82" s="29">
        <v>21898</v>
      </c>
      <c r="F82" s="30">
        <v>244.95</v>
      </c>
      <c r="G82" s="31">
        <v>3.2000000000000002E-3</v>
      </c>
      <c r="H82" s="32"/>
      <c r="J82" s="7"/>
      <c r="K82" s="7"/>
      <c r="L82" s="7"/>
      <c r="M82" s="7"/>
      <c r="N82" s="7"/>
    </row>
    <row r="83" spans="2:14" ht="15.75" customHeight="1" x14ac:dyDescent="0.2">
      <c r="B83" s="28" t="s">
        <v>737</v>
      </c>
      <c r="C83" s="28" t="s">
        <v>738</v>
      </c>
      <c r="D83" s="28" t="s">
        <v>349</v>
      </c>
      <c r="E83" s="29">
        <v>16894</v>
      </c>
      <c r="F83" s="30">
        <v>244.05</v>
      </c>
      <c r="G83" s="31">
        <v>3.2000000000000002E-3</v>
      </c>
      <c r="H83" s="32"/>
      <c r="J83" s="7"/>
      <c r="K83" s="7"/>
      <c r="L83" s="7"/>
      <c r="M83" s="7"/>
      <c r="N83" s="7"/>
    </row>
    <row r="84" spans="2:14" ht="15.75" customHeight="1" x14ac:dyDescent="0.2">
      <c r="B84" s="28" t="s">
        <v>242</v>
      </c>
      <c r="C84" s="28" t="s">
        <v>243</v>
      </c>
      <c r="D84" s="28" t="s">
        <v>166</v>
      </c>
      <c r="E84" s="29">
        <v>187669</v>
      </c>
      <c r="F84" s="30">
        <v>230.63</v>
      </c>
      <c r="G84" s="31">
        <v>3.0000000000000001E-3</v>
      </c>
      <c r="H84" s="32"/>
    </row>
    <row r="85" spans="2:14" ht="15.75" customHeight="1" x14ac:dyDescent="0.2">
      <c r="B85" s="28" t="s">
        <v>281</v>
      </c>
      <c r="C85" s="28" t="s">
        <v>282</v>
      </c>
      <c r="D85" s="28" t="s">
        <v>249</v>
      </c>
      <c r="E85" s="29">
        <v>16074</v>
      </c>
      <c r="F85" s="30">
        <v>230.08</v>
      </c>
      <c r="G85" s="31">
        <v>3.0000000000000001E-3</v>
      </c>
      <c r="H85" s="32"/>
      <c r="J85" s="3"/>
    </row>
    <row r="86" spans="2:14" ht="15.75" customHeight="1" x14ac:dyDescent="0.2">
      <c r="B86" s="28" t="s">
        <v>1065</v>
      </c>
      <c r="C86" s="28" t="s">
        <v>1066</v>
      </c>
      <c r="D86" s="28" t="s">
        <v>213</v>
      </c>
      <c r="E86" s="29">
        <v>20342</v>
      </c>
      <c r="F86" s="30">
        <v>217.01</v>
      </c>
      <c r="G86" s="31">
        <v>2.8E-3</v>
      </c>
      <c r="H86" s="32"/>
    </row>
    <row r="87" spans="2:14" ht="15.75" customHeight="1" x14ac:dyDescent="0.2">
      <c r="B87" s="28" t="s">
        <v>1067</v>
      </c>
      <c r="C87" s="28" t="s">
        <v>1068</v>
      </c>
      <c r="D87" s="28" t="s">
        <v>269</v>
      </c>
      <c r="E87" s="29">
        <v>728</v>
      </c>
      <c r="F87" s="30">
        <v>206.1</v>
      </c>
      <c r="G87" s="31">
        <v>2.7000000000000001E-3</v>
      </c>
      <c r="H87" s="32"/>
    </row>
    <row r="88" spans="2:14" ht="15.75" customHeight="1" x14ac:dyDescent="0.2">
      <c r="B88" s="28" t="s">
        <v>1069</v>
      </c>
      <c r="C88" s="28" t="s">
        <v>1070</v>
      </c>
      <c r="D88" s="28" t="s">
        <v>260</v>
      </c>
      <c r="E88" s="29">
        <v>13724</v>
      </c>
      <c r="F88" s="30">
        <v>205.02</v>
      </c>
      <c r="G88" s="31">
        <v>2.7000000000000001E-3</v>
      </c>
      <c r="H88" s="32"/>
    </row>
    <row r="89" spans="2:14" ht="15.75" customHeight="1" x14ac:dyDescent="0.2">
      <c r="B89" s="28" t="s">
        <v>419</v>
      </c>
      <c r="C89" s="28" t="s">
        <v>420</v>
      </c>
      <c r="D89" s="28" t="s">
        <v>224</v>
      </c>
      <c r="E89" s="29">
        <v>5693</v>
      </c>
      <c r="F89" s="30">
        <v>202.68</v>
      </c>
      <c r="G89" s="31">
        <v>2.5999999999999999E-3</v>
      </c>
      <c r="H89" s="32"/>
    </row>
    <row r="90" spans="2:14" ht="15.75" customHeight="1" x14ac:dyDescent="0.2">
      <c r="B90" s="28" t="s">
        <v>1073</v>
      </c>
      <c r="C90" s="28" t="s">
        <v>1074</v>
      </c>
      <c r="D90" s="28" t="s">
        <v>280</v>
      </c>
      <c r="E90" s="29">
        <v>16666</v>
      </c>
      <c r="F90" s="30">
        <v>189.99</v>
      </c>
      <c r="G90" s="31">
        <v>2.5000000000000001E-3</v>
      </c>
      <c r="H90" s="32"/>
    </row>
    <row r="91" spans="2:14" ht="15.75" customHeight="1" x14ac:dyDescent="0.2">
      <c r="B91" s="28" t="s">
        <v>864</v>
      </c>
      <c r="C91" s="28" t="s">
        <v>865</v>
      </c>
      <c r="D91" s="28" t="s">
        <v>188</v>
      </c>
      <c r="E91" s="29">
        <v>7761</v>
      </c>
      <c r="F91" s="30">
        <v>189.27</v>
      </c>
      <c r="G91" s="31">
        <v>2.5000000000000001E-3</v>
      </c>
      <c r="H91" s="32"/>
    </row>
    <row r="92" spans="2:14" ht="15.75" customHeight="1" x14ac:dyDescent="0.2">
      <c r="B92" s="28" t="s">
        <v>1071</v>
      </c>
      <c r="C92" s="28" t="s">
        <v>1072</v>
      </c>
      <c r="D92" s="28" t="s">
        <v>269</v>
      </c>
      <c r="E92" s="29">
        <v>33349</v>
      </c>
      <c r="F92" s="30">
        <v>188.56</v>
      </c>
      <c r="G92" s="31">
        <v>2.3999999999999998E-3</v>
      </c>
      <c r="H92" s="32"/>
    </row>
    <row r="93" spans="2:14" ht="15.75" customHeight="1" x14ac:dyDescent="0.2">
      <c r="B93" s="28" t="s">
        <v>1077</v>
      </c>
      <c r="C93" s="28" t="s">
        <v>1078</v>
      </c>
      <c r="D93" s="28" t="s">
        <v>349</v>
      </c>
      <c r="E93" s="29">
        <v>1340</v>
      </c>
      <c r="F93" s="30">
        <v>185.97</v>
      </c>
      <c r="G93" s="31">
        <v>2.3999999999999998E-3</v>
      </c>
      <c r="H93" s="32"/>
    </row>
    <row r="94" spans="2:14" ht="15.75" customHeight="1" x14ac:dyDescent="0.2">
      <c r="B94" s="28" t="s">
        <v>254</v>
      </c>
      <c r="C94" s="28" t="s">
        <v>255</v>
      </c>
      <c r="D94" s="28" t="s">
        <v>246</v>
      </c>
      <c r="E94" s="29">
        <v>15292</v>
      </c>
      <c r="F94" s="30">
        <v>183.18</v>
      </c>
      <c r="G94" s="31">
        <v>2.3999999999999998E-3</v>
      </c>
      <c r="H94" s="32"/>
    </row>
    <row r="95" spans="2:14" ht="15.75" customHeight="1" x14ac:dyDescent="0.2">
      <c r="B95" s="28" t="s">
        <v>1075</v>
      </c>
      <c r="C95" s="28" t="s">
        <v>1076</v>
      </c>
      <c r="D95" s="28" t="s">
        <v>280</v>
      </c>
      <c r="E95" s="29">
        <v>17997</v>
      </c>
      <c r="F95" s="30">
        <v>177.49</v>
      </c>
      <c r="G95" s="31">
        <v>2.3E-3</v>
      </c>
      <c r="H95" s="32"/>
    </row>
    <row r="96" spans="2:14" ht="15.75" customHeight="1" x14ac:dyDescent="0.2">
      <c r="B96" s="28" t="s">
        <v>303</v>
      </c>
      <c r="C96" s="28" t="s">
        <v>304</v>
      </c>
      <c r="D96" s="28" t="s">
        <v>178</v>
      </c>
      <c r="E96" s="29">
        <v>472</v>
      </c>
      <c r="F96" s="30">
        <v>175.8</v>
      </c>
      <c r="G96" s="31">
        <v>2.3E-3</v>
      </c>
      <c r="H96" s="32"/>
    </row>
    <row r="97" spans="2:10" ht="15.75" customHeight="1" x14ac:dyDescent="0.2">
      <c r="B97" s="28" t="s">
        <v>597</v>
      </c>
      <c r="C97" s="28" t="s">
        <v>598</v>
      </c>
      <c r="D97" s="28" t="s">
        <v>290</v>
      </c>
      <c r="E97" s="29">
        <v>4887</v>
      </c>
      <c r="F97" s="30">
        <v>155.68</v>
      </c>
      <c r="G97" s="31">
        <v>2E-3</v>
      </c>
      <c r="H97" s="32"/>
    </row>
    <row r="98" spans="2:10" ht="15.75" customHeight="1" x14ac:dyDescent="0.2">
      <c r="B98" s="28" t="s">
        <v>283</v>
      </c>
      <c r="C98" s="28" t="s">
        <v>284</v>
      </c>
      <c r="D98" s="28" t="s">
        <v>280</v>
      </c>
      <c r="E98" s="29">
        <v>29140</v>
      </c>
      <c r="F98" s="30">
        <v>153.69999999999999</v>
      </c>
      <c r="G98" s="31">
        <v>2E-3</v>
      </c>
      <c r="H98" s="32"/>
    </row>
    <row r="99" spans="2:10" ht="15.75" customHeight="1" x14ac:dyDescent="0.2">
      <c r="B99" s="28" t="s">
        <v>739</v>
      </c>
      <c r="C99" s="28" t="s">
        <v>740</v>
      </c>
      <c r="D99" s="28" t="s">
        <v>290</v>
      </c>
      <c r="E99" s="29">
        <v>2855</v>
      </c>
      <c r="F99" s="30">
        <v>149.03</v>
      </c>
      <c r="G99" s="31">
        <v>1.9E-3</v>
      </c>
      <c r="H99" s="32"/>
    </row>
    <row r="100" spans="2:10" ht="15.75" customHeight="1" x14ac:dyDescent="0.2">
      <c r="B100" s="28" t="s">
        <v>944</v>
      </c>
      <c r="C100" s="28" t="s">
        <v>945</v>
      </c>
      <c r="D100" s="28" t="s">
        <v>290</v>
      </c>
      <c r="E100" s="29">
        <v>4811</v>
      </c>
      <c r="F100" s="30">
        <v>148.96</v>
      </c>
      <c r="G100" s="31">
        <v>1.9E-3</v>
      </c>
      <c r="H100" s="32"/>
    </row>
    <row r="101" spans="2:10" ht="15.75" customHeight="1" x14ac:dyDescent="0.2">
      <c r="B101" s="28" t="s">
        <v>1079</v>
      </c>
      <c r="C101" s="28" t="s">
        <v>1080</v>
      </c>
      <c r="D101" s="28" t="s">
        <v>224</v>
      </c>
      <c r="E101" s="29">
        <v>13599</v>
      </c>
      <c r="F101" s="30">
        <v>132.52000000000001</v>
      </c>
      <c r="G101" s="31">
        <v>1.6999999999999999E-3</v>
      </c>
      <c r="H101" s="32"/>
    </row>
    <row r="102" spans="2:10" ht="15.75" customHeight="1" x14ac:dyDescent="0.2">
      <c r="B102" s="28" t="s">
        <v>1081</v>
      </c>
      <c r="C102" s="28" t="s">
        <v>1082</v>
      </c>
      <c r="D102" s="28" t="s">
        <v>175</v>
      </c>
      <c r="E102" s="29">
        <v>97273</v>
      </c>
      <c r="F102" s="30">
        <v>119.95</v>
      </c>
      <c r="G102" s="31">
        <v>1.6000000000000001E-3</v>
      </c>
      <c r="H102" s="32"/>
    </row>
    <row r="103" spans="2:10" ht="15.75" customHeight="1" x14ac:dyDescent="0.2">
      <c r="B103" s="28" t="s">
        <v>1085</v>
      </c>
      <c r="C103" s="28" t="s">
        <v>1086</v>
      </c>
      <c r="D103" s="28" t="s">
        <v>346</v>
      </c>
      <c r="E103" s="29">
        <v>24170</v>
      </c>
      <c r="F103" s="30">
        <v>115.17</v>
      </c>
      <c r="G103" s="31">
        <v>1.5E-3</v>
      </c>
      <c r="H103" s="32"/>
    </row>
    <row r="104" spans="2:10" ht="15.75" customHeight="1" x14ac:dyDescent="0.2">
      <c r="B104" s="28" t="s">
        <v>1083</v>
      </c>
      <c r="C104" s="28" t="s">
        <v>1084</v>
      </c>
      <c r="D104" s="28" t="s">
        <v>466</v>
      </c>
      <c r="E104" s="29">
        <v>4182</v>
      </c>
      <c r="F104" s="30">
        <v>114.13</v>
      </c>
      <c r="G104" s="31">
        <v>1.5E-3</v>
      </c>
      <c r="H104" s="32"/>
    </row>
    <row r="105" spans="2:10" ht="15.75" customHeight="1" x14ac:dyDescent="0.2">
      <c r="B105" s="28" t="s">
        <v>1087</v>
      </c>
      <c r="C105" s="28" t="s">
        <v>1088</v>
      </c>
      <c r="D105" s="28" t="s">
        <v>354</v>
      </c>
      <c r="E105" s="29">
        <v>12084</v>
      </c>
      <c r="F105" s="30">
        <v>108.12</v>
      </c>
      <c r="G105" s="31">
        <v>1.4E-3</v>
      </c>
      <c r="H105" s="32"/>
    </row>
    <row r="106" spans="2:10" ht="15.75" customHeight="1" x14ac:dyDescent="0.2">
      <c r="B106" s="28" t="s">
        <v>543</v>
      </c>
      <c r="C106" s="28" t="s">
        <v>544</v>
      </c>
      <c r="D106" s="28" t="s">
        <v>175</v>
      </c>
      <c r="E106" s="29">
        <v>50687</v>
      </c>
      <c r="F106" s="30">
        <v>55.86</v>
      </c>
      <c r="G106" s="31">
        <v>6.9999999999999999E-4</v>
      </c>
      <c r="H106" s="32"/>
    </row>
    <row r="107" spans="2:10" ht="15.75" customHeight="1" x14ac:dyDescent="0.2">
      <c r="B107" s="28" t="s">
        <v>1126</v>
      </c>
      <c r="C107" s="28" t="s">
        <v>746</v>
      </c>
      <c r="D107" s="28" t="s">
        <v>578</v>
      </c>
      <c r="E107" s="29">
        <v>113702</v>
      </c>
      <c r="F107" s="30">
        <v>296.48</v>
      </c>
      <c r="G107" s="31">
        <v>3.8999999999999998E-3</v>
      </c>
      <c r="H107" s="32"/>
      <c r="J107" s="3"/>
    </row>
    <row r="108" spans="2:10" ht="15.75" customHeight="1" x14ac:dyDescent="0.2">
      <c r="B108" s="27" t="s">
        <v>127</v>
      </c>
      <c r="C108" s="27"/>
      <c r="D108" s="27"/>
      <c r="E108" s="33"/>
      <c r="F108" s="34">
        <f>SUM(F7:F107)</f>
        <v>76872.48000000001</v>
      </c>
      <c r="G108" s="35">
        <v>0.99870000000000003</v>
      </c>
      <c r="H108" s="36"/>
    </row>
    <row r="109" spans="2:10" ht="15.75" customHeight="1" x14ac:dyDescent="0.2">
      <c r="B109" s="27" t="s">
        <v>189</v>
      </c>
      <c r="C109" s="28"/>
      <c r="D109" s="28"/>
      <c r="E109" s="29"/>
      <c r="F109" s="30"/>
      <c r="G109" s="31"/>
      <c r="H109" s="32"/>
    </row>
    <row r="110" spans="2:10" ht="15.75" customHeight="1" x14ac:dyDescent="0.2">
      <c r="B110" s="27" t="s">
        <v>127</v>
      </c>
      <c r="C110" s="28"/>
      <c r="D110" s="28"/>
      <c r="E110" s="29"/>
      <c r="F110" s="37" t="s">
        <v>129</v>
      </c>
      <c r="G110" s="38" t="s">
        <v>129</v>
      </c>
      <c r="H110" s="32"/>
    </row>
    <row r="111" spans="2:10" ht="15.75" customHeight="1" x14ac:dyDescent="0.2">
      <c r="B111" s="28"/>
      <c r="C111" s="28"/>
      <c r="D111" s="28"/>
      <c r="E111" s="29"/>
      <c r="F111" s="30"/>
      <c r="G111" s="31"/>
      <c r="H111" s="32"/>
    </row>
    <row r="112" spans="2:10" ht="15.75" customHeight="1" x14ac:dyDescent="0.2">
      <c r="B112" s="39" t="s">
        <v>131</v>
      </c>
      <c r="C112" s="39"/>
      <c r="D112" s="39"/>
      <c r="E112" s="40"/>
      <c r="F112" s="34">
        <f>F108</f>
        <v>76872.48000000001</v>
      </c>
      <c r="G112" s="35">
        <f>G108</f>
        <v>0.99870000000000003</v>
      </c>
      <c r="H112" s="36"/>
    </row>
    <row r="113" spans="2:8" ht="15.75" customHeight="1" x14ac:dyDescent="0.2">
      <c r="B113" s="28"/>
      <c r="C113" s="28"/>
      <c r="D113" s="28"/>
      <c r="E113" s="29"/>
      <c r="F113" s="30"/>
      <c r="G113" s="31"/>
      <c r="H113" s="32"/>
    </row>
    <row r="114" spans="2:8" s="7" customFormat="1" ht="15.6" customHeight="1" x14ac:dyDescent="0.25">
      <c r="B114" s="64" t="s">
        <v>107</v>
      </c>
      <c r="C114" s="65"/>
      <c r="D114" s="65"/>
      <c r="E114" s="66"/>
      <c r="F114" s="67"/>
      <c r="G114" s="68"/>
      <c r="H114" s="69"/>
    </row>
    <row r="115" spans="2:8" s="7" customFormat="1" ht="15.6" customHeight="1" x14ac:dyDescent="0.25">
      <c r="B115" s="64" t="s">
        <v>1123</v>
      </c>
      <c r="C115" s="65"/>
      <c r="D115" s="65"/>
      <c r="E115" s="66"/>
      <c r="F115" s="67"/>
      <c r="G115" s="68"/>
      <c r="H115" s="69"/>
    </row>
    <row r="116" spans="2:8" s="7" customFormat="1" ht="15.6" customHeight="1" x14ac:dyDescent="0.2">
      <c r="B116" s="65" t="s">
        <v>1122</v>
      </c>
      <c r="C116" s="28" t="s">
        <v>503</v>
      </c>
      <c r="D116" s="28" t="s">
        <v>188</v>
      </c>
      <c r="E116" s="29">
        <v>50592</v>
      </c>
      <c r="F116" s="30">
        <v>5.1100000000000003</v>
      </c>
      <c r="G116" s="31">
        <v>1E-4</v>
      </c>
      <c r="H116" s="69"/>
    </row>
    <row r="117" spans="2:8" s="7" customFormat="1" ht="15.6" customHeight="1" x14ac:dyDescent="0.25">
      <c r="B117" s="64" t="s">
        <v>127</v>
      </c>
      <c r="C117" s="65"/>
      <c r="D117" s="65"/>
      <c r="E117" s="66"/>
      <c r="F117" s="70">
        <f>SUM(F116)</f>
        <v>5.1100000000000003</v>
      </c>
      <c r="G117" s="71">
        <f>SUM(G116)</f>
        <v>1E-4</v>
      </c>
      <c r="H117" s="69"/>
    </row>
    <row r="118" spans="2:8" ht="15.75" customHeight="1" x14ac:dyDescent="0.2">
      <c r="B118" s="28"/>
      <c r="C118" s="28"/>
      <c r="D118" s="28"/>
      <c r="E118" s="29"/>
      <c r="F118" s="30"/>
      <c r="G118" s="31"/>
      <c r="H118" s="32"/>
    </row>
    <row r="119" spans="2:8" s="7" customFormat="1" ht="15.6" customHeight="1" x14ac:dyDescent="0.25">
      <c r="B119" s="72" t="s">
        <v>131</v>
      </c>
      <c r="C119" s="72"/>
      <c r="D119" s="72"/>
      <c r="E119" s="73"/>
      <c r="F119" s="70">
        <f>F117</f>
        <v>5.1100000000000003</v>
      </c>
      <c r="G119" s="71">
        <f>G117</f>
        <v>1E-4</v>
      </c>
      <c r="H119" s="74"/>
    </row>
    <row r="120" spans="2:8" ht="15.75" customHeight="1" x14ac:dyDescent="0.2">
      <c r="B120" s="28"/>
      <c r="C120" s="28"/>
      <c r="D120" s="28"/>
      <c r="E120" s="29"/>
      <c r="F120" s="30"/>
      <c r="G120" s="31"/>
      <c r="H120" s="32"/>
    </row>
    <row r="121" spans="2:8" ht="15.75" customHeight="1" x14ac:dyDescent="0.2">
      <c r="B121" s="27" t="s">
        <v>134</v>
      </c>
      <c r="C121" s="28"/>
      <c r="D121" s="28"/>
      <c r="E121" s="29"/>
      <c r="F121" s="30"/>
      <c r="G121" s="31"/>
      <c r="H121" s="32"/>
    </row>
    <row r="122" spans="2:8" ht="15.75" customHeight="1" x14ac:dyDescent="0.2">
      <c r="B122" s="28" t="s">
        <v>135</v>
      </c>
      <c r="C122" s="28"/>
      <c r="D122" s="28"/>
      <c r="E122" s="29"/>
      <c r="F122" s="30">
        <v>35.700000000000003</v>
      </c>
      <c r="G122" s="31">
        <v>5.0000000000000001E-4</v>
      </c>
      <c r="H122" s="32"/>
    </row>
    <row r="123" spans="2:8" ht="15.75" customHeight="1" x14ac:dyDescent="0.2">
      <c r="B123" s="27" t="s">
        <v>127</v>
      </c>
      <c r="C123" s="27"/>
      <c r="D123" s="27"/>
      <c r="E123" s="33"/>
      <c r="F123" s="34">
        <v>35.700000000000003</v>
      </c>
      <c r="G123" s="35">
        <v>5.0000000000000001E-4</v>
      </c>
      <c r="H123" s="36"/>
    </row>
    <row r="124" spans="2:8" ht="15.75" customHeight="1" x14ac:dyDescent="0.2">
      <c r="B124" s="28"/>
      <c r="C124" s="28"/>
      <c r="D124" s="28"/>
      <c r="E124" s="29"/>
      <c r="F124" s="30"/>
      <c r="G124" s="31"/>
      <c r="H124" s="32"/>
    </row>
    <row r="125" spans="2:8" ht="15.75" customHeight="1" x14ac:dyDescent="0.2">
      <c r="B125" s="39" t="s">
        <v>131</v>
      </c>
      <c r="C125" s="39"/>
      <c r="D125" s="39"/>
      <c r="E125" s="40"/>
      <c r="F125" s="34">
        <v>35.700000000000003</v>
      </c>
      <c r="G125" s="35">
        <v>5.0000000000000001E-4</v>
      </c>
      <c r="H125" s="36"/>
    </row>
    <row r="126" spans="2:8" ht="15.75" customHeight="1" x14ac:dyDescent="0.2">
      <c r="B126" s="28" t="s">
        <v>136</v>
      </c>
      <c r="C126" s="28"/>
      <c r="D126" s="28"/>
      <c r="E126" s="29"/>
      <c r="F126" s="30">
        <v>52.79</v>
      </c>
      <c r="G126" s="31">
        <v>6.9999999999999999E-4</v>
      </c>
      <c r="H126" s="32"/>
    </row>
    <row r="127" spans="2:8" ht="15.75" customHeight="1" x14ac:dyDescent="0.2">
      <c r="B127" s="43" t="s">
        <v>137</v>
      </c>
      <c r="C127" s="43"/>
      <c r="D127" s="43"/>
      <c r="E127" s="44"/>
      <c r="F127" s="45">
        <v>76966.080000000002</v>
      </c>
      <c r="G127" s="46">
        <v>1</v>
      </c>
      <c r="H127" s="47"/>
    </row>
    <row r="128" spans="2:8" ht="15.75" customHeight="1" x14ac:dyDescent="0.2">
      <c r="B128" s="2"/>
    </row>
    <row r="131" spans="2:5" ht="15.75" customHeight="1" thickBot="1" x14ac:dyDescent="0.25"/>
    <row r="132" spans="2:5" ht="39.75" customHeight="1" thickBot="1" x14ac:dyDescent="0.25">
      <c r="B132" s="48" t="s">
        <v>139</v>
      </c>
      <c r="C132" s="49" t="s">
        <v>140</v>
      </c>
      <c r="D132" s="49" t="s">
        <v>141</v>
      </c>
      <c r="E132" s="49" t="s">
        <v>142</v>
      </c>
    </row>
    <row r="133" spans="2:5" ht="39.75" customHeight="1" x14ac:dyDescent="0.2">
      <c r="B133" s="61" t="s">
        <v>93</v>
      </c>
      <c r="C133" s="77"/>
      <c r="D133" s="80" t="s">
        <v>870</v>
      </c>
      <c r="E133" s="81"/>
    </row>
    <row r="134" spans="2:5" ht="39.75" customHeight="1" x14ac:dyDescent="0.2">
      <c r="B134" s="52" t="s">
        <v>1094</v>
      </c>
      <c r="C134" s="78"/>
      <c r="D134" s="80"/>
      <c r="E134" s="82"/>
    </row>
    <row r="135" spans="2:5" ht="39.75" customHeight="1" x14ac:dyDescent="0.2">
      <c r="B135" s="52" t="s">
        <v>1095</v>
      </c>
      <c r="C135" s="78"/>
      <c r="D135" s="80"/>
      <c r="E135" s="82"/>
    </row>
    <row r="136" spans="2:5" ht="39.75" customHeight="1" thickBot="1" x14ac:dyDescent="0.25">
      <c r="B136" s="62" t="s">
        <v>1096</v>
      </c>
      <c r="C136" s="79"/>
      <c r="D136" s="50" t="s">
        <v>562</v>
      </c>
      <c r="E136" s="83"/>
    </row>
    <row r="137" spans="2:5" ht="15.75" customHeight="1" x14ac:dyDescent="0.2">
      <c r="B137" s="9" t="s">
        <v>144</v>
      </c>
    </row>
    <row r="139" spans="2:5" ht="15.75" customHeight="1" x14ac:dyDescent="0.2">
      <c r="B139" s="9" t="s">
        <v>145</v>
      </c>
    </row>
    <row r="140" spans="2:5" ht="15.75" customHeight="1" x14ac:dyDescent="0.2">
      <c r="B140" s="15" t="s">
        <v>146</v>
      </c>
    </row>
  </sheetData>
  <mergeCells count="3">
    <mergeCell ref="C133:C136"/>
    <mergeCell ref="D133:D135"/>
    <mergeCell ref="E133:E136"/>
  </mergeCells>
  <hyperlinks>
    <hyperlink ref="G1" location="'Sheet1'!A1" display="Index" xr:uid="{796F9743-CE69-47E7-9B74-24043AE5CBC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1FD4-6AB4-401A-9DD0-9134EE927BD8}">
  <dimension ref="B1:N9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916422</v>
      </c>
      <c r="F7" s="30">
        <v>9047.83</v>
      </c>
      <c r="G7" s="31">
        <v>8.1199999999999994E-2</v>
      </c>
      <c r="H7" s="32"/>
    </row>
    <row r="8" spans="2:8" ht="15.75" customHeight="1" x14ac:dyDescent="0.2">
      <c r="B8" s="28" t="s">
        <v>184</v>
      </c>
      <c r="C8" s="28" t="s">
        <v>185</v>
      </c>
      <c r="D8" s="28" t="s">
        <v>166</v>
      </c>
      <c r="E8" s="29">
        <v>604329</v>
      </c>
      <c r="F8" s="30">
        <v>8130.04</v>
      </c>
      <c r="G8" s="31">
        <v>7.2999999999999995E-2</v>
      </c>
      <c r="H8" s="32"/>
    </row>
    <row r="9" spans="2:8" ht="15.75" customHeight="1" x14ac:dyDescent="0.2">
      <c r="B9" s="28" t="s">
        <v>327</v>
      </c>
      <c r="C9" s="28" t="s">
        <v>328</v>
      </c>
      <c r="D9" s="28" t="s">
        <v>329</v>
      </c>
      <c r="E9" s="29">
        <v>777563</v>
      </c>
      <c r="F9" s="30">
        <v>6371.74</v>
      </c>
      <c r="G9" s="31">
        <v>5.7200000000000001E-2</v>
      </c>
      <c r="H9" s="32"/>
    </row>
    <row r="10" spans="2:8" ht="15.75" customHeight="1" x14ac:dyDescent="0.2">
      <c r="B10" s="28" t="s">
        <v>179</v>
      </c>
      <c r="C10" s="28" t="s">
        <v>180</v>
      </c>
      <c r="D10" s="28" t="s">
        <v>166</v>
      </c>
      <c r="E10" s="29">
        <v>342519</v>
      </c>
      <c r="F10" s="30">
        <v>4222.57</v>
      </c>
      <c r="G10" s="31">
        <v>3.7900000000000003E-2</v>
      </c>
      <c r="H10" s="32"/>
    </row>
    <row r="11" spans="2:8" ht="15.75" customHeight="1" x14ac:dyDescent="0.2">
      <c r="B11" s="28" t="s">
        <v>693</v>
      </c>
      <c r="C11" s="28" t="s">
        <v>694</v>
      </c>
      <c r="D11" s="28" t="s">
        <v>175</v>
      </c>
      <c r="E11" s="29">
        <v>210855</v>
      </c>
      <c r="F11" s="30">
        <v>3577.79</v>
      </c>
      <c r="G11" s="31">
        <v>3.2099999999999997E-2</v>
      </c>
      <c r="H11" s="32"/>
    </row>
    <row r="12" spans="2:8" ht="15.75" customHeight="1" x14ac:dyDescent="0.2">
      <c r="B12" s="28" t="s">
        <v>204</v>
      </c>
      <c r="C12" s="28" t="s">
        <v>205</v>
      </c>
      <c r="D12" s="28" t="s">
        <v>166</v>
      </c>
      <c r="E12" s="29">
        <v>320605</v>
      </c>
      <c r="F12" s="30">
        <v>3004.07</v>
      </c>
      <c r="G12" s="31">
        <v>2.7E-2</v>
      </c>
      <c r="H12" s="32"/>
    </row>
    <row r="13" spans="2:8" ht="15.75" customHeight="1" x14ac:dyDescent="0.2">
      <c r="B13" s="28" t="s">
        <v>324</v>
      </c>
      <c r="C13" s="28" t="s">
        <v>325</v>
      </c>
      <c r="D13" s="28" t="s">
        <v>326</v>
      </c>
      <c r="E13" s="29">
        <v>68942</v>
      </c>
      <c r="F13" s="30">
        <v>2778.98</v>
      </c>
      <c r="G13" s="31">
        <v>2.5000000000000001E-2</v>
      </c>
      <c r="H13" s="32"/>
    </row>
    <row r="14" spans="2:8" ht="15.75" customHeight="1" x14ac:dyDescent="0.2">
      <c r="B14" s="28" t="s">
        <v>866</v>
      </c>
      <c r="C14" s="28" t="s">
        <v>867</v>
      </c>
      <c r="D14" s="28" t="s">
        <v>260</v>
      </c>
      <c r="E14" s="29">
        <v>131363</v>
      </c>
      <c r="F14" s="30">
        <v>2545.0300000000002</v>
      </c>
      <c r="G14" s="31">
        <v>2.29E-2</v>
      </c>
      <c r="H14" s="32"/>
    </row>
    <row r="15" spans="2:8" ht="15.75" customHeight="1" x14ac:dyDescent="0.2">
      <c r="B15" s="28" t="s">
        <v>436</v>
      </c>
      <c r="C15" s="28" t="s">
        <v>437</v>
      </c>
      <c r="D15" s="28" t="s">
        <v>188</v>
      </c>
      <c r="E15" s="29">
        <v>33738</v>
      </c>
      <c r="F15" s="30">
        <v>2364.02</v>
      </c>
      <c r="G15" s="31">
        <v>2.12E-2</v>
      </c>
      <c r="H15" s="32"/>
    </row>
    <row r="16" spans="2:8" ht="15.75" customHeight="1" x14ac:dyDescent="0.2">
      <c r="B16" s="28" t="s">
        <v>267</v>
      </c>
      <c r="C16" s="28" t="s">
        <v>268</v>
      </c>
      <c r="D16" s="28" t="s">
        <v>269</v>
      </c>
      <c r="E16" s="29">
        <v>80412</v>
      </c>
      <c r="F16" s="30">
        <v>2325.27</v>
      </c>
      <c r="G16" s="31">
        <v>2.0899999999999998E-2</v>
      </c>
      <c r="H16" s="32"/>
    </row>
    <row r="17" spans="2:8" ht="15.75" customHeight="1" x14ac:dyDescent="0.2">
      <c r="B17" s="28" t="s">
        <v>563</v>
      </c>
      <c r="C17" s="28" t="s">
        <v>564</v>
      </c>
      <c r="D17" s="28" t="s">
        <v>188</v>
      </c>
      <c r="E17" s="29">
        <v>14293</v>
      </c>
      <c r="F17" s="30">
        <v>2313.46</v>
      </c>
      <c r="G17" s="31">
        <v>2.0799999999999999E-2</v>
      </c>
      <c r="H17" s="32"/>
    </row>
    <row r="18" spans="2:8" ht="15.75" customHeight="1" x14ac:dyDescent="0.2">
      <c r="B18" s="28" t="s">
        <v>167</v>
      </c>
      <c r="C18" s="28" t="s">
        <v>168</v>
      </c>
      <c r="D18" s="28" t="s">
        <v>169</v>
      </c>
      <c r="E18" s="29">
        <v>154364</v>
      </c>
      <c r="F18" s="30">
        <v>2294.4699999999998</v>
      </c>
      <c r="G18" s="31">
        <v>2.06E-2</v>
      </c>
      <c r="H18" s="32"/>
    </row>
    <row r="19" spans="2:8" ht="15.75" customHeight="1" x14ac:dyDescent="0.2">
      <c r="B19" s="28" t="s">
        <v>186</v>
      </c>
      <c r="C19" s="28" t="s">
        <v>187</v>
      </c>
      <c r="D19" s="28" t="s">
        <v>188</v>
      </c>
      <c r="E19" s="29">
        <v>65130</v>
      </c>
      <c r="F19" s="30">
        <v>2271.21</v>
      </c>
      <c r="G19" s="31">
        <v>2.0400000000000001E-2</v>
      </c>
      <c r="H19" s="32"/>
    </row>
    <row r="20" spans="2:8" ht="15.75" customHeight="1" x14ac:dyDescent="0.2">
      <c r="B20" s="28" t="s">
        <v>170</v>
      </c>
      <c r="C20" s="28" t="s">
        <v>171</v>
      </c>
      <c r="D20" s="28" t="s">
        <v>172</v>
      </c>
      <c r="E20" s="29">
        <v>151614</v>
      </c>
      <c r="F20" s="30">
        <v>2247.37</v>
      </c>
      <c r="G20" s="31">
        <v>2.0199999999999999E-2</v>
      </c>
      <c r="H20" s="32"/>
    </row>
    <row r="21" spans="2:8" ht="15.75" customHeight="1" x14ac:dyDescent="0.2">
      <c r="B21" s="28" t="s">
        <v>219</v>
      </c>
      <c r="C21" s="28" t="s">
        <v>220</v>
      </c>
      <c r="D21" s="28" t="s">
        <v>221</v>
      </c>
      <c r="E21" s="29">
        <v>45143</v>
      </c>
      <c r="F21" s="30">
        <v>2119.15</v>
      </c>
      <c r="G21" s="31">
        <v>1.9E-2</v>
      </c>
      <c r="H21" s="32"/>
    </row>
    <row r="22" spans="2:8" ht="15.75" customHeight="1" x14ac:dyDescent="0.2">
      <c r="B22" s="28" t="s">
        <v>374</v>
      </c>
      <c r="C22" s="28" t="s">
        <v>375</v>
      </c>
      <c r="D22" s="28" t="s">
        <v>349</v>
      </c>
      <c r="E22" s="29">
        <v>71553</v>
      </c>
      <c r="F22" s="30">
        <v>2096.86</v>
      </c>
      <c r="G22" s="31">
        <v>1.8800000000000001E-2</v>
      </c>
      <c r="H22" s="32"/>
    </row>
    <row r="23" spans="2:8" ht="15.75" customHeight="1" x14ac:dyDescent="0.2">
      <c r="B23" s="28" t="s">
        <v>296</v>
      </c>
      <c r="C23" s="28" t="s">
        <v>297</v>
      </c>
      <c r="D23" s="28" t="s">
        <v>175</v>
      </c>
      <c r="E23" s="29">
        <v>505002</v>
      </c>
      <c r="F23" s="30">
        <v>2036.42</v>
      </c>
      <c r="G23" s="31">
        <v>1.83E-2</v>
      </c>
      <c r="H23" s="32"/>
    </row>
    <row r="24" spans="2:8" ht="15.75" customHeight="1" x14ac:dyDescent="0.2">
      <c r="B24" s="28" t="s">
        <v>238</v>
      </c>
      <c r="C24" s="28" t="s">
        <v>239</v>
      </c>
      <c r="D24" s="28" t="s">
        <v>221</v>
      </c>
      <c r="E24" s="29">
        <v>614101</v>
      </c>
      <c r="F24" s="30">
        <v>1951.31</v>
      </c>
      <c r="G24" s="31">
        <v>1.7500000000000002E-2</v>
      </c>
      <c r="H24" s="32"/>
    </row>
    <row r="25" spans="2:8" ht="15.75" customHeight="1" x14ac:dyDescent="0.2">
      <c r="B25" s="28" t="s">
        <v>684</v>
      </c>
      <c r="C25" s="28" t="s">
        <v>685</v>
      </c>
      <c r="D25" s="28" t="s">
        <v>571</v>
      </c>
      <c r="E25" s="29">
        <v>54004</v>
      </c>
      <c r="F25" s="30">
        <v>1931.94</v>
      </c>
      <c r="G25" s="31">
        <v>1.7299999999999999E-2</v>
      </c>
      <c r="H25" s="32"/>
    </row>
    <row r="26" spans="2:8" ht="15.75" customHeight="1" x14ac:dyDescent="0.2">
      <c r="B26" s="28" t="s">
        <v>199</v>
      </c>
      <c r="C26" s="28" t="s">
        <v>200</v>
      </c>
      <c r="D26" s="28" t="s">
        <v>172</v>
      </c>
      <c r="E26" s="29">
        <v>59141</v>
      </c>
      <c r="F26" s="30">
        <v>1808.53</v>
      </c>
      <c r="G26" s="31">
        <v>1.6199999999999999E-2</v>
      </c>
      <c r="H26" s="32"/>
    </row>
    <row r="27" spans="2:8" ht="15.75" customHeight="1" x14ac:dyDescent="0.2">
      <c r="B27" s="28" t="s">
        <v>176</v>
      </c>
      <c r="C27" s="28" t="s">
        <v>177</v>
      </c>
      <c r="D27" s="28" t="s">
        <v>178</v>
      </c>
      <c r="E27" s="29">
        <v>133341</v>
      </c>
      <c r="F27" s="30">
        <v>1766.37</v>
      </c>
      <c r="G27" s="31">
        <v>1.5900000000000001E-2</v>
      </c>
      <c r="H27" s="32"/>
    </row>
    <row r="28" spans="2:8" ht="15.75" customHeight="1" x14ac:dyDescent="0.2">
      <c r="B28" s="28" t="s">
        <v>443</v>
      </c>
      <c r="C28" s="28" t="s">
        <v>444</v>
      </c>
      <c r="D28" s="28" t="s">
        <v>329</v>
      </c>
      <c r="E28" s="29">
        <v>176098</v>
      </c>
      <c r="F28" s="30">
        <v>1760.8</v>
      </c>
      <c r="G28" s="31">
        <v>1.5800000000000002E-2</v>
      </c>
      <c r="H28" s="32"/>
    </row>
    <row r="29" spans="2:8" ht="15.75" customHeight="1" x14ac:dyDescent="0.2">
      <c r="B29" s="28" t="s">
        <v>904</v>
      </c>
      <c r="C29" s="28" t="s">
        <v>905</v>
      </c>
      <c r="D29" s="28" t="s">
        <v>175</v>
      </c>
      <c r="E29" s="29">
        <v>83108</v>
      </c>
      <c r="F29" s="30">
        <v>1735.54</v>
      </c>
      <c r="G29" s="31">
        <v>1.5599999999999999E-2</v>
      </c>
      <c r="H29" s="32"/>
    </row>
    <row r="30" spans="2:8" ht="15.75" customHeight="1" x14ac:dyDescent="0.2">
      <c r="B30" s="28" t="s">
        <v>214</v>
      </c>
      <c r="C30" s="28" t="s">
        <v>215</v>
      </c>
      <c r="D30" s="28" t="s">
        <v>183</v>
      </c>
      <c r="E30" s="29">
        <v>408976</v>
      </c>
      <c r="F30" s="30">
        <v>1719.13</v>
      </c>
      <c r="G30" s="31">
        <v>1.54E-2</v>
      </c>
      <c r="H30" s="32"/>
    </row>
    <row r="31" spans="2:8" ht="15.75" customHeight="1" x14ac:dyDescent="0.2">
      <c r="B31" s="28" t="s">
        <v>1097</v>
      </c>
      <c r="C31" s="28" t="s">
        <v>1098</v>
      </c>
      <c r="D31" s="28" t="s">
        <v>339</v>
      </c>
      <c r="E31" s="29">
        <v>195907</v>
      </c>
      <c r="F31" s="30">
        <v>1684.31</v>
      </c>
      <c r="G31" s="31">
        <v>1.5100000000000001E-2</v>
      </c>
      <c r="H31" s="32"/>
    </row>
    <row r="32" spans="2:8" ht="15.75" customHeight="1" x14ac:dyDescent="0.2">
      <c r="B32" s="28" t="s">
        <v>1099</v>
      </c>
      <c r="C32" s="28" t="s">
        <v>1100</v>
      </c>
      <c r="D32" s="28" t="s">
        <v>260</v>
      </c>
      <c r="E32" s="29">
        <v>285361</v>
      </c>
      <c r="F32" s="30">
        <v>1593.46</v>
      </c>
      <c r="G32" s="31">
        <v>1.43E-2</v>
      </c>
      <c r="H32" s="32"/>
    </row>
    <row r="33" spans="2:8" ht="15.75" customHeight="1" x14ac:dyDescent="0.2">
      <c r="B33" s="28" t="s">
        <v>621</v>
      </c>
      <c r="C33" s="28" t="s">
        <v>622</v>
      </c>
      <c r="D33" s="28" t="s">
        <v>495</v>
      </c>
      <c r="E33" s="29">
        <v>408735</v>
      </c>
      <c r="F33" s="30">
        <v>1593.25</v>
      </c>
      <c r="G33" s="31">
        <v>1.43E-2</v>
      </c>
      <c r="H33" s="32"/>
    </row>
    <row r="34" spans="2:8" ht="15.75" customHeight="1" x14ac:dyDescent="0.2">
      <c r="B34" s="28" t="s">
        <v>250</v>
      </c>
      <c r="C34" s="28" t="s">
        <v>251</v>
      </c>
      <c r="D34" s="28" t="s">
        <v>172</v>
      </c>
      <c r="E34" s="29">
        <v>100139</v>
      </c>
      <c r="F34" s="30">
        <v>1543.64</v>
      </c>
      <c r="G34" s="31">
        <v>1.3899999999999999E-2</v>
      </c>
      <c r="H34" s="32"/>
    </row>
    <row r="35" spans="2:8" ht="15.75" customHeight="1" x14ac:dyDescent="0.2">
      <c r="B35" s="28" t="s">
        <v>247</v>
      </c>
      <c r="C35" s="28" t="s">
        <v>248</v>
      </c>
      <c r="D35" s="28" t="s">
        <v>249</v>
      </c>
      <c r="E35" s="29">
        <v>323990</v>
      </c>
      <c r="F35" s="30">
        <v>1521.62</v>
      </c>
      <c r="G35" s="31">
        <v>1.37E-2</v>
      </c>
      <c r="H35" s="32"/>
    </row>
    <row r="36" spans="2:8" ht="15.75" customHeight="1" x14ac:dyDescent="0.2">
      <c r="B36" s="28" t="s">
        <v>181</v>
      </c>
      <c r="C36" s="28" t="s">
        <v>182</v>
      </c>
      <c r="D36" s="28" t="s">
        <v>183</v>
      </c>
      <c r="E36" s="29">
        <v>61576</v>
      </c>
      <c r="F36" s="30">
        <v>1518.16</v>
      </c>
      <c r="G36" s="31">
        <v>1.3599999999999999E-2</v>
      </c>
      <c r="H36" s="32"/>
    </row>
    <row r="37" spans="2:8" ht="15.75" customHeight="1" x14ac:dyDescent="0.2">
      <c r="B37" s="28" t="s">
        <v>601</v>
      </c>
      <c r="C37" s="28" t="s">
        <v>602</v>
      </c>
      <c r="D37" s="28" t="s">
        <v>361</v>
      </c>
      <c r="E37" s="29">
        <v>74492</v>
      </c>
      <c r="F37" s="30">
        <v>1438.14</v>
      </c>
      <c r="G37" s="31">
        <v>1.29E-2</v>
      </c>
      <c r="H37" s="32"/>
    </row>
    <row r="38" spans="2:8" ht="15.75" customHeight="1" x14ac:dyDescent="0.2">
      <c r="B38" s="28" t="s">
        <v>739</v>
      </c>
      <c r="C38" s="28" t="s">
        <v>740</v>
      </c>
      <c r="D38" s="28" t="s">
        <v>290</v>
      </c>
      <c r="E38" s="29">
        <v>27426</v>
      </c>
      <c r="F38" s="30">
        <v>1431.64</v>
      </c>
      <c r="G38" s="31">
        <v>1.29E-2</v>
      </c>
      <c r="H38" s="32"/>
    </row>
    <row r="39" spans="2:8" ht="15.75" customHeight="1" x14ac:dyDescent="0.2">
      <c r="B39" s="28" t="s">
        <v>569</v>
      </c>
      <c r="C39" s="28" t="s">
        <v>570</v>
      </c>
      <c r="D39" s="28" t="s">
        <v>571</v>
      </c>
      <c r="E39" s="29">
        <v>66588</v>
      </c>
      <c r="F39" s="30">
        <v>1414.73</v>
      </c>
      <c r="G39" s="31">
        <v>1.2699999999999999E-2</v>
      </c>
      <c r="H39" s="32"/>
    </row>
    <row r="40" spans="2:8" ht="15.75" customHeight="1" x14ac:dyDescent="0.2">
      <c r="B40" s="28" t="s">
        <v>650</v>
      </c>
      <c r="C40" s="28" t="s">
        <v>651</v>
      </c>
      <c r="D40" s="28" t="s">
        <v>349</v>
      </c>
      <c r="E40" s="29">
        <v>23287</v>
      </c>
      <c r="F40" s="30">
        <v>1324.42</v>
      </c>
      <c r="G40" s="31">
        <v>1.1900000000000001E-2</v>
      </c>
      <c r="H40" s="32"/>
    </row>
    <row r="41" spans="2:8" ht="15.75" customHeight="1" x14ac:dyDescent="0.2">
      <c r="B41" s="28" t="s">
        <v>261</v>
      </c>
      <c r="C41" s="28" t="s">
        <v>262</v>
      </c>
      <c r="D41" s="28" t="s">
        <v>263</v>
      </c>
      <c r="E41" s="29">
        <v>103372</v>
      </c>
      <c r="F41" s="30">
        <v>1314.48</v>
      </c>
      <c r="G41" s="31">
        <v>1.18E-2</v>
      </c>
      <c r="H41" s="32"/>
    </row>
    <row r="42" spans="2:8" ht="15.75" customHeight="1" x14ac:dyDescent="0.2">
      <c r="B42" s="28" t="s">
        <v>419</v>
      </c>
      <c r="C42" s="28" t="s">
        <v>420</v>
      </c>
      <c r="D42" s="28" t="s">
        <v>224</v>
      </c>
      <c r="E42" s="29">
        <v>34992</v>
      </c>
      <c r="F42" s="30">
        <v>1245.75</v>
      </c>
      <c r="G42" s="31">
        <v>1.12E-2</v>
      </c>
      <c r="H42" s="32"/>
    </row>
    <row r="43" spans="2:8" ht="15.75" customHeight="1" x14ac:dyDescent="0.2">
      <c r="B43" s="28" t="s">
        <v>599</v>
      </c>
      <c r="C43" s="28" t="s">
        <v>600</v>
      </c>
      <c r="D43" s="28" t="s">
        <v>260</v>
      </c>
      <c r="E43" s="29">
        <v>104713</v>
      </c>
      <c r="F43" s="30">
        <v>1182</v>
      </c>
      <c r="G43" s="31">
        <v>1.06E-2</v>
      </c>
      <c r="H43" s="32"/>
    </row>
    <row r="44" spans="2:8" ht="15.75" customHeight="1" x14ac:dyDescent="0.2">
      <c r="B44" s="28" t="s">
        <v>475</v>
      </c>
      <c r="C44" s="28" t="s">
        <v>476</v>
      </c>
      <c r="D44" s="28" t="s">
        <v>172</v>
      </c>
      <c r="E44" s="29">
        <v>20771</v>
      </c>
      <c r="F44" s="30">
        <v>1180.73</v>
      </c>
      <c r="G44" s="31">
        <v>1.06E-2</v>
      </c>
      <c r="H44" s="32"/>
    </row>
    <row r="45" spans="2:8" ht="15.75" customHeight="1" x14ac:dyDescent="0.2">
      <c r="B45" s="28" t="s">
        <v>658</v>
      </c>
      <c r="C45" s="28" t="s">
        <v>659</v>
      </c>
      <c r="D45" s="28" t="s">
        <v>224</v>
      </c>
      <c r="E45" s="29">
        <v>48195</v>
      </c>
      <c r="F45" s="30">
        <v>1148.97</v>
      </c>
      <c r="G45" s="31">
        <v>1.03E-2</v>
      </c>
      <c r="H45" s="32"/>
    </row>
    <row r="46" spans="2:8" ht="15.75" customHeight="1" x14ac:dyDescent="0.2">
      <c r="B46" s="28" t="s">
        <v>481</v>
      </c>
      <c r="C46" s="28" t="s">
        <v>482</v>
      </c>
      <c r="D46" s="28" t="s">
        <v>263</v>
      </c>
      <c r="E46" s="29">
        <v>84096</v>
      </c>
      <c r="F46" s="30">
        <v>1126.47</v>
      </c>
      <c r="G46" s="31">
        <v>1.01E-2</v>
      </c>
      <c r="H46" s="32"/>
    </row>
    <row r="47" spans="2:8" ht="15.75" customHeight="1" x14ac:dyDescent="0.2">
      <c r="B47" s="28" t="s">
        <v>648</v>
      </c>
      <c r="C47" s="28" t="s">
        <v>649</v>
      </c>
      <c r="D47" s="28" t="s">
        <v>224</v>
      </c>
      <c r="E47" s="29">
        <v>74715</v>
      </c>
      <c r="F47" s="30">
        <v>1121.7</v>
      </c>
      <c r="G47" s="31">
        <v>1.01E-2</v>
      </c>
      <c r="H47" s="32"/>
    </row>
    <row r="48" spans="2:8" ht="15.75" customHeight="1" x14ac:dyDescent="0.2">
      <c r="B48" s="28" t="s">
        <v>619</v>
      </c>
      <c r="C48" s="28" t="s">
        <v>620</v>
      </c>
      <c r="D48" s="28" t="s">
        <v>178</v>
      </c>
      <c r="E48" s="29">
        <v>258410</v>
      </c>
      <c r="F48" s="30">
        <v>1116.46</v>
      </c>
      <c r="G48" s="31">
        <v>0.01</v>
      </c>
      <c r="H48" s="32"/>
    </row>
    <row r="49" spans="2:8" ht="15.75" customHeight="1" x14ac:dyDescent="0.2">
      <c r="B49" s="28" t="s">
        <v>680</v>
      </c>
      <c r="C49" s="28" t="s">
        <v>681</v>
      </c>
      <c r="D49" s="28" t="s">
        <v>178</v>
      </c>
      <c r="E49" s="29">
        <v>26709</v>
      </c>
      <c r="F49" s="30">
        <v>1074.08</v>
      </c>
      <c r="G49" s="31">
        <v>9.5999999999999992E-3</v>
      </c>
      <c r="H49" s="32"/>
    </row>
    <row r="50" spans="2:8" ht="15.75" customHeight="1" x14ac:dyDescent="0.2">
      <c r="B50" s="28" t="s">
        <v>1044</v>
      </c>
      <c r="C50" s="28" t="s">
        <v>1045</v>
      </c>
      <c r="D50" s="28" t="s">
        <v>293</v>
      </c>
      <c r="E50" s="29">
        <v>7851</v>
      </c>
      <c r="F50" s="30">
        <v>1048.19</v>
      </c>
      <c r="G50" s="31">
        <v>9.4000000000000004E-3</v>
      </c>
      <c r="H50" s="32"/>
    </row>
    <row r="51" spans="2:8" ht="15.75" customHeight="1" x14ac:dyDescent="0.2">
      <c r="B51" s="28" t="s">
        <v>408</v>
      </c>
      <c r="C51" s="28" t="s">
        <v>409</v>
      </c>
      <c r="D51" s="28" t="s">
        <v>175</v>
      </c>
      <c r="E51" s="29">
        <v>278622</v>
      </c>
      <c r="F51" s="30">
        <v>1044.4100000000001</v>
      </c>
      <c r="G51" s="31">
        <v>9.4000000000000004E-3</v>
      </c>
      <c r="H51" s="32"/>
    </row>
    <row r="52" spans="2:8" ht="15.75" customHeight="1" x14ac:dyDescent="0.2">
      <c r="B52" s="28" t="s">
        <v>660</v>
      </c>
      <c r="C52" s="28" t="s">
        <v>661</v>
      </c>
      <c r="D52" s="28" t="s">
        <v>430</v>
      </c>
      <c r="E52" s="29">
        <v>195358</v>
      </c>
      <c r="F52" s="30">
        <v>989</v>
      </c>
      <c r="G52" s="31">
        <v>8.8999999999999999E-3</v>
      </c>
      <c r="H52" s="32"/>
    </row>
    <row r="53" spans="2:8" ht="15.75" customHeight="1" x14ac:dyDescent="0.2">
      <c r="B53" s="28" t="s">
        <v>459</v>
      </c>
      <c r="C53" s="28" t="s">
        <v>460</v>
      </c>
      <c r="D53" s="28" t="s">
        <v>430</v>
      </c>
      <c r="E53" s="29">
        <v>12486</v>
      </c>
      <c r="F53" s="30">
        <v>959.05</v>
      </c>
      <c r="G53" s="31">
        <v>8.6E-3</v>
      </c>
      <c r="H53" s="32"/>
    </row>
    <row r="54" spans="2:8" ht="15.75" customHeight="1" x14ac:dyDescent="0.2">
      <c r="B54" s="28" t="s">
        <v>1057</v>
      </c>
      <c r="C54" s="28" t="s">
        <v>1058</v>
      </c>
      <c r="D54" s="28" t="s">
        <v>221</v>
      </c>
      <c r="E54" s="29">
        <v>23038</v>
      </c>
      <c r="F54" s="30">
        <v>956.88</v>
      </c>
      <c r="G54" s="31">
        <v>8.6E-3</v>
      </c>
      <c r="H54" s="32"/>
    </row>
    <row r="55" spans="2:8" ht="15.75" customHeight="1" x14ac:dyDescent="0.2">
      <c r="B55" s="28" t="s">
        <v>305</v>
      </c>
      <c r="C55" s="28" t="s">
        <v>306</v>
      </c>
      <c r="D55" s="28" t="s">
        <v>166</v>
      </c>
      <c r="E55" s="29">
        <v>43348</v>
      </c>
      <c r="F55" s="30">
        <v>911.26</v>
      </c>
      <c r="G55" s="31">
        <v>8.2000000000000007E-3</v>
      </c>
      <c r="H55" s="32"/>
    </row>
    <row r="56" spans="2:8" ht="15.75" customHeight="1" x14ac:dyDescent="0.2">
      <c r="B56" s="28" t="s">
        <v>438</v>
      </c>
      <c r="C56" s="28" t="s">
        <v>439</v>
      </c>
      <c r="D56" s="28" t="s">
        <v>224</v>
      </c>
      <c r="E56" s="29">
        <v>2974</v>
      </c>
      <c r="F56" s="30">
        <v>862.31</v>
      </c>
      <c r="G56" s="31">
        <v>7.7000000000000002E-3</v>
      </c>
      <c r="H56" s="32"/>
    </row>
    <row r="57" spans="2:8" ht="15.75" customHeight="1" x14ac:dyDescent="0.2">
      <c r="B57" s="28" t="s">
        <v>567</v>
      </c>
      <c r="C57" s="28" t="s">
        <v>568</v>
      </c>
      <c r="D57" s="28" t="s">
        <v>224</v>
      </c>
      <c r="E57" s="29">
        <v>5056</v>
      </c>
      <c r="F57" s="30">
        <v>832.87</v>
      </c>
      <c r="G57" s="31">
        <v>7.4999999999999997E-3</v>
      </c>
      <c r="H57" s="32"/>
    </row>
    <row r="58" spans="2:8" ht="15.75" customHeight="1" x14ac:dyDescent="0.2">
      <c r="B58" s="28" t="s">
        <v>467</v>
      </c>
      <c r="C58" s="28" t="s">
        <v>468</v>
      </c>
      <c r="D58" s="28" t="s">
        <v>188</v>
      </c>
      <c r="E58" s="29">
        <v>19928</v>
      </c>
      <c r="F58" s="30">
        <v>699.21</v>
      </c>
      <c r="G58" s="31">
        <v>6.3E-3</v>
      </c>
      <c r="H58" s="32"/>
    </row>
    <row r="59" spans="2:8" ht="15.75" customHeight="1" x14ac:dyDescent="0.2">
      <c r="B59" s="28" t="s">
        <v>703</v>
      </c>
      <c r="C59" s="28" t="s">
        <v>704</v>
      </c>
      <c r="D59" s="28" t="s">
        <v>172</v>
      </c>
      <c r="E59" s="29">
        <v>12783</v>
      </c>
      <c r="F59" s="30">
        <v>697.25</v>
      </c>
      <c r="G59" s="31">
        <v>6.3E-3</v>
      </c>
      <c r="H59" s="32"/>
    </row>
    <row r="60" spans="2:8" ht="15.75" customHeight="1" x14ac:dyDescent="0.2">
      <c r="B60" s="28" t="s">
        <v>473</v>
      </c>
      <c r="C60" s="28" t="s">
        <v>474</v>
      </c>
      <c r="D60" s="28" t="s">
        <v>224</v>
      </c>
      <c r="E60" s="29">
        <v>348759</v>
      </c>
      <c r="F60" s="30">
        <v>696.23</v>
      </c>
      <c r="G60" s="31">
        <v>6.3E-3</v>
      </c>
      <c r="H60" s="32"/>
    </row>
    <row r="61" spans="2:8" ht="15.75" customHeight="1" x14ac:dyDescent="0.2">
      <c r="B61" s="28" t="s">
        <v>270</v>
      </c>
      <c r="C61" s="28" t="s">
        <v>271</v>
      </c>
      <c r="D61" s="28" t="s">
        <v>269</v>
      </c>
      <c r="E61" s="29">
        <v>5797</v>
      </c>
      <c r="F61" s="30">
        <v>692.57</v>
      </c>
      <c r="G61" s="31">
        <v>6.1999999999999998E-3</v>
      </c>
      <c r="H61" s="32"/>
    </row>
    <row r="62" spans="2:8" ht="15.75" customHeight="1" x14ac:dyDescent="0.2">
      <c r="B62" s="28" t="s">
        <v>895</v>
      </c>
      <c r="C62" s="28" t="s">
        <v>896</v>
      </c>
      <c r="D62" s="28" t="s">
        <v>300</v>
      </c>
      <c r="E62" s="29">
        <v>6949</v>
      </c>
      <c r="F62" s="30">
        <v>456.69</v>
      </c>
      <c r="G62" s="31">
        <v>4.1000000000000003E-3</v>
      </c>
      <c r="H62" s="32"/>
    </row>
    <row r="63" spans="2:8" ht="15.75" customHeight="1" x14ac:dyDescent="0.2">
      <c r="B63" s="28" t="s">
        <v>879</v>
      </c>
      <c r="C63" s="28" t="s">
        <v>880</v>
      </c>
      <c r="D63" s="28" t="s">
        <v>169</v>
      </c>
      <c r="E63" s="29">
        <v>88421</v>
      </c>
      <c r="F63" s="30">
        <v>315.49</v>
      </c>
      <c r="G63" s="31">
        <v>2.8E-3</v>
      </c>
      <c r="H63" s="32"/>
    </row>
    <row r="64" spans="2:8" ht="15.75" customHeight="1" x14ac:dyDescent="0.2">
      <c r="B64" s="28" t="s">
        <v>469</v>
      </c>
      <c r="C64" s="28" t="s">
        <v>470</v>
      </c>
      <c r="D64" s="28" t="s">
        <v>221</v>
      </c>
      <c r="E64" s="29">
        <v>59601</v>
      </c>
      <c r="F64" s="30">
        <v>299.7</v>
      </c>
      <c r="G64" s="31">
        <v>2.7000000000000001E-3</v>
      </c>
      <c r="H64" s="32"/>
    </row>
    <row r="65" spans="2:14" ht="15.75" customHeight="1" x14ac:dyDescent="0.2">
      <c r="B65" s="28" t="s">
        <v>1101</v>
      </c>
      <c r="C65" s="28" t="s">
        <v>1102</v>
      </c>
      <c r="D65" s="28" t="s">
        <v>224</v>
      </c>
      <c r="E65" s="29">
        <v>900</v>
      </c>
      <c r="F65" s="30">
        <v>43.58</v>
      </c>
      <c r="G65" s="31">
        <v>4.0000000000000002E-4</v>
      </c>
      <c r="H65" s="32"/>
    </row>
    <row r="66" spans="2:14" ht="15.75" customHeight="1" x14ac:dyDescent="0.2">
      <c r="B66" s="27" t="s">
        <v>127</v>
      </c>
      <c r="C66" s="27"/>
      <c r="D66" s="27"/>
      <c r="E66" s="33"/>
      <c r="F66" s="34">
        <f>SUM(F7:F65)</f>
        <v>109498.6</v>
      </c>
      <c r="G66" s="35">
        <v>0.98329999999999995</v>
      </c>
      <c r="H66" s="36"/>
    </row>
    <row r="67" spans="2:14" ht="15.75" customHeight="1" x14ac:dyDescent="0.2">
      <c r="B67" s="27" t="s">
        <v>189</v>
      </c>
      <c r="C67" s="28"/>
      <c r="D67" s="28"/>
      <c r="E67" s="29"/>
      <c r="F67" s="30"/>
      <c r="G67" s="31"/>
      <c r="H67" s="32"/>
    </row>
    <row r="68" spans="2:14" ht="15.75" customHeight="1" x14ac:dyDescent="0.2">
      <c r="B68" s="27" t="s">
        <v>127</v>
      </c>
      <c r="C68" s="28"/>
      <c r="D68" s="28"/>
      <c r="E68" s="29"/>
      <c r="F68" s="37" t="s">
        <v>129</v>
      </c>
      <c r="G68" s="38" t="s">
        <v>129</v>
      </c>
      <c r="H68" s="32"/>
    </row>
    <row r="69" spans="2:14" ht="15.75" customHeight="1" x14ac:dyDescent="0.2">
      <c r="B69" s="28"/>
      <c r="C69" s="28"/>
      <c r="D69" s="28"/>
      <c r="E69" s="29"/>
      <c r="F69" s="30"/>
      <c r="G69" s="31"/>
      <c r="H69" s="32"/>
      <c r="J69" s="3"/>
    </row>
    <row r="70" spans="2:14" ht="15.75" customHeight="1" x14ac:dyDescent="0.2">
      <c r="B70" s="39" t="s">
        <v>131</v>
      </c>
      <c r="C70" s="39"/>
      <c r="D70" s="39"/>
      <c r="E70" s="40"/>
      <c r="F70" s="34">
        <f>F66</f>
        <v>109498.6</v>
      </c>
      <c r="G70" s="35">
        <v>0.98329999999999995</v>
      </c>
      <c r="H70" s="36"/>
      <c r="J70" s="3"/>
    </row>
    <row r="71" spans="2:14" ht="15.75" customHeight="1" x14ac:dyDescent="0.2">
      <c r="B71" s="28"/>
      <c r="C71" s="28"/>
      <c r="D71" s="28"/>
      <c r="E71" s="29"/>
      <c r="F71" s="30"/>
      <c r="G71" s="31"/>
      <c r="H71" s="32"/>
      <c r="J71" s="3"/>
    </row>
    <row r="72" spans="2:14" s="7" customFormat="1" ht="15.6" customHeight="1" x14ac:dyDescent="0.25">
      <c r="B72" s="64" t="s">
        <v>107</v>
      </c>
      <c r="C72" s="65"/>
      <c r="D72" s="65"/>
      <c r="E72" s="66"/>
      <c r="F72" s="67"/>
      <c r="G72" s="68"/>
      <c r="H72" s="69"/>
    </row>
    <row r="73" spans="2:14" s="7" customFormat="1" ht="15.6" customHeight="1" x14ac:dyDescent="0.25">
      <c r="B73" s="64" t="s">
        <v>1123</v>
      </c>
      <c r="C73" s="65"/>
      <c r="D73" s="65"/>
      <c r="E73" s="66"/>
      <c r="F73" s="67"/>
      <c r="G73" s="68"/>
      <c r="H73" s="69"/>
    </row>
    <row r="74" spans="2:14" s="7" customFormat="1" ht="15.6" customHeight="1" x14ac:dyDescent="0.2">
      <c r="B74" s="65" t="s">
        <v>1122</v>
      </c>
      <c r="C74" s="28" t="s">
        <v>503</v>
      </c>
      <c r="D74" s="28" t="s">
        <v>188</v>
      </c>
      <c r="E74" s="29">
        <v>79712</v>
      </c>
      <c r="F74" s="30">
        <v>8.0399999999999991</v>
      </c>
      <c r="G74" s="31">
        <v>1E-4</v>
      </c>
      <c r="H74" s="69"/>
    </row>
    <row r="75" spans="2:14" s="7" customFormat="1" ht="15.6" customHeight="1" x14ac:dyDescent="0.25">
      <c r="B75" s="64" t="s">
        <v>127</v>
      </c>
      <c r="C75" s="65"/>
      <c r="D75" s="65"/>
      <c r="E75" s="66"/>
      <c r="F75" s="70">
        <v>17.62</v>
      </c>
      <c r="G75" s="71">
        <v>2.0000000000000001E-4</v>
      </c>
      <c r="H75" s="69"/>
    </row>
    <row r="76" spans="2:14" ht="15.75" customHeight="1" x14ac:dyDescent="0.2">
      <c r="B76" s="28"/>
      <c r="C76" s="28"/>
      <c r="D76" s="28"/>
      <c r="E76" s="29"/>
      <c r="F76" s="30"/>
      <c r="G76" s="31"/>
      <c r="H76" s="32"/>
    </row>
    <row r="77" spans="2:14" s="7" customFormat="1" ht="15.6" customHeight="1" x14ac:dyDescent="0.25">
      <c r="B77" s="72" t="s">
        <v>131</v>
      </c>
      <c r="C77" s="72"/>
      <c r="D77" s="72"/>
      <c r="E77" s="73"/>
      <c r="F77" s="70">
        <f>F75</f>
        <v>17.62</v>
      </c>
      <c r="G77" s="71">
        <f>G75</f>
        <v>2.0000000000000001E-4</v>
      </c>
      <c r="H77" s="74"/>
    </row>
    <row r="78" spans="2:14" ht="15.75" customHeight="1" x14ac:dyDescent="0.2">
      <c r="B78" s="28"/>
      <c r="C78" s="28"/>
      <c r="D78" s="28"/>
      <c r="E78" s="29"/>
      <c r="F78" s="30"/>
      <c r="G78" s="31"/>
      <c r="H78" s="32"/>
      <c r="J78" s="3"/>
    </row>
    <row r="79" spans="2:14" ht="15.75" customHeight="1" x14ac:dyDescent="0.2">
      <c r="B79" s="27" t="s">
        <v>134</v>
      </c>
      <c r="C79" s="28"/>
      <c r="D79" s="28"/>
      <c r="E79" s="29"/>
      <c r="F79" s="30"/>
      <c r="G79" s="31"/>
      <c r="H79" s="32"/>
      <c r="J79" s="3"/>
    </row>
    <row r="80" spans="2:14" ht="15.75" customHeight="1" x14ac:dyDescent="0.2">
      <c r="B80" s="28" t="s">
        <v>135</v>
      </c>
      <c r="C80" s="28"/>
      <c r="D80" s="28"/>
      <c r="E80" s="29"/>
      <c r="F80" s="30">
        <v>1988.23</v>
      </c>
      <c r="G80" s="31">
        <v>1.7899999999999999E-2</v>
      </c>
      <c r="H80" s="32"/>
      <c r="J80" s="5"/>
      <c r="K80" s="5"/>
      <c r="L80" s="6"/>
      <c r="M80" s="6"/>
      <c r="N80" s="5"/>
    </row>
    <row r="81" spans="2:14" ht="15.75" customHeight="1" x14ac:dyDescent="0.2">
      <c r="B81" s="27" t="s">
        <v>127</v>
      </c>
      <c r="C81" s="27"/>
      <c r="D81" s="27"/>
      <c r="E81" s="33"/>
      <c r="F81" s="34">
        <v>1988.23</v>
      </c>
      <c r="G81" s="35">
        <v>1.7899999999999999E-2</v>
      </c>
      <c r="H81" s="36"/>
    </row>
    <row r="82" spans="2:14" ht="15.75" customHeight="1" x14ac:dyDescent="0.2">
      <c r="B82" s="28"/>
      <c r="C82" s="28"/>
      <c r="D82" s="28"/>
      <c r="E82" s="29"/>
      <c r="F82" s="30"/>
      <c r="G82" s="31"/>
      <c r="H82" s="32"/>
    </row>
    <row r="83" spans="2:14" ht="15.75" customHeight="1" x14ac:dyDescent="0.2">
      <c r="B83" s="39" t="s">
        <v>131</v>
      </c>
      <c r="C83" s="39"/>
      <c r="D83" s="39"/>
      <c r="E83" s="40"/>
      <c r="F83" s="34">
        <v>1988.23</v>
      </c>
      <c r="G83" s="35">
        <v>1.7899999999999999E-2</v>
      </c>
      <c r="H83" s="36"/>
      <c r="J83" s="7"/>
      <c r="K83" s="7"/>
      <c r="L83" s="7"/>
      <c r="M83" s="7"/>
      <c r="N83" s="7"/>
    </row>
    <row r="84" spans="2:14" ht="15.75" customHeight="1" x14ac:dyDescent="0.2">
      <c r="B84" s="28" t="s">
        <v>136</v>
      </c>
      <c r="C84" s="28"/>
      <c r="D84" s="28"/>
      <c r="E84" s="29"/>
      <c r="F84" s="41">
        <v>-132.16</v>
      </c>
      <c r="G84" s="42">
        <v>-1.1999999999998678E-3</v>
      </c>
      <c r="H84" s="32"/>
      <c r="J84" s="7"/>
      <c r="K84" s="7"/>
      <c r="L84" s="7"/>
      <c r="M84" s="7"/>
      <c r="N84" s="7"/>
    </row>
    <row r="85" spans="2:14" ht="15.75" customHeight="1" x14ac:dyDescent="0.2">
      <c r="B85" s="43" t="s">
        <v>137</v>
      </c>
      <c r="C85" s="43"/>
      <c r="D85" s="43"/>
      <c r="E85" s="44"/>
      <c r="F85" s="45">
        <v>111362.71</v>
      </c>
      <c r="G85" s="46">
        <v>1</v>
      </c>
      <c r="H85" s="47"/>
      <c r="J85" s="7"/>
      <c r="K85" s="7"/>
      <c r="L85" s="7"/>
      <c r="M85" s="7"/>
      <c r="N85" s="7"/>
    </row>
    <row r="86" spans="2:14" ht="15.75" customHeight="1" x14ac:dyDescent="0.2">
      <c r="B86" s="2"/>
      <c r="J86" s="7"/>
      <c r="K86" s="7"/>
      <c r="L86" s="7"/>
      <c r="M86" s="7"/>
      <c r="N86" s="7"/>
    </row>
    <row r="87" spans="2:14" ht="15.75" customHeight="1" x14ac:dyDescent="0.2">
      <c r="J87" s="7"/>
      <c r="K87" s="7"/>
      <c r="L87" s="7"/>
      <c r="M87" s="7"/>
      <c r="N87" s="7"/>
    </row>
    <row r="88" spans="2:14" ht="15.75" customHeight="1" x14ac:dyDescent="0.2">
      <c r="J88" s="7"/>
      <c r="K88" s="7"/>
      <c r="L88" s="7"/>
      <c r="M88" s="7"/>
      <c r="N88" s="7"/>
    </row>
    <row r="89" spans="2:14" ht="15.75" customHeight="1" thickBot="1" x14ac:dyDescent="0.25"/>
    <row r="90" spans="2:14" ht="39.75" customHeight="1" thickBot="1" x14ac:dyDescent="0.25">
      <c r="B90" s="48" t="s">
        <v>139</v>
      </c>
      <c r="C90" s="49" t="s">
        <v>140</v>
      </c>
      <c r="D90" s="49" t="s">
        <v>141</v>
      </c>
      <c r="E90" s="49" t="s">
        <v>142</v>
      </c>
      <c r="J90" s="3"/>
    </row>
    <row r="91" spans="2:14" ht="39.75" customHeight="1" x14ac:dyDescent="0.2">
      <c r="B91" s="61" t="s">
        <v>35</v>
      </c>
      <c r="C91" s="77"/>
      <c r="D91" s="80" t="s">
        <v>786</v>
      </c>
      <c r="E91" s="81"/>
    </row>
    <row r="92" spans="2:14" ht="39.75" customHeight="1" x14ac:dyDescent="0.2">
      <c r="B92" s="52" t="s">
        <v>1103</v>
      </c>
      <c r="C92" s="78"/>
      <c r="D92" s="80"/>
      <c r="E92" s="82"/>
    </row>
    <row r="93" spans="2:14" ht="39.75" customHeight="1" x14ac:dyDescent="0.2">
      <c r="B93" s="52" t="s">
        <v>1104</v>
      </c>
      <c r="C93" s="78"/>
      <c r="D93" s="80"/>
      <c r="E93" s="82"/>
    </row>
    <row r="94" spans="2:14" ht="39.75" customHeight="1" thickBot="1" x14ac:dyDescent="0.25">
      <c r="B94" s="62" t="s">
        <v>521</v>
      </c>
      <c r="C94" s="79"/>
      <c r="D94" s="50" t="s">
        <v>562</v>
      </c>
      <c r="E94" s="83"/>
    </row>
    <row r="95" spans="2:14" ht="15.75" customHeight="1" x14ac:dyDescent="0.2">
      <c r="B95" s="9" t="s">
        <v>144</v>
      </c>
    </row>
    <row r="97" spans="2:2" ht="15.75" customHeight="1" x14ac:dyDescent="0.2">
      <c r="B97" s="9" t="s">
        <v>145</v>
      </c>
    </row>
    <row r="98" spans="2:2" ht="15.75" customHeight="1" x14ac:dyDescent="0.2">
      <c r="B98" s="15" t="s">
        <v>146</v>
      </c>
    </row>
  </sheetData>
  <mergeCells count="3">
    <mergeCell ref="C91:C94"/>
    <mergeCell ref="D91:D93"/>
    <mergeCell ref="E91:E94"/>
  </mergeCells>
  <hyperlinks>
    <hyperlink ref="G1" location="'Sheet1'!A1" display="Index" xr:uid="{D3AB81BE-130B-4CFA-9E27-D69B720F231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0714C-37B0-4444-ACC7-0C42737DEA79}">
  <dimension ref="B1:N8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36</v>
      </c>
      <c r="C1" s="4" t="s">
        <v>1106</v>
      </c>
      <c r="D1" s="4" t="s">
        <v>1105</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1167899</v>
      </c>
      <c r="F7" s="30">
        <v>11530.67</v>
      </c>
      <c r="G7" s="31">
        <v>0.12770000000000001</v>
      </c>
      <c r="H7" s="32"/>
    </row>
    <row r="8" spans="2:8" ht="15.75" customHeight="1" x14ac:dyDescent="0.2">
      <c r="B8" s="28" t="s">
        <v>167</v>
      </c>
      <c r="C8" s="28" t="s">
        <v>168</v>
      </c>
      <c r="D8" s="28" t="s">
        <v>169</v>
      </c>
      <c r="E8" s="29">
        <v>517659</v>
      </c>
      <c r="F8" s="30">
        <v>7694.48</v>
      </c>
      <c r="G8" s="31">
        <v>8.5199999999999998E-2</v>
      </c>
      <c r="H8" s="32"/>
    </row>
    <row r="9" spans="2:8" ht="15.75" customHeight="1" x14ac:dyDescent="0.2">
      <c r="B9" s="28" t="s">
        <v>184</v>
      </c>
      <c r="C9" s="28" t="s">
        <v>185</v>
      </c>
      <c r="D9" s="28" t="s">
        <v>166</v>
      </c>
      <c r="E9" s="29">
        <v>545672</v>
      </c>
      <c r="F9" s="30">
        <v>7340.93</v>
      </c>
      <c r="G9" s="31">
        <v>8.1299999999999997E-2</v>
      </c>
      <c r="H9" s="32"/>
    </row>
    <row r="10" spans="2:8" ht="15.75" customHeight="1" x14ac:dyDescent="0.2">
      <c r="B10" s="28" t="s">
        <v>206</v>
      </c>
      <c r="C10" s="28" t="s">
        <v>207</v>
      </c>
      <c r="D10" s="28" t="s">
        <v>208</v>
      </c>
      <c r="E10" s="29">
        <v>208418</v>
      </c>
      <c r="F10" s="30">
        <v>4281.95</v>
      </c>
      <c r="G10" s="31">
        <v>4.7399999999999998E-2</v>
      </c>
      <c r="H10" s="32"/>
    </row>
    <row r="11" spans="2:8" ht="15.75" customHeight="1" x14ac:dyDescent="0.2">
      <c r="B11" s="28" t="s">
        <v>170</v>
      </c>
      <c r="C11" s="28" t="s">
        <v>171</v>
      </c>
      <c r="D11" s="28" t="s">
        <v>172</v>
      </c>
      <c r="E11" s="29">
        <v>275490</v>
      </c>
      <c r="F11" s="30">
        <v>4083.59</v>
      </c>
      <c r="G11" s="31">
        <v>4.5199999999999997E-2</v>
      </c>
      <c r="H11" s="32"/>
    </row>
    <row r="12" spans="2:8" ht="15.75" customHeight="1" x14ac:dyDescent="0.2">
      <c r="B12" s="28" t="s">
        <v>324</v>
      </c>
      <c r="C12" s="28" t="s">
        <v>325</v>
      </c>
      <c r="D12" s="28" t="s">
        <v>326</v>
      </c>
      <c r="E12" s="29">
        <v>89802</v>
      </c>
      <c r="F12" s="30">
        <v>3619.83</v>
      </c>
      <c r="G12" s="31">
        <v>4.0099999999999997E-2</v>
      </c>
      <c r="H12" s="32"/>
    </row>
    <row r="13" spans="2:8" ht="15.75" customHeight="1" x14ac:dyDescent="0.2">
      <c r="B13" s="28" t="s">
        <v>214</v>
      </c>
      <c r="C13" s="28" t="s">
        <v>215</v>
      </c>
      <c r="D13" s="28" t="s">
        <v>183</v>
      </c>
      <c r="E13" s="29">
        <v>736745</v>
      </c>
      <c r="F13" s="30">
        <v>3096.91</v>
      </c>
      <c r="G13" s="31">
        <v>3.4299999999999997E-2</v>
      </c>
      <c r="H13" s="32"/>
    </row>
    <row r="14" spans="2:8" ht="15.75" customHeight="1" x14ac:dyDescent="0.2">
      <c r="B14" s="28" t="s">
        <v>204</v>
      </c>
      <c r="C14" s="28" t="s">
        <v>205</v>
      </c>
      <c r="D14" s="28" t="s">
        <v>166</v>
      </c>
      <c r="E14" s="29">
        <v>317472</v>
      </c>
      <c r="F14" s="30">
        <v>2974.71</v>
      </c>
      <c r="G14" s="31">
        <v>3.3000000000000002E-2</v>
      </c>
      <c r="H14" s="32"/>
    </row>
    <row r="15" spans="2:8" ht="15.75" customHeight="1" x14ac:dyDescent="0.2">
      <c r="B15" s="28" t="s">
        <v>179</v>
      </c>
      <c r="C15" s="28" t="s">
        <v>180</v>
      </c>
      <c r="D15" s="28" t="s">
        <v>166</v>
      </c>
      <c r="E15" s="29">
        <v>218984</v>
      </c>
      <c r="F15" s="30">
        <v>2699.63</v>
      </c>
      <c r="G15" s="31">
        <v>2.9899999999999999E-2</v>
      </c>
      <c r="H15" s="32"/>
    </row>
    <row r="16" spans="2:8" ht="15.75" customHeight="1" x14ac:dyDescent="0.2">
      <c r="B16" s="28" t="s">
        <v>199</v>
      </c>
      <c r="C16" s="28" t="s">
        <v>200</v>
      </c>
      <c r="D16" s="28" t="s">
        <v>172</v>
      </c>
      <c r="E16" s="29">
        <v>78097</v>
      </c>
      <c r="F16" s="30">
        <v>2388.21</v>
      </c>
      <c r="G16" s="31">
        <v>2.6499999999999999E-2</v>
      </c>
      <c r="H16" s="32"/>
    </row>
    <row r="17" spans="2:8" ht="15.75" customHeight="1" x14ac:dyDescent="0.2">
      <c r="B17" s="28" t="s">
        <v>305</v>
      </c>
      <c r="C17" s="28" t="s">
        <v>306</v>
      </c>
      <c r="D17" s="28" t="s">
        <v>166</v>
      </c>
      <c r="E17" s="29">
        <v>112456</v>
      </c>
      <c r="F17" s="30">
        <v>2364.0500000000002</v>
      </c>
      <c r="G17" s="31">
        <v>2.6200000000000001E-2</v>
      </c>
      <c r="H17" s="32"/>
    </row>
    <row r="18" spans="2:8" ht="15.75" customHeight="1" x14ac:dyDescent="0.2">
      <c r="B18" s="28" t="s">
        <v>186</v>
      </c>
      <c r="C18" s="28" t="s">
        <v>187</v>
      </c>
      <c r="D18" s="28" t="s">
        <v>188</v>
      </c>
      <c r="E18" s="29">
        <v>67770</v>
      </c>
      <c r="F18" s="30">
        <v>2363.2800000000002</v>
      </c>
      <c r="G18" s="31">
        <v>2.6200000000000001E-2</v>
      </c>
      <c r="H18" s="32"/>
    </row>
    <row r="19" spans="2:8" ht="15.75" customHeight="1" x14ac:dyDescent="0.2">
      <c r="B19" s="28" t="s">
        <v>726</v>
      </c>
      <c r="C19" s="28" t="s">
        <v>727</v>
      </c>
      <c r="D19" s="28" t="s">
        <v>175</v>
      </c>
      <c r="E19" s="29">
        <v>203450</v>
      </c>
      <c r="F19" s="30">
        <v>2121.58</v>
      </c>
      <c r="G19" s="31">
        <v>2.35E-2</v>
      </c>
      <c r="H19" s="32"/>
    </row>
    <row r="20" spans="2:8" ht="15.75" customHeight="1" x14ac:dyDescent="0.2">
      <c r="B20" s="28" t="s">
        <v>238</v>
      </c>
      <c r="C20" s="28" t="s">
        <v>239</v>
      </c>
      <c r="D20" s="28" t="s">
        <v>221</v>
      </c>
      <c r="E20" s="29">
        <v>532467</v>
      </c>
      <c r="F20" s="30">
        <v>1691.91</v>
      </c>
      <c r="G20" s="31">
        <v>1.8700000000000001E-2</v>
      </c>
      <c r="H20" s="32"/>
    </row>
    <row r="21" spans="2:8" ht="15.75" customHeight="1" x14ac:dyDescent="0.2">
      <c r="B21" s="28" t="s">
        <v>181</v>
      </c>
      <c r="C21" s="28" t="s">
        <v>182</v>
      </c>
      <c r="D21" s="28" t="s">
        <v>183</v>
      </c>
      <c r="E21" s="29">
        <v>67862</v>
      </c>
      <c r="F21" s="30">
        <v>1673.14</v>
      </c>
      <c r="G21" s="31">
        <v>1.8499999999999999E-2</v>
      </c>
      <c r="H21" s="32"/>
    </row>
    <row r="22" spans="2:8" ht="15.75" customHeight="1" x14ac:dyDescent="0.2">
      <c r="B22" s="28" t="s">
        <v>563</v>
      </c>
      <c r="C22" s="28" t="s">
        <v>564</v>
      </c>
      <c r="D22" s="28" t="s">
        <v>188</v>
      </c>
      <c r="E22" s="29">
        <v>10035</v>
      </c>
      <c r="F22" s="30">
        <v>1624.27</v>
      </c>
      <c r="G22" s="31">
        <v>1.7999999999999999E-2</v>
      </c>
      <c r="H22" s="32"/>
    </row>
    <row r="23" spans="2:8" ht="15.75" customHeight="1" x14ac:dyDescent="0.2">
      <c r="B23" s="28" t="s">
        <v>332</v>
      </c>
      <c r="C23" s="28" t="s">
        <v>333</v>
      </c>
      <c r="D23" s="28" t="s">
        <v>224</v>
      </c>
      <c r="E23" s="29">
        <v>80581</v>
      </c>
      <c r="F23" s="30">
        <v>1362.38</v>
      </c>
      <c r="G23" s="31">
        <v>1.5100000000000001E-2</v>
      </c>
      <c r="H23" s="32"/>
    </row>
    <row r="24" spans="2:8" ht="15.75" customHeight="1" x14ac:dyDescent="0.2">
      <c r="B24" s="28" t="s">
        <v>250</v>
      </c>
      <c r="C24" s="28" t="s">
        <v>251</v>
      </c>
      <c r="D24" s="28" t="s">
        <v>172</v>
      </c>
      <c r="E24" s="29">
        <v>80352</v>
      </c>
      <c r="F24" s="30">
        <v>1238.6300000000001</v>
      </c>
      <c r="G24" s="31">
        <v>1.37E-2</v>
      </c>
      <c r="H24" s="32"/>
    </row>
    <row r="25" spans="2:8" ht="15.75" customHeight="1" x14ac:dyDescent="0.2">
      <c r="B25" s="28" t="s">
        <v>334</v>
      </c>
      <c r="C25" s="28" t="s">
        <v>335</v>
      </c>
      <c r="D25" s="28" t="s">
        <v>280</v>
      </c>
      <c r="E25" s="29">
        <v>362557</v>
      </c>
      <c r="F25" s="30">
        <v>1221.6400000000001</v>
      </c>
      <c r="G25" s="31">
        <v>1.35E-2</v>
      </c>
      <c r="H25" s="32"/>
    </row>
    <row r="26" spans="2:8" ht="15.75" customHeight="1" x14ac:dyDescent="0.2">
      <c r="B26" s="28" t="s">
        <v>258</v>
      </c>
      <c r="C26" s="28" t="s">
        <v>259</v>
      </c>
      <c r="D26" s="28" t="s">
        <v>260</v>
      </c>
      <c r="E26" s="29">
        <v>31556</v>
      </c>
      <c r="F26" s="30">
        <v>1182.31</v>
      </c>
      <c r="G26" s="31">
        <v>1.3100000000000001E-2</v>
      </c>
      <c r="H26" s="32"/>
    </row>
    <row r="27" spans="2:8" ht="15.75" customHeight="1" x14ac:dyDescent="0.2">
      <c r="B27" s="28" t="s">
        <v>216</v>
      </c>
      <c r="C27" s="28" t="s">
        <v>217</v>
      </c>
      <c r="D27" s="28" t="s">
        <v>218</v>
      </c>
      <c r="E27" s="29">
        <v>273884</v>
      </c>
      <c r="F27" s="30">
        <v>1167.02</v>
      </c>
      <c r="G27" s="31">
        <v>1.29E-2</v>
      </c>
      <c r="H27" s="32"/>
    </row>
    <row r="28" spans="2:8" ht="15.75" customHeight="1" x14ac:dyDescent="0.2">
      <c r="B28" s="28" t="s">
        <v>211</v>
      </c>
      <c r="C28" s="28" t="s">
        <v>212</v>
      </c>
      <c r="D28" s="28" t="s">
        <v>213</v>
      </c>
      <c r="E28" s="29">
        <v>632380</v>
      </c>
      <c r="F28" s="30">
        <v>1156.24</v>
      </c>
      <c r="G28" s="31">
        <v>1.2800000000000001E-2</v>
      </c>
      <c r="H28" s="32"/>
    </row>
    <row r="29" spans="2:8" ht="15.75" customHeight="1" x14ac:dyDescent="0.2">
      <c r="B29" s="28" t="s">
        <v>270</v>
      </c>
      <c r="C29" s="28" t="s">
        <v>271</v>
      </c>
      <c r="D29" s="28" t="s">
        <v>269</v>
      </c>
      <c r="E29" s="29">
        <v>9077</v>
      </c>
      <c r="F29" s="30">
        <v>1084.43</v>
      </c>
      <c r="G29" s="31">
        <v>1.2E-2</v>
      </c>
      <c r="H29" s="32"/>
    </row>
    <row r="30" spans="2:8" ht="15.75" customHeight="1" x14ac:dyDescent="0.2">
      <c r="B30" s="28" t="s">
        <v>902</v>
      </c>
      <c r="C30" s="28" t="s">
        <v>903</v>
      </c>
      <c r="D30" s="28" t="s">
        <v>280</v>
      </c>
      <c r="E30" s="29">
        <v>346360</v>
      </c>
      <c r="F30" s="30">
        <v>998.04</v>
      </c>
      <c r="G30" s="31">
        <v>1.11E-2</v>
      </c>
      <c r="H30" s="32"/>
    </row>
    <row r="31" spans="2:8" ht="15.75" customHeight="1" x14ac:dyDescent="0.2">
      <c r="B31" s="28" t="s">
        <v>344</v>
      </c>
      <c r="C31" s="28" t="s">
        <v>345</v>
      </c>
      <c r="D31" s="28" t="s">
        <v>346</v>
      </c>
      <c r="E31" s="29">
        <v>110749</v>
      </c>
      <c r="F31" s="30">
        <v>938.99</v>
      </c>
      <c r="G31" s="31">
        <v>1.04E-2</v>
      </c>
      <c r="H31" s="32"/>
    </row>
    <row r="32" spans="2:8" ht="15.75" customHeight="1" x14ac:dyDescent="0.2">
      <c r="B32" s="28" t="s">
        <v>362</v>
      </c>
      <c r="C32" s="28" t="s">
        <v>363</v>
      </c>
      <c r="D32" s="28" t="s">
        <v>300</v>
      </c>
      <c r="E32" s="29">
        <v>16627</v>
      </c>
      <c r="F32" s="30">
        <v>935.27</v>
      </c>
      <c r="G32" s="31">
        <v>1.04E-2</v>
      </c>
      <c r="H32" s="32"/>
    </row>
    <row r="33" spans="2:8" ht="15.75" customHeight="1" x14ac:dyDescent="0.2">
      <c r="B33" s="28" t="s">
        <v>904</v>
      </c>
      <c r="C33" s="28" t="s">
        <v>905</v>
      </c>
      <c r="D33" s="28" t="s">
        <v>175</v>
      </c>
      <c r="E33" s="29">
        <v>43648</v>
      </c>
      <c r="F33" s="30">
        <v>911.5</v>
      </c>
      <c r="G33" s="31">
        <v>1.01E-2</v>
      </c>
      <c r="H33" s="32"/>
    </row>
    <row r="34" spans="2:8" ht="15.75" customHeight="1" x14ac:dyDescent="0.2">
      <c r="B34" s="28" t="s">
        <v>294</v>
      </c>
      <c r="C34" s="28" t="s">
        <v>295</v>
      </c>
      <c r="D34" s="28" t="s">
        <v>213</v>
      </c>
      <c r="E34" s="29">
        <v>71634</v>
      </c>
      <c r="F34" s="30">
        <v>863.91</v>
      </c>
      <c r="G34" s="31">
        <v>9.5999999999999992E-3</v>
      </c>
      <c r="H34" s="32"/>
    </row>
    <row r="35" spans="2:8" ht="15.75" customHeight="1" x14ac:dyDescent="0.2">
      <c r="B35" s="28" t="s">
        <v>906</v>
      </c>
      <c r="C35" s="28" t="s">
        <v>907</v>
      </c>
      <c r="D35" s="28" t="s">
        <v>260</v>
      </c>
      <c r="E35" s="29">
        <v>34363</v>
      </c>
      <c r="F35" s="30">
        <v>862.79</v>
      </c>
      <c r="G35" s="31">
        <v>9.5999999999999992E-3</v>
      </c>
      <c r="H35" s="32"/>
    </row>
    <row r="36" spans="2:8" ht="15.75" customHeight="1" x14ac:dyDescent="0.2">
      <c r="B36" s="28" t="s">
        <v>267</v>
      </c>
      <c r="C36" s="28" t="s">
        <v>268</v>
      </c>
      <c r="D36" s="28" t="s">
        <v>269</v>
      </c>
      <c r="E36" s="29">
        <v>29167</v>
      </c>
      <c r="F36" s="30">
        <v>843.42</v>
      </c>
      <c r="G36" s="31">
        <v>9.2999999999999992E-3</v>
      </c>
      <c r="H36" s="32"/>
    </row>
    <row r="37" spans="2:8" ht="15.75" customHeight="1" x14ac:dyDescent="0.2">
      <c r="B37" s="28" t="s">
        <v>908</v>
      </c>
      <c r="C37" s="28" t="s">
        <v>909</v>
      </c>
      <c r="D37" s="28" t="s">
        <v>203</v>
      </c>
      <c r="E37" s="29">
        <v>56234</v>
      </c>
      <c r="F37" s="30">
        <v>816.24</v>
      </c>
      <c r="G37" s="31">
        <v>8.9999999999999993E-3</v>
      </c>
      <c r="H37" s="32"/>
    </row>
    <row r="38" spans="2:8" ht="15.75" customHeight="1" x14ac:dyDescent="0.2">
      <c r="B38" s="28" t="s">
        <v>173</v>
      </c>
      <c r="C38" s="28" t="s">
        <v>174</v>
      </c>
      <c r="D38" s="28" t="s">
        <v>175</v>
      </c>
      <c r="E38" s="29">
        <v>107074</v>
      </c>
      <c r="F38" s="30">
        <v>801.88</v>
      </c>
      <c r="G38" s="31">
        <v>8.8999999999999999E-3</v>
      </c>
      <c r="H38" s="32"/>
    </row>
    <row r="39" spans="2:8" ht="15.75" customHeight="1" x14ac:dyDescent="0.2">
      <c r="B39" s="28" t="s">
        <v>219</v>
      </c>
      <c r="C39" s="28" t="s">
        <v>220</v>
      </c>
      <c r="D39" s="28" t="s">
        <v>221</v>
      </c>
      <c r="E39" s="29">
        <v>16974</v>
      </c>
      <c r="F39" s="30">
        <v>796.81</v>
      </c>
      <c r="G39" s="31">
        <v>8.8000000000000005E-3</v>
      </c>
      <c r="H39" s="32"/>
    </row>
    <row r="40" spans="2:8" ht="15.75" customHeight="1" x14ac:dyDescent="0.2">
      <c r="B40" s="28" t="s">
        <v>229</v>
      </c>
      <c r="C40" s="28" t="s">
        <v>230</v>
      </c>
      <c r="D40" s="28" t="s">
        <v>175</v>
      </c>
      <c r="E40" s="29">
        <v>250605</v>
      </c>
      <c r="F40" s="30">
        <v>768.86</v>
      </c>
      <c r="G40" s="31">
        <v>8.5000000000000006E-3</v>
      </c>
      <c r="H40" s="32"/>
    </row>
    <row r="41" spans="2:8" ht="15.75" customHeight="1" x14ac:dyDescent="0.2">
      <c r="B41" s="28" t="s">
        <v>910</v>
      </c>
      <c r="C41" s="28" t="s">
        <v>911</v>
      </c>
      <c r="D41" s="28" t="s">
        <v>435</v>
      </c>
      <c r="E41" s="29">
        <v>296227</v>
      </c>
      <c r="F41" s="30">
        <v>756.47</v>
      </c>
      <c r="G41" s="31">
        <v>8.3999999999999995E-3</v>
      </c>
      <c r="H41" s="32"/>
    </row>
    <row r="42" spans="2:8" ht="15.75" customHeight="1" x14ac:dyDescent="0.2">
      <c r="B42" s="28" t="s">
        <v>370</v>
      </c>
      <c r="C42" s="28" t="s">
        <v>371</v>
      </c>
      <c r="D42" s="28" t="s">
        <v>188</v>
      </c>
      <c r="E42" s="29">
        <v>8463</v>
      </c>
      <c r="F42" s="30">
        <v>752.57</v>
      </c>
      <c r="G42" s="31">
        <v>8.3000000000000001E-3</v>
      </c>
      <c r="H42" s="32"/>
    </row>
    <row r="43" spans="2:8" ht="15.75" customHeight="1" x14ac:dyDescent="0.2">
      <c r="B43" s="28" t="s">
        <v>436</v>
      </c>
      <c r="C43" s="28" t="s">
        <v>437</v>
      </c>
      <c r="D43" s="28" t="s">
        <v>188</v>
      </c>
      <c r="E43" s="29">
        <v>10489</v>
      </c>
      <c r="F43" s="30">
        <v>734.96</v>
      </c>
      <c r="G43" s="31">
        <v>8.0999999999999996E-3</v>
      </c>
      <c r="H43" s="32"/>
    </row>
    <row r="44" spans="2:8" ht="15.75" customHeight="1" x14ac:dyDescent="0.2">
      <c r="B44" s="28" t="s">
        <v>382</v>
      </c>
      <c r="C44" s="28" t="s">
        <v>383</v>
      </c>
      <c r="D44" s="28" t="s">
        <v>172</v>
      </c>
      <c r="E44" s="29">
        <v>48549</v>
      </c>
      <c r="F44" s="30">
        <v>691.53</v>
      </c>
      <c r="G44" s="31">
        <v>7.7000000000000002E-3</v>
      </c>
      <c r="H44" s="32"/>
    </row>
    <row r="45" spans="2:8" ht="15.75" customHeight="1" x14ac:dyDescent="0.2">
      <c r="B45" s="28" t="s">
        <v>261</v>
      </c>
      <c r="C45" s="28" t="s">
        <v>262</v>
      </c>
      <c r="D45" s="28" t="s">
        <v>263</v>
      </c>
      <c r="E45" s="29">
        <v>54234</v>
      </c>
      <c r="F45" s="30">
        <v>689.64</v>
      </c>
      <c r="G45" s="31">
        <v>7.6E-3</v>
      </c>
      <c r="H45" s="32"/>
    </row>
    <row r="46" spans="2:8" ht="15.75" customHeight="1" x14ac:dyDescent="0.2">
      <c r="B46" s="28" t="s">
        <v>912</v>
      </c>
      <c r="C46" s="28" t="s">
        <v>913</v>
      </c>
      <c r="D46" s="28" t="s">
        <v>914</v>
      </c>
      <c r="E46" s="29">
        <v>172780</v>
      </c>
      <c r="F46" s="30">
        <v>671.51</v>
      </c>
      <c r="G46" s="31">
        <v>7.4000000000000003E-3</v>
      </c>
      <c r="H46" s="32"/>
    </row>
    <row r="47" spans="2:8" ht="15.75" customHeight="1" x14ac:dyDescent="0.2">
      <c r="B47" s="28" t="s">
        <v>860</v>
      </c>
      <c r="C47" s="28" t="s">
        <v>861</v>
      </c>
      <c r="D47" s="28" t="s">
        <v>354</v>
      </c>
      <c r="E47" s="29">
        <v>34304</v>
      </c>
      <c r="F47" s="30">
        <v>670.88</v>
      </c>
      <c r="G47" s="31">
        <v>7.4000000000000003E-3</v>
      </c>
      <c r="H47" s="32"/>
    </row>
    <row r="48" spans="2:8" ht="15.75" customHeight="1" x14ac:dyDescent="0.2">
      <c r="B48" s="28" t="s">
        <v>915</v>
      </c>
      <c r="C48" s="28" t="s">
        <v>916</v>
      </c>
      <c r="D48" s="28" t="s">
        <v>188</v>
      </c>
      <c r="E48" s="29">
        <v>159733</v>
      </c>
      <c r="F48" s="30">
        <v>654.91</v>
      </c>
      <c r="G48" s="31">
        <v>7.3000000000000001E-3</v>
      </c>
      <c r="H48" s="32"/>
    </row>
    <row r="49" spans="2:8" ht="15.75" customHeight="1" x14ac:dyDescent="0.2">
      <c r="B49" s="28" t="s">
        <v>664</v>
      </c>
      <c r="C49" s="28" t="s">
        <v>665</v>
      </c>
      <c r="D49" s="28" t="s">
        <v>430</v>
      </c>
      <c r="E49" s="29">
        <v>56933</v>
      </c>
      <c r="F49" s="30">
        <v>653.48</v>
      </c>
      <c r="G49" s="31">
        <v>7.1999999999999998E-3</v>
      </c>
      <c r="H49" s="32"/>
    </row>
    <row r="50" spans="2:8" ht="15.75" customHeight="1" x14ac:dyDescent="0.2">
      <c r="B50" s="28" t="s">
        <v>648</v>
      </c>
      <c r="C50" s="28" t="s">
        <v>649</v>
      </c>
      <c r="D50" s="28" t="s">
        <v>224</v>
      </c>
      <c r="E50" s="29">
        <v>42462</v>
      </c>
      <c r="F50" s="30">
        <v>637.48</v>
      </c>
      <c r="G50" s="31">
        <v>7.1000000000000004E-3</v>
      </c>
      <c r="H50" s="32"/>
    </row>
    <row r="51" spans="2:8" ht="15.75" customHeight="1" x14ac:dyDescent="0.2">
      <c r="B51" s="28" t="s">
        <v>459</v>
      </c>
      <c r="C51" s="28" t="s">
        <v>460</v>
      </c>
      <c r="D51" s="28" t="s">
        <v>430</v>
      </c>
      <c r="E51" s="29">
        <v>7727</v>
      </c>
      <c r="F51" s="30">
        <v>593.51</v>
      </c>
      <c r="G51" s="31">
        <v>6.6E-3</v>
      </c>
      <c r="H51" s="32"/>
    </row>
    <row r="52" spans="2:8" ht="15.75" customHeight="1" x14ac:dyDescent="0.2">
      <c r="B52" s="28" t="s">
        <v>724</v>
      </c>
      <c r="C52" s="28" t="s">
        <v>725</v>
      </c>
      <c r="D52" s="28" t="s">
        <v>354</v>
      </c>
      <c r="E52" s="29">
        <v>81010</v>
      </c>
      <c r="F52" s="30">
        <v>592.87</v>
      </c>
      <c r="G52" s="31">
        <v>6.6E-3</v>
      </c>
      <c r="H52" s="32"/>
    </row>
    <row r="53" spans="2:8" ht="15.75" customHeight="1" x14ac:dyDescent="0.2">
      <c r="B53" s="28" t="s">
        <v>337</v>
      </c>
      <c r="C53" s="28" t="s">
        <v>338</v>
      </c>
      <c r="D53" s="28" t="s">
        <v>339</v>
      </c>
      <c r="E53" s="29">
        <v>49805</v>
      </c>
      <c r="F53" s="30">
        <v>580.23</v>
      </c>
      <c r="G53" s="31">
        <v>6.4000000000000003E-3</v>
      </c>
      <c r="H53" s="32"/>
    </row>
    <row r="54" spans="2:8" ht="15.75" customHeight="1" x14ac:dyDescent="0.2">
      <c r="B54" s="28" t="s">
        <v>917</v>
      </c>
      <c r="C54" s="28" t="s">
        <v>918</v>
      </c>
      <c r="D54" s="28" t="s">
        <v>224</v>
      </c>
      <c r="E54" s="29">
        <v>46584</v>
      </c>
      <c r="F54" s="30">
        <v>557.89</v>
      </c>
      <c r="G54" s="31">
        <v>6.1999999999999998E-3</v>
      </c>
      <c r="H54" s="32"/>
    </row>
    <row r="55" spans="2:8" ht="15.75" customHeight="1" x14ac:dyDescent="0.2">
      <c r="B55" s="28" t="s">
        <v>919</v>
      </c>
      <c r="C55" s="28" t="s">
        <v>920</v>
      </c>
      <c r="D55" s="28" t="s">
        <v>172</v>
      </c>
      <c r="E55" s="29">
        <v>218172</v>
      </c>
      <c r="F55" s="30">
        <v>525.07000000000005</v>
      </c>
      <c r="G55" s="31">
        <v>5.7999999999999996E-3</v>
      </c>
      <c r="H55" s="32"/>
    </row>
    <row r="56" spans="2:8" ht="15.75" customHeight="1" x14ac:dyDescent="0.2">
      <c r="B56" s="28" t="s">
        <v>1126</v>
      </c>
      <c r="C56" s="28" t="s">
        <v>746</v>
      </c>
      <c r="D56" s="28" t="s">
        <v>578</v>
      </c>
      <c r="E56" s="29">
        <v>159886</v>
      </c>
      <c r="F56" s="30">
        <v>416.9</v>
      </c>
      <c r="G56" s="31">
        <v>4.5999999999999999E-3</v>
      </c>
      <c r="H56" s="32"/>
    </row>
    <row r="57" spans="2:8" ht="15.75" customHeight="1" x14ac:dyDescent="0.2">
      <c r="B57" s="28" t="s">
        <v>921</v>
      </c>
      <c r="C57" s="28" t="s">
        <v>922</v>
      </c>
      <c r="D57" s="28" t="s">
        <v>923</v>
      </c>
      <c r="E57" s="29">
        <v>19921</v>
      </c>
      <c r="F57" s="30">
        <v>494.24</v>
      </c>
      <c r="G57" s="31">
        <v>5.4999999999999997E-3</v>
      </c>
      <c r="H57" s="32"/>
    </row>
    <row r="58" spans="2:8" ht="15.75" customHeight="1" x14ac:dyDescent="0.2">
      <c r="B58" s="27" t="s">
        <v>127</v>
      </c>
      <c r="C58" s="27"/>
      <c r="D58" s="27"/>
      <c r="E58" s="33"/>
      <c r="F58" s="34">
        <f>SUM(F7:F57)</f>
        <v>90173.64</v>
      </c>
      <c r="G58" s="35">
        <v>0.99880000000000002</v>
      </c>
      <c r="H58" s="36"/>
    </row>
    <row r="59" spans="2:8" ht="15.75" customHeight="1" x14ac:dyDescent="0.2">
      <c r="B59" s="27" t="s">
        <v>189</v>
      </c>
      <c r="C59" s="28"/>
      <c r="D59" s="28"/>
      <c r="E59" s="29"/>
      <c r="F59" s="30"/>
      <c r="G59" s="31"/>
      <c r="H59" s="32"/>
    </row>
    <row r="60" spans="2:8" ht="15.75" customHeight="1" x14ac:dyDescent="0.2">
      <c r="B60" s="27" t="s">
        <v>127</v>
      </c>
      <c r="C60" s="28"/>
      <c r="D60" s="28"/>
      <c r="E60" s="29"/>
      <c r="F60" s="37" t="s">
        <v>129</v>
      </c>
      <c r="G60" s="38" t="s">
        <v>129</v>
      </c>
      <c r="H60" s="32"/>
    </row>
    <row r="61" spans="2:8" ht="15.75" customHeight="1" x14ac:dyDescent="0.2">
      <c r="B61" s="28"/>
      <c r="C61" s="28"/>
      <c r="D61" s="28"/>
      <c r="E61" s="29"/>
      <c r="F61" s="30"/>
      <c r="G61" s="31"/>
      <c r="H61" s="32"/>
    </row>
    <row r="62" spans="2:8" ht="15.75" customHeight="1" x14ac:dyDescent="0.2">
      <c r="B62" s="39" t="s">
        <v>131</v>
      </c>
      <c r="C62" s="39"/>
      <c r="D62" s="39"/>
      <c r="E62" s="40"/>
      <c r="F62" s="34">
        <f>F58</f>
        <v>90173.64</v>
      </c>
      <c r="G62" s="35">
        <f>G58</f>
        <v>0.99880000000000002</v>
      </c>
      <c r="H62" s="36"/>
    </row>
    <row r="63" spans="2:8" ht="15.75" customHeight="1" x14ac:dyDescent="0.2">
      <c r="B63" s="28"/>
      <c r="C63" s="28"/>
      <c r="D63" s="28"/>
      <c r="E63" s="29"/>
      <c r="F63" s="30"/>
      <c r="G63" s="31"/>
      <c r="H63" s="32"/>
    </row>
    <row r="64" spans="2:8" ht="15.75" customHeight="1" x14ac:dyDescent="0.2">
      <c r="B64" s="28"/>
      <c r="C64" s="28"/>
      <c r="D64" s="28"/>
      <c r="E64" s="29"/>
      <c r="F64" s="30"/>
      <c r="G64" s="31"/>
      <c r="H64" s="32"/>
    </row>
    <row r="65" spans="2:14" ht="15.75" customHeight="1" x14ac:dyDescent="0.2">
      <c r="B65" s="27" t="s">
        <v>134</v>
      </c>
      <c r="C65" s="28"/>
      <c r="D65" s="28"/>
      <c r="E65" s="29"/>
      <c r="F65" s="30"/>
      <c r="G65" s="31"/>
      <c r="H65" s="32"/>
    </row>
    <row r="66" spans="2:14" ht="15.75" customHeight="1" x14ac:dyDescent="0.2">
      <c r="B66" s="28" t="s">
        <v>135</v>
      </c>
      <c r="C66" s="28"/>
      <c r="D66" s="28"/>
      <c r="E66" s="29"/>
      <c r="F66" s="30">
        <v>29.73</v>
      </c>
      <c r="G66" s="31">
        <v>2.9999999999999997E-4</v>
      </c>
      <c r="H66" s="32"/>
    </row>
    <row r="67" spans="2:14" ht="15.75" customHeight="1" x14ac:dyDescent="0.2">
      <c r="B67" s="27" t="s">
        <v>127</v>
      </c>
      <c r="C67" s="27"/>
      <c r="D67" s="27"/>
      <c r="E67" s="33"/>
      <c r="F67" s="34">
        <v>29.73</v>
      </c>
      <c r="G67" s="35">
        <v>2.9999999999999997E-4</v>
      </c>
      <c r="H67" s="36"/>
    </row>
    <row r="68" spans="2:14" ht="15.75" customHeight="1" x14ac:dyDescent="0.2">
      <c r="B68" s="28"/>
      <c r="C68" s="28"/>
      <c r="D68" s="28"/>
      <c r="E68" s="29"/>
      <c r="F68" s="30"/>
      <c r="G68" s="31"/>
      <c r="H68" s="32"/>
      <c r="J68" s="3"/>
    </row>
    <row r="69" spans="2:14" ht="15.75" customHeight="1" x14ac:dyDescent="0.2">
      <c r="B69" s="39" t="s">
        <v>131</v>
      </c>
      <c r="C69" s="39"/>
      <c r="D69" s="39"/>
      <c r="E69" s="40"/>
      <c r="F69" s="34">
        <v>29.73</v>
      </c>
      <c r="G69" s="35">
        <v>2.9999999999999997E-4</v>
      </c>
      <c r="H69" s="36"/>
    </row>
    <row r="70" spans="2:14" ht="15.75" customHeight="1" x14ac:dyDescent="0.2">
      <c r="B70" s="28" t="s">
        <v>136</v>
      </c>
      <c r="C70" s="28"/>
      <c r="D70" s="28"/>
      <c r="E70" s="29"/>
      <c r="F70" s="30">
        <v>73.3</v>
      </c>
      <c r="G70" s="31">
        <v>9.000000000000119E-4</v>
      </c>
      <c r="H70" s="32"/>
      <c r="J70" s="3"/>
    </row>
    <row r="71" spans="2:14" ht="15.75" customHeight="1" x14ac:dyDescent="0.2">
      <c r="B71" s="43" t="s">
        <v>137</v>
      </c>
      <c r="C71" s="43"/>
      <c r="D71" s="43"/>
      <c r="E71" s="44"/>
      <c r="F71" s="45">
        <v>90276.67</v>
      </c>
      <c r="G71" s="46">
        <v>1</v>
      </c>
      <c r="H71" s="47"/>
      <c r="J71" s="3"/>
    </row>
    <row r="72" spans="2:14" ht="15.75" customHeight="1" x14ac:dyDescent="0.2">
      <c r="B72" s="2"/>
      <c r="J72" s="3"/>
    </row>
    <row r="73" spans="2:14" ht="15.75" customHeight="1" x14ac:dyDescent="0.2">
      <c r="J73" s="3"/>
    </row>
    <row r="74" spans="2:14" ht="15.75" customHeight="1" x14ac:dyDescent="0.2">
      <c r="J74" s="5"/>
      <c r="K74" s="5"/>
      <c r="L74" s="6"/>
      <c r="M74" s="6"/>
      <c r="N74" s="5"/>
    </row>
    <row r="75" spans="2:14" ht="15.75" customHeight="1" thickBot="1" x14ac:dyDescent="0.25"/>
    <row r="76" spans="2:14" ht="39.75" customHeight="1" thickBot="1" x14ac:dyDescent="0.25">
      <c r="B76" s="48" t="s">
        <v>139</v>
      </c>
      <c r="C76" s="49" t="s">
        <v>140</v>
      </c>
      <c r="D76" s="49" t="s">
        <v>141</v>
      </c>
      <c r="E76" s="49" t="s">
        <v>142</v>
      </c>
    </row>
    <row r="77" spans="2:14" ht="39.75" customHeight="1" x14ac:dyDescent="0.2">
      <c r="B77" s="61" t="s">
        <v>97</v>
      </c>
      <c r="C77" s="77"/>
      <c r="D77" s="80" t="s">
        <v>924</v>
      </c>
      <c r="E77" s="81"/>
      <c r="J77" s="7"/>
      <c r="K77" s="7"/>
      <c r="L77" s="7"/>
      <c r="M77" s="7"/>
      <c r="N77" s="7"/>
    </row>
    <row r="78" spans="2:14" ht="39.75" customHeight="1" x14ac:dyDescent="0.2">
      <c r="B78" s="52" t="s">
        <v>1094</v>
      </c>
      <c r="C78" s="78"/>
      <c r="D78" s="80"/>
      <c r="E78" s="82"/>
      <c r="J78" s="7"/>
      <c r="K78" s="7"/>
      <c r="L78" s="7"/>
      <c r="M78" s="7"/>
      <c r="N78" s="7"/>
    </row>
    <row r="79" spans="2:14" ht="39.75" customHeight="1" x14ac:dyDescent="0.2">
      <c r="B79" s="52" t="s">
        <v>1107</v>
      </c>
      <c r="C79" s="78"/>
      <c r="D79" s="80"/>
      <c r="E79" s="82"/>
      <c r="J79" s="7"/>
      <c r="K79" s="7"/>
      <c r="L79" s="7"/>
      <c r="M79" s="7"/>
      <c r="N79" s="7"/>
    </row>
    <row r="80" spans="2:14" ht="39.75" customHeight="1" thickBot="1" x14ac:dyDescent="0.25">
      <c r="B80" s="62" t="s">
        <v>1108</v>
      </c>
      <c r="C80" s="79"/>
      <c r="D80" s="50" t="s">
        <v>562</v>
      </c>
      <c r="E80" s="83"/>
      <c r="J80" s="7"/>
      <c r="K80" s="7"/>
      <c r="L80" s="7"/>
      <c r="M80" s="7"/>
      <c r="N80" s="7"/>
    </row>
    <row r="81" spans="2:14" ht="15.75" customHeight="1" x14ac:dyDescent="0.2">
      <c r="B81" s="9" t="s">
        <v>144</v>
      </c>
      <c r="J81" s="7"/>
      <c r="K81" s="7"/>
      <c r="L81" s="7"/>
      <c r="M81" s="7"/>
      <c r="N81" s="7"/>
    </row>
    <row r="82" spans="2:14" ht="15.75" customHeight="1" x14ac:dyDescent="0.2">
      <c r="J82" s="7"/>
      <c r="K82" s="7"/>
      <c r="L82" s="7"/>
      <c r="M82" s="7"/>
      <c r="N82" s="7"/>
    </row>
    <row r="83" spans="2:14" ht="15.75" customHeight="1" x14ac:dyDescent="0.2">
      <c r="B83" s="9" t="s">
        <v>145</v>
      </c>
      <c r="J83" s="7"/>
      <c r="K83" s="7"/>
      <c r="L83" s="7"/>
      <c r="M83" s="7"/>
      <c r="N83" s="7"/>
    </row>
    <row r="84" spans="2:14" ht="15.75" customHeight="1" x14ac:dyDescent="0.2">
      <c r="B84" s="15" t="s">
        <v>146</v>
      </c>
    </row>
    <row r="85" spans="2:14" ht="15.75" customHeight="1" x14ac:dyDescent="0.2">
      <c r="J85" s="3"/>
    </row>
  </sheetData>
  <mergeCells count="3">
    <mergeCell ref="C77:C80"/>
    <mergeCell ref="D77:D79"/>
    <mergeCell ref="E77:E80"/>
  </mergeCells>
  <hyperlinks>
    <hyperlink ref="G1" location="'Sheet1'!A1" display="Index" xr:uid="{8F40DA49-A879-452F-9F95-32988573806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96E07-620F-41D2-95D7-756EE26B8261}">
  <dimension ref="B1:N8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37</v>
      </c>
      <c r="C1" s="4" t="s">
        <v>1110</v>
      </c>
      <c r="D1" s="4" t="s">
        <v>1109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1183903</v>
      </c>
      <c r="F7" s="30">
        <v>11692.82</v>
      </c>
      <c r="G7" s="31">
        <v>0.1507</v>
      </c>
      <c r="H7" s="32"/>
    </row>
    <row r="8" spans="2:8" ht="15.75" customHeight="1" x14ac:dyDescent="0.2">
      <c r="B8" s="28" t="s">
        <v>167</v>
      </c>
      <c r="C8" s="28" t="s">
        <v>168</v>
      </c>
      <c r="D8" s="28" t="s">
        <v>169</v>
      </c>
      <c r="E8" s="29">
        <v>527846</v>
      </c>
      <c r="F8" s="30">
        <v>7846.43</v>
      </c>
      <c r="G8" s="31">
        <v>0.1011</v>
      </c>
      <c r="H8" s="32"/>
    </row>
    <row r="9" spans="2:8" ht="15.75" customHeight="1" x14ac:dyDescent="0.2">
      <c r="B9" s="28" t="s">
        <v>184</v>
      </c>
      <c r="C9" s="28" t="s">
        <v>185</v>
      </c>
      <c r="D9" s="28" t="s">
        <v>166</v>
      </c>
      <c r="E9" s="29">
        <v>556952</v>
      </c>
      <c r="F9" s="30">
        <v>7491.28</v>
      </c>
      <c r="G9" s="31">
        <v>9.6500000000000002E-2</v>
      </c>
      <c r="H9" s="32"/>
    </row>
    <row r="10" spans="2:8" ht="15.75" customHeight="1" x14ac:dyDescent="0.2">
      <c r="B10" s="28" t="s">
        <v>206</v>
      </c>
      <c r="C10" s="28" t="s">
        <v>207</v>
      </c>
      <c r="D10" s="28" t="s">
        <v>208</v>
      </c>
      <c r="E10" s="29">
        <v>213460</v>
      </c>
      <c r="F10" s="30">
        <v>4385.75</v>
      </c>
      <c r="G10" s="31">
        <v>5.6500000000000002E-2</v>
      </c>
      <c r="H10" s="32"/>
    </row>
    <row r="11" spans="2:8" ht="15.75" customHeight="1" x14ac:dyDescent="0.2">
      <c r="B11" s="28" t="s">
        <v>170</v>
      </c>
      <c r="C11" s="28" t="s">
        <v>171</v>
      </c>
      <c r="D11" s="28" t="s">
        <v>172</v>
      </c>
      <c r="E11" s="29">
        <v>278924</v>
      </c>
      <c r="F11" s="30">
        <v>4135.05</v>
      </c>
      <c r="G11" s="31">
        <v>5.33E-2</v>
      </c>
      <c r="H11" s="32"/>
    </row>
    <row r="12" spans="2:8" ht="15.75" customHeight="1" x14ac:dyDescent="0.2">
      <c r="B12" s="28" t="s">
        <v>324</v>
      </c>
      <c r="C12" s="28" t="s">
        <v>325</v>
      </c>
      <c r="D12" s="28" t="s">
        <v>326</v>
      </c>
      <c r="E12" s="29">
        <v>90830</v>
      </c>
      <c r="F12" s="30">
        <v>3661.54</v>
      </c>
      <c r="G12" s="31">
        <v>4.7199999999999999E-2</v>
      </c>
      <c r="H12" s="32"/>
    </row>
    <row r="13" spans="2:8" ht="15.75" customHeight="1" x14ac:dyDescent="0.2">
      <c r="B13" s="28" t="s">
        <v>214</v>
      </c>
      <c r="C13" s="28" t="s">
        <v>215</v>
      </c>
      <c r="D13" s="28" t="s">
        <v>183</v>
      </c>
      <c r="E13" s="29">
        <v>752696</v>
      </c>
      <c r="F13" s="30">
        <v>3163.2</v>
      </c>
      <c r="G13" s="31">
        <v>4.0800000000000003E-2</v>
      </c>
      <c r="H13" s="32"/>
    </row>
    <row r="14" spans="2:8" ht="15.75" customHeight="1" x14ac:dyDescent="0.2">
      <c r="B14" s="28" t="s">
        <v>204</v>
      </c>
      <c r="C14" s="28" t="s">
        <v>205</v>
      </c>
      <c r="D14" s="28" t="s">
        <v>166</v>
      </c>
      <c r="E14" s="29">
        <v>324222</v>
      </c>
      <c r="F14" s="30">
        <v>3037.96</v>
      </c>
      <c r="G14" s="31">
        <v>3.9199999999999999E-2</v>
      </c>
      <c r="H14" s="32"/>
    </row>
    <row r="15" spans="2:8" ht="15.75" customHeight="1" x14ac:dyDescent="0.2">
      <c r="B15" s="28" t="s">
        <v>179</v>
      </c>
      <c r="C15" s="28" t="s">
        <v>180</v>
      </c>
      <c r="D15" s="28" t="s">
        <v>166</v>
      </c>
      <c r="E15" s="29">
        <v>222177</v>
      </c>
      <c r="F15" s="30">
        <v>2739.44</v>
      </c>
      <c r="G15" s="31">
        <v>3.5299999999999998E-2</v>
      </c>
      <c r="H15" s="32"/>
    </row>
    <row r="16" spans="2:8" ht="15.75" customHeight="1" x14ac:dyDescent="0.2">
      <c r="B16" s="28" t="s">
        <v>305</v>
      </c>
      <c r="C16" s="28" t="s">
        <v>306</v>
      </c>
      <c r="D16" s="28" t="s">
        <v>166</v>
      </c>
      <c r="E16" s="29">
        <v>114948</v>
      </c>
      <c r="F16" s="30">
        <v>2416.15</v>
      </c>
      <c r="G16" s="31">
        <v>3.1099999999999999E-2</v>
      </c>
      <c r="H16" s="32"/>
    </row>
    <row r="17" spans="2:8" ht="15.75" customHeight="1" x14ac:dyDescent="0.2">
      <c r="B17" s="28" t="s">
        <v>199</v>
      </c>
      <c r="C17" s="28" t="s">
        <v>200</v>
      </c>
      <c r="D17" s="28" t="s">
        <v>172</v>
      </c>
      <c r="E17" s="29">
        <v>78794</v>
      </c>
      <c r="F17" s="30">
        <v>2409.36</v>
      </c>
      <c r="G17" s="31">
        <v>3.1099999999999999E-2</v>
      </c>
      <c r="H17" s="32"/>
    </row>
    <row r="18" spans="2:8" ht="15.75" customHeight="1" x14ac:dyDescent="0.2">
      <c r="B18" s="28" t="s">
        <v>186</v>
      </c>
      <c r="C18" s="28" t="s">
        <v>187</v>
      </c>
      <c r="D18" s="28" t="s">
        <v>188</v>
      </c>
      <c r="E18" s="29">
        <v>68731</v>
      </c>
      <c r="F18" s="30">
        <v>2396.1999999999998</v>
      </c>
      <c r="G18" s="31">
        <v>3.09E-2</v>
      </c>
      <c r="H18" s="32"/>
    </row>
    <row r="19" spans="2:8" ht="15.75" customHeight="1" x14ac:dyDescent="0.2">
      <c r="B19" s="28" t="s">
        <v>726</v>
      </c>
      <c r="C19" s="28" t="s">
        <v>727</v>
      </c>
      <c r="D19" s="28" t="s">
        <v>175</v>
      </c>
      <c r="E19" s="29">
        <v>203787</v>
      </c>
      <c r="F19" s="30">
        <v>2124.6799999999998</v>
      </c>
      <c r="G19" s="31">
        <v>2.7400000000000001E-2</v>
      </c>
      <c r="H19" s="32"/>
    </row>
    <row r="20" spans="2:8" ht="15.75" customHeight="1" x14ac:dyDescent="0.2">
      <c r="B20" s="28" t="s">
        <v>238</v>
      </c>
      <c r="C20" s="28" t="s">
        <v>239</v>
      </c>
      <c r="D20" s="28" t="s">
        <v>221</v>
      </c>
      <c r="E20" s="29">
        <v>541873</v>
      </c>
      <c r="F20" s="30">
        <v>1721.8</v>
      </c>
      <c r="G20" s="31">
        <v>2.2200000000000001E-2</v>
      </c>
      <c r="H20" s="32"/>
    </row>
    <row r="21" spans="2:8" ht="15.75" customHeight="1" x14ac:dyDescent="0.2">
      <c r="B21" s="28" t="s">
        <v>181</v>
      </c>
      <c r="C21" s="28" t="s">
        <v>182</v>
      </c>
      <c r="D21" s="28" t="s">
        <v>183</v>
      </c>
      <c r="E21" s="29">
        <v>69563</v>
      </c>
      <c r="F21" s="30">
        <v>1715.88</v>
      </c>
      <c r="G21" s="31">
        <v>2.2100000000000002E-2</v>
      </c>
      <c r="H21" s="32"/>
    </row>
    <row r="22" spans="2:8" ht="15.75" customHeight="1" x14ac:dyDescent="0.2">
      <c r="B22" s="28" t="s">
        <v>563</v>
      </c>
      <c r="C22" s="28" t="s">
        <v>564</v>
      </c>
      <c r="D22" s="28" t="s">
        <v>188</v>
      </c>
      <c r="E22" s="29">
        <v>10254</v>
      </c>
      <c r="F22" s="30">
        <v>1660.32</v>
      </c>
      <c r="G22" s="31">
        <v>2.1399999999999999E-2</v>
      </c>
      <c r="H22" s="32"/>
    </row>
    <row r="23" spans="2:8" ht="15.75" customHeight="1" x14ac:dyDescent="0.2">
      <c r="B23" s="28" t="s">
        <v>332</v>
      </c>
      <c r="C23" s="28" t="s">
        <v>333</v>
      </c>
      <c r="D23" s="28" t="s">
        <v>224</v>
      </c>
      <c r="E23" s="29">
        <v>82571</v>
      </c>
      <c r="F23" s="30">
        <v>1395.33</v>
      </c>
      <c r="G23" s="31">
        <v>1.7999999999999999E-2</v>
      </c>
      <c r="H23" s="32"/>
    </row>
    <row r="24" spans="2:8" ht="15.75" customHeight="1" x14ac:dyDescent="0.2">
      <c r="B24" s="28" t="s">
        <v>250</v>
      </c>
      <c r="C24" s="28" t="s">
        <v>251</v>
      </c>
      <c r="D24" s="28" t="s">
        <v>172</v>
      </c>
      <c r="E24" s="29">
        <v>82356</v>
      </c>
      <c r="F24" s="30">
        <v>1269.44</v>
      </c>
      <c r="G24" s="31">
        <v>1.6400000000000001E-2</v>
      </c>
      <c r="H24" s="32"/>
    </row>
    <row r="25" spans="2:8" ht="15.75" customHeight="1" x14ac:dyDescent="0.2">
      <c r="B25" s="28" t="s">
        <v>334</v>
      </c>
      <c r="C25" s="28" t="s">
        <v>335</v>
      </c>
      <c r="D25" s="28" t="s">
        <v>280</v>
      </c>
      <c r="E25" s="29">
        <v>370169</v>
      </c>
      <c r="F25" s="30">
        <v>1246.9100000000001</v>
      </c>
      <c r="G25" s="31">
        <v>1.61E-2</v>
      </c>
      <c r="H25" s="32"/>
    </row>
    <row r="26" spans="2:8" ht="15.75" customHeight="1" x14ac:dyDescent="0.2">
      <c r="B26" s="28" t="s">
        <v>258</v>
      </c>
      <c r="C26" s="28" t="s">
        <v>259</v>
      </c>
      <c r="D26" s="28" t="s">
        <v>260</v>
      </c>
      <c r="E26" s="29">
        <v>31960</v>
      </c>
      <c r="F26" s="30">
        <v>1196.97</v>
      </c>
      <c r="G26" s="31">
        <v>1.54E-2</v>
      </c>
      <c r="H26" s="32"/>
    </row>
    <row r="27" spans="2:8" ht="15.75" customHeight="1" x14ac:dyDescent="0.2">
      <c r="B27" s="28" t="s">
        <v>216</v>
      </c>
      <c r="C27" s="28" t="s">
        <v>217</v>
      </c>
      <c r="D27" s="28" t="s">
        <v>218</v>
      </c>
      <c r="E27" s="29">
        <v>279833</v>
      </c>
      <c r="F27" s="30">
        <v>1192.51</v>
      </c>
      <c r="G27" s="31">
        <v>1.54E-2</v>
      </c>
      <c r="H27" s="32"/>
    </row>
    <row r="28" spans="2:8" ht="15.75" customHeight="1" x14ac:dyDescent="0.2">
      <c r="B28" s="28" t="s">
        <v>211</v>
      </c>
      <c r="C28" s="28" t="s">
        <v>212</v>
      </c>
      <c r="D28" s="28" t="s">
        <v>213</v>
      </c>
      <c r="E28" s="29">
        <v>643500</v>
      </c>
      <c r="F28" s="30">
        <v>1177.28</v>
      </c>
      <c r="G28" s="31">
        <v>1.52E-2</v>
      </c>
      <c r="H28" s="32"/>
    </row>
    <row r="29" spans="2:8" ht="15.75" customHeight="1" x14ac:dyDescent="0.2">
      <c r="B29" s="28" t="s">
        <v>270</v>
      </c>
      <c r="C29" s="28" t="s">
        <v>271</v>
      </c>
      <c r="D29" s="28" t="s">
        <v>269</v>
      </c>
      <c r="E29" s="29">
        <v>9138</v>
      </c>
      <c r="F29" s="30">
        <v>1091.7</v>
      </c>
      <c r="G29" s="31">
        <v>1.41E-2</v>
      </c>
      <c r="H29" s="32"/>
    </row>
    <row r="30" spans="2:8" ht="15.75" customHeight="1" x14ac:dyDescent="0.2">
      <c r="B30" s="28" t="s">
        <v>902</v>
      </c>
      <c r="C30" s="28" t="s">
        <v>903</v>
      </c>
      <c r="D30" s="28" t="s">
        <v>280</v>
      </c>
      <c r="E30" s="29">
        <v>358511</v>
      </c>
      <c r="F30" s="30">
        <v>1033.05</v>
      </c>
      <c r="G30" s="31">
        <v>1.3299999999999999E-2</v>
      </c>
      <c r="H30" s="32"/>
    </row>
    <row r="31" spans="2:8" ht="15.75" customHeight="1" x14ac:dyDescent="0.2">
      <c r="B31" s="28" t="s">
        <v>904</v>
      </c>
      <c r="C31" s="28" t="s">
        <v>905</v>
      </c>
      <c r="D31" s="28" t="s">
        <v>175</v>
      </c>
      <c r="E31" s="29">
        <v>44770</v>
      </c>
      <c r="F31" s="30">
        <v>934.89</v>
      </c>
      <c r="G31" s="31">
        <v>1.2E-2</v>
      </c>
      <c r="H31" s="32"/>
    </row>
    <row r="32" spans="2:8" ht="15.75" customHeight="1" x14ac:dyDescent="0.2">
      <c r="B32" s="28" t="s">
        <v>906</v>
      </c>
      <c r="C32" s="28" t="s">
        <v>907</v>
      </c>
      <c r="D32" s="28" t="s">
        <v>260</v>
      </c>
      <c r="E32" s="29">
        <v>35083</v>
      </c>
      <c r="F32" s="30">
        <v>880.58</v>
      </c>
      <c r="G32" s="31">
        <v>1.1299999999999999E-2</v>
      </c>
      <c r="H32" s="32"/>
    </row>
    <row r="33" spans="2:8" ht="15.75" customHeight="1" x14ac:dyDescent="0.2">
      <c r="B33" s="28" t="s">
        <v>908</v>
      </c>
      <c r="C33" s="28" t="s">
        <v>909</v>
      </c>
      <c r="D33" s="28" t="s">
        <v>203</v>
      </c>
      <c r="E33" s="29">
        <v>56724</v>
      </c>
      <c r="F33" s="30">
        <v>823.32</v>
      </c>
      <c r="G33" s="31">
        <v>1.06E-2</v>
      </c>
      <c r="H33" s="32"/>
    </row>
    <row r="34" spans="2:8" ht="15.75" customHeight="1" x14ac:dyDescent="0.2">
      <c r="B34" s="28" t="s">
        <v>219</v>
      </c>
      <c r="C34" s="28" t="s">
        <v>220</v>
      </c>
      <c r="D34" s="28" t="s">
        <v>221</v>
      </c>
      <c r="E34" s="29">
        <v>17384</v>
      </c>
      <c r="F34" s="30">
        <v>815.94</v>
      </c>
      <c r="G34" s="31">
        <v>1.0500000000000001E-2</v>
      </c>
      <c r="H34" s="32"/>
    </row>
    <row r="35" spans="2:8" ht="15.75" customHeight="1" x14ac:dyDescent="0.2">
      <c r="B35" s="28" t="s">
        <v>382</v>
      </c>
      <c r="C35" s="28" t="s">
        <v>383</v>
      </c>
      <c r="D35" s="28" t="s">
        <v>172</v>
      </c>
      <c r="E35" s="29">
        <v>49558</v>
      </c>
      <c r="F35" s="30">
        <v>706.1</v>
      </c>
      <c r="G35" s="31">
        <v>9.1000000000000004E-3</v>
      </c>
      <c r="H35" s="32"/>
    </row>
    <row r="36" spans="2:8" ht="15.75" customHeight="1" x14ac:dyDescent="0.2">
      <c r="B36" s="28" t="s">
        <v>1126</v>
      </c>
      <c r="C36" s="28" t="s">
        <v>746</v>
      </c>
      <c r="D36" s="28" t="s">
        <v>578</v>
      </c>
      <c r="E36" s="29">
        <v>166962</v>
      </c>
      <c r="F36" s="30">
        <v>437.27</v>
      </c>
      <c r="G36" s="31">
        <v>5.5999999999999999E-3</v>
      </c>
      <c r="H36" s="32"/>
    </row>
    <row r="37" spans="2:8" ht="15.75" customHeight="1" x14ac:dyDescent="0.2">
      <c r="B37" s="28" t="s">
        <v>915</v>
      </c>
      <c r="C37" s="28" t="s">
        <v>916</v>
      </c>
      <c r="D37" s="28" t="s">
        <v>188</v>
      </c>
      <c r="E37" s="29">
        <v>163126</v>
      </c>
      <c r="F37" s="30">
        <v>668.98</v>
      </c>
      <c r="G37" s="31">
        <v>8.6E-3</v>
      </c>
      <c r="H37" s="32"/>
    </row>
    <row r="38" spans="2:8" ht="15.75" customHeight="1" x14ac:dyDescent="0.2">
      <c r="B38" s="27" t="s">
        <v>127</v>
      </c>
      <c r="C38" s="27"/>
      <c r="D38" s="27"/>
      <c r="E38" s="33"/>
      <c r="F38" s="34">
        <f>SUM(F7:F37)</f>
        <v>77468.130000000019</v>
      </c>
      <c r="G38" s="35">
        <v>0.99829999999999997</v>
      </c>
      <c r="H38" s="36"/>
    </row>
    <row r="39" spans="2:8" ht="15.75" customHeight="1" x14ac:dyDescent="0.2">
      <c r="B39" s="27" t="s">
        <v>189</v>
      </c>
      <c r="C39" s="28"/>
      <c r="D39" s="28"/>
      <c r="E39" s="29"/>
      <c r="F39" s="30"/>
      <c r="G39" s="31"/>
      <c r="H39" s="32"/>
    </row>
    <row r="40" spans="2:8" ht="15.75" customHeight="1" x14ac:dyDescent="0.2">
      <c r="B40" s="27" t="s">
        <v>127</v>
      </c>
      <c r="C40" s="28"/>
      <c r="D40" s="28"/>
      <c r="E40" s="29"/>
      <c r="F40" s="37" t="s">
        <v>129</v>
      </c>
      <c r="G40" s="38" t="s">
        <v>129</v>
      </c>
      <c r="H40" s="32"/>
    </row>
    <row r="41" spans="2:8" ht="15.75" customHeight="1" x14ac:dyDescent="0.2">
      <c r="B41" s="28"/>
      <c r="C41" s="28"/>
      <c r="D41" s="28"/>
      <c r="E41" s="29"/>
      <c r="F41" s="30"/>
      <c r="G41" s="31"/>
      <c r="H41" s="32"/>
    </row>
    <row r="42" spans="2:8" ht="15.75" customHeight="1" x14ac:dyDescent="0.2">
      <c r="B42" s="39" t="s">
        <v>131</v>
      </c>
      <c r="C42" s="39"/>
      <c r="D42" s="39"/>
      <c r="E42" s="40"/>
      <c r="F42" s="34">
        <f>F38</f>
        <v>77468.130000000019</v>
      </c>
      <c r="G42" s="35">
        <f>G38</f>
        <v>0.99829999999999997</v>
      </c>
      <c r="H42" s="36"/>
    </row>
    <row r="43" spans="2:8" ht="15.75" customHeight="1" x14ac:dyDescent="0.2">
      <c r="B43" s="28"/>
      <c r="C43" s="28"/>
      <c r="D43" s="28"/>
      <c r="E43" s="29"/>
      <c r="F43" s="30"/>
      <c r="G43" s="31"/>
      <c r="H43" s="32"/>
    </row>
    <row r="44" spans="2:8" ht="15.75" customHeight="1" x14ac:dyDescent="0.2">
      <c r="B44" s="28"/>
      <c r="C44" s="28"/>
      <c r="D44" s="28"/>
      <c r="E44" s="29"/>
      <c r="F44" s="30"/>
      <c r="G44" s="31"/>
      <c r="H44" s="32"/>
    </row>
    <row r="45" spans="2:8" ht="15.75" customHeight="1" x14ac:dyDescent="0.2">
      <c r="B45" s="27" t="s">
        <v>134</v>
      </c>
      <c r="C45" s="28"/>
      <c r="D45" s="28"/>
      <c r="E45" s="29"/>
      <c r="F45" s="30"/>
      <c r="G45" s="31"/>
      <c r="H45" s="32"/>
    </row>
    <row r="46" spans="2:8" ht="15.75" customHeight="1" x14ac:dyDescent="0.2">
      <c r="B46" s="28" t="s">
        <v>135</v>
      </c>
      <c r="C46" s="28"/>
      <c r="D46" s="28"/>
      <c r="E46" s="29"/>
      <c r="F46" s="30">
        <v>61.18</v>
      </c>
      <c r="G46" s="31">
        <v>8.0000000000000004E-4</v>
      </c>
      <c r="H46" s="32"/>
    </row>
    <row r="47" spans="2:8" ht="15.75" customHeight="1" x14ac:dyDescent="0.2">
      <c r="B47" s="27" t="s">
        <v>127</v>
      </c>
      <c r="C47" s="27"/>
      <c r="D47" s="27"/>
      <c r="E47" s="33"/>
      <c r="F47" s="34">
        <v>61.18</v>
      </c>
      <c r="G47" s="35">
        <v>8.0000000000000004E-4</v>
      </c>
      <c r="H47" s="36"/>
    </row>
    <row r="48" spans="2:8" ht="15.75" customHeight="1" x14ac:dyDescent="0.2">
      <c r="B48" s="28"/>
      <c r="C48" s="28"/>
      <c r="D48" s="28"/>
      <c r="E48" s="29"/>
      <c r="F48" s="30"/>
      <c r="G48" s="31"/>
      <c r="H48" s="32"/>
    </row>
    <row r="49" spans="2:8" ht="15.75" customHeight="1" x14ac:dyDescent="0.2">
      <c r="B49" s="39" t="s">
        <v>131</v>
      </c>
      <c r="C49" s="39"/>
      <c r="D49" s="39"/>
      <c r="E49" s="40"/>
      <c r="F49" s="34">
        <v>61.18</v>
      </c>
      <c r="G49" s="35">
        <v>8.0000000000000004E-4</v>
      </c>
      <c r="H49" s="36"/>
    </row>
    <row r="50" spans="2:8" ht="15.75" customHeight="1" x14ac:dyDescent="0.2">
      <c r="B50" s="28" t="s">
        <v>136</v>
      </c>
      <c r="C50" s="28"/>
      <c r="D50" s="28"/>
      <c r="E50" s="29"/>
      <c r="F50" s="30">
        <v>66.59</v>
      </c>
      <c r="G50" s="31">
        <v>9.000000000000119E-4</v>
      </c>
      <c r="H50" s="32"/>
    </row>
    <row r="51" spans="2:8" ht="15.75" customHeight="1" x14ac:dyDescent="0.2">
      <c r="B51" s="43" t="s">
        <v>137</v>
      </c>
      <c r="C51" s="43"/>
      <c r="D51" s="43"/>
      <c r="E51" s="44"/>
      <c r="F51" s="45">
        <v>77595.899999999994</v>
      </c>
      <c r="G51" s="46">
        <v>1</v>
      </c>
      <c r="H51" s="47"/>
    </row>
    <row r="52" spans="2:8" ht="15.75" customHeight="1" x14ac:dyDescent="0.2">
      <c r="B52" s="2"/>
    </row>
    <row r="55" spans="2:8" ht="15.75" customHeight="1" thickBot="1" x14ac:dyDescent="0.25"/>
    <row r="56" spans="2:8" ht="39.75" customHeight="1" thickBot="1" x14ac:dyDescent="0.25">
      <c r="B56" s="48" t="s">
        <v>139</v>
      </c>
      <c r="C56" s="49" t="s">
        <v>140</v>
      </c>
      <c r="D56" s="49" t="s">
        <v>141</v>
      </c>
      <c r="E56" s="49" t="s">
        <v>142</v>
      </c>
    </row>
    <row r="57" spans="2:8" ht="39.75" customHeight="1" x14ac:dyDescent="0.2">
      <c r="B57" s="61" t="s">
        <v>99</v>
      </c>
      <c r="C57" s="77"/>
      <c r="D57" s="80" t="s">
        <v>926</v>
      </c>
      <c r="E57" s="81"/>
    </row>
    <row r="58" spans="2:8" ht="39.75" customHeight="1" x14ac:dyDescent="0.2">
      <c r="B58" s="52" t="s">
        <v>1094</v>
      </c>
      <c r="C58" s="78"/>
      <c r="D58" s="80"/>
      <c r="E58" s="82"/>
    </row>
    <row r="59" spans="2:8" ht="39.75" customHeight="1" x14ac:dyDescent="0.2">
      <c r="B59" s="52" t="s">
        <v>1111</v>
      </c>
      <c r="C59" s="78"/>
      <c r="D59" s="80"/>
      <c r="E59" s="82"/>
    </row>
    <row r="60" spans="2:8" ht="39.75" customHeight="1" thickBot="1" x14ac:dyDescent="0.25">
      <c r="B60" s="62" t="s">
        <v>1108</v>
      </c>
      <c r="C60" s="79"/>
      <c r="D60" s="50" t="s">
        <v>562</v>
      </c>
      <c r="E60" s="83"/>
    </row>
    <row r="61" spans="2:8" ht="15.75" customHeight="1" x14ac:dyDescent="0.2">
      <c r="B61" s="9" t="s">
        <v>144</v>
      </c>
    </row>
    <row r="63" spans="2:8" ht="15.75" customHeight="1" x14ac:dyDescent="0.2">
      <c r="B63" s="9" t="s">
        <v>145</v>
      </c>
    </row>
    <row r="64" spans="2:8" ht="15.75" customHeight="1" x14ac:dyDescent="0.2">
      <c r="B64" s="15" t="s">
        <v>146</v>
      </c>
    </row>
    <row r="67" spans="10:14" ht="15.75" customHeight="1" x14ac:dyDescent="0.2">
      <c r="J67" s="3"/>
    </row>
    <row r="69" spans="10:14" ht="15.75" customHeight="1" x14ac:dyDescent="0.2">
      <c r="J69"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5"/>
      <c r="K74" s="5"/>
      <c r="L74" s="6"/>
      <c r="M74" s="6"/>
      <c r="N74" s="5"/>
    </row>
    <row r="77" spans="10:14" ht="15.75" customHeight="1" x14ac:dyDescent="0.2">
      <c r="J77" s="7"/>
      <c r="K77" s="7"/>
      <c r="L77" s="7"/>
      <c r="M77" s="7"/>
      <c r="N77" s="7"/>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5" spans="10:14" ht="15.75" customHeight="1" x14ac:dyDescent="0.2">
      <c r="J85" s="3"/>
    </row>
  </sheetData>
  <mergeCells count="3">
    <mergeCell ref="C57:C60"/>
    <mergeCell ref="D57:D59"/>
    <mergeCell ref="E57:E60"/>
  </mergeCells>
  <hyperlinks>
    <hyperlink ref="G1" location="'Sheet1'!A1" display="Index" xr:uid="{8A880DF2-F933-41BD-82A2-8978BB58BE4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83BD4-5F40-44E4-9360-1F4210BB64AD}">
  <dimension ref="B1:N101"/>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184</v>
      </c>
      <c r="C7" s="28" t="s">
        <v>185</v>
      </c>
      <c r="D7" s="28" t="s">
        <v>166</v>
      </c>
      <c r="E7" s="29">
        <v>280939</v>
      </c>
      <c r="F7" s="30">
        <v>3779.47</v>
      </c>
      <c r="G7" s="31">
        <v>8.0399999999999999E-2</v>
      </c>
      <c r="H7" s="32"/>
    </row>
    <row r="8" spans="2:8" ht="15.75" customHeight="1" x14ac:dyDescent="0.2">
      <c r="B8" s="28" t="s">
        <v>164</v>
      </c>
      <c r="C8" s="28" t="s">
        <v>165</v>
      </c>
      <c r="D8" s="28" t="s">
        <v>166</v>
      </c>
      <c r="E8" s="29">
        <v>252475</v>
      </c>
      <c r="F8" s="30">
        <v>2492.69</v>
      </c>
      <c r="G8" s="31">
        <v>5.2999999999999999E-2</v>
      </c>
      <c r="H8" s="32"/>
    </row>
    <row r="9" spans="2:8" ht="15.75" customHeight="1" x14ac:dyDescent="0.2">
      <c r="B9" s="28" t="s">
        <v>170</v>
      </c>
      <c r="C9" s="28" t="s">
        <v>171</v>
      </c>
      <c r="D9" s="28" t="s">
        <v>172</v>
      </c>
      <c r="E9" s="29">
        <v>115603</v>
      </c>
      <c r="F9" s="30">
        <v>1713.58</v>
      </c>
      <c r="G9" s="31">
        <v>3.6499999999999998E-2</v>
      </c>
      <c r="H9" s="32"/>
    </row>
    <row r="10" spans="2:8" ht="15.75" customHeight="1" x14ac:dyDescent="0.2">
      <c r="B10" s="28" t="s">
        <v>219</v>
      </c>
      <c r="C10" s="28" t="s">
        <v>220</v>
      </c>
      <c r="D10" s="28" t="s">
        <v>221</v>
      </c>
      <c r="E10" s="29">
        <v>35415</v>
      </c>
      <c r="F10" s="30">
        <v>1662.49</v>
      </c>
      <c r="G10" s="31">
        <v>3.5400000000000001E-2</v>
      </c>
      <c r="H10" s="32"/>
    </row>
    <row r="11" spans="2:8" ht="15.75" customHeight="1" x14ac:dyDescent="0.2">
      <c r="B11" s="28" t="s">
        <v>726</v>
      </c>
      <c r="C11" s="28" t="s">
        <v>727</v>
      </c>
      <c r="D11" s="28" t="s">
        <v>175</v>
      </c>
      <c r="E11" s="29">
        <v>130588</v>
      </c>
      <c r="F11" s="30">
        <v>1361.77</v>
      </c>
      <c r="G11" s="31">
        <v>2.9000000000000001E-2</v>
      </c>
      <c r="H11" s="32"/>
    </row>
    <row r="12" spans="2:8" ht="15.75" customHeight="1" x14ac:dyDescent="0.2">
      <c r="B12" s="28" t="s">
        <v>216</v>
      </c>
      <c r="C12" s="28" t="s">
        <v>217</v>
      </c>
      <c r="D12" s="28" t="s">
        <v>218</v>
      </c>
      <c r="E12" s="29">
        <v>318313</v>
      </c>
      <c r="F12" s="30">
        <v>1356.33</v>
      </c>
      <c r="G12" s="31">
        <v>2.8899999999999999E-2</v>
      </c>
      <c r="H12" s="32"/>
    </row>
    <row r="13" spans="2:8" ht="15.75" customHeight="1" x14ac:dyDescent="0.2">
      <c r="B13" s="28" t="s">
        <v>272</v>
      </c>
      <c r="C13" s="28" t="s">
        <v>273</v>
      </c>
      <c r="D13" s="28" t="s">
        <v>224</v>
      </c>
      <c r="E13" s="29">
        <v>19006</v>
      </c>
      <c r="F13" s="30">
        <v>1280.6199999999999</v>
      </c>
      <c r="G13" s="31">
        <v>2.7199999999999998E-2</v>
      </c>
      <c r="H13" s="32"/>
    </row>
    <row r="14" spans="2:8" ht="15.75" customHeight="1" x14ac:dyDescent="0.2">
      <c r="B14" s="28" t="s">
        <v>733</v>
      </c>
      <c r="C14" s="28" t="s">
        <v>734</v>
      </c>
      <c r="D14" s="28" t="s">
        <v>329</v>
      </c>
      <c r="E14" s="29">
        <v>144091</v>
      </c>
      <c r="F14" s="30">
        <v>1139.26</v>
      </c>
      <c r="G14" s="31">
        <v>2.4199999999999999E-2</v>
      </c>
      <c r="H14" s="32"/>
    </row>
    <row r="15" spans="2:8" ht="15.75" customHeight="1" x14ac:dyDescent="0.2">
      <c r="B15" s="28" t="s">
        <v>258</v>
      </c>
      <c r="C15" s="28" t="s">
        <v>259</v>
      </c>
      <c r="D15" s="28" t="s">
        <v>260</v>
      </c>
      <c r="E15" s="29">
        <v>30123</v>
      </c>
      <c r="F15" s="30">
        <v>1128.6199999999999</v>
      </c>
      <c r="G15" s="31">
        <v>2.4E-2</v>
      </c>
      <c r="H15" s="32"/>
    </row>
    <row r="16" spans="2:8" ht="15.75" customHeight="1" x14ac:dyDescent="0.2">
      <c r="B16" s="28" t="s">
        <v>179</v>
      </c>
      <c r="C16" s="28" t="s">
        <v>180</v>
      </c>
      <c r="D16" s="28" t="s">
        <v>166</v>
      </c>
      <c r="E16" s="29">
        <v>88025</v>
      </c>
      <c r="F16" s="30">
        <v>1085.17</v>
      </c>
      <c r="G16" s="31">
        <v>2.3099999999999999E-2</v>
      </c>
      <c r="H16" s="32"/>
    </row>
    <row r="17" spans="2:8" ht="15.75" customHeight="1" x14ac:dyDescent="0.2">
      <c r="B17" s="28" t="s">
        <v>206</v>
      </c>
      <c r="C17" s="28" t="s">
        <v>207</v>
      </c>
      <c r="D17" s="28" t="s">
        <v>208</v>
      </c>
      <c r="E17" s="29">
        <v>51632</v>
      </c>
      <c r="F17" s="30">
        <v>1060.78</v>
      </c>
      <c r="G17" s="31">
        <v>2.2599999999999999E-2</v>
      </c>
      <c r="H17" s="32"/>
    </row>
    <row r="18" spans="2:8" ht="15.75" customHeight="1" x14ac:dyDescent="0.2">
      <c r="B18" s="28" t="s">
        <v>374</v>
      </c>
      <c r="C18" s="28" t="s">
        <v>375</v>
      </c>
      <c r="D18" s="28" t="s">
        <v>349</v>
      </c>
      <c r="E18" s="29">
        <v>36119</v>
      </c>
      <c r="F18" s="30">
        <v>1058.47</v>
      </c>
      <c r="G18" s="31">
        <v>2.2499999999999999E-2</v>
      </c>
      <c r="H18" s="32"/>
    </row>
    <row r="19" spans="2:8" ht="15.75" customHeight="1" x14ac:dyDescent="0.2">
      <c r="B19" s="28" t="s">
        <v>199</v>
      </c>
      <c r="C19" s="28" t="s">
        <v>200</v>
      </c>
      <c r="D19" s="28" t="s">
        <v>172</v>
      </c>
      <c r="E19" s="29">
        <v>33585</v>
      </c>
      <c r="F19" s="30">
        <v>1027.03</v>
      </c>
      <c r="G19" s="31">
        <v>2.18E-2</v>
      </c>
      <c r="H19" s="32"/>
    </row>
    <row r="20" spans="2:8" ht="15.75" customHeight="1" x14ac:dyDescent="0.2">
      <c r="B20" s="28" t="s">
        <v>1057</v>
      </c>
      <c r="C20" s="28" t="s">
        <v>1058</v>
      </c>
      <c r="D20" s="28" t="s">
        <v>221</v>
      </c>
      <c r="E20" s="29">
        <v>23638</v>
      </c>
      <c r="F20" s="30">
        <v>981.8</v>
      </c>
      <c r="G20" s="31">
        <v>2.0899999999999998E-2</v>
      </c>
      <c r="H20" s="32"/>
    </row>
    <row r="21" spans="2:8" ht="15.75" customHeight="1" x14ac:dyDescent="0.2">
      <c r="B21" s="28" t="s">
        <v>489</v>
      </c>
      <c r="C21" s="28" t="s">
        <v>490</v>
      </c>
      <c r="D21" s="28" t="s">
        <v>349</v>
      </c>
      <c r="E21" s="29">
        <v>55439</v>
      </c>
      <c r="F21" s="30">
        <v>916.02</v>
      </c>
      <c r="G21" s="31">
        <v>1.95E-2</v>
      </c>
      <c r="H21" s="32"/>
    </row>
    <row r="22" spans="2:8" ht="15.75" customHeight="1" x14ac:dyDescent="0.2">
      <c r="B22" s="28" t="s">
        <v>340</v>
      </c>
      <c r="C22" s="28" t="s">
        <v>341</v>
      </c>
      <c r="D22" s="28" t="s">
        <v>263</v>
      </c>
      <c r="E22" s="29">
        <v>64480</v>
      </c>
      <c r="F22" s="30">
        <v>896.98</v>
      </c>
      <c r="G22" s="31">
        <v>1.9099999999999999E-2</v>
      </c>
      <c r="H22" s="32"/>
    </row>
    <row r="23" spans="2:8" ht="15.75" customHeight="1" x14ac:dyDescent="0.2">
      <c r="B23" s="28" t="s">
        <v>563</v>
      </c>
      <c r="C23" s="28" t="s">
        <v>564</v>
      </c>
      <c r="D23" s="28" t="s">
        <v>188</v>
      </c>
      <c r="E23" s="29">
        <v>5008</v>
      </c>
      <c r="F23" s="30">
        <v>810.59</v>
      </c>
      <c r="G23" s="31">
        <v>1.72E-2</v>
      </c>
      <c r="H23" s="32"/>
    </row>
    <row r="24" spans="2:8" ht="15.75" customHeight="1" x14ac:dyDescent="0.2">
      <c r="B24" s="28" t="s">
        <v>167</v>
      </c>
      <c r="C24" s="28" t="s">
        <v>168</v>
      </c>
      <c r="D24" s="28" t="s">
        <v>169</v>
      </c>
      <c r="E24" s="29">
        <v>49737</v>
      </c>
      <c r="F24" s="30">
        <v>739.29</v>
      </c>
      <c r="G24" s="31">
        <v>1.5699999999999999E-2</v>
      </c>
      <c r="H24" s="32"/>
    </row>
    <row r="25" spans="2:8" ht="15.75" customHeight="1" x14ac:dyDescent="0.2">
      <c r="B25" s="28" t="s">
        <v>904</v>
      </c>
      <c r="C25" s="28" t="s">
        <v>905</v>
      </c>
      <c r="D25" s="28" t="s">
        <v>175</v>
      </c>
      <c r="E25" s="29">
        <v>34431</v>
      </c>
      <c r="F25" s="30">
        <v>719.02</v>
      </c>
      <c r="G25" s="31">
        <v>1.5299999999999999E-2</v>
      </c>
      <c r="H25" s="32"/>
    </row>
    <row r="26" spans="2:8" ht="15.75" customHeight="1" x14ac:dyDescent="0.2">
      <c r="B26" s="28" t="s">
        <v>498</v>
      </c>
      <c r="C26" s="28" t="s">
        <v>499</v>
      </c>
      <c r="D26" s="28" t="s">
        <v>224</v>
      </c>
      <c r="E26" s="29">
        <v>12748</v>
      </c>
      <c r="F26" s="30">
        <v>701.97</v>
      </c>
      <c r="G26" s="31">
        <v>1.49E-2</v>
      </c>
      <c r="H26" s="32"/>
    </row>
    <row r="27" spans="2:8" ht="15.75" customHeight="1" x14ac:dyDescent="0.2">
      <c r="B27" s="28" t="s">
        <v>376</v>
      </c>
      <c r="C27" s="28" t="s">
        <v>377</v>
      </c>
      <c r="D27" s="28" t="s">
        <v>326</v>
      </c>
      <c r="E27" s="29">
        <v>52545</v>
      </c>
      <c r="F27" s="30">
        <v>693.12</v>
      </c>
      <c r="G27" s="31">
        <v>1.47E-2</v>
      </c>
      <c r="H27" s="32"/>
    </row>
    <row r="28" spans="2:8" ht="15.75" customHeight="1" x14ac:dyDescent="0.2">
      <c r="B28" s="28" t="s">
        <v>337</v>
      </c>
      <c r="C28" s="28" t="s">
        <v>338</v>
      </c>
      <c r="D28" s="28" t="s">
        <v>339</v>
      </c>
      <c r="E28" s="29">
        <v>57866</v>
      </c>
      <c r="F28" s="30">
        <v>674.14</v>
      </c>
      <c r="G28" s="31">
        <v>1.43E-2</v>
      </c>
      <c r="H28" s="32"/>
    </row>
    <row r="29" spans="2:8" ht="15.75" customHeight="1" x14ac:dyDescent="0.2">
      <c r="B29" s="28" t="s">
        <v>305</v>
      </c>
      <c r="C29" s="28" t="s">
        <v>306</v>
      </c>
      <c r="D29" s="28" t="s">
        <v>166</v>
      </c>
      <c r="E29" s="29">
        <v>31501</v>
      </c>
      <c r="F29" s="30">
        <v>662.21</v>
      </c>
      <c r="G29" s="31">
        <v>1.41E-2</v>
      </c>
      <c r="H29" s="32"/>
    </row>
    <row r="30" spans="2:8" ht="15.75" customHeight="1" x14ac:dyDescent="0.2">
      <c r="B30" s="28" t="s">
        <v>330</v>
      </c>
      <c r="C30" s="28" t="s">
        <v>331</v>
      </c>
      <c r="D30" s="28" t="s">
        <v>329</v>
      </c>
      <c r="E30" s="29">
        <v>19386</v>
      </c>
      <c r="F30" s="30">
        <v>661.41</v>
      </c>
      <c r="G30" s="31">
        <v>1.41E-2</v>
      </c>
      <c r="H30" s="32"/>
    </row>
    <row r="31" spans="2:8" ht="15.75" customHeight="1" x14ac:dyDescent="0.2">
      <c r="B31" s="28" t="s">
        <v>440</v>
      </c>
      <c r="C31" s="28" t="s">
        <v>441</v>
      </c>
      <c r="D31" s="28" t="s">
        <v>442</v>
      </c>
      <c r="E31" s="29">
        <v>20231</v>
      </c>
      <c r="F31" s="30">
        <v>622.65</v>
      </c>
      <c r="G31" s="31">
        <v>1.32E-2</v>
      </c>
      <c r="H31" s="32"/>
    </row>
    <row r="32" spans="2:8" ht="15.75" customHeight="1" x14ac:dyDescent="0.2">
      <c r="B32" s="28" t="s">
        <v>650</v>
      </c>
      <c r="C32" s="28" t="s">
        <v>651</v>
      </c>
      <c r="D32" s="28" t="s">
        <v>349</v>
      </c>
      <c r="E32" s="29">
        <v>10892</v>
      </c>
      <c r="F32" s="30">
        <v>619.47</v>
      </c>
      <c r="G32" s="31">
        <v>1.32E-2</v>
      </c>
      <c r="H32" s="32"/>
    </row>
    <row r="33" spans="2:8" ht="15.75" customHeight="1" x14ac:dyDescent="0.2">
      <c r="B33" s="28" t="s">
        <v>816</v>
      </c>
      <c r="C33" s="28" t="s">
        <v>817</v>
      </c>
      <c r="D33" s="28" t="s">
        <v>300</v>
      </c>
      <c r="E33" s="29">
        <v>48673</v>
      </c>
      <c r="F33" s="30">
        <v>584.41999999999996</v>
      </c>
      <c r="G33" s="31">
        <v>1.24E-2</v>
      </c>
      <c r="H33" s="32"/>
    </row>
    <row r="34" spans="2:8" ht="15.75" customHeight="1" x14ac:dyDescent="0.2">
      <c r="B34" s="28" t="s">
        <v>204</v>
      </c>
      <c r="C34" s="28" t="s">
        <v>205</v>
      </c>
      <c r="D34" s="28" t="s">
        <v>166</v>
      </c>
      <c r="E34" s="29">
        <v>62338</v>
      </c>
      <c r="F34" s="30">
        <v>584.11</v>
      </c>
      <c r="G34" s="31">
        <v>1.24E-2</v>
      </c>
      <c r="H34" s="32"/>
    </row>
    <row r="35" spans="2:8" ht="15.75" customHeight="1" x14ac:dyDescent="0.2">
      <c r="B35" s="28" t="s">
        <v>737</v>
      </c>
      <c r="C35" s="28" t="s">
        <v>738</v>
      </c>
      <c r="D35" s="28" t="s">
        <v>349</v>
      </c>
      <c r="E35" s="29">
        <v>39617</v>
      </c>
      <c r="F35" s="30">
        <v>572.30999999999995</v>
      </c>
      <c r="G35" s="31">
        <v>1.2200000000000001E-2</v>
      </c>
      <c r="H35" s="32"/>
    </row>
    <row r="36" spans="2:8" ht="15.75" customHeight="1" x14ac:dyDescent="0.2">
      <c r="B36" s="28" t="s">
        <v>181</v>
      </c>
      <c r="C36" s="28" t="s">
        <v>182</v>
      </c>
      <c r="D36" s="28" t="s">
        <v>183</v>
      </c>
      <c r="E36" s="29">
        <v>21577</v>
      </c>
      <c r="F36" s="30">
        <v>531.98</v>
      </c>
      <c r="G36" s="31">
        <v>1.1299999999999999E-2</v>
      </c>
      <c r="H36" s="32"/>
    </row>
    <row r="37" spans="2:8" ht="15.75" customHeight="1" x14ac:dyDescent="0.2">
      <c r="B37" s="28" t="s">
        <v>240</v>
      </c>
      <c r="C37" s="28" t="s">
        <v>241</v>
      </c>
      <c r="D37" s="28" t="s">
        <v>172</v>
      </c>
      <c r="E37" s="29">
        <v>29690</v>
      </c>
      <c r="F37" s="30">
        <v>527.91999999999996</v>
      </c>
      <c r="G37" s="31">
        <v>1.12E-2</v>
      </c>
      <c r="H37" s="32"/>
    </row>
    <row r="38" spans="2:8" ht="15.75" customHeight="1" x14ac:dyDescent="0.2">
      <c r="B38" s="28" t="s">
        <v>1112</v>
      </c>
      <c r="C38" s="28" t="s">
        <v>1113</v>
      </c>
      <c r="D38" s="28" t="s">
        <v>329</v>
      </c>
      <c r="E38" s="29">
        <v>56968</v>
      </c>
      <c r="F38" s="30">
        <v>513</v>
      </c>
      <c r="G38" s="31">
        <v>1.09E-2</v>
      </c>
      <c r="H38" s="32"/>
    </row>
    <row r="39" spans="2:8" ht="15.75" customHeight="1" x14ac:dyDescent="0.2">
      <c r="B39" s="28" t="s">
        <v>357</v>
      </c>
      <c r="C39" s="28" t="s">
        <v>358</v>
      </c>
      <c r="D39" s="28" t="s">
        <v>175</v>
      </c>
      <c r="E39" s="29">
        <v>52711</v>
      </c>
      <c r="F39" s="30">
        <v>463.15</v>
      </c>
      <c r="G39" s="31">
        <v>9.9000000000000008E-3</v>
      </c>
      <c r="H39" s="32"/>
    </row>
    <row r="40" spans="2:8" ht="15.75" customHeight="1" x14ac:dyDescent="0.2">
      <c r="B40" s="28" t="s">
        <v>368</v>
      </c>
      <c r="C40" s="28" t="s">
        <v>369</v>
      </c>
      <c r="D40" s="28" t="s">
        <v>175</v>
      </c>
      <c r="E40" s="29">
        <v>32369</v>
      </c>
      <c r="F40" s="30">
        <v>460.81</v>
      </c>
      <c r="G40" s="31">
        <v>9.7999999999999997E-3</v>
      </c>
      <c r="H40" s="32"/>
    </row>
    <row r="41" spans="2:8" ht="15.75" customHeight="1" x14ac:dyDescent="0.2">
      <c r="B41" s="28" t="s">
        <v>491</v>
      </c>
      <c r="C41" s="28" t="s">
        <v>492</v>
      </c>
      <c r="D41" s="28" t="s">
        <v>166</v>
      </c>
      <c r="E41" s="29">
        <v>173028</v>
      </c>
      <c r="F41" s="30">
        <v>409.4</v>
      </c>
      <c r="G41" s="31">
        <v>8.6999999999999994E-3</v>
      </c>
      <c r="H41" s="32"/>
    </row>
    <row r="42" spans="2:8" ht="15.75" customHeight="1" x14ac:dyDescent="0.2">
      <c r="B42" s="28" t="s">
        <v>593</v>
      </c>
      <c r="C42" s="28" t="s">
        <v>594</v>
      </c>
      <c r="D42" s="28" t="s">
        <v>263</v>
      </c>
      <c r="E42" s="29">
        <v>55635</v>
      </c>
      <c r="F42" s="30">
        <v>406.47</v>
      </c>
      <c r="G42" s="31">
        <v>8.6E-3</v>
      </c>
      <c r="H42" s="32"/>
    </row>
    <row r="43" spans="2:8" ht="15.75" customHeight="1" x14ac:dyDescent="0.2">
      <c r="B43" s="28" t="s">
        <v>469</v>
      </c>
      <c r="C43" s="28" t="s">
        <v>470</v>
      </c>
      <c r="D43" s="28" t="s">
        <v>221</v>
      </c>
      <c r="E43" s="29">
        <v>73943</v>
      </c>
      <c r="F43" s="30">
        <v>371.82</v>
      </c>
      <c r="G43" s="31">
        <v>7.9000000000000008E-3</v>
      </c>
      <c r="H43" s="32"/>
    </row>
    <row r="44" spans="2:8" ht="15.75" customHeight="1" x14ac:dyDescent="0.2">
      <c r="B44" s="28" t="s">
        <v>605</v>
      </c>
      <c r="C44" s="28" t="s">
        <v>606</v>
      </c>
      <c r="D44" s="28" t="s">
        <v>430</v>
      </c>
      <c r="E44" s="29">
        <v>89161</v>
      </c>
      <c r="F44" s="30">
        <v>220.73</v>
      </c>
      <c r="G44" s="31">
        <v>4.7000000000000002E-3</v>
      </c>
      <c r="H44" s="32"/>
    </row>
    <row r="45" spans="2:8" ht="15.75" customHeight="1" x14ac:dyDescent="0.2">
      <c r="B45" s="28" t="s">
        <v>327</v>
      </c>
      <c r="C45" s="28" t="s">
        <v>328</v>
      </c>
      <c r="D45" s="28" t="s">
        <v>329</v>
      </c>
      <c r="E45" s="29">
        <v>23483</v>
      </c>
      <c r="F45" s="30">
        <v>192.43</v>
      </c>
      <c r="G45" s="31">
        <v>4.1000000000000003E-3</v>
      </c>
      <c r="H45" s="32"/>
    </row>
    <row r="46" spans="2:8" ht="15.75" customHeight="1" x14ac:dyDescent="0.2">
      <c r="B46" s="28" t="s">
        <v>419</v>
      </c>
      <c r="C46" s="28" t="s">
        <v>420</v>
      </c>
      <c r="D46" s="28" t="s">
        <v>224</v>
      </c>
      <c r="E46" s="29">
        <v>5296</v>
      </c>
      <c r="F46" s="30">
        <v>188.54</v>
      </c>
      <c r="G46" s="31">
        <v>4.0000000000000001E-3</v>
      </c>
      <c r="H46" s="32"/>
    </row>
    <row r="47" spans="2:8" ht="15.75" customHeight="1" x14ac:dyDescent="0.2">
      <c r="B47" s="28" t="s">
        <v>940</v>
      </c>
      <c r="C47" s="28" t="s">
        <v>941</v>
      </c>
      <c r="D47" s="28" t="s">
        <v>178</v>
      </c>
      <c r="E47" s="29">
        <v>7254</v>
      </c>
      <c r="F47" s="30">
        <v>155.29</v>
      </c>
      <c r="G47" s="31">
        <v>3.3E-3</v>
      </c>
      <c r="H47" s="32"/>
    </row>
    <row r="48" spans="2:8" ht="15.75" customHeight="1" x14ac:dyDescent="0.2">
      <c r="B48" s="28" t="s">
        <v>802</v>
      </c>
      <c r="C48" s="28" t="s">
        <v>803</v>
      </c>
      <c r="D48" s="28" t="s">
        <v>290</v>
      </c>
      <c r="E48" s="29">
        <v>17226</v>
      </c>
      <c r="F48" s="30">
        <v>144.1</v>
      </c>
      <c r="G48" s="31">
        <v>3.0999999999999999E-3</v>
      </c>
      <c r="H48" s="32"/>
    </row>
    <row r="49" spans="2:8" ht="15.75" customHeight="1" x14ac:dyDescent="0.2">
      <c r="B49" s="28" t="s">
        <v>1114</v>
      </c>
      <c r="C49" s="28" t="s">
        <v>1115</v>
      </c>
      <c r="D49" s="28" t="s">
        <v>260</v>
      </c>
      <c r="E49" s="29">
        <v>26560</v>
      </c>
      <c r="F49" s="30">
        <v>136.44999999999999</v>
      </c>
      <c r="G49" s="31">
        <v>2.8999999999999998E-3</v>
      </c>
      <c r="H49" s="32"/>
    </row>
    <row r="50" spans="2:8" ht="15.75" customHeight="1" x14ac:dyDescent="0.2">
      <c r="B50" s="28" t="s">
        <v>1125</v>
      </c>
      <c r="C50" s="28" t="s">
        <v>745</v>
      </c>
      <c r="D50" s="28" t="s">
        <v>329</v>
      </c>
      <c r="E50" s="29">
        <v>7346</v>
      </c>
      <c r="F50" s="30">
        <v>198.96</v>
      </c>
      <c r="G50" s="31">
        <v>4.1999999999999997E-3</v>
      </c>
      <c r="H50" s="32"/>
    </row>
    <row r="51" spans="2:8" ht="15.75" customHeight="1" x14ac:dyDescent="0.2">
      <c r="B51" s="28" t="s">
        <v>372</v>
      </c>
      <c r="C51" s="28" t="s">
        <v>373</v>
      </c>
      <c r="D51" s="28" t="s">
        <v>290</v>
      </c>
      <c r="E51" s="29">
        <v>2470</v>
      </c>
      <c r="F51" s="30">
        <v>74.680000000000007</v>
      </c>
      <c r="G51" s="31">
        <v>1.6000000000000001E-3</v>
      </c>
      <c r="H51" s="32"/>
    </row>
    <row r="52" spans="2:8" ht="15.75" customHeight="1" x14ac:dyDescent="0.2">
      <c r="B52" s="27" t="s">
        <v>127</v>
      </c>
      <c r="C52" s="27"/>
      <c r="D52" s="27"/>
      <c r="E52" s="33"/>
      <c r="F52" s="34">
        <f>SUM(F7:F51)</f>
        <v>36581.520000000004</v>
      </c>
      <c r="G52" s="35">
        <v>0.7782</v>
      </c>
      <c r="H52" s="36"/>
    </row>
    <row r="53" spans="2:8" ht="15.75" customHeight="1" x14ac:dyDescent="0.2">
      <c r="B53" s="27" t="s">
        <v>189</v>
      </c>
      <c r="C53" s="28"/>
      <c r="D53" s="28"/>
      <c r="E53" s="29"/>
      <c r="F53" s="30"/>
      <c r="G53" s="31"/>
      <c r="H53" s="32"/>
    </row>
    <row r="54" spans="2:8" ht="15.75" customHeight="1" x14ac:dyDescent="0.2">
      <c r="B54" s="27" t="s">
        <v>127</v>
      </c>
      <c r="C54" s="28"/>
      <c r="D54" s="28"/>
      <c r="E54" s="29"/>
      <c r="F54" s="37" t="s">
        <v>129</v>
      </c>
      <c r="G54" s="38" t="s">
        <v>129</v>
      </c>
      <c r="H54" s="32"/>
    </row>
    <row r="55" spans="2:8" ht="15.75" customHeight="1" x14ac:dyDescent="0.2">
      <c r="B55" s="28"/>
      <c r="C55" s="28"/>
      <c r="D55" s="28"/>
      <c r="E55" s="29"/>
      <c r="F55" s="30"/>
      <c r="G55" s="31"/>
      <c r="H55" s="32"/>
    </row>
    <row r="56" spans="2:8" ht="15.75" customHeight="1" x14ac:dyDescent="0.2">
      <c r="B56" s="39" t="s">
        <v>131</v>
      </c>
      <c r="C56" s="39"/>
      <c r="D56" s="39"/>
      <c r="E56" s="40"/>
      <c r="F56" s="34">
        <f>F52</f>
        <v>36581.520000000004</v>
      </c>
      <c r="G56" s="35">
        <f>G52</f>
        <v>0.7782</v>
      </c>
      <c r="H56" s="36"/>
    </row>
    <row r="57" spans="2:8" ht="15.75" customHeight="1" x14ac:dyDescent="0.2">
      <c r="B57" s="28"/>
      <c r="C57" s="28"/>
      <c r="D57" s="28"/>
      <c r="E57" s="29"/>
      <c r="F57" s="30"/>
      <c r="G57" s="31"/>
      <c r="H57" s="32"/>
    </row>
    <row r="58" spans="2:8" ht="15.75" customHeight="1" x14ac:dyDescent="0.2">
      <c r="B58" s="27" t="s">
        <v>107</v>
      </c>
      <c r="C58" s="28"/>
      <c r="D58" s="28"/>
      <c r="E58" s="29"/>
      <c r="F58" s="30"/>
      <c r="G58" s="31"/>
      <c r="H58" s="32"/>
    </row>
    <row r="59" spans="2:8" ht="15.75" customHeight="1" x14ac:dyDescent="0.2">
      <c r="B59" s="27" t="s">
        <v>108</v>
      </c>
      <c r="C59" s="28"/>
      <c r="D59" s="28"/>
      <c r="E59" s="29"/>
      <c r="F59" s="30"/>
      <c r="G59" s="31"/>
      <c r="H59" s="32"/>
    </row>
    <row r="60" spans="2:8" ht="15.75" customHeight="1" x14ac:dyDescent="0.2">
      <c r="B60" s="28" t="s">
        <v>154</v>
      </c>
      <c r="C60" s="28" t="s">
        <v>446</v>
      </c>
      <c r="D60" s="28" t="s">
        <v>111</v>
      </c>
      <c r="E60" s="29">
        <v>2500000</v>
      </c>
      <c r="F60" s="30">
        <v>2614.3000000000002</v>
      </c>
      <c r="G60" s="31">
        <v>5.5599999999999997E-2</v>
      </c>
      <c r="H60" s="32">
        <v>6.9646E-2</v>
      </c>
    </row>
    <row r="61" spans="2:8" ht="15.75" customHeight="1" x14ac:dyDescent="0.2">
      <c r="B61" s="28" t="s">
        <v>116</v>
      </c>
      <c r="C61" s="28" t="s">
        <v>117</v>
      </c>
      <c r="D61" s="28" t="s">
        <v>111</v>
      </c>
      <c r="E61" s="29">
        <v>1500000</v>
      </c>
      <c r="F61" s="30">
        <v>1605.75</v>
      </c>
      <c r="G61" s="31">
        <v>3.4200000000000001E-2</v>
      </c>
      <c r="H61" s="32">
        <v>6.9631999999999999E-2</v>
      </c>
    </row>
    <row r="62" spans="2:8" ht="15.75" customHeight="1" x14ac:dyDescent="0.2">
      <c r="B62" s="28" t="s">
        <v>514</v>
      </c>
      <c r="C62" s="28" t="s">
        <v>515</v>
      </c>
      <c r="D62" s="28" t="s">
        <v>111</v>
      </c>
      <c r="E62" s="29">
        <v>1500000</v>
      </c>
      <c r="F62" s="30">
        <v>1576.01</v>
      </c>
      <c r="G62" s="31">
        <v>3.3500000000000002E-2</v>
      </c>
      <c r="H62" s="32">
        <v>7.3188000000000003E-2</v>
      </c>
    </row>
    <row r="63" spans="2:8" ht="15.75" customHeight="1" x14ac:dyDescent="0.2">
      <c r="B63" s="28" t="s">
        <v>109</v>
      </c>
      <c r="C63" s="28" t="s">
        <v>110</v>
      </c>
      <c r="D63" s="28" t="s">
        <v>111</v>
      </c>
      <c r="E63" s="29">
        <v>1000000</v>
      </c>
      <c r="F63" s="30">
        <v>1036.74</v>
      </c>
      <c r="G63" s="31">
        <v>2.2100000000000002E-2</v>
      </c>
      <c r="H63" s="32">
        <v>6.7038E-2</v>
      </c>
    </row>
    <row r="64" spans="2:8" ht="15.75" customHeight="1" x14ac:dyDescent="0.2">
      <c r="B64" s="28" t="s">
        <v>118</v>
      </c>
      <c r="C64" s="28" t="s">
        <v>119</v>
      </c>
      <c r="D64" s="28" t="s">
        <v>120</v>
      </c>
      <c r="E64" s="29">
        <v>1000</v>
      </c>
      <c r="F64" s="30">
        <v>1006.06</v>
      </c>
      <c r="G64" s="31">
        <v>2.1399999999999999E-2</v>
      </c>
      <c r="H64" s="32">
        <v>7.3599999999999999E-2</v>
      </c>
    </row>
    <row r="65" spans="2:14" ht="15.75" customHeight="1" x14ac:dyDescent="0.2">
      <c r="B65" s="28" t="s">
        <v>1116</v>
      </c>
      <c r="C65" s="28" t="s">
        <v>1117</v>
      </c>
      <c r="D65" s="28" t="s">
        <v>120</v>
      </c>
      <c r="E65" s="29">
        <v>50</v>
      </c>
      <c r="F65" s="30">
        <v>531.79999999999995</v>
      </c>
      <c r="G65" s="31">
        <v>1.1299999999999999E-2</v>
      </c>
      <c r="H65" s="32">
        <v>7.1749999999999994E-2</v>
      </c>
    </row>
    <row r="66" spans="2:14" ht="15.75" customHeight="1" x14ac:dyDescent="0.2">
      <c r="B66" s="28" t="s">
        <v>149</v>
      </c>
      <c r="C66" s="28" t="s">
        <v>150</v>
      </c>
      <c r="D66" s="28" t="s">
        <v>120</v>
      </c>
      <c r="E66" s="29">
        <v>500</v>
      </c>
      <c r="F66" s="30">
        <v>530.26</v>
      </c>
      <c r="G66" s="31">
        <v>1.1299999999999999E-2</v>
      </c>
      <c r="H66" s="32">
        <v>6.7375000000000004E-2</v>
      </c>
    </row>
    <row r="67" spans="2:14" ht="15.75" customHeight="1" x14ac:dyDescent="0.2">
      <c r="B67" s="28" t="s">
        <v>1118</v>
      </c>
      <c r="C67" s="28" t="s">
        <v>1119</v>
      </c>
      <c r="D67" s="28" t="s">
        <v>153</v>
      </c>
      <c r="E67" s="29">
        <v>50</v>
      </c>
      <c r="F67" s="30">
        <v>514.29</v>
      </c>
      <c r="G67" s="31">
        <v>1.09E-2</v>
      </c>
      <c r="H67" s="32">
        <v>6.8699999999999997E-2</v>
      </c>
    </row>
    <row r="68" spans="2:14" ht="15.75" customHeight="1" x14ac:dyDescent="0.2">
      <c r="B68" s="28" t="s">
        <v>192</v>
      </c>
      <c r="C68" s="28" t="s">
        <v>193</v>
      </c>
      <c r="D68" s="28" t="s">
        <v>111</v>
      </c>
      <c r="E68" s="29">
        <v>350000</v>
      </c>
      <c r="F68" s="30">
        <v>367.86</v>
      </c>
      <c r="G68" s="31">
        <v>7.7999999999999996E-3</v>
      </c>
      <c r="H68" s="32">
        <v>6.8224999999999994E-2</v>
      </c>
      <c r="J68" s="3"/>
    </row>
    <row r="69" spans="2:14" ht="15.75" customHeight="1" x14ac:dyDescent="0.2">
      <c r="B69" s="28" t="s">
        <v>155</v>
      </c>
      <c r="C69" s="28" t="s">
        <v>156</v>
      </c>
      <c r="D69" s="28" t="s">
        <v>120</v>
      </c>
      <c r="E69" s="29">
        <v>10</v>
      </c>
      <c r="F69" s="30">
        <v>104.56</v>
      </c>
      <c r="G69" s="31">
        <v>2.2000000000000001E-3</v>
      </c>
      <c r="H69" s="32">
        <v>6.4846000000000001E-2</v>
      </c>
    </row>
    <row r="70" spans="2:14" ht="15.75" customHeight="1" x14ac:dyDescent="0.2">
      <c r="B70" s="27" t="s">
        <v>127</v>
      </c>
      <c r="C70" s="27"/>
      <c r="D70" s="27"/>
      <c r="E70" s="33"/>
      <c r="F70" s="34">
        <v>9887.6299999999992</v>
      </c>
      <c r="G70" s="35">
        <v>0.21029999999999999</v>
      </c>
      <c r="H70" s="36"/>
      <c r="J70" s="3"/>
    </row>
    <row r="71" spans="2:14" ht="15.75" customHeight="1" x14ac:dyDescent="0.2">
      <c r="B71" s="28"/>
      <c r="C71" s="28"/>
      <c r="D71" s="28"/>
      <c r="E71" s="29"/>
      <c r="F71" s="30"/>
      <c r="G71" s="31"/>
      <c r="H71" s="32"/>
      <c r="J71" s="3"/>
    </row>
    <row r="72" spans="2:14" ht="15.75" customHeight="1" x14ac:dyDescent="0.2">
      <c r="B72" s="27" t="s">
        <v>128</v>
      </c>
      <c r="C72" s="28"/>
      <c r="D72" s="28"/>
      <c r="E72" s="29"/>
      <c r="F72" s="30"/>
      <c r="G72" s="31"/>
      <c r="H72" s="32"/>
      <c r="J72" s="3"/>
    </row>
    <row r="73" spans="2:14" ht="15.75" customHeight="1" x14ac:dyDescent="0.2">
      <c r="B73" s="27" t="s">
        <v>127</v>
      </c>
      <c r="C73" s="28"/>
      <c r="D73" s="28"/>
      <c r="E73" s="29"/>
      <c r="F73" s="37" t="s">
        <v>129</v>
      </c>
      <c r="G73" s="38" t="s">
        <v>129</v>
      </c>
      <c r="H73" s="32"/>
      <c r="J73" s="3"/>
    </row>
    <row r="74" spans="2:14" ht="15.75" customHeight="1" x14ac:dyDescent="0.2">
      <c r="B74" s="28"/>
      <c r="C74" s="28"/>
      <c r="D74" s="28"/>
      <c r="E74" s="29"/>
      <c r="F74" s="30"/>
      <c r="G74" s="31"/>
      <c r="H74" s="32"/>
      <c r="J74" s="3"/>
    </row>
    <row r="75" spans="2:14" ht="15.75" customHeight="1" x14ac:dyDescent="0.2">
      <c r="B75" s="27" t="s">
        <v>130</v>
      </c>
      <c r="C75" s="28"/>
      <c r="D75" s="28"/>
      <c r="E75" s="29"/>
      <c r="F75" s="30"/>
      <c r="G75" s="31"/>
      <c r="H75" s="32"/>
      <c r="J75" s="5"/>
      <c r="K75" s="5"/>
      <c r="L75" s="6"/>
      <c r="M75" s="6"/>
      <c r="N75" s="5"/>
    </row>
    <row r="76" spans="2:14" ht="15.75" customHeight="1" x14ac:dyDescent="0.2">
      <c r="B76" s="27" t="s">
        <v>127</v>
      </c>
      <c r="C76" s="28"/>
      <c r="D76" s="28"/>
      <c r="E76" s="29"/>
      <c r="F76" s="37" t="s">
        <v>129</v>
      </c>
      <c r="G76" s="38" t="s">
        <v>129</v>
      </c>
      <c r="H76" s="32"/>
    </row>
    <row r="77" spans="2:14" ht="15.75" customHeight="1" x14ac:dyDescent="0.2">
      <c r="B77" s="28"/>
      <c r="C77" s="28"/>
      <c r="D77" s="28"/>
      <c r="E77" s="29"/>
      <c r="F77" s="30"/>
      <c r="G77" s="31"/>
      <c r="H77" s="32"/>
    </row>
    <row r="78" spans="2:14" ht="15.75" customHeight="1" x14ac:dyDescent="0.2">
      <c r="B78" s="39" t="s">
        <v>131</v>
      </c>
      <c r="C78" s="39"/>
      <c r="D78" s="39"/>
      <c r="E78" s="40"/>
      <c r="F78" s="34">
        <v>9887.6299999999992</v>
      </c>
      <c r="G78" s="35">
        <v>0.21029999999999999</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134</v>
      </c>
      <c r="C81" s="28"/>
      <c r="D81" s="28"/>
      <c r="E81" s="29"/>
      <c r="F81" s="30"/>
      <c r="G81" s="31"/>
      <c r="H81" s="32"/>
      <c r="J81" s="7"/>
      <c r="K81" s="7"/>
      <c r="L81" s="7"/>
      <c r="M81" s="7"/>
      <c r="N81" s="7"/>
    </row>
    <row r="82" spans="2:14" ht="15.75" customHeight="1" x14ac:dyDescent="0.2">
      <c r="B82" s="28" t="s">
        <v>135</v>
      </c>
      <c r="C82" s="28"/>
      <c r="D82" s="28"/>
      <c r="E82" s="29"/>
      <c r="F82" s="30">
        <v>619.85</v>
      </c>
      <c r="G82" s="31">
        <v>1.32E-2</v>
      </c>
      <c r="H82" s="32"/>
      <c r="J82" s="7"/>
      <c r="K82" s="7"/>
      <c r="L82" s="7"/>
      <c r="M82" s="7"/>
      <c r="N82" s="7"/>
    </row>
    <row r="83" spans="2:14" ht="15.75" customHeight="1" x14ac:dyDescent="0.2">
      <c r="B83" s="27" t="s">
        <v>127</v>
      </c>
      <c r="C83" s="27"/>
      <c r="D83" s="27"/>
      <c r="E83" s="33"/>
      <c r="F83" s="34">
        <v>619.85</v>
      </c>
      <c r="G83" s="35">
        <v>1.32E-2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131</v>
      </c>
      <c r="C85" s="39"/>
      <c r="D85" s="39"/>
      <c r="E85" s="40"/>
      <c r="F85" s="34">
        <v>619.85</v>
      </c>
      <c r="G85" s="35">
        <v>1.32E-2</v>
      </c>
      <c r="H85" s="36"/>
    </row>
    <row r="86" spans="2:14" ht="15.75" customHeight="1" x14ac:dyDescent="0.2">
      <c r="B86" s="28" t="s">
        <v>136</v>
      </c>
      <c r="C86" s="28"/>
      <c r="D86" s="28"/>
      <c r="E86" s="29"/>
      <c r="F86" s="41">
        <v>-83.31</v>
      </c>
      <c r="G86" s="42">
        <v>-1.7000000000000348E-3</v>
      </c>
      <c r="H86" s="32"/>
      <c r="J86" s="3"/>
    </row>
    <row r="87" spans="2:14" ht="15.75" customHeight="1" x14ac:dyDescent="0.2">
      <c r="B87" s="43" t="s">
        <v>137</v>
      </c>
      <c r="C87" s="43"/>
      <c r="D87" s="43"/>
      <c r="E87" s="44"/>
      <c r="F87" s="45">
        <v>47005.69</v>
      </c>
      <c r="G87" s="46">
        <v>1</v>
      </c>
      <c r="H87" s="47"/>
    </row>
    <row r="88" spans="2:14" ht="15.75" customHeight="1" x14ac:dyDescent="0.2">
      <c r="B88" s="2"/>
    </row>
    <row r="89" spans="2:14" ht="15.75" customHeight="1" x14ac:dyDescent="0.2">
      <c r="B89" s="15" t="s">
        <v>138</v>
      </c>
    </row>
    <row r="92" spans="2:14" ht="15.75" customHeight="1" thickBot="1" x14ac:dyDescent="0.25"/>
    <row r="93" spans="2:14" ht="39.75" customHeight="1" thickBot="1" x14ac:dyDescent="0.25">
      <c r="B93" s="48" t="s">
        <v>139</v>
      </c>
      <c r="C93" s="49" t="s">
        <v>140</v>
      </c>
      <c r="D93" s="49" t="s">
        <v>141</v>
      </c>
      <c r="E93" s="49" t="s">
        <v>142</v>
      </c>
    </row>
    <row r="94" spans="2:14" ht="39.75" customHeight="1" x14ac:dyDescent="0.2">
      <c r="B94" s="61" t="s">
        <v>101</v>
      </c>
      <c r="C94" s="77"/>
      <c r="D94" s="80" t="s">
        <v>518</v>
      </c>
      <c r="E94" s="81"/>
    </row>
    <row r="95" spans="2:14" ht="39.75" customHeight="1" x14ac:dyDescent="0.2">
      <c r="B95" s="52" t="s">
        <v>1120</v>
      </c>
      <c r="C95" s="78"/>
      <c r="D95" s="80"/>
      <c r="E95" s="82"/>
    </row>
    <row r="96" spans="2:14" ht="39.75" customHeight="1" x14ac:dyDescent="0.2">
      <c r="B96" s="52" t="s">
        <v>1121</v>
      </c>
      <c r="C96" s="78"/>
      <c r="D96" s="80"/>
      <c r="E96" s="82"/>
    </row>
    <row r="97" spans="2:5" ht="39.75" customHeight="1" thickBot="1" x14ac:dyDescent="0.25">
      <c r="B97" s="62" t="s">
        <v>521</v>
      </c>
      <c r="C97" s="79"/>
      <c r="D97" s="50" t="s">
        <v>612</v>
      </c>
      <c r="E97" s="83"/>
    </row>
    <row r="98" spans="2:5" ht="15.75" customHeight="1" x14ac:dyDescent="0.2">
      <c r="B98" s="9" t="s">
        <v>144</v>
      </c>
    </row>
    <row r="100" spans="2:5" ht="15.75" customHeight="1" x14ac:dyDescent="0.2">
      <c r="B100" s="9" t="s">
        <v>145</v>
      </c>
    </row>
    <row r="101" spans="2:5" ht="15.75" customHeight="1" x14ac:dyDescent="0.2">
      <c r="B101" s="15" t="s">
        <v>146</v>
      </c>
    </row>
  </sheetData>
  <mergeCells count="3">
    <mergeCell ref="C94:C97"/>
    <mergeCell ref="D94:D96"/>
    <mergeCell ref="E94:E97"/>
  </mergeCells>
  <hyperlinks>
    <hyperlink ref="G1" location="'Sheet1'!A1" display="Index" xr:uid="{17572BE1-E5BD-4420-9922-663DB65FF480}"/>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90</vt:i4>
      </vt:variant>
    </vt:vector>
  </HeadingPairs>
  <TitlesOfParts>
    <vt:vector size="121"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2025-11-06T17:38:00Z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