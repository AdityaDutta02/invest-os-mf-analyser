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T:\INVESTMENTS_VALUATION\2 Regulatory Monthly-Half yearly ReportIng\11 Feb 2024\Portfolio Monthly\"/>
    </mc:Choice>
  </mc:AlternateContent>
  <xr:revisionPtr revIDLastSave="0" documentId="13_ncr:1_{3B99890D-6798-41DA-AF2E-E5153CD40D1C}" xr6:coauthVersionLast="47" xr6:coauthVersionMax="47" xr10:uidLastSave="{00000000-0000-0000-0000-000000000000}"/>
  <bookViews>
    <workbookView xWindow="-120" yWindow="-120" windowWidth="24240" windowHeight="13140" xr2:uid="{00000000-000D-0000-FFFF-FFFF00000000}"/>
  </bookViews>
  <sheets>
    <sheet name="Sheet1" sheetId="40"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ICMFGOLDETF" sheetId="41" r:id="rId15"/>
    <sheet name="LEGROW" sheetId="24" r:id="rId16"/>
    <sheet name="LEINFA" sheetId="25" r:id="rId17"/>
    <sheet name="LEINNF" sheetId="26" r:id="rId18"/>
    <sheet name="LEINSX" sheetId="27" r:id="rId19"/>
    <sheet name="LELTVF" sheetId="28" r:id="rId20"/>
    <sheet name="LEMETF" sheetId="29" r:id="rId21"/>
    <sheet name="LEMIDF" sheetId="30" r:id="rId22"/>
    <sheet name="LEMUCF" sheetId="31" r:id="rId23"/>
    <sheet name="LENI50" sheetId="32" r:id="rId24"/>
    <sheet name="LET100" sheetId="33" r:id="rId25"/>
    <sheet name="LETAXP" sheetId="34" r:id="rId26"/>
    <sheet name="LETF50" sheetId="35" r:id="rId27"/>
    <sheet name="LETFSX" sheetId="36" r:id="rId28"/>
    <sheet name="LEULIS" sheetId="37" r:id="rId29"/>
  </sheets>
  <definedNames>
    <definedName name="_xlnm._FilterDatabase" localSheetId="1" hidden="1">LEARBF!$B$5:$P$81</definedName>
    <definedName name="_xlnm._FilterDatabase" localSheetId="2" hidden="1">LEBADF!$B$5:$P$99</definedName>
    <definedName name="_xlnm._FilterDatabase" localSheetId="3" hidden="1">LEBALF!$B$5:$P$99</definedName>
    <definedName name="_xlnm._FilterDatabase" localSheetId="4" hidden="1">LEBFSF!$B$5:$P$45</definedName>
    <definedName name="_xlnm._FilterDatabase" localSheetId="5" hidden="1">LECHID!$B$5:$P$78</definedName>
    <definedName name="_xlnm._FilterDatabase" localSheetId="6" hidden="1">LEDDYF!$B$5:$P$61</definedName>
    <definedName name="_xlnm._FilterDatabase" localSheetId="7" hidden="1">LEDHCF!$B$5:$P$38</definedName>
    <definedName name="_xlnm._FilterDatabase" localSheetId="8" hidden="1">LEEMCF!$B$5:$P$74</definedName>
    <definedName name="_xlnm._FilterDatabase" localSheetId="9" hidden="1">LEEQSF!$B$5:$P$83</definedName>
    <definedName name="_xlnm._FilterDatabase" localSheetId="10" hidden="1">LEEQTF!$B$5:$P$89</definedName>
    <definedName name="_xlnm._FilterDatabase" localSheetId="11" hidden="1">LEESCF!$B$5:$P$81</definedName>
    <definedName name="_xlnm._FilterDatabase" localSheetId="12" hidden="1">LEFE30!$B$5:$P$48</definedName>
    <definedName name="_xlnm._FilterDatabase" localSheetId="13" hidden="1">LEGFOF!$B$5:$P$20</definedName>
    <definedName name="_xlnm._FilterDatabase" localSheetId="15" hidden="1">LEGROW!$B$5:$P$85</definedName>
    <definedName name="_xlnm._FilterDatabase" localSheetId="16" hidden="1">LEINFA!$B$5:$P$69</definedName>
    <definedName name="_xlnm._FilterDatabase" localSheetId="17" hidden="1">LEINNF!$B$5:$P$70</definedName>
    <definedName name="_xlnm._FilterDatabase" localSheetId="18" hidden="1">LEINSX!$B$5:$P$50</definedName>
    <definedName name="_xlnm._FilterDatabase" localSheetId="19" hidden="1">LELTVF!$B$5:$P$68</definedName>
    <definedName name="_xlnm._FilterDatabase" localSheetId="20" hidden="1">LEMETF!$B$5:$P$120</definedName>
    <definedName name="_xlnm._FilterDatabase" localSheetId="21" hidden="1">LEMIDF!$B$5:$P$93</definedName>
    <definedName name="_xlnm._FilterDatabase" localSheetId="22" hidden="1">LEMUCF!$B$5:$P$95</definedName>
    <definedName name="_xlnm._FilterDatabase" localSheetId="23" hidden="1">LENI50!$B$5:$P$70</definedName>
    <definedName name="_xlnm._FilterDatabase" localSheetId="24" hidden="1">'LET100'!$B$5:$P$121</definedName>
    <definedName name="_xlnm._FilterDatabase" localSheetId="25" hidden="1">LETAXP!$B$5:$P$77</definedName>
    <definedName name="_xlnm._FilterDatabase" localSheetId="26" hidden="1">LETF50!$B$5:$P$70</definedName>
    <definedName name="_xlnm._FilterDatabase" localSheetId="27" hidden="1">LETFSX!$B$5:$P$50</definedName>
    <definedName name="_xlnm._FilterDatabase" localSheetId="28" hidden="1">LEULIS!$B$5:$P$85</definedName>
    <definedName name="_xlnm._FilterDatabase" localSheetId="14" hidden="1">LICMFGOLDETF!$B$5:$P$20</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LEDDYF!$L$68:$P$84</definedName>
    <definedName name="Hedging_Positions_through_Futures_AS_ON_MMMM_DD__YYYY___NIL" localSheetId="7">LEDHCF!$L$68:$P$84</definedName>
    <definedName name="Hedging_Positions_through_Futures_AS_ON_MMMM_DD__YYYY___NIL" localSheetId="8">LEEMCF!$L$68:$P$84</definedName>
    <definedName name="Hedging_Positions_through_Futures_AS_ON_MMMM_DD__YYYY___NIL" localSheetId="9">LEEQSF!$L$68:$P$84</definedName>
    <definedName name="Hedging_Positions_through_Futures_AS_ON_MMMM_DD__YYYY___NIL" localSheetId="10">LEEQTF!$L$68:$P$84</definedName>
    <definedName name="Hedging_Positions_through_Futures_AS_ON_MMMM_DD__YYYY___NIL" localSheetId="11">LEESCF!$L$68:$P$84</definedName>
    <definedName name="Hedging_Positions_through_Futures_AS_ON_MMMM_DD__YYYY___NIL" localSheetId="12">LEFE30!$L$68:$P$84</definedName>
    <definedName name="Hedging_Positions_through_Futures_AS_ON_MMMM_DD__YYYY___NIL" localSheetId="13">LEGFOF!$L$68:$P$84</definedName>
    <definedName name="Hedging_Positions_through_Futures_AS_ON_MMMM_DD__YYYY___NIL" localSheetId="15">LEGROW!$L$68:$P$84</definedName>
    <definedName name="Hedging_Positions_through_Futures_AS_ON_MMMM_DD__YYYY___NIL" localSheetId="16">LEINFA!$L$68:$P$84</definedName>
    <definedName name="Hedging_Positions_through_Futures_AS_ON_MMMM_DD__YYYY___NIL" localSheetId="17">LEINNF!$L$68:$P$84</definedName>
    <definedName name="Hedging_Positions_through_Futures_AS_ON_MMMM_DD__YYYY___NIL" localSheetId="18">LEINSX!$L$68:$P$84</definedName>
    <definedName name="Hedging_Positions_through_Futures_AS_ON_MMMM_DD__YYYY___NIL" localSheetId="19">LELTVF!$L$68:$P$84</definedName>
    <definedName name="Hedging_Positions_through_Futures_AS_ON_MMMM_DD__YYYY___NIL" localSheetId="20">LEMETF!$L$68:$P$84</definedName>
    <definedName name="Hedging_Positions_through_Futures_AS_ON_MMMM_DD__YYYY___NIL" localSheetId="21">LEMIDF!$L$68:$P$84</definedName>
    <definedName name="Hedging_Positions_through_Futures_AS_ON_MMMM_DD__YYYY___NIL" localSheetId="22">LEMUCF!$L$68:$P$84</definedName>
    <definedName name="Hedging_Positions_through_Futures_AS_ON_MMMM_DD__YYYY___NIL" localSheetId="23">LENI50!$L$68:$P$84</definedName>
    <definedName name="Hedging_Positions_through_Futures_AS_ON_MMMM_DD__YYYY___NIL" localSheetId="24">'LET100'!$L$68:$P$84</definedName>
    <definedName name="Hedging_Positions_through_Futures_AS_ON_MMMM_DD__YYYY___NIL" localSheetId="25">LETAXP!$L$68:$P$84</definedName>
    <definedName name="Hedging_Positions_through_Futures_AS_ON_MMMM_DD__YYYY___NIL" localSheetId="26">LETF50!$L$68:$P$84</definedName>
    <definedName name="Hedging_Positions_through_Futures_AS_ON_MMMM_DD__YYYY___NIL" localSheetId="27">LETFSX!$L$68:$P$84</definedName>
    <definedName name="Hedging_Positions_through_Futures_AS_ON_MMMM_DD__YYYY___NIL" localSheetId="28">LEULIS!$L$68:$P$84</definedName>
    <definedName name="Hedging_Positions_through_Futures_AS_ON_MMMM_DD__YYYY___NIL" localSheetId="14">LICMFGOLDETF!$L$68:$P$84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LEDDYF!$L$74:$P$84</definedName>
    <definedName name="JPM_Footer_disp" localSheetId="7">LEDHCF!$L$74:$P$84</definedName>
    <definedName name="JPM_Footer_disp" localSheetId="8">LEEMCF!$L$74:$P$84</definedName>
    <definedName name="JPM_Footer_disp" localSheetId="9">LEEQSF!$L$74:$P$84</definedName>
    <definedName name="JPM_Footer_disp" localSheetId="10">LEEQTF!$L$74:$P$84</definedName>
    <definedName name="JPM_Footer_disp" localSheetId="11">LEESCF!$L$74:$P$84</definedName>
    <definedName name="JPM_Footer_disp" localSheetId="12">LEFE30!$L$74:$P$84</definedName>
    <definedName name="JPM_Footer_disp" localSheetId="13">LEGFOF!$L$74:$P$84</definedName>
    <definedName name="JPM_Footer_disp" localSheetId="15">LEGROW!$L$74:$P$84</definedName>
    <definedName name="JPM_Footer_disp" localSheetId="16">LEINFA!$L$74:$P$84</definedName>
    <definedName name="JPM_Footer_disp" localSheetId="17">LEINNF!$L$74:$P$84</definedName>
    <definedName name="JPM_Footer_disp" localSheetId="18">LEINSX!$L$74:$P$84</definedName>
    <definedName name="JPM_Footer_disp" localSheetId="19">LELTVF!$L$74:$P$84</definedName>
    <definedName name="JPM_Footer_disp" localSheetId="20">LEMETF!$L$74:$P$84</definedName>
    <definedName name="JPM_Footer_disp" localSheetId="21">LEMIDF!$L$74:$P$84</definedName>
    <definedName name="JPM_Footer_disp" localSheetId="22">LEMUCF!$L$74:$P$84</definedName>
    <definedName name="JPM_Footer_disp" localSheetId="23">LENI50!$L$74:$P$84</definedName>
    <definedName name="JPM_Footer_disp" localSheetId="24">'LET100'!$L$74:$P$84</definedName>
    <definedName name="JPM_Footer_disp" localSheetId="25">LETAXP!$L$74:$P$84</definedName>
    <definedName name="JPM_Footer_disp" localSheetId="26">LETF50!$L$74:$P$84</definedName>
    <definedName name="JPM_Footer_disp" localSheetId="27">LETFSX!$L$74:$P$84</definedName>
    <definedName name="JPM_Footer_disp" localSheetId="28">LEULIS!$L$74:$P$84</definedName>
    <definedName name="JPM_Footer_disp" localSheetId="14">LICMFGOLDETF!$L$74:$P$84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LEDDYF!$L$68:$P$86</definedName>
    <definedName name="JPM_Footer_disp12" localSheetId="7">LEDHCF!$L$68:$P$86</definedName>
    <definedName name="JPM_Footer_disp12" localSheetId="8">LEEMCF!$L$68:$P$86</definedName>
    <definedName name="JPM_Footer_disp12" localSheetId="9">LEEQSF!$L$68:$P$86</definedName>
    <definedName name="JPM_Footer_disp12" localSheetId="10">LEEQTF!$L$68:$P$86</definedName>
    <definedName name="JPM_Footer_disp12" localSheetId="11">LEESCF!$L$68:$P$86</definedName>
    <definedName name="JPM_Footer_disp12" localSheetId="12">LEFE30!$L$68:$P$86</definedName>
    <definedName name="JPM_Footer_disp12" localSheetId="13">LEGFOF!$L$68:$P$86</definedName>
    <definedName name="JPM_Footer_disp12" localSheetId="15">LEGROW!$L$68:$P$86</definedName>
    <definedName name="JPM_Footer_disp12" localSheetId="16">LEINFA!$L$68:$P$86</definedName>
    <definedName name="JPM_Footer_disp12" localSheetId="17">LEINNF!$L$68:$P$86</definedName>
    <definedName name="JPM_Footer_disp12" localSheetId="18">LEINSX!$L$68:$P$86</definedName>
    <definedName name="JPM_Footer_disp12" localSheetId="19">LELTVF!$L$68:$P$86</definedName>
    <definedName name="JPM_Footer_disp12" localSheetId="20">LEMETF!$L$68:$P$86</definedName>
    <definedName name="JPM_Footer_disp12" localSheetId="21">LEMIDF!$L$68:$P$86</definedName>
    <definedName name="JPM_Footer_disp12" localSheetId="22">LEMUCF!$L$68:$P$86</definedName>
    <definedName name="JPM_Footer_disp12" localSheetId="23">LENI50!$L$68:$P$86</definedName>
    <definedName name="JPM_Footer_disp12" localSheetId="24">'LET100'!$L$68:$P$86</definedName>
    <definedName name="JPM_Footer_disp12" localSheetId="25">LETAXP!$L$68:$P$86</definedName>
    <definedName name="JPM_Footer_disp12" localSheetId="26">LETF50!$L$68:$P$86</definedName>
    <definedName name="JPM_Footer_disp12" localSheetId="27">LETFSX!$L$68:$P$86</definedName>
    <definedName name="JPM_Footer_disp12" localSheetId="28">LEULIS!$L$68:$P$86</definedName>
    <definedName name="JPM_Footer_disp12" localSheetId="14">LICMFGOLDETF!$L$68:$P$86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41" l="1"/>
  <c r="G16" i="41"/>
  <c r="F16" i="41"/>
  <c r="F18" i="41" s="1"/>
  <c r="G12" i="41"/>
  <c r="G10" i="41"/>
  <c r="F10" i="41"/>
  <c r="F12" i="41" s="1"/>
  <c r="F20" i="41" l="1"/>
  <c r="G20" i="41"/>
</calcChain>
</file>

<file path=xl/sharedStrings.xml><?xml version="1.0" encoding="utf-8"?>
<sst xmlns="http://schemas.openxmlformats.org/spreadsheetml/2006/main" count="5456" uniqueCount="1039">
  <si>
    <t>Name of the Instrument</t>
  </si>
  <si>
    <t>ISIN</t>
  </si>
  <si>
    <t>Quantity</t>
  </si>
  <si>
    <t>Market/Fair Value (Rounded, Rs. In Lacs)</t>
  </si>
  <si>
    <t>Rounded, % to Net Assets</t>
  </si>
  <si>
    <t>Industry / Rating</t>
  </si>
  <si>
    <t>Yield</t>
  </si>
  <si>
    <t>Monthly Portfolio Statement as on February 29,2024</t>
  </si>
  <si>
    <t>Index</t>
  </si>
  <si>
    <t>LIC MF ARBITRAGE FUND</t>
  </si>
  <si>
    <t>LIC MF BALANCED ADVANTAGE FUND</t>
  </si>
  <si>
    <t>LIC MF AGGRESSIVE HYBRID FUND</t>
  </si>
  <si>
    <t>LIC MF BANKING AND FINANCIAL SERVICES FUND</t>
  </si>
  <si>
    <t>LIC MF CHILDREN’S GIFT FUND</t>
  </si>
  <si>
    <t>LIC MF DIVIDEND YIELD FUND</t>
  </si>
  <si>
    <t>LIC MF FLEXI CAP FUND</t>
  </si>
  <si>
    <t>LIC MF LARGE CAP FUND</t>
  </si>
  <si>
    <t>LIC MF INFRASTRUCTURE FUND</t>
  </si>
  <si>
    <t>LIC MF NIFTY 50 INDEX FUND</t>
  </si>
  <si>
    <t>LIC MF S &amp; P BSE SENSEX INDEX FUND</t>
  </si>
  <si>
    <t>LIC MF NIFTY MIDCAP 100 ETF</t>
  </si>
  <si>
    <t>LIC MF LARGE &amp; MID CAP FUND</t>
  </si>
  <si>
    <t>LIC MF MULTI CAP FUND</t>
  </si>
  <si>
    <t>LIC MF NIFTY NEXT 50 INDEX FUND</t>
  </si>
  <si>
    <t>LIC MF NIFTY 100 ETF</t>
  </si>
  <si>
    <t>LIC MF NIFTY 50 ETF</t>
  </si>
  <si>
    <t>LIC MF S &amp; P BSE SENSEX ETF</t>
  </si>
  <si>
    <t>LIC MF UNIT LINKED INSURANCE SCHEME</t>
  </si>
  <si>
    <t>LEARBF</t>
  </si>
  <si>
    <t>LIC MF Arbitrage Fund</t>
  </si>
  <si>
    <t>LEBADF</t>
  </si>
  <si>
    <t>LIC MF Balanced Advantage Fund</t>
  </si>
  <si>
    <t>LEBALF</t>
  </si>
  <si>
    <t>LIC MF Aggressive Hybrid Fund</t>
  </si>
  <si>
    <t>LEBFSF</t>
  </si>
  <si>
    <t>LIC MF Banking and Financial Services Fund</t>
  </si>
  <si>
    <t>LECHID</t>
  </si>
  <si>
    <t>LIC MF Children’s Gift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</si>
  <si>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</si>
  <si>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</si>
  <si>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</si>
  <si>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</si>
  <si>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</si>
  <si>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</si>
  <si>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</si>
  <si>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</si>
  <si>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</si>
  <si>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</si>
  <si>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</si>
  <si>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</si>
  <si>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</si>
  <si>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30 Equity Fund</t>
  </si>
  <si>
    <t>LEGFOF</t>
  </si>
  <si>
    <t>LIC MF Gold ETF Fund of Fund</t>
  </si>
  <si>
    <t>LEGROW</t>
  </si>
  <si>
    <t>LIC MF Large Cap Fund</t>
  </si>
  <si>
    <t>LEINFA</t>
  </si>
  <si>
    <t>LIC MF Infrastructure Fund</t>
  </si>
  <si>
    <t>LEINNF</t>
  </si>
  <si>
    <t>LIC MF Nifty 50 Index Fund</t>
  </si>
  <si>
    <t>LEINSX</t>
  </si>
  <si>
    <t>LIC MF S &amp; P BSE Sensex Index Fund</t>
  </si>
  <si>
    <t>LELTVF</t>
  </si>
  <si>
    <t>LIC MF Long Term Value Fund</t>
  </si>
  <si>
    <t>LEMETF</t>
  </si>
  <si>
    <t>LIC MF Nifty Midcap 100 ETF</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</si>
  <si>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</si>
  <si>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</si>
  <si>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</si>
  <si>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</si>
  <si>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</si>
  <si>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</si>
  <si>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</si>
  <si>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</si>
  <si>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</si>
  <si>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</si>
  <si>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</si>
  <si>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</si>
  <si>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</si>
  <si>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S &amp; P BSE Sensex ETF</t>
  </si>
  <si>
    <t>LEULIS</t>
  </si>
  <si>
    <t>LIC MF Unit Linked Insurance Scheme</t>
  </si>
  <si>
    <t>INDEX</t>
  </si>
  <si>
    <t>Monthly Portfolio Statement as on February 29, 2024</t>
  </si>
  <si>
    <t>Scheme</t>
  </si>
  <si>
    <t>Scheme Name</t>
  </si>
  <si>
    <t>Debt Instruments</t>
  </si>
  <si>
    <t>(a)Listed / Awaiting listing on stock Exchanges</t>
  </si>
  <si>
    <t>7.7% State Government of Maharashtra</t>
  </si>
  <si>
    <t>SOVEREIGN</t>
  </si>
  <si>
    <t>7.71% State Government of Maharashtra</t>
  </si>
  <si>
    <t>IN2220230139</t>
  </si>
  <si>
    <t>7.26% Government of India</t>
  </si>
  <si>
    <t>IN0020220060</t>
  </si>
  <si>
    <t>8.0% HDFC Bank Ltd.</t>
  </si>
  <si>
    <t>INE040A08807</t>
  </si>
  <si>
    <t>CRISIL AAA</t>
  </si>
  <si>
    <t>IN0020220151</t>
  </si>
  <si>
    <t>Sub Total</t>
  </si>
  <si>
    <t>(b)Privately Placed/Unlisted</t>
  </si>
  <si>
    <t>NIL</t>
  </si>
  <si>
    <t>(c)Securitised Debt Instruments</t>
  </si>
  <si>
    <t>TOTAL</t>
  </si>
  <si>
    <t>Others</t>
  </si>
  <si>
    <t>Investment in Mutual fund</t>
  </si>
  <si>
    <t>Treps / Reverse Repo</t>
  </si>
  <si>
    <t>Treps</t>
  </si>
  <si>
    <t>Net Receivables / (Payables)</t>
  </si>
  <si>
    <t>GRAND TOTAL</t>
  </si>
  <si>
    <t>7.4% National Bk for Agriculture &amp; Rural Dev.</t>
  </si>
  <si>
    <t>INE261F08DO9</t>
  </si>
  <si>
    <t>7.76% State Government of Maharashtra</t>
  </si>
  <si>
    <t>IN2220220122</t>
  </si>
  <si>
    <t>7.74% Power Finance Corporation Ltd. **</t>
  </si>
  <si>
    <t>INE134E08JI0</t>
  </si>
  <si>
    <t>5.63% Government of India</t>
  </si>
  <si>
    <t>IN0020210012</t>
  </si>
  <si>
    <t>Money Market Instruments</t>
  </si>
  <si>
    <t>Certificate of Deposit</t>
  </si>
  <si>
    <t>CRISIL A1+</t>
  </si>
  <si>
    <t>Kotak Mahindra Bank Ltd. ** #</t>
  </si>
  <si>
    <t>INE237A163T3</t>
  </si>
  <si>
    <t>$0.00%</t>
  </si>
  <si>
    <t>#  Unlisted Security</t>
  </si>
  <si>
    <t>$ Less Than 0.01% of Net Asset Value</t>
  </si>
  <si>
    <t>**  Non Traded Security</t>
  </si>
  <si>
    <t>Equity &amp; Equity related</t>
  </si>
  <si>
    <t>(a)Listed / Awaiting listing on Stock Exchanges</t>
  </si>
  <si>
    <t>ICICI Bank Ltd.</t>
  </si>
  <si>
    <t>INE090A01021</t>
  </si>
  <si>
    <t>Banks</t>
  </si>
  <si>
    <t>Infosys Ltd.</t>
  </si>
  <si>
    <t>INE009A01021</t>
  </si>
  <si>
    <t>IT - Software</t>
  </si>
  <si>
    <t>HDFC Bank Ltd.</t>
  </si>
  <si>
    <t>INE040A01034</t>
  </si>
  <si>
    <t>Reliance Industries Ltd.</t>
  </si>
  <si>
    <t>INE002A01018</t>
  </si>
  <si>
    <t>Petroleum Products</t>
  </si>
  <si>
    <t>Hindustan Unilever Ltd.</t>
  </si>
  <si>
    <t>INE030A01027</t>
  </si>
  <si>
    <t>Diversified FMCG</t>
  </si>
  <si>
    <t>Mahindra &amp; Mahindra Ltd.</t>
  </si>
  <si>
    <t>INE101A01026</t>
  </si>
  <si>
    <t>Automobiles</t>
  </si>
  <si>
    <t>Nestle India Ltd.</t>
  </si>
  <si>
    <t>INE239A01024</t>
  </si>
  <si>
    <t>Food Products</t>
  </si>
  <si>
    <t>LTIMindtree Ltd.</t>
  </si>
  <si>
    <t>INE214T01019</t>
  </si>
  <si>
    <t>(b) Unlisted</t>
  </si>
  <si>
    <t>7.38% Government of India</t>
  </si>
  <si>
    <t>IN0020220037</t>
  </si>
  <si>
    <t>8.03% State Government of Karnataka</t>
  </si>
  <si>
    <t>IN1920170165</t>
  </si>
  <si>
    <t>7.1% Government of India</t>
  </si>
  <si>
    <t>IN0020220011</t>
  </si>
  <si>
    <t>8.49% NTPC Ltd. **</t>
  </si>
  <si>
    <t>INE733E07JP6</t>
  </si>
  <si>
    <t>Commercial Paper</t>
  </si>
  <si>
    <t>REC Ltd.</t>
  </si>
  <si>
    <t>LIC Housing Finance Ltd.</t>
  </si>
  <si>
    <t>7.06% Government of India</t>
  </si>
  <si>
    <t>IN0020230010</t>
  </si>
  <si>
    <t>Tata Capital Housing Finance Ltd. **</t>
  </si>
  <si>
    <t>INE033L14MN1</t>
  </si>
  <si>
    <t>Indus Towers Ltd.</t>
  </si>
  <si>
    <t>INE121J01017</t>
  </si>
  <si>
    <t>Telecom - Services</t>
  </si>
  <si>
    <t>Container Corporation Of India Ltd.</t>
  </si>
  <si>
    <t>INE111A01025</t>
  </si>
  <si>
    <t>Transport Services</t>
  </si>
  <si>
    <t>Larsen &amp; Toubro Ltd.</t>
  </si>
  <si>
    <t>INE018A01030</t>
  </si>
  <si>
    <t>Construction</t>
  </si>
  <si>
    <t>Bank of Baroda</t>
  </si>
  <si>
    <t>INE028A01039</t>
  </si>
  <si>
    <t>Bajaj Finance Ltd.</t>
  </si>
  <si>
    <t>INE296A01024</t>
  </si>
  <si>
    <t>Finance</t>
  </si>
  <si>
    <t>Vedanta Ltd.</t>
  </si>
  <si>
    <t>INE205A01025</t>
  </si>
  <si>
    <t>Diversified Metals</t>
  </si>
  <si>
    <t>Aurobindo Pharma Ltd.</t>
  </si>
  <si>
    <t>INE406A01037</t>
  </si>
  <si>
    <t>Pharmaceuticals &amp; Biotechnology</t>
  </si>
  <si>
    <t>Bharat Electronics Ltd.</t>
  </si>
  <si>
    <t>INE263A01024</t>
  </si>
  <si>
    <t>Aerospace &amp; Defense</t>
  </si>
  <si>
    <t>Jindal Steel &amp; Power Ltd.</t>
  </si>
  <si>
    <t>INE749A01030</t>
  </si>
  <si>
    <t>Ferrous Metals</t>
  </si>
  <si>
    <t>RBL Bank Ltd.</t>
  </si>
  <si>
    <t>INE976G01028</t>
  </si>
  <si>
    <t>Hindalco Industries Ltd.</t>
  </si>
  <si>
    <t>INE038A01020</t>
  </si>
  <si>
    <t>Non - Ferrous Metals</t>
  </si>
  <si>
    <t>Aditya Birla Capital Ltd.</t>
  </si>
  <si>
    <t>INE674K01013</t>
  </si>
  <si>
    <t>Tata Consultancy Services Ltd.</t>
  </si>
  <si>
    <t>INE467B01029</t>
  </si>
  <si>
    <t>Apollo Hospitals Enterprise Ltd.</t>
  </si>
  <si>
    <t>INE437A01024</t>
  </si>
  <si>
    <t>Healthcare Services</t>
  </si>
  <si>
    <t>Titan Company Ltd.</t>
  </si>
  <si>
    <t>INE280A01028</t>
  </si>
  <si>
    <t>Consumer Durables</t>
  </si>
  <si>
    <t>Trent Ltd.</t>
  </si>
  <si>
    <t>INE849A01020</t>
  </si>
  <si>
    <t>Retailing</t>
  </si>
  <si>
    <t>ITC Ltd.</t>
  </si>
  <si>
    <t>INE154A01025</t>
  </si>
  <si>
    <t>Indian Oil Corporation Ltd.</t>
  </si>
  <si>
    <t>INE242A01010</t>
  </si>
  <si>
    <t>Kotak Mahindra Bank Ltd.</t>
  </si>
  <si>
    <t>INE237A01028</t>
  </si>
  <si>
    <t>Asian Paints Ltd.</t>
  </si>
  <si>
    <t>INE021A01026</t>
  </si>
  <si>
    <t>Hindustan Petroleum Corporation Ltd.</t>
  </si>
  <si>
    <t>INE094A01015</t>
  </si>
  <si>
    <t>Pidilite Industries Ltd.</t>
  </si>
  <si>
    <t>INE318A01026</t>
  </si>
  <si>
    <t>Chemicals &amp; Petrochemicals</t>
  </si>
  <si>
    <t>Godrej Consumer Products Ltd.</t>
  </si>
  <si>
    <t>INE102D01028</t>
  </si>
  <si>
    <t>Personal Products</t>
  </si>
  <si>
    <t>The Federal Bank Ltd.</t>
  </si>
  <si>
    <t>INE171A01029</t>
  </si>
  <si>
    <t>Tata Power Company Ltd.</t>
  </si>
  <si>
    <t>INE245A01021</t>
  </si>
  <si>
    <t>Power</t>
  </si>
  <si>
    <t>Canara Bank</t>
  </si>
  <si>
    <t>INE476A01014</t>
  </si>
  <si>
    <t>Havells India Ltd.</t>
  </si>
  <si>
    <t>INE176B01034</t>
  </si>
  <si>
    <t>Exide Industries Ltd.</t>
  </si>
  <si>
    <t>INE302A01020</t>
  </si>
  <si>
    <t>Auto Components</t>
  </si>
  <si>
    <t>Godrej Properties Ltd.</t>
  </si>
  <si>
    <t>INE484J01027</t>
  </si>
  <si>
    <t>Realty</t>
  </si>
  <si>
    <t>Bharti Airtel Ltd.</t>
  </si>
  <si>
    <t>INE397D01024</t>
  </si>
  <si>
    <t>Tech Mahindra Ltd.</t>
  </si>
  <si>
    <t>INE669C01036</t>
  </si>
  <si>
    <t>Aarti Industries Ltd.</t>
  </si>
  <si>
    <t>INE769A01020</t>
  </si>
  <si>
    <t>Samvardhana Motherson International Ltd.</t>
  </si>
  <si>
    <t>INE775A01035</t>
  </si>
  <si>
    <t>JSW Steel Ltd.</t>
  </si>
  <si>
    <t>INE019A01038</t>
  </si>
  <si>
    <t>Bajaj Finserv Ltd.</t>
  </si>
  <si>
    <t>INE918I01026</t>
  </si>
  <si>
    <t>IndusInd Bank Ltd.</t>
  </si>
  <si>
    <t>INE095A01012</t>
  </si>
  <si>
    <t>Piramal Enterprises Ltd.</t>
  </si>
  <si>
    <t>INE140A01024</t>
  </si>
  <si>
    <t>Bajaj Finance Ltd. **</t>
  </si>
  <si>
    <t>INE296A14WW7</t>
  </si>
  <si>
    <t>LIC MF LIQUID FUND-DR PLN-GR</t>
  </si>
  <si>
    <t>INF767K01DN1</t>
  </si>
  <si>
    <t>Disclosure in Devrivtives</t>
  </si>
  <si>
    <t>Rounded,% TO Net Assets)</t>
  </si>
  <si>
    <t>Total</t>
  </si>
  <si>
    <t>Total outstanding position(as at 29 February 2024 ) in Derivative Instruments(Gross National) 7257.34 lacs.</t>
  </si>
  <si>
    <t>Total percentage of existing assets hedge through futures is 66.99%.</t>
  </si>
  <si>
    <t>State Bank of India</t>
  </si>
  <si>
    <t>INE062A01020</t>
  </si>
  <si>
    <t>Axis Bank Ltd.</t>
  </si>
  <si>
    <t>INE238A01034</t>
  </si>
  <si>
    <t>HCL Technologies Ltd.</t>
  </si>
  <si>
    <t>INE860A01027</t>
  </si>
  <si>
    <t>Sun Pharmaceutical Industries Ltd.</t>
  </si>
  <si>
    <t>INE044A01036</t>
  </si>
  <si>
    <t>Maruti Suzuki India Ltd.</t>
  </si>
  <si>
    <t>INE585B01010</t>
  </si>
  <si>
    <t>NTPC Ltd.</t>
  </si>
  <si>
    <t>INE733E01010</t>
  </si>
  <si>
    <t>SRF Ltd.</t>
  </si>
  <si>
    <t>INE647A01010</t>
  </si>
  <si>
    <t>HDFC Life Insurance Company Ltd.</t>
  </si>
  <si>
    <t>INE795G01014</t>
  </si>
  <si>
    <t>Insurance</t>
  </si>
  <si>
    <t>Grasim Industries Ltd.</t>
  </si>
  <si>
    <t>INE047A01021</t>
  </si>
  <si>
    <t>Cement &amp; Cement Products</t>
  </si>
  <si>
    <t>Bank of India</t>
  </si>
  <si>
    <t>INE084A01016</t>
  </si>
  <si>
    <t>Syngene International Ltd.</t>
  </si>
  <si>
    <t>INE398R01022</t>
  </si>
  <si>
    <t>Mahindra &amp; Mahindra Financial Serv Ltd.</t>
  </si>
  <si>
    <t>INE774D01024</t>
  </si>
  <si>
    <t>Texmaco Rail &amp; Engineering Ltd.</t>
  </si>
  <si>
    <t>INE621L01012</t>
  </si>
  <si>
    <t>Industrial Manufacturing</t>
  </si>
  <si>
    <t>Power Finance Corporation Ltd.</t>
  </si>
  <si>
    <t>INE134E01011</t>
  </si>
  <si>
    <t>Oberoi Realty Ltd.</t>
  </si>
  <si>
    <t>INE093I01010</t>
  </si>
  <si>
    <t>SBI Life Insurance Company Ltd.</t>
  </si>
  <si>
    <t>INE123W01016</t>
  </si>
  <si>
    <t>Torrent Pharmaceuticals Ltd.</t>
  </si>
  <si>
    <t>INE685A01028</t>
  </si>
  <si>
    <t>Mankind Pharma Ltd.</t>
  </si>
  <si>
    <t>INE634S01028</t>
  </si>
  <si>
    <t>Crompton Greaves Cons Electrical Ltd.</t>
  </si>
  <si>
    <t>INE299U01018</t>
  </si>
  <si>
    <t>APL Apollo Tubes Ltd.</t>
  </si>
  <si>
    <t>INE702C01027</t>
  </si>
  <si>
    <t>Industrial Products</t>
  </si>
  <si>
    <t>Hero MotoCorp Ltd.</t>
  </si>
  <si>
    <t>INE158A01026</t>
  </si>
  <si>
    <t>ICICI Prudential Life Insurance Co Ltd.</t>
  </si>
  <si>
    <t>INE726G01019</t>
  </si>
  <si>
    <t>IDFC First Bank Ltd.</t>
  </si>
  <si>
    <t>INE092T01019</t>
  </si>
  <si>
    <t>Piramal Pharma Ltd.</t>
  </si>
  <si>
    <t>INE0DK501011</t>
  </si>
  <si>
    <t>P I INDUSTRIES LIMITED</t>
  </si>
  <si>
    <t>INE603J01030</t>
  </si>
  <si>
    <t>Fertilizers &amp; Agrochemicals</t>
  </si>
  <si>
    <t>Arvind Fashions Ltd.</t>
  </si>
  <si>
    <t>INE955V01021</t>
  </si>
  <si>
    <t>City Union Bank Ltd.</t>
  </si>
  <si>
    <t>INE491A01021</t>
  </si>
  <si>
    <t>Macrotech Developers Ltd.</t>
  </si>
  <si>
    <t>INE670K01029</t>
  </si>
  <si>
    <t>Muthoot Finance Ltd.</t>
  </si>
  <si>
    <t>INE414G01012</t>
  </si>
  <si>
    <t>Bharat Petroleum Corporation Ltd.</t>
  </si>
  <si>
    <t>INE029A01011</t>
  </si>
  <si>
    <t>Protean eGov Technologies Ltd.</t>
  </si>
  <si>
    <t>INE004A01022</t>
  </si>
  <si>
    <t>IT - Services</t>
  </si>
  <si>
    <t>Alkem Laboratories Ltd.</t>
  </si>
  <si>
    <t>INE540L01014</t>
  </si>
  <si>
    <t>Cipla Ltd.</t>
  </si>
  <si>
    <t>INE059A01026</t>
  </si>
  <si>
    <t>Union Bank of India</t>
  </si>
  <si>
    <t>INE692A01016</t>
  </si>
  <si>
    <t>Grasim Industries Ltd. PARTLY PAID UP FV 0.5</t>
  </si>
  <si>
    <t>IN9047A01011</t>
  </si>
  <si>
    <t>7.68% State Government of Karnataka</t>
  </si>
  <si>
    <t>IN1920230159</t>
  </si>
  <si>
    <t>7.8% State Government of Tamil Nadu</t>
  </si>
  <si>
    <t>IN3120220097</t>
  </si>
  <si>
    <t>IN1920230217</t>
  </si>
  <si>
    <t>7.54% Government of India</t>
  </si>
  <si>
    <t>IN0020220029</t>
  </si>
  <si>
    <t>Total outstanding position(as at 29 February 2024 ) in Derivative Instruments(Gross National) 18053.57 lacs.</t>
  </si>
  <si>
    <t>Total percentage of existing assets hedge through futures is 20.07%.</t>
  </si>
  <si>
    <t>Zomato Ltd.</t>
  </si>
  <si>
    <t>INE758T01015</t>
  </si>
  <si>
    <t>GE T&amp;D India Ltd.</t>
  </si>
  <si>
    <t>INE200A01026</t>
  </si>
  <si>
    <t>Electrical Equipment</t>
  </si>
  <si>
    <t>Azad Engineering Ltd.</t>
  </si>
  <si>
    <t>INE02IJ01035</t>
  </si>
  <si>
    <t>Equitas Small Finance Bank Ltd.</t>
  </si>
  <si>
    <t>INE063P01018</t>
  </si>
  <si>
    <t>Indian Railway Catering &amp;Tou. Corp. Ltd.</t>
  </si>
  <si>
    <t>INE335Y01020</t>
  </si>
  <si>
    <t>Leisure Services</t>
  </si>
  <si>
    <t>AXISCADES Engineering Technologies Ltd.</t>
  </si>
  <si>
    <t>INE555B01013</t>
  </si>
  <si>
    <t>TD Power Systems Ltd.</t>
  </si>
  <si>
    <t>INE419M01027</t>
  </si>
  <si>
    <t>Five Star Business Finance Ltd.</t>
  </si>
  <si>
    <t>INE128S01021</t>
  </si>
  <si>
    <t>KEI Industries Ltd.</t>
  </si>
  <si>
    <t>INE878B01027</t>
  </si>
  <si>
    <t>Sona BLW Precision Forgings Ltd.</t>
  </si>
  <si>
    <t>INE073K01018</t>
  </si>
  <si>
    <t>Siemens Ltd.</t>
  </si>
  <si>
    <t>INE003A01024</t>
  </si>
  <si>
    <t>Latent View Analytics Ltd.</t>
  </si>
  <si>
    <t>INE0I7C01011</t>
  </si>
  <si>
    <t>Bharat Forge Ltd.</t>
  </si>
  <si>
    <t>INE465A01025</t>
  </si>
  <si>
    <t>Titagarh Rail Systems Ltd.</t>
  </si>
  <si>
    <t>INE615H01020</t>
  </si>
  <si>
    <t>Coforge Ltd.</t>
  </si>
  <si>
    <t>INE591G01017</t>
  </si>
  <si>
    <t>Transport Corporation Of India Ltd.</t>
  </si>
  <si>
    <t>INE688A01022</t>
  </si>
  <si>
    <t>VARUN BEVERAGES LIMITED</t>
  </si>
  <si>
    <t>INE200M01021</t>
  </si>
  <si>
    <t>Beverages</t>
  </si>
  <si>
    <t>Bikaji Foods International Ltd.</t>
  </si>
  <si>
    <t>INE00E101023</t>
  </si>
  <si>
    <t>Jubilant Foodworks Ltd.</t>
  </si>
  <si>
    <t>INE797F01020</t>
  </si>
  <si>
    <t>TVS Motor Company Ltd.</t>
  </si>
  <si>
    <t>INE494B01023</t>
  </si>
  <si>
    <t>The Ramco Cements Ltd.</t>
  </si>
  <si>
    <t>INE331A01037</t>
  </si>
  <si>
    <t>Craftsman Automation Ltd.</t>
  </si>
  <si>
    <t>INE00LO01017</t>
  </si>
  <si>
    <t>Coal India Ltd.</t>
  </si>
  <si>
    <t>INE522F01014</t>
  </si>
  <si>
    <t>Consumable Fuels</t>
  </si>
  <si>
    <t>CIE Automotive India Ltd.</t>
  </si>
  <si>
    <t>INE536H01010</t>
  </si>
  <si>
    <t>6.1% Government of India</t>
  </si>
  <si>
    <t>IN0020210095</t>
  </si>
  <si>
    <t>7.73% State Government of Karnataka</t>
  </si>
  <si>
    <t>IN1920230084</t>
  </si>
  <si>
    <t>7.725% Larsen &amp; Toubro Ltd. **</t>
  </si>
  <si>
    <t>INE018A08BE9</t>
  </si>
  <si>
    <t>IN2220230162</t>
  </si>
  <si>
    <t>6.54% Government of India</t>
  </si>
  <si>
    <t>IN0020210244</t>
  </si>
  <si>
    <t>Creditaccess Grameen Ltd.</t>
  </si>
  <si>
    <t>INE741K01010</t>
  </si>
  <si>
    <t>DCB Bank Ltd.</t>
  </si>
  <si>
    <t>INE503A01015</t>
  </si>
  <si>
    <t>IIFL Finance Ltd.</t>
  </si>
  <si>
    <t>INE530B01024</t>
  </si>
  <si>
    <t>L&amp;T Finance Holdings Ltd.</t>
  </si>
  <si>
    <t>INE498L01015</t>
  </si>
  <si>
    <t>CSB Bank Ltd.</t>
  </si>
  <si>
    <t>INE679A01013</t>
  </si>
  <si>
    <t>Aavas Financiers Ltd.</t>
  </si>
  <si>
    <t>INE216P01012</t>
  </si>
  <si>
    <t>Karur Vysya Bank Ltd.</t>
  </si>
  <si>
    <t>INE036D01028</t>
  </si>
  <si>
    <t>Spandana Sphoorty Financial Ltd.</t>
  </si>
  <si>
    <t>INE572J01011</t>
  </si>
  <si>
    <t>MAS Financial Services Ltd.</t>
  </si>
  <si>
    <t>INE348L01012</t>
  </si>
  <si>
    <t>Max Financial Services Ltd.</t>
  </si>
  <si>
    <t>INE180A01020</t>
  </si>
  <si>
    <t>Utkarsh Small Finance Bank Ltd.</t>
  </si>
  <si>
    <t>INE735W01017</t>
  </si>
  <si>
    <t>Pitti Engineering Ltd.</t>
  </si>
  <si>
    <t>INE450D01021</t>
  </si>
  <si>
    <t>Elecon Engineering Company Ltd.</t>
  </si>
  <si>
    <t>INE205B01023</t>
  </si>
  <si>
    <t>Tata Motors Ltd.</t>
  </si>
  <si>
    <t>INE155A01022</t>
  </si>
  <si>
    <t>Ultratech Cement Ltd.</t>
  </si>
  <si>
    <t>INE481G01011</t>
  </si>
  <si>
    <t>Gokaldas Exports Ltd.</t>
  </si>
  <si>
    <t>INE887G01027</t>
  </si>
  <si>
    <t>Textiles &amp; Apparels</t>
  </si>
  <si>
    <t>NCC Ltd.</t>
  </si>
  <si>
    <t>INE868B01028</t>
  </si>
  <si>
    <t>Divgi Torqtransfer Systems Ltd.</t>
  </si>
  <si>
    <t>INE753U01022</t>
  </si>
  <si>
    <t>Triveni Turbine Ltd.</t>
  </si>
  <si>
    <t>INE152M01016</t>
  </si>
  <si>
    <t>Syrma Sgs Technology Ltd.</t>
  </si>
  <si>
    <t>INE0DYJ01015</t>
  </si>
  <si>
    <t>Aditya Birla Fashion and Retail Ltd.</t>
  </si>
  <si>
    <t>INE647O01011</t>
  </si>
  <si>
    <t>Coromandel International Ltd.</t>
  </si>
  <si>
    <t>INE169A01031</t>
  </si>
  <si>
    <t>Cyient Ltd.</t>
  </si>
  <si>
    <t>INE136B01020</t>
  </si>
  <si>
    <t>Hindware Home Innovation Ltd.</t>
  </si>
  <si>
    <t>INE05AN01011</t>
  </si>
  <si>
    <t>Motherson Sumi Wiring India Ltd.</t>
  </si>
  <si>
    <t>INE0FS801015</t>
  </si>
  <si>
    <t>Britannia Industries Ltd.</t>
  </si>
  <si>
    <t>INE216A01030</t>
  </si>
  <si>
    <t>Kennametal India Ltd.</t>
  </si>
  <si>
    <t>INE717A01029</t>
  </si>
  <si>
    <t>Power Grid Corporation of India Ltd.</t>
  </si>
  <si>
    <t>INE752E01010</t>
  </si>
  <si>
    <t>BEML Ltd.</t>
  </si>
  <si>
    <t>INE258A01016</t>
  </si>
  <si>
    <t>Agricultural, Commercial &amp; Construction Vehicles</t>
  </si>
  <si>
    <t>Sanofi India Ltd.</t>
  </si>
  <si>
    <t>INE058A01010</t>
  </si>
  <si>
    <t>Mahanagar Gas Ltd.</t>
  </si>
  <si>
    <t>INE002S01010</t>
  </si>
  <si>
    <t>Gas</t>
  </si>
  <si>
    <t>NHPC Ltd.</t>
  </si>
  <si>
    <t>INE848E01016</t>
  </si>
  <si>
    <t>Bharat Bijlee Ltd.</t>
  </si>
  <si>
    <t>INE464A01028</t>
  </si>
  <si>
    <t>Akzo Nobel India Ltd.</t>
  </si>
  <si>
    <t>INE133A01011</t>
  </si>
  <si>
    <t>Divi's Laboratories Ltd.</t>
  </si>
  <si>
    <t>INE361B01024</t>
  </si>
  <si>
    <t>Carborundum Universal Ltd.</t>
  </si>
  <si>
    <t>INE120A01034</t>
  </si>
  <si>
    <t>Bajaj Consumer Care Ltd.</t>
  </si>
  <si>
    <t>INE933K01021</t>
  </si>
  <si>
    <t>PCBL Ltd.</t>
  </si>
  <si>
    <t>INE602A01031</t>
  </si>
  <si>
    <t>Sonata Software Ltd.</t>
  </si>
  <si>
    <t>INE269A01021</t>
  </si>
  <si>
    <t>EIH Ltd.</t>
  </si>
  <si>
    <t>INE230A01023</t>
  </si>
  <si>
    <t>Godfrey Phillips India Ltd.</t>
  </si>
  <si>
    <t>INE260B01028</t>
  </si>
  <si>
    <t>Cigarettes &amp; Tobacco Products</t>
  </si>
  <si>
    <t>Bajaj Auto Ltd.</t>
  </si>
  <si>
    <t>INE917I01010</t>
  </si>
  <si>
    <t>Sudarshan Chemical Industries Ltd.</t>
  </si>
  <si>
    <t>INE659A01023</t>
  </si>
  <si>
    <t>Laurus Labs Ltd.</t>
  </si>
  <si>
    <t>INE947Q01028</t>
  </si>
  <si>
    <t>CESC Ltd.</t>
  </si>
  <si>
    <t>INE486A01021</t>
  </si>
  <si>
    <t>Artemis Medicare Services Ltd.</t>
  </si>
  <si>
    <t>INE025R01021</t>
  </si>
  <si>
    <t>Zydus Lifesciences Ltd.</t>
  </si>
  <si>
    <t>INE010B01027</t>
  </si>
  <si>
    <t>Dr. Reddy's Laboratories Ltd.</t>
  </si>
  <si>
    <t>INE089A01023</t>
  </si>
  <si>
    <t>JB Chemicals &amp; Pharmaceuticals Ltd.</t>
  </si>
  <si>
    <t>INE572A01036</t>
  </si>
  <si>
    <t>Abbott India Ltd.</t>
  </si>
  <si>
    <t>INE358A01014</t>
  </si>
  <si>
    <t>Global Health Ltd.</t>
  </si>
  <si>
    <t>INE474Q01031</t>
  </si>
  <si>
    <t>IPCA Laboratories Ltd.</t>
  </si>
  <si>
    <t>INE571A01038</t>
  </si>
  <si>
    <t>Metropolis Healthcare Ltd.</t>
  </si>
  <si>
    <t>INE112L01020</t>
  </si>
  <si>
    <t>UNO Minda Ltd.</t>
  </si>
  <si>
    <t>INE405E01023</t>
  </si>
  <si>
    <t>The Indian Hotels Company Ltd.</t>
  </si>
  <si>
    <t>INE053A01029</t>
  </si>
  <si>
    <t>Voltas Ltd.</t>
  </si>
  <si>
    <t>INE226A01021</t>
  </si>
  <si>
    <t>Dalmia Bharat Ltd.</t>
  </si>
  <si>
    <t>INE00R701025</t>
  </si>
  <si>
    <t>Astral Ltd.</t>
  </si>
  <si>
    <t>INE006I01046</t>
  </si>
  <si>
    <t>K.P.R. Mill Ltd.</t>
  </si>
  <si>
    <t>INE930H01031</t>
  </si>
  <si>
    <t>Swan Energy Ltd.</t>
  </si>
  <si>
    <t>INE665A01038</t>
  </si>
  <si>
    <t>Torrent Power Ltd.</t>
  </si>
  <si>
    <t>INE813H01021</t>
  </si>
  <si>
    <t>Info Edge (India) Ltd.</t>
  </si>
  <si>
    <t>INE663F01024</t>
  </si>
  <si>
    <t>Schaeffler India Ltd.</t>
  </si>
  <si>
    <t>INE513A01022</t>
  </si>
  <si>
    <t>Ashok Leyland Ltd.</t>
  </si>
  <si>
    <t>INE208A01029</t>
  </si>
  <si>
    <t>Sumitomo Chemical India Ltd.</t>
  </si>
  <si>
    <t>INE258G01013</t>
  </si>
  <si>
    <t>Tata Elxsi Ltd.</t>
  </si>
  <si>
    <t>INE670A01012</t>
  </si>
  <si>
    <t>Cholamandalam Investment &amp; Fin Co Ltd.</t>
  </si>
  <si>
    <t>INE121A01024</t>
  </si>
  <si>
    <t>Balkrishna Industries Ltd.</t>
  </si>
  <si>
    <t>INE787D01026</t>
  </si>
  <si>
    <t>Endurance Technologies Ltd.</t>
  </si>
  <si>
    <t>INE913H01037</t>
  </si>
  <si>
    <t>3M India Ltd.</t>
  </si>
  <si>
    <t>INE470A01017</t>
  </si>
  <si>
    <t>Diversified</t>
  </si>
  <si>
    <t>INE020B01018</t>
  </si>
  <si>
    <t>Apollo Tyres Ltd.</t>
  </si>
  <si>
    <t>INE438A01022</t>
  </si>
  <si>
    <t>Supreme Industries Ltd.</t>
  </si>
  <si>
    <t>INE195A01028</t>
  </si>
  <si>
    <t>Metro Brands Ltd.</t>
  </si>
  <si>
    <t>INE317I01021</t>
  </si>
  <si>
    <t>Honeywell Automation India Ltd.</t>
  </si>
  <si>
    <t>INE671A01010</t>
  </si>
  <si>
    <t>ACC Ltd.</t>
  </si>
  <si>
    <t>INE012A01025</t>
  </si>
  <si>
    <t>Escorts Kubota Ltd.</t>
  </si>
  <si>
    <t>INE042A01014</t>
  </si>
  <si>
    <t>Biocon Ltd.</t>
  </si>
  <si>
    <t>INE376G01013</t>
  </si>
  <si>
    <t>Sai Silk (Kalamandir) Ltd.</t>
  </si>
  <si>
    <t>INE438K01021</t>
  </si>
  <si>
    <t>Tata Steel Ltd.</t>
  </si>
  <si>
    <t>INE081A01020</t>
  </si>
  <si>
    <t>CCL Products (India) Ltd.</t>
  </si>
  <si>
    <t>INE421D01022</t>
  </si>
  <si>
    <t>Agricultural Food &amp; other Products</t>
  </si>
  <si>
    <t>Dabur India Ltd.</t>
  </si>
  <si>
    <t>INE016A01026</t>
  </si>
  <si>
    <t>Campus Activewear Ltd.</t>
  </si>
  <si>
    <t>INE278Y01022</t>
  </si>
  <si>
    <t>Bharat Dynamics Ltd.</t>
  </si>
  <si>
    <t>INE171Z01018</t>
  </si>
  <si>
    <t>Nippon Life India Asset Management Ltd.</t>
  </si>
  <si>
    <t>INE298J01013</t>
  </si>
  <si>
    <t>Capital Markets</t>
  </si>
  <si>
    <t>Oil &amp; Natural Gas Corporation Ltd.</t>
  </si>
  <si>
    <t>INE213A01029</t>
  </si>
  <si>
    <t>Oil</t>
  </si>
  <si>
    <t>Heidelbergcement India Ltd.</t>
  </si>
  <si>
    <t>INE578A01017</t>
  </si>
  <si>
    <t>Total outstanding position(as at 29 February 2024 ) in Derivative Instruments(Gross National) 360.79 lacs.</t>
  </si>
  <si>
    <t>Total percentage of existing assets hedge through futures is 28.37%.</t>
  </si>
  <si>
    <t>Oracle Financial Services Software Ltd.</t>
  </si>
  <si>
    <t>INE881D01027</t>
  </si>
  <si>
    <t>VA Tech Wabag Ltd.</t>
  </si>
  <si>
    <t>INE956G01038</t>
  </si>
  <si>
    <t>Other Utilities</t>
  </si>
  <si>
    <t>Page Industries Ltd.</t>
  </si>
  <si>
    <t>INE761H01022</t>
  </si>
  <si>
    <t>Apar Industries Ltd.</t>
  </si>
  <si>
    <t>INE372A01015</t>
  </si>
  <si>
    <t>TCI Express Ltd.</t>
  </si>
  <si>
    <t>INE586V01016</t>
  </si>
  <si>
    <t>Blue Dart Express Ltd.</t>
  </si>
  <si>
    <t>INE233B01017</t>
  </si>
  <si>
    <t>TVS Holdings Ltd.</t>
  </si>
  <si>
    <t>INE105A01035</t>
  </si>
  <si>
    <t>Alicon Castalloy Ltd.</t>
  </si>
  <si>
    <t>INE062D01024</t>
  </si>
  <si>
    <t>GMM Pfaudler Ltd.</t>
  </si>
  <si>
    <t>INE541A01023</t>
  </si>
  <si>
    <t>Vinati Organics Ltd.</t>
  </si>
  <si>
    <t>INE410B01037</t>
  </si>
  <si>
    <t>PVR Inox Ltd.</t>
  </si>
  <si>
    <t>INE191H01014</t>
  </si>
  <si>
    <t>Entertainment</t>
  </si>
  <si>
    <t>Wendt India Ltd.</t>
  </si>
  <si>
    <t>INE274C01019</t>
  </si>
  <si>
    <t>Berger Paints (I) Ltd.</t>
  </si>
  <si>
    <t>INE463A01038</t>
  </si>
  <si>
    <t>InterGlobe Aviation Ltd.</t>
  </si>
  <si>
    <t>INE646L01027</t>
  </si>
  <si>
    <t>Ador Welding Ltd.</t>
  </si>
  <si>
    <t>INE045A01017</t>
  </si>
  <si>
    <t>Gabriel India Ltd.</t>
  </si>
  <si>
    <t>INE524A01029</t>
  </si>
  <si>
    <t>Disa India Ltd.</t>
  </si>
  <si>
    <t>INE131C01011</t>
  </si>
  <si>
    <t>Godrej Agrovet Ltd.</t>
  </si>
  <si>
    <t>INE850D01014</t>
  </si>
  <si>
    <t>5.5% Britannia Industries Ltd. **</t>
  </si>
  <si>
    <t>INE216A08027</t>
  </si>
  <si>
    <t>Garware Hi-Tech Films Ltd.</t>
  </si>
  <si>
    <t>INE291A01017</t>
  </si>
  <si>
    <t>Kirloskar Oil Engines Ltd.</t>
  </si>
  <si>
    <t>INE146L01010</t>
  </si>
  <si>
    <t>BSE Ltd.</t>
  </si>
  <si>
    <t>INE118H01025</t>
  </si>
  <si>
    <t>Lemon Tree Hotels Ltd.</t>
  </si>
  <si>
    <t>INE970X01018</t>
  </si>
  <si>
    <t>Blue Star Ltd.</t>
  </si>
  <si>
    <t>INE472A01039</t>
  </si>
  <si>
    <t>KSB Ltd.</t>
  </si>
  <si>
    <t>INE999A01015</t>
  </si>
  <si>
    <t>Avalon Technologies Ltd.</t>
  </si>
  <si>
    <t>INE0LCL01028</t>
  </si>
  <si>
    <t>Elgi Equipments Ltd.</t>
  </si>
  <si>
    <t>INE285A01027</t>
  </si>
  <si>
    <t>Grindwell Norton Ltd.</t>
  </si>
  <si>
    <t>INE536A01023</t>
  </si>
  <si>
    <t>Huhtamaki India Ltd.</t>
  </si>
  <si>
    <t>INE275B01026</t>
  </si>
  <si>
    <t>Hitachi Energy India Ltd.</t>
  </si>
  <si>
    <t>INE07Y701011</t>
  </si>
  <si>
    <t>Greenpanel Industries Ltd.</t>
  </si>
  <si>
    <t>INE08ZM01014</t>
  </si>
  <si>
    <t>Birlasoft Ltd.</t>
  </si>
  <si>
    <t>INE836A01035</t>
  </si>
  <si>
    <t>EID Parry India Ltd.</t>
  </si>
  <si>
    <t>INE126A01031</t>
  </si>
  <si>
    <t>Ratnamani Metals &amp; Tubes Ltd.</t>
  </si>
  <si>
    <t>INE703B01027</t>
  </si>
  <si>
    <t>TARC Ltd.</t>
  </si>
  <si>
    <t>INE0EK901012</t>
  </si>
  <si>
    <t>Bajaj Electricals Ltd.</t>
  </si>
  <si>
    <t>INE193E01025</t>
  </si>
  <si>
    <t>Carysil Ltd.</t>
  </si>
  <si>
    <t>INE482D01024</t>
  </si>
  <si>
    <t>Century Plyboards (India) Ltd.</t>
  </si>
  <si>
    <t>INE348B01021</t>
  </si>
  <si>
    <t>PNC Infratech Ltd.</t>
  </si>
  <si>
    <t>INE195J01029</t>
  </si>
  <si>
    <t>Navin Fluorine International Ltd.</t>
  </si>
  <si>
    <t>INE048G01026</t>
  </si>
  <si>
    <t>Timken India Ltd.</t>
  </si>
  <si>
    <t>INE325A01013</t>
  </si>
  <si>
    <t>Galaxy Surfactants Ltd.</t>
  </si>
  <si>
    <t>INE600K01018</t>
  </si>
  <si>
    <t>Birla Corporation Ltd.</t>
  </si>
  <si>
    <t>INE340A01012</t>
  </si>
  <si>
    <t>Sheela Foam Ltd.</t>
  </si>
  <si>
    <t>INE916U01025</t>
  </si>
  <si>
    <t>Deepak Nitrite Ltd.</t>
  </si>
  <si>
    <t>INE288B01029</t>
  </si>
  <si>
    <t>SP Apparels Ltd.</t>
  </si>
  <si>
    <t>INE212I01016</t>
  </si>
  <si>
    <t>Inox India Ltd.</t>
  </si>
  <si>
    <t>INE616N01034</t>
  </si>
  <si>
    <t>IRM Energy Ltd.</t>
  </si>
  <si>
    <t>INE07U701015</t>
  </si>
  <si>
    <t>Tata Communications Ltd.</t>
  </si>
  <si>
    <t>INE151A01013</t>
  </si>
  <si>
    <t>LIC Mutual Fund</t>
  </si>
  <si>
    <t>INF397L01554</t>
  </si>
  <si>
    <t>Tata Consumer Products Ltd.</t>
  </si>
  <si>
    <t>INE192A01025</t>
  </si>
  <si>
    <t>Avenue Supermarts Ltd.</t>
  </si>
  <si>
    <t>INE192R01011</t>
  </si>
  <si>
    <t>Eicher Motors Ltd.</t>
  </si>
  <si>
    <t>INE066A01021</t>
  </si>
  <si>
    <t>Hindustan Aeronautics Ltd.</t>
  </si>
  <si>
    <t>INE066F01020</t>
  </si>
  <si>
    <t>Schneider Electric Infrastructure Ltd.</t>
  </si>
  <si>
    <t>INE839M01018</t>
  </si>
  <si>
    <t>Cummins India Ltd.</t>
  </si>
  <si>
    <t>INE298A01020</t>
  </si>
  <si>
    <t>Ashoka Buildcon Ltd.</t>
  </si>
  <si>
    <t>INE442H01029</t>
  </si>
  <si>
    <t>Gujarat State Petronet Ltd.</t>
  </si>
  <si>
    <t>INE246F01010</t>
  </si>
  <si>
    <t>Foseco India Ltd.</t>
  </si>
  <si>
    <t>INE519A01011</t>
  </si>
  <si>
    <t>PSP Projects Ltd.</t>
  </si>
  <si>
    <t>INE488V01015</t>
  </si>
  <si>
    <t>Kirloskar Pneumatic Co.Ltd.</t>
  </si>
  <si>
    <t>INE811A01020</t>
  </si>
  <si>
    <t>Vascon Engineers Ltd.</t>
  </si>
  <si>
    <t>INE893I01013</t>
  </si>
  <si>
    <t>Adani Ports &amp; Special Economic Zone Ltd.</t>
  </si>
  <si>
    <t>INE742F01042</t>
  </si>
  <si>
    <t>Transport Infrastructure</t>
  </si>
  <si>
    <t>Adani Enterprises Ltd.</t>
  </si>
  <si>
    <t>INE423A01024</t>
  </si>
  <si>
    <t>Metals &amp; Minerals Trading</t>
  </si>
  <si>
    <t>Wipro Ltd.</t>
  </si>
  <si>
    <t>INE075A01022</t>
  </si>
  <si>
    <t>UPL Ltd.</t>
  </si>
  <si>
    <t>INE628A01036</t>
  </si>
  <si>
    <t>Persistent Systems Ltd.</t>
  </si>
  <si>
    <t>INE262H01013</t>
  </si>
  <si>
    <t>Amber Enterprises India Ltd.</t>
  </si>
  <si>
    <t>INE371P01015</t>
  </si>
  <si>
    <t>Gujarat Gas Ltd.</t>
  </si>
  <si>
    <t>INE844O01030</t>
  </si>
  <si>
    <t>Max Healthcare Institute Ltd.</t>
  </si>
  <si>
    <t>INE027H01010</t>
  </si>
  <si>
    <t>Adani Power Ltd.</t>
  </si>
  <si>
    <t>INE814H01011</t>
  </si>
  <si>
    <t>Yes Bank Ltd.</t>
  </si>
  <si>
    <t>INE528G01035</t>
  </si>
  <si>
    <t>Lupin Ltd.</t>
  </si>
  <si>
    <t>INE326A01037</t>
  </si>
  <si>
    <t>HDFC Asset Management Company Ltd.</t>
  </si>
  <si>
    <t>INE127D01025</t>
  </si>
  <si>
    <t>Tube Investments Of India Ltd.</t>
  </si>
  <si>
    <t>INE974X01010</t>
  </si>
  <si>
    <t>PB Fintech Ltd.</t>
  </si>
  <si>
    <t>INE417T01026</t>
  </si>
  <si>
    <t>Financial Technology (Fintech)</t>
  </si>
  <si>
    <t>MRF Ltd.</t>
  </si>
  <si>
    <t>INE883A01011</t>
  </si>
  <si>
    <t>Bharat Heavy Electricals Ltd.</t>
  </si>
  <si>
    <t>INE257A01026</t>
  </si>
  <si>
    <t>CG Power and Industrial Solutions Ltd.</t>
  </si>
  <si>
    <t>INE067A01029</t>
  </si>
  <si>
    <t>AU Small Finance Bank Ltd.</t>
  </si>
  <si>
    <t>INE949L01017</t>
  </si>
  <si>
    <t>Indian Railway Finance Corporation Ltd.</t>
  </si>
  <si>
    <t>INE053F01010</t>
  </si>
  <si>
    <t>NMDC Ltd.</t>
  </si>
  <si>
    <t>INE584A01023</t>
  </si>
  <si>
    <t>Minerals &amp; Mining</t>
  </si>
  <si>
    <t>KPIT Technologies Ltd.</t>
  </si>
  <si>
    <t>INE04I401011</t>
  </si>
  <si>
    <t>Dixon Technologies (India) Ltd.</t>
  </si>
  <si>
    <t>INE935N01020</t>
  </si>
  <si>
    <t>Polycab India Ltd.</t>
  </si>
  <si>
    <t>INE455K01017</t>
  </si>
  <si>
    <t>JSW Energy Ltd.</t>
  </si>
  <si>
    <t>INE121E01018</t>
  </si>
  <si>
    <t>Mphasis Ltd.</t>
  </si>
  <si>
    <t>INE356A01018</t>
  </si>
  <si>
    <t>FSN E-Commerce Ventures Ltd.</t>
  </si>
  <si>
    <t>INE388Y01029</t>
  </si>
  <si>
    <t>Fortis Healthcare Ltd.</t>
  </si>
  <si>
    <t>INE061F01013</t>
  </si>
  <si>
    <t>Petronet LNG Ltd.</t>
  </si>
  <si>
    <t>INE347G01014</t>
  </si>
  <si>
    <t>INE115A01026</t>
  </si>
  <si>
    <t>Oil India Ltd.</t>
  </si>
  <si>
    <t>INE274J01014</t>
  </si>
  <si>
    <t>Indian Bank</t>
  </si>
  <si>
    <t>INE562A01011</t>
  </si>
  <si>
    <t>Steel Authority of India Ltd.</t>
  </si>
  <si>
    <t>INE114A01011</t>
  </si>
  <si>
    <t>Delhivery Ltd.</t>
  </si>
  <si>
    <t>INE148O01028</t>
  </si>
  <si>
    <t>Prestige Estates Projects Ltd.</t>
  </si>
  <si>
    <t>INE811K01011</t>
  </si>
  <si>
    <t>Indraprastha Gas Ltd.</t>
  </si>
  <si>
    <t>INE203G01027</t>
  </si>
  <si>
    <t>Zee Entertainment Enterprises Ltd.</t>
  </si>
  <si>
    <t>INE256A01028</t>
  </si>
  <si>
    <t>Bandhan Bank Ltd.</t>
  </si>
  <si>
    <t>INE545U01014</t>
  </si>
  <si>
    <t>L&amp;T Technology Services Ltd.</t>
  </si>
  <si>
    <t>INE010V01017</t>
  </si>
  <si>
    <t>Tata Chemicals Ltd.</t>
  </si>
  <si>
    <t>INE092A01019</t>
  </si>
  <si>
    <t>Gujarat Fluorochemicals Ltd.</t>
  </si>
  <si>
    <t>INE09N301011</t>
  </si>
  <si>
    <t>Patanjali Foods Ltd.</t>
  </si>
  <si>
    <t>INE619A01035</t>
  </si>
  <si>
    <t>Rail Vikas Nigam Ltd.</t>
  </si>
  <si>
    <t>INE415G01027</t>
  </si>
  <si>
    <t>Poonawalla Fincorp Ltd.</t>
  </si>
  <si>
    <t>INE511C01022</t>
  </si>
  <si>
    <t>United Breweries Ltd.</t>
  </si>
  <si>
    <t>INE686F01025</t>
  </si>
  <si>
    <t>Gland Pharma Ltd.</t>
  </si>
  <si>
    <t>INE068V01023</t>
  </si>
  <si>
    <t>Vodafone Idea Ltd.</t>
  </si>
  <si>
    <t>INE669E01016</t>
  </si>
  <si>
    <t>One 97 Communications Ltd.</t>
  </si>
  <si>
    <t>INE982J01020</t>
  </si>
  <si>
    <t>Bata India Ltd.</t>
  </si>
  <si>
    <t>INE176A01028</t>
  </si>
  <si>
    <t>Dr. Lal Path Labs Ltd.</t>
  </si>
  <si>
    <t>INE600L01024</t>
  </si>
  <si>
    <t>Mazagon Dock Shipbuilders Ltd.</t>
  </si>
  <si>
    <t>INE249Z01012</t>
  </si>
  <si>
    <t>Devyani International Ltd.</t>
  </si>
  <si>
    <t>INE872J01023</t>
  </si>
  <si>
    <t>Sun TV Network Ltd.</t>
  </si>
  <si>
    <t>INE424H01027</t>
  </si>
  <si>
    <t>Fertilizers &amp; Chemicals Travancore Ltd.</t>
  </si>
  <si>
    <t>INE188A01015</t>
  </si>
  <si>
    <t>Shriram Finance Ltd.</t>
  </si>
  <si>
    <t>INE721A01013</t>
  </si>
  <si>
    <t>Kansai Nerolac Paints Ltd.</t>
  </si>
  <si>
    <t>INE531A01024</t>
  </si>
  <si>
    <t>Star Health &amp; Allied Insurance Co Ltd.</t>
  </si>
  <si>
    <t>INE575P01011</t>
  </si>
  <si>
    <t>Sundram Fasteners Ltd.</t>
  </si>
  <si>
    <t>INE387A01021</t>
  </si>
  <si>
    <t>ZF Commercial Vehicle Ctrl Sys Ind Ltd.</t>
  </si>
  <si>
    <t>INE342J01019</t>
  </si>
  <si>
    <t>JSW Infrastructure Ltd.</t>
  </si>
  <si>
    <t>INE880J01026</t>
  </si>
  <si>
    <t>Sundaram Finance Ltd.</t>
  </si>
  <si>
    <t>INE660A01013</t>
  </si>
  <si>
    <t>Cello World Ltd.</t>
  </si>
  <si>
    <t>INE0LMW01024</t>
  </si>
  <si>
    <t>Emami Ltd.</t>
  </si>
  <si>
    <t>INE548C01032</t>
  </si>
  <si>
    <t>Saregama India Ltd.</t>
  </si>
  <si>
    <t>INE979A01025</t>
  </si>
  <si>
    <t>Kajaria Ceramics Ltd.</t>
  </si>
  <si>
    <t>INE217B01036</t>
  </si>
  <si>
    <t>Whirlpool of India Ltd.</t>
  </si>
  <si>
    <t>INE716A01013</t>
  </si>
  <si>
    <t>Vedant Fashions Ltd.</t>
  </si>
  <si>
    <t>INE825V01034</t>
  </si>
  <si>
    <t>GPT Infraprojects Ltd.</t>
  </si>
  <si>
    <t>INE390G01014</t>
  </si>
  <si>
    <t>DLF Ltd.</t>
  </si>
  <si>
    <t>INE271C01023</t>
  </si>
  <si>
    <t>GAIL (India) Ltd.</t>
  </si>
  <si>
    <t>INE129A01019</t>
  </si>
  <si>
    <t>Ambuja Cements Ltd.</t>
  </si>
  <si>
    <t>INE079A01024</t>
  </si>
  <si>
    <t>ICICI Lombard General Insurance Co. Ltd.</t>
  </si>
  <si>
    <t>INE765G01017</t>
  </si>
  <si>
    <t>Punjab National Bank</t>
  </si>
  <si>
    <t>INE160A01022</t>
  </si>
  <si>
    <t>Shree Cement Ltd.</t>
  </si>
  <si>
    <t>INE070A01015</t>
  </si>
  <si>
    <t>United Spirits Ltd.</t>
  </si>
  <si>
    <t>INE854D01024</t>
  </si>
  <si>
    <t>Colgate Palmolive (India) Ltd.</t>
  </si>
  <si>
    <t>INE259A01022</t>
  </si>
  <si>
    <t>ABB India Ltd.</t>
  </si>
  <si>
    <t>INE117A01022</t>
  </si>
  <si>
    <t>Adani Green Energy Ltd.</t>
  </si>
  <si>
    <t>INE364U01010</t>
  </si>
  <si>
    <t>Marico Ltd.</t>
  </si>
  <si>
    <t>INE196A01026</t>
  </si>
  <si>
    <t>Bosch Ltd.</t>
  </si>
  <si>
    <t>INE323A01026</t>
  </si>
  <si>
    <t>SBI Cards &amp; Payment Services Ltd.</t>
  </si>
  <si>
    <t>INE018E01016</t>
  </si>
  <si>
    <t>Bajaj Holdings &amp; Investment Ltd.</t>
  </si>
  <si>
    <t>INE118A01012</t>
  </si>
  <si>
    <t>Adani Energy Solutions Ltd.</t>
  </si>
  <si>
    <t>INE931S01010</t>
  </si>
  <si>
    <t>Adani Total Gas Ltd.</t>
  </si>
  <si>
    <t>INE399L01023</t>
  </si>
  <si>
    <t>Life Insurance Corporation of India</t>
  </si>
  <si>
    <t>INE0J1Y01017</t>
  </si>
  <si>
    <t>Procter &amp; Gamble Hygiene&amp;HealthCare Ltd.</t>
  </si>
  <si>
    <t>INE179A01014</t>
  </si>
  <si>
    <t>Adani Wilmar Ltd.</t>
  </si>
  <si>
    <t>INE699H01024</t>
  </si>
  <si>
    <t>Tata Motors Ltd (DVR)</t>
  </si>
  <si>
    <t>IN9155A01020</t>
  </si>
  <si>
    <t>Thermax Ltd.</t>
  </si>
  <si>
    <t>INE152A01029</t>
  </si>
  <si>
    <t>Safari Industries India Ltd.</t>
  </si>
  <si>
    <t>INE429E01023</t>
  </si>
  <si>
    <t>MRS Bectors Food Specialities Ltd.</t>
  </si>
  <si>
    <t>INE495P01012</t>
  </si>
  <si>
    <t>AIA Engineering Ltd.</t>
  </si>
  <si>
    <t>INE212H01026</t>
  </si>
  <si>
    <t>Cera Sanitaryware Ltd.</t>
  </si>
  <si>
    <t>INE739E01017</t>
  </si>
  <si>
    <t>SKF India Ltd.</t>
  </si>
  <si>
    <t>INE640A01023</t>
  </si>
  <si>
    <t>Raymond Ltd.</t>
  </si>
  <si>
    <t>INE301A01014</t>
  </si>
  <si>
    <t>MM Forgings Ltd.</t>
  </si>
  <si>
    <t>INE227C01017</t>
  </si>
  <si>
    <t>RHI Magnesita India Ltd.</t>
  </si>
  <si>
    <t>INE743M01012</t>
  </si>
  <si>
    <t>Bajel Projects Ltd.</t>
  </si>
  <si>
    <t>INE0KQN01018</t>
  </si>
  <si>
    <t>Bharti Airtel Ltd. PARTLY PAID UP FV 1.25</t>
  </si>
  <si>
    <t>IN9397D01014</t>
  </si>
  <si>
    <t>5.74% Government of India</t>
  </si>
  <si>
    <t>IN0020210186</t>
  </si>
  <si>
    <t>Riskometer</t>
  </si>
  <si>
    <t>Moderately High</t>
  </si>
  <si>
    <t>Low</t>
  </si>
  <si>
    <t>The product is suitable for investors who are seeking*</t>
  </si>
  <si>
    <t>Riskometer - Scheme</t>
  </si>
  <si>
    <t>First Tier Benchmark</t>
  </si>
  <si>
    <t>Riskometer - First Tier Benchmark</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</si>
  <si>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</si>
  <si>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</si>
  <si>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</si>
  <si>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•Risk - Moderate</t>
  </si>
  <si>
    <t>Very High</t>
  </si>
  <si>
    <t>High</t>
  </si>
  <si>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</si>
  <si>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</si>
  <si>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</si>
  <si>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</si>
  <si>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</si>
  <si>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NIFTY 50 Hybrid Composite Debt 50:50 Index</t>
  </si>
  <si>
    <t>•Capital appreciation over a long period of time</t>
  </si>
  <si>
    <t>•Investments in a dynamically managed portfolio of equity and equity related instruments, debt and money market instruments</t>
  </si>
  <si>
    <r>
      <t>•</t>
    </r>
    <r>
      <rPr>
        <b/>
        <sz val="9"/>
        <color rgb="FF000000"/>
        <rFont val="Arial"/>
        <family val="2"/>
      </rPr>
      <t>Risk - Very High</t>
    </r>
  </si>
  <si>
    <r>
      <t>•</t>
    </r>
    <r>
      <rPr>
        <b/>
        <sz val="9"/>
        <color rgb="FF000000"/>
        <rFont val="Arial"/>
        <family val="2"/>
      </rPr>
      <t>Risk - High</t>
    </r>
  </si>
  <si>
    <t>LIC MF AGGRESSIVE HYBRID FUND (FORMERLY LIC MF EQUITY HYBRID FUND)</t>
  </si>
  <si>
    <t>CRISIL Hybrid 35+65 - Aggressive Index</t>
  </si>
  <si>
    <t>•Long term capital appreciation with current income</t>
  </si>
  <si>
    <t xml:space="preserve">•A fund that invests both in stocks and fixed income instruments. </t>
  </si>
  <si>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</si>
  <si>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</si>
  <si>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</si>
  <si>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</si>
  <si>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</si>
  <si>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</si>
  <si>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</si>
  <si>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</si>
  <si>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</si>
  <si>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</si>
  <si>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•Investment predominantly in dividend yielding equity and equity related instruments.</t>
  </si>
  <si>
    <t>LIC MF HEALTHCARE FUND (FORMERLY IDBI HEALTHCARE FUND)</t>
  </si>
  <si>
    <t>S&amp;P BSE Healthcare -  (TRI)</t>
  </si>
  <si>
    <t>•Investment predominantly in equity and equity related instruments of companies engaged in Healthcare &amp; Allied Sectors</t>
  </si>
  <si>
    <t>LIC MF MID CAP FUND (FORMERLY IDBI MIDCAP FUND)</t>
  </si>
  <si>
    <t>LIC MF Midcap Fund</t>
  </si>
  <si>
    <t>NIFTY Midcap 150 - TRI</t>
  </si>
  <si>
    <t>•Investment predominantly in equity and equity related instruments of Midcap companies.</t>
  </si>
  <si>
    <t>LIC MF EQUITY SAVINGS FUND (FORMERLY IDBI EQUITY SAVINGS FUND)</t>
  </si>
  <si>
    <t>NIFTY Equity Savings Index</t>
  </si>
  <si>
    <t>•Regular income &amp; Capital appreciation over Medium to Long term</t>
  </si>
  <si>
    <t>•Investment in equity and equity related Instruments including equity derivatives, arbitrage and debt and money market instruments</t>
  </si>
  <si>
    <r>
      <t>•</t>
    </r>
    <r>
      <rPr>
        <b/>
        <sz val="9"/>
        <color rgb="FF000000"/>
        <rFont val="Arial"/>
        <family val="2"/>
      </rPr>
      <t>Risk - Moderately High</t>
    </r>
  </si>
  <si>
    <t>Nifty 500 TRI</t>
  </si>
  <si>
    <t>•Investing across Large, Mid &amp; Small Cap stocks.</t>
  </si>
  <si>
    <t>LIC MF SMALL CAP FUND (FORMERLY IDBI SMALL CAP FUND)</t>
  </si>
  <si>
    <t>LIC MF SmallCap Fund</t>
  </si>
  <si>
    <t>NIFTY Smallcap 250 - TRI</t>
  </si>
  <si>
    <t>•Investment predominantly in equity and equity related instruments of Smallcap companies.</t>
  </si>
  <si>
    <t>LIC MF FOCUSED 30 EQUITY FUND (FORMERLY IDBI FOCUSED 30 EQUITY FUND)</t>
  </si>
  <si>
    <t>LIC  MF Focused 30 Equity Fund</t>
  </si>
  <si>
    <t>NIFTY 500 - TRI</t>
  </si>
  <si>
    <t>• Investment predominantly in large cap focused equity &amp; equity related instruments of up to 30 ompanies and balance in debt &amp; money market instruments.</t>
  </si>
  <si>
    <t>LIC MF GOLD ETF FUND OF FUND (FORMERLY IDBI GOLD FUND)</t>
  </si>
  <si>
    <t>Domestic Price of Gold</t>
  </si>
  <si>
    <t>•To replicate returns of LIC MF Gold ETF FOF with at least medium term horizon</t>
  </si>
  <si>
    <t>•Investments in units of LIC MF Gold ETF / Money Market Instruments/ LIC MF Liquid Fund Scheme</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</si>
  <si>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</si>
  <si>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</si>
  <si>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</si>
  <si>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</si>
  <si>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</si>
  <si>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</si>
  <si>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</si>
  <si>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</si>
  <si>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</si>
  <si>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</si>
  <si>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</si>
  <si>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LIC MF LONG TERM VALUE FUND (FORMERLY IDBI LONG TERM VALUE FUND)</t>
  </si>
  <si>
    <t>•Long term capital growth.</t>
  </si>
  <si>
    <t>•Investment in equity and equity related instruments by following value investment strategy.</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</si>
  <si>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</si>
  <si>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</si>
  <si>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</si>
  <si>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</si>
  <si>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</si>
  <si>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LIC MF NIFTY NEXT 50 INDEX FUND (FORMERLY IDBI NIFTY NEXT 50 INDEX FUND)</t>
  </si>
  <si>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</si>
  <si>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</si>
  <si>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</si>
  <si>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r>
      <t xml:space="preserve">NSE Symbol: </t>
    </r>
    <r>
      <rPr>
        <b/>
        <sz val="9"/>
        <color theme="1"/>
        <rFont val="Arial"/>
        <family val="2"/>
      </rPr>
      <t>LICNFNHGP</t>
    </r>
  </si>
  <si>
    <r>
      <t xml:space="preserve">BSE Scrip Code: </t>
    </r>
    <r>
      <rPr>
        <b/>
        <sz val="9"/>
        <color theme="1"/>
        <rFont val="Arial"/>
        <family val="2"/>
      </rPr>
      <t>539784</t>
    </r>
  </si>
  <si>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</si>
  <si>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</si>
  <si>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</si>
  <si>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LIC MF ELSS TAX SAVER ( FORMERLY LIC MF ELSS )</t>
  </si>
  <si>
    <t>LIC MF ELSS</t>
  </si>
  <si>
    <r>
      <t>•</t>
    </r>
    <r>
      <rPr>
        <sz val="9"/>
        <color rgb="FF000000"/>
        <rFont val="Arial"/>
        <family val="2"/>
      </rPr>
      <t>Investment in equity and equity related securities</t>
    </r>
  </si>
  <si>
    <r>
      <t xml:space="preserve">NSE Symbol: </t>
    </r>
    <r>
      <rPr>
        <b/>
        <sz val="9"/>
        <color theme="1"/>
        <rFont val="Arial"/>
        <family val="2"/>
      </rPr>
      <t>LICNETFN50</t>
    </r>
  </si>
  <si>
    <r>
      <t xml:space="preserve">BSE Scrip Code: </t>
    </r>
    <r>
      <rPr>
        <b/>
        <sz val="9"/>
        <color theme="1"/>
        <rFont val="Arial"/>
        <family val="2"/>
      </rPr>
      <t>539480</t>
    </r>
  </si>
  <si>
    <r>
      <t>•</t>
    </r>
    <r>
      <rPr>
        <sz val="9"/>
        <color rgb="FF000000"/>
        <rFont val="Arial"/>
        <family val="2"/>
      </rPr>
      <t>Investment in securities covered by NIFTY 50 Index, subject to tracking errors.</t>
    </r>
  </si>
  <si>
    <r>
      <t>•</t>
    </r>
    <r>
      <rPr>
        <b/>
        <sz val="9"/>
        <color rgb="FF000000"/>
        <rFont val="Arial"/>
        <family val="2"/>
      </rPr>
      <t>Risk- Very High</t>
    </r>
  </si>
  <si>
    <r>
      <t xml:space="preserve">NSE Symbol: </t>
    </r>
    <r>
      <rPr>
        <b/>
        <sz val="9"/>
        <color theme="1"/>
        <rFont val="Arial"/>
        <family val="2"/>
      </rPr>
      <t>LICNETFSEN</t>
    </r>
  </si>
  <si>
    <r>
      <t xml:space="preserve">BSE Scrip Code: </t>
    </r>
    <r>
      <rPr>
        <b/>
        <sz val="9"/>
        <color theme="1"/>
        <rFont val="Arial"/>
        <family val="2"/>
      </rPr>
      <t>539487</t>
    </r>
  </si>
  <si>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</si>
  <si>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</si>
  <si>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</si>
  <si>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•Long term investment.</t>
  </si>
  <si>
    <t>•Investment in equity and equity related securities and portfolios replicating the composition of Nifty Midcap 100 Total Returns Index, subject to tracking errors.</t>
  </si>
  <si>
    <t>Nifty Midcap 100 TRI</t>
  </si>
  <si>
    <t>LICMFGOLDETF</t>
  </si>
  <si>
    <t>LIC MF Gold Exchange Traded Fund</t>
  </si>
  <si>
    <t>LIC MF GOLD EXCHANGE TRADED FUND (FORMERLY IDBI GOLD EXCHANGE TRADED FUND)</t>
  </si>
  <si>
    <r>
      <t xml:space="preserve">NSE Symbol: </t>
    </r>
    <r>
      <rPr>
        <b/>
        <sz val="9"/>
        <color theme="1"/>
        <rFont val="Arial"/>
        <family val="2"/>
      </rPr>
      <t>LICMFGOLD</t>
    </r>
  </si>
  <si>
    <r>
      <t xml:space="preserve">BSE Scrip Code: </t>
    </r>
    <r>
      <rPr>
        <b/>
        <sz val="9"/>
        <color theme="1"/>
        <rFont val="Arial"/>
        <family val="2"/>
      </rPr>
      <t>533719</t>
    </r>
  </si>
  <si>
    <t>Gold</t>
  </si>
  <si>
    <t>• To replicate the performance of gold in domestic prices with at least medium term horizon.</t>
  </si>
  <si>
    <t>• Investments in physical gold and gold related instruments / debt &amp; money market instruments.</t>
  </si>
  <si>
    <r>
      <t xml:space="preserve">NSE Symbol: </t>
    </r>
    <r>
      <rPr>
        <b/>
        <sz val="9"/>
        <color theme="1"/>
        <rFont val="Arial"/>
        <family val="2"/>
      </rPr>
      <t>LICNMID100</t>
    </r>
  </si>
  <si>
    <r>
      <t xml:space="preserve">BSE Scrip Code: </t>
    </r>
    <r>
      <rPr>
        <b/>
        <sz val="9"/>
        <color theme="1"/>
        <rFont val="Arial"/>
        <family val="2"/>
      </rPr>
      <t>544123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</si>
</sst>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13">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0" fillId="0" borderId="22" xfId="0" applyFont="1" applyBorder="1" applyAlignment="1">
      <alignment horizontal="center" vertical="center" wrapText="1"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5"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8" fillId="0" borderId="26" xfId="0" applyFont="1" applyBorder="1" applyAlignment="1">
      <alignment horizontal="center" vertical="center" wrapText="1" readingOrder="1"/>
    </xf>
    <xf numFmtId="0" fontId="8" fillId="0" borderId="27" xfId="0" applyFont="1" applyBorder="1" applyAlignment="1">
      <alignment horizontal="center" vertical="center" wrapText="1" readingOrder="1"/>
    </xf>
    <xf numFmtId="0" fontId="5" fillId="0" borderId="0" xfId="2" applyFill="1"/>
    <xf numFmtId="0" fontId="2" fillId="0" borderId="28" xfId="0" applyFont="1" applyBorder="1" applyAlignment="1">
      <alignment horizontal="left"/>
    </xf>
    <xf numFmtId="167" fontId="2" fillId="0" borderId="29" xfId="1" applyNumberFormat="1" applyFont="1" applyBorder="1"/>
    <xf numFmtId="0" fontId="2" fillId="0" borderId="30" xfId="0" applyFont="1" applyBorder="1" applyAlignment="1">
      <alignment horizontal="left"/>
    </xf>
    <xf numFmtId="164" fontId="2" fillId="0" borderId="10" xfId="0" applyNumberFormat="1" applyFont="1" applyBorder="1"/>
    <xf numFmtId="4" fontId="2" fillId="0" borderId="10" xfId="0" applyNumberFormat="1" applyFont="1" applyBorder="1"/>
    <xf numFmtId="10" fontId="2" fillId="0" borderId="10" xfId="0" applyNumberFormat="1" applyFont="1" applyBorder="1" applyAlignment="1">
      <alignment horizontal="right"/>
    </xf>
    <xf numFmtId="10" fontId="2" fillId="0" borderId="31" xfId="1" applyNumberFormat="1" applyFont="1" applyBorder="1"/>
    <xf numFmtId="0" fontId="3" fillId="0" borderId="30" xfId="0" applyFont="1" applyBorder="1" applyAlignment="1">
      <alignment horizontal="left"/>
    </xf>
    <xf numFmtId="0" fontId="3" fillId="0" borderId="10" xfId="0" applyFont="1" applyBorder="1" applyAlignment="1">
      <alignment horizontal="left"/>
    </xf>
    <xf numFmtId="164" fontId="3" fillId="0" borderId="10" xfId="0" applyNumberFormat="1" applyFont="1" applyBorder="1"/>
    <xf numFmtId="10" fontId="3" fillId="0" borderId="8" xfId="1" applyNumberFormat="1" applyFont="1" applyBorder="1"/>
    <xf numFmtId="10" fontId="3" fillId="0" borderId="31" xfId="1" applyNumberFormat="1" applyFont="1" applyBorder="1"/>
    <xf numFmtId="0" fontId="3" fillId="0" borderId="32" xfId="0" applyFont="1" applyBorder="1" applyAlignment="1">
      <alignment horizontal="left"/>
    </xf>
    <xf numFmtId="166" fontId="2" fillId="0" borderId="10" xfId="0" applyNumberFormat="1" applyFont="1" applyBorder="1"/>
    <xf numFmtId="167" fontId="2" fillId="0" borderId="10" xfId="0" applyNumberFormat="1" applyFont="1" applyBorder="1" applyAlignment="1">
      <alignment horizontal="right"/>
    </xf>
    <xf numFmtId="0" fontId="3" fillId="0" borderId="33" xfId="0" applyFont="1" applyBorder="1" applyAlignment="1">
      <alignment horizontal="left"/>
    </xf>
    <xf numFmtId="0" fontId="3" fillId="0" borderId="34" xfId="0" applyFont="1" applyBorder="1" applyAlignment="1">
      <alignment horizontal="left"/>
    </xf>
    <xf numFmtId="164" fontId="3" fillId="0" borderId="34" xfId="0" applyNumberFormat="1" applyFont="1" applyBorder="1"/>
    <xf numFmtId="4" fontId="3" fillId="0" borderId="34" xfId="0" applyNumberFormat="1" applyFont="1" applyBorder="1"/>
    <xf numFmtId="10" fontId="3" fillId="0" borderId="34" xfId="0" applyNumberFormat="1" applyFont="1" applyBorder="1" applyAlignment="1">
      <alignment horizontal="right"/>
    </xf>
    <xf numFmtId="10" fontId="3" fillId="0" borderId="35" xfId="1" applyNumberFormat="1" applyFont="1" applyBorder="1"/>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8.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134</xdr:row>
      <xdr:rowOff>50800</xdr:rowOff>
    </xdr:from>
    <xdr:to>
      <xdr:col>2</xdr:col>
      <xdr:colOff>1765299</xdr:colOff>
      <xdr:row>137</xdr:row>
      <xdr:rowOff>292100</xdr:rowOff>
    </xdr:to>
    <xdr:pic>
      <xdr:nvPicPr>
        <xdr:cNvPr id="4" name="Picture 3">
          <a:extLst>
            <a:ext uri="{FF2B5EF4-FFF2-40B4-BE49-F238E27FC236}">
              <a16:creationId xmlns:a16="http://schemas.microsoft.com/office/drawing/2014/main" id="{BC36B0D6-3548-407B-A7DA-88D764CB72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76600" y="26841450"/>
          <a:ext cx="1708149"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63500</xdr:colOff>
      <xdr:row>134</xdr:row>
      <xdr:rowOff>44450</xdr:rowOff>
    </xdr:from>
    <xdr:to>
      <xdr:col>4</xdr:col>
      <xdr:colOff>1860549</xdr:colOff>
      <xdr:row>137</xdr:row>
      <xdr:rowOff>298450</xdr:rowOff>
    </xdr:to>
    <xdr:pic>
      <xdr:nvPicPr>
        <xdr:cNvPr id="5" name="Picture 4">
          <a:extLst>
            <a:ext uri="{FF2B5EF4-FFF2-40B4-BE49-F238E27FC236}">
              <a16:creationId xmlns:a16="http://schemas.microsoft.com/office/drawing/2014/main" id="{7736D956-0DC8-461F-B1C8-D9994FE191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42200" y="26835100"/>
          <a:ext cx="1797049" cy="168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111125</xdr:colOff>
      <xdr:row>124</xdr:row>
      <xdr:rowOff>142875</xdr:rowOff>
    </xdr:from>
    <xdr:to>
      <xdr:col>4</xdr:col>
      <xdr:colOff>2044736</xdr:colOff>
      <xdr:row>127</xdr:row>
      <xdr:rowOff>161924</xdr:rowOff>
    </xdr:to>
    <xdr:pic>
      <xdr:nvPicPr>
        <xdr:cNvPr id="5" name="Picture 4">
          <a:extLst>
            <a:ext uri="{FF2B5EF4-FFF2-40B4-BE49-F238E27FC236}">
              <a16:creationId xmlns:a16="http://schemas.microsoft.com/office/drawing/2014/main" id="{8B8B9BE6-3245-40AA-86FA-78E1331D1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2000" y="25355550"/>
          <a:ext cx="1933611" cy="1371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64298</xdr:colOff>
      <xdr:row>124</xdr:row>
      <xdr:rowOff>228599</xdr:rowOff>
    </xdr:from>
    <xdr:to>
      <xdr:col>2</xdr:col>
      <xdr:colOff>1647438</xdr:colOff>
      <xdr:row>127</xdr:row>
      <xdr:rowOff>142874</xdr:rowOff>
    </xdr:to>
    <xdr:pic>
      <xdr:nvPicPr>
        <xdr:cNvPr id="2" name="Picture 1">
          <a:extLst>
            <a:ext uri="{FF2B5EF4-FFF2-40B4-BE49-F238E27FC236}">
              <a16:creationId xmlns:a16="http://schemas.microsoft.com/office/drawing/2014/main" id="{0BD0C85D-F70D-4128-82AD-6B830B3C21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31348" y="25441274"/>
          <a:ext cx="1583140"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38101</xdr:colOff>
      <xdr:row>103</xdr:row>
      <xdr:rowOff>8126</xdr:rowOff>
    </xdr:from>
    <xdr:to>
      <xdr:col>2</xdr:col>
      <xdr:colOff>1955801</xdr:colOff>
      <xdr:row>106</xdr:row>
      <xdr:rowOff>196850</xdr:rowOff>
    </xdr:to>
    <xdr:pic>
      <xdr:nvPicPr>
        <xdr:cNvPr id="4" name="Picture 3">
          <a:extLst>
            <a:ext uri="{FF2B5EF4-FFF2-40B4-BE49-F238E27FC236}">
              <a16:creationId xmlns:a16="http://schemas.microsoft.com/office/drawing/2014/main" id="{9CCCA75F-012A-42CB-B1CF-2FB5A28279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1" y="20696426"/>
          <a:ext cx="1917700" cy="1331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103</xdr:row>
      <xdr:rowOff>24179</xdr:rowOff>
    </xdr:from>
    <xdr:to>
      <xdr:col>4</xdr:col>
      <xdr:colOff>1797050</xdr:colOff>
      <xdr:row>106</xdr:row>
      <xdr:rowOff>219075</xdr:rowOff>
    </xdr:to>
    <xdr:pic>
      <xdr:nvPicPr>
        <xdr:cNvPr id="5" name="Picture 4">
          <a:extLst>
            <a:ext uri="{FF2B5EF4-FFF2-40B4-BE49-F238E27FC236}">
              <a16:creationId xmlns:a16="http://schemas.microsoft.com/office/drawing/2014/main" id="{16804A06-62DA-443B-95C1-0736325BF7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45401" y="20712479"/>
          <a:ext cx="1771649" cy="13378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22785</xdr:colOff>
      <xdr:row>47</xdr:row>
      <xdr:rowOff>47514</xdr:rowOff>
    </xdr:from>
    <xdr:to>
      <xdr:col>2</xdr:col>
      <xdr:colOff>1924050</xdr:colOff>
      <xdr:row>50</xdr:row>
      <xdr:rowOff>304800</xdr:rowOff>
    </xdr:to>
    <xdr:pic>
      <xdr:nvPicPr>
        <xdr:cNvPr id="4" name="Picture 3">
          <a:extLst>
            <a:ext uri="{FF2B5EF4-FFF2-40B4-BE49-F238E27FC236}">
              <a16:creationId xmlns:a16="http://schemas.microsoft.com/office/drawing/2014/main" id="{7AB90139-E0DF-405C-B829-F050BF93E6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1035" y="9712214"/>
          <a:ext cx="1901265" cy="1578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47</xdr:row>
      <xdr:rowOff>38100</xdr:rowOff>
    </xdr:from>
    <xdr:to>
      <xdr:col>4</xdr:col>
      <xdr:colOff>2048295</xdr:colOff>
      <xdr:row>50</xdr:row>
      <xdr:rowOff>317500</xdr:rowOff>
    </xdr:to>
    <xdr:pic>
      <xdr:nvPicPr>
        <xdr:cNvPr id="5" name="Picture 4">
          <a:extLst>
            <a:ext uri="{FF2B5EF4-FFF2-40B4-BE49-F238E27FC236}">
              <a16:creationId xmlns:a16="http://schemas.microsoft.com/office/drawing/2014/main" id="{97E93641-A284-4FAB-AC63-9BE6604DEF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4450" y="9702800"/>
          <a:ext cx="1991145"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57151</xdr:colOff>
      <xdr:row>80</xdr:row>
      <xdr:rowOff>53554</xdr:rowOff>
    </xdr:from>
    <xdr:to>
      <xdr:col>4</xdr:col>
      <xdr:colOff>1905001</xdr:colOff>
      <xdr:row>83</xdr:row>
      <xdr:rowOff>219075</xdr:rowOff>
    </xdr:to>
    <xdr:pic>
      <xdr:nvPicPr>
        <xdr:cNvPr id="4" name="Picture 3">
          <a:extLst>
            <a:ext uri="{FF2B5EF4-FFF2-40B4-BE49-F238E27FC236}">
              <a16:creationId xmlns:a16="http://schemas.microsoft.com/office/drawing/2014/main" id="{43610A09-9E6A-4306-A7D4-E3BAE1F3B1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75551" y="16214304"/>
          <a:ext cx="1847850" cy="1549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43329</xdr:colOff>
      <xdr:row>80</xdr:row>
      <xdr:rowOff>55418</xdr:rowOff>
    </xdr:from>
    <xdr:to>
      <xdr:col>2</xdr:col>
      <xdr:colOff>1828800</xdr:colOff>
      <xdr:row>83</xdr:row>
      <xdr:rowOff>273050</xdr:rowOff>
    </xdr:to>
    <xdr:pic>
      <xdr:nvPicPr>
        <xdr:cNvPr id="5" name="Picture 4">
          <a:extLst>
            <a:ext uri="{FF2B5EF4-FFF2-40B4-BE49-F238E27FC236}">
              <a16:creationId xmlns:a16="http://schemas.microsoft.com/office/drawing/2014/main" id="{DF3EE584-86B8-476A-858B-14105182C2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21579" y="16216168"/>
          <a:ext cx="1785471" cy="1601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50801</xdr:colOff>
      <xdr:row>63</xdr:row>
      <xdr:rowOff>58170</xdr:rowOff>
    </xdr:from>
    <xdr:to>
      <xdr:col>4</xdr:col>
      <xdr:colOff>1885951</xdr:colOff>
      <xdr:row>66</xdr:row>
      <xdr:rowOff>190499</xdr:rowOff>
    </xdr:to>
    <xdr:pic>
      <xdr:nvPicPr>
        <xdr:cNvPr id="4" name="Picture 3">
          <a:extLst>
            <a:ext uri="{FF2B5EF4-FFF2-40B4-BE49-F238E27FC236}">
              <a16:creationId xmlns:a16="http://schemas.microsoft.com/office/drawing/2014/main" id="{F2D2E7F1-259B-4F47-87C8-43835918E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80301" y="12872470"/>
          <a:ext cx="1835150" cy="15166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63501</xdr:colOff>
      <xdr:row>63</xdr:row>
      <xdr:rowOff>38100</xdr:rowOff>
    </xdr:from>
    <xdr:to>
      <xdr:col>2</xdr:col>
      <xdr:colOff>1758950</xdr:colOff>
      <xdr:row>66</xdr:row>
      <xdr:rowOff>254000</xdr:rowOff>
    </xdr:to>
    <xdr:pic>
      <xdr:nvPicPr>
        <xdr:cNvPr id="5" name="Picture 4">
          <a:extLst>
            <a:ext uri="{FF2B5EF4-FFF2-40B4-BE49-F238E27FC236}">
              <a16:creationId xmlns:a16="http://schemas.microsoft.com/office/drawing/2014/main" id="{AACB09E0-B06D-4E87-9091-DCB6EFAD42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1751" y="12852400"/>
          <a:ext cx="1695449"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44451</xdr:colOff>
      <xdr:row>40</xdr:row>
      <xdr:rowOff>25400</xdr:rowOff>
    </xdr:from>
    <xdr:to>
      <xdr:col>2</xdr:col>
      <xdr:colOff>1746250</xdr:colOff>
      <xdr:row>43</xdr:row>
      <xdr:rowOff>203733</xdr:rowOff>
    </xdr:to>
    <xdr:pic>
      <xdr:nvPicPr>
        <xdr:cNvPr id="4" name="Picture 3">
          <a:extLst>
            <a:ext uri="{FF2B5EF4-FFF2-40B4-BE49-F238E27FC236}">
              <a16:creationId xmlns:a16="http://schemas.microsoft.com/office/drawing/2014/main" id="{F4C5FA0E-90AA-48AD-B61F-3A0B96999A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2701" y="8312150"/>
          <a:ext cx="1701799" cy="1562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40</xdr:row>
      <xdr:rowOff>19051</xdr:rowOff>
    </xdr:from>
    <xdr:to>
      <xdr:col>4</xdr:col>
      <xdr:colOff>1905000</xdr:colOff>
      <xdr:row>43</xdr:row>
      <xdr:rowOff>256443</xdr:rowOff>
    </xdr:to>
    <xdr:pic>
      <xdr:nvPicPr>
        <xdr:cNvPr id="5" name="Picture 4">
          <a:extLst>
            <a:ext uri="{FF2B5EF4-FFF2-40B4-BE49-F238E27FC236}">
              <a16:creationId xmlns:a16="http://schemas.microsoft.com/office/drawing/2014/main" id="{4DEC8E2E-D6C0-49AE-A3E4-5557B79DA2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67601" y="8305801"/>
          <a:ext cx="1879599" cy="16216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xdr:colOff>
      <xdr:row>76</xdr:row>
      <xdr:rowOff>1</xdr:rowOff>
    </xdr:from>
    <xdr:to>
      <xdr:col>4</xdr:col>
      <xdr:colOff>1879601</xdr:colOff>
      <xdr:row>79</xdr:row>
      <xdr:rowOff>285751</xdr:rowOff>
    </xdr:to>
    <xdr:pic>
      <xdr:nvPicPr>
        <xdr:cNvPr id="4" name="Picture 3">
          <a:extLst>
            <a:ext uri="{FF2B5EF4-FFF2-40B4-BE49-F238E27FC236}">
              <a16:creationId xmlns:a16="http://schemas.microsoft.com/office/drawing/2014/main" id="{DAAEE24C-EFBD-4297-9D89-F6741ADF6C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61251" y="15373351"/>
          <a:ext cx="1879600"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76</xdr:row>
      <xdr:rowOff>19050</xdr:rowOff>
    </xdr:from>
    <xdr:to>
      <xdr:col>2</xdr:col>
      <xdr:colOff>1778000</xdr:colOff>
      <xdr:row>79</xdr:row>
      <xdr:rowOff>254000</xdr:rowOff>
    </xdr:to>
    <xdr:pic>
      <xdr:nvPicPr>
        <xdr:cNvPr id="5" name="Picture 4">
          <a:extLst>
            <a:ext uri="{FF2B5EF4-FFF2-40B4-BE49-F238E27FC236}">
              <a16:creationId xmlns:a16="http://schemas.microsoft.com/office/drawing/2014/main" id="{151F9F6F-B494-4D05-A094-4E527EFB3A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0" y="15392400"/>
          <a:ext cx="177800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xdr:colOff>
      <xdr:row>101</xdr:row>
      <xdr:rowOff>0</xdr:rowOff>
    </xdr:from>
    <xdr:to>
      <xdr:col>2</xdr:col>
      <xdr:colOff>1905000</xdr:colOff>
      <xdr:row>104</xdr:row>
      <xdr:rowOff>223627</xdr:rowOff>
    </xdr:to>
    <xdr:pic>
      <xdr:nvPicPr>
        <xdr:cNvPr id="4" name="Picture 3">
          <a:extLst>
            <a:ext uri="{FF2B5EF4-FFF2-40B4-BE49-F238E27FC236}">
              <a16:creationId xmlns:a16="http://schemas.microsoft.com/office/drawing/2014/main" id="{438ECB10-38D6-4527-9B37-98D20FF557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19451" y="20294600"/>
          <a:ext cx="1904999" cy="1607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101</xdr:row>
      <xdr:rowOff>1</xdr:rowOff>
    </xdr:from>
    <xdr:to>
      <xdr:col>4</xdr:col>
      <xdr:colOff>1670050</xdr:colOff>
      <xdr:row>104</xdr:row>
      <xdr:rowOff>259507</xdr:rowOff>
    </xdr:to>
    <xdr:pic>
      <xdr:nvPicPr>
        <xdr:cNvPr id="5" name="Picture 4">
          <a:extLst>
            <a:ext uri="{FF2B5EF4-FFF2-40B4-BE49-F238E27FC236}">
              <a16:creationId xmlns:a16="http://schemas.microsoft.com/office/drawing/2014/main" id="{A0F16A02-E2F4-4972-A199-F719206B35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86651" y="20294601"/>
          <a:ext cx="1670049" cy="1643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xdr:colOff>
      <xdr:row>94</xdr:row>
      <xdr:rowOff>1</xdr:rowOff>
    </xdr:from>
    <xdr:to>
      <xdr:col>4</xdr:col>
      <xdr:colOff>2025651</xdr:colOff>
      <xdr:row>97</xdr:row>
      <xdr:rowOff>317501</xdr:rowOff>
    </xdr:to>
    <xdr:pic>
      <xdr:nvPicPr>
        <xdr:cNvPr id="4" name="Picture 3">
          <a:extLst>
            <a:ext uri="{FF2B5EF4-FFF2-40B4-BE49-F238E27FC236}">
              <a16:creationId xmlns:a16="http://schemas.microsoft.com/office/drawing/2014/main" id="{8F69ACA9-28DB-41A0-9788-CC2216CA26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0151" y="18916651"/>
          <a:ext cx="2025650" cy="162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94</xdr:row>
      <xdr:rowOff>0</xdr:rowOff>
    </xdr:from>
    <xdr:to>
      <xdr:col>3</xdr:col>
      <xdr:colOff>0</xdr:colOff>
      <xdr:row>97</xdr:row>
      <xdr:rowOff>331532</xdr:rowOff>
    </xdr:to>
    <xdr:pic>
      <xdr:nvPicPr>
        <xdr:cNvPr id="5" name="Picture 4">
          <a:extLst>
            <a:ext uri="{FF2B5EF4-FFF2-40B4-BE49-F238E27FC236}">
              <a16:creationId xmlns:a16="http://schemas.microsoft.com/office/drawing/2014/main" id="{86C43DDA-7B9E-447E-968B-11B08CE8D0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8916650"/>
          <a:ext cx="1911349" cy="1639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xdr:colOff>
      <xdr:row>83</xdr:row>
      <xdr:rowOff>0</xdr:rowOff>
    </xdr:from>
    <xdr:to>
      <xdr:col>2</xdr:col>
      <xdr:colOff>1771650</xdr:colOff>
      <xdr:row>86</xdr:row>
      <xdr:rowOff>277979</xdr:rowOff>
    </xdr:to>
    <xdr:pic>
      <xdr:nvPicPr>
        <xdr:cNvPr id="4" name="Picture 3">
          <a:extLst>
            <a:ext uri="{FF2B5EF4-FFF2-40B4-BE49-F238E27FC236}">
              <a16:creationId xmlns:a16="http://schemas.microsoft.com/office/drawing/2014/main" id="{9264563B-2F8F-45FA-99B4-AAB2462355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6751300"/>
          <a:ext cx="1771649" cy="16622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83</xdr:row>
      <xdr:rowOff>1</xdr:rowOff>
    </xdr:from>
    <xdr:to>
      <xdr:col>4</xdr:col>
      <xdr:colOff>1936750</xdr:colOff>
      <xdr:row>86</xdr:row>
      <xdr:rowOff>259507</xdr:rowOff>
    </xdr:to>
    <xdr:pic>
      <xdr:nvPicPr>
        <xdr:cNvPr id="5" name="Picture 4">
          <a:extLst>
            <a:ext uri="{FF2B5EF4-FFF2-40B4-BE49-F238E27FC236}">
              <a16:creationId xmlns:a16="http://schemas.microsoft.com/office/drawing/2014/main" id="{DB7CD282-0848-474A-8000-9476969433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35851" y="16751301"/>
          <a:ext cx="1936749" cy="1643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xdr:colOff>
      <xdr:row>50</xdr:row>
      <xdr:rowOff>0</xdr:rowOff>
    </xdr:from>
    <xdr:to>
      <xdr:col>2</xdr:col>
      <xdr:colOff>1771650</xdr:colOff>
      <xdr:row>53</xdr:row>
      <xdr:rowOff>259862</xdr:rowOff>
    </xdr:to>
    <xdr:pic>
      <xdr:nvPicPr>
        <xdr:cNvPr id="4" name="Picture 3">
          <a:extLst>
            <a:ext uri="{FF2B5EF4-FFF2-40B4-BE49-F238E27FC236}">
              <a16:creationId xmlns:a16="http://schemas.microsoft.com/office/drawing/2014/main" id="{F04C0E77-2C16-4ECF-AF16-22CAF6343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255250"/>
          <a:ext cx="1771649" cy="1644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50</xdr:row>
      <xdr:rowOff>0</xdr:rowOff>
    </xdr:from>
    <xdr:to>
      <xdr:col>4</xdr:col>
      <xdr:colOff>1917700</xdr:colOff>
      <xdr:row>53</xdr:row>
      <xdr:rowOff>274249</xdr:rowOff>
    </xdr:to>
    <xdr:pic>
      <xdr:nvPicPr>
        <xdr:cNvPr id="5" name="Picture 4">
          <a:extLst>
            <a:ext uri="{FF2B5EF4-FFF2-40B4-BE49-F238E27FC236}">
              <a16:creationId xmlns:a16="http://schemas.microsoft.com/office/drawing/2014/main" id="{852C6877-4C02-4047-B8C7-03CBF5A91A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16801" y="10255250"/>
          <a:ext cx="1917699" cy="1658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120651</xdr:colOff>
      <xdr:row>22</xdr:row>
      <xdr:rowOff>165746</xdr:rowOff>
    </xdr:from>
    <xdr:to>
      <xdr:col>4</xdr:col>
      <xdr:colOff>1638301</xdr:colOff>
      <xdr:row>25</xdr:row>
      <xdr:rowOff>186371</xdr:rowOff>
    </xdr:to>
    <xdr:pic>
      <xdr:nvPicPr>
        <xdr:cNvPr id="4" name="Picture 3">
          <a:extLst>
            <a:ext uri="{FF2B5EF4-FFF2-40B4-BE49-F238E27FC236}">
              <a16:creationId xmlns:a16="http://schemas.microsoft.com/office/drawing/2014/main" id="{DB79CF23-6186-415F-8377-6F9FEE9336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73926" y="4975871"/>
          <a:ext cx="1517650" cy="1401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22</xdr:row>
      <xdr:rowOff>0</xdr:rowOff>
    </xdr:from>
    <xdr:to>
      <xdr:col>2</xdr:col>
      <xdr:colOff>1841500</xdr:colOff>
      <xdr:row>25</xdr:row>
      <xdr:rowOff>268919</xdr:rowOff>
    </xdr:to>
    <xdr:pic>
      <xdr:nvPicPr>
        <xdr:cNvPr id="5" name="Picture 4">
          <a:extLst>
            <a:ext uri="{FF2B5EF4-FFF2-40B4-BE49-F238E27FC236}">
              <a16:creationId xmlns:a16="http://schemas.microsoft.com/office/drawing/2014/main" id="{4C4824B7-73BC-467E-B3E3-7ABDEF5EA6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4743450"/>
          <a:ext cx="1841499" cy="1653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161925</xdr:colOff>
      <xdr:row>22</xdr:row>
      <xdr:rowOff>228600</xdr:rowOff>
    </xdr:from>
    <xdr:to>
      <xdr:col>2</xdr:col>
      <xdr:colOff>1542164</xdr:colOff>
      <xdr:row>25</xdr:row>
      <xdr:rowOff>123825</xdr:rowOff>
    </xdr:to>
    <xdr:pic>
      <xdr:nvPicPr>
        <xdr:cNvPr id="4" name="Picture 3">
          <a:extLst>
            <a:ext uri="{FF2B5EF4-FFF2-40B4-BE49-F238E27FC236}">
              <a16:creationId xmlns:a16="http://schemas.microsoft.com/office/drawing/2014/main" id="{29E0048C-640D-4350-9C39-A69689A8A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62375" y="5038725"/>
          <a:ext cx="1380239"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171451</xdr:colOff>
      <xdr:row>22</xdr:row>
      <xdr:rowOff>190499</xdr:rowOff>
    </xdr:from>
    <xdr:to>
      <xdr:col>4</xdr:col>
      <xdr:colOff>1714501</xdr:colOff>
      <xdr:row>25</xdr:row>
      <xdr:rowOff>82185</xdr:rowOff>
    </xdr:to>
    <xdr:pic>
      <xdr:nvPicPr>
        <xdr:cNvPr id="5" name="Picture 4">
          <a:extLst>
            <a:ext uri="{FF2B5EF4-FFF2-40B4-BE49-F238E27FC236}">
              <a16:creationId xmlns:a16="http://schemas.microsoft.com/office/drawing/2014/main" id="{12C16271-EA5C-445D-9C11-64CB6C7DA8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05676" y="5000624"/>
          <a:ext cx="1543050" cy="1272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1</xdr:colOff>
      <xdr:row>87</xdr:row>
      <xdr:rowOff>0</xdr:rowOff>
    </xdr:from>
    <xdr:to>
      <xdr:col>2</xdr:col>
      <xdr:colOff>1809750</xdr:colOff>
      <xdr:row>90</xdr:row>
      <xdr:rowOff>315145</xdr:rowOff>
    </xdr:to>
    <xdr:pic>
      <xdr:nvPicPr>
        <xdr:cNvPr id="4" name="Picture 3">
          <a:extLst>
            <a:ext uri="{FF2B5EF4-FFF2-40B4-BE49-F238E27FC236}">
              <a16:creationId xmlns:a16="http://schemas.microsoft.com/office/drawing/2014/main" id="{6625985E-8729-48A5-A56B-8CF8CE0DAC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7538700"/>
          <a:ext cx="1809749" cy="1680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87</xdr:row>
      <xdr:rowOff>1</xdr:rowOff>
    </xdr:from>
    <xdr:to>
      <xdr:col>4</xdr:col>
      <xdr:colOff>2470150</xdr:colOff>
      <xdr:row>91</xdr:row>
      <xdr:rowOff>1</xdr:rowOff>
    </xdr:to>
    <xdr:pic>
      <xdr:nvPicPr>
        <xdr:cNvPr id="5" name="Picture 4">
          <a:extLst>
            <a:ext uri="{FF2B5EF4-FFF2-40B4-BE49-F238E27FC236}">
              <a16:creationId xmlns:a16="http://schemas.microsoft.com/office/drawing/2014/main" id="{6941F2B8-A914-4C47-91CF-66B263B127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1" y="17538701"/>
          <a:ext cx="2470149"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44449</xdr:colOff>
      <xdr:row>71</xdr:row>
      <xdr:rowOff>1</xdr:rowOff>
    </xdr:from>
    <xdr:to>
      <xdr:col>4</xdr:col>
      <xdr:colOff>2120900</xdr:colOff>
      <xdr:row>74</xdr:row>
      <xdr:rowOff>355601</xdr:rowOff>
    </xdr:to>
    <xdr:pic>
      <xdr:nvPicPr>
        <xdr:cNvPr id="5" name="Picture 4">
          <a:extLst>
            <a:ext uri="{FF2B5EF4-FFF2-40B4-BE49-F238E27FC236}">
              <a16:creationId xmlns:a16="http://schemas.microsoft.com/office/drawing/2014/main" id="{9BC7D719-9636-474E-9FE6-CAE7CA24E4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0149" y="14389101"/>
          <a:ext cx="2076451" cy="156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71</xdr:row>
      <xdr:rowOff>0</xdr:rowOff>
    </xdr:from>
    <xdr:to>
      <xdr:col>2</xdr:col>
      <xdr:colOff>1822450</xdr:colOff>
      <xdr:row>74</xdr:row>
      <xdr:rowOff>367899</xdr:rowOff>
    </xdr:to>
    <xdr:pic>
      <xdr:nvPicPr>
        <xdr:cNvPr id="6" name="Picture 5">
          <a:extLst>
            <a:ext uri="{FF2B5EF4-FFF2-40B4-BE49-F238E27FC236}">
              <a16:creationId xmlns:a16="http://schemas.microsoft.com/office/drawing/2014/main" id="{A5486408-0729-4CC6-9E20-B425B34811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4389100"/>
          <a:ext cx="1822449" cy="1580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1</xdr:colOff>
      <xdr:row>72</xdr:row>
      <xdr:rowOff>0</xdr:rowOff>
    </xdr:from>
    <xdr:to>
      <xdr:col>2</xdr:col>
      <xdr:colOff>1930400</xdr:colOff>
      <xdr:row>75</xdr:row>
      <xdr:rowOff>237392</xdr:rowOff>
    </xdr:to>
    <xdr:pic>
      <xdr:nvPicPr>
        <xdr:cNvPr id="5" name="Picture 4">
          <a:extLst>
            <a:ext uri="{FF2B5EF4-FFF2-40B4-BE49-F238E27FC236}">
              <a16:creationId xmlns:a16="http://schemas.microsoft.com/office/drawing/2014/main" id="{1FBAABCD-040F-4B9D-B8C1-E1CF1941F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4585950"/>
          <a:ext cx="1930399" cy="14946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72</xdr:row>
      <xdr:rowOff>1</xdr:rowOff>
    </xdr:from>
    <xdr:to>
      <xdr:col>4</xdr:col>
      <xdr:colOff>2184400</xdr:colOff>
      <xdr:row>75</xdr:row>
      <xdr:rowOff>260351</xdr:rowOff>
    </xdr:to>
    <xdr:pic>
      <xdr:nvPicPr>
        <xdr:cNvPr id="6" name="Picture 5">
          <a:extLst>
            <a:ext uri="{FF2B5EF4-FFF2-40B4-BE49-F238E27FC236}">
              <a16:creationId xmlns:a16="http://schemas.microsoft.com/office/drawing/2014/main" id="{9C332EDF-2A04-45A4-8E08-590E6B5FF2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4601" y="14585951"/>
          <a:ext cx="2184399" cy="151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1</xdr:colOff>
      <xdr:row>52</xdr:row>
      <xdr:rowOff>0</xdr:rowOff>
    </xdr:from>
    <xdr:to>
      <xdr:col>4</xdr:col>
      <xdr:colOff>1905000</xdr:colOff>
      <xdr:row>55</xdr:row>
      <xdr:rowOff>335573</xdr:rowOff>
    </xdr:to>
    <xdr:pic>
      <xdr:nvPicPr>
        <xdr:cNvPr id="4" name="Picture 3">
          <a:extLst>
            <a:ext uri="{FF2B5EF4-FFF2-40B4-BE49-F238E27FC236}">
              <a16:creationId xmlns:a16="http://schemas.microsoft.com/office/drawing/2014/main" id="{63CBE394-772C-4923-8662-160F84B2F3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42201" y="10648950"/>
          <a:ext cx="1904999" cy="1459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52</xdr:row>
      <xdr:rowOff>0</xdr:rowOff>
    </xdr:from>
    <xdr:to>
      <xdr:col>2</xdr:col>
      <xdr:colOff>1765300</xdr:colOff>
      <xdr:row>55</xdr:row>
      <xdr:rowOff>329977</xdr:rowOff>
    </xdr:to>
    <xdr:pic>
      <xdr:nvPicPr>
        <xdr:cNvPr id="5" name="Picture 4">
          <a:extLst>
            <a:ext uri="{FF2B5EF4-FFF2-40B4-BE49-F238E27FC236}">
              <a16:creationId xmlns:a16="http://schemas.microsoft.com/office/drawing/2014/main" id="{4AD4C245-A855-403C-8BC8-E28BE5D44F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0648950"/>
          <a:ext cx="1765299" cy="1453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1</xdr:colOff>
      <xdr:row>70</xdr:row>
      <xdr:rowOff>0</xdr:rowOff>
    </xdr:from>
    <xdr:to>
      <xdr:col>2</xdr:col>
      <xdr:colOff>1790700</xdr:colOff>
      <xdr:row>73</xdr:row>
      <xdr:rowOff>268920</xdr:rowOff>
    </xdr:to>
    <xdr:pic>
      <xdr:nvPicPr>
        <xdr:cNvPr id="5" name="Picture 4">
          <a:extLst>
            <a:ext uri="{FF2B5EF4-FFF2-40B4-BE49-F238E27FC236}">
              <a16:creationId xmlns:a16="http://schemas.microsoft.com/office/drawing/2014/main" id="{E7A005B4-3E4C-472B-BE8D-7A7F2A9D8E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4192250"/>
          <a:ext cx="1790699" cy="1653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70</xdr:row>
      <xdr:rowOff>1</xdr:rowOff>
    </xdr:from>
    <xdr:to>
      <xdr:col>4</xdr:col>
      <xdr:colOff>1949450</xdr:colOff>
      <xdr:row>73</xdr:row>
      <xdr:rowOff>273051</xdr:rowOff>
    </xdr:to>
    <xdr:pic>
      <xdr:nvPicPr>
        <xdr:cNvPr id="6" name="Picture 5">
          <a:extLst>
            <a:ext uri="{FF2B5EF4-FFF2-40B4-BE49-F238E27FC236}">
              <a16:creationId xmlns:a16="http://schemas.microsoft.com/office/drawing/2014/main" id="{3EC5E175-55AC-4820-B1E4-11FBFD83F1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42201" y="14192251"/>
          <a:ext cx="1949449"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1</xdr:colOff>
      <xdr:row>122</xdr:row>
      <xdr:rowOff>1</xdr:rowOff>
    </xdr:from>
    <xdr:to>
      <xdr:col>4</xdr:col>
      <xdr:colOff>1939925</xdr:colOff>
      <xdr:row>125</xdr:row>
      <xdr:rowOff>281621</xdr:rowOff>
    </xdr:to>
    <xdr:pic>
      <xdr:nvPicPr>
        <xdr:cNvPr id="4" name="Picture 3">
          <a:extLst>
            <a:ext uri="{FF2B5EF4-FFF2-40B4-BE49-F238E27FC236}">
              <a16:creationId xmlns:a16="http://schemas.microsoft.com/office/drawing/2014/main" id="{23B31B98-7685-48C4-B111-51BA396649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3001" y="24428451"/>
          <a:ext cx="2025649" cy="166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122</xdr:row>
      <xdr:rowOff>1</xdr:rowOff>
    </xdr:from>
    <xdr:to>
      <xdr:col>3</xdr:col>
      <xdr:colOff>3175</xdr:colOff>
      <xdr:row>125</xdr:row>
      <xdr:rowOff>264391</xdr:rowOff>
    </xdr:to>
    <xdr:pic>
      <xdr:nvPicPr>
        <xdr:cNvPr id="5" name="Picture 4">
          <a:extLst>
            <a:ext uri="{FF2B5EF4-FFF2-40B4-BE49-F238E27FC236}">
              <a16:creationId xmlns:a16="http://schemas.microsoft.com/office/drawing/2014/main" id="{451FD691-18E3-40CD-9A73-54843A29FE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24428451"/>
          <a:ext cx="1841499" cy="1648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1</xdr:colOff>
      <xdr:row>95</xdr:row>
      <xdr:rowOff>0</xdr:rowOff>
    </xdr:from>
    <xdr:to>
      <xdr:col>2</xdr:col>
      <xdr:colOff>1974850</xdr:colOff>
      <xdr:row>98</xdr:row>
      <xdr:rowOff>241921</xdr:rowOff>
    </xdr:to>
    <xdr:pic>
      <xdr:nvPicPr>
        <xdr:cNvPr id="4" name="Picture 3">
          <a:extLst>
            <a:ext uri="{FF2B5EF4-FFF2-40B4-BE49-F238E27FC236}">
              <a16:creationId xmlns:a16="http://schemas.microsoft.com/office/drawing/2014/main" id="{5CF48D7C-297F-40B9-BF4F-89F37B2A7D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9113500"/>
          <a:ext cx="1974849" cy="14992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95</xdr:row>
      <xdr:rowOff>1</xdr:rowOff>
    </xdr:from>
    <xdr:to>
      <xdr:col>4</xdr:col>
      <xdr:colOff>1917700</xdr:colOff>
      <xdr:row>98</xdr:row>
      <xdr:rowOff>235395</xdr:rowOff>
    </xdr:to>
    <xdr:pic>
      <xdr:nvPicPr>
        <xdr:cNvPr id="5" name="Picture 4">
          <a:extLst>
            <a:ext uri="{FF2B5EF4-FFF2-40B4-BE49-F238E27FC236}">
              <a16:creationId xmlns:a16="http://schemas.microsoft.com/office/drawing/2014/main" id="{B301D9FA-C993-444B-99BB-DB8ABAB0C0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39051" y="19113501"/>
          <a:ext cx="1917699" cy="1492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57151</xdr:colOff>
      <xdr:row>97</xdr:row>
      <xdr:rowOff>38101</xdr:rowOff>
    </xdr:from>
    <xdr:to>
      <xdr:col>4</xdr:col>
      <xdr:colOff>2006600</xdr:colOff>
      <xdr:row>100</xdr:row>
      <xdr:rowOff>243822</xdr:rowOff>
    </xdr:to>
    <xdr:pic>
      <xdr:nvPicPr>
        <xdr:cNvPr id="4" name="Picture 3">
          <a:extLst>
            <a:ext uri="{FF2B5EF4-FFF2-40B4-BE49-F238E27FC236}">
              <a16:creationId xmlns:a16="http://schemas.microsoft.com/office/drawing/2014/main" id="{EC63A19B-5D5B-4C33-BC98-E0A303532F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61251" y="19545301"/>
          <a:ext cx="1949449" cy="1463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97</xdr:row>
      <xdr:rowOff>0</xdr:rowOff>
    </xdr:from>
    <xdr:to>
      <xdr:col>2</xdr:col>
      <xdr:colOff>1739900</xdr:colOff>
      <xdr:row>100</xdr:row>
      <xdr:rowOff>255509</xdr:rowOff>
    </xdr:to>
    <xdr:pic>
      <xdr:nvPicPr>
        <xdr:cNvPr id="5" name="Picture 4">
          <a:extLst>
            <a:ext uri="{FF2B5EF4-FFF2-40B4-BE49-F238E27FC236}">
              <a16:creationId xmlns:a16="http://schemas.microsoft.com/office/drawing/2014/main" id="{8B6C28A4-FA85-49C3-9091-3103BBE00A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9507200"/>
          <a:ext cx="1739899" cy="1512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1</xdr:colOff>
      <xdr:row>72</xdr:row>
      <xdr:rowOff>0</xdr:rowOff>
    </xdr:from>
    <xdr:to>
      <xdr:col>2</xdr:col>
      <xdr:colOff>1809750</xdr:colOff>
      <xdr:row>75</xdr:row>
      <xdr:rowOff>255243</xdr:rowOff>
    </xdr:to>
    <xdr:pic>
      <xdr:nvPicPr>
        <xdr:cNvPr id="4" name="Picture 3">
          <a:extLst>
            <a:ext uri="{FF2B5EF4-FFF2-40B4-BE49-F238E27FC236}">
              <a16:creationId xmlns:a16="http://schemas.microsoft.com/office/drawing/2014/main" id="{78FD0157-DB8F-47E1-9614-4DB62456C6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4585950"/>
          <a:ext cx="1809749" cy="17030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72</xdr:row>
      <xdr:rowOff>0</xdr:rowOff>
    </xdr:from>
    <xdr:to>
      <xdr:col>4</xdr:col>
      <xdr:colOff>1924050</xdr:colOff>
      <xdr:row>75</xdr:row>
      <xdr:rowOff>273405</xdr:rowOff>
    </xdr:to>
    <xdr:pic>
      <xdr:nvPicPr>
        <xdr:cNvPr id="5" name="Picture 4">
          <a:extLst>
            <a:ext uri="{FF2B5EF4-FFF2-40B4-BE49-F238E27FC236}">
              <a16:creationId xmlns:a16="http://schemas.microsoft.com/office/drawing/2014/main" id="{1C0BDA3A-B834-4B6F-948A-145DEEEBB7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86651" y="14585950"/>
          <a:ext cx="1924049" cy="1721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12701</xdr:colOff>
      <xdr:row>123</xdr:row>
      <xdr:rowOff>25401</xdr:rowOff>
    </xdr:from>
    <xdr:to>
      <xdr:col>4</xdr:col>
      <xdr:colOff>1847850</xdr:colOff>
      <xdr:row>127</xdr:row>
      <xdr:rowOff>3465</xdr:rowOff>
    </xdr:to>
    <xdr:pic>
      <xdr:nvPicPr>
        <xdr:cNvPr id="4" name="Picture 3">
          <a:extLst>
            <a:ext uri="{FF2B5EF4-FFF2-40B4-BE49-F238E27FC236}">
              <a16:creationId xmlns:a16="http://schemas.microsoft.com/office/drawing/2014/main" id="{6E11EE2E-461B-41A9-B24E-C2A3DF2960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3001" y="24650701"/>
          <a:ext cx="1835149" cy="1629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123</xdr:row>
      <xdr:rowOff>0</xdr:rowOff>
    </xdr:from>
    <xdr:to>
      <xdr:col>2</xdr:col>
      <xdr:colOff>1822450</xdr:colOff>
      <xdr:row>126</xdr:row>
      <xdr:rowOff>327934</xdr:rowOff>
    </xdr:to>
    <xdr:pic>
      <xdr:nvPicPr>
        <xdr:cNvPr id="5" name="Picture 4">
          <a:extLst>
            <a:ext uri="{FF2B5EF4-FFF2-40B4-BE49-F238E27FC236}">
              <a16:creationId xmlns:a16="http://schemas.microsoft.com/office/drawing/2014/main" id="{B145D682-926C-4DCC-A10D-1051FE7D82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24625300"/>
          <a:ext cx="1822449" cy="16169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1</xdr:colOff>
      <xdr:row>79</xdr:row>
      <xdr:rowOff>0</xdr:rowOff>
    </xdr:from>
    <xdr:to>
      <xdr:col>2</xdr:col>
      <xdr:colOff>1720850</xdr:colOff>
      <xdr:row>82</xdr:row>
      <xdr:rowOff>355334</xdr:rowOff>
    </xdr:to>
    <xdr:pic>
      <xdr:nvPicPr>
        <xdr:cNvPr id="4" name="Picture 3">
          <a:extLst>
            <a:ext uri="{FF2B5EF4-FFF2-40B4-BE49-F238E27FC236}">
              <a16:creationId xmlns:a16="http://schemas.microsoft.com/office/drawing/2014/main" id="{53CAC6F0-9FB1-4CE9-90F2-01E6A23C49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5963900"/>
          <a:ext cx="1720849" cy="1485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79</xdr:row>
      <xdr:rowOff>1</xdr:rowOff>
    </xdr:from>
    <xdr:to>
      <xdr:col>4</xdr:col>
      <xdr:colOff>2025651</xdr:colOff>
      <xdr:row>82</xdr:row>
      <xdr:rowOff>355601</xdr:rowOff>
    </xdr:to>
    <xdr:pic>
      <xdr:nvPicPr>
        <xdr:cNvPr id="5" name="Picture 4">
          <a:extLst>
            <a:ext uri="{FF2B5EF4-FFF2-40B4-BE49-F238E27FC236}">
              <a16:creationId xmlns:a16="http://schemas.microsoft.com/office/drawing/2014/main" id="{9A8D7902-7A30-4268-8047-248AE3EDDF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1" y="15963901"/>
          <a:ext cx="202565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4</xdr:col>
      <xdr:colOff>31750</xdr:colOff>
      <xdr:row>74</xdr:row>
      <xdr:rowOff>29333</xdr:rowOff>
    </xdr:from>
    <xdr:to>
      <xdr:col>4</xdr:col>
      <xdr:colOff>1752600</xdr:colOff>
      <xdr:row>77</xdr:row>
      <xdr:rowOff>368300</xdr:rowOff>
    </xdr:to>
    <xdr:pic>
      <xdr:nvPicPr>
        <xdr:cNvPr id="4" name="Picture 3">
          <a:extLst>
            <a:ext uri="{FF2B5EF4-FFF2-40B4-BE49-F238E27FC236}">
              <a16:creationId xmlns:a16="http://schemas.microsoft.com/office/drawing/2014/main" id="{FB72D3E7-2EB6-4610-AB2B-AA291B60FB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1100" y="15008983"/>
          <a:ext cx="1720850" cy="1589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74</xdr:row>
      <xdr:rowOff>0</xdr:rowOff>
    </xdr:from>
    <xdr:to>
      <xdr:col>2</xdr:col>
      <xdr:colOff>1828800</xdr:colOff>
      <xdr:row>77</xdr:row>
      <xdr:rowOff>352447</xdr:rowOff>
    </xdr:to>
    <xdr:pic>
      <xdr:nvPicPr>
        <xdr:cNvPr id="5" name="Picture 4">
          <a:extLst>
            <a:ext uri="{FF2B5EF4-FFF2-40B4-BE49-F238E27FC236}">
              <a16:creationId xmlns:a16="http://schemas.microsoft.com/office/drawing/2014/main" id="{A5B69D82-F542-4813-A694-C8CE047F78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4979650"/>
          <a:ext cx="1828799" cy="1603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1</xdr:colOff>
      <xdr:row>52</xdr:row>
      <xdr:rowOff>0</xdr:rowOff>
    </xdr:from>
    <xdr:to>
      <xdr:col>2</xdr:col>
      <xdr:colOff>1771650</xdr:colOff>
      <xdr:row>55</xdr:row>
      <xdr:rowOff>303423</xdr:rowOff>
    </xdr:to>
    <xdr:pic>
      <xdr:nvPicPr>
        <xdr:cNvPr id="4" name="Picture 3">
          <a:extLst>
            <a:ext uri="{FF2B5EF4-FFF2-40B4-BE49-F238E27FC236}">
              <a16:creationId xmlns:a16="http://schemas.microsoft.com/office/drawing/2014/main" id="{E4BB0912-2978-40C7-8A2B-6C445E5541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648950"/>
          <a:ext cx="1771649" cy="16305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52</xdr:row>
      <xdr:rowOff>1</xdr:rowOff>
    </xdr:from>
    <xdr:to>
      <xdr:col>4</xdr:col>
      <xdr:colOff>1682751</xdr:colOff>
      <xdr:row>55</xdr:row>
      <xdr:rowOff>342901</xdr:rowOff>
    </xdr:to>
    <xdr:pic>
      <xdr:nvPicPr>
        <xdr:cNvPr id="5" name="Picture 4">
          <a:extLst>
            <a:ext uri="{FF2B5EF4-FFF2-40B4-BE49-F238E27FC236}">
              <a16:creationId xmlns:a16="http://schemas.microsoft.com/office/drawing/2014/main" id="{CC2F723C-71BF-4DA3-BD41-4D35D11F34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29501" y="10648951"/>
          <a:ext cx="1682750"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4</xdr:col>
      <xdr:colOff>44450</xdr:colOff>
      <xdr:row>87</xdr:row>
      <xdr:rowOff>1</xdr:rowOff>
    </xdr:from>
    <xdr:to>
      <xdr:col>4</xdr:col>
      <xdr:colOff>1943100</xdr:colOff>
      <xdr:row>90</xdr:row>
      <xdr:rowOff>273051</xdr:rowOff>
    </xdr:to>
    <xdr:pic>
      <xdr:nvPicPr>
        <xdr:cNvPr id="4" name="Picture 3">
          <a:extLst>
            <a:ext uri="{FF2B5EF4-FFF2-40B4-BE49-F238E27FC236}">
              <a16:creationId xmlns:a16="http://schemas.microsoft.com/office/drawing/2014/main" id="{BF2AA1C7-67EA-4A72-A00C-FFAEA08F5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53300" y="17538701"/>
          <a:ext cx="1898650"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87</xdr:row>
      <xdr:rowOff>0</xdr:rowOff>
    </xdr:from>
    <xdr:to>
      <xdr:col>2</xdr:col>
      <xdr:colOff>1651000</xdr:colOff>
      <xdr:row>90</xdr:row>
      <xdr:rowOff>246273</xdr:rowOff>
    </xdr:to>
    <xdr:pic>
      <xdr:nvPicPr>
        <xdr:cNvPr id="5" name="Picture 4">
          <a:extLst>
            <a:ext uri="{FF2B5EF4-FFF2-40B4-BE49-F238E27FC236}">
              <a16:creationId xmlns:a16="http://schemas.microsoft.com/office/drawing/2014/main" id="{A045B74D-D044-405E-9AE6-F36DD1B2A3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7538700"/>
          <a:ext cx="1650999" cy="16305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CF1A9-744D-47E2-81B8-4E3CB0B9BAA0}">
  <dimension ref="A1:C31"/>
  <sheetViews>
    <sheetView tabSelected="1" workbookViewId="0">
      <selection sqref="A1:B1"/>
    </sheetView>
  </sheetViews>
  <sheetFormatPr defaultRowHeight="15" x14ac:dyDescent="0.25"/>
  <cols>
    <col min="1" max="1" width="8.5703125" bestFit="1" customWidth="1"/>
    <col min="2" max="2" width="39.7109375" bestFit="1" customWidth="1"/>
    <col min="3" max="3" width="15.85546875" bestFit="1" customWidth="1"/>
  </cols>
  <sheetData>
    <row r="1" spans="1:3" x14ac:dyDescent="0.25">
      <c r="A1" s="73" t="s">
        <v>82</v>
      </c>
      <c r="B1" s="73"/>
    </row>
    <row r="2" spans="1:3" x14ac:dyDescent="0.25">
      <c r="A2" s="74" t="s">
        <v>83</v>
      </c>
      <c r="B2" s="74"/>
    </row>
    <row r="3" spans="1:3" x14ac:dyDescent="0.25">
      <c r="A3" s="54" t="s">
        <v>84</v>
      </c>
      <c r="B3" s="54" t="s">
        <v>85</v>
      </c>
      <c r="C3" s="54" t="s">
        <v>922</v>
      </c>
    </row>
    <row r="4" spans="1:3" x14ac:dyDescent="0.25">
      <c r="A4" s="55" t="s">
        <v>28</v>
      </c>
      <c r="B4" s="56" t="s">
        <v>29</v>
      </c>
      <c r="C4" s="56" t="s">
        <v>924</v>
      </c>
    </row>
    <row r="5" spans="1:3" x14ac:dyDescent="0.25">
      <c r="A5" s="55" t="s">
        <v>30</v>
      </c>
      <c r="B5" s="56" t="s">
        <v>31</v>
      </c>
      <c r="C5" s="56" t="s">
        <v>923</v>
      </c>
    </row>
    <row r="6" spans="1:3" x14ac:dyDescent="0.25">
      <c r="A6" s="55" t="s">
        <v>32</v>
      </c>
      <c r="B6" s="56" t="s">
        <v>33</v>
      </c>
      <c r="C6" s="56" t="s">
        <v>933</v>
      </c>
    </row>
    <row r="7" spans="1:3" x14ac:dyDescent="0.25">
      <c r="A7" s="55" t="s">
        <v>34</v>
      </c>
      <c r="B7" s="56" t="s">
        <v>35</v>
      </c>
      <c r="C7" s="56" t="s">
        <v>933</v>
      </c>
    </row>
    <row r="8" spans="1:3" x14ac:dyDescent="0.25">
      <c r="A8" s="55" t="s">
        <v>36</v>
      </c>
      <c r="B8" s="56" t="s">
        <v>37</v>
      </c>
      <c r="C8" s="56" t="s">
        <v>933</v>
      </c>
    </row>
    <row r="9" spans="1:3" x14ac:dyDescent="0.25">
      <c r="A9" s="55" t="s">
        <v>38</v>
      </c>
      <c r="B9" s="56" t="s">
        <v>39</v>
      </c>
      <c r="C9" s="56" t="s">
        <v>933</v>
      </c>
    </row>
    <row r="10" spans="1:3" x14ac:dyDescent="0.25">
      <c r="A10" s="55" t="s">
        <v>40</v>
      </c>
      <c r="B10" s="56" t="s">
        <v>41</v>
      </c>
      <c r="C10" s="56" t="s">
        <v>933</v>
      </c>
    </row>
    <row r="11" spans="1:3" x14ac:dyDescent="0.25">
      <c r="A11" s="55" t="s">
        <v>42</v>
      </c>
      <c r="B11" s="56" t="s">
        <v>43</v>
      </c>
      <c r="C11" s="56" t="s">
        <v>933</v>
      </c>
    </row>
    <row r="12" spans="1:3" x14ac:dyDescent="0.25">
      <c r="A12" s="55" t="s">
        <v>44</v>
      </c>
      <c r="B12" s="56" t="s">
        <v>45</v>
      </c>
      <c r="C12" s="56" t="s">
        <v>923</v>
      </c>
    </row>
    <row r="13" spans="1:3" x14ac:dyDescent="0.25">
      <c r="A13" s="55" t="s">
        <v>46</v>
      </c>
      <c r="B13" s="56" t="s">
        <v>47</v>
      </c>
      <c r="C13" s="56" t="s">
        <v>933</v>
      </c>
    </row>
    <row r="14" spans="1:3" x14ac:dyDescent="0.25">
      <c r="A14" s="55" t="s">
        <v>48</v>
      </c>
      <c r="B14" s="56" t="s">
        <v>49</v>
      </c>
      <c r="C14" s="56" t="s">
        <v>933</v>
      </c>
    </row>
    <row r="15" spans="1:3" x14ac:dyDescent="0.25">
      <c r="A15" s="55" t="s">
        <v>50</v>
      </c>
      <c r="B15" s="56" t="s">
        <v>51</v>
      </c>
      <c r="C15" s="56" t="s">
        <v>933</v>
      </c>
    </row>
    <row r="16" spans="1:3" x14ac:dyDescent="0.25">
      <c r="A16" s="55" t="s">
        <v>52</v>
      </c>
      <c r="B16" s="56" t="s">
        <v>53</v>
      </c>
      <c r="C16" s="56" t="s">
        <v>934</v>
      </c>
    </row>
    <row r="17" spans="1:3" x14ac:dyDescent="0.25">
      <c r="A17" s="55" t="s">
        <v>54</v>
      </c>
      <c r="B17" s="56" t="s">
        <v>55</v>
      </c>
      <c r="C17" s="56" t="s">
        <v>933</v>
      </c>
    </row>
    <row r="18" spans="1:3" x14ac:dyDescent="0.25">
      <c r="A18" s="55" t="s">
        <v>56</v>
      </c>
      <c r="B18" s="56" t="s">
        <v>57</v>
      </c>
      <c r="C18" s="56" t="s">
        <v>933</v>
      </c>
    </row>
    <row r="19" spans="1:3" x14ac:dyDescent="0.25">
      <c r="A19" s="55" t="s">
        <v>58</v>
      </c>
      <c r="B19" s="56" t="s">
        <v>59</v>
      </c>
      <c r="C19" s="56" t="s">
        <v>933</v>
      </c>
    </row>
    <row r="20" spans="1:3" x14ac:dyDescent="0.25">
      <c r="A20" s="55" t="s">
        <v>60</v>
      </c>
      <c r="B20" s="56" t="s">
        <v>61</v>
      </c>
      <c r="C20" s="56" t="s">
        <v>933</v>
      </c>
    </row>
    <row r="21" spans="1:3" x14ac:dyDescent="0.25">
      <c r="A21" s="55" t="s">
        <v>62</v>
      </c>
      <c r="B21" s="56" t="s">
        <v>63</v>
      </c>
      <c r="C21" s="56" t="s">
        <v>933</v>
      </c>
    </row>
    <row r="22" spans="1:3" x14ac:dyDescent="0.25">
      <c r="A22" s="55" t="s">
        <v>64</v>
      </c>
      <c r="B22" s="56" t="s">
        <v>65</v>
      </c>
      <c r="C22" s="56" t="s">
        <v>933</v>
      </c>
    </row>
    <row r="23" spans="1:3" x14ac:dyDescent="0.25">
      <c r="A23" s="55" t="s">
        <v>66</v>
      </c>
      <c r="B23" s="56" t="s">
        <v>67</v>
      </c>
      <c r="C23" s="56" t="s">
        <v>933</v>
      </c>
    </row>
    <row r="24" spans="1:3" x14ac:dyDescent="0.25">
      <c r="A24" s="55" t="s">
        <v>68</v>
      </c>
      <c r="B24" s="56" t="s">
        <v>69</v>
      </c>
      <c r="C24" s="56" t="s">
        <v>933</v>
      </c>
    </row>
    <row r="25" spans="1:3" x14ac:dyDescent="0.25">
      <c r="A25" s="55" t="s">
        <v>70</v>
      </c>
      <c r="B25" s="56" t="s">
        <v>71</v>
      </c>
      <c r="C25" s="56" t="s">
        <v>933</v>
      </c>
    </row>
    <row r="26" spans="1:3" x14ac:dyDescent="0.25">
      <c r="A26" s="55" t="s">
        <v>72</v>
      </c>
      <c r="B26" s="56" t="s">
        <v>73</v>
      </c>
      <c r="C26" s="56" t="s">
        <v>933</v>
      </c>
    </row>
    <row r="27" spans="1:3" x14ac:dyDescent="0.25">
      <c r="A27" s="55" t="s">
        <v>74</v>
      </c>
      <c r="B27" s="56" t="s">
        <v>75</v>
      </c>
      <c r="C27" s="56" t="s">
        <v>933</v>
      </c>
    </row>
    <row r="28" spans="1:3" x14ac:dyDescent="0.25">
      <c r="A28" s="55" t="s">
        <v>76</v>
      </c>
      <c r="B28" s="56" t="s">
        <v>77</v>
      </c>
      <c r="C28" s="56" t="s">
        <v>933</v>
      </c>
    </row>
    <row r="29" spans="1:3" x14ac:dyDescent="0.25">
      <c r="A29" s="55" t="s">
        <v>78</v>
      </c>
      <c r="B29" s="56" t="s">
        <v>79</v>
      </c>
      <c r="C29" s="56" t="s">
        <v>933</v>
      </c>
    </row>
    <row r="30" spans="1:3" x14ac:dyDescent="0.25">
      <c r="A30" s="55" t="s">
        <v>80</v>
      </c>
      <c r="B30" s="56" t="s">
        <v>81</v>
      </c>
      <c r="C30" s="56" t="s">
        <v>933</v>
      </c>
    </row>
    <row r="31" spans="1:3" x14ac:dyDescent="0.25">
      <c r="A31" s="91" t="s">
        <v>1029</v>
      </c>
      <c r="B31" s="56" t="s">
        <v>1030</v>
      </c>
      <c r="C31" s="56" t="s">
        <v>934</v>
      </c>
    </row>
  </sheetData>
  <mergeCells count="2">
    <mergeCell ref="A1:B1"/>
    <mergeCell ref="A2:B2"/>
  </mergeCells>
  <hyperlinks>
    <hyperlink ref="A4" location="'LEARBF'!A1" display="LEARBF" xr:uid="{CCE6DF15-EE70-43E4-A370-09DE52E484FF}"/>
    <hyperlink ref="A5" location="'LEBADF'!A1" display="LEBADF" xr:uid="{795B5A01-2ED7-4FC5-A9F5-624AC792C619}"/>
    <hyperlink ref="A6" location="'LEBALF'!A1" display="LEBALF" xr:uid="{DA35F00C-51DB-4DC6-8571-A058203846DA}"/>
    <hyperlink ref="A7" location="'LEBFSF'!A1" display="LEBFSF" xr:uid="{DCAD9809-664C-4CC9-8775-9ED661E94B7E}"/>
    <hyperlink ref="A8" location="'LECHID'!A1" display="LECHID" xr:uid="{A912D8F2-6659-4D4C-BAD2-31276FAFC111}"/>
    <hyperlink ref="A9" location="'LEDDYF'!A1" display="LEDDYF" xr:uid="{31B1B2F5-9510-4089-8A9D-C85086C4B09F}"/>
    <hyperlink ref="A10" location="'LEDHCF'!A1" display="LEDHCF" xr:uid="{F381F463-4CEA-448F-8ED3-E51EA8C043AC}"/>
    <hyperlink ref="A11" location="'LEEMCF'!A1" display="LEEMCF" xr:uid="{DB3F6B9C-34CC-4268-BDBF-BD438C8ABF60}"/>
    <hyperlink ref="A12" location="'LEEQSF'!A1" display="LEEQSF" xr:uid="{8B5FDC5D-A30E-44F9-A314-EFE75D80F44C}"/>
    <hyperlink ref="A13" location="'LEEQTF'!A1" display="LEEQTF" xr:uid="{68F16BA2-9E68-488E-A082-0C37AF09C239}"/>
    <hyperlink ref="A14" location="'LEESCF'!A1" display="LEESCF" xr:uid="{280408FD-7D7B-44E8-ACFC-18159C2FDC5D}"/>
    <hyperlink ref="A15" location="'LEFE30'!A1" display="LEFE30" xr:uid="{5B2D25A6-C6B4-471A-A716-8D2DA449BA5A}"/>
    <hyperlink ref="A16" location="'LEGFOF'!A1" display="LEGFOF" xr:uid="{86E014D9-1BF3-46DB-BA2B-C722AD72F591}"/>
    <hyperlink ref="A17" location="'LEGROW'!A1" display="LEGROW" xr:uid="{2F4ED0D8-0706-4D98-911C-A18BE3DEC5B6}"/>
    <hyperlink ref="A18" location="'LEINFA'!A1" display="LEINFA" xr:uid="{5DDD49FF-91D7-4D4E-93E8-979799A2FBB2}"/>
    <hyperlink ref="A19" location="'LEINNF'!A1" display="LEINNF" xr:uid="{7EEC0280-FD69-4555-9E46-D9E76E258430}"/>
    <hyperlink ref="A20" location="'LEINSX'!A1" display="LEINSX" xr:uid="{3D3F3D34-2CFF-4E69-B178-27F03DD2C5A1}"/>
    <hyperlink ref="A21" location="'LELTVF'!A1" display="LELTVF" xr:uid="{1D8C754B-826A-49B4-BF1A-F4EA587C365B}"/>
    <hyperlink ref="A22" location="'LEMETF'!A1" display="LEMETF" xr:uid="{6C3DC664-AD5F-476F-BD1F-EF3DDE6334D6}"/>
    <hyperlink ref="A23" location="'LEMIDF'!A1" display="LEMIDF" xr:uid="{C0A8F3A2-56BC-4ACB-83D7-A8BE299EFC97}"/>
    <hyperlink ref="A24" location="'LEMUCF'!A1" display="LEMUCF" xr:uid="{1C9EE8E3-1C71-4031-8AE1-6A6F92D55815}"/>
    <hyperlink ref="A25" location="'LENI50'!A1" display="LENI50" xr:uid="{355BDFC4-0176-402A-B3F2-CAB9037D84DE}"/>
    <hyperlink ref="A26" location="'LET100'!A1" display="LET100" xr:uid="{537BBBEA-8BB8-4A45-B773-57C38899B0FB}"/>
    <hyperlink ref="A27" location="'LETAXP'!A1" display="LETAXP" xr:uid="{34F6A1F9-46C6-4810-ACA4-8C90D648570C}"/>
    <hyperlink ref="A28" location="'LETF50'!A1" display="LETF50" xr:uid="{ADC7CA74-AC35-40BE-978A-84E868C7DD10}"/>
    <hyperlink ref="A29" location="'LETFSX'!A1" display="LETFSX" xr:uid="{F57DA247-F562-4966-8075-0DB786286380}"/>
    <hyperlink ref="A30" location="'LEULIS'!A1" display="LEULIS" xr:uid="{ECA94D16-E24C-48FB-AA2D-D49CB520746E}"/>
    <hyperlink ref="A31" location="LICMFGOLDETF!A1" display="LICMFGOLDETF" xr:uid="{E67A321D-1A93-4428-B004-D47A7209D02E}"/>
  </hyperlinks>
  <pageMargins left="0.7" right="0.7" top="0.75" bottom="0.75" header="0.3" footer="0.3"/>
  <pageSetup paperSize="9"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B742E-FFA9-4E34-A42E-A586ABB76684}">
  <dimension ref="B1:P142"/>
  <sheetViews>
    <sheetView workbookViewId="0"/>
  </sheetViews>
  <sheetFormatPr defaultColWidth="9.140625" defaultRowHeight="15.75" customHeight="1" x14ac:dyDescent="0.2"/>
  <cols>
    <col min="1" max="1" width="3.5703125" style="2" customWidth="1"/>
    <col min="2" max="2" width="42.42578125" style="9" bestFit="1" customWidth="1"/>
    <col min="3" max="3" width="26.140625" style="9" customWidth="1"/>
    <col min="4" max="4" width="33.42578125" style="9" bestFit="1" customWidth="1"/>
    <col min="5" max="5" width="27.710937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62150</v>
      </c>
      <c r="F7" s="27">
        <v>872.21</v>
      </c>
      <c r="G7" s="28">
        <v>8.0500000000000002E-2</v>
      </c>
      <c r="H7" s="29"/>
    </row>
    <row r="8" spans="2:9" ht="15.75" customHeight="1" x14ac:dyDescent="0.2">
      <c r="B8" s="25" t="s">
        <v>166</v>
      </c>
      <c r="C8" s="25" t="s">
        <v>167</v>
      </c>
      <c r="D8" s="25" t="s">
        <v>168</v>
      </c>
      <c r="E8" s="26">
        <v>204000</v>
      </c>
      <c r="F8" s="27">
        <v>515.71</v>
      </c>
      <c r="G8" s="28">
        <v>4.7600000000000003E-2</v>
      </c>
      <c r="H8" s="29"/>
    </row>
    <row r="9" spans="2:9" ht="15.75" customHeight="1" x14ac:dyDescent="0.2">
      <c r="B9" s="25" t="s">
        <v>169</v>
      </c>
      <c r="C9" s="25" t="s">
        <v>170</v>
      </c>
      <c r="D9" s="25" t="s">
        <v>171</v>
      </c>
      <c r="E9" s="26">
        <v>51000</v>
      </c>
      <c r="F9" s="27">
        <v>498.47</v>
      </c>
      <c r="G9" s="28">
        <v>4.5999999999999999E-2</v>
      </c>
      <c r="H9" s="29"/>
    </row>
    <row r="10" spans="2:9" ht="15.75" customHeight="1" x14ac:dyDescent="0.2">
      <c r="B10" s="25" t="s">
        <v>172</v>
      </c>
      <c r="C10" s="25" t="s">
        <v>173</v>
      </c>
      <c r="D10" s="25" t="s">
        <v>174</v>
      </c>
      <c r="E10" s="26">
        <v>13500</v>
      </c>
      <c r="F10" s="27">
        <v>469.47</v>
      </c>
      <c r="G10" s="28">
        <v>4.3299999999999998E-2</v>
      </c>
      <c r="H10" s="29"/>
    </row>
    <row r="11" spans="2:9" ht="15.75" customHeight="1" x14ac:dyDescent="0.2">
      <c r="B11" s="25" t="s">
        <v>175</v>
      </c>
      <c r="C11" s="25" t="s">
        <v>176</v>
      </c>
      <c r="D11" s="25" t="s">
        <v>130</v>
      </c>
      <c r="E11" s="26">
        <v>157950</v>
      </c>
      <c r="F11" s="27">
        <v>419.28</v>
      </c>
      <c r="G11" s="28">
        <v>3.8699999999999998E-2</v>
      </c>
      <c r="H11" s="29"/>
    </row>
    <row r="12" spans="2:9" ht="15.75" customHeight="1" x14ac:dyDescent="0.2">
      <c r="B12" s="25" t="s">
        <v>177</v>
      </c>
      <c r="C12" s="25" t="s">
        <v>178</v>
      </c>
      <c r="D12" s="25" t="s">
        <v>179</v>
      </c>
      <c r="E12" s="26">
        <v>6375</v>
      </c>
      <c r="F12" s="27">
        <v>414.08</v>
      </c>
      <c r="G12" s="28">
        <v>3.8199999999999998E-2</v>
      </c>
      <c r="H12" s="29"/>
    </row>
    <row r="13" spans="2:9" ht="15.75" customHeight="1" x14ac:dyDescent="0.2">
      <c r="B13" s="25" t="s">
        <v>180</v>
      </c>
      <c r="C13" s="25" t="s">
        <v>181</v>
      </c>
      <c r="D13" s="25" t="s">
        <v>182</v>
      </c>
      <c r="E13" s="26">
        <v>140300</v>
      </c>
      <c r="F13" s="27">
        <v>376.07</v>
      </c>
      <c r="G13" s="28">
        <v>3.4700000000000002E-2</v>
      </c>
      <c r="H13" s="29"/>
    </row>
    <row r="14" spans="2:9" ht="15.75" customHeight="1" x14ac:dyDescent="0.2">
      <c r="B14" s="25" t="s">
        <v>183</v>
      </c>
      <c r="C14" s="25" t="s">
        <v>184</v>
      </c>
      <c r="D14" s="25" t="s">
        <v>185</v>
      </c>
      <c r="E14" s="26">
        <v>34100</v>
      </c>
      <c r="F14" s="27">
        <v>350.58</v>
      </c>
      <c r="G14" s="28">
        <v>3.2399999999999998E-2</v>
      </c>
      <c r="H14" s="29"/>
    </row>
    <row r="15" spans="2:9" ht="15.75" customHeight="1" x14ac:dyDescent="0.2">
      <c r="B15" s="25" t="s">
        <v>186</v>
      </c>
      <c r="C15" s="25" t="s">
        <v>187</v>
      </c>
      <c r="D15" s="25" t="s">
        <v>188</v>
      </c>
      <c r="E15" s="26">
        <v>142500</v>
      </c>
      <c r="F15" s="27">
        <v>292.27</v>
      </c>
      <c r="G15" s="28">
        <v>2.7E-2</v>
      </c>
      <c r="H15" s="29"/>
    </row>
    <row r="16" spans="2:9" ht="15.75" customHeight="1" x14ac:dyDescent="0.2">
      <c r="B16" s="25" t="s">
        <v>189</v>
      </c>
      <c r="C16" s="25" t="s">
        <v>190</v>
      </c>
      <c r="D16" s="25" t="s">
        <v>191</v>
      </c>
      <c r="E16" s="26">
        <v>31250</v>
      </c>
      <c r="F16" s="27">
        <v>242.58</v>
      </c>
      <c r="G16" s="28">
        <v>2.24E-2</v>
      </c>
      <c r="H16" s="29"/>
    </row>
    <row r="17" spans="2:8" ht="15.75" customHeight="1" x14ac:dyDescent="0.2">
      <c r="B17" s="25" t="s">
        <v>192</v>
      </c>
      <c r="C17" s="25" t="s">
        <v>193</v>
      </c>
      <c r="D17" s="25" t="s">
        <v>130</v>
      </c>
      <c r="E17" s="26">
        <v>92500</v>
      </c>
      <c r="F17" s="27">
        <v>240.64</v>
      </c>
      <c r="G17" s="28">
        <v>2.2200000000000001E-2</v>
      </c>
      <c r="H17" s="29"/>
    </row>
    <row r="18" spans="2:8" ht="15.75" customHeight="1" x14ac:dyDescent="0.2">
      <c r="B18" s="25" t="s">
        <v>148</v>
      </c>
      <c r="C18" s="25" t="s">
        <v>149</v>
      </c>
      <c r="D18" s="25" t="s">
        <v>133</v>
      </c>
      <c r="E18" s="26">
        <v>4350</v>
      </c>
      <c r="F18" s="27">
        <v>230.59</v>
      </c>
      <c r="G18" s="28">
        <v>2.1299999999999999E-2</v>
      </c>
      <c r="H18" s="29"/>
    </row>
    <row r="19" spans="2:8" ht="15.75" customHeight="1" x14ac:dyDescent="0.2">
      <c r="B19" s="25" t="s">
        <v>136</v>
      </c>
      <c r="C19" s="25" t="s">
        <v>137</v>
      </c>
      <c r="D19" s="25" t="s">
        <v>138</v>
      </c>
      <c r="E19" s="26">
        <v>7500</v>
      </c>
      <c r="F19" s="27">
        <v>219.12</v>
      </c>
      <c r="G19" s="28">
        <v>2.0199999999999999E-2</v>
      </c>
      <c r="H19" s="29"/>
    </row>
    <row r="20" spans="2:8" ht="15.75" customHeight="1" x14ac:dyDescent="0.2">
      <c r="B20" s="25" t="s">
        <v>194</v>
      </c>
      <c r="C20" s="25" t="s">
        <v>195</v>
      </c>
      <c r="D20" s="25" t="s">
        <v>196</v>
      </c>
      <c r="E20" s="26">
        <v>43400</v>
      </c>
      <c r="F20" s="27">
        <v>218.67</v>
      </c>
      <c r="G20" s="28">
        <v>2.0199999999999999E-2</v>
      </c>
      <c r="H20" s="29"/>
    </row>
    <row r="21" spans="2:8" ht="15.75" customHeight="1" x14ac:dyDescent="0.2">
      <c r="B21" s="25" t="s">
        <v>197</v>
      </c>
      <c r="C21" s="25" t="s">
        <v>198</v>
      </c>
      <c r="D21" s="25" t="s">
        <v>179</v>
      </c>
      <c r="E21" s="26">
        <v>113400</v>
      </c>
      <c r="F21" s="27">
        <v>208.26</v>
      </c>
      <c r="G21" s="28">
        <v>1.9199999999999998E-2</v>
      </c>
      <c r="H21" s="29"/>
    </row>
    <row r="22" spans="2:8" ht="15.75" customHeight="1" x14ac:dyDescent="0.2">
      <c r="B22" s="25" t="s">
        <v>199</v>
      </c>
      <c r="C22" s="25" t="s">
        <v>200</v>
      </c>
      <c r="D22" s="25" t="s">
        <v>133</v>
      </c>
      <c r="E22" s="26">
        <v>3325</v>
      </c>
      <c r="F22" s="27">
        <v>136.16</v>
      </c>
      <c r="G22" s="28">
        <v>1.26E-2</v>
      </c>
      <c r="H22" s="29"/>
    </row>
    <row r="23" spans="2:8" ht="15.75" customHeight="1" x14ac:dyDescent="0.2">
      <c r="B23" s="25" t="s">
        <v>201</v>
      </c>
      <c r="C23" s="25" t="s">
        <v>202</v>
      </c>
      <c r="D23" s="25" t="s">
        <v>203</v>
      </c>
      <c r="E23" s="26">
        <v>1875</v>
      </c>
      <c r="F23" s="27">
        <v>114.41</v>
      </c>
      <c r="G23" s="28">
        <v>1.06E-2</v>
      </c>
      <c r="H23" s="29"/>
    </row>
    <row r="24" spans="2:8" ht="15.75" customHeight="1" x14ac:dyDescent="0.2">
      <c r="B24" s="25" t="s">
        <v>204</v>
      </c>
      <c r="C24" s="25" t="s">
        <v>205</v>
      </c>
      <c r="D24" s="25" t="s">
        <v>206</v>
      </c>
      <c r="E24" s="26">
        <v>3150</v>
      </c>
      <c r="F24" s="27">
        <v>114.17</v>
      </c>
      <c r="G24" s="28">
        <v>1.0500000000000001E-2</v>
      </c>
      <c r="H24" s="29"/>
    </row>
    <row r="25" spans="2:8" ht="15.75" customHeight="1" x14ac:dyDescent="0.2">
      <c r="B25" s="25" t="s">
        <v>207</v>
      </c>
      <c r="C25" s="25" t="s">
        <v>208</v>
      </c>
      <c r="D25" s="25" t="s">
        <v>209</v>
      </c>
      <c r="E25" s="26">
        <v>2800</v>
      </c>
      <c r="F25" s="27">
        <v>108.69</v>
      </c>
      <c r="G25" s="28">
        <v>0.01</v>
      </c>
      <c r="H25" s="29"/>
    </row>
    <row r="26" spans="2:8" ht="15.75" customHeight="1" x14ac:dyDescent="0.2">
      <c r="B26" s="25" t="s">
        <v>210</v>
      </c>
      <c r="C26" s="25" t="s">
        <v>211</v>
      </c>
      <c r="D26" s="25" t="s">
        <v>141</v>
      </c>
      <c r="E26" s="26">
        <v>24000</v>
      </c>
      <c r="F26" s="27">
        <v>97.51</v>
      </c>
      <c r="G26" s="28">
        <v>8.9999999999999993E-3</v>
      </c>
      <c r="H26" s="29"/>
    </row>
    <row r="27" spans="2:8" ht="15.75" customHeight="1" x14ac:dyDescent="0.2">
      <c r="B27" s="25" t="s">
        <v>212</v>
      </c>
      <c r="C27" s="25" t="s">
        <v>213</v>
      </c>
      <c r="D27" s="25" t="s">
        <v>138</v>
      </c>
      <c r="E27" s="26">
        <v>58500</v>
      </c>
      <c r="F27" s="27">
        <v>96.85</v>
      </c>
      <c r="G27" s="28">
        <v>8.8999999999999999E-3</v>
      </c>
      <c r="H27" s="29"/>
    </row>
    <row r="28" spans="2:8" ht="15.75" customHeight="1" x14ac:dyDescent="0.2">
      <c r="B28" s="25" t="s">
        <v>131</v>
      </c>
      <c r="C28" s="25" t="s">
        <v>132</v>
      </c>
      <c r="D28" s="25" t="s">
        <v>133</v>
      </c>
      <c r="E28" s="26">
        <v>5600</v>
      </c>
      <c r="F28" s="27">
        <v>93.74</v>
      </c>
      <c r="G28" s="28">
        <v>8.6999999999999994E-3</v>
      </c>
      <c r="H28" s="29"/>
    </row>
    <row r="29" spans="2:8" ht="15.75" customHeight="1" x14ac:dyDescent="0.2">
      <c r="B29" s="25" t="s">
        <v>214</v>
      </c>
      <c r="C29" s="25" t="s">
        <v>215</v>
      </c>
      <c r="D29" s="25" t="s">
        <v>130</v>
      </c>
      <c r="E29" s="26">
        <v>5200</v>
      </c>
      <c r="F29" s="27">
        <v>87.85</v>
      </c>
      <c r="G29" s="28">
        <v>8.0999999999999996E-3</v>
      </c>
      <c r="H29" s="29"/>
    </row>
    <row r="30" spans="2:8" ht="15.75" customHeight="1" x14ac:dyDescent="0.2">
      <c r="B30" s="25" t="s">
        <v>216</v>
      </c>
      <c r="C30" s="25" t="s">
        <v>217</v>
      </c>
      <c r="D30" s="25" t="s">
        <v>206</v>
      </c>
      <c r="E30" s="26">
        <v>2600</v>
      </c>
      <c r="F30" s="27">
        <v>73.37</v>
      </c>
      <c r="G30" s="28">
        <v>6.7999999999999996E-3</v>
      </c>
      <c r="H30" s="29"/>
    </row>
    <row r="31" spans="2:8" ht="15.75" customHeight="1" x14ac:dyDescent="0.2">
      <c r="B31" s="25" t="s">
        <v>218</v>
      </c>
      <c r="C31" s="25" t="s">
        <v>219</v>
      </c>
      <c r="D31" s="25" t="s">
        <v>138</v>
      </c>
      <c r="E31" s="26">
        <v>13500</v>
      </c>
      <c r="F31" s="27">
        <v>68.77</v>
      </c>
      <c r="G31" s="28">
        <v>6.3E-3</v>
      </c>
      <c r="H31" s="29"/>
    </row>
    <row r="32" spans="2:8" ht="15.75" customHeight="1" x14ac:dyDescent="0.2">
      <c r="B32" s="25" t="s">
        <v>220</v>
      </c>
      <c r="C32" s="25" t="s">
        <v>221</v>
      </c>
      <c r="D32" s="25" t="s">
        <v>222</v>
      </c>
      <c r="E32" s="26">
        <v>2500</v>
      </c>
      <c r="F32" s="27">
        <v>68.400000000000006</v>
      </c>
      <c r="G32" s="28">
        <v>6.3E-3</v>
      </c>
      <c r="H32" s="29"/>
    </row>
    <row r="33" spans="2:8" ht="15.75" customHeight="1" x14ac:dyDescent="0.2">
      <c r="B33" s="25" t="s">
        <v>142</v>
      </c>
      <c r="C33" s="25" t="s">
        <v>143</v>
      </c>
      <c r="D33" s="25" t="s">
        <v>144</v>
      </c>
      <c r="E33" s="26">
        <v>3500</v>
      </c>
      <c r="F33" s="27">
        <v>67.63</v>
      </c>
      <c r="G33" s="28">
        <v>6.1999999999999998E-3</v>
      </c>
      <c r="H33" s="29"/>
    </row>
    <row r="34" spans="2:8" ht="15.75" customHeight="1" x14ac:dyDescent="0.2">
      <c r="B34" s="25" t="s">
        <v>223</v>
      </c>
      <c r="C34" s="25" t="s">
        <v>224</v>
      </c>
      <c r="D34" s="25" t="s">
        <v>225</v>
      </c>
      <c r="E34" s="26">
        <v>5000</v>
      </c>
      <c r="F34" s="27">
        <v>62.89</v>
      </c>
      <c r="G34" s="28">
        <v>5.7999999999999996E-3</v>
      </c>
      <c r="H34" s="29"/>
    </row>
    <row r="35" spans="2:8" ht="15.75" customHeight="1" x14ac:dyDescent="0.2">
      <c r="B35" s="25" t="s">
        <v>226</v>
      </c>
      <c r="C35" s="25" t="s">
        <v>227</v>
      </c>
      <c r="D35" s="25" t="s">
        <v>130</v>
      </c>
      <c r="E35" s="26">
        <v>40000</v>
      </c>
      <c r="F35" s="27">
        <v>60.16</v>
      </c>
      <c r="G35" s="28">
        <v>5.5999999999999999E-3</v>
      </c>
      <c r="H35" s="29"/>
    </row>
    <row r="36" spans="2:8" ht="15.75" customHeight="1" x14ac:dyDescent="0.2">
      <c r="B36" s="25" t="s">
        <v>228</v>
      </c>
      <c r="C36" s="25" t="s">
        <v>229</v>
      </c>
      <c r="D36" s="25" t="s">
        <v>230</v>
      </c>
      <c r="E36" s="26">
        <v>13500</v>
      </c>
      <c r="F36" s="27">
        <v>50.19</v>
      </c>
      <c r="G36" s="28">
        <v>4.5999999999999999E-3</v>
      </c>
      <c r="H36" s="29"/>
    </row>
    <row r="37" spans="2:8" ht="15.75" customHeight="1" x14ac:dyDescent="0.2">
      <c r="B37" s="25" t="s">
        <v>231</v>
      </c>
      <c r="C37" s="25" t="s">
        <v>232</v>
      </c>
      <c r="D37" s="25" t="s">
        <v>130</v>
      </c>
      <c r="E37" s="26">
        <v>8100</v>
      </c>
      <c r="F37" s="27">
        <v>45.72</v>
      </c>
      <c r="G37" s="28">
        <v>4.1999999999999997E-3</v>
      </c>
      <c r="H37" s="29"/>
    </row>
    <row r="38" spans="2:8" ht="15.75" customHeight="1" x14ac:dyDescent="0.2">
      <c r="B38" s="25" t="s">
        <v>233</v>
      </c>
      <c r="C38" s="25" t="s">
        <v>234</v>
      </c>
      <c r="D38" s="25" t="s">
        <v>206</v>
      </c>
      <c r="E38" s="26">
        <v>2500</v>
      </c>
      <c r="F38" s="27">
        <v>38.28</v>
      </c>
      <c r="G38" s="28">
        <v>3.5000000000000001E-3</v>
      </c>
      <c r="H38" s="29"/>
    </row>
    <row r="39" spans="2:8" ht="15.75" customHeight="1" x14ac:dyDescent="0.2">
      <c r="B39" s="25" t="s">
        <v>139</v>
      </c>
      <c r="C39" s="25" t="s">
        <v>140</v>
      </c>
      <c r="D39" s="25" t="s">
        <v>141</v>
      </c>
      <c r="E39" s="26">
        <v>1500</v>
      </c>
      <c r="F39" s="27">
        <v>36.18</v>
      </c>
      <c r="G39" s="28">
        <v>3.3E-3</v>
      </c>
      <c r="H39" s="29"/>
    </row>
    <row r="40" spans="2:8" ht="15.75" customHeight="1" x14ac:dyDescent="0.2">
      <c r="B40" s="25" t="s">
        <v>235</v>
      </c>
      <c r="C40" s="25" t="s">
        <v>236</v>
      </c>
      <c r="D40" s="25" t="s">
        <v>237</v>
      </c>
      <c r="E40" s="26">
        <v>10800</v>
      </c>
      <c r="F40" s="27">
        <v>34.590000000000003</v>
      </c>
      <c r="G40" s="28">
        <v>3.2000000000000002E-3</v>
      </c>
      <c r="H40" s="29"/>
    </row>
    <row r="41" spans="2:8" ht="15.75" customHeight="1" x14ac:dyDescent="0.2">
      <c r="B41" s="25" t="s">
        <v>238</v>
      </c>
      <c r="C41" s="25" t="s">
        <v>239</v>
      </c>
      <c r="D41" s="25" t="s">
        <v>240</v>
      </c>
      <c r="E41" s="26">
        <v>1425</v>
      </c>
      <c r="F41" s="27">
        <v>34.17</v>
      </c>
      <c r="G41" s="28">
        <v>3.2000000000000002E-3</v>
      </c>
      <c r="H41" s="29"/>
    </row>
    <row r="42" spans="2:8" ht="15.75" customHeight="1" x14ac:dyDescent="0.2">
      <c r="B42" s="25" t="s">
        <v>241</v>
      </c>
      <c r="C42" s="25" t="s">
        <v>242</v>
      </c>
      <c r="D42" s="25" t="s">
        <v>168</v>
      </c>
      <c r="E42" s="26">
        <v>2850</v>
      </c>
      <c r="F42" s="27">
        <v>32.020000000000003</v>
      </c>
      <c r="G42" s="28">
        <v>3.0000000000000001E-3</v>
      </c>
      <c r="H42" s="29"/>
    </row>
    <row r="43" spans="2:8" ht="15.75" customHeight="1" x14ac:dyDescent="0.2">
      <c r="B43" s="25" t="s">
        <v>243</v>
      </c>
      <c r="C43" s="25" t="s">
        <v>244</v>
      </c>
      <c r="D43" s="25" t="s">
        <v>133</v>
      </c>
      <c r="E43" s="26">
        <v>1800</v>
      </c>
      <c r="F43" s="27">
        <v>22.93</v>
      </c>
      <c r="G43" s="28">
        <v>2.0999999999999999E-3</v>
      </c>
      <c r="H43" s="29"/>
    </row>
    <row r="44" spans="2:8" ht="15.75" customHeight="1" x14ac:dyDescent="0.2">
      <c r="B44" s="25" t="s">
        <v>245</v>
      </c>
      <c r="C44" s="25" t="s">
        <v>246</v>
      </c>
      <c r="D44" s="25" t="s">
        <v>222</v>
      </c>
      <c r="E44" s="26">
        <v>3000</v>
      </c>
      <c r="F44" s="27">
        <v>19.68</v>
      </c>
      <c r="G44" s="28">
        <v>1.8E-3</v>
      </c>
      <c r="H44" s="29"/>
    </row>
    <row r="45" spans="2:8" ht="15.75" customHeight="1" x14ac:dyDescent="0.2">
      <c r="B45" s="25" t="s">
        <v>247</v>
      </c>
      <c r="C45" s="25" t="s">
        <v>248</v>
      </c>
      <c r="D45" s="25" t="s">
        <v>237</v>
      </c>
      <c r="E45" s="26">
        <v>14200</v>
      </c>
      <c r="F45" s="27">
        <v>16.93</v>
      </c>
      <c r="G45" s="28">
        <v>1.6000000000000001E-3</v>
      </c>
      <c r="H45" s="29"/>
    </row>
    <row r="46" spans="2:8" ht="15.75" customHeight="1" x14ac:dyDescent="0.2">
      <c r="B46" s="25" t="s">
        <v>249</v>
      </c>
      <c r="C46" s="25" t="s">
        <v>250</v>
      </c>
      <c r="D46" s="25" t="s">
        <v>191</v>
      </c>
      <c r="E46" s="26">
        <v>2025</v>
      </c>
      <c r="F46" s="27">
        <v>16.2</v>
      </c>
      <c r="G46" s="28">
        <v>1.5E-3</v>
      </c>
      <c r="H46" s="29"/>
    </row>
    <row r="47" spans="2:8" ht="15.75" customHeight="1" x14ac:dyDescent="0.2">
      <c r="B47" s="25" t="s">
        <v>251</v>
      </c>
      <c r="C47" s="25" t="s">
        <v>252</v>
      </c>
      <c r="D47" s="25" t="s">
        <v>179</v>
      </c>
      <c r="E47" s="26">
        <v>1000</v>
      </c>
      <c r="F47" s="27">
        <v>15.94</v>
      </c>
      <c r="G47" s="28">
        <v>1.5E-3</v>
      </c>
      <c r="H47" s="29"/>
    </row>
    <row r="48" spans="2:8" ht="15.75" customHeight="1" x14ac:dyDescent="0.2">
      <c r="B48" s="25" t="s">
        <v>253</v>
      </c>
      <c r="C48" s="25" t="s">
        <v>254</v>
      </c>
      <c r="D48" s="25" t="s">
        <v>130</v>
      </c>
      <c r="E48" s="26">
        <v>1000</v>
      </c>
      <c r="F48" s="27">
        <v>14.75</v>
      </c>
      <c r="G48" s="28">
        <v>1.4E-3</v>
      </c>
      <c r="H48" s="29"/>
    </row>
    <row r="49" spans="2:8" ht="15.75" customHeight="1" x14ac:dyDescent="0.2">
      <c r="B49" s="25" t="s">
        <v>255</v>
      </c>
      <c r="C49" s="25" t="s">
        <v>256</v>
      </c>
      <c r="D49" s="25" t="s">
        <v>179</v>
      </c>
      <c r="E49" s="26">
        <v>1500</v>
      </c>
      <c r="F49" s="27">
        <v>13.72</v>
      </c>
      <c r="G49" s="28">
        <v>1.2999999999999999E-3</v>
      </c>
      <c r="H49" s="29"/>
    </row>
    <row r="50" spans="2:8" ht="15.75" customHeight="1" x14ac:dyDescent="0.2">
      <c r="B50" s="24" t="s">
        <v>98</v>
      </c>
      <c r="C50" s="24"/>
      <c r="D50" s="24"/>
      <c r="E50" s="30"/>
      <c r="F50" s="31">
        <v>7209.9</v>
      </c>
      <c r="G50" s="32">
        <v>0.66539999999999999</v>
      </c>
      <c r="H50" s="33"/>
    </row>
    <row r="51" spans="2:8" ht="15.75" customHeight="1" x14ac:dyDescent="0.2">
      <c r="B51" s="24" t="s">
        <v>150</v>
      </c>
      <c r="C51" s="25"/>
      <c r="D51" s="25"/>
      <c r="E51" s="26"/>
      <c r="F51" s="27"/>
      <c r="G51" s="28"/>
      <c r="H51" s="29"/>
    </row>
    <row r="52" spans="2:8" ht="15.75" customHeight="1" x14ac:dyDescent="0.2">
      <c r="B52" s="24" t="s">
        <v>98</v>
      </c>
      <c r="C52" s="25"/>
      <c r="D52" s="25"/>
      <c r="E52" s="26"/>
      <c r="F52" s="34" t="s">
        <v>100</v>
      </c>
      <c r="G52" s="35" t="s">
        <v>100</v>
      </c>
      <c r="H52" s="29"/>
    </row>
    <row r="53" spans="2:8" ht="15.75" customHeight="1" x14ac:dyDescent="0.2">
      <c r="B53" s="25"/>
      <c r="C53" s="25"/>
      <c r="D53" s="25"/>
      <c r="E53" s="26"/>
      <c r="F53" s="27"/>
      <c r="G53" s="28"/>
      <c r="H53" s="29"/>
    </row>
    <row r="54" spans="2:8" ht="15.75" customHeight="1" x14ac:dyDescent="0.2">
      <c r="B54" s="36" t="s">
        <v>102</v>
      </c>
      <c r="C54" s="36"/>
      <c r="D54" s="36"/>
      <c r="E54" s="37"/>
      <c r="F54" s="31">
        <v>7209.9</v>
      </c>
      <c r="G54" s="32">
        <v>0.66539999999999999</v>
      </c>
      <c r="H54" s="33"/>
    </row>
    <row r="55" spans="2:8" ht="15.75" customHeight="1" x14ac:dyDescent="0.2">
      <c r="B55" s="25"/>
      <c r="C55" s="25"/>
      <c r="D55" s="25"/>
      <c r="E55" s="26"/>
      <c r="F55" s="27"/>
      <c r="G55" s="28"/>
      <c r="H55" s="29"/>
    </row>
    <row r="56" spans="2:8" ht="15.75" customHeight="1" x14ac:dyDescent="0.2">
      <c r="B56" s="24" t="s">
        <v>117</v>
      </c>
      <c r="C56" s="25"/>
      <c r="D56" s="25"/>
      <c r="E56" s="26"/>
      <c r="F56" s="27"/>
      <c r="G56" s="28"/>
      <c r="H56" s="29"/>
    </row>
    <row r="57" spans="2:8" ht="15.75" customHeight="1" x14ac:dyDescent="0.2">
      <c r="B57" s="25"/>
      <c r="C57" s="25"/>
      <c r="D57" s="25"/>
      <c r="E57" s="26"/>
      <c r="F57" s="27"/>
      <c r="G57" s="28"/>
      <c r="H57" s="29"/>
    </row>
    <row r="58" spans="2:8" ht="15.75" customHeight="1" x14ac:dyDescent="0.2">
      <c r="B58" s="24" t="s">
        <v>118</v>
      </c>
      <c r="C58" s="25"/>
      <c r="D58" s="25"/>
      <c r="E58" s="26"/>
      <c r="F58" s="27"/>
      <c r="G58" s="28"/>
      <c r="H58" s="29"/>
    </row>
    <row r="59" spans="2:8" ht="15.75" customHeight="1" x14ac:dyDescent="0.2">
      <c r="B59" s="25" t="s">
        <v>120</v>
      </c>
      <c r="C59" s="25" t="s">
        <v>121</v>
      </c>
      <c r="D59" s="25" t="s">
        <v>119</v>
      </c>
      <c r="E59" s="26">
        <v>100</v>
      </c>
      <c r="F59" s="27">
        <v>495.12</v>
      </c>
      <c r="G59" s="28">
        <v>4.5699999999999998E-2</v>
      </c>
      <c r="H59" s="29">
        <v>7.6626E-2</v>
      </c>
    </row>
    <row r="60" spans="2:8" ht="15.75" customHeight="1" x14ac:dyDescent="0.2">
      <c r="B60" s="24" t="s">
        <v>98</v>
      </c>
      <c r="C60" s="24"/>
      <c r="D60" s="24"/>
      <c r="E60" s="30"/>
      <c r="F60" s="31">
        <v>495.12</v>
      </c>
      <c r="G60" s="32">
        <v>4.5699999999999998E-2</v>
      </c>
      <c r="H60" s="33"/>
    </row>
    <row r="61" spans="2:8" ht="15.75" customHeight="1" x14ac:dyDescent="0.2">
      <c r="B61" s="25"/>
      <c r="C61" s="25"/>
      <c r="D61" s="25"/>
      <c r="E61" s="26"/>
      <c r="F61" s="27"/>
      <c r="G61" s="28"/>
      <c r="H61" s="29"/>
    </row>
    <row r="62" spans="2:8" ht="15.75" customHeight="1" x14ac:dyDescent="0.2">
      <c r="B62" s="24" t="s">
        <v>159</v>
      </c>
      <c r="C62" s="25"/>
      <c r="D62" s="25"/>
      <c r="E62" s="26"/>
      <c r="F62" s="27"/>
      <c r="G62" s="28"/>
      <c r="H62" s="29"/>
    </row>
    <row r="63" spans="2:8" ht="15.75" customHeight="1" x14ac:dyDescent="0.2">
      <c r="B63" s="25" t="s">
        <v>257</v>
      </c>
      <c r="C63" s="25" t="s">
        <v>258</v>
      </c>
      <c r="D63" s="25" t="s">
        <v>119</v>
      </c>
      <c r="E63" s="26">
        <v>100</v>
      </c>
      <c r="F63" s="27">
        <v>494.82</v>
      </c>
      <c r="G63" s="28">
        <v>4.5699999999999998E-2</v>
      </c>
      <c r="H63" s="29">
        <v>8.3000000000000004E-2</v>
      </c>
    </row>
    <row r="64" spans="2:8" ht="15.75" customHeight="1" x14ac:dyDescent="0.2">
      <c r="B64" s="24" t="s">
        <v>98</v>
      </c>
      <c r="C64" s="24"/>
      <c r="D64" s="24"/>
      <c r="E64" s="30"/>
      <c r="F64" s="31">
        <v>494.82</v>
      </c>
      <c r="G64" s="32">
        <v>4.5699999999999998E-2</v>
      </c>
      <c r="H64" s="33"/>
    </row>
    <row r="65" spans="2:16" ht="15.75" customHeight="1" x14ac:dyDescent="0.2">
      <c r="B65" s="25"/>
      <c r="C65" s="25"/>
      <c r="D65" s="25"/>
      <c r="E65" s="26"/>
      <c r="F65" s="27"/>
      <c r="G65" s="28"/>
      <c r="H65" s="29"/>
    </row>
    <row r="66" spans="2:16" ht="15.75" customHeight="1" x14ac:dyDescent="0.2">
      <c r="B66" s="36" t="s">
        <v>102</v>
      </c>
      <c r="C66" s="36"/>
      <c r="D66" s="36"/>
      <c r="E66" s="37"/>
      <c r="F66" s="31">
        <v>989.94</v>
      </c>
      <c r="G66" s="32">
        <v>9.1399999999999995E-2</v>
      </c>
      <c r="H66" s="33"/>
    </row>
    <row r="67" spans="2:16" ht="15.75" customHeight="1" x14ac:dyDescent="0.2">
      <c r="B67" s="25"/>
      <c r="C67" s="25"/>
      <c r="D67" s="25"/>
      <c r="E67" s="26"/>
      <c r="F67" s="27"/>
      <c r="G67" s="28"/>
      <c r="H67" s="29"/>
    </row>
    <row r="68" spans="2:16" ht="15.75" customHeight="1" x14ac:dyDescent="0.2">
      <c r="B68" s="25"/>
      <c r="C68" s="25"/>
      <c r="D68" s="25"/>
      <c r="E68" s="26"/>
      <c r="F68" s="27"/>
      <c r="G68" s="28"/>
      <c r="H68" s="29"/>
      <c r="L68" s="3"/>
    </row>
    <row r="69" spans="2:16" ht="15.75" customHeight="1" x14ac:dyDescent="0.2">
      <c r="B69" s="24" t="s">
        <v>103</v>
      </c>
      <c r="C69" s="25"/>
      <c r="D69" s="25"/>
      <c r="E69" s="26"/>
      <c r="F69" s="27"/>
      <c r="G69" s="28"/>
      <c r="H69" s="29"/>
    </row>
    <row r="70" spans="2:16" ht="15.75" customHeight="1" x14ac:dyDescent="0.2">
      <c r="B70" s="24" t="s">
        <v>104</v>
      </c>
      <c r="C70" s="25"/>
      <c r="D70" s="25"/>
      <c r="E70" s="26"/>
      <c r="F70" s="27"/>
      <c r="G70" s="28"/>
      <c r="H70" s="29"/>
      <c r="L70" s="3"/>
    </row>
    <row r="71" spans="2:16" ht="15.75" customHeight="1" x14ac:dyDescent="0.2">
      <c r="B71" s="25" t="s">
        <v>259</v>
      </c>
      <c r="C71" s="25" t="s">
        <v>260</v>
      </c>
      <c r="D71" s="25"/>
      <c r="E71" s="26">
        <v>48818.877999999997</v>
      </c>
      <c r="F71" s="27">
        <v>2126.88</v>
      </c>
      <c r="G71" s="28">
        <v>0.1963</v>
      </c>
      <c r="H71" s="29"/>
      <c r="L71" s="3"/>
    </row>
    <row r="72" spans="2:16" ht="15.75" customHeight="1" x14ac:dyDescent="0.2">
      <c r="B72" s="25"/>
      <c r="C72" s="25"/>
      <c r="D72" s="25"/>
      <c r="E72" s="26"/>
      <c r="F72" s="27"/>
      <c r="G72" s="28"/>
      <c r="H72" s="29"/>
      <c r="L72" s="3"/>
    </row>
    <row r="73" spans="2:16" ht="15.75" customHeight="1" x14ac:dyDescent="0.2">
      <c r="B73" s="36" t="s">
        <v>102</v>
      </c>
      <c r="C73" s="36"/>
      <c r="D73" s="36"/>
      <c r="E73" s="37"/>
      <c r="F73" s="31">
        <v>2126.88</v>
      </c>
      <c r="G73" s="32">
        <v>0.1963</v>
      </c>
      <c r="H73" s="33"/>
      <c r="L73" s="3"/>
    </row>
    <row r="74" spans="2:16" ht="15.75" customHeight="1" x14ac:dyDescent="0.2">
      <c r="B74" s="25"/>
      <c r="C74" s="25"/>
      <c r="D74" s="25"/>
      <c r="E74" s="26"/>
      <c r="F74" s="27"/>
      <c r="G74" s="28"/>
      <c r="H74" s="29"/>
      <c r="L74" s="3"/>
    </row>
    <row r="75" spans="2:16" ht="15.75" customHeight="1" x14ac:dyDescent="0.2">
      <c r="B75" s="24" t="s">
        <v>105</v>
      </c>
      <c r="C75" s="25"/>
      <c r="D75" s="25"/>
      <c r="E75" s="26"/>
      <c r="F75" s="27"/>
      <c r="G75" s="28"/>
      <c r="H75" s="29"/>
      <c r="L75" s="5"/>
      <c r="M75" s="5"/>
      <c r="N75" s="6"/>
      <c r="O75" s="6"/>
      <c r="P75" s="5"/>
    </row>
    <row r="76" spans="2:16" ht="15.75" customHeight="1" x14ac:dyDescent="0.2">
      <c r="B76" s="25" t="s">
        <v>106</v>
      </c>
      <c r="C76" s="25"/>
      <c r="D76" s="25"/>
      <c r="E76" s="26"/>
      <c r="F76" s="27">
        <v>792.52</v>
      </c>
      <c r="G76" s="28">
        <v>7.3099999999999998E-2</v>
      </c>
      <c r="H76" s="29"/>
    </row>
    <row r="77" spans="2:16" ht="15.75" customHeight="1" x14ac:dyDescent="0.2">
      <c r="B77" s="24" t="s">
        <v>98</v>
      </c>
      <c r="C77" s="24"/>
      <c r="D77" s="24"/>
      <c r="E77" s="30"/>
      <c r="F77" s="31">
        <v>792.52</v>
      </c>
      <c r="G77" s="32">
        <v>7.3099999999999998E-2</v>
      </c>
      <c r="H77" s="33"/>
    </row>
    <row r="78" spans="2:16" ht="15.75" customHeight="1" x14ac:dyDescent="0.2">
      <c r="B78" s="25"/>
      <c r="C78" s="25"/>
      <c r="D78" s="25"/>
      <c r="E78" s="26"/>
      <c r="F78" s="27"/>
      <c r="G78" s="28"/>
      <c r="H78" s="29"/>
      <c r="L78" s="7"/>
      <c r="M78" s="7"/>
      <c r="N78" s="7"/>
      <c r="O78" s="7"/>
      <c r="P78" s="7"/>
    </row>
    <row r="79" spans="2:16" ht="15.75" customHeight="1" x14ac:dyDescent="0.2">
      <c r="B79" s="36" t="s">
        <v>102</v>
      </c>
      <c r="C79" s="36"/>
      <c r="D79" s="36"/>
      <c r="E79" s="37"/>
      <c r="F79" s="31">
        <v>792.52</v>
      </c>
      <c r="G79" s="32">
        <v>7.3099999999999998E-2</v>
      </c>
      <c r="H79" s="33"/>
      <c r="L79" s="7"/>
      <c r="M79" s="7"/>
      <c r="N79" s="7"/>
      <c r="O79" s="7"/>
      <c r="P79" s="7"/>
    </row>
    <row r="80" spans="2:16" ht="15.75" customHeight="1" x14ac:dyDescent="0.2">
      <c r="B80" s="25" t="s">
        <v>107</v>
      </c>
      <c r="C80" s="25"/>
      <c r="D80" s="25"/>
      <c r="E80" s="26"/>
      <c r="F80" s="38">
        <v>-283.45999999999998</v>
      </c>
      <c r="G80" s="39">
        <v>-2.6200000000000001E-2</v>
      </c>
      <c r="H80" s="29"/>
      <c r="L80" s="7"/>
      <c r="M80" s="7"/>
      <c r="N80" s="7"/>
      <c r="O80" s="7"/>
      <c r="P80" s="7"/>
    </row>
    <row r="81" spans="2:16" ht="15.75" customHeight="1" x14ac:dyDescent="0.2">
      <c r="B81" s="40" t="s">
        <v>108</v>
      </c>
      <c r="C81" s="40"/>
      <c r="D81" s="40"/>
      <c r="E81" s="41"/>
      <c r="F81" s="42">
        <v>10835.78</v>
      </c>
      <c r="G81" s="43">
        <v>1</v>
      </c>
      <c r="H81" s="44"/>
      <c r="L81" s="7"/>
      <c r="M81" s="7"/>
      <c r="N81" s="7"/>
      <c r="O81" s="7"/>
      <c r="P81" s="7"/>
    </row>
    <row r="82" spans="2:16" ht="15.75" customHeight="1" x14ac:dyDescent="0.2">
      <c r="B82" s="2"/>
      <c r="L82" s="7"/>
      <c r="M82" s="7"/>
      <c r="N82" s="7"/>
      <c r="O82" s="7"/>
      <c r="P82" s="7"/>
    </row>
    <row r="83" spans="2:16" ht="15.75" customHeight="1" x14ac:dyDescent="0.2">
      <c r="B83" s="12" t="s">
        <v>123</v>
      </c>
      <c r="L83" s="7"/>
      <c r="M83" s="7"/>
      <c r="N83" s="7"/>
      <c r="O83" s="7"/>
      <c r="P83" s="7"/>
    </row>
    <row r="84" spans="2:16" ht="15.75" customHeight="1" x14ac:dyDescent="0.2">
      <c r="B84" s="12" t="s">
        <v>125</v>
      </c>
      <c r="L84" s="7"/>
      <c r="M84" s="7"/>
      <c r="N84" s="7"/>
      <c r="O84" s="7"/>
      <c r="P84" s="7"/>
    </row>
    <row r="85" spans="2:16" ht="15.75" customHeight="1" x14ac:dyDescent="0.2">
      <c r="B85" s="53"/>
    </row>
    <row r="86" spans="2:16" ht="15.75" customHeight="1" x14ac:dyDescent="0.2">
      <c r="B86" s="9" t="s">
        <v>264</v>
      </c>
      <c r="L86" s="3"/>
    </row>
    <row r="87" spans="2:16" ht="15.75" customHeight="1" x14ac:dyDescent="0.2">
      <c r="B87" s="9" t="s">
        <v>265</v>
      </c>
    </row>
    <row r="88" spans="2:16" ht="15.75" customHeight="1" x14ac:dyDescent="0.2">
      <c r="B88" s="13" t="s">
        <v>261</v>
      </c>
      <c r="C88" s="50" t="s">
        <v>2</v>
      </c>
      <c r="D88" s="51" t="s">
        <v>3</v>
      </c>
      <c r="E88" s="52" t="s">
        <v>262</v>
      </c>
    </row>
    <row r="89" spans="2:16" ht="15.75" customHeight="1" x14ac:dyDescent="0.2">
      <c r="B89" s="46" t="s">
        <v>172</v>
      </c>
      <c r="C89" s="47">
        <v>-13500</v>
      </c>
      <c r="D89" s="48">
        <v>-472.65</v>
      </c>
      <c r="E89" s="49">
        <v>-4.36E-2</v>
      </c>
    </row>
    <row r="90" spans="2:16" ht="15.75" customHeight="1" x14ac:dyDescent="0.2">
      <c r="B90" s="46" t="s">
        <v>199</v>
      </c>
      <c r="C90" s="47">
        <v>-3325</v>
      </c>
      <c r="D90" s="48">
        <v>-137.16</v>
      </c>
      <c r="E90" s="49">
        <v>-1.2699999999999999E-2</v>
      </c>
    </row>
    <row r="91" spans="2:16" ht="15.75" customHeight="1" x14ac:dyDescent="0.2">
      <c r="B91" s="46" t="s">
        <v>204</v>
      </c>
      <c r="C91" s="47">
        <v>-3150</v>
      </c>
      <c r="D91" s="48">
        <v>-115</v>
      </c>
      <c r="E91" s="49">
        <v>-1.06E-2</v>
      </c>
    </row>
    <row r="92" spans="2:16" ht="15.75" customHeight="1" x14ac:dyDescent="0.2">
      <c r="B92" s="46" t="s">
        <v>183</v>
      </c>
      <c r="C92" s="47">
        <v>-34100</v>
      </c>
      <c r="D92" s="48">
        <v>-351.98</v>
      </c>
      <c r="E92" s="49">
        <v>-3.2500000000000001E-2</v>
      </c>
    </row>
    <row r="93" spans="2:16" ht="15.75" customHeight="1" x14ac:dyDescent="0.2">
      <c r="B93" s="46" t="s">
        <v>177</v>
      </c>
      <c r="C93" s="47">
        <v>-6375</v>
      </c>
      <c r="D93" s="48">
        <v>-416.28</v>
      </c>
      <c r="E93" s="49">
        <v>-3.8399999999999997E-2</v>
      </c>
    </row>
    <row r="94" spans="2:16" ht="15.75" customHeight="1" x14ac:dyDescent="0.2">
      <c r="B94" s="46" t="s">
        <v>241</v>
      </c>
      <c r="C94" s="47">
        <v>-2850</v>
      </c>
      <c r="D94" s="48">
        <v>-32.229999999999997</v>
      </c>
      <c r="E94" s="49">
        <v>-3.0000000000000001E-3</v>
      </c>
    </row>
    <row r="95" spans="2:16" ht="15.75" customHeight="1" x14ac:dyDescent="0.2">
      <c r="B95" s="46" t="s">
        <v>223</v>
      </c>
      <c r="C95" s="47">
        <v>-5000</v>
      </c>
      <c r="D95" s="48">
        <v>-63.14</v>
      </c>
      <c r="E95" s="49">
        <v>-5.7999999999999996E-3</v>
      </c>
    </row>
    <row r="96" spans="2:16" ht="15.75" customHeight="1" x14ac:dyDescent="0.2">
      <c r="B96" s="46" t="s">
        <v>194</v>
      </c>
      <c r="C96" s="47">
        <v>-43400</v>
      </c>
      <c r="D96" s="48">
        <v>-219.97</v>
      </c>
      <c r="E96" s="49">
        <v>-2.0299999999999999E-2</v>
      </c>
    </row>
    <row r="97" spans="2:5" ht="15.75" customHeight="1" x14ac:dyDescent="0.2">
      <c r="B97" s="46" t="s">
        <v>210</v>
      </c>
      <c r="C97" s="47">
        <v>-24000</v>
      </c>
      <c r="D97" s="48">
        <v>-98.18</v>
      </c>
      <c r="E97" s="49">
        <v>-9.1000000000000004E-3</v>
      </c>
    </row>
    <row r="98" spans="2:5" ht="15.75" customHeight="1" x14ac:dyDescent="0.2">
      <c r="B98" s="46" t="s">
        <v>148</v>
      </c>
      <c r="C98" s="47">
        <v>-4350</v>
      </c>
      <c r="D98" s="48">
        <v>-232.19</v>
      </c>
      <c r="E98" s="49">
        <v>-2.1399999999999999E-2</v>
      </c>
    </row>
    <row r="99" spans="2:5" ht="15.75" customHeight="1" x14ac:dyDescent="0.2">
      <c r="B99" s="46" t="s">
        <v>142</v>
      </c>
      <c r="C99" s="47">
        <v>-3500</v>
      </c>
      <c r="D99" s="48">
        <v>-68.040000000000006</v>
      </c>
      <c r="E99" s="49">
        <v>-6.3E-3</v>
      </c>
    </row>
    <row r="100" spans="2:5" ht="15.75" customHeight="1" x14ac:dyDescent="0.2">
      <c r="B100" s="46" t="s">
        <v>226</v>
      </c>
      <c r="C100" s="47">
        <v>-40000</v>
      </c>
      <c r="D100" s="48">
        <v>-60.7</v>
      </c>
      <c r="E100" s="49">
        <v>-5.5999999999999999E-3</v>
      </c>
    </row>
    <row r="101" spans="2:5" ht="15.75" customHeight="1" x14ac:dyDescent="0.2">
      <c r="B101" s="46" t="s">
        <v>189</v>
      </c>
      <c r="C101" s="47">
        <v>-31250</v>
      </c>
      <c r="D101" s="48">
        <v>-243.81</v>
      </c>
      <c r="E101" s="49">
        <v>-2.2499999999999999E-2</v>
      </c>
    </row>
    <row r="102" spans="2:5" ht="15.75" customHeight="1" x14ac:dyDescent="0.2">
      <c r="B102" s="46" t="s">
        <v>220</v>
      </c>
      <c r="C102" s="47">
        <v>-2500</v>
      </c>
      <c r="D102" s="48">
        <v>-68.87</v>
      </c>
      <c r="E102" s="49">
        <v>-6.4000000000000003E-3</v>
      </c>
    </row>
    <row r="103" spans="2:5" ht="15.75" customHeight="1" x14ac:dyDescent="0.2">
      <c r="B103" s="46" t="s">
        <v>238</v>
      </c>
      <c r="C103" s="47">
        <v>-1425</v>
      </c>
      <c r="D103" s="48">
        <v>-34.409999999999997</v>
      </c>
      <c r="E103" s="49">
        <v>-3.2000000000000002E-3</v>
      </c>
    </row>
    <row r="104" spans="2:5" ht="15.75" customHeight="1" x14ac:dyDescent="0.2">
      <c r="B104" s="46" t="s">
        <v>166</v>
      </c>
      <c r="C104" s="47">
        <v>-204000</v>
      </c>
      <c r="D104" s="48">
        <v>-518.36</v>
      </c>
      <c r="E104" s="49">
        <v>-4.7800000000000002E-2</v>
      </c>
    </row>
    <row r="105" spans="2:5" ht="15.75" customHeight="1" x14ac:dyDescent="0.2">
      <c r="B105" s="46" t="s">
        <v>212</v>
      </c>
      <c r="C105" s="47">
        <v>-58500</v>
      </c>
      <c r="D105" s="48">
        <v>-97.64</v>
      </c>
      <c r="E105" s="49">
        <v>-8.9999999999999993E-3</v>
      </c>
    </row>
    <row r="106" spans="2:5" ht="15.75" customHeight="1" x14ac:dyDescent="0.2">
      <c r="B106" s="46" t="s">
        <v>231</v>
      </c>
      <c r="C106" s="47">
        <v>-8100</v>
      </c>
      <c r="D106" s="48">
        <v>-46.12</v>
      </c>
      <c r="E106" s="49">
        <v>-4.3E-3</v>
      </c>
    </row>
    <row r="107" spans="2:5" ht="15.75" customHeight="1" x14ac:dyDescent="0.2">
      <c r="B107" s="46" t="s">
        <v>134</v>
      </c>
      <c r="C107" s="47">
        <v>-62150</v>
      </c>
      <c r="D107" s="48">
        <v>-878.58</v>
      </c>
      <c r="E107" s="49">
        <v>-8.1100000000000005E-2</v>
      </c>
    </row>
    <row r="108" spans="2:5" ht="15.75" customHeight="1" x14ac:dyDescent="0.2">
      <c r="B108" s="46" t="s">
        <v>201</v>
      </c>
      <c r="C108" s="47">
        <v>-1875</v>
      </c>
      <c r="D108" s="48">
        <v>-115.27</v>
      </c>
      <c r="E108" s="49">
        <v>-1.06E-2</v>
      </c>
    </row>
    <row r="109" spans="2:5" ht="15.75" customHeight="1" x14ac:dyDescent="0.2">
      <c r="B109" s="46" t="s">
        <v>216</v>
      </c>
      <c r="C109" s="47">
        <v>-2600</v>
      </c>
      <c r="D109" s="48">
        <v>-73.89</v>
      </c>
      <c r="E109" s="49">
        <v>-6.7999999999999996E-3</v>
      </c>
    </row>
    <row r="110" spans="2:5" ht="15.75" customHeight="1" x14ac:dyDescent="0.2">
      <c r="B110" s="46" t="s">
        <v>251</v>
      </c>
      <c r="C110" s="47">
        <v>-1000</v>
      </c>
      <c r="D110" s="48">
        <v>-16.05</v>
      </c>
      <c r="E110" s="49">
        <v>-1.5E-3</v>
      </c>
    </row>
    <row r="111" spans="2:5" ht="15.75" customHeight="1" x14ac:dyDescent="0.2">
      <c r="B111" s="46" t="s">
        <v>249</v>
      </c>
      <c r="C111" s="47">
        <v>-2025</v>
      </c>
      <c r="D111" s="48">
        <v>-16.329999999999998</v>
      </c>
      <c r="E111" s="49">
        <v>-1.5E-3</v>
      </c>
    </row>
    <row r="112" spans="2:5" ht="15.75" customHeight="1" x14ac:dyDescent="0.2">
      <c r="B112" s="46" t="s">
        <v>218</v>
      </c>
      <c r="C112" s="47">
        <v>-13500</v>
      </c>
      <c r="D112" s="48">
        <v>-69.319999999999993</v>
      </c>
      <c r="E112" s="49">
        <v>-6.4000000000000003E-3</v>
      </c>
    </row>
    <row r="113" spans="2:5" ht="15.75" customHeight="1" x14ac:dyDescent="0.2">
      <c r="B113" s="46" t="s">
        <v>214</v>
      </c>
      <c r="C113" s="47">
        <v>-5200</v>
      </c>
      <c r="D113" s="48">
        <v>-88.41</v>
      </c>
      <c r="E113" s="49">
        <v>-8.2000000000000007E-3</v>
      </c>
    </row>
    <row r="114" spans="2:5" ht="15.75" customHeight="1" x14ac:dyDescent="0.2">
      <c r="B114" s="46" t="s">
        <v>192</v>
      </c>
      <c r="C114" s="47">
        <v>-92500</v>
      </c>
      <c r="D114" s="48">
        <v>-242.4</v>
      </c>
      <c r="E114" s="49">
        <v>-2.24E-2</v>
      </c>
    </row>
    <row r="115" spans="2:5" ht="15.75" customHeight="1" x14ac:dyDescent="0.2">
      <c r="B115" s="46" t="s">
        <v>207</v>
      </c>
      <c r="C115" s="47">
        <v>-2800</v>
      </c>
      <c r="D115" s="48">
        <v>-109.23</v>
      </c>
      <c r="E115" s="49">
        <v>-1.01E-2</v>
      </c>
    </row>
    <row r="116" spans="2:5" ht="15.75" customHeight="1" x14ac:dyDescent="0.2">
      <c r="B116" s="46" t="s">
        <v>197</v>
      </c>
      <c r="C116" s="47">
        <v>-113400</v>
      </c>
      <c r="D116" s="48">
        <v>-209.9</v>
      </c>
      <c r="E116" s="49">
        <v>-1.9400000000000001E-2</v>
      </c>
    </row>
    <row r="117" spans="2:5" ht="15.75" customHeight="1" x14ac:dyDescent="0.2">
      <c r="B117" s="46" t="s">
        <v>169</v>
      </c>
      <c r="C117" s="47">
        <v>-51000</v>
      </c>
      <c r="D117" s="48">
        <v>-503.04</v>
      </c>
      <c r="E117" s="49">
        <v>-4.6399999999999997E-2</v>
      </c>
    </row>
    <row r="118" spans="2:5" ht="15.75" customHeight="1" x14ac:dyDescent="0.2">
      <c r="B118" s="46" t="s">
        <v>253</v>
      </c>
      <c r="C118" s="47">
        <v>-1000</v>
      </c>
      <c r="D118" s="48">
        <v>-14.82</v>
      </c>
      <c r="E118" s="49">
        <v>-1.4E-3</v>
      </c>
    </row>
    <row r="119" spans="2:5" ht="15.75" customHeight="1" x14ac:dyDescent="0.2">
      <c r="B119" s="46" t="s">
        <v>255</v>
      </c>
      <c r="C119" s="47">
        <v>-1500</v>
      </c>
      <c r="D119" s="48">
        <v>-13.83</v>
      </c>
      <c r="E119" s="49">
        <v>-1.2999999999999999E-3</v>
      </c>
    </row>
    <row r="120" spans="2:5" ht="15.75" customHeight="1" x14ac:dyDescent="0.2">
      <c r="B120" s="46" t="s">
        <v>228</v>
      </c>
      <c r="C120" s="47">
        <v>-13500</v>
      </c>
      <c r="D120" s="48">
        <v>-50.48</v>
      </c>
      <c r="E120" s="49">
        <v>-4.7000000000000002E-3</v>
      </c>
    </row>
    <row r="121" spans="2:5" ht="15.75" customHeight="1" x14ac:dyDescent="0.2">
      <c r="B121" s="46" t="s">
        <v>180</v>
      </c>
      <c r="C121" s="47">
        <v>-140300</v>
      </c>
      <c r="D121" s="48">
        <v>-378.53</v>
      </c>
      <c r="E121" s="49">
        <v>-3.49E-2</v>
      </c>
    </row>
    <row r="122" spans="2:5" ht="15.75" customHeight="1" x14ac:dyDescent="0.2">
      <c r="B122" s="46" t="s">
        <v>136</v>
      </c>
      <c r="C122" s="47">
        <v>-7500</v>
      </c>
      <c r="D122" s="48">
        <v>-220.82</v>
      </c>
      <c r="E122" s="49">
        <v>-2.0400000000000001E-2</v>
      </c>
    </row>
    <row r="123" spans="2:5" ht="15.75" customHeight="1" x14ac:dyDescent="0.2">
      <c r="B123" s="46" t="s">
        <v>186</v>
      </c>
      <c r="C123" s="47">
        <v>-142500</v>
      </c>
      <c r="D123" s="48">
        <v>-293.91000000000003</v>
      </c>
      <c r="E123" s="49">
        <v>-2.7099999999999999E-2</v>
      </c>
    </row>
    <row r="124" spans="2:5" ht="15.75" customHeight="1" x14ac:dyDescent="0.2">
      <c r="B124" s="46" t="s">
        <v>243</v>
      </c>
      <c r="C124" s="47">
        <v>-1800</v>
      </c>
      <c r="D124" s="48">
        <v>-23.09</v>
      </c>
      <c r="E124" s="49">
        <v>-2.0999999999999999E-3</v>
      </c>
    </row>
    <row r="125" spans="2:5" ht="15.75" customHeight="1" x14ac:dyDescent="0.2">
      <c r="B125" s="46" t="s">
        <v>245</v>
      </c>
      <c r="C125" s="47">
        <v>-3000</v>
      </c>
      <c r="D125" s="48">
        <v>-19.850000000000001</v>
      </c>
      <c r="E125" s="49">
        <v>-1.8E-3</v>
      </c>
    </row>
    <row r="126" spans="2:5" ht="15.75" customHeight="1" x14ac:dyDescent="0.2">
      <c r="B126" s="46" t="s">
        <v>175</v>
      </c>
      <c r="C126" s="47">
        <v>-157950</v>
      </c>
      <c r="D126" s="48">
        <v>-421.96</v>
      </c>
      <c r="E126" s="49">
        <v>-3.8899999999999997E-2</v>
      </c>
    </row>
    <row r="127" spans="2:5" ht="15.75" customHeight="1" x14ac:dyDescent="0.2">
      <c r="B127" s="46" t="s">
        <v>235</v>
      </c>
      <c r="C127" s="47">
        <v>-10800</v>
      </c>
      <c r="D127" s="48">
        <v>-34.83</v>
      </c>
      <c r="E127" s="49">
        <v>-3.2000000000000002E-3</v>
      </c>
    </row>
    <row r="128" spans="2:5" ht="15.75" customHeight="1" x14ac:dyDescent="0.2">
      <c r="B128" s="46" t="s">
        <v>233</v>
      </c>
      <c r="C128" s="47">
        <v>-2500</v>
      </c>
      <c r="D128" s="48">
        <v>-38.43</v>
      </c>
      <c r="E128" s="49">
        <v>-3.5000000000000001E-3</v>
      </c>
    </row>
    <row r="129" spans="2:8" ht="15.75" customHeight="1" x14ac:dyDescent="0.2">
      <c r="B129" s="46" t="s">
        <v>139</v>
      </c>
      <c r="C129" s="47">
        <v>-1500</v>
      </c>
      <c r="D129" s="48">
        <v>-36.39</v>
      </c>
      <c r="E129" s="49">
        <v>-3.3999999999999998E-3</v>
      </c>
    </row>
    <row r="130" spans="2:8" ht="15.75" customHeight="1" x14ac:dyDescent="0.2">
      <c r="B130" s="46" t="s">
        <v>131</v>
      </c>
      <c r="C130" s="47">
        <v>-5600</v>
      </c>
      <c r="D130" s="48">
        <v>-94.24</v>
      </c>
      <c r="E130" s="49">
        <v>-8.6999999999999994E-3</v>
      </c>
    </row>
    <row r="131" spans="2:8" ht="15.75" customHeight="1" x14ac:dyDescent="0.2">
      <c r="B131" s="46" t="s">
        <v>247</v>
      </c>
      <c r="C131" s="47">
        <v>-14200</v>
      </c>
      <c r="D131" s="48">
        <v>-17.010000000000002</v>
      </c>
      <c r="E131" s="49">
        <v>-1.6000000000000001E-3</v>
      </c>
    </row>
    <row r="132" spans="2:8" ht="15.75" customHeight="1" x14ac:dyDescent="0.2">
      <c r="B132" s="13" t="s">
        <v>263</v>
      </c>
      <c r="C132" s="50">
        <v>-1341025</v>
      </c>
      <c r="D132" s="51">
        <v>-7257.34</v>
      </c>
      <c r="E132" s="52">
        <v>-0.66990000000000005</v>
      </c>
    </row>
    <row r="133" spans="2:8" ht="15.75" customHeight="1" thickBot="1" x14ac:dyDescent="0.25"/>
    <row r="134" spans="2:8" ht="27" customHeight="1" thickBot="1" x14ac:dyDescent="0.25">
      <c r="B134" s="57" t="s">
        <v>925</v>
      </c>
      <c r="C134" s="58" t="s">
        <v>926</v>
      </c>
      <c r="D134" s="58" t="s">
        <v>927</v>
      </c>
      <c r="E134" s="63" t="s">
        <v>928</v>
      </c>
      <c r="G134" s="2"/>
      <c r="H134" s="2"/>
    </row>
    <row r="135" spans="2:8" ht="28.5" customHeight="1" x14ac:dyDescent="0.2">
      <c r="B135" s="67" t="s">
        <v>935</v>
      </c>
      <c r="C135" s="75"/>
      <c r="D135" s="77" t="s">
        <v>936</v>
      </c>
      <c r="E135" s="79"/>
      <c r="G135" s="2"/>
      <c r="H135" s="2"/>
    </row>
    <row r="136" spans="2:8" ht="28.5" customHeight="1" x14ac:dyDescent="0.2">
      <c r="B136" s="66" t="s">
        <v>937</v>
      </c>
      <c r="C136" s="75"/>
      <c r="D136" s="78"/>
      <c r="E136" s="80"/>
      <c r="G136" s="2"/>
      <c r="H136" s="2"/>
    </row>
    <row r="137" spans="2:8" ht="55.5" customHeight="1" x14ac:dyDescent="0.2">
      <c r="B137" s="66" t="s">
        <v>938</v>
      </c>
      <c r="C137" s="75"/>
      <c r="D137" s="78"/>
      <c r="E137" s="80"/>
      <c r="G137" s="2"/>
      <c r="H137" s="2"/>
    </row>
    <row r="138" spans="2:8" ht="28.5" customHeight="1" thickBot="1" x14ac:dyDescent="0.25">
      <c r="B138" s="68" t="s">
        <v>939</v>
      </c>
      <c r="C138" s="76"/>
      <c r="D138" s="69" t="s">
        <v>939</v>
      </c>
      <c r="E138" s="81"/>
      <c r="G138" s="2"/>
      <c r="H138" s="2"/>
    </row>
    <row r="139" spans="2:8" ht="24.95" customHeight="1" x14ac:dyDescent="0.2">
      <c r="B139" s="59" t="s">
        <v>929</v>
      </c>
      <c r="C139" s="60"/>
      <c r="D139" s="61"/>
      <c r="E139" s="62"/>
      <c r="G139" s="2"/>
      <c r="H139" s="2"/>
    </row>
    <row r="141" spans="2:8" ht="12" x14ac:dyDescent="0.2">
      <c r="B141" s="2" t="s">
        <v>930</v>
      </c>
      <c r="C141" s="2"/>
      <c r="D141" s="2"/>
      <c r="G141" s="2"/>
      <c r="H141" s="2"/>
    </row>
    <row r="142" spans="2:8" ht="12" x14ac:dyDescent="0.2">
      <c r="B142" s="3" t="s">
        <v>931</v>
      </c>
      <c r="C142" s="2"/>
      <c r="D142" s="2"/>
      <c r="G142" s="2"/>
      <c r="H142" s="2"/>
    </row>
  </sheetData>
  <mergeCells count="3">
    <mergeCell ref="C135:C138"/>
    <mergeCell ref="D135:D137"/>
    <mergeCell ref="E135:E138"/>
  </mergeCells>
  <hyperlinks>
    <hyperlink ref="I1" location="'Sheet1'!A1" display="Index" xr:uid="{5DA5545E-D526-4A4D-8EAE-369AD29A91E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67280-5A22-466C-9034-86AEBA82F503}">
  <dimension ref="B1:P132"/>
  <sheetViews>
    <sheetView workbookViewId="0"/>
  </sheetViews>
  <sheetFormatPr defaultColWidth="9.140625" defaultRowHeight="15.75" customHeight="1" x14ac:dyDescent="0.2"/>
  <cols>
    <col min="1" max="1" width="3.5703125" style="2" customWidth="1"/>
    <col min="2" max="2" width="42.42578125" style="9" bestFit="1" customWidth="1"/>
    <col min="3" max="3" width="25.5703125" style="9" customWidth="1"/>
    <col min="4" max="4" width="33.42578125" style="9" bestFit="1" customWidth="1"/>
    <col min="5" max="5" width="33.57031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496574</v>
      </c>
      <c r="F7" s="27">
        <v>6968.92</v>
      </c>
      <c r="G7" s="28">
        <v>7.7399999999999997E-2</v>
      </c>
      <c r="H7" s="29"/>
    </row>
    <row r="8" spans="2:9" ht="15.75" customHeight="1" x14ac:dyDescent="0.2">
      <c r="B8" s="25" t="s">
        <v>128</v>
      </c>
      <c r="C8" s="25" t="s">
        <v>129</v>
      </c>
      <c r="D8" s="25" t="s">
        <v>130</v>
      </c>
      <c r="E8" s="26">
        <v>626669</v>
      </c>
      <c r="F8" s="27">
        <v>6593.81</v>
      </c>
      <c r="G8" s="28">
        <v>7.3300000000000004E-2</v>
      </c>
      <c r="H8" s="29"/>
    </row>
    <row r="9" spans="2:9" ht="15.75" customHeight="1" x14ac:dyDescent="0.2">
      <c r="B9" s="25" t="s">
        <v>136</v>
      </c>
      <c r="C9" s="25" t="s">
        <v>137</v>
      </c>
      <c r="D9" s="25" t="s">
        <v>138</v>
      </c>
      <c r="E9" s="26">
        <v>205551</v>
      </c>
      <c r="F9" s="27">
        <v>6005.38</v>
      </c>
      <c r="G9" s="28">
        <v>6.6699999999999995E-2</v>
      </c>
      <c r="H9" s="29"/>
    </row>
    <row r="10" spans="2:9" ht="15.75" customHeight="1" x14ac:dyDescent="0.2">
      <c r="B10" s="25" t="s">
        <v>266</v>
      </c>
      <c r="C10" s="25" t="s">
        <v>267</v>
      </c>
      <c r="D10" s="25" t="s">
        <v>130</v>
      </c>
      <c r="E10" s="26">
        <v>643575</v>
      </c>
      <c r="F10" s="27">
        <v>4814.58</v>
      </c>
      <c r="G10" s="28">
        <v>5.3499999999999999E-2</v>
      </c>
      <c r="H10" s="29"/>
    </row>
    <row r="11" spans="2:9" ht="15.75" customHeight="1" x14ac:dyDescent="0.2">
      <c r="B11" s="25" t="s">
        <v>131</v>
      </c>
      <c r="C11" s="25" t="s">
        <v>132</v>
      </c>
      <c r="D11" s="25" t="s">
        <v>133</v>
      </c>
      <c r="E11" s="26">
        <v>212428</v>
      </c>
      <c r="F11" s="27">
        <v>3555.83</v>
      </c>
      <c r="G11" s="28">
        <v>3.95E-2</v>
      </c>
      <c r="H11" s="29"/>
    </row>
    <row r="12" spans="2:9" ht="15.75" customHeight="1" x14ac:dyDescent="0.2">
      <c r="B12" s="25" t="s">
        <v>210</v>
      </c>
      <c r="C12" s="25" t="s">
        <v>211</v>
      </c>
      <c r="D12" s="25" t="s">
        <v>141</v>
      </c>
      <c r="E12" s="26">
        <v>837182</v>
      </c>
      <c r="F12" s="27">
        <v>3401.47</v>
      </c>
      <c r="G12" s="28">
        <v>3.78E-2</v>
      </c>
      <c r="H12" s="29"/>
    </row>
    <row r="13" spans="2:9" ht="15.75" customHeight="1" x14ac:dyDescent="0.2">
      <c r="B13" s="25" t="s">
        <v>199</v>
      </c>
      <c r="C13" s="25" t="s">
        <v>200</v>
      </c>
      <c r="D13" s="25" t="s">
        <v>133</v>
      </c>
      <c r="E13" s="26">
        <v>81079</v>
      </c>
      <c r="F13" s="27">
        <v>3320.27</v>
      </c>
      <c r="G13" s="28">
        <v>3.6900000000000002E-2</v>
      </c>
      <c r="H13" s="29"/>
    </row>
    <row r="14" spans="2:9" ht="15.75" customHeight="1" x14ac:dyDescent="0.2">
      <c r="B14" s="25" t="s">
        <v>142</v>
      </c>
      <c r="C14" s="25" t="s">
        <v>143</v>
      </c>
      <c r="D14" s="25" t="s">
        <v>144</v>
      </c>
      <c r="E14" s="26">
        <v>158647</v>
      </c>
      <c r="F14" s="27">
        <v>3065.69</v>
      </c>
      <c r="G14" s="28">
        <v>3.4099999999999998E-2</v>
      </c>
      <c r="H14" s="29"/>
    </row>
    <row r="15" spans="2:9" ht="15.75" customHeight="1" x14ac:dyDescent="0.2">
      <c r="B15" s="25" t="s">
        <v>139</v>
      </c>
      <c r="C15" s="25" t="s">
        <v>140</v>
      </c>
      <c r="D15" s="25" t="s">
        <v>141</v>
      </c>
      <c r="E15" s="26">
        <v>107481</v>
      </c>
      <c r="F15" s="27">
        <v>2592.7600000000002</v>
      </c>
      <c r="G15" s="28">
        <v>2.8799999999999999E-2</v>
      </c>
      <c r="H15" s="29"/>
    </row>
    <row r="16" spans="2:9" ht="15.75" customHeight="1" x14ac:dyDescent="0.2">
      <c r="B16" s="25" t="s">
        <v>214</v>
      </c>
      <c r="C16" s="25" t="s">
        <v>215</v>
      </c>
      <c r="D16" s="25" t="s">
        <v>130</v>
      </c>
      <c r="E16" s="26">
        <v>125198</v>
      </c>
      <c r="F16" s="27">
        <v>2115.16</v>
      </c>
      <c r="G16" s="28">
        <v>2.35E-2</v>
      </c>
      <c r="H16" s="29"/>
    </row>
    <row r="17" spans="2:8" ht="15.75" customHeight="1" x14ac:dyDescent="0.2">
      <c r="B17" s="25" t="s">
        <v>177</v>
      </c>
      <c r="C17" s="25" t="s">
        <v>178</v>
      </c>
      <c r="D17" s="25" t="s">
        <v>179</v>
      </c>
      <c r="E17" s="26">
        <v>29452</v>
      </c>
      <c r="F17" s="27">
        <v>1913.01</v>
      </c>
      <c r="G17" s="28">
        <v>2.1299999999999999E-2</v>
      </c>
      <c r="H17" s="29"/>
    </row>
    <row r="18" spans="2:8" ht="15.75" customHeight="1" x14ac:dyDescent="0.2">
      <c r="B18" s="25" t="s">
        <v>268</v>
      </c>
      <c r="C18" s="25" t="s">
        <v>269</v>
      </c>
      <c r="D18" s="25" t="s">
        <v>130</v>
      </c>
      <c r="E18" s="26">
        <v>175849</v>
      </c>
      <c r="F18" s="27">
        <v>1890.55</v>
      </c>
      <c r="G18" s="28">
        <v>2.1000000000000001E-2</v>
      </c>
      <c r="H18" s="29"/>
    </row>
    <row r="19" spans="2:8" ht="15.75" customHeight="1" x14ac:dyDescent="0.2">
      <c r="B19" s="25" t="s">
        <v>270</v>
      </c>
      <c r="C19" s="25" t="s">
        <v>271</v>
      </c>
      <c r="D19" s="25" t="s">
        <v>133</v>
      </c>
      <c r="E19" s="26">
        <v>99947</v>
      </c>
      <c r="F19" s="27">
        <v>1662.97</v>
      </c>
      <c r="G19" s="28">
        <v>1.8499999999999999E-2</v>
      </c>
      <c r="H19" s="29"/>
    </row>
    <row r="20" spans="2:8" ht="15.75" customHeight="1" x14ac:dyDescent="0.2">
      <c r="B20" s="25" t="s">
        <v>272</v>
      </c>
      <c r="C20" s="25" t="s">
        <v>273</v>
      </c>
      <c r="D20" s="25" t="s">
        <v>185</v>
      </c>
      <c r="E20" s="26">
        <v>81100</v>
      </c>
      <c r="F20" s="27">
        <v>1279.72</v>
      </c>
      <c r="G20" s="28">
        <v>1.4200000000000001E-2</v>
      </c>
      <c r="H20" s="29"/>
    </row>
    <row r="21" spans="2:8" ht="15.75" customHeight="1" x14ac:dyDescent="0.2">
      <c r="B21" s="25" t="s">
        <v>274</v>
      </c>
      <c r="C21" s="25" t="s">
        <v>275</v>
      </c>
      <c r="D21" s="25" t="s">
        <v>144</v>
      </c>
      <c r="E21" s="26">
        <v>6050</v>
      </c>
      <c r="F21" s="27">
        <v>682.95</v>
      </c>
      <c r="G21" s="28">
        <v>7.6E-3</v>
      </c>
      <c r="H21" s="29"/>
    </row>
    <row r="22" spans="2:8" ht="15.75" customHeight="1" x14ac:dyDescent="0.2">
      <c r="B22" s="25" t="s">
        <v>276</v>
      </c>
      <c r="C22" s="25" t="s">
        <v>277</v>
      </c>
      <c r="D22" s="25" t="s">
        <v>230</v>
      </c>
      <c r="E22" s="26">
        <v>203406</v>
      </c>
      <c r="F22" s="27">
        <v>682.63</v>
      </c>
      <c r="G22" s="28">
        <v>7.6E-3</v>
      </c>
      <c r="H22" s="29"/>
    </row>
    <row r="23" spans="2:8" ht="15.75" customHeight="1" x14ac:dyDescent="0.2">
      <c r="B23" s="25" t="s">
        <v>278</v>
      </c>
      <c r="C23" s="25" t="s">
        <v>279</v>
      </c>
      <c r="D23" s="25" t="s">
        <v>222</v>
      </c>
      <c r="E23" s="26">
        <v>26304</v>
      </c>
      <c r="F23" s="27">
        <v>628.57000000000005</v>
      </c>
      <c r="G23" s="28">
        <v>7.0000000000000001E-3</v>
      </c>
      <c r="H23" s="29"/>
    </row>
    <row r="24" spans="2:8" ht="15.75" customHeight="1" x14ac:dyDescent="0.2">
      <c r="B24" s="25" t="s">
        <v>280</v>
      </c>
      <c r="C24" s="25" t="s">
        <v>281</v>
      </c>
      <c r="D24" s="25" t="s">
        <v>282</v>
      </c>
      <c r="E24" s="26">
        <v>77789</v>
      </c>
      <c r="F24" s="27">
        <v>452.73</v>
      </c>
      <c r="G24" s="28">
        <v>5.0000000000000001E-3</v>
      </c>
      <c r="H24" s="29"/>
    </row>
    <row r="25" spans="2:8" ht="15.75" customHeight="1" x14ac:dyDescent="0.2">
      <c r="B25" s="25" t="s">
        <v>253</v>
      </c>
      <c r="C25" s="25" t="s">
        <v>254</v>
      </c>
      <c r="D25" s="25" t="s">
        <v>130</v>
      </c>
      <c r="E25" s="26">
        <v>30105</v>
      </c>
      <c r="F25" s="27">
        <v>444.02</v>
      </c>
      <c r="G25" s="28">
        <v>4.8999999999999998E-3</v>
      </c>
      <c r="H25" s="29"/>
    </row>
    <row r="26" spans="2:8" ht="15.75" customHeight="1" x14ac:dyDescent="0.2">
      <c r="B26" s="25" t="s">
        <v>283</v>
      </c>
      <c r="C26" s="25" t="s">
        <v>284</v>
      </c>
      <c r="D26" s="25" t="s">
        <v>285</v>
      </c>
      <c r="E26" s="26">
        <v>20129</v>
      </c>
      <c r="F26" s="27">
        <v>441.11</v>
      </c>
      <c r="G26" s="28">
        <v>4.8999999999999998E-3</v>
      </c>
      <c r="H26" s="29"/>
    </row>
    <row r="27" spans="2:8" ht="15.75" customHeight="1" x14ac:dyDescent="0.2">
      <c r="B27" s="25" t="s">
        <v>286</v>
      </c>
      <c r="C27" s="25" t="s">
        <v>287</v>
      </c>
      <c r="D27" s="25" t="s">
        <v>130</v>
      </c>
      <c r="E27" s="26">
        <v>331000</v>
      </c>
      <c r="F27" s="27">
        <v>435.1</v>
      </c>
      <c r="G27" s="28">
        <v>4.7999999999999996E-3</v>
      </c>
      <c r="H27" s="29"/>
    </row>
    <row r="28" spans="2:8" ht="15.75" customHeight="1" x14ac:dyDescent="0.2">
      <c r="B28" s="25" t="s">
        <v>255</v>
      </c>
      <c r="C28" s="25" t="s">
        <v>256</v>
      </c>
      <c r="D28" s="25" t="s">
        <v>179</v>
      </c>
      <c r="E28" s="26">
        <v>47352</v>
      </c>
      <c r="F28" s="27">
        <v>433.15</v>
      </c>
      <c r="G28" s="28">
        <v>4.7999999999999996E-3</v>
      </c>
      <c r="H28" s="29"/>
    </row>
    <row r="29" spans="2:8" ht="15.75" customHeight="1" x14ac:dyDescent="0.2">
      <c r="B29" s="25" t="s">
        <v>288</v>
      </c>
      <c r="C29" s="25" t="s">
        <v>289</v>
      </c>
      <c r="D29" s="25" t="s">
        <v>203</v>
      </c>
      <c r="E29" s="26">
        <v>60802</v>
      </c>
      <c r="F29" s="27">
        <v>429.29</v>
      </c>
      <c r="G29" s="28">
        <v>4.7999999999999996E-3</v>
      </c>
      <c r="H29" s="29"/>
    </row>
    <row r="30" spans="2:8" ht="15.75" customHeight="1" x14ac:dyDescent="0.2">
      <c r="B30" s="25" t="s">
        <v>290</v>
      </c>
      <c r="C30" s="25" t="s">
        <v>291</v>
      </c>
      <c r="D30" s="25" t="s">
        <v>179</v>
      </c>
      <c r="E30" s="26">
        <v>150488</v>
      </c>
      <c r="F30" s="27">
        <v>426.48</v>
      </c>
      <c r="G30" s="28">
        <v>4.7000000000000002E-3</v>
      </c>
      <c r="H30" s="29"/>
    </row>
    <row r="31" spans="2:8" ht="15.75" customHeight="1" x14ac:dyDescent="0.2">
      <c r="B31" s="25" t="s">
        <v>292</v>
      </c>
      <c r="C31" s="25" t="s">
        <v>293</v>
      </c>
      <c r="D31" s="25" t="s">
        <v>294</v>
      </c>
      <c r="E31" s="26">
        <v>214525</v>
      </c>
      <c r="F31" s="27">
        <v>408.35</v>
      </c>
      <c r="G31" s="28">
        <v>4.4999999999999997E-3</v>
      </c>
      <c r="H31" s="29"/>
    </row>
    <row r="32" spans="2:8" ht="15.75" customHeight="1" x14ac:dyDescent="0.2">
      <c r="B32" s="25" t="s">
        <v>247</v>
      </c>
      <c r="C32" s="25" t="s">
        <v>248</v>
      </c>
      <c r="D32" s="25" t="s">
        <v>237</v>
      </c>
      <c r="E32" s="26">
        <v>325571</v>
      </c>
      <c r="F32" s="27">
        <v>388.08</v>
      </c>
      <c r="G32" s="28">
        <v>4.3E-3</v>
      </c>
      <c r="H32" s="29"/>
    </row>
    <row r="33" spans="2:8" ht="15.75" customHeight="1" x14ac:dyDescent="0.2">
      <c r="B33" s="25" t="s">
        <v>295</v>
      </c>
      <c r="C33" s="25" t="s">
        <v>296</v>
      </c>
      <c r="D33" s="25" t="s">
        <v>179</v>
      </c>
      <c r="E33" s="26">
        <v>95255</v>
      </c>
      <c r="F33" s="27">
        <v>381.69</v>
      </c>
      <c r="G33" s="28">
        <v>4.1999999999999997E-3</v>
      </c>
      <c r="H33" s="29"/>
    </row>
    <row r="34" spans="2:8" ht="15.75" customHeight="1" x14ac:dyDescent="0.2">
      <c r="B34" s="25" t="s">
        <v>297</v>
      </c>
      <c r="C34" s="25" t="s">
        <v>298</v>
      </c>
      <c r="D34" s="25" t="s">
        <v>240</v>
      </c>
      <c r="E34" s="26">
        <v>28031</v>
      </c>
      <c r="F34" s="27">
        <v>376.81</v>
      </c>
      <c r="G34" s="28">
        <v>4.1999999999999997E-3</v>
      </c>
      <c r="H34" s="29"/>
    </row>
    <row r="35" spans="2:8" ht="15.75" customHeight="1" x14ac:dyDescent="0.2">
      <c r="B35" s="25" t="s">
        <v>243</v>
      </c>
      <c r="C35" s="25" t="s">
        <v>244</v>
      </c>
      <c r="D35" s="25" t="s">
        <v>133</v>
      </c>
      <c r="E35" s="26">
        <v>28060</v>
      </c>
      <c r="F35" s="27">
        <v>357.44</v>
      </c>
      <c r="G35" s="28">
        <v>4.0000000000000001E-3</v>
      </c>
      <c r="H35" s="29"/>
    </row>
    <row r="36" spans="2:8" ht="15.75" customHeight="1" x14ac:dyDescent="0.2">
      <c r="B36" s="25" t="s">
        <v>299</v>
      </c>
      <c r="C36" s="25" t="s">
        <v>300</v>
      </c>
      <c r="D36" s="25" t="s">
        <v>282</v>
      </c>
      <c r="E36" s="26">
        <v>22877</v>
      </c>
      <c r="F36" s="27">
        <v>355.18</v>
      </c>
      <c r="G36" s="28">
        <v>3.8999999999999998E-3</v>
      </c>
      <c r="H36" s="29"/>
    </row>
    <row r="37" spans="2:8" ht="15.75" customHeight="1" x14ac:dyDescent="0.2">
      <c r="B37" s="25" t="s">
        <v>301</v>
      </c>
      <c r="C37" s="25" t="s">
        <v>302</v>
      </c>
      <c r="D37" s="25" t="s">
        <v>185</v>
      </c>
      <c r="E37" s="26">
        <v>13198</v>
      </c>
      <c r="F37" s="27">
        <v>351.87</v>
      </c>
      <c r="G37" s="28">
        <v>3.8999999999999998E-3</v>
      </c>
      <c r="H37" s="29"/>
    </row>
    <row r="38" spans="2:8" ht="15.75" customHeight="1" x14ac:dyDescent="0.2">
      <c r="B38" s="25" t="s">
        <v>303</v>
      </c>
      <c r="C38" s="25" t="s">
        <v>304</v>
      </c>
      <c r="D38" s="25" t="s">
        <v>185</v>
      </c>
      <c r="E38" s="26">
        <v>15982</v>
      </c>
      <c r="F38" s="27">
        <v>341.31</v>
      </c>
      <c r="G38" s="28">
        <v>3.8E-3</v>
      </c>
      <c r="H38" s="29"/>
    </row>
    <row r="39" spans="2:8" ht="15.75" customHeight="1" x14ac:dyDescent="0.2">
      <c r="B39" s="25" t="s">
        <v>305</v>
      </c>
      <c r="C39" s="25" t="s">
        <v>306</v>
      </c>
      <c r="D39" s="25" t="s">
        <v>206</v>
      </c>
      <c r="E39" s="26">
        <v>113047</v>
      </c>
      <c r="F39" s="27">
        <v>328.97</v>
      </c>
      <c r="G39" s="28">
        <v>3.7000000000000002E-3</v>
      </c>
      <c r="H39" s="29"/>
    </row>
    <row r="40" spans="2:8" ht="15.75" customHeight="1" x14ac:dyDescent="0.2">
      <c r="B40" s="25" t="s">
        <v>223</v>
      </c>
      <c r="C40" s="25" t="s">
        <v>224</v>
      </c>
      <c r="D40" s="25" t="s">
        <v>225</v>
      </c>
      <c r="E40" s="26">
        <v>25710</v>
      </c>
      <c r="F40" s="27">
        <v>323.35000000000002</v>
      </c>
      <c r="G40" s="28">
        <v>3.5999999999999999E-3</v>
      </c>
      <c r="H40" s="29"/>
    </row>
    <row r="41" spans="2:8" ht="15.75" customHeight="1" x14ac:dyDescent="0.2">
      <c r="B41" s="25" t="s">
        <v>307</v>
      </c>
      <c r="C41" s="25" t="s">
        <v>308</v>
      </c>
      <c r="D41" s="25" t="s">
        <v>309</v>
      </c>
      <c r="E41" s="26">
        <v>19539</v>
      </c>
      <c r="F41" s="27">
        <v>302.38</v>
      </c>
      <c r="G41" s="28">
        <v>3.3999999999999998E-3</v>
      </c>
      <c r="H41" s="29"/>
    </row>
    <row r="42" spans="2:8" ht="15.75" customHeight="1" x14ac:dyDescent="0.2">
      <c r="B42" s="25" t="s">
        <v>310</v>
      </c>
      <c r="C42" s="25" t="s">
        <v>311</v>
      </c>
      <c r="D42" s="25" t="s">
        <v>144</v>
      </c>
      <c r="E42" s="26">
        <v>6554</v>
      </c>
      <c r="F42" s="27">
        <v>290.11</v>
      </c>
      <c r="G42" s="28">
        <v>3.2000000000000002E-3</v>
      </c>
      <c r="H42" s="29"/>
    </row>
    <row r="43" spans="2:8" ht="15.75" customHeight="1" x14ac:dyDescent="0.2">
      <c r="B43" s="25" t="s">
        <v>186</v>
      </c>
      <c r="C43" s="25" t="s">
        <v>187</v>
      </c>
      <c r="D43" s="25" t="s">
        <v>188</v>
      </c>
      <c r="E43" s="26">
        <v>137453</v>
      </c>
      <c r="F43" s="27">
        <v>281.92</v>
      </c>
      <c r="G43" s="28">
        <v>3.0999999999999999E-3</v>
      </c>
      <c r="H43" s="29"/>
    </row>
    <row r="44" spans="2:8" ht="15.75" customHeight="1" x14ac:dyDescent="0.2">
      <c r="B44" s="25" t="s">
        <v>312</v>
      </c>
      <c r="C44" s="25" t="s">
        <v>313</v>
      </c>
      <c r="D44" s="25" t="s">
        <v>282</v>
      </c>
      <c r="E44" s="26">
        <v>48123</v>
      </c>
      <c r="F44" s="27">
        <v>256.33</v>
      </c>
      <c r="G44" s="28">
        <v>2.8E-3</v>
      </c>
      <c r="H44" s="29"/>
    </row>
    <row r="45" spans="2:8" ht="15.75" customHeight="1" x14ac:dyDescent="0.2">
      <c r="B45" s="25" t="s">
        <v>314</v>
      </c>
      <c r="C45" s="25" t="s">
        <v>315</v>
      </c>
      <c r="D45" s="25" t="s">
        <v>130</v>
      </c>
      <c r="E45" s="26">
        <v>310602</v>
      </c>
      <c r="F45" s="27">
        <v>251.74</v>
      </c>
      <c r="G45" s="28">
        <v>2.8E-3</v>
      </c>
      <c r="H45" s="29"/>
    </row>
    <row r="46" spans="2:8" ht="15.75" customHeight="1" x14ac:dyDescent="0.2">
      <c r="B46" s="25" t="s">
        <v>316</v>
      </c>
      <c r="C46" s="25" t="s">
        <v>317</v>
      </c>
      <c r="D46" s="25" t="s">
        <v>185</v>
      </c>
      <c r="E46" s="26">
        <v>189265</v>
      </c>
      <c r="F46" s="27">
        <v>249.64</v>
      </c>
      <c r="G46" s="28">
        <v>2.8E-3</v>
      </c>
      <c r="H46" s="29"/>
    </row>
    <row r="47" spans="2:8" ht="15.75" customHeight="1" x14ac:dyDescent="0.2">
      <c r="B47" s="25" t="s">
        <v>318</v>
      </c>
      <c r="C47" s="25" t="s">
        <v>319</v>
      </c>
      <c r="D47" s="25" t="s">
        <v>320</v>
      </c>
      <c r="E47" s="26">
        <v>6596</v>
      </c>
      <c r="F47" s="27">
        <v>242.25</v>
      </c>
      <c r="G47" s="28">
        <v>2.7000000000000001E-3</v>
      </c>
      <c r="H47" s="29"/>
    </row>
    <row r="48" spans="2:8" ht="15.75" customHeight="1" x14ac:dyDescent="0.2">
      <c r="B48" s="25" t="s">
        <v>321</v>
      </c>
      <c r="C48" s="25" t="s">
        <v>322</v>
      </c>
      <c r="D48" s="25" t="s">
        <v>209</v>
      </c>
      <c r="E48" s="26">
        <v>48207</v>
      </c>
      <c r="F48" s="27">
        <v>220.55</v>
      </c>
      <c r="G48" s="28">
        <v>2.5000000000000001E-3</v>
      </c>
      <c r="H48" s="29"/>
    </row>
    <row r="49" spans="2:8" ht="15.75" customHeight="1" x14ac:dyDescent="0.2">
      <c r="B49" s="25" t="s">
        <v>323</v>
      </c>
      <c r="C49" s="25" t="s">
        <v>324</v>
      </c>
      <c r="D49" s="25" t="s">
        <v>130</v>
      </c>
      <c r="E49" s="26">
        <v>161095</v>
      </c>
      <c r="F49" s="27">
        <v>217.72</v>
      </c>
      <c r="G49" s="28">
        <v>2.3999999999999998E-3</v>
      </c>
      <c r="H49" s="29"/>
    </row>
    <row r="50" spans="2:8" ht="15.75" customHeight="1" x14ac:dyDescent="0.2">
      <c r="B50" s="25" t="s">
        <v>325</v>
      </c>
      <c r="C50" s="25" t="s">
        <v>326</v>
      </c>
      <c r="D50" s="25" t="s">
        <v>240</v>
      </c>
      <c r="E50" s="26">
        <v>16302</v>
      </c>
      <c r="F50" s="27">
        <v>189.96</v>
      </c>
      <c r="G50" s="28">
        <v>2.0999999999999999E-3</v>
      </c>
      <c r="H50" s="29"/>
    </row>
    <row r="51" spans="2:8" ht="15.75" customHeight="1" x14ac:dyDescent="0.2">
      <c r="B51" s="25" t="s">
        <v>327</v>
      </c>
      <c r="C51" s="25" t="s">
        <v>328</v>
      </c>
      <c r="D51" s="25" t="s">
        <v>179</v>
      </c>
      <c r="E51" s="26">
        <v>13389</v>
      </c>
      <c r="F51" s="27">
        <v>174.56</v>
      </c>
      <c r="G51" s="28">
        <v>1.9E-3</v>
      </c>
      <c r="H51" s="29"/>
    </row>
    <row r="52" spans="2:8" ht="15.75" customHeight="1" x14ac:dyDescent="0.2">
      <c r="B52" s="25" t="s">
        <v>329</v>
      </c>
      <c r="C52" s="25" t="s">
        <v>330</v>
      </c>
      <c r="D52" s="25" t="s">
        <v>138</v>
      </c>
      <c r="E52" s="26">
        <v>25743</v>
      </c>
      <c r="F52" s="27">
        <v>155.44999999999999</v>
      </c>
      <c r="G52" s="28">
        <v>1.6999999999999999E-3</v>
      </c>
      <c r="H52" s="29"/>
    </row>
    <row r="53" spans="2:8" ht="15.75" customHeight="1" x14ac:dyDescent="0.2">
      <c r="B53" s="25" t="s">
        <v>331</v>
      </c>
      <c r="C53" s="25" t="s">
        <v>332</v>
      </c>
      <c r="D53" s="25" t="s">
        <v>333</v>
      </c>
      <c r="E53" s="26">
        <v>13356</v>
      </c>
      <c r="F53" s="27">
        <v>147.47999999999999</v>
      </c>
      <c r="G53" s="28">
        <v>1.6000000000000001E-3</v>
      </c>
      <c r="H53" s="29"/>
    </row>
    <row r="54" spans="2:8" ht="15.75" customHeight="1" x14ac:dyDescent="0.2">
      <c r="B54" s="25" t="s">
        <v>194</v>
      </c>
      <c r="C54" s="25" t="s">
        <v>195</v>
      </c>
      <c r="D54" s="25" t="s">
        <v>196</v>
      </c>
      <c r="E54" s="26">
        <v>18030</v>
      </c>
      <c r="F54" s="27">
        <v>90.84</v>
      </c>
      <c r="G54" s="28">
        <v>1E-3</v>
      </c>
      <c r="H54" s="29"/>
    </row>
    <row r="55" spans="2:8" ht="15.75" customHeight="1" x14ac:dyDescent="0.2">
      <c r="B55" s="25" t="s">
        <v>334</v>
      </c>
      <c r="C55" s="25" t="s">
        <v>335</v>
      </c>
      <c r="D55" s="25" t="s">
        <v>185</v>
      </c>
      <c r="E55" s="26">
        <v>1117</v>
      </c>
      <c r="F55" s="27">
        <v>57.27</v>
      </c>
      <c r="G55" s="28">
        <v>5.9999999999999995E-4</v>
      </c>
      <c r="H55" s="29"/>
    </row>
    <row r="56" spans="2:8" ht="15.75" customHeight="1" x14ac:dyDescent="0.2">
      <c r="B56" s="25" t="s">
        <v>336</v>
      </c>
      <c r="C56" s="25" t="s">
        <v>337</v>
      </c>
      <c r="D56" s="25" t="s">
        <v>185</v>
      </c>
      <c r="E56" s="26">
        <v>3508</v>
      </c>
      <c r="F56" s="27">
        <v>51.93</v>
      </c>
      <c r="G56" s="28">
        <v>5.9999999999999995E-4</v>
      </c>
      <c r="H56" s="29"/>
    </row>
    <row r="57" spans="2:8" ht="15.75" customHeight="1" x14ac:dyDescent="0.2">
      <c r="B57" s="25" t="s">
        <v>338</v>
      </c>
      <c r="C57" s="25" t="s">
        <v>339</v>
      </c>
      <c r="D57" s="25" t="s">
        <v>130</v>
      </c>
      <c r="E57" s="26">
        <v>18692</v>
      </c>
      <c r="F57" s="27">
        <v>27.35</v>
      </c>
      <c r="G57" s="28">
        <v>2.9999999999999997E-4</v>
      </c>
      <c r="H57" s="29"/>
    </row>
    <row r="58" spans="2:8" ht="15.75" customHeight="1" x14ac:dyDescent="0.2">
      <c r="B58" s="25" t="s">
        <v>340</v>
      </c>
      <c r="C58" s="25" t="s">
        <v>341</v>
      </c>
      <c r="D58" s="25" t="s">
        <v>285</v>
      </c>
      <c r="E58" s="26">
        <v>594</v>
      </c>
      <c r="F58" s="27">
        <v>5.65</v>
      </c>
      <c r="G58" s="28">
        <v>1E-4</v>
      </c>
      <c r="H58" s="29"/>
    </row>
    <row r="59" spans="2:8" ht="15.75" customHeight="1" x14ac:dyDescent="0.2">
      <c r="B59" s="24" t="s">
        <v>98</v>
      </c>
      <c r="C59" s="24"/>
      <c r="D59" s="24"/>
      <c r="E59" s="30"/>
      <c r="F59" s="31">
        <v>61062.33</v>
      </c>
      <c r="G59" s="32">
        <v>0.67849999999999999</v>
      </c>
      <c r="H59" s="33"/>
    </row>
    <row r="60" spans="2:8" ht="15.75" customHeight="1" x14ac:dyDescent="0.2">
      <c r="B60" s="24" t="s">
        <v>150</v>
      </c>
      <c r="C60" s="25"/>
      <c r="D60" s="25"/>
      <c r="E60" s="26"/>
      <c r="F60" s="27"/>
      <c r="G60" s="28"/>
      <c r="H60" s="29"/>
    </row>
    <row r="61" spans="2:8" ht="15.75" customHeight="1" x14ac:dyDescent="0.2">
      <c r="B61" s="24" t="s">
        <v>98</v>
      </c>
      <c r="C61" s="25"/>
      <c r="D61" s="25"/>
      <c r="E61" s="26"/>
      <c r="F61" s="34" t="s">
        <v>100</v>
      </c>
      <c r="G61" s="35" t="s">
        <v>100</v>
      </c>
      <c r="H61" s="29"/>
    </row>
    <row r="62" spans="2:8" ht="15.75" customHeight="1" x14ac:dyDescent="0.2">
      <c r="B62" s="25"/>
      <c r="C62" s="25"/>
      <c r="D62" s="25"/>
      <c r="E62" s="26"/>
      <c r="F62" s="27"/>
      <c r="G62" s="28"/>
      <c r="H62" s="29"/>
    </row>
    <row r="63" spans="2:8" ht="15.75" customHeight="1" x14ac:dyDescent="0.2">
      <c r="B63" s="36" t="s">
        <v>102</v>
      </c>
      <c r="C63" s="36"/>
      <c r="D63" s="36"/>
      <c r="E63" s="37"/>
      <c r="F63" s="31">
        <v>61062.33</v>
      </c>
      <c r="G63" s="32">
        <v>0.67849999999999999</v>
      </c>
      <c r="H63" s="33"/>
    </row>
    <row r="64" spans="2:8" ht="15.75" customHeight="1" x14ac:dyDescent="0.2">
      <c r="B64" s="25"/>
      <c r="C64" s="25"/>
      <c r="D64" s="25"/>
      <c r="E64" s="26"/>
      <c r="F64" s="27"/>
      <c r="G64" s="28"/>
      <c r="H64" s="29"/>
    </row>
    <row r="65" spans="2:16" ht="15.75" customHeight="1" x14ac:dyDescent="0.2">
      <c r="B65" s="24" t="s">
        <v>86</v>
      </c>
      <c r="C65" s="25"/>
      <c r="D65" s="25"/>
      <c r="E65" s="26"/>
      <c r="F65" s="27"/>
      <c r="G65" s="28"/>
      <c r="H65" s="29"/>
    </row>
    <row r="66" spans="2:16" ht="15.75" customHeight="1" x14ac:dyDescent="0.2">
      <c r="B66" s="24" t="s">
        <v>87</v>
      </c>
      <c r="C66" s="25"/>
      <c r="D66" s="25"/>
      <c r="E66" s="26"/>
      <c r="F66" s="27"/>
      <c r="G66" s="28"/>
      <c r="H66" s="29"/>
    </row>
    <row r="67" spans="2:16" ht="15.75" customHeight="1" x14ac:dyDescent="0.2">
      <c r="B67" s="25" t="s">
        <v>92</v>
      </c>
      <c r="C67" s="25" t="s">
        <v>93</v>
      </c>
      <c r="D67" s="25" t="s">
        <v>89</v>
      </c>
      <c r="E67" s="26">
        <v>7500000</v>
      </c>
      <c r="F67" s="27">
        <v>7582.95</v>
      </c>
      <c r="G67" s="28">
        <v>8.43E-2</v>
      </c>
      <c r="H67" s="29">
        <v>7.2388999999999995E-2</v>
      </c>
    </row>
    <row r="68" spans="2:16" ht="15.75" customHeight="1" x14ac:dyDescent="0.2">
      <c r="B68" s="25" t="s">
        <v>94</v>
      </c>
      <c r="C68" s="25" t="s">
        <v>95</v>
      </c>
      <c r="D68" s="25" t="s">
        <v>96</v>
      </c>
      <c r="E68" s="26">
        <v>250</v>
      </c>
      <c r="F68" s="27">
        <v>2651.87</v>
      </c>
      <c r="G68" s="28">
        <v>2.9499999999999998E-2</v>
      </c>
      <c r="H68" s="29">
        <v>7.7700000000000005E-2</v>
      </c>
      <c r="L68" s="3"/>
    </row>
    <row r="69" spans="2:16" ht="15.75" customHeight="1" x14ac:dyDescent="0.2">
      <c r="B69" s="25" t="s">
        <v>90</v>
      </c>
      <c r="C69" s="25" t="s">
        <v>91</v>
      </c>
      <c r="D69" s="25" t="s">
        <v>89</v>
      </c>
      <c r="E69" s="26">
        <v>2500000</v>
      </c>
      <c r="F69" s="27">
        <v>2607.9</v>
      </c>
      <c r="G69" s="28">
        <v>2.9000000000000001E-2</v>
      </c>
      <c r="H69" s="29">
        <v>7.5675999999999993E-2</v>
      </c>
    </row>
    <row r="70" spans="2:16" ht="15.75" customHeight="1" x14ac:dyDescent="0.2">
      <c r="B70" s="25" t="s">
        <v>342</v>
      </c>
      <c r="C70" s="25" t="s">
        <v>343</v>
      </c>
      <c r="D70" s="25" t="s">
        <v>89</v>
      </c>
      <c r="E70" s="26">
        <v>2511400</v>
      </c>
      <c r="F70" s="27">
        <v>2601.4699999999998</v>
      </c>
      <c r="G70" s="28">
        <v>2.8899999999999999E-2</v>
      </c>
      <c r="H70" s="29">
        <v>7.5561000000000003E-2</v>
      </c>
      <c r="L70" s="3"/>
    </row>
    <row r="71" spans="2:16" ht="15.75" customHeight="1" x14ac:dyDescent="0.2">
      <c r="B71" s="25" t="s">
        <v>344</v>
      </c>
      <c r="C71" s="25" t="s">
        <v>345</v>
      </c>
      <c r="D71" s="25" t="s">
        <v>89</v>
      </c>
      <c r="E71" s="26">
        <v>2500000</v>
      </c>
      <c r="F71" s="27">
        <v>2582.11</v>
      </c>
      <c r="G71" s="28">
        <v>2.87E-2</v>
      </c>
      <c r="H71" s="29">
        <v>7.5223999999999999E-2</v>
      </c>
      <c r="L71" s="3"/>
    </row>
    <row r="72" spans="2:16" ht="15.75" customHeight="1" x14ac:dyDescent="0.2">
      <c r="B72" s="25" t="s">
        <v>342</v>
      </c>
      <c r="C72" s="25" t="s">
        <v>346</v>
      </c>
      <c r="D72" s="25" t="s">
        <v>89</v>
      </c>
      <c r="E72" s="26">
        <v>1082000</v>
      </c>
      <c r="F72" s="27">
        <v>1118.26</v>
      </c>
      <c r="G72" s="28">
        <v>1.24E-2</v>
      </c>
      <c r="H72" s="29">
        <v>7.5453999999999993E-2</v>
      </c>
      <c r="L72" s="3"/>
    </row>
    <row r="73" spans="2:16" ht="15.75" customHeight="1" x14ac:dyDescent="0.2">
      <c r="B73" s="25" t="s">
        <v>347</v>
      </c>
      <c r="C73" s="25" t="s">
        <v>348</v>
      </c>
      <c r="D73" s="25" t="s">
        <v>89</v>
      </c>
      <c r="E73" s="26">
        <v>1000000</v>
      </c>
      <c r="F73" s="27">
        <v>1052.53</v>
      </c>
      <c r="G73" s="28">
        <v>1.17E-2</v>
      </c>
      <c r="H73" s="29">
        <v>7.2687000000000002E-2</v>
      </c>
      <c r="L73" s="3"/>
    </row>
    <row r="74" spans="2:16" ht="15.75" customHeight="1" x14ac:dyDescent="0.2">
      <c r="B74" s="24" t="s">
        <v>98</v>
      </c>
      <c r="C74" s="24"/>
      <c r="D74" s="24"/>
      <c r="E74" s="30"/>
      <c r="F74" s="31">
        <v>20197.09</v>
      </c>
      <c r="G74" s="32">
        <v>0.22450000000000001</v>
      </c>
      <c r="H74" s="33"/>
      <c r="L74" s="3"/>
    </row>
    <row r="75" spans="2:16" ht="15.75" customHeight="1" x14ac:dyDescent="0.2">
      <c r="B75" s="25"/>
      <c r="C75" s="25"/>
      <c r="D75" s="25"/>
      <c r="E75" s="26"/>
      <c r="F75" s="27"/>
      <c r="G75" s="28"/>
      <c r="H75" s="29"/>
      <c r="L75" s="5"/>
      <c r="M75" s="5"/>
      <c r="N75" s="6"/>
      <c r="O75" s="6"/>
      <c r="P75" s="5"/>
    </row>
    <row r="76" spans="2:16" ht="15.75" customHeight="1" x14ac:dyDescent="0.2">
      <c r="B76" s="24" t="s">
        <v>99</v>
      </c>
      <c r="C76" s="25"/>
      <c r="D76" s="25"/>
      <c r="E76" s="26"/>
      <c r="F76" s="27"/>
      <c r="G76" s="28"/>
      <c r="H76" s="29"/>
    </row>
    <row r="77" spans="2:16" ht="15.75" customHeight="1" x14ac:dyDescent="0.2">
      <c r="B77" s="24" t="s">
        <v>98</v>
      </c>
      <c r="C77" s="25"/>
      <c r="D77" s="25"/>
      <c r="E77" s="26"/>
      <c r="F77" s="34" t="s">
        <v>100</v>
      </c>
      <c r="G77" s="35" t="s">
        <v>100</v>
      </c>
      <c r="H77" s="29"/>
    </row>
    <row r="78" spans="2:16" ht="15.75" customHeight="1" x14ac:dyDescent="0.2">
      <c r="B78" s="25"/>
      <c r="C78" s="25"/>
      <c r="D78" s="25"/>
      <c r="E78" s="26"/>
      <c r="F78" s="27"/>
      <c r="G78" s="28"/>
      <c r="H78" s="29"/>
      <c r="L78" s="7"/>
      <c r="M78" s="7"/>
      <c r="N78" s="7"/>
      <c r="O78" s="7"/>
      <c r="P78" s="7"/>
    </row>
    <row r="79" spans="2:16" ht="15.75" customHeight="1" x14ac:dyDescent="0.2">
      <c r="B79" s="24" t="s">
        <v>101</v>
      </c>
      <c r="C79" s="25"/>
      <c r="D79" s="25"/>
      <c r="E79" s="26"/>
      <c r="F79" s="27"/>
      <c r="G79" s="28"/>
      <c r="H79" s="29"/>
      <c r="L79" s="7"/>
      <c r="M79" s="7"/>
      <c r="N79" s="7"/>
      <c r="O79" s="7"/>
      <c r="P79" s="7"/>
    </row>
    <row r="80" spans="2:16" ht="15.75" customHeight="1" x14ac:dyDescent="0.2">
      <c r="B80" s="24" t="s">
        <v>98</v>
      </c>
      <c r="C80" s="25"/>
      <c r="D80" s="25"/>
      <c r="E80" s="26"/>
      <c r="F80" s="34" t="s">
        <v>100</v>
      </c>
      <c r="G80" s="35" t="s">
        <v>100</v>
      </c>
      <c r="H80" s="29"/>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36" t="s">
        <v>102</v>
      </c>
      <c r="C82" s="36"/>
      <c r="D82" s="36"/>
      <c r="E82" s="37"/>
      <c r="F82" s="31">
        <v>20197.09</v>
      </c>
      <c r="G82" s="32">
        <v>0.22439999999999999</v>
      </c>
      <c r="H82" s="33"/>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24" t="s">
        <v>117</v>
      </c>
      <c r="C84" s="25"/>
      <c r="D84" s="25"/>
      <c r="E84" s="26"/>
      <c r="F84" s="27"/>
      <c r="G84" s="28"/>
      <c r="H84" s="29"/>
      <c r="L84" s="7"/>
      <c r="M84" s="7"/>
      <c r="N84" s="7"/>
      <c r="O84" s="7"/>
      <c r="P84" s="7"/>
    </row>
    <row r="85" spans="2:16" ht="15.75" customHeight="1" x14ac:dyDescent="0.2">
      <c r="B85" s="25"/>
      <c r="C85" s="25"/>
      <c r="D85" s="25"/>
      <c r="E85" s="26"/>
      <c r="F85" s="27"/>
      <c r="G85" s="28"/>
      <c r="H85" s="29"/>
    </row>
    <row r="86" spans="2:16" ht="15.75" customHeight="1" x14ac:dyDescent="0.2">
      <c r="B86" s="24" t="s">
        <v>159</v>
      </c>
      <c r="C86" s="25"/>
      <c r="D86" s="25"/>
      <c r="E86" s="26"/>
      <c r="F86" s="27"/>
      <c r="G86" s="28"/>
      <c r="H86" s="29"/>
      <c r="L86" s="3"/>
    </row>
    <row r="87" spans="2:16" ht="15.75" customHeight="1" x14ac:dyDescent="0.2">
      <c r="B87" s="25" t="s">
        <v>164</v>
      </c>
      <c r="C87" s="25" t="s">
        <v>165</v>
      </c>
      <c r="D87" s="25" t="s">
        <v>119</v>
      </c>
      <c r="E87" s="26">
        <v>700</v>
      </c>
      <c r="F87" s="27">
        <v>3398.34</v>
      </c>
      <c r="G87" s="28">
        <v>3.78E-2</v>
      </c>
      <c r="H87" s="29">
        <v>7.8550999999999996E-2</v>
      </c>
    </row>
    <row r="88" spans="2:16" ht="15.75" customHeight="1" x14ac:dyDescent="0.2">
      <c r="B88" s="24" t="s">
        <v>98</v>
      </c>
      <c r="C88" s="24"/>
      <c r="D88" s="24"/>
      <c r="E88" s="30"/>
      <c r="F88" s="31">
        <v>3398.34</v>
      </c>
      <c r="G88" s="32">
        <v>3.78E-2</v>
      </c>
      <c r="H88" s="33"/>
    </row>
    <row r="89" spans="2:16" ht="15.75" customHeight="1" x14ac:dyDescent="0.2">
      <c r="B89" s="25"/>
      <c r="C89" s="25"/>
      <c r="D89" s="25"/>
      <c r="E89" s="26"/>
      <c r="F89" s="27"/>
      <c r="G89" s="28"/>
      <c r="H89" s="29"/>
    </row>
    <row r="90" spans="2:16" ht="15.75" customHeight="1" x14ac:dyDescent="0.2">
      <c r="B90" s="36" t="s">
        <v>102</v>
      </c>
      <c r="C90" s="36"/>
      <c r="D90" s="36"/>
      <c r="E90" s="37"/>
      <c r="F90" s="31">
        <v>3398.34</v>
      </c>
      <c r="G90" s="32">
        <v>3.78E-2</v>
      </c>
      <c r="H90" s="33"/>
    </row>
    <row r="91" spans="2:16" ht="15.75" customHeight="1" x14ac:dyDescent="0.2">
      <c r="B91" s="25"/>
      <c r="C91" s="25"/>
      <c r="D91" s="25"/>
      <c r="E91" s="26"/>
      <c r="F91" s="27"/>
      <c r="G91" s="28"/>
      <c r="H91" s="29"/>
    </row>
    <row r="92" spans="2:16" ht="15.75" customHeight="1" x14ac:dyDescent="0.2">
      <c r="B92" s="25"/>
      <c r="C92" s="25"/>
      <c r="D92" s="25"/>
      <c r="E92" s="26"/>
      <c r="F92" s="27"/>
      <c r="G92" s="28"/>
      <c r="H92" s="29"/>
    </row>
    <row r="93" spans="2:16" ht="15.75" customHeight="1" x14ac:dyDescent="0.2">
      <c r="B93" s="24" t="s">
        <v>105</v>
      </c>
      <c r="C93" s="25"/>
      <c r="D93" s="25"/>
      <c r="E93" s="26"/>
      <c r="F93" s="27"/>
      <c r="G93" s="28"/>
      <c r="H93" s="29"/>
    </row>
    <row r="94" spans="2:16" ht="15.75" customHeight="1" x14ac:dyDescent="0.2">
      <c r="B94" s="25" t="s">
        <v>106</v>
      </c>
      <c r="C94" s="25"/>
      <c r="D94" s="25"/>
      <c r="E94" s="26"/>
      <c r="F94" s="27">
        <v>5664.73</v>
      </c>
      <c r="G94" s="28">
        <v>6.2899999999999998E-2</v>
      </c>
      <c r="H94" s="29"/>
    </row>
    <row r="95" spans="2:16" ht="15.75" customHeight="1" x14ac:dyDescent="0.2">
      <c r="B95" s="24" t="s">
        <v>98</v>
      </c>
      <c r="C95" s="24"/>
      <c r="D95" s="24"/>
      <c r="E95" s="30"/>
      <c r="F95" s="31">
        <v>5664.73</v>
      </c>
      <c r="G95" s="32">
        <v>6.2899999999999998E-2</v>
      </c>
      <c r="H95" s="33"/>
    </row>
    <row r="96" spans="2:16" ht="15.75" customHeight="1" x14ac:dyDescent="0.2">
      <c r="B96" s="25"/>
      <c r="C96" s="25"/>
      <c r="D96" s="25"/>
      <c r="E96" s="26"/>
      <c r="F96" s="27"/>
      <c r="G96" s="28"/>
      <c r="H96" s="29"/>
    </row>
    <row r="97" spans="2:8" ht="15.75" customHeight="1" x14ac:dyDescent="0.2">
      <c r="B97" s="36" t="s">
        <v>102</v>
      </c>
      <c r="C97" s="36"/>
      <c r="D97" s="36"/>
      <c r="E97" s="37"/>
      <c r="F97" s="31">
        <v>5664.73</v>
      </c>
      <c r="G97" s="32">
        <v>6.2899999999999998E-2</v>
      </c>
      <c r="H97" s="33"/>
    </row>
    <row r="98" spans="2:8" ht="15.75" customHeight="1" x14ac:dyDescent="0.2">
      <c r="B98" s="25" t="s">
        <v>107</v>
      </c>
      <c r="C98" s="25"/>
      <c r="D98" s="25"/>
      <c r="E98" s="26"/>
      <c r="F98" s="38">
        <v>-327.27999999999997</v>
      </c>
      <c r="G98" s="39">
        <v>-3.6000000000000476E-3</v>
      </c>
      <c r="H98" s="29"/>
    </row>
    <row r="99" spans="2:8" ht="15.75" customHeight="1" x14ac:dyDescent="0.2">
      <c r="B99" s="40" t="s">
        <v>108</v>
      </c>
      <c r="C99" s="40"/>
      <c r="D99" s="40"/>
      <c r="E99" s="41"/>
      <c r="F99" s="42">
        <v>89995.21</v>
      </c>
      <c r="G99" s="43">
        <v>1</v>
      </c>
      <c r="H99" s="44"/>
    </row>
    <row r="100" spans="2:8" ht="15.75" customHeight="1" x14ac:dyDescent="0.2">
      <c r="B100" s="2"/>
    </row>
    <row r="101" spans="2:8" ht="15.75" customHeight="1" x14ac:dyDescent="0.2">
      <c r="B101" s="12" t="s">
        <v>125</v>
      </c>
    </row>
    <row r="102" spans="2:8" ht="15.75" customHeight="1" x14ac:dyDescent="0.2">
      <c r="B102" s="53"/>
    </row>
    <row r="103" spans="2:8" ht="15.75" customHeight="1" x14ac:dyDescent="0.2">
      <c r="B103" s="9" t="s">
        <v>349</v>
      </c>
    </row>
    <row r="104" spans="2:8" ht="15.75" customHeight="1" x14ac:dyDescent="0.2">
      <c r="B104" s="9" t="s">
        <v>350</v>
      </c>
    </row>
    <row r="105" spans="2:8" ht="15.75" customHeight="1" x14ac:dyDescent="0.2">
      <c r="B105" s="13" t="s">
        <v>261</v>
      </c>
      <c r="C105" s="50" t="s">
        <v>2</v>
      </c>
      <c r="D105" s="51" t="s">
        <v>3</v>
      </c>
      <c r="E105" s="52" t="s">
        <v>262</v>
      </c>
    </row>
    <row r="106" spans="2:8" ht="15.75" customHeight="1" x14ac:dyDescent="0.2">
      <c r="B106" s="46" t="s">
        <v>266</v>
      </c>
      <c r="C106" s="47">
        <v>-139500</v>
      </c>
      <c r="D106" s="48">
        <v>-1052.18</v>
      </c>
      <c r="E106" s="49">
        <v>-1.17E-2</v>
      </c>
    </row>
    <row r="107" spans="2:8" ht="15.75" customHeight="1" x14ac:dyDescent="0.2">
      <c r="B107" s="46" t="s">
        <v>199</v>
      </c>
      <c r="C107" s="47">
        <v>-28000</v>
      </c>
      <c r="D107" s="48">
        <v>-1155.07</v>
      </c>
      <c r="E107" s="49">
        <v>-1.2800000000000001E-2</v>
      </c>
    </row>
    <row r="108" spans="2:8" ht="15.75" customHeight="1" x14ac:dyDescent="0.2">
      <c r="B108" s="46" t="s">
        <v>136</v>
      </c>
      <c r="C108" s="47">
        <v>-46000</v>
      </c>
      <c r="D108" s="48">
        <v>-1354.36</v>
      </c>
      <c r="E108" s="49">
        <v>-1.4999999999999999E-2</v>
      </c>
    </row>
    <row r="109" spans="2:8" ht="15.75" customHeight="1" x14ac:dyDescent="0.2">
      <c r="B109" s="46" t="s">
        <v>243</v>
      </c>
      <c r="C109" s="47">
        <v>-19200</v>
      </c>
      <c r="D109" s="48">
        <v>-246.25</v>
      </c>
      <c r="E109" s="49">
        <v>-2.7000000000000001E-3</v>
      </c>
    </row>
    <row r="110" spans="2:8" ht="15.75" customHeight="1" x14ac:dyDescent="0.2">
      <c r="B110" s="46" t="s">
        <v>272</v>
      </c>
      <c r="C110" s="47">
        <v>-58800</v>
      </c>
      <c r="D110" s="48">
        <v>-933.45</v>
      </c>
      <c r="E110" s="49">
        <v>-1.04E-2</v>
      </c>
    </row>
    <row r="111" spans="2:8" ht="15.75" customHeight="1" x14ac:dyDescent="0.2">
      <c r="B111" s="46" t="s">
        <v>139</v>
      </c>
      <c r="C111" s="47">
        <v>-49200</v>
      </c>
      <c r="D111" s="48">
        <v>-1193.49</v>
      </c>
      <c r="E111" s="49">
        <v>-1.3299999999999999E-2</v>
      </c>
    </row>
    <row r="112" spans="2:8" ht="15.75" customHeight="1" x14ac:dyDescent="0.2">
      <c r="B112" s="46" t="s">
        <v>131</v>
      </c>
      <c r="C112" s="47">
        <v>-90800</v>
      </c>
      <c r="D112" s="48">
        <v>-1528.03</v>
      </c>
      <c r="E112" s="49">
        <v>-1.7000000000000001E-2</v>
      </c>
    </row>
    <row r="113" spans="2:8" ht="15.75" customHeight="1" x14ac:dyDescent="0.2">
      <c r="B113" s="46" t="s">
        <v>134</v>
      </c>
      <c r="C113" s="47">
        <v>-28050</v>
      </c>
      <c r="D113" s="48">
        <v>-396.53</v>
      </c>
      <c r="E113" s="49">
        <v>-4.4000000000000003E-3</v>
      </c>
    </row>
    <row r="114" spans="2:8" ht="15.75" customHeight="1" x14ac:dyDescent="0.2">
      <c r="B114" s="46" t="s">
        <v>142</v>
      </c>
      <c r="C114" s="47">
        <v>-156800</v>
      </c>
      <c r="D114" s="48">
        <v>-3048.35</v>
      </c>
      <c r="E114" s="49">
        <v>-3.39E-2</v>
      </c>
    </row>
    <row r="115" spans="2:8" ht="15.75" customHeight="1" x14ac:dyDescent="0.2">
      <c r="B115" s="46" t="s">
        <v>270</v>
      </c>
      <c r="C115" s="47">
        <v>-83300</v>
      </c>
      <c r="D115" s="48">
        <v>-1395.15</v>
      </c>
      <c r="E115" s="49">
        <v>-1.55E-2</v>
      </c>
    </row>
    <row r="116" spans="2:8" ht="15.75" customHeight="1" x14ac:dyDescent="0.2">
      <c r="B116" s="46" t="s">
        <v>128</v>
      </c>
      <c r="C116" s="47">
        <v>-241500</v>
      </c>
      <c r="D116" s="48">
        <v>-2560.62</v>
      </c>
      <c r="E116" s="49">
        <v>-2.8500000000000001E-2</v>
      </c>
    </row>
    <row r="117" spans="2:8" ht="15.75" customHeight="1" x14ac:dyDescent="0.2">
      <c r="B117" s="46" t="s">
        <v>268</v>
      </c>
      <c r="C117" s="47">
        <v>-143750</v>
      </c>
      <c r="D117" s="48">
        <v>-1555.38</v>
      </c>
      <c r="E117" s="49">
        <v>-1.7299999999999999E-2</v>
      </c>
    </row>
    <row r="118" spans="2:8" ht="15.75" customHeight="1" x14ac:dyDescent="0.2">
      <c r="B118" s="46" t="s">
        <v>186</v>
      </c>
      <c r="C118" s="47">
        <v>-125400</v>
      </c>
      <c r="D118" s="48">
        <v>-258.64</v>
      </c>
      <c r="E118" s="49">
        <v>-2.8999999999999998E-3</v>
      </c>
    </row>
    <row r="119" spans="2:8" ht="15.75" customHeight="1" x14ac:dyDescent="0.2">
      <c r="B119" s="46" t="s">
        <v>310</v>
      </c>
      <c r="C119" s="47">
        <v>-5400</v>
      </c>
      <c r="D119" s="48">
        <v>-240.22</v>
      </c>
      <c r="E119" s="49">
        <v>-2.7000000000000001E-3</v>
      </c>
    </row>
    <row r="120" spans="2:8" ht="15.75" customHeight="1" x14ac:dyDescent="0.2">
      <c r="B120" s="46" t="s">
        <v>276</v>
      </c>
      <c r="C120" s="47">
        <v>-195000</v>
      </c>
      <c r="D120" s="48">
        <v>-658.81</v>
      </c>
      <c r="E120" s="49">
        <v>-7.3000000000000001E-3</v>
      </c>
    </row>
    <row r="121" spans="2:8" ht="15.75" customHeight="1" x14ac:dyDescent="0.2">
      <c r="B121" s="46" t="s">
        <v>274</v>
      </c>
      <c r="C121" s="47">
        <v>-4200</v>
      </c>
      <c r="D121" s="48">
        <v>-477.04</v>
      </c>
      <c r="E121" s="49">
        <v>-5.3E-3</v>
      </c>
    </row>
    <row r="122" spans="2:8" ht="15.75" customHeight="1" x14ac:dyDescent="0.2">
      <c r="B122" s="13" t="s">
        <v>263</v>
      </c>
      <c r="C122" s="50">
        <v>-1414899.9999999998</v>
      </c>
      <c r="D122" s="51">
        <v>-18053.57</v>
      </c>
      <c r="E122" s="52">
        <v>-0.20069999999999999</v>
      </c>
    </row>
    <row r="123" spans="2:8" ht="15.75" customHeight="1" thickBot="1" x14ac:dyDescent="0.25"/>
    <row r="124" spans="2:8" ht="27" customHeight="1" thickBot="1" x14ac:dyDescent="0.25">
      <c r="B124" s="57" t="s">
        <v>925</v>
      </c>
      <c r="C124" s="58" t="s">
        <v>926</v>
      </c>
      <c r="D124" s="58" t="s">
        <v>927</v>
      </c>
      <c r="E124" s="63" t="s">
        <v>928</v>
      </c>
      <c r="G124" s="2"/>
      <c r="H124" s="2"/>
    </row>
    <row r="125" spans="2:8" ht="29.25" customHeight="1" x14ac:dyDescent="0.2">
      <c r="B125" s="70" t="s">
        <v>31</v>
      </c>
      <c r="C125" s="82"/>
      <c r="D125" s="85" t="s">
        <v>940</v>
      </c>
      <c r="E125" s="87"/>
      <c r="G125" s="2"/>
      <c r="H125" s="2"/>
    </row>
    <row r="126" spans="2:8" ht="26.25" customHeight="1" x14ac:dyDescent="0.2">
      <c r="B126" s="66" t="s">
        <v>941</v>
      </c>
      <c r="C126" s="83"/>
      <c r="D126" s="86"/>
      <c r="E126" s="83"/>
      <c r="G126" s="2"/>
      <c r="H126" s="2"/>
    </row>
    <row r="127" spans="2:8" ht="51" customHeight="1" x14ac:dyDescent="0.2">
      <c r="B127" s="66" t="s">
        <v>942</v>
      </c>
      <c r="C127" s="83"/>
      <c r="D127" s="86"/>
      <c r="E127" s="83"/>
      <c r="G127" s="2"/>
      <c r="H127" s="2"/>
    </row>
    <row r="128" spans="2:8" ht="23.25" customHeight="1" thickBot="1" x14ac:dyDescent="0.25">
      <c r="B128" s="68" t="s">
        <v>971</v>
      </c>
      <c r="C128" s="84"/>
      <c r="D128" s="71" t="s">
        <v>944</v>
      </c>
      <c r="E128" s="88"/>
      <c r="G128" s="2"/>
      <c r="H128" s="2"/>
    </row>
    <row r="129" spans="2:8" ht="24.95" customHeight="1" x14ac:dyDescent="0.2">
      <c r="B129" s="59" t="s">
        <v>929</v>
      </c>
      <c r="C129" s="60"/>
      <c r="D129" s="61"/>
      <c r="E129" s="62"/>
      <c r="G129" s="2"/>
      <c r="H129" s="2"/>
    </row>
    <row r="131" spans="2:8" ht="12" x14ac:dyDescent="0.2">
      <c r="B131" s="2" t="s">
        <v>930</v>
      </c>
      <c r="C131" s="2"/>
      <c r="D131" s="2"/>
      <c r="G131" s="2"/>
      <c r="H131" s="2"/>
    </row>
    <row r="132" spans="2:8" ht="12" x14ac:dyDescent="0.2">
      <c r="B132" s="3" t="s">
        <v>931</v>
      </c>
      <c r="C132" s="2"/>
      <c r="D132" s="2"/>
      <c r="G132" s="2"/>
      <c r="H132" s="2"/>
    </row>
  </sheetData>
  <mergeCells count="3">
    <mergeCell ref="C125:C128"/>
    <mergeCell ref="D125:D127"/>
    <mergeCell ref="E125:E128"/>
  </mergeCells>
  <hyperlinks>
    <hyperlink ref="I1" location="'Sheet1'!A1" display="Index" xr:uid="{14F53162-BCE8-4FCC-8F6B-73414A63724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448F-43B6-49FE-9ADA-EDA6A9846101}">
  <dimension ref="B1:P111"/>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26"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945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189056</v>
      </c>
      <c r="F7" s="27">
        <v>2653.21</v>
      </c>
      <c r="G7" s="28">
        <v>5.2299999999999999E-2</v>
      </c>
      <c r="H7" s="29"/>
    </row>
    <row r="8" spans="2:9" ht="15.75" customHeight="1" x14ac:dyDescent="0.2">
      <c r="B8" s="25" t="s">
        <v>128</v>
      </c>
      <c r="C8" s="25" t="s">
        <v>129</v>
      </c>
      <c r="D8" s="25" t="s">
        <v>130</v>
      </c>
      <c r="E8" s="26">
        <v>244655</v>
      </c>
      <c r="F8" s="27">
        <v>2574.2600000000002</v>
      </c>
      <c r="G8" s="28">
        <v>5.0799999999999998E-2</v>
      </c>
      <c r="H8" s="29"/>
    </row>
    <row r="9" spans="2:9" ht="15.75" customHeight="1" x14ac:dyDescent="0.2">
      <c r="B9" s="25" t="s">
        <v>136</v>
      </c>
      <c r="C9" s="25" t="s">
        <v>137</v>
      </c>
      <c r="D9" s="25" t="s">
        <v>138</v>
      </c>
      <c r="E9" s="26">
        <v>62030</v>
      </c>
      <c r="F9" s="27">
        <v>1812.27</v>
      </c>
      <c r="G9" s="28">
        <v>3.5700000000000003E-2</v>
      </c>
      <c r="H9" s="29"/>
    </row>
    <row r="10" spans="2:9" ht="15.75" customHeight="1" x14ac:dyDescent="0.2">
      <c r="B10" s="25" t="s">
        <v>131</v>
      </c>
      <c r="C10" s="25" t="s">
        <v>132</v>
      </c>
      <c r="D10" s="25" t="s">
        <v>133</v>
      </c>
      <c r="E10" s="26">
        <v>105882</v>
      </c>
      <c r="F10" s="27">
        <v>1772.36</v>
      </c>
      <c r="G10" s="28">
        <v>3.49E-2</v>
      </c>
      <c r="H10" s="29"/>
    </row>
    <row r="11" spans="2:9" ht="15.75" customHeight="1" x14ac:dyDescent="0.2">
      <c r="B11" s="25" t="s">
        <v>207</v>
      </c>
      <c r="C11" s="25" t="s">
        <v>208</v>
      </c>
      <c r="D11" s="25" t="s">
        <v>209</v>
      </c>
      <c r="E11" s="26">
        <v>34079</v>
      </c>
      <c r="F11" s="27">
        <v>1322.88</v>
      </c>
      <c r="G11" s="28">
        <v>2.6100000000000002E-2</v>
      </c>
      <c r="H11" s="29"/>
    </row>
    <row r="12" spans="2:9" ht="15.75" customHeight="1" x14ac:dyDescent="0.2">
      <c r="B12" s="25" t="s">
        <v>210</v>
      </c>
      <c r="C12" s="25" t="s">
        <v>211</v>
      </c>
      <c r="D12" s="25" t="s">
        <v>141</v>
      </c>
      <c r="E12" s="26">
        <v>292074</v>
      </c>
      <c r="F12" s="27">
        <v>1186.7</v>
      </c>
      <c r="G12" s="28">
        <v>2.3400000000000001E-2</v>
      </c>
      <c r="H12" s="29"/>
    </row>
    <row r="13" spans="2:9" ht="15.75" customHeight="1" x14ac:dyDescent="0.2">
      <c r="B13" s="25" t="s">
        <v>351</v>
      </c>
      <c r="C13" s="25" t="s">
        <v>352</v>
      </c>
      <c r="D13" s="25" t="s">
        <v>209</v>
      </c>
      <c r="E13" s="26">
        <v>658966</v>
      </c>
      <c r="F13" s="27">
        <v>1090.26</v>
      </c>
      <c r="G13" s="28">
        <v>2.1499999999999998E-2</v>
      </c>
      <c r="H13" s="29"/>
    </row>
    <row r="14" spans="2:9" ht="15.75" customHeight="1" x14ac:dyDescent="0.2">
      <c r="B14" s="25" t="s">
        <v>172</v>
      </c>
      <c r="C14" s="25" t="s">
        <v>173</v>
      </c>
      <c r="D14" s="25" t="s">
        <v>174</v>
      </c>
      <c r="E14" s="26">
        <v>29555</v>
      </c>
      <c r="F14" s="27">
        <v>1027.79</v>
      </c>
      <c r="G14" s="28">
        <v>2.0299999999999999E-2</v>
      </c>
      <c r="H14" s="29"/>
    </row>
    <row r="15" spans="2:9" ht="15.75" customHeight="1" x14ac:dyDescent="0.2">
      <c r="B15" s="25" t="s">
        <v>276</v>
      </c>
      <c r="C15" s="25" t="s">
        <v>277</v>
      </c>
      <c r="D15" s="25" t="s">
        <v>230</v>
      </c>
      <c r="E15" s="26">
        <v>288389</v>
      </c>
      <c r="F15" s="27">
        <v>967.83</v>
      </c>
      <c r="G15" s="28">
        <v>1.9099999999999999E-2</v>
      </c>
      <c r="H15" s="29"/>
    </row>
    <row r="16" spans="2:9" ht="15.75" customHeight="1" x14ac:dyDescent="0.2">
      <c r="B16" s="25" t="s">
        <v>199</v>
      </c>
      <c r="C16" s="25" t="s">
        <v>200</v>
      </c>
      <c r="D16" s="25" t="s">
        <v>133</v>
      </c>
      <c r="E16" s="26">
        <v>23289</v>
      </c>
      <c r="F16" s="27">
        <v>953.71</v>
      </c>
      <c r="G16" s="28">
        <v>1.8800000000000001E-2</v>
      </c>
      <c r="H16" s="29"/>
    </row>
    <row r="17" spans="2:8" ht="15.75" customHeight="1" x14ac:dyDescent="0.2">
      <c r="B17" s="25" t="s">
        <v>266</v>
      </c>
      <c r="C17" s="25" t="s">
        <v>267</v>
      </c>
      <c r="D17" s="25" t="s">
        <v>130</v>
      </c>
      <c r="E17" s="26">
        <v>119153</v>
      </c>
      <c r="F17" s="27">
        <v>891.38</v>
      </c>
      <c r="G17" s="28">
        <v>1.7600000000000001E-2</v>
      </c>
      <c r="H17" s="29"/>
    </row>
    <row r="18" spans="2:8" ht="15.75" customHeight="1" x14ac:dyDescent="0.2">
      <c r="B18" s="25" t="s">
        <v>353</v>
      </c>
      <c r="C18" s="25" t="s">
        <v>354</v>
      </c>
      <c r="D18" s="25" t="s">
        <v>355</v>
      </c>
      <c r="E18" s="26">
        <v>87629</v>
      </c>
      <c r="F18" s="27">
        <v>798.65</v>
      </c>
      <c r="G18" s="28">
        <v>1.5699999999999999E-2</v>
      </c>
      <c r="H18" s="29"/>
    </row>
    <row r="19" spans="2:8" ht="15.75" customHeight="1" x14ac:dyDescent="0.2">
      <c r="B19" s="25" t="s">
        <v>356</v>
      </c>
      <c r="C19" s="25" t="s">
        <v>357</v>
      </c>
      <c r="D19" s="25" t="s">
        <v>355</v>
      </c>
      <c r="E19" s="26">
        <v>65626</v>
      </c>
      <c r="F19" s="27">
        <v>794.3</v>
      </c>
      <c r="G19" s="28">
        <v>1.5699999999999999E-2</v>
      </c>
      <c r="H19" s="29"/>
    </row>
    <row r="20" spans="2:8" ht="15.75" customHeight="1" x14ac:dyDescent="0.2">
      <c r="B20" s="25" t="s">
        <v>316</v>
      </c>
      <c r="C20" s="25" t="s">
        <v>317</v>
      </c>
      <c r="D20" s="25" t="s">
        <v>185</v>
      </c>
      <c r="E20" s="26">
        <v>594532</v>
      </c>
      <c r="F20" s="27">
        <v>784.19</v>
      </c>
      <c r="G20" s="28">
        <v>1.55E-2</v>
      </c>
      <c r="H20" s="29"/>
    </row>
    <row r="21" spans="2:8" ht="15.75" customHeight="1" x14ac:dyDescent="0.2">
      <c r="B21" s="25" t="s">
        <v>307</v>
      </c>
      <c r="C21" s="25" t="s">
        <v>308</v>
      </c>
      <c r="D21" s="25" t="s">
        <v>309</v>
      </c>
      <c r="E21" s="26">
        <v>50605</v>
      </c>
      <c r="F21" s="27">
        <v>783.14</v>
      </c>
      <c r="G21" s="28">
        <v>1.54E-2</v>
      </c>
      <c r="H21" s="29"/>
    </row>
    <row r="22" spans="2:8" ht="15.75" customHeight="1" x14ac:dyDescent="0.2">
      <c r="B22" s="25" t="s">
        <v>241</v>
      </c>
      <c r="C22" s="25" t="s">
        <v>242</v>
      </c>
      <c r="D22" s="25" t="s">
        <v>168</v>
      </c>
      <c r="E22" s="26">
        <v>66262</v>
      </c>
      <c r="F22" s="27">
        <v>744.35</v>
      </c>
      <c r="G22" s="28">
        <v>1.47E-2</v>
      </c>
      <c r="H22" s="29"/>
    </row>
    <row r="23" spans="2:8" ht="15.75" customHeight="1" x14ac:dyDescent="0.2">
      <c r="B23" s="25" t="s">
        <v>268</v>
      </c>
      <c r="C23" s="25" t="s">
        <v>269</v>
      </c>
      <c r="D23" s="25" t="s">
        <v>130</v>
      </c>
      <c r="E23" s="26">
        <v>68876</v>
      </c>
      <c r="F23" s="27">
        <v>740.49</v>
      </c>
      <c r="G23" s="28">
        <v>1.46E-2</v>
      </c>
      <c r="H23" s="29"/>
    </row>
    <row r="24" spans="2:8" ht="15.75" customHeight="1" x14ac:dyDescent="0.2">
      <c r="B24" s="25" t="s">
        <v>358</v>
      </c>
      <c r="C24" s="25" t="s">
        <v>359</v>
      </c>
      <c r="D24" s="25" t="s">
        <v>130</v>
      </c>
      <c r="E24" s="26">
        <v>724565</v>
      </c>
      <c r="F24" s="27">
        <v>722.03</v>
      </c>
      <c r="G24" s="28">
        <v>1.4200000000000001E-2</v>
      </c>
      <c r="H24" s="29"/>
    </row>
    <row r="25" spans="2:8" ht="15.75" customHeight="1" x14ac:dyDescent="0.2">
      <c r="B25" s="25" t="s">
        <v>247</v>
      </c>
      <c r="C25" s="25" t="s">
        <v>248</v>
      </c>
      <c r="D25" s="25" t="s">
        <v>237</v>
      </c>
      <c r="E25" s="26">
        <v>579968</v>
      </c>
      <c r="F25" s="27">
        <v>691.32</v>
      </c>
      <c r="G25" s="28">
        <v>1.3599999999999999E-2</v>
      </c>
      <c r="H25" s="29"/>
    </row>
    <row r="26" spans="2:8" ht="15.75" customHeight="1" x14ac:dyDescent="0.2">
      <c r="B26" s="25" t="s">
        <v>204</v>
      </c>
      <c r="C26" s="25" t="s">
        <v>205</v>
      </c>
      <c r="D26" s="25" t="s">
        <v>206</v>
      </c>
      <c r="E26" s="26">
        <v>18613</v>
      </c>
      <c r="F26" s="27">
        <v>674.61</v>
      </c>
      <c r="G26" s="28">
        <v>1.3299999999999999E-2</v>
      </c>
      <c r="H26" s="29"/>
    </row>
    <row r="27" spans="2:8" ht="15.75" customHeight="1" x14ac:dyDescent="0.2">
      <c r="B27" s="25" t="s">
        <v>360</v>
      </c>
      <c r="C27" s="25" t="s">
        <v>361</v>
      </c>
      <c r="D27" s="25" t="s">
        <v>362</v>
      </c>
      <c r="E27" s="26">
        <v>71301</v>
      </c>
      <c r="F27" s="27">
        <v>661.25</v>
      </c>
      <c r="G27" s="28">
        <v>1.2999999999999999E-2</v>
      </c>
      <c r="H27" s="29"/>
    </row>
    <row r="28" spans="2:8" ht="15.75" customHeight="1" x14ac:dyDescent="0.2">
      <c r="B28" s="25" t="s">
        <v>303</v>
      </c>
      <c r="C28" s="25" t="s">
        <v>304</v>
      </c>
      <c r="D28" s="25" t="s">
        <v>185</v>
      </c>
      <c r="E28" s="26">
        <v>29052</v>
      </c>
      <c r="F28" s="27">
        <v>620.42999999999995</v>
      </c>
      <c r="G28" s="28">
        <v>1.2200000000000001E-2</v>
      </c>
      <c r="H28" s="29"/>
    </row>
    <row r="29" spans="2:8" ht="15.75" customHeight="1" x14ac:dyDescent="0.2">
      <c r="B29" s="25" t="s">
        <v>272</v>
      </c>
      <c r="C29" s="25" t="s">
        <v>273</v>
      </c>
      <c r="D29" s="25" t="s">
        <v>185</v>
      </c>
      <c r="E29" s="26">
        <v>39010</v>
      </c>
      <c r="F29" s="27">
        <v>615.55999999999995</v>
      </c>
      <c r="G29" s="28">
        <v>1.21E-2</v>
      </c>
      <c r="H29" s="29"/>
    </row>
    <row r="30" spans="2:8" ht="15.75" customHeight="1" x14ac:dyDescent="0.2">
      <c r="B30" s="25" t="s">
        <v>363</v>
      </c>
      <c r="C30" s="25" t="s">
        <v>364</v>
      </c>
      <c r="D30" s="25" t="s">
        <v>333</v>
      </c>
      <c r="E30" s="26">
        <v>90634</v>
      </c>
      <c r="F30" s="27">
        <v>579.38</v>
      </c>
      <c r="G30" s="28">
        <v>1.14E-2</v>
      </c>
      <c r="H30" s="29"/>
    </row>
    <row r="31" spans="2:8" ht="15.75" customHeight="1" x14ac:dyDescent="0.2">
      <c r="B31" s="25" t="s">
        <v>145</v>
      </c>
      <c r="C31" s="25" t="s">
        <v>146</v>
      </c>
      <c r="D31" s="25" t="s">
        <v>147</v>
      </c>
      <c r="E31" s="26">
        <v>22102</v>
      </c>
      <c r="F31" s="27">
        <v>573.80999999999995</v>
      </c>
      <c r="G31" s="28">
        <v>1.1299999999999999E-2</v>
      </c>
      <c r="H31" s="29"/>
    </row>
    <row r="32" spans="2:8" ht="15.75" customHeight="1" x14ac:dyDescent="0.2">
      <c r="B32" s="25" t="s">
        <v>314</v>
      </c>
      <c r="C32" s="25" t="s">
        <v>315</v>
      </c>
      <c r="D32" s="25" t="s">
        <v>130</v>
      </c>
      <c r="E32" s="26">
        <v>696654</v>
      </c>
      <c r="F32" s="27">
        <v>564.64</v>
      </c>
      <c r="G32" s="28">
        <v>1.11E-2</v>
      </c>
      <c r="H32" s="29"/>
    </row>
    <row r="33" spans="2:8" ht="15.75" customHeight="1" x14ac:dyDescent="0.2">
      <c r="B33" s="25" t="s">
        <v>365</v>
      </c>
      <c r="C33" s="25" t="s">
        <v>366</v>
      </c>
      <c r="D33" s="25" t="s">
        <v>355</v>
      </c>
      <c r="E33" s="26">
        <v>187101</v>
      </c>
      <c r="F33" s="27">
        <v>558.12</v>
      </c>
      <c r="G33" s="28">
        <v>1.0999999999999999E-2</v>
      </c>
      <c r="H33" s="29"/>
    </row>
    <row r="34" spans="2:8" ht="15.75" customHeight="1" x14ac:dyDescent="0.2">
      <c r="B34" s="25" t="s">
        <v>295</v>
      </c>
      <c r="C34" s="25" t="s">
        <v>296</v>
      </c>
      <c r="D34" s="25" t="s">
        <v>179</v>
      </c>
      <c r="E34" s="26">
        <v>135379</v>
      </c>
      <c r="F34" s="27">
        <v>542.46</v>
      </c>
      <c r="G34" s="28">
        <v>1.0699999999999999E-2</v>
      </c>
      <c r="H34" s="29"/>
    </row>
    <row r="35" spans="2:8" ht="15.75" customHeight="1" x14ac:dyDescent="0.2">
      <c r="B35" s="25" t="s">
        <v>367</v>
      </c>
      <c r="C35" s="25" t="s">
        <v>368</v>
      </c>
      <c r="D35" s="25" t="s">
        <v>179</v>
      </c>
      <c r="E35" s="26">
        <v>76250</v>
      </c>
      <c r="F35" s="27">
        <v>538.54999999999995</v>
      </c>
      <c r="G35" s="28">
        <v>1.06E-2</v>
      </c>
      <c r="H35" s="29"/>
    </row>
    <row r="36" spans="2:8" ht="15.75" customHeight="1" x14ac:dyDescent="0.2">
      <c r="B36" s="25" t="s">
        <v>369</v>
      </c>
      <c r="C36" s="25" t="s">
        <v>370</v>
      </c>
      <c r="D36" s="25" t="s">
        <v>309</v>
      </c>
      <c r="E36" s="26">
        <v>16631</v>
      </c>
      <c r="F36" s="27">
        <v>533.98</v>
      </c>
      <c r="G36" s="28">
        <v>1.0500000000000001E-2</v>
      </c>
      <c r="H36" s="29"/>
    </row>
    <row r="37" spans="2:8" ht="15.75" customHeight="1" x14ac:dyDescent="0.2">
      <c r="B37" s="25" t="s">
        <v>278</v>
      </c>
      <c r="C37" s="25" t="s">
        <v>279</v>
      </c>
      <c r="D37" s="25" t="s">
        <v>222</v>
      </c>
      <c r="E37" s="26">
        <v>22191</v>
      </c>
      <c r="F37" s="27">
        <v>530.29</v>
      </c>
      <c r="G37" s="28">
        <v>1.0500000000000001E-2</v>
      </c>
      <c r="H37" s="29"/>
    </row>
    <row r="38" spans="2:8" ht="15.75" customHeight="1" x14ac:dyDescent="0.2">
      <c r="B38" s="25" t="s">
        <v>177</v>
      </c>
      <c r="C38" s="25" t="s">
        <v>178</v>
      </c>
      <c r="D38" s="25" t="s">
        <v>179</v>
      </c>
      <c r="E38" s="26">
        <v>8013</v>
      </c>
      <c r="F38" s="27">
        <v>520.47</v>
      </c>
      <c r="G38" s="28">
        <v>1.03E-2</v>
      </c>
      <c r="H38" s="29"/>
    </row>
    <row r="39" spans="2:8" ht="15.75" customHeight="1" x14ac:dyDescent="0.2">
      <c r="B39" s="25" t="s">
        <v>371</v>
      </c>
      <c r="C39" s="25" t="s">
        <v>372</v>
      </c>
      <c r="D39" s="25" t="s">
        <v>237</v>
      </c>
      <c r="E39" s="26">
        <v>75135</v>
      </c>
      <c r="F39" s="27">
        <v>517.94000000000005</v>
      </c>
      <c r="G39" s="28">
        <v>1.0200000000000001E-2</v>
      </c>
      <c r="H39" s="29"/>
    </row>
    <row r="40" spans="2:8" ht="15.75" customHeight="1" x14ac:dyDescent="0.2">
      <c r="B40" s="25" t="s">
        <v>373</v>
      </c>
      <c r="C40" s="25" t="s">
        <v>374</v>
      </c>
      <c r="D40" s="25" t="s">
        <v>355</v>
      </c>
      <c r="E40" s="26">
        <v>11021</v>
      </c>
      <c r="F40" s="27">
        <v>515.70000000000005</v>
      </c>
      <c r="G40" s="28">
        <v>1.0200000000000001E-2</v>
      </c>
      <c r="H40" s="29"/>
    </row>
    <row r="41" spans="2:8" ht="15.75" customHeight="1" x14ac:dyDescent="0.2">
      <c r="B41" s="25" t="s">
        <v>310</v>
      </c>
      <c r="C41" s="25" t="s">
        <v>311</v>
      </c>
      <c r="D41" s="25" t="s">
        <v>144</v>
      </c>
      <c r="E41" s="26">
        <v>11523</v>
      </c>
      <c r="F41" s="27">
        <v>510.07</v>
      </c>
      <c r="G41" s="28">
        <v>1.01E-2</v>
      </c>
      <c r="H41" s="29"/>
    </row>
    <row r="42" spans="2:8" ht="15.75" customHeight="1" x14ac:dyDescent="0.2">
      <c r="B42" s="25" t="s">
        <v>375</v>
      </c>
      <c r="C42" s="25" t="s">
        <v>376</v>
      </c>
      <c r="D42" s="25" t="s">
        <v>133</v>
      </c>
      <c r="E42" s="26">
        <v>97058</v>
      </c>
      <c r="F42" s="27">
        <v>494.75</v>
      </c>
      <c r="G42" s="28">
        <v>9.7999999999999997E-3</v>
      </c>
      <c r="H42" s="29"/>
    </row>
    <row r="43" spans="2:8" ht="15.75" customHeight="1" x14ac:dyDescent="0.2">
      <c r="B43" s="25" t="s">
        <v>377</v>
      </c>
      <c r="C43" s="25" t="s">
        <v>378</v>
      </c>
      <c r="D43" s="25" t="s">
        <v>309</v>
      </c>
      <c r="E43" s="26">
        <v>42132</v>
      </c>
      <c r="F43" s="27">
        <v>484.94</v>
      </c>
      <c r="G43" s="28">
        <v>9.5999999999999992E-3</v>
      </c>
      <c r="H43" s="29"/>
    </row>
    <row r="44" spans="2:8" ht="15.75" customHeight="1" x14ac:dyDescent="0.2">
      <c r="B44" s="25" t="s">
        <v>139</v>
      </c>
      <c r="C44" s="25" t="s">
        <v>140</v>
      </c>
      <c r="D44" s="25" t="s">
        <v>141</v>
      </c>
      <c r="E44" s="26">
        <v>19556</v>
      </c>
      <c r="F44" s="27">
        <v>471.75</v>
      </c>
      <c r="G44" s="28">
        <v>9.2999999999999992E-3</v>
      </c>
      <c r="H44" s="29"/>
    </row>
    <row r="45" spans="2:8" ht="15.75" customHeight="1" x14ac:dyDescent="0.2">
      <c r="B45" s="25" t="s">
        <v>286</v>
      </c>
      <c r="C45" s="25" t="s">
        <v>287</v>
      </c>
      <c r="D45" s="25" t="s">
        <v>130</v>
      </c>
      <c r="E45" s="26">
        <v>352538</v>
      </c>
      <c r="F45" s="27">
        <v>463.41</v>
      </c>
      <c r="G45" s="28">
        <v>9.1000000000000004E-3</v>
      </c>
      <c r="H45" s="29"/>
    </row>
    <row r="46" spans="2:8" ht="15.75" customHeight="1" x14ac:dyDescent="0.2">
      <c r="B46" s="25" t="s">
        <v>305</v>
      </c>
      <c r="C46" s="25" t="s">
        <v>306</v>
      </c>
      <c r="D46" s="25" t="s">
        <v>206</v>
      </c>
      <c r="E46" s="26">
        <v>157610</v>
      </c>
      <c r="F46" s="27">
        <v>458.65</v>
      </c>
      <c r="G46" s="28">
        <v>8.9999999999999993E-3</v>
      </c>
      <c r="H46" s="29"/>
    </row>
    <row r="47" spans="2:8" ht="15.75" customHeight="1" x14ac:dyDescent="0.2">
      <c r="B47" s="25" t="s">
        <v>325</v>
      </c>
      <c r="C47" s="25" t="s">
        <v>326</v>
      </c>
      <c r="D47" s="25" t="s">
        <v>240</v>
      </c>
      <c r="E47" s="26">
        <v>38990</v>
      </c>
      <c r="F47" s="27">
        <v>454.33</v>
      </c>
      <c r="G47" s="28">
        <v>8.9999999999999993E-3</v>
      </c>
      <c r="H47" s="29"/>
    </row>
    <row r="48" spans="2:8" ht="15.75" customHeight="1" x14ac:dyDescent="0.2">
      <c r="B48" s="25" t="s">
        <v>379</v>
      </c>
      <c r="C48" s="25" t="s">
        <v>380</v>
      </c>
      <c r="D48" s="25" t="s">
        <v>294</v>
      </c>
      <c r="E48" s="26">
        <v>46462</v>
      </c>
      <c r="F48" s="27">
        <v>435.51</v>
      </c>
      <c r="G48" s="28">
        <v>8.6E-3</v>
      </c>
      <c r="H48" s="29"/>
    </row>
    <row r="49" spans="2:8" ht="15.75" customHeight="1" x14ac:dyDescent="0.2">
      <c r="B49" s="25" t="s">
        <v>381</v>
      </c>
      <c r="C49" s="25" t="s">
        <v>382</v>
      </c>
      <c r="D49" s="25" t="s">
        <v>133</v>
      </c>
      <c r="E49" s="26">
        <v>6527</v>
      </c>
      <c r="F49" s="27">
        <v>427.78</v>
      </c>
      <c r="G49" s="28">
        <v>8.3999999999999995E-3</v>
      </c>
      <c r="H49" s="29"/>
    </row>
    <row r="50" spans="2:8" ht="15.75" customHeight="1" x14ac:dyDescent="0.2">
      <c r="B50" s="25" t="s">
        <v>383</v>
      </c>
      <c r="C50" s="25" t="s">
        <v>384</v>
      </c>
      <c r="D50" s="25" t="s">
        <v>171</v>
      </c>
      <c r="E50" s="26">
        <v>47107</v>
      </c>
      <c r="F50" s="27">
        <v>391.15</v>
      </c>
      <c r="G50" s="28">
        <v>7.7000000000000002E-3</v>
      </c>
      <c r="H50" s="29"/>
    </row>
    <row r="51" spans="2:8" ht="15.75" customHeight="1" x14ac:dyDescent="0.2">
      <c r="B51" s="25" t="s">
        <v>385</v>
      </c>
      <c r="C51" s="25" t="s">
        <v>386</v>
      </c>
      <c r="D51" s="25" t="s">
        <v>387</v>
      </c>
      <c r="E51" s="26">
        <v>27760</v>
      </c>
      <c r="F51" s="27">
        <v>391</v>
      </c>
      <c r="G51" s="28">
        <v>7.7000000000000002E-3</v>
      </c>
      <c r="H51" s="29"/>
    </row>
    <row r="52" spans="2:8" ht="15.75" customHeight="1" x14ac:dyDescent="0.2">
      <c r="B52" s="25" t="s">
        <v>274</v>
      </c>
      <c r="C52" s="25" t="s">
        <v>275</v>
      </c>
      <c r="D52" s="25" t="s">
        <v>144</v>
      </c>
      <c r="E52" s="26">
        <v>3208</v>
      </c>
      <c r="F52" s="27">
        <v>362.13</v>
      </c>
      <c r="G52" s="28">
        <v>7.1000000000000004E-3</v>
      </c>
      <c r="H52" s="29"/>
    </row>
    <row r="53" spans="2:8" ht="15.75" customHeight="1" x14ac:dyDescent="0.2">
      <c r="B53" s="25" t="s">
        <v>388</v>
      </c>
      <c r="C53" s="25" t="s">
        <v>389</v>
      </c>
      <c r="D53" s="25" t="s">
        <v>147</v>
      </c>
      <c r="E53" s="26">
        <v>67424</v>
      </c>
      <c r="F53" s="27">
        <v>351.85</v>
      </c>
      <c r="G53" s="28">
        <v>6.8999999999999999E-3</v>
      </c>
      <c r="H53" s="29"/>
    </row>
    <row r="54" spans="2:8" ht="15.75" customHeight="1" x14ac:dyDescent="0.2">
      <c r="B54" s="25" t="s">
        <v>390</v>
      </c>
      <c r="C54" s="25" t="s">
        <v>391</v>
      </c>
      <c r="D54" s="25" t="s">
        <v>362</v>
      </c>
      <c r="E54" s="26">
        <v>71201</v>
      </c>
      <c r="F54" s="27">
        <v>330.3</v>
      </c>
      <c r="G54" s="28">
        <v>6.4999999999999997E-3</v>
      </c>
      <c r="H54" s="29"/>
    </row>
    <row r="55" spans="2:8" ht="15.75" customHeight="1" x14ac:dyDescent="0.2">
      <c r="B55" s="25" t="s">
        <v>392</v>
      </c>
      <c r="C55" s="25" t="s">
        <v>393</v>
      </c>
      <c r="D55" s="25" t="s">
        <v>144</v>
      </c>
      <c r="E55" s="26">
        <v>11888</v>
      </c>
      <c r="F55" s="27">
        <v>254.31</v>
      </c>
      <c r="G55" s="28">
        <v>5.0000000000000001E-3</v>
      </c>
      <c r="H55" s="29"/>
    </row>
    <row r="56" spans="2:8" ht="15.75" customHeight="1" x14ac:dyDescent="0.2">
      <c r="B56" s="25" t="s">
        <v>394</v>
      </c>
      <c r="C56" s="25" t="s">
        <v>395</v>
      </c>
      <c r="D56" s="25" t="s">
        <v>285</v>
      </c>
      <c r="E56" s="26">
        <v>29638</v>
      </c>
      <c r="F56" s="27">
        <v>247.55</v>
      </c>
      <c r="G56" s="28">
        <v>4.8999999999999998E-3</v>
      </c>
      <c r="H56" s="29"/>
    </row>
    <row r="57" spans="2:8" ht="15.75" customHeight="1" x14ac:dyDescent="0.2">
      <c r="B57" s="25" t="s">
        <v>396</v>
      </c>
      <c r="C57" s="25" t="s">
        <v>397</v>
      </c>
      <c r="D57" s="25" t="s">
        <v>237</v>
      </c>
      <c r="E57" s="26">
        <v>5895</v>
      </c>
      <c r="F57" s="27">
        <v>246.93</v>
      </c>
      <c r="G57" s="28">
        <v>4.8999999999999998E-3</v>
      </c>
      <c r="H57" s="29"/>
    </row>
    <row r="58" spans="2:8" ht="15.75" customHeight="1" x14ac:dyDescent="0.2">
      <c r="B58" s="25" t="s">
        <v>398</v>
      </c>
      <c r="C58" s="25" t="s">
        <v>399</v>
      </c>
      <c r="D58" s="25" t="s">
        <v>400</v>
      </c>
      <c r="E58" s="26">
        <v>42299</v>
      </c>
      <c r="F58" s="27">
        <v>184.72</v>
      </c>
      <c r="G58" s="28">
        <v>3.5999999999999999E-3</v>
      </c>
      <c r="H58" s="29"/>
    </row>
    <row r="59" spans="2:8" ht="15.75" customHeight="1" x14ac:dyDescent="0.2">
      <c r="B59" s="25" t="s">
        <v>401</v>
      </c>
      <c r="C59" s="25" t="s">
        <v>402</v>
      </c>
      <c r="D59" s="25" t="s">
        <v>237</v>
      </c>
      <c r="E59" s="26">
        <v>22217</v>
      </c>
      <c r="F59" s="27">
        <v>97.95</v>
      </c>
      <c r="G59" s="28">
        <v>1.9E-3</v>
      </c>
      <c r="H59" s="29"/>
    </row>
    <row r="60" spans="2:8" ht="15.75" customHeight="1" x14ac:dyDescent="0.2">
      <c r="B60" s="24" t="s">
        <v>98</v>
      </c>
      <c r="C60" s="24"/>
      <c r="D60" s="24"/>
      <c r="E60" s="30"/>
      <c r="F60" s="31">
        <v>37917.39</v>
      </c>
      <c r="G60" s="32">
        <v>0.74750000000000005</v>
      </c>
      <c r="H60" s="33"/>
    </row>
    <row r="61" spans="2:8" ht="15.75" customHeight="1" x14ac:dyDescent="0.2">
      <c r="B61" s="24" t="s">
        <v>150</v>
      </c>
      <c r="C61" s="25"/>
      <c r="D61" s="25"/>
      <c r="E61" s="26"/>
      <c r="F61" s="27"/>
      <c r="G61" s="28"/>
      <c r="H61" s="29"/>
    </row>
    <row r="62" spans="2:8" ht="15.75" customHeight="1" x14ac:dyDescent="0.2">
      <c r="B62" s="24" t="s">
        <v>98</v>
      </c>
      <c r="C62" s="25"/>
      <c r="D62" s="25"/>
      <c r="E62" s="26"/>
      <c r="F62" s="34" t="s">
        <v>100</v>
      </c>
      <c r="G62" s="35" t="s">
        <v>100</v>
      </c>
      <c r="H62" s="29"/>
    </row>
    <row r="63" spans="2:8" ht="15.75" customHeight="1" x14ac:dyDescent="0.2">
      <c r="B63" s="25"/>
      <c r="C63" s="25"/>
      <c r="D63" s="25"/>
      <c r="E63" s="26"/>
      <c r="F63" s="27"/>
      <c r="G63" s="28"/>
      <c r="H63" s="29"/>
    </row>
    <row r="64" spans="2:8" ht="15.75" customHeight="1" x14ac:dyDescent="0.2">
      <c r="B64" s="36" t="s">
        <v>102</v>
      </c>
      <c r="C64" s="36"/>
      <c r="D64" s="36"/>
      <c r="E64" s="37"/>
      <c r="F64" s="31">
        <v>37917.39</v>
      </c>
      <c r="G64" s="32">
        <v>0.74750000000000005</v>
      </c>
      <c r="H64" s="33"/>
    </row>
    <row r="65" spans="2:16" ht="15.75" customHeight="1" x14ac:dyDescent="0.2">
      <c r="B65" s="25"/>
      <c r="C65" s="25"/>
      <c r="D65" s="25"/>
      <c r="E65" s="26"/>
      <c r="F65" s="27"/>
      <c r="G65" s="28"/>
      <c r="H65" s="29"/>
    </row>
    <row r="66" spans="2:16" ht="15.75" customHeight="1" x14ac:dyDescent="0.2">
      <c r="B66" s="24" t="s">
        <v>86</v>
      </c>
      <c r="C66" s="25"/>
      <c r="D66" s="25"/>
      <c r="E66" s="26"/>
      <c r="F66" s="27"/>
      <c r="G66" s="28"/>
      <c r="H66" s="29"/>
    </row>
    <row r="67" spans="2:16" ht="15.75" customHeight="1" x14ac:dyDescent="0.2">
      <c r="B67" s="24" t="s">
        <v>87</v>
      </c>
      <c r="C67" s="25"/>
      <c r="D67" s="25"/>
      <c r="E67" s="26"/>
      <c r="F67" s="27"/>
      <c r="G67" s="28"/>
      <c r="H67" s="29"/>
    </row>
    <row r="68" spans="2:16" ht="15.75" customHeight="1" x14ac:dyDescent="0.2">
      <c r="B68" s="25" t="s">
        <v>403</v>
      </c>
      <c r="C68" s="25" t="s">
        <v>404</v>
      </c>
      <c r="D68" s="25" t="s">
        <v>89</v>
      </c>
      <c r="E68" s="26">
        <v>1500000</v>
      </c>
      <c r="F68" s="27">
        <v>1427.88</v>
      </c>
      <c r="G68" s="28">
        <v>2.8199999999999999E-2</v>
      </c>
      <c r="H68" s="29">
        <v>7.2202000000000002E-2</v>
      </c>
      <c r="L68" s="3"/>
    </row>
    <row r="69" spans="2:16" ht="15.75" customHeight="1" x14ac:dyDescent="0.2">
      <c r="B69" s="25" t="s">
        <v>111</v>
      </c>
      <c r="C69" s="25" t="s">
        <v>112</v>
      </c>
      <c r="D69" s="25" t="s">
        <v>89</v>
      </c>
      <c r="E69" s="26">
        <v>1000000</v>
      </c>
      <c r="F69" s="27">
        <v>1050.46</v>
      </c>
      <c r="G69" s="28">
        <v>2.07E-2</v>
      </c>
      <c r="H69" s="29">
        <v>7.5296000000000002E-2</v>
      </c>
    </row>
    <row r="70" spans="2:16" ht="15.75" customHeight="1" x14ac:dyDescent="0.2">
      <c r="B70" s="25" t="s">
        <v>405</v>
      </c>
      <c r="C70" s="25" t="s">
        <v>406</v>
      </c>
      <c r="D70" s="25" t="s">
        <v>89</v>
      </c>
      <c r="E70" s="26">
        <v>1000000</v>
      </c>
      <c r="F70" s="27">
        <v>1044.1199999999999</v>
      </c>
      <c r="G70" s="28">
        <v>2.06E-2</v>
      </c>
      <c r="H70" s="29">
        <v>7.5316999999999995E-2</v>
      </c>
      <c r="L70" s="3"/>
    </row>
    <row r="71" spans="2:16" ht="15.75" customHeight="1" x14ac:dyDescent="0.2">
      <c r="B71" s="25" t="s">
        <v>153</v>
      </c>
      <c r="C71" s="25" t="s">
        <v>154</v>
      </c>
      <c r="D71" s="25" t="s">
        <v>89</v>
      </c>
      <c r="E71" s="26">
        <v>1000000</v>
      </c>
      <c r="F71" s="27">
        <v>1028.45</v>
      </c>
      <c r="G71" s="28">
        <v>2.0299999999999999E-2</v>
      </c>
      <c r="H71" s="29">
        <v>7.5195999999999999E-2</v>
      </c>
      <c r="L71" s="3"/>
    </row>
    <row r="72" spans="2:16" ht="15.75" customHeight="1" x14ac:dyDescent="0.2">
      <c r="B72" s="25" t="s">
        <v>92</v>
      </c>
      <c r="C72" s="25" t="s">
        <v>97</v>
      </c>
      <c r="D72" s="25" t="s">
        <v>89</v>
      </c>
      <c r="E72" s="26">
        <v>1000000</v>
      </c>
      <c r="F72" s="27">
        <v>1015.11</v>
      </c>
      <c r="G72" s="28">
        <v>0.02</v>
      </c>
      <c r="H72" s="29">
        <v>7.2307999999999997E-2</v>
      </c>
      <c r="L72" s="3"/>
    </row>
    <row r="73" spans="2:16" ht="15.75" customHeight="1" x14ac:dyDescent="0.2">
      <c r="B73" s="25" t="s">
        <v>162</v>
      </c>
      <c r="C73" s="25" t="s">
        <v>163</v>
      </c>
      <c r="D73" s="25" t="s">
        <v>89</v>
      </c>
      <c r="E73" s="26">
        <v>900000</v>
      </c>
      <c r="F73" s="27">
        <v>924.87</v>
      </c>
      <c r="G73" s="28">
        <v>1.8200000000000001E-2</v>
      </c>
      <c r="H73" s="29">
        <v>7.1819999999999995E-2</v>
      </c>
      <c r="L73" s="3"/>
    </row>
    <row r="74" spans="2:16" ht="15.75" customHeight="1" x14ac:dyDescent="0.2">
      <c r="B74" s="25" t="s">
        <v>151</v>
      </c>
      <c r="C74" s="25" t="s">
        <v>152</v>
      </c>
      <c r="D74" s="25" t="s">
        <v>89</v>
      </c>
      <c r="E74" s="26">
        <v>650000</v>
      </c>
      <c r="F74" s="27">
        <v>665.34</v>
      </c>
      <c r="G74" s="28">
        <v>1.3100000000000001E-2</v>
      </c>
      <c r="H74" s="29">
        <v>7.1877999999999997E-2</v>
      </c>
      <c r="L74" s="3"/>
    </row>
    <row r="75" spans="2:16" ht="15.75" customHeight="1" x14ac:dyDescent="0.2">
      <c r="B75" s="25" t="s">
        <v>407</v>
      </c>
      <c r="C75" s="25" t="s">
        <v>408</v>
      </c>
      <c r="D75" s="25" t="s">
        <v>96</v>
      </c>
      <c r="E75" s="26">
        <v>500</v>
      </c>
      <c r="F75" s="27">
        <v>534.47</v>
      </c>
      <c r="G75" s="28">
        <v>1.0500000000000001E-2</v>
      </c>
      <c r="H75" s="29">
        <v>7.5999999999999998E-2</v>
      </c>
      <c r="L75" s="5"/>
      <c r="M75" s="5"/>
      <c r="N75" s="6"/>
      <c r="O75" s="6"/>
      <c r="P75" s="5"/>
    </row>
    <row r="76" spans="2:16" ht="15.75" customHeight="1" x14ac:dyDescent="0.2">
      <c r="B76" s="25" t="s">
        <v>88</v>
      </c>
      <c r="C76" s="25" t="s">
        <v>409</v>
      </c>
      <c r="D76" s="25" t="s">
        <v>89</v>
      </c>
      <c r="E76" s="26">
        <v>500000</v>
      </c>
      <c r="F76" s="27">
        <v>522.58000000000004</v>
      </c>
      <c r="G76" s="28">
        <v>1.03E-2</v>
      </c>
      <c r="H76" s="29">
        <v>7.5264999999999999E-2</v>
      </c>
    </row>
    <row r="77" spans="2:16" ht="15.75" customHeight="1" x14ac:dyDescent="0.2">
      <c r="B77" s="25" t="s">
        <v>113</v>
      </c>
      <c r="C77" s="25" t="s">
        <v>114</v>
      </c>
      <c r="D77" s="25" t="s">
        <v>96</v>
      </c>
      <c r="E77" s="26">
        <v>50</v>
      </c>
      <c r="F77" s="27">
        <v>505.55</v>
      </c>
      <c r="G77" s="28">
        <v>0.01</v>
      </c>
      <c r="H77" s="29">
        <v>7.5950000000000004E-2</v>
      </c>
    </row>
    <row r="78" spans="2:16" ht="15.75" customHeight="1" x14ac:dyDescent="0.2">
      <c r="B78" s="25" t="s">
        <v>109</v>
      </c>
      <c r="C78" s="25" t="s">
        <v>110</v>
      </c>
      <c r="D78" s="25" t="s">
        <v>96</v>
      </c>
      <c r="E78" s="26">
        <v>50</v>
      </c>
      <c r="F78" s="27">
        <v>499.59</v>
      </c>
      <c r="G78" s="28">
        <v>9.7999999999999997E-3</v>
      </c>
      <c r="H78" s="29">
        <v>7.8E-2</v>
      </c>
      <c r="L78" s="7"/>
      <c r="M78" s="7"/>
      <c r="N78" s="7"/>
      <c r="O78" s="7"/>
      <c r="P78" s="7"/>
    </row>
    <row r="79" spans="2:16" ht="15.75" customHeight="1" x14ac:dyDescent="0.2">
      <c r="B79" s="25" t="s">
        <v>410</v>
      </c>
      <c r="C79" s="25" t="s">
        <v>411</v>
      </c>
      <c r="D79" s="25" t="s">
        <v>89</v>
      </c>
      <c r="E79" s="26">
        <v>500000</v>
      </c>
      <c r="F79" s="27">
        <v>486.94</v>
      </c>
      <c r="G79" s="28">
        <v>9.5999999999999992E-3</v>
      </c>
      <c r="H79" s="29">
        <v>7.2375999999999996E-2</v>
      </c>
      <c r="L79" s="7"/>
      <c r="M79" s="7"/>
      <c r="N79" s="7"/>
      <c r="O79" s="7"/>
      <c r="P79" s="7"/>
    </row>
    <row r="80" spans="2:16" ht="15.75" customHeight="1" x14ac:dyDescent="0.2">
      <c r="B80" s="25" t="s">
        <v>92</v>
      </c>
      <c r="C80" s="25" t="s">
        <v>93</v>
      </c>
      <c r="D80" s="25" t="s">
        <v>89</v>
      </c>
      <c r="E80" s="26">
        <v>350000</v>
      </c>
      <c r="F80" s="27">
        <v>353.87</v>
      </c>
      <c r="G80" s="28">
        <v>7.0000000000000001E-3</v>
      </c>
      <c r="H80" s="29">
        <v>7.2388999999999995E-2</v>
      </c>
      <c r="L80" s="7"/>
      <c r="M80" s="7"/>
      <c r="N80" s="7"/>
      <c r="O80" s="7"/>
      <c r="P80" s="7"/>
    </row>
    <row r="81" spans="2:16" ht="15.75" customHeight="1" x14ac:dyDescent="0.2">
      <c r="B81" s="25" t="s">
        <v>157</v>
      </c>
      <c r="C81" s="25" t="s">
        <v>158</v>
      </c>
      <c r="D81" s="25" t="s">
        <v>96</v>
      </c>
      <c r="E81" s="26">
        <v>37500</v>
      </c>
      <c r="F81" s="27">
        <v>3.9</v>
      </c>
      <c r="G81" s="28">
        <v>1E-4</v>
      </c>
      <c r="H81" s="29">
        <v>7.7498999999999998E-2</v>
      </c>
      <c r="L81" s="7"/>
      <c r="M81" s="7"/>
      <c r="N81" s="7"/>
      <c r="O81" s="7"/>
      <c r="P81" s="7"/>
    </row>
    <row r="82" spans="2:16" ht="15.75" customHeight="1" x14ac:dyDescent="0.2">
      <c r="B82" s="24" t="s">
        <v>98</v>
      </c>
      <c r="C82" s="24"/>
      <c r="D82" s="24"/>
      <c r="E82" s="30"/>
      <c r="F82" s="31">
        <v>10063.129999999999</v>
      </c>
      <c r="G82" s="32">
        <v>0.19839999999999999</v>
      </c>
      <c r="H82" s="33"/>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24" t="s">
        <v>99</v>
      </c>
      <c r="C84" s="25"/>
      <c r="D84" s="25"/>
      <c r="E84" s="26"/>
      <c r="F84" s="27"/>
      <c r="G84" s="28"/>
      <c r="H84" s="29"/>
      <c r="L84" s="7"/>
      <c r="M84" s="7"/>
      <c r="N84" s="7"/>
      <c r="O84" s="7"/>
      <c r="P84" s="7"/>
    </row>
    <row r="85" spans="2:16" ht="15.75" customHeight="1" x14ac:dyDescent="0.2">
      <c r="B85" s="24" t="s">
        <v>98</v>
      </c>
      <c r="C85" s="25"/>
      <c r="D85" s="25"/>
      <c r="E85" s="26"/>
      <c r="F85" s="34" t="s">
        <v>100</v>
      </c>
      <c r="G85" s="35" t="s">
        <v>100</v>
      </c>
      <c r="H85" s="29"/>
    </row>
    <row r="86" spans="2:16" ht="15.75" customHeight="1" x14ac:dyDescent="0.2">
      <c r="B86" s="25"/>
      <c r="C86" s="25"/>
      <c r="D86" s="25"/>
      <c r="E86" s="26"/>
      <c r="F86" s="27"/>
      <c r="G86" s="28"/>
      <c r="H86" s="29"/>
      <c r="L86" s="3"/>
    </row>
    <row r="87" spans="2:16" ht="15.75" customHeight="1" x14ac:dyDescent="0.2">
      <c r="B87" s="24" t="s">
        <v>101</v>
      </c>
      <c r="C87" s="25"/>
      <c r="D87" s="25"/>
      <c r="E87" s="26"/>
      <c r="F87" s="27"/>
      <c r="G87" s="28"/>
      <c r="H87" s="29"/>
    </row>
    <row r="88" spans="2:16" ht="15.75" customHeight="1" x14ac:dyDescent="0.2">
      <c r="B88" s="24" t="s">
        <v>98</v>
      </c>
      <c r="C88" s="25"/>
      <c r="D88" s="25"/>
      <c r="E88" s="26"/>
      <c r="F88" s="34" t="s">
        <v>100</v>
      </c>
      <c r="G88" s="35" t="s">
        <v>100</v>
      </c>
      <c r="H88" s="29"/>
    </row>
    <row r="89" spans="2:16" ht="15.75" customHeight="1" x14ac:dyDescent="0.2">
      <c r="B89" s="25"/>
      <c r="C89" s="25"/>
      <c r="D89" s="25"/>
      <c r="E89" s="26"/>
      <c r="F89" s="27"/>
      <c r="G89" s="28"/>
      <c r="H89" s="29"/>
    </row>
    <row r="90" spans="2:16" ht="15.75" customHeight="1" x14ac:dyDescent="0.2">
      <c r="B90" s="36" t="s">
        <v>102</v>
      </c>
      <c r="C90" s="36"/>
      <c r="D90" s="36"/>
      <c r="E90" s="37"/>
      <c r="F90" s="31">
        <v>10063.129999999999</v>
      </c>
      <c r="G90" s="32">
        <v>0.19839999999999999</v>
      </c>
      <c r="H90" s="33"/>
    </row>
    <row r="91" spans="2:16" ht="15.75" customHeight="1" x14ac:dyDescent="0.2">
      <c r="B91" s="25"/>
      <c r="C91" s="25"/>
      <c r="D91" s="25"/>
      <c r="E91" s="26"/>
      <c r="F91" s="27"/>
      <c r="G91" s="28"/>
      <c r="H91" s="29"/>
    </row>
    <row r="92" spans="2:16" ht="15.75" customHeight="1" x14ac:dyDescent="0.2">
      <c r="B92" s="25"/>
      <c r="C92" s="25"/>
      <c r="D92" s="25"/>
      <c r="E92" s="26"/>
      <c r="F92" s="27"/>
      <c r="G92" s="28"/>
      <c r="H92" s="29"/>
    </row>
    <row r="93" spans="2:16" ht="15.75" customHeight="1" x14ac:dyDescent="0.2">
      <c r="B93" s="24" t="s">
        <v>105</v>
      </c>
      <c r="C93" s="25"/>
      <c r="D93" s="25"/>
      <c r="E93" s="26"/>
      <c r="F93" s="27"/>
      <c r="G93" s="28"/>
      <c r="H93" s="29"/>
    </row>
    <row r="94" spans="2:16" ht="15.75" customHeight="1" x14ac:dyDescent="0.2">
      <c r="B94" s="25" t="s">
        <v>106</v>
      </c>
      <c r="C94" s="25"/>
      <c r="D94" s="25"/>
      <c r="E94" s="26"/>
      <c r="F94" s="27">
        <v>2196.52</v>
      </c>
      <c r="G94" s="28">
        <v>4.3299999999999998E-2</v>
      </c>
      <c r="H94" s="29"/>
    </row>
    <row r="95" spans="2:16" ht="15.75" customHeight="1" x14ac:dyDescent="0.2">
      <c r="B95" s="24" t="s">
        <v>98</v>
      </c>
      <c r="C95" s="24"/>
      <c r="D95" s="24"/>
      <c r="E95" s="30"/>
      <c r="F95" s="31">
        <v>2196.52</v>
      </c>
      <c r="G95" s="32">
        <v>4.3299999999999998E-2</v>
      </c>
      <c r="H95" s="33"/>
    </row>
    <row r="96" spans="2:16" ht="15.75" customHeight="1" x14ac:dyDescent="0.2">
      <c r="B96" s="25"/>
      <c r="C96" s="25"/>
      <c r="D96" s="25"/>
      <c r="E96" s="26"/>
      <c r="F96" s="27"/>
      <c r="G96" s="28"/>
      <c r="H96" s="29"/>
    </row>
    <row r="97" spans="2:8" ht="15.75" customHeight="1" x14ac:dyDescent="0.2">
      <c r="B97" s="36" t="s">
        <v>102</v>
      </c>
      <c r="C97" s="36"/>
      <c r="D97" s="36"/>
      <c r="E97" s="37"/>
      <c r="F97" s="31">
        <v>2196.52</v>
      </c>
      <c r="G97" s="32">
        <v>4.3299999999999998E-2</v>
      </c>
      <c r="H97" s="33"/>
    </row>
    <row r="98" spans="2:8" ht="15.75" customHeight="1" x14ac:dyDescent="0.2">
      <c r="B98" s="25" t="s">
        <v>107</v>
      </c>
      <c r="C98" s="25"/>
      <c r="D98" s="25"/>
      <c r="E98" s="26"/>
      <c r="F98" s="27">
        <v>544.37</v>
      </c>
      <c r="G98" s="28">
        <v>1.0799999999999921E-2</v>
      </c>
      <c r="H98" s="29"/>
    </row>
    <row r="99" spans="2:8" ht="15.75" customHeight="1" x14ac:dyDescent="0.2">
      <c r="B99" s="40" t="s">
        <v>108</v>
      </c>
      <c r="C99" s="40"/>
      <c r="D99" s="40"/>
      <c r="E99" s="41"/>
      <c r="F99" s="42">
        <v>50721.41</v>
      </c>
      <c r="G99" s="43">
        <v>1</v>
      </c>
      <c r="H99" s="44"/>
    </row>
    <row r="100" spans="2:8" ht="15.75" customHeight="1" x14ac:dyDescent="0.2">
      <c r="B100" s="2"/>
    </row>
    <row r="101" spans="2:8" ht="15.75" customHeight="1" x14ac:dyDescent="0.2">
      <c r="B101" s="12" t="s">
        <v>125</v>
      </c>
    </row>
    <row r="102" spans="2:8" ht="15.75" customHeight="1" thickBot="1" x14ac:dyDescent="0.25"/>
    <row r="103" spans="2:8" ht="27" customHeight="1" thickBot="1" x14ac:dyDescent="0.25">
      <c r="B103" s="57" t="s">
        <v>925</v>
      </c>
      <c r="C103" s="58" t="s">
        <v>926</v>
      </c>
      <c r="D103" s="58" t="s">
        <v>927</v>
      </c>
      <c r="E103" s="63" t="s">
        <v>928</v>
      </c>
      <c r="G103" s="2"/>
      <c r="H103" s="2"/>
    </row>
    <row r="104" spans="2:8" ht="35.25" customHeight="1" x14ac:dyDescent="0.2">
      <c r="B104" s="64" t="s">
        <v>11</v>
      </c>
      <c r="C104" s="89"/>
      <c r="D104" s="86" t="s">
        <v>946</v>
      </c>
      <c r="E104" s="87"/>
      <c r="G104" s="2"/>
      <c r="H104" s="2"/>
    </row>
    <row r="105" spans="2:8" ht="18.75" customHeight="1" x14ac:dyDescent="0.2">
      <c r="B105" s="66" t="s">
        <v>947</v>
      </c>
      <c r="C105" s="80"/>
      <c r="D105" s="86"/>
      <c r="E105" s="83"/>
      <c r="G105" s="2"/>
      <c r="H105" s="2"/>
    </row>
    <row r="106" spans="2:8" ht="36.75" customHeight="1" x14ac:dyDescent="0.2">
      <c r="B106" s="66" t="s">
        <v>948</v>
      </c>
      <c r="C106" s="80"/>
      <c r="D106" s="86"/>
      <c r="E106" s="83"/>
      <c r="G106" s="2"/>
      <c r="H106" s="2"/>
    </row>
    <row r="107" spans="2:8" ht="20.100000000000001" customHeight="1" thickBot="1" x14ac:dyDescent="0.25">
      <c r="B107" s="68" t="s">
        <v>943</v>
      </c>
      <c r="C107" s="90"/>
      <c r="D107" s="71" t="s">
        <v>943</v>
      </c>
      <c r="E107" s="88"/>
      <c r="G107" s="2"/>
      <c r="H107" s="2"/>
    </row>
    <row r="108" spans="2:8" ht="24.95" customHeight="1" x14ac:dyDescent="0.2">
      <c r="B108" s="59" t="s">
        <v>929</v>
      </c>
      <c r="C108" s="60"/>
      <c r="D108" s="61"/>
      <c r="E108" s="62"/>
      <c r="G108" s="2"/>
      <c r="H108" s="2"/>
    </row>
    <row r="110" spans="2:8" ht="12" x14ac:dyDescent="0.2">
      <c r="B110" s="2" t="s">
        <v>930</v>
      </c>
      <c r="C110" s="2"/>
      <c r="D110" s="2"/>
      <c r="G110" s="2"/>
      <c r="H110" s="2"/>
    </row>
    <row r="111" spans="2:8" ht="12" x14ac:dyDescent="0.2">
      <c r="B111" s="3" t="s">
        <v>931</v>
      </c>
      <c r="C111" s="2"/>
      <c r="D111" s="2"/>
      <c r="G111" s="2"/>
      <c r="H111" s="2"/>
    </row>
  </sheetData>
  <mergeCells count="3">
    <mergeCell ref="C104:C107"/>
    <mergeCell ref="D104:D106"/>
    <mergeCell ref="E104:E107"/>
  </mergeCells>
  <hyperlinks>
    <hyperlink ref="I1" location="'Sheet1'!A1" display="Index" xr:uid="{C819E1ED-9AB4-407A-85DA-3274FF9EB18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563F9-27E6-4BAE-A4A7-F897F2C058B5}">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140625" style="9" customWidth="1"/>
    <col min="4" max="4" width="26.5703125" style="9" customWidth="1"/>
    <col min="5" max="5" width="30.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431629</v>
      </c>
      <c r="F7" s="27">
        <v>6057.48</v>
      </c>
      <c r="G7" s="28">
        <v>0.2051</v>
      </c>
      <c r="H7" s="29"/>
    </row>
    <row r="8" spans="2:9" ht="15.75" customHeight="1" x14ac:dyDescent="0.2">
      <c r="B8" s="25" t="s">
        <v>128</v>
      </c>
      <c r="C8" s="25" t="s">
        <v>129</v>
      </c>
      <c r="D8" s="25" t="s">
        <v>130</v>
      </c>
      <c r="E8" s="26">
        <v>394288</v>
      </c>
      <c r="F8" s="27">
        <v>4148.7</v>
      </c>
      <c r="G8" s="28">
        <v>0.14050000000000001</v>
      </c>
      <c r="H8" s="29"/>
    </row>
    <row r="9" spans="2:9" ht="15.75" customHeight="1" x14ac:dyDescent="0.2">
      <c r="B9" s="25" t="s">
        <v>266</v>
      </c>
      <c r="C9" s="25" t="s">
        <v>267</v>
      </c>
      <c r="D9" s="25" t="s">
        <v>130</v>
      </c>
      <c r="E9" s="26">
        <v>296539</v>
      </c>
      <c r="F9" s="27">
        <v>2218.41</v>
      </c>
      <c r="G9" s="28">
        <v>7.51E-2</v>
      </c>
      <c r="H9" s="29"/>
    </row>
    <row r="10" spans="2:9" ht="15.75" customHeight="1" x14ac:dyDescent="0.2">
      <c r="B10" s="25" t="s">
        <v>268</v>
      </c>
      <c r="C10" s="25" t="s">
        <v>269</v>
      </c>
      <c r="D10" s="25" t="s">
        <v>130</v>
      </c>
      <c r="E10" s="26">
        <v>204142</v>
      </c>
      <c r="F10" s="27">
        <v>2194.73</v>
      </c>
      <c r="G10" s="28">
        <v>7.4300000000000005E-2</v>
      </c>
      <c r="H10" s="29"/>
    </row>
    <row r="11" spans="2:9" ht="15.75" customHeight="1" x14ac:dyDescent="0.2">
      <c r="B11" s="25" t="s">
        <v>226</v>
      </c>
      <c r="C11" s="25" t="s">
        <v>227</v>
      </c>
      <c r="D11" s="25" t="s">
        <v>130</v>
      </c>
      <c r="E11" s="26">
        <v>831927</v>
      </c>
      <c r="F11" s="27">
        <v>1251.22</v>
      </c>
      <c r="G11" s="28">
        <v>4.24E-2</v>
      </c>
      <c r="H11" s="29"/>
    </row>
    <row r="12" spans="2:9" ht="15.75" customHeight="1" x14ac:dyDescent="0.2">
      <c r="B12" s="25" t="s">
        <v>412</v>
      </c>
      <c r="C12" s="25" t="s">
        <v>413</v>
      </c>
      <c r="D12" s="25" t="s">
        <v>179</v>
      </c>
      <c r="E12" s="26">
        <v>72320</v>
      </c>
      <c r="F12" s="27">
        <v>1063.18</v>
      </c>
      <c r="G12" s="28">
        <v>3.5999999999999997E-2</v>
      </c>
      <c r="H12" s="29"/>
    </row>
    <row r="13" spans="2:9" ht="15.75" customHeight="1" x14ac:dyDescent="0.2">
      <c r="B13" s="25" t="s">
        <v>414</v>
      </c>
      <c r="C13" s="25" t="s">
        <v>415</v>
      </c>
      <c r="D13" s="25" t="s">
        <v>130</v>
      </c>
      <c r="E13" s="26">
        <v>780100</v>
      </c>
      <c r="F13" s="27">
        <v>998.14</v>
      </c>
      <c r="G13" s="28">
        <v>3.3799999999999997E-2</v>
      </c>
      <c r="H13" s="29"/>
    </row>
    <row r="14" spans="2:9" ht="15.75" customHeight="1" x14ac:dyDescent="0.2">
      <c r="B14" s="25" t="s">
        <v>255</v>
      </c>
      <c r="C14" s="25" t="s">
        <v>256</v>
      </c>
      <c r="D14" s="25" t="s">
        <v>179</v>
      </c>
      <c r="E14" s="26">
        <v>107161</v>
      </c>
      <c r="F14" s="27">
        <v>980.26</v>
      </c>
      <c r="G14" s="28">
        <v>3.32E-2</v>
      </c>
      <c r="H14" s="29"/>
    </row>
    <row r="15" spans="2:9" ht="15.75" customHeight="1" x14ac:dyDescent="0.2">
      <c r="B15" s="25" t="s">
        <v>416</v>
      </c>
      <c r="C15" s="25" t="s">
        <v>417</v>
      </c>
      <c r="D15" s="25" t="s">
        <v>179</v>
      </c>
      <c r="E15" s="26">
        <v>148991</v>
      </c>
      <c r="F15" s="27">
        <v>879.57</v>
      </c>
      <c r="G15" s="28">
        <v>2.98E-2</v>
      </c>
      <c r="H15" s="29"/>
    </row>
    <row r="16" spans="2:9" ht="15.75" customHeight="1" x14ac:dyDescent="0.2">
      <c r="B16" s="25" t="s">
        <v>418</v>
      </c>
      <c r="C16" s="25" t="s">
        <v>419</v>
      </c>
      <c r="D16" s="25" t="s">
        <v>179</v>
      </c>
      <c r="E16" s="26">
        <v>517534</v>
      </c>
      <c r="F16" s="27">
        <v>865.06</v>
      </c>
      <c r="G16" s="28">
        <v>2.93E-2</v>
      </c>
      <c r="H16" s="29"/>
    </row>
    <row r="17" spans="2:8" ht="15.75" customHeight="1" x14ac:dyDescent="0.2">
      <c r="B17" s="25" t="s">
        <v>420</v>
      </c>
      <c r="C17" s="25" t="s">
        <v>421</v>
      </c>
      <c r="D17" s="25" t="s">
        <v>130</v>
      </c>
      <c r="E17" s="26">
        <v>245748</v>
      </c>
      <c r="F17" s="27">
        <v>859.38</v>
      </c>
      <c r="G17" s="28">
        <v>2.9100000000000001E-2</v>
      </c>
      <c r="H17" s="29"/>
    </row>
    <row r="18" spans="2:8" ht="15.75" customHeight="1" x14ac:dyDescent="0.2">
      <c r="B18" s="25" t="s">
        <v>295</v>
      </c>
      <c r="C18" s="25" t="s">
        <v>296</v>
      </c>
      <c r="D18" s="25" t="s">
        <v>179</v>
      </c>
      <c r="E18" s="26">
        <v>196803</v>
      </c>
      <c r="F18" s="27">
        <v>788.59</v>
      </c>
      <c r="G18" s="28">
        <v>2.6700000000000002E-2</v>
      </c>
      <c r="H18" s="29"/>
    </row>
    <row r="19" spans="2:8" ht="15.75" customHeight="1" x14ac:dyDescent="0.2">
      <c r="B19" s="25" t="s">
        <v>367</v>
      </c>
      <c r="C19" s="25" t="s">
        <v>368</v>
      </c>
      <c r="D19" s="25" t="s">
        <v>179</v>
      </c>
      <c r="E19" s="26">
        <v>105409</v>
      </c>
      <c r="F19" s="27">
        <v>744.5</v>
      </c>
      <c r="G19" s="28">
        <v>2.52E-2</v>
      </c>
      <c r="H19" s="29"/>
    </row>
    <row r="20" spans="2:8" ht="15.75" customHeight="1" x14ac:dyDescent="0.2">
      <c r="B20" s="25" t="s">
        <v>422</v>
      </c>
      <c r="C20" s="25" t="s">
        <v>423</v>
      </c>
      <c r="D20" s="25" t="s">
        <v>179</v>
      </c>
      <c r="E20" s="26">
        <v>50984</v>
      </c>
      <c r="F20" s="27">
        <v>741.77</v>
      </c>
      <c r="G20" s="28">
        <v>2.5100000000000001E-2</v>
      </c>
      <c r="H20" s="29"/>
    </row>
    <row r="21" spans="2:8" ht="15.75" customHeight="1" x14ac:dyDescent="0.2">
      <c r="B21" s="25" t="s">
        <v>358</v>
      </c>
      <c r="C21" s="25" t="s">
        <v>359</v>
      </c>
      <c r="D21" s="25" t="s">
        <v>130</v>
      </c>
      <c r="E21" s="26">
        <v>734059</v>
      </c>
      <c r="F21" s="27">
        <v>731.49</v>
      </c>
      <c r="G21" s="28">
        <v>2.4799999999999999E-2</v>
      </c>
      <c r="H21" s="29"/>
    </row>
    <row r="22" spans="2:8" ht="15.75" customHeight="1" x14ac:dyDescent="0.2">
      <c r="B22" s="25" t="s">
        <v>327</v>
      </c>
      <c r="C22" s="25" t="s">
        <v>328</v>
      </c>
      <c r="D22" s="25" t="s">
        <v>179</v>
      </c>
      <c r="E22" s="26">
        <v>37148</v>
      </c>
      <c r="F22" s="27">
        <v>484.32</v>
      </c>
      <c r="G22" s="28">
        <v>1.6400000000000001E-2</v>
      </c>
      <c r="H22" s="29"/>
    </row>
    <row r="23" spans="2:8" ht="15.75" customHeight="1" x14ac:dyDescent="0.2">
      <c r="B23" s="25" t="s">
        <v>424</v>
      </c>
      <c r="C23" s="25" t="s">
        <v>425</v>
      </c>
      <c r="D23" s="25" t="s">
        <v>130</v>
      </c>
      <c r="E23" s="26">
        <v>253865</v>
      </c>
      <c r="F23" s="27">
        <v>466.1</v>
      </c>
      <c r="G23" s="28">
        <v>1.5800000000000002E-2</v>
      </c>
      <c r="H23" s="29"/>
    </row>
    <row r="24" spans="2:8" ht="15.75" customHeight="1" x14ac:dyDescent="0.2">
      <c r="B24" s="25" t="s">
        <v>426</v>
      </c>
      <c r="C24" s="25" t="s">
        <v>427</v>
      </c>
      <c r="D24" s="25" t="s">
        <v>179</v>
      </c>
      <c r="E24" s="26">
        <v>50780</v>
      </c>
      <c r="F24" s="27">
        <v>464.97</v>
      </c>
      <c r="G24" s="28">
        <v>1.5699999999999999E-2</v>
      </c>
      <c r="H24" s="29"/>
    </row>
    <row r="25" spans="2:8" ht="15.75" customHeight="1" x14ac:dyDescent="0.2">
      <c r="B25" s="25" t="s">
        <v>428</v>
      </c>
      <c r="C25" s="25" t="s">
        <v>429</v>
      </c>
      <c r="D25" s="25" t="s">
        <v>179</v>
      </c>
      <c r="E25" s="26">
        <v>134622</v>
      </c>
      <c r="F25" s="27">
        <v>453.95</v>
      </c>
      <c r="G25" s="28">
        <v>1.54E-2</v>
      </c>
      <c r="H25" s="29"/>
    </row>
    <row r="26" spans="2:8" ht="15.75" customHeight="1" x14ac:dyDescent="0.2">
      <c r="B26" s="25" t="s">
        <v>290</v>
      </c>
      <c r="C26" s="25" t="s">
        <v>291</v>
      </c>
      <c r="D26" s="25" t="s">
        <v>179</v>
      </c>
      <c r="E26" s="26">
        <v>138844</v>
      </c>
      <c r="F26" s="27">
        <v>393.48</v>
      </c>
      <c r="G26" s="28">
        <v>1.3299999999999999E-2</v>
      </c>
      <c r="H26" s="29"/>
    </row>
    <row r="27" spans="2:8" ht="15.75" customHeight="1" x14ac:dyDescent="0.2">
      <c r="B27" s="25" t="s">
        <v>430</v>
      </c>
      <c r="C27" s="25" t="s">
        <v>431</v>
      </c>
      <c r="D27" s="25" t="s">
        <v>282</v>
      </c>
      <c r="E27" s="26">
        <v>32917</v>
      </c>
      <c r="F27" s="27">
        <v>319.2</v>
      </c>
      <c r="G27" s="28">
        <v>1.0800000000000001E-2</v>
      </c>
      <c r="H27" s="29"/>
    </row>
    <row r="28" spans="2:8" ht="15.75" customHeight="1" x14ac:dyDescent="0.2">
      <c r="B28" s="25" t="s">
        <v>253</v>
      </c>
      <c r="C28" s="25" t="s">
        <v>254</v>
      </c>
      <c r="D28" s="25" t="s">
        <v>130</v>
      </c>
      <c r="E28" s="26">
        <v>19844</v>
      </c>
      <c r="F28" s="27">
        <v>292.68</v>
      </c>
      <c r="G28" s="28">
        <v>9.9000000000000008E-3</v>
      </c>
      <c r="H28" s="29"/>
    </row>
    <row r="29" spans="2:8" ht="15.75" customHeight="1" x14ac:dyDescent="0.2">
      <c r="B29" s="25" t="s">
        <v>323</v>
      </c>
      <c r="C29" s="25" t="s">
        <v>324</v>
      </c>
      <c r="D29" s="25" t="s">
        <v>130</v>
      </c>
      <c r="E29" s="26">
        <v>216494</v>
      </c>
      <c r="F29" s="27">
        <v>292.58999999999997</v>
      </c>
      <c r="G29" s="28">
        <v>9.9000000000000008E-3</v>
      </c>
      <c r="H29" s="29"/>
    </row>
    <row r="30" spans="2:8" ht="15.75" customHeight="1" x14ac:dyDescent="0.2">
      <c r="B30" s="25" t="s">
        <v>214</v>
      </c>
      <c r="C30" s="25" t="s">
        <v>215</v>
      </c>
      <c r="D30" s="25" t="s">
        <v>130</v>
      </c>
      <c r="E30" s="26">
        <v>17066</v>
      </c>
      <c r="F30" s="27">
        <v>288.32</v>
      </c>
      <c r="G30" s="28">
        <v>9.7999999999999997E-3</v>
      </c>
      <c r="H30" s="29"/>
    </row>
    <row r="31" spans="2:8" ht="15.75" customHeight="1" x14ac:dyDescent="0.2">
      <c r="B31" s="25" t="s">
        <v>432</v>
      </c>
      <c r="C31" s="25" t="s">
        <v>433</v>
      </c>
      <c r="D31" s="25" t="s">
        <v>130</v>
      </c>
      <c r="E31" s="26">
        <v>489067</v>
      </c>
      <c r="F31" s="27">
        <v>255.29</v>
      </c>
      <c r="G31" s="28">
        <v>8.6E-3</v>
      </c>
      <c r="H31" s="29"/>
    </row>
    <row r="32" spans="2:8" ht="15.75" customHeight="1" x14ac:dyDescent="0.2">
      <c r="B32" s="24" t="s">
        <v>98</v>
      </c>
      <c r="C32" s="24"/>
      <c r="D32" s="24"/>
      <c r="E32" s="30"/>
      <c r="F32" s="31">
        <v>28233.38</v>
      </c>
      <c r="G32" s="32">
        <v>0.95609999999999995</v>
      </c>
      <c r="H32" s="33"/>
    </row>
    <row r="33" spans="2:8" ht="15.75" customHeight="1" x14ac:dyDescent="0.2">
      <c r="B33" s="24" t="s">
        <v>150</v>
      </c>
      <c r="C33" s="25"/>
      <c r="D33" s="25"/>
      <c r="E33" s="26"/>
      <c r="F33" s="27"/>
      <c r="G33" s="28"/>
      <c r="H33" s="29"/>
    </row>
    <row r="34" spans="2:8" ht="15.75" customHeight="1" x14ac:dyDescent="0.2">
      <c r="B34" s="24" t="s">
        <v>98</v>
      </c>
      <c r="C34" s="25"/>
      <c r="D34" s="25"/>
      <c r="E34" s="26"/>
      <c r="F34" s="34" t="s">
        <v>100</v>
      </c>
      <c r="G34" s="35" t="s">
        <v>100</v>
      </c>
      <c r="H34" s="29"/>
    </row>
    <row r="35" spans="2:8" ht="15.75" customHeight="1" x14ac:dyDescent="0.2">
      <c r="B35" s="25"/>
      <c r="C35" s="25"/>
      <c r="D35" s="25"/>
      <c r="E35" s="26"/>
      <c r="F35" s="27"/>
      <c r="G35" s="28"/>
      <c r="H35" s="29"/>
    </row>
    <row r="36" spans="2:8" ht="15.75" customHeight="1" x14ac:dyDescent="0.2">
      <c r="B36" s="36" t="s">
        <v>102</v>
      </c>
      <c r="C36" s="36"/>
      <c r="D36" s="36"/>
      <c r="E36" s="37"/>
      <c r="F36" s="31">
        <v>28233.38</v>
      </c>
      <c r="G36" s="32">
        <v>0.95609999999999995</v>
      </c>
      <c r="H36" s="33"/>
    </row>
    <row r="37" spans="2:8" ht="15.75" customHeight="1" x14ac:dyDescent="0.2">
      <c r="B37" s="25"/>
      <c r="C37" s="25"/>
      <c r="D37" s="25"/>
      <c r="E37" s="26"/>
      <c r="F37" s="27"/>
      <c r="G37" s="28"/>
      <c r="H37" s="29"/>
    </row>
    <row r="38" spans="2:8" ht="15.75" customHeight="1" x14ac:dyDescent="0.2">
      <c r="B38" s="25"/>
      <c r="C38" s="25"/>
      <c r="D38" s="25"/>
      <c r="E38" s="26"/>
      <c r="F38" s="27"/>
      <c r="G38" s="28"/>
      <c r="H38" s="29"/>
    </row>
    <row r="39" spans="2:8" ht="15.75" customHeight="1" x14ac:dyDescent="0.2">
      <c r="B39" s="24" t="s">
        <v>105</v>
      </c>
      <c r="C39" s="25"/>
      <c r="D39" s="25"/>
      <c r="E39" s="26"/>
      <c r="F39" s="27"/>
      <c r="G39" s="28"/>
      <c r="H39" s="29"/>
    </row>
    <row r="40" spans="2:8" ht="15.75" customHeight="1" x14ac:dyDescent="0.2">
      <c r="B40" s="25" t="s">
        <v>106</v>
      </c>
      <c r="C40" s="25"/>
      <c r="D40" s="25"/>
      <c r="E40" s="26"/>
      <c r="F40" s="27">
        <v>1275.56</v>
      </c>
      <c r="G40" s="28">
        <v>4.3200000000000002E-2</v>
      </c>
      <c r="H40" s="29"/>
    </row>
    <row r="41" spans="2:8" ht="15.75" customHeight="1" x14ac:dyDescent="0.2">
      <c r="B41" s="24" t="s">
        <v>98</v>
      </c>
      <c r="C41" s="24"/>
      <c r="D41" s="24"/>
      <c r="E41" s="30"/>
      <c r="F41" s="31">
        <v>1275.56</v>
      </c>
      <c r="G41" s="32">
        <v>4.3200000000000002E-2</v>
      </c>
      <c r="H41" s="33"/>
    </row>
    <row r="42" spans="2:8" ht="15.75" customHeight="1" x14ac:dyDescent="0.2">
      <c r="B42" s="25"/>
      <c r="C42" s="25"/>
      <c r="D42" s="25"/>
      <c r="E42" s="26"/>
      <c r="F42" s="27"/>
      <c r="G42" s="28"/>
      <c r="H42" s="29"/>
    </row>
    <row r="43" spans="2:8" ht="15.75" customHeight="1" x14ac:dyDescent="0.2">
      <c r="B43" s="36" t="s">
        <v>102</v>
      </c>
      <c r="C43" s="36"/>
      <c r="D43" s="36"/>
      <c r="E43" s="37"/>
      <c r="F43" s="31">
        <v>1275.56</v>
      </c>
      <c r="G43" s="32">
        <v>4.3200000000000002E-2</v>
      </c>
      <c r="H43" s="33"/>
    </row>
    <row r="44" spans="2:8" ht="15.75" customHeight="1" x14ac:dyDescent="0.2">
      <c r="B44" s="25" t="s">
        <v>107</v>
      </c>
      <c r="C44" s="25"/>
      <c r="D44" s="25"/>
      <c r="E44" s="26"/>
      <c r="F44" s="27">
        <v>19.559999999999999</v>
      </c>
      <c r="G44" s="28">
        <v>7.0000000000003393E-4</v>
      </c>
      <c r="H44" s="29"/>
    </row>
    <row r="45" spans="2:8" ht="15.75" customHeight="1" x14ac:dyDescent="0.2">
      <c r="B45" s="40" t="s">
        <v>108</v>
      </c>
      <c r="C45" s="40"/>
      <c r="D45" s="40"/>
      <c r="E45" s="41"/>
      <c r="F45" s="42">
        <v>29528.5</v>
      </c>
      <c r="G45" s="43">
        <v>1</v>
      </c>
      <c r="H45" s="44"/>
    </row>
    <row r="46" spans="2:8" ht="15.75" customHeight="1" thickBot="1" x14ac:dyDescent="0.25">
      <c r="B46" s="2"/>
    </row>
    <row r="47" spans="2:8" ht="27" customHeight="1" thickBot="1" x14ac:dyDescent="0.25">
      <c r="B47" s="57" t="s">
        <v>925</v>
      </c>
      <c r="C47" s="58" t="s">
        <v>926</v>
      </c>
      <c r="D47" s="58" t="s">
        <v>927</v>
      </c>
      <c r="E47" s="63" t="s">
        <v>928</v>
      </c>
      <c r="G47" s="2"/>
      <c r="H47" s="2"/>
    </row>
    <row r="48" spans="2:8" ht="20.25" customHeight="1" x14ac:dyDescent="0.2">
      <c r="B48" s="70" t="s">
        <v>949</v>
      </c>
      <c r="C48" s="82"/>
      <c r="D48" s="72"/>
      <c r="E48" s="87"/>
      <c r="G48" s="2"/>
      <c r="H48" s="2"/>
    </row>
    <row r="49" spans="2:8" ht="39.950000000000003" customHeight="1" x14ac:dyDescent="0.2">
      <c r="B49" s="66" t="s">
        <v>950</v>
      </c>
      <c r="C49" s="83"/>
      <c r="D49" s="86" t="s">
        <v>951</v>
      </c>
      <c r="E49" s="83"/>
      <c r="G49" s="2"/>
      <c r="H49" s="2"/>
    </row>
    <row r="50" spans="2:8" ht="44.25" customHeight="1" x14ac:dyDescent="0.2">
      <c r="B50" s="66" t="s">
        <v>952</v>
      </c>
      <c r="C50" s="83"/>
      <c r="D50" s="86"/>
      <c r="E50" s="83"/>
      <c r="G50" s="2"/>
      <c r="H50" s="2"/>
    </row>
    <row r="51" spans="2:8" ht="29.25" customHeight="1" thickBot="1" x14ac:dyDescent="0.25">
      <c r="B51" s="68" t="s">
        <v>953</v>
      </c>
      <c r="C51" s="84"/>
      <c r="D51" s="71" t="s">
        <v>953</v>
      </c>
      <c r="E51" s="88"/>
      <c r="G51" s="2"/>
      <c r="H51" s="2"/>
    </row>
    <row r="52" spans="2:8" ht="24.95" customHeight="1" x14ac:dyDescent="0.2">
      <c r="B52" s="59" t="s">
        <v>929</v>
      </c>
      <c r="C52" s="60"/>
      <c r="D52" s="61"/>
      <c r="E52" s="62"/>
      <c r="G52" s="2"/>
      <c r="H52" s="2"/>
    </row>
    <row r="54" spans="2:8" ht="12" x14ac:dyDescent="0.2">
      <c r="B54" s="2" t="s">
        <v>930</v>
      </c>
      <c r="C54" s="2"/>
      <c r="D54" s="2"/>
      <c r="G54" s="2"/>
      <c r="H54" s="2"/>
    </row>
    <row r="55" spans="2:8" ht="12" x14ac:dyDescent="0.2">
      <c r="B55" s="3" t="s">
        <v>931</v>
      </c>
      <c r="C55" s="2"/>
      <c r="D55" s="2"/>
      <c r="G55" s="2"/>
      <c r="H55"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8:C51"/>
    <mergeCell ref="E48:E51"/>
    <mergeCell ref="D49:D50"/>
  </mergeCells>
  <hyperlinks>
    <hyperlink ref="I1" location="'Sheet1'!A1" display="Index" xr:uid="{5E729C04-E465-4D49-8DC7-451C68F2C61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C83ED-4D19-4A28-90A3-9D964BB68A30}">
  <dimension ref="B1:P88"/>
  <sheetViews>
    <sheetView workbookViewId="0"/>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28"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128</v>
      </c>
      <c r="C7" s="25" t="s">
        <v>129</v>
      </c>
      <c r="D7" s="25" t="s">
        <v>130</v>
      </c>
      <c r="E7" s="26">
        <v>9975</v>
      </c>
      <c r="F7" s="27">
        <v>104.96</v>
      </c>
      <c r="G7" s="28">
        <v>6.7900000000000002E-2</v>
      </c>
      <c r="H7" s="29"/>
    </row>
    <row r="8" spans="2:9" ht="15.75" customHeight="1" x14ac:dyDescent="0.2">
      <c r="B8" s="25" t="s">
        <v>134</v>
      </c>
      <c r="C8" s="25" t="s">
        <v>135</v>
      </c>
      <c r="D8" s="25" t="s">
        <v>130</v>
      </c>
      <c r="E8" s="26">
        <v>6340</v>
      </c>
      <c r="F8" s="27">
        <v>88.98</v>
      </c>
      <c r="G8" s="28">
        <v>5.7599999999999998E-2</v>
      </c>
      <c r="H8" s="29"/>
    </row>
    <row r="9" spans="2:9" ht="15.75" customHeight="1" x14ac:dyDescent="0.2">
      <c r="B9" s="25" t="s">
        <v>131</v>
      </c>
      <c r="C9" s="25" t="s">
        <v>132</v>
      </c>
      <c r="D9" s="25" t="s">
        <v>133</v>
      </c>
      <c r="E9" s="26">
        <v>4042</v>
      </c>
      <c r="F9" s="27">
        <v>67.66</v>
      </c>
      <c r="G9" s="28">
        <v>4.3799999999999999E-2</v>
      </c>
      <c r="H9" s="29"/>
    </row>
    <row r="10" spans="2:9" ht="15.75" customHeight="1" x14ac:dyDescent="0.2">
      <c r="B10" s="25" t="s">
        <v>136</v>
      </c>
      <c r="C10" s="25" t="s">
        <v>137</v>
      </c>
      <c r="D10" s="25" t="s">
        <v>138</v>
      </c>
      <c r="E10" s="26">
        <v>2062</v>
      </c>
      <c r="F10" s="27">
        <v>60.24</v>
      </c>
      <c r="G10" s="28">
        <v>3.9E-2</v>
      </c>
      <c r="H10" s="29"/>
    </row>
    <row r="11" spans="2:9" ht="15.75" customHeight="1" x14ac:dyDescent="0.2">
      <c r="B11" s="25" t="s">
        <v>266</v>
      </c>
      <c r="C11" s="25" t="s">
        <v>267</v>
      </c>
      <c r="D11" s="25" t="s">
        <v>130</v>
      </c>
      <c r="E11" s="26">
        <v>6141</v>
      </c>
      <c r="F11" s="27">
        <v>45.94</v>
      </c>
      <c r="G11" s="28">
        <v>2.9700000000000001E-2</v>
      </c>
      <c r="H11" s="29"/>
    </row>
    <row r="12" spans="2:9" ht="15.75" customHeight="1" x14ac:dyDescent="0.2">
      <c r="B12" s="25" t="s">
        <v>207</v>
      </c>
      <c r="C12" s="25" t="s">
        <v>208</v>
      </c>
      <c r="D12" s="25" t="s">
        <v>209</v>
      </c>
      <c r="E12" s="26">
        <v>1173</v>
      </c>
      <c r="F12" s="27">
        <v>45.53</v>
      </c>
      <c r="G12" s="28">
        <v>2.9499999999999998E-2</v>
      </c>
      <c r="H12" s="29"/>
    </row>
    <row r="13" spans="2:9" ht="15.75" customHeight="1" x14ac:dyDescent="0.2">
      <c r="B13" s="25" t="s">
        <v>172</v>
      </c>
      <c r="C13" s="25" t="s">
        <v>173</v>
      </c>
      <c r="D13" s="25" t="s">
        <v>174</v>
      </c>
      <c r="E13" s="26">
        <v>1302</v>
      </c>
      <c r="F13" s="27">
        <v>45.28</v>
      </c>
      <c r="G13" s="28">
        <v>2.93E-2</v>
      </c>
      <c r="H13" s="29"/>
    </row>
    <row r="14" spans="2:9" ht="15.75" customHeight="1" x14ac:dyDescent="0.2">
      <c r="B14" s="25" t="s">
        <v>268</v>
      </c>
      <c r="C14" s="25" t="s">
        <v>269</v>
      </c>
      <c r="D14" s="25" t="s">
        <v>130</v>
      </c>
      <c r="E14" s="26">
        <v>4154</v>
      </c>
      <c r="F14" s="27">
        <v>44.66</v>
      </c>
      <c r="G14" s="28">
        <v>2.8899999999999999E-2</v>
      </c>
      <c r="H14" s="29"/>
    </row>
    <row r="15" spans="2:9" ht="15.75" customHeight="1" x14ac:dyDescent="0.2">
      <c r="B15" s="25" t="s">
        <v>434</v>
      </c>
      <c r="C15" s="25" t="s">
        <v>435</v>
      </c>
      <c r="D15" s="25" t="s">
        <v>294</v>
      </c>
      <c r="E15" s="26">
        <v>5390</v>
      </c>
      <c r="F15" s="27">
        <v>41.49</v>
      </c>
      <c r="G15" s="28">
        <v>2.6800000000000001E-2</v>
      </c>
      <c r="H15" s="29"/>
    </row>
    <row r="16" spans="2:9" ht="15.75" customHeight="1" x14ac:dyDescent="0.2">
      <c r="B16" s="25" t="s">
        <v>436</v>
      </c>
      <c r="C16" s="25" t="s">
        <v>437</v>
      </c>
      <c r="D16" s="25" t="s">
        <v>294</v>
      </c>
      <c r="E16" s="26">
        <v>3481</v>
      </c>
      <c r="F16" s="27">
        <v>34.880000000000003</v>
      </c>
      <c r="G16" s="28">
        <v>2.2599999999999999E-2</v>
      </c>
      <c r="H16" s="29"/>
    </row>
    <row r="17" spans="2:8" ht="15.75" customHeight="1" x14ac:dyDescent="0.2">
      <c r="B17" s="25" t="s">
        <v>199</v>
      </c>
      <c r="C17" s="25" t="s">
        <v>200</v>
      </c>
      <c r="D17" s="25" t="s">
        <v>133</v>
      </c>
      <c r="E17" s="26">
        <v>851</v>
      </c>
      <c r="F17" s="27">
        <v>34.85</v>
      </c>
      <c r="G17" s="28">
        <v>2.2599999999999999E-2</v>
      </c>
      <c r="H17" s="29"/>
    </row>
    <row r="18" spans="2:8" ht="15.75" customHeight="1" x14ac:dyDescent="0.2">
      <c r="B18" s="25" t="s">
        <v>388</v>
      </c>
      <c r="C18" s="25" t="s">
        <v>389</v>
      </c>
      <c r="D18" s="25" t="s">
        <v>147</v>
      </c>
      <c r="E18" s="26">
        <v>6569</v>
      </c>
      <c r="F18" s="27">
        <v>34.28</v>
      </c>
      <c r="G18" s="28">
        <v>2.2200000000000001E-2</v>
      </c>
      <c r="H18" s="29"/>
    </row>
    <row r="19" spans="2:8" ht="15.75" customHeight="1" x14ac:dyDescent="0.2">
      <c r="B19" s="25" t="s">
        <v>356</v>
      </c>
      <c r="C19" s="25" t="s">
        <v>357</v>
      </c>
      <c r="D19" s="25" t="s">
        <v>355</v>
      </c>
      <c r="E19" s="26">
        <v>2681</v>
      </c>
      <c r="F19" s="27">
        <v>32.450000000000003</v>
      </c>
      <c r="G19" s="28">
        <v>2.1000000000000001E-2</v>
      </c>
      <c r="H19" s="29"/>
    </row>
    <row r="20" spans="2:8" ht="15.75" customHeight="1" x14ac:dyDescent="0.2">
      <c r="B20" s="25" t="s">
        <v>139</v>
      </c>
      <c r="C20" s="25" t="s">
        <v>140</v>
      </c>
      <c r="D20" s="25" t="s">
        <v>141</v>
      </c>
      <c r="E20" s="26">
        <v>1140</v>
      </c>
      <c r="F20" s="27">
        <v>27.5</v>
      </c>
      <c r="G20" s="28">
        <v>1.78E-2</v>
      </c>
      <c r="H20" s="29"/>
    </row>
    <row r="21" spans="2:8" ht="15.75" customHeight="1" x14ac:dyDescent="0.2">
      <c r="B21" s="25" t="s">
        <v>438</v>
      </c>
      <c r="C21" s="25" t="s">
        <v>439</v>
      </c>
      <c r="D21" s="25" t="s">
        <v>144</v>
      </c>
      <c r="E21" s="26">
        <v>2719</v>
      </c>
      <c r="F21" s="27">
        <v>25.84</v>
      </c>
      <c r="G21" s="28">
        <v>1.67E-2</v>
      </c>
      <c r="H21" s="29"/>
    </row>
    <row r="22" spans="2:8" ht="15.75" customHeight="1" x14ac:dyDescent="0.2">
      <c r="B22" s="25" t="s">
        <v>440</v>
      </c>
      <c r="C22" s="25" t="s">
        <v>441</v>
      </c>
      <c r="D22" s="25" t="s">
        <v>285</v>
      </c>
      <c r="E22" s="26">
        <v>258</v>
      </c>
      <c r="F22" s="27">
        <v>25.52</v>
      </c>
      <c r="G22" s="28">
        <v>1.6500000000000001E-2</v>
      </c>
      <c r="H22" s="29"/>
    </row>
    <row r="23" spans="2:8" ht="15.75" customHeight="1" x14ac:dyDescent="0.2">
      <c r="B23" s="25" t="s">
        <v>442</v>
      </c>
      <c r="C23" s="25" t="s">
        <v>443</v>
      </c>
      <c r="D23" s="25" t="s">
        <v>444</v>
      </c>
      <c r="E23" s="26">
        <v>2997</v>
      </c>
      <c r="F23" s="27">
        <v>25.32</v>
      </c>
      <c r="G23" s="28">
        <v>1.6400000000000001E-2</v>
      </c>
      <c r="H23" s="29"/>
    </row>
    <row r="24" spans="2:8" ht="15.75" customHeight="1" x14ac:dyDescent="0.2">
      <c r="B24" s="25" t="s">
        <v>445</v>
      </c>
      <c r="C24" s="25" t="s">
        <v>446</v>
      </c>
      <c r="D24" s="25" t="s">
        <v>174</v>
      </c>
      <c r="E24" s="26">
        <v>10219</v>
      </c>
      <c r="F24" s="27">
        <v>25.25</v>
      </c>
      <c r="G24" s="28">
        <v>1.6299999999999999E-2</v>
      </c>
      <c r="H24" s="29"/>
    </row>
    <row r="25" spans="2:8" ht="15.75" customHeight="1" x14ac:dyDescent="0.2">
      <c r="B25" s="25" t="s">
        <v>145</v>
      </c>
      <c r="C25" s="25" t="s">
        <v>146</v>
      </c>
      <c r="D25" s="25" t="s">
        <v>147</v>
      </c>
      <c r="E25" s="26">
        <v>950</v>
      </c>
      <c r="F25" s="27">
        <v>24.66</v>
      </c>
      <c r="G25" s="28">
        <v>1.6E-2</v>
      </c>
      <c r="H25" s="29"/>
    </row>
    <row r="26" spans="2:8" ht="15.75" customHeight="1" x14ac:dyDescent="0.2">
      <c r="B26" s="25" t="s">
        <v>241</v>
      </c>
      <c r="C26" s="25" t="s">
        <v>242</v>
      </c>
      <c r="D26" s="25" t="s">
        <v>168</v>
      </c>
      <c r="E26" s="26">
        <v>2192</v>
      </c>
      <c r="F26" s="27">
        <v>24.62</v>
      </c>
      <c r="G26" s="28">
        <v>1.5900000000000001E-2</v>
      </c>
      <c r="H26" s="29"/>
    </row>
    <row r="27" spans="2:8" ht="15.75" customHeight="1" x14ac:dyDescent="0.2">
      <c r="B27" s="25" t="s">
        <v>447</v>
      </c>
      <c r="C27" s="25" t="s">
        <v>448</v>
      </c>
      <c r="D27" s="25" t="s">
        <v>237</v>
      </c>
      <c r="E27" s="26">
        <v>2897</v>
      </c>
      <c r="F27" s="27">
        <v>24.4</v>
      </c>
      <c r="G27" s="28">
        <v>1.5800000000000002E-2</v>
      </c>
      <c r="H27" s="29"/>
    </row>
    <row r="28" spans="2:8" ht="15.75" customHeight="1" x14ac:dyDescent="0.2">
      <c r="B28" s="25" t="s">
        <v>272</v>
      </c>
      <c r="C28" s="25" t="s">
        <v>273</v>
      </c>
      <c r="D28" s="25" t="s">
        <v>185</v>
      </c>
      <c r="E28" s="26">
        <v>1418</v>
      </c>
      <c r="F28" s="27">
        <v>22.38</v>
      </c>
      <c r="G28" s="28">
        <v>1.4500000000000001E-2</v>
      </c>
      <c r="H28" s="29"/>
    </row>
    <row r="29" spans="2:8" ht="15.75" customHeight="1" x14ac:dyDescent="0.2">
      <c r="B29" s="25" t="s">
        <v>148</v>
      </c>
      <c r="C29" s="25" t="s">
        <v>149</v>
      </c>
      <c r="D29" s="25" t="s">
        <v>133</v>
      </c>
      <c r="E29" s="26">
        <v>421</v>
      </c>
      <c r="F29" s="27">
        <v>22.32</v>
      </c>
      <c r="G29" s="28">
        <v>1.44E-2</v>
      </c>
      <c r="H29" s="29"/>
    </row>
    <row r="30" spans="2:8" ht="15.75" customHeight="1" x14ac:dyDescent="0.2">
      <c r="B30" s="25" t="s">
        <v>449</v>
      </c>
      <c r="C30" s="25" t="s">
        <v>450</v>
      </c>
      <c r="D30" s="25" t="s">
        <v>355</v>
      </c>
      <c r="E30" s="26">
        <v>4456</v>
      </c>
      <c r="F30" s="27">
        <v>22.2</v>
      </c>
      <c r="G30" s="28">
        <v>1.44E-2</v>
      </c>
      <c r="H30" s="29"/>
    </row>
    <row r="31" spans="2:8" ht="15.75" customHeight="1" x14ac:dyDescent="0.2">
      <c r="B31" s="25" t="s">
        <v>451</v>
      </c>
      <c r="C31" s="25" t="s">
        <v>452</v>
      </c>
      <c r="D31" s="25" t="s">
        <v>294</v>
      </c>
      <c r="E31" s="26">
        <v>4174</v>
      </c>
      <c r="F31" s="27">
        <v>21.89</v>
      </c>
      <c r="G31" s="28">
        <v>1.4200000000000001E-2</v>
      </c>
      <c r="H31" s="29"/>
    </row>
    <row r="32" spans="2:8" ht="15.75" customHeight="1" x14ac:dyDescent="0.2">
      <c r="B32" s="25" t="s">
        <v>453</v>
      </c>
      <c r="C32" s="25" t="s">
        <v>454</v>
      </c>
      <c r="D32" s="25" t="s">
        <v>209</v>
      </c>
      <c r="E32" s="26">
        <v>9718</v>
      </c>
      <c r="F32" s="27">
        <v>21.88</v>
      </c>
      <c r="G32" s="28">
        <v>1.4200000000000001E-2</v>
      </c>
      <c r="H32" s="29"/>
    </row>
    <row r="33" spans="2:8" ht="15.75" customHeight="1" x14ac:dyDescent="0.2">
      <c r="B33" s="25" t="s">
        <v>278</v>
      </c>
      <c r="C33" s="25" t="s">
        <v>279</v>
      </c>
      <c r="D33" s="25" t="s">
        <v>222</v>
      </c>
      <c r="E33" s="26">
        <v>893</v>
      </c>
      <c r="F33" s="27">
        <v>21.34</v>
      </c>
      <c r="G33" s="28">
        <v>1.38E-2</v>
      </c>
      <c r="H33" s="29"/>
    </row>
    <row r="34" spans="2:8" ht="15.75" customHeight="1" x14ac:dyDescent="0.2">
      <c r="B34" s="25" t="s">
        <v>274</v>
      </c>
      <c r="C34" s="25" t="s">
        <v>275</v>
      </c>
      <c r="D34" s="25" t="s">
        <v>144</v>
      </c>
      <c r="E34" s="26">
        <v>188</v>
      </c>
      <c r="F34" s="27">
        <v>21.22</v>
      </c>
      <c r="G34" s="28">
        <v>1.37E-2</v>
      </c>
      <c r="H34" s="29"/>
    </row>
    <row r="35" spans="2:8" ht="15.75" customHeight="1" x14ac:dyDescent="0.2">
      <c r="B35" s="25" t="s">
        <v>455</v>
      </c>
      <c r="C35" s="25" t="s">
        <v>456</v>
      </c>
      <c r="D35" s="25" t="s">
        <v>320</v>
      </c>
      <c r="E35" s="26">
        <v>1862</v>
      </c>
      <c r="F35" s="27">
        <v>20.04</v>
      </c>
      <c r="G35" s="28">
        <v>1.2999999999999999E-2</v>
      </c>
      <c r="H35" s="29"/>
    </row>
    <row r="36" spans="2:8" ht="15.75" customHeight="1" x14ac:dyDescent="0.2">
      <c r="B36" s="25" t="s">
        <v>414</v>
      </c>
      <c r="C36" s="25" t="s">
        <v>415</v>
      </c>
      <c r="D36" s="25" t="s">
        <v>130</v>
      </c>
      <c r="E36" s="26">
        <v>14905</v>
      </c>
      <c r="F36" s="27">
        <v>19.07</v>
      </c>
      <c r="G36" s="28">
        <v>1.23E-2</v>
      </c>
      <c r="H36" s="29"/>
    </row>
    <row r="37" spans="2:8" ht="15.75" customHeight="1" x14ac:dyDescent="0.2">
      <c r="B37" s="25" t="s">
        <v>457</v>
      </c>
      <c r="C37" s="25" t="s">
        <v>458</v>
      </c>
      <c r="D37" s="25" t="s">
        <v>333</v>
      </c>
      <c r="E37" s="26">
        <v>905</v>
      </c>
      <c r="F37" s="27">
        <v>18.329999999999998</v>
      </c>
      <c r="G37" s="28">
        <v>1.1900000000000001E-2</v>
      </c>
      <c r="H37" s="29"/>
    </row>
    <row r="38" spans="2:8" ht="15.75" customHeight="1" x14ac:dyDescent="0.2">
      <c r="B38" s="25" t="s">
        <v>422</v>
      </c>
      <c r="C38" s="25" t="s">
        <v>423</v>
      </c>
      <c r="D38" s="25" t="s">
        <v>179</v>
      </c>
      <c r="E38" s="26">
        <v>1244</v>
      </c>
      <c r="F38" s="27">
        <v>18.100000000000001</v>
      </c>
      <c r="G38" s="28">
        <v>1.17E-2</v>
      </c>
      <c r="H38" s="29"/>
    </row>
    <row r="39" spans="2:8" ht="15.75" customHeight="1" x14ac:dyDescent="0.2">
      <c r="B39" s="25" t="s">
        <v>214</v>
      </c>
      <c r="C39" s="25" t="s">
        <v>215</v>
      </c>
      <c r="D39" s="25" t="s">
        <v>130</v>
      </c>
      <c r="E39" s="26">
        <v>1029</v>
      </c>
      <c r="F39" s="27">
        <v>17.38</v>
      </c>
      <c r="G39" s="28">
        <v>1.1299999999999999E-2</v>
      </c>
      <c r="H39" s="29"/>
    </row>
    <row r="40" spans="2:8" ht="15.75" customHeight="1" x14ac:dyDescent="0.2">
      <c r="B40" s="25" t="s">
        <v>318</v>
      </c>
      <c r="C40" s="25" t="s">
        <v>319</v>
      </c>
      <c r="D40" s="25" t="s">
        <v>320</v>
      </c>
      <c r="E40" s="26">
        <v>473</v>
      </c>
      <c r="F40" s="27">
        <v>17.37</v>
      </c>
      <c r="G40" s="28">
        <v>1.12E-2</v>
      </c>
      <c r="H40" s="29"/>
    </row>
    <row r="41" spans="2:8" ht="15.75" customHeight="1" x14ac:dyDescent="0.2">
      <c r="B41" s="25" t="s">
        <v>334</v>
      </c>
      <c r="C41" s="25" t="s">
        <v>335</v>
      </c>
      <c r="D41" s="25" t="s">
        <v>185</v>
      </c>
      <c r="E41" s="26">
        <v>338</v>
      </c>
      <c r="F41" s="27">
        <v>17.329999999999998</v>
      </c>
      <c r="G41" s="28">
        <v>1.12E-2</v>
      </c>
      <c r="H41" s="29"/>
    </row>
    <row r="42" spans="2:8" ht="15.75" customHeight="1" x14ac:dyDescent="0.2">
      <c r="B42" s="25" t="s">
        <v>459</v>
      </c>
      <c r="C42" s="25" t="s">
        <v>460</v>
      </c>
      <c r="D42" s="25" t="s">
        <v>206</v>
      </c>
      <c r="E42" s="26">
        <v>4274</v>
      </c>
      <c r="F42" s="27">
        <v>17.32</v>
      </c>
      <c r="G42" s="28">
        <v>1.12E-2</v>
      </c>
      <c r="H42" s="29"/>
    </row>
    <row r="43" spans="2:8" ht="15.75" customHeight="1" x14ac:dyDescent="0.2">
      <c r="B43" s="25" t="s">
        <v>461</v>
      </c>
      <c r="C43" s="25" t="s">
        <v>462</v>
      </c>
      <c r="D43" s="25" t="s">
        <v>237</v>
      </c>
      <c r="E43" s="26">
        <v>24417</v>
      </c>
      <c r="F43" s="27">
        <v>17.13</v>
      </c>
      <c r="G43" s="28">
        <v>1.11E-2</v>
      </c>
      <c r="H43" s="29"/>
    </row>
    <row r="44" spans="2:8" ht="15.75" customHeight="1" x14ac:dyDescent="0.2">
      <c r="B44" s="25" t="s">
        <v>321</v>
      </c>
      <c r="C44" s="25" t="s">
        <v>322</v>
      </c>
      <c r="D44" s="25" t="s">
        <v>209</v>
      </c>
      <c r="E44" s="26">
        <v>3708</v>
      </c>
      <c r="F44" s="27">
        <v>16.96</v>
      </c>
      <c r="G44" s="28">
        <v>1.0999999999999999E-2</v>
      </c>
      <c r="H44" s="29"/>
    </row>
    <row r="45" spans="2:8" ht="15.75" customHeight="1" x14ac:dyDescent="0.2">
      <c r="B45" s="25" t="s">
        <v>201</v>
      </c>
      <c r="C45" s="25" t="s">
        <v>202</v>
      </c>
      <c r="D45" s="25" t="s">
        <v>203</v>
      </c>
      <c r="E45" s="26">
        <v>277</v>
      </c>
      <c r="F45" s="27">
        <v>16.899999999999999</v>
      </c>
      <c r="G45" s="28">
        <v>1.09E-2</v>
      </c>
      <c r="H45" s="29"/>
    </row>
    <row r="46" spans="2:8" ht="15.75" customHeight="1" x14ac:dyDescent="0.2">
      <c r="B46" s="25" t="s">
        <v>463</v>
      </c>
      <c r="C46" s="25" t="s">
        <v>464</v>
      </c>
      <c r="D46" s="25" t="s">
        <v>147</v>
      </c>
      <c r="E46" s="26">
        <v>327</v>
      </c>
      <c r="F46" s="27">
        <v>16.239999999999998</v>
      </c>
      <c r="G46" s="28">
        <v>1.0500000000000001E-2</v>
      </c>
      <c r="H46" s="29"/>
    </row>
    <row r="47" spans="2:8" ht="15.75" customHeight="1" x14ac:dyDescent="0.2">
      <c r="B47" s="25" t="s">
        <v>465</v>
      </c>
      <c r="C47" s="25" t="s">
        <v>466</v>
      </c>
      <c r="D47" s="25" t="s">
        <v>294</v>
      </c>
      <c r="E47" s="26">
        <v>672</v>
      </c>
      <c r="F47" s="27">
        <v>15.56</v>
      </c>
      <c r="G47" s="28">
        <v>1.01E-2</v>
      </c>
      <c r="H47" s="29"/>
    </row>
    <row r="48" spans="2:8" ht="15.75" customHeight="1" x14ac:dyDescent="0.2">
      <c r="B48" s="25" t="s">
        <v>270</v>
      </c>
      <c r="C48" s="25" t="s">
        <v>271</v>
      </c>
      <c r="D48" s="25" t="s">
        <v>133</v>
      </c>
      <c r="E48" s="26">
        <v>917</v>
      </c>
      <c r="F48" s="27">
        <v>15.26</v>
      </c>
      <c r="G48" s="28">
        <v>9.9000000000000008E-3</v>
      </c>
      <c r="H48" s="29"/>
    </row>
    <row r="49" spans="2:8" ht="15.75" customHeight="1" x14ac:dyDescent="0.2">
      <c r="B49" s="25" t="s">
        <v>390</v>
      </c>
      <c r="C49" s="25" t="s">
        <v>391</v>
      </c>
      <c r="D49" s="25" t="s">
        <v>362</v>
      </c>
      <c r="E49" s="26">
        <v>2980</v>
      </c>
      <c r="F49" s="27">
        <v>13.82</v>
      </c>
      <c r="G49" s="28">
        <v>8.8999999999999999E-3</v>
      </c>
      <c r="H49" s="29"/>
    </row>
    <row r="50" spans="2:8" ht="15.75" customHeight="1" x14ac:dyDescent="0.2">
      <c r="B50" s="25" t="s">
        <v>301</v>
      </c>
      <c r="C50" s="25" t="s">
        <v>302</v>
      </c>
      <c r="D50" s="25" t="s">
        <v>185</v>
      </c>
      <c r="E50" s="26">
        <v>436</v>
      </c>
      <c r="F50" s="27">
        <v>11.62</v>
      </c>
      <c r="G50" s="28">
        <v>7.4999999999999997E-3</v>
      </c>
      <c r="H50" s="29"/>
    </row>
    <row r="51" spans="2:8" ht="15.75" customHeight="1" x14ac:dyDescent="0.2">
      <c r="B51" s="25" t="s">
        <v>216</v>
      </c>
      <c r="C51" s="25" t="s">
        <v>217</v>
      </c>
      <c r="D51" s="25" t="s">
        <v>206</v>
      </c>
      <c r="E51" s="26">
        <v>400</v>
      </c>
      <c r="F51" s="27">
        <v>11.29</v>
      </c>
      <c r="G51" s="28">
        <v>7.3000000000000001E-3</v>
      </c>
      <c r="H51" s="29"/>
    </row>
    <row r="52" spans="2:8" ht="15.75" customHeight="1" x14ac:dyDescent="0.2">
      <c r="B52" s="24" t="s">
        <v>98</v>
      </c>
      <c r="C52" s="24"/>
      <c r="D52" s="24"/>
      <c r="E52" s="30"/>
      <c r="F52" s="31">
        <v>1317.26</v>
      </c>
      <c r="G52" s="32">
        <v>0.85250000000000004</v>
      </c>
      <c r="H52" s="33"/>
    </row>
    <row r="53" spans="2:8" ht="15.75" customHeight="1" x14ac:dyDescent="0.2">
      <c r="B53" s="24" t="s">
        <v>150</v>
      </c>
      <c r="C53" s="25"/>
      <c r="D53" s="25"/>
      <c r="E53" s="26"/>
      <c r="F53" s="27"/>
      <c r="G53" s="28"/>
      <c r="H53" s="29"/>
    </row>
    <row r="54" spans="2:8" ht="15.75" customHeight="1" x14ac:dyDescent="0.2">
      <c r="B54" s="24" t="s">
        <v>98</v>
      </c>
      <c r="C54" s="25"/>
      <c r="D54" s="25"/>
      <c r="E54" s="26"/>
      <c r="F54" s="34" t="s">
        <v>100</v>
      </c>
      <c r="G54" s="35" t="s">
        <v>100</v>
      </c>
      <c r="H54" s="29"/>
    </row>
    <row r="55" spans="2:8" ht="15.75" customHeight="1" x14ac:dyDescent="0.2">
      <c r="B55" s="25"/>
      <c r="C55" s="25"/>
      <c r="D55" s="25"/>
      <c r="E55" s="26"/>
      <c r="F55" s="27"/>
      <c r="G55" s="28"/>
      <c r="H55" s="29"/>
    </row>
    <row r="56" spans="2:8" ht="15.75" customHeight="1" x14ac:dyDescent="0.2">
      <c r="B56" s="36" t="s">
        <v>102</v>
      </c>
      <c r="C56" s="36"/>
      <c r="D56" s="36"/>
      <c r="E56" s="37"/>
      <c r="F56" s="31">
        <v>1317.26</v>
      </c>
      <c r="G56" s="32">
        <v>0.85250000000000004</v>
      </c>
      <c r="H56" s="33"/>
    </row>
    <row r="57" spans="2:8" ht="15.75" customHeight="1" x14ac:dyDescent="0.2">
      <c r="B57" s="25"/>
      <c r="C57" s="25"/>
      <c r="D57" s="25"/>
      <c r="E57" s="26"/>
      <c r="F57" s="27"/>
      <c r="G57" s="28"/>
      <c r="H57" s="29"/>
    </row>
    <row r="58" spans="2:8" ht="15.75" customHeight="1" x14ac:dyDescent="0.2">
      <c r="B58" s="24" t="s">
        <v>86</v>
      </c>
      <c r="C58" s="25"/>
      <c r="D58" s="25"/>
      <c r="E58" s="26"/>
      <c r="F58" s="27"/>
      <c r="G58" s="28"/>
      <c r="H58" s="29"/>
    </row>
    <row r="59" spans="2:8" ht="15.75" customHeight="1" x14ac:dyDescent="0.2">
      <c r="B59" s="24" t="s">
        <v>87</v>
      </c>
      <c r="C59" s="25"/>
      <c r="D59" s="25"/>
      <c r="E59" s="26"/>
      <c r="F59" s="27"/>
      <c r="G59" s="28"/>
      <c r="H59" s="29"/>
    </row>
    <row r="60" spans="2:8" ht="15.75" customHeight="1" x14ac:dyDescent="0.2">
      <c r="B60" s="25" t="s">
        <v>151</v>
      </c>
      <c r="C60" s="25" t="s">
        <v>152</v>
      </c>
      <c r="D60" s="25" t="s">
        <v>89</v>
      </c>
      <c r="E60" s="26">
        <v>150000</v>
      </c>
      <c r="F60" s="27">
        <v>153.54</v>
      </c>
      <c r="G60" s="28">
        <v>9.9400000000000002E-2</v>
      </c>
      <c r="H60" s="29">
        <v>7.1877999999999997E-2</v>
      </c>
    </row>
    <row r="61" spans="2:8" ht="15.75" customHeight="1" x14ac:dyDescent="0.2">
      <c r="B61" s="24" t="s">
        <v>98</v>
      </c>
      <c r="C61" s="24"/>
      <c r="D61" s="24"/>
      <c r="E61" s="30"/>
      <c r="F61" s="31">
        <v>153.54</v>
      </c>
      <c r="G61" s="32">
        <v>9.9400000000000002E-2</v>
      </c>
      <c r="H61" s="33"/>
    </row>
    <row r="62" spans="2:8" ht="15.75" customHeight="1" x14ac:dyDescent="0.2">
      <c r="B62" s="25"/>
      <c r="C62" s="25"/>
      <c r="D62" s="25"/>
      <c r="E62" s="26"/>
      <c r="F62" s="27"/>
      <c r="G62" s="28"/>
      <c r="H62" s="29"/>
    </row>
    <row r="63" spans="2:8" ht="15.75" customHeight="1" x14ac:dyDescent="0.2">
      <c r="B63" s="24" t="s">
        <v>99</v>
      </c>
      <c r="C63" s="25"/>
      <c r="D63" s="25"/>
      <c r="E63" s="26"/>
      <c r="F63" s="27"/>
      <c r="G63" s="28"/>
      <c r="H63" s="29"/>
    </row>
    <row r="64" spans="2:8" ht="15.75" customHeight="1" x14ac:dyDescent="0.2">
      <c r="B64" s="24" t="s">
        <v>98</v>
      </c>
      <c r="C64" s="25"/>
      <c r="D64" s="25"/>
      <c r="E64" s="26"/>
      <c r="F64" s="34" t="s">
        <v>100</v>
      </c>
      <c r="G64" s="35" t="s">
        <v>100</v>
      </c>
      <c r="H64" s="29"/>
    </row>
    <row r="65" spans="2:16" ht="15.75" customHeight="1" x14ac:dyDescent="0.2">
      <c r="B65" s="25"/>
      <c r="C65" s="25"/>
      <c r="D65" s="25"/>
      <c r="E65" s="26"/>
      <c r="F65" s="27"/>
      <c r="G65" s="28"/>
      <c r="H65" s="29"/>
    </row>
    <row r="66" spans="2:16" ht="15.75" customHeight="1" x14ac:dyDescent="0.2">
      <c r="B66" s="24" t="s">
        <v>101</v>
      </c>
      <c r="C66" s="25"/>
      <c r="D66" s="25"/>
      <c r="E66" s="26"/>
      <c r="F66" s="27"/>
      <c r="G66" s="28"/>
      <c r="H66" s="29"/>
    </row>
    <row r="67" spans="2:16" ht="15.75" customHeight="1" x14ac:dyDescent="0.2">
      <c r="B67" s="24" t="s">
        <v>98</v>
      </c>
      <c r="C67" s="25"/>
      <c r="D67" s="25"/>
      <c r="E67" s="26"/>
      <c r="F67" s="34" t="s">
        <v>100</v>
      </c>
      <c r="G67" s="35" t="s">
        <v>100</v>
      </c>
      <c r="H67" s="29"/>
    </row>
    <row r="68" spans="2:16" ht="15.75" customHeight="1" x14ac:dyDescent="0.2">
      <c r="B68" s="25"/>
      <c r="C68" s="25"/>
      <c r="D68" s="25"/>
      <c r="E68" s="26"/>
      <c r="F68" s="27"/>
      <c r="G68" s="28"/>
      <c r="H68" s="29"/>
      <c r="L68" s="3"/>
    </row>
    <row r="69" spans="2:16" ht="15.75" customHeight="1" x14ac:dyDescent="0.2">
      <c r="B69" s="36" t="s">
        <v>102</v>
      </c>
      <c r="C69" s="36"/>
      <c r="D69" s="36"/>
      <c r="E69" s="37"/>
      <c r="F69" s="31">
        <v>153.54</v>
      </c>
      <c r="G69" s="32">
        <v>9.9400000000000002E-2</v>
      </c>
      <c r="H69" s="33"/>
    </row>
    <row r="70" spans="2:16" ht="15.75" customHeight="1" x14ac:dyDescent="0.2">
      <c r="B70" s="25"/>
      <c r="C70" s="25"/>
      <c r="D70" s="25"/>
      <c r="E70" s="26"/>
      <c r="F70" s="27"/>
      <c r="G70" s="28"/>
      <c r="H70" s="29"/>
      <c r="L70" s="3"/>
    </row>
    <row r="71" spans="2:16" ht="15.75" customHeight="1" x14ac:dyDescent="0.2">
      <c r="B71" s="25"/>
      <c r="C71" s="25"/>
      <c r="D71" s="25"/>
      <c r="E71" s="26"/>
      <c r="F71" s="27"/>
      <c r="G71" s="28"/>
      <c r="H71" s="29"/>
      <c r="L71" s="3"/>
    </row>
    <row r="72" spans="2:16" ht="15.75" customHeight="1" x14ac:dyDescent="0.2">
      <c r="B72" s="24" t="s">
        <v>105</v>
      </c>
      <c r="C72" s="25"/>
      <c r="D72" s="25"/>
      <c r="E72" s="26"/>
      <c r="F72" s="27"/>
      <c r="G72" s="28"/>
      <c r="H72" s="29"/>
      <c r="L72" s="3"/>
    </row>
    <row r="73" spans="2:16" ht="15.75" customHeight="1" x14ac:dyDescent="0.2">
      <c r="B73" s="25" t="s">
        <v>106</v>
      </c>
      <c r="C73" s="25"/>
      <c r="D73" s="25"/>
      <c r="E73" s="26"/>
      <c r="F73" s="27">
        <v>76.61</v>
      </c>
      <c r="G73" s="28">
        <v>4.9599999999999998E-2</v>
      </c>
      <c r="H73" s="29"/>
      <c r="L73" s="3"/>
    </row>
    <row r="74" spans="2:16" ht="15.75" customHeight="1" x14ac:dyDescent="0.2">
      <c r="B74" s="24" t="s">
        <v>98</v>
      </c>
      <c r="C74" s="24"/>
      <c r="D74" s="24"/>
      <c r="E74" s="30"/>
      <c r="F74" s="31">
        <v>76.61</v>
      </c>
      <c r="G74" s="32">
        <v>4.9599999999999998E-2</v>
      </c>
      <c r="H74" s="33"/>
      <c r="L74" s="3"/>
    </row>
    <row r="75" spans="2:16" ht="15.75" customHeight="1" x14ac:dyDescent="0.2">
      <c r="B75" s="25"/>
      <c r="C75" s="25"/>
      <c r="D75" s="25"/>
      <c r="E75" s="26"/>
      <c r="F75" s="27"/>
      <c r="G75" s="28"/>
      <c r="H75" s="29"/>
      <c r="L75" s="5"/>
      <c r="M75" s="5"/>
      <c r="N75" s="6"/>
      <c r="O75" s="6"/>
      <c r="P75" s="5"/>
    </row>
    <row r="76" spans="2:16" ht="15.75" customHeight="1" x14ac:dyDescent="0.2">
      <c r="B76" s="36" t="s">
        <v>102</v>
      </c>
      <c r="C76" s="36"/>
      <c r="D76" s="36"/>
      <c r="E76" s="37"/>
      <c r="F76" s="31">
        <v>76.61</v>
      </c>
      <c r="G76" s="32">
        <v>4.9599999999999998E-2</v>
      </c>
      <c r="H76" s="33"/>
    </row>
    <row r="77" spans="2:16" ht="15.75" customHeight="1" x14ac:dyDescent="0.2">
      <c r="B77" s="25" t="s">
        <v>107</v>
      </c>
      <c r="C77" s="25"/>
      <c r="D77" s="25"/>
      <c r="E77" s="26"/>
      <c r="F77" s="38">
        <v>-2.21</v>
      </c>
      <c r="G77" s="39">
        <v>-1.5000000000000568E-3</v>
      </c>
      <c r="H77" s="29"/>
    </row>
    <row r="78" spans="2:16" ht="15.75" customHeight="1" x14ac:dyDescent="0.2">
      <c r="B78" s="40" t="s">
        <v>108</v>
      </c>
      <c r="C78" s="40"/>
      <c r="D78" s="40"/>
      <c r="E78" s="41"/>
      <c r="F78" s="42">
        <v>1545.2</v>
      </c>
      <c r="G78" s="43">
        <v>1</v>
      </c>
      <c r="H78" s="44"/>
      <c r="L78" s="7"/>
      <c r="M78" s="7"/>
      <c r="N78" s="7"/>
      <c r="O78" s="7"/>
      <c r="P78" s="7"/>
    </row>
    <row r="79" spans="2:16" ht="15.75" customHeight="1" thickBot="1" x14ac:dyDescent="0.25">
      <c r="B79" s="2"/>
      <c r="L79" s="7"/>
      <c r="M79" s="7"/>
      <c r="N79" s="7"/>
      <c r="O79" s="7"/>
      <c r="P79" s="7"/>
    </row>
    <row r="80" spans="2:16" ht="27" customHeight="1" thickBot="1" x14ac:dyDescent="0.25">
      <c r="B80" s="57" t="s">
        <v>925</v>
      </c>
      <c r="C80" s="58" t="s">
        <v>926</v>
      </c>
      <c r="D80" s="58" t="s">
        <v>927</v>
      </c>
      <c r="E80" s="63" t="s">
        <v>928</v>
      </c>
      <c r="G80" s="2"/>
      <c r="H80" s="2"/>
    </row>
    <row r="81" spans="2:8" ht="29.25" customHeight="1" x14ac:dyDescent="0.2">
      <c r="B81" s="64" t="s">
        <v>954</v>
      </c>
      <c r="C81" s="82"/>
      <c r="D81" s="85" t="s">
        <v>946</v>
      </c>
      <c r="E81" s="87"/>
      <c r="G81" s="2"/>
      <c r="H81" s="2"/>
    </row>
    <row r="82" spans="2:8" ht="39.950000000000003" customHeight="1" x14ac:dyDescent="0.2">
      <c r="B82" s="66" t="s">
        <v>955</v>
      </c>
      <c r="C82" s="83"/>
      <c r="D82" s="86"/>
      <c r="E82" s="83"/>
      <c r="G82" s="2"/>
      <c r="H82" s="2"/>
    </row>
    <row r="83" spans="2:8" ht="39.950000000000003" customHeight="1" x14ac:dyDescent="0.2">
      <c r="B83" s="66" t="s">
        <v>956</v>
      </c>
      <c r="C83" s="83"/>
      <c r="D83" s="86"/>
      <c r="E83" s="83"/>
      <c r="G83" s="2"/>
      <c r="H83" s="2"/>
    </row>
    <row r="84" spans="2:8" ht="23.25" customHeight="1" thickBot="1" x14ac:dyDescent="0.25">
      <c r="B84" s="68" t="s">
        <v>943</v>
      </c>
      <c r="C84" s="84"/>
      <c r="D84" s="71" t="s">
        <v>943</v>
      </c>
      <c r="E84" s="88"/>
      <c r="G84" s="2"/>
      <c r="H84" s="2"/>
    </row>
    <row r="85" spans="2:8" ht="24.95" customHeight="1" x14ac:dyDescent="0.2">
      <c r="B85" s="59" t="s">
        <v>929</v>
      </c>
      <c r="C85" s="60"/>
      <c r="D85" s="61"/>
      <c r="E85" s="62"/>
      <c r="G85" s="2"/>
      <c r="H85" s="2"/>
    </row>
    <row r="87" spans="2:8" ht="12" x14ac:dyDescent="0.2">
      <c r="B87" s="2" t="s">
        <v>930</v>
      </c>
      <c r="C87" s="2"/>
      <c r="D87" s="2"/>
      <c r="G87" s="2"/>
      <c r="H87" s="2"/>
    </row>
    <row r="88" spans="2:8" ht="12" x14ac:dyDescent="0.2">
      <c r="B88" s="3" t="s">
        <v>931</v>
      </c>
      <c r="C88" s="2"/>
      <c r="D88" s="2"/>
      <c r="G88" s="2"/>
      <c r="H88" s="2"/>
    </row>
  </sheetData>
  <mergeCells count="3">
    <mergeCell ref="C81:C84"/>
    <mergeCell ref="D81:D83"/>
    <mergeCell ref="E81:E84"/>
  </mergeCells>
  <hyperlinks>
    <hyperlink ref="I1" location="'Sheet1'!A1" display="Index" xr:uid="{19A46C18-51F9-4C2C-AD14-A47C6C35A5F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2E170-3057-47DC-A744-88BDC79EB86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7.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131</v>
      </c>
      <c r="C7" s="25" t="s">
        <v>132</v>
      </c>
      <c r="D7" s="25" t="s">
        <v>133</v>
      </c>
      <c r="E7" s="26">
        <v>44000</v>
      </c>
      <c r="F7" s="27">
        <v>736.52</v>
      </c>
      <c r="G7" s="28">
        <v>6.4100000000000004E-2</v>
      </c>
      <c r="H7" s="29"/>
    </row>
    <row r="8" spans="2:9" ht="15.75" customHeight="1" x14ac:dyDescent="0.2">
      <c r="B8" s="25" t="s">
        <v>128</v>
      </c>
      <c r="C8" s="25" t="s">
        <v>129</v>
      </c>
      <c r="D8" s="25" t="s">
        <v>130</v>
      </c>
      <c r="E8" s="26">
        <v>55403</v>
      </c>
      <c r="F8" s="27">
        <v>582.95000000000005</v>
      </c>
      <c r="G8" s="28">
        <v>5.0700000000000002E-2</v>
      </c>
      <c r="H8" s="29"/>
    </row>
    <row r="9" spans="2:9" ht="15.75" customHeight="1" x14ac:dyDescent="0.2">
      <c r="B9" s="25" t="s">
        <v>199</v>
      </c>
      <c r="C9" s="25" t="s">
        <v>200</v>
      </c>
      <c r="D9" s="25" t="s">
        <v>133</v>
      </c>
      <c r="E9" s="26">
        <v>12257</v>
      </c>
      <c r="F9" s="27">
        <v>501.94</v>
      </c>
      <c r="G9" s="28">
        <v>4.3700000000000003E-2</v>
      </c>
      <c r="H9" s="29"/>
    </row>
    <row r="10" spans="2:9" ht="15.75" customHeight="1" x14ac:dyDescent="0.2">
      <c r="B10" s="25" t="s">
        <v>295</v>
      </c>
      <c r="C10" s="25" t="s">
        <v>296</v>
      </c>
      <c r="D10" s="25" t="s">
        <v>179</v>
      </c>
      <c r="E10" s="26">
        <v>108766</v>
      </c>
      <c r="F10" s="27">
        <v>435.83</v>
      </c>
      <c r="G10" s="28">
        <v>3.7900000000000003E-2</v>
      </c>
      <c r="H10" s="29"/>
    </row>
    <row r="11" spans="2:9" ht="15.75" customHeight="1" x14ac:dyDescent="0.2">
      <c r="B11" s="25" t="s">
        <v>467</v>
      </c>
      <c r="C11" s="25" t="s">
        <v>468</v>
      </c>
      <c r="D11" s="25" t="s">
        <v>230</v>
      </c>
      <c r="E11" s="26">
        <v>150484</v>
      </c>
      <c r="F11" s="27">
        <v>425.64</v>
      </c>
      <c r="G11" s="28">
        <v>3.6999999999999998E-2</v>
      </c>
      <c r="H11" s="29"/>
    </row>
    <row r="12" spans="2:9" ht="15.75" customHeight="1" x14ac:dyDescent="0.2">
      <c r="B12" s="25" t="s">
        <v>186</v>
      </c>
      <c r="C12" s="25" t="s">
        <v>187</v>
      </c>
      <c r="D12" s="25" t="s">
        <v>188</v>
      </c>
      <c r="E12" s="26">
        <v>199660</v>
      </c>
      <c r="F12" s="27">
        <v>409.5</v>
      </c>
      <c r="G12" s="28">
        <v>3.56E-2</v>
      </c>
      <c r="H12" s="29"/>
    </row>
    <row r="13" spans="2:9" ht="15.75" customHeight="1" x14ac:dyDescent="0.2">
      <c r="B13" s="25" t="s">
        <v>142</v>
      </c>
      <c r="C13" s="25" t="s">
        <v>143</v>
      </c>
      <c r="D13" s="25" t="s">
        <v>144</v>
      </c>
      <c r="E13" s="26">
        <v>20000</v>
      </c>
      <c r="F13" s="27">
        <v>386.48</v>
      </c>
      <c r="G13" s="28">
        <v>3.3599999999999998E-2</v>
      </c>
      <c r="H13" s="29"/>
    </row>
    <row r="14" spans="2:9" ht="15.75" customHeight="1" x14ac:dyDescent="0.2">
      <c r="B14" s="25" t="s">
        <v>276</v>
      </c>
      <c r="C14" s="25" t="s">
        <v>277</v>
      </c>
      <c r="D14" s="25" t="s">
        <v>230</v>
      </c>
      <c r="E14" s="26">
        <v>115002</v>
      </c>
      <c r="F14" s="27">
        <v>385.95</v>
      </c>
      <c r="G14" s="28">
        <v>3.3599999999999998E-2</v>
      </c>
      <c r="H14" s="29"/>
    </row>
    <row r="15" spans="2:9" ht="15.75" customHeight="1" x14ac:dyDescent="0.2">
      <c r="B15" s="25" t="s">
        <v>266</v>
      </c>
      <c r="C15" s="25" t="s">
        <v>267</v>
      </c>
      <c r="D15" s="25" t="s">
        <v>130</v>
      </c>
      <c r="E15" s="26">
        <v>49951</v>
      </c>
      <c r="F15" s="27">
        <v>373.68</v>
      </c>
      <c r="G15" s="28">
        <v>3.2500000000000001E-2</v>
      </c>
      <c r="H15" s="29"/>
    </row>
    <row r="16" spans="2:9" ht="15.75" customHeight="1" x14ac:dyDescent="0.2">
      <c r="B16" s="25" t="s">
        <v>274</v>
      </c>
      <c r="C16" s="25" t="s">
        <v>275</v>
      </c>
      <c r="D16" s="25" t="s">
        <v>144</v>
      </c>
      <c r="E16" s="26">
        <v>3306</v>
      </c>
      <c r="F16" s="27">
        <v>373.19</v>
      </c>
      <c r="G16" s="28">
        <v>3.2500000000000001E-2</v>
      </c>
      <c r="H16" s="29"/>
    </row>
    <row r="17" spans="2:8" ht="15.75" customHeight="1" x14ac:dyDescent="0.2">
      <c r="B17" s="25" t="s">
        <v>172</v>
      </c>
      <c r="C17" s="25" t="s">
        <v>173</v>
      </c>
      <c r="D17" s="25" t="s">
        <v>174</v>
      </c>
      <c r="E17" s="26">
        <v>9471</v>
      </c>
      <c r="F17" s="27">
        <v>329.36</v>
      </c>
      <c r="G17" s="28">
        <v>2.87E-2</v>
      </c>
      <c r="H17" s="29"/>
    </row>
    <row r="18" spans="2:8" ht="15.75" customHeight="1" x14ac:dyDescent="0.2">
      <c r="B18" s="25" t="s">
        <v>204</v>
      </c>
      <c r="C18" s="25" t="s">
        <v>205</v>
      </c>
      <c r="D18" s="25" t="s">
        <v>206</v>
      </c>
      <c r="E18" s="26">
        <v>9000</v>
      </c>
      <c r="F18" s="27">
        <v>326.2</v>
      </c>
      <c r="G18" s="28">
        <v>2.8400000000000002E-2</v>
      </c>
      <c r="H18" s="29"/>
    </row>
    <row r="19" spans="2:8" ht="15.75" customHeight="1" x14ac:dyDescent="0.2">
      <c r="B19" s="25" t="s">
        <v>469</v>
      </c>
      <c r="C19" s="25" t="s">
        <v>470</v>
      </c>
      <c r="D19" s="25" t="s">
        <v>471</v>
      </c>
      <c r="E19" s="26">
        <v>10000</v>
      </c>
      <c r="F19" s="27">
        <v>312.02</v>
      </c>
      <c r="G19" s="28">
        <v>2.7199999999999998E-2</v>
      </c>
      <c r="H19" s="29"/>
    </row>
    <row r="20" spans="2:8" ht="15.75" customHeight="1" x14ac:dyDescent="0.2">
      <c r="B20" s="25" t="s">
        <v>136</v>
      </c>
      <c r="C20" s="25" t="s">
        <v>137</v>
      </c>
      <c r="D20" s="25" t="s">
        <v>138</v>
      </c>
      <c r="E20" s="26">
        <v>10000</v>
      </c>
      <c r="F20" s="27">
        <v>292.16000000000003</v>
      </c>
      <c r="G20" s="28">
        <v>2.5399999999999999E-2</v>
      </c>
      <c r="H20" s="29"/>
    </row>
    <row r="21" spans="2:8" ht="15.75" customHeight="1" x14ac:dyDescent="0.2">
      <c r="B21" s="25" t="s">
        <v>243</v>
      </c>
      <c r="C21" s="25" t="s">
        <v>244</v>
      </c>
      <c r="D21" s="25" t="s">
        <v>133</v>
      </c>
      <c r="E21" s="26">
        <v>22204</v>
      </c>
      <c r="F21" s="27">
        <v>282.85000000000002</v>
      </c>
      <c r="G21" s="28">
        <v>2.46E-2</v>
      </c>
      <c r="H21" s="29"/>
    </row>
    <row r="22" spans="2:8" ht="15.75" customHeight="1" x14ac:dyDescent="0.2">
      <c r="B22" s="25" t="s">
        <v>472</v>
      </c>
      <c r="C22" s="25" t="s">
        <v>473</v>
      </c>
      <c r="D22" s="25" t="s">
        <v>185</v>
      </c>
      <c r="E22" s="26">
        <v>3164</v>
      </c>
      <c r="F22" s="27">
        <v>272.52999999999997</v>
      </c>
      <c r="G22" s="28">
        <v>2.3699999999999999E-2</v>
      </c>
      <c r="H22" s="29"/>
    </row>
    <row r="23" spans="2:8" ht="15.75" customHeight="1" x14ac:dyDescent="0.2">
      <c r="B23" s="25" t="s">
        <v>474</v>
      </c>
      <c r="C23" s="25" t="s">
        <v>475</v>
      </c>
      <c r="D23" s="25" t="s">
        <v>476</v>
      </c>
      <c r="E23" s="26">
        <v>18289</v>
      </c>
      <c r="F23" s="27">
        <v>271.47000000000003</v>
      </c>
      <c r="G23" s="28">
        <v>2.3599999999999999E-2</v>
      </c>
      <c r="H23" s="29"/>
    </row>
    <row r="24" spans="2:8" ht="15.75" customHeight="1" x14ac:dyDescent="0.2">
      <c r="B24" s="25" t="s">
        <v>177</v>
      </c>
      <c r="C24" s="25" t="s">
        <v>178</v>
      </c>
      <c r="D24" s="25" t="s">
        <v>179</v>
      </c>
      <c r="E24" s="26">
        <v>4000</v>
      </c>
      <c r="F24" s="27">
        <v>259.81</v>
      </c>
      <c r="G24" s="28">
        <v>2.2599999999999999E-2</v>
      </c>
      <c r="H24" s="29"/>
    </row>
    <row r="25" spans="2:8" ht="15.75" customHeight="1" x14ac:dyDescent="0.2">
      <c r="B25" s="25" t="s">
        <v>477</v>
      </c>
      <c r="C25" s="25" t="s">
        <v>478</v>
      </c>
      <c r="D25" s="25" t="s">
        <v>230</v>
      </c>
      <c r="E25" s="26">
        <v>288318</v>
      </c>
      <c r="F25" s="27">
        <v>254.15</v>
      </c>
      <c r="G25" s="28">
        <v>2.2100000000000002E-2</v>
      </c>
      <c r="H25" s="29"/>
    </row>
    <row r="26" spans="2:8" ht="15.75" customHeight="1" x14ac:dyDescent="0.2">
      <c r="B26" s="25" t="s">
        <v>228</v>
      </c>
      <c r="C26" s="25" t="s">
        <v>229</v>
      </c>
      <c r="D26" s="25" t="s">
        <v>230</v>
      </c>
      <c r="E26" s="26">
        <v>67759</v>
      </c>
      <c r="F26" s="27">
        <v>251.89</v>
      </c>
      <c r="G26" s="28">
        <v>2.1899999999999999E-2</v>
      </c>
      <c r="H26" s="29"/>
    </row>
    <row r="27" spans="2:8" ht="15.75" customHeight="1" x14ac:dyDescent="0.2">
      <c r="B27" s="25" t="s">
        <v>479</v>
      </c>
      <c r="C27" s="25" t="s">
        <v>480</v>
      </c>
      <c r="D27" s="25" t="s">
        <v>355</v>
      </c>
      <c r="E27" s="26">
        <v>4313</v>
      </c>
      <c r="F27" s="27">
        <v>246.12</v>
      </c>
      <c r="G27" s="28">
        <v>2.1399999999999999E-2</v>
      </c>
      <c r="H27" s="29"/>
    </row>
    <row r="28" spans="2:8" ht="15.75" customHeight="1" x14ac:dyDescent="0.2">
      <c r="B28" s="25" t="s">
        <v>481</v>
      </c>
      <c r="C28" s="25" t="s">
        <v>482</v>
      </c>
      <c r="D28" s="25" t="s">
        <v>206</v>
      </c>
      <c r="E28" s="26">
        <v>9612</v>
      </c>
      <c r="F28" s="27">
        <v>241.85</v>
      </c>
      <c r="G28" s="28">
        <v>2.1100000000000001E-2</v>
      </c>
      <c r="H28" s="29"/>
    </row>
    <row r="29" spans="2:8" ht="15.75" customHeight="1" x14ac:dyDescent="0.2">
      <c r="B29" s="25" t="s">
        <v>483</v>
      </c>
      <c r="C29" s="25" t="s">
        <v>484</v>
      </c>
      <c r="D29" s="25" t="s">
        <v>185</v>
      </c>
      <c r="E29" s="26">
        <v>6840</v>
      </c>
      <c r="F29" s="27">
        <v>238.63</v>
      </c>
      <c r="G29" s="28">
        <v>2.0799999999999999E-2</v>
      </c>
      <c r="H29" s="29"/>
    </row>
    <row r="30" spans="2:8" ht="15.75" customHeight="1" x14ac:dyDescent="0.2">
      <c r="B30" s="25" t="s">
        <v>485</v>
      </c>
      <c r="C30" s="25" t="s">
        <v>486</v>
      </c>
      <c r="D30" s="25" t="s">
        <v>309</v>
      </c>
      <c r="E30" s="26">
        <v>22304</v>
      </c>
      <c r="F30" s="27">
        <v>238.5</v>
      </c>
      <c r="G30" s="28">
        <v>2.0799999999999999E-2</v>
      </c>
      <c r="H30" s="29"/>
    </row>
    <row r="31" spans="2:8" ht="15.75" customHeight="1" x14ac:dyDescent="0.2">
      <c r="B31" s="25" t="s">
        <v>461</v>
      </c>
      <c r="C31" s="25" t="s">
        <v>462</v>
      </c>
      <c r="D31" s="25" t="s">
        <v>237</v>
      </c>
      <c r="E31" s="26">
        <v>334524</v>
      </c>
      <c r="F31" s="27">
        <v>234.67</v>
      </c>
      <c r="G31" s="28">
        <v>2.0400000000000001E-2</v>
      </c>
      <c r="H31" s="29"/>
    </row>
    <row r="32" spans="2:8" ht="15.75" customHeight="1" x14ac:dyDescent="0.2">
      <c r="B32" s="25" t="s">
        <v>377</v>
      </c>
      <c r="C32" s="25" t="s">
        <v>378</v>
      </c>
      <c r="D32" s="25" t="s">
        <v>309</v>
      </c>
      <c r="E32" s="26">
        <v>20000</v>
      </c>
      <c r="F32" s="27">
        <v>230.2</v>
      </c>
      <c r="G32" s="28">
        <v>0.02</v>
      </c>
      <c r="H32" s="29"/>
    </row>
    <row r="33" spans="2:8" ht="15.75" customHeight="1" x14ac:dyDescent="0.2">
      <c r="B33" s="25" t="s">
        <v>134</v>
      </c>
      <c r="C33" s="25" t="s">
        <v>135</v>
      </c>
      <c r="D33" s="25" t="s">
        <v>130</v>
      </c>
      <c r="E33" s="26">
        <v>16154</v>
      </c>
      <c r="F33" s="27">
        <v>226.71</v>
      </c>
      <c r="G33" s="28">
        <v>1.9699999999999999E-2</v>
      </c>
      <c r="H33" s="29"/>
    </row>
    <row r="34" spans="2:8" ht="15.75" customHeight="1" x14ac:dyDescent="0.2">
      <c r="B34" s="25" t="s">
        <v>286</v>
      </c>
      <c r="C34" s="25" t="s">
        <v>287</v>
      </c>
      <c r="D34" s="25" t="s">
        <v>130</v>
      </c>
      <c r="E34" s="26">
        <v>168266</v>
      </c>
      <c r="F34" s="27">
        <v>221.19</v>
      </c>
      <c r="G34" s="28">
        <v>1.9300000000000001E-2</v>
      </c>
      <c r="H34" s="29"/>
    </row>
    <row r="35" spans="2:8" ht="15.75" customHeight="1" x14ac:dyDescent="0.2">
      <c r="B35" s="25" t="s">
        <v>487</v>
      </c>
      <c r="C35" s="25" t="s">
        <v>488</v>
      </c>
      <c r="D35" s="25" t="s">
        <v>225</v>
      </c>
      <c r="E35" s="26">
        <v>83026</v>
      </c>
      <c r="F35" s="27">
        <v>194.82</v>
      </c>
      <c r="G35" s="28">
        <v>1.7000000000000001E-2</v>
      </c>
      <c r="H35" s="29"/>
    </row>
    <row r="36" spans="2:8" ht="15.75" customHeight="1" x14ac:dyDescent="0.2">
      <c r="B36" s="25" t="s">
        <v>489</v>
      </c>
      <c r="C36" s="25" t="s">
        <v>490</v>
      </c>
      <c r="D36" s="25" t="s">
        <v>222</v>
      </c>
      <c r="E36" s="26">
        <v>66312</v>
      </c>
      <c r="F36" s="27">
        <v>189.69</v>
      </c>
      <c r="G36" s="28">
        <v>1.6500000000000001E-2</v>
      </c>
      <c r="H36" s="29"/>
    </row>
    <row r="37" spans="2:8" ht="15.75" customHeight="1" x14ac:dyDescent="0.2">
      <c r="B37" s="25" t="s">
        <v>210</v>
      </c>
      <c r="C37" s="25" t="s">
        <v>211</v>
      </c>
      <c r="D37" s="25" t="s">
        <v>141</v>
      </c>
      <c r="E37" s="26">
        <v>43046</v>
      </c>
      <c r="F37" s="27">
        <v>174.9</v>
      </c>
      <c r="G37" s="28">
        <v>1.52E-2</v>
      </c>
      <c r="H37" s="29"/>
    </row>
    <row r="38" spans="2:8" ht="15.75" customHeight="1" x14ac:dyDescent="0.2">
      <c r="B38" s="25" t="s">
        <v>491</v>
      </c>
      <c r="C38" s="25" t="s">
        <v>492</v>
      </c>
      <c r="D38" s="25" t="s">
        <v>133</v>
      </c>
      <c r="E38" s="26">
        <v>21265</v>
      </c>
      <c r="F38" s="27">
        <v>172.45</v>
      </c>
      <c r="G38" s="28">
        <v>1.4999999999999999E-2</v>
      </c>
      <c r="H38" s="29"/>
    </row>
    <row r="39" spans="2:8" ht="15.75" customHeight="1" x14ac:dyDescent="0.2">
      <c r="B39" s="25" t="s">
        <v>493</v>
      </c>
      <c r="C39" s="25" t="s">
        <v>494</v>
      </c>
      <c r="D39" s="25" t="s">
        <v>362</v>
      </c>
      <c r="E39" s="26">
        <v>39827</v>
      </c>
      <c r="F39" s="27">
        <v>160.88</v>
      </c>
      <c r="G39" s="28">
        <v>1.4E-2</v>
      </c>
      <c r="H39" s="29"/>
    </row>
    <row r="40" spans="2:8" ht="15.75" customHeight="1" x14ac:dyDescent="0.2">
      <c r="B40" s="25" t="s">
        <v>495</v>
      </c>
      <c r="C40" s="25" t="s">
        <v>496</v>
      </c>
      <c r="D40" s="25" t="s">
        <v>497</v>
      </c>
      <c r="E40" s="26">
        <v>4978</v>
      </c>
      <c r="F40" s="27">
        <v>147.22</v>
      </c>
      <c r="G40" s="28">
        <v>1.2800000000000001E-2</v>
      </c>
      <c r="H40" s="29"/>
    </row>
    <row r="41" spans="2:8" ht="15.75" customHeight="1" x14ac:dyDescent="0.2">
      <c r="B41" s="25" t="s">
        <v>498</v>
      </c>
      <c r="C41" s="25" t="s">
        <v>499</v>
      </c>
      <c r="D41" s="25" t="s">
        <v>144</v>
      </c>
      <c r="E41" s="26">
        <v>1733</v>
      </c>
      <c r="F41" s="27">
        <v>137.07</v>
      </c>
      <c r="G41" s="28">
        <v>1.1900000000000001E-2</v>
      </c>
      <c r="H41" s="29"/>
    </row>
    <row r="42" spans="2:8" ht="15.75" customHeight="1" x14ac:dyDescent="0.2">
      <c r="B42" s="25" t="s">
        <v>500</v>
      </c>
      <c r="C42" s="25" t="s">
        <v>501</v>
      </c>
      <c r="D42" s="25" t="s">
        <v>222</v>
      </c>
      <c r="E42" s="26">
        <v>22188</v>
      </c>
      <c r="F42" s="27">
        <v>130.44999999999999</v>
      </c>
      <c r="G42" s="28">
        <v>1.14E-2</v>
      </c>
      <c r="H42" s="29"/>
    </row>
    <row r="43" spans="2:8" ht="15.75" customHeight="1" x14ac:dyDescent="0.2">
      <c r="B43" s="25" t="s">
        <v>502</v>
      </c>
      <c r="C43" s="25" t="s">
        <v>503</v>
      </c>
      <c r="D43" s="25" t="s">
        <v>185</v>
      </c>
      <c r="E43" s="26">
        <v>29046</v>
      </c>
      <c r="F43" s="27">
        <v>117.94</v>
      </c>
      <c r="G43" s="28">
        <v>1.03E-2</v>
      </c>
      <c r="H43" s="29"/>
    </row>
    <row r="44" spans="2:8" ht="15.75" customHeight="1" x14ac:dyDescent="0.2">
      <c r="B44" s="25" t="s">
        <v>504</v>
      </c>
      <c r="C44" s="25" t="s">
        <v>505</v>
      </c>
      <c r="D44" s="25" t="s">
        <v>230</v>
      </c>
      <c r="E44" s="26">
        <v>75752</v>
      </c>
      <c r="F44" s="27">
        <v>96.09</v>
      </c>
      <c r="G44" s="28">
        <v>8.3999999999999995E-3</v>
      </c>
      <c r="H44" s="29"/>
    </row>
    <row r="45" spans="2:8" ht="15.75" customHeight="1" x14ac:dyDescent="0.2">
      <c r="B45" s="25" t="s">
        <v>506</v>
      </c>
      <c r="C45" s="25" t="s">
        <v>507</v>
      </c>
      <c r="D45" s="25" t="s">
        <v>203</v>
      </c>
      <c r="E45" s="26">
        <v>49900</v>
      </c>
      <c r="F45" s="27">
        <v>84.88</v>
      </c>
      <c r="G45" s="28">
        <v>7.4000000000000003E-3</v>
      </c>
      <c r="H45" s="29"/>
    </row>
    <row r="46" spans="2:8" ht="15.75" customHeight="1" x14ac:dyDescent="0.2">
      <c r="B46" s="25" t="s">
        <v>334</v>
      </c>
      <c r="C46" s="25" t="s">
        <v>335</v>
      </c>
      <c r="D46" s="25" t="s">
        <v>185</v>
      </c>
      <c r="E46" s="26">
        <v>1248</v>
      </c>
      <c r="F46" s="27">
        <v>63.99</v>
      </c>
      <c r="G46" s="28">
        <v>5.5999999999999999E-3</v>
      </c>
      <c r="H46" s="29"/>
    </row>
    <row r="47" spans="2:8" ht="15.75" customHeight="1" x14ac:dyDescent="0.2">
      <c r="B47" s="25" t="s">
        <v>338</v>
      </c>
      <c r="C47" s="25" t="s">
        <v>339</v>
      </c>
      <c r="D47" s="25" t="s">
        <v>130</v>
      </c>
      <c r="E47" s="26">
        <v>12461</v>
      </c>
      <c r="F47" s="27">
        <v>18.23</v>
      </c>
      <c r="G47" s="28">
        <v>1.6000000000000001E-3</v>
      </c>
      <c r="H47" s="29"/>
    </row>
    <row r="48" spans="2:8" ht="15.75" customHeight="1" x14ac:dyDescent="0.2">
      <c r="B48" s="24" t="s">
        <v>98</v>
      </c>
      <c r="C48" s="24"/>
      <c r="D48" s="24"/>
      <c r="E48" s="30"/>
      <c r="F48" s="31">
        <v>11030.6</v>
      </c>
      <c r="G48" s="32">
        <v>0.96009999999999995</v>
      </c>
      <c r="H48" s="33"/>
    </row>
    <row r="49" spans="2:8" ht="15.75" customHeight="1" x14ac:dyDescent="0.2">
      <c r="B49" s="24" t="s">
        <v>150</v>
      </c>
      <c r="C49" s="25"/>
      <c r="D49" s="25"/>
      <c r="E49" s="26"/>
      <c r="F49" s="27"/>
      <c r="G49" s="28"/>
      <c r="H49" s="29"/>
    </row>
    <row r="50" spans="2:8" ht="15.75" customHeight="1" x14ac:dyDescent="0.2">
      <c r="B50" s="24" t="s">
        <v>98</v>
      </c>
      <c r="C50" s="25"/>
      <c r="D50" s="25"/>
      <c r="E50" s="26"/>
      <c r="F50" s="34" t="s">
        <v>100</v>
      </c>
      <c r="G50" s="35" t="s">
        <v>100</v>
      </c>
      <c r="H50" s="29"/>
    </row>
    <row r="51" spans="2:8" ht="15.75" customHeight="1" x14ac:dyDescent="0.2">
      <c r="B51" s="25"/>
      <c r="C51" s="25"/>
      <c r="D51" s="25"/>
      <c r="E51" s="26"/>
      <c r="F51" s="27"/>
      <c r="G51" s="28"/>
      <c r="H51" s="29"/>
    </row>
    <row r="52" spans="2:8" ht="15.75" customHeight="1" x14ac:dyDescent="0.2">
      <c r="B52" s="36" t="s">
        <v>102</v>
      </c>
      <c r="C52" s="36"/>
      <c r="D52" s="36"/>
      <c r="E52" s="37"/>
      <c r="F52" s="31">
        <v>11030.6</v>
      </c>
      <c r="G52" s="32">
        <v>0.96009999999999995</v>
      </c>
      <c r="H52" s="33"/>
    </row>
    <row r="53" spans="2:8" ht="15.75" customHeight="1" x14ac:dyDescent="0.2">
      <c r="B53" s="25"/>
      <c r="C53" s="25"/>
      <c r="D53" s="25"/>
      <c r="E53" s="26"/>
      <c r="F53" s="27"/>
      <c r="G53" s="28"/>
      <c r="H53" s="29"/>
    </row>
    <row r="54" spans="2:8" ht="15.75" customHeight="1" x14ac:dyDescent="0.2">
      <c r="B54" s="25"/>
      <c r="C54" s="25"/>
      <c r="D54" s="25"/>
      <c r="E54" s="26"/>
      <c r="F54" s="27"/>
      <c r="G54" s="28"/>
      <c r="H54" s="29"/>
    </row>
    <row r="55" spans="2:8" ht="15.75" customHeight="1" x14ac:dyDescent="0.2">
      <c r="B55" s="24" t="s">
        <v>105</v>
      </c>
      <c r="C55" s="25"/>
      <c r="D55" s="25"/>
      <c r="E55" s="26"/>
      <c r="F55" s="27"/>
      <c r="G55" s="28"/>
      <c r="H55" s="29"/>
    </row>
    <row r="56" spans="2:8" ht="15.75" customHeight="1" x14ac:dyDescent="0.2">
      <c r="B56" s="25" t="s">
        <v>106</v>
      </c>
      <c r="C56" s="25"/>
      <c r="D56" s="25"/>
      <c r="E56" s="26"/>
      <c r="F56" s="27">
        <v>450.81</v>
      </c>
      <c r="G56" s="28">
        <v>3.9199999999999999E-2</v>
      </c>
      <c r="H56" s="29"/>
    </row>
    <row r="57" spans="2:8" ht="15.75" customHeight="1" x14ac:dyDescent="0.2">
      <c r="B57" s="24" t="s">
        <v>98</v>
      </c>
      <c r="C57" s="24"/>
      <c r="D57" s="24"/>
      <c r="E57" s="30"/>
      <c r="F57" s="31">
        <v>450.81</v>
      </c>
      <c r="G57" s="32">
        <v>3.9199999999999999E-2</v>
      </c>
      <c r="H57" s="33"/>
    </row>
    <row r="58" spans="2:8" ht="15.75" customHeight="1" x14ac:dyDescent="0.2">
      <c r="B58" s="25"/>
      <c r="C58" s="25"/>
      <c r="D58" s="25"/>
      <c r="E58" s="26"/>
      <c r="F58" s="27"/>
      <c r="G58" s="28"/>
      <c r="H58" s="29"/>
    </row>
    <row r="59" spans="2:8" ht="15.75" customHeight="1" x14ac:dyDescent="0.2">
      <c r="B59" s="36" t="s">
        <v>102</v>
      </c>
      <c r="C59" s="36"/>
      <c r="D59" s="36"/>
      <c r="E59" s="37"/>
      <c r="F59" s="31">
        <v>450.81</v>
      </c>
      <c r="G59" s="32">
        <v>3.9199999999999999E-2</v>
      </c>
      <c r="H59" s="33"/>
    </row>
    <row r="60" spans="2:8" ht="15.75" customHeight="1" x14ac:dyDescent="0.2">
      <c r="B60" s="25" t="s">
        <v>107</v>
      </c>
      <c r="C60" s="25"/>
      <c r="D60" s="25"/>
      <c r="E60" s="26"/>
      <c r="F60" s="27">
        <v>7.44</v>
      </c>
      <c r="G60" s="28">
        <v>7.0000000000003393E-4</v>
      </c>
      <c r="H60" s="29"/>
    </row>
    <row r="61" spans="2:8" ht="15.75" customHeight="1" x14ac:dyDescent="0.2">
      <c r="B61" s="40" t="s">
        <v>108</v>
      </c>
      <c r="C61" s="40"/>
      <c r="D61" s="40"/>
      <c r="E61" s="41"/>
      <c r="F61" s="42">
        <v>11488.85</v>
      </c>
      <c r="G61" s="43">
        <v>1</v>
      </c>
      <c r="H61" s="44"/>
    </row>
    <row r="62" spans="2:8" ht="15.75" customHeight="1" thickBot="1" x14ac:dyDescent="0.25">
      <c r="B62" s="2"/>
    </row>
    <row r="63" spans="2:8" ht="27" customHeight="1" thickBot="1" x14ac:dyDescent="0.25">
      <c r="B63" s="57" t="s">
        <v>925</v>
      </c>
      <c r="C63" s="58" t="s">
        <v>926</v>
      </c>
      <c r="D63" s="58" t="s">
        <v>927</v>
      </c>
      <c r="E63" s="63" t="s">
        <v>928</v>
      </c>
      <c r="G63" s="2"/>
      <c r="H63" s="2"/>
    </row>
    <row r="64" spans="2:8" ht="29.25" customHeight="1" x14ac:dyDescent="0.2">
      <c r="B64" s="64" t="s">
        <v>39</v>
      </c>
      <c r="C64" s="82"/>
      <c r="D64" s="85" t="s">
        <v>957</v>
      </c>
      <c r="E64" s="87"/>
      <c r="G64" s="2"/>
      <c r="H64" s="2"/>
    </row>
    <row r="65" spans="2:16" ht="39.950000000000003" customHeight="1" x14ac:dyDescent="0.2">
      <c r="B65" s="66" t="s">
        <v>958</v>
      </c>
      <c r="C65" s="83"/>
      <c r="D65" s="86"/>
      <c r="E65" s="83"/>
      <c r="G65" s="2"/>
      <c r="H65" s="2"/>
    </row>
    <row r="66" spans="2:16" ht="39.950000000000003" customHeight="1" x14ac:dyDescent="0.2">
      <c r="B66" s="66" t="s">
        <v>959</v>
      </c>
      <c r="C66" s="83"/>
      <c r="D66" s="86"/>
      <c r="E66" s="83"/>
      <c r="G66" s="2"/>
      <c r="H66" s="2"/>
    </row>
    <row r="67" spans="2:16" ht="23.25" customHeight="1" thickBot="1" x14ac:dyDescent="0.25">
      <c r="B67" s="68" t="s">
        <v>943</v>
      </c>
      <c r="C67" s="84"/>
      <c r="D67" s="71" t="s">
        <v>943</v>
      </c>
      <c r="E67" s="88"/>
      <c r="G67" s="2"/>
      <c r="H67" s="2"/>
    </row>
    <row r="68" spans="2:16" ht="24.95" customHeight="1" x14ac:dyDescent="0.2">
      <c r="B68" s="59" t="s">
        <v>929</v>
      </c>
      <c r="C68" s="60"/>
      <c r="D68" s="61"/>
      <c r="E68" s="62"/>
      <c r="G68" s="2"/>
      <c r="H68" s="2"/>
    </row>
    <row r="70" spans="2:16" ht="12" x14ac:dyDescent="0.2">
      <c r="B70" s="2" t="s">
        <v>930</v>
      </c>
      <c r="C70" s="2"/>
      <c r="D70" s="2"/>
      <c r="G70" s="2"/>
      <c r="H70" s="2"/>
    </row>
    <row r="71" spans="2:16" ht="12" x14ac:dyDescent="0.2">
      <c r="B71" s="3" t="s">
        <v>931</v>
      </c>
      <c r="C71" s="2"/>
      <c r="D71" s="2"/>
      <c r="G71" s="2"/>
      <c r="H71" s="2"/>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4:C67"/>
    <mergeCell ref="D64:D66"/>
    <mergeCell ref="E64:E67"/>
  </mergeCells>
  <hyperlinks>
    <hyperlink ref="I1" location="'Sheet1'!A1" display="Index" xr:uid="{5318ED6C-47F2-4770-9A34-54BE4087B3E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0890E-ED74-44E2-908A-265075A9D16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7.71093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960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272</v>
      </c>
      <c r="C7" s="25" t="s">
        <v>273</v>
      </c>
      <c r="D7" s="25" t="s">
        <v>185</v>
      </c>
      <c r="E7" s="26">
        <v>62402</v>
      </c>
      <c r="F7" s="27">
        <v>984.67</v>
      </c>
      <c r="G7" s="28">
        <v>0.16039999999999999</v>
      </c>
      <c r="H7" s="29"/>
    </row>
    <row r="8" spans="2:9" ht="15.75" customHeight="1" x14ac:dyDescent="0.2">
      <c r="B8" s="25" t="s">
        <v>508</v>
      </c>
      <c r="C8" s="25" t="s">
        <v>509</v>
      </c>
      <c r="D8" s="25" t="s">
        <v>185</v>
      </c>
      <c r="E8" s="26">
        <v>45937</v>
      </c>
      <c r="F8" s="27">
        <v>432.68</v>
      </c>
      <c r="G8" s="28">
        <v>7.0499999999999993E-2</v>
      </c>
      <c r="H8" s="29"/>
    </row>
    <row r="9" spans="2:9" ht="15.75" customHeight="1" x14ac:dyDescent="0.2">
      <c r="B9" s="25" t="s">
        <v>510</v>
      </c>
      <c r="C9" s="25" t="s">
        <v>511</v>
      </c>
      <c r="D9" s="25" t="s">
        <v>185</v>
      </c>
      <c r="E9" s="26">
        <v>6589</v>
      </c>
      <c r="F9" s="27">
        <v>423.29</v>
      </c>
      <c r="G9" s="28">
        <v>6.9000000000000006E-2</v>
      </c>
      <c r="H9" s="29"/>
    </row>
    <row r="10" spans="2:9" ht="15.75" customHeight="1" x14ac:dyDescent="0.2">
      <c r="B10" s="25" t="s">
        <v>336</v>
      </c>
      <c r="C10" s="25" t="s">
        <v>337</v>
      </c>
      <c r="D10" s="25" t="s">
        <v>185</v>
      </c>
      <c r="E10" s="26">
        <v>25629</v>
      </c>
      <c r="F10" s="27">
        <v>379.4</v>
      </c>
      <c r="G10" s="28">
        <v>6.1800000000000001E-2</v>
      </c>
      <c r="H10" s="29"/>
    </row>
    <row r="11" spans="2:9" ht="15.75" customHeight="1" x14ac:dyDescent="0.2">
      <c r="B11" s="25" t="s">
        <v>512</v>
      </c>
      <c r="C11" s="25" t="s">
        <v>513</v>
      </c>
      <c r="D11" s="25" t="s">
        <v>185</v>
      </c>
      <c r="E11" s="26">
        <v>23433</v>
      </c>
      <c r="F11" s="27">
        <v>365.99</v>
      </c>
      <c r="G11" s="28">
        <v>5.96E-2</v>
      </c>
      <c r="H11" s="29"/>
    </row>
    <row r="12" spans="2:9" ht="15.75" customHeight="1" x14ac:dyDescent="0.2">
      <c r="B12" s="25" t="s">
        <v>316</v>
      </c>
      <c r="C12" s="25" t="s">
        <v>317</v>
      </c>
      <c r="D12" s="25" t="s">
        <v>185</v>
      </c>
      <c r="E12" s="26">
        <v>251827</v>
      </c>
      <c r="F12" s="27">
        <v>332.16</v>
      </c>
      <c r="G12" s="28">
        <v>5.4100000000000002E-2</v>
      </c>
      <c r="H12" s="29"/>
    </row>
    <row r="13" spans="2:9" ht="15.75" customHeight="1" x14ac:dyDescent="0.2">
      <c r="B13" s="25" t="s">
        <v>301</v>
      </c>
      <c r="C13" s="25" t="s">
        <v>302</v>
      </c>
      <c r="D13" s="25" t="s">
        <v>185</v>
      </c>
      <c r="E13" s="26">
        <v>12401</v>
      </c>
      <c r="F13" s="27">
        <v>330.62</v>
      </c>
      <c r="G13" s="28">
        <v>5.3900000000000003E-2</v>
      </c>
      <c r="H13" s="29"/>
    </row>
    <row r="14" spans="2:9" ht="15.75" customHeight="1" x14ac:dyDescent="0.2">
      <c r="B14" s="25" t="s">
        <v>201</v>
      </c>
      <c r="C14" s="25" t="s">
        <v>202</v>
      </c>
      <c r="D14" s="25" t="s">
        <v>203</v>
      </c>
      <c r="E14" s="26">
        <v>4998</v>
      </c>
      <c r="F14" s="27">
        <v>304.95999999999998</v>
      </c>
      <c r="G14" s="28">
        <v>4.9700000000000001E-2</v>
      </c>
      <c r="H14" s="29"/>
    </row>
    <row r="15" spans="2:9" ht="15.75" customHeight="1" x14ac:dyDescent="0.2">
      <c r="B15" s="25" t="s">
        <v>514</v>
      </c>
      <c r="C15" s="25" t="s">
        <v>515</v>
      </c>
      <c r="D15" s="25" t="s">
        <v>185</v>
      </c>
      <c r="E15" s="26">
        <v>1026</v>
      </c>
      <c r="F15" s="27">
        <v>291.73</v>
      </c>
      <c r="G15" s="28">
        <v>4.7500000000000001E-2</v>
      </c>
      <c r="H15" s="29"/>
    </row>
    <row r="16" spans="2:9" ht="15.75" customHeight="1" x14ac:dyDescent="0.2">
      <c r="B16" s="25" t="s">
        <v>483</v>
      </c>
      <c r="C16" s="25" t="s">
        <v>484</v>
      </c>
      <c r="D16" s="25" t="s">
        <v>185</v>
      </c>
      <c r="E16" s="26">
        <v>8304</v>
      </c>
      <c r="F16" s="27">
        <v>289.70999999999998</v>
      </c>
      <c r="G16" s="28">
        <v>4.7199999999999999E-2</v>
      </c>
      <c r="H16" s="29"/>
    </row>
    <row r="17" spans="2:8" ht="15.75" customHeight="1" x14ac:dyDescent="0.2">
      <c r="B17" s="25" t="s">
        <v>516</v>
      </c>
      <c r="C17" s="25" t="s">
        <v>517</v>
      </c>
      <c r="D17" s="25" t="s">
        <v>203</v>
      </c>
      <c r="E17" s="26">
        <v>20185</v>
      </c>
      <c r="F17" s="27">
        <v>275.36</v>
      </c>
      <c r="G17" s="28">
        <v>4.4900000000000002E-2</v>
      </c>
      <c r="H17" s="29"/>
    </row>
    <row r="18" spans="2:8" ht="15.75" customHeight="1" x14ac:dyDescent="0.2">
      <c r="B18" s="25" t="s">
        <v>518</v>
      </c>
      <c r="C18" s="25" t="s">
        <v>519</v>
      </c>
      <c r="D18" s="25" t="s">
        <v>185</v>
      </c>
      <c r="E18" s="26">
        <v>21440</v>
      </c>
      <c r="F18" s="27">
        <v>255.83</v>
      </c>
      <c r="G18" s="28">
        <v>4.1700000000000001E-2</v>
      </c>
      <c r="H18" s="29"/>
    </row>
    <row r="19" spans="2:8" ht="15.75" customHeight="1" x14ac:dyDescent="0.2">
      <c r="B19" s="25" t="s">
        <v>334</v>
      </c>
      <c r="C19" s="25" t="s">
        <v>335</v>
      </c>
      <c r="D19" s="25" t="s">
        <v>185</v>
      </c>
      <c r="E19" s="26">
        <v>4829</v>
      </c>
      <c r="F19" s="27">
        <v>247.6</v>
      </c>
      <c r="G19" s="28">
        <v>4.0300000000000002E-2</v>
      </c>
      <c r="H19" s="29"/>
    </row>
    <row r="20" spans="2:8" ht="15.75" customHeight="1" x14ac:dyDescent="0.2">
      <c r="B20" s="25" t="s">
        <v>520</v>
      </c>
      <c r="C20" s="25" t="s">
        <v>521</v>
      </c>
      <c r="D20" s="25" t="s">
        <v>203</v>
      </c>
      <c r="E20" s="26">
        <v>13698</v>
      </c>
      <c r="F20" s="27">
        <v>219.43</v>
      </c>
      <c r="G20" s="28">
        <v>3.5700000000000003E-2</v>
      </c>
      <c r="H20" s="29"/>
    </row>
    <row r="21" spans="2:8" ht="15.75" customHeight="1" x14ac:dyDescent="0.2">
      <c r="B21" s="25" t="s">
        <v>506</v>
      </c>
      <c r="C21" s="25" t="s">
        <v>507</v>
      </c>
      <c r="D21" s="25" t="s">
        <v>203</v>
      </c>
      <c r="E21" s="26">
        <v>122435</v>
      </c>
      <c r="F21" s="27">
        <v>208.26</v>
      </c>
      <c r="G21" s="28">
        <v>3.39E-2</v>
      </c>
      <c r="H21" s="29"/>
    </row>
    <row r="22" spans="2:8" ht="15.75" customHeight="1" x14ac:dyDescent="0.2">
      <c r="B22" s="25" t="s">
        <v>303</v>
      </c>
      <c r="C22" s="25" t="s">
        <v>304</v>
      </c>
      <c r="D22" s="25" t="s">
        <v>185</v>
      </c>
      <c r="E22" s="26">
        <v>8651</v>
      </c>
      <c r="F22" s="27">
        <v>184.75</v>
      </c>
      <c r="G22" s="28">
        <v>3.0099999999999998E-2</v>
      </c>
      <c r="H22" s="29"/>
    </row>
    <row r="23" spans="2:8" ht="15.75" customHeight="1" x14ac:dyDescent="0.2">
      <c r="B23" s="25" t="s">
        <v>288</v>
      </c>
      <c r="C23" s="25" t="s">
        <v>289</v>
      </c>
      <c r="D23" s="25" t="s">
        <v>203</v>
      </c>
      <c r="E23" s="26">
        <v>22773</v>
      </c>
      <c r="F23" s="27">
        <v>160.79</v>
      </c>
      <c r="G23" s="28">
        <v>2.6200000000000001E-2</v>
      </c>
      <c r="H23" s="29"/>
    </row>
    <row r="24" spans="2:8" ht="15.75" customHeight="1" x14ac:dyDescent="0.2">
      <c r="B24" s="25" t="s">
        <v>502</v>
      </c>
      <c r="C24" s="25" t="s">
        <v>503</v>
      </c>
      <c r="D24" s="25" t="s">
        <v>185</v>
      </c>
      <c r="E24" s="26">
        <v>31100</v>
      </c>
      <c r="F24" s="27">
        <v>126.28</v>
      </c>
      <c r="G24" s="28">
        <v>2.06E-2</v>
      </c>
      <c r="H24" s="29"/>
    </row>
    <row r="25" spans="2:8" ht="15.75" customHeight="1" x14ac:dyDescent="0.2">
      <c r="B25" s="24" t="s">
        <v>98</v>
      </c>
      <c r="C25" s="24"/>
      <c r="D25" s="24"/>
      <c r="E25" s="30"/>
      <c r="F25" s="31">
        <v>5813.51</v>
      </c>
      <c r="G25" s="32">
        <v>0.94710000000000005</v>
      </c>
      <c r="H25" s="33"/>
    </row>
    <row r="26" spans="2:8" ht="15.75" customHeight="1" x14ac:dyDescent="0.2">
      <c r="B26" s="24" t="s">
        <v>150</v>
      </c>
      <c r="C26" s="25"/>
      <c r="D26" s="25"/>
      <c r="E26" s="26"/>
      <c r="F26" s="27"/>
      <c r="G26" s="28"/>
      <c r="H26" s="29"/>
    </row>
    <row r="27" spans="2:8" ht="15.75" customHeight="1" x14ac:dyDescent="0.2">
      <c r="B27" s="24" t="s">
        <v>98</v>
      </c>
      <c r="C27" s="25"/>
      <c r="D27" s="25"/>
      <c r="E27" s="26"/>
      <c r="F27" s="34" t="s">
        <v>100</v>
      </c>
      <c r="G27" s="35" t="s">
        <v>100</v>
      </c>
      <c r="H27" s="29"/>
    </row>
    <row r="28" spans="2:8" ht="15.75" customHeight="1" x14ac:dyDescent="0.2">
      <c r="B28" s="25"/>
      <c r="C28" s="25"/>
      <c r="D28" s="25"/>
      <c r="E28" s="26"/>
      <c r="F28" s="27"/>
      <c r="G28" s="28"/>
      <c r="H28" s="29"/>
    </row>
    <row r="29" spans="2:8" ht="15.75" customHeight="1" x14ac:dyDescent="0.2">
      <c r="B29" s="36" t="s">
        <v>102</v>
      </c>
      <c r="C29" s="36"/>
      <c r="D29" s="36"/>
      <c r="E29" s="37"/>
      <c r="F29" s="31">
        <v>5813.51</v>
      </c>
      <c r="G29" s="32">
        <v>0.94710000000000005</v>
      </c>
      <c r="H29" s="33"/>
    </row>
    <row r="30" spans="2:8" ht="15.75" customHeight="1" x14ac:dyDescent="0.2">
      <c r="B30" s="25"/>
      <c r="C30" s="25"/>
      <c r="D30" s="25"/>
      <c r="E30" s="26"/>
      <c r="F30" s="27"/>
      <c r="G30" s="28"/>
      <c r="H30" s="29"/>
    </row>
    <row r="31" spans="2:8" ht="15.75" customHeight="1" x14ac:dyDescent="0.2">
      <c r="B31" s="25"/>
      <c r="C31" s="25"/>
      <c r="D31" s="25"/>
      <c r="E31" s="26"/>
      <c r="F31" s="27"/>
      <c r="G31" s="28"/>
      <c r="H31" s="29"/>
    </row>
    <row r="32" spans="2:8" ht="15.75" customHeight="1" x14ac:dyDescent="0.2">
      <c r="B32" s="24" t="s">
        <v>105</v>
      </c>
      <c r="C32" s="25"/>
      <c r="D32" s="25"/>
      <c r="E32" s="26"/>
      <c r="F32" s="27"/>
      <c r="G32" s="28"/>
      <c r="H32" s="29"/>
    </row>
    <row r="33" spans="2:8" ht="15.75" customHeight="1" x14ac:dyDescent="0.2">
      <c r="B33" s="25" t="s">
        <v>106</v>
      </c>
      <c r="C33" s="25"/>
      <c r="D33" s="25"/>
      <c r="E33" s="26"/>
      <c r="F33" s="27">
        <v>317.05</v>
      </c>
      <c r="G33" s="28">
        <v>5.1700000000000003E-2</v>
      </c>
      <c r="H33" s="29"/>
    </row>
    <row r="34" spans="2:8" ht="15.75" customHeight="1" x14ac:dyDescent="0.2">
      <c r="B34" s="24" t="s">
        <v>98</v>
      </c>
      <c r="C34" s="24"/>
      <c r="D34" s="24"/>
      <c r="E34" s="30"/>
      <c r="F34" s="31">
        <v>317.05</v>
      </c>
      <c r="G34" s="32">
        <v>5.1700000000000003E-2</v>
      </c>
      <c r="H34" s="33"/>
    </row>
    <row r="35" spans="2:8" ht="15.75" customHeight="1" x14ac:dyDescent="0.2">
      <c r="B35" s="25"/>
      <c r="C35" s="25"/>
      <c r="D35" s="25"/>
      <c r="E35" s="26"/>
      <c r="F35" s="27"/>
      <c r="G35" s="28"/>
      <c r="H35" s="29"/>
    </row>
    <row r="36" spans="2:8" ht="15.75" customHeight="1" x14ac:dyDescent="0.2">
      <c r="B36" s="36" t="s">
        <v>102</v>
      </c>
      <c r="C36" s="36"/>
      <c r="D36" s="36"/>
      <c r="E36" s="37"/>
      <c r="F36" s="31">
        <v>317.05</v>
      </c>
      <c r="G36" s="32">
        <v>5.1700000000000003E-2</v>
      </c>
      <c r="H36" s="33"/>
    </row>
    <row r="37" spans="2:8" ht="15.75" customHeight="1" x14ac:dyDescent="0.2">
      <c r="B37" s="25" t="s">
        <v>107</v>
      </c>
      <c r="C37" s="25"/>
      <c r="D37" s="25"/>
      <c r="E37" s="26"/>
      <c r="F37" s="27">
        <v>7.89</v>
      </c>
      <c r="G37" s="28">
        <v>1.1999999999999789E-3</v>
      </c>
      <c r="H37" s="29"/>
    </row>
    <row r="38" spans="2:8" ht="15.75" customHeight="1" x14ac:dyDescent="0.2">
      <c r="B38" s="40" t="s">
        <v>108</v>
      </c>
      <c r="C38" s="40"/>
      <c r="D38" s="40"/>
      <c r="E38" s="41"/>
      <c r="F38" s="42">
        <v>6138.45</v>
      </c>
      <c r="G38" s="43">
        <v>1</v>
      </c>
      <c r="H38" s="44"/>
    </row>
    <row r="39" spans="2:8" ht="15.75" customHeight="1" thickBot="1" x14ac:dyDescent="0.25">
      <c r="B39" s="2"/>
    </row>
    <row r="40" spans="2:8" ht="27" customHeight="1" thickBot="1" x14ac:dyDescent="0.25">
      <c r="B40" s="57" t="s">
        <v>925</v>
      </c>
      <c r="C40" s="58" t="s">
        <v>926</v>
      </c>
      <c r="D40" s="58" t="s">
        <v>927</v>
      </c>
      <c r="E40" s="63" t="s">
        <v>928</v>
      </c>
      <c r="G40" s="2"/>
      <c r="H40" s="2"/>
    </row>
    <row r="41" spans="2:8" ht="29.25" customHeight="1" x14ac:dyDescent="0.2">
      <c r="B41" s="64" t="s">
        <v>41</v>
      </c>
      <c r="C41" s="82"/>
      <c r="D41" s="85" t="s">
        <v>961</v>
      </c>
      <c r="E41" s="87"/>
      <c r="G41" s="2"/>
      <c r="H41" s="2"/>
    </row>
    <row r="42" spans="2:8" ht="39.950000000000003" customHeight="1" x14ac:dyDescent="0.2">
      <c r="B42" s="66" t="s">
        <v>958</v>
      </c>
      <c r="C42" s="83"/>
      <c r="D42" s="86"/>
      <c r="E42" s="83"/>
      <c r="G42" s="2"/>
      <c r="H42" s="2"/>
    </row>
    <row r="43" spans="2:8" ht="39.950000000000003" customHeight="1" x14ac:dyDescent="0.2">
      <c r="B43" s="66" t="s">
        <v>962</v>
      </c>
      <c r="C43" s="83"/>
      <c r="D43" s="86"/>
      <c r="E43" s="83"/>
      <c r="G43" s="2"/>
      <c r="H43" s="2"/>
    </row>
    <row r="44" spans="2:8" ht="23.25" customHeight="1" thickBot="1" x14ac:dyDescent="0.25">
      <c r="B44" s="68" t="s">
        <v>943</v>
      </c>
      <c r="C44" s="84"/>
      <c r="D44" s="71" t="s">
        <v>943</v>
      </c>
      <c r="E44" s="88"/>
      <c r="G44" s="2"/>
      <c r="H44" s="2"/>
    </row>
    <row r="45" spans="2:8" ht="24.95" customHeight="1" x14ac:dyDescent="0.2">
      <c r="B45" s="59" t="s">
        <v>929</v>
      </c>
      <c r="C45" s="60"/>
      <c r="D45" s="61"/>
      <c r="E45" s="62"/>
      <c r="G45" s="2"/>
      <c r="H45" s="2"/>
    </row>
    <row r="47" spans="2:8" ht="12" x14ac:dyDescent="0.2">
      <c r="B47" s="2" t="s">
        <v>930</v>
      </c>
      <c r="C47" s="2"/>
      <c r="D47" s="2"/>
      <c r="G47" s="2"/>
      <c r="H47" s="2"/>
    </row>
    <row r="48" spans="2:8" ht="12" x14ac:dyDescent="0.2">
      <c r="B48" s="3" t="s">
        <v>931</v>
      </c>
      <c r="C48" s="2"/>
      <c r="D48" s="2"/>
      <c r="G48" s="2"/>
      <c r="H48"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1:C44"/>
    <mergeCell ref="D41:D43"/>
    <mergeCell ref="E41:E44"/>
  </mergeCells>
  <hyperlinks>
    <hyperlink ref="I1" location="'Sheet1'!A1" display="Index" xr:uid="{1CB342D1-E0E5-49EC-91E8-5BD4E114858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9D7C-4763-4F12-96D1-C03725C0DDDB}">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7"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963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207</v>
      </c>
      <c r="C7" s="25" t="s">
        <v>208</v>
      </c>
      <c r="D7" s="25" t="s">
        <v>209</v>
      </c>
      <c r="E7" s="26">
        <v>25947</v>
      </c>
      <c r="F7" s="27">
        <v>1007.21</v>
      </c>
      <c r="G7" s="28">
        <v>4.1500000000000002E-2</v>
      </c>
      <c r="H7" s="29"/>
    </row>
    <row r="8" spans="2:9" ht="15.75" customHeight="1" x14ac:dyDescent="0.2">
      <c r="B8" s="25" t="s">
        <v>522</v>
      </c>
      <c r="C8" s="25" t="s">
        <v>523</v>
      </c>
      <c r="D8" s="25" t="s">
        <v>237</v>
      </c>
      <c r="E8" s="26">
        <v>128994</v>
      </c>
      <c r="F8" s="27">
        <v>863.74</v>
      </c>
      <c r="G8" s="28">
        <v>3.56E-2</v>
      </c>
      <c r="H8" s="29"/>
    </row>
    <row r="9" spans="2:9" ht="15.75" customHeight="1" x14ac:dyDescent="0.2">
      <c r="B9" s="25" t="s">
        <v>128</v>
      </c>
      <c r="C9" s="25" t="s">
        <v>129</v>
      </c>
      <c r="D9" s="25" t="s">
        <v>130</v>
      </c>
      <c r="E9" s="26">
        <v>74682</v>
      </c>
      <c r="F9" s="27">
        <v>785.8</v>
      </c>
      <c r="G9" s="28">
        <v>3.2399999999999998E-2</v>
      </c>
      <c r="H9" s="29"/>
    </row>
    <row r="10" spans="2:9" ht="15.75" customHeight="1" x14ac:dyDescent="0.2">
      <c r="B10" s="25" t="s">
        <v>381</v>
      </c>
      <c r="C10" s="25" t="s">
        <v>382</v>
      </c>
      <c r="D10" s="25" t="s">
        <v>133</v>
      </c>
      <c r="E10" s="26">
        <v>11425</v>
      </c>
      <c r="F10" s="27">
        <v>748.8</v>
      </c>
      <c r="G10" s="28">
        <v>3.09E-2</v>
      </c>
      <c r="H10" s="29"/>
    </row>
    <row r="11" spans="2:9" ht="15.75" customHeight="1" x14ac:dyDescent="0.2">
      <c r="B11" s="25" t="s">
        <v>186</v>
      </c>
      <c r="C11" s="25" t="s">
        <v>187</v>
      </c>
      <c r="D11" s="25" t="s">
        <v>188</v>
      </c>
      <c r="E11" s="26">
        <v>362718</v>
      </c>
      <c r="F11" s="27">
        <v>743.93</v>
      </c>
      <c r="G11" s="28">
        <v>3.0700000000000002E-2</v>
      </c>
      <c r="H11" s="29"/>
    </row>
    <row r="12" spans="2:9" ht="15.75" customHeight="1" x14ac:dyDescent="0.2">
      <c r="B12" s="25" t="s">
        <v>334</v>
      </c>
      <c r="C12" s="25" t="s">
        <v>335</v>
      </c>
      <c r="D12" s="25" t="s">
        <v>185</v>
      </c>
      <c r="E12" s="26">
        <v>12978</v>
      </c>
      <c r="F12" s="27">
        <v>665.43</v>
      </c>
      <c r="G12" s="28">
        <v>2.7400000000000001E-2</v>
      </c>
      <c r="H12" s="29"/>
    </row>
    <row r="13" spans="2:9" ht="15.75" customHeight="1" x14ac:dyDescent="0.2">
      <c r="B13" s="25" t="s">
        <v>226</v>
      </c>
      <c r="C13" s="25" t="s">
        <v>227</v>
      </c>
      <c r="D13" s="25" t="s">
        <v>130</v>
      </c>
      <c r="E13" s="26">
        <v>433372</v>
      </c>
      <c r="F13" s="27">
        <v>651.79</v>
      </c>
      <c r="G13" s="28">
        <v>2.69E-2</v>
      </c>
      <c r="H13" s="29"/>
    </row>
    <row r="14" spans="2:9" ht="15.75" customHeight="1" x14ac:dyDescent="0.2">
      <c r="B14" s="25" t="s">
        <v>318</v>
      </c>
      <c r="C14" s="25" t="s">
        <v>319</v>
      </c>
      <c r="D14" s="25" t="s">
        <v>320</v>
      </c>
      <c r="E14" s="26">
        <v>17254</v>
      </c>
      <c r="F14" s="27">
        <v>633.69000000000005</v>
      </c>
      <c r="G14" s="28">
        <v>2.6100000000000002E-2</v>
      </c>
      <c r="H14" s="29"/>
    </row>
    <row r="15" spans="2:9" ht="15.75" customHeight="1" x14ac:dyDescent="0.2">
      <c r="B15" s="25" t="s">
        <v>295</v>
      </c>
      <c r="C15" s="25" t="s">
        <v>296</v>
      </c>
      <c r="D15" s="25" t="s">
        <v>179</v>
      </c>
      <c r="E15" s="26">
        <v>149792</v>
      </c>
      <c r="F15" s="27">
        <v>600.22</v>
      </c>
      <c r="G15" s="28">
        <v>2.47E-2</v>
      </c>
      <c r="H15" s="29"/>
    </row>
    <row r="16" spans="2:9" ht="15.75" customHeight="1" x14ac:dyDescent="0.2">
      <c r="B16" s="25" t="s">
        <v>524</v>
      </c>
      <c r="C16" s="25" t="s">
        <v>525</v>
      </c>
      <c r="D16" s="25" t="s">
        <v>362</v>
      </c>
      <c r="E16" s="26">
        <v>96224</v>
      </c>
      <c r="F16" s="27">
        <v>564.54999999999995</v>
      </c>
      <c r="G16" s="28">
        <v>2.3300000000000001E-2</v>
      </c>
      <c r="H16" s="29"/>
    </row>
    <row r="17" spans="2:8" ht="15.75" customHeight="1" x14ac:dyDescent="0.2">
      <c r="B17" s="25" t="s">
        <v>175</v>
      </c>
      <c r="C17" s="25" t="s">
        <v>176</v>
      </c>
      <c r="D17" s="25" t="s">
        <v>130</v>
      </c>
      <c r="E17" s="26">
        <v>210919</v>
      </c>
      <c r="F17" s="27">
        <v>559.88</v>
      </c>
      <c r="G17" s="28">
        <v>2.3099999999999999E-2</v>
      </c>
      <c r="H17" s="29"/>
    </row>
    <row r="18" spans="2:8" ht="15.75" customHeight="1" x14ac:dyDescent="0.2">
      <c r="B18" s="25" t="s">
        <v>266</v>
      </c>
      <c r="C18" s="25" t="s">
        <v>267</v>
      </c>
      <c r="D18" s="25" t="s">
        <v>130</v>
      </c>
      <c r="E18" s="26">
        <v>70202</v>
      </c>
      <c r="F18" s="27">
        <v>525.17999999999995</v>
      </c>
      <c r="G18" s="28">
        <v>2.1700000000000001E-2</v>
      </c>
      <c r="H18" s="29"/>
    </row>
    <row r="19" spans="2:8" ht="15.75" customHeight="1" x14ac:dyDescent="0.2">
      <c r="B19" s="25" t="s">
        <v>351</v>
      </c>
      <c r="C19" s="25" t="s">
        <v>352</v>
      </c>
      <c r="D19" s="25" t="s">
        <v>209</v>
      </c>
      <c r="E19" s="26">
        <v>304271</v>
      </c>
      <c r="F19" s="27">
        <v>503.42</v>
      </c>
      <c r="G19" s="28">
        <v>2.0799999999999999E-2</v>
      </c>
      <c r="H19" s="29"/>
    </row>
    <row r="20" spans="2:8" ht="15.75" customHeight="1" x14ac:dyDescent="0.2">
      <c r="B20" s="25" t="s">
        <v>307</v>
      </c>
      <c r="C20" s="25" t="s">
        <v>308</v>
      </c>
      <c r="D20" s="25" t="s">
        <v>309</v>
      </c>
      <c r="E20" s="26">
        <v>32409</v>
      </c>
      <c r="F20" s="27">
        <v>501.55</v>
      </c>
      <c r="G20" s="28">
        <v>2.07E-2</v>
      </c>
      <c r="H20" s="29"/>
    </row>
    <row r="21" spans="2:8" ht="15.75" customHeight="1" x14ac:dyDescent="0.2">
      <c r="B21" s="25" t="s">
        <v>526</v>
      </c>
      <c r="C21" s="25" t="s">
        <v>527</v>
      </c>
      <c r="D21" s="25" t="s">
        <v>206</v>
      </c>
      <c r="E21" s="26">
        <v>44853</v>
      </c>
      <c r="F21" s="27">
        <v>497.46</v>
      </c>
      <c r="G21" s="28">
        <v>2.0500000000000001E-2</v>
      </c>
      <c r="H21" s="29"/>
    </row>
    <row r="22" spans="2:8" ht="15.75" customHeight="1" x14ac:dyDescent="0.2">
      <c r="B22" s="25" t="s">
        <v>392</v>
      </c>
      <c r="C22" s="25" t="s">
        <v>393</v>
      </c>
      <c r="D22" s="25" t="s">
        <v>144</v>
      </c>
      <c r="E22" s="26">
        <v>23094</v>
      </c>
      <c r="F22" s="27">
        <v>494.03</v>
      </c>
      <c r="G22" s="28">
        <v>2.0400000000000001E-2</v>
      </c>
      <c r="H22" s="29"/>
    </row>
    <row r="23" spans="2:8" ht="15.75" customHeight="1" x14ac:dyDescent="0.2">
      <c r="B23" s="25" t="s">
        <v>169</v>
      </c>
      <c r="C23" s="25" t="s">
        <v>170</v>
      </c>
      <c r="D23" s="25" t="s">
        <v>171</v>
      </c>
      <c r="E23" s="26">
        <v>47706</v>
      </c>
      <c r="F23" s="27">
        <v>466.28</v>
      </c>
      <c r="G23" s="28">
        <v>1.9199999999999998E-2</v>
      </c>
      <c r="H23" s="29"/>
    </row>
    <row r="24" spans="2:8" ht="15.75" customHeight="1" x14ac:dyDescent="0.2">
      <c r="B24" s="25" t="s">
        <v>528</v>
      </c>
      <c r="C24" s="25" t="s">
        <v>529</v>
      </c>
      <c r="D24" s="25" t="s">
        <v>285</v>
      </c>
      <c r="E24" s="26">
        <v>22667</v>
      </c>
      <c r="F24" s="27">
        <v>458.98</v>
      </c>
      <c r="G24" s="28">
        <v>1.89E-2</v>
      </c>
      <c r="H24" s="29"/>
    </row>
    <row r="25" spans="2:8" ht="15.75" customHeight="1" x14ac:dyDescent="0.2">
      <c r="B25" s="25" t="s">
        <v>530</v>
      </c>
      <c r="C25" s="25" t="s">
        <v>531</v>
      </c>
      <c r="D25" s="25" t="s">
        <v>309</v>
      </c>
      <c r="E25" s="26">
        <v>22151</v>
      </c>
      <c r="F25" s="27">
        <v>458.33</v>
      </c>
      <c r="G25" s="28">
        <v>1.89E-2</v>
      </c>
      <c r="H25" s="29"/>
    </row>
    <row r="26" spans="2:8" ht="15.75" customHeight="1" x14ac:dyDescent="0.2">
      <c r="B26" s="25" t="s">
        <v>305</v>
      </c>
      <c r="C26" s="25" t="s">
        <v>306</v>
      </c>
      <c r="D26" s="25" t="s">
        <v>206</v>
      </c>
      <c r="E26" s="26">
        <v>157154</v>
      </c>
      <c r="F26" s="27">
        <v>457.32</v>
      </c>
      <c r="G26" s="28">
        <v>1.89E-2</v>
      </c>
      <c r="H26" s="29"/>
    </row>
    <row r="27" spans="2:8" ht="15.75" customHeight="1" x14ac:dyDescent="0.2">
      <c r="B27" s="25" t="s">
        <v>532</v>
      </c>
      <c r="C27" s="25" t="s">
        <v>533</v>
      </c>
      <c r="D27" s="25" t="s">
        <v>444</v>
      </c>
      <c r="E27" s="26">
        <v>59193</v>
      </c>
      <c r="F27" s="27">
        <v>455.31</v>
      </c>
      <c r="G27" s="28">
        <v>1.8800000000000001E-2</v>
      </c>
      <c r="H27" s="29"/>
    </row>
    <row r="28" spans="2:8" ht="15.75" customHeight="1" x14ac:dyDescent="0.2">
      <c r="B28" s="25" t="s">
        <v>489</v>
      </c>
      <c r="C28" s="25" t="s">
        <v>490</v>
      </c>
      <c r="D28" s="25" t="s">
        <v>222</v>
      </c>
      <c r="E28" s="26">
        <v>156384</v>
      </c>
      <c r="F28" s="27">
        <v>447.34</v>
      </c>
      <c r="G28" s="28">
        <v>1.84E-2</v>
      </c>
      <c r="H28" s="29"/>
    </row>
    <row r="29" spans="2:8" ht="15.75" customHeight="1" x14ac:dyDescent="0.2">
      <c r="B29" s="25" t="s">
        <v>534</v>
      </c>
      <c r="C29" s="25" t="s">
        <v>535</v>
      </c>
      <c r="D29" s="25" t="s">
        <v>240</v>
      </c>
      <c r="E29" s="26">
        <v>59701</v>
      </c>
      <c r="F29" s="27">
        <v>444.89</v>
      </c>
      <c r="G29" s="28">
        <v>1.83E-2</v>
      </c>
      <c r="H29" s="29"/>
    </row>
    <row r="30" spans="2:8" ht="15.75" customHeight="1" x14ac:dyDescent="0.2">
      <c r="B30" s="25" t="s">
        <v>536</v>
      </c>
      <c r="C30" s="25" t="s">
        <v>537</v>
      </c>
      <c r="D30" s="25" t="s">
        <v>230</v>
      </c>
      <c r="E30" s="26">
        <v>40692</v>
      </c>
      <c r="F30" s="27">
        <v>438.6</v>
      </c>
      <c r="G30" s="28">
        <v>1.8100000000000002E-2</v>
      </c>
      <c r="H30" s="29"/>
    </row>
    <row r="31" spans="2:8" ht="15.75" customHeight="1" x14ac:dyDescent="0.2">
      <c r="B31" s="25" t="s">
        <v>297</v>
      </c>
      <c r="C31" s="25" t="s">
        <v>298</v>
      </c>
      <c r="D31" s="25" t="s">
        <v>240</v>
      </c>
      <c r="E31" s="26">
        <v>32604</v>
      </c>
      <c r="F31" s="27">
        <v>438.28</v>
      </c>
      <c r="G31" s="28">
        <v>1.8100000000000002E-2</v>
      </c>
      <c r="H31" s="29"/>
    </row>
    <row r="32" spans="2:8" ht="15.75" customHeight="1" x14ac:dyDescent="0.2">
      <c r="B32" s="25" t="s">
        <v>538</v>
      </c>
      <c r="C32" s="25" t="s">
        <v>539</v>
      </c>
      <c r="D32" s="25" t="s">
        <v>209</v>
      </c>
      <c r="E32" s="26">
        <v>8219</v>
      </c>
      <c r="F32" s="27">
        <v>432.96</v>
      </c>
      <c r="G32" s="28">
        <v>1.78E-2</v>
      </c>
      <c r="H32" s="29"/>
    </row>
    <row r="33" spans="2:8" ht="15.75" customHeight="1" x14ac:dyDescent="0.2">
      <c r="B33" s="25" t="s">
        <v>360</v>
      </c>
      <c r="C33" s="25" t="s">
        <v>361</v>
      </c>
      <c r="D33" s="25" t="s">
        <v>362</v>
      </c>
      <c r="E33" s="26">
        <v>46152</v>
      </c>
      <c r="F33" s="27">
        <v>428.01</v>
      </c>
      <c r="G33" s="28">
        <v>1.7600000000000001E-2</v>
      </c>
      <c r="H33" s="29"/>
    </row>
    <row r="34" spans="2:8" ht="15.75" customHeight="1" x14ac:dyDescent="0.2">
      <c r="B34" s="25" t="s">
        <v>540</v>
      </c>
      <c r="C34" s="25" t="s">
        <v>541</v>
      </c>
      <c r="D34" s="25" t="s">
        <v>237</v>
      </c>
      <c r="E34" s="26">
        <v>14429</v>
      </c>
      <c r="F34" s="27">
        <v>417.4</v>
      </c>
      <c r="G34" s="28">
        <v>1.72E-2</v>
      </c>
      <c r="H34" s="29"/>
    </row>
    <row r="35" spans="2:8" ht="15.75" customHeight="1" x14ac:dyDescent="0.2">
      <c r="B35" s="25" t="s">
        <v>377</v>
      </c>
      <c r="C35" s="25" t="s">
        <v>378</v>
      </c>
      <c r="D35" s="25" t="s">
        <v>309</v>
      </c>
      <c r="E35" s="26">
        <v>36000</v>
      </c>
      <c r="F35" s="27">
        <v>414.36</v>
      </c>
      <c r="G35" s="28">
        <v>1.7100000000000001E-2</v>
      </c>
      <c r="H35" s="29"/>
    </row>
    <row r="36" spans="2:8" ht="15.75" customHeight="1" x14ac:dyDescent="0.2">
      <c r="B36" s="25" t="s">
        <v>542</v>
      </c>
      <c r="C36" s="25" t="s">
        <v>543</v>
      </c>
      <c r="D36" s="25" t="s">
        <v>471</v>
      </c>
      <c r="E36" s="26">
        <v>240000</v>
      </c>
      <c r="F36" s="27">
        <v>407.76</v>
      </c>
      <c r="G36" s="28">
        <v>1.6799999999999999E-2</v>
      </c>
      <c r="H36" s="29"/>
    </row>
    <row r="37" spans="2:8" ht="15.75" customHeight="1" x14ac:dyDescent="0.2">
      <c r="B37" s="25" t="s">
        <v>394</v>
      </c>
      <c r="C37" s="25" t="s">
        <v>395</v>
      </c>
      <c r="D37" s="25" t="s">
        <v>285</v>
      </c>
      <c r="E37" s="26">
        <v>45525</v>
      </c>
      <c r="F37" s="27">
        <v>380.25</v>
      </c>
      <c r="G37" s="28">
        <v>1.5699999999999999E-2</v>
      </c>
      <c r="H37" s="29"/>
    </row>
    <row r="38" spans="2:8" ht="15.75" customHeight="1" x14ac:dyDescent="0.2">
      <c r="B38" s="25" t="s">
        <v>544</v>
      </c>
      <c r="C38" s="25" t="s">
        <v>545</v>
      </c>
      <c r="D38" s="25" t="s">
        <v>320</v>
      </c>
      <c r="E38" s="26">
        <v>96192</v>
      </c>
      <c r="F38" s="27">
        <v>359.9</v>
      </c>
      <c r="G38" s="28">
        <v>1.4800000000000001E-2</v>
      </c>
      <c r="H38" s="29"/>
    </row>
    <row r="39" spans="2:8" ht="15.75" customHeight="1" x14ac:dyDescent="0.2">
      <c r="B39" s="25" t="s">
        <v>546</v>
      </c>
      <c r="C39" s="25" t="s">
        <v>547</v>
      </c>
      <c r="D39" s="25" t="s">
        <v>133</v>
      </c>
      <c r="E39" s="26">
        <v>4569</v>
      </c>
      <c r="F39" s="27">
        <v>356.89</v>
      </c>
      <c r="G39" s="28">
        <v>1.47E-2</v>
      </c>
      <c r="H39" s="29"/>
    </row>
    <row r="40" spans="2:8" ht="15.75" customHeight="1" x14ac:dyDescent="0.2">
      <c r="B40" s="25" t="s">
        <v>548</v>
      </c>
      <c r="C40" s="25" t="s">
        <v>549</v>
      </c>
      <c r="D40" s="25" t="s">
        <v>179</v>
      </c>
      <c r="E40" s="26">
        <v>32538</v>
      </c>
      <c r="F40" s="27">
        <v>354.4</v>
      </c>
      <c r="G40" s="28">
        <v>1.46E-2</v>
      </c>
      <c r="H40" s="29"/>
    </row>
    <row r="41" spans="2:8" ht="15.75" customHeight="1" x14ac:dyDescent="0.2">
      <c r="B41" s="25" t="s">
        <v>550</v>
      </c>
      <c r="C41" s="25" t="s">
        <v>551</v>
      </c>
      <c r="D41" s="25" t="s">
        <v>237</v>
      </c>
      <c r="E41" s="26">
        <v>15546</v>
      </c>
      <c r="F41" s="27">
        <v>346.51</v>
      </c>
      <c r="G41" s="28">
        <v>1.43E-2</v>
      </c>
      <c r="H41" s="29"/>
    </row>
    <row r="42" spans="2:8" ht="15.75" customHeight="1" x14ac:dyDescent="0.2">
      <c r="B42" s="25" t="s">
        <v>371</v>
      </c>
      <c r="C42" s="25" t="s">
        <v>372</v>
      </c>
      <c r="D42" s="25" t="s">
        <v>237</v>
      </c>
      <c r="E42" s="26">
        <v>49827</v>
      </c>
      <c r="F42" s="27">
        <v>343.48</v>
      </c>
      <c r="G42" s="28">
        <v>1.4200000000000001E-2</v>
      </c>
      <c r="H42" s="29"/>
    </row>
    <row r="43" spans="2:8" ht="15.75" customHeight="1" x14ac:dyDescent="0.2">
      <c r="B43" s="25" t="s">
        <v>552</v>
      </c>
      <c r="C43" s="25" t="s">
        <v>553</v>
      </c>
      <c r="D43" s="25" t="s">
        <v>237</v>
      </c>
      <c r="E43" s="26">
        <v>17522</v>
      </c>
      <c r="F43" s="27">
        <v>325.38</v>
      </c>
      <c r="G43" s="28">
        <v>1.34E-2</v>
      </c>
      <c r="H43" s="29"/>
    </row>
    <row r="44" spans="2:8" ht="15.75" customHeight="1" x14ac:dyDescent="0.2">
      <c r="B44" s="25" t="s">
        <v>554</v>
      </c>
      <c r="C44" s="25" t="s">
        <v>555</v>
      </c>
      <c r="D44" s="25" t="s">
        <v>556</v>
      </c>
      <c r="E44" s="26">
        <v>1006</v>
      </c>
      <c r="F44" s="27">
        <v>321.7</v>
      </c>
      <c r="G44" s="28">
        <v>1.3299999999999999E-2</v>
      </c>
      <c r="H44" s="29"/>
    </row>
    <row r="45" spans="2:8" ht="15.75" customHeight="1" x14ac:dyDescent="0.2">
      <c r="B45" s="25" t="s">
        <v>160</v>
      </c>
      <c r="C45" s="25" t="s">
        <v>557</v>
      </c>
      <c r="D45" s="25" t="s">
        <v>179</v>
      </c>
      <c r="E45" s="26">
        <v>72213</v>
      </c>
      <c r="F45" s="27">
        <v>319.22000000000003</v>
      </c>
      <c r="G45" s="28">
        <v>1.32E-2</v>
      </c>
      <c r="H45" s="29"/>
    </row>
    <row r="46" spans="2:8" ht="15.75" customHeight="1" x14ac:dyDescent="0.2">
      <c r="B46" s="25" t="s">
        <v>255</v>
      </c>
      <c r="C46" s="25" t="s">
        <v>256</v>
      </c>
      <c r="D46" s="25" t="s">
        <v>179</v>
      </c>
      <c r="E46" s="26">
        <v>34708</v>
      </c>
      <c r="F46" s="27">
        <v>317.49</v>
      </c>
      <c r="G46" s="28">
        <v>1.3100000000000001E-2</v>
      </c>
      <c r="H46" s="29"/>
    </row>
    <row r="47" spans="2:8" ht="15.75" customHeight="1" x14ac:dyDescent="0.2">
      <c r="B47" s="25" t="s">
        <v>558</v>
      </c>
      <c r="C47" s="25" t="s">
        <v>559</v>
      </c>
      <c r="D47" s="25" t="s">
        <v>237</v>
      </c>
      <c r="E47" s="26">
        <v>61154</v>
      </c>
      <c r="F47" s="27">
        <v>317.08</v>
      </c>
      <c r="G47" s="28">
        <v>1.3100000000000001E-2</v>
      </c>
      <c r="H47" s="29"/>
    </row>
    <row r="48" spans="2:8" ht="15.75" customHeight="1" x14ac:dyDescent="0.2">
      <c r="B48" s="25" t="s">
        <v>560</v>
      </c>
      <c r="C48" s="25" t="s">
        <v>561</v>
      </c>
      <c r="D48" s="25" t="s">
        <v>309</v>
      </c>
      <c r="E48" s="26">
        <v>7568</v>
      </c>
      <c r="F48" s="27">
        <v>314.12</v>
      </c>
      <c r="G48" s="28">
        <v>1.29E-2</v>
      </c>
      <c r="H48" s="29"/>
    </row>
    <row r="49" spans="2:8" ht="15.75" customHeight="1" x14ac:dyDescent="0.2">
      <c r="B49" s="25" t="s">
        <v>327</v>
      </c>
      <c r="C49" s="25" t="s">
        <v>328</v>
      </c>
      <c r="D49" s="25" t="s">
        <v>179</v>
      </c>
      <c r="E49" s="26">
        <v>23590</v>
      </c>
      <c r="F49" s="27">
        <v>307.55</v>
      </c>
      <c r="G49" s="28">
        <v>1.2699999999999999E-2</v>
      </c>
      <c r="H49" s="29"/>
    </row>
    <row r="50" spans="2:8" ht="15.75" customHeight="1" x14ac:dyDescent="0.2">
      <c r="B50" s="25" t="s">
        <v>455</v>
      </c>
      <c r="C50" s="25" t="s">
        <v>456</v>
      </c>
      <c r="D50" s="25" t="s">
        <v>320</v>
      </c>
      <c r="E50" s="26">
        <v>27611</v>
      </c>
      <c r="F50" s="27">
        <v>297.16000000000003</v>
      </c>
      <c r="G50" s="28">
        <v>1.23E-2</v>
      </c>
      <c r="H50" s="29"/>
    </row>
    <row r="51" spans="2:8" ht="15.75" customHeight="1" x14ac:dyDescent="0.2">
      <c r="B51" s="25" t="s">
        <v>286</v>
      </c>
      <c r="C51" s="25" t="s">
        <v>287</v>
      </c>
      <c r="D51" s="25" t="s">
        <v>130</v>
      </c>
      <c r="E51" s="26">
        <v>220375</v>
      </c>
      <c r="F51" s="27">
        <v>289.68</v>
      </c>
      <c r="G51" s="28">
        <v>1.1900000000000001E-2</v>
      </c>
      <c r="H51" s="29"/>
    </row>
    <row r="52" spans="2:8" ht="15.75" customHeight="1" x14ac:dyDescent="0.2">
      <c r="B52" s="25" t="s">
        <v>562</v>
      </c>
      <c r="C52" s="25" t="s">
        <v>563</v>
      </c>
      <c r="D52" s="25" t="s">
        <v>206</v>
      </c>
      <c r="E52" s="26">
        <v>25120</v>
      </c>
      <c r="F52" s="27">
        <v>286.14</v>
      </c>
      <c r="G52" s="28">
        <v>1.18E-2</v>
      </c>
      <c r="H52" s="29"/>
    </row>
    <row r="53" spans="2:8" ht="15.75" customHeight="1" x14ac:dyDescent="0.2">
      <c r="B53" s="25" t="s">
        <v>564</v>
      </c>
      <c r="C53" s="25" t="s">
        <v>565</v>
      </c>
      <c r="D53" s="25" t="s">
        <v>294</v>
      </c>
      <c r="E53" s="26">
        <v>729</v>
      </c>
      <c r="F53" s="27">
        <v>276.51</v>
      </c>
      <c r="G53" s="28">
        <v>1.14E-2</v>
      </c>
      <c r="H53" s="29"/>
    </row>
    <row r="54" spans="2:8" ht="15.75" customHeight="1" x14ac:dyDescent="0.2">
      <c r="B54" s="25" t="s">
        <v>412</v>
      </c>
      <c r="C54" s="25" t="s">
        <v>413</v>
      </c>
      <c r="D54" s="25" t="s">
        <v>179</v>
      </c>
      <c r="E54" s="26">
        <v>18684</v>
      </c>
      <c r="F54" s="27">
        <v>274.67</v>
      </c>
      <c r="G54" s="28">
        <v>1.1299999999999999E-2</v>
      </c>
      <c r="H54" s="29"/>
    </row>
    <row r="55" spans="2:8" ht="15.75" customHeight="1" x14ac:dyDescent="0.2">
      <c r="B55" s="25" t="s">
        <v>566</v>
      </c>
      <c r="C55" s="25" t="s">
        <v>567</v>
      </c>
      <c r="D55" s="25" t="s">
        <v>285</v>
      </c>
      <c r="E55" s="26">
        <v>10330</v>
      </c>
      <c r="F55" s="27">
        <v>271.61</v>
      </c>
      <c r="G55" s="28">
        <v>1.12E-2</v>
      </c>
      <c r="H55" s="29"/>
    </row>
    <row r="56" spans="2:8" ht="15.75" customHeight="1" x14ac:dyDescent="0.2">
      <c r="B56" s="25" t="s">
        <v>390</v>
      </c>
      <c r="C56" s="25" t="s">
        <v>391</v>
      </c>
      <c r="D56" s="25" t="s">
        <v>362</v>
      </c>
      <c r="E56" s="26">
        <v>55047</v>
      </c>
      <c r="F56" s="27">
        <v>255.36</v>
      </c>
      <c r="G56" s="28">
        <v>1.0500000000000001E-2</v>
      </c>
      <c r="H56" s="29"/>
    </row>
    <row r="57" spans="2:8" ht="15.75" customHeight="1" x14ac:dyDescent="0.2">
      <c r="B57" s="25" t="s">
        <v>568</v>
      </c>
      <c r="C57" s="25" t="s">
        <v>569</v>
      </c>
      <c r="D57" s="25" t="s">
        <v>471</v>
      </c>
      <c r="E57" s="26">
        <v>8385</v>
      </c>
      <c r="F57" s="27">
        <v>239.51</v>
      </c>
      <c r="G57" s="28">
        <v>9.9000000000000008E-3</v>
      </c>
      <c r="H57" s="29"/>
    </row>
    <row r="58" spans="2:8" ht="15.75" customHeight="1" x14ac:dyDescent="0.2">
      <c r="B58" s="25" t="s">
        <v>570</v>
      </c>
      <c r="C58" s="25" t="s">
        <v>571</v>
      </c>
      <c r="D58" s="25" t="s">
        <v>185</v>
      </c>
      <c r="E58" s="26">
        <v>84768</v>
      </c>
      <c r="F58" s="27">
        <v>234.38</v>
      </c>
      <c r="G58" s="28">
        <v>9.7000000000000003E-3</v>
      </c>
      <c r="H58" s="29"/>
    </row>
    <row r="59" spans="2:8" ht="15.75" customHeight="1" x14ac:dyDescent="0.2">
      <c r="B59" s="25" t="s">
        <v>369</v>
      </c>
      <c r="C59" s="25" t="s">
        <v>370</v>
      </c>
      <c r="D59" s="25" t="s">
        <v>309</v>
      </c>
      <c r="E59" s="26">
        <v>5921</v>
      </c>
      <c r="F59" s="27">
        <v>190.11</v>
      </c>
      <c r="G59" s="28">
        <v>7.7999999999999996E-3</v>
      </c>
      <c r="H59" s="29"/>
    </row>
    <row r="60" spans="2:8" ht="15.75" customHeight="1" x14ac:dyDescent="0.2">
      <c r="B60" s="25" t="s">
        <v>572</v>
      </c>
      <c r="C60" s="25" t="s">
        <v>573</v>
      </c>
      <c r="D60" s="25" t="s">
        <v>209</v>
      </c>
      <c r="E60" s="26">
        <v>74612</v>
      </c>
      <c r="F60" s="27">
        <v>174.29</v>
      </c>
      <c r="G60" s="28">
        <v>7.1999999999999998E-3</v>
      </c>
      <c r="H60" s="29"/>
    </row>
    <row r="61" spans="2:8" ht="15.75" customHeight="1" x14ac:dyDescent="0.2">
      <c r="B61" s="24" t="s">
        <v>98</v>
      </c>
      <c r="C61" s="24"/>
      <c r="D61" s="24"/>
      <c r="E61" s="30"/>
      <c r="F61" s="31">
        <v>23665.89</v>
      </c>
      <c r="G61" s="32">
        <v>0.97560000000000002</v>
      </c>
      <c r="H61" s="33"/>
    </row>
    <row r="62" spans="2:8" ht="15.75" customHeight="1" x14ac:dyDescent="0.2">
      <c r="B62" s="24" t="s">
        <v>150</v>
      </c>
      <c r="C62" s="25"/>
      <c r="D62" s="25"/>
      <c r="E62" s="26"/>
      <c r="F62" s="27"/>
      <c r="G62" s="28"/>
      <c r="H62" s="29"/>
    </row>
    <row r="63" spans="2:8" ht="15.75" customHeight="1" x14ac:dyDescent="0.2">
      <c r="B63" s="24" t="s">
        <v>98</v>
      </c>
      <c r="C63" s="25"/>
      <c r="D63" s="25"/>
      <c r="E63" s="26"/>
      <c r="F63" s="34" t="s">
        <v>100</v>
      </c>
      <c r="G63" s="35" t="s">
        <v>100</v>
      </c>
      <c r="H63" s="29"/>
    </row>
    <row r="64" spans="2:8" ht="15.75" customHeight="1" x14ac:dyDescent="0.2">
      <c r="B64" s="25"/>
      <c r="C64" s="25"/>
      <c r="D64" s="25"/>
      <c r="E64" s="26"/>
      <c r="F64" s="27"/>
      <c r="G64" s="28"/>
      <c r="H64" s="29"/>
    </row>
    <row r="65" spans="2:16" ht="15.75" customHeight="1" x14ac:dyDescent="0.2">
      <c r="B65" s="36" t="s">
        <v>102</v>
      </c>
      <c r="C65" s="36"/>
      <c r="D65" s="36"/>
      <c r="E65" s="37"/>
      <c r="F65" s="31">
        <v>23665.89</v>
      </c>
      <c r="G65" s="32">
        <v>0.97560000000000002</v>
      </c>
      <c r="H65" s="33"/>
    </row>
    <row r="66" spans="2:16" ht="15.75" customHeight="1" x14ac:dyDescent="0.2">
      <c r="B66" s="25"/>
      <c r="C66" s="25"/>
      <c r="D66" s="25"/>
      <c r="E66" s="26"/>
      <c r="F66" s="27"/>
      <c r="G66" s="28"/>
      <c r="H66" s="29"/>
    </row>
    <row r="67" spans="2:16" ht="15.75" customHeight="1" x14ac:dyDescent="0.2">
      <c r="B67" s="25"/>
      <c r="C67" s="25"/>
      <c r="D67" s="25"/>
      <c r="E67" s="26"/>
      <c r="F67" s="27"/>
      <c r="G67" s="28"/>
      <c r="H67" s="29"/>
    </row>
    <row r="68" spans="2:16" ht="15.75" customHeight="1" x14ac:dyDescent="0.2">
      <c r="B68" s="24" t="s">
        <v>105</v>
      </c>
      <c r="C68" s="25"/>
      <c r="D68" s="25"/>
      <c r="E68" s="26"/>
      <c r="F68" s="27"/>
      <c r="G68" s="28"/>
      <c r="H68" s="29"/>
      <c r="L68" s="3"/>
    </row>
    <row r="69" spans="2:16" ht="15.75" customHeight="1" x14ac:dyDescent="0.2">
      <c r="B69" s="25" t="s">
        <v>106</v>
      </c>
      <c r="C69" s="25"/>
      <c r="D69" s="25"/>
      <c r="E69" s="26"/>
      <c r="F69" s="27">
        <v>601.64</v>
      </c>
      <c r="G69" s="28">
        <v>2.4799999999999999E-2</v>
      </c>
      <c r="H69" s="29"/>
    </row>
    <row r="70" spans="2:16" ht="15.75" customHeight="1" x14ac:dyDescent="0.2">
      <c r="B70" s="24" t="s">
        <v>98</v>
      </c>
      <c r="C70" s="24"/>
      <c r="D70" s="24"/>
      <c r="E70" s="30"/>
      <c r="F70" s="31">
        <v>601.64</v>
      </c>
      <c r="G70" s="32">
        <v>2.4799999999999999E-2</v>
      </c>
      <c r="H70" s="33"/>
      <c r="L70" s="3"/>
    </row>
    <row r="71" spans="2:16" ht="15.75" customHeight="1" x14ac:dyDescent="0.2">
      <c r="B71" s="25"/>
      <c r="C71" s="25"/>
      <c r="D71" s="25"/>
      <c r="E71" s="26"/>
      <c r="F71" s="27"/>
      <c r="G71" s="28"/>
      <c r="H71" s="29"/>
      <c r="L71" s="3"/>
    </row>
    <row r="72" spans="2:16" ht="15.75" customHeight="1" x14ac:dyDescent="0.2">
      <c r="B72" s="36" t="s">
        <v>102</v>
      </c>
      <c r="C72" s="36"/>
      <c r="D72" s="36"/>
      <c r="E72" s="37"/>
      <c r="F72" s="31">
        <v>601.64</v>
      </c>
      <c r="G72" s="32">
        <v>2.4799999999999999E-2</v>
      </c>
      <c r="H72" s="33"/>
      <c r="L72" s="3"/>
    </row>
    <row r="73" spans="2:16" ht="15.75" customHeight="1" x14ac:dyDescent="0.2">
      <c r="B73" s="25" t="s">
        <v>107</v>
      </c>
      <c r="C73" s="25"/>
      <c r="D73" s="25"/>
      <c r="E73" s="26"/>
      <c r="F73" s="38">
        <v>-10.44</v>
      </c>
      <c r="G73" s="39">
        <v>-3.9999999999995595E-4</v>
      </c>
      <c r="H73" s="29"/>
      <c r="L73" s="3"/>
    </row>
    <row r="74" spans="2:16" ht="15.75" customHeight="1" x14ac:dyDescent="0.2">
      <c r="B74" s="40" t="s">
        <v>108</v>
      </c>
      <c r="C74" s="40"/>
      <c r="D74" s="40"/>
      <c r="E74" s="41"/>
      <c r="F74" s="42">
        <v>24257.09</v>
      </c>
      <c r="G74" s="43">
        <v>1</v>
      </c>
      <c r="H74" s="44"/>
      <c r="L74" s="3"/>
    </row>
    <row r="75" spans="2:16" ht="15.75" customHeight="1" thickBot="1" x14ac:dyDescent="0.25">
      <c r="B75" s="2"/>
      <c r="L75" s="5"/>
      <c r="M75" s="5"/>
      <c r="N75" s="6"/>
      <c r="O75" s="6"/>
      <c r="P75" s="5"/>
    </row>
    <row r="76" spans="2:16" ht="27" customHeight="1" thickBot="1" x14ac:dyDescent="0.25">
      <c r="B76" s="57" t="s">
        <v>925</v>
      </c>
      <c r="C76" s="58" t="s">
        <v>926</v>
      </c>
      <c r="D76" s="58" t="s">
        <v>927</v>
      </c>
      <c r="E76" s="63" t="s">
        <v>928</v>
      </c>
      <c r="G76" s="2"/>
      <c r="H76" s="2"/>
    </row>
    <row r="77" spans="2:16" ht="29.25" customHeight="1" x14ac:dyDescent="0.2">
      <c r="B77" s="64" t="s">
        <v>964</v>
      </c>
      <c r="C77" s="82"/>
      <c r="D77" s="85" t="s">
        <v>965</v>
      </c>
      <c r="E77" s="87"/>
      <c r="G77" s="2"/>
      <c r="H77" s="2"/>
    </row>
    <row r="78" spans="2:16" ht="39.950000000000003" customHeight="1" x14ac:dyDescent="0.2">
      <c r="B78" s="66" t="s">
        <v>958</v>
      </c>
      <c r="C78" s="83"/>
      <c r="D78" s="86"/>
      <c r="E78" s="83"/>
      <c r="G78" s="2"/>
      <c r="H78" s="2"/>
    </row>
    <row r="79" spans="2:16" ht="39.950000000000003" customHeight="1" x14ac:dyDescent="0.2">
      <c r="B79" s="66" t="s">
        <v>966</v>
      </c>
      <c r="C79" s="83"/>
      <c r="D79" s="86"/>
      <c r="E79" s="83"/>
      <c r="G79" s="2"/>
      <c r="H79" s="2"/>
    </row>
    <row r="80" spans="2:16" ht="23.25" customHeight="1" thickBot="1" x14ac:dyDescent="0.25">
      <c r="B80" s="68" t="s">
        <v>943</v>
      </c>
      <c r="C80" s="84"/>
      <c r="D80" s="71" t="s">
        <v>943</v>
      </c>
      <c r="E80" s="88"/>
      <c r="G80" s="2"/>
      <c r="H80" s="2"/>
    </row>
    <row r="81" spans="2:12" ht="24.95" customHeight="1" x14ac:dyDescent="0.2">
      <c r="B81" s="59" t="s">
        <v>929</v>
      </c>
      <c r="C81" s="60"/>
      <c r="D81" s="61"/>
      <c r="E81" s="62"/>
      <c r="G81" s="2"/>
      <c r="H81" s="2"/>
    </row>
    <row r="83" spans="2:12" ht="12" x14ac:dyDescent="0.2">
      <c r="B83" s="2" t="s">
        <v>930</v>
      </c>
      <c r="C83" s="2"/>
      <c r="D83" s="2"/>
      <c r="G83" s="2"/>
      <c r="H83" s="2"/>
    </row>
    <row r="84" spans="2:12" ht="12" x14ac:dyDescent="0.2">
      <c r="B84" s="3" t="s">
        <v>931</v>
      </c>
      <c r="C84" s="2"/>
      <c r="D84" s="2"/>
      <c r="G84" s="2"/>
      <c r="H84" s="2"/>
    </row>
    <row r="86" spans="2:12" ht="15.75" customHeight="1" x14ac:dyDescent="0.2">
      <c r="L86" s="3"/>
    </row>
  </sheetData>
  <mergeCells count="3">
    <mergeCell ref="C77:C80"/>
    <mergeCell ref="D77:D79"/>
    <mergeCell ref="E77:E80"/>
  </mergeCells>
  <hyperlinks>
    <hyperlink ref="I1" location="'Sheet1'!A1" display="Index" xr:uid="{988A393E-0D59-41E3-A454-22FB280C545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4E37-C32F-419A-A7AA-F50790E50FB3}">
  <dimension ref="B1:P109"/>
  <sheetViews>
    <sheetView workbookViewId="0">
      <selection activeCell="I1" sqref="I1"/>
    </sheetView>
  </sheetViews>
  <sheetFormatPr defaultColWidth="9.140625" defaultRowHeight="15.75" customHeight="1" x14ac:dyDescent="0.2"/>
  <cols>
    <col min="1" max="1" width="3.5703125" style="2" customWidth="1"/>
    <col min="2" max="2" width="42.42578125" style="9" bestFit="1" customWidth="1"/>
    <col min="3" max="3" width="27.5703125" style="9" customWidth="1"/>
    <col min="4" max="4" width="33.42578125" style="9" bestFit="1" customWidth="1"/>
    <col min="5" max="5" width="24.140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967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574</v>
      </c>
      <c r="C7" s="25" t="s">
        <v>575</v>
      </c>
      <c r="D7" s="25" t="s">
        <v>191</v>
      </c>
      <c r="E7" s="26">
        <v>49500</v>
      </c>
      <c r="F7" s="27">
        <v>69.72</v>
      </c>
      <c r="G7" s="28">
        <v>5.4800000000000001E-2</v>
      </c>
      <c r="H7" s="29"/>
    </row>
    <row r="8" spans="2:9" ht="15.75" customHeight="1" x14ac:dyDescent="0.2">
      <c r="B8" s="25" t="s">
        <v>131</v>
      </c>
      <c r="C8" s="25" t="s">
        <v>132</v>
      </c>
      <c r="D8" s="25" t="s">
        <v>133</v>
      </c>
      <c r="E8" s="26">
        <v>3600</v>
      </c>
      <c r="F8" s="27">
        <v>60.26</v>
      </c>
      <c r="G8" s="28">
        <v>4.7399999999999998E-2</v>
      </c>
      <c r="H8" s="29"/>
    </row>
    <row r="9" spans="2:9" ht="15.75" customHeight="1" x14ac:dyDescent="0.2">
      <c r="B9" s="25" t="s">
        <v>199</v>
      </c>
      <c r="C9" s="25" t="s">
        <v>200</v>
      </c>
      <c r="D9" s="25" t="s">
        <v>133</v>
      </c>
      <c r="E9" s="26">
        <v>1400</v>
      </c>
      <c r="F9" s="27">
        <v>57.33</v>
      </c>
      <c r="G9" s="28">
        <v>4.5100000000000001E-2</v>
      </c>
      <c r="H9" s="29"/>
    </row>
    <row r="10" spans="2:9" ht="15.75" customHeight="1" x14ac:dyDescent="0.2">
      <c r="B10" s="25" t="s">
        <v>128</v>
      </c>
      <c r="C10" s="25" t="s">
        <v>129</v>
      </c>
      <c r="D10" s="25" t="s">
        <v>130</v>
      </c>
      <c r="E10" s="26">
        <v>5253</v>
      </c>
      <c r="F10" s="27">
        <v>55.27</v>
      </c>
      <c r="G10" s="28">
        <v>4.3499999999999997E-2</v>
      </c>
      <c r="H10" s="29"/>
    </row>
    <row r="11" spans="2:9" ht="15.75" customHeight="1" x14ac:dyDescent="0.2">
      <c r="B11" s="25" t="s">
        <v>440</v>
      </c>
      <c r="C11" s="25" t="s">
        <v>441</v>
      </c>
      <c r="D11" s="25" t="s">
        <v>285</v>
      </c>
      <c r="E11" s="26">
        <v>500</v>
      </c>
      <c r="F11" s="27">
        <v>49.46</v>
      </c>
      <c r="G11" s="28">
        <v>3.8899999999999997E-2</v>
      </c>
      <c r="H11" s="29"/>
    </row>
    <row r="12" spans="2:9" ht="15.75" customHeight="1" x14ac:dyDescent="0.2">
      <c r="B12" s="25" t="s">
        <v>134</v>
      </c>
      <c r="C12" s="25" t="s">
        <v>135</v>
      </c>
      <c r="D12" s="25" t="s">
        <v>130</v>
      </c>
      <c r="E12" s="26">
        <v>2844</v>
      </c>
      <c r="F12" s="27">
        <v>39.909999999999997</v>
      </c>
      <c r="G12" s="28">
        <v>3.1399999999999997E-2</v>
      </c>
      <c r="H12" s="29"/>
    </row>
    <row r="13" spans="2:9" ht="15.75" customHeight="1" x14ac:dyDescent="0.2">
      <c r="B13" s="25" t="s">
        <v>270</v>
      </c>
      <c r="C13" s="25" t="s">
        <v>271</v>
      </c>
      <c r="D13" s="25" t="s">
        <v>133</v>
      </c>
      <c r="E13" s="26">
        <v>2135</v>
      </c>
      <c r="F13" s="27">
        <v>35.520000000000003</v>
      </c>
      <c r="G13" s="28">
        <v>2.7900000000000001E-2</v>
      </c>
      <c r="H13" s="29"/>
    </row>
    <row r="14" spans="2:9" ht="15.75" customHeight="1" x14ac:dyDescent="0.2">
      <c r="B14" s="25" t="s">
        <v>272</v>
      </c>
      <c r="C14" s="25" t="s">
        <v>273</v>
      </c>
      <c r="D14" s="25" t="s">
        <v>185</v>
      </c>
      <c r="E14" s="26">
        <v>2100</v>
      </c>
      <c r="F14" s="27">
        <v>33.14</v>
      </c>
      <c r="G14" s="28">
        <v>2.6100000000000002E-2</v>
      </c>
      <c r="H14" s="29"/>
    </row>
    <row r="15" spans="2:9" ht="15.75" customHeight="1" x14ac:dyDescent="0.2">
      <c r="B15" s="25" t="s">
        <v>214</v>
      </c>
      <c r="C15" s="25" t="s">
        <v>215</v>
      </c>
      <c r="D15" s="25" t="s">
        <v>130</v>
      </c>
      <c r="E15" s="26">
        <v>1600</v>
      </c>
      <c r="F15" s="27">
        <v>27.03</v>
      </c>
      <c r="G15" s="28">
        <v>2.1299999999999999E-2</v>
      </c>
      <c r="H15" s="29"/>
    </row>
    <row r="16" spans="2:9" ht="15.75" customHeight="1" x14ac:dyDescent="0.2">
      <c r="B16" s="25" t="s">
        <v>268</v>
      </c>
      <c r="C16" s="25" t="s">
        <v>269</v>
      </c>
      <c r="D16" s="25" t="s">
        <v>130</v>
      </c>
      <c r="E16" s="26">
        <v>2500</v>
      </c>
      <c r="F16" s="27">
        <v>26.88</v>
      </c>
      <c r="G16" s="28">
        <v>2.1100000000000001E-2</v>
      </c>
      <c r="H16" s="29"/>
    </row>
    <row r="17" spans="2:8" ht="15.75" customHeight="1" x14ac:dyDescent="0.2">
      <c r="B17" s="25" t="s">
        <v>136</v>
      </c>
      <c r="C17" s="25" t="s">
        <v>137</v>
      </c>
      <c r="D17" s="25" t="s">
        <v>138</v>
      </c>
      <c r="E17" s="26">
        <v>861</v>
      </c>
      <c r="F17" s="27">
        <v>25.15</v>
      </c>
      <c r="G17" s="28">
        <v>1.9800000000000002E-2</v>
      </c>
      <c r="H17" s="29"/>
    </row>
    <row r="18" spans="2:8" ht="15.75" customHeight="1" x14ac:dyDescent="0.2">
      <c r="B18" s="25" t="s">
        <v>210</v>
      </c>
      <c r="C18" s="25" t="s">
        <v>211</v>
      </c>
      <c r="D18" s="25" t="s">
        <v>141</v>
      </c>
      <c r="E18" s="26">
        <v>6177</v>
      </c>
      <c r="F18" s="27">
        <v>25.1</v>
      </c>
      <c r="G18" s="28">
        <v>1.9699999999999999E-2</v>
      </c>
      <c r="H18" s="29"/>
    </row>
    <row r="19" spans="2:8" ht="15.75" customHeight="1" x14ac:dyDescent="0.2">
      <c r="B19" s="25" t="s">
        <v>266</v>
      </c>
      <c r="C19" s="25" t="s">
        <v>267</v>
      </c>
      <c r="D19" s="25" t="s">
        <v>130</v>
      </c>
      <c r="E19" s="26">
        <v>3312</v>
      </c>
      <c r="F19" s="27">
        <v>24.78</v>
      </c>
      <c r="G19" s="28">
        <v>1.95E-2</v>
      </c>
      <c r="H19" s="29"/>
    </row>
    <row r="20" spans="2:8" ht="15.75" customHeight="1" x14ac:dyDescent="0.2">
      <c r="B20" s="25" t="s">
        <v>360</v>
      </c>
      <c r="C20" s="25" t="s">
        <v>361</v>
      </c>
      <c r="D20" s="25" t="s">
        <v>362</v>
      </c>
      <c r="E20" s="26">
        <v>2466</v>
      </c>
      <c r="F20" s="27">
        <v>22.87</v>
      </c>
      <c r="G20" s="28">
        <v>1.7999999999999999E-2</v>
      </c>
      <c r="H20" s="29"/>
    </row>
    <row r="21" spans="2:8" ht="15.75" customHeight="1" x14ac:dyDescent="0.2">
      <c r="B21" s="25" t="s">
        <v>194</v>
      </c>
      <c r="C21" s="25" t="s">
        <v>195</v>
      </c>
      <c r="D21" s="25" t="s">
        <v>196</v>
      </c>
      <c r="E21" s="26">
        <v>4200</v>
      </c>
      <c r="F21" s="27">
        <v>21.16</v>
      </c>
      <c r="G21" s="28">
        <v>1.66E-2</v>
      </c>
      <c r="H21" s="29"/>
    </row>
    <row r="22" spans="2:8" ht="15.75" customHeight="1" x14ac:dyDescent="0.2">
      <c r="B22" s="25" t="s">
        <v>283</v>
      </c>
      <c r="C22" s="25" t="s">
        <v>284</v>
      </c>
      <c r="D22" s="25" t="s">
        <v>285</v>
      </c>
      <c r="E22" s="26">
        <v>894</v>
      </c>
      <c r="F22" s="27">
        <v>19.59</v>
      </c>
      <c r="G22" s="28">
        <v>1.54E-2</v>
      </c>
      <c r="H22" s="29"/>
    </row>
    <row r="23" spans="2:8" ht="15.75" customHeight="1" x14ac:dyDescent="0.2">
      <c r="B23" s="25" t="s">
        <v>307</v>
      </c>
      <c r="C23" s="25" t="s">
        <v>308</v>
      </c>
      <c r="D23" s="25" t="s">
        <v>309</v>
      </c>
      <c r="E23" s="26">
        <v>1151</v>
      </c>
      <c r="F23" s="27">
        <v>17.809999999999999</v>
      </c>
      <c r="G23" s="28">
        <v>1.4E-2</v>
      </c>
      <c r="H23" s="29"/>
    </row>
    <row r="24" spans="2:8" ht="15.75" customHeight="1" x14ac:dyDescent="0.2">
      <c r="B24" s="25" t="s">
        <v>228</v>
      </c>
      <c r="C24" s="25" t="s">
        <v>229</v>
      </c>
      <c r="D24" s="25" t="s">
        <v>230</v>
      </c>
      <c r="E24" s="26">
        <v>4780</v>
      </c>
      <c r="F24" s="27">
        <v>17.77</v>
      </c>
      <c r="G24" s="28">
        <v>1.4E-2</v>
      </c>
      <c r="H24" s="29"/>
    </row>
    <row r="25" spans="2:8" ht="15.75" customHeight="1" x14ac:dyDescent="0.2">
      <c r="B25" s="25" t="s">
        <v>414</v>
      </c>
      <c r="C25" s="25" t="s">
        <v>415</v>
      </c>
      <c r="D25" s="25" t="s">
        <v>130</v>
      </c>
      <c r="E25" s="26">
        <v>12720</v>
      </c>
      <c r="F25" s="27">
        <v>16.28</v>
      </c>
      <c r="G25" s="28">
        <v>1.2800000000000001E-2</v>
      </c>
      <c r="H25" s="29"/>
    </row>
    <row r="26" spans="2:8" ht="15.75" customHeight="1" x14ac:dyDescent="0.2">
      <c r="B26" s="25" t="s">
        <v>142</v>
      </c>
      <c r="C26" s="25" t="s">
        <v>143</v>
      </c>
      <c r="D26" s="25" t="s">
        <v>144</v>
      </c>
      <c r="E26" s="26">
        <v>700</v>
      </c>
      <c r="F26" s="27">
        <v>13.53</v>
      </c>
      <c r="G26" s="28">
        <v>1.06E-2</v>
      </c>
      <c r="H26" s="29"/>
    </row>
    <row r="27" spans="2:8" ht="15.75" customHeight="1" x14ac:dyDescent="0.2">
      <c r="B27" s="25" t="s">
        <v>369</v>
      </c>
      <c r="C27" s="25" t="s">
        <v>370</v>
      </c>
      <c r="D27" s="25" t="s">
        <v>309</v>
      </c>
      <c r="E27" s="26">
        <v>389</v>
      </c>
      <c r="F27" s="27">
        <v>12.49</v>
      </c>
      <c r="G27" s="28">
        <v>9.7999999999999997E-3</v>
      </c>
      <c r="H27" s="29"/>
    </row>
    <row r="28" spans="2:8" ht="15.75" customHeight="1" x14ac:dyDescent="0.2">
      <c r="B28" s="25" t="s">
        <v>412</v>
      </c>
      <c r="C28" s="25" t="s">
        <v>413</v>
      </c>
      <c r="D28" s="25" t="s">
        <v>179</v>
      </c>
      <c r="E28" s="26">
        <v>822</v>
      </c>
      <c r="F28" s="27">
        <v>12.08</v>
      </c>
      <c r="G28" s="28">
        <v>9.4999999999999998E-3</v>
      </c>
      <c r="H28" s="29"/>
    </row>
    <row r="29" spans="2:8" ht="15.75" customHeight="1" x14ac:dyDescent="0.2">
      <c r="B29" s="25" t="s">
        <v>576</v>
      </c>
      <c r="C29" s="25" t="s">
        <v>577</v>
      </c>
      <c r="D29" s="25" t="s">
        <v>578</v>
      </c>
      <c r="E29" s="26">
        <v>1902</v>
      </c>
      <c r="F29" s="27">
        <v>11.98</v>
      </c>
      <c r="G29" s="28">
        <v>9.4000000000000004E-3</v>
      </c>
      <c r="H29" s="29"/>
    </row>
    <row r="30" spans="2:8" ht="15.75" customHeight="1" x14ac:dyDescent="0.2">
      <c r="B30" s="25" t="s">
        <v>290</v>
      </c>
      <c r="C30" s="25" t="s">
        <v>291</v>
      </c>
      <c r="D30" s="25" t="s">
        <v>179</v>
      </c>
      <c r="E30" s="26">
        <v>4010</v>
      </c>
      <c r="F30" s="27">
        <v>11.36</v>
      </c>
      <c r="G30" s="28">
        <v>8.8999999999999999E-3</v>
      </c>
      <c r="H30" s="29"/>
    </row>
    <row r="31" spans="2:8" ht="15.75" customHeight="1" x14ac:dyDescent="0.2">
      <c r="B31" s="25" t="s">
        <v>243</v>
      </c>
      <c r="C31" s="25" t="s">
        <v>244</v>
      </c>
      <c r="D31" s="25" t="s">
        <v>133</v>
      </c>
      <c r="E31" s="26">
        <v>879</v>
      </c>
      <c r="F31" s="27">
        <v>11.2</v>
      </c>
      <c r="G31" s="28">
        <v>8.8000000000000005E-3</v>
      </c>
      <c r="H31" s="29"/>
    </row>
    <row r="32" spans="2:8" ht="15.75" customHeight="1" x14ac:dyDescent="0.2">
      <c r="B32" s="25" t="s">
        <v>226</v>
      </c>
      <c r="C32" s="25" t="s">
        <v>227</v>
      </c>
      <c r="D32" s="25" t="s">
        <v>130</v>
      </c>
      <c r="E32" s="26">
        <v>6801</v>
      </c>
      <c r="F32" s="27">
        <v>10.23</v>
      </c>
      <c r="G32" s="28">
        <v>8.0000000000000002E-3</v>
      </c>
      <c r="H32" s="29"/>
    </row>
    <row r="33" spans="2:8" ht="15.75" customHeight="1" x14ac:dyDescent="0.2">
      <c r="B33" s="25" t="s">
        <v>506</v>
      </c>
      <c r="C33" s="25" t="s">
        <v>507</v>
      </c>
      <c r="D33" s="25" t="s">
        <v>203</v>
      </c>
      <c r="E33" s="26">
        <v>5880</v>
      </c>
      <c r="F33" s="27">
        <v>10</v>
      </c>
      <c r="G33" s="28">
        <v>7.9000000000000008E-3</v>
      </c>
      <c r="H33" s="29"/>
    </row>
    <row r="34" spans="2:8" ht="15.75" customHeight="1" x14ac:dyDescent="0.2">
      <c r="B34" s="25" t="s">
        <v>579</v>
      </c>
      <c r="C34" s="25" t="s">
        <v>580</v>
      </c>
      <c r="D34" s="25" t="s">
        <v>225</v>
      </c>
      <c r="E34" s="26">
        <v>1798</v>
      </c>
      <c r="F34" s="27">
        <v>9.68</v>
      </c>
      <c r="G34" s="28">
        <v>7.6E-3</v>
      </c>
      <c r="H34" s="29"/>
    </row>
    <row r="35" spans="2:8" ht="15.75" customHeight="1" x14ac:dyDescent="0.2">
      <c r="B35" s="25" t="s">
        <v>297</v>
      </c>
      <c r="C35" s="25" t="s">
        <v>298</v>
      </c>
      <c r="D35" s="25" t="s">
        <v>240</v>
      </c>
      <c r="E35" s="26">
        <v>711</v>
      </c>
      <c r="F35" s="27">
        <v>9.56</v>
      </c>
      <c r="G35" s="28">
        <v>7.4999999999999997E-3</v>
      </c>
      <c r="H35" s="29"/>
    </row>
    <row r="36" spans="2:8" ht="15.75" customHeight="1" x14ac:dyDescent="0.2">
      <c r="B36" s="25" t="s">
        <v>581</v>
      </c>
      <c r="C36" s="25" t="s">
        <v>582</v>
      </c>
      <c r="D36" s="25" t="s">
        <v>206</v>
      </c>
      <c r="E36" s="26">
        <v>3890</v>
      </c>
      <c r="F36" s="27">
        <v>9.48</v>
      </c>
      <c r="G36" s="28">
        <v>7.4999999999999997E-3</v>
      </c>
      <c r="H36" s="29"/>
    </row>
    <row r="37" spans="2:8" ht="15.75" customHeight="1" x14ac:dyDescent="0.2">
      <c r="B37" s="25" t="s">
        <v>394</v>
      </c>
      <c r="C37" s="25" t="s">
        <v>395</v>
      </c>
      <c r="D37" s="25" t="s">
        <v>285</v>
      </c>
      <c r="E37" s="26">
        <v>930</v>
      </c>
      <c r="F37" s="27">
        <v>7.77</v>
      </c>
      <c r="G37" s="28">
        <v>6.1000000000000004E-3</v>
      </c>
      <c r="H37" s="29"/>
    </row>
    <row r="38" spans="2:8" ht="15.75" customHeight="1" x14ac:dyDescent="0.2">
      <c r="B38" s="25" t="s">
        <v>351</v>
      </c>
      <c r="C38" s="25" t="s">
        <v>352</v>
      </c>
      <c r="D38" s="25" t="s">
        <v>209</v>
      </c>
      <c r="E38" s="26">
        <v>4343</v>
      </c>
      <c r="F38" s="27">
        <v>7.19</v>
      </c>
      <c r="G38" s="28">
        <v>5.7000000000000002E-3</v>
      </c>
      <c r="H38" s="29"/>
    </row>
    <row r="39" spans="2:8" ht="15.75" customHeight="1" x14ac:dyDescent="0.2">
      <c r="B39" s="25" t="s">
        <v>430</v>
      </c>
      <c r="C39" s="25" t="s">
        <v>431</v>
      </c>
      <c r="D39" s="25" t="s">
        <v>282</v>
      </c>
      <c r="E39" s="26">
        <v>721</v>
      </c>
      <c r="F39" s="27">
        <v>6.99</v>
      </c>
      <c r="G39" s="28">
        <v>5.4999999999999997E-3</v>
      </c>
      <c r="H39" s="29"/>
    </row>
    <row r="40" spans="2:8" ht="15.75" customHeight="1" x14ac:dyDescent="0.2">
      <c r="B40" s="25" t="s">
        <v>583</v>
      </c>
      <c r="C40" s="25" t="s">
        <v>584</v>
      </c>
      <c r="D40" s="25" t="s">
        <v>188</v>
      </c>
      <c r="E40" s="26">
        <v>371</v>
      </c>
      <c r="F40" s="27">
        <v>6.71</v>
      </c>
      <c r="G40" s="28">
        <v>5.3E-3</v>
      </c>
      <c r="H40" s="29"/>
    </row>
    <row r="41" spans="2:8" ht="15.75" customHeight="1" x14ac:dyDescent="0.2">
      <c r="B41" s="25" t="s">
        <v>385</v>
      </c>
      <c r="C41" s="25" t="s">
        <v>386</v>
      </c>
      <c r="D41" s="25" t="s">
        <v>387</v>
      </c>
      <c r="E41" s="26">
        <v>475</v>
      </c>
      <c r="F41" s="27">
        <v>6.69</v>
      </c>
      <c r="G41" s="28">
        <v>5.3E-3</v>
      </c>
      <c r="H41" s="29"/>
    </row>
    <row r="42" spans="2:8" ht="15.75" customHeight="1" x14ac:dyDescent="0.2">
      <c r="B42" s="25" t="s">
        <v>585</v>
      </c>
      <c r="C42" s="25" t="s">
        <v>586</v>
      </c>
      <c r="D42" s="25" t="s">
        <v>587</v>
      </c>
      <c r="E42" s="26">
        <v>1253</v>
      </c>
      <c r="F42" s="27">
        <v>6.46</v>
      </c>
      <c r="G42" s="28">
        <v>5.1000000000000004E-3</v>
      </c>
      <c r="H42" s="29"/>
    </row>
    <row r="43" spans="2:8" ht="15.75" customHeight="1" x14ac:dyDescent="0.2">
      <c r="B43" s="25" t="s">
        <v>491</v>
      </c>
      <c r="C43" s="25" t="s">
        <v>492</v>
      </c>
      <c r="D43" s="25" t="s">
        <v>133</v>
      </c>
      <c r="E43" s="26">
        <v>763</v>
      </c>
      <c r="F43" s="27">
        <v>6.19</v>
      </c>
      <c r="G43" s="28">
        <v>4.8999999999999998E-3</v>
      </c>
      <c r="H43" s="29"/>
    </row>
    <row r="44" spans="2:8" ht="15.75" customHeight="1" x14ac:dyDescent="0.2">
      <c r="B44" s="25" t="s">
        <v>588</v>
      </c>
      <c r="C44" s="25" t="s">
        <v>589</v>
      </c>
      <c r="D44" s="25" t="s">
        <v>590</v>
      </c>
      <c r="E44" s="26">
        <v>2339</v>
      </c>
      <c r="F44" s="27">
        <v>6.19</v>
      </c>
      <c r="G44" s="28">
        <v>4.8999999999999998E-3</v>
      </c>
      <c r="H44" s="29"/>
    </row>
    <row r="45" spans="2:8" ht="15.75" customHeight="1" x14ac:dyDescent="0.2">
      <c r="B45" s="25" t="s">
        <v>493</v>
      </c>
      <c r="C45" s="25" t="s">
        <v>494</v>
      </c>
      <c r="D45" s="25" t="s">
        <v>362</v>
      </c>
      <c r="E45" s="26">
        <v>1430</v>
      </c>
      <c r="F45" s="27">
        <v>5.78</v>
      </c>
      <c r="G45" s="28">
        <v>4.4999999999999997E-3</v>
      </c>
      <c r="H45" s="29"/>
    </row>
    <row r="46" spans="2:8" ht="15.75" customHeight="1" x14ac:dyDescent="0.2">
      <c r="B46" s="25" t="s">
        <v>591</v>
      </c>
      <c r="C46" s="25" t="s">
        <v>592</v>
      </c>
      <c r="D46" s="25" t="s">
        <v>285</v>
      </c>
      <c r="E46" s="26">
        <v>2120</v>
      </c>
      <c r="F46" s="27">
        <v>4.37</v>
      </c>
      <c r="G46" s="28">
        <v>3.3999999999999998E-3</v>
      </c>
      <c r="H46" s="29"/>
    </row>
    <row r="47" spans="2:8" ht="15.75" customHeight="1" x14ac:dyDescent="0.2">
      <c r="B47" s="25" t="s">
        <v>422</v>
      </c>
      <c r="C47" s="25" t="s">
        <v>423</v>
      </c>
      <c r="D47" s="25" t="s">
        <v>179</v>
      </c>
      <c r="E47" s="26">
        <v>295</v>
      </c>
      <c r="F47" s="27">
        <v>4.29</v>
      </c>
      <c r="G47" s="28">
        <v>3.3999999999999998E-3</v>
      </c>
      <c r="H47" s="29"/>
    </row>
    <row r="48" spans="2:8" ht="15.75" customHeight="1" x14ac:dyDescent="0.2">
      <c r="B48" s="25" t="s">
        <v>186</v>
      </c>
      <c r="C48" s="25" t="s">
        <v>187</v>
      </c>
      <c r="D48" s="25" t="s">
        <v>188</v>
      </c>
      <c r="E48" s="26">
        <v>1765</v>
      </c>
      <c r="F48" s="27">
        <v>3.62</v>
      </c>
      <c r="G48" s="28">
        <v>2.8E-3</v>
      </c>
      <c r="H48" s="29"/>
    </row>
    <row r="49" spans="2:8" ht="15.75" customHeight="1" x14ac:dyDescent="0.2">
      <c r="B49" s="25" t="s">
        <v>305</v>
      </c>
      <c r="C49" s="25" t="s">
        <v>306</v>
      </c>
      <c r="D49" s="25" t="s">
        <v>206</v>
      </c>
      <c r="E49" s="26">
        <v>1000</v>
      </c>
      <c r="F49" s="27">
        <v>2.91</v>
      </c>
      <c r="G49" s="28">
        <v>2.3E-3</v>
      </c>
      <c r="H49" s="29"/>
    </row>
    <row r="50" spans="2:8" ht="15.75" customHeight="1" x14ac:dyDescent="0.2">
      <c r="B50" s="25" t="s">
        <v>340</v>
      </c>
      <c r="C50" s="25" t="s">
        <v>341</v>
      </c>
      <c r="D50" s="25" t="s">
        <v>285</v>
      </c>
      <c r="E50" s="26">
        <v>39</v>
      </c>
      <c r="F50" s="27">
        <v>0.37</v>
      </c>
      <c r="G50" s="28">
        <v>2.9999999999999997E-4</v>
      </c>
      <c r="H50" s="29"/>
    </row>
    <row r="51" spans="2:8" ht="15.75" customHeight="1" x14ac:dyDescent="0.2">
      <c r="B51" s="24" t="s">
        <v>98</v>
      </c>
      <c r="C51" s="24"/>
      <c r="D51" s="24"/>
      <c r="E51" s="30"/>
      <c r="F51" s="31">
        <v>842.15</v>
      </c>
      <c r="G51" s="32">
        <v>0.66249999999999998</v>
      </c>
      <c r="H51" s="33"/>
    </row>
    <row r="52" spans="2:8" ht="15.75" customHeight="1" x14ac:dyDescent="0.2">
      <c r="B52" s="24" t="s">
        <v>150</v>
      </c>
      <c r="C52" s="25"/>
      <c r="D52" s="25"/>
      <c r="E52" s="26"/>
      <c r="F52" s="27"/>
      <c r="G52" s="28"/>
      <c r="H52" s="29"/>
    </row>
    <row r="53" spans="2:8" ht="15.75" customHeight="1" x14ac:dyDescent="0.2">
      <c r="B53" s="24" t="s">
        <v>98</v>
      </c>
      <c r="C53" s="25"/>
      <c r="D53" s="25"/>
      <c r="E53" s="26"/>
      <c r="F53" s="34" t="s">
        <v>100</v>
      </c>
      <c r="G53" s="35" t="s">
        <v>100</v>
      </c>
      <c r="H53" s="29"/>
    </row>
    <row r="54" spans="2:8" ht="15.75" customHeight="1" x14ac:dyDescent="0.2">
      <c r="B54" s="25"/>
      <c r="C54" s="25"/>
      <c r="D54" s="25"/>
      <c r="E54" s="26"/>
      <c r="F54" s="27"/>
      <c r="G54" s="28"/>
      <c r="H54" s="29"/>
    </row>
    <row r="55" spans="2:8" ht="15.75" customHeight="1" x14ac:dyDescent="0.2">
      <c r="B55" s="36" t="s">
        <v>102</v>
      </c>
      <c r="C55" s="36"/>
      <c r="D55" s="36"/>
      <c r="E55" s="37"/>
      <c r="F55" s="31">
        <v>842.15</v>
      </c>
      <c r="G55" s="32">
        <v>0.66249999999999998</v>
      </c>
      <c r="H55" s="33"/>
    </row>
    <row r="56" spans="2:8" ht="15.75" customHeight="1" x14ac:dyDescent="0.2">
      <c r="B56" s="25"/>
      <c r="C56" s="25"/>
      <c r="D56" s="25"/>
      <c r="E56" s="26"/>
      <c r="F56" s="27"/>
      <c r="G56" s="28"/>
      <c r="H56" s="29"/>
    </row>
    <row r="57" spans="2:8" ht="15.75" customHeight="1" x14ac:dyDescent="0.2">
      <c r="B57" s="24" t="s">
        <v>86</v>
      </c>
      <c r="C57" s="25"/>
      <c r="D57" s="25"/>
      <c r="E57" s="26"/>
      <c r="F57" s="27"/>
      <c r="G57" s="28"/>
      <c r="H57" s="29"/>
    </row>
    <row r="58" spans="2:8" ht="15.75" customHeight="1" x14ac:dyDescent="0.2">
      <c r="B58" s="24" t="s">
        <v>87</v>
      </c>
      <c r="C58" s="25"/>
      <c r="D58" s="25"/>
      <c r="E58" s="26"/>
      <c r="F58" s="27"/>
      <c r="G58" s="28"/>
      <c r="H58" s="29"/>
    </row>
    <row r="59" spans="2:8" ht="15.75" customHeight="1" x14ac:dyDescent="0.2">
      <c r="B59" s="25" t="s">
        <v>157</v>
      </c>
      <c r="C59" s="25" t="s">
        <v>158</v>
      </c>
      <c r="D59" s="25" t="s">
        <v>96</v>
      </c>
      <c r="E59" s="26">
        <v>70223.958333333299</v>
      </c>
      <c r="F59" s="27">
        <v>7.3</v>
      </c>
      <c r="G59" s="28">
        <v>5.7000000000000002E-3</v>
      </c>
      <c r="H59" s="29">
        <v>7.7498999999999998E-2</v>
      </c>
    </row>
    <row r="60" spans="2:8" ht="15.75" customHeight="1" x14ac:dyDescent="0.2">
      <c r="B60" s="24" t="s">
        <v>98</v>
      </c>
      <c r="C60" s="24"/>
      <c r="D60" s="24"/>
      <c r="E60" s="30"/>
      <c r="F60" s="31">
        <v>7.3</v>
      </c>
      <c r="G60" s="32">
        <v>5.7000000000000002E-3</v>
      </c>
      <c r="H60" s="33"/>
    </row>
    <row r="61" spans="2:8" ht="15.75" customHeight="1" x14ac:dyDescent="0.2">
      <c r="B61" s="25"/>
      <c r="C61" s="25"/>
      <c r="D61" s="25"/>
      <c r="E61" s="26"/>
      <c r="F61" s="27"/>
      <c r="G61" s="28"/>
      <c r="H61" s="29"/>
    </row>
    <row r="62" spans="2:8" ht="15.75" customHeight="1" x14ac:dyDescent="0.2">
      <c r="B62" s="24" t="s">
        <v>99</v>
      </c>
      <c r="C62" s="25"/>
      <c r="D62" s="25"/>
      <c r="E62" s="26"/>
      <c r="F62" s="27"/>
      <c r="G62" s="28"/>
      <c r="H62" s="29"/>
    </row>
    <row r="63" spans="2:8" ht="15.75" customHeight="1" x14ac:dyDescent="0.2">
      <c r="B63" s="24" t="s">
        <v>98</v>
      </c>
      <c r="C63" s="25"/>
      <c r="D63" s="25"/>
      <c r="E63" s="26"/>
      <c r="F63" s="34" t="s">
        <v>100</v>
      </c>
      <c r="G63" s="35" t="s">
        <v>100</v>
      </c>
      <c r="H63" s="29"/>
    </row>
    <row r="64" spans="2:8" ht="15.75" customHeight="1" x14ac:dyDescent="0.2">
      <c r="B64" s="25"/>
      <c r="C64" s="25"/>
      <c r="D64" s="25"/>
      <c r="E64" s="26"/>
      <c r="F64" s="27"/>
      <c r="G64" s="28"/>
      <c r="H64" s="29"/>
    </row>
    <row r="65" spans="2:16" ht="15.75" customHeight="1" x14ac:dyDescent="0.2">
      <c r="B65" s="24" t="s">
        <v>101</v>
      </c>
      <c r="C65" s="25"/>
      <c r="D65" s="25"/>
      <c r="E65" s="26"/>
      <c r="F65" s="27"/>
      <c r="G65" s="28"/>
      <c r="H65" s="29"/>
    </row>
    <row r="66" spans="2:16" ht="15.75" customHeight="1" x14ac:dyDescent="0.2">
      <c r="B66" s="24" t="s">
        <v>98</v>
      </c>
      <c r="C66" s="25"/>
      <c r="D66" s="25"/>
      <c r="E66" s="26"/>
      <c r="F66" s="34" t="s">
        <v>100</v>
      </c>
      <c r="G66" s="35" t="s">
        <v>100</v>
      </c>
      <c r="H66" s="29"/>
    </row>
    <row r="67" spans="2:16" ht="15.75" customHeight="1" x14ac:dyDescent="0.2">
      <c r="B67" s="25"/>
      <c r="C67" s="25"/>
      <c r="D67" s="25"/>
      <c r="E67" s="26"/>
      <c r="F67" s="27"/>
      <c r="G67" s="28"/>
      <c r="H67" s="29"/>
    </row>
    <row r="68" spans="2:16" ht="15.75" customHeight="1" x14ac:dyDescent="0.2">
      <c r="B68" s="36" t="s">
        <v>102</v>
      </c>
      <c r="C68" s="36"/>
      <c r="D68" s="36"/>
      <c r="E68" s="37"/>
      <c r="F68" s="31">
        <v>7.3</v>
      </c>
      <c r="G68" s="32">
        <v>5.7000000000000002E-3</v>
      </c>
      <c r="H68" s="33"/>
      <c r="L68" s="3"/>
    </row>
    <row r="69" spans="2:16" ht="15.75" customHeight="1" x14ac:dyDescent="0.2">
      <c r="B69" s="25"/>
      <c r="C69" s="25"/>
      <c r="D69" s="25"/>
      <c r="E69" s="26"/>
      <c r="F69" s="27"/>
      <c r="G69" s="28"/>
      <c r="H69" s="29"/>
    </row>
    <row r="70" spans="2:16" ht="15.75" customHeight="1" x14ac:dyDescent="0.2">
      <c r="B70" s="25"/>
      <c r="C70" s="25"/>
      <c r="D70" s="25"/>
      <c r="E70" s="26"/>
      <c r="F70" s="27"/>
      <c r="G70" s="28"/>
      <c r="H70" s="29"/>
      <c r="L70" s="3"/>
    </row>
    <row r="71" spans="2:16" ht="15.75" customHeight="1" x14ac:dyDescent="0.2">
      <c r="B71" s="24" t="s">
        <v>103</v>
      </c>
      <c r="C71" s="25"/>
      <c r="D71" s="25"/>
      <c r="E71" s="26"/>
      <c r="F71" s="27"/>
      <c r="G71" s="28"/>
      <c r="H71" s="29"/>
      <c r="L71" s="3"/>
    </row>
    <row r="72" spans="2:16" ht="15.75" customHeight="1" x14ac:dyDescent="0.2">
      <c r="B72" s="24" t="s">
        <v>104</v>
      </c>
      <c r="C72" s="25"/>
      <c r="D72" s="25"/>
      <c r="E72" s="26"/>
      <c r="F72" s="27"/>
      <c r="G72" s="28"/>
      <c r="H72" s="29"/>
      <c r="L72" s="3"/>
    </row>
    <row r="73" spans="2:16" ht="15.75" customHeight="1" x14ac:dyDescent="0.2">
      <c r="B73" s="25" t="s">
        <v>259</v>
      </c>
      <c r="C73" s="25" t="s">
        <v>260</v>
      </c>
      <c r="D73" s="25"/>
      <c r="E73" s="26">
        <v>2858.2260000000001</v>
      </c>
      <c r="F73" s="27">
        <v>124.52</v>
      </c>
      <c r="G73" s="28">
        <v>9.8000000000000004E-2</v>
      </c>
      <c r="H73" s="29"/>
      <c r="L73" s="3"/>
    </row>
    <row r="74" spans="2:16" ht="15.75" customHeight="1" x14ac:dyDescent="0.2">
      <c r="B74" s="25"/>
      <c r="C74" s="25"/>
      <c r="D74" s="25"/>
      <c r="E74" s="26"/>
      <c r="F74" s="27"/>
      <c r="G74" s="28"/>
      <c r="H74" s="29"/>
      <c r="L74" s="3"/>
    </row>
    <row r="75" spans="2:16" ht="15.75" customHeight="1" x14ac:dyDescent="0.2">
      <c r="B75" s="36" t="s">
        <v>102</v>
      </c>
      <c r="C75" s="36"/>
      <c r="D75" s="36"/>
      <c r="E75" s="37"/>
      <c r="F75" s="31">
        <v>124.52</v>
      </c>
      <c r="G75" s="32">
        <v>9.8000000000000004E-2</v>
      </c>
      <c r="H75" s="33"/>
      <c r="L75" s="5"/>
      <c r="M75" s="5"/>
      <c r="N75" s="6"/>
      <c r="O75" s="6"/>
      <c r="P75" s="5"/>
    </row>
    <row r="76" spans="2:16" ht="15.75" customHeight="1" x14ac:dyDescent="0.2">
      <c r="B76" s="25"/>
      <c r="C76" s="25"/>
      <c r="D76" s="25"/>
      <c r="E76" s="26"/>
      <c r="F76" s="27"/>
      <c r="G76" s="28"/>
      <c r="H76" s="29"/>
    </row>
    <row r="77" spans="2:16" ht="15.75" customHeight="1" x14ac:dyDescent="0.2">
      <c r="B77" s="24" t="s">
        <v>105</v>
      </c>
      <c r="C77" s="25"/>
      <c r="D77" s="25"/>
      <c r="E77" s="26"/>
      <c r="F77" s="27"/>
      <c r="G77" s="28"/>
      <c r="H77" s="29"/>
    </row>
    <row r="78" spans="2:16" ht="15.75" customHeight="1" x14ac:dyDescent="0.2">
      <c r="B78" s="25" t="s">
        <v>106</v>
      </c>
      <c r="C78" s="25"/>
      <c r="D78" s="25"/>
      <c r="E78" s="26"/>
      <c r="F78" s="27">
        <v>297.01</v>
      </c>
      <c r="G78" s="28">
        <v>0.23369999999999999</v>
      </c>
      <c r="H78" s="29"/>
      <c r="L78" s="7"/>
      <c r="M78" s="7"/>
      <c r="N78" s="7"/>
      <c r="O78" s="7"/>
      <c r="P78" s="7"/>
    </row>
    <row r="79" spans="2:16" ht="15.75" customHeight="1" x14ac:dyDescent="0.2">
      <c r="B79" s="24" t="s">
        <v>98</v>
      </c>
      <c r="C79" s="24"/>
      <c r="D79" s="24"/>
      <c r="E79" s="30"/>
      <c r="F79" s="31">
        <v>297.01</v>
      </c>
      <c r="G79" s="32">
        <v>0.23369999999999999</v>
      </c>
      <c r="H79" s="33"/>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36" t="s">
        <v>102</v>
      </c>
      <c r="C81" s="36"/>
      <c r="D81" s="36"/>
      <c r="E81" s="37"/>
      <c r="F81" s="31">
        <v>297.01</v>
      </c>
      <c r="G81" s="32">
        <v>0.23369999999999999</v>
      </c>
      <c r="H81" s="33"/>
      <c r="L81" s="7"/>
      <c r="M81" s="7"/>
      <c r="N81" s="7"/>
      <c r="O81" s="7"/>
      <c r="P81" s="7"/>
    </row>
    <row r="82" spans="2:16" ht="15.75" customHeight="1" x14ac:dyDescent="0.2">
      <c r="B82" s="25" t="s">
        <v>107</v>
      </c>
      <c r="C82" s="25"/>
      <c r="D82" s="25"/>
      <c r="E82" s="26"/>
      <c r="F82" s="27">
        <v>0.15</v>
      </c>
      <c r="G82" s="28">
        <v>9.9999999999988987E-5</v>
      </c>
      <c r="H82" s="29"/>
      <c r="L82" s="7"/>
      <c r="M82" s="7"/>
      <c r="N82" s="7"/>
      <c r="O82" s="7"/>
      <c r="P82" s="7"/>
    </row>
    <row r="83" spans="2:16" ht="15.75" customHeight="1" x14ac:dyDescent="0.2">
      <c r="B83" s="40" t="s">
        <v>108</v>
      </c>
      <c r="C83" s="40"/>
      <c r="D83" s="40"/>
      <c r="E83" s="41"/>
      <c r="F83" s="42">
        <v>1271.1300000000001</v>
      </c>
      <c r="G83" s="43">
        <v>1</v>
      </c>
      <c r="H83" s="44"/>
      <c r="L83" s="7"/>
      <c r="M83" s="7"/>
      <c r="N83" s="7"/>
      <c r="O83" s="7"/>
      <c r="P83" s="7"/>
    </row>
    <row r="84" spans="2:16" ht="15.75" customHeight="1" x14ac:dyDescent="0.2">
      <c r="B84" s="2"/>
      <c r="L84" s="7"/>
      <c r="M84" s="7"/>
      <c r="N84" s="7"/>
      <c r="O84" s="7"/>
      <c r="P84" s="7"/>
    </row>
    <row r="85" spans="2:16" ht="15.75" customHeight="1" x14ac:dyDescent="0.2">
      <c r="B85" s="12" t="s">
        <v>125</v>
      </c>
    </row>
    <row r="86" spans="2:16" ht="15.75" customHeight="1" x14ac:dyDescent="0.2">
      <c r="B86" s="53"/>
      <c r="L86" s="3"/>
    </row>
    <row r="87" spans="2:16" ht="15.75" customHeight="1" x14ac:dyDescent="0.2">
      <c r="B87" s="9" t="s">
        <v>593</v>
      </c>
    </row>
    <row r="88" spans="2:16" ht="15.75" customHeight="1" x14ac:dyDescent="0.2">
      <c r="B88" s="9" t="s">
        <v>594</v>
      </c>
    </row>
    <row r="89" spans="2:16" ht="15.75" customHeight="1" x14ac:dyDescent="0.2">
      <c r="B89" s="13" t="s">
        <v>261</v>
      </c>
      <c r="C89" s="50" t="s">
        <v>2</v>
      </c>
      <c r="D89" s="51" t="s">
        <v>3</v>
      </c>
      <c r="E89" s="52" t="s">
        <v>262</v>
      </c>
    </row>
    <row r="90" spans="2:16" ht="15.75" customHeight="1" x14ac:dyDescent="0.2">
      <c r="B90" s="46" t="s">
        <v>268</v>
      </c>
      <c r="C90" s="47">
        <v>-2500</v>
      </c>
      <c r="D90" s="48">
        <v>-27.05</v>
      </c>
      <c r="E90" s="49">
        <v>-2.1299999999999999E-2</v>
      </c>
    </row>
    <row r="91" spans="2:16" ht="15.75" customHeight="1" x14ac:dyDescent="0.2">
      <c r="B91" s="46" t="s">
        <v>214</v>
      </c>
      <c r="C91" s="47">
        <v>-1600</v>
      </c>
      <c r="D91" s="48">
        <v>-27.2</v>
      </c>
      <c r="E91" s="49">
        <v>-2.1399999999999999E-2</v>
      </c>
    </row>
    <row r="92" spans="2:16" ht="15.75" customHeight="1" x14ac:dyDescent="0.2">
      <c r="B92" s="46" t="s">
        <v>194</v>
      </c>
      <c r="C92" s="47">
        <v>-4200</v>
      </c>
      <c r="D92" s="48">
        <v>-21.29</v>
      </c>
      <c r="E92" s="49">
        <v>-1.67E-2</v>
      </c>
    </row>
    <row r="93" spans="2:16" ht="15.75" customHeight="1" x14ac:dyDescent="0.2">
      <c r="B93" s="46" t="s">
        <v>131</v>
      </c>
      <c r="C93" s="47">
        <v>-3600</v>
      </c>
      <c r="D93" s="48">
        <v>-60.58</v>
      </c>
      <c r="E93" s="49">
        <v>-4.7699999999999999E-2</v>
      </c>
    </row>
    <row r="94" spans="2:16" ht="15.75" customHeight="1" x14ac:dyDescent="0.2">
      <c r="B94" s="46" t="s">
        <v>574</v>
      </c>
      <c r="C94" s="47">
        <v>-49500</v>
      </c>
      <c r="D94" s="48">
        <v>-70.22</v>
      </c>
      <c r="E94" s="49">
        <v>-5.5199999999999999E-2</v>
      </c>
    </row>
    <row r="95" spans="2:16" ht="15.75" customHeight="1" x14ac:dyDescent="0.2">
      <c r="B95" s="46" t="s">
        <v>199</v>
      </c>
      <c r="C95" s="47">
        <v>-1400</v>
      </c>
      <c r="D95" s="48">
        <v>-57.75</v>
      </c>
      <c r="E95" s="49">
        <v>-4.5400000000000003E-2</v>
      </c>
    </row>
    <row r="96" spans="2:16" ht="15.75" customHeight="1" x14ac:dyDescent="0.2">
      <c r="B96" s="46" t="s">
        <v>142</v>
      </c>
      <c r="C96" s="47">
        <v>-700</v>
      </c>
      <c r="D96" s="48">
        <v>-13.61</v>
      </c>
      <c r="E96" s="49">
        <v>-1.0699999999999999E-2</v>
      </c>
    </row>
    <row r="97" spans="2:8" ht="15.75" customHeight="1" x14ac:dyDescent="0.2">
      <c r="B97" s="46" t="s">
        <v>440</v>
      </c>
      <c r="C97" s="47">
        <v>-500</v>
      </c>
      <c r="D97" s="48">
        <v>-49.75</v>
      </c>
      <c r="E97" s="49">
        <v>-3.9100000000000003E-2</v>
      </c>
    </row>
    <row r="98" spans="2:8" ht="15.75" customHeight="1" x14ac:dyDescent="0.2">
      <c r="B98" s="46" t="s">
        <v>272</v>
      </c>
      <c r="C98" s="47">
        <v>-2100</v>
      </c>
      <c r="D98" s="48">
        <v>-33.340000000000003</v>
      </c>
      <c r="E98" s="49">
        <v>-2.6200000000000001E-2</v>
      </c>
    </row>
    <row r="99" spans="2:8" ht="15.75" customHeight="1" x14ac:dyDescent="0.2">
      <c r="B99" s="13" t="s">
        <v>263</v>
      </c>
      <c r="C99" s="50">
        <v>-66100</v>
      </c>
      <c r="D99" s="51">
        <v>-360.79</v>
      </c>
      <c r="E99" s="52">
        <v>-0.28370000000000001</v>
      </c>
    </row>
    <row r="100" spans="2:8" ht="15.75" customHeight="1" thickBot="1" x14ac:dyDescent="0.25"/>
    <row r="101" spans="2:8" ht="27" customHeight="1" thickBot="1" x14ac:dyDescent="0.25">
      <c r="B101" s="57" t="s">
        <v>925</v>
      </c>
      <c r="C101" s="58" t="s">
        <v>926</v>
      </c>
      <c r="D101" s="58" t="s">
        <v>927</v>
      </c>
      <c r="E101" s="63" t="s">
        <v>928</v>
      </c>
      <c r="G101" s="2"/>
      <c r="H101" s="2"/>
    </row>
    <row r="102" spans="2:8" ht="29.25" customHeight="1" x14ac:dyDescent="0.2">
      <c r="B102" s="64" t="s">
        <v>45</v>
      </c>
      <c r="C102" s="82"/>
      <c r="D102" s="85" t="s">
        <v>968</v>
      </c>
      <c r="E102" s="87"/>
      <c r="G102" s="2"/>
      <c r="H102" s="2"/>
    </row>
    <row r="103" spans="2:8" ht="39.950000000000003" customHeight="1" x14ac:dyDescent="0.2">
      <c r="B103" s="66" t="s">
        <v>969</v>
      </c>
      <c r="C103" s="83"/>
      <c r="D103" s="86"/>
      <c r="E103" s="83"/>
      <c r="G103" s="2"/>
      <c r="H103" s="2"/>
    </row>
    <row r="104" spans="2:8" ht="39.950000000000003" customHeight="1" x14ac:dyDescent="0.2">
      <c r="B104" s="66" t="s">
        <v>970</v>
      </c>
      <c r="C104" s="83"/>
      <c r="D104" s="86"/>
      <c r="E104" s="83"/>
      <c r="G104" s="2"/>
      <c r="H104" s="2"/>
    </row>
    <row r="105" spans="2:8" ht="23.25" customHeight="1" thickBot="1" x14ac:dyDescent="0.25">
      <c r="B105" s="68" t="s">
        <v>971</v>
      </c>
      <c r="C105" s="84"/>
      <c r="D105" s="65" t="s">
        <v>932</v>
      </c>
      <c r="E105" s="88"/>
      <c r="G105" s="2"/>
      <c r="H105" s="2"/>
    </row>
    <row r="106" spans="2:8" ht="24.95" customHeight="1" x14ac:dyDescent="0.2">
      <c r="B106" s="59" t="s">
        <v>929</v>
      </c>
      <c r="C106" s="60"/>
      <c r="D106" s="61"/>
      <c r="E106" s="62"/>
      <c r="G106" s="2"/>
      <c r="H106" s="2"/>
    </row>
    <row r="108" spans="2:8" ht="12" x14ac:dyDescent="0.2">
      <c r="B108" s="2" t="s">
        <v>930</v>
      </c>
      <c r="C108" s="2"/>
      <c r="D108" s="2"/>
      <c r="G108" s="2"/>
      <c r="H108" s="2"/>
    </row>
    <row r="109" spans="2:8" ht="12" x14ac:dyDescent="0.2">
      <c r="B109" s="3" t="s">
        <v>931</v>
      </c>
      <c r="C109" s="2"/>
      <c r="D109" s="2"/>
      <c r="G109" s="2"/>
      <c r="H109" s="2"/>
    </row>
  </sheetData>
  <mergeCells count="3">
    <mergeCell ref="C102:C105"/>
    <mergeCell ref="D102:D104"/>
    <mergeCell ref="E102:E105"/>
  </mergeCells>
  <hyperlinks>
    <hyperlink ref="I1" location="'Sheet1'!A1" display="Index" xr:uid="{F2B21121-134D-4B5F-9A89-59B556BBC98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879F-2BEC-454E-BE16-90857371CA58}">
  <dimension ref="B1:P102"/>
  <sheetViews>
    <sheetView workbookViewId="0"/>
  </sheetViews>
  <sheetFormatPr defaultColWidth="9.140625" defaultRowHeight="15.75" customHeight="1" x14ac:dyDescent="0.2"/>
  <cols>
    <col min="1" max="1" width="3.5703125" style="2" customWidth="1"/>
    <col min="2" max="2" width="50.42578125" style="9" customWidth="1"/>
    <col min="3" max="3" width="27.42578125" style="9" customWidth="1"/>
    <col min="4" max="4" width="26.5703125" style="9" customWidth="1"/>
    <col min="5" max="5" width="29.140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489903</v>
      </c>
      <c r="F7" s="27">
        <v>6875.3</v>
      </c>
      <c r="G7" s="28">
        <v>7.3200000000000001E-2</v>
      </c>
      <c r="H7" s="29"/>
    </row>
    <row r="8" spans="2:9" ht="15.75" customHeight="1" x14ac:dyDescent="0.2">
      <c r="B8" s="25" t="s">
        <v>266</v>
      </c>
      <c r="C8" s="25" t="s">
        <v>267</v>
      </c>
      <c r="D8" s="25" t="s">
        <v>130</v>
      </c>
      <c r="E8" s="26">
        <v>641924</v>
      </c>
      <c r="F8" s="27">
        <v>4802.2299999999996</v>
      </c>
      <c r="G8" s="28">
        <v>5.11E-2</v>
      </c>
      <c r="H8" s="29"/>
    </row>
    <row r="9" spans="2:9" ht="15.75" customHeight="1" x14ac:dyDescent="0.2">
      <c r="B9" s="25" t="s">
        <v>128</v>
      </c>
      <c r="C9" s="25" t="s">
        <v>129</v>
      </c>
      <c r="D9" s="25" t="s">
        <v>130</v>
      </c>
      <c r="E9" s="26">
        <v>421843</v>
      </c>
      <c r="F9" s="27">
        <v>4438.63</v>
      </c>
      <c r="G9" s="28">
        <v>4.7199999999999999E-2</v>
      </c>
      <c r="H9" s="29"/>
    </row>
    <row r="10" spans="2:9" ht="15.75" customHeight="1" x14ac:dyDescent="0.2">
      <c r="B10" s="25" t="s">
        <v>139</v>
      </c>
      <c r="C10" s="25" t="s">
        <v>140</v>
      </c>
      <c r="D10" s="25" t="s">
        <v>141</v>
      </c>
      <c r="E10" s="26">
        <v>162187</v>
      </c>
      <c r="F10" s="27">
        <v>3912.44</v>
      </c>
      <c r="G10" s="28">
        <v>4.1599999999999998E-2</v>
      </c>
      <c r="H10" s="29"/>
    </row>
    <row r="11" spans="2:9" ht="15.75" customHeight="1" x14ac:dyDescent="0.2">
      <c r="B11" s="25" t="s">
        <v>247</v>
      </c>
      <c r="C11" s="25" t="s">
        <v>248</v>
      </c>
      <c r="D11" s="25" t="s">
        <v>237</v>
      </c>
      <c r="E11" s="26">
        <v>2557718</v>
      </c>
      <c r="F11" s="27">
        <v>3048.8</v>
      </c>
      <c r="G11" s="28">
        <v>3.2500000000000001E-2</v>
      </c>
      <c r="H11" s="29"/>
    </row>
    <row r="12" spans="2:9" ht="15.75" customHeight="1" x14ac:dyDescent="0.2">
      <c r="B12" s="25" t="s">
        <v>595</v>
      </c>
      <c r="C12" s="25" t="s">
        <v>596</v>
      </c>
      <c r="D12" s="25" t="s">
        <v>133</v>
      </c>
      <c r="E12" s="26">
        <v>36603</v>
      </c>
      <c r="F12" s="27">
        <v>2808.55</v>
      </c>
      <c r="G12" s="28">
        <v>2.9899999999999999E-2</v>
      </c>
      <c r="H12" s="29"/>
    </row>
    <row r="13" spans="2:9" ht="15.75" customHeight="1" x14ac:dyDescent="0.2">
      <c r="B13" s="25" t="s">
        <v>177</v>
      </c>
      <c r="C13" s="25" t="s">
        <v>178</v>
      </c>
      <c r="D13" s="25" t="s">
        <v>179</v>
      </c>
      <c r="E13" s="26">
        <v>42822</v>
      </c>
      <c r="F13" s="27">
        <v>2781.44</v>
      </c>
      <c r="G13" s="28">
        <v>2.9600000000000001E-2</v>
      </c>
      <c r="H13" s="29"/>
    </row>
    <row r="14" spans="2:9" ht="15.75" customHeight="1" x14ac:dyDescent="0.2">
      <c r="B14" s="25" t="s">
        <v>316</v>
      </c>
      <c r="C14" s="25" t="s">
        <v>317</v>
      </c>
      <c r="D14" s="25" t="s">
        <v>185</v>
      </c>
      <c r="E14" s="26">
        <v>2095954</v>
      </c>
      <c r="F14" s="27">
        <v>2764.56</v>
      </c>
      <c r="G14" s="28">
        <v>2.9399999999999999E-2</v>
      </c>
      <c r="H14" s="29"/>
    </row>
    <row r="15" spans="2:9" ht="15.75" customHeight="1" x14ac:dyDescent="0.2">
      <c r="B15" s="25" t="s">
        <v>214</v>
      </c>
      <c r="C15" s="25" t="s">
        <v>215</v>
      </c>
      <c r="D15" s="25" t="s">
        <v>130</v>
      </c>
      <c r="E15" s="26">
        <v>159855</v>
      </c>
      <c r="F15" s="27">
        <v>2700.67</v>
      </c>
      <c r="G15" s="28">
        <v>2.87E-2</v>
      </c>
      <c r="H15" s="29"/>
    </row>
    <row r="16" spans="2:9" ht="15.75" customHeight="1" x14ac:dyDescent="0.2">
      <c r="B16" s="25" t="s">
        <v>493</v>
      </c>
      <c r="C16" s="25" t="s">
        <v>494</v>
      </c>
      <c r="D16" s="25" t="s">
        <v>362</v>
      </c>
      <c r="E16" s="26">
        <v>660902</v>
      </c>
      <c r="F16" s="27">
        <v>2669.71</v>
      </c>
      <c r="G16" s="28">
        <v>2.8400000000000002E-2</v>
      </c>
      <c r="H16" s="29"/>
    </row>
    <row r="17" spans="2:8" ht="15.75" customHeight="1" x14ac:dyDescent="0.2">
      <c r="B17" s="25" t="s">
        <v>226</v>
      </c>
      <c r="C17" s="25" t="s">
        <v>227</v>
      </c>
      <c r="D17" s="25" t="s">
        <v>130</v>
      </c>
      <c r="E17" s="26">
        <v>1750427</v>
      </c>
      <c r="F17" s="27">
        <v>2632.64</v>
      </c>
      <c r="G17" s="28">
        <v>2.8000000000000001E-2</v>
      </c>
      <c r="H17" s="29"/>
    </row>
    <row r="18" spans="2:8" ht="15.75" customHeight="1" x14ac:dyDescent="0.2">
      <c r="B18" s="25" t="s">
        <v>278</v>
      </c>
      <c r="C18" s="25" t="s">
        <v>279</v>
      </c>
      <c r="D18" s="25" t="s">
        <v>222</v>
      </c>
      <c r="E18" s="26">
        <v>100675</v>
      </c>
      <c r="F18" s="27">
        <v>2405.7800000000002</v>
      </c>
      <c r="G18" s="28">
        <v>2.5600000000000001E-2</v>
      </c>
      <c r="H18" s="29"/>
    </row>
    <row r="19" spans="2:8" ht="15.75" customHeight="1" x14ac:dyDescent="0.2">
      <c r="B19" s="25" t="s">
        <v>243</v>
      </c>
      <c r="C19" s="25" t="s">
        <v>244</v>
      </c>
      <c r="D19" s="25" t="s">
        <v>133</v>
      </c>
      <c r="E19" s="26">
        <v>188643</v>
      </c>
      <c r="F19" s="27">
        <v>2403.0300000000002</v>
      </c>
      <c r="G19" s="28">
        <v>2.5600000000000001E-2</v>
      </c>
      <c r="H19" s="29"/>
    </row>
    <row r="20" spans="2:8" ht="15.75" customHeight="1" x14ac:dyDescent="0.2">
      <c r="B20" s="25" t="s">
        <v>268</v>
      </c>
      <c r="C20" s="25" t="s">
        <v>269</v>
      </c>
      <c r="D20" s="25" t="s">
        <v>130</v>
      </c>
      <c r="E20" s="26">
        <v>222567</v>
      </c>
      <c r="F20" s="27">
        <v>2392.8200000000002</v>
      </c>
      <c r="G20" s="28">
        <v>2.5499999999999998E-2</v>
      </c>
      <c r="H20" s="29"/>
    </row>
    <row r="21" spans="2:8" ht="15.75" customHeight="1" x14ac:dyDescent="0.2">
      <c r="B21" s="25" t="s">
        <v>210</v>
      </c>
      <c r="C21" s="25" t="s">
        <v>211</v>
      </c>
      <c r="D21" s="25" t="s">
        <v>141</v>
      </c>
      <c r="E21" s="26">
        <v>561723</v>
      </c>
      <c r="F21" s="27">
        <v>2282.2800000000002</v>
      </c>
      <c r="G21" s="28">
        <v>2.4299999999999999E-2</v>
      </c>
      <c r="H21" s="29"/>
    </row>
    <row r="22" spans="2:8" ht="15.75" customHeight="1" x14ac:dyDescent="0.2">
      <c r="B22" s="25" t="s">
        <v>223</v>
      </c>
      <c r="C22" s="25" t="s">
        <v>224</v>
      </c>
      <c r="D22" s="25" t="s">
        <v>225</v>
      </c>
      <c r="E22" s="26">
        <v>174349</v>
      </c>
      <c r="F22" s="27">
        <v>2192.79</v>
      </c>
      <c r="G22" s="28">
        <v>2.3300000000000001E-2</v>
      </c>
      <c r="H22" s="29"/>
    </row>
    <row r="23" spans="2:8" ht="15.75" customHeight="1" x14ac:dyDescent="0.2">
      <c r="B23" s="25" t="s">
        <v>414</v>
      </c>
      <c r="C23" s="25" t="s">
        <v>415</v>
      </c>
      <c r="D23" s="25" t="s">
        <v>130</v>
      </c>
      <c r="E23" s="26">
        <v>1702044</v>
      </c>
      <c r="F23" s="27">
        <v>2177.77</v>
      </c>
      <c r="G23" s="28">
        <v>2.3199999999999998E-2</v>
      </c>
      <c r="H23" s="29"/>
    </row>
    <row r="24" spans="2:8" ht="15.75" customHeight="1" x14ac:dyDescent="0.2">
      <c r="B24" s="25" t="s">
        <v>418</v>
      </c>
      <c r="C24" s="25" t="s">
        <v>419</v>
      </c>
      <c r="D24" s="25" t="s">
        <v>179</v>
      </c>
      <c r="E24" s="26">
        <v>1278414</v>
      </c>
      <c r="F24" s="27">
        <v>2136.87</v>
      </c>
      <c r="G24" s="28">
        <v>2.2700000000000001E-2</v>
      </c>
      <c r="H24" s="29"/>
    </row>
    <row r="25" spans="2:8" ht="15.75" customHeight="1" x14ac:dyDescent="0.2">
      <c r="B25" s="25" t="s">
        <v>459</v>
      </c>
      <c r="C25" s="25" t="s">
        <v>460</v>
      </c>
      <c r="D25" s="25" t="s">
        <v>206</v>
      </c>
      <c r="E25" s="26">
        <v>502889</v>
      </c>
      <c r="F25" s="27">
        <v>2037.71</v>
      </c>
      <c r="G25" s="28">
        <v>2.1700000000000001E-2</v>
      </c>
      <c r="H25" s="29"/>
    </row>
    <row r="26" spans="2:8" ht="15.75" customHeight="1" x14ac:dyDescent="0.2">
      <c r="B26" s="25" t="s">
        <v>270</v>
      </c>
      <c r="C26" s="25" t="s">
        <v>271</v>
      </c>
      <c r="D26" s="25" t="s">
        <v>133</v>
      </c>
      <c r="E26" s="26">
        <v>120250</v>
      </c>
      <c r="F26" s="27">
        <v>2000.78</v>
      </c>
      <c r="G26" s="28">
        <v>2.1299999999999999E-2</v>
      </c>
      <c r="H26" s="29"/>
    </row>
    <row r="27" spans="2:8" ht="15.75" customHeight="1" x14ac:dyDescent="0.2">
      <c r="B27" s="25" t="s">
        <v>495</v>
      </c>
      <c r="C27" s="25" t="s">
        <v>496</v>
      </c>
      <c r="D27" s="25" t="s">
        <v>497</v>
      </c>
      <c r="E27" s="26">
        <v>64528</v>
      </c>
      <c r="F27" s="27">
        <v>1908.38</v>
      </c>
      <c r="G27" s="28">
        <v>2.0299999999999999E-2</v>
      </c>
      <c r="H27" s="29"/>
    </row>
    <row r="28" spans="2:8" ht="15.75" customHeight="1" x14ac:dyDescent="0.2">
      <c r="B28" s="25" t="s">
        <v>597</v>
      </c>
      <c r="C28" s="25" t="s">
        <v>598</v>
      </c>
      <c r="D28" s="25" t="s">
        <v>599</v>
      </c>
      <c r="E28" s="26">
        <v>206465</v>
      </c>
      <c r="F28" s="27">
        <v>1510.5</v>
      </c>
      <c r="G28" s="28">
        <v>1.61E-2</v>
      </c>
      <c r="H28" s="29"/>
    </row>
    <row r="29" spans="2:8" ht="15.75" customHeight="1" x14ac:dyDescent="0.2">
      <c r="B29" s="25" t="s">
        <v>312</v>
      </c>
      <c r="C29" s="25" t="s">
        <v>313</v>
      </c>
      <c r="D29" s="25" t="s">
        <v>282</v>
      </c>
      <c r="E29" s="26">
        <v>266906</v>
      </c>
      <c r="F29" s="27">
        <v>1421.67</v>
      </c>
      <c r="G29" s="28">
        <v>1.5100000000000001E-2</v>
      </c>
      <c r="H29" s="29"/>
    </row>
    <row r="30" spans="2:8" ht="15.75" customHeight="1" x14ac:dyDescent="0.2">
      <c r="B30" s="25" t="s">
        <v>546</v>
      </c>
      <c r="C30" s="25" t="s">
        <v>547</v>
      </c>
      <c r="D30" s="25" t="s">
        <v>133</v>
      </c>
      <c r="E30" s="26">
        <v>17980</v>
      </c>
      <c r="F30" s="27">
        <v>1404.43</v>
      </c>
      <c r="G30" s="28">
        <v>1.49E-2</v>
      </c>
      <c r="H30" s="29"/>
    </row>
    <row r="31" spans="2:8" ht="15.75" customHeight="1" x14ac:dyDescent="0.2">
      <c r="B31" s="25" t="s">
        <v>420</v>
      </c>
      <c r="C31" s="25" t="s">
        <v>421</v>
      </c>
      <c r="D31" s="25" t="s">
        <v>130</v>
      </c>
      <c r="E31" s="26">
        <v>382980</v>
      </c>
      <c r="F31" s="27">
        <v>1339.28</v>
      </c>
      <c r="G31" s="28">
        <v>1.43E-2</v>
      </c>
      <c r="H31" s="29"/>
    </row>
    <row r="32" spans="2:8" ht="15.75" customHeight="1" x14ac:dyDescent="0.2">
      <c r="B32" s="25" t="s">
        <v>600</v>
      </c>
      <c r="C32" s="25" t="s">
        <v>601</v>
      </c>
      <c r="D32" s="25" t="s">
        <v>444</v>
      </c>
      <c r="E32" s="26">
        <v>3656</v>
      </c>
      <c r="F32" s="27">
        <v>1254.3599999999999</v>
      </c>
      <c r="G32" s="28">
        <v>1.34E-2</v>
      </c>
      <c r="H32" s="29"/>
    </row>
    <row r="33" spans="2:8" ht="15.75" customHeight="1" x14ac:dyDescent="0.2">
      <c r="B33" s="25" t="s">
        <v>576</v>
      </c>
      <c r="C33" s="25" t="s">
        <v>577</v>
      </c>
      <c r="D33" s="25" t="s">
        <v>578</v>
      </c>
      <c r="E33" s="26">
        <v>194778</v>
      </c>
      <c r="F33" s="27">
        <v>1226.6099999999999</v>
      </c>
      <c r="G33" s="28">
        <v>1.3100000000000001E-2</v>
      </c>
      <c r="H33" s="29"/>
    </row>
    <row r="34" spans="2:8" ht="15.75" customHeight="1" x14ac:dyDescent="0.2">
      <c r="B34" s="25" t="s">
        <v>305</v>
      </c>
      <c r="C34" s="25" t="s">
        <v>306</v>
      </c>
      <c r="D34" s="25" t="s">
        <v>206</v>
      </c>
      <c r="E34" s="26">
        <v>420200</v>
      </c>
      <c r="F34" s="27">
        <v>1222.78</v>
      </c>
      <c r="G34" s="28">
        <v>1.2999999999999999E-2</v>
      </c>
      <c r="H34" s="29"/>
    </row>
    <row r="35" spans="2:8" ht="15.75" customHeight="1" x14ac:dyDescent="0.2">
      <c r="B35" s="25" t="s">
        <v>564</v>
      </c>
      <c r="C35" s="25" t="s">
        <v>565</v>
      </c>
      <c r="D35" s="25" t="s">
        <v>294</v>
      </c>
      <c r="E35" s="26">
        <v>3182</v>
      </c>
      <c r="F35" s="27">
        <v>1206.95</v>
      </c>
      <c r="G35" s="28">
        <v>1.2800000000000001E-2</v>
      </c>
      <c r="H35" s="29"/>
    </row>
    <row r="36" spans="2:8" ht="15.75" customHeight="1" x14ac:dyDescent="0.2">
      <c r="B36" s="25" t="s">
        <v>500</v>
      </c>
      <c r="C36" s="25" t="s">
        <v>501</v>
      </c>
      <c r="D36" s="25" t="s">
        <v>222</v>
      </c>
      <c r="E36" s="26">
        <v>190136</v>
      </c>
      <c r="F36" s="27">
        <v>1117.9000000000001</v>
      </c>
      <c r="G36" s="28">
        <v>1.1900000000000001E-2</v>
      </c>
      <c r="H36" s="29"/>
    </row>
    <row r="37" spans="2:8" ht="15.75" customHeight="1" x14ac:dyDescent="0.2">
      <c r="B37" s="25" t="s">
        <v>602</v>
      </c>
      <c r="C37" s="25" t="s">
        <v>603</v>
      </c>
      <c r="D37" s="25" t="s">
        <v>355</v>
      </c>
      <c r="E37" s="26">
        <v>17201</v>
      </c>
      <c r="F37" s="27">
        <v>1075.69</v>
      </c>
      <c r="G37" s="28">
        <v>1.14E-2</v>
      </c>
      <c r="H37" s="29"/>
    </row>
    <row r="38" spans="2:8" ht="15.75" customHeight="1" x14ac:dyDescent="0.2">
      <c r="B38" s="25" t="s">
        <v>318</v>
      </c>
      <c r="C38" s="25" t="s">
        <v>319</v>
      </c>
      <c r="D38" s="25" t="s">
        <v>320</v>
      </c>
      <c r="E38" s="26">
        <v>27859</v>
      </c>
      <c r="F38" s="27">
        <v>1023.18</v>
      </c>
      <c r="G38" s="28">
        <v>1.09E-2</v>
      </c>
      <c r="H38" s="29"/>
    </row>
    <row r="39" spans="2:8" ht="15.75" customHeight="1" x14ac:dyDescent="0.2">
      <c r="B39" s="25" t="s">
        <v>604</v>
      </c>
      <c r="C39" s="25" t="s">
        <v>605</v>
      </c>
      <c r="D39" s="25" t="s">
        <v>171</v>
      </c>
      <c r="E39" s="26">
        <v>86133</v>
      </c>
      <c r="F39" s="27">
        <v>965.51</v>
      </c>
      <c r="G39" s="28">
        <v>1.03E-2</v>
      </c>
      <c r="H39" s="29"/>
    </row>
    <row r="40" spans="2:8" ht="15.75" customHeight="1" x14ac:dyDescent="0.2">
      <c r="B40" s="25" t="s">
        <v>253</v>
      </c>
      <c r="C40" s="25" t="s">
        <v>254</v>
      </c>
      <c r="D40" s="25" t="s">
        <v>130</v>
      </c>
      <c r="E40" s="26">
        <v>63103</v>
      </c>
      <c r="F40" s="27">
        <v>930.71</v>
      </c>
      <c r="G40" s="28">
        <v>9.9000000000000008E-3</v>
      </c>
      <c r="H40" s="29"/>
    </row>
    <row r="41" spans="2:8" ht="15.75" customHeight="1" x14ac:dyDescent="0.2">
      <c r="B41" s="25" t="s">
        <v>288</v>
      </c>
      <c r="C41" s="25" t="s">
        <v>289</v>
      </c>
      <c r="D41" s="25" t="s">
        <v>203</v>
      </c>
      <c r="E41" s="26">
        <v>130423</v>
      </c>
      <c r="F41" s="27">
        <v>920.85</v>
      </c>
      <c r="G41" s="28">
        <v>9.7999999999999997E-3</v>
      </c>
      <c r="H41" s="29"/>
    </row>
    <row r="42" spans="2:8" ht="15.75" customHeight="1" x14ac:dyDescent="0.2">
      <c r="B42" s="25" t="s">
        <v>301</v>
      </c>
      <c r="C42" s="25" t="s">
        <v>302</v>
      </c>
      <c r="D42" s="25" t="s">
        <v>185</v>
      </c>
      <c r="E42" s="26">
        <v>34048</v>
      </c>
      <c r="F42" s="27">
        <v>907.75</v>
      </c>
      <c r="G42" s="28">
        <v>9.7000000000000003E-3</v>
      </c>
      <c r="H42" s="29"/>
    </row>
    <row r="43" spans="2:8" ht="15.75" customHeight="1" x14ac:dyDescent="0.2">
      <c r="B43" s="25" t="s">
        <v>606</v>
      </c>
      <c r="C43" s="25" t="s">
        <v>607</v>
      </c>
      <c r="D43" s="25" t="s">
        <v>171</v>
      </c>
      <c r="E43" s="26">
        <v>14869</v>
      </c>
      <c r="F43" s="27">
        <v>897.3</v>
      </c>
      <c r="G43" s="28">
        <v>9.5999999999999992E-3</v>
      </c>
      <c r="H43" s="29"/>
    </row>
    <row r="44" spans="2:8" ht="15.75" customHeight="1" x14ac:dyDescent="0.2">
      <c r="B44" s="25" t="s">
        <v>524</v>
      </c>
      <c r="C44" s="25" t="s">
        <v>525</v>
      </c>
      <c r="D44" s="25" t="s">
        <v>362</v>
      </c>
      <c r="E44" s="26">
        <v>139900</v>
      </c>
      <c r="F44" s="27">
        <v>820.79</v>
      </c>
      <c r="G44" s="28">
        <v>8.6999999999999994E-3</v>
      </c>
      <c r="H44" s="29"/>
    </row>
    <row r="45" spans="2:8" ht="15.75" customHeight="1" x14ac:dyDescent="0.2">
      <c r="B45" s="25" t="s">
        <v>608</v>
      </c>
      <c r="C45" s="25" t="s">
        <v>609</v>
      </c>
      <c r="D45" s="25" t="s">
        <v>237</v>
      </c>
      <c r="E45" s="26">
        <v>8867</v>
      </c>
      <c r="F45" s="27">
        <v>802.88</v>
      </c>
      <c r="G45" s="28">
        <v>8.5000000000000006E-3</v>
      </c>
      <c r="H45" s="29"/>
    </row>
    <row r="46" spans="2:8" ht="15.75" customHeight="1" x14ac:dyDescent="0.2">
      <c r="B46" s="25" t="s">
        <v>610</v>
      </c>
      <c r="C46" s="25" t="s">
        <v>611</v>
      </c>
      <c r="D46" s="25" t="s">
        <v>237</v>
      </c>
      <c r="E46" s="26">
        <v>83267</v>
      </c>
      <c r="F46" s="27">
        <v>770.34</v>
      </c>
      <c r="G46" s="28">
        <v>8.2000000000000007E-3</v>
      </c>
      <c r="H46" s="29"/>
    </row>
    <row r="47" spans="2:8" ht="15.75" customHeight="1" x14ac:dyDescent="0.2">
      <c r="B47" s="25" t="s">
        <v>612</v>
      </c>
      <c r="C47" s="25" t="s">
        <v>613</v>
      </c>
      <c r="D47" s="25" t="s">
        <v>294</v>
      </c>
      <c r="E47" s="26">
        <v>58632</v>
      </c>
      <c r="F47" s="27">
        <v>763.39</v>
      </c>
      <c r="G47" s="28">
        <v>8.0999999999999996E-3</v>
      </c>
      <c r="H47" s="29"/>
    </row>
    <row r="48" spans="2:8" ht="15.75" customHeight="1" x14ac:dyDescent="0.2">
      <c r="B48" s="25" t="s">
        <v>581</v>
      </c>
      <c r="C48" s="25" t="s">
        <v>582</v>
      </c>
      <c r="D48" s="25" t="s">
        <v>206</v>
      </c>
      <c r="E48" s="26">
        <v>312253</v>
      </c>
      <c r="F48" s="27">
        <v>760.96</v>
      </c>
      <c r="G48" s="28">
        <v>8.0999999999999996E-3</v>
      </c>
      <c r="H48" s="29"/>
    </row>
    <row r="49" spans="2:8" ht="15.75" customHeight="1" x14ac:dyDescent="0.2">
      <c r="B49" s="25" t="s">
        <v>614</v>
      </c>
      <c r="C49" s="25" t="s">
        <v>615</v>
      </c>
      <c r="D49" s="25" t="s">
        <v>222</v>
      </c>
      <c r="E49" s="26">
        <v>45484</v>
      </c>
      <c r="F49" s="27">
        <v>757.35</v>
      </c>
      <c r="G49" s="28">
        <v>8.0999999999999996E-3</v>
      </c>
      <c r="H49" s="29"/>
    </row>
    <row r="50" spans="2:8" ht="15.75" customHeight="1" x14ac:dyDescent="0.2">
      <c r="B50" s="25" t="s">
        <v>616</v>
      </c>
      <c r="C50" s="25" t="s">
        <v>617</v>
      </c>
      <c r="D50" s="25" t="s">
        <v>618</v>
      </c>
      <c r="E50" s="26">
        <v>51498</v>
      </c>
      <c r="F50" s="27">
        <v>706.06</v>
      </c>
      <c r="G50" s="28">
        <v>7.4999999999999997E-3</v>
      </c>
      <c r="H50" s="29"/>
    </row>
    <row r="51" spans="2:8" ht="15.75" customHeight="1" x14ac:dyDescent="0.2">
      <c r="B51" s="25" t="s">
        <v>514</v>
      </c>
      <c r="C51" s="25" t="s">
        <v>515</v>
      </c>
      <c r="D51" s="25" t="s">
        <v>185</v>
      </c>
      <c r="E51" s="26">
        <v>2452</v>
      </c>
      <c r="F51" s="27">
        <v>697.21</v>
      </c>
      <c r="G51" s="28">
        <v>7.4000000000000003E-3</v>
      </c>
      <c r="H51" s="29"/>
    </row>
    <row r="52" spans="2:8" ht="15.75" customHeight="1" x14ac:dyDescent="0.2">
      <c r="B52" s="25" t="s">
        <v>619</v>
      </c>
      <c r="C52" s="25" t="s">
        <v>620</v>
      </c>
      <c r="D52" s="25" t="s">
        <v>309</v>
      </c>
      <c r="E52" s="26">
        <v>5319</v>
      </c>
      <c r="F52" s="27">
        <v>666.87</v>
      </c>
      <c r="G52" s="28">
        <v>7.1000000000000004E-3</v>
      </c>
      <c r="H52" s="29"/>
    </row>
    <row r="53" spans="2:8" ht="15.75" customHeight="1" x14ac:dyDescent="0.2">
      <c r="B53" s="25" t="s">
        <v>621</v>
      </c>
      <c r="C53" s="25" t="s">
        <v>622</v>
      </c>
      <c r="D53" s="25" t="s">
        <v>206</v>
      </c>
      <c r="E53" s="26">
        <v>78123</v>
      </c>
      <c r="F53" s="27">
        <v>473.97</v>
      </c>
      <c r="G53" s="28">
        <v>5.0000000000000001E-3</v>
      </c>
      <c r="H53" s="29"/>
    </row>
    <row r="54" spans="2:8" ht="15.75" customHeight="1" x14ac:dyDescent="0.2">
      <c r="B54" s="25" t="s">
        <v>329</v>
      </c>
      <c r="C54" s="25" t="s">
        <v>330</v>
      </c>
      <c r="D54" s="25" t="s">
        <v>138</v>
      </c>
      <c r="E54" s="26">
        <v>64684</v>
      </c>
      <c r="F54" s="27">
        <v>390.59</v>
      </c>
      <c r="G54" s="28">
        <v>4.1999999999999997E-3</v>
      </c>
      <c r="H54" s="29"/>
    </row>
    <row r="55" spans="2:8" ht="15.75" customHeight="1" x14ac:dyDescent="0.2">
      <c r="B55" s="25" t="s">
        <v>623</v>
      </c>
      <c r="C55" s="25" t="s">
        <v>624</v>
      </c>
      <c r="D55" s="25" t="s">
        <v>171</v>
      </c>
      <c r="E55" s="26">
        <v>12147</v>
      </c>
      <c r="F55" s="27">
        <v>383.28</v>
      </c>
      <c r="G55" s="28">
        <v>4.1000000000000003E-3</v>
      </c>
      <c r="H55" s="29"/>
    </row>
    <row r="56" spans="2:8" ht="15.75" customHeight="1" x14ac:dyDescent="0.2">
      <c r="B56" s="25" t="s">
        <v>625</v>
      </c>
      <c r="C56" s="25" t="s">
        <v>626</v>
      </c>
      <c r="D56" s="25" t="s">
        <v>309</v>
      </c>
      <c r="E56" s="26">
        <v>23987</v>
      </c>
      <c r="F56" s="27">
        <v>346.12</v>
      </c>
      <c r="G56" s="28">
        <v>3.7000000000000002E-3</v>
      </c>
      <c r="H56" s="29"/>
    </row>
    <row r="57" spans="2:8" ht="15.75" customHeight="1" x14ac:dyDescent="0.2">
      <c r="B57" s="25" t="s">
        <v>627</v>
      </c>
      <c r="C57" s="25" t="s">
        <v>628</v>
      </c>
      <c r="D57" s="25" t="s">
        <v>237</v>
      </c>
      <c r="E57" s="26">
        <v>93122</v>
      </c>
      <c r="F57" s="27">
        <v>321.22000000000003</v>
      </c>
      <c r="G57" s="28">
        <v>3.3999999999999998E-3</v>
      </c>
      <c r="H57" s="29"/>
    </row>
    <row r="58" spans="2:8" ht="15.75" customHeight="1" x14ac:dyDescent="0.2">
      <c r="B58" s="25" t="s">
        <v>321</v>
      </c>
      <c r="C58" s="25" t="s">
        <v>322</v>
      </c>
      <c r="D58" s="25" t="s">
        <v>209</v>
      </c>
      <c r="E58" s="26">
        <v>63254</v>
      </c>
      <c r="F58" s="27">
        <v>289.39</v>
      </c>
      <c r="G58" s="28">
        <v>3.0999999999999999E-3</v>
      </c>
      <c r="H58" s="29"/>
    </row>
    <row r="59" spans="2:8" ht="15.75" customHeight="1" x14ac:dyDescent="0.2">
      <c r="B59" s="25" t="s">
        <v>629</v>
      </c>
      <c r="C59" s="25" t="s">
        <v>630</v>
      </c>
      <c r="D59" s="25" t="s">
        <v>294</v>
      </c>
      <c r="E59" s="26">
        <v>1242</v>
      </c>
      <c r="F59" s="27">
        <v>180.9</v>
      </c>
      <c r="G59" s="28">
        <v>1.9E-3</v>
      </c>
      <c r="H59" s="29"/>
    </row>
    <row r="60" spans="2:8" ht="15.75" customHeight="1" x14ac:dyDescent="0.2">
      <c r="B60" s="25" t="s">
        <v>338</v>
      </c>
      <c r="C60" s="25" t="s">
        <v>339</v>
      </c>
      <c r="D60" s="25" t="s">
        <v>130</v>
      </c>
      <c r="E60" s="26">
        <v>24923</v>
      </c>
      <c r="F60" s="27">
        <v>36.46</v>
      </c>
      <c r="G60" s="28">
        <v>4.0000000000000002E-4</v>
      </c>
      <c r="H60" s="29"/>
    </row>
    <row r="61" spans="2:8" ht="15.75" customHeight="1" x14ac:dyDescent="0.2">
      <c r="B61" s="25" t="s">
        <v>491</v>
      </c>
      <c r="C61" s="25" t="s">
        <v>492</v>
      </c>
      <c r="D61" s="25" t="s">
        <v>133</v>
      </c>
      <c r="E61" s="26">
        <v>3477</v>
      </c>
      <c r="F61" s="27">
        <v>28.2</v>
      </c>
      <c r="G61" s="28">
        <v>2.9999999999999997E-4</v>
      </c>
      <c r="H61" s="29"/>
    </row>
    <row r="62" spans="2:8" ht="15.75" customHeight="1" x14ac:dyDescent="0.2">
      <c r="B62" s="25" t="s">
        <v>631</v>
      </c>
      <c r="C62" s="25" t="s">
        <v>632</v>
      </c>
      <c r="D62" s="25" t="s">
        <v>147</v>
      </c>
      <c r="E62" s="26">
        <v>5466</v>
      </c>
      <c r="F62" s="27">
        <v>28.07</v>
      </c>
      <c r="G62" s="28">
        <v>2.9999999999999997E-4</v>
      </c>
      <c r="H62" s="29"/>
    </row>
    <row r="63" spans="2:8" ht="15.75" customHeight="1" x14ac:dyDescent="0.2">
      <c r="B63" s="24" t="s">
        <v>98</v>
      </c>
      <c r="C63" s="24"/>
      <c r="D63" s="24"/>
      <c r="E63" s="30"/>
      <c r="F63" s="31">
        <v>89022.7</v>
      </c>
      <c r="G63" s="32">
        <v>0.94750000000000001</v>
      </c>
      <c r="H63" s="33"/>
    </row>
    <row r="64" spans="2:8" ht="15.75" customHeight="1" x14ac:dyDescent="0.2">
      <c r="B64" s="24" t="s">
        <v>150</v>
      </c>
      <c r="C64" s="25"/>
      <c r="D64" s="25"/>
      <c r="E64" s="26"/>
      <c r="F64" s="27"/>
      <c r="G64" s="28"/>
      <c r="H64" s="29"/>
    </row>
    <row r="65" spans="2:16" ht="15.75" customHeight="1" x14ac:dyDescent="0.2">
      <c r="B65" s="24" t="s">
        <v>98</v>
      </c>
      <c r="C65" s="25"/>
      <c r="D65" s="25"/>
      <c r="E65" s="26"/>
      <c r="F65" s="34" t="s">
        <v>100</v>
      </c>
      <c r="G65" s="35" t="s">
        <v>100</v>
      </c>
      <c r="H65" s="29"/>
    </row>
    <row r="66" spans="2:16" ht="15.75" customHeight="1" x14ac:dyDescent="0.2">
      <c r="B66" s="25"/>
      <c r="C66" s="25"/>
      <c r="D66" s="25"/>
      <c r="E66" s="26"/>
      <c r="F66" s="27"/>
      <c r="G66" s="28"/>
      <c r="H66" s="29"/>
    </row>
    <row r="67" spans="2:16" ht="15.75" customHeight="1" x14ac:dyDescent="0.2">
      <c r="B67" s="36" t="s">
        <v>102</v>
      </c>
      <c r="C67" s="36"/>
      <c r="D67" s="36"/>
      <c r="E67" s="37"/>
      <c r="F67" s="31">
        <v>89022.7</v>
      </c>
      <c r="G67" s="32">
        <v>0.94750000000000001</v>
      </c>
      <c r="H67" s="33"/>
    </row>
    <row r="68" spans="2:16" ht="15.75" customHeight="1" x14ac:dyDescent="0.2">
      <c r="B68" s="25"/>
      <c r="C68" s="25"/>
      <c r="D68" s="25"/>
      <c r="E68" s="26"/>
      <c r="F68" s="27"/>
      <c r="G68" s="28"/>
      <c r="H68" s="29"/>
      <c r="L68" s="3"/>
    </row>
    <row r="69" spans="2:16" ht="15.75" customHeight="1" x14ac:dyDescent="0.2">
      <c r="B69" s="24" t="s">
        <v>86</v>
      </c>
      <c r="C69" s="25"/>
      <c r="D69" s="25"/>
      <c r="E69" s="26"/>
      <c r="F69" s="27"/>
      <c r="G69" s="28"/>
      <c r="H69" s="29"/>
    </row>
    <row r="70" spans="2:16" ht="15.75" customHeight="1" x14ac:dyDescent="0.2">
      <c r="B70" s="24" t="s">
        <v>87</v>
      </c>
      <c r="C70" s="25"/>
      <c r="D70" s="25"/>
      <c r="E70" s="26"/>
      <c r="F70" s="27"/>
      <c r="G70" s="28"/>
      <c r="H70" s="29"/>
      <c r="L70" s="3"/>
    </row>
    <row r="71" spans="2:16" ht="15.75" customHeight="1" x14ac:dyDescent="0.2">
      <c r="B71" s="25" t="s">
        <v>633</v>
      </c>
      <c r="C71" s="25" t="s">
        <v>634</v>
      </c>
      <c r="D71" s="25" t="s">
        <v>96</v>
      </c>
      <c r="E71" s="26">
        <v>10248</v>
      </c>
      <c r="F71" s="27">
        <v>3.07</v>
      </c>
      <c r="G71" s="28" t="s">
        <v>122</v>
      </c>
      <c r="H71" s="29">
        <v>8.2098000000000004E-2</v>
      </c>
      <c r="L71" s="3"/>
    </row>
    <row r="72" spans="2:16" ht="15.75" customHeight="1" x14ac:dyDescent="0.2">
      <c r="B72" s="24" t="s">
        <v>98</v>
      </c>
      <c r="C72" s="24"/>
      <c r="D72" s="24"/>
      <c r="E72" s="30"/>
      <c r="F72" s="31">
        <v>3.07</v>
      </c>
      <c r="G72" s="32" t="s">
        <v>122</v>
      </c>
      <c r="H72" s="33"/>
      <c r="L72" s="3"/>
    </row>
    <row r="73" spans="2:16" ht="15.75" customHeight="1" x14ac:dyDescent="0.2">
      <c r="B73" s="25"/>
      <c r="C73" s="25"/>
      <c r="D73" s="25"/>
      <c r="E73" s="26"/>
      <c r="F73" s="27"/>
      <c r="G73" s="28"/>
      <c r="H73" s="29"/>
      <c r="L73" s="3"/>
    </row>
    <row r="74" spans="2:16" ht="15.75" customHeight="1" x14ac:dyDescent="0.2">
      <c r="B74" s="24" t="s">
        <v>99</v>
      </c>
      <c r="C74" s="25"/>
      <c r="D74" s="25"/>
      <c r="E74" s="26"/>
      <c r="F74" s="27"/>
      <c r="G74" s="28"/>
      <c r="H74" s="29"/>
      <c r="L74" s="3"/>
    </row>
    <row r="75" spans="2:16" ht="15.75" customHeight="1" x14ac:dyDescent="0.2">
      <c r="B75" s="24" t="s">
        <v>98</v>
      </c>
      <c r="C75" s="25"/>
      <c r="D75" s="25"/>
      <c r="E75" s="26"/>
      <c r="F75" s="34" t="s">
        <v>100</v>
      </c>
      <c r="G75" s="35" t="s">
        <v>100</v>
      </c>
      <c r="H75" s="29"/>
      <c r="L75" s="5"/>
      <c r="M75" s="5"/>
      <c r="N75" s="6"/>
      <c r="O75" s="6"/>
      <c r="P75" s="5"/>
    </row>
    <row r="76" spans="2:16" ht="15.75" customHeight="1" x14ac:dyDescent="0.2">
      <c r="B76" s="25"/>
      <c r="C76" s="25"/>
      <c r="D76" s="25"/>
      <c r="E76" s="26"/>
      <c r="F76" s="27"/>
      <c r="G76" s="28"/>
      <c r="H76" s="29"/>
    </row>
    <row r="77" spans="2:16" ht="15.75" customHeight="1" x14ac:dyDescent="0.2">
      <c r="B77" s="24" t="s">
        <v>101</v>
      </c>
      <c r="C77" s="25"/>
      <c r="D77" s="25"/>
      <c r="E77" s="26"/>
      <c r="F77" s="27"/>
      <c r="G77" s="28"/>
      <c r="H77" s="29"/>
    </row>
    <row r="78" spans="2:16" ht="15.75" customHeight="1" x14ac:dyDescent="0.2">
      <c r="B78" s="24" t="s">
        <v>98</v>
      </c>
      <c r="C78" s="25"/>
      <c r="D78" s="25"/>
      <c r="E78" s="26"/>
      <c r="F78" s="34" t="s">
        <v>100</v>
      </c>
      <c r="G78" s="35" t="s">
        <v>100</v>
      </c>
      <c r="H78" s="29"/>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36" t="s">
        <v>102</v>
      </c>
      <c r="C80" s="36"/>
      <c r="D80" s="36"/>
      <c r="E80" s="37"/>
      <c r="F80" s="31">
        <v>3.07</v>
      </c>
      <c r="G80" s="32" t="s">
        <v>122</v>
      </c>
      <c r="H80" s="33"/>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24" t="s">
        <v>105</v>
      </c>
      <c r="C83" s="25"/>
      <c r="D83" s="25"/>
      <c r="E83" s="26"/>
      <c r="F83" s="27"/>
      <c r="G83" s="28"/>
      <c r="H83" s="29"/>
      <c r="L83" s="7"/>
      <c r="M83" s="7"/>
      <c r="N83" s="7"/>
      <c r="O83" s="7"/>
      <c r="P83" s="7"/>
    </row>
    <row r="84" spans="2:16" ht="15.75" customHeight="1" x14ac:dyDescent="0.2">
      <c r="B84" s="25" t="s">
        <v>106</v>
      </c>
      <c r="C84" s="25"/>
      <c r="D84" s="25"/>
      <c r="E84" s="26"/>
      <c r="F84" s="27">
        <v>5070.99</v>
      </c>
      <c r="G84" s="28">
        <v>5.3999999999999999E-2</v>
      </c>
      <c r="H84" s="29"/>
      <c r="L84" s="7"/>
      <c r="M84" s="7"/>
      <c r="N84" s="7"/>
      <c r="O84" s="7"/>
      <c r="P84" s="7"/>
    </row>
    <row r="85" spans="2:16" ht="15.75" customHeight="1" x14ac:dyDescent="0.2">
      <c r="B85" s="24" t="s">
        <v>98</v>
      </c>
      <c r="C85" s="24"/>
      <c r="D85" s="24"/>
      <c r="E85" s="30"/>
      <c r="F85" s="31">
        <v>5070.99</v>
      </c>
      <c r="G85" s="32">
        <v>5.3999999999999999E-2</v>
      </c>
      <c r="H85" s="33"/>
    </row>
    <row r="86" spans="2:16" ht="15.75" customHeight="1" x14ac:dyDescent="0.2">
      <c r="B86" s="25"/>
      <c r="C86" s="25"/>
      <c r="D86" s="25"/>
      <c r="E86" s="26"/>
      <c r="F86" s="27"/>
      <c r="G86" s="28"/>
      <c r="H86" s="29"/>
      <c r="L86" s="3"/>
    </row>
    <row r="87" spans="2:16" ht="15.75" customHeight="1" x14ac:dyDescent="0.2">
      <c r="B87" s="36" t="s">
        <v>102</v>
      </c>
      <c r="C87" s="36"/>
      <c r="D87" s="36"/>
      <c r="E87" s="37"/>
      <c r="F87" s="31">
        <v>5070.99</v>
      </c>
      <c r="G87" s="32">
        <v>5.3999999999999999E-2</v>
      </c>
      <c r="H87" s="33"/>
    </row>
    <row r="88" spans="2:16" ht="15.75" customHeight="1" x14ac:dyDescent="0.2">
      <c r="B88" s="25" t="s">
        <v>107</v>
      </c>
      <c r="C88" s="25"/>
      <c r="D88" s="25"/>
      <c r="E88" s="26"/>
      <c r="F88" s="38">
        <v>-144.94</v>
      </c>
      <c r="G88" s="39">
        <v>-1.5000000000000568E-3</v>
      </c>
      <c r="H88" s="29"/>
    </row>
    <row r="89" spans="2:16" ht="15.75" customHeight="1" x14ac:dyDescent="0.2">
      <c r="B89" s="40" t="s">
        <v>108</v>
      </c>
      <c r="C89" s="40"/>
      <c r="D89" s="40"/>
      <c r="E89" s="41"/>
      <c r="F89" s="42">
        <v>93951.82</v>
      </c>
      <c r="G89" s="43">
        <v>1</v>
      </c>
      <c r="H89" s="44"/>
    </row>
    <row r="90" spans="2:16" ht="15.75" customHeight="1" x14ac:dyDescent="0.2">
      <c r="B90" s="2"/>
    </row>
    <row r="91" spans="2:16" ht="15.75" customHeight="1" x14ac:dyDescent="0.2">
      <c r="B91" s="12" t="s">
        <v>124</v>
      </c>
    </row>
    <row r="92" spans="2:16" ht="15.75" customHeight="1" x14ac:dyDescent="0.2">
      <c r="B92" s="12" t="s">
        <v>125</v>
      </c>
    </row>
    <row r="93" spans="2:16" ht="15.75" customHeight="1" thickBot="1" x14ac:dyDescent="0.25"/>
    <row r="94" spans="2:16" ht="27" customHeight="1" thickBot="1" x14ac:dyDescent="0.25">
      <c r="B94" s="57" t="s">
        <v>925</v>
      </c>
      <c r="C94" s="58" t="s">
        <v>926</v>
      </c>
      <c r="D94" s="58" t="s">
        <v>927</v>
      </c>
      <c r="E94" s="63" t="s">
        <v>928</v>
      </c>
      <c r="G94" s="2"/>
      <c r="H94" s="2"/>
    </row>
    <row r="95" spans="2:16" ht="23.25" customHeight="1" x14ac:dyDescent="0.2">
      <c r="B95" s="64" t="s">
        <v>47</v>
      </c>
      <c r="C95" s="82"/>
      <c r="D95" s="85" t="s">
        <v>972</v>
      </c>
      <c r="E95" s="87"/>
      <c r="G95" s="2"/>
      <c r="H95" s="2"/>
    </row>
    <row r="96" spans="2:16" ht="39.950000000000003" customHeight="1" x14ac:dyDescent="0.2">
      <c r="B96" s="66" t="s">
        <v>958</v>
      </c>
      <c r="C96" s="83"/>
      <c r="D96" s="86"/>
      <c r="E96" s="83"/>
      <c r="G96" s="2"/>
      <c r="H96" s="2"/>
    </row>
    <row r="97" spans="2:16" ht="39.950000000000003" customHeight="1" x14ac:dyDescent="0.2">
      <c r="B97" s="66" t="s">
        <v>973</v>
      </c>
      <c r="C97" s="83"/>
      <c r="D97" s="86"/>
      <c r="E97" s="83"/>
      <c r="G97" s="2"/>
      <c r="H97" s="2"/>
    </row>
    <row r="98" spans="2:16" ht="27.75" customHeight="1" thickBot="1" x14ac:dyDescent="0.25">
      <c r="B98" s="68" t="s">
        <v>943</v>
      </c>
      <c r="C98" s="84"/>
      <c r="D98" s="71" t="s">
        <v>953</v>
      </c>
      <c r="E98" s="88"/>
      <c r="G98" s="2"/>
      <c r="H98" s="2"/>
    </row>
    <row r="99" spans="2:16" ht="24.95" customHeight="1" x14ac:dyDescent="0.2">
      <c r="B99" s="59" t="s">
        <v>929</v>
      </c>
      <c r="C99" s="60"/>
      <c r="D99" s="61"/>
      <c r="E99" s="62"/>
      <c r="G99" s="2"/>
      <c r="H99" s="2"/>
    </row>
    <row r="100" spans="2:16" ht="15.75" customHeight="1" x14ac:dyDescent="0.2">
      <c r="L100" s="7"/>
      <c r="M100" s="7"/>
      <c r="N100" s="7"/>
      <c r="O100" s="7"/>
      <c r="P100" s="7"/>
    </row>
    <row r="101" spans="2:16" ht="12" x14ac:dyDescent="0.2">
      <c r="B101" s="2" t="s">
        <v>930</v>
      </c>
      <c r="C101" s="2"/>
      <c r="D101" s="2"/>
      <c r="G101" s="2"/>
      <c r="H101" s="2"/>
    </row>
    <row r="102" spans="2:16" ht="12" x14ac:dyDescent="0.2">
      <c r="B102" s="3" t="s">
        <v>931</v>
      </c>
      <c r="C102" s="2"/>
      <c r="D102" s="2"/>
      <c r="G102" s="2"/>
      <c r="H102" s="2"/>
    </row>
  </sheetData>
  <mergeCells count="3">
    <mergeCell ref="C95:C98"/>
    <mergeCell ref="D95:D97"/>
    <mergeCell ref="E95:E98"/>
  </mergeCells>
  <hyperlinks>
    <hyperlink ref="I1" location="'Sheet1'!A1" display="Index" xr:uid="{37CEC239-5955-4FA1-BB99-BA1F128934D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85627-4129-4E21-95F5-B9CECBAF8D57}">
  <dimension ref="B1:P91"/>
  <sheetViews>
    <sheetView workbookViewId="0"/>
  </sheetViews>
  <sheetFormatPr defaultColWidth="9.140625" defaultRowHeight="15.75" customHeight="1" x14ac:dyDescent="0.2"/>
  <cols>
    <col min="1" max="1" width="3.5703125" style="2" customWidth="1"/>
    <col min="2" max="2" width="50.42578125" style="9" customWidth="1"/>
    <col min="3" max="3" width="25.7109375" style="9" customWidth="1"/>
    <col min="4" max="4" width="26.5703125" style="9" customWidth="1"/>
    <col min="5" max="5" width="27.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974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635</v>
      </c>
      <c r="C7" s="25" t="s">
        <v>636</v>
      </c>
      <c r="D7" s="25" t="s">
        <v>309</v>
      </c>
      <c r="E7" s="26">
        <v>61751</v>
      </c>
      <c r="F7" s="27">
        <v>1175.3399999999999</v>
      </c>
      <c r="G7" s="28">
        <v>5.5399999999999998E-2</v>
      </c>
      <c r="H7" s="29"/>
    </row>
    <row r="8" spans="2:9" ht="15.75" customHeight="1" x14ac:dyDescent="0.2">
      <c r="B8" s="25" t="s">
        <v>637</v>
      </c>
      <c r="C8" s="25" t="s">
        <v>638</v>
      </c>
      <c r="D8" s="25" t="s">
        <v>309</v>
      </c>
      <c r="E8" s="26">
        <v>89049</v>
      </c>
      <c r="F8" s="27">
        <v>813.28</v>
      </c>
      <c r="G8" s="28">
        <v>3.8300000000000001E-2</v>
      </c>
      <c r="H8" s="29"/>
    </row>
    <row r="9" spans="2:9" ht="15.75" customHeight="1" x14ac:dyDescent="0.2">
      <c r="B9" s="25" t="s">
        <v>639</v>
      </c>
      <c r="C9" s="25" t="s">
        <v>640</v>
      </c>
      <c r="D9" s="25" t="s">
        <v>587</v>
      </c>
      <c r="E9" s="26">
        <v>30300</v>
      </c>
      <c r="F9" s="27">
        <v>717.16</v>
      </c>
      <c r="G9" s="28">
        <v>3.3799999999999997E-2</v>
      </c>
      <c r="H9" s="29"/>
    </row>
    <row r="10" spans="2:9" ht="15.75" customHeight="1" x14ac:dyDescent="0.2">
      <c r="B10" s="25" t="s">
        <v>369</v>
      </c>
      <c r="C10" s="25" t="s">
        <v>370</v>
      </c>
      <c r="D10" s="25" t="s">
        <v>309</v>
      </c>
      <c r="E10" s="26">
        <v>21041</v>
      </c>
      <c r="F10" s="27">
        <v>675.57</v>
      </c>
      <c r="G10" s="28">
        <v>3.1800000000000002E-2</v>
      </c>
      <c r="H10" s="29"/>
    </row>
    <row r="11" spans="2:9" ht="15.75" customHeight="1" x14ac:dyDescent="0.2">
      <c r="B11" s="25" t="s">
        <v>292</v>
      </c>
      <c r="C11" s="25" t="s">
        <v>293</v>
      </c>
      <c r="D11" s="25" t="s">
        <v>294</v>
      </c>
      <c r="E11" s="26">
        <v>353255</v>
      </c>
      <c r="F11" s="27">
        <v>672.42</v>
      </c>
      <c r="G11" s="28">
        <v>3.1699999999999999E-2</v>
      </c>
      <c r="H11" s="29"/>
    </row>
    <row r="12" spans="2:9" ht="15.75" customHeight="1" x14ac:dyDescent="0.2">
      <c r="B12" s="25" t="s">
        <v>465</v>
      </c>
      <c r="C12" s="25" t="s">
        <v>466</v>
      </c>
      <c r="D12" s="25" t="s">
        <v>294</v>
      </c>
      <c r="E12" s="26">
        <v>27154</v>
      </c>
      <c r="F12" s="27">
        <v>628.55999999999995</v>
      </c>
      <c r="G12" s="28">
        <v>2.9600000000000001E-2</v>
      </c>
      <c r="H12" s="29"/>
    </row>
    <row r="13" spans="2:9" ht="15.75" customHeight="1" x14ac:dyDescent="0.2">
      <c r="B13" s="25" t="s">
        <v>641</v>
      </c>
      <c r="C13" s="25" t="s">
        <v>642</v>
      </c>
      <c r="D13" s="25" t="s">
        <v>362</v>
      </c>
      <c r="E13" s="26">
        <v>406875</v>
      </c>
      <c r="F13" s="27">
        <v>567.17999999999995</v>
      </c>
      <c r="G13" s="28">
        <v>2.6700000000000002E-2</v>
      </c>
      <c r="H13" s="29"/>
    </row>
    <row r="14" spans="2:9" ht="15.75" customHeight="1" x14ac:dyDescent="0.2">
      <c r="B14" s="25" t="s">
        <v>643</v>
      </c>
      <c r="C14" s="25" t="s">
        <v>644</v>
      </c>
      <c r="D14" s="25" t="s">
        <v>206</v>
      </c>
      <c r="E14" s="26">
        <v>44181</v>
      </c>
      <c r="F14" s="27">
        <v>561.21</v>
      </c>
      <c r="G14" s="28">
        <v>2.6499999999999999E-2</v>
      </c>
      <c r="H14" s="29"/>
    </row>
    <row r="15" spans="2:9" ht="15.75" customHeight="1" x14ac:dyDescent="0.2">
      <c r="B15" s="25" t="s">
        <v>479</v>
      </c>
      <c r="C15" s="25" t="s">
        <v>480</v>
      </c>
      <c r="D15" s="25" t="s">
        <v>355</v>
      </c>
      <c r="E15" s="26">
        <v>8960</v>
      </c>
      <c r="F15" s="27">
        <v>511.31</v>
      </c>
      <c r="G15" s="28">
        <v>2.41E-2</v>
      </c>
      <c r="H15" s="29"/>
    </row>
    <row r="16" spans="2:9" ht="15.75" customHeight="1" x14ac:dyDescent="0.2">
      <c r="B16" s="25" t="s">
        <v>645</v>
      </c>
      <c r="C16" s="25" t="s">
        <v>646</v>
      </c>
      <c r="D16" s="25" t="s">
        <v>309</v>
      </c>
      <c r="E16" s="26">
        <v>13659</v>
      </c>
      <c r="F16" s="27">
        <v>499.86</v>
      </c>
      <c r="G16" s="28">
        <v>2.3599999999999999E-2</v>
      </c>
      <c r="H16" s="29"/>
    </row>
    <row r="17" spans="2:8" ht="15.75" customHeight="1" x14ac:dyDescent="0.2">
      <c r="B17" s="25" t="s">
        <v>647</v>
      </c>
      <c r="C17" s="25" t="s">
        <v>648</v>
      </c>
      <c r="D17" s="25" t="s">
        <v>355</v>
      </c>
      <c r="E17" s="26">
        <v>87526</v>
      </c>
      <c r="F17" s="27">
        <v>464.72</v>
      </c>
      <c r="G17" s="28">
        <v>2.1899999999999999E-2</v>
      </c>
      <c r="H17" s="29"/>
    </row>
    <row r="18" spans="2:8" ht="15.75" customHeight="1" x14ac:dyDescent="0.2">
      <c r="B18" s="25" t="s">
        <v>649</v>
      </c>
      <c r="C18" s="25" t="s">
        <v>650</v>
      </c>
      <c r="D18" s="25" t="s">
        <v>309</v>
      </c>
      <c r="E18" s="26">
        <v>70866</v>
      </c>
      <c r="F18" s="27">
        <v>462.08</v>
      </c>
      <c r="G18" s="28">
        <v>2.18E-2</v>
      </c>
      <c r="H18" s="29"/>
    </row>
    <row r="19" spans="2:8" ht="15.75" customHeight="1" x14ac:dyDescent="0.2">
      <c r="B19" s="25" t="s">
        <v>651</v>
      </c>
      <c r="C19" s="25" t="s">
        <v>652</v>
      </c>
      <c r="D19" s="25" t="s">
        <v>309</v>
      </c>
      <c r="E19" s="26">
        <v>21757</v>
      </c>
      <c r="F19" s="27">
        <v>454.42</v>
      </c>
      <c r="G19" s="28">
        <v>2.1399999999999999E-2</v>
      </c>
      <c r="H19" s="29"/>
    </row>
    <row r="20" spans="2:8" ht="15.75" customHeight="1" x14ac:dyDescent="0.2">
      <c r="B20" s="25" t="s">
        <v>534</v>
      </c>
      <c r="C20" s="25" t="s">
        <v>535</v>
      </c>
      <c r="D20" s="25" t="s">
        <v>240</v>
      </c>
      <c r="E20" s="26">
        <v>59701</v>
      </c>
      <c r="F20" s="27">
        <v>444.89</v>
      </c>
      <c r="G20" s="28">
        <v>2.1000000000000001E-2</v>
      </c>
      <c r="H20" s="29"/>
    </row>
    <row r="21" spans="2:8" ht="15.75" customHeight="1" x14ac:dyDescent="0.2">
      <c r="B21" s="25" t="s">
        <v>653</v>
      </c>
      <c r="C21" s="25" t="s">
        <v>654</v>
      </c>
      <c r="D21" s="25" t="s">
        <v>309</v>
      </c>
      <c r="E21" s="26">
        <v>132668</v>
      </c>
      <c r="F21" s="27">
        <v>444.11</v>
      </c>
      <c r="G21" s="28">
        <v>2.0899999999999998E-2</v>
      </c>
      <c r="H21" s="29"/>
    </row>
    <row r="22" spans="2:8" ht="15.75" customHeight="1" x14ac:dyDescent="0.2">
      <c r="B22" s="25" t="s">
        <v>516</v>
      </c>
      <c r="C22" s="25" t="s">
        <v>517</v>
      </c>
      <c r="D22" s="25" t="s">
        <v>203</v>
      </c>
      <c r="E22" s="26">
        <v>31789</v>
      </c>
      <c r="F22" s="27">
        <v>433.67</v>
      </c>
      <c r="G22" s="28">
        <v>2.0400000000000001E-2</v>
      </c>
      <c r="H22" s="29"/>
    </row>
    <row r="23" spans="2:8" ht="15.75" customHeight="1" x14ac:dyDescent="0.2">
      <c r="B23" s="25" t="s">
        <v>365</v>
      </c>
      <c r="C23" s="25" t="s">
        <v>366</v>
      </c>
      <c r="D23" s="25" t="s">
        <v>355</v>
      </c>
      <c r="E23" s="26">
        <v>143131</v>
      </c>
      <c r="F23" s="27">
        <v>426.96</v>
      </c>
      <c r="G23" s="28">
        <v>2.01E-2</v>
      </c>
      <c r="H23" s="29"/>
    </row>
    <row r="24" spans="2:8" ht="15.75" customHeight="1" x14ac:dyDescent="0.2">
      <c r="B24" s="25" t="s">
        <v>655</v>
      </c>
      <c r="C24" s="25" t="s">
        <v>656</v>
      </c>
      <c r="D24" s="25" t="s">
        <v>355</v>
      </c>
      <c r="E24" s="26">
        <v>6612</v>
      </c>
      <c r="F24" s="27">
        <v>397</v>
      </c>
      <c r="G24" s="28">
        <v>1.8700000000000001E-2</v>
      </c>
      <c r="H24" s="29"/>
    </row>
    <row r="25" spans="2:8" ht="15.75" customHeight="1" x14ac:dyDescent="0.2">
      <c r="B25" s="25" t="s">
        <v>500</v>
      </c>
      <c r="C25" s="25" t="s">
        <v>501</v>
      </c>
      <c r="D25" s="25" t="s">
        <v>222</v>
      </c>
      <c r="E25" s="26">
        <v>65720</v>
      </c>
      <c r="F25" s="27">
        <v>386.4</v>
      </c>
      <c r="G25" s="28">
        <v>1.8200000000000001E-2</v>
      </c>
      <c r="H25" s="29"/>
    </row>
    <row r="26" spans="2:8" ht="15.75" customHeight="1" x14ac:dyDescent="0.2">
      <c r="B26" s="25" t="s">
        <v>485</v>
      </c>
      <c r="C26" s="25" t="s">
        <v>486</v>
      </c>
      <c r="D26" s="25" t="s">
        <v>309</v>
      </c>
      <c r="E26" s="26">
        <v>35275</v>
      </c>
      <c r="F26" s="27">
        <v>377.2</v>
      </c>
      <c r="G26" s="28">
        <v>1.78E-2</v>
      </c>
      <c r="H26" s="29"/>
    </row>
    <row r="27" spans="2:8" ht="15.75" customHeight="1" x14ac:dyDescent="0.2">
      <c r="B27" s="25" t="s">
        <v>657</v>
      </c>
      <c r="C27" s="25" t="s">
        <v>658</v>
      </c>
      <c r="D27" s="25" t="s">
        <v>206</v>
      </c>
      <c r="E27" s="26">
        <v>94302</v>
      </c>
      <c r="F27" s="27">
        <v>363.44</v>
      </c>
      <c r="G27" s="28">
        <v>1.7100000000000001E-2</v>
      </c>
      <c r="H27" s="29"/>
    </row>
    <row r="28" spans="2:8" ht="15.75" customHeight="1" x14ac:dyDescent="0.2">
      <c r="B28" s="25" t="s">
        <v>474</v>
      </c>
      <c r="C28" s="25" t="s">
        <v>475</v>
      </c>
      <c r="D28" s="25" t="s">
        <v>476</v>
      </c>
      <c r="E28" s="26">
        <v>24407</v>
      </c>
      <c r="F28" s="27">
        <v>362.29</v>
      </c>
      <c r="G28" s="28">
        <v>1.7100000000000001E-2</v>
      </c>
      <c r="H28" s="29"/>
    </row>
    <row r="29" spans="2:8" ht="15.75" customHeight="1" x14ac:dyDescent="0.2">
      <c r="B29" s="25" t="s">
        <v>659</v>
      </c>
      <c r="C29" s="25" t="s">
        <v>660</v>
      </c>
      <c r="D29" s="25" t="s">
        <v>133</v>
      </c>
      <c r="E29" s="26">
        <v>46095</v>
      </c>
      <c r="F29" s="27">
        <v>357.74</v>
      </c>
      <c r="G29" s="28">
        <v>1.6899999999999998E-2</v>
      </c>
      <c r="H29" s="29"/>
    </row>
    <row r="30" spans="2:8" ht="15.75" customHeight="1" x14ac:dyDescent="0.2">
      <c r="B30" s="25" t="s">
        <v>414</v>
      </c>
      <c r="C30" s="25" t="s">
        <v>415</v>
      </c>
      <c r="D30" s="25" t="s">
        <v>130</v>
      </c>
      <c r="E30" s="26">
        <v>273612</v>
      </c>
      <c r="F30" s="27">
        <v>350.09</v>
      </c>
      <c r="G30" s="28">
        <v>1.6500000000000001E-2</v>
      </c>
      <c r="H30" s="29"/>
    </row>
    <row r="31" spans="2:8" ht="15.75" customHeight="1" x14ac:dyDescent="0.2">
      <c r="B31" s="25" t="s">
        <v>661</v>
      </c>
      <c r="C31" s="25" t="s">
        <v>662</v>
      </c>
      <c r="D31" s="25" t="s">
        <v>320</v>
      </c>
      <c r="E31" s="26">
        <v>55378</v>
      </c>
      <c r="F31" s="27">
        <v>348.6</v>
      </c>
      <c r="G31" s="28">
        <v>1.6400000000000001E-2</v>
      </c>
      <c r="H31" s="29"/>
    </row>
    <row r="32" spans="2:8" ht="15.75" customHeight="1" x14ac:dyDescent="0.2">
      <c r="B32" s="25" t="s">
        <v>472</v>
      </c>
      <c r="C32" s="25" t="s">
        <v>473</v>
      </c>
      <c r="D32" s="25" t="s">
        <v>185</v>
      </c>
      <c r="E32" s="26">
        <v>3770</v>
      </c>
      <c r="F32" s="27">
        <v>324.73</v>
      </c>
      <c r="G32" s="28">
        <v>1.5299999999999999E-2</v>
      </c>
      <c r="H32" s="29"/>
    </row>
    <row r="33" spans="2:8" ht="15.75" customHeight="1" x14ac:dyDescent="0.2">
      <c r="B33" s="25" t="s">
        <v>175</v>
      </c>
      <c r="C33" s="25" t="s">
        <v>176</v>
      </c>
      <c r="D33" s="25" t="s">
        <v>130</v>
      </c>
      <c r="E33" s="26">
        <v>118500</v>
      </c>
      <c r="F33" s="27">
        <v>314.56</v>
      </c>
      <c r="G33" s="28">
        <v>1.4800000000000001E-2</v>
      </c>
      <c r="H33" s="29"/>
    </row>
    <row r="34" spans="2:8" ht="15.75" customHeight="1" x14ac:dyDescent="0.2">
      <c r="B34" s="25" t="s">
        <v>663</v>
      </c>
      <c r="C34" s="25" t="s">
        <v>664</v>
      </c>
      <c r="D34" s="25" t="s">
        <v>309</v>
      </c>
      <c r="E34" s="26">
        <v>10233</v>
      </c>
      <c r="F34" s="27">
        <v>310.61</v>
      </c>
      <c r="G34" s="28">
        <v>1.46E-2</v>
      </c>
      <c r="H34" s="29"/>
    </row>
    <row r="35" spans="2:8" ht="15.75" customHeight="1" x14ac:dyDescent="0.2">
      <c r="B35" s="25" t="s">
        <v>491</v>
      </c>
      <c r="C35" s="25" t="s">
        <v>492</v>
      </c>
      <c r="D35" s="25" t="s">
        <v>133</v>
      </c>
      <c r="E35" s="26">
        <v>37710</v>
      </c>
      <c r="F35" s="27">
        <v>305.81</v>
      </c>
      <c r="G35" s="28">
        <v>1.44E-2</v>
      </c>
      <c r="H35" s="29"/>
    </row>
    <row r="36" spans="2:8" ht="15.75" customHeight="1" x14ac:dyDescent="0.2">
      <c r="B36" s="25" t="s">
        <v>665</v>
      </c>
      <c r="C36" s="25" t="s">
        <v>666</v>
      </c>
      <c r="D36" s="25" t="s">
        <v>240</v>
      </c>
      <c r="E36" s="26">
        <v>189006</v>
      </c>
      <c r="F36" s="27">
        <v>302.5</v>
      </c>
      <c r="G36" s="28">
        <v>1.43E-2</v>
      </c>
      <c r="H36" s="29"/>
    </row>
    <row r="37" spans="2:8" ht="15.75" customHeight="1" x14ac:dyDescent="0.2">
      <c r="B37" s="25" t="s">
        <v>667</v>
      </c>
      <c r="C37" s="25" t="s">
        <v>668</v>
      </c>
      <c r="D37" s="25" t="s">
        <v>206</v>
      </c>
      <c r="E37" s="26">
        <v>29083</v>
      </c>
      <c r="F37" s="27">
        <v>289.61</v>
      </c>
      <c r="G37" s="28">
        <v>1.37E-2</v>
      </c>
      <c r="H37" s="29"/>
    </row>
    <row r="38" spans="2:8" ht="15.75" customHeight="1" x14ac:dyDescent="0.2">
      <c r="B38" s="25" t="s">
        <v>669</v>
      </c>
      <c r="C38" s="25" t="s">
        <v>670</v>
      </c>
      <c r="D38" s="25" t="s">
        <v>206</v>
      </c>
      <c r="E38" s="26">
        <v>29746</v>
      </c>
      <c r="F38" s="27">
        <v>284.31</v>
      </c>
      <c r="G38" s="28">
        <v>1.34E-2</v>
      </c>
      <c r="H38" s="29"/>
    </row>
    <row r="39" spans="2:8" ht="15.75" customHeight="1" x14ac:dyDescent="0.2">
      <c r="B39" s="25" t="s">
        <v>358</v>
      </c>
      <c r="C39" s="25" t="s">
        <v>359</v>
      </c>
      <c r="D39" s="25" t="s">
        <v>130</v>
      </c>
      <c r="E39" s="26">
        <v>285040</v>
      </c>
      <c r="F39" s="27">
        <v>284.04000000000002</v>
      </c>
      <c r="G39" s="28">
        <v>1.34E-2</v>
      </c>
      <c r="H39" s="29"/>
    </row>
    <row r="40" spans="2:8" ht="15.75" customHeight="1" x14ac:dyDescent="0.2">
      <c r="B40" s="25" t="s">
        <v>316</v>
      </c>
      <c r="C40" s="25" t="s">
        <v>317</v>
      </c>
      <c r="D40" s="25" t="s">
        <v>185</v>
      </c>
      <c r="E40" s="26">
        <v>198627</v>
      </c>
      <c r="F40" s="27">
        <v>261.99</v>
      </c>
      <c r="G40" s="28">
        <v>1.23E-2</v>
      </c>
      <c r="H40" s="29"/>
    </row>
    <row r="41" spans="2:8" ht="15.75" customHeight="1" x14ac:dyDescent="0.2">
      <c r="B41" s="25" t="s">
        <v>671</v>
      </c>
      <c r="C41" s="25" t="s">
        <v>672</v>
      </c>
      <c r="D41" s="25" t="s">
        <v>206</v>
      </c>
      <c r="E41" s="26">
        <v>36388</v>
      </c>
      <c r="F41" s="27">
        <v>257.41000000000003</v>
      </c>
      <c r="G41" s="28">
        <v>1.21E-2</v>
      </c>
      <c r="H41" s="29"/>
    </row>
    <row r="42" spans="2:8" ht="15.75" customHeight="1" x14ac:dyDescent="0.2">
      <c r="B42" s="25" t="s">
        <v>388</v>
      </c>
      <c r="C42" s="25" t="s">
        <v>389</v>
      </c>
      <c r="D42" s="25" t="s">
        <v>147</v>
      </c>
      <c r="E42" s="26">
        <v>49232</v>
      </c>
      <c r="F42" s="27">
        <v>256.92</v>
      </c>
      <c r="G42" s="28">
        <v>1.21E-2</v>
      </c>
      <c r="H42" s="29"/>
    </row>
    <row r="43" spans="2:8" ht="15.75" customHeight="1" x14ac:dyDescent="0.2">
      <c r="B43" s="25" t="s">
        <v>625</v>
      </c>
      <c r="C43" s="25" t="s">
        <v>626</v>
      </c>
      <c r="D43" s="25" t="s">
        <v>309</v>
      </c>
      <c r="E43" s="26">
        <v>17765</v>
      </c>
      <c r="F43" s="27">
        <v>256.33999999999997</v>
      </c>
      <c r="G43" s="28">
        <v>1.21E-2</v>
      </c>
      <c r="H43" s="29"/>
    </row>
    <row r="44" spans="2:8" ht="15.75" customHeight="1" x14ac:dyDescent="0.2">
      <c r="B44" s="25" t="s">
        <v>447</v>
      </c>
      <c r="C44" s="25" t="s">
        <v>448</v>
      </c>
      <c r="D44" s="25" t="s">
        <v>237</v>
      </c>
      <c r="E44" s="26">
        <v>30403</v>
      </c>
      <c r="F44" s="27">
        <v>256.10000000000002</v>
      </c>
      <c r="G44" s="28">
        <v>1.21E-2</v>
      </c>
      <c r="H44" s="29"/>
    </row>
    <row r="45" spans="2:8" ht="15.75" customHeight="1" x14ac:dyDescent="0.2">
      <c r="B45" s="25" t="s">
        <v>673</v>
      </c>
      <c r="C45" s="25" t="s">
        <v>674</v>
      </c>
      <c r="D45" s="25" t="s">
        <v>174</v>
      </c>
      <c r="E45" s="26">
        <v>57637</v>
      </c>
      <c r="F45" s="27">
        <v>246.31</v>
      </c>
      <c r="G45" s="28">
        <v>1.1599999999999999E-2</v>
      </c>
      <c r="H45" s="29"/>
    </row>
    <row r="46" spans="2:8" ht="15.75" customHeight="1" x14ac:dyDescent="0.2">
      <c r="B46" s="25" t="s">
        <v>401</v>
      </c>
      <c r="C46" s="25" t="s">
        <v>402</v>
      </c>
      <c r="D46" s="25" t="s">
        <v>237</v>
      </c>
      <c r="E46" s="26">
        <v>54706</v>
      </c>
      <c r="F46" s="27">
        <v>241.2</v>
      </c>
      <c r="G46" s="28">
        <v>1.14E-2</v>
      </c>
      <c r="H46" s="29"/>
    </row>
    <row r="47" spans="2:8" ht="15.75" customHeight="1" x14ac:dyDescent="0.2">
      <c r="B47" s="25" t="s">
        <v>675</v>
      </c>
      <c r="C47" s="25" t="s">
        <v>676</v>
      </c>
      <c r="D47" s="25" t="s">
        <v>222</v>
      </c>
      <c r="E47" s="26">
        <v>7341</v>
      </c>
      <c r="F47" s="27">
        <v>221.78</v>
      </c>
      <c r="G47" s="28">
        <v>1.0500000000000001E-2</v>
      </c>
      <c r="H47" s="29"/>
    </row>
    <row r="48" spans="2:8" ht="15.75" customHeight="1" x14ac:dyDescent="0.2">
      <c r="B48" s="25" t="s">
        <v>581</v>
      </c>
      <c r="C48" s="25" t="s">
        <v>582</v>
      </c>
      <c r="D48" s="25" t="s">
        <v>206</v>
      </c>
      <c r="E48" s="26">
        <v>88976</v>
      </c>
      <c r="F48" s="27">
        <v>216.83</v>
      </c>
      <c r="G48" s="28">
        <v>1.0200000000000001E-2</v>
      </c>
      <c r="H48" s="29"/>
    </row>
    <row r="49" spans="2:8" ht="15.75" customHeight="1" x14ac:dyDescent="0.2">
      <c r="B49" s="25" t="s">
        <v>506</v>
      </c>
      <c r="C49" s="25" t="s">
        <v>507</v>
      </c>
      <c r="D49" s="25" t="s">
        <v>203</v>
      </c>
      <c r="E49" s="26">
        <v>126664</v>
      </c>
      <c r="F49" s="27">
        <v>215.46</v>
      </c>
      <c r="G49" s="28">
        <v>1.0200000000000001E-2</v>
      </c>
      <c r="H49" s="29"/>
    </row>
    <row r="50" spans="2:8" ht="15.75" customHeight="1" x14ac:dyDescent="0.2">
      <c r="B50" s="25" t="s">
        <v>321</v>
      </c>
      <c r="C50" s="25" t="s">
        <v>322</v>
      </c>
      <c r="D50" s="25" t="s">
        <v>209</v>
      </c>
      <c r="E50" s="26">
        <v>46930</v>
      </c>
      <c r="F50" s="27">
        <v>214.7</v>
      </c>
      <c r="G50" s="28">
        <v>1.01E-2</v>
      </c>
      <c r="H50" s="29"/>
    </row>
    <row r="51" spans="2:8" ht="15.75" customHeight="1" x14ac:dyDescent="0.2">
      <c r="B51" s="25" t="s">
        <v>457</v>
      </c>
      <c r="C51" s="25" t="s">
        <v>458</v>
      </c>
      <c r="D51" s="25" t="s">
        <v>333</v>
      </c>
      <c r="E51" s="26">
        <v>10404</v>
      </c>
      <c r="F51" s="27">
        <v>210.72</v>
      </c>
      <c r="G51" s="28">
        <v>9.9000000000000008E-3</v>
      </c>
      <c r="H51" s="29"/>
    </row>
    <row r="52" spans="2:8" ht="15.75" customHeight="1" x14ac:dyDescent="0.2">
      <c r="B52" s="25" t="s">
        <v>677</v>
      </c>
      <c r="C52" s="25" t="s">
        <v>678</v>
      </c>
      <c r="D52" s="25" t="s">
        <v>309</v>
      </c>
      <c r="E52" s="26">
        <v>7561</v>
      </c>
      <c r="F52" s="27">
        <v>205.78</v>
      </c>
      <c r="G52" s="28">
        <v>9.7000000000000003E-3</v>
      </c>
      <c r="H52" s="29"/>
    </row>
    <row r="53" spans="2:8" ht="15.75" customHeight="1" x14ac:dyDescent="0.2">
      <c r="B53" s="25" t="s">
        <v>679</v>
      </c>
      <c r="C53" s="25" t="s">
        <v>680</v>
      </c>
      <c r="D53" s="25" t="s">
        <v>222</v>
      </c>
      <c r="E53" s="26">
        <v>7925</v>
      </c>
      <c r="F53" s="27">
        <v>200.99</v>
      </c>
      <c r="G53" s="28">
        <v>9.4999999999999998E-3</v>
      </c>
      <c r="H53" s="29"/>
    </row>
    <row r="54" spans="2:8" ht="15.75" customHeight="1" x14ac:dyDescent="0.2">
      <c r="B54" s="25" t="s">
        <v>314</v>
      </c>
      <c r="C54" s="25" t="s">
        <v>315</v>
      </c>
      <c r="D54" s="25" t="s">
        <v>130</v>
      </c>
      <c r="E54" s="26">
        <v>246041</v>
      </c>
      <c r="F54" s="27">
        <v>199.42</v>
      </c>
      <c r="G54" s="28">
        <v>9.4000000000000004E-3</v>
      </c>
      <c r="H54" s="29"/>
    </row>
    <row r="55" spans="2:8" ht="15.75" customHeight="1" x14ac:dyDescent="0.2">
      <c r="B55" s="25" t="s">
        <v>681</v>
      </c>
      <c r="C55" s="25" t="s">
        <v>682</v>
      </c>
      <c r="D55" s="25" t="s">
        <v>285</v>
      </c>
      <c r="E55" s="26">
        <v>11737</v>
      </c>
      <c r="F55" s="27">
        <v>192.68</v>
      </c>
      <c r="G55" s="28">
        <v>9.1000000000000004E-3</v>
      </c>
      <c r="H55" s="29"/>
    </row>
    <row r="56" spans="2:8" ht="15.75" customHeight="1" x14ac:dyDescent="0.2">
      <c r="B56" s="25" t="s">
        <v>683</v>
      </c>
      <c r="C56" s="25" t="s">
        <v>684</v>
      </c>
      <c r="D56" s="25" t="s">
        <v>206</v>
      </c>
      <c r="E56" s="26">
        <v>17802</v>
      </c>
      <c r="F56" s="27">
        <v>184.43</v>
      </c>
      <c r="G56" s="28">
        <v>8.6999999999999994E-3</v>
      </c>
      <c r="H56" s="29"/>
    </row>
    <row r="57" spans="2:8" ht="15.75" customHeight="1" x14ac:dyDescent="0.2">
      <c r="B57" s="25" t="s">
        <v>459</v>
      </c>
      <c r="C57" s="25" t="s">
        <v>460</v>
      </c>
      <c r="D57" s="25" t="s">
        <v>206</v>
      </c>
      <c r="E57" s="26">
        <v>43234</v>
      </c>
      <c r="F57" s="27">
        <v>175.18</v>
      </c>
      <c r="G57" s="28">
        <v>8.3000000000000001E-3</v>
      </c>
      <c r="H57" s="29"/>
    </row>
    <row r="58" spans="2:8" ht="15.75" customHeight="1" x14ac:dyDescent="0.2">
      <c r="B58" s="25" t="s">
        <v>685</v>
      </c>
      <c r="C58" s="25" t="s">
        <v>686</v>
      </c>
      <c r="D58" s="25" t="s">
        <v>222</v>
      </c>
      <c r="E58" s="26">
        <v>7728</v>
      </c>
      <c r="F58" s="27">
        <v>171.01</v>
      </c>
      <c r="G58" s="28">
        <v>8.0999999999999996E-3</v>
      </c>
      <c r="H58" s="29"/>
    </row>
    <row r="59" spans="2:8" ht="15.75" customHeight="1" x14ac:dyDescent="0.2">
      <c r="B59" s="25" t="s">
        <v>356</v>
      </c>
      <c r="C59" s="25" t="s">
        <v>357</v>
      </c>
      <c r="D59" s="25" t="s">
        <v>355</v>
      </c>
      <c r="E59" s="26">
        <v>13646</v>
      </c>
      <c r="F59" s="27">
        <v>165.16</v>
      </c>
      <c r="G59" s="28">
        <v>7.7999999999999996E-3</v>
      </c>
      <c r="H59" s="29"/>
    </row>
    <row r="60" spans="2:8" ht="15.75" customHeight="1" x14ac:dyDescent="0.2">
      <c r="B60" s="25" t="s">
        <v>687</v>
      </c>
      <c r="C60" s="25" t="s">
        <v>688</v>
      </c>
      <c r="D60" s="25" t="s">
        <v>444</v>
      </c>
      <c r="E60" s="26">
        <v>25471</v>
      </c>
      <c r="F60" s="27">
        <v>155.69999999999999</v>
      </c>
      <c r="G60" s="28">
        <v>7.3000000000000001E-3</v>
      </c>
      <c r="H60" s="29"/>
    </row>
    <row r="61" spans="2:8" ht="15.75" customHeight="1" x14ac:dyDescent="0.2">
      <c r="B61" s="25" t="s">
        <v>487</v>
      </c>
      <c r="C61" s="25" t="s">
        <v>488</v>
      </c>
      <c r="D61" s="25" t="s">
        <v>225</v>
      </c>
      <c r="E61" s="26">
        <v>63669</v>
      </c>
      <c r="F61" s="27">
        <v>149.4</v>
      </c>
      <c r="G61" s="28">
        <v>7.0000000000000001E-3</v>
      </c>
      <c r="H61" s="29"/>
    </row>
    <row r="62" spans="2:8" ht="15.75" customHeight="1" x14ac:dyDescent="0.2">
      <c r="B62" s="25" t="s">
        <v>612</v>
      </c>
      <c r="C62" s="25" t="s">
        <v>613</v>
      </c>
      <c r="D62" s="25" t="s">
        <v>294</v>
      </c>
      <c r="E62" s="26">
        <v>10375</v>
      </c>
      <c r="F62" s="27">
        <v>135.08000000000001</v>
      </c>
      <c r="G62" s="28">
        <v>6.4000000000000003E-3</v>
      </c>
      <c r="H62" s="29"/>
    </row>
    <row r="63" spans="2:8" ht="15.75" customHeight="1" x14ac:dyDescent="0.2">
      <c r="B63" s="25" t="s">
        <v>689</v>
      </c>
      <c r="C63" s="25" t="s">
        <v>690</v>
      </c>
      <c r="D63" s="25" t="s">
        <v>309</v>
      </c>
      <c r="E63" s="26">
        <v>10404</v>
      </c>
      <c r="F63" s="27">
        <v>123.87</v>
      </c>
      <c r="G63" s="28">
        <v>5.7999999999999996E-3</v>
      </c>
      <c r="H63" s="29"/>
    </row>
    <row r="64" spans="2:8" ht="15.75" customHeight="1" x14ac:dyDescent="0.2">
      <c r="B64" s="25" t="s">
        <v>691</v>
      </c>
      <c r="C64" s="25" t="s">
        <v>692</v>
      </c>
      <c r="D64" s="25" t="s">
        <v>476</v>
      </c>
      <c r="E64" s="26">
        <v>18508</v>
      </c>
      <c r="F64" s="27">
        <v>103.59</v>
      </c>
      <c r="G64" s="28">
        <v>4.8999999999999998E-3</v>
      </c>
      <c r="H64" s="29"/>
    </row>
    <row r="65" spans="2:16" ht="15.75" customHeight="1" x14ac:dyDescent="0.2">
      <c r="B65" s="25" t="s">
        <v>353</v>
      </c>
      <c r="C65" s="25" t="s">
        <v>354</v>
      </c>
      <c r="D65" s="25" t="s">
        <v>355</v>
      </c>
      <c r="E65" s="26">
        <v>9262</v>
      </c>
      <c r="F65" s="27">
        <v>84.41</v>
      </c>
      <c r="G65" s="28">
        <v>4.0000000000000001E-3</v>
      </c>
      <c r="H65" s="29"/>
    </row>
    <row r="66" spans="2:16" ht="15.75" customHeight="1" x14ac:dyDescent="0.2">
      <c r="B66" s="25" t="s">
        <v>331</v>
      </c>
      <c r="C66" s="25" t="s">
        <v>332</v>
      </c>
      <c r="D66" s="25" t="s">
        <v>333</v>
      </c>
      <c r="E66" s="26">
        <v>6636</v>
      </c>
      <c r="F66" s="27">
        <v>73.28</v>
      </c>
      <c r="G66" s="28">
        <v>3.5000000000000001E-3</v>
      </c>
      <c r="H66" s="29"/>
    </row>
    <row r="67" spans="2:16" ht="15.75" customHeight="1" x14ac:dyDescent="0.2">
      <c r="B67" s="25" t="s">
        <v>323</v>
      </c>
      <c r="C67" s="25" t="s">
        <v>324</v>
      </c>
      <c r="D67" s="25" t="s">
        <v>130</v>
      </c>
      <c r="E67" s="26">
        <v>10946</v>
      </c>
      <c r="F67" s="27">
        <v>14.79</v>
      </c>
      <c r="G67" s="28">
        <v>6.9999999999999999E-4</v>
      </c>
      <c r="H67" s="29"/>
    </row>
    <row r="68" spans="2:16" ht="15.75" customHeight="1" x14ac:dyDescent="0.2">
      <c r="B68" s="24" t="s">
        <v>98</v>
      </c>
      <c r="C68" s="24"/>
      <c r="D68" s="24"/>
      <c r="E68" s="30"/>
      <c r="F68" s="31">
        <v>20502.2</v>
      </c>
      <c r="G68" s="32">
        <v>0.96640000000000004</v>
      </c>
      <c r="H68" s="33"/>
      <c r="L68" s="3"/>
    </row>
    <row r="69" spans="2:16" ht="15.75" customHeight="1" x14ac:dyDescent="0.2">
      <c r="B69" s="24" t="s">
        <v>150</v>
      </c>
      <c r="C69" s="25"/>
      <c r="D69" s="25"/>
      <c r="E69" s="26"/>
      <c r="F69" s="27"/>
      <c r="G69" s="28"/>
      <c r="H69" s="29"/>
    </row>
    <row r="70" spans="2:16" ht="15.75" customHeight="1" x14ac:dyDescent="0.2">
      <c r="B70" s="24" t="s">
        <v>98</v>
      </c>
      <c r="C70" s="25"/>
      <c r="D70" s="25"/>
      <c r="E70" s="26"/>
      <c r="F70" s="34" t="s">
        <v>100</v>
      </c>
      <c r="G70" s="35" t="s">
        <v>100</v>
      </c>
      <c r="H70" s="29"/>
      <c r="L70" s="3"/>
    </row>
    <row r="71" spans="2:16" ht="15.75" customHeight="1" x14ac:dyDescent="0.2">
      <c r="B71" s="25"/>
      <c r="C71" s="25"/>
      <c r="D71" s="25"/>
      <c r="E71" s="26"/>
      <c r="F71" s="27"/>
      <c r="G71" s="28"/>
      <c r="H71" s="29"/>
      <c r="L71" s="3"/>
    </row>
    <row r="72" spans="2:16" ht="15.75" customHeight="1" x14ac:dyDescent="0.2">
      <c r="B72" s="36" t="s">
        <v>102</v>
      </c>
      <c r="C72" s="36"/>
      <c r="D72" s="36"/>
      <c r="E72" s="37"/>
      <c r="F72" s="31">
        <v>20502.2</v>
      </c>
      <c r="G72" s="32">
        <v>0.96640000000000004</v>
      </c>
      <c r="H72" s="33"/>
      <c r="L72" s="3"/>
    </row>
    <row r="73" spans="2:16" ht="15.75" customHeight="1" x14ac:dyDescent="0.2">
      <c r="B73" s="25"/>
      <c r="C73" s="25"/>
      <c r="D73" s="25"/>
      <c r="E73" s="26"/>
      <c r="F73" s="27"/>
      <c r="G73" s="28"/>
      <c r="H73" s="29"/>
      <c r="L73" s="3"/>
    </row>
    <row r="74" spans="2:16" ht="15.75" customHeight="1" x14ac:dyDescent="0.2">
      <c r="B74" s="25"/>
      <c r="C74" s="25"/>
      <c r="D74" s="25"/>
      <c r="E74" s="26"/>
      <c r="F74" s="27"/>
      <c r="G74" s="28"/>
      <c r="H74" s="29"/>
      <c r="L74" s="3"/>
    </row>
    <row r="75" spans="2:16" ht="15.75" customHeight="1" x14ac:dyDescent="0.2">
      <c r="B75" s="24" t="s">
        <v>105</v>
      </c>
      <c r="C75" s="25"/>
      <c r="D75" s="25"/>
      <c r="E75" s="26"/>
      <c r="F75" s="27"/>
      <c r="G75" s="28"/>
      <c r="H75" s="29"/>
      <c r="L75" s="5"/>
      <c r="M75" s="5"/>
      <c r="N75" s="6"/>
      <c r="O75" s="6"/>
      <c r="P75" s="5"/>
    </row>
    <row r="76" spans="2:16" ht="15.75" customHeight="1" x14ac:dyDescent="0.2">
      <c r="B76" s="25" t="s">
        <v>106</v>
      </c>
      <c r="C76" s="25"/>
      <c r="D76" s="25"/>
      <c r="E76" s="26"/>
      <c r="F76" s="27">
        <v>764.51</v>
      </c>
      <c r="G76" s="28">
        <v>3.5999999999999997E-2</v>
      </c>
      <c r="H76" s="29"/>
    </row>
    <row r="77" spans="2:16" ht="15.75" customHeight="1" x14ac:dyDescent="0.2">
      <c r="B77" s="24" t="s">
        <v>98</v>
      </c>
      <c r="C77" s="24"/>
      <c r="D77" s="24"/>
      <c r="E77" s="30"/>
      <c r="F77" s="31">
        <v>764.51</v>
      </c>
      <c r="G77" s="32">
        <v>3.5999999999999997E-2</v>
      </c>
      <c r="H77" s="33"/>
    </row>
    <row r="78" spans="2:16" ht="15.75" customHeight="1" x14ac:dyDescent="0.2">
      <c r="B78" s="25"/>
      <c r="C78" s="25"/>
      <c r="D78" s="25"/>
      <c r="E78" s="26"/>
      <c r="F78" s="27"/>
      <c r="G78" s="28"/>
      <c r="H78" s="29"/>
      <c r="L78" s="7"/>
      <c r="M78" s="7"/>
      <c r="N78" s="7"/>
      <c r="O78" s="7"/>
      <c r="P78" s="7"/>
    </row>
    <row r="79" spans="2:16" ht="15.75" customHeight="1" x14ac:dyDescent="0.2">
      <c r="B79" s="36" t="s">
        <v>102</v>
      </c>
      <c r="C79" s="36"/>
      <c r="D79" s="36"/>
      <c r="E79" s="37"/>
      <c r="F79" s="31">
        <v>764.51</v>
      </c>
      <c r="G79" s="32">
        <v>3.5999999999999997E-2</v>
      </c>
      <c r="H79" s="33"/>
      <c r="L79" s="7"/>
      <c r="M79" s="7"/>
      <c r="N79" s="7"/>
      <c r="O79" s="7"/>
      <c r="P79" s="7"/>
    </row>
    <row r="80" spans="2:16" ht="15.75" customHeight="1" x14ac:dyDescent="0.2">
      <c r="B80" s="25" t="s">
        <v>107</v>
      </c>
      <c r="C80" s="25"/>
      <c r="D80" s="25"/>
      <c r="E80" s="26"/>
      <c r="F80" s="38">
        <v>-52.35</v>
      </c>
      <c r="G80" s="39">
        <v>-2.3999999999999577E-3</v>
      </c>
      <c r="H80" s="29"/>
      <c r="L80" s="7"/>
      <c r="M80" s="7"/>
      <c r="N80" s="7"/>
      <c r="O80" s="7"/>
      <c r="P80" s="7"/>
    </row>
    <row r="81" spans="2:16" ht="15.75" customHeight="1" x14ac:dyDescent="0.2">
      <c r="B81" s="40" t="s">
        <v>108</v>
      </c>
      <c r="C81" s="40"/>
      <c r="D81" s="40"/>
      <c r="E81" s="41"/>
      <c r="F81" s="42">
        <v>21214.36</v>
      </c>
      <c r="G81" s="43">
        <v>1</v>
      </c>
      <c r="H81" s="44"/>
      <c r="L81" s="7"/>
      <c r="M81" s="7"/>
      <c r="N81" s="7"/>
      <c r="O81" s="7"/>
      <c r="P81" s="7"/>
    </row>
    <row r="82" spans="2:16" ht="15.75" customHeight="1" thickBot="1" x14ac:dyDescent="0.25">
      <c r="B82" s="2"/>
      <c r="L82" s="7"/>
      <c r="M82" s="7"/>
      <c r="N82" s="7"/>
      <c r="O82" s="7"/>
      <c r="P82" s="7"/>
    </row>
    <row r="83" spans="2:16" ht="27" customHeight="1" thickBot="1" x14ac:dyDescent="0.25">
      <c r="B83" s="57" t="s">
        <v>925</v>
      </c>
      <c r="C83" s="58" t="s">
        <v>926</v>
      </c>
      <c r="D83" s="58" t="s">
        <v>927</v>
      </c>
      <c r="E83" s="63" t="s">
        <v>928</v>
      </c>
      <c r="G83" s="2"/>
      <c r="H83" s="2"/>
    </row>
    <row r="84" spans="2:16" ht="29.25" customHeight="1" x14ac:dyDescent="0.2">
      <c r="B84" s="64" t="s">
        <v>975</v>
      </c>
      <c r="C84" s="82"/>
      <c r="D84" s="85" t="s">
        <v>976</v>
      </c>
      <c r="E84" s="87"/>
      <c r="G84" s="2"/>
      <c r="H84" s="2"/>
    </row>
    <row r="85" spans="2:16" ht="39.950000000000003" customHeight="1" x14ac:dyDescent="0.2">
      <c r="B85" s="66" t="s">
        <v>958</v>
      </c>
      <c r="C85" s="83"/>
      <c r="D85" s="86"/>
      <c r="E85" s="83"/>
      <c r="G85" s="2"/>
      <c r="H85" s="2"/>
    </row>
    <row r="86" spans="2:16" ht="39.950000000000003" customHeight="1" x14ac:dyDescent="0.2">
      <c r="B86" s="66" t="s">
        <v>977</v>
      </c>
      <c r="C86" s="83"/>
      <c r="D86" s="86"/>
      <c r="E86" s="83"/>
      <c r="G86" s="2"/>
      <c r="H86" s="2"/>
    </row>
    <row r="87" spans="2:16" ht="23.25" customHeight="1" thickBot="1" x14ac:dyDescent="0.25">
      <c r="B87" s="68" t="s">
        <v>943</v>
      </c>
      <c r="C87" s="84"/>
      <c r="D87" s="71" t="s">
        <v>943</v>
      </c>
      <c r="E87" s="88"/>
      <c r="G87" s="2"/>
      <c r="H87" s="2"/>
    </row>
    <row r="88" spans="2:16" ht="24.95" customHeight="1" x14ac:dyDescent="0.2">
      <c r="B88" s="59" t="s">
        <v>929</v>
      </c>
      <c r="C88" s="60"/>
      <c r="D88" s="61"/>
      <c r="E88" s="62"/>
      <c r="G88" s="2"/>
      <c r="H88" s="2"/>
    </row>
    <row r="90" spans="2:16" ht="12" x14ac:dyDescent="0.2">
      <c r="B90" s="2" t="s">
        <v>930</v>
      </c>
      <c r="C90" s="2"/>
      <c r="D90" s="2"/>
      <c r="G90" s="2"/>
      <c r="H90" s="2"/>
    </row>
    <row r="91" spans="2:16" ht="12" x14ac:dyDescent="0.2">
      <c r="B91" s="3" t="s">
        <v>931</v>
      </c>
      <c r="C91" s="2"/>
      <c r="D91" s="2"/>
      <c r="G91" s="2"/>
      <c r="H91" s="2"/>
    </row>
  </sheetData>
  <mergeCells count="3">
    <mergeCell ref="C84:C87"/>
    <mergeCell ref="D84:D86"/>
    <mergeCell ref="E84:E87"/>
  </mergeCells>
  <hyperlinks>
    <hyperlink ref="I1" location="'Sheet1'!A1" display="Index" xr:uid="{3489E9CA-14E6-4421-9D74-C0FC086958D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DF1B-4943-4756-8E95-4ADBD5DEEE7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42578125" style="9" customWidth="1"/>
    <col min="4" max="4" width="26.5703125" style="9" customWidth="1"/>
    <col min="5" max="5" width="27.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978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214</v>
      </c>
      <c r="C7" s="25" t="s">
        <v>215</v>
      </c>
      <c r="D7" s="25" t="s">
        <v>130</v>
      </c>
      <c r="E7" s="26">
        <v>64479</v>
      </c>
      <c r="F7" s="27">
        <v>1089.3399999999999</v>
      </c>
      <c r="G7" s="28">
        <v>8.3599999999999994E-2</v>
      </c>
      <c r="H7" s="29"/>
    </row>
    <row r="8" spans="2:9" ht="15.75" customHeight="1" x14ac:dyDescent="0.2">
      <c r="B8" s="25" t="s">
        <v>134</v>
      </c>
      <c r="C8" s="25" t="s">
        <v>135</v>
      </c>
      <c r="D8" s="25" t="s">
        <v>130</v>
      </c>
      <c r="E8" s="26">
        <v>76335</v>
      </c>
      <c r="F8" s="27">
        <v>1071.29</v>
      </c>
      <c r="G8" s="28">
        <v>8.2199999999999995E-2</v>
      </c>
      <c r="H8" s="29"/>
    </row>
    <row r="9" spans="2:9" ht="15.75" customHeight="1" x14ac:dyDescent="0.2">
      <c r="B9" s="25" t="s">
        <v>210</v>
      </c>
      <c r="C9" s="25" t="s">
        <v>211</v>
      </c>
      <c r="D9" s="25" t="s">
        <v>141</v>
      </c>
      <c r="E9" s="26">
        <v>245215</v>
      </c>
      <c r="F9" s="27">
        <v>996.31</v>
      </c>
      <c r="G9" s="28">
        <v>7.6399999999999996E-2</v>
      </c>
      <c r="H9" s="29"/>
    </row>
    <row r="10" spans="2:9" ht="15.75" customHeight="1" x14ac:dyDescent="0.2">
      <c r="B10" s="25" t="s">
        <v>139</v>
      </c>
      <c r="C10" s="25" t="s">
        <v>140</v>
      </c>
      <c r="D10" s="25" t="s">
        <v>141</v>
      </c>
      <c r="E10" s="26">
        <v>30488</v>
      </c>
      <c r="F10" s="27">
        <v>735.46</v>
      </c>
      <c r="G10" s="28">
        <v>5.6399999999999999E-2</v>
      </c>
      <c r="H10" s="29"/>
    </row>
    <row r="11" spans="2:9" ht="15.75" customHeight="1" x14ac:dyDescent="0.2">
      <c r="B11" s="25" t="s">
        <v>247</v>
      </c>
      <c r="C11" s="25" t="s">
        <v>248</v>
      </c>
      <c r="D11" s="25" t="s">
        <v>237</v>
      </c>
      <c r="E11" s="26">
        <v>605822</v>
      </c>
      <c r="F11" s="27">
        <v>722.14</v>
      </c>
      <c r="G11" s="28">
        <v>5.5399999999999998E-2</v>
      </c>
      <c r="H11" s="29"/>
    </row>
    <row r="12" spans="2:9" ht="15.75" customHeight="1" x14ac:dyDescent="0.2">
      <c r="B12" s="25" t="s">
        <v>243</v>
      </c>
      <c r="C12" s="25" t="s">
        <v>244</v>
      </c>
      <c r="D12" s="25" t="s">
        <v>133</v>
      </c>
      <c r="E12" s="26">
        <v>55565</v>
      </c>
      <c r="F12" s="27">
        <v>707.81</v>
      </c>
      <c r="G12" s="28">
        <v>5.4300000000000001E-2</v>
      </c>
      <c r="H12" s="29"/>
    </row>
    <row r="13" spans="2:9" ht="15.75" customHeight="1" x14ac:dyDescent="0.2">
      <c r="B13" s="25" t="s">
        <v>220</v>
      </c>
      <c r="C13" s="25" t="s">
        <v>221</v>
      </c>
      <c r="D13" s="25" t="s">
        <v>222</v>
      </c>
      <c r="E13" s="26">
        <v>22183</v>
      </c>
      <c r="F13" s="27">
        <v>606.92999999999995</v>
      </c>
      <c r="G13" s="28">
        <v>4.6600000000000003E-2</v>
      </c>
      <c r="H13" s="29"/>
    </row>
    <row r="14" spans="2:9" ht="15.75" customHeight="1" x14ac:dyDescent="0.2">
      <c r="B14" s="25" t="s">
        <v>266</v>
      </c>
      <c r="C14" s="25" t="s">
        <v>267</v>
      </c>
      <c r="D14" s="25" t="s">
        <v>130</v>
      </c>
      <c r="E14" s="26">
        <v>74353</v>
      </c>
      <c r="F14" s="27">
        <v>556.23</v>
      </c>
      <c r="G14" s="28">
        <v>4.2700000000000002E-2</v>
      </c>
      <c r="H14" s="29"/>
    </row>
    <row r="15" spans="2:9" ht="15.75" customHeight="1" x14ac:dyDescent="0.2">
      <c r="B15" s="25" t="s">
        <v>493</v>
      </c>
      <c r="C15" s="25" t="s">
        <v>494</v>
      </c>
      <c r="D15" s="25" t="s">
        <v>362</v>
      </c>
      <c r="E15" s="26">
        <v>135133</v>
      </c>
      <c r="F15" s="27">
        <v>545.87</v>
      </c>
      <c r="G15" s="28">
        <v>4.19E-2</v>
      </c>
      <c r="H15" s="29"/>
    </row>
    <row r="16" spans="2:9" ht="15.75" customHeight="1" x14ac:dyDescent="0.2">
      <c r="B16" s="25" t="s">
        <v>128</v>
      </c>
      <c r="C16" s="25" t="s">
        <v>129</v>
      </c>
      <c r="D16" s="25" t="s">
        <v>130</v>
      </c>
      <c r="E16" s="26">
        <v>47618</v>
      </c>
      <c r="F16" s="27">
        <v>501.04</v>
      </c>
      <c r="G16" s="28">
        <v>3.8399999999999997E-2</v>
      </c>
      <c r="H16" s="29"/>
    </row>
    <row r="17" spans="2:8" ht="15.75" customHeight="1" x14ac:dyDescent="0.2">
      <c r="B17" s="25" t="s">
        <v>255</v>
      </c>
      <c r="C17" s="25" t="s">
        <v>256</v>
      </c>
      <c r="D17" s="25" t="s">
        <v>179</v>
      </c>
      <c r="E17" s="26">
        <v>45162</v>
      </c>
      <c r="F17" s="27">
        <v>413.12</v>
      </c>
      <c r="G17" s="28">
        <v>3.1699999999999999E-2</v>
      </c>
      <c r="H17" s="29"/>
    </row>
    <row r="18" spans="2:8" ht="15.75" customHeight="1" x14ac:dyDescent="0.2">
      <c r="B18" s="25" t="s">
        <v>270</v>
      </c>
      <c r="C18" s="25" t="s">
        <v>271</v>
      </c>
      <c r="D18" s="25" t="s">
        <v>133</v>
      </c>
      <c r="E18" s="26">
        <v>24605</v>
      </c>
      <c r="F18" s="27">
        <v>409.39</v>
      </c>
      <c r="G18" s="28">
        <v>3.1399999999999997E-2</v>
      </c>
      <c r="H18" s="29"/>
    </row>
    <row r="19" spans="2:8" ht="15.75" customHeight="1" x14ac:dyDescent="0.2">
      <c r="B19" s="25" t="s">
        <v>177</v>
      </c>
      <c r="C19" s="25" t="s">
        <v>178</v>
      </c>
      <c r="D19" s="25" t="s">
        <v>179</v>
      </c>
      <c r="E19" s="26">
        <v>5658</v>
      </c>
      <c r="F19" s="27">
        <v>367.51</v>
      </c>
      <c r="G19" s="28">
        <v>2.8199999999999999E-2</v>
      </c>
      <c r="H19" s="29"/>
    </row>
    <row r="20" spans="2:8" ht="15.75" customHeight="1" x14ac:dyDescent="0.2">
      <c r="B20" s="25" t="s">
        <v>305</v>
      </c>
      <c r="C20" s="25" t="s">
        <v>306</v>
      </c>
      <c r="D20" s="25" t="s">
        <v>206</v>
      </c>
      <c r="E20" s="26">
        <v>124555</v>
      </c>
      <c r="F20" s="27">
        <v>362.46</v>
      </c>
      <c r="G20" s="28">
        <v>2.7799999999999998E-2</v>
      </c>
      <c r="H20" s="29"/>
    </row>
    <row r="21" spans="2:8" ht="15.75" customHeight="1" x14ac:dyDescent="0.2">
      <c r="B21" s="25" t="s">
        <v>223</v>
      </c>
      <c r="C21" s="25" t="s">
        <v>224</v>
      </c>
      <c r="D21" s="25" t="s">
        <v>225</v>
      </c>
      <c r="E21" s="26">
        <v>28002</v>
      </c>
      <c r="F21" s="27">
        <v>352.18</v>
      </c>
      <c r="G21" s="28">
        <v>2.7E-2</v>
      </c>
      <c r="H21" s="29"/>
    </row>
    <row r="22" spans="2:8" ht="15.75" customHeight="1" x14ac:dyDescent="0.2">
      <c r="B22" s="25" t="s">
        <v>318</v>
      </c>
      <c r="C22" s="25" t="s">
        <v>319</v>
      </c>
      <c r="D22" s="25" t="s">
        <v>320</v>
      </c>
      <c r="E22" s="26">
        <v>9357</v>
      </c>
      <c r="F22" s="27">
        <v>343.65</v>
      </c>
      <c r="G22" s="28">
        <v>2.64E-2</v>
      </c>
      <c r="H22" s="29"/>
    </row>
    <row r="23" spans="2:8" ht="15.75" customHeight="1" x14ac:dyDescent="0.2">
      <c r="B23" s="25" t="s">
        <v>621</v>
      </c>
      <c r="C23" s="25" t="s">
        <v>622</v>
      </c>
      <c r="D23" s="25" t="s">
        <v>206</v>
      </c>
      <c r="E23" s="26">
        <v>55835</v>
      </c>
      <c r="F23" s="27">
        <v>338.75</v>
      </c>
      <c r="G23" s="28">
        <v>2.5999999999999999E-2</v>
      </c>
      <c r="H23" s="29"/>
    </row>
    <row r="24" spans="2:8" ht="15.75" customHeight="1" x14ac:dyDescent="0.2">
      <c r="B24" s="25" t="s">
        <v>506</v>
      </c>
      <c r="C24" s="25" t="s">
        <v>507</v>
      </c>
      <c r="D24" s="25" t="s">
        <v>203</v>
      </c>
      <c r="E24" s="26">
        <v>189999</v>
      </c>
      <c r="F24" s="27">
        <v>323.19</v>
      </c>
      <c r="G24" s="28">
        <v>2.4799999999999999E-2</v>
      </c>
      <c r="H24" s="29"/>
    </row>
    <row r="25" spans="2:8" ht="15.75" customHeight="1" x14ac:dyDescent="0.2">
      <c r="B25" s="25" t="s">
        <v>278</v>
      </c>
      <c r="C25" s="25" t="s">
        <v>279</v>
      </c>
      <c r="D25" s="25" t="s">
        <v>222</v>
      </c>
      <c r="E25" s="26">
        <v>12384</v>
      </c>
      <c r="F25" s="27">
        <v>295.93</v>
      </c>
      <c r="G25" s="28">
        <v>2.2700000000000001E-2</v>
      </c>
      <c r="H25" s="29"/>
    </row>
    <row r="26" spans="2:8" ht="15.75" customHeight="1" x14ac:dyDescent="0.2">
      <c r="B26" s="25" t="s">
        <v>280</v>
      </c>
      <c r="C26" s="25" t="s">
        <v>281</v>
      </c>
      <c r="D26" s="25" t="s">
        <v>282</v>
      </c>
      <c r="E26" s="26">
        <v>44917</v>
      </c>
      <c r="F26" s="27">
        <v>261.42</v>
      </c>
      <c r="G26" s="28">
        <v>2.01E-2</v>
      </c>
      <c r="H26" s="29"/>
    </row>
    <row r="27" spans="2:8" ht="15.75" customHeight="1" x14ac:dyDescent="0.2">
      <c r="B27" s="25" t="s">
        <v>459</v>
      </c>
      <c r="C27" s="25" t="s">
        <v>460</v>
      </c>
      <c r="D27" s="25" t="s">
        <v>206</v>
      </c>
      <c r="E27" s="26">
        <v>62724</v>
      </c>
      <c r="F27" s="27">
        <v>254.16</v>
      </c>
      <c r="G27" s="28">
        <v>1.95E-2</v>
      </c>
      <c r="H27" s="29"/>
    </row>
    <row r="28" spans="2:8" ht="15.75" customHeight="1" x14ac:dyDescent="0.2">
      <c r="B28" s="25" t="s">
        <v>251</v>
      </c>
      <c r="C28" s="25" t="s">
        <v>252</v>
      </c>
      <c r="D28" s="25" t="s">
        <v>179</v>
      </c>
      <c r="E28" s="26">
        <v>15658</v>
      </c>
      <c r="F28" s="27">
        <v>249.56</v>
      </c>
      <c r="G28" s="28">
        <v>1.9099999999999999E-2</v>
      </c>
      <c r="H28" s="29"/>
    </row>
    <row r="29" spans="2:8" ht="15.75" customHeight="1" x14ac:dyDescent="0.2">
      <c r="B29" s="25" t="s">
        <v>323</v>
      </c>
      <c r="C29" s="25" t="s">
        <v>324</v>
      </c>
      <c r="D29" s="25" t="s">
        <v>130</v>
      </c>
      <c r="E29" s="26">
        <v>183037</v>
      </c>
      <c r="F29" s="27">
        <v>247.37</v>
      </c>
      <c r="G29" s="28">
        <v>1.9E-2</v>
      </c>
      <c r="H29" s="29"/>
    </row>
    <row r="30" spans="2:8" ht="15.75" customHeight="1" x14ac:dyDescent="0.2">
      <c r="B30" s="25" t="s">
        <v>312</v>
      </c>
      <c r="C30" s="25" t="s">
        <v>313</v>
      </c>
      <c r="D30" s="25" t="s">
        <v>282</v>
      </c>
      <c r="E30" s="26">
        <v>43085</v>
      </c>
      <c r="F30" s="27">
        <v>229.49</v>
      </c>
      <c r="G30" s="28">
        <v>1.7600000000000001E-2</v>
      </c>
      <c r="H30" s="29"/>
    </row>
    <row r="31" spans="2:8" ht="15.75" customHeight="1" x14ac:dyDescent="0.2">
      <c r="B31" s="25" t="s">
        <v>327</v>
      </c>
      <c r="C31" s="25" t="s">
        <v>328</v>
      </c>
      <c r="D31" s="25" t="s">
        <v>179</v>
      </c>
      <c r="E31" s="26">
        <v>13573</v>
      </c>
      <c r="F31" s="27">
        <v>176.96</v>
      </c>
      <c r="G31" s="28">
        <v>1.3599999999999999E-2</v>
      </c>
      <c r="H31" s="29"/>
    </row>
    <row r="32" spans="2:8" ht="15.75" customHeight="1" x14ac:dyDescent="0.2">
      <c r="B32" s="25" t="s">
        <v>600</v>
      </c>
      <c r="C32" s="25" t="s">
        <v>601</v>
      </c>
      <c r="D32" s="25" t="s">
        <v>444</v>
      </c>
      <c r="E32" s="26">
        <v>391</v>
      </c>
      <c r="F32" s="27">
        <v>134.15</v>
      </c>
      <c r="G32" s="28">
        <v>1.03E-2</v>
      </c>
      <c r="H32" s="29"/>
    </row>
    <row r="33" spans="2:8" ht="15.75" customHeight="1" x14ac:dyDescent="0.2">
      <c r="B33" s="25" t="s">
        <v>693</v>
      </c>
      <c r="C33" s="25" t="s">
        <v>694</v>
      </c>
      <c r="D33" s="25" t="s">
        <v>168</v>
      </c>
      <c r="E33" s="26">
        <v>5552</v>
      </c>
      <c r="F33" s="27">
        <v>106.78</v>
      </c>
      <c r="G33" s="28">
        <v>8.2000000000000007E-3</v>
      </c>
      <c r="H33" s="29"/>
    </row>
    <row r="34" spans="2:8" ht="15.75" customHeight="1" x14ac:dyDescent="0.2">
      <c r="B34" s="25" t="s">
        <v>487</v>
      </c>
      <c r="C34" s="25" t="s">
        <v>488</v>
      </c>
      <c r="D34" s="25" t="s">
        <v>225</v>
      </c>
      <c r="E34" s="26">
        <v>21891</v>
      </c>
      <c r="F34" s="27">
        <v>51.37</v>
      </c>
      <c r="G34" s="28">
        <v>3.8999999999999998E-3</v>
      </c>
      <c r="H34" s="29"/>
    </row>
    <row r="35" spans="2:8" ht="15.75" customHeight="1" x14ac:dyDescent="0.2">
      <c r="B35" s="24" t="s">
        <v>98</v>
      </c>
      <c r="C35" s="24"/>
      <c r="D35" s="24"/>
      <c r="E35" s="30"/>
      <c r="F35" s="31">
        <v>12449.86</v>
      </c>
      <c r="G35" s="32">
        <v>0.95489999999999997</v>
      </c>
      <c r="H35" s="33"/>
    </row>
    <row r="36" spans="2:8" ht="15.75" customHeight="1" x14ac:dyDescent="0.2">
      <c r="B36" s="24" t="s">
        <v>150</v>
      </c>
      <c r="C36" s="25"/>
      <c r="D36" s="25"/>
      <c r="E36" s="26"/>
      <c r="F36" s="27"/>
      <c r="G36" s="28"/>
      <c r="H36" s="29"/>
    </row>
    <row r="37" spans="2:8" ht="15.75" customHeight="1" x14ac:dyDescent="0.2">
      <c r="B37" s="24" t="s">
        <v>98</v>
      </c>
      <c r="C37" s="25"/>
      <c r="D37" s="25"/>
      <c r="E37" s="26"/>
      <c r="F37" s="34" t="s">
        <v>100</v>
      </c>
      <c r="G37" s="35" t="s">
        <v>100</v>
      </c>
      <c r="H37" s="29"/>
    </row>
    <row r="38" spans="2:8" ht="15.75" customHeight="1" x14ac:dyDescent="0.2">
      <c r="B38" s="25"/>
      <c r="C38" s="25"/>
      <c r="D38" s="25"/>
      <c r="E38" s="26"/>
      <c r="F38" s="27"/>
      <c r="G38" s="28"/>
      <c r="H38" s="29"/>
    </row>
    <row r="39" spans="2:8" ht="15.75" customHeight="1" x14ac:dyDescent="0.2">
      <c r="B39" s="36" t="s">
        <v>102</v>
      </c>
      <c r="C39" s="36"/>
      <c r="D39" s="36"/>
      <c r="E39" s="37"/>
      <c r="F39" s="31">
        <v>12449.86</v>
      </c>
      <c r="G39" s="32">
        <v>0.95489999999999997</v>
      </c>
      <c r="H39" s="33"/>
    </row>
    <row r="40" spans="2:8" ht="15.75" customHeight="1" x14ac:dyDescent="0.2">
      <c r="B40" s="25"/>
      <c r="C40" s="25"/>
      <c r="D40" s="25"/>
      <c r="E40" s="26"/>
      <c r="F40" s="27"/>
      <c r="G40" s="28"/>
      <c r="H40" s="29"/>
    </row>
    <row r="41" spans="2:8" ht="15.75" customHeight="1" x14ac:dyDescent="0.2">
      <c r="B41" s="25"/>
      <c r="C41" s="25"/>
      <c r="D41" s="25"/>
      <c r="E41" s="26"/>
      <c r="F41" s="27"/>
      <c r="G41" s="28"/>
      <c r="H41" s="29"/>
    </row>
    <row r="42" spans="2:8" ht="15.75" customHeight="1" x14ac:dyDescent="0.2">
      <c r="B42" s="24" t="s">
        <v>105</v>
      </c>
      <c r="C42" s="25"/>
      <c r="D42" s="25"/>
      <c r="E42" s="26"/>
      <c r="F42" s="27"/>
      <c r="G42" s="28"/>
      <c r="H42" s="29"/>
    </row>
    <row r="43" spans="2:8" ht="15.75" customHeight="1" x14ac:dyDescent="0.2">
      <c r="B43" s="25" t="s">
        <v>106</v>
      </c>
      <c r="C43" s="25"/>
      <c r="D43" s="25"/>
      <c r="E43" s="26"/>
      <c r="F43" s="27">
        <v>574.66999999999996</v>
      </c>
      <c r="G43" s="28">
        <v>4.41E-2</v>
      </c>
      <c r="H43" s="29"/>
    </row>
    <row r="44" spans="2:8" ht="15.75" customHeight="1" x14ac:dyDescent="0.2">
      <c r="B44" s="24" t="s">
        <v>98</v>
      </c>
      <c r="C44" s="24"/>
      <c r="D44" s="24"/>
      <c r="E44" s="30"/>
      <c r="F44" s="31">
        <v>574.66999999999996</v>
      </c>
      <c r="G44" s="32">
        <v>4.41E-2</v>
      </c>
      <c r="H44" s="33"/>
    </row>
    <row r="45" spans="2:8" ht="15.75" customHeight="1" x14ac:dyDescent="0.2">
      <c r="B45" s="25"/>
      <c r="C45" s="25"/>
      <c r="D45" s="25"/>
      <c r="E45" s="26"/>
      <c r="F45" s="27"/>
      <c r="G45" s="28"/>
      <c r="H45" s="29"/>
    </row>
    <row r="46" spans="2:8" ht="15.75" customHeight="1" x14ac:dyDescent="0.2">
      <c r="B46" s="36" t="s">
        <v>102</v>
      </c>
      <c r="C46" s="36"/>
      <c r="D46" s="36"/>
      <c r="E46" s="37"/>
      <c r="F46" s="31">
        <v>574.66999999999996</v>
      </c>
      <c r="G46" s="32">
        <v>4.41E-2</v>
      </c>
      <c r="H46" s="33"/>
    </row>
    <row r="47" spans="2:8" ht="15.75" customHeight="1" x14ac:dyDescent="0.2">
      <c r="B47" s="25" t="s">
        <v>107</v>
      </c>
      <c r="C47" s="25"/>
      <c r="D47" s="25"/>
      <c r="E47" s="26"/>
      <c r="F47" s="27">
        <v>12.52</v>
      </c>
      <c r="G47" s="28">
        <v>1.0000000000000009E-3</v>
      </c>
      <c r="H47" s="29"/>
    </row>
    <row r="48" spans="2:8" ht="15.75" customHeight="1" x14ac:dyDescent="0.2">
      <c r="B48" s="40" t="s">
        <v>108</v>
      </c>
      <c r="C48" s="40"/>
      <c r="D48" s="40"/>
      <c r="E48" s="41"/>
      <c r="F48" s="42">
        <v>13037.05</v>
      </c>
      <c r="G48" s="43">
        <v>1</v>
      </c>
      <c r="H48" s="44"/>
    </row>
    <row r="49" spans="2:8" ht="15.75" customHeight="1" thickBot="1" x14ac:dyDescent="0.25">
      <c r="B49" s="2"/>
    </row>
    <row r="50" spans="2:8" ht="27" customHeight="1" thickBot="1" x14ac:dyDescent="0.25">
      <c r="B50" s="57" t="s">
        <v>925</v>
      </c>
      <c r="C50" s="58" t="s">
        <v>926</v>
      </c>
      <c r="D50" s="58" t="s">
        <v>927</v>
      </c>
      <c r="E50" s="63" t="s">
        <v>928</v>
      </c>
      <c r="G50" s="2"/>
      <c r="H50" s="2"/>
    </row>
    <row r="51" spans="2:8" ht="29.25" customHeight="1" x14ac:dyDescent="0.2">
      <c r="B51" s="64" t="s">
        <v>979</v>
      </c>
      <c r="C51" s="82"/>
      <c r="D51" s="85" t="s">
        <v>980</v>
      </c>
      <c r="E51" s="87"/>
      <c r="G51" s="2"/>
      <c r="H51" s="2"/>
    </row>
    <row r="52" spans="2:8" ht="39.950000000000003" customHeight="1" x14ac:dyDescent="0.2">
      <c r="B52" s="66" t="s">
        <v>958</v>
      </c>
      <c r="C52" s="83"/>
      <c r="D52" s="86"/>
      <c r="E52" s="83"/>
      <c r="G52" s="2"/>
      <c r="H52" s="2"/>
    </row>
    <row r="53" spans="2:8" ht="39.950000000000003" customHeight="1" x14ac:dyDescent="0.2">
      <c r="B53" s="66" t="s">
        <v>981</v>
      </c>
      <c r="C53" s="83"/>
      <c r="D53" s="86"/>
      <c r="E53" s="83"/>
      <c r="G53" s="2"/>
      <c r="H53" s="2"/>
    </row>
    <row r="54" spans="2:8" ht="23.25" customHeight="1" thickBot="1" x14ac:dyDescent="0.25">
      <c r="B54" s="68" t="s">
        <v>943</v>
      </c>
      <c r="C54" s="84"/>
      <c r="D54" s="71" t="s">
        <v>943</v>
      </c>
      <c r="E54" s="88"/>
      <c r="G54" s="2"/>
      <c r="H54" s="2"/>
    </row>
    <row r="55" spans="2:8" ht="24.95" customHeight="1" x14ac:dyDescent="0.2">
      <c r="B55" s="59" t="s">
        <v>929</v>
      </c>
      <c r="C55" s="60"/>
      <c r="D55" s="61"/>
      <c r="E55" s="62"/>
      <c r="G55" s="2"/>
      <c r="H55" s="2"/>
    </row>
    <row r="57" spans="2:8" ht="12" x14ac:dyDescent="0.2">
      <c r="B57" s="2" t="s">
        <v>930</v>
      </c>
      <c r="C57" s="2"/>
      <c r="D57" s="2"/>
      <c r="G57" s="2"/>
      <c r="H57" s="2"/>
    </row>
    <row r="58" spans="2:8" ht="12" x14ac:dyDescent="0.2">
      <c r="B58" s="3" t="s">
        <v>931</v>
      </c>
      <c r="C58" s="2"/>
      <c r="D58" s="2"/>
      <c r="G58" s="2"/>
      <c r="H58"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1:C54"/>
    <mergeCell ref="D51:D53"/>
    <mergeCell ref="E51:E54"/>
  </mergeCells>
  <hyperlinks>
    <hyperlink ref="I1" location="'Sheet1'!A1" display="Index" xr:uid="{DC703962-1905-4441-9850-6D88393EC29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B0BBD-E3A6-4141-99CC-AC06F60BB8A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7109375" style="9" customWidth="1"/>
    <col min="4" max="4" width="26.5703125" style="9" customWidth="1"/>
    <col min="5" max="5" width="27.71093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982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19"/>
      <c r="C5" s="19"/>
      <c r="D5" s="19"/>
      <c r="E5" s="20"/>
      <c r="F5" s="21"/>
      <c r="G5" s="22"/>
      <c r="H5" s="23"/>
    </row>
    <row r="6" spans="2:9" ht="15.75" customHeight="1" x14ac:dyDescent="0.2">
      <c r="B6" s="25"/>
      <c r="C6" s="25"/>
      <c r="D6" s="25"/>
      <c r="E6" s="26"/>
      <c r="F6" s="27"/>
      <c r="G6" s="28"/>
      <c r="H6" s="29"/>
    </row>
    <row r="7" spans="2:9" ht="15.75" customHeight="1" x14ac:dyDescent="0.2">
      <c r="B7" s="24" t="s">
        <v>103</v>
      </c>
      <c r="C7" s="25"/>
      <c r="D7" s="25"/>
      <c r="E7" s="26"/>
      <c r="F7" s="27"/>
      <c r="G7" s="28"/>
      <c r="H7" s="29"/>
    </row>
    <row r="8" spans="2:9" ht="15.75" customHeight="1" x14ac:dyDescent="0.2">
      <c r="B8" s="24" t="s">
        <v>104</v>
      </c>
      <c r="C8" s="25"/>
      <c r="D8" s="25"/>
      <c r="E8" s="26"/>
      <c r="F8" s="27"/>
      <c r="G8" s="28"/>
      <c r="H8" s="29"/>
    </row>
    <row r="9" spans="2:9" ht="15.75" customHeight="1" x14ac:dyDescent="0.2">
      <c r="B9" s="25" t="s">
        <v>695</v>
      </c>
      <c r="C9" s="25" t="s">
        <v>696</v>
      </c>
      <c r="D9" s="25"/>
      <c r="E9" s="26">
        <v>79936</v>
      </c>
      <c r="F9" s="27">
        <v>4543.4799999999996</v>
      </c>
      <c r="G9" s="28">
        <v>0.99819999999999998</v>
      </c>
      <c r="H9" s="29"/>
    </row>
    <row r="10" spans="2:9" ht="15.75" customHeight="1" x14ac:dyDescent="0.2">
      <c r="B10" s="24" t="s">
        <v>98</v>
      </c>
      <c r="C10" s="24"/>
      <c r="D10" s="24"/>
      <c r="E10" s="30"/>
      <c r="F10" s="31">
        <v>4543.4799999999996</v>
      </c>
      <c r="G10" s="32">
        <v>99.820499999999996</v>
      </c>
      <c r="H10" s="33"/>
    </row>
    <row r="11" spans="2:9" ht="15.75" customHeight="1" x14ac:dyDescent="0.2">
      <c r="B11" s="25"/>
      <c r="C11" s="25"/>
      <c r="D11" s="25"/>
      <c r="E11" s="26"/>
      <c r="F11" s="27"/>
      <c r="G11" s="28"/>
      <c r="H11" s="29"/>
    </row>
    <row r="12" spans="2:9" ht="15.75" customHeight="1" x14ac:dyDescent="0.2">
      <c r="B12" s="36" t="s">
        <v>102</v>
      </c>
      <c r="C12" s="36"/>
      <c r="D12" s="36"/>
      <c r="E12" s="37"/>
      <c r="F12" s="31">
        <v>4543.4799999999996</v>
      </c>
      <c r="G12" s="32">
        <v>0.99819999999999998</v>
      </c>
      <c r="H12" s="33"/>
    </row>
    <row r="13" spans="2:9" ht="15.75" customHeight="1" x14ac:dyDescent="0.2">
      <c r="B13" s="25"/>
      <c r="C13" s="25"/>
      <c r="D13" s="25"/>
      <c r="E13" s="26"/>
      <c r="F13" s="27"/>
      <c r="G13" s="28"/>
      <c r="H13" s="29"/>
    </row>
    <row r="14" spans="2:9" ht="15.75" customHeight="1" x14ac:dyDescent="0.2">
      <c r="B14" s="24" t="s">
        <v>105</v>
      </c>
      <c r="C14" s="25"/>
      <c r="D14" s="25"/>
      <c r="E14" s="26"/>
      <c r="F14" s="27"/>
      <c r="G14" s="28"/>
      <c r="H14" s="29"/>
    </row>
    <row r="15" spans="2:9" ht="15.75" customHeight="1" x14ac:dyDescent="0.2">
      <c r="B15" s="25" t="s">
        <v>106</v>
      </c>
      <c r="C15" s="25"/>
      <c r="D15" s="25"/>
      <c r="E15" s="26"/>
      <c r="F15" s="27">
        <v>16.63</v>
      </c>
      <c r="G15" s="28">
        <v>3.7000000000000002E-3</v>
      </c>
      <c r="H15" s="29"/>
    </row>
    <row r="16" spans="2:9" ht="15.75" customHeight="1" x14ac:dyDescent="0.2">
      <c r="B16" s="24" t="s">
        <v>98</v>
      </c>
      <c r="C16" s="24"/>
      <c r="D16" s="24"/>
      <c r="E16" s="30"/>
      <c r="F16" s="31">
        <v>16.63</v>
      </c>
      <c r="G16" s="32">
        <v>3.7000000000000002E-3</v>
      </c>
      <c r="H16" s="33"/>
    </row>
    <row r="17" spans="2:8" ht="15.75" customHeight="1" x14ac:dyDescent="0.2">
      <c r="B17" s="25"/>
      <c r="C17" s="25"/>
      <c r="D17" s="25"/>
      <c r="E17" s="26"/>
      <c r="F17" s="27"/>
      <c r="G17" s="28"/>
      <c r="H17" s="29"/>
    </row>
    <row r="18" spans="2:8" ht="15.75" customHeight="1" x14ac:dyDescent="0.2">
      <c r="B18" s="36" t="s">
        <v>102</v>
      </c>
      <c r="C18" s="36"/>
      <c r="D18" s="36"/>
      <c r="E18" s="37"/>
      <c r="F18" s="31">
        <v>16.63</v>
      </c>
      <c r="G18" s="32">
        <v>3.7000000000000002E-3</v>
      </c>
      <c r="H18" s="33"/>
    </row>
    <row r="19" spans="2:8" ht="15.75" customHeight="1" x14ac:dyDescent="0.2">
      <c r="B19" s="25" t="s">
        <v>107</v>
      </c>
      <c r="C19" s="25"/>
      <c r="D19" s="25"/>
      <c r="E19" s="26"/>
      <c r="F19" s="38">
        <v>-8.4600000000000009</v>
      </c>
      <c r="G19" s="39">
        <v>-1.9000000000000128E-3</v>
      </c>
      <c r="H19" s="29"/>
    </row>
    <row r="20" spans="2:8" ht="15.75" customHeight="1" x14ac:dyDescent="0.2">
      <c r="B20" s="40" t="s">
        <v>108</v>
      </c>
      <c r="C20" s="40"/>
      <c r="D20" s="40"/>
      <c r="E20" s="41"/>
      <c r="F20" s="42">
        <v>4551.6499999999996</v>
      </c>
      <c r="G20" s="43">
        <v>1</v>
      </c>
      <c r="H20" s="44"/>
    </row>
    <row r="21" spans="2:8" ht="15.75" customHeight="1" thickBot="1" x14ac:dyDescent="0.25">
      <c r="B21" s="2"/>
    </row>
    <row r="22" spans="2:8" ht="27" customHeight="1" thickBot="1" x14ac:dyDescent="0.25">
      <c r="B22" s="57" t="s">
        <v>925</v>
      </c>
      <c r="C22" s="58" t="s">
        <v>926</v>
      </c>
      <c r="D22" s="58" t="s">
        <v>927</v>
      </c>
      <c r="E22" s="63" t="s">
        <v>928</v>
      </c>
      <c r="G22" s="2"/>
      <c r="H22" s="2"/>
    </row>
    <row r="23" spans="2:8" ht="29.25" customHeight="1" x14ac:dyDescent="0.2">
      <c r="B23" s="64" t="s">
        <v>53</v>
      </c>
      <c r="C23" s="82"/>
      <c r="D23" s="85" t="s">
        <v>983</v>
      </c>
      <c r="E23" s="87"/>
      <c r="G23" s="2"/>
      <c r="H23" s="2"/>
    </row>
    <row r="24" spans="2:8" ht="39.950000000000003" customHeight="1" x14ac:dyDescent="0.2">
      <c r="B24" s="66" t="s">
        <v>984</v>
      </c>
      <c r="C24" s="83"/>
      <c r="D24" s="86"/>
      <c r="E24" s="83"/>
      <c r="G24" s="2"/>
      <c r="H24" s="2"/>
    </row>
    <row r="25" spans="2:8" ht="39.950000000000003" customHeight="1" x14ac:dyDescent="0.2">
      <c r="B25" s="66" t="s">
        <v>985</v>
      </c>
      <c r="C25" s="83"/>
      <c r="D25" s="86"/>
      <c r="E25" s="83"/>
      <c r="G25" s="2"/>
      <c r="H25" s="2"/>
    </row>
    <row r="26" spans="2:8" ht="23.25" customHeight="1" thickBot="1" x14ac:dyDescent="0.25">
      <c r="B26" s="68" t="s">
        <v>944</v>
      </c>
      <c r="C26" s="84"/>
      <c r="D26" s="71" t="s">
        <v>944</v>
      </c>
      <c r="E26" s="88"/>
      <c r="G26" s="2"/>
      <c r="H26" s="2"/>
    </row>
    <row r="27" spans="2:8" ht="24.95" customHeight="1" x14ac:dyDescent="0.2">
      <c r="B27" s="59" t="s">
        <v>929</v>
      </c>
      <c r="C27" s="60"/>
      <c r="D27" s="61"/>
      <c r="E27" s="62"/>
      <c r="G27" s="2"/>
      <c r="H27" s="2"/>
    </row>
    <row r="29" spans="2:8" ht="12" x14ac:dyDescent="0.2">
      <c r="B29" s="2" t="s">
        <v>930</v>
      </c>
      <c r="C29" s="2"/>
      <c r="D29" s="2"/>
      <c r="G29" s="2"/>
      <c r="H29" s="2"/>
    </row>
    <row r="30" spans="2:8" ht="12" x14ac:dyDescent="0.2">
      <c r="B30" s="3" t="s">
        <v>931</v>
      </c>
      <c r="C30" s="2"/>
      <c r="D30" s="2"/>
      <c r="G30" s="2"/>
      <c r="H3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87E64750-3763-484F-9255-D8E63C9363D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3D5E-6144-4DBE-8C00-893DE06A053B}">
  <dimension ref="B1:P86"/>
  <sheetViews>
    <sheetView workbookViewId="0">
      <selection activeCell="D1" sqref="C1:D1"/>
    </sheetView>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8.42578125" style="2" customWidth="1"/>
    <col min="6" max="6" width="16.42578125" style="2" customWidth="1"/>
    <col min="7" max="7" width="15.28515625" style="8" customWidth="1"/>
    <col min="8" max="8" width="10.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1031</v>
      </c>
      <c r="C1" s="1" t="s">
        <v>1032</v>
      </c>
      <c r="D1" s="1" t="s">
        <v>1033</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92"/>
      <c r="C5" s="19"/>
      <c r="D5" s="19"/>
      <c r="E5" s="20"/>
      <c r="F5" s="21"/>
      <c r="G5" s="22"/>
      <c r="H5" s="93"/>
    </row>
    <row r="6" spans="2:9" ht="15.75" customHeight="1" x14ac:dyDescent="0.2">
      <c r="B6" s="94"/>
      <c r="C6" s="46"/>
      <c r="D6" s="46"/>
      <c r="E6" s="95"/>
      <c r="F6" s="96"/>
      <c r="G6" s="97"/>
      <c r="H6" s="98"/>
    </row>
    <row r="7" spans="2:9" ht="15.75" customHeight="1" x14ac:dyDescent="0.2">
      <c r="B7" s="99" t="s">
        <v>103</v>
      </c>
      <c r="C7" s="46"/>
      <c r="D7" s="46"/>
      <c r="E7" s="95"/>
      <c r="F7" s="96"/>
      <c r="G7" s="97"/>
      <c r="H7" s="98"/>
    </row>
    <row r="8" spans="2:9" ht="15.75" customHeight="1" x14ac:dyDescent="0.2">
      <c r="B8" s="99" t="s">
        <v>1034</v>
      </c>
      <c r="C8" s="46"/>
      <c r="D8" s="46"/>
      <c r="E8" s="95"/>
      <c r="F8" s="96"/>
      <c r="G8" s="97"/>
      <c r="H8" s="98"/>
    </row>
    <row r="9" spans="2:9" ht="15.75" customHeight="1" x14ac:dyDescent="0.2">
      <c r="B9" s="94" t="s">
        <v>1034</v>
      </c>
      <c r="C9" s="46"/>
      <c r="D9" s="46" t="s">
        <v>1034</v>
      </c>
      <c r="E9" s="95">
        <v>178</v>
      </c>
      <c r="F9" s="96">
        <v>11038.4</v>
      </c>
      <c r="G9" s="97">
        <v>0.99590000000000001</v>
      </c>
      <c r="H9" s="98"/>
    </row>
    <row r="10" spans="2:9" ht="15.75" customHeight="1" x14ac:dyDescent="0.2">
      <c r="B10" s="99" t="s">
        <v>98</v>
      </c>
      <c r="C10" s="100"/>
      <c r="D10" s="100"/>
      <c r="E10" s="101"/>
      <c r="F10" s="31">
        <f>SUM(F9)</f>
        <v>11038.4</v>
      </c>
      <c r="G10" s="102">
        <f>SUM(G9)</f>
        <v>0.99590000000000001</v>
      </c>
      <c r="H10" s="103"/>
    </row>
    <row r="11" spans="2:9" ht="15.75" customHeight="1" x14ac:dyDescent="0.2">
      <c r="B11" s="94"/>
      <c r="C11" s="46"/>
      <c r="D11" s="46"/>
      <c r="E11" s="95"/>
      <c r="F11" s="96"/>
      <c r="G11" s="97"/>
      <c r="H11" s="98"/>
    </row>
    <row r="12" spans="2:9" ht="15.75" customHeight="1" x14ac:dyDescent="0.2">
      <c r="B12" s="104" t="s">
        <v>102</v>
      </c>
      <c r="C12" s="36"/>
      <c r="D12" s="36"/>
      <c r="E12" s="37"/>
      <c r="F12" s="31">
        <f>+F10</f>
        <v>11038.4</v>
      </c>
      <c r="G12" s="102">
        <f>+G10</f>
        <v>0.99590000000000001</v>
      </c>
      <c r="H12" s="103"/>
    </row>
    <row r="13" spans="2:9" ht="15.75" customHeight="1" x14ac:dyDescent="0.2">
      <c r="B13" s="94"/>
      <c r="C13" s="46"/>
      <c r="D13" s="46"/>
      <c r="E13" s="95"/>
      <c r="F13" s="96"/>
      <c r="G13" s="97"/>
      <c r="H13" s="98"/>
    </row>
    <row r="14" spans="2:9" ht="15.75" customHeight="1" x14ac:dyDescent="0.2">
      <c r="B14" s="99" t="s">
        <v>105</v>
      </c>
      <c r="C14" s="46"/>
      <c r="D14" s="46"/>
      <c r="E14" s="95"/>
      <c r="F14" s="96"/>
      <c r="G14" s="97"/>
      <c r="H14" s="98"/>
    </row>
    <row r="15" spans="2:9" ht="15.75" customHeight="1" x14ac:dyDescent="0.2">
      <c r="B15" s="94" t="s">
        <v>106</v>
      </c>
      <c r="C15" s="46"/>
      <c r="D15" s="46"/>
      <c r="E15" s="95"/>
      <c r="F15" s="96">
        <v>26.25</v>
      </c>
      <c r="G15" s="97">
        <v>2.3999999999999998E-3</v>
      </c>
      <c r="H15" s="98"/>
    </row>
    <row r="16" spans="2:9" ht="15.75" customHeight="1" x14ac:dyDescent="0.2">
      <c r="B16" s="99" t="s">
        <v>98</v>
      </c>
      <c r="C16" s="100"/>
      <c r="D16" s="100"/>
      <c r="E16" s="101"/>
      <c r="F16" s="31">
        <f>SUM(F15)</f>
        <v>26.25</v>
      </c>
      <c r="G16" s="32">
        <f>SUM(G15)</f>
        <v>2.3999999999999998E-3</v>
      </c>
      <c r="H16" s="103"/>
    </row>
    <row r="17" spans="2:8" ht="15.75" customHeight="1" x14ac:dyDescent="0.2">
      <c r="B17" s="94"/>
      <c r="C17" s="46"/>
      <c r="D17" s="46"/>
      <c r="E17" s="95"/>
      <c r="F17" s="96"/>
      <c r="G17" s="97"/>
      <c r="H17" s="98"/>
    </row>
    <row r="18" spans="2:8" ht="15.75" customHeight="1" x14ac:dyDescent="0.2">
      <c r="B18" s="104" t="s">
        <v>102</v>
      </c>
      <c r="C18" s="36"/>
      <c r="D18" s="36"/>
      <c r="E18" s="37"/>
      <c r="F18" s="31">
        <f>+F16</f>
        <v>26.25</v>
      </c>
      <c r="G18" s="32">
        <f>+G16</f>
        <v>2.3999999999999998E-3</v>
      </c>
      <c r="H18" s="103"/>
    </row>
    <row r="19" spans="2:8" ht="15.75" customHeight="1" x14ac:dyDescent="0.2">
      <c r="B19" s="94" t="s">
        <v>107</v>
      </c>
      <c r="C19" s="46"/>
      <c r="D19" s="46"/>
      <c r="E19" s="95"/>
      <c r="F19" s="105">
        <v>19.73</v>
      </c>
      <c r="G19" s="106">
        <v>1.6999999999999999E-3</v>
      </c>
      <c r="H19" s="98"/>
    </row>
    <row r="20" spans="2:8" ht="15.75" customHeight="1" thickBot="1" x14ac:dyDescent="0.25">
      <c r="B20" s="107" t="s">
        <v>108</v>
      </c>
      <c r="C20" s="108"/>
      <c r="D20" s="108"/>
      <c r="E20" s="109"/>
      <c r="F20" s="110">
        <f>+F19+F18+F12</f>
        <v>11084.38</v>
      </c>
      <c r="G20" s="111">
        <f>+G19+G18+G12</f>
        <v>1</v>
      </c>
      <c r="H20" s="112"/>
    </row>
    <row r="21" spans="2:8" ht="15.75" customHeight="1" thickBot="1" x14ac:dyDescent="0.25">
      <c r="B21" s="2"/>
    </row>
    <row r="22" spans="2:8" ht="27" customHeight="1" thickBot="1" x14ac:dyDescent="0.25">
      <c r="B22" s="57" t="s">
        <v>925</v>
      </c>
      <c r="C22" s="58" t="s">
        <v>926</v>
      </c>
      <c r="D22" s="58" t="s">
        <v>927</v>
      </c>
      <c r="E22" s="63" t="s">
        <v>928</v>
      </c>
      <c r="G22" s="2"/>
      <c r="H22" s="2"/>
    </row>
    <row r="23" spans="2:8" ht="29.25" customHeight="1" x14ac:dyDescent="0.2">
      <c r="B23" s="64" t="s">
        <v>1030</v>
      </c>
      <c r="C23" s="82"/>
      <c r="D23" s="85" t="s">
        <v>983</v>
      </c>
      <c r="E23" s="87"/>
      <c r="G23" s="2"/>
      <c r="H23" s="2"/>
    </row>
    <row r="24" spans="2:8" ht="39.950000000000003" customHeight="1" x14ac:dyDescent="0.2">
      <c r="B24" s="66" t="s">
        <v>1035</v>
      </c>
      <c r="C24" s="83"/>
      <c r="D24" s="86"/>
      <c r="E24" s="83"/>
      <c r="G24" s="2"/>
      <c r="H24" s="2"/>
    </row>
    <row r="25" spans="2:8" ht="39.950000000000003" customHeight="1" x14ac:dyDescent="0.2">
      <c r="B25" s="66" t="s">
        <v>1036</v>
      </c>
      <c r="C25" s="83"/>
      <c r="D25" s="86"/>
      <c r="E25" s="83"/>
      <c r="G25" s="2"/>
      <c r="H25" s="2"/>
    </row>
    <row r="26" spans="2:8" ht="23.25" customHeight="1" thickBot="1" x14ac:dyDescent="0.25">
      <c r="B26" s="68" t="s">
        <v>944</v>
      </c>
      <c r="C26" s="84"/>
      <c r="D26" s="71" t="s">
        <v>944</v>
      </c>
      <c r="E26" s="88"/>
      <c r="G26" s="2"/>
      <c r="H26" s="2"/>
    </row>
    <row r="28" spans="2:8" ht="12" x14ac:dyDescent="0.2">
      <c r="B28" s="2" t="s">
        <v>930</v>
      </c>
      <c r="C28" s="2"/>
      <c r="D28" s="2"/>
      <c r="G28" s="2"/>
      <c r="H28" s="2"/>
    </row>
    <row r="29" spans="2:8" ht="12" x14ac:dyDescent="0.2">
      <c r="B29" s="3" t="s">
        <v>931</v>
      </c>
      <c r="C29" s="2"/>
      <c r="D29" s="2"/>
      <c r="G29" s="2"/>
      <c r="H2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46942091-1CA2-4A14-A7D2-A70880E4A21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B098A-74B1-4358-9953-FD52C4232D93}">
  <dimension ref="B1:P95"/>
  <sheetViews>
    <sheetView workbookViewId="0"/>
  </sheetViews>
  <sheetFormatPr defaultColWidth="9.140625" defaultRowHeight="15.75" customHeight="1" x14ac:dyDescent="0.2"/>
  <cols>
    <col min="1" max="1" width="3.5703125" style="2" customWidth="1"/>
    <col min="2" max="2" width="50.42578125" style="9" customWidth="1"/>
    <col min="3" max="3" width="26" style="9" customWidth="1"/>
    <col min="4" max="4" width="26.5703125" style="9" customWidth="1"/>
    <col min="5" max="5" width="35.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823179</v>
      </c>
      <c r="F7" s="27">
        <v>11552.49</v>
      </c>
      <c r="G7" s="28">
        <v>8.3900000000000002E-2</v>
      </c>
      <c r="H7" s="29"/>
    </row>
    <row r="8" spans="2:9" ht="15.75" customHeight="1" x14ac:dyDescent="0.2">
      <c r="B8" s="25" t="s">
        <v>136</v>
      </c>
      <c r="C8" s="25" t="s">
        <v>137</v>
      </c>
      <c r="D8" s="25" t="s">
        <v>138</v>
      </c>
      <c r="E8" s="26">
        <v>376746</v>
      </c>
      <c r="F8" s="27">
        <v>11007.01</v>
      </c>
      <c r="G8" s="28">
        <v>7.9899999999999999E-2</v>
      </c>
      <c r="H8" s="29"/>
    </row>
    <row r="9" spans="2:9" ht="15.75" customHeight="1" x14ac:dyDescent="0.2">
      <c r="B9" s="25" t="s">
        <v>128</v>
      </c>
      <c r="C9" s="25" t="s">
        <v>129</v>
      </c>
      <c r="D9" s="25" t="s">
        <v>130</v>
      </c>
      <c r="E9" s="26">
        <v>988065</v>
      </c>
      <c r="F9" s="27">
        <v>10396.42</v>
      </c>
      <c r="G9" s="28">
        <v>7.5499999999999998E-2</v>
      </c>
      <c r="H9" s="29"/>
    </row>
    <row r="10" spans="2:9" ht="15.75" customHeight="1" x14ac:dyDescent="0.2">
      <c r="B10" s="25" t="s">
        <v>172</v>
      </c>
      <c r="C10" s="25" t="s">
        <v>173</v>
      </c>
      <c r="D10" s="25" t="s">
        <v>174</v>
      </c>
      <c r="E10" s="26">
        <v>190794</v>
      </c>
      <c r="F10" s="27">
        <v>6634.96</v>
      </c>
      <c r="G10" s="28">
        <v>4.82E-2</v>
      </c>
      <c r="H10" s="29"/>
    </row>
    <row r="11" spans="2:9" ht="15.75" customHeight="1" x14ac:dyDescent="0.2">
      <c r="B11" s="25" t="s">
        <v>131</v>
      </c>
      <c r="C11" s="25" t="s">
        <v>132</v>
      </c>
      <c r="D11" s="25" t="s">
        <v>133</v>
      </c>
      <c r="E11" s="26">
        <v>322106</v>
      </c>
      <c r="F11" s="27">
        <v>5391.73</v>
      </c>
      <c r="G11" s="28">
        <v>3.9199999999999999E-2</v>
      </c>
      <c r="H11" s="29"/>
    </row>
    <row r="12" spans="2:9" ht="15.75" customHeight="1" x14ac:dyDescent="0.2">
      <c r="B12" s="25" t="s">
        <v>210</v>
      </c>
      <c r="C12" s="25" t="s">
        <v>211</v>
      </c>
      <c r="D12" s="25" t="s">
        <v>141</v>
      </c>
      <c r="E12" s="26">
        <v>1249098</v>
      </c>
      <c r="F12" s="27">
        <v>5075.09</v>
      </c>
      <c r="G12" s="28">
        <v>3.6900000000000002E-2</v>
      </c>
      <c r="H12" s="29"/>
    </row>
    <row r="13" spans="2:9" ht="15.75" customHeight="1" x14ac:dyDescent="0.2">
      <c r="B13" s="25" t="s">
        <v>268</v>
      </c>
      <c r="C13" s="25" t="s">
        <v>269</v>
      </c>
      <c r="D13" s="25" t="s">
        <v>130</v>
      </c>
      <c r="E13" s="26">
        <v>411718</v>
      </c>
      <c r="F13" s="27">
        <v>4426.38</v>
      </c>
      <c r="G13" s="28">
        <v>3.2099999999999997E-2</v>
      </c>
      <c r="H13" s="29"/>
    </row>
    <row r="14" spans="2:9" ht="15.75" customHeight="1" x14ac:dyDescent="0.2">
      <c r="B14" s="25" t="s">
        <v>266</v>
      </c>
      <c r="C14" s="25" t="s">
        <v>267</v>
      </c>
      <c r="D14" s="25" t="s">
        <v>130</v>
      </c>
      <c r="E14" s="26">
        <v>525153</v>
      </c>
      <c r="F14" s="27">
        <v>3928.67</v>
      </c>
      <c r="G14" s="28">
        <v>2.8500000000000001E-2</v>
      </c>
      <c r="H14" s="29"/>
    </row>
    <row r="15" spans="2:9" ht="15.75" customHeight="1" x14ac:dyDescent="0.2">
      <c r="B15" s="25" t="s">
        <v>199</v>
      </c>
      <c r="C15" s="25" t="s">
        <v>200</v>
      </c>
      <c r="D15" s="25" t="s">
        <v>133</v>
      </c>
      <c r="E15" s="26">
        <v>90915</v>
      </c>
      <c r="F15" s="27">
        <v>3723.06</v>
      </c>
      <c r="G15" s="28">
        <v>2.7E-2</v>
      </c>
      <c r="H15" s="29"/>
    </row>
    <row r="16" spans="2:9" ht="15.75" customHeight="1" x14ac:dyDescent="0.2">
      <c r="B16" s="25" t="s">
        <v>214</v>
      </c>
      <c r="C16" s="25" t="s">
        <v>215</v>
      </c>
      <c r="D16" s="25" t="s">
        <v>130</v>
      </c>
      <c r="E16" s="26">
        <v>206793</v>
      </c>
      <c r="F16" s="27">
        <v>3493.66</v>
      </c>
      <c r="G16" s="28">
        <v>2.5399999999999999E-2</v>
      </c>
      <c r="H16" s="29"/>
    </row>
    <row r="17" spans="2:8" ht="15.75" customHeight="1" x14ac:dyDescent="0.2">
      <c r="B17" s="25" t="s">
        <v>295</v>
      </c>
      <c r="C17" s="25" t="s">
        <v>296</v>
      </c>
      <c r="D17" s="25" t="s">
        <v>179</v>
      </c>
      <c r="E17" s="26">
        <v>854316</v>
      </c>
      <c r="F17" s="27">
        <v>3423.24</v>
      </c>
      <c r="G17" s="28">
        <v>2.4899999999999999E-2</v>
      </c>
      <c r="H17" s="29"/>
    </row>
    <row r="18" spans="2:8" ht="15.75" customHeight="1" x14ac:dyDescent="0.2">
      <c r="B18" s="25" t="s">
        <v>241</v>
      </c>
      <c r="C18" s="25" t="s">
        <v>242</v>
      </c>
      <c r="D18" s="25" t="s">
        <v>168</v>
      </c>
      <c r="E18" s="26">
        <v>299667</v>
      </c>
      <c r="F18" s="27">
        <v>3366.31</v>
      </c>
      <c r="G18" s="28">
        <v>2.4400000000000002E-2</v>
      </c>
      <c r="H18" s="29"/>
    </row>
    <row r="19" spans="2:8" ht="15.75" customHeight="1" x14ac:dyDescent="0.2">
      <c r="B19" s="25" t="s">
        <v>139</v>
      </c>
      <c r="C19" s="25" t="s">
        <v>140</v>
      </c>
      <c r="D19" s="25" t="s">
        <v>141</v>
      </c>
      <c r="E19" s="26">
        <v>136757</v>
      </c>
      <c r="F19" s="27">
        <v>3298.99</v>
      </c>
      <c r="G19" s="28">
        <v>2.4E-2</v>
      </c>
      <c r="H19" s="29"/>
    </row>
    <row r="20" spans="2:8" ht="15.75" customHeight="1" x14ac:dyDescent="0.2">
      <c r="B20" s="25" t="s">
        <v>204</v>
      </c>
      <c r="C20" s="25" t="s">
        <v>205</v>
      </c>
      <c r="D20" s="25" t="s">
        <v>206</v>
      </c>
      <c r="E20" s="26">
        <v>79991</v>
      </c>
      <c r="F20" s="27">
        <v>2899.19</v>
      </c>
      <c r="G20" s="28">
        <v>2.1100000000000001E-2</v>
      </c>
      <c r="H20" s="29"/>
    </row>
    <row r="21" spans="2:8" ht="15.75" customHeight="1" x14ac:dyDescent="0.2">
      <c r="B21" s="25" t="s">
        <v>272</v>
      </c>
      <c r="C21" s="25" t="s">
        <v>273</v>
      </c>
      <c r="D21" s="25" t="s">
        <v>185</v>
      </c>
      <c r="E21" s="26">
        <v>183730</v>
      </c>
      <c r="F21" s="27">
        <v>2899.17</v>
      </c>
      <c r="G21" s="28">
        <v>2.1100000000000001E-2</v>
      </c>
      <c r="H21" s="29"/>
    </row>
    <row r="22" spans="2:8" ht="15.75" customHeight="1" x14ac:dyDescent="0.2">
      <c r="B22" s="25" t="s">
        <v>283</v>
      </c>
      <c r="C22" s="25" t="s">
        <v>284</v>
      </c>
      <c r="D22" s="25" t="s">
        <v>285</v>
      </c>
      <c r="E22" s="26">
        <v>124022</v>
      </c>
      <c r="F22" s="27">
        <v>2717.82</v>
      </c>
      <c r="G22" s="28">
        <v>1.9699999999999999E-2</v>
      </c>
      <c r="H22" s="29"/>
    </row>
    <row r="23" spans="2:8" ht="15.75" customHeight="1" x14ac:dyDescent="0.2">
      <c r="B23" s="25" t="s">
        <v>270</v>
      </c>
      <c r="C23" s="25" t="s">
        <v>271</v>
      </c>
      <c r="D23" s="25" t="s">
        <v>133</v>
      </c>
      <c r="E23" s="26">
        <v>157033</v>
      </c>
      <c r="F23" s="27">
        <v>2612.79</v>
      </c>
      <c r="G23" s="28">
        <v>1.9E-2</v>
      </c>
      <c r="H23" s="29"/>
    </row>
    <row r="24" spans="2:8" ht="15.75" customHeight="1" x14ac:dyDescent="0.2">
      <c r="B24" s="25" t="s">
        <v>276</v>
      </c>
      <c r="C24" s="25" t="s">
        <v>277</v>
      </c>
      <c r="D24" s="25" t="s">
        <v>230</v>
      </c>
      <c r="E24" s="26">
        <v>751813</v>
      </c>
      <c r="F24" s="27">
        <v>2523.08</v>
      </c>
      <c r="G24" s="28">
        <v>1.83E-2</v>
      </c>
      <c r="H24" s="29"/>
    </row>
    <row r="25" spans="2:8" ht="15.75" customHeight="1" x14ac:dyDescent="0.2">
      <c r="B25" s="25" t="s">
        <v>177</v>
      </c>
      <c r="C25" s="25" t="s">
        <v>178</v>
      </c>
      <c r="D25" s="25" t="s">
        <v>179</v>
      </c>
      <c r="E25" s="26">
        <v>36277</v>
      </c>
      <c r="F25" s="27">
        <v>2356.3200000000002</v>
      </c>
      <c r="G25" s="28">
        <v>1.7100000000000001E-2</v>
      </c>
      <c r="H25" s="29"/>
    </row>
    <row r="26" spans="2:8" ht="15.75" customHeight="1" x14ac:dyDescent="0.2">
      <c r="B26" s="25" t="s">
        <v>186</v>
      </c>
      <c r="C26" s="25" t="s">
        <v>187</v>
      </c>
      <c r="D26" s="25" t="s">
        <v>188</v>
      </c>
      <c r="E26" s="26">
        <v>1144292</v>
      </c>
      <c r="F26" s="27">
        <v>2346.94</v>
      </c>
      <c r="G26" s="28">
        <v>1.7000000000000001E-2</v>
      </c>
      <c r="H26" s="29"/>
    </row>
    <row r="27" spans="2:8" ht="15.75" customHeight="1" x14ac:dyDescent="0.2">
      <c r="B27" s="25" t="s">
        <v>438</v>
      </c>
      <c r="C27" s="25" t="s">
        <v>439</v>
      </c>
      <c r="D27" s="25" t="s">
        <v>144</v>
      </c>
      <c r="E27" s="26">
        <v>186772</v>
      </c>
      <c r="F27" s="27">
        <v>1774.71</v>
      </c>
      <c r="G27" s="28">
        <v>1.29E-2</v>
      </c>
      <c r="H27" s="29"/>
    </row>
    <row r="28" spans="2:8" ht="15.75" customHeight="1" x14ac:dyDescent="0.2">
      <c r="B28" s="25" t="s">
        <v>274</v>
      </c>
      <c r="C28" s="25" t="s">
        <v>275</v>
      </c>
      <c r="D28" s="25" t="s">
        <v>144</v>
      </c>
      <c r="E28" s="26">
        <v>13566</v>
      </c>
      <c r="F28" s="27">
        <v>1531.38</v>
      </c>
      <c r="G28" s="28">
        <v>1.11E-2</v>
      </c>
      <c r="H28" s="29"/>
    </row>
    <row r="29" spans="2:8" ht="15.75" customHeight="1" x14ac:dyDescent="0.2">
      <c r="B29" s="25" t="s">
        <v>142</v>
      </c>
      <c r="C29" s="25" t="s">
        <v>143</v>
      </c>
      <c r="D29" s="25" t="s">
        <v>144</v>
      </c>
      <c r="E29" s="26">
        <v>77535</v>
      </c>
      <c r="F29" s="27">
        <v>1498.29</v>
      </c>
      <c r="G29" s="28">
        <v>1.09E-2</v>
      </c>
      <c r="H29" s="29"/>
    </row>
    <row r="30" spans="2:8" ht="15.75" customHeight="1" x14ac:dyDescent="0.2">
      <c r="B30" s="25" t="s">
        <v>697</v>
      </c>
      <c r="C30" s="25" t="s">
        <v>698</v>
      </c>
      <c r="D30" s="25" t="s">
        <v>578</v>
      </c>
      <c r="E30" s="26">
        <v>124565</v>
      </c>
      <c r="F30" s="27">
        <v>1482.39</v>
      </c>
      <c r="G30" s="28">
        <v>1.0800000000000001E-2</v>
      </c>
      <c r="H30" s="29"/>
    </row>
    <row r="31" spans="2:8" ht="15.75" customHeight="1" x14ac:dyDescent="0.2">
      <c r="B31" s="25" t="s">
        <v>220</v>
      </c>
      <c r="C31" s="25" t="s">
        <v>221</v>
      </c>
      <c r="D31" s="25" t="s">
        <v>222</v>
      </c>
      <c r="E31" s="26">
        <v>48251</v>
      </c>
      <c r="F31" s="27">
        <v>1320.15</v>
      </c>
      <c r="G31" s="28">
        <v>9.5999999999999992E-3</v>
      </c>
      <c r="H31" s="29"/>
    </row>
    <row r="32" spans="2:8" ht="15.75" customHeight="1" x14ac:dyDescent="0.2">
      <c r="B32" s="25" t="s">
        <v>588</v>
      </c>
      <c r="C32" s="25" t="s">
        <v>589</v>
      </c>
      <c r="D32" s="25" t="s">
        <v>590</v>
      </c>
      <c r="E32" s="26">
        <v>483809</v>
      </c>
      <c r="F32" s="27">
        <v>1280.1600000000001</v>
      </c>
      <c r="G32" s="28">
        <v>9.2999999999999992E-3</v>
      </c>
      <c r="H32" s="29"/>
    </row>
    <row r="33" spans="2:8" ht="15.75" customHeight="1" x14ac:dyDescent="0.2">
      <c r="B33" s="25" t="s">
        <v>351</v>
      </c>
      <c r="C33" s="25" t="s">
        <v>352</v>
      </c>
      <c r="D33" s="25" t="s">
        <v>209</v>
      </c>
      <c r="E33" s="26">
        <v>733756</v>
      </c>
      <c r="F33" s="27">
        <v>1214</v>
      </c>
      <c r="G33" s="28">
        <v>8.8000000000000005E-3</v>
      </c>
      <c r="H33" s="29"/>
    </row>
    <row r="34" spans="2:8" ht="15.75" customHeight="1" x14ac:dyDescent="0.2">
      <c r="B34" s="25" t="s">
        <v>463</v>
      </c>
      <c r="C34" s="25" t="s">
        <v>464</v>
      </c>
      <c r="D34" s="25" t="s">
        <v>147</v>
      </c>
      <c r="E34" s="26">
        <v>24118</v>
      </c>
      <c r="F34" s="27">
        <v>1197.51</v>
      </c>
      <c r="G34" s="28">
        <v>8.6999999999999994E-3</v>
      </c>
      <c r="H34" s="29"/>
    </row>
    <row r="35" spans="2:8" ht="15.75" customHeight="1" x14ac:dyDescent="0.2">
      <c r="B35" s="25" t="s">
        <v>398</v>
      </c>
      <c r="C35" s="25" t="s">
        <v>399</v>
      </c>
      <c r="D35" s="25" t="s">
        <v>400</v>
      </c>
      <c r="E35" s="26">
        <v>273077</v>
      </c>
      <c r="F35" s="27">
        <v>1192.53</v>
      </c>
      <c r="G35" s="28">
        <v>8.6999999999999994E-3</v>
      </c>
      <c r="H35" s="29"/>
    </row>
    <row r="36" spans="2:8" ht="15.75" customHeight="1" x14ac:dyDescent="0.2">
      <c r="B36" s="25" t="s">
        <v>440</v>
      </c>
      <c r="C36" s="25" t="s">
        <v>441</v>
      </c>
      <c r="D36" s="25" t="s">
        <v>285</v>
      </c>
      <c r="E36" s="26">
        <v>11969</v>
      </c>
      <c r="F36" s="27">
        <v>1184.02</v>
      </c>
      <c r="G36" s="28">
        <v>8.6E-3</v>
      </c>
      <c r="H36" s="29"/>
    </row>
    <row r="37" spans="2:8" ht="15.75" customHeight="1" x14ac:dyDescent="0.2">
      <c r="B37" s="25" t="s">
        <v>247</v>
      </c>
      <c r="C37" s="25" t="s">
        <v>248</v>
      </c>
      <c r="D37" s="25" t="s">
        <v>237</v>
      </c>
      <c r="E37" s="26">
        <v>961574</v>
      </c>
      <c r="F37" s="27">
        <v>1146.2</v>
      </c>
      <c r="G37" s="28">
        <v>8.3000000000000001E-3</v>
      </c>
      <c r="H37" s="29"/>
    </row>
    <row r="38" spans="2:8" ht="15.75" customHeight="1" x14ac:dyDescent="0.2">
      <c r="B38" s="25" t="s">
        <v>299</v>
      </c>
      <c r="C38" s="25" t="s">
        <v>300</v>
      </c>
      <c r="D38" s="25" t="s">
        <v>282</v>
      </c>
      <c r="E38" s="26">
        <v>72900</v>
      </c>
      <c r="F38" s="27">
        <v>1131.81</v>
      </c>
      <c r="G38" s="28">
        <v>8.2000000000000007E-3</v>
      </c>
      <c r="H38" s="29"/>
    </row>
    <row r="39" spans="2:8" ht="15.75" customHeight="1" x14ac:dyDescent="0.2">
      <c r="B39" s="25" t="s">
        <v>253</v>
      </c>
      <c r="C39" s="25" t="s">
        <v>254</v>
      </c>
      <c r="D39" s="25" t="s">
        <v>130</v>
      </c>
      <c r="E39" s="26">
        <v>75992</v>
      </c>
      <c r="F39" s="27">
        <v>1120.81</v>
      </c>
      <c r="G39" s="28">
        <v>8.0999999999999996E-3</v>
      </c>
      <c r="H39" s="29"/>
    </row>
    <row r="40" spans="2:8" ht="15.75" customHeight="1" x14ac:dyDescent="0.2">
      <c r="B40" s="25" t="s">
        <v>467</v>
      </c>
      <c r="C40" s="25" t="s">
        <v>468</v>
      </c>
      <c r="D40" s="25" t="s">
        <v>230</v>
      </c>
      <c r="E40" s="26">
        <v>394783</v>
      </c>
      <c r="F40" s="27">
        <v>1116.6400000000001</v>
      </c>
      <c r="G40" s="28">
        <v>8.0999999999999996E-3</v>
      </c>
      <c r="H40" s="29"/>
    </row>
    <row r="41" spans="2:8" ht="15.75" customHeight="1" x14ac:dyDescent="0.2">
      <c r="B41" s="25" t="s">
        <v>310</v>
      </c>
      <c r="C41" s="25" t="s">
        <v>311</v>
      </c>
      <c r="D41" s="25" t="s">
        <v>144</v>
      </c>
      <c r="E41" s="26">
        <v>24780</v>
      </c>
      <c r="F41" s="27">
        <v>1096.8900000000001</v>
      </c>
      <c r="G41" s="28">
        <v>8.0000000000000002E-3</v>
      </c>
      <c r="H41" s="29"/>
    </row>
    <row r="42" spans="2:8" ht="15.75" customHeight="1" x14ac:dyDescent="0.2">
      <c r="B42" s="25" t="s">
        <v>201</v>
      </c>
      <c r="C42" s="25" t="s">
        <v>202</v>
      </c>
      <c r="D42" s="25" t="s">
        <v>203</v>
      </c>
      <c r="E42" s="26">
        <v>17769</v>
      </c>
      <c r="F42" s="27">
        <v>1084.19</v>
      </c>
      <c r="G42" s="28">
        <v>7.9000000000000008E-3</v>
      </c>
      <c r="H42" s="29"/>
    </row>
    <row r="43" spans="2:8" ht="15.75" customHeight="1" x14ac:dyDescent="0.2">
      <c r="B43" s="25" t="s">
        <v>699</v>
      </c>
      <c r="C43" s="25" t="s">
        <v>700</v>
      </c>
      <c r="D43" s="25" t="s">
        <v>209</v>
      </c>
      <c r="E43" s="26">
        <v>26798</v>
      </c>
      <c r="F43" s="27">
        <v>1050.19</v>
      </c>
      <c r="G43" s="28">
        <v>7.6E-3</v>
      </c>
      <c r="H43" s="29"/>
    </row>
    <row r="44" spans="2:8" ht="15.75" customHeight="1" x14ac:dyDescent="0.2">
      <c r="B44" s="25" t="s">
        <v>194</v>
      </c>
      <c r="C44" s="25" t="s">
        <v>195</v>
      </c>
      <c r="D44" s="25" t="s">
        <v>196</v>
      </c>
      <c r="E44" s="26">
        <v>194569</v>
      </c>
      <c r="F44" s="27">
        <v>980.34</v>
      </c>
      <c r="G44" s="28">
        <v>7.1000000000000004E-3</v>
      </c>
      <c r="H44" s="29"/>
    </row>
    <row r="45" spans="2:8" ht="15.75" customHeight="1" x14ac:dyDescent="0.2">
      <c r="B45" s="25" t="s">
        <v>278</v>
      </c>
      <c r="C45" s="25" t="s">
        <v>279</v>
      </c>
      <c r="D45" s="25" t="s">
        <v>222</v>
      </c>
      <c r="E45" s="26">
        <v>39934</v>
      </c>
      <c r="F45" s="27">
        <v>954.28</v>
      </c>
      <c r="G45" s="28">
        <v>6.8999999999999999E-3</v>
      </c>
      <c r="H45" s="29"/>
    </row>
    <row r="46" spans="2:8" ht="15.75" customHeight="1" x14ac:dyDescent="0.2">
      <c r="B46" s="25" t="s">
        <v>207</v>
      </c>
      <c r="C46" s="25" t="s">
        <v>208</v>
      </c>
      <c r="D46" s="25" t="s">
        <v>209</v>
      </c>
      <c r="E46" s="26">
        <v>23933</v>
      </c>
      <c r="F46" s="27">
        <v>929.03</v>
      </c>
      <c r="G46" s="28">
        <v>6.7000000000000002E-3</v>
      </c>
      <c r="H46" s="29"/>
    </row>
    <row r="47" spans="2:8" ht="15.75" customHeight="1" x14ac:dyDescent="0.2">
      <c r="B47" s="25" t="s">
        <v>701</v>
      </c>
      <c r="C47" s="25" t="s">
        <v>702</v>
      </c>
      <c r="D47" s="25" t="s">
        <v>144</v>
      </c>
      <c r="E47" s="26">
        <v>23444</v>
      </c>
      <c r="F47" s="27">
        <v>889.09</v>
      </c>
      <c r="G47" s="28">
        <v>6.4999999999999997E-3</v>
      </c>
      <c r="H47" s="29"/>
    </row>
    <row r="48" spans="2:8" ht="15.75" customHeight="1" x14ac:dyDescent="0.2">
      <c r="B48" s="25" t="s">
        <v>579</v>
      </c>
      <c r="C48" s="25" t="s">
        <v>580</v>
      </c>
      <c r="D48" s="25" t="s">
        <v>225</v>
      </c>
      <c r="E48" s="26">
        <v>159931</v>
      </c>
      <c r="F48" s="27">
        <v>860.67</v>
      </c>
      <c r="G48" s="28">
        <v>6.3E-3</v>
      </c>
      <c r="H48" s="29"/>
    </row>
    <row r="49" spans="2:8" ht="15.75" customHeight="1" x14ac:dyDescent="0.2">
      <c r="B49" s="25" t="s">
        <v>327</v>
      </c>
      <c r="C49" s="25" t="s">
        <v>328</v>
      </c>
      <c r="D49" s="25" t="s">
        <v>179</v>
      </c>
      <c r="E49" s="26">
        <v>63707</v>
      </c>
      <c r="F49" s="27">
        <v>830.58</v>
      </c>
      <c r="G49" s="28">
        <v>6.0000000000000001E-3</v>
      </c>
      <c r="H49" s="29"/>
    </row>
    <row r="50" spans="2:8" ht="15.75" customHeight="1" x14ac:dyDescent="0.2">
      <c r="B50" s="25" t="s">
        <v>307</v>
      </c>
      <c r="C50" s="25" t="s">
        <v>308</v>
      </c>
      <c r="D50" s="25" t="s">
        <v>309</v>
      </c>
      <c r="E50" s="26">
        <v>50683</v>
      </c>
      <c r="F50" s="27">
        <v>784.34</v>
      </c>
      <c r="G50" s="28">
        <v>5.7000000000000002E-3</v>
      </c>
      <c r="H50" s="29"/>
    </row>
    <row r="51" spans="2:8" ht="15.75" customHeight="1" x14ac:dyDescent="0.2">
      <c r="B51" s="25" t="s">
        <v>385</v>
      </c>
      <c r="C51" s="25" t="s">
        <v>386</v>
      </c>
      <c r="D51" s="25" t="s">
        <v>387</v>
      </c>
      <c r="E51" s="26">
        <v>54372</v>
      </c>
      <c r="F51" s="27">
        <v>765.83</v>
      </c>
      <c r="G51" s="28">
        <v>5.5999999999999999E-3</v>
      </c>
      <c r="H51" s="29"/>
    </row>
    <row r="52" spans="2:8" ht="15.75" customHeight="1" x14ac:dyDescent="0.2">
      <c r="B52" s="25" t="s">
        <v>148</v>
      </c>
      <c r="C52" s="25" t="s">
        <v>149</v>
      </c>
      <c r="D52" s="25" t="s">
        <v>133</v>
      </c>
      <c r="E52" s="26">
        <v>14170</v>
      </c>
      <c r="F52" s="27">
        <v>751.13</v>
      </c>
      <c r="G52" s="28">
        <v>5.4999999999999997E-3</v>
      </c>
      <c r="H52" s="29"/>
    </row>
    <row r="53" spans="2:8" ht="15.75" customHeight="1" x14ac:dyDescent="0.2">
      <c r="B53" s="25" t="s">
        <v>233</v>
      </c>
      <c r="C53" s="25" t="s">
        <v>234</v>
      </c>
      <c r="D53" s="25" t="s">
        <v>206</v>
      </c>
      <c r="E53" s="26">
        <v>48766</v>
      </c>
      <c r="F53" s="27">
        <v>746.78</v>
      </c>
      <c r="G53" s="28">
        <v>5.4000000000000003E-3</v>
      </c>
      <c r="H53" s="29"/>
    </row>
    <row r="54" spans="2:8" ht="15.75" customHeight="1" x14ac:dyDescent="0.2">
      <c r="B54" s="25" t="s">
        <v>251</v>
      </c>
      <c r="C54" s="25" t="s">
        <v>252</v>
      </c>
      <c r="D54" s="25" t="s">
        <v>179</v>
      </c>
      <c r="E54" s="26">
        <v>46415</v>
      </c>
      <c r="F54" s="27">
        <v>739.76</v>
      </c>
      <c r="G54" s="28">
        <v>5.4000000000000003E-3</v>
      </c>
      <c r="H54" s="29"/>
    </row>
    <row r="55" spans="2:8" ht="15.75" customHeight="1" x14ac:dyDescent="0.2">
      <c r="B55" s="25" t="s">
        <v>574</v>
      </c>
      <c r="C55" s="25" t="s">
        <v>575</v>
      </c>
      <c r="D55" s="25" t="s">
        <v>191</v>
      </c>
      <c r="E55" s="26">
        <v>519152</v>
      </c>
      <c r="F55" s="27">
        <v>731.23</v>
      </c>
      <c r="G55" s="28">
        <v>5.3E-3</v>
      </c>
      <c r="H55" s="29"/>
    </row>
    <row r="56" spans="2:8" ht="15.75" customHeight="1" x14ac:dyDescent="0.2">
      <c r="B56" s="25" t="s">
        <v>243</v>
      </c>
      <c r="C56" s="25" t="s">
        <v>244</v>
      </c>
      <c r="D56" s="25" t="s">
        <v>133</v>
      </c>
      <c r="E56" s="26">
        <v>56467</v>
      </c>
      <c r="F56" s="27">
        <v>719.3</v>
      </c>
      <c r="G56" s="28">
        <v>5.1999999999999998E-3</v>
      </c>
      <c r="H56" s="29"/>
    </row>
    <row r="57" spans="2:8" ht="15.75" customHeight="1" x14ac:dyDescent="0.2">
      <c r="B57" s="25" t="s">
        <v>510</v>
      </c>
      <c r="C57" s="25" t="s">
        <v>511</v>
      </c>
      <c r="D57" s="25" t="s">
        <v>185</v>
      </c>
      <c r="E57" s="26">
        <v>10565</v>
      </c>
      <c r="F57" s="27">
        <v>678.72</v>
      </c>
      <c r="G57" s="28">
        <v>4.8999999999999998E-3</v>
      </c>
      <c r="H57" s="29"/>
    </row>
    <row r="58" spans="2:8" ht="15.75" customHeight="1" x14ac:dyDescent="0.2">
      <c r="B58" s="25" t="s">
        <v>360</v>
      </c>
      <c r="C58" s="25" t="s">
        <v>361</v>
      </c>
      <c r="D58" s="25" t="s">
        <v>362</v>
      </c>
      <c r="E58" s="26">
        <v>72098</v>
      </c>
      <c r="F58" s="27">
        <v>668.64</v>
      </c>
      <c r="G58" s="28">
        <v>4.8999999999999998E-3</v>
      </c>
      <c r="H58" s="29"/>
    </row>
    <row r="59" spans="2:8" ht="15.75" customHeight="1" x14ac:dyDescent="0.2">
      <c r="B59" s="25" t="s">
        <v>175</v>
      </c>
      <c r="C59" s="25" t="s">
        <v>176</v>
      </c>
      <c r="D59" s="25" t="s">
        <v>130</v>
      </c>
      <c r="E59" s="26">
        <v>229346</v>
      </c>
      <c r="F59" s="27">
        <v>608.79999999999995</v>
      </c>
      <c r="G59" s="28">
        <v>4.4000000000000003E-3</v>
      </c>
      <c r="H59" s="29"/>
    </row>
    <row r="60" spans="2:8" ht="15.75" customHeight="1" x14ac:dyDescent="0.2">
      <c r="B60" s="25" t="s">
        <v>318</v>
      </c>
      <c r="C60" s="25" t="s">
        <v>319</v>
      </c>
      <c r="D60" s="25" t="s">
        <v>320</v>
      </c>
      <c r="E60" s="26">
        <v>16086</v>
      </c>
      <c r="F60" s="27">
        <v>590.79</v>
      </c>
      <c r="G60" s="28">
        <v>4.3E-3</v>
      </c>
      <c r="H60" s="29"/>
    </row>
    <row r="61" spans="2:8" ht="15.75" customHeight="1" x14ac:dyDescent="0.2">
      <c r="B61" s="25" t="s">
        <v>145</v>
      </c>
      <c r="C61" s="25" t="s">
        <v>146</v>
      </c>
      <c r="D61" s="25" t="s">
        <v>147</v>
      </c>
      <c r="E61" s="26">
        <v>22124</v>
      </c>
      <c r="F61" s="27">
        <v>574.38</v>
      </c>
      <c r="G61" s="28">
        <v>4.1999999999999997E-3</v>
      </c>
      <c r="H61" s="29"/>
    </row>
    <row r="62" spans="2:8" ht="15.75" customHeight="1" x14ac:dyDescent="0.2">
      <c r="B62" s="25" t="s">
        <v>514</v>
      </c>
      <c r="C62" s="25" t="s">
        <v>515</v>
      </c>
      <c r="D62" s="25" t="s">
        <v>185</v>
      </c>
      <c r="E62" s="26">
        <v>1841</v>
      </c>
      <c r="F62" s="27">
        <v>523.47</v>
      </c>
      <c r="G62" s="28">
        <v>3.8E-3</v>
      </c>
      <c r="H62" s="29"/>
    </row>
    <row r="63" spans="2:8" ht="15.75" customHeight="1" x14ac:dyDescent="0.2">
      <c r="B63" s="25" t="s">
        <v>583</v>
      </c>
      <c r="C63" s="25" t="s">
        <v>584</v>
      </c>
      <c r="D63" s="25" t="s">
        <v>188</v>
      </c>
      <c r="E63" s="26">
        <v>27966</v>
      </c>
      <c r="F63" s="27">
        <v>505.93</v>
      </c>
      <c r="G63" s="28">
        <v>3.7000000000000002E-3</v>
      </c>
      <c r="H63" s="29"/>
    </row>
    <row r="64" spans="2:8" ht="15.75" customHeight="1" x14ac:dyDescent="0.2">
      <c r="B64" s="25" t="s">
        <v>231</v>
      </c>
      <c r="C64" s="25" t="s">
        <v>232</v>
      </c>
      <c r="D64" s="25" t="s">
        <v>130</v>
      </c>
      <c r="E64" s="26">
        <v>77598</v>
      </c>
      <c r="F64" s="27">
        <v>438</v>
      </c>
      <c r="G64" s="28">
        <v>3.2000000000000002E-3</v>
      </c>
      <c r="H64" s="29"/>
    </row>
    <row r="65" spans="2:16" ht="15.75" customHeight="1" x14ac:dyDescent="0.2">
      <c r="B65" s="25" t="s">
        <v>498</v>
      </c>
      <c r="C65" s="25" t="s">
        <v>499</v>
      </c>
      <c r="D65" s="25" t="s">
        <v>144</v>
      </c>
      <c r="E65" s="26">
        <v>4413</v>
      </c>
      <c r="F65" s="27">
        <v>349.04</v>
      </c>
      <c r="G65" s="28">
        <v>2.5000000000000001E-3</v>
      </c>
      <c r="H65" s="29"/>
    </row>
    <row r="66" spans="2:16" ht="15.75" customHeight="1" x14ac:dyDescent="0.2">
      <c r="B66" s="25" t="s">
        <v>228</v>
      </c>
      <c r="C66" s="25" t="s">
        <v>229</v>
      </c>
      <c r="D66" s="25" t="s">
        <v>230</v>
      </c>
      <c r="E66" s="26">
        <v>91440</v>
      </c>
      <c r="F66" s="27">
        <v>339.93</v>
      </c>
      <c r="G66" s="28">
        <v>2.5000000000000001E-3</v>
      </c>
      <c r="H66" s="29"/>
    </row>
    <row r="67" spans="2:16" ht="15.75" customHeight="1" x14ac:dyDescent="0.2">
      <c r="B67" s="25" t="s">
        <v>703</v>
      </c>
      <c r="C67" s="25" t="s">
        <v>704</v>
      </c>
      <c r="D67" s="25" t="s">
        <v>188</v>
      </c>
      <c r="E67" s="26">
        <v>10246</v>
      </c>
      <c r="F67" s="27">
        <v>315.99</v>
      </c>
      <c r="G67" s="28">
        <v>2.3E-3</v>
      </c>
      <c r="H67" s="29"/>
    </row>
    <row r="68" spans="2:16" ht="15.75" customHeight="1" x14ac:dyDescent="0.2">
      <c r="B68" s="25" t="s">
        <v>160</v>
      </c>
      <c r="C68" s="25" t="s">
        <v>557</v>
      </c>
      <c r="D68" s="25" t="s">
        <v>179</v>
      </c>
      <c r="E68" s="26">
        <v>38277</v>
      </c>
      <c r="F68" s="27">
        <v>169.2</v>
      </c>
      <c r="G68" s="28">
        <v>1.1999999999999999E-3</v>
      </c>
      <c r="H68" s="29"/>
      <c r="L68" s="3"/>
    </row>
    <row r="69" spans="2:16" ht="15.75" customHeight="1" x14ac:dyDescent="0.2">
      <c r="B69" s="25" t="s">
        <v>675</v>
      </c>
      <c r="C69" s="25" t="s">
        <v>676</v>
      </c>
      <c r="D69" s="25" t="s">
        <v>222</v>
      </c>
      <c r="E69" s="26">
        <v>5337</v>
      </c>
      <c r="F69" s="27">
        <v>161.24</v>
      </c>
      <c r="G69" s="28">
        <v>1.1999999999999999E-3</v>
      </c>
      <c r="H69" s="29"/>
    </row>
    <row r="70" spans="2:16" ht="15.75" customHeight="1" x14ac:dyDescent="0.2">
      <c r="B70" s="25" t="s">
        <v>459</v>
      </c>
      <c r="C70" s="25" t="s">
        <v>460</v>
      </c>
      <c r="D70" s="25" t="s">
        <v>206</v>
      </c>
      <c r="E70" s="26">
        <v>32276</v>
      </c>
      <c r="F70" s="27">
        <v>130.78</v>
      </c>
      <c r="G70" s="28">
        <v>8.9999999999999998E-4</v>
      </c>
      <c r="H70" s="29"/>
      <c r="L70" s="3"/>
    </row>
    <row r="71" spans="2:16" ht="15.75" customHeight="1" x14ac:dyDescent="0.2">
      <c r="B71" s="25" t="s">
        <v>340</v>
      </c>
      <c r="C71" s="25" t="s">
        <v>341</v>
      </c>
      <c r="D71" s="25" t="s">
        <v>285</v>
      </c>
      <c r="E71" s="26">
        <v>4918</v>
      </c>
      <c r="F71" s="27">
        <v>46.76</v>
      </c>
      <c r="G71" s="28">
        <v>2.9999999999999997E-4</v>
      </c>
      <c r="H71" s="29"/>
      <c r="L71" s="3"/>
    </row>
    <row r="72" spans="2:16" ht="15.75" customHeight="1" x14ac:dyDescent="0.2">
      <c r="B72" s="24" t="s">
        <v>98</v>
      </c>
      <c r="C72" s="24"/>
      <c r="D72" s="24"/>
      <c r="E72" s="30"/>
      <c r="F72" s="31">
        <v>132279.22</v>
      </c>
      <c r="G72" s="32">
        <v>0.96060000000000001</v>
      </c>
      <c r="H72" s="33"/>
      <c r="L72" s="3"/>
    </row>
    <row r="73" spans="2:16" ht="15.75" customHeight="1" x14ac:dyDescent="0.2">
      <c r="B73" s="24" t="s">
        <v>150</v>
      </c>
      <c r="C73" s="25"/>
      <c r="D73" s="25"/>
      <c r="E73" s="26"/>
      <c r="F73" s="27"/>
      <c r="G73" s="28"/>
      <c r="H73" s="29"/>
      <c r="L73" s="3"/>
    </row>
    <row r="74" spans="2:16" ht="15.75" customHeight="1" x14ac:dyDescent="0.2">
      <c r="B74" s="24" t="s">
        <v>98</v>
      </c>
      <c r="C74" s="25"/>
      <c r="D74" s="25"/>
      <c r="E74" s="26"/>
      <c r="F74" s="34" t="s">
        <v>100</v>
      </c>
      <c r="G74" s="35" t="s">
        <v>100</v>
      </c>
      <c r="H74" s="29"/>
      <c r="L74" s="3"/>
    </row>
    <row r="75" spans="2:16" ht="15.75" customHeight="1" x14ac:dyDescent="0.2">
      <c r="B75" s="25"/>
      <c r="C75" s="25"/>
      <c r="D75" s="25"/>
      <c r="E75" s="26"/>
      <c r="F75" s="27"/>
      <c r="G75" s="28"/>
      <c r="H75" s="29"/>
      <c r="L75" s="5"/>
      <c r="M75" s="5"/>
      <c r="N75" s="6"/>
      <c r="O75" s="6"/>
      <c r="P75" s="5"/>
    </row>
    <row r="76" spans="2:16" ht="15.75" customHeight="1" x14ac:dyDescent="0.2">
      <c r="B76" s="36" t="s">
        <v>102</v>
      </c>
      <c r="C76" s="36"/>
      <c r="D76" s="36"/>
      <c r="E76" s="37"/>
      <c r="F76" s="31">
        <v>132279.22</v>
      </c>
      <c r="G76" s="32">
        <v>0.96060000000000001</v>
      </c>
      <c r="H76" s="33"/>
    </row>
    <row r="77" spans="2:16" ht="15.75" customHeight="1" x14ac:dyDescent="0.2">
      <c r="B77" s="25"/>
      <c r="C77" s="25"/>
      <c r="D77" s="25"/>
      <c r="E77" s="26"/>
      <c r="F77" s="27"/>
      <c r="G77" s="28"/>
      <c r="H77" s="29"/>
    </row>
    <row r="78" spans="2:16" ht="15.75" customHeight="1" x14ac:dyDescent="0.2">
      <c r="B78" s="25"/>
      <c r="C78" s="25"/>
      <c r="D78" s="25"/>
      <c r="E78" s="26"/>
      <c r="F78" s="27"/>
      <c r="G78" s="28"/>
      <c r="H78" s="29"/>
      <c r="L78" s="7"/>
      <c r="M78" s="7"/>
      <c r="N78" s="7"/>
      <c r="O78" s="7"/>
      <c r="P78" s="7"/>
    </row>
    <row r="79" spans="2:16" ht="15.75" customHeight="1" x14ac:dyDescent="0.2">
      <c r="B79" s="24" t="s">
        <v>105</v>
      </c>
      <c r="C79" s="25"/>
      <c r="D79" s="25"/>
      <c r="E79" s="26"/>
      <c r="F79" s="27"/>
      <c r="G79" s="28"/>
      <c r="H79" s="29"/>
      <c r="L79" s="7"/>
      <c r="M79" s="7"/>
      <c r="N79" s="7"/>
      <c r="O79" s="7"/>
      <c r="P79" s="7"/>
    </row>
    <row r="80" spans="2:16" ht="15.75" customHeight="1" x14ac:dyDescent="0.2">
      <c r="B80" s="25" t="s">
        <v>106</v>
      </c>
      <c r="C80" s="25"/>
      <c r="D80" s="25"/>
      <c r="E80" s="26"/>
      <c r="F80" s="27">
        <v>5479.27</v>
      </c>
      <c r="G80" s="28">
        <v>3.9800000000000002E-2</v>
      </c>
      <c r="H80" s="29"/>
      <c r="L80" s="7"/>
      <c r="M80" s="7"/>
      <c r="N80" s="7"/>
      <c r="O80" s="7"/>
      <c r="P80" s="7"/>
    </row>
    <row r="81" spans="2:16" ht="15.75" customHeight="1" x14ac:dyDescent="0.2">
      <c r="B81" s="24" t="s">
        <v>98</v>
      </c>
      <c r="C81" s="24"/>
      <c r="D81" s="24"/>
      <c r="E81" s="30"/>
      <c r="F81" s="31">
        <v>5479.27</v>
      </c>
      <c r="G81" s="32">
        <v>3.9800000000000002E-2</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36" t="s">
        <v>102</v>
      </c>
      <c r="C83" s="36"/>
      <c r="D83" s="36"/>
      <c r="E83" s="37"/>
      <c r="F83" s="31">
        <v>5479.27</v>
      </c>
      <c r="G83" s="32">
        <v>3.9800000000000002E-2</v>
      </c>
      <c r="H83" s="33"/>
      <c r="L83" s="7"/>
      <c r="M83" s="7"/>
      <c r="N83" s="7"/>
      <c r="O83" s="7"/>
      <c r="P83" s="7"/>
    </row>
    <row r="84" spans="2:16" ht="15.75" customHeight="1" x14ac:dyDescent="0.2">
      <c r="B84" s="25" t="s">
        <v>107</v>
      </c>
      <c r="C84" s="25"/>
      <c r="D84" s="25"/>
      <c r="E84" s="26"/>
      <c r="F84" s="38">
        <v>-55.05</v>
      </c>
      <c r="G84" s="39">
        <v>-3.9999999999995595E-4</v>
      </c>
      <c r="H84" s="29"/>
      <c r="L84" s="7"/>
      <c r="M84" s="7"/>
      <c r="N84" s="7"/>
      <c r="O84" s="7"/>
      <c r="P84" s="7"/>
    </row>
    <row r="85" spans="2:16" ht="15.75" customHeight="1" x14ac:dyDescent="0.2">
      <c r="B85" s="40" t="s">
        <v>108</v>
      </c>
      <c r="C85" s="40"/>
      <c r="D85" s="40"/>
      <c r="E85" s="41"/>
      <c r="F85" s="42">
        <v>137703.44</v>
      </c>
      <c r="G85" s="43">
        <v>1</v>
      </c>
      <c r="H85" s="44"/>
    </row>
    <row r="86" spans="2:16" ht="15.75" customHeight="1" thickBot="1" x14ac:dyDescent="0.25">
      <c r="B86" s="2"/>
      <c r="L86" s="3"/>
    </row>
    <row r="87" spans="2:16" ht="27" customHeight="1" thickBot="1" x14ac:dyDescent="0.25">
      <c r="B87" s="57" t="s">
        <v>925</v>
      </c>
      <c r="C87" s="58" t="s">
        <v>926</v>
      </c>
      <c r="D87" s="58" t="s">
        <v>927</v>
      </c>
      <c r="E87" s="63" t="s">
        <v>928</v>
      </c>
      <c r="G87" s="2"/>
      <c r="H87" s="2"/>
    </row>
    <row r="88" spans="2:16" ht="27.75" customHeight="1" x14ac:dyDescent="0.2">
      <c r="B88" s="64" t="s">
        <v>55</v>
      </c>
      <c r="C88" s="82"/>
      <c r="D88" s="85" t="s">
        <v>986</v>
      </c>
      <c r="E88" s="87"/>
      <c r="G88" s="2"/>
      <c r="H88" s="2"/>
    </row>
    <row r="89" spans="2:16" ht="39.950000000000003" customHeight="1" x14ac:dyDescent="0.2">
      <c r="B89" s="66" t="s">
        <v>987</v>
      </c>
      <c r="C89" s="83"/>
      <c r="D89" s="86"/>
      <c r="E89" s="83"/>
      <c r="G89" s="2"/>
      <c r="H89" s="2"/>
    </row>
    <row r="90" spans="2:16" ht="39.950000000000003" customHeight="1" x14ac:dyDescent="0.2">
      <c r="B90" s="66" t="s">
        <v>988</v>
      </c>
      <c r="C90" s="83"/>
      <c r="D90" s="86"/>
      <c r="E90" s="83"/>
      <c r="G90" s="2"/>
      <c r="H90" s="2"/>
    </row>
    <row r="91" spans="2:16" ht="27.75" customHeight="1" thickBot="1" x14ac:dyDescent="0.25">
      <c r="B91" s="68" t="s">
        <v>953</v>
      </c>
      <c r="C91" s="84"/>
      <c r="D91" s="71" t="s">
        <v>953</v>
      </c>
      <c r="E91" s="88"/>
      <c r="G91" s="2"/>
      <c r="H91" s="2"/>
    </row>
    <row r="92" spans="2:16" ht="24.95" customHeight="1" x14ac:dyDescent="0.2">
      <c r="B92" s="59" t="s">
        <v>929</v>
      </c>
      <c r="C92" s="60"/>
      <c r="D92" s="61"/>
      <c r="E92" s="62"/>
      <c r="G92" s="2"/>
      <c r="H92" s="2"/>
    </row>
    <row r="94" spans="2:16" ht="12" x14ac:dyDescent="0.2">
      <c r="B94" s="2" t="s">
        <v>930</v>
      </c>
      <c r="C94" s="2"/>
      <c r="D94" s="2"/>
      <c r="G94" s="2"/>
      <c r="H94" s="2"/>
    </row>
    <row r="95" spans="2:16" ht="12" x14ac:dyDescent="0.2">
      <c r="B95" s="3" t="s">
        <v>931</v>
      </c>
      <c r="C95" s="2"/>
      <c r="D95" s="2"/>
      <c r="G95" s="2"/>
      <c r="H95" s="2"/>
    </row>
  </sheetData>
  <mergeCells count="3">
    <mergeCell ref="C88:C91"/>
    <mergeCell ref="D88:D90"/>
    <mergeCell ref="E88:E91"/>
  </mergeCells>
  <hyperlinks>
    <hyperlink ref="I1" location="'Sheet1'!A1" display="Index" xr:uid="{9DEFD09C-10CE-472D-8A6C-5151069FF93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62C3-E42E-44B6-9A22-80033AFBF74C}">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7109375" style="9" customWidth="1"/>
    <col min="4" max="4" width="26.5703125" style="9" customWidth="1"/>
    <col min="5" max="5" width="30.71093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479</v>
      </c>
      <c r="C7" s="25" t="s">
        <v>480</v>
      </c>
      <c r="D7" s="25" t="s">
        <v>355</v>
      </c>
      <c r="E7" s="26">
        <v>16830</v>
      </c>
      <c r="F7" s="27">
        <v>960.41</v>
      </c>
      <c r="G7" s="28">
        <v>4.8300000000000003E-2</v>
      </c>
      <c r="H7" s="29"/>
    </row>
    <row r="8" spans="2:9" ht="15.75" customHeight="1" x14ac:dyDescent="0.2">
      <c r="B8" s="25" t="s">
        <v>353</v>
      </c>
      <c r="C8" s="25" t="s">
        <v>354</v>
      </c>
      <c r="D8" s="25" t="s">
        <v>355</v>
      </c>
      <c r="E8" s="26">
        <v>85696</v>
      </c>
      <c r="F8" s="27">
        <v>781.03</v>
      </c>
      <c r="G8" s="28">
        <v>3.9300000000000002E-2</v>
      </c>
      <c r="H8" s="29"/>
    </row>
    <row r="9" spans="2:9" ht="15.75" customHeight="1" x14ac:dyDescent="0.2">
      <c r="B9" s="25" t="s">
        <v>705</v>
      </c>
      <c r="C9" s="25" t="s">
        <v>706</v>
      </c>
      <c r="D9" s="25" t="s">
        <v>355</v>
      </c>
      <c r="E9" s="26">
        <v>122327</v>
      </c>
      <c r="F9" s="27">
        <v>779.47</v>
      </c>
      <c r="G9" s="28">
        <v>3.9199999999999999E-2</v>
      </c>
      <c r="H9" s="29"/>
    </row>
    <row r="10" spans="2:9" ht="15.75" customHeight="1" x14ac:dyDescent="0.2">
      <c r="B10" s="25" t="s">
        <v>383</v>
      </c>
      <c r="C10" s="25" t="s">
        <v>384</v>
      </c>
      <c r="D10" s="25" t="s">
        <v>171</v>
      </c>
      <c r="E10" s="26">
        <v>92872</v>
      </c>
      <c r="F10" s="27">
        <v>771.16</v>
      </c>
      <c r="G10" s="28">
        <v>3.8800000000000001E-2</v>
      </c>
      <c r="H10" s="29"/>
    </row>
    <row r="11" spans="2:9" ht="15.75" customHeight="1" x14ac:dyDescent="0.2">
      <c r="B11" s="25" t="s">
        <v>160</v>
      </c>
      <c r="C11" s="25" t="s">
        <v>557</v>
      </c>
      <c r="D11" s="25" t="s">
        <v>179</v>
      </c>
      <c r="E11" s="26">
        <v>165626</v>
      </c>
      <c r="F11" s="27">
        <v>732.15</v>
      </c>
      <c r="G11" s="28">
        <v>3.6799999999999999E-2</v>
      </c>
      <c r="H11" s="29"/>
    </row>
    <row r="12" spans="2:9" ht="15.75" customHeight="1" x14ac:dyDescent="0.2">
      <c r="B12" s="25" t="s">
        <v>292</v>
      </c>
      <c r="C12" s="25" t="s">
        <v>293</v>
      </c>
      <c r="D12" s="25" t="s">
        <v>294</v>
      </c>
      <c r="E12" s="26">
        <v>380837</v>
      </c>
      <c r="F12" s="27">
        <v>724.92</v>
      </c>
      <c r="G12" s="28">
        <v>3.6499999999999998E-2</v>
      </c>
      <c r="H12" s="29"/>
    </row>
    <row r="13" spans="2:9" ht="15.75" customHeight="1" x14ac:dyDescent="0.2">
      <c r="B13" s="25" t="s">
        <v>645</v>
      </c>
      <c r="C13" s="25" t="s">
        <v>646</v>
      </c>
      <c r="D13" s="25" t="s">
        <v>309</v>
      </c>
      <c r="E13" s="26">
        <v>18961</v>
      </c>
      <c r="F13" s="27">
        <v>693.9</v>
      </c>
      <c r="G13" s="28">
        <v>3.49E-2</v>
      </c>
      <c r="H13" s="29"/>
    </row>
    <row r="14" spans="2:9" ht="15.75" customHeight="1" x14ac:dyDescent="0.2">
      <c r="B14" s="25" t="s">
        <v>635</v>
      </c>
      <c r="C14" s="25" t="s">
        <v>636</v>
      </c>
      <c r="D14" s="25" t="s">
        <v>309</v>
      </c>
      <c r="E14" s="26">
        <v>35070</v>
      </c>
      <c r="F14" s="27">
        <v>667.5</v>
      </c>
      <c r="G14" s="28">
        <v>3.3599999999999998E-2</v>
      </c>
      <c r="H14" s="29"/>
    </row>
    <row r="15" spans="2:9" ht="15.75" customHeight="1" x14ac:dyDescent="0.2">
      <c r="B15" s="25" t="s">
        <v>465</v>
      </c>
      <c r="C15" s="25" t="s">
        <v>466</v>
      </c>
      <c r="D15" s="25" t="s">
        <v>294</v>
      </c>
      <c r="E15" s="26">
        <v>27872</v>
      </c>
      <c r="F15" s="27">
        <v>645.17999999999995</v>
      </c>
      <c r="G15" s="28">
        <v>3.2399999999999998E-2</v>
      </c>
      <c r="H15" s="29"/>
    </row>
    <row r="16" spans="2:9" ht="15.75" customHeight="1" x14ac:dyDescent="0.2">
      <c r="B16" s="25" t="s">
        <v>365</v>
      </c>
      <c r="C16" s="25" t="s">
        <v>366</v>
      </c>
      <c r="D16" s="25" t="s">
        <v>355</v>
      </c>
      <c r="E16" s="26">
        <v>216269</v>
      </c>
      <c r="F16" s="27">
        <v>645.13</v>
      </c>
      <c r="G16" s="28">
        <v>3.2399999999999998E-2</v>
      </c>
      <c r="H16" s="29"/>
    </row>
    <row r="17" spans="2:8" ht="15.75" customHeight="1" x14ac:dyDescent="0.2">
      <c r="B17" s="25" t="s">
        <v>440</v>
      </c>
      <c r="C17" s="25" t="s">
        <v>441</v>
      </c>
      <c r="D17" s="25" t="s">
        <v>285</v>
      </c>
      <c r="E17" s="26">
        <v>6289</v>
      </c>
      <c r="F17" s="27">
        <v>622.13</v>
      </c>
      <c r="G17" s="28">
        <v>3.1300000000000001E-2</v>
      </c>
      <c r="H17" s="29"/>
    </row>
    <row r="18" spans="2:8" ht="15.75" customHeight="1" x14ac:dyDescent="0.2">
      <c r="B18" s="25" t="s">
        <v>534</v>
      </c>
      <c r="C18" s="25" t="s">
        <v>535</v>
      </c>
      <c r="D18" s="25" t="s">
        <v>240</v>
      </c>
      <c r="E18" s="26">
        <v>74627</v>
      </c>
      <c r="F18" s="27">
        <v>556.12</v>
      </c>
      <c r="G18" s="28">
        <v>2.8000000000000001E-2</v>
      </c>
      <c r="H18" s="29"/>
    </row>
    <row r="19" spans="2:8" ht="15.75" customHeight="1" x14ac:dyDescent="0.2">
      <c r="B19" s="25" t="s">
        <v>655</v>
      </c>
      <c r="C19" s="25" t="s">
        <v>656</v>
      </c>
      <c r="D19" s="25" t="s">
        <v>355</v>
      </c>
      <c r="E19" s="26">
        <v>8928</v>
      </c>
      <c r="F19" s="27">
        <v>536.04999999999995</v>
      </c>
      <c r="G19" s="28">
        <v>2.7E-2</v>
      </c>
      <c r="H19" s="29"/>
    </row>
    <row r="20" spans="2:8" ht="15.75" customHeight="1" x14ac:dyDescent="0.2">
      <c r="B20" s="25" t="s">
        <v>377</v>
      </c>
      <c r="C20" s="25" t="s">
        <v>378</v>
      </c>
      <c r="D20" s="25" t="s">
        <v>309</v>
      </c>
      <c r="E20" s="26">
        <v>45112</v>
      </c>
      <c r="F20" s="27">
        <v>519.24</v>
      </c>
      <c r="G20" s="28">
        <v>2.6100000000000002E-2</v>
      </c>
      <c r="H20" s="29"/>
    </row>
    <row r="21" spans="2:8" ht="15.75" customHeight="1" x14ac:dyDescent="0.2">
      <c r="B21" s="25" t="s">
        <v>707</v>
      </c>
      <c r="C21" s="25" t="s">
        <v>708</v>
      </c>
      <c r="D21" s="25" t="s">
        <v>309</v>
      </c>
      <c r="E21" s="26">
        <v>18959</v>
      </c>
      <c r="F21" s="27">
        <v>519.22</v>
      </c>
      <c r="G21" s="28">
        <v>2.6100000000000002E-2</v>
      </c>
      <c r="H21" s="29"/>
    </row>
    <row r="22" spans="2:8" ht="15.75" customHeight="1" x14ac:dyDescent="0.2">
      <c r="B22" s="25" t="s">
        <v>186</v>
      </c>
      <c r="C22" s="25" t="s">
        <v>187</v>
      </c>
      <c r="D22" s="25" t="s">
        <v>188</v>
      </c>
      <c r="E22" s="26">
        <v>244991</v>
      </c>
      <c r="F22" s="27">
        <v>502.48</v>
      </c>
      <c r="G22" s="28">
        <v>2.53E-2</v>
      </c>
      <c r="H22" s="29"/>
    </row>
    <row r="23" spans="2:8" ht="15.75" customHeight="1" x14ac:dyDescent="0.2">
      <c r="B23" s="25" t="s">
        <v>401</v>
      </c>
      <c r="C23" s="25" t="s">
        <v>402</v>
      </c>
      <c r="D23" s="25" t="s">
        <v>237</v>
      </c>
      <c r="E23" s="26">
        <v>103557</v>
      </c>
      <c r="F23" s="27">
        <v>456.58</v>
      </c>
      <c r="G23" s="28">
        <v>2.3E-2</v>
      </c>
      <c r="H23" s="29"/>
    </row>
    <row r="24" spans="2:8" ht="15.75" customHeight="1" x14ac:dyDescent="0.2">
      <c r="B24" s="25" t="s">
        <v>172</v>
      </c>
      <c r="C24" s="25" t="s">
        <v>173</v>
      </c>
      <c r="D24" s="25" t="s">
        <v>174</v>
      </c>
      <c r="E24" s="26">
        <v>13092</v>
      </c>
      <c r="F24" s="27">
        <v>455.28</v>
      </c>
      <c r="G24" s="28">
        <v>2.29E-2</v>
      </c>
      <c r="H24" s="29"/>
    </row>
    <row r="25" spans="2:8" ht="15.75" customHeight="1" x14ac:dyDescent="0.2">
      <c r="B25" s="25" t="s">
        <v>169</v>
      </c>
      <c r="C25" s="25" t="s">
        <v>170</v>
      </c>
      <c r="D25" s="25" t="s">
        <v>171</v>
      </c>
      <c r="E25" s="26">
        <v>45755</v>
      </c>
      <c r="F25" s="27">
        <v>447.21</v>
      </c>
      <c r="G25" s="28">
        <v>2.2499999999999999E-2</v>
      </c>
      <c r="H25" s="29"/>
    </row>
    <row r="26" spans="2:8" ht="15.75" customHeight="1" x14ac:dyDescent="0.2">
      <c r="B26" s="25" t="s">
        <v>434</v>
      </c>
      <c r="C26" s="25" t="s">
        <v>435</v>
      </c>
      <c r="D26" s="25" t="s">
        <v>294</v>
      </c>
      <c r="E26" s="26">
        <v>56870</v>
      </c>
      <c r="F26" s="27">
        <v>437.73</v>
      </c>
      <c r="G26" s="28">
        <v>2.1999999999999999E-2</v>
      </c>
      <c r="H26" s="29"/>
    </row>
    <row r="27" spans="2:8" ht="15.75" customHeight="1" x14ac:dyDescent="0.2">
      <c r="B27" s="25" t="s">
        <v>564</v>
      </c>
      <c r="C27" s="25" t="s">
        <v>565</v>
      </c>
      <c r="D27" s="25" t="s">
        <v>294</v>
      </c>
      <c r="E27" s="26">
        <v>1099</v>
      </c>
      <c r="F27" s="27">
        <v>416.86</v>
      </c>
      <c r="G27" s="28">
        <v>2.1000000000000001E-2</v>
      </c>
      <c r="H27" s="29"/>
    </row>
    <row r="28" spans="2:8" ht="15.75" customHeight="1" x14ac:dyDescent="0.2">
      <c r="B28" s="25" t="s">
        <v>647</v>
      </c>
      <c r="C28" s="25" t="s">
        <v>648</v>
      </c>
      <c r="D28" s="25" t="s">
        <v>355</v>
      </c>
      <c r="E28" s="26">
        <v>77059</v>
      </c>
      <c r="F28" s="27">
        <v>409.14</v>
      </c>
      <c r="G28" s="28">
        <v>2.06E-2</v>
      </c>
      <c r="H28" s="29"/>
    </row>
    <row r="29" spans="2:8" ht="15.75" customHeight="1" x14ac:dyDescent="0.2">
      <c r="B29" s="25" t="s">
        <v>276</v>
      </c>
      <c r="C29" s="25" t="s">
        <v>277</v>
      </c>
      <c r="D29" s="25" t="s">
        <v>230</v>
      </c>
      <c r="E29" s="26">
        <v>107527</v>
      </c>
      <c r="F29" s="27">
        <v>360.86</v>
      </c>
      <c r="G29" s="28">
        <v>1.8100000000000002E-2</v>
      </c>
      <c r="H29" s="29"/>
    </row>
    <row r="30" spans="2:8" ht="15.75" customHeight="1" x14ac:dyDescent="0.2">
      <c r="B30" s="25" t="s">
        <v>474</v>
      </c>
      <c r="C30" s="25" t="s">
        <v>475</v>
      </c>
      <c r="D30" s="25" t="s">
        <v>476</v>
      </c>
      <c r="E30" s="26">
        <v>23608</v>
      </c>
      <c r="F30" s="27">
        <v>350.43</v>
      </c>
      <c r="G30" s="28">
        <v>1.7600000000000001E-2</v>
      </c>
      <c r="H30" s="29"/>
    </row>
    <row r="31" spans="2:8" ht="15.75" customHeight="1" x14ac:dyDescent="0.2">
      <c r="B31" s="25" t="s">
        <v>709</v>
      </c>
      <c r="C31" s="25" t="s">
        <v>710</v>
      </c>
      <c r="D31" s="25" t="s">
        <v>174</v>
      </c>
      <c r="E31" s="26">
        <v>184817</v>
      </c>
      <c r="F31" s="27">
        <v>344.31</v>
      </c>
      <c r="G31" s="28">
        <v>1.7299999999999999E-2</v>
      </c>
      <c r="H31" s="29"/>
    </row>
    <row r="32" spans="2:8" ht="15.75" customHeight="1" x14ac:dyDescent="0.2">
      <c r="B32" s="25" t="s">
        <v>540</v>
      </c>
      <c r="C32" s="25" t="s">
        <v>541</v>
      </c>
      <c r="D32" s="25" t="s">
        <v>237</v>
      </c>
      <c r="E32" s="26">
        <v>11403</v>
      </c>
      <c r="F32" s="27">
        <v>329.87</v>
      </c>
      <c r="G32" s="28">
        <v>1.66E-2</v>
      </c>
      <c r="H32" s="29"/>
    </row>
    <row r="33" spans="2:8" ht="15.75" customHeight="1" x14ac:dyDescent="0.2">
      <c r="B33" s="25" t="s">
        <v>447</v>
      </c>
      <c r="C33" s="25" t="s">
        <v>448</v>
      </c>
      <c r="D33" s="25" t="s">
        <v>237</v>
      </c>
      <c r="E33" s="26">
        <v>38283</v>
      </c>
      <c r="F33" s="27">
        <v>322.48</v>
      </c>
      <c r="G33" s="28">
        <v>1.6199999999999999E-2</v>
      </c>
      <c r="H33" s="29"/>
    </row>
    <row r="34" spans="2:8" ht="15.75" customHeight="1" x14ac:dyDescent="0.2">
      <c r="B34" s="25" t="s">
        <v>583</v>
      </c>
      <c r="C34" s="25" t="s">
        <v>584</v>
      </c>
      <c r="D34" s="25" t="s">
        <v>188</v>
      </c>
      <c r="E34" s="26">
        <v>14495</v>
      </c>
      <c r="F34" s="27">
        <v>262.23</v>
      </c>
      <c r="G34" s="28">
        <v>1.32E-2</v>
      </c>
      <c r="H34" s="29"/>
    </row>
    <row r="35" spans="2:8" ht="15.75" customHeight="1" x14ac:dyDescent="0.2">
      <c r="B35" s="25" t="s">
        <v>194</v>
      </c>
      <c r="C35" s="25" t="s">
        <v>195</v>
      </c>
      <c r="D35" s="25" t="s">
        <v>196</v>
      </c>
      <c r="E35" s="26">
        <v>51768</v>
      </c>
      <c r="F35" s="27">
        <v>260.83</v>
      </c>
      <c r="G35" s="28">
        <v>1.3100000000000001E-2</v>
      </c>
      <c r="H35" s="29"/>
    </row>
    <row r="36" spans="2:8" ht="15.75" customHeight="1" x14ac:dyDescent="0.2">
      <c r="B36" s="25" t="s">
        <v>369</v>
      </c>
      <c r="C36" s="25" t="s">
        <v>370</v>
      </c>
      <c r="D36" s="25" t="s">
        <v>309</v>
      </c>
      <c r="E36" s="26">
        <v>8100</v>
      </c>
      <c r="F36" s="27">
        <v>260.07</v>
      </c>
      <c r="G36" s="28">
        <v>1.3100000000000001E-2</v>
      </c>
      <c r="H36" s="29"/>
    </row>
    <row r="37" spans="2:8" ht="15.75" customHeight="1" x14ac:dyDescent="0.2">
      <c r="B37" s="25" t="s">
        <v>356</v>
      </c>
      <c r="C37" s="25" t="s">
        <v>357</v>
      </c>
      <c r="D37" s="25" t="s">
        <v>355</v>
      </c>
      <c r="E37" s="26">
        <v>20897</v>
      </c>
      <c r="F37" s="27">
        <v>252.93</v>
      </c>
      <c r="G37" s="28">
        <v>1.2699999999999999E-2</v>
      </c>
      <c r="H37" s="29"/>
    </row>
    <row r="38" spans="2:8" ht="15.75" customHeight="1" x14ac:dyDescent="0.2">
      <c r="B38" s="25" t="s">
        <v>295</v>
      </c>
      <c r="C38" s="25" t="s">
        <v>296</v>
      </c>
      <c r="D38" s="25" t="s">
        <v>179</v>
      </c>
      <c r="E38" s="26">
        <v>58838</v>
      </c>
      <c r="F38" s="27">
        <v>235.76</v>
      </c>
      <c r="G38" s="28">
        <v>1.1900000000000001E-2</v>
      </c>
      <c r="H38" s="29"/>
    </row>
    <row r="39" spans="2:8" ht="15.75" customHeight="1" x14ac:dyDescent="0.2">
      <c r="B39" s="25" t="s">
        <v>606</v>
      </c>
      <c r="C39" s="25" t="s">
        <v>607</v>
      </c>
      <c r="D39" s="25" t="s">
        <v>171</v>
      </c>
      <c r="E39" s="26">
        <v>3810</v>
      </c>
      <c r="F39" s="27">
        <v>229.92</v>
      </c>
      <c r="G39" s="28">
        <v>1.1599999999999999E-2</v>
      </c>
      <c r="H39" s="29"/>
    </row>
    <row r="40" spans="2:8" ht="15.75" customHeight="1" x14ac:dyDescent="0.2">
      <c r="B40" s="25" t="s">
        <v>711</v>
      </c>
      <c r="C40" s="25" t="s">
        <v>712</v>
      </c>
      <c r="D40" s="25" t="s">
        <v>476</v>
      </c>
      <c r="E40" s="26">
        <v>59761</v>
      </c>
      <c r="F40" s="27">
        <v>220.46</v>
      </c>
      <c r="G40" s="28">
        <v>1.11E-2</v>
      </c>
      <c r="H40" s="29"/>
    </row>
    <row r="41" spans="2:8" ht="15.75" customHeight="1" x14ac:dyDescent="0.2">
      <c r="B41" s="25" t="s">
        <v>241</v>
      </c>
      <c r="C41" s="25" t="s">
        <v>242</v>
      </c>
      <c r="D41" s="25" t="s">
        <v>168</v>
      </c>
      <c r="E41" s="26">
        <v>19331</v>
      </c>
      <c r="F41" s="27">
        <v>217.15</v>
      </c>
      <c r="G41" s="28">
        <v>1.09E-2</v>
      </c>
      <c r="H41" s="29"/>
    </row>
    <row r="42" spans="2:8" ht="15.75" customHeight="1" x14ac:dyDescent="0.2">
      <c r="B42" s="25" t="s">
        <v>612</v>
      </c>
      <c r="C42" s="25" t="s">
        <v>613</v>
      </c>
      <c r="D42" s="25" t="s">
        <v>294</v>
      </c>
      <c r="E42" s="26">
        <v>15848</v>
      </c>
      <c r="F42" s="27">
        <v>206.34</v>
      </c>
      <c r="G42" s="28">
        <v>1.04E-2</v>
      </c>
      <c r="H42" s="29"/>
    </row>
    <row r="43" spans="2:8" ht="15.75" customHeight="1" x14ac:dyDescent="0.2">
      <c r="B43" s="25" t="s">
        <v>307</v>
      </c>
      <c r="C43" s="25" t="s">
        <v>308</v>
      </c>
      <c r="D43" s="25" t="s">
        <v>309</v>
      </c>
      <c r="E43" s="26">
        <v>12987</v>
      </c>
      <c r="F43" s="27">
        <v>200.98</v>
      </c>
      <c r="G43" s="28">
        <v>1.01E-2</v>
      </c>
      <c r="H43" s="29"/>
    </row>
    <row r="44" spans="2:8" ht="15.75" customHeight="1" x14ac:dyDescent="0.2">
      <c r="B44" s="25" t="s">
        <v>637</v>
      </c>
      <c r="C44" s="25" t="s">
        <v>638</v>
      </c>
      <c r="D44" s="25" t="s">
        <v>309</v>
      </c>
      <c r="E44" s="26">
        <v>21597</v>
      </c>
      <c r="F44" s="27">
        <v>197.25</v>
      </c>
      <c r="G44" s="28">
        <v>9.9000000000000008E-3</v>
      </c>
      <c r="H44" s="29"/>
    </row>
    <row r="45" spans="2:8" ht="15.75" customHeight="1" x14ac:dyDescent="0.2">
      <c r="B45" s="25" t="s">
        <v>713</v>
      </c>
      <c r="C45" s="25" t="s">
        <v>714</v>
      </c>
      <c r="D45" s="25" t="s">
        <v>222</v>
      </c>
      <c r="E45" s="26">
        <v>5275</v>
      </c>
      <c r="F45" s="27">
        <v>183.39</v>
      </c>
      <c r="G45" s="28">
        <v>9.1999999999999998E-3</v>
      </c>
      <c r="H45" s="29"/>
    </row>
    <row r="46" spans="2:8" ht="15.75" customHeight="1" x14ac:dyDescent="0.2">
      <c r="B46" s="25" t="s">
        <v>715</v>
      </c>
      <c r="C46" s="25" t="s">
        <v>716</v>
      </c>
      <c r="D46" s="25" t="s">
        <v>174</v>
      </c>
      <c r="E46" s="26">
        <v>21870</v>
      </c>
      <c r="F46" s="27">
        <v>151.4</v>
      </c>
      <c r="G46" s="28">
        <v>7.6E-3</v>
      </c>
      <c r="H46" s="29"/>
    </row>
    <row r="47" spans="2:8" ht="15.75" customHeight="1" x14ac:dyDescent="0.2">
      <c r="B47" s="25" t="s">
        <v>717</v>
      </c>
      <c r="C47" s="25" t="s">
        <v>718</v>
      </c>
      <c r="D47" s="25" t="s">
        <v>309</v>
      </c>
      <c r="E47" s="26">
        <v>20645</v>
      </c>
      <c r="F47" s="27">
        <v>145.13</v>
      </c>
      <c r="G47" s="28">
        <v>7.3000000000000001E-3</v>
      </c>
      <c r="H47" s="29"/>
    </row>
    <row r="48" spans="2:8" ht="15.75" customHeight="1" x14ac:dyDescent="0.2">
      <c r="B48" s="25" t="s">
        <v>485</v>
      </c>
      <c r="C48" s="25" t="s">
        <v>486</v>
      </c>
      <c r="D48" s="25" t="s">
        <v>309</v>
      </c>
      <c r="E48" s="26">
        <v>12143</v>
      </c>
      <c r="F48" s="27">
        <v>129.85</v>
      </c>
      <c r="G48" s="28">
        <v>6.4999999999999997E-3</v>
      </c>
      <c r="H48" s="29"/>
    </row>
    <row r="49" spans="2:8" ht="15.75" customHeight="1" x14ac:dyDescent="0.2">
      <c r="B49" s="25" t="s">
        <v>629</v>
      </c>
      <c r="C49" s="25" t="s">
        <v>630</v>
      </c>
      <c r="D49" s="25" t="s">
        <v>294</v>
      </c>
      <c r="E49" s="26">
        <v>670</v>
      </c>
      <c r="F49" s="27">
        <v>97.59</v>
      </c>
      <c r="G49" s="28">
        <v>4.8999999999999998E-3</v>
      </c>
      <c r="H49" s="29"/>
    </row>
    <row r="50" spans="2:8" ht="15.75" customHeight="1" x14ac:dyDescent="0.2">
      <c r="B50" s="25" t="s">
        <v>651</v>
      </c>
      <c r="C50" s="25" t="s">
        <v>652</v>
      </c>
      <c r="D50" s="25" t="s">
        <v>309</v>
      </c>
      <c r="E50" s="26">
        <v>4590</v>
      </c>
      <c r="F50" s="27">
        <v>95.87</v>
      </c>
      <c r="G50" s="28">
        <v>4.7999999999999996E-3</v>
      </c>
      <c r="H50" s="29"/>
    </row>
    <row r="51" spans="2:8" ht="15.75" customHeight="1" x14ac:dyDescent="0.2">
      <c r="B51" s="25" t="s">
        <v>228</v>
      </c>
      <c r="C51" s="25" t="s">
        <v>229</v>
      </c>
      <c r="D51" s="25" t="s">
        <v>230</v>
      </c>
      <c r="E51" s="26">
        <v>25526</v>
      </c>
      <c r="F51" s="27">
        <v>94.89</v>
      </c>
      <c r="G51" s="28">
        <v>4.7999999999999996E-3</v>
      </c>
      <c r="H51" s="29"/>
    </row>
    <row r="52" spans="2:8" ht="15.75" customHeight="1" x14ac:dyDescent="0.2">
      <c r="B52" s="25" t="s">
        <v>703</v>
      </c>
      <c r="C52" s="25" t="s">
        <v>704</v>
      </c>
      <c r="D52" s="25" t="s">
        <v>188</v>
      </c>
      <c r="E52" s="26">
        <v>2992</v>
      </c>
      <c r="F52" s="27">
        <v>92.27</v>
      </c>
      <c r="G52" s="28">
        <v>4.5999999999999999E-3</v>
      </c>
      <c r="H52" s="29"/>
    </row>
    <row r="53" spans="2:8" ht="15.75" customHeight="1" x14ac:dyDescent="0.2">
      <c r="B53" s="25" t="s">
        <v>719</v>
      </c>
      <c r="C53" s="25" t="s">
        <v>720</v>
      </c>
      <c r="D53" s="25" t="s">
        <v>174</v>
      </c>
      <c r="E53" s="26">
        <v>114750</v>
      </c>
      <c r="F53" s="27">
        <v>85.6</v>
      </c>
      <c r="G53" s="28">
        <v>4.3E-3</v>
      </c>
      <c r="H53" s="29"/>
    </row>
    <row r="54" spans="2:8" ht="15.75" customHeight="1" x14ac:dyDescent="0.2">
      <c r="B54" s="25" t="s">
        <v>665</v>
      </c>
      <c r="C54" s="25" t="s">
        <v>666</v>
      </c>
      <c r="D54" s="25" t="s">
        <v>240</v>
      </c>
      <c r="E54" s="26">
        <v>39254</v>
      </c>
      <c r="F54" s="27">
        <v>62.83</v>
      </c>
      <c r="G54" s="28">
        <v>3.2000000000000002E-3</v>
      </c>
      <c r="H54" s="29"/>
    </row>
    <row r="55" spans="2:8" ht="15.75" customHeight="1" x14ac:dyDescent="0.2">
      <c r="B55" s="25" t="s">
        <v>625</v>
      </c>
      <c r="C55" s="25" t="s">
        <v>626</v>
      </c>
      <c r="D55" s="25" t="s">
        <v>309</v>
      </c>
      <c r="E55" s="26">
        <v>3993</v>
      </c>
      <c r="F55" s="27">
        <v>57.62</v>
      </c>
      <c r="G55" s="28">
        <v>2.8999999999999998E-3</v>
      </c>
      <c r="H55" s="29"/>
    </row>
    <row r="56" spans="2:8" ht="15.75" customHeight="1" x14ac:dyDescent="0.2">
      <c r="B56" s="24" t="s">
        <v>98</v>
      </c>
      <c r="C56" s="24"/>
      <c r="D56" s="24"/>
      <c r="E56" s="30"/>
      <c r="F56" s="31">
        <v>18727.2</v>
      </c>
      <c r="G56" s="32">
        <v>0.94169999999999998</v>
      </c>
      <c r="H56" s="33"/>
    </row>
    <row r="57" spans="2:8" ht="15.75" customHeight="1" x14ac:dyDescent="0.2">
      <c r="B57" s="24" t="s">
        <v>150</v>
      </c>
      <c r="C57" s="25"/>
      <c r="D57" s="25"/>
      <c r="E57" s="26"/>
      <c r="F57" s="27"/>
      <c r="G57" s="28"/>
      <c r="H57" s="29"/>
    </row>
    <row r="58" spans="2:8" ht="15.75" customHeight="1" x14ac:dyDescent="0.2">
      <c r="B58" s="24" t="s">
        <v>98</v>
      </c>
      <c r="C58" s="25"/>
      <c r="D58" s="25"/>
      <c r="E58" s="26"/>
      <c r="F58" s="34" t="s">
        <v>100</v>
      </c>
      <c r="G58" s="35" t="s">
        <v>100</v>
      </c>
      <c r="H58" s="29"/>
    </row>
    <row r="59" spans="2:8" ht="15.75" customHeight="1" x14ac:dyDescent="0.2">
      <c r="B59" s="25"/>
      <c r="C59" s="25"/>
      <c r="D59" s="25"/>
      <c r="E59" s="26"/>
      <c r="F59" s="27"/>
      <c r="G59" s="28"/>
      <c r="H59" s="29"/>
    </row>
    <row r="60" spans="2:8" ht="15.75" customHeight="1" x14ac:dyDescent="0.2">
      <c r="B60" s="36" t="s">
        <v>102</v>
      </c>
      <c r="C60" s="36"/>
      <c r="D60" s="36"/>
      <c r="E60" s="37"/>
      <c r="F60" s="31">
        <v>18727.2</v>
      </c>
      <c r="G60" s="32">
        <v>0.94169999999999998</v>
      </c>
      <c r="H60" s="33"/>
    </row>
    <row r="61" spans="2:8" ht="15.75" customHeight="1" x14ac:dyDescent="0.2">
      <c r="B61" s="25"/>
      <c r="C61" s="25"/>
      <c r="D61" s="25"/>
      <c r="E61" s="26"/>
      <c r="F61" s="27"/>
      <c r="G61" s="28"/>
      <c r="H61" s="29"/>
    </row>
    <row r="62" spans="2:8" ht="15.75" customHeight="1" x14ac:dyDescent="0.2">
      <c r="B62" s="25"/>
      <c r="C62" s="25"/>
      <c r="D62" s="25"/>
      <c r="E62" s="26"/>
      <c r="F62" s="27"/>
      <c r="G62" s="28"/>
      <c r="H62" s="29"/>
    </row>
    <row r="63" spans="2:8" ht="15.75" customHeight="1" x14ac:dyDescent="0.2">
      <c r="B63" s="24" t="s">
        <v>105</v>
      </c>
      <c r="C63" s="25"/>
      <c r="D63" s="25"/>
      <c r="E63" s="26"/>
      <c r="F63" s="27"/>
      <c r="G63" s="28"/>
      <c r="H63" s="29"/>
    </row>
    <row r="64" spans="2:8" ht="15.75" customHeight="1" x14ac:dyDescent="0.2">
      <c r="B64" s="25" t="s">
        <v>106</v>
      </c>
      <c r="C64" s="25"/>
      <c r="D64" s="25"/>
      <c r="E64" s="26"/>
      <c r="F64" s="27">
        <v>1291.03</v>
      </c>
      <c r="G64" s="28">
        <v>6.4899999999999999E-2</v>
      </c>
      <c r="H64" s="29"/>
    </row>
    <row r="65" spans="2:16" ht="15.75" customHeight="1" x14ac:dyDescent="0.2">
      <c r="B65" s="24" t="s">
        <v>98</v>
      </c>
      <c r="C65" s="24"/>
      <c r="D65" s="24"/>
      <c r="E65" s="30"/>
      <c r="F65" s="31">
        <v>1291.03</v>
      </c>
      <c r="G65" s="32">
        <v>6.4899999999999999E-2</v>
      </c>
      <c r="H65" s="33"/>
    </row>
    <row r="66" spans="2:16" ht="15.75" customHeight="1" x14ac:dyDescent="0.2">
      <c r="B66" s="25"/>
      <c r="C66" s="25"/>
      <c r="D66" s="25"/>
      <c r="E66" s="26"/>
      <c r="F66" s="27"/>
      <c r="G66" s="28"/>
      <c r="H66" s="29"/>
    </row>
    <row r="67" spans="2:16" ht="15.75" customHeight="1" x14ac:dyDescent="0.2">
      <c r="B67" s="36" t="s">
        <v>102</v>
      </c>
      <c r="C67" s="36"/>
      <c r="D67" s="36"/>
      <c r="E67" s="37"/>
      <c r="F67" s="31">
        <v>1291.03</v>
      </c>
      <c r="G67" s="32">
        <v>6.4899999999999999E-2</v>
      </c>
      <c r="H67" s="33"/>
    </row>
    <row r="68" spans="2:16" ht="15.75" customHeight="1" x14ac:dyDescent="0.2">
      <c r="B68" s="25" t="s">
        <v>107</v>
      </c>
      <c r="C68" s="25"/>
      <c r="D68" s="25"/>
      <c r="E68" s="26"/>
      <c r="F68" s="38">
        <v>-131.16999999999999</v>
      </c>
      <c r="G68" s="39">
        <v>-6.5999999999999392E-3</v>
      </c>
      <c r="H68" s="29"/>
      <c r="L68" s="3"/>
    </row>
    <row r="69" spans="2:16" ht="15.75" customHeight="1" x14ac:dyDescent="0.2">
      <c r="B69" s="40" t="s">
        <v>108</v>
      </c>
      <c r="C69" s="40"/>
      <c r="D69" s="40"/>
      <c r="E69" s="41"/>
      <c r="F69" s="42">
        <v>19887.060000000001</v>
      </c>
      <c r="G69" s="43">
        <v>1</v>
      </c>
      <c r="H69" s="44"/>
    </row>
    <row r="70" spans="2:16" ht="15.75" customHeight="1" thickBot="1" x14ac:dyDescent="0.25">
      <c r="B70" s="2"/>
      <c r="L70" s="3"/>
    </row>
    <row r="71" spans="2:16" ht="27" customHeight="1" thickBot="1" x14ac:dyDescent="0.25">
      <c r="B71" s="57" t="s">
        <v>925</v>
      </c>
      <c r="C71" s="58" t="s">
        <v>926</v>
      </c>
      <c r="D71" s="58" t="s">
        <v>927</v>
      </c>
      <c r="E71" s="63" t="s">
        <v>928</v>
      </c>
      <c r="G71" s="2"/>
      <c r="H71" s="2"/>
    </row>
    <row r="72" spans="2:16" ht="21.75" customHeight="1" x14ac:dyDescent="0.2">
      <c r="B72" s="70" t="s">
        <v>57</v>
      </c>
      <c r="C72" s="82"/>
      <c r="D72" s="85" t="s">
        <v>989</v>
      </c>
      <c r="E72" s="87"/>
      <c r="G72" s="2"/>
      <c r="H72" s="2"/>
    </row>
    <row r="73" spans="2:16" ht="27.75" customHeight="1" x14ac:dyDescent="0.2">
      <c r="B73" s="66" t="s">
        <v>990</v>
      </c>
      <c r="C73" s="83"/>
      <c r="D73" s="86"/>
      <c r="E73" s="83"/>
      <c r="G73" s="2"/>
      <c r="H73" s="2"/>
    </row>
    <row r="74" spans="2:16" ht="46.5" customHeight="1" x14ac:dyDescent="0.2">
      <c r="B74" s="66" t="s">
        <v>991</v>
      </c>
      <c r="C74" s="83"/>
      <c r="D74" s="86"/>
      <c r="E74" s="83"/>
      <c r="G74" s="2"/>
      <c r="H74" s="2"/>
    </row>
    <row r="75" spans="2:16" ht="30.75" customHeight="1" thickBot="1" x14ac:dyDescent="0.25">
      <c r="B75" s="68" t="s">
        <v>953</v>
      </c>
      <c r="C75" s="84"/>
      <c r="D75" s="71" t="s">
        <v>953</v>
      </c>
      <c r="E75" s="88"/>
      <c r="G75" s="2"/>
      <c r="H75" s="2"/>
    </row>
    <row r="76" spans="2:16" ht="24.95" customHeight="1" x14ac:dyDescent="0.2">
      <c r="B76" s="59" t="s">
        <v>929</v>
      </c>
      <c r="C76" s="60"/>
      <c r="D76" s="61"/>
      <c r="E76" s="62"/>
      <c r="G76" s="2"/>
      <c r="H76" s="2"/>
    </row>
    <row r="78" spans="2:16" ht="12" x14ac:dyDescent="0.2">
      <c r="B78" s="2" t="s">
        <v>930</v>
      </c>
      <c r="C78" s="2"/>
      <c r="D78" s="2"/>
      <c r="G78" s="2"/>
      <c r="H78" s="2"/>
    </row>
    <row r="79" spans="2:16" ht="12" x14ac:dyDescent="0.2">
      <c r="B79" s="3" t="s">
        <v>931</v>
      </c>
      <c r="C79" s="2"/>
      <c r="D79" s="2"/>
      <c r="G79" s="2"/>
      <c r="H79" s="2"/>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2:C75"/>
    <mergeCell ref="D72:D74"/>
    <mergeCell ref="E72:E75"/>
  </mergeCells>
  <hyperlinks>
    <hyperlink ref="I1" location="'Sheet1'!A1" display="Index" xr:uid="{0BA74629-B53E-4688-ADF5-FCA83EADBCB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E42C5-90A4-45A8-A600-AE41A3EA28F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 style="9" customWidth="1"/>
    <col min="4" max="4" width="26.5703125" style="9" customWidth="1"/>
    <col min="5" max="5" width="31.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218011</v>
      </c>
      <c r="F7" s="27">
        <v>3059.57</v>
      </c>
      <c r="G7" s="28">
        <v>0.1096</v>
      </c>
      <c r="H7" s="29"/>
    </row>
    <row r="8" spans="2:9" ht="15.75" customHeight="1" x14ac:dyDescent="0.2">
      <c r="B8" s="25" t="s">
        <v>136</v>
      </c>
      <c r="C8" s="25" t="s">
        <v>137</v>
      </c>
      <c r="D8" s="25" t="s">
        <v>138</v>
      </c>
      <c r="E8" s="26">
        <v>98104</v>
      </c>
      <c r="F8" s="27">
        <v>2866.21</v>
      </c>
      <c r="G8" s="28">
        <v>0.1027</v>
      </c>
      <c r="H8" s="29"/>
    </row>
    <row r="9" spans="2:9" ht="15.75" customHeight="1" x14ac:dyDescent="0.2">
      <c r="B9" s="25" t="s">
        <v>128</v>
      </c>
      <c r="C9" s="25" t="s">
        <v>129</v>
      </c>
      <c r="D9" s="25" t="s">
        <v>130</v>
      </c>
      <c r="E9" s="26">
        <v>203168</v>
      </c>
      <c r="F9" s="27">
        <v>2137.73</v>
      </c>
      <c r="G9" s="28">
        <v>7.6600000000000001E-2</v>
      </c>
      <c r="H9" s="29"/>
    </row>
    <row r="10" spans="2:9" ht="15.75" customHeight="1" x14ac:dyDescent="0.2">
      <c r="B10" s="25" t="s">
        <v>131</v>
      </c>
      <c r="C10" s="25" t="s">
        <v>132</v>
      </c>
      <c r="D10" s="25" t="s">
        <v>133</v>
      </c>
      <c r="E10" s="26">
        <v>104025</v>
      </c>
      <c r="F10" s="27">
        <v>1741.27</v>
      </c>
      <c r="G10" s="28">
        <v>6.2399999999999997E-2</v>
      </c>
      <c r="H10" s="29"/>
    </row>
    <row r="11" spans="2:9" ht="15.75" customHeight="1" x14ac:dyDescent="0.2">
      <c r="B11" s="25" t="s">
        <v>199</v>
      </c>
      <c r="C11" s="25" t="s">
        <v>200</v>
      </c>
      <c r="D11" s="25" t="s">
        <v>133</v>
      </c>
      <c r="E11" s="26">
        <v>29346</v>
      </c>
      <c r="F11" s="27">
        <v>1201.75</v>
      </c>
      <c r="G11" s="28">
        <v>4.2999999999999997E-2</v>
      </c>
      <c r="H11" s="29"/>
    </row>
    <row r="12" spans="2:9" ht="15.75" customHeight="1" x14ac:dyDescent="0.2">
      <c r="B12" s="25" t="s">
        <v>172</v>
      </c>
      <c r="C12" s="25" t="s">
        <v>173</v>
      </c>
      <c r="D12" s="25" t="s">
        <v>174</v>
      </c>
      <c r="E12" s="26">
        <v>34244</v>
      </c>
      <c r="F12" s="27">
        <v>1190.8499999999999</v>
      </c>
      <c r="G12" s="28">
        <v>4.2700000000000002E-2</v>
      </c>
      <c r="H12" s="29"/>
    </row>
    <row r="13" spans="2:9" ht="15.75" customHeight="1" x14ac:dyDescent="0.2">
      <c r="B13" s="25" t="s">
        <v>210</v>
      </c>
      <c r="C13" s="25" t="s">
        <v>211</v>
      </c>
      <c r="D13" s="25" t="s">
        <v>141</v>
      </c>
      <c r="E13" s="26">
        <v>257478</v>
      </c>
      <c r="F13" s="27">
        <v>1046.1300000000001</v>
      </c>
      <c r="G13" s="28">
        <v>3.7499999999999999E-2</v>
      </c>
      <c r="H13" s="29"/>
    </row>
    <row r="14" spans="2:9" ht="15.75" customHeight="1" x14ac:dyDescent="0.2">
      <c r="B14" s="25" t="s">
        <v>268</v>
      </c>
      <c r="C14" s="25" t="s">
        <v>269</v>
      </c>
      <c r="D14" s="25" t="s">
        <v>130</v>
      </c>
      <c r="E14" s="26">
        <v>80922</v>
      </c>
      <c r="F14" s="27">
        <v>869.99</v>
      </c>
      <c r="G14" s="28">
        <v>3.1199999999999999E-2</v>
      </c>
      <c r="H14" s="29"/>
    </row>
    <row r="15" spans="2:9" ht="15.75" customHeight="1" x14ac:dyDescent="0.2">
      <c r="B15" s="25" t="s">
        <v>266</v>
      </c>
      <c r="C15" s="25" t="s">
        <v>267</v>
      </c>
      <c r="D15" s="25" t="s">
        <v>130</v>
      </c>
      <c r="E15" s="26">
        <v>110934</v>
      </c>
      <c r="F15" s="27">
        <v>829.9</v>
      </c>
      <c r="G15" s="28">
        <v>2.9700000000000001E-2</v>
      </c>
      <c r="H15" s="29"/>
    </row>
    <row r="16" spans="2:9" ht="15.75" customHeight="1" x14ac:dyDescent="0.2">
      <c r="B16" s="25" t="s">
        <v>241</v>
      </c>
      <c r="C16" s="25" t="s">
        <v>242</v>
      </c>
      <c r="D16" s="25" t="s">
        <v>168</v>
      </c>
      <c r="E16" s="26">
        <v>73221</v>
      </c>
      <c r="F16" s="27">
        <v>822.53</v>
      </c>
      <c r="G16" s="28">
        <v>2.9499999999999998E-2</v>
      </c>
      <c r="H16" s="29"/>
    </row>
    <row r="17" spans="2:8" ht="15.75" customHeight="1" x14ac:dyDescent="0.2">
      <c r="B17" s="25" t="s">
        <v>214</v>
      </c>
      <c r="C17" s="25" t="s">
        <v>215</v>
      </c>
      <c r="D17" s="25" t="s">
        <v>130</v>
      </c>
      <c r="E17" s="26">
        <v>42909</v>
      </c>
      <c r="F17" s="27">
        <v>724.93</v>
      </c>
      <c r="G17" s="28">
        <v>2.5999999999999999E-2</v>
      </c>
      <c r="H17" s="29"/>
    </row>
    <row r="18" spans="2:8" ht="15.75" customHeight="1" x14ac:dyDescent="0.2">
      <c r="B18" s="25" t="s">
        <v>139</v>
      </c>
      <c r="C18" s="25" t="s">
        <v>140</v>
      </c>
      <c r="D18" s="25" t="s">
        <v>141</v>
      </c>
      <c r="E18" s="26">
        <v>25900</v>
      </c>
      <c r="F18" s="27">
        <v>624.79</v>
      </c>
      <c r="G18" s="28">
        <v>2.24E-2</v>
      </c>
      <c r="H18" s="29"/>
    </row>
    <row r="19" spans="2:8" ht="15.75" customHeight="1" x14ac:dyDescent="0.2">
      <c r="B19" s="25" t="s">
        <v>177</v>
      </c>
      <c r="C19" s="25" t="s">
        <v>178</v>
      </c>
      <c r="D19" s="25" t="s">
        <v>179</v>
      </c>
      <c r="E19" s="26">
        <v>8056</v>
      </c>
      <c r="F19" s="27">
        <v>523.27</v>
      </c>
      <c r="G19" s="28">
        <v>1.8700000000000001E-2</v>
      </c>
      <c r="H19" s="29"/>
    </row>
    <row r="20" spans="2:8" ht="15.75" customHeight="1" x14ac:dyDescent="0.2">
      <c r="B20" s="25" t="s">
        <v>270</v>
      </c>
      <c r="C20" s="25" t="s">
        <v>271</v>
      </c>
      <c r="D20" s="25" t="s">
        <v>133</v>
      </c>
      <c r="E20" s="26">
        <v>30735</v>
      </c>
      <c r="F20" s="27">
        <v>511.38</v>
      </c>
      <c r="G20" s="28">
        <v>1.83E-2</v>
      </c>
      <c r="H20" s="29"/>
    </row>
    <row r="21" spans="2:8" ht="15.75" customHeight="1" x14ac:dyDescent="0.2">
      <c r="B21" s="25" t="s">
        <v>142</v>
      </c>
      <c r="C21" s="25" t="s">
        <v>143</v>
      </c>
      <c r="D21" s="25" t="s">
        <v>144</v>
      </c>
      <c r="E21" s="26">
        <v>25903</v>
      </c>
      <c r="F21" s="27">
        <v>500.55</v>
      </c>
      <c r="G21" s="28">
        <v>1.7899999999999999E-2</v>
      </c>
      <c r="H21" s="29"/>
    </row>
    <row r="22" spans="2:8" ht="15.75" customHeight="1" x14ac:dyDescent="0.2">
      <c r="B22" s="25" t="s">
        <v>272</v>
      </c>
      <c r="C22" s="25" t="s">
        <v>273</v>
      </c>
      <c r="D22" s="25" t="s">
        <v>185</v>
      </c>
      <c r="E22" s="26">
        <v>31267</v>
      </c>
      <c r="F22" s="27">
        <v>493.38</v>
      </c>
      <c r="G22" s="28">
        <v>1.77E-2</v>
      </c>
      <c r="H22" s="29"/>
    </row>
    <row r="23" spans="2:8" ht="15.75" customHeight="1" x14ac:dyDescent="0.2">
      <c r="B23" s="25" t="s">
        <v>438</v>
      </c>
      <c r="C23" s="25" t="s">
        <v>439</v>
      </c>
      <c r="D23" s="25" t="s">
        <v>144</v>
      </c>
      <c r="E23" s="26">
        <v>50799</v>
      </c>
      <c r="F23" s="27">
        <v>482.69</v>
      </c>
      <c r="G23" s="28">
        <v>1.7299999999999999E-2</v>
      </c>
      <c r="H23" s="29"/>
    </row>
    <row r="24" spans="2:8" ht="15.75" customHeight="1" x14ac:dyDescent="0.2">
      <c r="B24" s="25" t="s">
        <v>276</v>
      </c>
      <c r="C24" s="25" t="s">
        <v>277</v>
      </c>
      <c r="D24" s="25" t="s">
        <v>230</v>
      </c>
      <c r="E24" s="26">
        <v>137616</v>
      </c>
      <c r="F24" s="27">
        <v>461.84</v>
      </c>
      <c r="G24" s="28">
        <v>1.6500000000000001E-2</v>
      </c>
      <c r="H24" s="29"/>
    </row>
    <row r="25" spans="2:8" ht="15.75" customHeight="1" x14ac:dyDescent="0.2">
      <c r="B25" s="25" t="s">
        <v>204</v>
      </c>
      <c r="C25" s="25" t="s">
        <v>205</v>
      </c>
      <c r="D25" s="25" t="s">
        <v>206</v>
      </c>
      <c r="E25" s="26">
        <v>12112</v>
      </c>
      <c r="F25" s="27">
        <v>438.99</v>
      </c>
      <c r="G25" s="28">
        <v>1.5699999999999999E-2</v>
      </c>
      <c r="H25" s="29"/>
    </row>
    <row r="26" spans="2:8" ht="15.75" customHeight="1" x14ac:dyDescent="0.2">
      <c r="B26" s="25" t="s">
        <v>274</v>
      </c>
      <c r="C26" s="25" t="s">
        <v>275</v>
      </c>
      <c r="D26" s="25" t="s">
        <v>144</v>
      </c>
      <c r="E26" s="26">
        <v>3826</v>
      </c>
      <c r="F26" s="27">
        <v>431.89</v>
      </c>
      <c r="G26" s="28">
        <v>1.55E-2</v>
      </c>
      <c r="H26" s="29"/>
    </row>
    <row r="27" spans="2:8" ht="15.75" customHeight="1" x14ac:dyDescent="0.2">
      <c r="B27" s="25" t="s">
        <v>467</v>
      </c>
      <c r="C27" s="25" t="s">
        <v>468</v>
      </c>
      <c r="D27" s="25" t="s">
        <v>230</v>
      </c>
      <c r="E27" s="26">
        <v>131941</v>
      </c>
      <c r="F27" s="27">
        <v>373.2</v>
      </c>
      <c r="G27" s="28">
        <v>1.34E-2</v>
      </c>
      <c r="H27" s="29"/>
    </row>
    <row r="28" spans="2:8" ht="15.75" customHeight="1" x14ac:dyDescent="0.2">
      <c r="B28" s="25" t="s">
        <v>216</v>
      </c>
      <c r="C28" s="25" t="s">
        <v>217</v>
      </c>
      <c r="D28" s="25" t="s">
        <v>206</v>
      </c>
      <c r="E28" s="26">
        <v>13060</v>
      </c>
      <c r="F28" s="27">
        <v>368.54</v>
      </c>
      <c r="G28" s="28">
        <v>1.32E-2</v>
      </c>
      <c r="H28" s="29"/>
    </row>
    <row r="29" spans="2:8" ht="15.75" customHeight="1" x14ac:dyDescent="0.2">
      <c r="B29" s="25" t="s">
        <v>574</v>
      </c>
      <c r="C29" s="25" t="s">
        <v>575</v>
      </c>
      <c r="D29" s="25" t="s">
        <v>191</v>
      </c>
      <c r="E29" s="26">
        <v>238907</v>
      </c>
      <c r="F29" s="27">
        <v>336.5</v>
      </c>
      <c r="G29" s="28">
        <v>1.21E-2</v>
      </c>
      <c r="H29" s="29"/>
    </row>
    <row r="30" spans="2:8" ht="15.75" customHeight="1" x14ac:dyDescent="0.2">
      <c r="B30" s="25" t="s">
        <v>440</v>
      </c>
      <c r="C30" s="25" t="s">
        <v>441</v>
      </c>
      <c r="D30" s="25" t="s">
        <v>285</v>
      </c>
      <c r="E30" s="26">
        <v>3347</v>
      </c>
      <c r="F30" s="27">
        <v>331.1</v>
      </c>
      <c r="G30" s="28">
        <v>1.1900000000000001E-2</v>
      </c>
      <c r="H30" s="29"/>
    </row>
    <row r="31" spans="2:8" ht="15.75" customHeight="1" x14ac:dyDescent="0.2">
      <c r="B31" s="25" t="s">
        <v>588</v>
      </c>
      <c r="C31" s="25" t="s">
        <v>589</v>
      </c>
      <c r="D31" s="25" t="s">
        <v>590</v>
      </c>
      <c r="E31" s="26">
        <v>112878</v>
      </c>
      <c r="F31" s="27">
        <v>298.68</v>
      </c>
      <c r="G31" s="28">
        <v>1.0699999999999999E-2</v>
      </c>
      <c r="H31" s="29"/>
    </row>
    <row r="32" spans="2:8" ht="15.75" customHeight="1" x14ac:dyDescent="0.2">
      <c r="B32" s="25" t="s">
        <v>398</v>
      </c>
      <c r="C32" s="25" t="s">
        <v>399</v>
      </c>
      <c r="D32" s="25" t="s">
        <v>400</v>
      </c>
      <c r="E32" s="26">
        <v>65923</v>
      </c>
      <c r="F32" s="27">
        <v>287.89</v>
      </c>
      <c r="G32" s="28">
        <v>1.03E-2</v>
      </c>
      <c r="H32" s="29"/>
    </row>
    <row r="33" spans="2:8" ht="15.75" customHeight="1" x14ac:dyDescent="0.2">
      <c r="B33" s="25" t="s">
        <v>253</v>
      </c>
      <c r="C33" s="25" t="s">
        <v>254</v>
      </c>
      <c r="D33" s="25" t="s">
        <v>130</v>
      </c>
      <c r="E33" s="26">
        <v>19094</v>
      </c>
      <c r="F33" s="27">
        <v>281.62</v>
      </c>
      <c r="G33" s="28">
        <v>1.01E-2</v>
      </c>
      <c r="H33" s="29"/>
    </row>
    <row r="34" spans="2:8" ht="15.75" customHeight="1" x14ac:dyDescent="0.2">
      <c r="B34" s="25" t="s">
        <v>721</v>
      </c>
      <c r="C34" s="25" t="s">
        <v>722</v>
      </c>
      <c r="D34" s="25" t="s">
        <v>723</v>
      </c>
      <c r="E34" s="26">
        <v>21226</v>
      </c>
      <c r="F34" s="27">
        <v>280.29000000000002</v>
      </c>
      <c r="G34" s="28">
        <v>0.01</v>
      </c>
      <c r="H34" s="29"/>
    </row>
    <row r="35" spans="2:8" ht="15.75" customHeight="1" x14ac:dyDescent="0.2">
      <c r="B35" s="25" t="s">
        <v>498</v>
      </c>
      <c r="C35" s="25" t="s">
        <v>499</v>
      </c>
      <c r="D35" s="25" t="s">
        <v>144</v>
      </c>
      <c r="E35" s="26">
        <v>3400</v>
      </c>
      <c r="F35" s="27">
        <v>268.92</v>
      </c>
      <c r="G35" s="28">
        <v>9.5999999999999992E-3</v>
      </c>
      <c r="H35" s="29"/>
    </row>
    <row r="36" spans="2:8" ht="15.75" customHeight="1" x14ac:dyDescent="0.2">
      <c r="B36" s="25" t="s">
        <v>145</v>
      </c>
      <c r="C36" s="25" t="s">
        <v>146</v>
      </c>
      <c r="D36" s="25" t="s">
        <v>147</v>
      </c>
      <c r="E36" s="26">
        <v>10337</v>
      </c>
      <c r="F36" s="27">
        <v>268.37</v>
      </c>
      <c r="G36" s="28">
        <v>9.5999999999999992E-3</v>
      </c>
      <c r="H36" s="29"/>
    </row>
    <row r="37" spans="2:8" ht="15.75" customHeight="1" x14ac:dyDescent="0.2">
      <c r="B37" s="25" t="s">
        <v>251</v>
      </c>
      <c r="C37" s="25" t="s">
        <v>252</v>
      </c>
      <c r="D37" s="25" t="s">
        <v>179</v>
      </c>
      <c r="E37" s="26">
        <v>15706</v>
      </c>
      <c r="F37" s="27">
        <v>250.32</v>
      </c>
      <c r="G37" s="28">
        <v>8.9999999999999993E-3</v>
      </c>
      <c r="H37" s="29"/>
    </row>
    <row r="38" spans="2:8" ht="15.75" customHeight="1" x14ac:dyDescent="0.2">
      <c r="B38" s="25" t="s">
        <v>724</v>
      </c>
      <c r="C38" s="25" t="s">
        <v>725</v>
      </c>
      <c r="D38" s="25" t="s">
        <v>726</v>
      </c>
      <c r="E38" s="26">
        <v>7578</v>
      </c>
      <c r="F38" s="27">
        <v>248.97</v>
      </c>
      <c r="G38" s="28">
        <v>8.8999999999999999E-3</v>
      </c>
      <c r="H38" s="29"/>
    </row>
    <row r="39" spans="2:8" ht="15.75" customHeight="1" x14ac:dyDescent="0.2">
      <c r="B39" s="25" t="s">
        <v>283</v>
      </c>
      <c r="C39" s="25" t="s">
        <v>284</v>
      </c>
      <c r="D39" s="25" t="s">
        <v>285</v>
      </c>
      <c r="E39" s="26">
        <v>10684</v>
      </c>
      <c r="F39" s="27">
        <v>234.13</v>
      </c>
      <c r="G39" s="28">
        <v>8.3999999999999995E-3</v>
      </c>
      <c r="H39" s="29"/>
    </row>
    <row r="40" spans="2:8" ht="15.75" customHeight="1" x14ac:dyDescent="0.2">
      <c r="B40" s="25" t="s">
        <v>243</v>
      </c>
      <c r="C40" s="25" t="s">
        <v>244</v>
      </c>
      <c r="D40" s="25" t="s">
        <v>133</v>
      </c>
      <c r="E40" s="26">
        <v>18110</v>
      </c>
      <c r="F40" s="27">
        <v>230.69</v>
      </c>
      <c r="G40" s="28">
        <v>8.3000000000000001E-3</v>
      </c>
      <c r="H40" s="29"/>
    </row>
    <row r="41" spans="2:8" ht="15.75" customHeight="1" x14ac:dyDescent="0.2">
      <c r="B41" s="25" t="s">
        <v>510</v>
      </c>
      <c r="C41" s="25" t="s">
        <v>511</v>
      </c>
      <c r="D41" s="25" t="s">
        <v>185</v>
      </c>
      <c r="E41" s="26">
        <v>3527</v>
      </c>
      <c r="F41" s="27">
        <v>226.58</v>
      </c>
      <c r="G41" s="28">
        <v>8.0999999999999996E-3</v>
      </c>
      <c r="H41" s="29"/>
    </row>
    <row r="42" spans="2:8" ht="15.75" customHeight="1" x14ac:dyDescent="0.2">
      <c r="B42" s="25" t="s">
        <v>336</v>
      </c>
      <c r="C42" s="25" t="s">
        <v>337</v>
      </c>
      <c r="D42" s="25" t="s">
        <v>185</v>
      </c>
      <c r="E42" s="26">
        <v>15211</v>
      </c>
      <c r="F42" s="27">
        <v>225.18</v>
      </c>
      <c r="G42" s="28">
        <v>8.0999999999999996E-3</v>
      </c>
      <c r="H42" s="29"/>
    </row>
    <row r="43" spans="2:8" ht="15.75" customHeight="1" x14ac:dyDescent="0.2">
      <c r="B43" s="25" t="s">
        <v>249</v>
      </c>
      <c r="C43" s="25" t="s">
        <v>250</v>
      </c>
      <c r="D43" s="25" t="s">
        <v>191</v>
      </c>
      <c r="E43" s="26">
        <v>27691</v>
      </c>
      <c r="F43" s="27">
        <v>221.56</v>
      </c>
      <c r="G43" s="28">
        <v>7.9000000000000008E-3</v>
      </c>
      <c r="H43" s="29"/>
    </row>
    <row r="44" spans="2:8" ht="15.75" customHeight="1" x14ac:dyDescent="0.2">
      <c r="B44" s="25" t="s">
        <v>697</v>
      </c>
      <c r="C44" s="25" t="s">
        <v>698</v>
      </c>
      <c r="D44" s="25" t="s">
        <v>578</v>
      </c>
      <c r="E44" s="26">
        <v>18232</v>
      </c>
      <c r="F44" s="27">
        <v>216.97</v>
      </c>
      <c r="G44" s="28">
        <v>7.7999999999999996E-3</v>
      </c>
      <c r="H44" s="29"/>
    </row>
    <row r="45" spans="2:8" ht="15.75" customHeight="1" x14ac:dyDescent="0.2">
      <c r="B45" s="25" t="s">
        <v>194</v>
      </c>
      <c r="C45" s="25" t="s">
        <v>195</v>
      </c>
      <c r="D45" s="25" t="s">
        <v>196</v>
      </c>
      <c r="E45" s="26">
        <v>42284</v>
      </c>
      <c r="F45" s="27">
        <v>213.05</v>
      </c>
      <c r="G45" s="28">
        <v>7.6E-3</v>
      </c>
      <c r="H45" s="29"/>
    </row>
    <row r="46" spans="2:8" ht="15.75" customHeight="1" x14ac:dyDescent="0.2">
      <c r="B46" s="25" t="s">
        <v>727</v>
      </c>
      <c r="C46" s="25" t="s">
        <v>728</v>
      </c>
      <c r="D46" s="25" t="s">
        <v>133</v>
      </c>
      <c r="E46" s="26">
        <v>40942</v>
      </c>
      <c r="F46" s="27">
        <v>212.33</v>
      </c>
      <c r="G46" s="28">
        <v>7.6E-3</v>
      </c>
      <c r="H46" s="29"/>
    </row>
    <row r="47" spans="2:8" ht="15.75" customHeight="1" x14ac:dyDescent="0.2">
      <c r="B47" s="25" t="s">
        <v>299</v>
      </c>
      <c r="C47" s="25" t="s">
        <v>300</v>
      </c>
      <c r="D47" s="25" t="s">
        <v>282</v>
      </c>
      <c r="E47" s="26">
        <v>13041</v>
      </c>
      <c r="F47" s="27">
        <v>202.47</v>
      </c>
      <c r="G47" s="28">
        <v>7.3000000000000001E-3</v>
      </c>
      <c r="H47" s="29"/>
    </row>
    <row r="48" spans="2:8" ht="15.75" customHeight="1" x14ac:dyDescent="0.2">
      <c r="B48" s="25" t="s">
        <v>201</v>
      </c>
      <c r="C48" s="25" t="s">
        <v>202</v>
      </c>
      <c r="D48" s="25" t="s">
        <v>203</v>
      </c>
      <c r="E48" s="26">
        <v>2918</v>
      </c>
      <c r="F48" s="27">
        <v>178.04</v>
      </c>
      <c r="G48" s="28">
        <v>6.4000000000000003E-3</v>
      </c>
      <c r="H48" s="29"/>
    </row>
    <row r="49" spans="2:8" ht="15.75" customHeight="1" x14ac:dyDescent="0.2">
      <c r="B49" s="25" t="s">
        <v>280</v>
      </c>
      <c r="C49" s="25" t="s">
        <v>281</v>
      </c>
      <c r="D49" s="25" t="s">
        <v>282</v>
      </c>
      <c r="E49" s="26">
        <v>30576</v>
      </c>
      <c r="F49" s="27">
        <v>177.95</v>
      </c>
      <c r="G49" s="28">
        <v>6.4000000000000003E-3</v>
      </c>
      <c r="H49" s="29"/>
    </row>
    <row r="50" spans="2:8" ht="15.75" customHeight="1" x14ac:dyDescent="0.2">
      <c r="B50" s="25" t="s">
        <v>463</v>
      </c>
      <c r="C50" s="25" t="s">
        <v>464</v>
      </c>
      <c r="D50" s="25" t="s">
        <v>147</v>
      </c>
      <c r="E50" s="26">
        <v>3423</v>
      </c>
      <c r="F50" s="27">
        <v>169.96</v>
      </c>
      <c r="G50" s="28">
        <v>6.1000000000000004E-3</v>
      </c>
      <c r="H50" s="29"/>
    </row>
    <row r="51" spans="2:8" ht="15.75" customHeight="1" x14ac:dyDescent="0.2">
      <c r="B51" s="25" t="s">
        <v>310</v>
      </c>
      <c r="C51" s="25" t="s">
        <v>311</v>
      </c>
      <c r="D51" s="25" t="s">
        <v>144</v>
      </c>
      <c r="E51" s="26">
        <v>3766</v>
      </c>
      <c r="F51" s="27">
        <v>166.7</v>
      </c>
      <c r="G51" s="28">
        <v>6.0000000000000001E-3</v>
      </c>
      <c r="H51" s="29"/>
    </row>
    <row r="52" spans="2:8" ht="15.75" customHeight="1" x14ac:dyDescent="0.2">
      <c r="B52" s="25" t="s">
        <v>329</v>
      </c>
      <c r="C52" s="25" t="s">
        <v>330</v>
      </c>
      <c r="D52" s="25" t="s">
        <v>138</v>
      </c>
      <c r="E52" s="26">
        <v>27486</v>
      </c>
      <c r="F52" s="27">
        <v>165.97</v>
      </c>
      <c r="G52" s="28">
        <v>5.8999999999999999E-3</v>
      </c>
      <c r="H52" s="29"/>
    </row>
    <row r="53" spans="2:8" ht="15.75" customHeight="1" x14ac:dyDescent="0.2">
      <c r="B53" s="25" t="s">
        <v>701</v>
      </c>
      <c r="C53" s="25" t="s">
        <v>702</v>
      </c>
      <c r="D53" s="25" t="s">
        <v>144</v>
      </c>
      <c r="E53" s="26">
        <v>3959</v>
      </c>
      <c r="F53" s="27">
        <v>150.13999999999999</v>
      </c>
      <c r="G53" s="28">
        <v>5.4000000000000003E-3</v>
      </c>
      <c r="H53" s="29"/>
    </row>
    <row r="54" spans="2:8" ht="15.75" customHeight="1" x14ac:dyDescent="0.2">
      <c r="B54" s="25" t="s">
        <v>148</v>
      </c>
      <c r="C54" s="25" t="s">
        <v>149</v>
      </c>
      <c r="D54" s="25" t="s">
        <v>133</v>
      </c>
      <c r="E54" s="26">
        <v>2658</v>
      </c>
      <c r="F54" s="27">
        <v>140.9</v>
      </c>
      <c r="G54" s="28">
        <v>5.0000000000000001E-3</v>
      </c>
      <c r="H54" s="29"/>
    </row>
    <row r="55" spans="2:8" ht="15.75" customHeight="1" x14ac:dyDescent="0.2">
      <c r="B55" s="25" t="s">
        <v>483</v>
      </c>
      <c r="C55" s="25" t="s">
        <v>484</v>
      </c>
      <c r="D55" s="25" t="s">
        <v>185</v>
      </c>
      <c r="E55" s="26">
        <v>3692</v>
      </c>
      <c r="F55" s="27">
        <v>128.81</v>
      </c>
      <c r="G55" s="28">
        <v>4.5999999999999999E-3</v>
      </c>
      <c r="H55" s="29"/>
    </row>
    <row r="56" spans="2:8" ht="15.75" customHeight="1" x14ac:dyDescent="0.2">
      <c r="B56" s="25" t="s">
        <v>729</v>
      </c>
      <c r="C56" s="25" t="s">
        <v>730</v>
      </c>
      <c r="D56" s="25" t="s">
        <v>320</v>
      </c>
      <c r="E56" s="26">
        <v>14559</v>
      </c>
      <c r="F56" s="27">
        <v>68.38</v>
      </c>
      <c r="G56" s="28">
        <v>2.3999999999999998E-3</v>
      </c>
      <c r="H56" s="29"/>
    </row>
    <row r="57" spans="2:8" ht="15.75" customHeight="1" x14ac:dyDescent="0.2">
      <c r="B57" s="24" t="s">
        <v>98</v>
      </c>
      <c r="C57" s="24"/>
      <c r="D57" s="24"/>
      <c r="E57" s="30"/>
      <c r="F57" s="31">
        <v>27883.85</v>
      </c>
      <c r="G57" s="32">
        <v>0.99870000000000003</v>
      </c>
      <c r="H57" s="33"/>
    </row>
    <row r="58" spans="2:8" ht="15.75" customHeight="1" x14ac:dyDescent="0.2">
      <c r="B58" s="24" t="s">
        <v>150</v>
      </c>
      <c r="C58" s="25"/>
      <c r="D58" s="25"/>
      <c r="E58" s="26"/>
      <c r="F58" s="27"/>
      <c r="G58" s="28"/>
      <c r="H58" s="29"/>
    </row>
    <row r="59" spans="2:8" ht="15.75" customHeight="1" x14ac:dyDescent="0.2">
      <c r="B59" s="24" t="s">
        <v>98</v>
      </c>
      <c r="C59" s="25"/>
      <c r="D59" s="25"/>
      <c r="E59" s="26"/>
      <c r="F59" s="34" t="s">
        <v>100</v>
      </c>
      <c r="G59" s="35" t="s">
        <v>100</v>
      </c>
      <c r="H59" s="29"/>
    </row>
    <row r="60" spans="2:8" ht="15.75" customHeight="1" x14ac:dyDescent="0.2">
      <c r="B60" s="25"/>
      <c r="C60" s="25"/>
      <c r="D60" s="25"/>
      <c r="E60" s="26"/>
      <c r="F60" s="27"/>
      <c r="G60" s="28"/>
      <c r="H60" s="29"/>
    </row>
    <row r="61" spans="2:8" ht="15.75" customHeight="1" x14ac:dyDescent="0.2">
      <c r="B61" s="36" t="s">
        <v>102</v>
      </c>
      <c r="C61" s="36"/>
      <c r="D61" s="36"/>
      <c r="E61" s="37"/>
      <c r="F61" s="31">
        <v>27883.85</v>
      </c>
      <c r="G61" s="32">
        <v>0.99870000000000003</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105</v>
      </c>
      <c r="C64" s="25"/>
      <c r="D64" s="25"/>
      <c r="E64" s="26"/>
      <c r="F64" s="27"/>
      <c r="G64" s="28"/>
      <c r="H64" s="29"/>
    </row>
    <row r="65" spans="2:16" ht="15.75" customHeight="1" x14ac:dyDescent="0.2">
      <c r="B65" s="25" t="s">
        <v>106</v>
      </c>
      <c r="C65" s="25"/>
      <c r="D65" s="25"/>
      <c r="E65" s="26"/>
      <c r="F65" s="27">
        <v>102.1</v>
      </c>
      <c r="G65" s="28">
        <v>3.7000000000000002E-3</v>
      </c>
      <c r="H65" s="29"/>
    </row>
    <row r="66" spans="2:16" ht="15.75" customHeight="1" x14ac:dyDescent="0.2">
      <c r="B66" s="24" t="s">
        <v>98</v>
      </c>
      <c r="C66" s="24"/>
      <c r="D66" s="24"/>
      <c r="E66" s="30"/>
      <c r="F66" s="31">
        <v>102.1</v>
      </c>
      <c r="G66" s="32">
        <v>3.7000000000000002E-3</v>
      </c>
      <c r="H66" s="33"/>
    </row>
    <row r="67" spans="2:16" ht="15.75" customHeight="1" x14ac:dyDescent="0.2">
      <c r="B67" s="25"/>
      <c r="C67" s="25"/>
      <c r="D67" s="25"/>
      <c r="E67" s="26"/>
      <c r="F67" s="27"/>
      <c r="G67" s="28"/>
      <c r="H67" s="29"/>
    </row>
    <row r="68" spans="2:16" ht="15.75" customHeight="1" x14ac:dyDescent="0.2">
      <c r="B68" s="36" t="s">
        <v>102</v>
      </c>
      <c r="C68" s="36"/>
      <c r="D68" s="36"/>
      <c r="E68" s="37"/>
      <c r="F68" s="31">
        <v>102.1</v>
      </c>
      <c r="G68" s="32">
        <v>3.7000000000000002E-3</v>
      </c>
      <c r="H68" s="33"/>
      <c r="L68" s="3"/>
    </row>
    <row r="69" spans="2:16" ht="15.75" customHeight="1" x14ac:dyDescent="0.2">
      <c r="B69" s="25" t="s">
        <v>107</v>
      </c>
      <c r="C69" s="25"/>
      <c r="D69" s="25"/>
      <c r="E69" s="26"/>
      <c r="F69" s="38">
        <v>-66.22</v>
      </c>
      <c r="G69" s="39">
        <v>-2.3999999999999577E-3</v>
      </c>
      <c r="H69" s="29"/>
    </row>
    <row r="70" spans="2:16" ht="15.75" customHeight="1" x14ac:dyDescent="0.2">
      <c r="B70" s="40" t="s">
        <v>108</v>
      </c>
      <c r="C70" s="40"/>
      <c r="D70" s="40"/>
      <c r="E70" s="41"/>
      <c r="F70" s="42">
        <v>27919.73</v>
      </c>
      <c r="G70" s="43">
        <v>1</v>
      </c>
      <c r="H70" s="44"/>
      <c r="L70" s="3"/>
    </row>
    <row r="71" spans="2:16" ht="15.75" customHeight="1" thickBot="1" x14ac:dyDescent="0.25">
      <c r="B71" s="2"/>
      <c r="L71" s="3"/>
    </row>
    <row r="72" spans="2:16" ht="27" customHeight="1" thickBot="1" x14ac:dyDescent="0.25">
      <c r="B72" s="57" t="s">
        <v>925</v>
      </c>
      <c r="C72" s="58" t="s">
        <v>926</v>
      </c>
      <c r="D72" s="58" t="s">
        <v>927</v>
      </c>
      <c r="E72" s="63" t="s">
        <v>928</v>
      </c>
      <c r="G72" s="2"/>
      <c r="H72" s="2"/>
    </row>
    <row r="73" spans="2:16" ht="27.75" customHeight="1" x14ac:dyDescent="0.2">
      <c r="B73" s="70" t="s">
        <v>59</v>
      </c>
      <c r="C73" s="82"/>
      <c r="D73" s="85" t="s">
        <v>992</v>
      </c>
      <c r="E73" s="87"/>
      <c r="G73" s="2"/>
      <c r="H73" s="2"/>
    </row>
    <row r="74" spans="2:16" ht="31.5" customHeight="1" x14ac:dyDescent="0.2">
      <c r="B74" s="66" t="s">
        <v>993</v>
      </c>
      <c r="C74" s="83"/>
      <c r="D74" s="86"/>
      <c r="E74" s="83"/>
      <c r="G74" s="2"/>
      <c r="H74" s="2"/>
    </row>
    <row r="75" spans="2:16" ht="39.950000000000003" customHeight="1" x14ac:dyDescent="0.2">
      <c r="B75" s="66" t="s">
        <v>994</v>
      </c>
      <c r="C75" s="83"/>
      <c r="D75" s="86"/>
      <c r="E75" s="83"/>
      <c r="G75" s="2"/>
      <c r="H75" s="2"/>
    </row>
    <row r="76" spans="2:16" ht="22.5" customHeight="1" thickBot="1" x14ac:dyDescent="0.25">
      <c r="B76" s="68" t="s">
        <v>943</v>
      </c>
      <c r="C76" s="84"/>
      <c r="D76" s="71" t="s">
        <v>943</v>
      </c>
      <c r="E76" s="88"/>
      <c r="G76" s="2"/>
      <c r="H76" s="2"/>
    </row>
    <row r="77" spans="2:16" ht="24.95" customHeight="1" x14ac:dyDescent="0.2">
      <c r="B77" s="59" t="s">
        <v>929</v>
      </c>
      <c r="C77" s="60"/>
      <c r="D77" s="61"/>
      <c r="E77" s="62"/>
      <c r="G77" s="2"/>
      <c r="H77" s="2"/>
    </row>
    <row r="78" spans="2:16" ht="15.75" customHeight="1" x14ac:dyDescent="0.2">
      <c r="L78" s="7"/>
      <c r="M78" s="7"/>
      <c r="N78" s="7"/>
      <c r="O78" s="7"/>
      <c r="P78" s="7"/>
    </row>
    <row r="79" spans="2:16" ht="12" x14ac:dyDescent="0.2">
      <c r="B79" s="2" t="s">
        <v>930</v>
      </c>
      <c r="C79" s="2"/>
      <c r="D79" s="2"/>
      <c r="G79" s="2"/>
      <c r="H79" s="2"/>
    </row>
    <row r="80" spans="2:16" ht="12" x14ac:dyDescent="0.2">
      <c r="B80" s="3" t="s">
        <v>931</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5193A737-9A4F-49DB-9BEF-112AE6E68AD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8C906-0739-41E5-855A-71A5B6064BA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7.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72652</v>
      </c>
      <c r="F7" s="27">
        <v>1019.13</v>
      </c>
      <c r="G7" s="28">
        <v>0.1283</v>
      </c>
      <c r="H7" s="29"/>
    </row>
    <row r="8" spans="2:9" ht="15.75" customHeight="1" x14ac:dyDescent="0.2">
      <c r="B8" s="25" t="s">
        <v>136</v>
      </c>
      <c r="C8" s="25" t="s">
        <v>137</v>
      </c>
      <c r="D8" s="25" t="s">
        <v>138</v>
      </c>
      <c r="E8" s="26">
        <v>33027</v>
      </c>
      <c r="F8" s="27">
        <v>965.96</v>
      </c>
      <c r="G8" s="28">
        <v>0.1216</v>
      </c>
      <c r="H8" s="29"/>
    </row>
    <row r="9" spans="2:9" ht="15.75" customHeight="1" x14ac:dyDescent="0.2">
      <c r="B9" s="25" t="s">
        <v>128</v>
      </c>
      <c r="C9" s="25" t="s">
        <v>129</v>
      </c>
      <c r="D9" s="25" t="s">
        <v>130</v>
      </c>
      <c r="E9" s="26">
        <v>67279</v>
      </c>
      <c r="F9" s="27">
        <v>708.75</v>
      </c>
      <c r="G9" s="28">
        <v>8.9200000000000002E-2</v>
      </c>
      <c r="H9" s="29"/>
    </row>
    <row r="10" spans="2:9" ht="15.75" customHeight="1" x14ac:dyDescent="0.2">
      <c r="B10" s="25" t="s">
        <v>131</v>
      </c>
      <c r="C10" s="25" t="s">
        <v>132</v>
      </c>
      <c r="D10" s="25" t="s">
        <v>133</v>
      </c>
      <c r="E10" s="26">
        <v>34299</v>
      </c>
      <c r="F10" s="27">
        <v>574.53</v>
      </c>
      <c r="G10" s="28">
        <v>7.2300000000000003E-2</v>
      </c>
      <c r="H10" s="29"/>
    </row>
    <row r="11" spans="2:9" ht="15.75" customHeight="1" x14ac:dyDescent="0.2">
      <c r="B11" s="25" t="s">
        <v>199</v>
      </c>
      <c r="C11" s="25" t="s">
        <v>200</v>
      </c>
      <c r="D11" s="25" t="s">
        <v>133</v>
      </c>
      <c r="E11" s="26">
        <v>9915</v>
      </c>
      <c r="F11" s="27">
        <v>405.74</v>
      </c>
      <c r="G11" s="28">
        <v>5.11E-2</v>
      </c>
      <c r="H11" s="29"/>
    </row>
    <row r="12" spans="2:9" ht="15.75" customHeight="1" x14ac:dyDescent="0.2">
      <c r="B12" s="25" t="s">
        <v>172</v>
      </c>
      <c r="C12" s="25" t="s">
        <v>173</v>
      </c>
      <c r="D12" s="25" t="s">
        <v>174</v>
      </c>
      <c r="E12" s="26">
        <v>11610</v>
      </c>
      <c r="F12" s="27">
        <v>404.21</v>
      </c>
      <c r="G12" s="28">
        <v>5.0900000000000001E-2</v>
      </c>
      <c r="H12" s="29"/>
    </row>
    <row r="13" spans="2:9" ht="15.75" customHeight="1" x14ac:dyDescent="0.2">
      <c r="B13" s="25" t="s">
        <v>210</v>
      </c>
      <c r="C13" s="25" t="s">
        <v>211</v>
      </c>
      <c r="D13" s="25" t="s">
        <v>141</v>
      </c>
      <c r="E13" s="26">
        <v>85069</v>
      </c>
      <c r="F13" s="27">
        <v>345.81</v>
      </c>
      <c r="G13" s="28">
        <v>4.3499999999999997E-2</v>
      </c>
      <c r="H13" s="29"/>
    </row>
    <row r="14" spans="2:9" ht="15.75" customHeight="1" x14ac:dyDescent="0.2">
      <c r="B14" s="25" t="s">
        <v>268</v>
      </c>
      <c r="C14" s="25" t="s">
        <v>269</v>
      </c>
      <c r="D14" s="25" t="s">
        <v>130</v>
      </c>
      <c r="E14" s="26">
        <v>26975</v>
      </c>
      <c r="F14" s="27">
        <v>290.17</v>
      </c>
      <c r="G14" s="28">
        <v>3.6499999999999998E-2</v>
      </c>
      <c r="H14" s="29"/>
    </row>
    <row r="15" spans="2:9" ht="15.75" customHeight="1" x14ac:dyDescent="0.2">
      <c r="B15" s="25" t="s">
        <v>266</v>
      </c>
      <c r="C15" s="25" t="s">
        <v>267</v>
      </c>
      <c r="D15" s="25" t="s">
        <v>130</v>
      </c>
      <c r="E15" s="26">
        <v>36970</v>
      </c>
      <c r="F15" s="27">
        <v>277.02</v>
      </c>
      <c r="G15" s="28">
        <v>3.49E-2</v>
      </c>
      <c r="H15" s="29"/>
    </row>
    <row r="16" spans="2:9" ht="15.75" customHeight="1" x14ac:dyDescent="0.2">
      <c r="B16" s="25" t="s">
        <v>241</v>
      </c>
      <c r="C16" s="25" t="s">
        <v>242</v>
      </c>
      <c r="D16" s="25" t="s">
        <v>168</v>
      </c>
      <c r="E16" s="26">
        <v>24238</v>
      </c>
      <c r="F16" s="27">
        <v>272.17</v>
      </c>
      <c r="G16" s="28">
        <v>3.4299999999999997E-2</v>
      </c>
      <c r="H16" s="29"/>
    </row>
    <row r="17" spans="2:8" ht="15.75" customHeight="1" x14ac:dyDescent="0.2">
      <c r="B17" s="25" t="s">
        <v>214</v>
      </c>
      <c r="C17" s="25" t="s">
        <v>215</v>
      </c>
      <c r="D17" s="25" t="s">
        <v>130</v>
      </c>
      <c r="E17" s="26">
        <v>13685</v>
      </c>
      <c r="F17" s="27">
        <v>231.39</v>
      </c>
      <c r="G17" s="28">
        <v>2.9100000000000001E-2</v>
      </c>
      <c r="H17" s="29"/>
    </row>
    <row r="18" spans="2:8" ht="15.75" customHeight="1" x14ac:dyDescent="0.2">
      <c r="B18" s="25" t="s">
        <v>139</v>
      </c>
      <c r="C18" s="25" t="s">
        <v>140</v>
      </c>
      <c r="D18" s="25" t="s">
        <v>141</v>
      </c>
      <c r="E18" s="26">
        <v>8559</v>
      </c>
      <c r="F18" s="27">
        <v>206.36</v>
      </c>
      <c r="G18" s="28">
        <v>2.5999999999999999E-2</v>
      </c>
      <c r="H18" s="29"/>
    </row>
    <row r="19" spans="2:8" ht="15.75" customHeight="1" x14ac:dyDescent="0.2">
      <c r="B19" s="25" t="s">
        <v>142</v>
      </c>
      <c r="C19" s="25" t="s">
        <v>143</v>
      </c>
      <c r="D19" s="25" t="s">
        <v>144</v>
      </c>
      <c r="E19" s="26">
        <v>9169</v>
      </c>
      <c r="F19" s="27">
        <v>177.31</v>
      </c>
      <c r="G19" s="28">
        <v>2.23E-2</v>
      </c>
      <c r="H19" s="29"/>
    </row>
    <row r="20" spans="2:8" ht="15.75" customHeight="1" x14ac:dyDescent="0.2">
      <c r="B20" s="25" t="s">
        <v>177</v>
      </c>
      <c r="C20" s="25" t="s">
        <v>178</v>
      </c>
      <c r="D20" s="25" t="s">
        <v>179</v>
      </c>
      <c r="E20" s="26">
        <v>2671</v>
      </c>
      <c r="F20" s="27">
        <v>173.51</v>
      </c>
      <c r="G20" s="28">
        <v>2.18E-2</v>
      </c>
      <c r="H20" s="29"/>
    </row>
    <row r="21" spans="2:8" ht="15.75" customHeight="1" x14ac:dyDescent="0.2">
      <c r="B21" s="25" t="s">
        <v>270</v>
      </c>
      <c r="C21" s="25" t="s">
        <v>271</v>
      </c>
      <c r="D21" s="25" t="s">
        <v>133</v>
      </c>
      <c r="E21" s="26">
        <v>10150</v>
      </c>
      <c r="F21" s="27">
        <v>169.22</v>
      </c>
      <c r="G21" s="28">
        <v>2.1299999999999999E-2</v>
      </c>
      <c r="H21" s="29"/>
    </row>
    <row r="22" spans="2:8" ht="15.75" customHeight="1" x14ac:dyDescent="0.2">
      <c r="B22" s="25" t="s">
        <v>438</v>
      </c>
      <c r="C22" s="25" t="s">
        <v>439</v>
      </c>
      <c r="D22" s="25" t="s">
        <v>144</v>
      </c>
      <c r="E22" s="26">
        <v>17290</v>
      </c>
      <c r="F22" s="27">
        <v>164.39</v>
      </c>
      <c r="G22" s="28">
        <v>2.07E-2</v>
      </c>
      <c r="H22" s="29"/>
    </row>
    <row r="23" spans="2:8" ht="15.75" customHeight="1" x14ac:dyDescent="0.2">
      <c r="B23" s="25" t="s">
        <v>272</v>
      </c>
      <c r="C23" s="25" t="s">
        <v>273</v>
      </c>
      <c r="D23" s="25" t="s">
        <v>185</v>
      </c>
      <c r="E23" s="26">
        <v>10259</v>
      </c>
      <c r="F23" s="27">
        <v>161.69999999999999</v>
      </c>
      <c r="G23" s="28">
        <v>2.0299999999999999E-2</v>
      </c>
      <c r="H23" s="29"/>
    </row>
    <row r="24" spans="2:8" ht="15.75" customHeight="1" x14ac:dyDescent="0.2">
      <c r="B24" s="25" t="s">
        <v>276</v>
      </c>
      <c r="C24" s="25" t="s">
        <v>277</v>
      </c>
      <c r="D24" s="25" t="s">
        <v>230</v>
      </c>
      <c r="E24" s="26">
        <v>45532</v>
      </c>
      <c r="F24" s="27">
        <v>152.74</v>
      </c>
      <c r="G24" s="28">
        <v>1.9199999999999998E-2</v>
      </c>
      <c r="H24" s="29"/>
    </row>
    <row r="25" spans="2:8" ht="15.75" customHeight="1" x14ac:dyDescent="0.2">
      <c r="B25" s="25" t="s">
        <v>204</v>
      </c>
      <c r="C25" s="25" t="s">
        <v>205</v>
      </c>
      <c r="D25" s="25" t="s">
        <v>206</v>
      </c>
      <c r="E25" s="26">
        <v>4016</v>
      </c>
      <c r="F25" s="27">
        <v>145.75</v>
      </c>
      <c r="G25" s="28">
        <v>1.83E-2</v>
      </c>
      <c r="H25" s="29"/>
    </row>
    <row r="26" spans="2:8" ht="15.75" customHeight="1" x14ac:dyDescent="0.2">
      <c r="B26" s="25" t="s">
        <v>274</v>
      </c>
      <c r="C26" s="25" t="s">
        <v>275</v>
      </c>
      <c r="D26" s="25" t="s">
        <v>144</v>
      </c>
      <c r="E26" s="26">
        <v>1275</v>
      </c>
      <c r="F26" s="27">
        <v>143.68</v>
      </c>
      <c r="G26" s="28">
        <v>1.8100000000000002E-2</v>
      </c>
      <c r="H26" s="29"/>
    </row>
    <row r="27" spans="2:8" ht="15.75" customHeight="1" x14ac:dyDescent="0.2">
      <c r="B27" s="25" t="s">
        <v>467</v>
      </c>
      <c r="C27" s="25" t="s">
        <v>468</v>
      </c>
      <c r="D27" s="25" t="s">
        <v>230</v>
      </c>
      <c r="E27" s="26">
        <v>43768</v>
      </c>
      <c r="F27" s="27">
        <v>123.67</v>
      </c>
      <c r="G27" s="28">
        <v>1.5599999999999999E-2</v>
      </c>
      <c r="H27" s="29"/>
    </row>
    <row r="28" spans="2:8" ht="15.75" customHeight="1" x14ac:dyDescent="0.2">
      <c r="B28" s="25" t="s">
        <v>216</v>
      </c>
      <c r="C28" s="25" t="s">
        <v>217</v>
      </c>
      <c r="D28" s="25" t="s">
        <v>206</v>
      </c>
      <c r="E28" s="26">
        <v>4315</v>
      </c>
      <c r="F28" s="27">
        <v>121.92</v>
      </c>
      <c r="G28" s="28">
        <v>1.5299999999999999E-2</v>
      </c>
      <c r="H28" s="29"/>
    </row>
    <row r="29" spans="2:8" ht="15.75" customHeight="1" x14ac:dyDescent="0.2">
      <c r="B29" s="25" t="s">
        <v>440</v>
      </c>
      <c r="C29" s="25" t="s">
        <v>441</v>
      </c>
      <c r="D29" s="25" t="s">
        <v>285</v>
      </c>
      <c r="E29" s="26">
        <v>1105</v>
      </c>
      <c r="F29" s="27">
        <v>109.42</v>
      </c>
      <c r="G29" s="28">
        <v>1.38E-2</v>
      </c>
      <c r="H29" s="29"/>
    </row>
    <row r="30" spans="2:8" ht="15.75" customHeight="1" x14ac:dyDescent="0.2">
      <c r="B30" s="25" t="s">
        <v>574</v>
      </c>
      <c r="C30" s="25" t="s">
        <v>575</v>
      </c>
      <c r="D30" s="25" t="s">
        <v>191</v>
      </c>
      <c r="E30" s="26">
        <v>77540</v>
      </c>
      <c r="F30" s="27">
        <v>109.25</v>
      </c>
      <c r="G30" s="28">
        <v>1.37E-2</v>
      </c>
      <c r="H30" s="29"/>
    </row>
    <row r="31" spans="2:8" ht="15.75" customHeight="1" x14ac:dyDescent="0.2">
      <c r="B31" s="25" t="s">
        <v>253</v>
      </c>
      <c r="C31" s="25" t="s">
        <v>254</v>
      </c>
      <c r="D31" s="25" t="s">
        <v>130</v>
      </c>
      <c r="E31" s="26">
        <v>6228</v>
      </c>
      <c r="F31" s="27">
        <v>91.89</v>
      </c>
      <c r="G31" s="28">
        <v>1.1599999999999999E-2</v>
      </c>
      <c r="H31" s="29"/>
    </row>
    <row r="32" spans="2:8" ht="15.75" customHeight="1" x14ac:dyDescent="0.2">
      <c r="B32" s="25" t="s">
        <v>145</v>
      </c>
      <c r="C32" s="25" t="s">
        <v>146</v>
      </c>
      <c r="D32" s="25" t="s">
        <v>147</v>
      </c>
      <c r="E32" s="26">
        <v>3420</v>
      </c>
      <c r="F32" s="27">
        <v>88.87</v>
      </c>
      <c r="G32" s="28">
        <v>1.12E-2</v>
      </c>
      <c r="H32" s="29"/>
    </row>
    <row r="33" spans="2:8" ht="15.75" customHeight="1" x14ac:dyDescent="0.2">
      <c r="B33" s="25" t="s">
        <v>251</v>
      </c>
      <c r="C33" s="25" t="s">
        <v>252</v>
      </c>
      <c r="D33" s="25" t="s">
        <v>179</v>
      </c>
      <c r="E33" s="26">
        <v>5207</v>
      </c>
      <c r="F33" s="27">
        <v>83.01</v>
      </c>
      <c r="G33" s="28">
        <v>1.04E-2</v>
      </c>
      <c r="H33" s="29"/>
    </row>
    <row r="34" spans="2:8" ht="15.75" customHeight="1" x14ac:dyDescent="0.2">
      <c r="B34" s="25" t="s">
        <v>243</v>
      </c>
      <c r="C34" s="25" t="s">
        <v>244</v>
      </c>
      <c r="D34" s="25" t="s">
        <v>133</v>
      </c>
      <c r="E34" s="26">
        <v>5974</v>
      </c>
      <c r="F34" s="27">
        <v>76.239999999999995</v>
      </c>
      <c r="G34" s="28">
        <v>9.5999999999999992E-3</v>
      </c>
      <c r="H34" s="29"/>
    </row>
    <row r="35" spans="2:8" ht="15.75" customHeight="1" x14ac:dyDescent="0.2">
      <c r="B35" s="25" t="s">
        <v>249</v>
      </c>
      <c r="C35" s="25" t="s">
        <v>250</v>
      </c>
      <c r="D35" s="25" t="s">
        <v>191</v>
      </c>
      <c r="E35" s="26">
        <v>9134</v>
      </c>
      <c r="F35" s="27">
        <v>73.09</v>
      </c>
      <c r="G35" s="28">
        <v>9.1999999999999998E-3</v>
      </c>
      <c r="H35" s="29"/>
    </row>
    <row r="36" spans="2:8" ht="15.75" customHeight="1" x14ac:dyDescent="0.2">
      <c r="B36" s="25" t="s">
        <v>727</v>
      </c>
      <c r="C36" s="25" t="s">
        <v>728</v>
      </c>
      <c r="D36" s="25" t="s">
        <v>133</v>
      </c>
      <c r="E36" s="26">
        <v>13627</v>
      </c>
      <c r="F36" s="27">
        <v>70.739999999999995</v>
      </c>
      <c r="G36" s="28">
        <v>8.8999999999999999E-3</v>
      </c>
      <c r="H36" s="29"/>
    </row>
    <row r="37" spans="2:8" ht="15.75" customHeight="1" x14ac:dyDescent="0.2">
      <c r="B37" s="24" t="s">
        <v>98</v>
      </c>
      <c r="C37" s="24"/>
      <c r="D37" s="24"/>
      <c r="E37" s="30"/>
      <c r="F37" s="31">
        <v>7937.64</v>
      </c>
      <c r="G37" s="32">
        <v>0.99890000000000001</v>
      </c>
      <c r="H37" s="33"/>
    </row>
    <row r="38" spans="2:8" ht="15.75" customHeight="1" x14ac:dyDescent="0.2">
      <c r="B38" s="24" t="s">
        <v>150</v>
      </c>
      <c r="C38" s="25"/>
      <c r="D38" s="25"/>
      <c r="E38" s="26"/>
      <c r="F38" s="27"/>
      <c r="G38" s="28"/>
      <c r="H38" s="29"/>
    </row>
    <row r="39" spans="2:8" ht="15.75" customHeight="1" x14ac:dyDescent="0.2">
      <c r="B39" s="24" t="s">
        <v>98</v>
      </c>
      <c r="C39" s="25"/>
      <c r="D39" s="25"/>
      <c r="E39" s="26"/>
      <c r="F39" s="34" t="s">
        <v>100</v>
      </c>
      <c r="G39" s="35" t="s">
        <v>100</v>
      </c>
      <c r="H39" s="29"/>
    </row>
    <row r="40" spans="2:8" ht="15.75" customHeight="1" x14ac:dyDescent="0.2">
      <c r="B40" s="25"/>
      <c r="C40" s="25"/>
      <c r="D40" s="25"/>
      <c r="E40" s="26"/>
      <c r="F40" s="27"/>
      <c r="G40" s="28"/>
      <c r="H40" s="29"/>
    </row>
    <row r="41" spans="2:8" ht="15.75" customHeight="1" x14ac:dyDescent="0.2">
      <c r="B41" s="36" t="s">
        <v>102</v>
      </c>
      <c r="C41" s="36"/>
      <c r="D41" s="36"/>
      <c r="E41" s="37"/>
      <c r="F41" s="31">
        <v>7937.64</v>
      </c>
      <c r="G41" s="32">
        <v>0.99890000000000001</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105</v>
      </c>
      <c r="C44" s="25"/>
      <c r="D44" s="25"/>
      <c r="E44" s="26"/>
      <c r="F44" s="27"/>
      <c r="G44" s="28"/>
      <c r="H44" s="29"/>
    </row>
    <row r="45" spans="2:8" ht="15.75" customHeight="1" x14ac:dyDescent="0.2">
      <c r="B45" s="25" t="s">
        <v>106</v>
      </c>
      <c r="C45" s="25"/>
      <c r="D45" s="25"/>
      <c r="E45" s="26"/>
      <c r="F45" s="27">
        <v>13.56</v>
      </c>
      <c r="G45" s="28">
        <v>1.6999999999999999E-3</v>
      </c>
      <c r="H45" s="29"/>
    </row>
    <row r="46" spans="2:8" ht="15.75" customHeight="1" x14ac:dyDescent="0.2">
      <c r="B46" s="24" t="s">
        <v>98</v>
      </c>
      <c r="C46" s="24"/>
      <c r="D46" s="24"/>
      <c r="E46" s="30"/>
      <c r="F46" s="31">
        <v>13.56</v>
      </c>
      <c r="G46" s="32">
        <v>1.6999999999999999E-3</v>
      </c>
      <c r="H46" s="33"/>
    </row>
    <row r="47" spans="2:8" ht="15.75" customHeight="1" x14ac:dyDescent="0.2">
      <c r="B47" s="25"/>
      <c r="C47" s="25"/>
      <c r="D47" s="25"/>
      <c r="E47" s="26"/>
      <c r="F47" s="27"/>
      <c r="G47" s="28"/>
      <c r="H47" s="29"/>
    </row>
    <row r="48" spans="2:8" ht="15.75" customHeight="1" x14ac:dyDescent="0.2">
      <c r="B48" s="36" t="s">
        <v>102</v>
      </c>
      <c r="C48" s="36"/>
      <c r="D48" s="36"/>
      <c r="E48" s="37"/>
      <c r="F48" s="31">
        <v>13.56</v>
      </c>
      <c r="G48" s="32">
        <v>1.6999999999999999E-3</v>
      </c>
      <c r="H48" s="33"/>
    </row>
    <row r="49" spans="2:8" ht="15.75" customHeight="1" x14ac:dyDescent="0.2">
      <c r="B49" s="25" t="s">
        <v>107</v>
      </c>
      <c r="C49" s="25"/>
      <c r="D49" s="25"/>
      <c r="E49" s="26"/>
      <c r="F49" s="38">
        <v>-4.82</v>
      </c>
      <c r="G49" s="39">
        <v>-5.9999999999993392E-4</v>
      </c>
      <c r="H49" s="29"/>
    </row>
    <row r="50" spans="2:8" ht="15.75" customHeight="1" x14ac:dyDescent="0.2">
      <c r="B50" s="40" t="s">
        <v>108</v>
      </c>
      <c r="C50" s="40"/>
      <c r="D50" s="40"/>
      <c r="E50" s="41"/>
      <c r="F50" s="42">
        <v>7946.38</v>
      </c>
      <c r="G50" s="43">
        <v>1</v>
      </c>
      <c r="H50" s="44"/>
    </row>
    <row r="51" spans="2:8" ht="15.75" customHeight="1" thickBot="1" x14ac:dyDescent="0.25">
      <c r="B51" s="2"/>
    </row>
    <row r="52" spans="2:8" ht="27" customHeight="1" thickBot="1" x14ac:dyDescent="0.25">
      <c r="B52" s="57" t="s">
        <v>925</v>
      </c>
      <c r="C52" s="58" t="s">
        <v>926</v>
      </c>
      <c r="D52" s="58" t="s">
        <v>927</v>
      </c>
      <c r="E52" s="63" t="s">
        <v>928</v>
      </c>
      <c r="G52" s="2"/>
      <c r="H52" s="2"/>
    </row>
    <row r="53" spans="2:8" ht="22.5" customHeight="1" x14ac:dyDescent="0.2">
      <c r="B53" s="70" t="s">
        <v>61</v>
      </c>
      <c r="C53" s="82"/>
      <c r="D53" s="85" t="s">
        <v>995</v>
      </c>
      <c r="E53" s="87"/>
      <c r="G53" s="2"/>
      <c r="H53" s="2"/>
    </row>
    <row r="54" spans="2:8" ht="26.25" customHeight="1" x14ac:dyDescent="0.2">
      <c r="B54" s="66" t="s">
        <v>993</v>
      </c>
      <c r="C54" s="83"/>
      <c r="D54" s="86"/>
      <c r="E54" s="83"/>
      <c r="G54" s="2"/>
      <c r="H54" s="2"/>
    </row>
    <row r="55" spans="2:8" ht="39.950000000000003" customHeight="1" x14ac:dyDescent="0.2">
      <c r="B55" s="66" t="s">
        <v>996</v>
      </c>
      <c r="C55" s="83"/>
      <c r="D55" s="86"/>
      <c r="E55" s="83"/>
      <c r="G55" s="2"/>
      <c r="H55" s="2"/>
    </row>
    <row r="56" spans="2:8" ht="27.75" customHeight="1" thickBot="1" x14ac:dyDescent="0.25">
      <c r="B56" s="68" t="s">
        <v>943</v>
      </c>
      <c r="C56" s="84"/>
      <c r="D56" s="71" t="s">
        <v>943</v>
      </c>
      <c r="E56" s="88"/>
      <c r="G56" s="2"/>
      <c r="H56" s="2"/>
    </row>
    <row r="57" spans="2:8" ht="24.95" customHeight="1" x14ac:dyDescent="0.2">
      <c r="B57" s="59" t="s">
        <v>929</v>
      </c>
      <c r="C57" s="60"/>
      <c r="D57" s="61"/>
      <c r="E57" s="62"/>
      <c r="G57" s="2"/>
      <c r="H57" s="2"/>
    </row>
    <row r="59" spans="2:8" ht="12" x14ac:dyDescent="0.2">
      <c r="B59" s="2" t="s">
        <v>930</v>
      </c>
      <c r="C59" s="2"/>
      <c r="D59" s="2"/>
      <c r="G59" s="2"/>
      <c r="H59" s="2"/>
    </row>
    <row r="60" spans="2:8" ht="12" x14ac:dyDescent="0.2">
      <c r="B60" s="3" t="s">
        <v>931</v>
      </c>
      <c r="C60" s="2"/>
      <c r="D60" s="2"/>
      <c r="G60" s="2"/>
      <c r="H6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6F609969-ECB2-4392-9564-D878D1E482A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528E5-33F2-492D-A513-D144F75DE3D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8.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997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266</v>
      </c>
      <c r="C7" s="25" t="s">
        <v>267</v>
      </c>
      <c r="D7" s="25" t="s">
        <v>130</v>
      </c>
      <c r="E7" s="26">
        <v>103026</v>
      </c>
      <c r="F7" s="27">
        <v>770.74</v>
      </c>
      <c r="G7" s="28">
        <v>7.2099999999999997E-2</v>
      </c>
      <c r="H7" s="29"/>
    </row>
    <row r="8" spans="2:9" ht="15.75" customHeight="1" x14ac:dyDescent="0.2">
      <c r="B8" s="25" t="s">
        <v>134</v>
      </c>
      <c r="C8" s="25" t="s">
        <v>135</v>
      </c>
      <c r="D8" s="25" t="s">
        <v>130</v>
      </c>
      <c r="E8" s="26">
        <v>47267</v>
      </c>
      <c r="F8" s="27">
        <v>663.35</v>
      </c>
      <c r="G8" s="28">
        <v>6.2100000000000002E-2</v>
      </c>
      <c r="H8" s="29"/>
    </row>
    <row r="9" spans="2:9" ht="15.75" customHeight="1" x14ac:dyDescent="0.2">
      <c r="B9" s="25" t="s">
        <v>136</v>
      </c>
      <c r="C9" s="25" t="s">
        <v>137</v>
      </c>
      <c r="D9" s="25" t="s">
        <v>138</v>
      </c>
      <c r="E9" s="26">
        <v>22152</v>
      </c>
      <c r="F9" s="27">
        <v>647.19000000000005</v>
      </c>
      <c r="G9" s="28">
        <v>6.0499999999999998E-2</v>
      </c>
      <c r="H9" s="29"/>
    </row>
    <row r="10" spans="2:9" ht="15.75" customHeight="1" x14ac:dyDescent="0.2">
      <c r="B10" s="25" t="s">
        <v>131</v>
      </c>
      <c r="C10" s="25" t="s">
        <v>132</v>
      </c>
      <c r="D10" s="25" t="s">
        <v>133</v>
      </c>
      <c r="E10" s="26">
        <v>27844</v>
      </c>
      <c r="F10" s="27">
        <v>466.08</v>
      </c>
      <c r="G10" s="28">
        <v>4.36E-2</v>
      </c>
      <c r="H10" s="29"/>
    </row>
    <row r="11" spans="2:9" ht="15.75" customHeight="1" x14ac:dyDescent="0.2">
      <c r="B11" s="25" t="s">
        <v>128</v>
      </c>
      <c r="C11" s="25" t="s">
        <v>129</v>
      </c>
      <c r="D11" s="25" t="s">
        <v>130</v>
      </c>
      <c r="E11" s="26">
        <v>33445</v>
      </c>
      <c r="F11" s="27">
        <v>351.91</v>
      </c>
      <c r="G11" s="28">
        <v>3.2899999999999999E-2</v>
      </c>
      <c r="H11" s="29"/>
    </row>
    <row r="12" spans="2:9" ht="15.75" customHeight="1" x14ac:dyDescent="0.2">
      <c r="B12" s="25" t="s">
        <v>210</v>
      </c>
      <c r="C12" s="25" t="s">
        <v>211</v>
      </c>
      <c r="D12" s="25" t="s">
        <v>141</v>
      </c>
      <c r="E12" s="26">
        <v>79716</v>
      </c>
      <c r="F12" s="27">
        <v>323.89</v>
      </c>
      <c r="G12" s="28">
        <v>3.0300000000000001E-2</v>
      </c>
      <c r="H12" s="29"/>
    </row>
    <row r="13" spans="2:9" ht="15.75" customHeight="1" x14ac:dyDescent="0.2">
      <c r="B13" s="25" t="s">
        <v>214</v>
      </c>
      <c r="C13" s="25" t="s">
        <v>215</v>
      </c>
      <c r="D13" s="25" t="s">
        <v>130</v>
      </c>
      <c r="E13" s="26">
        <v>16727</v>
      </c>
      <c r="F13" s="27">
        <v>282.58999999999997</v>
      </c>
      <c r="G13" s="28">
        <v>2.64E-2</v>
      </c>
      <c r="H13" s="29"/>
    </row>
    <row r="14" spans="2:9" ht="15.75" customHeight="1" x14ac:dyDescent="0.2">
      <c r="B14" s="25" t="s">
        <v>445</v>
      </c>
      <c r="C14" s="25" t="s">
        <v>446</v>
      </c>
      <c r="D14" s="25" t="s">
        <v>174</v>
      </c>
      <c r="E14" s="26">
        <v>112747</v>
      </c>
      <c r="F14" s="27">
        <v>278.60000000000002</v>
      </c>
      <c r="G14" s="28">
        <v>2.6100000000000002E-2</v>
      </c>
      <c r="H14" s="29"/>
    </row>
    <row r="15" spans="2:9" ht="15.75" customHeight="1" x14ac:dyDescent="0.2">
      <c r="B15" s="25" t="s">
        <v>272</v>
      </c>
      <c r="C15" s="25" t="s">
        <v>273</v>
      </c>
      <c r="D15" s="25" t="s">
        <v>185</v>
      </c>
      <c r="E15" s="26">
        <v>17300</v>
      </c>
      <c r="F15" s="27">
        <v>272.99</v>
      </c>
      <c r="G15" s="28">
        <v>2.5499999999999998E-2</v>
      </c>
      <c r="H15" s="29"/>
    </row>
    <row r="16" spans="2:9" ht="15.75" customHeight="1" x14ac:dyDescent="0.2">
      <c r="B16" s="25" t="s">
        <v>731</v>
      </c>
      <c r="C16" s="25" t="s">
        <v>732</v>
      </c>
      <c r="D16" s="25" t="s">
        <v>133</v>
      </c>
      <c r="E16" s="26">
        <v>2976</v>
      </c>
      <c r="F16" s="27">
        <v>256.83999999999997</v>
      </c>
      <c r="G16" s="28">
        <v>2.4E-2</v>
      </c>
      <c r="H16" s="29"/>
    </row>
    <row r="17" spans="2:8" ht="15.75" customHeight="1" x14ac:dyDescent="0.2">
      <c r="B17" s="25" t="s">
        <v>489</v>
      </c>
      <c r="C17" s="25" t="s">
        <v>490</v>
      </c>
      <c r="D17" s="25" t="s">
        <v>222</v>
      </c>
      <c r="E17" s="26">
        <v>87976</v>
      </c>
      <c r="F17" s="27">
        <v>251.66</v>
      </c>
      <c r="G17" s="28">
        <v>2.35E-2</v>
      </c>
      <c r="H17" s="29"/>
    </row>
    <row r="18" spans="2:8" ht="15.75" customHeight="1" x14ac:dyDescent="0.2">
      <c r="B18" s="25" t="s">
        <v>316</v>
      </c>
      <c r="C18" s="25" t="s">
        <v>317</v>
      </c>
      <c r="D18" s="25" t="s">
        <v>185</v>
      </c>
      <c r="E18" s="26">
        <v>186576</v>
      </c>
      <c r="F18" s="27">
        <v>246.09</v>
      </c>
      <c r="G18" s="28">
        <v>2.3E-2</v>
      </c>
      <c r="H18" s="29"/>
    </row>
    <row r="19" spans="2:8" ht="15.75" customHeight="1" x14ac:dyDescent="0.2">
      <c r="B19" s="25" t="s">
        <v>268</v>
      </c>
      <c r="C19" s="25" t="s">
        <v>269</v>
      </c>
      <c r="D19" s="25" t="s">
        <v>130</v>
      </c>
      <c r="E19" s="26">
        <v>22266</v>
      </c>
      <c r="F19" s="27">
        <v>239.38</v>
      </c>
      <c r="G19" s="28">
        <v>2.24E-2</v>
      </c>
      <c r="H19" s="29"/>
    </row>
    <row r="20" spans="2:8" ht="15.75" customHeight="1" x14ac:dyDescent="0.2">
      <c r="B20" s="25" t="s">
        <v>385</v>
      </c>
      <c r="C20" s="25" t="s">
        <v>386</v>
      </c>
      <c r="D20" s="25" t="s">
        <v>387</v>
      </c>
      <c r="E20" s="26">
        <v>16471</v>
      </c>
      <c r="F20" s="27">
        <v>231.99</v>
      </c>
      <c r="G20" s="28">
        <v>2.1700000000000001E-2</v>
      </c>
      <c r="H20" s="29"/>
    </row>
    <row r="21" spans="2:8" ht="15.75" customHeight="1" x14ac:dyDescent="0.2">
      <c r="B21" s="25" t="s">
        <v>377</v>
      </c>
      <c r="C21" s="25" t="s">
        <v>378</v>
      </c>
      <c r="D21" s="25" t="s">
        <v>309</v>
      </c>
      <c r="E21" s="26">
        <v>19587</v>
      </c>
      <c r="F21" s="27">
        <v>225.45</v>
      </c>
      <c r="G21" s="28">
        <v>2.1100000000000001E-2</v>
      </c>
      <c r="H21" s="29"/>
    </row>
    <row r="22" spans="2:8" ht="15.75" customHeight="1" x14ac:dyDescent="0.2">
      <c r="B22" s="25" t="s">
        <v>270</v>
      </c>
      <c r="C22" s="25" t="s">
        <v>271</v>
      </c>
      <c r="D22" s="25" t="s">
        <v>133</v>
      </c>
      <c r="E22" s="26">
        <v>13500</v>
      </c>
      <c r="F22" s="27">
        <v>224.62</v>
      </c>
      <c r="G22" s="28">
        <v>2.1000000000000001E-2</v>
      </c>
      <c r="H22" s="29"/>
    </row>
    <row r="23" spans="2:8" ht="15.75" customHeight="1" x14ac:dyDescent="0.2">
      <c r="B23" s="25" t="s">
        <v>247</v>
      </c>
      <c r="C23" s="25" t="s">
        <v>248</v>
      </c>
      <c r="D23" s="25" t="s">
        <v>237</v>
      </c>
      <c r="E23" s="26">
        <v>188293</v>
      </c>
      <c r="F23" s="27">
        <v>224.45</v>
      </c>
      <c r="G23" s="28">
        <v>2.1000000000000001E-2</v>
      </c>
      <c r="H23" s="29"/>
    </row>
    <row r="24" spans="2:8" ht="15.75" customHeight="1" x14ac:dyDescent="0.2">
      <c r="B24" s="25" t="s">
        <v>381</v>
      </c>
      <c r="C24" s="25" t="s">
        <v>382</v>
      </c>
      <c r="D24" s="25" t="s">
        <v>133</v>
      </c>
      <c r="E24" s="26">
        <v>3200</v>
      </c>
      <c r="F24" s="27">
        <v>209.73</v>
      </c>
      <c r="G24" s="28">
        <v>1.9599999999999999E-2</v>
      </c>
      <c r="H24" s="29"/>
    </row>
    <row r="25" spans="2:8" ht="15.75" customHeight="1" x14ac:dyDescent="0.2">
      <c r="B25" s="25" t="s">
        <v>440</v>
      </c>
      <c r="C25" s="25" t="s">
        <v>441</v>
      </c>
      <c r="D25" s="25" t="s">
        <v>285</v>
      </c>
      <c r="E25" s="26">
        <v>2000</v>
      </c>
      <c r="F25" s="27">
        <v>197.85</v>
      </c>
      <c r="G25" s="28">
        <v>1.8499999999999999E-2</v>
      </c>
      <c r="H25" s="29"/>
    </row>
    <row r="26" spans="2:8" ht="15.75" customHeight="1" x14ac:dyDescent="0.2">
      <c r="B26" s="25" t="s">
        <v>241</v>
      </c>
      <c r="C26" s="25" t="s">
        <v>242</v>
      </c>
      <c r="D26" s="25" t="s">
        <v>168</v>
      </c>
      <c r="E26" s="26">
        <v>16800</v>
      </c>
      <c r="F26" s="27">
        <v>188.72</v>
      </c>
      <c r="G26" s="28">
        <v>1.77E-2</v>
      </c>
      <c r="H26" s="29"/>
    </row>
    <row r="27" spans="2:8" ht="15.75" customHeight="1" x14ac:dyDescent="0.2">
      <c r="B27" s="25" t="s">
        <v>353</v>
      </c>
      <c r="C27" s="25" t="s">
        <v>354</v>
      </c>
      <c r="D27" s="25" t="s">
        <v>355</v>
      </c>
      <c r="E27" s="26">
        <v>20402</v>
      </c>
      <c r="F27" s="27">
        <v>185.94</v>
      </c>
      <c r="G27" s="28">
        <v>1.7399999999999999E-2</v>
      </c>
      <c r="H27" s="29"/>
    </row>
    <row r="28" spans="2:8" ht="15.75" customHeight="1" x14ac:dyDescent="0.2">
      <c r="B28" s="25" t="s">
        <v>295</v>
      </c>
      <c r="C28" s="25" t="s">
        <v>296</v>
      </c>
      <c r="D28" s="25" t="s">
        <v>179</v>
      </c>
      <c r="E28" s="26">
        <v>46098</v>
      </c>
      <c r="F28" s="27">
        <v>184.71</v>
      </c>
      <c r="G28" s="28">
        <v>1.7299999999999999E-2</v>
      </c>
      <c r="H28" s="29"/>
    </row>
    <row r="29" spans="2:8" ht="15.75" customHeight="1" x14ac:dyDescent="0.2">
      <c r="B29" s="25" t="s">
        <v>274</v>
      </c>
      <c r="C29" s="25" t="s">
        <v>275</v>
      </c>
      <c r="D29" s="25" t="s">
        <v>144</v>
      </c>
      <c r="E29" s="26">
        <v>1551</v>
      </c>
      <c r="F29" s="27">
        <v>175.08</v>
      </c>
      <c r="G29" s="28">
        <v>1.6400000000000001E-2</v>
      </c>
      <c r="H29" s="29"/>
    </row>
    <row r="30" spans="2:8" ht="15.75" customHeight="1" x14ac:dyDescent="0.2">
      <c r="B30" s="25" t="s">
        <v>177</v>
      </c>
      <c r="C30" s="25" t="s">
        <v>178</v>
      </c>
      <c r="D30" s="25" t="s">
        <v>179</v>
      </c>
      <c r="E30" s="26">
        <v>2670</v>
      </c>
      <c r="F30" s="27">
        <v>173.43</v>
      </c>
      <c r="G30" s="28">
        <v>1.6199999999999999E-2</v>
      </c>
      <c r="H30" s="29"/>
    </row>
    <row r="31" spans="2:8" ht="15.75" customHeight="1" x14ac:dyDescent="0.2">
      <c r="B31" s="25" t="s">
        <v>635</v>
      </c>
      <c r="C31" s="25" t="s">
        <v>636</v>
      </c>
      <c r="D31" s="25" t="s">
        <v>309</v>
      </c>
      <c r="E31" s="26">
        <v>8545</v>
      </c>
      <c r="F31" s="27">
        <v>162.63999999999999</v>
      </c>
      <c r="G31" s="28">
        <v>1.52E-2</v>
      </c>
      <c r="H31" s="29"/>
    </row>
    <row r="32" spans="2:8" ht="15.75" customHeight="1" x14ac:dyDescent="0.2">
      <c r="B32" s="25" t="s">
        <v>457</v>
      </c>
      <c r="C32" s="25" t="s">
        <v>458</v>
      </c>
      <c r="D32" s="25" t="s">
        <v>333</v>
      </c>
      <c r="E32" s="26">
        <v>7831</v>
      </c>
      <c r="F32" s="27">
        <v>158.61000000000001</v>
      </c>
      <c r="G32" s="28">
        <v>1.4800000000000001E-2</v>
      </c>
      <c r="H32" s="29"/>
    </row>
    <row r="33" spans="2:8" ht="15.75" customHeight="1" x14ac:dyDescent="0.2">
      <c r="B33" s="25" t="s">
        <v>297</v>
      </c>
      <c r="C33" s="25" t="s">
        <v>298</v>
      </c>
      <c r="D33" s="25" t="s">
        <v>240</v>
      </c>
      <c r="E33" s="26">
        <v>11500</v>
      </c>
      <c r="F33" s="27">
        <v>154.59</v>
      </c>
      <c r="G33" s="28">
        <v>1.4500000000000001E-2</v>
      </c>
      <c r="H33" s="29"/>
    </row>
    <row r="34" spans="2:8" ht="15.75" customHeight="1" x14ac:dyDescent="0.2">
      <c r="B34" s="25" t="s">
        <v>358</v>
      </c>
      <c r="C34" s="25" t="s">
        <v>359</v>
      </c>
      <c r="D34" s="25" t="s">
        <v>130</v>
      </c>
      <c r="E34" s="26">
        <v>152797</v>
      </c>
      <c r="F34" s="27">
        <v>152.26</v>
      </c>
      <c r="G34" s="28">
        <v>1.4200000000000001E-2</v>
      </c>
      <c r="H34" s="29"/>
    </row>
    <row r="35" spans="2:8" ht="15.75" customHeight="1" x14ac:dyDescent="0.2">
      <c r="B35" s="25" t="s">
        <v>318</v>
      </c>
      <c r="C35" s="25" t="s">
        <v>319</v>
      </c>
      <c r="D35" s="25" t="s">
        <v>320</v>
      </c>
      <c r="E35" s="26">
        <v>4125</v>
      </c>
      <c r="F35" s="27">
        <v>151.5</v>
      </c>
      <c r="G35" s="28">
        <v>1.4200000000000001E-2</v>
      </c>
      <c r="H35" s="29"/>
    </row>
    <row r="36" spans="2:8" ht="15.75" customHeight="1" x14ac:dyDescent="0.2">
      <c r="B36" s="25" t="s">
        <v>733</v>
      </c>
      <c r="C36" s="25" t="s">
        <v>734</v>
      </c>
      <c r="D36" s="25" t="s">
        <v>206</v>
      </c>
      <c r="E36" s="26">
        <v>4044</v>
      </c>
      <c r="F36" s="27">
        <v>148.91999999999999</v>
      </c>
      <c r="G36" s="28">
        <v>1.3899999999999999E-2</v>
      </c>
      <c r="H36" s="29"/>
    </row>
    <row r="37" spans="2:8" ht="15.75" customHeight="1" x14ac:dyDescent="0.2">
      <c r="B37" s="25" t="s">
        <v>453</v>
      </c>
      <c r="C37" s="25" t="s">
        <v>454</v>
      </c>
      <c r="D37" s="25" t="s">
        <v>209</v>
      </c>
      <c r="E37" s="26">
        <v>65089</v>
      </c>
      <c r="F37" s="27">
        <v>146.58000000000001</v>
      </c>
      <c r="G37" s="28">
        <v>1.37E-2</v>
      </c>
      <c r="H37" s="29"/>
    </row>
    <row r="38" spans="2:8" ht="15.75" customHeight="1" x14ac:dyDescent="0.2">
      <c r="B38" s="25" t="s">
        <v>495</v>
      </c>
      <c r="C38" s="25" t="s">
        <v>496</v>
      </c>
      <c r="D38" s="25" t="s">
        <v>497</v>
      </c>
      <c r="E38" s="26">
        <v>4825</v>
      </c>
      <c r="F38" s="27">
        <v>142.69999999999999</v>
      </c>
      <c r="G38" s="28">
        <v>1.3299999999999999E-2</v>
      </c>
      <c r="H38" s="29"/>
    </row>
    <row r="39" spans="2:8" ht="15.75" customHeight="1" x14ac:dyDescent="0.2">
      <c r="B39" s="25" t="s">
        <v>616</v>
      </c>
      <c r="C39" s="25" t="s">
        <v>617</v>
      </c>
      <c r="D39" s="25" t="s">
        <v>618</v>
      </c>
      <c r="E39" s="26">
        <v>9712</v>
      </c>
      <c r="F39" s="27">
        <v>133.16</v>
      </c>
      <c r="G39" s="28">
        <v>1.2500000000000001E-2</v>
      </c>
      <c r="H39" s="29"/>
    </row>
    <row r="40" spans="2:8" ht="15.75" customHeight="1" x14ac:dyDescent="0.2">
      <c r="B40" s="25" t="s">
        <v>506</v>
      </c>
      <c r="C40" s="25" t="s">
        <v>507</v>
      </c>
      <c r="D40" s="25" t="s">
        <v>203</v>
      </c>
      <c r="E40" s="26">
        <v>76393</v>
      </c>
      <c r="F40" s="27">
        <v>129.94</v>
      </c>
      <c r="G40" s="28">
        <v>1.2200000000000001E-2</v>
      </c>
      <c r="H40" s="29"/>
    </row>
    <row r="41" spans="2:8" ht="15.75" customHeight="1" x14ac:dyDescent="0.2">
      <c r="B41" s="25" t="s">
        <v>223</v>
      </c>
      <c r="C41" s="25" t="s">
        <v>224</v>
      </c>
      <c r="D41" s="25" t="s">
        <v>225</v>
      </c>
      <c r="E41" s="26">
        <v>10286</v>
      </c>
      <c r="F41" s="27">
        <v>129.37</v>
      </c>
      <c r="G41" s="28">
        <v>1.21E-2</v>
      </c>
      <c r="H41" s="29"/>
    </row>
    <row r="42" spans="2:8" ht="15.75" customHeight="1" x14ac:dyDescent="0.2">
      <c r="B42" s="25" t="s">
        <v>286</v>
      </c>
      <c r="C42" s="25" t="s">
        <v>287</v>
      </c>
      <c r="D42" s="25" t="s">
        <v>130</v>
      </c>
      <c r="E42" s="26">
        <v>95464</v>
      </c>
      <c r="F42" s="27">
        <v>125.49</v>
      </c>
      <c r="G42" s="28">
        <v>1.17E-2</v>
      </c>
      <c r="H42" s="29"/>
    </row>
    <row r="43" spans="2:8" ht="15.75" customHeight="1" x14ac:dyDescent="0.2">
      <c r="B43" s="25" t="s">
        <v>255</v>
      </c>
      <c r="C43" s="25" t="s">
        <v>256</v>
      </c>
      <c r="D43" s="25" t="s">
        <v>179</v>
      </c>
      <c r="E43" s="26">
        <v>13508</v>
      </c>
      <c r="F43" s="27">
        <v>123.56</v>
      </c>
      <c r="G43" s="28">
        <v>1.1599999999999999E-2</v>
      </c>
      <c r="H43" s="29"/>
    </row>
    <row r="44" spans="2:8" ht="15.75" customHeight="1" x14ac:dyDescent="0.2">
      <c r="B44" s="25" t="s">
        <v>194</v>
      </c>
      <c r="C44" s="25" t="s">
        <v>195</v>
      </c>
      <c r="D44" s="25" t="s">
        <v>196</v>
      </c>
      <c r="E44" s="26">
        <v>23867</v>
      </c>
      <c r="F44" s="27">
        <v>120.25</v>
      </c>
      <c r="G44" s="28">
        <v>1.1299999999999999E-2</v>
      </c>
      <c r="H44" s="29"/>
    </row>
    <row r="45" spans="2:8" ht="15.75" customHeight="1" x14ac:dyDescent="0.2">
      <c r="B45" s="25" t="s">
        <v>303</v>
      </c>
      <c r="C45" s="25" t="s">
        <v>304</v>
      </c>
      <c r="D45" s="25" t="s">
        <v>185</v>
      </c>
      <c r="E45" s="26">
        <v>5243</v>
      </c>
      <c r="F45" s="27">
        <v>111.97</v>
      </c>
      <c r="G45" s="28">
        <v>1.0500000000000001E-2</v>
      </c>
      <c r="H45" s="29"/>
    </row>
    <row r="46" spans="2:8" ht="15.75" customHeight="1" x14ac:dyDescent="0.2">
      <c r="B46" s="25" t="s">
        <v>305</v>
      </c>
      <c r="C46" s="25" t="s">
        <v>306</v>
      </c>
      <c r="D46" s="25" t="s">
        <v>206</v>
      </c>
      <c r="E46" s="26">
        <v>36900</v>
      </c>
      <c r="F46" s="27">
        <v>107.38</v>
      </c>
      <c r="G46" s="28">
        <v>0.01</v>
      </c>
      <c r="H46" s="29"/>
    </row>
    <row r="47" spans="2:8" ht="15.75" customHeight="1" x14ac:dyDescent="0.2">
      <c r="B47" s="25" t="s">
        <v>253</v>
      </c>
      <c r="C47" s="25" t="s">
        <v>254</v>
      </c>
      <c r="D47" s="25" t="s">
        <v>130</v>
      </c>
      <c r="E47" s="26">
        <v>7131</v>
      </c>
      <c r="F47" s="27">
        <v>105.18</v>
      </c>
      <c r="G47" s="28">
        <v>9.7999999999999997E-3</v>
      </c>
      <c r="H47" s="29"/>
    </row>
    <row r="48" spans="2:8" ht="15.75" customHeight="1" x14ac:dyDescent="0.2">
      <c r="B48" s="25" t="s">
        <v>735</v>
      </c>
      <c r="C48" s="25" t="s">
        <v>736</v>
      </c>
      <c r="D48" s="25" t="s">
        <v>476</v>
      </c>
      <c r="E48" s="26">
        <v>17883</v>
      </c>
      <c r="F48" s="27">
        <v>101.1</v>
      </c>
      <c r="G48" s="28">
        <v>9.4999999999999998E-3</v>
      </c>
      <c r="H48" s="29"/>
    </row>
    <row r="49" spans="2:8" ht="15.75" customHeight="1" x14ac:dyDescent="0.2">
      <c r="B49" s="25" t="s">
        <v>142</v>
      </c>
      <c r="C49" s="25" t="s">
        <v>143</v>
      </c>
      <c r="D49" s="25" t="s">
        <v>144</v>
      </c>
      <c r="E49" s="26">
        <v>5172</v>
      </c>
      <c r="F49" s="27">
        <v>99.94</v>
      </c>
      <c r="G49" s="28">
        <v>9.4000000000000004E-3</v>
      </c>
      <c r="H49" s="29"/>
    </row>
    <row r="50" spans="2:8" ht="15.75" customHeight="1" x14ac:dyDescent="0.2">
      <c r="B50" s="25" t="s">
        <v>687</v>
      </c>
      <c r="C50" s="25" t="s">
        <v>688</v>
      </c>
      <c r="D50" s="25" t="s">
        <v>444</v>
      </c>
      <c r="E50" s="26">
        <v>16188</v>
      </c>
      <c r="F50" s="27">
        <v>98.96</v>
      </c>
      <c r="G50" s="28">
        <v>9.2999999999999992E-3</v>
      </c>
      <c r="H50" s="29"/>
    </row>
    <row r="51" spans="2:8" ht="15.75" customHeight="1" x14ac:dyDescent="0.2">
      <c r="B51" s="25" t="s">
        <v>327</v>
      </c>
      <c r="C51" s="25" t="s">
        <v>328</v>
      </c>
      <c r="D51" s="25" t="s">
        <v>179</v>
      </c>
      <c r="E51" s="26">
        <v>7586</v>
      </c>
      <c r="F51" s="27">
        <v>98.9</v>
      </c>
      <c r="G51" s="28">
        <v>9.2999999999999992E-3</v>
      </c>
      <c r="H51" s="29"/>
    </row>
    <row r="52" spans="2:8" ht="15.75" customHeight="1" x14ac:dyDescent="0.2">
      <c r="B52" s="25" t="s">
        <v>500</v>
      </c>
      <c r="C52" s="25" t="s">
        <v>501</v>
      </c>
      <c r="D52" s="25" t="s">
        <v>222</v>
      </c>
      <c r="E52" s="26">
        <v>16669</v>
      </c>
      <c r="F52" s="27">
        <v>98.01</v>
      </c>
      <c r="G52" s="28">
        <v>9.1999999999999998E-3</v>
      </c>
      <c r="H52" s="29"/>
    </row>
    <row r="53" spans="2:8" ht="15.75" customHeight="1" x14ac:dyDescent="0.2">
      <c r="B53" s="25" t="s">
        <v>426</v>
      </c>
      <c r="C53" s="25" t="s">
        <v>427</v>
      </c>
      <c r="D53" s="25" t="s">
        <v>179</v>
      </c>
      <c r="E53" s="26">
        <v>10362</v>
      </c>
      <c r="F53" s="27">
        <v>94.88</v>
      </c>
      <c r="G53" s="28">
        <v>8.8999999999999999E-3</v>
      </c>
      <c r="H53" s="29"/>
    </row>
    <row r="54" spans="2:8" ht="15.75" customHeight="1" x14ac:dyDescent="0.2">
      <c r="B54" s="25" t="s">
        <v>329</v>
      </c>
      <c r="C54" s="25" t="s">
        <v>330</v>
      </c>
      <c r="D54" s="25" t="s">
        <v>138</v>
      </c>
      <c r="E54" s="26">
        <v>7324</v>
      </c>
      <c r="F54" s="27">
        <v>44.23</v>
      </c>
      <c r="G54" s="28">
        <v>4.1000000000000003E-3</v>
      </c>
      <c r="H54" s="29"/>
    </row>
    <row r="55" spans="2:8" ht="15.75" customHeight="1" x14ac:dyDescent="0.2">
      <c r="B55" s="24" t="s">
        <v>98</v>
      </c>
      <c r="C55" s="24"/>
      <c r="D55" s="24"/>
      <c r="E55" s="30"/>
      <c r="F55" s="31">
        <v>10213.4</v>
      </c>
      <c r="G55" s="32">
        <v>0.95550000000000002</v>
      </c>
      <c r="H55" s="33"/>
    </row>
    <row r="56" spans="2:8" ht="15.75" customHeight="1" x14ac:dyDescent="0.2">
      <c r="B56" s="24" t="s">
        <v>150</v>
      </c>
      <c r="C56" s="25"/>
      <c r="D56" s="25"/>
      <c r="E56" s="26"/>
      <c r="F56" s="27"/>
      <c r="G56" s="28"/>
      <c r="H56" s="29"/>
    </row>
    <row r="57" spans="2:8" ht="15.75" customHeight="1" x14ac:dyDescent="0.2">
      <c r="B57" s="24" t="s">
        <v>98</v>
      </c>
      <c r="C57" s="25"/>
      <c r="D57" s="25"/>
      <c r="E57" s="26"/>
      <c r="F57" s="34" t="s">
        <v>100</v>
      </c>
      <c r="G57" s="35" t="s">
        <v>100</v>
      </c>
      <c r="H57" s="29"/>
    </row>
    <row r="58" spans="2:8" ht="15.75" customHeight="1" x14ac:dyDescent="0.2">
      <c r="B58" s="25"/>
      <c r="C58" s="25"/>
      <c r="D58" s="25"/>
      <c r="E58" s="26"/>
      <c r="F58" s="27"/>
      <c r="G58" s="28"/>
      <c r="H58" s="29"/>
    </row>
    <row r="59" spans="2:8" ht="15.75" customHeight="1" x14ac:dyDescent="0.2">
      <c r="B59" s="36" t="s">
        <v>102</v>
      </c>
      <c r="C59" s="36"/>
      <c r="D59" s="36"/>
      <c r="E59" s="37"/>
      <c r="F59" s="31">
        <v>10213.4</v>
      </c>
      <c r="G59" s="32">
        <v>0.95550000000000002</v>
      </c>
      <c r="H59" s="33"/>
    </row>
    <row r="60" spans="2:8" ht="15.75" customHeight="1" x14ac:dyDescent="0.2">
      <c r="B60" s="25"/>
      <c r="C60" s="25"/>
      <c r="D60" s="25"/>
      <c r="E60" s="26"/>
      <c r="F60" s="27"/>
      <c r="G60" s="28"/>
      <c r="H60" s="29"/>
    </row>
    <row r="61" spans="2:8" ht="15.75" customHeight="1" x14ac:dyDescent="0.2">
      <c r="B61" s="25"/>
      <c r="C61" s="25"/>
      <c r="D61" s="25"/>
      <c r="E61" s="26"/>
      <c r="F61" s="27"/>
      <c r="G61" s="28"/>
      <c r="H61" s="29"/>
    </row>
    <row r="62" spans="2:8" ht="15.75" customHeight="1" x14ac:dyDescent="0.2">
      <c r="B62" s="24" t="s">
        <v>105</v>
      </c>
      <c r="C62" s="25"/>
      <c r="D62" s="25"/>
      <c r="E62" s="26"/>
      <c r="F62" s="27"/>
      <c r="G62" s="28"/>
      <c r="H62" s="29"/>
    </row>
    <row r="63" spans="2:8" ht="15.75" customHeight="1" x14ac:dyDescent="0.2">
      <c r="B63" s="25" t="s">
        <v>106</v>
      </c>
      <c r="C63" s="25"/>
      <c r="D63" s="25"/>
      <c r="E63" s="26"/>
      <c r="F63" s="27">
        <v>479.83</v>
      </c>
      <c r="G63" s="28">
        <v>4.4900000000000002E-2</v>
      </c>
      <c r="H63" s="29"/>
    </row>
    <row r="64" spans="2:8" ht="15.75" customHeight="1" x14ac:dyDescent="0.2">
      <c r="B64" s="24" t="s">
        <v>98</v>
      </c>
      <c r="C64" s="24"/>
      <c r="D64" s="24"/>
      <c r="E64" s="30"/>
      <c r="F64" s="31">
        <v>479.83</v>
      </c>
      <c r="G64" s="32">
        <v>4.4900000000000002E-2</v>
      </c>
      <c r="H64" s="33"/>
    </row>
    <row r="65" spans="2:16" ht="15.75" customHeight="1" x14ac:dyDescent="0.2">
      <c r="B65" s="25"/>
      <c r="C65" s="25"/>
      <c r="D65" s="25"/>
      <c r="E65" s="26"/>
      <c r="F65" s="27"/>
      <c r="G65" s="28"/>
      <c r="H65" s="29"/>
    </row>
    <row r="66" spans="2:16" ht="15.75" customHeight="1" x14ac:dyDescent="0.2">
      <c r="B66" s="36" t="s">
        <v>102</v>
      </c>
      <c r="C66" s="36"/>
      <c r="D66" s="36"/>
      <c r="E66" s="37"/>
      <c r="F66" s="31">
        <v>479.83</v>
      </c>
      <c r="G66" s="32">
        <v>4.4900000000000002E-2</v>
      </c>
      <c r="H66" s="33"/>
    </row>
    <row r="67" spans="2:16" ht="15.75" customHeight="1" x14ac:dyDescent="0.2">
      <c r="B67" s="25" t="s">
        <v>107</v>
      </c>
      <c r="C67" s="25"/>
      <c r="D67" s="25"/>
      <c r="E67" s="26"/>
      <c r="F67" s="38">
        <v>-4.2</v>
      </c>
      <c r="G67" s="39">
        <v>-3.9999999999995595E-4</v>
      </c>
      <c r="H67" s="29"/>
    </row>
    <row r="68" spans="2:16" ht="15.75" customHeight="1" x14ac:dyDescent="0.2">
      <c r="B68" s="40" t="s">
        <v>108</v>
      </c>
      <c r="C68" s="40"/>
      <c r="D68" s="40"/>
      <c r="E68" s="41"/>
      <c r="F68" s="42">
        <v>10689.03</v>
      </c>
      <c r="G68" s="43">
        <v>1</v>
      </c>
      <c r="H68" s="44"/>
      <c r="L68" s="3"/>
    </row>
    <row r="69" spans="2:16" ht="15.75" customHeight="1" thickBot="1" x14ac:dyDescent="0.25">
      <c r="B69" s="2"/>
    </row>
    <row r="70" spans="2:16" ht="27" customHeight="1" thickBot="1" x14ac:dyDescent="0.25">
      <c r="B70" s="57" t="s">
        <v>925</v>
      </c>
      <c r="C70" s="58" t="s">
        <v>926</v>
      </c>
      <c r="D70" s="58" t="s">
        <v>927</v>
      </c>
      <c r="E70" s="63" t="s">
        <v>928</v>
      </c>
      <c r="G70" s="2"/>
      <c r="H70" s="2"/>
    </row>
    <row r="71" spans="2:16" ht="29.25" customHeight="1" x14ac:dyDescent="0.2">
      <c r="B71" s="64" t="s">
        <v>63</v>
      </c>
      <c r="C71" s="82"/>
      <c r="D71" s="85" t="s">
        <v>980</v>
      </c>
      <c r="E71" s="87"/>
      <c r="G71" s="2"/>
      <c r="H71" s="2"/>
    </row>
    <row r="72" spans="2:16" ht="39.950000000000003" customHeight="1" x14ac:dyDescent="0.2">
      <c r="B72" s="66" t="s">
        <v>998</v>
      </c>
      <c r="C72" s="83"/>
      <c r="D72" s="86"/>
      <c r="E72" s="83"/>
      <c r="G72" s="2"/>
      <c r="H72" s="2"/>
    </row>
    <row r="73" spans="2:16" ht="39.950000000000003" customHeight="1" x14ac:dyDescent="0.2">
      <c r="B73" s="66" t="s">
        <v>999</v>
      </c>
      <c r="C73" s="83"/>
      <c r="D73" s="86"/>
      <c r="E73" s="83"/>
      <c r="G73" s="2"/>
      <c r="H73" s="2"/>
    </row>
    <row r="74" spans="2:16" ht="23.25" customHeight="1" thickBot="1" x14ac:dyDescent="0.25">
      <c r="B74" s="68" t="s">
        <v>943</v>
      </c>
      <c r="C74" s="84"/>
      <c r="D74" s="71" t="s">
        <v>943</v>
      </c>
      <c r="E74" s="88"/>
      <c r="G74" s="2"/>
      <c r="H74" s="2"/>
    </row>
    <row r="75" spans="2:16" ht="24.95" customHeight="1" x14ac:dyDescent="0.2">
      <c r="B75" s="59" t="s">
        <v>929</v>
      </c>
      <c r="C75" s="60"/>
      <c r="D75" s="61"/>
      <c r="E75" s="62"/>
      <c r="G75" s="2"/>
      <c r="H75" s="2"/>
    </row>
    <row r="77" spans="2:16" ht="12" x14ac:dyDescent="0.2">
      <c r="B77" s="2" t="s">
        <v>930</v>
      </c>
      <c r="C77" s="2"/>
      <c r="D77" s="2"/>
      <c r="G77" s="2"/>
      <c r="H77" s="2"/>
    </row>
    <row r="78" spans="2:16" ht="12" x14ac:dyDescent="0.2">
      <c r="B78" s="3" t="s">
        <v>931</v>
      </c>
      <c r="C78" s="2"/>
      <c r="D78" s="2"/>
      <c r="G78" s="2"/>
      <c r="H78" s="2"/>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1:C74"/>
    <mergeCell ref="D71:D73"/>
    <mergeCell ref="E71:E74"/>
  </mergeCells>
  <hyperlinks>
    <hyperlink ref="I1" location="'Sheet1'!A1" display="Index" xr:uid="{953F6586-B5FF-411F-8AAC-4A49F6BDD01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EF6BD-08C6-4741-B1E6-02241DD9F05A}">
  <dimension ref="B1:P130"/>
  <sheetViews>
    <sheetView workbookViewId="0"/>
  </sheetViews>
  <sheetFormatPr defaultColWidth="9.140625" defaultRowHeight="15.75" customHeight="1" x14ac:dyDescent="0.2"/>
  <cols>
    <col min="1" max="1" width="3.5703125" style="2" customWidth="1"/>
    <col min="2" max="2" width="50.42578125" style="9" customWidth="1"/>
    <col min="3" max="4" width="26.5703125" style="9" customWidth="1"/>
    <col min="5" max="5" width="29.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t="s">
        <v>1037</v>
      </c>
      <c r="D1" s="1" t="s">
        <v>1038</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737</v>
      </c>
      <c r="C7" s="25" t="s">
        <v>738</v>
      </c>
      <c r="D7" s="25" t="s">
        <v>203</v>
      </c>
      <c r="E7" s="26">
        <v>174876</v>
      </c>
      <c r="F7" s="27">
        <v>1387.38</v>
      </c>
      <c r="G7" s="28">
        <v>2.7099999999999999E-2</v>
      </c>
      <c r="H7" s="29"/>
    </row>
    <row r="8" spans="2:9" ht="15.75" customHeight="1" x14ac:dyDescent="0.2">
      <c r="B8" s="25" t="s">
        <v>295</v>
      </c>
      <c r="C8" s="25" t="s">
        <v>296</v>
      </c>
      <c r="D8" s="25" t="s">
        <v>179</v>
      </c>
      <c r="E8" s="26">
        <v>339210</v>
      </c>
      <c r="F8" s="27">
        <v>1359.21</v>
      </c>
      <c r="G8" s="28">
        <v>2.6499999999999999E-2</v>
      </c>
      <c r="H8" s="29"/>
    </row>
    <row r="9" spans="2:9" ht="15.75" customHeight="1" x14ac:dyDescent="0.2">
      <c r="B9" s="25" t="s">
        <v>160</v>
      </c>
      <c r="C9" s="25" t="s">
        <v>557</v>
      </c>
      <c r="D9" s="25" t="s">
        <v>179</v>
      </c>
      <c r="E9" s="26">
        <v>288717</v>
      </c>
      <c r="F9" s="27">
        <v>1276.27</v>
      </c>
      <c r="G9" s="28">
        <v>2.4899999999999999E-2</v>
      </c>
      <c r="H9" s="29"/>
    </row>
    <row r="10" spans="2:9" ht="15.75" customHeight="1" x14ac:dyDescent="0.2">
      <c r="B10" s="25" t="s">
        <v>739</v>
      </c>
      <c r="C10" s="25" t="s">
        <v>740</v>
      </c>
      <c r="D10" s="25" t="s">
        <v>230</v>
      </c>
      <c r="E10" s="26">
        <v>225980</v>
      </c>
      <c r="F10" s="27">
        <v>1242.78</v>
      </c>
      <c r="G10" s="28">
        <v>2.4199999999999999E-2</v>
      </c>
      <c r="H10" s="29"/>
    </row>
    <row r="11" spans="2:9" ht="15.75" customHeight="1" x14ac:dyDescent="0.2">
      <c r="B11" s="25" t="s">
        <v>524</v>
      </c>
      <c r="C11" s="25" t="s">
        <v>525</v>
      </c>
      <c r="D11" s="25" t="s">
        <v>362</v>
      </c>
      <c r="E11" s="26">
        <v>206559</v>
      </c>
      <c r="F11" s="27">
        <v>1211.8800000000001</v>
      </c>
      <c r="G11" s="28">
        <v>2.3599999999999999E-2</v>
      </c>
      <c r="H11" s="29"/>
    </row>
    <row r="12" spans="2:9" ht="15.75" customHeight="1" x14ac:dyDescent="0.2">
      <c r="B12" s="25" t="s">
        <v>731</v>
      </c>
      <c r="C12" s="25" t="s">
        <v>732</v>
      </c>
      <c r="D12" s="25" t="s">
        <v>133</v>
      </c>
      <c r="E12" s="26">
        <v>12112</v>
      </c>
      <c r="F12" s="27">
        <v>1045.31</v>
      </c>
      <c r="G12" s="28">
        <v>2.0400000000000001E-2</v>
      </c>
      <c r="H12" s="29"/>
    </row>
    <row r="13" spans="2:9" ht="15.75" customHeight="1" x14ac:dyDescent="0.2">
      <c r="B13" s="25" t="s">
        <v>741</v>
      </c>
      <c r="C13" s="25" t="s">
        <v>742</v>
      </c>
      <c r="D13" s="25" t="s">
        <v>130</v>
      </c>
      <c r="E13" s="26">
        <v>4110364</v>
      </c>
      <c r="F13" s="27">
        <v>1004.98</v>
      </c>
      <c r="G13" s="28">
        <v>1.9599999999999999E-2</v>
      </c>
      <c r="H13" s="29"/>
    </row>
    <row r="14" spans="2:9" ht="15.75" customHeight="1" x14ac:dyDescent="0.2">
      <c r="B14" s="25" t="s">
        <v>381</v>
      </c>
      <c r="C14" s="25" t="s">
        <v>382</v>
      </c>
      <c r="D14" s="25" t="s">
        <v>133</v>
      </c>
      <c r="E14" s="26">
        <v>14237</v>
      </c>
      <c r="F14" s="27">
        <v>933.1</v>
      </c>
      <c r="G14" s="28">
        <v>1.8200000000000001E-2</v>
      </c>
      <c r="H14" s="29"/>
    </row>
    <row r="15" spans="2:9" ht="15.75" customHeight="1" x14ac:dyDescent="0.2">
      <c r="B15" s="25" t="s">
        <v>743</v>
      </c>
      <c r="C15" s="25" t="s">
        <v>744</v>
      </c>
      <c r="D15" s="25" t="s">
        <v>185</v>
      </c>
      <c r="E15" s="26">
        <v>56552</v>
      </c>
      <c r="F15" s="27">
        <v>916.74</v>
      </c>
      <c r="G15" s="28">
        <v>1.7899999999999999E-2</v>
      </c>
      <c r="H15" s="29"/>
    </row>
    <row r="16" spans="2:9" ht="15.75" customHeight="1" x14ac:dyDescent="0.2">
      <c r="B16" s="25" t="s">
        <v>745</v>
      </c>
      <c r="C16" s="25" t="s">
        <v>746</v>
      </c>
      <c r="D16" s="25" t="s">
        <v>587</v>
      </c>
      <c r="E16" s="26">
        <v>23498</v>
      </c>
      <c r="F16" s="27">
        <v>881.88</v>
      </c>
      <c r="G16" s="28">
        <v>1.72E-2</v>
      </c>
      <c r="H16" s="29"/>
    </row>
    <row r="17" spans="2:8" ht="15.75" customHeight="1" x14ac:dyDescent="0.2">
      <c r="B17" s="25" t="s">
        <v>707</v>
      </c>
      <c r="C17" s="25" t="s">
        <v>708</v>
      </c>
      <c r="D17" s="25" t="s">
        <v>309</v>
      </c>
      <c r="E17" s="26">
        <v>31733</v>
      </c>
      <c r="F17" s="27">
        <v>869.06</v>
      </c>
      <c r="G17" s="28">
        <v>1.7000000000000001E-2</v>
      </c>
      <c r="H17" s="29"/>
    </row>
    <row r="18" spans="2:8" ht="15.75" customHeight="1" x14ac:dyDescent="0.2">
      <c r="B18" s="25" t="s">
        <v>747</v>
      </c>
      <c r="C18" s="25" t="s">
        <v>748</v>
      </c>
      <c r="D18" s="25" t="s">
        <v>237</v>
      </c>
      <c r="E18" s="26">
        <v>24421</v>
      </c>
      <c r="F18" s="27">
        <v>851.96</v>
      </c>
      <c r="G18" s="28">
        <v>1.66E-2</v>
      </c>
      <c r="H18" s="29"/>
    </row>
    <row r="19" spans="2:8" ht="15.75" customHeight="1" x14ac:dyDescent="0.2">
      <c r="B19" s="25" t="s">
        <v>226</v>
      </c>
      <c r="C19" s="25" t="s">
        <v>227</v>
      </c>
      <c r="D19" s="25" t="s">
        <v>130</v>
      </c>
      <c r="E19" s="26">
        <v>520783</v>
      </c>
      <c r="F19" s="27">
        <v>783.26</v>
      </c>
      <c r="G19" s="28">
        <v>1.5299999999999999E-2</v>
      </c>
      <c r="H19" s="29"/>
    </row>
    <row r="20" spans="2:8" ht="15.75" customHeight="1" x14ac:dyDescent="0.2">
      <c r="B20" s="25" t="s">
        <v>218</v>
      </c>
      <c r="C20" s="25" t="s">
        <v>219</v>
      </c>
      <c r="D20" s="25" t="s">
        <v>138</v>
      </c>
      <c r="E20" s="26">
        <v>148640</v>
      </c>
      <c r="F20" s="27">
        <v>757.17</v>
      </c>
      <c r="G20" s="28">
        <v>1.4800000000000001E-2</v>
      </c>
      <c r="H20" s="29"/>
    </row>
    <row r="21" spans="2:8" ht="15.75" customHeight="1" x14ac:dyDescent="0.2">
      <c r="B21" s="25" t="s">
        <v>749</v>
      </c>
      <c r="C21" s="25" t="s">
        <v>750</v>
      </c>
      <c r="D21" s="25" t="s">
        <v>751</v>
      </c>
      <c r="E21" s="26">
        <v>62793</v>
      </c>
      <c r="F21" s="27">
        <v>733.05</v>
      </c>
      <c r="G21" s="28">
        <v>1.43E-2</v>
      </c>
      <c r="H21" s="29"/>
    </row>
    <row r="22" spans="2:8" ht="15.75" customHeight="1" x14ac:dyDescent="0.2">
      <c r="B22" s="25" t="s">
        <v>314</v>
      </c>
      <c r="C22" s="25" t="s">
        <v>315</v>
      </c>
      <c r="D22" s="25" t="s">
        <v>130</v>
      </c>
      <c r="E22" s="26">
        <v>889504</v>
      </c>
      <c r="F22" s="27">
        <v>720.94</v>
      </c>
      <c r="G22" s="28">
        <v>1.41E-2</v>
      </c>
      <c r="H22" s="29"/>
    </row>
    <row r="23" spans="2:8" ht="15.75" customHeight="1" x14ac:dyDescent="0.2">
      <c r="B23" s="25" t="s">
        <v>752</v>
      </c>
      <c r="C23" s="25" t="s">
        <v>753</v>
      </c>
      <c r="D23" s="25" t="s">
        <v>237</v>
      </c>
      <c r="E23" s="26">
        <v>475</v>
      </c>
      <c r="F23" s="27">
        <v>693.89</v>
      </c>
      <c r="G23" s="28">
        <v>1.35E-2</v>
      </c>
      <c r="H23" s="29"/>
    </row>
    <row r="24" spans="2:8" ht="15.75" customHeight="1" x14ac:dyDescent="0.2">
      <c r="B24" s="25" t="s">
        <v>377</v>
      </c>
      <c r="C24" s="25" t="s">
        <v>378</v>
      </c>
      <c r="D24" s="25" t="s">
        <v>309</v>
      </c>
      <c r="E24" s="26">
        <v>59953</v>
      </c>
      <c r="F24" s="27">
        <v>690.06</v>
      </c>
      <c r="G24" s="28">
        <v>1.35E-2</v>
      </c>
      <c r="H24" s="29"/>
    </row>
    <row r="25" spans="2:8" ht="15.75" customHeight="1" x14ac:dyDescent="0.2">
      <c r="B25" s="25" t="s">
        <v>754</v>
      </c>
      <c r="C25" s="25" t="s">
        <v>755</v>
      </c>
      <c r="D25" s="25" t="s">
        <v>355</v>
      </c>
      <c r="E25" s="26">
        <v>300200</v>
      </c>
      <c r="F25" s="27">
        <v>683.11</v>
      </c>
      <c r="G25" s="28">
        <v>1.3299999999999999E-2</v>
      </c>
      <c r="H25" s="29"/>
    </row>
    <row r="26" spans="2:8" ht="15.75" customHeight="1" x14ac:dyDescent="0.2">
      <c r="B26" s="25" t="s">
        <v>183</v>
      </c>
      <c r="C26" s="25" t="s">
        <v>184</v>
      </c>
      <c r="D26" s="25" t="s">
        <v>185</v>
      </c>
      <c r="E26" s="26">
        <v>65867</v>
      </c>
      <c r="F26" s="27">
        <v>677.18</v>
      </c>
      <c r="G26" s="28">
        <v>1.32E-2</v>
      </c>
      <c r="H26" s="29"/>
    </row>
    <row r="27" spans="2:8" ht="15.75" customHeight="1" x14ac:dyDescent="0.2">
      <c r="B27" s="25" t="s">
        <v>756</v>
      </c>
      <c r="C27" s="25" t="s">
        <v>757</v>
      </c>
      <c r="D27" s="25" t="s">
        <v>355</v>
      </c>
      <c r="E27" s="26">
        <v>151565</v>
      </c>
      <c r="F27" s="27">
        <v>671.81</v>
      </c>
      <c r="G27" s="28">
        <v>1.3100000000000001E-2</v>
      </c>
      <c r="H27" s="29"/>
    </row>
    <row r="28" spans="2:8" ht="15.75" customHeight="1" x14ac:dyDescent="0.2">
      <c r="B28" s="25" t="s">
        <v>325</v>
      </c>
      <c r="C28" s="25" t="s">
        <v>326</v>
      </c>
      <c r="D28" s="25" t="s">
        <v>240</v>
      </c>
      <c r="E28" s="26">
        <v>57475</v>
      </c>
      <c r="F28" s="27">
        <v>669.73</v>
      </c>
      <c r="G28" s="28">
        <v>1.3100000000000001E-2</v>
      </c>
      <c r="H28" s="29"/>
    </row>
    <row r="29" spans="2:8" ht="15.75" customHeight="1" x14ac:dyDescent="0.2">
      <c r="B29" s="25" t="s">
        <v>371</v>
      </c>
      <c r="C29" s="25" t="s">
        <v>372</v>
      </c>
      <c r="D29" s="25" t="s">
        <v>237</v>
      </c>
      <c r="E29" s="26">
        <v>96258</v>
      </c>
      <c r="F29" s="27">
        <v>663.55</v>
      </c>
      <c r="G29" s="28">
        <v>1.29E-2</v>
      </c>
      <c r="H29" s="29"/>
    </row>
    <row r="30" spans="2:8" ht="15.75" customHeight="1" x14ac:dyDescent="0.2">
      <c r="B30" s="25" t="s">
        <v>238</v>
      </c>
      <c r="C30" s="25" t="s">
        <v>239</v>
      </c>
      <c r="D30" s="25" t="s">
        <v>240</v>
      </c>
      <c r="E30" s="26">
        <v>26827</v>
      </c>
      <c r="F30" s="27">
        <v>643.32000000000005</v>
      </c>
      <c r="G30" s="28">
        <v>1.2500000000000001E-2</v>
      </c>
      <c r="H30" s="29"/>
    </row>
    <row r="31" spans="2:8" ht="15.75" customHeight="1" x14ac:dyDescent="0.2">
      <c r="B31" s="25" t="s">
        <v>307</v>
      </c>
      <c r="C31" s="25" t="s">
        <v>308</v>
      </c>
      <c r="D31" s="25" t="s">
        <v>309</v>
      </c>
      <c r="E31" s="26">
        <v>41569</v>
      </c>
      <c r="F31" s="27">
        <v>643.29999999999995</v>
      </c>
      <c r="G31" s="28">
        <v>1.2500000000000001E-2</v>
      </c>
      <c r="H31" s="29"/>
    </row>
    <row r="32" spans="2:8" ht="15.75" customHeight="1" x14ac:dyDescent="0.2">
      <c r="B32" s="25" t="s">
        <v>758</v>
      </c>
      <c r="C32" s="25" t="s">
        <v>759</v>
      </c>
      <c r="D32" s="25" t="s">
        <v>130</v>
      </c>
      <c r="E32" s="26">
        <v>112592</v>
      </c>
      <c r="F32" s="27">
        <v>641.61</v>
      </c>
      <c r="G32" s="28">
        <v>1.2500000000000001E-2</v>
      </c>
      <c r="H32" s="29"/>
    </row>
    <row r="33" spans="2:8" ht="15.75" customHeight="1" x14ac:dyDescent="0.2">
      <c r="B33" s="25" t="s">
        <v>546</v>
      </c>
      <c r="C33" s="25" t="s">
        <v>547</v>
      </c>
      <c r="D33" s="25" t="s">
        <v>133</v>
      </c>
      <c r="E33" s="26">
        <v>8174</v>
      </c>
      <c r="F33" s="27">
        <v>638.48</v>
      </c>
      <c r="G33" s="28">
        <v>1.2500000000000001E-2</v>
      </c>
      <c r="H33" s="29"/>
    </row>
    <row r="34" spans="2:8" ht="15.75" customHeight="1" x14ac:dyDescent="0.2">
      <c r="B34" s="25" t="s">
        <v>760</v>
      </c>
      <c r="C34" s="25" t="s">
        <v>761</v>
      </c>
      <c r="D34" s="25" t="s">
        <v>179</v>
      </c>
      <c r="E34" s="26">
        <v>430819</v>
      </c>
      <c r="F34" s="27">
        <v>632.23</v>
      </c>
      <c r="G34" s="28">
        <v>1.23E-2</v>
      </c>
      <c r="H34" s="29"/>
    </row>
    <row r="35" spans="2:8" ht="15.75" customHeight="1" x14ac:dyDescent="0.2">
      <c r="B35" s="25" t="s">
        <v>169</v>
      </c>
      <c r="C35" s="25" t="s">
        <v>170</v>
      </c>
      <c r="D35" s="25" t="s">
        <v>171</v>
      </c>
      <c r="E35" s="26">
        <v>64030</v>
      </c>
      <c r="F35" s="27">
        <v>625.83000000000004</v>
      </c>
      <c r="G35" s="28">
        <v>1.2200000000000001E-2</v>
      </c>
      <c r="H35" s="29"/>
    </row>
    <row r="36" spans="2:8" ht="15.75" customHeight="1" x14ac:dyDescent="0.2">
      <c r="B36" s="25" t="s">
        <v>762</v>
      </c>
      <c r="C36" s="25" t="s">
        <v>763</v>
      </c>
      <c r="D36" s="25" t="s">
        <v>764</v>
      </c>
      <c r="E36" s="26">
        <v>268790</v>
      </c>
      <c r="F36" s="27">
        <v>607.20000000000005</v>
      </c>
      <c r="G36" s="28">
        <v>1.18E-2</v>
      </c>
      <c r="H36" s="29"/>
    </row>
    <row r="37" spans="2:8" ht="15.75" customHeight="1" x14ac:dyDescent="0.2">
      <c r="B37" s="25" t="s">
        <v>334</v>
      </c>
      <c r="C37" s="25" t="s">
        <v>335</v>
      </c>
      <c r="D37" s="25" t="s">
        <v>185</v>
      </c>
      <c r="E37" s="26">
        <v>11734</v>
      </c>
      <c r="F37" s="27">
        <v>601.64</v>
      </c>
      <c r="G37" s="28">
        <v>1.17E-2</v>
      </c>
      <c r="H37" s="29"/>
    </row>
    <row r="38" spans="2:8" ht="15.75" customHeight="1" x14ac:dyDescent="0.2">
      <c r="B38" s="25" t="s">
        <v>765</v>
      </c>
      <c r="C38" s="25" t="s">
        <v>766</v>
      </c>
      <c r="D38" s="25" t="s">
        <v>133</v>
      </c>
      <c r="E38" s="26">
        <v>38002</v>
      </c>
      <c r="F38" s="27">
        <v>596.84</v>
      </c>
      <c r="G38" s="28">
        <v>1.1599999999999999E-2</v>
      </c>
      <c r="H38" s="29"/>
    </row>
    <row r="39" spans="2:8" ht="15.75" customHeight="1" x14ac:dyDescent="0.2">
      <c r="B39" s="25" t="s">
        <v>526</v>
      </c>
      <c r="C39" s="25" t="s">
        <v>527</v>
      </c>
      <c r="D39" s="25" t="s">
        <v>206</v>
      </c>
      <c r="E39" s="26">
        <v>53660</v>
      </c>
      <c r="F39" s="27">
        <v>595.14</v>
      </c>
      <c r="G39" s="28">
        <v>1.1599999999999999E-2</v>
      </c>
      <c r="H39" s="29"/>
    </row>
    <row r="40" spans="2:8" ht="15.75" customHeight="1" x14ac:dyDescent="0.2">
      <c r="B40" s="25" t="s">
        <v>338</v>
      </c>
      <c r="C40" s="25" t="s">
        <v>339</v>
      </c>
      <c r="D40" s="25" t="s">
        <v>130</v>
      </c>
      <c r="E40" s="26">
        <v>403131</v>
      </c>
      <c r="F40" s="27">
        <v>589.78</v>
      </c>
      <c r="G40" s="28">
        <v>1.15E-2</v>
      </c>
      <c r="H40" s="29"/>
    </row>
    <row r="41" spans="2:8" ht="15.75" customHeight="1" x14ac:dyDescent="0.2">
      <c r="B41" s="25" t="s">
        <v>767</v>
      </c>
      <c r="C41" s="25" t="s">
        <v>768</v>
      </c>
      <c r="D41" s="25" t="s">
        <v>206</v>
      </c>
      <c r="E41" s="26">
        <v>8694</v>
      </c>
      <c r="F41" s="27">
        <v>581.09</v>
      </c>
      <c r="G41" s="28">
        <v>1.1299999999999999E-2</v>
      </c>
      <c r="H41" s="29"/>
    </row>
    <row r="42" spans="2:8" ht="15.75" customHeight="1" x14ac:dyDescent="0.2">
      <c r="B42" s="25" t="s">
        <v>530</v>
      </c>
      <c r="C42" s="25" t="s">
        <v>531</v>
      </c>
      <c r="D42" s="25" t="s">
        <v>309</v>
      </c>
      <c r="E42" s="26">
        <v>27726</v>
      </c>
      <c r="F42" s="27">
        <v>573.67999999999995</v>
      </c>
      <c r="G42" s="28">
        <v>1.12E-2</v>
      </c>
      <c r="H42" s="29"/>
    </row>
    <row r="43" spans="2:8" ht="15.75" customHeight="1" x14ac:dyDescent="0.2">
      <c r="B43" s="25" t="s">
        <v>542</v>
      </c>
      <c r="C43" s="25" t="s">
        <v>543</v>
      </c>
      <c r="D43" s="25" t="s">
        <v>471</v>
      </c>
      <c r="E43" s="26">
        <v>337506</v>
      </c>
      <c r="F43" s="27">
        <v>573.41999999999996</v>
      </c>
      <c r="G43" s="28">
        <v>1.12E-2</v>
      </c>
      <c r="H43" s="29"/>
    </row>
    <row r="44" spans="2:8" ht="15.75" customHeight="1" x14ac:dyDescent="0.2">
      <c r="B44" s="25" t="s">
        <v>477</v>
      </c>
      <c r="C44" s="25" t="s">
        <v>478</v>
      </c>
      <c r="D44" s="25" t="s">
        <v>230</v>
      </c>
      <c r="E44" s="26">
        <v>639680</v>
      </c>
      <c r="F44" s="27">
        <v>563.88</v>
      </c>
      <c r="G44" s="28">
        <v>1.0999999999999999E-2</v>
      </c>
      <c r="H44" s="29"/>
    </row>
    <row r="45" spans="2:8" ht="15.75" customHeight="1" x14ac:dyDescent="0.2">
      <c r="B45" s="25" t="s">
        <v>430</v>
      </c>
      <c r="C45" s="25" t="s">
        <v>431</v>
      </c>
      <c r="D45" s="25" t="s">
        <v>282</v>
      </c>
      <c r="E45" s="26">
        <v>57426</v>
      </c>
      <c r="F45" s="27">
        <v>556.86</v>
      </c>
      <c r="G45" s="28">
        <v>1.09E-2</v>
      </c>
      <c r="H45" s="29"/>
    </row>
    <row r="46" spans="2:8" ht="15.75" customHeight="1" x14ac:dyDescent="0.2">
      <c r="B46" s="25" t="s">
        <v>693</v>
      </c>
      <c r="C46" s="25" t="s">
        <v>694</v>
      </c>
      <c r="D46" s="25" t="s">
        <v>168</v>
      </c>
      <c r="E46" s="26">
        <v>27426</v>
      </c>
      <c r="F46" s="27">
        <v>527.46</v>
      </c>
      <c r="G46" s="28">
        <v>1.03E-2</v>
      </c>
      <c r="H46" s="29"/>
    </row>
    <row r="47" spans="2:8" ht="15.75" customHeight="1" x14ac:dyDescent="0.2">
      <c r="B47" s="25" t="s">
        <v>769</v>
      </c>
      <c r="C47" s="25" t="s">
        <v>770</v>
      </c>
      <c r="D47" s="25" t="s">
        <v>309</v>
      </c>
      <c r="E47" s="26">
        <v>10931</v>
      </c>
      <c r="F47" s="27">
        <v>519.21</v>
      </c>
      <c r="G47" s="28">
        <v>1.01E-2</v>
      </c>
      <c r="H47" s="29"/>
    </row>
    <row r="48" spans="2:8" ht="15.75" customHeight="1" x14ac:dyDescent="0.2">
      <c r="B48" s="25" t="s">
        <v>771</v>
      </c>
      <c r="C48" s="25" t="s">
        <v>772</v>
      </c>
      <c r="D48" s="25" t="s">
        <v>230</v>
      </c>
      <c r="E48" s="26">
        <v>100241</v>
      </c>
      <c r="F48" s="27">
        <v>509.53</v>
      </c>
      <c r="G48" s="28">
        <v>9.9000000000000008E-3</v>
      </c>
      <c r="H48" s="29"/>
    </row>
    <row r="49" spans="2:8" ht="15.75" customHeight="1" x14ac:dyDescent="0.2">
      <c r="B49" s="25" t="s">
        <v>773</v>
      </c>
      <c r="C49" s="25" t="s">
        <v>774</v>
      </c>
      <c r="D49" s="25" t="s">
        <v>133</v>
      </c>
      <c r="E49" s="26">
        <v>19406</v>
      </c>
      <c r="F49" s="27">
        <v>507.92</v>
      </c>
      <c r="G49" s="28">
        <v>9.9000000000000008E-3</v>
      </c>
      <c r="H49" s="29"/>
    </row>
    <row r="50" spans="2:8" ht="15.75" customHeight="1" x14ac:dyDescent="0.2">
      <c r="B50" s="25" t="s">
        <v>775</v>
      </c>
      <c r="C50" s="25" t="s">
        <v>776</v>
      </c>
      <c r="D50" s="25" t="s">
        <v>209</v>
      </c>
      <c r="E50" s="26">
        <v>320669</v>
      </c>
      <c r="F50" s="27">
        <v>503.13</v>
      </c>
      <c r="G50" s="28">
        <v>9.7999999999999997E-3</v>
      </c>
      <c r="H50" s="29"/>
    </row>
    <row r="51" spans="2:8" ht="15.75" customHeight="1" x14ac:dyDescent="0.2">
      <c r="B51" s="25" t="s">
        <v>777</v>
      </c>
      <c r="C51" s="25" t="s">
        <v>778</v>
      </c>
      <c r="D51" s="25" t="s">
        <v>203</v>
      </c>
      <c r="E51" s="26">
        <v>122344</v>
      </c>
      <c r="F51" s="27">
        <v>499.16</v>
      </c>
      <c r="G51" s="28">
        <v>9.7000000000000003E-3</v>
      </c>
      <c r="H51" s="29"/>
    </row>
    <row r="52" spans="2:8" ht="15.75" customHeight="1" x14ac:dyDescent="0.2">
      <c r="B52" s="25" t="s">
        <v>566</v>
      </c>
      <c r="C52" s="25" t="s">
        <v>567</v>
      </c>
      <c r="D52" s="25" t="s">
        <v>285</v>
      </c>
      <c r="E52" s="26">
        <v>18973</v>
      </c>
      <c r="F52" s="27">
        <v>498.86</v>
      </c>
      <c r="G52" s="28">
        <v>9.7000000000000003E-3</v>
      </c>
      <c r="H52" s="29"/>
    </row>
    <row r="53" spans="2:8" ht="15.75" customHeight="1" x14ac:dyDescent="0.2">
      <c r="B53" s="25" t="s">
        <v>600</v>
      </c>
      <c r="C53" s="25" t="s">
        <v>601</v>
      </c>
      <c r="D53" s="25" t="s">
        <v>444</v>
      </c>
      <c r="E53" s="26">
        <v>1439</v>
      </c>
      <c r="F53" s="27">
        <v>493.71</v>
      </c>
      <c r="G53" s="28">
        <v>9.5999999999999992E-3</v>
      </c>
      <c r="H53" s="29"/>
    </row>
    <row r="54" spans="2:8" ht="15.75" customHeight="1" x14ac:dyDescent="0.2">
      <c r="B54" s="25" t="s">
        <v>779</v>
      </c>
      <c r="C54" s="25" t="s">
        <v>780</v>
      </c>
      <c r="D54" s="25" t="s">
        <v>476</v>
      </c>
      <c r="E54" s="26">
        <v>176302</v>
      </c>
      <c r="F54" s="27">
        <v>482.1</v>
      </c>
      <c r="G54" s="28">
        <v>9.4000000000000004E-3</v>
      </c>
      <c r="H54" s="29"/>
    </row>
    <row r="55" spans="2:8" ht="15.75" customHeight="1" x14ac:dyDescent="0.2">
      <c r="B55" s="25" t="s">
        <v>161</v>
      </c>
      <c r="C55" s="25" t="s">
        <v>781</v>
      </c>
      <c r="D55" s="25" t="s">
        <v>179</v>
      </c>
      <c r="E55" s="26">
        <v>70660</v>
      </c>
      <c r="F55" s="27">
        <v>457.84</v>
      </c>
      <c r="G55" s="28">
        <v>8.8999999999999999E-3</v>
      </c>
      <c r="H55" s="29"/>
    </row>
    <row r="56" spans="2:8" ht="15.75" customHeight="1" x14ac:dyDescent="0.2">
      <c r="B56" s="25" t="s">
        <v>782</v>
      </c>
      <c r="C56" s="25" t="s">
        <v>783</v>
      </c>
      <c r="D56" s="25" t="s">
        <v>590</v>
      </c>
      <c r="E56" s="26">
        <v>83615</v>
      </c>
      <c r="F56" s="27">
        <v>457</v>
      </c>
      <c r="G56" s="28">
        <v>8.8999999999999999E-3</v>
      </c>
      <c r="H56" s="29"/>
    </row>
    <row r="57" spans="2:8" ht="15.75" customHeight="1" x14ac:dyDescent="0.2">
      <c r="B57" s="25" t="s">
        <v>305</v>
      </c>
      <c r="C57" s="25" t="s">
        <v>306</v>
      </c>
      <c r="D57" s="25" t="s">
        <v>206</v>
      </c>
      <c r="E57" s="26">
        <v>152640</v>
      </c>
      <c r="F57" s="27">
        <v>444.18</v>
      </c>
      <c r="G57" s="28">
        <v>8.6999999999999994E-3</v>
      </c>
      <c r="H57" s="29"/>
    </row>
    <row r="58" spans="2:8" ht="15.75" customHeight="1" x14ac:dyDescent="0.2">
      <c r="B58" s="25" t="s">
        <v>536</v>
      </c>
      <c r="C58" s="25" t="s">
        <v>537</v>
      </c>
      <c r="D58" s="25" t="s">
        <v>230</v>
      </c>
      <c r="E58" s="26">
        <v>39861</v>
      </c>
      <c r="F58" s="27">
        <v>429.64</v>
      </c>
      <c r="G58" s="28">
        <v>8.3999999999999995E-3</v>
      </c>
      <c r="H58" s="29"/>
    </row>
    <row r="59" spans="2:8" ht="15.75" customHeight="1" x14ac:dyDescent="0.2">
      <c r="B59" s="25" t="s">
        <v>784</v>
      </c>
      <c r="C59" s="25" t="s">
        <v>785</v>
      </c>
      <c r="D59" s="25" t="s">
        <v>130</v>
      </c>
      <c r="E59" s="26">
        <v>80780</v>
      </c>
      <c r="F59" s="27">
        <v>424.22</v>
      </c>
      <c r="G59" s="28">
        <v>8.3000000000000001E-3</v>
      </c>
      <c r="H59" s="29"/>
    </row>
    <row r="60" spans="2:8" ht="15.75" customHeight="1" x14ac:dyDescent="0.2">
      <c r="B60" s="25" t="s">
        <v>390</v>
      </c>
      <c r="C60" s="25" t="s">
        <v>391</v>
      </c>
      <c r="D60" s="25" t="s">
        <v>362</v>
      </c>
      <c r="E60" s="26">
        <v>89549</v>
      </c>
      <c r="F60" s="27">
        <v>415.42</v>
      </c>
      <c r="G60" s="28">
        <v>8.0999999999999996E-3</v>
      </c>
      <c r="H60" s="29"/>
    </row>
    <row r="61" spans="2:8" ht="15.75" customHeight="1" x14ac:dyDescent="0.2">
      <c r="B61" s="25" t="s">
        <v>550</v>
      </c>
      <c r="C61" s="25" t="s">
        <v>551</v>
      </c>
      <c r="D61" s="25" t="s">
        <v>237</v>
      </c>
      <c r="E61" s="26">
        <v>18619</v>
      </c>
      <c r="F61" s="27">
        <v>415.01</v>
      </c>
      <c r="G61" s="28">
        <v>8.0999999999999996E-3</v>
      </c>
      <c r="H61" s="29"/>
    </row>
    <row r="62" spans="2:8" ht="15.75" customHeight="1" x14ac:dyDescent="0.2">
      <c r="B62" s="25" t="s">
        <v>786</v>
      </c>
      <c r="C62" s="25" t="s">
        <v>787</v>
      </c>
      <c r="D62" s="25" t="s">
        <v>191</v>
      </c>
      <c r="E62" s="26">
        <v>338272</v>
      </c>
      <c r="F62" s="27">
        <v>409.99</v>
      </c>
      <c r="G62" s="28">
        <v>8.0000000000000002E-3</v>
      </c>
      <c r="H62" s="29"/>
    </row>
    <row r="63" spans="2:8" ht="15.75" customHeight="1" x14ac:dyDescent="0.2">
      <c r="B63" s="25" t="s">
        <v>788</v>
      </c>
      <c r="C63" s="25" t="s">
        <v>789</v>
      </c>
      <c r="D63" s="25" t="s">
        <v>171</v>
      </c>
      <c r="E63" s="26">
        <v>85967</v>
      </c>
      <c r="F63" s="27">
        <v>406.71</v>
      </c>
      <c r="G63" s="28">
        <v>7.9000000000000008E-3</v>
      </c>
      <c r="H63" s="29"/>
    </row>
    <row r="64" spans="2:8" ht="15.75" customHeight="1" x14ac:dyDescent="0.2">
      <c r="B64" s="25" t="s">
        <v>558</v>
      </c>
      <c r="C64" s="25" t="s">
        <v>559</v>
      </c>
      <c r="D64" s="25" t="s">
        <v>237</v>
      </c>
      <c r="E64" s="26">
        <v>77260</v>
      </c>
      <c r="F64" s="27">
        <v>400.59</v>
      </c>
      <c r="G64" s="28">
        <v>7.7999999999999996E-3</v>
      </c>
      <c r="H64" s="29"/>
    </row>
    <row r="65" spans="2:16" ht="15.75" customHeight="1" x14ac:dyDescent="0.2">
      <c r="B65" s="25" t="s">
        <v>290</v>
      </c>
      <c r="C65" s="25" t="s">
        <v>291</v>
      </c>
      <c r="D65" s="25" t="s">
        <v>179</v>
      </c>
      <c r="E65" s="26">
        <v>138288</v>
      </c>
      <c r="F65" s="27">
        <v>391.91</v>
      </c>
      <c r="G65" s="28">
        <v>7.6E-3</v>
      </c>
      <c r="H65" s="29"/>
    </row>
    <row r="66" spans="2:16" ht="15.75" customHeight="1" x14ac:dyDescent="0.2">
      <c r="B66" s="25" t="s">
        <v>166</v>
      </c>
      <c r="C66" s="25" t="s">
        <v>167</v>
      </c>
      <c r="D66" s="25" t="s">
        <v>168</v>
      </c>
      <c r="E66" s="26">
        <v>152956</v>
      </c>
      <c r="F66" s="27">
        <v>386.67</v>
      </c>
      <c r="G66" s="28">
        <v>7.4999999999999997E-3</v>
      </c>
      <c r="H66" s="29"/>
    </row>
    <row r="67" spans="2:16" ht="15.75" customHeight="1" x14ac:dyDescent="0.2">
      <c r="B67" s="25" t="s">
        <v>790</v>
      </c>
      <c r="C67" s="25" t="s">
        <v>791</v>
      </c>
      <c r="D67" s="25" t="s">
        <v>240</v>
      </c>
      <c r="E67" s="26">
        <v>32855</v>
      </c>
      <c r="F67" s="27">
        <v>383.34</v>
      </c>
      <c r="G67" s="28">
        <v>7.4999999999999997E-3</v>
      </c>
      <c r="H67" s="29"/>
    </row>
    <row r="68" spans="2:16" ht="15.75" customHeight="1" x14ac:dyDescent="0.2">
      <c r="B68" s="25" t="s">
        <v>502</v>
      </c>
      <c r="C68" s="25" t="s">
        <v>503</v>
      </c>
      <c r="D68" s="25" t="s">
        <v>185</v>
      </c>
      <c r="E68" s="26">
        <v>93252</v>
      </c>
      <c r="F68" s="27">
        <v>378.65</v>
      </c>
      <c r="G68" s="28">
        <v>7.4000000000000003E-3</v>
      </c>
      <c r="H68" s="29"/>
      <c r="L68" s="3"/>
    </row>
    <row r="69" spans="2:16" ht="15.75" customHeight="1" x14ac:dyDescent="0.2">
      <c r="B69" s="25" t="s">
        <v>518</v>
      </c>
      <c r="C69" s="25" t="s">
        <v>519</v>
      </c>
      <c r="D69" s="25" t="s">
        <v>185</v>
      </c>
      <c r="E69" s="26">
        <v>31558</v>
      </c>
      <c r="F69" s="27">
        <v>376.57</v>
      </c>
      <c r="G69" s="28">
        <v>7.3000000000000001E-3</v>
      </c>
      <c r="H69" s="29"/>
    </row>
    <row r="70" spans="2:16" ht="15.75" customHeight="1" x14ac:dyDescent="0.2">
      <c r="B70" s="25" t="s">
        <v>528</v>
      </c>
      <c r="C70" s="25" t="s">
        <v>529</v>
      </c>
      <c r="D70" s="25" t="s">
        <v>285</v>
      </c>
      <c r="E70" s="26">
        <v>18516</v>
      </c>
      <c r="F70" s="27">
        <v>374.93</v>
      </c>
      <c r="G70" s="28">
        <v>7.3000000000000001E-3</v>
      </c>
      <c r="H70" s="29"/>
      <c r="L70" s="3"/>
    </row>
    <row r="71" spans="2:16" ht="15.75" customHeight="1" x14ac:dyDescent="0.2">
      <c r="B71" s="25" t="s">
        <v>286</v>
      </c>
      <c r="C71" s="25" t="s">
        <v>287</v>
      </c>
      <c r="D71" s="25" t="s">
        <v>130</v>
      </c>
      <c r="E71" s="26">
        <v>282930</v>
      </c>
      <c r="F71" s="27">
        <v>371.91</v>
      </c>
      <c r="G71" s="28">
        <v>7.3000000000000001E-3</v>
      </c>
      <c r="H71" s="29"/>
      <c r="L71" s="3"/>
    </row>
    <row r="72" spans="2:16" ht="15.75" customHeight="1" x14ac:dyDescent="0.2">
      <c r="B72" s="25" t="s">
        <v>297</v>
      </c>
      <c r="C72" s="25" t="s">
        <v>298</v>
      </c>
      <c r="D72" s="25" t="s">
        <v>240</v>
      </c>
      <c r="E72" s="26">
        <v>27389</v>
      </c>
      <c r="F72" s="27">
        <v>368.18</v>
      </c>
      <c r="G72" s="28">
        <v>7.1999999999999998E-3</v>
      </c>
      <c r="H72" s="29"/>
      <c r="L72" s="3"/>
    </row>
    <row r="73" spans="2:16" ht="15.75" customHeight="1" x14ac:dyDescent="0.2">
      <c r="B73" s="25" t="s">
        <v>685</v>
      </c>
      <c r="C73" s="25" t="s">
        <v>686</v>
      </c>
      <c r="D73" s="25" t="s">
        <v>222</v>
      </c>
      <c r="E73" s="26">
        <v>16020</v>
      </c>
      <c r="F73" s="27">
        <v>354.5</v>
      </c>
      <c r="G73" s="28">
        <v>6.8999999999999999E-3</v>
      </c>
      <c r="H73" s="29"/>
      <c r="L73" s="3"/>
    </row>
    <row r="74" spans="2:16" ht="15.75" customHeight="1" x14ac:dyDescent="0.2">
      <c r="B74" s="25" t="s">
        <v>792</v>
      </c>
      <c r="C74" s="25" t="s">
        <v>793</v>
      </c>
      <c r="D74" s="25" t="s">
        <v>476</v>
      </c>
      <c r="E74" s="26">
        <v>82217</v>
      </c>
      <c r="F74" s="27">
        <v>350.24</v>
      </c>
      <c r="G74" s="28">
        <v>6.7999999999999996E-3</v>
      </c>
      <c r="H74" s="29"/>
      <c r="L74" s="3"/>
    </row>
    <row r="75" spans="2:16" ht="15.75" customHeight="1" x14ac:dyDescent="0.2">
      <c r="B75" s="25" t="s">
        <v>794</v>
      </c>
      <c r="C75" s="25" t="s">
        <v>795</v>
      </c>
      <c r="D75" s="25" t="s">
        <v>618</v>
      </c>
      <c r="E75" s="26">
        <v>216701</v>
      </c>
      <c r="F75" s="27">
        <v>348.78</v>
      </c>
      <c r="G75" s="28">
        <v>6.7999999999999996E-3</v>
      </c>
      <c r="H75" s="29"/>
      <c r="L75" s="5"/>
      <c r="M75" s="5"/>
      <c r="N75" s="6"/>
      <c r="O75" s="6"/>
      <c r="P75" s="5"/>
    </row>
    <row r="76" spans="2:16" ht="15.75" customHeight="1" x14ac:dyDescent="0.2">
      <c r="B76" s="25" t="s">
        <v>796</v>
      </c>
      <c r="C76" s="25" t="s">
        <v>797</v>
      </c>
      <c r="D76" s="25" t="s">
        <v>130</v>
      </c>
      <c r="E76" s="26">
        <v>177170</v>
      </c>
      <c r="F76" s="27">
        <v>346.54</v>
      </c>
      <c r="G76" s="28">
        <v>6.7999999999999996E-3</v>
      </c>
      <c r="H76" s="29"/>
    </row>
    <row r="77" spans="2:16" ht="15.75" customHeight="1" x14ac:dyDescent="0.2">
      <c r="B77" s="25" t="s">
        <v>798</v>
      </c>
      <c r="C77" s="25" t="s">
        <v>799</v>
      </c>
      <c r="D77" s="25" t="s">
        <v>333</v>
      </c>
      <c r="E77" s="26">
        <v>6453</v>
      </c>
      <c r="F77" s="27">
        <v>342.17</v>
      </c>
      <c r="G77" s="28">
        <v>6.7000000000000002E-3</v>
      </c>
      <c r="H77" s="29"/>
    </row>
    <row r="78" spans="2:16" ht="15.75" customHeight="1" x14ac:dyDescent="0.2">
      <c r="B78" s="25" t="s">
        <v>800</v>
      </c>
      <c r="C78" s="25" t="s">
        <v>801</v>
      </c>
      <c r="D78" s="25" t="s">
        <v>222</v>
      </c>
      <c r="E78" s="26">
        <v>36371</v>
      </c>
      <c r="F78" s="27">
        <v>341.6</v>
      </c>
      <c r="G78" s="28">
        <v>6.7000000000000002E-3</v>
      </c>
      <c r="H78" s="29"/>
      <c r="L78" s="7"/>
      <c r="M78" s="7"/>
      <c r="N78" s="7"/>
      <c r="O78" s="7"/>
      <c r="P78" s="7"/>
    </row>
    <row r="79" spans="2:16" ht="15.75" customHeight="1" x14ac:dyDescent="0.2">
      <c r="B79" s="25" t="s">
        <v>802</v>
      </c>
      <c r="C79" s="25" t="s">
        <v>803</v>
      </c>
      <c r="D79" s="25" t="s">
        <v>222</v>
      </c>
      <c r="E79" s="26">
        <v>9223</v>
      </c>
      <c r="F79" s="27">
        <v>341.41</v>
      </c>
      <c r="G79" s="28">
        <v>6.7000000000000002E-3</v>
      </c>
      <c r="H79" s="29"/>
      <c r="L79" s="7"/>
      <c r="M79" s="7"/>
      <c r="N79" s="7"/>
      <c r="O79" s="7"/>
      <c r="P79" s="7"/>
    </row>
    <row r="80" spans="2:16" ht="15.75" customHeight="1" x14ac:dyDescent="0.2">
      <c r="B80" s="25" t="s">
        <v>804</v>
      </c>
      <c r="C80" s="25" t="s">
        <v>805</v>
      </c>
      <c r="D80" s="25" t="s">
        <v>578</v>
      </c>
      <c r="E80" s="26">
        <v>22035</v>
      </c>
      <c r="F80" s="27">
        <v>338.83</v>
      </c>
      <c r="G80" s="28">
        <v>6.6E-3</v>
      </c>
      <c r="H80" s="29"/>
      <c r="L80" s="7"/>
      <c r="M80" s="7"/>
      <c r="N80" s="7"/>
      <c r="O80" s="7"/>
      <c r="P80" s="7"/>
    </row>
    <row r="81" spans="2:16" ht="15.75" customHeight="1" x14ac:dyDescent="0.2">
      <c r="B81" s="25" t="s">
        <v>806</v>
      </c>
      <c r="C81" s="25" t="s">
        <v>807</v>
      </c>
      <c r="D81" s="25" t="s">
        <v>174</v>
      </c>
      <c r="E81" s="26">
        <v>132402</v>
      </c>
      <c r="F81" s="27">
        <v>323.39</v>
      </c>
      <c r="G81" s="28">
        <v>6.3E-3</v>
      </c>
      <c r="H81" s="29"/>
      <c r="L81" s="7"/>
      <c r="M81" s="7"/>
      <c r="N81" s="7"/>
      <c r="O81" s="7"/>
      <c r="P81" s="7"/>
    </row>
    <row r="82" spans="2:16" ht="15.75" customHeight="1" x14ac:dyDescent="0.2">
      <c r="B82" s="25" t="s">
        <v>418</v>
      </c>
      <c r="C82" s="25" t="s">
        <v>419</v>
      </c>
      <c r="D82" s="25" t="s">
        <v>179</v>
      </c>
      <c r="E82" s="26">
        <v>191743</v>
      </c>
      <c r="F82" s="27">
        <v>320.5</v>
      </c>
      <c r="G82" s="28">
        <v>6.3E-3</v>
      </c>
      <c r="H82" s="29"/>
      <c r="L82" s="7"/>
      <c r="M82" s="7"/>
      <c r="N82" s="7"/>
      <c r="O82" s="7"/>
      <c r="P82" s="7"/>
    </row>
    <row r="83" spans="2:16" ht="15.75" customHeight="1" x14ac:dyDescent="0.2">
      <c r="B83" s="25" t="s">
        <v>808</v>
      </c>
      <c r="C83" s="25" t="s">
        <v>809</v>
      </c>
      <c r="D83" s="25" t="s">
        <v>179</v>
      </c>
      <c r="E83" s="26">
        <v>66136</v>
      </c>
      <c r="F83" s="27">
        <v>308.86</v>
      </c>
      <c r="G83" s="28">
        <v>6.0000000000000001E-3</v>
      </c>
      <c r="H83" s="29"/>
      <c r="L83" s="7"/>
      <c r="M83" s="7"/>
      <c r="N83" s="7"/>
      <c r="O83" s="7"/>
      <c r="P83" s="7"/>
    </row>
    <row r="84" spans="2:16" ht="15.75" customHeight="1" x14ac:dyDescent="0.2">
      <c r="B84" s="25" t="s">
        <v>197</v>
      </c>
      <c r="C84" s="25" t="s">
        <v>198</v>
      </c>
      <c r="D84" s="25" t="s">
        <v>179</v>
      </c>
      <c r="E84" s="26">
        <v>164367</v>
      </c>
      <c r="F84" s="27">
        <v>301.86</v>
      </c>
      <c r="G84" s="28">
        <v>5.8999999999999999E-3</v>
      </c>
      <c r="H84" s="29"/>
      <c r="L84" s="7"/>
      <c r="M84" s="7"/>
      <c r="N84" s="7"/>
      <c r="O84" s="7"/>
      <c r="P84" s="7"/>
    </row>
    <row r="85" spans="2:16" ht="15.75" customHeight="1" x14ac:dyDescent="0.2">
      <c r="B85" s="25" t="s">
        <v>288</v>
      </c>
      <c r="C85" s="25" t="s">
        <v>289</v>
      </c>
      <c r="D85" s="25" t="s">
        <v>203</v>
      </c>
      <c r="E85" s="26">
        <v>42580</v>
      </c>
      <c r="F85" s="27">
        <v>300.64</v>
      </c>
      <c r="G85" s="28">
        <v>5.8999999999999999E-3</v>
      </c>
      <c r="H85" s="29"/>
    </row>
    <row r="86" spans="2:16" ht="15.75" customHeight="1" x14ac:dyDescent="0.2">
      <c r="B86" s="25" t="s">
        <v>455</v>
      </c>
      <c r="C86" s="25" t="s">
        <v>456</v>
      </c>
      <c r="D86" s="25" t="s">
        <v>320</v>
      </c>
      <c r="E86" s="26">
        <v>27665</v>
      </c>
      <c r="F86" s="27">
        <v>297.74</v>
      </c>
      <c r="G86" s="28">
        <v>5.7999999999999996E-3</v>
      </c>
      <c r="H86" s="29"/>
      <c r="L86" s="3"/>
    </row>
    <row r="87" spans="2:16" ht="15.75" customHeight="1" x14ac:dyDescent="0.2">
      <c r="B87" s="25" t="s">
        <v>810</v>
      </c>
      <c r="C87" s="25" t="s">
        <v>811</v>
      </c>
      <c r="D87" s="25" t="s">
        <v>387</v>
      </c>
      <c r="E87" s="26">
        <v>17354</v>
      </c>
      <c r="F87" s="27">
        <v>294.52999999999997</v>
      </c>
      <c r="G87" s="28">
        <v>5.7000000000000002E-3</v>
      </c>
      <c r="H87" s="29"/>
    </row>
    <row r="88" spans="2:16" ht="15.75" customHeight="1" x14ac:dyDescent="0.2">
      <c r="B88" s="25" t="s">
        <v>570</v>
      </c>
      <c r="C88" s="25" t="s">
        <v>571</v>
      </c>
      <c r="D88" s="25" t="s">
        <v>185</v>
      </c>
      <c r="E88" s="26">
        <v>104357</v>
      </c>
      <c r="F88" s="27">
        <v>288.55</v>
      </c>
      <c r="G88" s="28">
        <v>5.5999999999999999E-3</v>
      </c>
      <c r="H88" s="29"/>
    </row>
    <row r="89" spans="2:16" ht="15.75" customHeight="1" x14ac:dyDescent="0.2">
      <c r="B89" s="25" t="s">
        <v>812</v>
      </c>
      <c r="C89" s="25" t="s">
        <v>813</v>
      </c>
      <c r="D89" s="25" t="s">
        <v>185</v>
      </c>
      <c r="E89" s="26">
        <v>16202</v>
      </c>
      <c r="F89" s="27">
        <v>286.12</v>
      </c>
      <c r="G89" s="28">
        <v>5.5999999999999999E-3</v>
      </c>
      <c r="H89" s="29"/>
    </row>
    <row r="90" spans="2:16" ht="15.75" customHeight="1" x14ac:dyDescent="0.2">
      <c r="B90" s="25" t="s">
        <v>461</v>
      </c>
      <c r="C90" s="25" t="s">
        <v>462</v>
      </c>
      <c r="D90" s="25" t="s">
        <v>237</v>
      </c>
      <c r="E90" s="26">
        <v>392011</v>
      </c>
      <c r="F90" s="27">
        <v>275</v>
      </c>
      <c r="G90" s="28">
        <v>5.4000000000000003E-3</v>
      </c>
      <c r="H90" s="29"/>
    </row>
    <row r="91" spans="2:16" ht="15.75" customHeight="1" x14ac:dyDescent="0.2">
      <c r="B91" s="25" t="s">
        <v>255</v>
      </c>
      <c r="C91" s="25" t="s">
        <v>256</v>
      </c>
      <c r="D91" s="25" t="s">
        <v>179</v>
      </c>
      <c r="E91" s="26">
        <v>27820</v>
      </c>
      <c r="F91" s="27">
        <v>254.48</v>
      </c>
      <c r="G91" s="28">
        <v>5.0000000000000001E-3</v>
      </c>
      <c r="H91" s="29"/>
    </row>
    <row r="92" spans="2:16" ht="15.75" customHeight="1" x14ac:dyDescent="0.2">
      <c r="B92" s="25" t="s">
        <v>814</v>
      </c>
      <c r="C92" s="25" t="s">
        <v>815</v>
      </c>
      <c r="D92" s="25" t="s">
        <v>168</v>
      </c>
      <c r="E92" s="26">
        <v>1833933</v>
      </c>
      <c r="F92" s="27">
        <v>250.33</v>
      </c>
      <c r="G92" s="28">
        <v>4.8999999999999998E-3</v>
      </c>
      <c r="H92" s="29"/>
    </row>
    <row r="93" spans="2:16" ht="15.75" customHeight="1" x14ac:dyDescent="0.2">
      <c r="B93" s="25" t="s">
        <v>394</v>
      </c>
      <c r="C93" s="25" t="s">
        <v>395</v>
      </c>
      <c r="D93" s="25" t="s">
        <v>285</v>
      </c>
      <c r="E93" s="26">
        <v>29699</v>
      </c>
      <c r="F93" s="27">
        <v>248.06</v>
      </c>
      <c r="G93" s="28">
        <v>4.7999999999999996E-3</v>
      </c>
      <c r="H93" s="29"/>
    </row>
    <row r="94" spans="2:16" ht="15.75" customHeight="1" x14ac:dyDescent="0.2">
      <c r="B94" s="25" t="s">
        <v>816</v>
      </c>
      <c r="C94" s="25" t="s">
        <v>817</v>
      </c>
      <c r="D94" s="25" t="s">
        <v>751</v>
      </c>
      <c r="E94" s="26">
        <v>61273</v>
      </c>
      <c r="F94" s="27">
        <v>247.11</v>
      </c>
      <c r="G94" s="28">
        <v>4.7999999999999996E-3</v>
      </c>
      <c r="H94" s="29"/>
    </row>
    <row r="95" spans="2:16" ht="15.75" customHeight="1" x14ac:dyDescent="0.2">
      <c r="B95" s="25" t="s">
        <v>675</v>
      </c>
      <c r="C95" s="25" t="s">
        <v>676</v>
      </c>
      <c r="D95" s="25" t="s">
        <v>222</v>
      </c>
      <c r="E95" s="26">
        <v>8106</v>
      </c>
      <c r="F95" s="27">
        <v>244.89</v>
      </c>
      <c r="G95" s="28">
        <v>4.7999999999999996E-3</v>
      </c>
      <c r="H95" s="29"/>
    </row>
    <row r="96" spans="2:16" ht="15.75" customHeight="1" x14ac:dyDescent="0.2">
      <c r="B96" s="25" t="s">
        <v>735</v>
      </c>
      <c r="C96" s="25" t="s">
        <v>736</v>
      </c>
      <c r="D96" s="25" t="s">
        <v>476</v>
      </c>
      <c r="E96" s="26">
        <v>40334</v>
      </c>
      <c r="F96" s="27">
        <v>228.03</v>
      </c>
      <c r="G96" s="28">
        <v>4.4000000000000003E-3</v>
      </c>
      <c r="H96" s="29"/>
    </row>
    <row r="97" spans="2:8" ht="15.75" customHeight="1" x14ac:dyDescent="0.2">
      <c r="B97" s="25" t="s">
        <v>568</v>
      </c>
      <c r="C97" s="25" t="s">
        <v>569</v>
      </c>
      <c r="D97" s="25" t="s">
        <v>471</v>
      </c>
      <c r="E97" s="26">
        <v>7754</v>
      </c>
      <c r="F97" s="27">
        <v>221.49</v>
      </c>
      <c r="G97" s="28">
        <v>4.3E-3</v>
      </c>
      <c r="H97" s="29"/>
    </row>
    <row r="98" spans="2:8" ht="15.75" customHeight="1" x14ac:dyDescent="0.2">
      <c r="B98" s="25" t="s">
        <v>818</v>
      </c>
      <c r="C98" s="25" t="s">
        <v>819</v>
      </c>
      <c r="D98" s="25" t="s">
        <v>206</v>
      </c>
      <c r="E98" s="26">
        <v>15058</v>
      </c>
      <c r="F98" s="27">
        <v>212.25</v>
      </c>
      <c r="G98" s="28">
        <v>4.1000000000000003E-3</v>
      </c>
      <c r="H98" s="29"/>
    </row>
    <row r="99" spans="2:8" ht="15.75" customHeight="1" x14ac:dyDescent="0.2">
      <c r="B99" s="25" t="s">
        <v>820</v>
      </c>
      <c r="C99" s="25" t="s">
        <v>821</v>
      </c>
      <c r="D99" s="25" t="s">
        <v>203</v>
      </c>
      <c r="E99" s="26">
        <v>8636</v>
      </c>
      <c r="F99" s="27">
        <v>203.09</v>
      </c>
      <c r="G99" s="28">
        <v>4.0000000000000001E-3</v>
      </c>
      <c r="H99" s="29"/>
    </row>
    <row r="100" spans="2:8" ht="15.75" customHeight="1" x14ac:dyDescent="0.2">
      <c r="B100" s="25" t="s">
        <v>303</v>
      </c>
      <c r="C100" s="25" t="s">
        <v>304</v>
      </c>
      <c r="D100" s="25" t="s">
        <v>185</v>
      </c>
      <c r="E100" s="26">
        <v>9360</v>
      </c>
      <c r="F100" s="27">
        <v>199.89</v>
      </c>
      <c r="G100" s="28">
        <v>3.8999999999999998E-3</v>
      </c>
      <c r="H100" s="29"/>
    </row>
    <row r="101" spans="2:8" ht="15.75" customHeight="1" x14ac:dyDescent="0.2">
      <c r="B101" s="25" t="s">
        <v>583</v>
      </c>
      <c r="C101" s="25" t="s">
        <v>584</v>
      </c>
      <c r="D101" s="25" t="s">
        <v>188</v>
      </c>
      <c r="E101" s="26">
        <v>10727</v>
      </c>
      <c r="F101" s="27">
        <v>194.06</v>
      </c>
      <c r="G101" s="28">
        <v>3.8E-3</v>
      </c>
      <c r="H101" s="29"/>
    </row>
    <row r="102" spans="2:8" ht="15.75" customHeight="1" x14ac:dyDescent="0.2">
      <c r="B102" s="25" t="s">
        <v>453</v>
      </c>
      <c r="C102" s="25" t="s">
        <v>454</v>
      </c>
      <c r="D102" s="25" t="s">
        <v>209</v>
      </c>
      <c r="E102" s="26">
        <v>77796</v>
      </c>
      <c r="F102" s="27">
        <v>175.2</v>
      </c>
      <c r="G102" s="28">
        <v>3.3999999999999998E-3</v>
      </c>
      <c r="H102" s="29"/>
    </row>
    <row r="103" spans="2:8" ht="15.75" customHeight="1" x14ac:dyDescent="0.2">
      <c r="B103" s="25" t="s">
        <v>822</v>
      </c>
      <c r="C103" s="25" t="s">
        <v>823</v>
      </c>
      <c r="D103" s="25" t="s">
        <v>294</v>
      </c>
      <c r="E103" s="26">
        <v>7066</v>
      </c>
      <c r="F103" s="27">
        <v>147.32</v>
      </c>
      <c r="G103" s="28">
        <v>2.8999999999999998E-3</v>
      </c>
      <c r="H103" s="29"/>
    </row>
    <row r="104" spans="2:8" ht="15.75" customHeight="1" x14ac:dyDescent="0.2">
      <c r="B104" s="25" t="s">
        <v>824</v>
      </c>
      <c r="C104" s="25" t="s">
        <v>825</v>
      </c>
      <c r="D104" s="25" t="s">
        <v>362</v>
      </c>
      <c r="E104" s="26">
        <v>90613</v>
      </c>
      <c r="F104" s="27">
        <v>139.18</v>
      </c>
      <c r="G104" s="28">
        <v>2.7000000000000001E-3</v>
      </c>
      <c r="H104" s="29"/>
    </row>
    <row r="105" spans="2:8" ht="15.75" customHeight="1" x14ac:dyDescent="0.2">
      <c r="B105" s="25" t="s">
        <v>826</v>
      </c>
      <c r="C105" s="25" t="s">
        <v>827</v>
      </c>
      <c r="D105" s="25" t="s">
        <v>618</v>
      </c>
      <c r="E105" s="26">
        <v>19434</v>
      </c>
      <c r="F105" s="27">
        <v>119.67</v>
      </c>
      <c r="G105" s="28">
        <v>2.3E-3</v>
      </c>
      <c r="H105" s="29"/>
    </row>
    <row r="106" spans="2:8" ht="15.75" customHeight="1" x14ac:dyDescent="0.2">
      <c r="B106" s="25" t="s">
        <v>828</v>
      </c>
      <c r="C106" s="25" t="s">
        <v>829</v>
      </c>
      <c r="D106" s="25" t="s">
        <v>320</v>
      </c>
      <c r="E106" s="26">
        <v>15302</v>
      </c>
      <c r="F106" s="27">
        <v>109.55</v>
      </c>
      <c r="G106" s="28">
        <v>2.0999999999999999E-3</v>
      </c>
      <c r="H106" s="29"/>
    </row>
    <row r="107" spans="2:8" ht="15.75" customHeight="1" x14ac:dyDescent="0.2">
      <c r="B107" s="24" t="s">
        <v>98</v>
      </c>
      <c r="C107" s="24"/>
      <c r="D107" s="24"/>
      <c r="E107" s="30"/>
      <c r="F107" s="31">
        <v>51178.3</v>
      </c>
      <c r="G107" s="32">
        <v>0.99819999999999998</v>
      </c>
      <c r="H107" s="33"/>
    </row>
    <row r="108" spans="2:8" ht="15.75" customHeight="1" x14ac:dyDescent="0.2">
      <c r="B108" s="24" t="s">
        <v>150</v>
      </c>
      <c r="C108" s="25"/>
      <c r="D108" s="25"/>
      <c r="E108" s="26"/>
      <c r="F108" s="27"/>
      <c r="G108" s="28"/>
      <c r="H108" s="29"/>
    </row>
    <row r="109" spans="2:8" ht="15.75" customHeight="1" x14ac:dyDescent="0.2">
      <c r="B109" s="24" t="s">
        <v>98</v>
      </c>
      <c r="C109" s="25"/>
      <c r="D109" s="25"/>
      <c r="E109" s="26"/>
      <c r="F109" s="34" t="s">
        <v>100</v>
      </c>
      <c r="G109" s="35" t="s">
        <v>100</v>
      </c>
      <c r="H109" s="29"/>
    </row>
    <row r="110" spans="2:8" ht="15.75" customHeight="1" x14ac:dyDescent="0.2">
      <c r="B110" s="25"/>
      <c r="C110" s="25"/>
      <c r="D110" s="25"/>
      <c r="E110" s="26"/>
      <c r="F110" s="27"/>
      <c r="G110" s="28"/>
      <c r="H110" s="29"/>
    </row>
    <row r="111" spans="2:8" ht="15.75" customHeight="1" x14ac:dyDescent="0.2">
      <c r="B111" s="36" t="s">
        <v>102</v>
      </c>
      <c r="C111" s="36"/>
      <c r="D111" s="36"/>
      <c r="E111" s="37"/>
      <c r="F111" s="31">
        <v>51178.3</v>
      </c>
      <c r="G111" s="32">
        <v>0.99819999999999998</v>
      </c>
      <c r="H111" s="33"/>
    </row>
    <row r="112" spans="2:8" ht="15.75" customHeight="1" x14ac:dyDescent="0.2">
      <c r="B112" s="25"/>
      <c r="C112" s="25"/>
      <c r="D112" s="25"/>
      <c r="E112" s="26"/>
      <c r="F112" s="27"/>
      <c r="G112" s="28"/>
      <c r="H112" s="29"/>
    </row>
    <row r="113" spans="2:8" ht="15.75" customHeight="1" x14ac:dyDescent="0.2">
      <c r="B113" s="25"/>
      <c r="C113" s="25"/>
      <c r="D113" s="25"/>
      <c r="E113" s="26"/>
      <c r="F113" s="27"/>
      <c r="G113" s="28"/>
      <c r="H113" s="29"/>
    </row>
    <row r="114" spans="2:8" ht="15.75" customHeight="1" x14ac:dyDescent="0.2">
      <c r="B114" s="24" t="s">
        <v>105</v>
      </c>
      <c r="C114" s="25"/>
      <c r="D114" s="25"/>
      <c r="E114" s="26"/>
      <c r="F114" s="27"/>
      <c r="G114" s="28"/>
      <c r="H114" s="29"/>
    </row>
    <row r="115" spans="2:8" ht="15.75" customHeight="1" x14ac:dyDescent="0.2">
      <c r="B115" s="25" t="s">
        <v>106</v>
      </c>
      <c r="C115" s="25"/>
      <c r="D115" s="25"/>
      <c r="E115" s="26"/>
      <c r="F115" s="27">
        <v>67.58</v>
      </c>
      <c r="G115" s="28">
        <v>1.2999999999999999E-3</v>
      </c>
      <c r="H115" s="29"/>
    </row>
    <row r="116" spans="2:8" ht="15.75" customHeight="1" x14ac:dyDescent="0.2">
      <c r="B116" s="24" t="s">
        <v>98</v>
      </c>
      <c r="C116" s="24"/>
      <c r="D116" s="24"/>
      <c r="E116" s="30"/>
      <c r="F116" s="31">
        <v>67.58</v>
      </c>
      <c r="G116" s="32">
        <v>1.2999999999999999E-3</v>
      </c>
      <c r="H116" s="33"/>
    </row>
    <row r="117" spans="2:8" ht="15.75" customHeight="1" x14ac:dyDescent="0.2">
      <c r="B117" s="25"/>
      <c r="C117" s="25"/>
      <c r="D117" s="25"/>
      <c r="E117" s="26"/>
      <c r="F117" s="27"/>
      <c r="G117" s="28"/>
      <c r="H117" s="29"/>
    </row>
    <row r="118" spans="2:8" ht="15.75" customHeight="1" x14ac:dyDescent="0.2">
      <c r="B118" s="36" t="s">
        <v>102</v>
      </c>
      <c r="C118" s="36"/>
      <c r="D118" s="36"/>
      <c r="E118" s="37"/>
      <c r="F118" s="31">
        <v>67.58</v>
      </c>
      <c r="G118" s="32">
        <v>1.2999999999999999E-3</v>
      </c>
      <c r="H118" s="33"/>
    </row>
    <row r="119" spans="2:8" ht="15.75" customHeight="1" x14ac:dyDescent="0.2">
      <c r="B119" s="25" t="s">
        <v>107</v>
      </c>
      <c r="C119" s="25"/>
      <c r="D119" s="25"/>
      <c r="E119" s="26"/>
      <c r="F119" s="27">
        <v>23.2</v>
      </c>
      <c r="G119" s="28">
        <v>5.0000000000005596E-4</v>
      </c>
      <c r="H119" s="29"/>
    </row>
    <row r="120" spans="2:8" ht="15.75" customHeight="1" x14ac:dyDescent="0.2">
      <c r="B120" s="40" t="s">
        <v>108</v>
      </c>
      <c r="C120" s="40"/>
      <c r="D120" s="40"/>
      <c r="E120" s="41"/>
      <c r="F120" s="42">
        <v>51269.08</v>
      </c>
      <c r="G120" s="43">
        <v>1</v>
      </c>
      <c r="H120" s="44"/>
    </row>
    <row r="121" spans="2:8" ht="15.75" customHeight="1" thickBot="1" x14ac:dyDescent="0.25">
      <c r="B121" s="2"/>
    </row>
    <row r="122" spans="2:8" ht="27" customHeight="1" thickBot="1" x14ac:dyDescent="0.25">
      <c r="B122" s="57" t="s">
        <v>925</v>
      </c>
      <c r="C122" s="58" t="s">
        <v>926</v>
      </c>
      <c r="D122" s="58" t="s">
        <v>927</v>
      </c>
      <c r="E122" s="63" t="s">
        <v>928</v>
      </c>
      <c r="G122" s="2"/>
      <c r="H122" s="2"/>
    </row>
    <row r="123" spans="2:8" ht="29.25" customHeight="1" x14ac:dyDescent="0.2">
      <c r="B123" s="64" t="s">
        <v>65</v>
      </c>
      <c r="C123" s="82"/>
      <c r="D123" s="85" t="s">
        <v>1028</v>
      </c>
      <c r="E123" s="87"/>
      <c r="G123" s="2"/>
      <c r="H123" s="2"/>
    </row>
    <row r="124" spans="2:8" ht="39.950000000000003" customHeight="1" x14ac:dyDescent="0.2">
      <c r="B124" s="66" t="s">
        <v>1026</v>
      </c>
      <c r="C124" s="83"/>
      <c r="D124" s="86"/>
      <c r="E124" s="83"/>
      <c r="G124" s="2"/>
      <c r="H124" s="2"/>
    </row>
    <row r="125" spans="2:8" ht="39.950000000000003" customHeight="1" x14ac:dyDescent="0.2">
      <c r="B125" s="66" t="s">
        <v>1027</v>
      </c>
      <c r="C125" s="83"/>
      <c r="D125" s="86"/>
      <c r="E125" s="83"/>
      <c r="G125" s="2"/>
      <c r="H125" s="2"/>
    </row>
    <row r="126" spans="2:8" ht="23.25" customHeight="1" thickBot="1" x14ac:dyDescent="0.25">
      <c r="B126" s="68" t="s">
        <v>943</v>
      </c>
      <c r="C126" s="84"/>
      <c r="D126" s="71" t="s">
        <v>943</v>
      </c>
      <c r="E126" s="88"/>
      <c r="G126" s="2"/>
      <c r="H126" s="2"/>
    </row>
    <row r="127" spans="2:8" ht="24.95" customHeight="1" x14ac:dyDescent="0.2">
      <c r="B127" s="59" t="s">
        <v>929</v>
      </c>
      <c r="C127" s="60"/>
      <c r="D127" s="61"/>
      <c r="E127" s="62"/>
      <c r="G127" s="2"/>
      <c r="H127" s="2"/>
    </row>
    <row r="129" spans="2:8" ht="12" x14ac:dyDescent="0.2">
      <c r="B129" s="2" t="s">
        <v>930</v>
      </c>
      <c r="C129" s="2"/>
      <c r="D129" s="2"/>
      <c r="G129" s="2"/>
      <c r="H129" s="2"/>
    </row>
    <row r="130" spans="2:8" ht="12" x14ac:dyDescent="0.2">
      <c r="B130" s="3" t="s">
        <v>931</v>
      </c>
      <c r="C130" s="2"/>
      <c r="D130" s="2"/>
      <c r="G130" s="2"/>
      <c r="H130" s="2"/>
    </row>
  </sheetData>
  <mergeCells count="3">
    <mergeCell ref="C123:C126"/>
    <mergeCell ref="D123:D125"/>
    <mergeCell ref="E123:E126"/>
  </mergeCells>
  <hyperlinks>
    <hyperlink ref="I1" location="'Sheet1'!A1" display="Index" xr:uid="{57783B94-6DEF-4633-A170-53F9D81307C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5AD2A-8C4E-45BA-A1C9-551C0474F752}">
  <dimension ref="B1:P103"/>
  <sheetViews>
    <sheetView workbookViewId="0"/>
  </sheetViews>
  <sheetFormatPr defaultColWidth="9.140625" defaultRowHeight="15.75" customHeight="1" x14ac:dyDescent="0.2"/>
  <cols>
    <col min="1" max="1" width="3.5703125" style="2" customWidth="1"/>
    <col min="2" max="2" width="50.42578125" style="9" customWidth="1"/>
    <col min="3" max="3" width="28.5703125" style="9" customWidth="1"/>
    <col min="4" max="4" width="26.5703125" style="9" customWidth="1"/>
    <col min="5" max="5" width="27.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21</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128</v>
      </c>
      <c r="C7" s="25" t="s">
        <v>129</v>
      </c>
      <c r="D7" s="25" t="s">
        <v>130</v>
      </c>
      <c r="E7" s="26">
        <v>1146090</v>
      </c>
      <c r="F7" s="27">
        <v>12059.16</v>
      </c>
      <c r="G7" s="28">
        <v>4.7300000000000002E-2</v>
      </c>
      <c r="H7" s="29"/>
    </row>
    <row r="8" spans="2:9" ht="15.75" customHeight="1" x14ac:dyDescent="0.2">
      <c r="B8" s="25" t="s">
        <v>134</v>
      </c>
      <c r="C8" s="25" t="s">
        <v>135</v>
      </c>
      <c r="D8" s="25" t="s">
        <v>130</v>
      </c>
      <c r="E8" s="26">
        <v>852407</v>
      </c>
      <c r="F8" s="27">
        <v>11962.68</v>
      </c>
      <c r="G8" s="28">
        <v>4.6899999999999997E-2</v>
      </c>
      <c r="H8" s="29"/>
    </row>
    <row r="9" spans="2:9" ht="15.75" customHeight="1" x14ac:dyDescent="0.2">
      <c r="B9" s="25" t="s">
        <v>160</v>
      </c>
      <c r="C9" s="25" t="s">
        <v>557</v>
      </c>
      <c r="D9" s="25" t="s">
        <v>179</v>
      </c>
      <c r="E9" s="26">
        <v>1749963</v>
      </c>
      <c r="F9" s="27">
        <v>7735.71</v>
      </c>
      <c r="G9" s="28">
        <v>3.0300000000000001E-2</v>
      </c>
      <c r="H9" s="29"/>
    </row>
    <row r="10" spans="2:9" ht="15.75" customHeight="1" x14ac:dyDescent="0.2">
      <c r="B10" s="25" t="s">
        <v>295</v>
      </c>
      <c r="C10" s="25" t="s">
        <v>296</v>
      </c>
      <c r="D10" s="25" t="s">
        <v>179</v>
      </c>
      <c r="E10" s="26">
        <v>1575264</v>
      </c>
      <c r="F10" s="27">
        <v>6312.08</v>
      </c>
      <c r="G10" s="28">
        <v>2.4799999999999999E-2</v>
      </c>
      <c r="H10" s="29"/>
    </row>
    <row r="11" spans="2:9" ht="15.75" customHeight="1" x14ac:dyDescent="0.2">
      <c r="B11" s="25" t="s">
        <v>207</v>
      </c>
      <c r="C11" s="25" t="s">
        <v>208</v>
      </c>
      <c r="D11" s="25" t="s">
        <v>209</v>
      </c>
      <c r="E11" s="26">
        <v>162102</v>
      </c>
      <c r="F11" s="27">
        <v>6292.48</v>
      </c>
      <c r="G11" s="28">
        <v>2.47E-2</v>
      </c>
      <c r="H11" s="29"/>
    </row>
    <row r="12" spans="2:9" ht="15.75" customHeight="1" x14ac:dyDescent="0.2">
      <c r="B12" s="25" t="s">
        <v>136</v>
      </c>
      <c r="C12" s="25" t="s">
        <v>137</v>
      </c>
      <c r="D12" s="25" t="s">
        <v>138</v>
      </c>
      <c r="E12" s="26">
        <v>215328</v>
      </c>
      <c r="F12" s="27">
        <v>6291.02</v>
      </c>
      <c r="G12" s="28">
        <v>2.47E-2</v>
      </c>
      <c r="H12" s="29"/>
    </row>
    <row r="13" spans="2:9" ht="15.75" customHeight="1" x14ac:dyDescent="0.2">
      <c r="B13" s="25" t="s">
        <v>524</v>
      </c>
      <c r="C13" s="25" t="s">
        <v>525</v>
      </c>
      <c r="D13" s="25" t="s">
        <v>362</v>
      </c>
      <c r="E13" s="26">
        <v>938700</v>
      </c>
      <c r="F13" s="27">
        <v>5507.35</v>
      </c>
      <c r="G13" s="28">
        <v>2.1600000000000001E-2</v>
      </c>
      <c r="H13" s="29"/>
    </row>
    <row r="14" spans="2:9" ht="15.75" customHeight="1" x14ac:dyDescent="0.2">
      <c r="B14" s="25" t="s">
        <v>131</v>
      </c>
      <c r="C14" s="25" t="s">
        <v>132</v>
      </c>
      <c r="D14" s="25" t="s">
        <v>133</v>
      </c>
      <c r="E14" s="26">
        <v>313180</v>
      </c>
      <c r="F14" s="27">
        <v>5242.32</v>
      </c>
      <c r="G14" s="28">
        <v>2.06E-2</v>
      </c>
      <c r="H14" s="29"/>
    </row>
    <row r="15" spans="2:9" ht="15.75" customHeight="1" x14ac:dyDescent="0.2">
      <c r="B15" s="25" t="s">
        <v>830</v>
      </c>
      <c r="C15" s="25" t="s">
        <v>831</v>
      </c>
      <c r="D15" s="25" t="s">
        <v>179</v>
      </c>
      <c r="E15" s="26">
        <v>207557</v>
      </c>
      <c r="F15" s="27">
        <v>5061.49</v>
      </c>
      <c r="G15" s="28">
        <v>1.9800000000000002E-2</v>
      </c>
      <c r="H15" s="29"/>
    </row>
    <row r="16" spans="2:9" ht="15.75" customHeight="1" x14ac:dyDescent="0.2">
      <c r="B16" s="25" t="s">
        <v>199</v>
      </c>
      <c r="C16" s="25" t="s">
        <v>200</v>
      </c>
      <c r="D16" s="25" t="s">
        <v>133</v>
      </c>
      <c r="E16" s="26">
        <v>116363</v>
      </c>
      <c r="F16" s="27">
        <v>4765.18</v>
      </c>
      <c r="G16" s="28">
        <v>1.8700000000000001E-2</v>
      </c>
      <c r="H16" s="29"/>
    </row>
    <row r="17" spans="2:8" ht="15.75" customHeight="1" x14ac:dyDescent="0.2">
      <c r="B17" s="25" t="s">
        <v>564</v>
      </c>
      <c r="C17" s="25" t="s">
        <v>565</v>
      </c>
      <c r="D17" s="25" t="s">
        <v>294</v>
      </c>
      <c r="E17" s="26">
        <v>11542</v>
      </c>
      <c r="F17" s="27">
        <v>4377.96</v>
      </c>
      <c r="G17" s="28">
        <v>1.72E-2</v>
      </c>
      <c r="H17" s="29"/>
    </row>
    <row r="18" spans="2:8" ht="15.75" customHeight="1" x14ac:dyDescent="0.2">
      <c r="B18" s="25" t="s">
        <v>514</v>
      </c>
      <c r="C18" s="25" t="s">
        <v>515</v>
      </c>
      <c r="D18" s="25" t="s">
        <v>185</v>
      </c>
      <c r="E18" s="26">
        <v>15353</v>
      </c>
      <c r="F18" s="27">
        <v>4365.5</v>
      </c>
      <c r="G18" s="28">
        <v>1.7100000000000001E-2</v>
      </c>
      <c r="H18" s="29"/>
    </row>
    <row r="19" spans="2:8" ht="15.75" customHeight="1" x14ac:dyDescent="0.2">
      <c r="B19" s="25" t="s">
        <v>307</v>
      </c>
      <c r="C19" s="25" t="s">
        <v>308</v>
      </c>
      <c r="D19" s="25" t="s">
        <v>309</v>
      </c>
      <c r="E19" s="26">
        <v>279625</v>
      </c>
      <c r="F19" s="27">
        <v>4327.34</v>
      </c>
      <c r="G19" s="28">
        <v>1.7000000000000001E-2</v>
      </c>
      <c r="H19" s="29"/>
    </row>
    <row r="20" spans="2:8" ht="15.75" customHeight="1" x14ac:dyDescent="0.2">
      <c r="B20" s="25" t="s">
        <v>214</v>
      </c>
      <c r="C20" s="25" t="s">
        <v>215</v>
      </c>
      <c r="D20" s="25" t="s">
        <v>130</v>
      </c>
      <c r="E20" s="26">
        <v>249108</v>
      </c>
      <c r="F20" s="27">
        <v>4208.5600000000004</v>
      </c>
      <c r="G20" s="28">
        <v>1.6500000000000001E-2</v>
      </c>
      <c r="H20" s="29"/>
    </row>
    <row r="21" spans="2:8" ht="15.75" customHeight="1" x14ac:dyDescent="0.2">
      <c r="B21" s="25" t="s">
        <v>266</v>
      </c>
      <c r="C21" s="25" t="s">
        <v>267</v>
      </c>
      <c r="D21" s="25" t="s">
        <v>130</v>
      </c>
      <c r="E21" s="26">
        <v>520744</v>
      </c>
      <c r="F21" s="27">
        <v>3895.69</v>
      </c>
      <c r="G21" s="28">
        <v>1.5299999999999999E-2</v>
      </c>
      <c r="H21" s="29"/>
    </row>
    <row r="22" spans="2:8" ht="15.75" customHeight="1" x14ac:dyDescent="0.2">
      <c r="B22" s="25" t="s">
        <v>455</v>
      </c>
      <c r="C22" s="25" t="s">
        <v>456</v>
      </c>
      <c r="D22" s="25" t="s">
        <v>320</v>
      </c>
      <c r="E22" s="26">
        <v>361059</v>
      </c>
      <c r="F22" s="27">
        <v>3885.9</v>
      </c>
      <c r="G22" s="28">
        <v>1.52E-2</v>
      </c>
      <c r="H22" s="29"/>
    </row>
    <row r="23" spans="2:8" ht="15.75" customHeight="1" x14ac:dyDescent="0.2">
      <c r="B23" s="25" t="s">
        <v>365</v>
      </c>
      <c r="C23" s="25" t="s">
        <v>366</v>
      </c>
      <c r="D23" s="25" t="s">
        <v>355</v>
      </c>
      <c r="E23" s="26">
        <v>1286198</v>
      </c>
      <c r="F23" s="27">
        <v>3836.73</v>
      </c>
      <c r="G23" s="28">
        <v>1.4999999999999999E-2</v>
      </c>
      <c r="H23" s="29"/>
    </row>
    <row r="24" spans="2:8" ht="15.75" customHeight="1" x14ac:dyDescent="0.2">
      <c r="B24" s="25" t="s">
        <v>461</v>
      </c>
      <c r="C24" s="25" t="s">
        <v>462</v>
      </c>
      <c r="D24" s="25" t="s">
        <v>237</v>
      </c>
      <c r="E24" s="26">
        <v>5447802</v>
      </c>
      <c r="F24" s="27">
        <v>3821.63</v>
      </c>
      <c r="G24" s="28">
        <v>1.4999999999999999E-2</v>
      </c>
      <c r="H24" s="29"/>
    </row>
    <row r="25" spans="2:8" ht="15.75" customHeight="1" x14ac:dyDescent="0.2">
      <c r="B25" s="25" t="s">
        <v>186</v>
      </c>
      <c r="C25" s="25" t="s">
        <v>187</v>
      </c>
      <c r="D25" s="25" t="s">
        <v>188</v>
      </c>
      <c r="E25" s="26">
        <v>1848137</v>
      </c>
      <c r="F25" s="27">
        <v>3790.53</v>
      </c>
      <c r="G25" s="28">
        <v>1.49E-2</v>
      </c>
      <c r="H25" s="29"/>
    </row>
    <row r="26" spans="2:8" ht="15.75" customHeight="1" x14ac:dyDescent="0.2">
      <c r="B26" s="25" t="s">
        <v>377</v>
      </c>
      <c r="C26" s="25" t="s">
        <v>378</v>
      </c>
      <c r="D26" s="25" t="s">
        <v>309</v>
      </c>
      <c r="E26" s="26">
        <v>327439</v>
      </c>
      <c r="F26" s="27">
        <v>3768.82</v>
      </c>
      <c r="G26" s="28">
        <v>1.4800000000000001E-2</v>
      </c>
      <c r="H26" s="29"/>
    </row>
    <row r="27" spans="2:8" ht="15.75" customHeight="1" x14ac:dyDescent="0.2">
      <c r="B27" s="25" t="s">
        <v>479</v>
      </c>
      <c r="C27" s="25" t="s">
        <v>480</v>
      </c>
      <c r="D27" s="25" t="s">
        <v>355</v>
      </c>
      <c r="E27" s="26">
        <v>64475</v>
      </c>
      <c r="F27" s="27">
        <v>3679.3</v>
      </c>
      <c r="G27" s="28">
        <v>1.44E-2</v>
      </c>
      <c r="H27" s="29"/>
    </row>
    <row r="28" spans="2:8" ht="15.75" customHeight="1" x14ac:dyDescent="0.2">
      <c r="B28" s="25" t="s">
        <v>540</v>
      </c>
      <c r="C28" s="25" t="s">
        <v>541</v>
      </c>
      <c r="D28" s="25" t="s">
        <v>237</v>
      </c>
      <c r="E28" s="26">
        <v>124186</v>
      </c>
      <c r="F28" s="27">
        <v>3592.45</v>
      </c>
      <c r="G28" s="28">
        <v>1.41E-2</v>
      </c>
      <c r="H28" s="29"/>
    </row>
    <row r="29" spans="2:8" ht="15.75" customHeight="1" x14ac:dyDescent="0.2">
      <c r="B29" s="25" t="s">
        <v>148</v>
      </c>
      <c r="C29" s="25" t="s">
        <v>149</v>
      </c>
      <c r="D29" s="25" t="s">
        <v>133</v>
      </c>
      <c r="E29" s="26">
        <v>67463</v>
      </c>
      <c r="F29" s="27">
        <v>3576.11</v>
      </c>
      <c r="G29" s="28">
        <v>1.4E-2</v>
      </c>
      <c r="H29" s="29"/>
    </row>
    <row r="30" spans="2:8" ht="15.75" customHeight="1" x14ac:dyDescent="0.2">
      <c r="B30" s="25" t="s">
        <v>707</v>
      </c>
      <c r="C30" s="25" t="s">
        <v>708</v>
      </c>
      <c r="D30" s="25" t="s">
        <v>309</v>
      </c>
      <c r="E30" s="26">
        <v>129703</v>
      </c>
      <c r="F30" s="27">
        <v>3552.11</v>
      </c>
      <c r="G30" s="28">
        <v>1.3899999999999999E-2</v>
      </c>
      <c r="H30" s="29"/>
    </row>
    <row r="31" spans="2:8" ht="15.75" customHeight="1" x14ac:dyDescent="0.2">
      <c r="B31" s="25" t="s">
        <v>139</v>
      </c>
      <c r="C31" s="25" t="s">
        <v>140</v>
      </c>
      <c r="D31" s="25" t="s">
        <v>141</v>
      </c>
      <c r="E31" s="26">
        <v>145859</v>
      </c>
      <c r="F31" s="27">
        <v>3518.56</v>
      </c>
      <c r="G31" s="28">
        <v>1.38E-2</v>
      </c>
      <c r="H31" s="29"/>
    </row>
    <row r="32" spans="2:8" ht="15.75" customHeight="1" x14ac:dyDescent="0.2">
      <c r="B32" s="25" t="s">
        <v>292</v>
      </c>
      <c r="C32" s="25" t="s">
        <v>293</v>
      </c>
      <c r="D32" s="25" t="s">
        <v>294</v>
      </c>
      <c r="E32" s="26">
        <v>1848228</v>
      </c>
      <c r="F32" s="27">
        <v>3518.1</v>
      </c>
      <c r="G32" s="28">
        <v>1.38E-2</v>
      </c>
      <c r="H32" s="29"/>
    </row>
    <row r="33" spans="2:8" ht="15.75" customHeight="1" x14ac:dyDescent="0.2">
      <c r="B33" s="25" t="s">
        <v>204</v>
      </c>
      <c r="C33" s="25" t="s">
        <v>205</v>
      </c>
      <c r="D33" s="25" t="s">
        <v>206</v>
      </c>
      <c r="E33" s="26">
        <v>96571</v>
      </c>
      <c r="F33" s="27">
        <v>3500.12</v>
      </c>
      <c r="G33" s="28">
        <v>1.37E-2</v>
      </c>
      <c r="H33" s="29"/>
    </row>
    <row r="34" spans="2:8" ht="15.75" customHeight="1" x14ac:dyDescent="0.2">
      <c r="B34" s="25" t="s">
        <v>430</v>
      </c>
      <c r="C34" s="25" t="s">
        <v>431</v>
      </c>
      <c r="D34" s="25" t="s">
        <v>282</v>
      </c>
      <c r="E34" s="26">
        <v>348358</v>
      </c>
      <c r="F34" s="27">
        <v>3378.03</v>
      </c>
      <c r="G34" s="28">
        <v>1.32E-2</v>
      </c>
      <c r="H34" s="29"/>
    </row>
    <row r="35" spans="2:8" ht="15.75" customHeight="1" x14ac:dyDescent="0.2">
      <c r="B35" s="25" t="s">
        <v>283</v>
      </c>
      <c r="C35" s="25" t="s">
        <v>284</v>
      </c>
      <c r="D35" s="25" t="s">
        <v>285</v>
      </c>
      <c r="E35" s="26">
        <v>152132</v>
      </c>
      <c r="F35" s="27">
        <v>3333.82</v>
      </c>
      <c r="G35" s="28">
        <v>1.3100000000000001E-2</v>
      </c>
      <c r="H35" s="29"/>
    </row>
    <row r="36" spans="2:8" ht="15.75" customHeight="1" x14ac:dyDescent="0.2">
      <c r="B36" s="25" t="s">
        <v>453</v>
      </c>
      <c r="C36" s="25" t="s">
        <v>454</v>
      </c>
      <c r="D36" s="25" t="s">
        <v>209</v>
      </c>
      <c r="E36" s="26">
        <v>1478767</v>
      </c>
      <c r="F36" s="27">
        <v>3330.18</v>
      </c>
      <c r="G36" s="28">
        <v>1.3100000000000001E-2</v>
      </c>
      <c r="H36" s="29"/>
    </row>
    <row r="37" spans="2:8" ht="15.75" customHeight="1" x14ac:dyDescent="0.2">
      <c r="B37" s="25" t="s">
        <v>210</v>
      </c>
      <c r="C37" s="25" t="s">
        <v>211</v>
      </c>
      <c r="D37" s="25" t="s">
        <v>141</v>
      </c>
      <c r="E37" s="26">
        <v>803018</v>
      </c>
      <c r="F37" s="27">
        <v>3262.66</v>
      </c>
      <c r="G37" s="28">
        <v>1.2800000000000001E-2</v>
      </c>
      <c r="H37" s="29"/>
    </row>
    <row r="38" spans="2:8" ht="15.75" customHeight="1" x14ac:dyDescent="0.2">
      <c r="B38" s="25" t="s">
        <v>832</v>
      </c>
      <c r="C38" s="25" t="s">
        <v>833</v>
      </c>
      <c r="D38" s="25" t="s">
        <v>206</v>
      </c>
      <c r="E38" s="26">
        <v>1090949</v>
      </c>
      <c r="F38" s="27">
        <v>3159.39</v>
      </c>
      <c r="G38" s="28">
        <v>1.24E-2</v>
      </c>
      <c r="H38" s="29"/>
    </row>
    <row r="39" spans="2:8" ht="15.75" customHeight="1" x14ac:dyDescent="0.2">
      <c r="B39" s="25" t="s">
        <v>286</v>
      </c>
      <c r="C39" s="25" t="s">
        <v>287</v>
      </c>
      <c r="D39" s="25" t="s">
        <v>130</v>
      </c>
      <c r="E39" s="26">
        <v>2389701</v>
      </c>
      <c r="F39" s="27">
        <v>3141.26</v>
      </c>
      <c r="G39" s="28">
        <v>1.23E-2</v>
      </c>
      <c r="H39" s="29"/>
    </row>
    <row r="40" spans="2:8" ht="15.75" customHeight="1" x14ac:dyDescent="0.2">
      <c r="B40" s="25" t="s">
        <v>546</v>
      </c>
      <c r="C40" s="25" t="s">
        <v>547</v>
      </c>
      <c r="D40" s="25" t="s">
        <v>133</v>
      </c>
      <c r="E40" s="26">
        <v>39263</v>
      </c>
      <c r="F40" s="27">
        <v>3066.85</v>
      </c>
      <c r="G40" s="28">
        <v>1.2E-2</v>
      </c>
      <c r="H40" s="29"/>
    </row>
    <row r="41" spans="2:8" ht="15.75" customHeight="1" x14ac:dyDescent="0.2">
      <c r="B41" s="25" t="s">
        <v>465</v>
      </c>
      <c r="C41" s="25" t="s">
        <v>466</v>
      </c>
      <c r="D41" s="25" t="s">
        <v>294</v>
      </c>
      <c r="E41" s="26">
        <v>131491</v>
      </c>
      <c r="F41" s="27">
        <v>3043.75</v>
      </c>
      <c r="G41" s="28">
        <v>1.1900000000000001E-2</v>
      </c>
      <c r="H41" s="29"/>
    </row>
    <row r="42" spans="2:8" ht="15.75" customHeight="1" x14ac:dyDescent="0.2">
      <c r="B42" s="25" t="s">
        <v>416</v>
      </c>
      <c r="C42" s="25" t="s">
        <v>417</v>
      </c>
      <c r="D42" s="25" t="s">
        <v>179</v>
      </c>
      <c r="E42" s="26">
        <v>514076</v>
      </c>
      <c r="F42" s="27">
        <v>3034.85</v>
      </c>
      <c r="G42" s="28">
        <v>1.1900000000000001E-2</v>
      </c>
      <c r="H42" s="29"/>
    </row>
    <row r="43" spans="2:8" ht="15.75" customHeight="1" x14ac:dyDescent="0.2">
      <c r="B43" s="25" t="s">
        <v>226</v>
      </c>
      <c r="C43" s="25" t="s">
        <v>227</v>
      </c>
      <c r="D43" s="25" t="s">
        <v>130</v>
      </c>
      <c r="E43" s="26">
        <v>2012342</v>
      </c>
      <c r="F43" s="27">
        <v>3026.56</v>
      </c>
      <c r="G43" s="28">
        <v>1.1900000000000001E-2</v>
      </c>
      <c r="H43" s="29"/>
    </row>
    <row r="44" spans="2:8" ht="15.75" customHeight="1" x14ac:dyDescent="0.2">
      <c r="B44" s="25" t="s">
        <v>635</v>
      </c>
      <c r="C44" s="25" t="s">
        <v>636</v>
      </c>
      <c r="D44" s="25" t="s">
        <v>309</v>
      </c>
      <c r="E44" s="26">
        <v>153435</v>
      </c>
      <c r="F44" s="27">
        <v>2920.41</v>
      </c>
      <c r="G44" s="28">
        <v>1.15E-2</v>
      </c>
      <c r="H44" s="29"/>
    </row>
    <row r="45" spans="2:8" ht="15.75" customHeight="1" x14ac:dyDescent="0.2">
      <c r="B45" s="25" t="s">
        <v>675</v>
      </c>
      <c r="C45" s="25" t="s">
        <v>676</v>
      </c>
      <c r="D45" s="25" t="s">
        <v>222</v>
      </c>
      <c r="E45" s="26">
        <v>95671</v>
      </c>
      <c r="F45" s="27">
        <v>2890.32</v>
      </c>
      <c r="G45" s="28">
        <v>1.1299999999999999E-2</v>
      </c>
      <c r="H45" s="29"/>
    </row>
    <row r="46" spans="2:8" ht="15.75" customHeight="1" x14ac:dyDescent="0.2">
      <c r="B46" s="25" t="s">
        <v>360</v>
      </c>
      <c r="C46" s="25" t="s">
        <v>361</v>
      </c>
      <c r="D46" s="25" t="s">
        <v>362</v>
      </c>
      <c r="E46" s="26">
        <v>310766</v>
      </c>
      <c r="F46" s="27">
        <v>2882.04</v>
      </c>
      <c r="G46" s="28">
        <v>1.1299999999999999E-2</v>
      </c>
      <c r="H46" s="29"/>
    </row>
    <row r="47" spans="2:8" ht="15.75" customHeight="1" x14ac:dyDescent="0.2">
      <c r="B47" s="25" t="s">
        <v>247</v>
      </c>
      <c r="C47" s="25" t="s">
        <v>248</v>
      </c>
      <c r="D47" s="25" t="s">
        <v>237</v>
      </c>
      <c r="E47" s="26">
        <v>2416456</v>
      </c>
      <c r="F47" s="27">
        <v>2880.42</v>
      </c>
      <c r="G47" s="28">
        <v>1.1299999999999999E-2</v>
      </c>
      <c r="H47" s="29"/>
    </row>
    <row r="48" spans="2:8" ht="15.75" customHeight="1" x14ac:dyDescent="0.2">
      <c r="B48" s="25" t="s">
        <v>268</v>
      </c>
      <c r="C48" s="25" t="s">
        <v>269</v>
      </c>
      <c r="D48" s="25" t="s">
        <v>130</v>
      </c>
      <c r="E48" s="26">
        <v>267145</v>
      </c>
      <c r="F48" s="27">
        <v>2872.08</v>
      </c>
      <c r="G48" s="28">
        <v>1.1299999999999999E-2</v>
      </c>
      <c r="H48" s="29"/>
    </row>
    <row r="49" spans="2:8" ht="15.75" customHeight="1" x14ac:dyDescent="0.2">
      <c r="B49" s="25" t="s">
        <v>288</v>
      </c>
      <c r="C49" s="25" t="s">
        <v>289</v>
      </c>
      <c r="D49" s="25" t="s">
        <v>203</v>
      </c>
      <c r="E49" s="26">
        <v>403508</v>
      </c>
      <c r="F49" s="27">
        <v>2848.97</v>
      </c>
      <c r="G49" s="28">
        <v>1.12E-2</v>
      </c>
      <c r="H49" s="29"/>
    </row>
    <row r="50" spans="2:8" ht="15.75" customHeight="1" x14ac:dyDescent="0.2">
      <c r="B50" s="25" t="s">
        <v>351</v>
      </c>
      <c r="C50" s="25" t="s">
        <v>352</v>
      </c>
      <c r="D50" s="25" t="s">
        <v>209</v>
      </c>
      <c r="E50" s="26">
        <v>1679696</v>
      </c>
      <c r="F50" s="27">
        <v>2779.06</v>
      </c>
      <c r="G50" s="28">
        <v>1.09E-2</v>
      </c>
      <c r="H50" s="29"/>
    </row>
    <row r="51" spans="2:8" ht="15.75" customHeight="1" x14ac:dyDescent="0.2">
      <c r="B51" s="25" t="s">
        <v>390</v>
      </c>
      <c r="C51" s="25" t="s">
        <v>391</v>
      </c>
      <c r="D51" s="25" t="s">
        <v>362</v>
      </c>
      <c r="E51" s="26">
        <v>598566</v>
      </c>
      <c r="F51" s="27">
        <v>2776.75</v>
      </c>
      <c r="G51" s="28">
        <v>1.09E-2</v>
      </c>
      <c r="H51" s="29"/>
    </row>
    <row r="52" spans="2:8" ht="15.75" customHeight="1" x14ac:dyDescent="0.2">
      <c r="B52" s="25" t="s">
        <v>177</v>
      </c>
      <c r="C52" s="25" t="s">
        <v>178</v>
      </c>
      <c r="D52" s="25" t="s">
        <v>179</v>
      </c>
      <c r="E52" s="26">
        <v>42589</v>
      </c>
      <c r="F52" s="27">
        <v>2766.3</v>
      </c>
      <c r="G52" s="28">
        <v>1.0800000000000001E-2</v>
      </c>
      <c r="H52" s="29"/>
    </row>
    <row r="53" spans="2:8" ht="15.75" customHeight="1" x14ac:dyDescent="0.2">
      <c r="B53" s="25" t="s">
        <v>526</v>
      </c>
      <c r="C53" s="25" t="s">
        <v>527</v>
      </c>
      <c r="D53" s="25" t="s">
        <v>206</v>
      </c>
      <c r="E53" s="26">
        <v>244582</v>
      </c>
      <c r="F53" s="27">
        <v>2712.66</v>
      </c>
      <c r="G53" s="28">
        <v>1.06E-2</v>
      </c>
      <c r="H53" s="29"/>
    </row>
    <row r="54" spans="2:8" ht="15.75" customHeight="1" x14ac:dyDescent="0.2">
      <c r="B54" s="25" t="s">
        <v>383</v>
      </c>
      <c r="C54" s="25" t="s">
        <v>384</v>
      </c>
      <c r="D54" s="25" t="s">
        <v>171</v>
      </c>
      <c r="E54" s="26">
        <v>326619</v>
      </c>
      <c r="F54" s="27">
        <v>2712.08</v>
      </c>
      <c r="G54" s="28">
        <v>1.06E-2</v>
      </c>
      <c r="H54" s="29"/>
    </row>
    <row r="55" spans="2:8" ht="15.75" customHeight="1" x14ac:dyDescent="0.2">
      <c r="B55" s="25" t="s">
        <v>834</v>
      </c>
      <c r="C55" s="25" t="s">
        <v>835</v>
      </c>
      <c r="D55" s="25" t="s">
        <v>282</v>
      </c>
      <c r="E55" s="26">
        <v>474236</v>
      </c>
      <c r="F55" s="27">
        <v>2662.84</v>
      </c>
      <c r="G55" s="28">
        <v>1.04E-2</v>
      </c>
      <c r="H55" s="29"/>
    </row>
    <row r="56" spans="2:8" ht="15.75" customHeight="1" x14ac:dyDescent="0.2">
      <c r="B56" s="25" t="s">
        <v>278</v>
      </c>
      <c r="C56" s="25" t="s">
        <v>279</v>
      </c>
      <c r="D56" s="25" t="s">
        <v>222</v>
      </c>
      <c r="E56" s="26">
        <v>109009</v>
      </c>
      <c r="F56" s="27">
        <v>2604.9299999999998</v>
      </c>
      <c r="G56" s="28">
        <v>1.0200000000000001E-2</v>
      </c>
      <c r="H56" s="29"/>
    </row>
    <row r="57" spans="2:8" ht="15.75" customHeight="1" x14ac:dyDescent="0.2">
      <c r="B57" s="25" t="s">
        <v>142</v>
      </c>
      <c r="C57" s="25" t="s">
        <v>143</v>
      </c>
      <c r="D57" s="25" t="s">
        <v>144</v>
      </c>
      <c r="E57" s="26">
        <v>133038</v>
      </c>
      <c r="F57" s="27">
        <v>2570.83</v>
      </c>
      <c r="G57" s="28">
        <v>1.01E-2</v>
      </c>
      <c r="H57" s="29"/>
    </row>
    <row r="58" spans="2:8" ht="15.75" customHeight="1" x14ac:dyDescent="0.2">
      <c r="B58" s="25" t="s">
        <v>836</v>
      </c>
      <c r="C58" s="25" t="s">
        <v>837</v>
      </c>
      <c r="D58" s="25" t="s">
        <v>237</v>
      </c>
      <c r="E58" s="26">
        <v>239925</v>
      </c>
      <c r="F58" s="27">
        <v>2568.4</v>
      </c>
      <c r="G58" s="28">
        <v>1.01E-2</v>
      </c>
      <c r="H58" s="29"/>
    </row>
    <row r="59" spans="2:8" ht="15.75" customHeight="1" x14ac:dyDescent="0.2">
      <c r="B59" s="25" t="s">
        <v>299</v>
      </c>
      <c r="C59" s="25" t="s">
        <v>300</v>
      </c>
      <c r="D59" s="25" t="s">
        <v>282</v>
      </c>
      <c r="E59" s="26">
        <v>160481</v>
      </c>
      <c r="F59" s="27">
        <v>2491.5500000000002</v>
      </c>
      <c r="G59" s="28">
        <v>9.7999999999999997E-3</v>
      </c>
      <c r="H59" s="29"/>
    </row>
    <row r="60" spans="2:8" ht="15.75" customHeight="1" x14ac:dyDescent="0.2">
      <c r="B60" s="25" t="s">
        <v>401</v>
      </c>
      <c r="C60" s="25" t="s">
        <v>402</v>
      </c>
      <c r="D60" s="25" t="s">
        <v>237</v>
      </c>
      <c r="E60" s="26">
        <v>551528</v>
      </c>
      <c r="F60" s="27">
        <v>2431.69</v>
      </c>
      <c r="G60" s="28">
        <v>9.4999999999999998E-3</v>
      </c>
      <c r="H60" s="29"/>
    </row>
    <row r="61" spans="2:8" ht="15.75" customHeight="1" x14ac:dyDescent="0.2">
      <c r="B61" s="25" t="s">
        <v>705</v>
      </c>
      <c r="C61" s="25" t="s">
        <v>706</v>
      </c>
      <c r="D61" s="25" t="s">
        <v>355</v>
      </c>
      <c r="E61" s="26">
        <v>368641</v>
      </c>
      <c r="F61" s="27">
        <v>2348.98</v>
      </c>
      <c r="G61" s="28">
        <v>9.1999999999999998E-3</v>
      </c>
      <c r="H61" s="29"/>
    </row>
    <row r="62" spans="2:8" ht="15.75" customHeight="1" x14ac:dyDescent="0.2">
      <c r="B62" s="25" t="s">
        <v>685</v>
      </c>
      <c r="C62" s="25" t="s">
        <v>686</v>
      </c>
      <c r="D62" s="25" t="s">
        <v>222</v>
      </c>
      <c r="E62" s="26">
        <v>104828</v>
      </c>
      <c r="F62" s="27">
        <v>2319.69</v>
      </c>
      <c r="G62" s="28">
        <v>9.1000000000000004E-3</v>
      </c>
      <c r="H62" s="29"/>
    </row>
    <row r="63" spans="2:8" ht="15.75" customHeight="1" x14ac:dyDescent="0.2">
      <c r="B63" s="25" t="s">
        <v>661</v>
      </c>
      <c r="C63" s="25" t="s">
        <v>662</v>
      </c>
      <c r="D63" s="25" t="s">
        <v>320</v>
      </c>
      <c r="E63" s="26">
        <v>355804</v>
      </c>
      <c r="F63" s="27">
        <v>2239.79</v>
      </c>
      <c r="G63" s="28">
        <v>8.8000000000000005E-3</v>
      </c>
      <c r="H63" s="29"/>
    </row>
    <row r="64" spans="2:8" ht="15.75" customHeight="1" x14ac:dyDescent="0.2">
      <c r="B64" s="25" t="s">
        <v>321</v>
      </c>
      <c r="C64" s="25" t="s">
        <v>322</v>
      </c>
      <c r="D64" s="25" t="s">
        <v>209</v>
      </c>
      <c r="E64" s="26">
        <v>482998</v>
      </c>
      <c r="F64" s="27">
        <v>2209.7199999999998</v>
      </c>
      <c r="G64" s="28">
        <v>8.6999999999999994E-3</v>
      </c>
      <c r="H64" s="29"/>
    </row>
    <row r="65" spans="2:16" ht="15.75" customHeight="1" x14ac:dyDescent="0.2">
      <c r="B65" s="25" t="s">
        <v>508</v>
      </c>
      <c r="C65" s="25" t="s">
        <v>509</v>
      </c>
      <c r="D65" s="25" t="s">
        <v>185</v>
      </c>
      <c r="E65" s="26">
        <v>206920</v>
      </c>
      <c r="F65" s="27">
        <v>1948.98</v>
      </c>
      <c r="G65" s="28">
        <v>7.6E-3</v>
      </c>
      <c r="H65" s="29"/>
    </row>
    <row r="66" spans="2:16" ht="15.75" customHeight="1" x14ac:dyDescent="0.2">
      <c r="B66" s="25" t="s">
        <v>310</v>
      </c>
      <c r="C66" s="25" t="s">
        <v>311</v>
      </c>
      <c r="D66" s="25" t="s">
        <v>144</v>
      </c>
      <c r="E66" s="26">
        <v>43661</v>
      </c>
      <c r="F66" s="27">
        <v>1932.65</v>
      </c>
      <c r="G66" s="28">
        <v>7.6E-3</v>
      </c>
      <c r="H66" s="29"/>
    </row>
    <row r="67" spans="2:16" ht="15.75" customHeight="1" x14ac:dyDescent="0.2">
      <c r="B67" s="25" t="s">
        <v>838</v>
      </c>
      <c r="C67" s="25" t="s">
        <v>839</v>
      </c>
      <c r="D67" s="25" t="s">
        <v>237</v>
      </c>
      <c r="E67" s="26">
        <v>13256</v>
      </c>
      <c r="F67" s="27">
        <v>1925.31</v>
      </c>
      <c r="G67" s="28">
        <v>7.6E-3</v>
      </c>
      <c r="H67" s="29"/>
    </row>
    <row r="68" spans="2:16" ht="15.75" customHeight="1" x14ac:dyDescent="0.2">
      <c r="B68" s="25" t="s">
        <v>840</v>
      </c>
      <c r="C68" s="25" t="s">
        <v>841</v>
      </c>
      <c r="D68" s="25" t="s">
        <v>723</v>
      </c>
      <c r="E68" s="26">
        <v>744358</v>
      </c>
      <c r="F68" s="27">
        <v>1909.28</v>
      </c>
      <c r="G68" s="28">
        <v>7.4999999999999997E-3</v>
      </c>
      <c r="H68" s="29"/>
      <c r="L68" s="3"/>
    </row>
    <row r="69" spans="2:16" ht="15.75" customHeight="1" x14ac:dyDescent="0.2">
      <c r="B69" s="25" t="s">
        <v>314</v>
      </c>
      <c r="C69" s="25" t="s">
        <v>315</v>
      </c>
      <c r="D69" s="25" t="s">
        <v>130</v>
      </c>
      <c r="E69" s="26">
        <v>2330912</v>
      </c>
      <c r="F69" s="27">
        <v>1889.2</v>
      </c>
      <c r="G69" s="28">
        <v>7.4000000000000003E-3</v>
      </c>
      <c r="H69" s="29"/>
    </row>
    <row r="70" spans="2:16" ht="15.75" customHeight="1" x14ac:dyDescent="0.2">
      <c r="B70" s="25" t="s">
        <v>701</v>
      </c>
      <c r="C70" s="25" t="s">
        <v>702</v>
      </c>
      <c r="D70" s="25" t="s">
        <v>144</v>
      </c>
      <c r="E70" s="26">
        <v>48536</v>
      </c>
      <c r="F70" s="27">
        <v>1840.68</v>
      </c>
      <c r="G70" s="28">
        <v>7.1999999999999998E-3</v>
      </c>
      <c r="H70" s="29"/>
      <c r="L70" s="3"/>
    </row>
    <row r="71" spans="2:16" ht="15.75" customHeight="1" x14ac:dyDescent="0.2">
      <c r="B71" s="25" t="s">
        <v>414</v>
      </c>
      <c r="C71" s="25" t="s">
        <v>415</v>
      </c>
      <c r="D71" s="25" t="s">
        <v>130</v>
      </c>
      <c r="E71" s="26">
        <v>1327729</v>
      </c>
      <c r="F71" s="27">
        <v>1698.83</v>
      </c>
      <c r="G71" s="28">
        <v>6.7000000000000002E-3</v>
      </c>
      <c r="H71" s="29"/>
      <c r="L71" s="3"/>
    </row>
    <row r="72" spans="2:16" ht="15.75" customHeight="1" x14ac:dyDescent="0.2">
      <c r="B72" s="25" t="s">
        <v>457</v>
      </c>
      <c r="C72" s="25" t="s">
        <v>458</v>
      </c>
      <c r="D72" s="25" t="s">
        <v>333</v>
      </c>
      <c r="E72" s="26">
        <v>82049</v>
      </c>
      <c r="F72" s="27">
        <v>1661.82</v>
      </c>
      <c r="G72" s="28">
        <v>6.4999999999999997E-3</v>
      </c>
      <c r="H72" s="29"/>
      <c r="L72" s="3"/>
    </row>
    <row r="73" spans="2:16" ht="15.75" customHeight="1" x14ac:dyDescent="0.2">
      <c r="B73" s="25" t="s">
        <v>522</v>
      </c>
      <c r="C73" s="25" t="s">
        <v>523</v>
      </c>
      <c r="D73" s="25" t="s">
        <v>237</v>
      </c>
      <c r="E73" s="26">
        <v>248117</v>
      </c>
      <c r="F73" s="27">
        <v>1661.39</v>
      </c>
      <c r="G73" s="28">
        <v>6.4999999999999997E-3</v>
      </c>
      <c r="H73" s="29"/>
      <c r="L73" s="3"/>
    </row>
    <row r="74" spans="2:16" ht="15.75" customHeight="1" x14ac:dyDescent="0.2">
      <c r="B74" s="25" t="s">
        <v>534</v>
      </c>
      <c r="C74" s="25" t="s">
        <v>535</v>
      </c>
      <c r="D74" s="25" t="s">
        <v>240</v>
      </c>
      <c r="E74" s="26">
        <v>194030</v>
      </c>
      <c r="F74" s="27">
        <v>1445.91</v>
      </c>
      <c r="G74" s="28">
        <v>5.7000000000000002E-3</v>
      </c>
      <c r="H74" s="29"/>
      <c r="L74" s="3"/>
    </row>
    <row r="75" spans="2:16" ht="15.75" customHeight="1" x14ac:dyDescent="0.2">
      <c r="B75" s="25" t="s">
        <v>735</v>
      </c>
      <c r="C75" s="25" t="s">
        <v>736</v>
      </c>
      <c r="D75" s="25" t="s">
        <v>476</v>
      </c>
      <c r="E75" s="26">
        <v>247216</v>
      </c>
      <c r="F75" s="27">
        <v>1397.64</v>
      </c>
      <c r="G75" s="28">
        <v>5.4999999999999997E-3</v>
      </c>
      <c r="H75" s="29"/>
      <c r="L75" s="5"/>
      <c r="M75" s="5"/>
      <c r="N75" s="6"/>
      <c r="O75" s="6"/>
      <c r="P75" s="5"/>
    </row>
    <row r="76" spans="2:16" ht="15.75" customHeight="1" x14ac:dyDescent="0.2">
      <c r="B76" s="25" t="s">
        <v>318</v>
      </c>
      <c r="C76" s="25" t="s">
        <v>319</v>
      </c>
      <c r="D76" s="25" t="s">
        <v>320</v>
      </c>
      <c r="E76" s="26">
        <v>36440</v>
      </c>
      <c r="F76" s="27">
        <v>1338.33</v>
      </c>
      <c r="G76" s="28">
        <v>5.1999999999999998E-3</v>
      </c>
      <c r="H76" s="29"/>
    </row>
    <row r="77" spans="2:16" ht="15.75" customHeight="1" x14ac:dyDescent="0.2">
      <c r="B77" s="25" t="s">
        <v>447</v>
      </c>
      <c r="C77" s="25" t="s">
        <v>448</v>
      </c>
      <c r="D77" s="25" t="s">
        <v>237</v>
      </c>
      <c r="E77" s="26">
        <v>122357</v>
      </c>
      <c r="F77" s="27">
        <v>1030.67</v>
      </c>
      <c r="G77" s="28">
        <v>4.0000000000000001E-3</v>
      </c>
      <c r="H77" s="29"/>
    </row>
    <row r="78" spans="2:16" ht="15.75" customHeight="1" x14ac:dyDescent="0.2">
      <c r="B78" s="25" t="s">
        <v>647</v>
      </c>
      <c r="C78" s="25" t="s">
        <v>648</v>
      </c>
      <c r="D78" s="25" t="s">
        <v>355</v>
      </c>
      <c r="E78" s="26">
        <v>152794</v>
      </c>
      <c r="F78" s="27">
        <v>811.26</v>
      </c>
      <c r="G78" s="28">
        <v>3.2000000000000002E-3</v>
      </c>
      <c r="H78" s="29"/>
      <c r="L78" s="7"/>
      <c r="M78" s="7"/>
      <c r="N78" s="7"/>
      <c r="O78" s="7"/>
      <c r="P78" s="7"/>
    </row>
    <row r="79" spans="2:16" ht="15.75" customHeight="1" x14ac:dyDescent="0.2">
      <c r="B79" s="25" t="s">
        <v>340</v>
      </c>
      <c r="C79" s="25" t="s">
        <v>341</v>
      </c>
      <c r="D79" s="25" t="s">
        <v>285</v>
      </c>
      <c r="E79" s="26">
        <v>4711</v>
      </c>
      <c r="F79" s="27">
        <v>44.79</v>
      </c>
      <c r="G79" s="28">
        <v>2.0000000000000001E-4</v>
      </c>
      <c r="H79" s="29"/>
      <c r="L79" s="7"/>
      <c r="M79" s="7"/>
      <c r="N79" s="7"/>
      <c r="O79" s="7"/>
      <c r="P79" s="7"/>
    </row>
    <row r="80" spans="2:16" ht="15.75" customHeight="1" x14ac:dyDescent="0.2">
      <c r="B80" s="24" t="s">
        <v>98</v>
      </c>
      <c r="C80" s="24"/>
      <c r="D80" s="24"/>
      <c r="E80" s="30"/>
      <c r="F80" s="31">
        <v>246248.48</v>
      </c>
      <c r="G80" s="32">
        <v>0.9657</v>
      </c>
      <c r="H80" s="33"/>
      <c r="L80" s="7"/>
      <c r="M80" s="7"/>
      <c r="N80" s="7"/>
      <c r="O80" s="7"/>
      <c r="P80" s="7"/>
    </row>
    <row r="81" spans="2:16" ht="15.75" customHeight="1" x14ac:dyDescent="0.2">
      <c r="B81" s="24" t="s">
        <v>150</v>
      </c>
      <c r="C81" s="25"/>
      <c r="D81" s="25"/>
      <c r="E81" s="26"/>
      <c r="F81" s="27"/>
      <c r="G81" s="28"/>
      <c r="H81" s="29"/>
      <c r="L81" s="7"/>
      <c r="M81" s="7"/>
      <c r="N81" s="7"/>
      <c r="O81" s="7"/>
      <c r="P81" s="7"/>
    </row>
    <row r="82" spans="2:16" ht="15.75" customHeight="1" x14ac:dyDescent="0.2">
      <c r="B82" s="24" t="s">
        <v>98</v>
      </c>
      <c r="C82" s="25"/>
      <c r="D82" s="25"/>
      <c r="E82" s="26"/>
      <c r="F82" s="34" t="s">
        <v>100</v>
      </c>
      <c r="G82" s="35" t="s">
        <v>100</v>
      </c>
      <c r="H82" s="29"/>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36" t="s">
        <v>102</v>
      </c>
      <c r="C84" s="36"/>
      <c r="D84" s="36"/>
      <c r="E84" s="37"/>
      <c r="F84" s="31">
        <v>246248.48</v>
      </c>
      <c r="G84" s="32">
        <v>0.9657</v>
      </c>
      <c r="H84" s="33"/>
      <c r="L84" s="7"/>
      <c r="M84" s="7"/>
      <c r="N84" s="7"/>
      <c r="O84" s="7"/>
      <c r="P84" s="7"/>
    </row>
    <row r="85" spans="2:16" ht="15.75" customHeight="1" x14ac:dyDescent="0.2">
      <c r="B85" s="25"/>
      <c r="C85" s="25"/>
      <c r="D85" s="25"/>
      <c r="E85" s="26"/>
      <c r="F85" s="27"/>
      <c r="G85" s="28"/>
      <c r="H85" s="29"/>
    </row>
    <row r="86" spans="2:16" ht="15.75" customHeight="1" x14ac:dyDescent="0.2">
      <c r="B86" s="25"/>
      <c r="C86" s="25"/>
      <c r="D86" s="25"/>
      <c r="E86" s="26"/>
      <c r="F86" s="27"/>
      <c r="G86" s="28"/>
      <c r="H86" s="29"/>
      <c r="L86" s="3"/>
    </row>
    <row r="87" spans="2:16" ht="15.75" customHeight="1" x14ac:dyDescent="0.2">
      <c r="B87" s="24" t="s">
        <v>105</v>
      </c>
      <c r="C87" s="25"/>
      <c r="D87" s="25"/>
      <c r="E87" s="26"/>
      <c r="F87" s="27"/>
      <c r="G87" s="28"/>
      <c r="H87" s="29"/>
    </row>
    <row r="88" spans="2:16" ht="15.75" customHeight="1" x14ac:dyDescent="0.2">
      <c r="B88" s="25" t="s">
        <v>106</v>
      </c>
      <c r="C88" s="25"/>
      <c r="D88" s="25"/>
      <c r="E88" s="26"/>
      <c r="F88" s="27">
        <v>7524.53</v>
      </c>
      <c r="G88" s="28">
        <v>2.9499999999999998E-2</v>
      </c>
      <c r="H88" s="29"/>
    </row>
    <row r="89" spans="2:16" ht="15.75" customHeight="1" x14ac:dyDescent="0.2">
      <c r="B89" s="24" t="s">
        <v>98</v>
      </c>
      <c r="C89" s="24"/>
      <c r="D89" s="24"/>
      <c r="E89" s="30"/>
      <c r="F89" s="31">
        <v>7524.53</v>
      </c>
      <c r="G89" s="32">
        <v>2.9499999999999998E-2</v>
      </c>
      <c r="H89" s="33"/>
    </row>
    <row r="90" spans="2:16" ht="15.75" customHeight="1" x14ac:dyDescent="0.2">
      <c r="B90" s="25"/>
      <c r="C90" s="25"/>
      <c r="D90" s="25"/>
      <c r="E90" s="26"/>
      <c r="F90" s="27"/>
      <c r="G90" s="28"/>
      <c r="H90" s="29"/>
    </row>
    <row r="91" spans="2:16" ht="15.75" customHeight="1" x14ac:dyDescent="0.2">
      <c r="B91" s="36" t="s">
        <v>102</v>
      </c>
      <c r="C91" s="36"/>
      <c r="D91" s="36"/>
      <c r="E91" s="37"/>
      <c r="F91" s="31">
        <v>7524.53</v>
      </c>
      <c r="G91" s="32">
        <v>2.9499999999999998E-2</v>
      </c>
      <c r="H91" s="33"/>
    </row>
    <row r="92" spans="2:16" ht="15.75" customHeight="1" x14ac:dyDescent="0.2">
      <c r="B92" s="25" t="s">
        <v>107</v>
      </c>
      <c r="C92" s="25"/>
      <c r="D92" s="25"/>
      <c r="E92" s="26"/>
      <c r="F92" s="27">
        <v>1222.76</v>
      </c>
      <c r="G92" s="28">
        <v>4.8000000000000265E-3</v>
      </c>
      <c r="H92" s="29"/>
    </row>
    <row r="93" spans="2:16" ht="15.75" customHeight="1" x14ac:dyDescent="0.2">
      <c r="B93" s="40" t="s">
        <v>108</v>
      </c>
      <c r="C93" s="40"/>
      <c r="D93" s="40"/>
      <c r="E93" s="41"/>
      <c r="F93" s="42">
        <v>254995.77</v>
      </c>
      <c r="G93" s="43">
        <v>1</v>
      </c>
      <c r="H93" s="44"/>
    </row>
    <row r="94" spans="2:16" ht="15.75" customHeight="1" thickBot="1" x14ac:dyDescent="0.25">
      <c r="B94" s="2"/>
    </row>
    <row r="95" spans="2:16" ht="27" customHeight="1" thickBot="1" x14ac:dyDescent="0.25">
      <c r="B95" s="57" t="s">
        <v>925</v>
      </c>
      <c r="C95" s="58" t="s">
        <v>926</v>
      </c>
      <c r="D95" s="58" t="s">
        <v>927</v>
      </c>
      <c r="E95" s="63" t="s">
        <v>928</v>
      </c>
      <c r="G95" s="2"/>
      <c r="H95" s="2"/>
    </row>
    <row r="96" spans="2:16" ht="27.75" customHeight="1" x14ac:dyDescent="0.2">
      <c r="B96" s="70" t="s">
        <v>67</v>
      </c>
      <c r="C96" s="82"/>
      <c r="D96" s="85" t="s">
        <v>1000</v>
      </c>
      <c r="E96" s="87"/>
      <c r="G96" s="2"/>
      <c r="H96" s="2"/>
    </row>
    <row r="97" spans="2:8" ht="31.5" customHeight="1" x14ac:dyDescent="0.2">
      <c r="B97" s="66" t="s">
        <v>1001</v>
      </c>
      <c r="C97" s="83"/>
      <c r="D97" s="86"/>
      <c r="E97" s="83"/>
      <c r="G97" s="2"/>
      <c r="H97" s="2"/>
    </row>
    <row r="98" spans="2:8" ht="39.950000000000003" customHeight="1" x14ac:dyDescent="0.2">
      <c r="B98" s="66" t="s">
        <v>1002</v>
      </c>
      <c r="C98" s="83"/>
      <c r="D98" s="86"/>
      <c r="E98" s="83"/>
      <c r="G98" s="2"/>
      <c r="H98" s="2"/>
    </row>
    <row r="99" spans="2:8" ht="21.75" customHeight="1" thickBot="1" x14ac:dyDescent="0.25">
      <c r="B99" s="68" t="s">
        <v>953</v>
      </c>
      <c r="C99" s="84"/>
      <c r="D99" s="71" t="s">
        <v>953</v>
      </c>
      <c r="E99" s="88"/>
      <c r="G99" s="2"/>
      <c r="H99" s="2"/>
    </row>
    <row r="100" spans="2:8" ht="24.95" customHeight="1" x14ac:dyDescent="0.2">
      <c r="B100" s="59" t="s">
        <v>929</v>
      </c>
      <c r="C100" s="60"/>
      <c r="D100" s="61"/>
      <c r="E100" s="62"/>
      <c r="G100" s="2"/>
      <c r="H100" s="2"/>
    </row>
    <row r="102" spans="2:8" ht="12" x14ac:dyDescent="0.2">
      <c r="B102" s="2" t="s">
        <v>930</v>
      </c>
      <c r="C102" s="2"/>
      <c r="D102" s="2"/>
      <c r="G102" s="2"/>
      <c r="H102" s="2"/>
    </row>
    <row r="103" spans="2:8" ht="12" x14ac:dyDescent="0.2">
      <c r="B103" s="3" t="s">
        <v>931</v>
      </c>
      <c r="C103" s="2"/>
      <c r="D103" s="2"/>
      <c r="G103" s="2"/>
      <c r="H103" s="2"/>
    </row>
  </sheetData>
  <mergeCells count="3">
    <mergeCell ref="C96:C99"/>
    <mergeCell ref="D96:D98"/>
    <mergeCell ref="E96:E99"/>
  </mergeCells>
  <hyperlinks>
    <hyperlink ref="I1" location="'Sheet1'!A1" display="Index" xr:uid="{55A70F94-5E34-4457-AA5D-4270041582F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025FA-429C-411E-93AE-5512683EF09A}">
  <dimension ref="B1:P105"/>
  <sheetViews>
    <sheetView workbookViewId="0"/>
  </sheetViews>
  <sheetFormatPr defaultColWidth="9.140625" defaultRowHeight="15.75" customHeight="1" x14ac:dyDescent="0.2"/>
  <cols>
    <col min="1" max="1" width="3.5703125" style="2" customWidth="1"/>
    <col min="2" max="2" width="50.42578125" style="9" customWidth="1"/>
    <col min="3" max="3" width="25.28515625" style="9" customWidth="1"/>
    <col min="4" max="4" width="26.5703125" style="9" customWidth="1"/>
    <col min="5" max="5" width="28.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128</v>
      </c>
      <c r="C7" s="25" t="s">
        <v>129</v>
      </c>
      <c r="D7" s="25" t="s">
        <v>130</v>
      </c>
      <c r="E7" s="26">
        <v>305293</v>
      </c>
      <c r="F7" s="27">
        <v>3212.29</v>
      </c>
      <c r="G7" s="28">
        <v>3.56E-2</v>
      </c>
      <c r="H7" s="29"/>
    </row>
    <row r="8" spans="2:9" ht="15.75" customHeight="1" x14ac:dyDescent="0.2">
      <c r="B8" s="25" t="s">
        <v>295</v>
      </c>
      <c r="C8" s="25" t="s">
        <v>296</v>
      </c>
      <c r="D8" s="25" t="s">
        <v>179</v>
      </c>
      <c r="E8" s="26">
        <v>801660</v>
      </c>
      <c r="F8" s="27">
        <v>3212.25</v>
      </c>
      <c r="G8" s="28">
        <v>3.56E-2</v>
      </c>
      <c r="H8" s="29"/>
    </row>
    <row r="9" spans="2:9" ht="15.75" customHeight="1" x14ac:dyDescent="0.2">
      <c r="B9" s="25" t="s">
        <v>134</v>
      </c>
      <c r="C9" s="25" t="s">
        <v>135</v>
      </c>
      <c r="D9" s="25" t="s">
        <v>130</v>
      </c>
      <c r="E9" s="26">
        <v>210896</v>
      </c>
      <c r="F9" s="27">
        <v>2959.71</v>
      </c>
      <c r="G9" s="28">
        <v>3.2800000000000003E-2</v>
      </c>
      <c r="H9" s="29"/>
    </row>
    <row r="10" spans="2:9" ht="15.75" customHeight="1" x14ac:dyDescent="0.2">
      <c r="B10" s="25" t="s">
        <v>266</v>
      </c>
      <c r="C10" s="25" t="s">
        <v>267</v>
      </c>
      <c r="D10" s="25" t="s">
        <v>130</v>
      </c>
      <c r="E10" s="26">
        <v>301924</v>
      </c>
      <c r="F10" s="27">
        <v>2258.69</v>
      </c>
      <c r="G10" s="28">
        <v>2.5000000000000001E-2</v>
      </c>
      <c r="H10" s="29"/>
    </row>
    <row r="11" spans="2:9" ht="15.75" customHeight="1" x14ac:dyDescent="0.2">
      <c r="B11" s="25" t="s">
        <v>493</v>
      </c>
      <c r="C11" s="25" t="s">
        <v>494</v>
      </c>
      <c r="D11" s="25" t="s">
        <v>362</v>
      </c>
      <c r="E11" s="26">
        <v>461524</v>
      </c>
      <c r="F11" s="27">
        <v>1864.33</v>
      </c>
      <c r="G11" s="28">
        <v>2.07E-2</v>
      </c>
      <c r="H11" s="29"/>
    </row>
    <row r="12" spans="2:9" ht="15.75" customHeight="1" x14ac:dyDescent="0.2">
      <c r="B12" s="25" t="s">
        <v>136</v>
      </c>
      <c r="C12" s="25" t="s">
        <v>137</v>
      </c>
      <c r="D12" s="25" t="s">
        <v>138</v>
      </c>
      <c r="E12" s="26">
        <v>63641</v>
      </c>
      <c r="F12" s="27">
        <v>1859.34</v>
      </c>
      <c r="G12" s="28">
        <v>2.06E-2</v>
      </c>
      <c r="H12" s="29"/>
    </row>
    <row r="13" spans="2:9" ht="15.75" customHeight="1" x14ac:dyDescent="0.2">
      <c r="B13" s="25" t="s">
        <v>292</v>
      </c>
      <c r="C13" s="25" t="s">
        <v>293</v>
      </c>
      <c r="D13" s="25" t="s">
        <v>294</v>
      </c>
      <c r="E13" s="26">
        <v>912802</v>
      </c>
      <c r="F13" s="27">
        <v>1737.52</v>
      </c>
      <c r="G13" s="28">
        <v>1.9300000000000001E-2</v>
      </c>
      <c r="H13" s="29"/>
    </row>
    <row r="14" spans="2:9" ht="15.75" customHeight="1" x14ac:dyDescent="0.2">
      <c r="B14" s="25" t="s">
        <v>131</v>
      </c>
      <c r="C14" s="25" t="s">
        <v>132</v>
      </c>
      <c r="D14" s="25" t="s">
        <v>133</v>
      </c>
      <c r="E14" s="26">
        <v>100403</v>
      </c>
      <c r="F14" s="27">
        <v>1680.65</v>
      </c>
      <c r="G14" s="28">
        <v>1.8599999999999998E-2</v>
      </c>
      <c r="H14" s="29"/>
    </row>
    <row r="15" spans="2:9" ht="15.75" customHeight="1" x14ac:dyDescent="0.2">
      <c r="B15" s="25" t="s">
        <v>635</v>
      </c>
      <c r="C15" s="25" t="s">
        <v>636</v>
      </c>
      <c r="D15" s="25" t="s">
        <v>309</v>
      </c>
      <c r="E15" s="26">
        <v>87987</v>
      </c>
      <c r="F15" s="27">
        <v>1674.7</v>
      </c>
      <c r="G15" s="28">
        <v>1.8599999999999998E-2</v>
      </c>
      <c r="H15" s="29"/>
    </row>
    <row r="16" spans="2:9" ht="15.75" customHeight="1" x14ac:dyDescent="0.2">
      <c r="B16" s="25" t="s">
        <v>283</v>
      </c>
      <c r="C16" s="25" t="s">
        <v>284</v>
      </c>
      <c r="D16" s="25" t="s">
        <v>285</v>
      </c>
      <c r="E16" s="26">
        <v>73410</v>
      </c>
      <c r="F16" s="27">
        <v>1608.71</v>
      </c>
      <c r="G16" s="28">
        <v>1.78E-2</v>
      </c>
      <c r="H16" s="29"/>
    </row>
    <row r="17" spans="2:8" ht="15.75" customHeight="1" x14ac:dyDescent="0.2">
      <c r="B17" s="25" t="s">
        <v>365</v>
      </c>
      <c r="C17" s="25" t="s">
        <v>366</v>
      </c>
      <c r="D17" s="25" t="s">
        <v>355</v>
      </c>
      <c r="E17" s="26">
        <v>518754</v>
      </c>
      <c r="F17" s="27">
        <v>1547.44</v>
      </c>
      <c r="G17" s="28">
        <v>1.72E-2</v>
      </c>
      <c r="H17" s="29"/>
    </row>
    <row r="18" spans="2:8" ht="15.75" customHeight="1" x14ac:dyDescent="0.2">
      <c r="B18" s="25" t="s">
        <v>214</v>
      </c>
      <c r="C18" s="25" t="s">
        <v>215</v>
      </c>
      <c r="D18" s="25" t="s">
        <v>130</v>
      </c>
      <c r="E18" s="26">
        <v>89154</v>
      </c>
      <c r="F18" s="27">
        <v>1506.21</v>
      </c>
      <c r="G18" s="28">
        <v>1.67E-2</v>
      </c>
      <c r="H18" s="29"/>
    </row>
    <row r="19" spans="2:8" ht="15.75" customHeight="1" x14ac:dyDescent="0.2">
      <c r="B19" s="25" t="s">
        <v>532</v>
      </c>
      <c r="C19" s="25" t="s">
        <v>533</v>
      </c>
      <c r="D19" s="25" t="s">
        <v>444</v>
      </c>
      <c r="E19" s="26">
        <v>191388</v>
      </c>
      <c r="F19" s="27">
        <v>1472.16</v>
      </c>
      <c r="G19" s="28">
        <v>1.6299999999999999E-2</v>
      </c>
      <c r="H19" s="29"/>
    </row>
    <row r="20" spans="2:8" ht="15.75" customHeight="1" x14ac:dyDescent="0.2">
      <c r="B20" s="25" t="s">
        <v>142</v>
      </c>
      <c r="C20" s="25" t="s">
        <v>143</v>
      </c>
      <c r="D20" s="25" t="s">
        <v>144</v>
      </c>
      <c r="E20" s="26">
        <v>75530</v>
      </c>
      <c r="F20" s="27">
        <v>1459.54</v>
      </c>
      <c r="G20" s="28">
        <v>1.6199999999999999E-2</v>
      </c>
      <c r="H20" s="29"/>
    </row>
    <row r="21" spans="2:8" ht="15.75" customHeight="1" x14ac:dyDescent="0.2">
      <c r="B21" s="25" t="s">
        <v>226</v>
      </c>
      <c r="C21" s="25" t="s">
        <v>227</v>
      </c>
      <c r="D21" s="25" t="s">
        <v>130</v>
      </c>
      <c r="E21" s="26">
        <v>962789</v>
      </c>
      <c r="F21" s="27">
        <v>1448.03</v>
      </c>
      <c r="G21" s="28">
        <v>1.61E-2</v>
      </c>
      <c r="H21" s="29"/>
    </row>
    <row r="22" spans="2:8" ht="15.75" customHeight="1" x14ac:dyDescent="0.2">
      <c r="B22" s="25" t="s">
        <v>297</v>
      </c>
      <c r="C22" s="25" t="s">
        <v>298</v>
      </c>
      <c r="D22" s="25" t="s">
        <v>240</v>
      </c>
      <c r="E22" s="26">
        <v>103401</v>
      </c>
      <c r="F22" s="27">
        <v>1389.97</v>
      </c>
      <c r="G22" s="28">
        <v>1.54E-2</v>
      </c>
      <c r="H22" s="29"/>
    </row>
    <row r="23" spans="2:8" ht="15.75" customHeight="1" x14ac:dyDescent="0.2">
      <c r="B23" s="25" t="s">
        <v>842</v>
      </c>
      <c r="C23" s="25" t="s">
        <v>843</v>
      </c>
      <c r="D23" s="25" t="s">
        <v>179</v>
      </c>
      <c r="E23" s="26">
        <v>33233</v>
      </c>
      <c r="F23" s="27">
        <v>1385.67</v>
      </c>
      <c r="G23" s="28">
        <v>1.54E-2</v>
      </c>
      <c r="H23" s="29"/>
    </row>
    <row r="24" spans="2:8" ht="15.75" customHeight="1" x14ac:dyDescent="0.2">
      <c r="B24" s="25" t="s">
        <v>247</v>
      </c>
      <c r="C24" s="25" t="s">
        <v>248</v>
      </c>
      <c r="D24" s="25" t="s">
        <v>237</v>
      </c>
      <c r="E24" s="26">
        <v>1150522</v>
      </c>
      <c r="F24" s="27">
        <v>1371.42</v>
      </c>
      <c r="G24" s="28">
        <v>1.52E-2</v>
      </c>
      <c r="H24" s="29"/>
    </row>
    <row r="25" spans="2:8" ht="15.75" customHeight="1" x14ac:dyDescent="0.2">
      <c r="B25" s="25" t="s">
        <v>489</v>
      </c>
      <c r="C25" s="25" t="s">
        <v>490</v>
      </c>
      <c r="D25" s="25" t="s">
        <v>222</v>
      </c>
      <c r="E25" s="26">
        <v>476150</v>
      </c>
      <c r="F25" s="27">
        <v>1362.03</v>
      </c>
      <c r="G25" s="28">
        <v>1.5100000000000001E-2</v>
      </c>
      <c r="H25" s="29"/>
    </row>
    <row r="26" spans="2:8" ht="15.75" customHeight="1" x14ac:dyDescent="0.2">
      <c r="B26" s="25" t="s">
        <v>353</v>
      </c>
      <c r="C26" s="25" t="s">
        <v>354</v>
      </c>
      <c r="D26" s="25" t="s">
        <v>355</v>
      </c>
      <c r="E26" s="26">
        <v>143555</v>
      </c>
      <c r="F26" s="27">
        <v>1308.3599999999999</v>
      </c>
      <c r="G26" s="28">
        <v>1.4500000000000001E-2</v>
      </c>
      <c r="H26" s="29"/>
    </row>
    <row r="27" spans="2:8" ht="15.75" customHeight="1" x14ac:dyDescent="0.2">
      <c r="B27" s="25" t="s">
        <v>381</v>
      </c>
      <c r="C27" s="25" t="s">
        <v>382</v>
      </c>
      <c r="D27" s="25" t="s">
        <v>133</v>
      </c>
      <c r="E27" s="26">
        <v>19717</v>
      </c>
      <c r="F27" s="27">
        <v>1292.26</v>
      </c>
      <c r="G27" s="28">
        <v>1.43E-2</v>
      </c>
      <c r="H27" s="29"/>
    </row>
    <row r="28" spans="2:8" ht="15.75" customHeight="1" x14ac:dyDescent="0.2">
      <c r="B28" s="25" t="s">
        <v>351</v>
      </c>
      <c r="C28" s="25" t="s">
        <v>352</v>
      </c>
      <c r="D28" s="25" t="s">
        <v>209</v>
      </c>
      <c r="E28" s="26">
        <v>780873</v>
      </c>
      <c r="F28" s="27">
        <v>1291.95</v>
      </c>
      <c r="G28" s="28">
        <v>1.43E-2</v>
      </c>
      <c r="H28" s="29"/>
    </row>
    <row r="29" spans="2:8" ht="15.75" customHeight="1" x14ac:dyDescent="0.2">
      <c r="B29" s="25" t="s">
        <v>377</v>
      </c>
      <c r="C29" s="25" t="s">
        <v>378</v>
      </c>
      <c r="D29" s="25" t="s">
        <v>309</v>
      </c>
      <c r="E29" s="26">
        <v>109811</v>
      </c>
      <c r="F29" s="27">
        <v>1263.92</v>
      </c>
      <c r="G29" s="28">
        <v>1.4E-2</v>
      </c>
      <c r="H29" s="29"/>
    </row>
    <row r="30" spans="2:8" ht="15.75" customHeight="1" x14ac:dyDescent="0.2">
      <c r="B30" s="25" t="s">
        <v>148</v>
      </c>
      <c r="C30" s="25" t="s">
        <v>149</v>
      </c>
      <c r="D30" s="25" t="s">
        <v>133</v>
      </c>
      <c r="E30" s="26">
        <v>23409</v>
      </c>
      <c r="F30" s="27">
        <v>1240.8800000000001</v>
      </c>
      <c r="G30" s="28">
        <v>1.38E-2</v>
      </c>
      <c r="H30" s="29"/>
    </row>
    <row r="31" spans="2:8" ht="15.75" customHeight="1" x14ac:dyDescent="0.2">
      <c r="B31" s="25" t="s">
        <v>401</v>
      </c>
      <c r="C31" s="25" t="s">
        <v>402</v>
      </c>
      <c r="D31" s="25" t="s">
        <v>237</v>
      </c>
      <c r="E31" s="26">
        <v>280510</v>
      </c>
      <c r="F31" s="27">
        <v>1236.77</v>
      </c>
      <c r="G31" s="28">
        <v>1.37E-2</v>
      </c>
      <c r="H31" s="29"/>
    </row>
    <row r="32" spans="2:8" ht="15.75" customHeight="1" x14ac:dyDescent="0.2">
      <c r="B32" s="25" t="s">
        <v>455</v>
      </c>
      <c r="C32" s="25" t="s">
        <v>456</v>
      </c>
      <c r="D32" s="25" t="s">
        <v>320</v>
      </c>
      <c r="E32" s="26">
        <v>114602</v>
      </c>
      <c r="F32" s="27">
        <v>1233.4000000000001</v>
      </c>
      <c r="G32" s="28">
        <v>1.37E-2</v>
      </c>
      <c r="H32" s="29"/>
    </row>
    <row r="33" spans="2:8" ht="15.75" customHeight="1" x14ac:dyDescent="0.2">
      <c r="B33" s="25" t="s">
        <v>274</v>
      </c>
      <c r="C33" s="25" t="s">
        <v>275</v>
      </c>
      <c r="D33" s="25" t="s">
        <v>144</v>
      </c>
      <c r="E33" s="26">
        <v>10844</v>
      </c>
      <c r="F33" s="27">
        <v>1224.1099999999999</v>
      </c>
      <c r="G33" s="28">
        <v>1.3599999999999999E-2</v>
      </c>
      <c r="H33" s="29"/>
    </row>
    <row r="34" spans="2:8" ht="15.75" customHeight="1" x14ac:dyDescent="0.2">
      <c r="B34" s="25" t="s">
        <v>310</v>
      </c>
      <c r="C34" s="25" t="s">
        <v>311</v>
      </c>
      <c r="D34" s="25" t="s">
        <v>144</v>
      </c>
      <c r="E34" s="26">
        <v>27516</v>
      </c>
      <c r="F34" s="27">
        <v>1218</v>
      </c>
      <c r="G34" s="28">
        <v>1.35E-2</v>
      </c>
      <c r="H34" s="29"/>
    </row>
    <row r="35" spans="2:8" ht="15.75" customHeight="1" x14ac:dyDescent="0.2">
      <c r="B35" s="25" t="s">
        <v>465</v>
      </c>
      <c r="C35" s="25" t="s">
        <v>466</v>
      </c>
      <c r="D35" s="25" t="s">
        <v>294</v>
      </c>
      <c r="E35" s="26">
        <v>52087</v>
      </c>
      <c r="F35" s="27">
        <v>1205.71</v>
      </c>
      <c r="G35" s="28">
        <v>1.34E-2</v>
      </c>
      <c r="H35" s="29"/>
    </row>
    <row r="36" spans="2:8" ht="15.75" customHeight="1" x14ac:dyDescent="0.2">
      <c r="B36" s="25" t="s">
        <v>369</v>
      </c>
      <c r="C36" s="25" t="s">
        <v>370</v>
      </c>
      <c r="D36" s="25" t="s">
        <v>309</v>
      </c>
      <c r="E36" s="26">
        <v>37098</v>
      </c>
      <c r="F36" s="27">
        <v>1191.1199999999999</v>
      </c>
      <c r="G36" s="28">
        <v>1.32E-2</v>
      </c>
      <c r="H36" s="29"/>
    </row>
    <row r="37" spans="2:8" ht="15.75" customHeight="1" x14ac:dyDescent="0.2">
      <c r="B37" s="25" t="s">
        <v>453</v>
      </c>
      <c r="C37" s="25" t="s">
        <v>454</v>
      </c>
      <c r="D37" s="25" t="s">
        <v>209</v>
      </c>
      <c r="E37" s="26">
        <v>528558</v>
      </c>
      <c r="F37" s="27">
        <v>1190.31</v>
      </c>
      <c r="G37" s="28">
        <v>1.32E-2</v>
      </c>
      <c r="H37" s="29"/>
    </row>
    <row r="38" spans="2:8" ht="15.75" customHeight="1" x14ac:dyDescent="0.2">
      <c r="B38" s="25" t="s">
        <v>844</v>
      </c>
      <c r="C38" s="25" t="s">
        <v>845</v>
      </c>
      <c r="D38" s="25" t="s">
        <v>206</v>
      </c>
      <c r="E38" s="26">
        <v>135344</v>
      </c>
      <c r="F38" s="27">
        <v>1155.03</v>
      </c>
      <c r="G38" s="28">
        <v>1.2800000000000001E-2</v>
      </c>
      <c r="H38" s="29"/>
    </row>
    <row r="39" spans="2:8" ht="15.75" customHeight="1" x14ac:dyDescent="0.2">
      <c r="B39" s="25" t="s">
        <v>301</v>
      </c>
      <c r="C39" s="25" t="s">
        <v>302</v>
      </c>
      <c r="D39" s="25" t="s">
        <v>185</v>
      </c>
      <c r="E39" s="26">
        <v>43231</v>
      </c>
      <c r="F39" s="27">
        <v>1152.58</v>
      </c>
      <c r="G39" s="28">
        <v>1.2800000000000001E-2</v>
      </c>
      <c r="H39" s="29"/>
    </row>
    <row r="40" spans="2:8" ht="15.75" customHeight="1" x14ac:dyDescent="0.2">
      <c r="B40" s="25" t="s">
        <v>288</v>
      </c>
      <c r="C40" s="25" t="s">
        <v>289</v>
      </c>
      <c r="D40" s="25" t="s">
        <v>203</v>
      </c>
      <c r="E40" s="26">
        <v>158879</v>
      </c>
      <c r="F40" s="27">
        <v>1121.77</v>
      </c>
      <c r="G40" s="28">
        <v>1.24E-2</v>
      </c>
      <c r="H40" s="29"/>
    </row>
    <row r="41" spans="2:8" ht="15.75" customHeight="1" x14ac:dyDescent="0.2">
      <c r="B41" s="25" t="s">
        <v>522</v>
      </c>
      <c r="C41" s="25" t="s">
        <v>523</v>
      </c>
      <c r="D41" s="25" t="s">
        <v>237</v>
      </c>
      <c r="E41" s="26">
        <v>165956</v>
      </c>
      <c r="F41" s="27">
        <v>1111.24</v>
      </c>
      <c r="G41" s="28">
        <v>1.23E-2</v>
      </c>
      <c r="H41" s="29"/>
    </row>
    <row r="42" spans="2:8" ht="15.75" customHeight="1" x14ac:dyDescent="0.2">
      <c r="B42" s="25" t="s">
        <v>834</v>
      </c>
      <c r="C42" s="25" t="s">
        <v>835</v>
      </c>
      <c r="D42" s="25" t="s">
        <v>282</v>
      </c>
      <c r="E42" s="26">
        <v>193353</v>
      </c>
      <c r="F42" s="27">
        <v>1085.68</v>
      </c>
      <c r="G42" s="28">
        <v>1.2E-2</v>
      </c>
      <c r="H42" s="29"/>
    </row>
    <row r="43" spans="2:8" ht="15.75" customHeight="1" x14ac:dyDescent="0.2">
      <c r="B43" s="25" t="s">
        <v>647</v>
      </c>
      <c r="C43" s="25" t="s">
        <v>648</v>
      </c>
      <c r="D43" s="25" t="s">
        <v>355</v>
      </c>
      <c r="E43" s="26">
        <v>203118</v>
      </c>
      <c r="F43" s="27">
        <v>1078.46</v>
      </c>
      <c r="G43" s="28">
        <v>1.2E-2</v>
      </c>
      <c r="H43" s="29"/>
    </row>
    <row r="44" spans="2:8" ht="15.75" customHeight="1" x14ac:dyDescent="0.2">
      <c r="B44" s="25" t="s">
        <v>268</v>
      </c>
      <c r="C44" s="25" t="s">
        <v>269</v>
      </c>
      <c r="D44" s="25" t="s">
        <v>130</v>
      </c>
      <c r="E44" s="26">
        <v>97555</v>
      </c>
      <c r="F44" s="27">
        <v>1048.81</v>
      </c>
      <c r="G44" s="28">
        <v>1.1599999999999999E-2</v>
      </c>
      <c r="H44" s="29"/>
    </row>
    <row r="45" spans="2:8" ht="15.75" customHeight="1" x14ac:dyDescent="0.2">
      <c r="B45" s="25" t="s">
        <v>735</v>
      </c>
      <c r="C45" s="25" t="s">
        <v>736</v>
      </c>
      <c r="D45" s="25" t="s">
        <v>476</v>
      </c>
      <c r="E45" s="26">
        <v>183275</v>
      </c>
      <c r="F45" s="27">
        <v>1036.1500000000001</v>
      </c>
      <c r="G45" s="28">
        <v>1.15E-2</v>
      </c>
      <c r="H45" s="29"/>
    </row>
    <row r="46" spans="2:8" ht="15.75" customHeight="1" x14ac:dyDescent="0.2">
      <c r="B46" s="25" t="s">
        <v>204</v>
      </c>
      <c r="C46" s="25" t="s">
        <v>205</v>
      </c>
      <c r="D46" s="25" t="s">
        <v>206</v>
      </c>
      <c r="E46" s="26">
        <v>28390</v>
      </c>
      <c r="F46" s="27">
        <v>1028.97</v>
      </c>
      <c r="G46" s="28">
        <v>1.14E-2</v>
      </c>
      <c r="H46" s="29"/>
    </row>
    <row r="47" spans="2:8" ht="15.75" customHeight="1" x14ac:dyDescent="0.2">
      <c r="B47" s="25" t="s">
        <v>534</v>
      </c>
      <c r="C47" s="25" t="s">
        <v>535</v>
      </c>
      <c r="D47" s="25" t="s">
        <v>240</v>
      </c>
      <c r="E47" s="26">
        <v>134328</v>
      </c>
      <c r="F47" s="27">
        <v>1001.01</v>
      </c>
      <c r="G47" s="28">
        <v>1.11E-2</v>
      </c>
      <c r="H47" s="29"/>
    </row>
    <row r="48" spans="2:8" ht="15.75" customHeight="1" x14ac:dyDescent="0.2">
      <c r="B48" s="25" t="s">
        <v>414</v>
      </c>
      <c r="C48" s="25" t="s">
        <v>415</v>
      </c>
      <c r="D48" s="25" t="s">
        <v>130</v>
      </c>
      <c r="E48" s="26">
        <v>782184</v>
      </c>
      <c r="F48" s="27">
        <v>1000.8</v>
      </c>
      <c r="G48" s="28">
        <v>1.11E-2</v>
      </c>
      <c r="H48" s="29"/>
    </row>
    <row r="49" spans="2:8" ht="15.75" customHeight="1" x14ac:dyDescent="0.2">
      <c r="B49" s="25" t="s">
        <v>278</v>
      </c>
      <c r="C49" s="25" t="s">
        <v>279</v>
      </c>
      <c r="D49" s="25" t="s">
        <v>222</v>
      </c>
      <c r="E49" s="26">
        <v>40761</v>
      </c>
      <c r="F49" s="27">
        <v>974.05</v>
      </c>
      <c r="G49" s="28">
        <v>1.0800000000000001E-2</v>
      </c>
      <c r="H49" s="29"/>
    </row>
    <row r="50" spans="2:8" ht="15.75" customHeight="1" x14ac:dyDescent="0.2">
      <c r="B50" s="25" t="s">
        <v>669</v>
      </c>
      <c r="C50" s="25" t="s">
        <v>670</v>
      </c>
      <c r="D50" s="25" t="s">
        <v>206</v>
      </c>
      <c r="E50" s="26">
        <v>100001</v>
      </c>
      <c r="F50" s="27">
        <v>955.81</v>
      </c>
      <c r="G50" s="28">
        <v>1.06E-2</v>
      </c>
      <c r="H50" s="29"/>
    </row>
    <row r="51" spans="2:8" ht="15.75" customHeight="1" x14ac:dyDescent="0.2">
      <c r="B51" s="25" t="s">
        <v>576</v>
      </c>
      <c r="C51" s="25" t="s">
        <v>577</v>
      </c>
      <c r="D51" s="25" t="s">
        <v>578</v>
      </c>
      <c r="E51" s="26">
        <v>150122</v>
      </c>
      <c r="F51" s="27">
        <v>945.39</v>
      </c>
      <c r="G51" s="28">
        <v>1.0500000000000001E-2</v>
      </c>
      <c r="H51" s="29"/>
    </row>
    <row r="52" spans="2:8" ht="15.75" customHeight="1" x14ac:dyDescent="0.2">
      <c r="B52" s="25" t="s">
        <v>272</v>
      </c>
      <c r="C52" s="25" t="s">
        <v>273</v>
      </c>
      <c r="D52" s="25" t="s">
        <v>185</v>
      </c>
      <c r="E52" s="26">
        <v>59632</v>
      </c>
      <c r="F52" s="27">
        <v>940.96</v>
      </c>
      <c r="G52" s="28">
        <v>1.04E-2</v>
      </c>
      <c r="H52" s="29"/>
    </row>
    <row r="53" spans="2:8" ht="15.75" customHeight="1" x14ac:dyDescent="0.2">
      <c r="B53" s="25" t="s">
        <v>661</v>
      </c>
      <c r="C53" s="25" t="s">
        <v>662</v>
      </c>
      <c r="D53" s="25" t="s">
        <v>320</v>
      </c>
      <c r="E53" s="26">
        <v>149337</v>
      </c>
      <c r="F53" s="27">
        <v>940.08</v>
      </c>
      <c r="G53" s="28">
        <v>1.04E-2</v>
      </c>
      <c r="H53" s="29"/>
    </row>
    <row r="54" spans="2:8" ht="15.75" customHeight="1" x14ac:dyDescent="0.2">
      <c r="B54" s="25" t="s">
        <v>383</v>
      </c>
      <c r="C54" s="25" t="s">
        <v>384</v>
      </c>
      <c r="D54" s="25" t="s">
        <v>171</v>
      </c>
      <c r="E54" s="26">
        <v>112631</v>
      </c>
      <c r="F54" s="27">
        <v>935.23</v>
      </c>
      <c r="G54" s="28">
        <v>1.04E-2</v>
      </c>
      <c r="H54" s="29"/>
    </row>
    <row r="55" spans="2:8" ht="15.75" customHeight="1" x14ac:dyDescent="0.2">
      <c r="B55" s="25" t="s">
        <v>388</v>
      </c>
      <c r="C55" s="25" t="s">
        <v>389</v>
      </c>
      <c r="D55" s="25" t="s">
        <v>147</v>
      </c>
      <c r="E55" s="26">
        <v>178374</v>
      </c>
      <c r="F55" s="27">
        <v>930.84</v>
      </c>
      <c r="G55" s="28">
        <v>1.03E-2</v>
      </c>
      <c r="H55" s="29"/>
    </row>
    <row r="56" spans="2:8" ht="15.75" customHeight="1" x14ac:dyDescent="0.2">
      <c r="B56" s="25" t="s">
        <v>318</v>
      </c>
      <c r="C56" s="25" t="s">
        <v>319</v>
      </c>
      <c r="D56" s="25" t="s">
        <v>320</v>
      </c>
      <c r="E56" s="26">
        <v>25265</v>
      </c>
      <c r="F56" s="27">
        <v>927.91</v>
      </c>
      <c r="G56" s="28">
        <v>1.03E-2</v>
      </c>
      <c r="H56" s="29"/>
    </row>
    <row r="57" spans="2:8" ht="15.75" customHeight="1" x14ac:dyDescent="0.2">
      <c r="B57" s="25" t="s">
        <v>846</v>
      </c>
      <c r="C57" s="25" t="s">
        <v>847</v>
      </c>
      <c r="D57" s="25" t="s">
        <v>225</v>
      </c>
      <c r="E57" s="26">
        <v>195752</v>
      </c>
      <c r="F57" s="27">
        <v>912.2</v>
      </c>
      <c r="G57" s="28">
        <v>1.01E-2</v>
      </c>
      <c r="H57" s="29"/>
    </row>
    <row r="58" spans="2:8" ht="15.75" customHeight="1" x14ac:dyDescent="0.2">
      <c r="B58" s="25" t="s">
        <v>316</v>
      </c>
      <c r="C58" s="25" t="s">
        <v>317</v>
      </c>
      <c r="D58" s="25" t="s">
        <v>185</v>
      </c>
      <c r="E58" s="26">
        <v>682159</v>
      </c>
      <c r="F58" s="27">
        <v>899.77</v>
      </c>
      <c r="G58" s="28">
        <v>0.01</v>
      </c>
      <c r="H58" s="29"/>
    </row>
    <row r="59" spans="2:8" ht="15.75" customHeight="1" x14ac:dyDescent="0.2">
      <c r="B59" s="25" t="s">
        <v>270</v>
      </c>
      <c r="C59" s="25" t="s">
        <v>271</v>
      </c>
      <c r="D59" s="25" t="s">
        <v>133</v>
      </c>
      <c r="E59" s="26">
        <v>53067</v>
      </c>
      <c r="F59" s="27">
        <v>882.96</v>
      </c>
      <c r="G59" s="28">
        <v>9.7999999999999997E-3</v>
      </c>
      <c r="H59" s="29"/>
    </row>
    <row r="60" spans="2:8" ht="15.75" customHeight="1" x14ac:dyDescent="0.2">
      <c r="B60" s="25" t="s">
        <v>715</v>
      </c>
      <c r="C60" s="25" t="s">
        <v>716</v>
      </c>
      <c r="D60" s="25" t="s">
        <v>174</v>
      </c>
      <c r="E60" s="26">
        <v>126636</v>
      </c>
      <c r="F60" s="27">
        <v>876.64</v>
      </c>
      <c r="G60" s="28">
        <v>9.7000000000000003E-3</v>
      </c>
      <c r="H60" s="29"/>
    </row>
    <row r="61" spans="2:8" ht="15.75" customHeight="1" x14ac:dyDescent="0.2">
      <c r="B61" s="25" t="s">
        <v>210</v>
      </c>
      <c r="C61" s="25" t="s">
        <v>211</v>
      </c>
      <c r="D61" s="25" t="s">
        <v>141</v>
      </c>
      <c r="E61" s="26">
        <v>215041</v>
      </c>
      <c r="F61" s="27">
        <v>873.71</v>
      </c>
      <c r="G61" s="28">
        <v>9.7000000000000003E-3</v>
      </c>
      <c r="H61" s="29"/>
    </row>
    <row r="62" spans="2:8" ht="15.75" customHeight="1" x14ac:dyDescent="0.2">
      <c r="B62" s="25" t="s">
        <v>848</v>
      </c>
      <c r="C62" s="25" t="s">
        <v>849</v>
      </c>
      <c r="D62" s="25" t="s">
        <v>618</v>
      </c>
      <c r="E62" s="26">
        <v>216463</v>
      </c>
      <c r="F62" s="27">
        <v>871.37</v>
      </c>
      <c r="G62" s="28">
        <v>9.7000000000000003E-3</v>
      </c>
      <c r="H62" s="29"/>
    </row>
    <row r="63" spans="2:8" ht="15.75" customHeight="1" x14ac:dyDescent="0.2">
      <c r="B63" s="25" t="s">
        <v>334</v>
      </c>
      <c r="C63" s="25" t="s">
        <v>335</v>
      </c>
      <c r="D63" s="25" t="s">
        <v>185</v>
      </c>
      <c r="E63" s="26">
        <v>16596</v>
      </c>
      <c r="F63" s="27">
        <v>850.94</v>
      </c>
      <c r="G63" s="28">
        <v>9.4000000000000004E-3</v>
      </c>
      <c r="H63" s="29"/>
    </row>
    <row r="64" spans="2:8" ht="15.75" customHeight="1" x14ac:dyDescent="0.2">
      <c r="B64" s="25" t="s">
        <v>850</v>
      </c>
      <c r="C64" s="25" t="s">
        <v>851</v>
      </c>
      <c r="D64" s="25" t="s">
        <v>206</v>
      </c>
      <c r="E64" s="26">
        <v>65732</v>
      </c>
      <c r="F64" s="27">
        <v>838.97</v>
      </c>
      <c r="G64" s="28">
        <v>9.2999999999999992E-3</v>
      </c>
      <c r="H64" s="29"/>
    </row>
    <row r="65" spans="2:16" ht="15.75" customHeight="1" x14ac:dyDescent="0.2">
      <c r="B65" s="25" t="s">
        <v>540</v>
      </c>
      <c r="C65" s="25" t="s">
        <v>541</v>
      </c>
      <c r="D65" s="25" t="s">
        <v>237</v>
      </c>
      <c r="E65" s="26">
        <v>27227</v>
      </c>
      <c r="F65" s="27">
        <v>787.62</v>
      </c>
      <c r="G65" s="28">
        <v>8.6999999999999994E-3</v>
      </c>
      <c r="H65" s="29"/>
    </row>
    <row r="66" spans="2:16" ht="15.75" customHeight="1" x14ac:dyDescent="0.2">
      <c r="B66" s="25" t="s">
        <v>447</v>
      </c>
      <c r="C66" s="25" t="s">
        <v>448</v>
      </c>
      <c r="D66" s="25" t="s">
        <v>237</v>
      </c>
      <c r="E66" s="26">
        <v>90082</v>
      </c>
      <c r="F66" s="27">
        <v>758.81</v>
      </c>
      <c r="G66" s="28">
        <v>8.3999999999999995E-3</v>
      </c>
      <c r="H66" s="29"/>
    </row>
    <row r="67" spans="2:16" ht="15.75" customHeight="1" x14ac:dyDescent="0.2">
      <c r="B67" s="25" t="s">
        <v>675</v>
      </c>
      <c r="C67" s="25" t="s">
        <v>676</v>
      </c>
      <c r="D67" s="25" t="s">
        <v>222</v>
      </c>
      <c r="E67" s="26">
        <v>24985</v>
      </c>
      <c r="F67" s="27">
        <v>754.82</v>
      </c>
      <c r="G67" s="28">
        <v>8.3999999999999995E-3</v>
      </c>
      <c r="H67" s="29"/>
    </row>
    <row r="68" spans="2:16" ht="15.75" customHeight="1" x14ac:dyDescent="0.2">
      <c r="B68" s="25" t="s">
        <v>286</v>
      </c>
      <c r="C68" s="25" t="s">
        <v>287</v>
      </c>
      <c r="D68" s="25" t="s">
        <v>130</v>
      </c>
      <c r="E68" s="26">
        <v>567806</v>
      </c>
      <c r="F68" s="27">
        <v>746.38</v>
      </c>
      <c r="G68" s="28">
        <v>8.3000000000000001E-3</v>
      </c>
      <c r="H68" s="29"/>
      <c r="L68" s="3"/>
    </row>
    <row r="69" spans="2:16" ht="15.75" customHeight="1" x14ac:dyDescent="0.2">
      <c r="B69" s="25" t="s">
        <v>832</v>
      </c>
      <c r="C69" s="25" t="s">
        <v>833</v>
      </c>
      <c r="D69" s="25" t="s">
        <v>206</v>
      </c>
      <c r="E69" s="26">
        <v>244000</v>
      </c>
      <c r="F69" s="27">
        <v>706.62</v>
      </c>
      <c r="G69" s="28">
        <v>7.7999999999999996E-3</v>
      </c>
      <c r="H69" s="29"/>
    </row>
    <row r="70" spans="2:16" ht="15.75" customHeight="1" x14ac:dyDescent="0.2">
      <c r="B70" s="25" t="s">
        <v>356</v>
      </c>
      <c r="C70" s="25" t="s">
        <v>357</v>
      </c>
      <c r="D70" s="25" t="s">
        <v>355</v>
      </c>
      <c r="E70" s="26">
        <v>56312</v>
      </c>
      <c r="F70" s="27">
        <v>681.57</v>
      </c>
      <c r="G70" s="28">
        <v>7.6E-3</v>
      </c>
      <c r="H70" s="29"/>
      <c r="L70" s="3"/>
    </row>
    <row r="71" spans="2:16" ht="15.75" customHeight="1" x14ac:dyDescent="0.2">
      <c r="B71" s="25" t="s">
        <v>550</v>
      </c>
      <c r="C71" s="25" t="s">
        <v>551</v>
      </c>
      <c r="D71" s="25" t="s">
        <v>237</v>
      </c>
      <c r="E71" s="26">
        <v>28635</v>
      </c>
      <c r="F71" s="27">
        <v>638.26</v>
      </c>
      <c r="G71" s="28">
        <v>7.1000000000000004E-3</v>
      </c>
      <c r="H71" s="29"/>
      <c r="L71" s="3"/>
    </row>
    <row r="72" spans="2:16" ht="15.75" customHeight="1" x14ac:dyDescent="0.2">
      <c r="B72" s="25" t="s">
        <v>782</v>
      </c>
      <c r="C72" s="25" t="s">
        <v>783</v>
      </c>
      <c r="D72" s="25" t="s">
        <v>590</v>
      </c>
      <c r="E72" s="26">
        <v>112602</v>
      </c>
      <c r="F72" s="27">
        <v>615.42999999999995</v>
      </c>
      <c r="G72" s="28">
        <v>6.7999999999999996E-3</v>
      </c>
      <c r="H72" s="29"/>
      <c r="L72" s="3"/>
    </row>
    <row r="73" spans="2:16" ht="15.75" customHeight="1" x14ac:dyDescent="0.2">
      <c r="B73" s="25" t="s">
        <v>459</v>
      </c>
      <c r="C73" s="25" t="s">
        <v>460</v>
      </c>
      <c r="D73" s="25" t="s">
        <v>206</v>
      </c>
      <c r="E73" s="26">
        <v>151550</v>
      </c>
      <c r="F73" s="27">
        <v>614.08000000000004</v>
      </c>
      <c r="G73" s="28">
        <v>6.7999999999999996E-3</v>
      </c>
      <c r="H73" s="29"/>
      <c r="L73" s="3"/>
    </row>
    <row r="74" spans="2:16" ht="15.75" customHeight="1" x14ac:dyDescent="0.2">
      <c r="B74" s="25" t="s">
        <v>568</v>
      </c>
      <c r="C74" s="25" t="s">
        <v>569</v>
      </c>
      <c r="D74" s="25" t="s">
        <v>471</v>
      </c>
      <c r="E74" s="26">
        <v>20113</v>
      </c>
      <c r="F74" s="27">
        <v>574.52</v>
      </c>
      <c r="G74" s="28">
        <v>6.4000000000000003E-3</v>
      </c>
      <c r="H74" s="29"/>
      <c r="L74" s="3"/>
    </row>
    <row r="75" spans="2:16" ht="15.75" customHeight="1" x14ac:dyDescent="0.2">
      <c r="B75" s="25" t="s">
        <v>852</v>
      </c>
      <c r="C75" s="25" t="s">
        <v>853</v>
      </c>
      <c r="D75" s="25" t="s">
        <v>206</v>
      </c>
      <c r="E75" s="26">
        <v>45522</v>
      </c>
      <c r="F75" s="27">
        <v>572.19000000000005</v>
      </c>
      <c r="G75" s="28">
        <v>6.3E-3</v>
      </c>
      <c r="H75" s="29"/>
      <c r="L75" s="5"/>
      <c r="M75" s="5"/>
      <c r="N75" s="6"/>
      <c r="O75" s="6"/>
      <c r="P75" s="5"/>
    </row>
    <row r="76" spans="2:16" ht="15.75" customHeight="1" x14ac:dyDescent="0.2">
      <c r="B76" s="25" t="s">
        <v>854</v>
      </c>
      <c r="C76" s="25" t="s">
        <v>855</v>
      </c>
      <c r="D76" s="25" t="s">
        <v>209</v>
      </c>
      <c r="E76" s="26">
        <v>48599</v>
      </c>
      <c r="F76" s="27">
        <v>500.16</v>
      </c>
      <c r="G76" s="28">
        <v>5.4999999999999997E-3</v>
      </c>
      <c r="H76" s="29"/>
    </row>
    <row r="77" spans="2:16" ht="15.75" customHeight="1" x14ac:dyDescent="0.2">
      <c r="B77" s="25" t="s">
        <v>625</v>
      </c>
      <c r="C77" s="25" t="s">
        <v>626</v>
      </c>
      <c r="D77" s="25" t="s">
        <v>309</v>
      </c>
      <c r="E77" s="26">
        <v>34194</v>
      </c>
      <c r="F77" s="27">
        <v>493.4</v>
      </c>
      <c r="G77" s="28">
        <v>5.4999999999999997E-3</v>
      </c>
      <c r="H77" s="29"/>
    </row>
    <row r="78" spans="2:16" ht="15.75" customHeight="1" x14ac:dyDescent="0.2">
      <c r="B78" s="25" t="s">
        <v>705</v>
      </c>
      <c r="C78" s="25" t="s">
        <v>706</v>
      </c>
      <c r="D78" s="25" t="s">
        <v>355</v>
      </c>
      <c r="E78" s="26">
        <v>70971</v>
      </c>
      <c r="F78" s="27">
        <v>452.23</v>
      </c>
      <c r="G78" s="28">
        <v>5.0000000000000001E-3</v>
      </c>
      <c r="H78" s="29"/>
      <c r="L78" s="7"/>
      <c r="M78" s="7"/>
      <c r="N78" s="7"/>
      <c r="O78" s="7"/>
      <c r="P78" s="7"/>
    </row>
    <row r="79" spans="2:16" ht="15.75" customHeight="1" x14ac:dyDescent="0.2">
      <c r="B79" s="25" t="s">
        <v>562</v>
      </c>
      <c r="C79" s="25" t="s">
        <v>563</v>
      </c>
      <c r="D79" s="25" t="s">
        <v>206</v>
      </c>
      <c r="E79" s="26">
        <v>37389</v>
      </c>
      <c r="F79" s="27">
        <v>425.9</v>
      </c>
      <c r="G79" s="28">
        <v>4.7000000000000002E-3</v>
      </c>
      <c r="H79" s="29"/>
      <c r="L79" s="7"/>
      <c r="M79" s="7"/>
      <c r="N79" s="7"/>
      <c r="O79" s="7"/>
      <c r="P79" s="7"/>
    </row>
    <row r="80" spans="2:16" ht="15.75" customHeight="1" x14ac:dyDescent="0.2">
      <c r="B80" s="25" t="s">
        <v>856</v>
      </c>
      <c r="C80" s="25" t="s">
        <v>857</v>
      </c>
      <c r="D80" s="25" t="s">
        <v>174</v>
      </c>
      <c r="E80" s="26">
        <v>26444</v>
      </c>
      <c r="F80" s="27">
        <v>49.52</v>
      </c>
      <c r="G80" s="28">
        <v>5.0000000000000001E-4</v>
      </c>
      <c r="H80" s="29"/>
      <c r="L80" s="7"/>
      <c r="M80" s="7"/>
      <c r="N80" s="7"/>
      <c r="O80" s="7"/>
      <c r="P80" s="7"/>
    </row>
    <row r="81" spans="2:16" ht="15.75" customHeight="1" x14ac:dyDescent="0.2">
      <c r="B81" s="25" t="s">
        <v>340</v>
      </c>
      <c r="C81" s="25" t="s">
        <v>341</v>
      </c>
      <c r="D81" s="25" t="s">
        <v>285</v>
      </c>
      <c r="E81" s="26">
        <v>2460</v>
      </c>
      <c r="F81" s="27">
        <v>23.39</v>
      </c>
      <c r="G81" s="28">
        <v>2.9999999999999997E-4</v>
      </c>
      <c r="H81" s="29"/>
      <c r="L81" s="7"/>
      <c r="M81" s="7"/>
      <c r="N81" s="7"/>
      <c r="O81" s="7"/>
      <c r="P81" s="7"/>
    </row>
    <row r="82" spans="2:16" ht="15.75" customHeight="1" x14ac:dyDescent="0.2">
      <c r="B82" s="24" t="s">
        <v>98</v>
      </c>
      <c r="C82" s="24"/>
      <c r="D82" s="24"/>
      <c r="E82" s="30"/>
      <c r="F82" s="31">
        <v>85679.679999999993</v>
      </c>
      <c r="G82" s="32">
        <v>0.94979999999999998</v>
      </c>
      <c r="H82" s="33"/>
      <c r="L82" s="7"/>
      <c r="M82" s="7"/>
      <c r="N82" s="7"/>
      <c r="O82" s="7"/>
      <c r="P82" s="7"/>
    </row>
    <row r="83" spans="2:16" ht="15.75" customHeight="1" x14ac:dyDescent="0.2">
      <c r="B83" s="24" t="s">
        <v>150</v>
      </c>
      <c r="C83" s="25"/>
      <c r="D83" s="25"/>
      <c r="E83" s="26"/>
      <c r="F83" s="27"/>
      <c r="G83" s="28"/>
      <c r="H83" s="29"/>
      <c r="L83" s="7"/>
      <c r="M83" s="7"/>
      <c r="N83" s="7"/>
      <c r="O83" s="7"/>
      <c r="P83" s="7"/>
    </row>
    <row r="84" spans="2:16" ht="15.75" customHeight="1" x14ac:dyDescent="0.2">
      <c r="B84" s="24" t="s">
        <v>98</v>
      </c>
      <c r="C84" s="25"/>
      <c r="D84" s="25"/>
      <c r="E84" s="26"/>
      <c r="F84" s="34" t="s">
        <v>100</v>
      </c>
      <c r="G84" s="35" t="s">
        <v>100</v>
      </c>
      <c r="H84" s="29"/>
      <c r="L84" s="7"/>
      <c r="M84" s="7"/>
      <c r="N84" s="7"/>
      <c r="O84" s="7"/>
      <c r="P84" s="7"/>
    </row>
    <row r="85" spans="2:16" ht="15.75" customHeight="1" x14ac:dyDescent="0.2">
      <c r="B85" s="25"/>
      <c r="C85" s="25"/>
      <c r="D85" s="25"/>
      <c r="E85" s="26"/>
      <c r="F85" s="27"/>
      <c r="G85" s="28"/>
      <c r="H85" s="29"/>
    </row>
    <row r="86" spans="2:16" ht="15.75" customHeight="1" x14ac:dyDescent="0.2">
      <c r="B86" s="36" t="s">
        <v>102</v>
      </c>
      <c r="C86" s="36"/>
      <c r="D86" s="36"/>
      <c r="E86" s="37"/>
      <c r="F86" s="31">
        <v>85679.679999999993</v>
      </c>
      <c r="G86" s="32">
        <v>0.94979999999999998</v>
      </c>
      <c r="H86" s="33"/>
      <c r="L86" s="3"/>
    </row>
    <row r="87" spans="2:16" ht="15.75" customHeight="1" x14ac:dyDescent="0.2">
      <c r="B87" s="25"/>
      <c r="C87" s="25"/>
      <c r="D87" s="25"/>
      <c r="E87" s="26"/>
      <c r="F87" s="27"/>
      <c r="G87" s="28"/>
      <c r="H87" s="29"/>
    </row>
    <row r="88" spans="2:16" ht="15.75" customHeight="1" x14ac:dyDescent="0.2">
      <c r="B88" s="25"/>
      <c r="C88" s="25"/>
      <c r="D88" s="25"/>
      <c r="E88" s="26"/>
      <c r="F88" s="27"/>
      <c r="G88" s="28"/>
      <c r="H88" s="29"/>
    </row>
    <row r="89" spans="2:16" ht="15.75" customHeight="1" x14ac:dyDescent="0.2">
      <c r="B89" s="24" t="s">
        <v>105</v>
      </c>
      <c r="C89" s="25"/>
      <c r="D89" s="25"/>
      <c r="E89" s="26"/>
      <c r="F89" s="27"/>
      <c r="G89" s="28"/>
      <c r="H89" s="29"/>
    </row>
    <row r="90" spans="2:16" ht="15.75" customHeight="1" x14ac:dyDescent="0.2">
      <c r="B90" s="25" t="s">
        <v>106</v>
      </c>
      <c r="C90" s="25"/>
      <c r="D90" s="25"/>
      <c r="E90" s="26"/>
      <c r="F90" s="27">
        <v>4976.07</v>
      </c>
      <c r="G90" s="28">
        <v>5.5199999999999999E-2</v>
      </c>
      <c r="H90" s="29"/>
    </row>
    <row r="91" spans="2:16" ht="15.75" customHeight="1" x14ac:dyDescent="0.2">
      <c r="B91" s="24" t="s">
        <v>98</v>
      </c>
      <c r="C91" s="24"/>
      <c r="D91" s="24"/>
      <c r="E91" s="30"/>
      <c r="F91" s="31">
        <v>4976.07</v>
      </c>
      <c r="G91" s="32">
        <v>5.5199999999999999E-2</v>
      </c>
      <c r="H91" s="33"/>
    </row>
    <row r="92" spans="2:16" ht="15.75" customHeight="1" x14ac:dyDescent="0.2">
      <c r="B92" s="25"/>
      <c r="C92" s="25"/>
      <c r="D92" s="25"/>
      <c r="E92" s="26"/>
      <c r="F92" s="27"/>
      <c r="G92" s="28"/>
      <c r="H92" s="29"/>
    </row>
    <row r="93" spans="2:16" ht="15.75" customHeight="1" x14ac:dyDescent="0.2">
      <c r="B93" s="36" t="s">
        <v>102</v>
      </c>
      <c r="C93" s="36"/>
      <c r="D93" s="36"/>
      <c r="E93" s="37"/>
      <c r="F93" s="31">
        <v>4976.07</v>
      </c>
      <c r="G93" s="32">
        <v>5.5199999999999999E-2</v>
      </c>
      <c r="H93" s="33"/>
    </row>
    <row r="94" spans="2:16" ht="15.75" customHeight="1" x14ac:dyDescent="0.2">
      <c r="B94" s="25" t="s">
        <v>107</v>
      </c>
      <c r="C94" s="25"/>
      <c r="D94" s="25"/>
      <c r="E94" s="26"/>
      <c r="F94" s="38">
        <v>-450.19</v>
      </c>
      <c r="G94" s="39">
        <v>-4.9999999999998934E-3</v>
      </c>
      <c r="H94" s="29"/>
    </row>
    <row r="95" spans="2:16" ht="15.75" customHeight="1" x14ac:dyDescent="0.2">
      <c r="B95" s="40" t="s">
        <v>108</v>
      </c>
      <c r="C95" s="40"/>
      <c r="D95" s="40"/>
      <c r="E95" s="41"/>
      <c r="F95" s="42">
        <v>90205.56</v>
      </c>
      <c r="G95" s="43">
        <v>1</v>
      </c>
      <c r="H95" s="44"/>
    </row>
    <row r="96" spans="2:16" ht="15.75" customHeight="1" thickBot="1" x14ac:dyDescent="0.25">
      <c r="B96" s="2"/>
    </row>
    <row r="97" spans="2:8" ht="27" customHeight="1" thickBot="1" x14ac:dyDescent="0.25">
      <c r="B97" s="57" t="s">
        <v>925</v>
      </c>
      <c r="C97" s="58" t="s">
        <v>926</v>
      </c>
      <c r="D97" s="58" t="s">
        <v>927</v>
      </c>
      <c r="E97" s="63" t="s">
        <v>928</v>
      </c>
      <c r="G97" s="2"/>
      <c r="H97" s="2"/>
    </row>
    <row r="98" spans="2:8" ht="27.75" customHeight="1" x14ac:dyDescent="0.2">
      <c r="B98" s="70" t="s">
        <v>22</v>
      </c>
      <c r="C98" s="82"/>
      <c r="D98" s="85" t="s">
        <v>1003</v>
      </c>
      <c r="E98" s="87"/>
      <c r="G98" s="2"/>
      <c r="H98" s="2"/>
    </row>
    <row r="99" spans="2:8" ht="31.5" customHeight="1" x14ac:dyDescent="0.2">
      <c r="B99" s="66" t="s">
        <v>1001</v>
      </c>
      <c r="C99" s="83"/>
      <c r="D99" s="86"/>
      <c r="E99" s="83"/>
      <c r="G99" s="2"/>
      <c r="H99" s="2"/>
    </row>
    <row r="100" spans="2:8" ht="39.950000000000003" customHeight="1" x14ac:dyDescent="0.2">
      <c r="B100" s="66" t="s">
        <v>1004</v>
      </c>
      <c r="C100" s="83"/>
      <c r="D100" s="86"/>
      <c r="E100" s="83"/>
      <c r="G100" s="2"/>
      <c r="H100" s="2"/>
    </row>
    <row r="101" spans="2:8" ht="21.75" customHeight="1" thickBot="1" x14ac:dyDescent="0.25">
      <c r="B101" s="68" t="s">
        <v>953</v>
      </c>
      <c r="C101" s="84"/>
      <c r="D101" s="71" t="s">
        <v>953</v>
      </c>
      <c r="E101" s="88"/>
      <c r="G101" s="2"/>
      <c r="H101" s="2"/>
    </row>
    <row r="102" spans="2:8" ht="24.95" customHeight="1" x14ac:dyDescent="0.2">
      <c r="B102" s="59" t="s">
        <v>929</v>
      </c>
      <c r="C102" s="60"/>
      <c r="D102" s="61"/>
      <c r="E102" s="62"/>
      <c r="G102" s="2"/>
      <c r="H102" s="2"/>
    </row>
    <row r="104" spans="2:8" ht="12" x14ac:dyDescent="0.2">
      <c r="B104" s="2" t="s">
        <v>930</v>
      </c>
      <c r="C104" s="2"/>
      <c r="D104" s="2"/>
      <c r="G104" s="2"/>
      <c r="H104" s="2"/>
    </row>
    <row r="105" spans="2:8" ht="12" x14ac:dyDescent="0.2">
      <c r="B105" s="3" t="s">
        <v>931</v>
      </c>
      <c r="C105" s="2"/>
      <c r="D105" s="2"/>
      <c r="G105" s="2"/>
      <c r="H105" s="2"/>
    </row>
  </sheetData>
  <mergeCells count="3">
    <mergeCell ref="C98:C101"/>
    <mergeCell ref="D98:D100"/>
    <mergeCell ref="E98:E101"/>
  </mergeCells>
  <hyperlinks>
    <hyperlink ref="I1" location="'Sheet1'!A1" display="Index" xr:uid="{4B45698B-C3D1-496A-A42E-B315E81ACE4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D8438-8D4F-44BC-9F23-8347AC03AFF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7.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1005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207</v>
      </c>
      <c r="C7" s="25" t="s">
        <v>208</v>
      </c>
      <c r="D7" s="25" t="s">
        <v>209</v>
      </c>
      <c r="E7" s="26">
        <v>8901</v>
      </c>
      <c r="F7" s="27">
        <v>345.52</v>
      </c>
      <c r="G7" s="28">
        <v>4.8500000000000001E-2</v>
      </c>
      <c r="H7" s="29"/>
    </row>
    <row r="8" spans="2:9" ht="15.75" customHeight="1" x14ac:dyDescent="0.2">
      <c r="B8" s="25" t="s">
        <v>186</v>
      </c>
      <c r="C8" s="25" t="s">
        <v>187</v>
      </c>
      <c r="D8" s="25" t="s">
        <v>188</v>
      </c>
      <c r="E8" s="26">
        <v>144564</v>
      </c>
      <c r="F8" s="27">
        <v>296.5</v>
      </c>
      <c r="G8" s="28">
        <v>4.1599999999999998E-2</v>
      </c>
      <c r="H8" s="29"/>
    </row>
    <row r="9" spans="2:9" ht="15.75" customHeight="1" x14ac:dyDescent="0.2">
      <c r="B9" s="25" t="s">
        <v>830</v>
      </c>
      <c r="C9" s="25" t="s">
        <v>831</v>
      </c>
      <c r="D9" s="25" t="s">
        <v>179</v>
      </c>
      <c r="E9" s="26">
        <v>11101</v>
      </c>
      <c r="F9" s="27">
        <v>270.70999999999998</v>
      </c>
      <c r="G9" s="28">
        <v>3.7999999999999999E-2</v>
      </c>
      <c r="H9" s="29"/>
    </row>
    <row r="10" spans="2:9" ht="15.75" customHeight="1" x14ac:dyDescent="0.2">
      <c r="B10" s="25" t="s">
        <v>228</v>
      </c>
      <c r="C10" s="25" t="s">
        <v>229</v>
      </c>
      <c r="D10" s="25" t="s">
        <v>230</v>
      </c>
      <c r="E10" s="26">
        <v>67809</v>
      </c>
      <c r="F10" s="27">
        <v>252.08</v>
      </c>
      <c r="G10" s="28">
        <v>3.5400000000000001E-2</v>
      </c>
      <c r="H10" s="29"/>
    </row>
    <row r="11" spans="2:9" ht="15.75" customHeight="1" x14ac:dyDescent="0.2">
      <c r="B11" s="25" t="s">
        <v>212</v>
      </c>
      <c r="C11" s="25" t="s">
        <v>213</v>
      </c>
      <c r="D11" s="25" t="s">
        <v>138</v>
      </c>
      <c r="E11" s="26">
        <v>146756</v>
      </c>
      <c r="F11" s="27">
        <v>242.95</v>
      </c>
      <c r="G11" s="28">
        <v>3.4099999999999998E-2</v>
      </c>
      <c r="H11" s="29"/>
    </row>
    <row r="12" spans="2:9" ht="15.75" customHeight="1" x14ac:dyDescent="0.2">
      <c r="B12" s="25" t="s">
        <v>703</v>
      </c>
      <c r="C12" s="25" t="s">
        <v>704</v>
      </c>
      <c r="D12" s="25" t="s">
        <v>188</v>
      </c>
      <c r="E12" s="26">
        <v>7556</v>
      </c>
      <c r="F12" s="27">
        <v>233.03</v>
      </c>
      <c r="G12" s="28">
        <v>3.27E-2</v>
      </c>
      <c r="H12" s="29"/>
    </row>
    <row r="13" spans="2:9" ht="15.75" customHeight="1" x14ac:dyDescent="0.2">
      <c r="B13" s="25" t="s">
        <v>858</v>
      </c>
      <c r="C13" s="25" t="s">
        <v>859</v>
      </c>
      <c r="D13" s="25" t="s">
        <v>240</v>
      </c>
      <c r="E13" s="26">
        <v>25693</v>
      </c>
      <c r="F13" s="27">
        <v>231.55</v>
      </c>
      <c r="G13" s="28">
        <v>3.2500000000000001E-2</v>
      </c>
      <c r="H13" s="29"/>
    </row>
    <row r="14" spans="2:9" ht="15.75" customHeight="1" x14ac:dyDescent="0.2">
      <c r="B14" s="25" t="s">
        <v>392</v>
      </c>
      <c r="C14" s="25" t="s">
        <v>393</v>
      </c>
      <c r="D14" s="25" t="s">
        <v>144</v>
      </c>
      <c r="E14" s="26">
        <v>9357</v>
      </c>
      <c r="F14" s="27">
        <v>200.16</v>
      </c>
      <c r="G14" s="28">
        <v>2.81E-2</v>
      </c>
      <c r="H14" s="29"/>
    </row>
    <row r="15" spans="2:9" ht="15.75" customHeight="1" x14ac:dyDescent="0.2">
      <c r="B15" s="25" t="s">
        <v>175</v>
      </c>
      <c r="C15" s="25" t="s">
        <v>176</v>
      </c>
      <c r="D15" s="25" t="s">
        <v>130</v>
      </c>
      <c r="E15" s="26">
        <v>74702</v>
      </c>
      <c r="F15" s="27">
        <v>198.3</v>
      </c>
      <c r="G15" s="28">
        <v>2.7799999999999998E-2</v>
      </c>
      <c r="H15" s="29"/>
    </row>
    <row r="16" spans="2:9" ht="15.75" customHeight="1" x14ac:dyDescent="0.2">
      <c r="B16" s="25" t="s">
        <v>860</v>
      </c>
      <c r="C16" s="25" t="s">
        <v>861</v>
      </c>
      <c r="D16" s="25" t="s">
        <v>476</v>
      </c>
      <c r="E16" s="26">
        <v>107527</v>
      </c>
      <c r="F16" s="27">
        <v>195.97</v>
      </c>
      <c r="G16" s="28">
        <v>2.75E-2</v>
      </c>
      <c r="H16" s="29"/>
    </row>
    <row r="17" spans="2:8" ht="15.75" customHeight="1" x14ac:dyDescent="0.2">
      <c r="B17" s="25" t="s">
        <v>223</v>
      </c>
      <c r="C17" s="25" t="s">
        <v>224</v>
      </c>
      <c r="D17" s="25" t="s">
        <v>225</v>
      </c>
      <c r="E17" s="26">
        <v>15218</v>
      </c>
      <c r="F17" s="27">
        <v>191.4</v>
      </c>
      <c r="G17" s="28">
        <v>2.69E-2</v>
      </c>
      <c r="H17" s="29"/>
    </row>
    <row r="18" spans="2:8" ht="15.75" customHeight="1" x14ac:dyDescent="0.2">
      <c r="B18" s="25" t="s">
        <v>623</v>
      </c>
      <c r="C18" s="25" t="s">
        <v>624</v>
      </c>
      <c r="D18" s="25" t="s">
        <v>171</v>
      </c>
      <c r="E18" s="26">
        <v>5724</v>
      </c>
      <c r="F18" s="27">
        <v>180.61</v>
      </c>
      <c r="G18" s="28">
        <v>2.53E-2</v>
      </c>
      <c r="H18" s="29"/>
    </row>
    <row r="19" spans="2:8" ht="15.75" customHeight="1" x14ac:dyDescent="0.2">
      <c r="B19" s="25" t="s">
        <v>862</v>
      </c>
      <c r="C19" s="25" t="s">
        <v>863</v>
      </c>
      <c r="D19" s="25" t="s">
        <v>285</v>
      </c>
      <c r="E19" s="26">
        <v>29307</v>
      </c>
      <c r="F19" s="27">
        <v>177.57</v>
      </c>
      <c r="G19" s="28">
        <v>2.4899999999999999E-2</v>
      </c>
      <c r="H19" s="29"/>
    </row>
    <row r="20" spans="2:8" ht="15.75" customHeight="1" x14ac:dyDescent="0.2">
      <c r="B20" s="25" t="s">
        <v>864</v>
      </c>
      <c r="C20" s="25" t="s">
        <v>865</v>
      </c>
      <c r="D20" s="25" t="s">
        <v>282</v>
      </c>
      <c r="E20" s="26">
        <v>10283</v>
      </c>
      <c r="F20" s="27">
        <v>176.02</v>
      </c>
      <c r="G20" s="28">
        <v>2.47E-2</v>
      </c>
      <c r="H20" s="29"/>
    </row>
    <row r="21" spans="2:8" ht="15.75" customHeight="1" x14ac:dyDescent="0.2">
      <c r="B21" s="25" t="s">
        <v>548</v>
      </c>
      <c r="C21" s="25" t="s">
        <v>549</v>
      </c>
      <c r="D21" s="25" t="s">
        <v>179</v>
      </c>
      <c r="E21" s="26">
        <v>16125</v>
      </c>
      <c r="F21" s="27">
        <v>175.63</v>
      </c>
      <c r="G21" s="28">
        <v>2.46E-2</v>
      </c>
      <c r="H21" s="29"/>
    </row>
    <row r="22" spans="2:8" ht="15.75" customHeight="1" x14ac:dyDescent="0.2">
      <c r="B22" s="25" t="s">
        <v>373</v>
      </c>
      <c r="C22" s="25" t="s">
        <v>374</v>
      </c>
      <c r="D22" s="25" t="s">
        <v>355</v>
      </c>
      <c r="E22" s="26">
        <v>3565</v>
      </c>
      <c r="F22" s="27">
        <v>166.82</v>
      </c>
      <c r="G22" s="28">
        <v>2.3400000000000001E-2</v>
      </c>
      <c r="H22" s="29"/>
    </row>
    <row r="23" spans="2:8" ht="15.75" customHeight="1" x14ac:dyDescent="0.2">
      <c r="B23" s="25" t="s">
        <v>220</v>
      </c>
      <c r="C23" s="25" t="s">
        <v>221</v>
      </c>
      <c r="D23" s="25" t="s">
        <v>222</v>
      </c>
      <c r="E23" s="26">
        <v>6058</v>
      </c>
      <c r="F23" s="27">
        <v>165.75</v>
      </c>
      <c r="G23" s="28">
        <v>2.3300000000000001E-2</v>
      </c>
      <c r="H23" s="29"/>
    </row>
    <row r="24" spans="2:8" ht="15.75" customHeight="1" x14ac:dyDescent="0.2">
      <c r="B24" s="25" t="s">
        <v>538</v>
      </c>
      <c r="C24" s="25" t="s">
        <v>539</v>
      </c>
      <c r="D24" s="25" t="s">
        <v>209</v>
      </c>
      <c r="E24" s="26">
        <v>3126</v>
      </c>
      <c r="F24" s="27">
        <v>164.67</v>
      </c>
      <c r="G24" s="28">
        <v>2.3099999999999999E-2</v>
      </c>
      <c r="H24" s="29"/>
    </row>
    <row r="25" spans="2:8" ht="15.75" customHeight="1" x14ac:dyDescent="0.2">
      <c r="B25" s="25" t="s">
        <v>233</v>
      </c>
      <c r="C25" s="25" t="s">
        <v>234</v>
      </c>
      <c r="D25" s="25" t="s">
        <v>206</v>
      </c>
      <c r="E25" s="26">
        <v>10070</v>
      </c>
      <c r="F25" s="27">
        <v>154.21</v>
      </c>
      <c r="G25" s="28">
        <v>2.1600000000000001E-2</v>
      </c>
      <c r="H25" s="29"/>
    </row>
    <row r="26" spans="2:8" ht="15.75" customHeight="1" x14ac:dyDescent="0.2">
      <c r="B26" s="25" t="s">
        <v>231</v>
      </c>
      <c r="C26" s="25" t="s">
        <v>232</v>
      </c>
      <c r="D26" s="25" t="s">
        <v>130</v>
      </c>
      <c r="E26" s="26">
        <v>26657</v>
      </c>
      <c r="F26" s="27">
        <v>150.47</v>
      </c>
      <c r="G26" s="28">
        <v>2.1100000000000001E-2</v>
      </c>
      <c r="H26" s="29"/>
    </row>
    <row r="27" spans="2:8" ht="15.75" customHeight="1" x14ac:dyDescent="0.2">
      <c r="B27" s="25" t="s">
        <v>351</v>
      </c>
      <c r="C27" s="25" t="s">
        <v>352</v>
      </c>
      <c r="D27" s="25" t="s">
        <v>209</v>
      </c>
      <c r="E27" s="26">
        <v>89149</v>
      </c>
      <c r="F27" s="27">
        <v>147.5</v>
      </c>
      <c r="G27" s="28">
        <v>2.07E-2</v>
      </c>
      <c r="H27" s="29"/>
    </row>
    <row r="28" spans="2:8" ht="15.75" customHeight="1" x14ac:dyDescent="0.2">
      <c r="B28" s="25" t="s">
        <v>180</v>
      </c>
      <c r="C28" s="25" t="s">
        <v>181</v>
      </c>
      <c r="D28" s="25" t="s">
        <v>182</v>
      </c>
      <c r="E28" s="26">
        <v>54259</v>
      </c>
      <c r="F28" s="27">
        <v>145.44</v>
      </c>
      <c r="G28" s="28">
        <v>2.0400000000000001E-2</v>
      </c>
      <c r="H28" s="29"/>
    </row>
    <row r="29" spans="2:8" ht="15.75" customHeight="1" x14ac:dyDescent="0.2">
      <c r="B29" s="25" t="s">
        <v>866</v>
      </c>
      <c r="C29" s="25" t="s">
        <v>867</v>
      </c>
      <c r="D29" s="25" t="s">
        <v>130</v>
      </c>
      <c r="E29" s="26">
        <v>118263</v>
      </c>
      <c r="F29" s="27">
        <v>144.1</v>
      </c>
      <c r="G29" s="28">
        <v>2.0199999999999999E-2</v>
      </c>
      <c r="H29" s="29"/>
    </row>
    <row r="30" spans="2:8" ht="15.75" customHeight="1" x14ac:dyDescent="0.2">
      <c r="B30" s="25" t="s">
        <v>278</v>
      </c>
      <c r="C30" s="25" t="s">
        <v>279</v>
      </c>
      <c r="D30" s="25" t="s">
        <v>222</v>
      </c>
      <c r="E30" s="26">
        <v>5869</v>
      </c>
      <c r="F30" s="27">
        <v>140.25</v>
      </c>
      <c r="G30" s="28">
        <v>1.9699999999999999E-2</v>
      </c>
      <c r="H30" s="29"/>
    </row>
    <row r="31" spans="2:8" ht="15.75" customHeight="1" x14ac:dyDescent="0.2">
      <c r="B31" s="25" t="s">
        <v>868</v>
      </c>
      <c r="C31" s="25" t="s">
        <v>869</v>
      </c>
      <c r="D31" s="25" t="s">
        <v>285</v>
      </c>
      <c r="E31" s="26">
        <v>533</v>
      </c>
      <c r="F31" s="27">
        <v>135.94</v>
      </c>
      <c r="G31" s="28">
        <v>1.9099999999999999E-2</v>
      </c>
      <c r="H31" s="29"/>
    </row>
    <row r="32" spans="2:8" ht="15.75" customHeight="1" x14ac:dyDescent="0.2">
      <c r="B32" s="25" t="s">
        <v>870</v>
      </c>
      <c r="C32" s="25" t="s">
        <v>871</v>
      </c>
      <c r="D32" s="25" t="s">
        <v>387</v>
      </c>
      <c r="E32" s="26">
        <v>11621</v>
      </c>
      <c r="F32" s="27">
        <v>135.47999999999999</v>
      </c>
      <c r="G32" s="28">
        <v>1.9E-2</v>
      </c>
      <c r="H32" s="29"/>
    </row>
    <row r="33" spans="2:8" ht="15.75" customHeight="1" x14ac:dyDescent="0.2">
      <c r="B33" s="25" t="s">
        <v>872</v>
      </c>
      <c r="C33" s="25" t="s">
        <v>873</v>
      </c>
      <c r="D33" s="25" t="s">
        <v>225</v>
      </c>
      <c r="E33" s="26">
        <v>5352</v>
      </c>
      <c r="F33" s="27">
        <v>135.22999999999999</v>
      </c>
      <c r="G33" s="28">
        <v>1.9E-2</v>
      </c>
      <c r="H33" s="29"/>
    </row>
    <row r="34" spans="2:8" ht="15.75" customHeight="1" x14ac:dyDescent="0.2">
      <c r="B34" s="25" t="s">
        <v>579</v>
      </c>
      <c r="C34" s="25" t="s">
        <v>580</v>
      </c>
      <c r="D34" s="25" t="s">
        <v>225</v>
      </c>
      <c r="E34" s="26">
        <v>23570</v>
      </c>
      <c r="F34" s="27">
        <v>126.84</v>
      </c>
      <c r="G34" s="28">
        <v>1.78E-2</v>
      </c>
      <c r="H34" s="29"/>
    </row>
    <row r="35" spans="2:8" ht="15.75" customHeight="1" x14ac:dyDescent="0.2">
      <c r="B35" s="25" t="s">
        <v>318</v>
      </c>
      <c r="C35" s="25" t="s">
        <v>319</v>
      </c>
      <c r="D35" s="25" t="s">
        <v>320</v>
      </c>
      <c r="E35" s="26">
        <v>3227</v>
      </c>
      <c r="F35" s="27">
        <v>118.52</v>
      </c>
      <c r="G35" s="28">
        <v>1.66E-2</v>
      </c>
      <c r="H35" s="29"/>
    </row>
    <row r="36" spans="2:8" ht="15.75" customHeight="1" x14ac:dyDescent="0.2">
      <c r="B36" s="25" t="s">
        <v>874</v>
      </c>
      <c r="C36" s="25" t="s">
        <v>875</v>
      </c>
      <c r="D36" s="25" t="s">
        <v>355</v>
      </c>
      <c r="E36" s="26">
        <v>2100</v>
      </c>
      <c r="F36" s="27">
        <v>114.34</v>
      </c>
      <c r="G36" s="28">
        <v>1.6E-2</v>
      </c>
      <c r="H36" s="29"/>
    </row>
    <row r="37" spans="2:8" ht="15.75" customHeight="1" x14ac:dyDescent="0.2">
      <c r="B37" s="25" t="s">
        <v>247</v>
      </c>
      <c r="C37" s="25" t="s">
        <v>248</v>
      </c>
      <c r="D37" s="25" t="s">
        <v>237</v>
      </c>
      <c r="E37" s="26">
        <v>95677</v>
      </c>
      <c r="F37" s="27">
        <v>114.05</v>
      </c>
      <c r="G37" s="28">
        <v>1.6E-2</v>
      </c>
      <c r="H37" s="29"/>
    </row>
    <row r="38" spans="2:8" ht="15.75" customHeight="1" x14ac:dyDescent="0.2">
      <c r="B38" s="25" t="s">
        <v>385</v>
      </c>
      <c r="C38" s="25" t="s">
        <v>386</v>
      </c>
      <c r="D38" s="25" t="s">
        <v>387</v>
      </c>
      <c r="E38" s="26">
        <v>8093</v>
      </c>
      <c r="F38" s="27">
        <v>113.99</v>
      </c>
      <c r="G38" s="28">
        <v>1.6E-2</v>
      </c>
      <c r="H38" s="29"/>
    </row>
    <row r="39" spans="2:8" ht="15.75" customHeight="1" x14ac:dyDescent="0.2">
      <c r="B39" s="25" t="s">
        <v>360</v>
      </c>
      <c r="C39" s="25" t="s">
        <v>361</v>
      </c>
      <c r="D39" s="25" t="s">
        <v>362</v>
      </c>
      <c r="E39" s="26">
        <v>12243</v>
      </c>
      <c r="F39" s="27">
        <v>113.54</v>
      </c>
      <c r="G39" s="28">
        <v>1.5900000000000001E-2</v>
      </c>
      <c r="H39" s="29"/>
    </row>
    <row r="40" spans="2:8" ht="15.75" customHeight="1" x14ac:dyDescent="0.2">
      <c r="B40" s="25" t="s">
        <v>189</v>
      </c>
      <c r="C40" s="25" t="s">
        <v>190</v>
      </c>
      <c r="D40" s="25" t="s">
        <v>191</v>
      </c>
      <c r="E40" s="26">
        <v>14583</v>
      </c>
      <c r="F40" s="27">
        <v>113.2</v>
      </c>
      <c r="G40" s="28">
        <v>1.5900000000000001E-2</v>
      </c>
      <c r="H40" s="29"/>
    </row>
    <row r="41" spans="2:8" ht="15.75" customHeight="1" x14ac:dyDescent="0.2">
      <c r="B41" s="25" t="s">
        <v>876</v>
      </c>
      <c r="C41" s="25" t="s">
        <v>877</v>
      </c>
      <c r="D41" s="25" t="s">
        <v>230</v>
      </c>
      <c r="E41" s="26">
        <v>5962</v>
      </c>
      <c r="F41" s="27">
        <v>112.98</v>
      </c>
      <c r="G41" s="28">
        <v>1.5900000000000001E-2</v>
      </c>
      <c r="H41" s="29"/>
    </row>
    <row r="42" spans="2:8" ht="15.75" customHeight="1" x14ac:dyDescent="0.2">
      <c r="B42" s="25" t="s">
        <v>878</v>
      </c>
      <c r="C42" s="25" t="s">
        <v>879</v>
      </c>
      <c r="D42" s="25" t="s">
        <v>578</v>
      </c>
      <c r="E42" s="26">
        <v>20762</v>
      </c>
      <c r="F42" s="27">
        <v>108.5</v>
      </c>
      <c r="G42" s="28">
        <v>1.52E-2</v>
      </c>
      <c r="H42" s="29"/>
    </row>
    <row r="43" spans="2:8" ht="15.75" customHeight="1" x14ac:dyDescent="0.2">
      <c r="B43" s="25" t="s">
        <v>880</v>
      </c>
      <c r="C43" s="25" t="s">
        <v>881</v>
      </c>
      <c r="D43" s="25" t="s">
        <v>237</v>
      </c>
      <c r="E43" s="26">
        <v>343</v>
      </c>
      <c r="F43" s="27">
        <v>98.07</v>
      </c>
      <c r="G43" s="28">
        <v>1.38E-2</v>
      </c>
      <c r="H43" s="29"/>
    </row>
    <row r="44" spans="2:8" ht="15.75" customHeight="1" x14ac:dyDescent="0.2">
      <c r="B44" s="25" t="s">
        <v>699</v>
      </c>
      <c r="C44" s="25" t="s">
        <v>700</v>
      </c>
      <c r="D44" s="25" t="s">
        <v>209</v>
      </c>
      <c r="E44" s="26">
        <v>2497</v>
      </c>
      <c r="F44" s="27">
        <v>97.85</v>
      </c>
      <c r="G44" s="28">
        <v>1.37E-2</v>
      </c>
      <c r="H44" s="29"/>
    </row>
    <row r="45" spans="2:8" ht="15.75" customHeight="1" x14ac:dyDescent="0.2">
      <c r="B45" s="25" t="s">
        <v>508</v>
      </c>
      <c r="C45" s="25" t="s">
        <v>509</v>
      </c>
      <c r="D45" s="25" t="s">
        <v>185</v>
      </c>
      <c r="E45" s="26">
        <v>10238</v>
      </c>
      <c r="F45" s="27">
        <v>96.43</v>
      </c>
      <c r="G45" s="28">
        <v>1.35E-2</v>
      </c>
      <c r="H45" s="29"/>
    </row>
    <row r="46" spans="2:8" ht="15.75" customHeight="1" x14ac:dyDescent="0.2">
      <c r="B46" s="25" t="s">
        <v>301</v>
      </c>
      <c r="C46" s="25" t="s">
        <v>302</v>
      </c>
      <c r="D46" s="25" t="s">
        <v>185</v>
      </c>
      <c r="E46" s="26">
        <v>3612</v>
      </c>
      <c r="F46" s="27">
        <v>96.3</v>
      </c>
      <c r="G46" s="28">
        <v>1.35E-2</v>
      </c>
      <c r="H46" s="29"/>
    </row>
    <row r="47" spans="2:8" ht="15.75" customHeight="1" x14ac:dyDescent="0.2">
      <c r="B47" s="25" t="s">
        <v>882</v>
      </c>
      <c r="C47" s="25" t="s">
        <v>883</v>
      </c>
      <c r="D47" s="25" t="s">
        <v>179</v>
      </c>
      <c r="E47" s="26">
        <v>11750</v>
      </c>
      <c r="F47" s="27">
        <v>84.56</v>
      </c>
      <c r="G47" s="28">
        <v>1.1900000000000001E-2</v>
      </c>
      <c r="H47" s="29"/>
    </row>
    <row r="48" spans="2:8" ht="15.75" customHeight="1" x14ac:dyDescent="0.2">
      <c r="B48" s="25" t="s">
        <v>312</v>
      </c>
      <c r="C48" s="25" t="s">
        <v>313</v>
      </c>
      <c r="D48" s="25" t="s">
        <v>282</v>
      </c>
      <c r="E48" s="26">
        <v>15581</v>
      </c>
      <c r="F48" s="27">
        <v>82.99</v>
      </c>
      <c r="G48" s="28">
        <v>1.1599999999999999E-2</v>
      </c>
      <c r="H48" s="29"/>
    </row>
    <row r="49" spans="2:8" ht="15.75" customHeight="1" x14ac:dyDescent="0.2">
      <c r="B49" s="25" t="s">
        <v>621</v>
      </c>
      <c r="C49" s="25" t="s">
        <v>622</v>
      </c>
      <c r="D49" s="25" t="s">
        <v>206</v>
      </c>
      <c r="E49" s="26">
        <v>11127</v>
      </c>
      <c r="F49" s="27">
        <v>67.510000000000005</v>
      </c>
      <c r="G49" s="28">
        <v>9.4999999999999998E-3</v>
      </c>
      <c r="H49" s="29"/>
    </row>
    <row r="50" spans="2:8" ht="15.75" customHeight="1" x14ac:dyDescent="0.2">
      <c r="B50" s="25" t="s">
        <v>884</v>
      </c>
      <c r="C50" s="25" t="s">
        <v>885</v>
      </c>
      <c r="D50" s="25" t="s">
        <v>179</v>
      </c>
      <c r="E50" s="26">
        <v>720</v>
      </c>
      <c r="F50" s="27">
        <v>65.88</v>
      </c>
      <c r="G50" s="28">
        <v>9.1999999999999998E-3</v>
      </c>
      <c r="H50" s="29"/>
    </row>
    <row r="51" spans="2:8" ht="15.75" customHeight="1" x14ac:dyDescent="0.2">
      <c r="B51" s="25" t="s">
        <v>327</v>
      </c>
      <c r="C51" s="25" t="s">
        <v>328</v>
      </c>
      <c r="D51" s="25" t="s">
        <v>179</v>
      </c>
      <c r="E51" s="26">
        <v>4326</v>
      </c>
      <c r="F51" s="27">
        <v>56.4</v>
      </c>
      <c r="G51" s="28">
        <v>7.9000000000000008E-3</v>
      </c>
      <c r="H51" s="29"/>
    </row>
    <row r="52" spans="2:8" ht="15.75" customHeight="1" x14ac:dyDescent="0.2">
      <c r="B52" s="25" t="s">
        <v>886</v>
      </c>
      <c r="C52" s="25" t="s">
        <v>887</v>
      </c>
      <c r="D52" s="25" t="s">
        <v>230</v>
      </c>
      <c r="E52" s="26">
        <v>4885</v>
      </c>
      <c r="F52" s="27">
        <v>52.02</v>
      </c>
      <c r="G52" s="28">
        <v>7.3000000000000001E-3</v>
      </c>
      <c r="H52" s="29"/>
    </row>
    <row r="53" spans="2:8" ht="15.75" customHeight="1" x14ac:dyDescent="0.2">
      <c r="B53" s="25" t="s">
        <v>888</v>
      </c>
      <c r="C53" s="25" t="s">
        <v>889</v>
      </c>
      <c r="D53" s="25" t="s">
        <v>476</v>
      </c>
      <c r="E53" s="26">
        <v>4424</v>
      </c>
      <c r="F53" s="27">
        <v>45.37</v>
      </c>
      <c r="G53" s="28">
        <v>6.4000000000000003E-3</v>
      </c>
      <c r="H53" s="29"/>
    </row>
    <row r="54" spans="2:8" ht="15.75" customHeight="1" x14ac:dyDescent="0.2">
      <c r="B54" s="25" t="s">
        <v>890</v>
      </c>
      <c r="C54" s="25" t="s">
        <v>891</v>
      </c>
      <c r="D54" s="25" t="s">
        <v>282</v>
      </c>
      <c r="E54" s="26">
        <v>4193</v>
      </c>
      <c r="F54" s="27">
        <v>42.89</v>
      </c>
      <c r="G54" s="28">
        <v>6.0000000000000001E-3</v>
      </c>
      <c r="H54" s="29"/>
    </row>
    <row r="55" spans="2:8" ht="15.75" customHeight="1" x14ac:dyDescent="0.2">
      <c r="B55" s="25" t="s">
        <v>892</v>
      </c>
      <c r="C55" s="25" t="s">
        <v>893</v>
      </c>
      <c r="D55" s="25" t="s">
        <v>225</v>
      </c>
      <c r="E55" s="26">
        <v>158</v>
      </c>
      <c r="F55" s="27">
        <v>24.87</v>
      </c>
      <c r="G55" s="28">
        <v>3.5000000000000001E-3</v>
      </c>
      <c r="H55" s="29"/>
    </row>
    <row r="56" spans="2:8" ht="15.75" customHeight="1" x14ac:dyDescent="0.2">
      <c r="B56" s="25" t="s">
        <v>894</v>
      </c>
      <c r="C56" s="25" t="s">
        <v>895</v>
      </c>
      <c r="D56" s="25" t="s">
        <v>578</v>
      </c>
      <c r="E56" s="26">
        <v>2553</v>
      </c>
      <c r="F56" s="27">
        <v>9.74</v>
      </c>
      <c r="G56" s="28">
        <v>1.4E-3</v>
      </c>
      <c r="H56" s="29"/>
    </row>
    <row r="57" spans="2:8" ht="15.75" customHeight="1" x14ac:dyDescent="0.2">
      <c r="B57" s="24" t="s">
        <v>98</v>
      </c>
      <c r="C57" s="24"/>
      <c r="D57" s="24"/>
      <c r="E57" s="30"/>
      <c r="F57" s="31">
        <v>7110.7</v>
      </c>
      <c r="G57" s="32">
        <v>0.99760000000000004</v>
      </c>
      <c r="H57" s="33"/>
    </row>
    <row r="58" spans="2:8" ht="15.75" customHeight="1" x14ac:dyDescent="0.2">
      <c r="B58" s="24" t="s">
        <v>150</v>
      </c>
      <c r="C58" s="25"/>
      <c r="D58" s="25"/>
      <c r="E58" s="26"/>
      <c r="F58" s="27"/>
      <c r="G58" s="28"/>
      <c r="H58" s="29"/>
    </row>
    <row r="59" spans="2:8" ht="15.75" customHeight="1" x14ac:dyDescent="0.2">
      <c r="B59" s="24" t="s">
        <v>98</v>
      </c>
      <c r="C59" s="25"/>
      <c r="D59" s="25"/>
      <c r="E59" s="26"/>
      <c r="F59" s="34" t="s">
        <v>100</v>
      </c>
      <c r="G59" s="35" t="s">
        <v>100</v>
      </c>
      <c r="H59" s="29"/>
    </row>
    <row r="60" spans="2:8" ht="15.75" customHeight="1" x14ac:dyDescent="0.2">
      <c r="B60" s="25"/>
      <c r="C60" s="25"/>
      <c r="D60" s="25"/>
      <c r="E60" s="26"/>
      <c r="F60" s="27"/>
      <c r="G60" s="28"/>
      <c r="H60" s="29"/>
    </row>
    <row r="61" spans="2:8" ht="15.75" customHeight="1" x14ac:dyDescent="0.2">
      <c r="B61" s="36" t="s">
        <v>102</v>
      </c>
      <c r="C61" s="36"/>
      <c r="D61" s="36"/>
      <c r="E61" s="37"/>
      <c r="F61" s="31">
        <v>7110.7</v>
      </c>
      <c r="G61" s="32">
        <v>0.99760000000000004</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105</v>
      </c>
      <c r="C64" s="25"/>
      <c r="D64" s="25"/>
      <c r="E64" s="26"/>
      <c r="F64" s="27"/>
      <c r="G64" s="28"/>
      <c r="H64" s="29"/>
    </row>
    <row r="65" spans="2:12" ht="15.75" customHeight="1" x14ac:dyDescent="0.2">
      <c r="B65" s="25" t="s">
        <v>106</v>
      </c>
      <c r="C65" s="25"/>
      <c r="D65" s="25"/>
      <c r="E65" s="26"/>
      <c r="F65" s="27">
        <v>26.64</v>
      </c>
      <c r="G65" s="28">
        <v>3.7000000000000002E-3</v>
      </c>
      <c r="H65" s="29"/>
    </row>
    <row r="66" spans="2:12" ht="15.75" customHeight="1" x14ac:dyDescent="0.2">
      <c r="B66" s="24" t="s">
        <v>98</v>
      </c>
      <c r="C66" s="24"/>
      <c r="D66" s="24"/>
      <c r="E66" s="30"/>
      <c r="F66" s="31">
        <v>26.64</v>
      </c>
      <c r="G66" s="32">
        <v>3.7000000000000002E-3</v>
      </c>
      <c r="H66" s="33"/>
    </row>
    <row r="67" spans="2:12" ht="15.75" customHeight="1" x14ac:dyDescent="0.2">
      <c r="B67" s="25"/>
      <c r="C67" s="25"/>
      <c r="D67" s="25"/>
      <c r="E67" s="26"/>
      <c r="F67" s="27"/>
      <c r="G67" s="28"/>
      <c r="H67" s="29"/>
    </row>
    <row r="68" spans="2:12" ht="15.75" customHeight="1" x14ac:dyDescent="0.2">
      <c r="B68" s="36" t="s">
        <v>102</v>
      </c>
      <c r="C68" s="36"/>
      <c r="D68" s="36"/>
      <c r="E68" s="37"/>
      <c r="F68" s="31">
        <v>26.64</v>
      </c>
      <c r="G68" s="32">
        <v>3.7000000000000002E-3</v>
      </c>
      <c r="H68" s="33"/>
      <c r="L68" s="3"/>
    </row>
    <row r="69" spans="2:12" ht="15.75" customHeight="1" x14ac:dyDescent="0.2">
      <c r="B69" s="25" t="s">
        <v>107</v>
      </c>
      <c r="C69" s="25"/>
      <c r="D69" s="25"/>
      <c r="E69" s="26"/>
      <c r="F69" s="38">
        <v>-9.8000000000000007</v>
      </c>
      <c r="G69" s="39">
        <v>-1.3000000000000789E-3</v>
      </c>
      <c r="H69" s="29"/>
    </row>
    <row r="70" spans="2:12" ht="15.75" customHeight="1" x14ac:dyDescent="0.2">
      <c r="B70" s="40" t="s">
        <v>108</v>
      </c>
      <c r="C70" s="40"/>
      <c r="D70" s="40"/>
      <c r="E70" s="41"/>
      <c r="F70" s="42">
        <v>7127.54</v>
      </c>
      <c r="G70" s="43">
        <v>1</v>
      </c>
      <c r="H70" s="44"/>
      <c r="L70" s="3"/>
    </row>
    <row r="71" spans="2:12" ht="15.75" customHeight="1" thickBot="1" x14ac:dyDescent="0.25">
      <c r="B71" s="2"/>
      <c r="L71" s="3"/>
    </row>
    <row r="72" spans="2:12" ht="27" customHeight="1" thickBot="1" x14ac:dyDescent="0.25">
      <c r="B72" s="57" t="s">
        <v>925</v>
      </c>
      <c r="C72" s="58" t="s">
        <v>926</v>
      </c>
      <c r="D72" s="58" t="s">
        <v>927</v>
      </c>
      <c r="E72" s="63" t="s">
        <v>928</v>
      </c>
      <c r="G72" s="2"/>
      <c r="H72" s="2"/>
    </row>
    <row r="73" spans="2:12" ht="29.25" customHeight="1" x14ac:dyDescent="0.2">
      <c r="B73" s="64" t="s">
        <v>23</v>
      </c>
      <c r="C73" s="82"/>
      <c r="D73" s="85" t="s">
        <v>1006</v>
      </c>
      <c r="E73" s="87"/>
      <c r="G73" s="2"/>
      <c r="H73" s="2"/>
    </row>
    <row r="74" spans="2:12" ht="39.950000000000003" customHeight="1" x14ac:dyDescent="0.2">
      <c r="B74" s="66" t="s">
        <v>1007</v>
      </c>
      <c r="C74" s="83"/>
      <c r="D74" s="86"/>
      <c r="E74" s="83"/>
      <c r="G74" s="2"/>
      <c r="H74" s="2"/>
    </row>
    <row r="75" spans="2:12" ht="45" customHeight="1" x14ac:dyDescent="0.2">
      <c r="B75" s="66" t="s">
        <v>1008</v>
      </c>
      <c r="C75" s="83"/>
      <c r="D75" s="86"/>
      <c r="E75" s="83"/>
      <c r="G75" s="2"/>
      <c r="H75" s="2"/>
    </row>
    <row r="76" spans="2:12" ht="23.25" customHeight="1" thickBot="1" x14ac:dyDescent="0.25">
      <c r="B76" s="68" t="s">
        <v>943</v>
      </c>
      <c r="C76" s="84"/>
      <c r="D76" s="71" t="s">
        <v>943</v>
      </c>
      <c r="E76" s="88"/>
      <c r="G76" s="2"/>
      <c r="H76" s="2"/>
    </row>
    <row r="77" spans="2:12" ht="24.95" customHeight="1" x14ac:dyDescent="0.2">
      <c r="B77" s="59" t="s">
        <v>929</v>
      </c>
      <c r="C77" s="60"/>
      <c r="D77" s="61"/>
      <c r="E77" s="62"/>
      <c r="G77" s="2"/>
      <c r="H77" s="2"/>
    </row>
    <row r="79" spans="2:12" ht="12" x14ac:dyDescent="0.2">
      <c r="B79" s="2" t="s">
        <v>930</v>
      </c>
      <c r="C79" s="2"/>
      <c r="D79" s="2"/>
      <c r="G79" s="2"/>
      <c r="H79" s="2"/>
    </row>
    <row r="80" spans="2:12" ht="12" x14ac:dyDescent="0.2">
      <c r="B80" s="3" t="s">
        <v>931</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DE7D7B2F-9D79-4CE6-9B62-8FA40A83351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061E-C762-4C81-94BD-D8C1445182C0}">
  <dimension ref="B1:P131"/>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6.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24</v>
      </c>
      <c r="C1" s="1" t="s">
        <v>1009</v>
      </c>
      <c r="D1" s="1" t="s">
        <v>1010</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452333</v>
      </c>
      <c r="F7" s="27">
        <v>6348.04</v>
      </c>
      <c r="G7" s="28">
        <v>9.0399999999999994E-2</v>
      </c>
      <c r="H7" s="29"/>
    </row>
    <row r="8" spans="2:9" ht="15.75" customHeight="1" x14ac:dyDescent="0.2">
      <c r="B8" s="25" t="s">
        <v>136</v>
      </c>
      <c r="C8" s="25" t="s">
        <v>137</v>
      </c>
      <c r="D8" s="25" t="s">
        <v>138</v>
      </c>
      <c r="E8" s="26">
        <v>203878</v>
      </c>
      <c r="F8" s="27">
        <v>5956.5</v>
      </c>
      <c r="G8" s="28">
        <v>8.4900000000000003E-2</v>
      </c>
      <c r="H8" s="29"/>
    </row>
    <row r="9" spans="2:9" ht="15.75" customHeight="1" x14ac:dyDescent="0.2">
      <c r="B9" s="25" t="s">
        <v>128</v>
      </c>
      <c r="C9" s="25" t="s">
        <v>129</v>
      </c>
      <c r="D9" s="25" t="s">
        <v>130</v>
      </c>
      <c r="E9" s="26">
        <v>422882</v>
      </c>
      <c r="F9" s="27">
        <v>4449.5600000000004</v>
      </c>
      <c r="G9" s="28">
        <v>6.3399999999999998E-2</v>
      </c>
      <c r="H9" s="29"/>
    </row>
    <row r="10" spans="2:9" ht="15.75" customHeight="1" x14ac:dyDescent="0.2">
      <c r="B10" s="25" t="s">
        <v>131</v>
      </c>
      <c r="C10" s="25" t="s">
        <v>132</v>
      </c>
      <c r="D10" s="25" t="s">
        <v>133</v>
      </c>
      <c r="E10" s="26">
        <v>214345</v>
      </c>
      <c r="F10" s="27">
        <v>3587.92</v>
      </c>
      <c r="G10" s="28">
        <v>5.11E-2</v>
      </c>
      <c r="H10" s="29"/>
    </row>
    <row r="11" spans="2:9" ht="15.75" customHeight="1" x14ac:dyDescent="0.2">
      <c r="B11" s="25" t="s">
        <v>199</v>
      </c>
      <c r="C11" s="25" t="s">
        <v>200</v>
      </c>
      <c r="D11" s="25" t="s">
        <v>133</v>
      </c>
      <c r="E11" s="26">
        <v>60914</v>
      </c>
      <c r="F11" s="27">
        <v>2494.4899999999998</v>
      </c>
      <c r="G11" s="28">
        <v>3.5499999999999997E-2</v>
      </c>
      <c r="H11" s="29"/>
    </row>
    <row r="12" spans="2:9" ht="15.75" customHeight="1" x14ac:dyDescent="0.2">
      <c r="B12" s="25" t="s">
        <v>172</v>
      </c>
      <c r="C12" s="25" t="s">
        <v>173</v>
      </c>
      <c r="D12" s="25" t="s">
        <v>174</v>
      </c>
      <c r="E12" s="26">
        <v>70931</v>
      </c>
      <c r="F12" s="27">
        <v>2466.66</v>
      </c>
      <c r="G12" s="28">
        <v>3.5099999999999999E-2</v>
      </c>
      <c r="H12" s="29"/>
    </row>
    <row r="13" spans="2:9" ht="15.75" customHeight="1" x14ac:dyDescent="0.2">
      <c r="B13" s="25" t="s">
        <v>210</v>
      </c>
      <c r="C13" s="25" t="s">
        <v>211</v>
      </c>
      <c r="D13" s="25" t="s">
        <v>141</v>
      </c>
      <c r="E13" s="26">
        <v>534183</v>
      </c>
      <c r="F13" s="27">
        <v>2170.39</v>
      </c>
      <c r="G13" s="28">
        <v>3.09E-2</v>
      </c>
      <c r="H13" s="29"/>
    </row>
    <row r="14" spans="2:9" ht="15.75" customHeight="1" x14ac:dyDescent="0.2">
      <c r="B14" s="25" t="s">
        <v>268</v>
      </c>
      <c r="C14" s="25" t="s">
        <v>269</v>
      </c>
      <c r="D14" s="25" t="s">
        <v>130</v>
      </c>
      <c r="E14" s="26">
        <v>167240</v>
      </c>
      <c r="F14" s="27">
        <v>1798</v>
      </c>
      <c r="G14" s="28">
        <v>2.5600000000000001E-2</v>
      </c>
      <c r="H14" s="29"/>
    </row>
    <row r="15" spans="2:9" ht="15.75" customHeight="1" x14ac:dyDescent="0.2">
      <c r="B15" s="25" t="s">
        <v>266</v>
      </c>
      <c r="C15" s="25" t="s">
        <v>267</v>
      </c>
      <c r="D15" s="25" t="s">
        <v>130</v>
      </c>
      <c r="E15" s="26">
        <v>230069</v>
      </c>
      <c r="F15" s="27">
        <v>1721.15</v>
      </c>
      <c r="G15" s="28">
        <v>2.4500000000000001E-2</v>
      </c>
      <c r="H15" s="29"/>
    </row>
    <row r="16" spans="2:9" ht="15.75" customHeight="1" x14ac:dyDescent="0.2">
      <c r="B16" s="25" t="s">
        <v>241</v>
      </c>
      <c r="C16" s="25" t="s">
        <v>242</v>
      </c>
      <c r="D16" s="25" t="s">
        <v>168</v>
      </c>
      <c r="E16" s="26">
        <v>152382</v>
      </c>
      <c r="F16" s="27">
        <v>1711.78</v>
      </c>
      <c r="G16" s="28">
        <v>2.4400000000000002E-2</v>
      </c>
      <c r="H16" s="29"/>
    </row>
    <row r="17" spans="2:8" ht="15.75" customHeight="1" x14ac:dyDescent="0.2">
      <c r="B17" s="25" t="s">
        <v>214</v>
      </c>
      <c r="C17" s="25" t="s">
        <v>215</v>
      </c>
      <c r="D17" s="25" t="s">
        <v>130</v>
      </c>
      <c r="E17" s="26">
        <v>88482</v>
      </c>
      <c r="F17" s="27">
        <v>1494.86</v>
      </c>
      <c r="G17" s="28">
        <v>2.1299999999999999E-2</v>
      </c>
      <c r="H17" s="29"/>
    </row>
    <row r="18" spans="2:8" ht="15.75" customHeight="1" x14ac:dyDescent="0.2">
      <c r="B18" s="25" t="s">
        <v>139</v>
      </c>
      <c r="C18" s="25" t="s">
        <v>140</v>
      </c>
      <c r="D18" s="25" t="s">
        <v>141</v>
      </c>
      <c r="E18" s="26">
        <v>53570</v>
      </c>
      <c r="F18" s="27">
        <v>1292.27</v>
      </c>
      <c r="G18" s="28">
        <v>1.84E-2</v>
      </c>
      <c r="H18" s="29"/>
    </row>
    <row r="19" spans="2:8" ht="15.75" customHeight="1" x14ac:dyDescent="0.2">
      <c r="B19" s="25" t="s">
        <v>177</v>
      </c>
      <c r="C19" s="25" t="s">
        <v>178</v>
      </c>
      <c r="D19" s="25" t="s">
        <v>179</v>
      </c>
      <c r="E19" s="26">
        <v>16644</v>
      </c>
      <c r="F19" s="27">
        <v>1081.0899999999999</v>
      </c>
      <c r="G19" s="28">
        <v>1.54E-2</v>
      </c>
      <c r="H19" s="29"/>
    </row>
    <row r="20" spans="2:8" ht="15.75" customHeight="1" x14ac:dyDescent="0.2">
      <c r="B20" s="25" t="s">
        <v>270</v>
      </c>
      <c r="C20" s="25" t="s">
        <v>271</v>
      </c>
      <c r="D20" s="25" t="s">
        <v>133</v>
      </c>
      <c r="E20" s="26">
        <v>63666</v>
      </c>
      <c r="F20" s="27">
        <v>1059.31</v>
      </c>
      <c r="G20" s="28">
        <v>1.5100000000000001E-2</v>
      </c>
      <c r="H20" s="29"/>
    </row>
    <row r="21" spans="2:8" ht="15.75" customHeight="1" x14ac:dyDescent="0.2">
      <c r="B21" s="25" t="s">
        <v>142</v>
      </c>
      <c r="C21" s="25" t="s">
        <v>143</v>
      </c>
      <c r="D21" s="25" t="s">
        <v>144</v>
      </c>
      <c r="E21" s="26">
        <v>53804</v>
      </c>
      <c r="F21" s="27">
        <v>1039.71</v>
      </c>
      <c r="G21" s="28">
        <v>1.4800000000000001E-2</v>
      </c>
      <c r="H21" s="29"/>
    </row>
    <row r="22" spans="2:8" ht="15.75" customHeight="1" x14ac:dyDescent="0.2">
      <c r="B22" s="25" t="s">
        <v>272</v>
      </c>
      <c r="C22" s="25" t="s">
        <v>273</v>
      </c>
      <c r="D22" s="25" t="s">
        <v>185</v>
      </c>
      <c r="E22" s="26">
        <v>64852</v>
      </c>
      <c r="F22" s="27">
        <v>1023.33</v>
      </c>
      <c r="G22" s="28">
        <v>1.46E-2</v>
      </c>
      <c r="H22" s="29"/>
    </row>
    <row r="23" spans="2:8" ht="15.75" customHeight="1" x14ac:dyDescent="0.2">
      <c r="B23" s="25" t="s">
        <v>438</v>
      </c>
      <c r="C23" s="25" t="s">
        <v>439</v>
      </c>
      <c r="D23" s="25" t="s">
        <v>144</v>
      </c>
      <c r="E23" s="26">
        <v>105754</v>
      </c>
      <c r="F23" s="27">
        <v>1004.87</v>
      </c>
      <c r="G23" s="28">
        <v>1.43E-2</v>
      </c>
      <c r="H23" s="29"/>
    </row>
    <row r="24" spans="2:8" ht="15.75" customHeight="1" x14ac:dyDescent="0.2">
      <c r="B24" s="25" t="s">
        <v>276</v>
      </c>
      <c r="C24" s="25" t="s">
        <v>277</v>
      </c>
      <c r="D24" s="25" t="s">
        <v>230</v>
      </c>
      <c r="E24" s="26">
        <v>285786</v>
      </c>
      <c r="F24" s="27">
        <v>959.1</v>
      </c>
      <c r="G24" s="28">
        <v>1.37E-2</v>
      </c>
      <c r="H24" s="29"/>
    </row>
    <row r="25" spans="2:8" ht="15.75" customHeight="1" x14ac:dyDescent="0.2">
      <c r="B25" s="25" t="s">
        <v>204</v>
      </c>
      <c r="C25" s="25" t="s">
        <v>205</v>
      </c>
      <c r="D25" s="25" t="s">
        <v>206</v>
      </c>
      <c r="E25" s="26">
        <v>25003</v>
      </c>
      <c r="F25" s="27">
        <v>906.21</v>
      </c>
      <c r="G25" s="28">
        <v>1.29E-2</v>
      </c>
      <c r="H25" s="29"/>
    </row>
    <row r="26" spans="2:8" ht="15.75" customHeight="1" x14ac:dyDescent="0.2">
      <c r="B26" s="25" t="s">
        <v>274</v>
      </c>
      <c r="C26" s="25" t="s">
        <v>275</v>
      </c>
      <c r="D26" s="25" t="s">
        <v>144</v>
      </c>
      <c r="E26" s="26">
        <v>7912</v>
      </c>
      <c r="F26" s="27">
        <v>893.13</v>
      </c>
      <c r="G26" s="28">
        <v>1.2699999999999999E-2</v>
      </c>
      <c r="H26" s="29"/>
    </row>
    <row r="27" spans="2:8" ht="15.75" customHeight="1" x14ac:dyDescent="0.2">
      <c r="B27" s="25" t="s">
        <v>467</v>
      </c>
      <c r="C27" s="25" t="s">
        <v>468</v>
      </c>
      <c r="D27" s="25" t="s">
        <v>230</v>
      </c>
      <c r="E27" s="26">
        <v>273515</v>
      </c>
      <c r="F27" s="27">
        <v>773.64</v>
      </c>
      <c r="G27" s="28">
        <v>1.0999999999999999E-2</v>
      </c>
      <c r="H27" s="29"/>
    </row>
    <row r="28" spans="2:8" ht="15.75" customHeight="1" x14ac:dyDescent="0.2">
      <c r="B28" s="25" t="s">
        <v>216</v>
      </c>
      <c r="C28" s="25" t="s">
        <v>217</v>
      </c>
      <c r="D28" s="25" t="s">
        <v>206</v>
      </c>
      <c r="E28" s="26">
        <v>27044</v>
      </c>
      <c r="F28" s="27">
        <v>763.15</v>
      </c>
      <c r="G28" s="28">
        <v>1.09E-2</v>
      </c>
      <c r="H28" s="29"/>
    </row>
    <row r="29" spans="2:8" ht="15.75" customHeight="1" x14ac:dyDescent="0.2">
      <c r="B29" s="25" t="s">
        <v>574</v>
      </c>
      <c r="C29" s="25" t="s">
        <v>575</v>
      </c>
      <c r="D29" s="25" t="s">
        <v>191</v>
      </c>
      <c r="E29" s="26">
        <v>495795</v>
      </c>
      <c r="F29" s="27">
        <v>698.33</v>
      </c>
      <c r="G29" s="28">
        <v>0.01</v>
      </c>
      <c r="H29" s="29"/>
    </row>
    <row r="30" spans="2:8" ht="15.75" customHeight="1" x14ac:dyDescent="0.2">
      <c r="B30" s="25" t="s">
        <v>440</v>
      </c>
      <c r="C30" s="25" t="s">
        <v>441</v>
      </c>
      <c r="D30" s="25" t="s">
        <v>285</v>
      </c>
      <c r="E30" s="26">
        <v>6888</v>
      </c>
      <c r="F30" s="27">
        <v>681.39</v>
      </c>
      <c r="G30" s="28">
        <v>9.7000000000000003E-3</v>
      </c>
      <c r="H30" s="29"/>
    </row>
    <row r="31" spans="2:8" ht="15.75" customHeight="1" x14ac:dyDescent="0.2">
      <c r="B31" s="25" t="s">
        <v>588</v>
      </c>
      <c r="C31" s="25" t="s">
        <v>589</v>
      </c>
      <c r="D31" s="25" t="s">
        <v>590</v>
      </c>
      <c r="E31" s="26">
        <v>234577</v>
      </c>
      <c r="F31" s="27">
        <v>620.69000000000005</v>
      </c>
      <c r="G31" s="28">
        <v>8.8000000000000005E-3</v>
      </c>
      <c r="H31" s="29"/>
    </row>
    <row r="32" spans="2:8" ht="15.75" customHeight="1" x14ac:dyDescent="0.2">
      <c r="B32" s="25" t="s">
        <v>398</v>
      </c>
      <c r="C32" s="25" t="s">
        <v>399</v>
      </c>
      <c r="D32" s="25" t="s">
        <v>400</v>
      </c>
      <c r="E32" s="26">
        <v>137677</v>
      </c>
      <c r="F32" s="27">
        <v>601.24</v>
      </c>
      <c r="G32" s="28">
        <v>8.6E-3</v>
      </c>
      <c r="H32" s="29"/>
    </row>
    <row r="33" spans="2:8" ht="15.75" customHeight="1" x14ac:dyDescent="0.2">
      <c r="B33" s="25" t="s">
        <v>721</v>
      </c>
      <c r="C33" s="25" t="s">
        <v>722</v>
      </c>
      <c r="D33" s="25" t="s">
        <v>723</v>
      </c>
      <c r="E33" s="26">
        <v>44116</v>
      </c>
      <c r="F33" s="27">
        <v>582.54999999999995</v>
      </c>
      <c r="G33" s="28">
        <v>8.3000000000000001E-3</v>
      </c>
      <c r="H33" s="29"/>
    </row>
    <row r="34" spans="2:8" ht="15.75" customHeight="1" x14ac:dyDescent="0.2">
      <c r="B34" s="25" t="s">
        <v>253</v>
      </c>
      <c r="C34" s="25" t="s">
        <v>254</v>
      </c>
      <c r="D34" s="25" t="s">
        <v>130</v>
      </c>
      <c r="E34" s="26">
        <v>39492</v>
      </c>
      <c r="F34" s="27">
        <v>582.47</v>
      </c>
      <c r="G34" s="28">
        <v>8.3000000000000001E-3</v>
      </c>
      <c r="H34" s="29"/>
    </row>
    <row r="35" spans="2:8" ht="15.75" customHeight="1" x14ac:dyDescent="0.2">
      <c r="B35" s="25" t="s">
        <v>145</v>
      </c>
      <c r="C35" s="25" t="s">
        <v>146</v>
      </c>
      <c r="D35" s="25" t="s">
        <v>147</v>
      </c>
      <c r="E35" s="26">
        <v>21400</v>
      </c>
      <c r="F35" s="27">
        <v>555.59</v>
      </c>
      <c r="G35" s="28">
        <v>7.9000000000000008E-3</v>
      </c>
      <c r="H35" s="29"/>
    </row>
    <row r="36" spans="2:8" ht="15.75" customHeight="1" x14ac:dyDescent="0.2">
      <c r="B36" s="25" t="s">
        <v>351</v>
      </c>
      <c r="C36" s="25" t="s">
        <v>352</v>
      </c>
      <c r="D36" s="25" t="s">
        <v>209</v>
      </c>
      <c r="E36" s="26">
        <v>326084</v>
      </c>
      <c r="F36" s="27">
        <v>539.51</v>
      </c>
      <c r="G36" s="28">
        <v>7.7000000000000002E-3</v>
      </c>
      <c r="H36" s="29"/>
    </row>
    <row r="37" spans="2:8" ht="15.75" customHeight="1" x14ac:dyDescent="0.2">
      <c r="B37" s="25" t="s">
        <v>498</v>
      </c>
      <c r="C37" s="25" t="s">
        <v>499</v>
      </c>
      <c r="D37" s="25" t="s">
        <v>144</v>
      </c>
      <c r="E37" s="26">
        <v>6789</v>
      </c>
      <c r="F37" s="27">
        <v>536.97</v>
      </c>
      <c r="G37" s="28">
        <v>7.7000000000000002E-3</v>
      </c>
      <c r="H37" s="29"/>
    </row>
    <row r="38" spans="2:8" ht="15.75" customHeight="1" x14ac:dyDescent="0.2">
      <c r="B38" s="25" t="s">
        <v>251</v>
      </c>
      <c r="C38" s="25" t="s">
        <v>252</v>
      </c>
      <c r="D38" s="25" t="s">
        <v>179</v>
      </c>
      <c r="E38" s="26">
        <v>32525</v>
      </c>
      <c r="F38" s="27">
        <v>518.38</v>
      </c>
      <c r="G38" s="28">
        <v>7.4000000000000003E-3</v>
      </c>
      <c r="H38" s="29"/>
    </row>
    <row r="39" spans="2:8" ht="15.75" customHeight="1" x14ac:dyDescent="0.2">
      <c r="B39" s="25" t="s">
        <v>207</v>
      </c>
      <c r="C39" s="25" t="s">
        <v>208</v>
      </c>
      <c r="D39" s="25" t="s">
        <v>209</v>
      </c>
      <c r="E39" s="26">
        <v>13186</v>
      </c>
      <c r="F39" s="27">
        <v>511.85</v>
      </c>
      <c r="G39" s="28">
        <v>7.3000000000000001E-3</v>
      </c>
      <c r="H39" s="29"/>
    </row>
    <row r="40" spans="2:8" ht="15.75" customHeight="1" x14ac:dyDescent="0.2">
      <c r="B40" s="25" t="s">
        <v>724</v>
      </c>
      <c r="C40" s="25" t="s">
        <v>725</v>
      </c>
      <c r="D40" s="25" t="s">
        <v>726</v>
      </c>
      <c r="E40" s="26">
        <v>15572</v>
      </c>
      <c r="F40" s="27">
        <v>511.6</v>
      </c>
      <c r="G40" s="28">
        <v>7.3000000000000001E-3</v>
      </c>
      <c r="H40" s="29"/>
    </row>
    <row r="41" spans="2:8" ht="15.75" customHeight="1" x14ac:dyDescent="0.2">
      <c r="B41" s="25" t="s">
        <v>283</v>
      </c>
      <c r="C41" s="25" t="s">
        <v>284</v>
      </c>
      <c r="D41" s="25" t="s">
        <v>285</v>
      </c>
      <c r="E41" s="26">
        <v>22100</v>
      </c>
      <c r="F41" s="27">
        <v>484.3</v>
      </c>
      <c r="G41" s="28">
        <v>6.8999999999999999E-3</v>
      </c>
      <c r="H41" s="29"/>
    </row>
    <row r="42" spans="2:8" ht="15.75" customHeight="1" x14ac:dyDescent="0.2">
      <c r="B42" s="25" t="s">
        <v>243</v>
      </c>
      <c r="C42" s="25" t="s">
        <v>244</v>
      </c>
      <c r="D42" s="25" t="s">
        <v>133</v>
      </c>
      <c r="E42" s="26">
        <v>37576</v>
      </c>
      <c r="F42" s="27">
        <v>478.66</v>
      </c>
      <c r="G42" s="28">
        <v>6.7999999999999996E-3</v>
      </c>
      <c r="H42" s="29"/>
    </row>
    <row r="43" spans="2:8" ht="15.75" customHeight="1" x14ac:dyDescent="0.2">
      <c r="B43" s="25" t="s">
        <v>510</v>
      </c>
      <c r="C43" s="25" t="s">
        <v>511</v>
      </c>
      <c r="D43" s="25" t="s">
        <v>185</v>
      </c>
      <c r="E43" s="26">
        <v>7310</v>
      </c>
      <c r="F43" s="27">
        <v>469.61</v>
      </c>
      <c r="G43" s="28">
        <v>6.7000000000000002E-3</v>
      </c>
      <c r="H43" s="29"/>
    </row>
    <row r="44" spans="2:8" ht="15.75" customHeight="1" x14ac:dyDescent="0.2">
      <c r="B44" s="25" t="s">
        <v>336</v>
      </c>
      <c r="C44" s="25" t="s">
        <v>337</v>
      </c>
      <c r="D44" s="25" t="s">
        <v>185</v>
      </c>
      <c r="E44" s="26">
        <v>31448</v>
      </c>
      <c r="F44" s="27">
        <v>465.54</v>
      </c>
      <c r="G44" s="28">
        <v>6.6E-3</v>
      </c>
      <c r="H44" s="29"/>
    </row>
    <row r="45" spans="2:8" ht="15.75" customHeight="1" x14ac:dyDescent="0.2">
      <c r="B45" s="25" t="s">
        <v>249</v>
      </c>
      <c r="C45" s="25" t="s">
        <v>250</v>
      </c>
      <c r="D45" s="25" t="s">
        <v>191</v>
      </c>
      <c r="E45" s="26">
        <v>57510</v>
      </c>
      <c r="F45" s="27">
        <v>460.14</v>
      </c>
      <c r="G45" s="28">
        <v>6.6E-3</v>
      </c>
      <c r="H45" s="29"/>
    </row>
    <row r="46" spans="2:8" ht="15.75" customHeight="1" x14ac:dyDescent="0.2">
      <c r="B46" s="25" t="s">
        <v>697</v>
      </c>
      <c r="C46" s="25" t="s">
        <v>698</v>
      </c>
      <c r="D46" s="25" t="s">
        <v>578</v>
      </c>
      <c r="E46" s="26">
        <v>37294</v>
      </c>
      <c r="F46" s="27">
        <v>443.82</v>
      </c>
      <c r="G46" s="28">
        <v>6.3E-3</v>
      </c>
      <c r="H46" s="29"/>
    </row>
    <row r="47" spans="2:8" ht="15.75" customHeight="1" x14ac:dyDescent="0.2">
      <c r="B47" s="25" t="s">
        <v>194</v>
      </c>
      <c r="C47" s="25" t="s">
        <v>195</v>
      </c>
      <c r="D47" s="25" t="s">
        <v>196</v>
      </c>
      <c r="E47" s="26">
        <v>87933</v>
      </c>
      <c r="F47" s="27">
        <v>443.05</v>
      </c>
      <c r="G47" s="28">
        <v>6.3E-3</v>
      </c>
      <c r="H47" s="29"/>
    </row>
    <row r="48" spans="2:8" ht="15.75" customHeight="1" x14ac:dyDescent="0.2">
      <c r="B48" s="25" t="s">
        <v>186</v>
      </c>
      <c r="C48" s="25" t="s">
        <v>187</v>
      </c>
      <c r="D48" s="25" t="s">
        <v>188</v>
      </c>
      <c r="E48" s="26">
        <v>214860</v>
      </c>
      <c r="F48" s="27">
        <v>440.68</v>
      </c>
      <c r="G48" s="28">
        <v>6.3E-3</v>
      </c>
      <c r="H48" s="29"/>
    </row>
    <row r="49" spans="2:8" ht="15.75" customHeight="1" x14ac:dyDescent="0.2">
      <c r="B49" s="25" t="s">
        <v>727</v>
      </c>
      <c r="C49" s="25" t="s">
        <v>728</v>
      </c>
      <c r="D49" s="25" t="s">
        <v>133</v>
      </c>
      <c r="E49" s="26">
        <v>84761</v>
      </c>
      <c r="F49" s="27">
        <v>439.57</v>
      </c>
      <c r="G49" s="28">
        <v>6.3E-3</v>
      </c>
      <c r="H49" s="29"/>
    </row>
    <row r="50" spans="2:8" ht="15.75" customHeight="1" x14ac:dyDescent="0.2">
      <c r="B50" s="25" t="s">
        <v>299</v>
      </c>
      <c r="C50" s="25" t="s">
        <v>300</v>
      </c>
      <c r="D50" s="25" t="s">
        <v>282</v>
      </c>
      <c r="E50" s="26">
        <v>27038</v>
      </c>
      <c r="F50" s="27">
        <v>419.78</v>
      </c>
      <c r="G50" s="28">
        <v>6.0000000000000001E-3</v>
      </c>
      <c r="H50" s="29"/>
    </row>
    <row r="51" spans="2:8" ht="15.75" customHeight="1" x14ac:dyDescent="0.2">
      <c r="B51" s="25" t="s">
        <v>385</v>
      </c>
      <c r="C51" s="25" t="s">
        <v>386</v>
      </c>
      <c r="D51" s="25" t="s">
        <v>387</v>
      </c>
      <c r="E51" s="26">
        <v>29590</v>
      </c>
      <c r="F51" s="27">
        <v>416.78</v>
      </c>
      <c r="G51" s="28">
        <v>5.8999999999999999E-3</v>
      </c>
      <c r="H51" s="29"/>
    </row>
    <row r="52" spans="2:8" ht="15.75" customHeight="1" x14ac:dyDescent="0.2">
      <c r="B52" s="25" t="s">
        <v>876</v>
      </c>
      <c r="C52" s="25" t="s">
        <v>877</v>
      </c>
      <c r="D52" s="25" t="s">
        <v>230</v>
      </c>
      <c r="E52" s="26">
        <v>21836</v>
      </c>
      <c r="F52" s="27">
        <v>413.8</v>
      </c>
      <c r="G52" s="28">
        <v>5.8999999999999999E-3</v>
      </c>
      <c r="H52" s="29"/>
    </row>
    <row r="53" spans="2:8" ht="15.75" customHeight="1" x14ac:dyDescent="0.2">
      <c r="B53" s="25" t="s">
        <v>830</v>
      </c>
      <c r="C53" s="25" t="s">
        <v>831</v>
      </c>
      <c r="D53" s="25" t="s">
        <v>179</v>
      </c>
      <c r="E53" s="26">
        <v>16667</v>
      </c>
      <c r="F53" s="27">
        <v>406.44</v>
      </c>
      <c r="G53" s="28">
        <v>5.7999999999999996E-3</v>
      </c>
      <c r="H53" s="29"/>
    </row>
    <row r="54" spans="2:8" ht="15.75" customHeight="1" x14ac:dyDescent="0.2">
      <c r="B54" s="25" t="s">
        <v>228</v>
      </c>
      <c r="C54" s="25" t="s">
        <v>229</v>
      </c>
      <c r="D54" s="25" t="s">
        <v>230</v>
      </c>
      <c r="E54" s="26">
        <v>99612</v>
      </c>
      <c r="F54" s="27">
        <v>370.31</v>
      </c>
      <c r="G54" s="28">
        <v>5.3E-3</v>
      </c>
      <c r="H54" s="29"/>
    </row>
    <row r="55" spans="2:8" ht="15.75" customHeight="1" x14ac:dyDescent="0.2">
      <c r="B55" s="25" t="s">
        <v>280</v>
      </c>
      <c r="C55" s="25" t="s">
        <v>281</v>
      </c>
      <c r="D55" s="25" t="s">
        <v>282</v>
      </c>
      <c r="E55" s="26">
        <v>63625</v>
      </c>
      <c r="F55" s="27">
        <v>370.3</v>
      </c>
      <c r="G55" s="28">
        <v>5.3E-3</v>
      </c>
      <c r="H55" s="29"/>
    </row>
    <row r="56" spans="2:8" ht="15.75" customHeight="1" x14ac:dyDescent="0.2">
      <c r="B56" s="25" t="s">
        <v>201</v>
      </c>
      <c r="C56" s="25" t="s">
        <v>202</v>
      </c>
      <c r="D56" s="25" t="s">
        <v>203</v>
      </c>
      <c r="E56" s="26">
        <v>6043</v>
      </c>
      <c r="F56" s="27">
        <v>368.72</v>
      </c>
      <c r="G56" s="28">
        <v>5.3E-3</v>
      </c>
      <c r="H56" s="29"/>
    </row>
    <row r="57" spans="2:8" ht="15.75" customHeight="1" x14ac:dyDescent="0.2">
      <c r="B57" s="25" t="s">
        <v>212</v>
      </c>
      <c r="C57" s="25" t="s">
        <v>213</v>
      </c>
      <c r="D57" s="25" t="s">
        <v>138</v>
      </c>
      <c r="E57" s="26">
        <v>220488</v>
      </c>
      <c r="F57" s="27">
        <v>365.02</v>
      </c>
      <c r="G57" s="28">
        <v>5.1999999999999998E-3</v>
      </c>
      <c r="H57" s="29"/>
    </row>
    <row r="58" spans="2:8" ht="15.75" customHeight="1" x14ac:dyDescent="0.2">
      <c r="B58" s="25" t="s">
        <v>858</v>
      </c>
      <c r="C58" s="25" t="s">
        <v>859</v>
      </c>
      <c r="D58" s="25" t="s">
        <v>240</v>
      </c>
      <c r="E58" s="26">
        <v>39228</v>
      </c>
      <c r="F58" s="27">
        <v>353.52</v>
      </c>
      <c r="G58" s="28">
        <v>5.0000000000000001E-3</v>
      </c>
      <c r="H58" s="29"/>
    </row>
    <row r="59" spans="2:8" ht="15.75" customHeight="1" x14ac:dyDescent="0.2">
      <c r="B59" s="25" t="s">
        <v>463</v>
      </c>
      <c r="C59" s="25" t="s">
        <v>464</v>
      </c>
      <c r="D59" s="25" t="s">
        <v>147</v>
      </c>
      <c r="E59" s="26">
        <v>7072</v>
      </c>
      <c r="F59" s="27">
        <v>351.14</v>
      </c>
      <c r="G59" s="28">
        <v>5.0000000000000001E-3</v>
      </c>
      <c r="H59" s="29"/>
    </row>
    <row r="60" spans="2:8" ht="15.75" customHeight="1" x14ac:dyDescent="0.2">
      <c r="B60" s="25" t="s">
        <v>699</v>
      </c>
      <c r="C60" s="25" t="s">
        <v>700</v>
      </c>
      <c r="D60" s="25" t="s">
        <v>209</v>
      </c>
      <c r="E60" s="26">
        <v>8949</v>
      </c>
      <c r="F60" s="27">
        <v>350.7</v>
      </c>
      <c r="G60" s="28">
        <v>5.0000000000000001E-3</v>
      </c>
      <c r="H60" s="29"/>
    </row>
    <row r="61" spans="2:8" ht="15.75" customHeight="1" x14ac:dyDescent="0.2">
      <c r="B61" s="25" t="s">
        <v>329</v>
      </c>
      <c r="C61" s="25" t="s">
        <v>330</v>
      </c>
      <c r="D61" s="25" t="s">
        <v>138</v>
      </c>
      <c r="E61" s="26">
        <v>57422</v>
      </c>
      <c r="F61" s="27">
        <v>346.74</v>
      </c>
      <c r="G61" s="28">
        <v>4.8999999999999998E-3</v>
      </c>
      <c r="H61" s="29"/>
    </row>
    <row r="62" spans="2:8" ht="15.75" customHeight="1" x14ac:dyDescent="0.2">
      <c r="B62" s="25" t="s">
        <v>703</v>
      </c>
      <c r="C62" s="25" t="s">
        <v>704</v>
      </c>
      <c r="D62" s="25" t="s">
        <v>188</v>
      </c>
      <c r="E62" s="26">
        <v>11225</v>
      </c>
      <c r="F62" s="27">
        <v>346.18</v>
      </c>
      <c r="G62" s="28">
        <v>4.8999999999999998E-3</v>
      </c>
      <c r="H62" s="29"/>
    </row>
    <row r="63" spans="2:8" ht="15.75" customHeight="1" x14ac:dyDescent="0.2">
      <c r="B63" s="25" t="s">
        <v>310</v>
      </c>
      <c r="C63" s="25" t="s">
        <v>311</v>
      </c>
      <c r="D63" s="25" t="s">
        <v>144</v>
      </c>
      <c r="E63" s="26">
        <v>7799</v>
      </c>
      <c r="F63" s="27">
        <v>345.22</v>
      </c>
      <c r="G63" s="28">
        <v>4.8999999999999998E-3</v>
      </c>
      <c r="H63" s="29"/>
    </row>
    <row r="64" spans="2:8" ht="15.75" customHeight="1" x14ac:dyDescent="0.2">
      <c r="B64" s="25" t="s">
        <v>701</v>
      </c>
      <c r="C64" s="25" t="s">
        <v>702</v>
      </c>
      <c r="D64" s="25" t="s">
        <v>144</v>
      </c>
      <c r="E64" s="26">
        <v>8205</v>
      </c>
      <c r="F64" s="27">
        <v>311.17</v>
      </c>
      <c r="G64" s="28">
        <v>4.4000000000000003E-3</v>
      </c>
      <c r="H64" s="29"/>
    </row>
    <row r="65" spans="2:16" ht="15.75" customHeight="1" x14ac:dyDescent="0.2">
      <c r="B65" s="25" t="s">
        <v>392</v>
      </c>
      <c r="C65" s="25" t="s">
        <v>393</v>
      </c>
      <c r="D65" s="25" t="s">
        <v>144</v>
      </c>
      <c r="E65" s="26">
        <v>13986</v>
      </c>
      <c r="F65" s="27">
        <v>299.19</v>
      </c>
      <c r="G65" s="28">
        <v>4.3E-3</v>
      </c>
      <c r="H65" s="29"/>
    </row>
    <row r="66" spans="2:16" ht="15.75" customHeight="1" x14ac:dyDescent="0.2">
      <c r="B66" s="25" t="s">
        <v>175</v>
      </c>
      <c r="C66" s="25" t="s">
        <v>176</v>
      </c>
      <c r="D66" s="25" t="s">
        <v>130</v>
      </c>
      <c r="E66" s="26">
        <v>111625</v>
      </c>
      <c r="F66" s="27">
        <v>296.31</v>
      </c>
      <c r="G66" s="28">
        <v>4.1999999999999997E-3</v>
      </c>
      <c r="H66" s="29"/>
    </row>
    <row r="67" spans="2:16" ht="15.75" customHeight="1" x14ac:dyDescent="0.2">
      <c r="B67" s="25" t="s">
        <v>860</v>
      </c>
      <c r="C67" s="25" t="s">
        <v>861</v>
      </c>
      <c r="D67" s="25" t="s">
        <v>476</v>
      </c>
      <c r="E67" s="26">
        <v>162300</v>
      </c>
      <c r="F67" s="27">
        <v>295.79000000000002</v>
      </c>
      <c r="G67" s="28">
        <v>4.1999999999999997E-3</v>
      </c>
      <c r="H67" s="29"/>
    </row>
    <row r="68" spans="2:16" ht="15.75" customHeight="1" x14ac:dyDescent="0.2">
      <c r="B68" s="25" t="s">
        <v>148</v>
      </c>
      <c r="C68" s="25" t="s">
        <v>149</v>
      </c>
      <c r="D68" s="25" t="s">
        <v>133</v>
      </c>
      <c r="E68" s="26">
        <v>5497</v>
      </c>
      <c r="F68" s="27">
        <v>291.39</v>
      </c>
      <c r="G68" s="28">
        <v>4.1999999999999997E-3</v>
      </c>
      <c r="H68" s="29"/>
      <c r="L68" s="3"/>
    </row>
    <row r="69" spans="2:16" ht="15.75" customHeight="1" x14ac:dyDescent="0.2">
      <c r="B69" s="25" t="s">
        <v>223</v>
      </c>
      <c r="C69" s="25" t="s">
        <v>224</v>
      </c>
      <c r="D69" s="25" t="s">
        <v>225</v>
      </c>
      <c r="E69" s="26">
        <v>22774</v>
      </c>
      <c r="F69" s="27">
        <v>286.43</v>
      </c>
      <c r="G69" s="28">
        <v>4.1000000000000003E-3</v>
      </c>
      <c r="H69" s="29"/>
    </row>
    <row r="70" spans="2:16" ht="15.75" customHeight="1" x14ac:dyDescent="0.2">
      <c r="B70" s="25" t="s">
        <v>483</v>
      </c>
      <c r="C70" s="25" t="s">
        <v>484</v>
      </c>
      <c r="D70" s="25" t="s">
        <v>185</v>
      </c>
      <c r="E70" s="26">
        <v>7649</v>
      </c>
      <c r="F70" s="27">
        <v>266.86</v>
      </c>
      <c r="G70" s="28">
        <v>3.8E-3</v>
      </c>
      <c r="H70" s="29"/>
      <c r="L70" s="3"/>
    </row>
    <row r="71" spans="2:16" ht="15.75" customHeight="1" x14ac:dyDescent="0.2">
      <c r="B71" s="25" t="s">
        <v>862</v>
      </c>
      <c r="C71" s="25" t="s">
        <v>863</v>
      </c>
      <c r="D71" s="25" t="s">
        <v>285</v>
      </c>
      <c r="E71" s="26">
        <v>44041</v>
      </c>
      <c r="F71" s="27">
        <v>266.83999999999997</v>
      </c>
      <c r="G71" s="28">
        <v>3.8E-3</v>
      </c>
      <c r="H71" s="29"/>
      <c r="L71" s="3"/>
    </row>
    <row r="72" spans="2:16" ht="15.75" customHeight="1" x14ac:dyDescent="0.2">
      <c r="B72" s="25" t="s">
        <v>548</v>
      </c>
      <c r="C72" s="25" t="s">
        <v>549</v>
      </c>
      <c r="D72" s="25" t="s">
        <v>179</v>
      </c>
      <c r="E72" s="26">
        <v>24397</v>
      </c>
      <c r="F72" s="27">
        <v>265.73</v>
      </c>
      <c r="G72" s="28">
        <v>3.8E-3</v>
      </c>
      <c r="H72" s="29"/>
      <c r="L72" s="3"/>
    </row>
    <row r="73" spans="2:16" ht="15.75" customHeight="1" x14ac:dyDescent="0.2">
      <c r="B73" s="25" t="s">
        <v>623</v>
      </c>
      <c r="C73" s="25" t="s">
        <v>624</v>
      </c>
      <c r="D73" s="25" t="s">
        <v>171</v>
      </c>
      <c r="E73" s="26">
        <v>8413</v>
      </c>
      <c r="F73" s="27">
        <v>265.45999999999998</v>
      </c>
      <c r="G73" s="28">
        <v>3.8E-3</v>
      </c>
      <c r="H73" s="29"/>
      <c r="L73" s="3"/>
    </row>
    <row r="74" spans="2:16" ht="15.75" customHeight="1" x14ac:dyDescent="0.2">
      <c r="B74" s="25" t="s">
        <v>864</v>
      </c>
      <c r="C74" s="25" t="s">
        <v>865</v>
      </c>
      <c r="D74" s="25" t="s">
        <v>282</v>
      </c>
      <c r="E74" s="26">
        <v>15343</v>
      </c>
      <c r="F74" s="27">
        <v>262.63</v>
      </c>
      <c r="G74" s="28">
        <v>3.7000000000000002E-3</v>
      </c>
      <c r="H74" s="29"/>
      <c r="L74" s="3"/>
    </row>
    <row r="75" spans="2:16" ht="15.75" customHeight="1" x14ac:dyDescent="0.2">
      <c r="B75" s="25" t="s">
        <v>220</v>
      </c>
      <c r="C75" s="25" t="s">
        <v>221</v>
      </c>
      <c r="D75" s="25" t="s">
        <v>222</v>
      </c>
      <c r="E75" s="26">
        <v>9143</v>
      </c>
      <c r="F75" s="27">
        <v>250.15</v>
      </c>
      <c r="G75" s="28">
        <v>3.5999999999999999E-3</v>
      </c>
      <c r="H75" s="29"/>
      <c r="L75" s="5"/>
      <c r="M75" s="5"/>
      <c r="N75" s="6"/>
      <c r="O75" s="6"/>
      <c r="P75" s="5"/>
    </row>
    <row r="76" spans="2:16" ht="15.75" customHeight="1" x14ac:dyDescent="0.2">
      <c r="B76" s="25" t="s">
        <v>373</v>
      </c>
      <c r="C76" s="25" t="s">
        <v>374</v>
      </c>
      <c r="D76" s="25" t="s">
        <v>355</v>
      </c>
      <c r="E76" s="26">
        <v>5339</v>
      </c>
      <c r="F76" s="27">
        <v>249.83</v>
      </c>
      <c r="G76" s="28">
        <v>3.5999999999999999E-3</v>
      </c>
      <c r="H76" s="29"/>
    </row>
    <row r="77" spans="2:16" ht="15.75" customHeight="1" x14ac:dyDescent="0.2">
      <c r="B77" s="25" t="s">
        <v>538</v>
      </c>
      <c r="C77" s="25" t="s">
        <v>539</v>
      </c>
      <c r="D77" s="25" t="s">
        <v>209</v>
      </c>
      <c r="E77" s="26">
        <v>4653</v>
      </c>
      <c r="F77" s="27">
        <v>245.11</v>
      </c>
      <c r="G77" s="28">
        <v>3.5000000000000001E-3</v>
      </c>
      <c r="H77" s="29"/>
    </row>
    <row r="78" spans="2:16" ht="15.75" customHeight="1" x14ac:dyDescent="0.2">
      <c r="B78" s="25" t="s">
        <v>884</v>
      </c>
      <c r="C78" s="25" t="s">
        <v>885</v>
      </c>
      <c r="D78" s="25" t="s">
        <v>179</v>
      </c>
      <c r="E78" s="26">
        <v>2606</v>
      </c>
      <c r="F78" s="27">
        <v>238.44</v>
      </c>
      <c r="G78" s="28">
        <v>3.3999999999999998E-3</v>
      </c>
      <c r="H78" s="29"/>
      <c r="L78" s="7"/>
      <c r="M78" s="7"/>
      <c r="N78" s="7"/>
      <c r="O78" s="7"/>
      <c r="P78" s="7"/>
    </row>
    <row r="79" spans="2:16" ht="15.75" customHeight="1" x14ac:dyDescent="0.2">
      <c r="B79" s="25" t="s">
        <v>233</v>
      </c>
      <c r="C79" s="25" t="s">
        <v>234</v>
      </c>
      <c r="D79" s="25" t="s">
        <v>206</v>
      </c>
      <c r="E79" s="26">
        <v>15020</v>
      </c>
      <c r="F79" s="27">
        <v>230.01</v>
      </c>
      <c r="G79" s="28">
        <v>3.3E-3</v>
      </c>
      <c r="H79" s="29"/>
      <c r="L79" s="7"/>
      <c r="M79" s="7"/>
      <c r="N79" s="7"/>
      <c r="O79" s="7"/>
      <c r="P79" s="7"/>
    </row>
    <row r="80" spans="2:16" ht="15.75" customHeight="1" x14ac:dyDescent="0.2">
      <c r="B80" s="25" t="s">
        <v>231</v>
      </c>
      <c r="C80" s="25" t="s">
        <v>232</v>
      </c>
      <c r="D80" s="25" t="s">
        <v>130</v>
      </c>
      <c r="E80" s="26">
        <v>40243</v>
      </c>
      <c r="F80" s="27">
        <v>227.15</v>
      </c>
      <c r="G80" s="28">
        <v>3.2000000000000002E-3</v>
      </c>
      <c r="H80" s="29"/>
      <c r="L80" s="7"/>
      <c r="M80" s="7"/>
      <c r="N80" s="7"/>
      <c r="O80" s="7"/>
      <c r="P80" s="7"/>
    </row>
    <row r="81" spans="2:16" ht="15.75" customHeight="1" x14ac:dyDescent="0.2">
      <c r="B81" s="25" t="s">
        <v>866</v>
      </c>
      <c r="C81" s="25" t="s">
        <v>867</v>
      </c>
      <c r="D81" s="25" t="s">
        <v>130</v>
      </c>
      <c r="E81" s="26">
        <v>177794</v>
      </c>
      <c r="F81" s="27">
        <v>216.64</v>
      </c>
      <c r="G81" s="28">
        <v>3.0999999999999999E-3</v>
      </c>
      <c r="H81" s="29"/>
      <c r="L81" s="7"/>
      <c r="M81" s="7"/>
      <c r="N81" s="7"/>
      <c r="O81" s="7"/>
      <c r="P81" s="7"/>
    </row>
    <row r="82" spans="2:16" ht="15.75" customHeight="1" x14ac:dyDescent="0.2">
      <c r="B82" s="25" t="s">
        <v>180</v>
      </c>
      <c r="C82" s="25" t="s">
        <v>181</v>
      </c>
      <c r="D82" s="25" t="s">
        <v>182</v>
      </c>
      <c r="E82" s="26">
        <v>79546</v>
      </c>
      <c r="F82" s="27">
        <v>213.22</v>
      </c>
      <c r="G82" s="28">
        <v>3.0000000000000001E-3</v>
      </c>
      <c r="H82" s="29"/>
      <c r="L82" s="7"/>
      <c r="M82" s="7"/>
      <c r="N82" s="7"/>
      <c r="O82" s="7"/>
      <c r="P82" s="7"/>
    </row>
    <row r="83" spans="2:16" ht="15.75" customHeight="1" x14ac:dyDescent="0.2">
      <c r="B83" s="25" t="s">
        <v>278</v>
      </c>
      <c r="C83" s="25" t="s">
        <v>279</v>
      </c>
      <c r="D83" s="25" t="s">
        <v>222</v>
      </c>
      <c r="E83" s="26">
        <v>8712</v>
      </c>
      <c r="F83" s="27">
        <v>208.19</v>
      </c>
      <c r="G83" s="28">
        <v>3.0000000000000001E-3</v>
      </c>
      <c r="H83" s="29"/>
      <c r="L83" s="7"/>
      <c r="M83" s="7"/>
      <c r="N83" s="7"/>
      <c r="O83" s="7"/>
      <c r="P83" s="7"/>
    </row>
    <row r="84" spans="2:16" ht="15.75" customHeight="1" x14ac:dyDescent="0.2">
      <c r="B84" s="25" t="s">
        <v>868</v>
      </c>
      <c r="C84" s="25" t="s">
        <v>869</v>
      </c>
      <c r="D84" s="25" t="s">
        <v>285</v>
      </c>
      <c r="E84" s="26">
        <v>800</v>
      </c>
      <c r="F84" s="27">
        <v>204.04</v>
      </c>
      <c r="G84" s="28">
        <v>2.8999999999999998E-3</v>
      </c>
      <c r="H84" s="29"/>
      <c r="L84" s="7"/>
      <c r="M84" s="7"/>
      <c r="N84" s="7"/>
      <c r="O84" s="7"/>
      <c r="P84" s="7"/>
    </row>
    <row r="85" spans="2:16" ht="15.75" customHeight="1" x14ac:dyDescent="0.2">
      <c r="B85" s="25" t="s">
        <v>870</v>
      </c>
      <c r="C85" s="25" t="s">
        <v>871</v>
      </c>
      <c r="D85" s="25" t="s">
        <v>387</v>
      </c>
      <c r="E85" s="26">
        <v>17451</v>
      </c>
      <c r="F85" s="27">
        <v>203.45</v>
      </c>
      <c r="G85" s="28">
        <v>2.8999999999999998E-3</v>
      </c>
      <c r="H85" s="29"/>
    </row>
    <row r="86" spans="2:16" ht="15.75" customHeight="1" x14ac:dyDescent="0.2">
      <c r="B86" s="25" t="s">
        <v>872</v>
      </c>
      <c r="C86" s="25" t="s">
        <v>873</v>
      </c>
      <c r="D86" s="25" t="s">
        <v>225</v>
      </c>
      <c r="E86" s="26">
        <v>7994</v>
      </c>
      <c r="F86" s="27">
        <v>201.99</v>
      </c>
      <c r="G86" s="28">
        <v>2.8999999999999998E-3</v>
      </c>
      <c r="H86" s="29"/>
      <c r="L86" s="3"/>
    </row>
    <row r="87" spans="2:16" ht="15.75" customHeight="1" x14ac:dyDescent="0.2">
      <c r="B87" s="25" t="s">
        <v>886</v>
      </c>
      <c r="C87" s="25" t="s">
        <v>887</v>
      </c>
      <c r="D87" s="25" t="s">
        <v>230</v>
      </c>
      <c r="E87" s="26">
        <v>18134</v>
      </c>
      <c r="F87" s="27">
        <v>193.1</v>
      </c>
      <c r="G87" s="28">
        <v>2.8E-3</v>
      </c>
      <c r="H87" s="29"/>
    </row>
    <row r="88" spans="2:16" ht="15.75" customHeight="1" x14ac:dyDescent="0.2">
      <c r="B88" s="25" t="s">
        <v>579</v>
      </c>
      <c r="C88" s="25" t="s">
        <v>580</v>
      </c>
      <c r="D88" s="25" t="s">
        <v>225</v>
      </c>
      <c r="E88" s="26">
        <v>35056</v>
      </c>
      <c r="F88" s="27">
        <v>188.65</v>
      </c>
      <c r="G88" s="28">
        <v>2.7000000000000001E-3</v>
      </c>
      <c r="H88" s="29"/>
    </row>
    <row r="89" spans="2:16" ht="15.75" customHeight="1" x14ac:dyDescent="0.2">
      <c r="B89" s="25" t="s">
        <v>896</v>
      </c>
      <c r="C89" s="25" t="s">
        <v>897</v>
      </c>
      <c r="D89" s="25" t="s">
        <v>144</v>
      </c>
      <c r="E89" s="26">
        <v>28089</v>
      </c>
      <c r="F89" s="27">
        <v>177.59</v>
      </c>
      <c r="G89" s="28">
        <v>2.5000000000000001E-3</v>
      </c>
      <c r="H89" s="29"/>
    </row>
    <row r="90" spans="2:16" ht="15.75" customHeight="1" x14ac:dyDescent="0.2">
      <c r="B90" s="25" t="s">
        <v>318</v>
      </c>
      <c r="C90" s="25" t="s">
        <v>319</v>
      </c>
      <c r="D90" s="25" t="s">
        <v>320</v>
      </c>
      <c r="E90" s="26">
        <v>4829</v>
      </c>
      <c r="F90" s="27">
        <v>177.35</v>
      </c>
      <c r="G90" s="28">
        <v>2.5000000000000001E-3</v>
      </c>
      <c r="H90" s="29"/>
    </row>
    <row r="91" spans="2:16" ht="15.75" customHeight="1" x14ac:dyDescent="0.2">
      <c r="B91" s="25" t="s">
        <v>874</v>
      </c>
      <c r="C91" s="25" t="s">
        <v>875</v>
      </c>
      <c r="D91" s="25" t="s">
        <v>355</v>
      </c>
      <c r="E91" s="26">
        <v>3176</v>
      </c>
      <c r="F91" s="27">
        <v>172.93</v>
      </c>
      <c r="G91" s="28">
        <v>2.5000000000000001E-3</v>
      </c>
      <c r="H91" s="29"/>
    </row>
    <row r="92" spans="2:16" ht="15.75" customHeight="1" x14ac:dyDescent="0.2">
      <c r="B92" s="25" t="s">
        <v>189</v>
      </c>
      <c r="C92" s="25" t="s">
        <v>190</v>
      </c>
      <c r="D92" s="25" t="s">
        <v>191</v>
      </c>
      <c r="E92" s="26">
        <v>22029</v>
      </c>
      <c r="F92" s="27">
        <v>171</v>
      </c>
      <c r="G92" s="28">
        <v>2.3999999999999998E-3</v>
      </c>
      <c r="H92" s="29"/>
    </row>
    <row r="93" spans="2:16" ht="15.75" customHeight="1" x14ac:dyDescent="0.2">
      <c r="B93" s="25" t="s">
        <v>247</v>
      </c>
      <c r="C93" s="25" t="s">
        <v>248</v>
      </c>
      <c r="D93" s="25" t="s">
        <v>237</v>
      </c>
      <c r="E93" s="26">
        <v>142199</v>
      </c>
      <c r="F93" s="27">
        <v>169.5</v>
      </c>
      <c r="G93" s="28">
        <v>2.3999999999999998E-3</v>
      </c>
      <c r="H93" s="29"/>
    </row>
    <row r="94" spans="2:16" ht="15.75" customHeight="1" x14ac:dyDescent="0.2">
      <c r="B94" s="25" t="s">
        <v>888</v>
      </c>
      <c r="C94" s="25" t="s">
        <v>889</v>
      </c>
      <c r="D94" s="25" t="s">
        <v>476</v>
      </c>
      <c r="E94" s="26">
        <v>16497</v>
      </c>
      <c r="F94" s="27">
        <v>169.2</v>
      </c>
      <c r="G94" s="28">
        <v>2.3999999999999998E-3</v>
      </c>
      <c r="H94" s="29"/>
    </row>
    <row r="95" spans="2:16" ht="15.75" customHeight="1" x14ac:dyDescent="0.2">
      <c r="B95" s="25" t="s">
        <v>360</v>
      </c>
      <c r="C95" s="25" t="s">
        <v>361</v>
      </c>
      <c r="D95" s="25" t="s">
        <v>362</v>
      </c>
      <c r="E95" s="26">
        <v>18239</v>
      </c>
      <c r="F95" s="27">
        <v>169.15</v>
      </c>
      <c r="G95" s="28">
        <v>2.3999999999999998E-3</v>
      </c>
      <c r="H95" s="29"/>
    </row>
    <row r="96" spans="2:16" ht="15.75" customHeight="1" x14ac:dyDescent="0.2">
      <c r="B96" s="25" t="s">
        <v>878</v>
      </c>
      <c r="C96" s="25" t="s">
        <v>879</v>
      </c>
      <c r="D96" s="25" t="s">
        <v>578</v>
      </c>
      <c r="E96" s="26">
        <v>31206</v>
      </c>
      <c r="F96" s="27">
        <v>163.08000000000001</v>
      </c>
      <c r="G96" s="28">
        <v>2.3E-3</v>
      </c>
      <c r="H96" s="29"/>
    </row>
    <row r="97" spans="2:8" ht="15.75" customHeight="1" x14ac:dyDescent="0.2">
      <c r="B97" s="25" t="s">
        <v>890</v>
      </c>
      <c r="C97" s="25" t="s">
        <v>891</v>
      </c>
      <c r="D97" s="25" t="s">
        <v>282</v>
      </c>
      <c r="E97" s="26">
        <v>15167</v>
      </c>
      <c r="F97" s="27">
        <v>155.13</v>
      </c>
      <c r="G97" s="28">
        <v>2.2000000000000001E-3</v>
      </c>
      <c r="H97" s="29"/>
    </row>
    <row r="98" spans="2:8" ht="15.75" customHeight="1" x14ac:dyDescent="0.2">
      <c r="B98" s="25" t="s">
        <v>880</v>
      </c>
      <c r="C98" s="25" t="s">
        <v>881</v>
      </c>
      <c r="D98" s="25" t="s">
        <v>237</v>
      </c>
      <c r="E98" s="26">
        <v>514</v>
      </c>
      <c r="F98" s="27">
        <v>146.96</v>
      </c>
      <c r="G98" s="28">
        <v>2.0999999999999999E-3</v>
      </c>
      <c r="H98" s="29"/>
    </row>
    <row r="99" spans="2:8" ht="15.75" customHeight="1" x14ac:dyDescent="0.2">
      <c r="B99" s="25" t="s">
        <v>301</v>
      </c>
      <c r="C99" s="25" t="s">
        <v>302</v>
      </c>
      <c r="D99" s="25" t="s">
        <v>185</v>
      </c>
      <c r="E99" s="26">
        <v>5480</v>
      </c>
      <c r="F99" s="27">
        <v>146.1</v>
      </c>
      <c r="G99" s="28">
        <v>2.0999999999999999E-3</v>
      </c>
      <c r="H99" s="29"/>
    </row>
    <row r="100" spans="2:8" ht="15.75" customHeight="1" x14ac:dyDescent="0.2">
      <c r="B100" s="25" t="s">
        <v>508</v>
      </c>
      <c r="C100" s="25" t="s">
        <v>509</v>
      </c>
      <c r="D100" s="25" t="s">
        <v>185</v>
      </c>
      <c r="E100" s="26">
        <v>15238</v>
      </c>
      <c r="F100" s="27">
        <v>143.53</v>
      </c>
      <c r="G100" s="28">
        <v>2E-3</v>
      </c>
      <c r="H100" s="29"/>
    </row>
    <row r="101" spans="2:8" ht="15.75" customHeight="1" x14ac:dyDescent="0.2">
      <c r="B101" s="25" t="s">
        <v>729</v>
      </c>
      <c r="C101" s="25" t="s">
        <v>730</v>
      </c>
      <c r="D101" s="25" t="s">
        <v>320</v>
      </c>
      <c r="E101" s="26">
        <v>30212</v>
      </c>
      <c r="F101" s="27">
        <v>141.91</v>
      </c>
      <c r="G101" s="28">
        <v>2E-3</v>
      </c>
      <c r="H101" s="29"/>
    </row>
    <row r="102" spans="2:8" ht="15.75" customHeight="1" x14ac:dyDescent="0.2">
      <c r="B102" s="25" t="s">
        <v>882</v>
      </c>
      <c r="C102" s="25" t="s">
        <v>883</v>
      </c>
      <c r="D102" s="25" t="s">
        <v>179</v>
      </c>
      <c r="E102" s="26">
        <v>17597</v>
      </c>
      <c r="F102" s="27">
        <v>126.64</v>
      </c>
      <c r="G102" s="28">
        <v>1.8E-3</v>
      </c>
      <c r="H102" s="29"/>
    </row>
    <row r="103" spans="2:8" ht="15.75" customHeight="1" x14ac:dyDescent="0.2">
      <c r="B103" s="25" t="s">
        <v>312</v>
      </c>
      <c r="C103" s="25" t="s">
        <v>313</v>
      </c>
      <c r="D103" s="25" t="s">
        <v>282</v>
      </c>
      <c r="E103" s="26">
        <v>23339</v>
      </c>
      <c r="F103" s="27">
        <v>124.32</v>
      </c>
      <c r="G103" s="28">
        <v>1.8E-3</v>
      </c>
      <c r="H103" s="29"/>
    </row>
    <row r="104" spans="2:8" ht="15.75" customHeight="1" x14ac:dyDescent="0.2">
      <c r="B104" s="25" t="s">
        <v>621</v>
      </c>
      <c r="C104" s="25" t="s">
        <v>622</v>
      </c>
      <c r="D104" s="25" t="s">
        <v>206</v>
      </c>
      <c r="E104" s="26">
        <v>16783</v>
      </c>
      <c r="F104" s="27">
        <v>101.82</v>
      </c>
      <c r="G104" s="28">
        <v>1.5E-3</v>
      </c>
      <c r="H104" s="29"/>
    </row>
    <row r="105" spans="2:8" ht="15.75" customHeight="1" x14ac:dyDescent="0.2">
      <c r="B105" s="25" t="s">
        <v>892</v>
      </c>
      <c r="C105" s="25" t="s">
        <v>893</v>
      </c>
      <c r="D105" s="25" t="s">
        <v>225</v>
      </c>
      <c r="E105" s="26">
        <v>565</v>
      </c>
      <c r="F105" s="27">
        <v>88.95</v>
      </c>
      <c r="G105" s="28">
        <v>1.2999999999999999E-3</v>
      </c>
      <c r="H105" s="29"/>
    </row>
    <row r="106" spans="2:8" ht="15.75" customHeight="1" x14ac:dyDescent="0.2">
      <c r="B106" s="25" t="s">
        <v>327</v>
      </c>
      <c r="C106" s="25" t="s">
        <v>328</v>
      </c>
      <c r="D106" s="25" t="s">
        <v>179</v>
      </c>
      <c r="E106" s="26">
        <v>6524</v>
      </c>
      <c r="F106" s="27">
        <v>85.06</v>
      </c>
      <c r="G106" s="28">
        <v>1.1999999999999999E-3</v>
      </c>
      <c r="H106" s="29"/>
    </row>
    <row r="107" spans="2:8" ht="15.75" customHeight="1" x14ac:dyDescent="0.2">
      <c r="B107" s="25" t="s">
        <v>894</v>
      </c>
      <c r="C107" s="25" t="s">
        <v>895</v>
      </c>
      <c r="D107" s="25" t="s">
        <v>578</v>
      </c>
      <c r="E107" s="26">
        <v>9350</v>
      </c>
      <c r="F107" s="27">
        <v>35.68</v>
      </c>
      <c r="G107" s="28">
        <v>5.0000000000000001E-4</v>
      </c>
      <c r="H107" s="29"/>
    </row>
    <row r="108" spans="2:8" ht="15.75" customHeight="1" x14ac:dyDescent="0.2">
      <c r="B108" s="24" t="s">
        <v>98</v>
      </c>
      <c r="C108" s="24"/>
      <c r="D108" s="24"/>
      <c r="E108" s="30"/>
      <c r="F108" s="31">
        <v>70129.42</v>
      </c>
      <c r="G108" s="32">
        <v>0.99919999999999998</v>
      </c>
      <c r="H108" s="33"/>
    </row>
    <row r="109" spans="2:8" ht="15.75" customHeight="1" x14ac:dyDescent="0.2">
      <c r="B109" s="24" t="s">
        <v>150</v>
      </c>
      <c r="C109" s="25"/>
      <c r="D109" s="25"/>
      <c r="E109" s="26"/>
      <c r="F109" s="27"/>
      <c r="G109" s="28"/>
      <c r="H109" s="29"/>
    </row>
    <row r="110" spans="2:8" ht="15.75" customHeight="1" x14ac:dyDescent="0.2">
      <c r="B110" s="24" t="s">
        <v>98</v>
      </c>
      <c r="C110" s="25"/>
      <c r="D110" s="25"/>
      <c r="E110" s="26"/>
      <c r="F110" s="34" t="s">
        <v>100</v>
      </c>
      <c r="G110" s="35" t="s">
        <v>100</v>
      </c>
      <c r="H110" s="29"/>
    </row>
    <row r="111" spans="2:8" ht="15.75" customHeight="1" x14ac:dyDescent="0.2">
      <c r="B111" s="25"/>
      <c r="C111" s="25"/>
      <c r="D111" s="25"/>
      <c r="E111" s="26"/>
      <c r="F111" s="27"/>
      <c r="G111" s="28"/>
      <c r="H111" s="29"/>
    </row>
    <row r="112" spans="2:8" ht="15.75" customHeight="1" x14ac:dyDescent="0.2">
      <c r="B112" s="36" t="s">
        <v>102</v>
      </c>
      <c r="C112" s="36"/>
      <c r="D112" s="36"/>
      <c r="E112" s="37"/>
      <c r="F112" s="31">
        <v>70129.42</v>
      </c>
      <c r="G112" s="32">
        <v>0.99919999999999998</v>
      </c>
      <c r="H112" s="33"/>
    </row>
    <row r="113" spans="2:8" ht="15.75" customHeight="1" x14ac:dyDescent="0.2">
      <c r="B113" s="25"/>
      <c r="C113" s="25"/>
      <c r="D113" s="25"/>
      <c r="E113" s="26"/>
      <c r="F113" s="27"/>
      <c r="G113" s="28"/>
      <c r="H113" s="29"/>
    </row>
    <row r="114" spans="2:8" ht="15.75" customHeight="1" x14ac:dyDescent="0.2">
      <c r="B114" s="25"/>
      <c r="C114" s="25"/>
      <c r="D114" s="25"/>
      <c r="E114" s="26"/>
      <c r="F114" s="27"/>
      <c r="G114" s="28"/>
      <c r="H114" s="29"/>
    </row>
    <row r="115" spans="2:8" ht="15.75" customHeight="1" x14ac:dyDescent="0.2">
      <c r="B115" s="24" t="s">
        <v>105</v>
      </c>
      <c r="C115" s="25"/>
      <c r="D115" s="25"/>
      <c r="E115" s="26"/>
      <c r="F115" s="27"/>
      <c r="G115" s="28"/>
      <c r="H115" s="29"/>
    </row>
    <row r="116" spans="2:8" ht="15.75" customHeight="1" x14ac:dyDescent="0.2">
      <c r="B116" s="25" t="s">
        <v>106</v>
      </c>
      <c r="C116" s="25"/>
      <c r="D116" s="25"/>
      <c r="E116" s="26"/>
      <c r="F116" s="27">
        <v>112.68</v>
      </c>
      <c r="G116" s="28">
        <v>1.6000000000000001E-3</v>
      </c>
      <c r="H116" s="29"/>
    </row>
    <row r="117" spans="2:8" ht="15.75" customHeight="1" x14ac:dyDescent="0.2">
      <c r="B117" s="24" t="s">
        <v>98</v>
      </c>
      <c r="C117" s="24"/>
      <c r="D117" s="24"/>
      <c r="E117" s="30"/>
      <c r="F117" s="31">
        <v>112.68</v>
      </c>
      <c r="G117" s="32">
        <v>1.6000000000000001E-3</v>
      </c>
      <c r="H117" s="33"/>
    </row>
    <row r="118" spans="2:8" ht="15.75" customHeight="1" x14ac:dyDescent="0.2">
      <c r="B118" s="25"/>
      <c r="C118" s="25"/>
      <c r="D118" s="25"/>
      <c r="E118" s="26"/>
      <c r="F118" s="27"/>
      <c r="G118" s="28"/>
      <c r="H118" s="29"/>
    </row>
    <row r="119" spans="2:8" ht="15.75" customHeight="1" x14ac:dyDescent="0.2">
      <c r="B119" s="36" t="s">
        <v>102</v>
      </c>
      <c r="C119" s="36"/>
      <c r="D119" s="36"/>
      <c r="E119" s="37"/>
      <c r="F119" s="31">
        <v>112.68</v>
      </c>
      <c r="G119" s="32">
        <v>1.6000000000000001E-3</v>
      </c>
      <c r="H119" s="33"/>
    </row>
    <row r="120" spans="2:8" ht="15.75" customHeight="1" x14ac:dyDescent="0.2">
      <c r="B120" s="25" t="s">
        <v>107</v>
      </c>
      <c r="C120" s="25"/>
      <c r="D120" s="25"/>
      <c r="E120" s="26"/>
      <c r="F120" s="38">
        <v>-58.46</v>
      </c>
      <c r="G120" s="39">
        <v>-7.9999999999991189E-4</v>
      </c>
      <c r="H120" s="29"/>
    </row>
    <row r="121" spans="2:8" ht="15.75" customHeight="1" x14ac:dyDescent="0.2">
      <c r="B121" s="40" t="s">
        <v>108</v>
      </c>
      <c r="C121" s="40"/>
      <c r="D121" s="40"/>
      <c r="E121" s="41"/>
      <c r="F121" s="42">
        <v>70183.64</v>
      </c>
      <c r="G121" s="43">
        <v>1</v>
      </c>
      <c r="H121" s="44"/>
    </row>
    <row r="122" spans="2:8" ht="15.75" customHeight="1" thickBot="1" x14ac:dyDescent="0.25">
      <c r="B122" s="2"/>
    </row>
    <row r="123" spans="2:8" ht="27" customHeight="1" thickBot="1" x14ac:dyDescent="0.25">
      <c r="B123" s="57" t="s">
        <v>925</v>
      </c>
      <c r="C123" s="58" t="s">
        <v>926</v>
      </c>
      <c r="D123" s="58" t="s">
        <v>927</v>
      </c>
      <c r="E123" s="63" t="s">
        <v>928</v>
      </c>
      <c r="G123" s="2"/>
      <c r="H123" s="2"/>
    </row>
    <row r="124" spans="2:8" ht="21.75" customHeight="1" x14ac:dyDescent="0.2">
      <c r="B124" s="70" t="s">
        <v>73</v>
      </c>
      <c r="C124" s="82"/>
      <c r="D124" s="85" t="s">
        <v>986</v>
      </c>
      <c r="E124" s="87"/>
      <c r="G124" s="2"/>
      <c r="H124" s="2"/>
    </row>
    <row r="125" spans="2:8" ht="31.5" customHeight="1" x14ac:dyDescent="0.2">
      <c r="B125" s="66" t="s">
        <v>1011</v>
      </c>
      <c r="C125" s="83"/>
      <c r="D125" s="86"/>
      <c r="E125" s="83"/>
      <c r="G125" s="2"/>
      <c r="H125" s="2"/>
    </row>
    <row r="126" spans="2:8" ht="48.75" customHeight="1" x14ac:dyDescent="0.2">
      <c r="B126" s="66" t="s">
        <v>1012</v>
      </c>
      <c r="C126" s="83"/>
      <c r="D126" s="86"/>
      <c r="E126" s="83"/>
      <c r="G126" s="2"/>
      <c r="H126" s="2"/>
    </row>
    <row r="127" spans="2:8" ht="28.5" customHeight="1" thickBot="1" x14ac:dyDescent="0.25">
      <c r="B127" s="68" t="s">
        <v>1013</v>
      </c>
      <c r="C127" s="84"/>
      <c r="D127" s="71" t="s">
        <v>1013</v>
      </c>
      <c r="E127" s="88"/>
      <c r="G127" s="2"/>
      <c r="H127" s="2"/>
    </row>
    <row r="128" spans="2:8" ht="24.95" customHeight="1" x14ac:dyDescent="0.2">
      <c r="B128" s="59" t="s">
        <v>929</v>
      </c>
      <c r="C128" s="60"/>
      <c r="D128" s="61"/>
      <c r="E128" s="62"/>
      <c r="G128" s="2"/>
      <c r="H128" s="2"/>
    </row>
    <row r="130" spans="2:8" ht="12" x14ac:dyDescent="0.2">
      <c r="B130" s="2" t="s">
        <v>930</v>
      </c>
      <c r="C130" s="2"/>
      <c r="D130" s="2"/>
      <c r="G130" s="2"/>
      <c r="H130" s="2"/>
    </row>
    <row r="131" spans="2:8" ht="12" x14ac:dyDescent="0.2">
      <c r="B131" s="3" t="s">
        <v>931</v>
      </c>
      <c r="C131" s="2"/>
      <c r="D131" s="2"/>
      <c r="G131" s="2"/>
      <c r="H131" s="2"/>
    </row>
  </sheetData>
  <mergeCells count="3">
    <mergeCell ref="C124:C127"/>
    <mergeCell ref="D124:D126"/>
    <mergeCell ref="E124:E127"/>
  </mergeCells>
  <hyperlinks>
    <hyperlink ref="I1" location="'Sheet1'!A1" display="Index" xr:uid="{ACB3004D-CAF4-41C4-84FE-22EE63B93F6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7AA7C-7DD5-48FD-8309-6F51F17945C3}">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4.85546875" style="9" customWidth="1"/>
    <col min="4" max="4" width="26.5703125" style="9" customWidth="1"/>
    <col min="5" max="5" width="29.28515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1014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128</v>
      </c>
      <c r="C7" s="25" t="s">
        <v>129</v>
      </c>
      <c r="D7" s="25" t="s">
        <v>130</v>
      </c>
      <c r="E7" s="26">
        <v>688010</v>
      </c>
      <c r="F7" s="27">
        <v>7239.24</v>
      </c>
      <c r="G7" s="28">
        <v>7.1599999999999997E-2</v>
      </c>
      <c r="H7" s="29"/>
    </row>
    <row r="8" spans="2:9" ht="15.75" customHeight="1" x14ac:dyDescent="0.2">
      <c r="B8" s="25" t="s">
        <v>134</v>
      </c>
      <c r="C8" s="25" t="s">
        <v>135</v>
      </c>
      <c r="D8" s="25" t="s">
        <v>130</v>
      </c>
      <c r="E8" s="26">
        <v>462949</v>
      </c>
      <c r="F8" s="27">
        <v>6497.03</v>
      </c>
      <c r="G8" s="28">
        <v>6.4199999999999993E-2</v>
      </c>
      <c r="H8" s="29"/>
    </row>
    <row r="9" spans="2:9" ht="15.75" customHeight="1" x14ac:dyDescent="0.2">
      <c r="B9" s="25" t="s">
        <v>266</v>
      </c>
      <c r="C9" s="25" t="s">
        <v>267</v>
      </c>
      <c r="D9" s="25" t="s">
        <v>130</v>
      </c>
      <c r="E9" s="26">
        <v>492702</v>
      </c>
      <c r="F9" s="27">
        <v>3685.9</v>
      </c>
      <c r="G9" s="28">
        <v>3.6400000000000002E-2</v>
      </c>
      <c r="H9" s="29"/>
    </row>
    <row r="10" spans="2:9" ht="15.75" customHeight="1" x14ac:dyDescent="0.2">
      <c r="B10" s="25" t="s">
        <v>131</v>
      </c>
      <c r="C10" s="25" t="s">
        <v>132</v>
      </c>
      <c r="D10" s="25" t="s">
        <v>133</v>
      </c>
      <c r="E10" s="26">
        <v>207379</v>
      </c>
      <c r="F10" s="27">
        <v>3471.32</v>
      </c>
      <c r="G10" s="28">
        <v>3.4299999999999997E-2</v>
      </c>
      <c r="H10" s="29"/>
    </row>
    <row r="11" spans="2:9" ht="15.75" customHeight="1" x14ac:dyDescent="0.2">
      <c r="B11" s="25" t="s">
        <v>207</v>
      </c>
      <c r="C11" s="25" t="s">
        <v>208</v>
      </c>
      <c r="D11" s="25" t="s">
        <v>209</v>
      </c>
      <c r="E11" s="26">
        <v>84106</v>
      </c>
      <c r="F11" s="27">
        <v>3264.83</v>
      </c>
      <c r="G11" s="28">
        <v>3.2300000000000002E-2</v>
      </c>
      <c r="H11" s="29"/>
    </row>
    <row r="12" spans="2:9" ht="15.75" customHeight="1" x14ac:dyDescent="0.2">
      <c r="B12" s="25" t="s">
        <v>268</v>
      </c>
      <c r="C12" s="25" t="s">
        <v>269</v>
      </c>
      <c r="D12" s="25" t="s">
        <v>130</v>
      </c>
      <c r="E12" s="26">
        <v>277288</v>
      </c>
      <c r="F12" s="27">
        <v>2981.12</v>
      </c>
      <c r="G12" s="28">
        <v>2.9499999999999998E-2</v>
      </c>
      <c r="H12" s="29"/>
    </row>
    <row r="13" spans="2:9" ht="15.75" customHeight="1" x14ac:dyDescent="0.2">
      <c r="B13" s="25" t="s">
        <v>548</v>
      </c>
      <c r="C13" s="25" t="s">
        <v>549</v>
      </c>
      <c r="D13" s="25" t="s">
        <v>179</v>
      </c>
      <c r="E13" s="26">
        <v>247804</v>
      </c>
      <c r="F13" s="27">
        <v>2699.08</v>
      </c>
      <c r="G13" s="28">
        <v>2.6700000000000002E-2</v>
      </c>
      <c r="H13" s="29"/>
    </row>
    <row r="14" spans="2:9" ht="15.75" customHeight="1" x14ac:dyDescent="0.2">
      <c r="B14" s="25" t="s">
        <v>318</v>
      </c>
      <c r="C14" s="25" t="s">
        <v>319</v>
      </c>
      <c r="D14" s="25" t="s">
        <v>320</v>
      </c>
      <c r="E14" s="26">
        <v>66197</v>
      </c>
      <c r="F14" s="27">
        <v>2431.2199999999998</v>
      </c>
      <c r="G14" s="28">
        <v>2.4E-2</v>
      </c>
      <c r="H14" s="29"/>
    </row>
    <row r="15" spans="2:9" ht="15.75" customHeight="1" x14ac:dyDescent="0.2">
      <c r="B15" s="25" t="s">
        <v>172</v>
      </c>
      <c r="C15" s="25" t="s">
        <v>173</v>
      </c>
      <c r="D15" s="25" t="s">
        <v>174</v>
      </c>
      <c r="E15" s="26">
        <v>69655</v>
      </c>
      <c r="F15" s="27">
        <v>2422.29</v>
      </c>
      <c r="G15" s="28">
        <v>2.3900000000000001E-2</v>
      </c>
      <c r="H15" s="29"/>
    </row>
    <row r="16" spans="2:9" ht="15.75" customHeight="1" x14ac:dyDescent="0.2">
      <c r="B16" s="25" t="s">
        <v>204</v>
      </c>
      <c r="C16" s="25" t="s">
        <v>205</v>
      </c>
      <c r="D16" s="25" t="s">
        <v>206</v>
      </c>
      <c r="E16" s="26">
        <v>65475</v>
      </c>
      <c r="F16" s="27">
        <v>2373.08</v>
      </c>
      <c r="G16" s="28">
        <v>2.35E-2</v>
      </c>
      <c r="H16" s="29"/>
    </row>
    <row r="17" spans="2:8" ht="15.75" customHeight="1" x14ac:dyDescent="0.2">
      <c r="B17" s="25" t="s">
        <v>874</v>
      </c>
      <c r="C17" s="25" t="s">
        <v>875</v>
      </c>
      <c r="D17" s="25" t="s">
        <v>355</v>
      </c>
      <c r="E17" s="26">
        <v>42803</v>
      </c>
      <c r="F17" s="27">
        <v>2330.6</v>
      </c>
      <c r="G17" s="28">
        <v>2.3E-2</v>
      </c>
      <c r="H17" s="29"/>
    </row>
    <row r="18" spans="2:8" ht="15.75" customHeight="1" x14ac:dyDescent="0.2">
      <c r="B18" s="25" t="s">
        <v>136</v>
      </c>
      <c r="C18" s="25" t="s">
        <v>137</v>
      </c>
      <c r="D18" s="25" t="s">
        <v>138</v>
      </c>
      <c r="E18" s="26">
        <v>77980</v>
      </c>
      <c r="F18" s="27">
        <v>2278.2600000000002</v>
      </c>
      <c r="G18" s="28">
        <v>2.2499999999999999E-2</v>
      </c>
      <c r="H18" s="29"/>
    </row>
    <row r="19" spans="2:8" ht="15.75" customHeight="1" x14ac:dyDescent="0.2">
      <c r="B19" s="25" t="s">
        <v>358</v>
      </c>
      <c r="C19" s="25" t="s">
        <v>359</v>
      </c>
      <c r="D19" s="25" t="s">
        <v>130</v>
      </c>
      <c r="E19" s="26">
        <v>1994289</v>
      </c>
      <c r="F19" s="27">
        <v>1987.31</v>
      </c>
      <c r="G19" s="28">
        <v>1.9599999999999999E-2</v>
      </c>
      <c r="H19" s="29"/>
    </row>
    <row r="20" spans="2:8" ht="15.75" customHeight="1" x14ac:dyDescent="0.2">
      <c r="B20" s="25" t="s">
        <v>270</v>
      </c>
      <c r="C20" s="25" t="s">
        <v>271</v>
      </c>
      <c r="D20" s="25" t="s">
        <v>133</v>
      </c>
      <c r="E20" s="26">
        <v>116618</v>
      </c>
      <c r="F20" s="27">
        <v>1940.35</v>
      </c>
      <c r="G20" s="28">
        <v>1.9199999999999998E-2</v>
      </c>
      <c r="H20" s="29"/>
    </row>
    <row r="21" spans="2:8" ht="15.75" customHeight="1" x14ac:dyDescent="0.2">
      <c r="B21" s="25" t="s">
        <v>524</v>
      </c>
      <c r="C21" s="25" t="s">
        <v>525</v>
      </c>
      <c r="D21" s="25" t="s">
        <v>362</v>
      </c>
      <c r="E21" s="26">
        <v>330609</v>
      </c>
      <c r="F21" s="27">
        <v>1939.68</v>
      </c>
      <c r="G21" s="28">
        <v>1.9199999999999998E-2</v>
      </c>
      <c r="H21" s="29"/>
    </row>
    <row r="22" spans="2:8" ht="15.75" customHeight="1" x14ac:dyDescent="0.2">
      <c r="B22" s="25" t="s">
        <v>278</v>
      </c>
      <c r="C22" s="25" t="s">
        <v>279</v>
      </c>
      <c r="D22" s="25" t="s">
        <v>222</v>
      </c>
      <c r="E22" s="26">
        <v>79455</v>
      </c>
      <c r="F22" s="27">
        <v>1898.7</v>
      </c>
      <c r="G22" s="28">
        <v>1.8800000000000001E-2</v>
      </c>
      <c r="H22" s="29"/>
    </row>
    <row r="23" spans="2:8" ht="15.75" customHeight="1" x14ac:dyDescent="0.2">
      <c r="B23" s="25" t="s">
        <v>385</v>
      </c>
      <c r="C23" s="25" t="s">
        <v>386</v>
      </c>
      <c r="D23" s="25" t="s">
        <v>387</v>
      </c>
      <c r="E23" s="26">
        <v>130936</v>
      </c>
      <c r="F23" s="27">
        <v>1844.23</v>
      </c>
      <c r="G23" s="28">
        <v>1.8200000000000001E-2</v>
      </c>
      <c r="H23" s="29"/>
    </row>
    <row r="24" spans="2:8" ht="15.75" customHeight="1" x14ac:dyDescent="0.2">
      <c r="B24" s="25" t="s">
        <v>283</v>
      </c>
      <c r="C24" s="25" t="s">
        <v>284</v>
      </c>
      <c r="D24" s="25" t="s">
        <v>285</v>
      </c>
      <c r="E24" s="26">
        <v>81243</v>
      </c>
      <c r="F24" s="27">
        <v>1780.36</v>
      </c>
      <c r="G24" s="28">
        <v>1.7600000000000001E-2</v>
      </c>
      <c r="H24" s="29"/>
    </row>
    <row r="25" spans="2:8" ht="15.75" customHeight="1" x14ac:dyDescent="0.2">
      <c r="B25" s="25" t="s">
        <v>295</v>
      </c>
      <c r="C25" s="25" t="s">
        <v>296</v>
      </c>
      <c r="D25" s="25" t="s">
        <v>179</v>
      </c>
      <c r="E25" s="26">
        <v>433523</v>
      </c>
      <c r="F25" s="27">
        <v>1737.13</v>
      </c>
      <c r="G25" s="28">
        <v>1.72E-2</v>
      </c>
      <c r="H25" s="29"/>
    </row>
    <row r="26" spans="2:8" ht="15.75" customHeight="1" x14ac:dyDescent="0.2">
      <c r="B26" s="25" t="s">
        <v>274</v>
      </c>
      <c r="C26" s="25" t="s">
        <v>275</v>
      </c>
      <c r="D26" s="25" t="s">
        <v>144</v>
      </c>
      <c r="E26" s="26">
        <v>15229</v>
      </c>
      <c r="F26" s="27">
        <v>1719.1</v>
      </c>
      <c r="G26" s="28">
        <v>1.7000000000000001E-2</v>
      </c>
      <c r="H26" s="29"/>
    </row>
    <row r="27" spans="2:8" ht="15.75" customHeight="1" x14ac:dyDescent="0.2">
      <c r="B27" s="25" t="s">
        <v>177</v>
      </c>
      <c r="C27" s="25" t="s">
        <v>178</v>
      </c>
      <c r="D27" s="25" t="s">
        <v>179</v>
      </c>
      <c r="E27" s="26">
        <v>26160</v>
      </c>
      <c r="F27" s="27">
        <v>1699.18</v>
      </c>
      <c r="G27" s="28">
        <v>1.6799999999999999E-2</v>
      </c>
      <c r="H27" s="29"/>
    </row>
    <row r="28" spans="2:8" ht="15.75" customHeight="1" x14ac:dyDescent="0.2">
      <c r="B28" s="25" t="s">
        <v>643</v>
      </c>
      <c r="C28" s="25" t="s">
        <v>644</v>
      </c>
      <c r="D28" s="25" t="s">
        <v>206</v>
      </c>
      <c r="E28" s="26">
        <v>132721</v>
      </c>
      <c r="F28" s="27">
        <v>1685.89</v>
      </c>
      <c r="G28" s="28">
        <v>1.67E-2</v>
      </c>
      <c r="H28" s="29"/>
    </row>
    <row r="29" spans="2:8" ht="15.75" customHeight="1" x14ac:dyDescent="0.2">
      <c r="B29" s="25" t="s">
        <v>210</v>
      </c>
      <c r="C29" s="25" t="s">
        <v>211</v>
      </c>
      <c r="D29" s="25" t="s">
        <v>141</v>
      </c>
      <c r="E29" s="26">
        <v>413205</v>
      </c>
      <c r="F29" s="27">
        <v>1678.85</v>
      </c>
      <c r="G29" s="28">
        <v>1.66E-2</v>
      </c>
      <c r="H29" s="29"/>
    </row>
    <row r="30" spans="2:8" ht="15.75" customHeight="1" x14ac:dyDescent="0.2">
      <c r="B30" s="25" t="s">
        <v>637</v>
      </c>
      <c r="C30" s="25" t="s">
        <v>638</v>
      </c>
      <c r="D30" s="25" t="s">
        <v>309</v>
      </c>
      <c r="E30" s="26">
        <v>177919</v>
      </c>
      <c r="F30" s="27">
        <v>1624.93</v>
      </c>
      <c r="G30" s="28">
        <v>1.61E-2</v>
      </c>
      <c r="H30" s="29"/>
    </row>
    <row r="31" spans="2:8" ht="15.75" customHeight="1" x14ac:dyDescent="0.2">
      <c r="B31" s="25" t="s">
        <v>701</v>
      </c>
      <c r="C31" s="25" t="s">
        <v>702</v>
      </c>
      <c r="D31" s="25" t="s">
        <v>144</v>
      </c>
      <c r="E31" s="26">
        <v>42699</v>
      </c>
      <c r="F31" s="27">
        <v>1619.32</v>
      </c>
      <c r="G31" s="28">
        <v>1.6E-2</v>
      </c>
      <c r="H31" s="29"/>
    </row>
    <row r="32" spans="2:8" ht="15.75" customHeight="1" x14ac:dyDescent="0.2">
      <c r="B32" s="25" t="s">
        <v>765</v>
      </c>
      <c r="C32" s="25" t="s">
        <v>766</v>
      </c>
      <c r="D32" s="25" t="s">
        <v>133</v>
      </c>
      <c r="E32" s="26">
        <v>98996</v>
      </c>
      <c r="F32" s="27">
        <v>1554.78</v>
      </c>
      <c r="G32" s="28">
        <v>1.54E-2</v>
      </c>
      <c r="H32" s="29"/>
    </row>
    <row r="33" spans="2:8" ht="15.75" customHeight="1" x14ac:dyDescent="0.2">
      <c r="B33" s="25" t="s">
        <v>251</v>
      </c>
      <c r="C33" s="25" t="s">
        <v>252</v>
      </c>
      <c r="D33" s="25" t="s">
        <v>179</v>
      </c>
      <c r="E33" s="26">
        <v>97317</v>
      </c>
      <c r="F33" s="27">
        <v>1551.04</v>
      </c>
      <c r="G33" s="28">
        <v>1.5299999999999999E-2</v>
      </c>
      <c r="H33" s="29"/>
    </row>
    <row r="34" spans="2:8" ht="15.75" customHeight="1" x14ac:dyDescent="0.2">
      <c r="B34" s="25" t="s">
        <v>377</v>
      </c>
      <c r="C34" s="25" t="s">
        <v>378</v>
      </c>
      <c r="D34" s="25" t="s">
        <v>309</v>
      </c>
      <c r="E34" s="26">
        <v>134720</v>
      </c>
      <c r="F34" s="27">
        <v>1550.63</v>
      </c>
      <c r="G34" s="28">
        <v>1.5299999999999999E-2</v>
      </c>
      <c r="H34" s="29"/>
    </row>
    <row r="35" spans="2:8" ht="15.75" customHeight="1" x14ac:dyDescent="0.2">
      <c r="B35" s="25" t="s">
        <v>508</v>
      </c>
      <c r="C35" s="25" t="s">
        <v>509</v>
      </c>
      <c r="D35" s="25" t="s">
        <v>185</v>
      </c>
      <c r="E35" s="26">
        <v>159425</v>
      </c>
      <c r="F35" s="27">
        <v>1501.62</v>
      </c>
      <c r="G35" s="28">
        <v>1.4800000000000001E-2</v>
      </c>
      <c r="H35" s="29"/>
    </row>
    <row r="36" spans="2:8" ht="15.75" customHeight="1" x14ac:dyDescent="0.2">
      <c r="B36" s="25" t="s">
        <v>142</v>
      </c>
      <c r="C36" s="25" t="s">
        <v>143</v>
      </c>
      <c r="D36" s="25" t="s">
        <v>144</v>
      </c>
      <c r="E36" s="26">
        <v>77666</v>
      </c>
      <c r="F36" s="27">
        <v>1500.82</v>
      </c>
      <c r="G36" s="28">
        <v>1.4800000000000001E-2</v>
      </c>
      <c r="H36" s="29"/>
    </row>
    <row r="37" spans="2:8" ht="15.75" customHeight="1" x14ac:dyDescent="0.2">
      <c r="B37" s="25" t="s">
        <v>139</v>
      </c>
      <c r="C37" s="25" t="s">
        <v>140</v>
      </c>
      <c r="D37" s="25" t="s">
        <v>141</v>
      </c>
      <c r="E37" s="26">
        <v>62212</v>
      </c>
      <c r="F37" s="27">
        <v>1500.74</v>
      </c>
      <c r="G37" s="28">
        <v>1.4800000000000001E-2</v>
      </c>
      <c r="H37" s="29"/>
    </row>
    <row r="38" spans="2:8" ht="15.75" customHeight="1" x14ac:dyDescent="0.2">
      <c r="B38" s="25" t="s">
        <v>351</v>
      </c>
      <c r="C38" s="25" t="s">
        <v>352</v>
      </c>
      <c r="D38" s="25" t="s">
        <v>209</v>
      </c>
      <c r="E38" s="26">
        <v>853703</v>
      </c>
      <c r="F38" s="27">
        <v>1412.45</v>
      </c>
      <c r="G38" s="28">
        <v>1.4E-2</v>
      </c>
      <c r="H38" s="29"/>
    </row>
    <row r="39" spans="2:8" ht="15.75" customHeight="1" x14ac:dyDescent="0.2">
      <c r="B39" s="25" t="s">
        <v>898</v>
      </c>
      <c r="C39" s="25" t="s">
        <v>899</v>
      </c>
      <c r="D39" s="25" t="s">
        <v>355</v>
      </c>
      <c r="E39" s="26">
        <v>37419</v>
      </c>
      <c r="F39" s="27">
        <v>1361.02</v>
      </c>
      <c r="G39" s="28">
        <v>1.35E-2</v>
      </c>
      <c r="H39" s="29"/>
    </row>
    <row r="40" spans="2:8" ht="15.75" customHeight="1" x14ac:dyDescent="0.2">
      <c r="B40" s="25" t="s">
        <v>145</v>
      </c>
      <c r="C40" s="25" t="s">
        <v>146</v>
      </c>
      <c r="D40" s="25" t="s">
        <v>147</v>
      </c>
      <c r="E40" s="26">
        <v>52220</v>
      </c>
      <c r="F40" s="27">
        <v>1355.74</v>
      </c>
      <c r="G40" s="28">
        <v>1.34E-2</v>
      </c>
      <c r="H40" s="29"/>
    </row>
    <row r="41" spans="2:8" ht="15.75" customHeight="1" x14ac:dyDescent="0.2">
      <c r="B41" s="25" t="s">
        <v>606</v>
      </c>
      <c r="C41" s="25" t="s">
        <v>607</v>
      </c>
      <c r="D41" s="25" t="s">
        <v>171</v>
      </c>
      <c r="E41" s="26">
        <v>22239</v>
      </c>
      <c r="F41" s="27">
        <v>1342.06</v>
      </c>
      <c r="G41" s="28">
        <v>1.3299999999999999E-2</v>
      </c>
      <c r="H41" s="29"/>
    </row>
    <row r="42" spans="2:8" ht="15.75" customHeight="1" x14ac:dyDescent="0.2">
      <c r="B42" s="25" t="s">
        <v>562</v>
      </c>
      <c r="C42" s="25" t="s">
        <v>563</v>
      </c>
      <c r="D42" s="25" t="s">
        <v>206</v>
      </c>
      <c r="E42" s="26">
        <v>105795</v>
      </c>
      <c r="F42" s="27">
        <v>1205.1099999999999</v>
      </c>
      <c r="G42" s="28">
        <v>1.1900000000000001E-2</v>
      </c>
      <c r="H42" s="29"/>
    </row>
    <row r="43" spans="2:8" ht="15.75" customHeight="1" x14ac:dyDescent="0.2">
      <c r="B43" s="25" t="s">
        <v>381</v>
      </c>
      <c r="C43" s="25" t="s">
        <v>382</v>
      </c>
      <c r="D43" s="25" t="s">
        <v>133</v>
      </c>
      <c r="E43" s="26">
        <v>18377</v>
      </c>
      <c r="F43" s="27">
        <v>1204.44</v>
      </c>
      <c r="G43" s="28">
        <v>1.1900000000000001E-2</v>
      </c>
      <c r="H43" s="29"/>
    </row>
    <row r="44" spans="2:8" ht="15.75" customHeight="1" x14ac:dyDescent="0.2">
      <c r="B44" s="25" t="s">
        <v>671</v>
      </c>
      <c r="C44" s="25" t="s">
        <v>672</v>
      </c>
      <c r="D44" s="25" t="s">
        <v>206</v>
      </c>
      <c r="E44" s="26">
        <v>164140</v>
      </c>
      <c r="F44" s="27">
        <v>1161.1300000000001</v>
      </c>
      <c r="G44" s="28">
        <v>1.15E-2</v>
      </c>
      <c r="H44" s="29"/>
    </row>
    <row r="45" spans="2:8" ht="15.75" customHeight="1" x14ac:dyDescent="0.2">
      <c r="B45" s="25" t="s">
        <v>148</v>
      </c>
      <c r="C45" s="25" t="s">
        <v>149</v>
      </c>
      <c r="D45" s="25" t="s">
        <v>133</v>
      </c>
      <c r="E45" s="26">
        <v>20985</v>
      </c>
      <c r="F45" s="27">
        <v>1112.3800000000001</v>
      </c>
      <c r="G45" s="28">
        <v>1.0999999999999999E-2</v>
      </c>
      <c r="H45" s="29"/>
    </row>
    <row r="46" spans="2:8" ht="15.75" customHeight="1" x14ac:dyDescent="0.2">
      <c r="B46" s="25" t="s">
        <v>534</v>
      </c>
      <c r="C46" s="25" t="s">
        <v>535</v>
      </c>
      <c r="D46" s="25" t="s">
        <v>240</v>
      </c>
      <c r="E46" s="26">
        <v>149254</v>
      </c>
      <c r="F46" s="27">
        <v>1112.24</v>
      </c>
      <c r="G46" s="28">
        <v>1.0999999999999999E-2</v>
      </c>
      <c r="H46" s="29"/>
    </row>
    <row r="47" spans="2:8" ht="15.75" customHeight="1" x14ac:dyDescent="0.2">
      <c r="B47" s="25" t="s">
        <v>900</v>
      </c>
      <c r="C47" s="25" t="s">
        <v>901</v>
      </c>
      <c r="D47" s="25" t="s">
        <v>206</v>
      </c>
      <c r="E47" s="26">
        <v>51772</v>
      </c>
      <c r="F47" s="27">
        <v>1054.18</v>
      </c>
      <c r="G47" s="28">
        <v>1.04E-2</v>
      </c>
      <c r="H47" s="29"/>
    </row>
    <row r="48" spans="2:8" ht="15.75" customHeight="1" x14ac:dyDescent="0.2">
      <c r="B48" s="25" t="s">
        <v>440</v>
      </c>
      <c r="C48" s="25" t="s">
        <v>441</v>
      </c>
      <c r="D48" s="25" t="s">
        <v>285</v>
      </c>
      <c r="E48" s="26">
        <v>10241</v>
      </c>
      <c r="F48" s="27">
        <v>1013.08</v>
      </c>
      <c r="G48" s="28">
        <v>0.01</v>
      </c>
      <c r="H48" s="29"/>
    </row>
    <row r="49" spans="2:8" ht="15.75" customHeight="1" x14ac:dyDescent="0.2">
      <c r="B49" s="25" t="s">
        <v>675</v>
      </c>
      <c r="C49" s="25" t="s">
        <v>676</v>
      </c>
      <c r="D49" s="25" t="s">
        <v>222</v>
      </c>
      <c r="E49" s="26">
        <v>33466</v>
      </c>
      <c r="F49" s="27">
        <v>1011.04</v>
      </c>
      <c r="G49" s="28">
        <v>0.01</v>
      </c>
      <c r="H49" s="29"/>
    </row>
    <row r="50" spans="2:8" ht="15.75" customHeight="1" x14ac:dyDescent="0.2">
      <c r="B50" s="25" t="s">
        <v>546</v>
      </c>
      <c r="C50" s="25" t="s">
        <v>547</v>
      </c>
      <c r="D50" s="25" t="s">
        <v>133</v>
      </c>
      <c r="E50" s="26">
        <v>12915</v>
      </c>
      <c r="F50" s="27">
        <v>1008.8</v>
      </c>
      <c r="G50" s="28">
        <v>0.01</v>
      </c>
      <c r="H50" s="29"/>
    </row>
    <row r="51" spans="2:8" ht="15.75" customHeight="1" x14ac:dyDescent="0.2">
      <c r="B51" s="25" t="s">
        <v>576</v>
      </c>
      <c r="C51" s="25" t="s">
        <v>577</v>
      </c>
      <c r="D51" s="25" t="s">
        <v>578</v>
      </c>
      <c r="E51" s="26">
        <v>156323</v>
      </c>
      <c r="F51" s="27">
        <v>984.44</v>
      </c>
      <c r="G51" s="28">
        <v>9.7000000000000003E-3</v>
      </c>
      <c r="H51" s="29"/>
    </row>
    <row r="52" spans="2:8" ht="15.75" customHeight="1" x14ac:dyDescent="0.2">
      <c r="B52" s="25" t="s">
        <v>396</v>
      </c>
      <c r="C52" s="25" t="s">
        <v>397</v>
      </c>
      <c r="D52" s="25" t="s">
        <v>237</v>
      </c>
      <c r="E52" s="26">
        <v>23097</v>
      </c>
      <c r="F52" s="27">
        <v>967.5</v>
      </c>
      <c r="G52" s="28">
        <v>9.5999999999999992E-3</v>
      </c>
      <c r="H52" s="29"/>
    </row>
    <row r="53" spans="2:8" ht="15.75" customHeight="1" x14ac:dyDescent="0.2">
      <c r="B53" s="25" t="s">
        <v>902</v>
      </c>
      <c r="C53" s="25" t="s">
        <v>903</v>
      </c>
      <c r="D53" s="25" t="s">
        <v>147</v>
      </c>
      <c r="E53" s="26">
        <v>90072</v>
      </c>
      <c r="F53" s="27">
        <v>957.06</v>
      </c>
      <c r="G53" s="28">
        <v>9.4999999999999998E-3</v>
      </c>
      <c r="H53" s="29"/>
    </row>
    <row r="54" spans="2:8" ht="15.75" customHeight="1" x14ac:dyDescent="0.2">
      <c r="B54" s="25" t="s">
        <v>904</v>
      </c>
      <c r="C54" s="25" t="s">
        <v>905</v>
      </c>
      <c r="D54" s="25" t="s">
        <v>309</v>
      </c>
      <c r="E54" s="26">
        <v>25678</v>
      </c>
      <c r="F54" s="27">
        <v>936.09</v>
      </c>
      <c r="G54" s="28">
        <v>9.2999999999999992E-3</v>
      </c>
      <c r="H54" s="29"/>
    </row>
    <row r="55" spans="2:8" ht="15.75" customHeight="1" x14ac:dyDescent="0.2">
      <c r="B55" s="25" t="s">
        <v>514</v>
      </c>
      <c r="C55" s="25" t="s">
        <v>515</v>
      </c>
      <c r="D55" s="25" t="s">
        <v>185</v>
      </c>
      <c r="E55" s="26">
        <v>3004</v>
      </c>
      <c r="F55" s="27">
        <v>854.16</v>
      </c>
      <c r="G55" s="28">
        <v>8.3999999999999995E-3</v>
      </c>
      <c r="H55" s="29"/>
    </row>
    <row r="56" spans="2:8" ht="15.75" customHeight="1" x14ac:dyDescent="0.2">
      <c r="B56" s="25" t="s">
        <v>540</v>
      </c>
      <c r="C56" s="25" t="s">
        <v>541</v>
      </c>
      <c r="D56" s="25" t="s">
        <v>237</v>
      </c>
      <c r="E56" s="26">
        <v>26985</v>
      </c>
      <c r="F56" s="27">
        <v>780.62</v>
      </c>
      <c r="G56" s="28">
        <v>7.7000000000000002E-3</v>
      </c>
      <c r="H56" s="29"/>
    </row>
    <row r="57" spans="2:8" ht="15.75" customHeight="1" x14ac:dyDescent="0.2">
      <c r="B57" s="25" t="s">
        <v>906</v>
      </c>
      <c r="C57" s="25" t="s">
        <v>907</v>
      </c>
      <c r="D57" s="25" t="s">
        <v>206</v>
      </c>
      <c r="E57" s="26">
        <v>9922</v>
      </c>
      <c r="F57" s="27">
        <v>752.04</v>
      </c>
      <c r="G57" s="28">
        <v>7.4000000000000003E-3</v>
      </c>
      <c r="H57" s="29"/>
    </row>
    <row r="58" spans="2:8" ht="15.75" customHeight="1" x14ac:dyDescent="0.2">
      <c r="B58" s="25" t="s">
        <v>214</v>
      </c>
      <c r="C58" s="25" t="s">
        <v>215</v>
      </c>
      <c r="D58" s="25" t="s">
        <v>130</v>
      </c>
      <c r="E58" s="26">
        <v>43796</v>
      </c>
      <c r="F58" s="27">
        <v>739.91</v>
      </c>
      <c r="G58" s="28">
        <v>7.3000000000000001E-3</v>
      </c>
      <c r="H58" s="29"/>
    </row>
    <row r="59" spans="2:8" ht="15.75" customHeight="1" x14ac:dyDescent="0.2">
      <c r="B59" s="25" t="s">
        <v>838</v>
      </c>
      <c r="C59" s="25" t="s">
        <v>839</v>
      </c>
      <c r="D59" s="25" t="s">
        <v>237</v>
      </c>
      <c r="E59" s="26">
        <v>5038</v>
      </c>
      <c r="F59" s="27">
        <v>731.72</v>
      </c>
      <c r="G59" s="28">
        <v>7.1999999999999998E-3</v>
      </c>
      <c r="H59" s="29"/>
    </row>
    <row r="60" spans="2:8" ht="15.75" customHeight="1" x14ac:dyDescent="0.2">
      <c r="B60" s="25" t="s">
        <v>455</v>
      </c>
      <c r="C60" s="25" t="s">
        <v>456</v>
      </c>
      <c r="D60" s="25" t="s">
        <v>320</v>
      </c>
      <c r="E60" s="26">
        <v>67276</v>
      </c>
      <c r="F60" s="27">
        <v>724.06</v>
      </c>
      <c r="G60" s="28">
        <v>7.1999999999999998E-3</v>
      </c>
      <c r="H60" s="29"/>
    </row>
    <row r="61" spans="2:8" ht="15.75" customHeight="1" x14ac:dyDescent="0.2">
      <c r="B61" s="25" t="s">
        <v>699</v>
      </c>
      <c r="C61" s="25" t="s">
        <v>700</v>
      </c>
      <c r="D61" s="25" t="s">
        <v>209</v>
      </c>
      <c r="E61" s="26">
        <v>15644</v>
      </c>
      <c r="F61" s="27">
        <v>613.07000000000005</v>
      </c>
      <c r="G61" s="28">
        <v>6.1000000000000004E-3</v>
      </c>
      <c r="H61" s="29"/>
    </row>
    <row r="62" spans="2:8" ht="15.75" customHeight="1" x14ac:dyDescent="0.2">
      <c r="B62" s="25" t="s">
        <v>651</v>
      </c>
      <c r="C62" s="25" t="s">
        <v>652</v>
      </c>
      <c r="D62" s="25" t="s">
        <v>309</v>
      </c>
      <c r="E62" s="26">
        <v>29166</v>
      </c>
      <c r="F62" s="27">
        <v>609.16</v>
      </c>
      <c r="G62" s="28">
        <v>6.0000000000000001E-3</v>
      </c>
      <c r="H62" s="29"/>
    </row>
    <row r="63" spans="2:8" ht="15.75" customHeight="1" x14ac:dyDescent="0.2">
      <c r="B63" s="25" t="s">
        <v>340</v>
      </c>
      <c r="C63" s="25" t="s">
        <v>341</v>
      </c>
      <c r="D63" s="25" t="s">
        <v>285</v>
      </c>
      <c r="E63" s="26">
        <v>2488</v>
      </c>
      <c r="F63" s="27">
        <v>23.65</v>
      </c>
      <c r="G63" s="28">
        <v>2.0000000000000001E-4</v>
      </c>
      <c r="H63" s="29"/>
    </row>
    <row r="64" spans="2:8" ht="15.75" customHeight="1" x14ac:dyDescent="0.2">
      <c r="B64" s="24" t="s">
        <v>98</v>
      </c>
      <c r="C64" s="24"/>
      <c r="D64" s="24"/>
      <c r="E64" s="30"/>
      <c r="F64" s="31">
        <v>99015.78</v>
      </c>
      <c r="G64" s="32">
        <v>0.97889999999999999</v>
      </c>
      <c r="H64" s="33"/>
    </row>
    <row r="65" spans="2:16" ht="15.75" customHeight="1" x14ac:dyDescent="0.2">
      <c r="B65" s="24" t="s">
        <v>150</v>
      </c>
      <c r="C65" s="25"/>
      <c r="D65" s="25"/>
      <c r="E65" s="26"/>
      <c r="F65" s="27"/>
      <c r="G65" s="28"/>
      <c r="H65" s="29"/>
    </row>
    <row r="66" spans="2:16" ht="15.75" customHeight="1" x14ac:dyDescent="0.2">
      <c r="B66" s="24" t="s">
        <v>98</v>
      </c>
      <c r="C66" s="25"/>
      <c r="D66" s="25"/>
      <c r="E66" s="26"/>
      <c r="F66" s="34" t="s">
        <v>100</v>
      </c>
      <c r="G66" s="35" t="s">
        <v>100</v>
      </c>
      <c r="H66" s="29"/>
    </row>
    <row r="67" spans="2:16" ht="15.75" customHeight="1" x14ac:dyDescent="0.2">
      <c r="B67" s="25"/>
      <c r="C67" s="25"/>
      <c r="D67" s="25"/>
      <c r="E67" s="26"/>
      <c r="F67" s="27"/>
      <c r="G67" s="28"/>
      <c r="H67" s="29"/>
    </row>
    <row r="68" spans="2:16" ht="15.75" customHeight="1" x14ac:dyDescent="0.2">
      <c r="B68" s="36" t="s">
        <v>102</v>
      </c>
      <c r="C68" s="36"/>
      <c r="D68" s="36"/>
      <c r="E68" s="37"/>
      <c r="F68" s="31">
        <v>99015.78</v>
      </c>
      <c r="G68" s="32">
        <v>0.97889999999999999</v>
      </c>
      <c r="H68" s="33"/>
      <c r="L68" s="3"/>
    </row>
    <row r="69" spans="2:16" ht="15.75" customHeight="1" x14ac:dyDescent="0.2">
      <c r="B69" s="25"/>
      <c r="C69" s="25"/>
      <c r="D69" s="25"/>
      <c r="E69" s="26"/>
      <c r="F69" s="27"/>
      <c r="G69" s="28"/>
      <c r="H69" s="29"/>
    </row>
    <row r="70" spans="2:16" ht="15.75" customHeight="1" x14ac:dyDescent="0.2">
      <c r="B70" s="25"/>
      <c r="C70" s="25"/>
      <c r="D70" s="25"/>
      <c r="E70" s="26"/>
      <c r="F70" s="27"/>
      <c r="G70" s="28"/>
      <c r="H70" s="29"/>
      <c r="L70" s="3"/>
    </row>
    <row r="71" spans="2:16" ht="15.75" customHeight="1" x14ac:dyDescent="0.2">
      <c r="B71" s="24" t="s">
        <v>105</v>
      </c>
      <c r="C71" s="25"/>
      <c r="D71" s="25"/>
      <c r="E71" s="26"/>
      <c r="F71" s="27"/>
      <c r="G71" s="28"/>
      <c r="H71" s="29"/>
      <c r="L71" s="3"/>
    </row>
    <row r="72" spans="2:16" ht="15.75" customHeight="1" x14ac:dyDescent="0.2">
      <c r="B72" s="25" t="s">
        <v>106</v>
      </c>
      <c r="C72" s="25"/>
      <c r="D72" s="25"/>
      <c r="E72" s="26"/>
      <c r="F72" s="27">
        <v>2183.0100000000002</v>
      </c>
      <c r="G72" s="28">
        <v>2.1600000000000001E-2</v>
      </c>
      <c r="H72" s="29"/>
      <c r="L72" s="3"/>
    </row>
    <row r="73" spans="2:16" ht="15.75" customHeight="1" x14ac:dyDescent="0.2">
      <c r="B73" s="24" t="s">
        <v>98</v>
      </c>
      <c r="C73" s="24"/>
      <c r="D73" s="24"/>
      <c r="E73" s="30"/>
      <c r="F73" s="31">
        <v>2183.0100000000002</v>
      </c>
      <c r="G73" s="32">
        <v>2.1600000000000001E-2</v>
      </c>
      <c r="H73" s="33"/>
      <c r="L73" s="3"/>
    </row>
    <row r="74" spans="2:16" ht="15.75" customHeight="1" x14ac:dyDescent="0.2">
      <c r="B74" s="25"/>
      <c r="C74" s="25"/>
      <c r="D74" s="25"/>
      <c r="E74" s="26"/>
      <c r="F74" s="27"/>
      <c r="G74" s="28"/>
      <c r="H74" s="29"/>
      <c r="L74" s="3"/>
    </row>
    <row r="75" spans="2:16" ht="15.75" customHeight="1" x14ac:dyDescent="0.2">
      <c r="B75" s="36" t="s">
        <v>102</v>
      </c>
      <c r="C75" s="36"/>
      <c r="D75" s="36"/>
      <c r="E75" s="37"/>
      <c r="F75" s="31">
        <v>2183.0100000000002</v>
      </c>
      <c r="G75" s="32">
        <v>2.1600000000000001E-2</v>
      </c>
      <c r="H75" s="33"/>
      <c r="L75" s="5"/>
      <c r="M75" s="5"/>
      <c r="N75" s="6"/>
      <c r="O75" s="6"/>
      <c r="P75" s="5"/>
    </row>
    <row r="76" spans="2:16" ht="15.75" customHeight="1" x14ac:dyDescent="0.2">
      <c r="B76" s="25" t="s">
        <v>107</v>
      </c>
      <c r="C76" s="25"/>
      <c r="D76" s="25"/>
      <c r="E76" s="26"/>
      <c r="F76" s="38">
        <v>-52.38</v>
      </c>
      <c r="G76" s="39">
        <v>-4.9999999999994493E-4</v>
      </c>
      <c r="H76" s="29"/>
    </row>
    <row r="77" spans="2:16" ht="15.75" customHeight="1" x14ac:dyDescent="0.2">
      <c r="B77" s="40" t="s">
        <v>108</v>
      </c>
      <c r="C77" s="40"/>
      <c r="D77" s="40"/>
      <c r="E77" s="41"/>
      <c r="F77" s="42">
        <v>101146.41</v>
      </c>
      <c r="G77" s="43">
        <v>1</v>
      </c>
      <c r="H77" s="44"/>
    </row>
    <row r="78" spans="2:16" ht="15.75" customHeight="1" thickBot="1" x14ac:dyDescent="0.25">
      <c r="B78" s="2"/>
      <c r="L78" s="7"/>
      <c r="M78" s="7"/>
      <c r="N78" s="7"/>
      <c r="O78" s="7"/>
      <c r="P78" s="7"/>
    </row>
    <row r="79" spans="2:16" ht="27" customHeight="1" thickBot="1" x14ac:dyDescent="0.25">
      <c r="B79" s="57" t="s">
        <v>925</v>
      </c>
      <c r="C79" s="58" t="s">
        <v>926</v>
      </c>
      <c r="D79" s="58" t="s">
        <v>927</v>
      </c>
      <c r="E79" s="63" t="s">
        <v>928</v>
      </c>
      <c r="G79" s="2"/>
      <c r="H79" s="2"/>
    </row>
    <row r="80" spans="2:16" ht="28.5" customHeight="1" x14ac:dyDescent="0.2">
      <c r="B80" s="70" t="s">
        <v>1015</v>
      </c>
      <c r="C80" s="82"/>
      <c r="D80" s="85" t="s">
        <v>972</v>
      </c>
      <c r="E80" s="87"/>
      <c r="G80" s="2"/>
      <c r="H80" s="2"/>
    </row>
    <row r="81" spans="2:8" ht="30" customHeight="1" x14ac:dyDescent="0.2">
      <c r="B81" s="66" t="s">
        <v>993</v>
      </c>
      <c r="C81" s="83"/>
      <c r="D81" s="86"/>
      <c r="E81" s="83"/>
      <c r="G81" s="2"/>
      <c r="H81" s="2"/>
    </row>
    <row r="82" spans="2:8" ht="30.75" customHeight="1" x14ac:dyDescent="0.2">
      <c r="B82" s="66" t="s">
        <v>1016</v>
      </c>
      <c r="C82" s="83"/>
      <c r="D82" s="86"/>
      <c r="E82" s="83"/>
      <c r="G82" s="2"/>
      <c r="H82" s="2"/>
    </row>
    <row r="83" spans="2:8" ht="30" customHeight="1" thickBot="1" x14ac:dyDescent="0.25">
      <c r="B83" s="68" t="s">
        <v>943</v>
      </c>
      <c r="C83" s="84"/>
      <c r="D83" s="71" t="s">
        <v>943</v>
      </c>
      <c r="E83" s="88"/>
      <c r="G83" s="2"/>
      <c r="H83" s="2"/>
    </row>
    <row r="84" spans="2:8" ht="24.95" customHeight="1" x14ac:dyDescent="0.2">
      <c r="B84" s="59" t="s">
        <v>929</v>
      </c>
      <c r="C84" s="60"/>
      <c r="D84" s="61"/>
      <c r="E84" s="62"/>
      <c r="G84" s="2"/>
      <c r="H84" s="2"/>
    </row>
    <row r="86" spans="2:8" ht="12" x14ac:dyDescent="0.2">
      <c r="B86" s="2" t="s">
        <v>930</v>
      </c>
      <c r="C86" s="2"/>
      <c r="D86" s="2"/>
      <c r="G86" s="2"/>
      <c r="H86" s="2"/>
    </row>
    <row r="87" spans="2:8" ht="12" x14ac:dyDescent="0.2">
      <c r="B87" s="3" t="s">
        <v>931</v>
      </c>
      <c r="C87" s="2"/>
      <c r="D87" s="2"/>
      <c r="G87" s="2"/>
      <c r="H87" s="2"/>
    </row>
  </sheetData>
  <mergeCells count="3">
    <mergeCell ref="C80:C83"/>
    <mergeCell ref="D80:D82"/>
    <mergeCell ref="E80:E83"/>
  </mergeCells>
  <hyperlinks>
    <hyperlink ref="I1" location="'Sheet1'!A1" display="Index" xr:uid="{95717376-CD20-45DF-A54F-6324F7B4C5A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2BB9-1DBD-4853-BAD0-150D3C5A5347}">
  <dimension ref="B1:P86"/>
  <sheetViews>
    <sheetView workbookViewId="0"/>
  </sheetViews>
  <sheetFormatPr defaultColWidth="9.140625" defaultRowHeight="15.75" customHeight="1" x14ac:dyDescent="0.2"/>
  <cols>
    <col min="1" max="1" width="3.5703125" style="2" customWidth="1"/>
    <col min="2" max="2" width="50.42578125" style="9" customWidth="1"/>
    <col min="3" max="4" width="26.5703125" style="9" customWidth="1"/>
    <col min="5" max="5" width="25.28515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25</v>
      </c>
      <c r="C1" s="1" t="s">
        <v>1017</v>
      </c>
      <c r="D1" s="1" t="s">
        <v>1018</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613355</v>
      </c>
      <c r="F7" s="27">
        <v>8607.82</v>
      </c>
      <c r="G7" s="28">
        <v>0.1095</v>
      </c>
      <c r="H7" s="29"/>
    </row>
    <row r="8" spans="2:9" ht="15.75" customHeight="1" x14ac:dyDescent="0.2">
      <c r="B8" s="25" t="s">
        <v>136</v>
      </c>
      <c r="C8" s="25" t="s">
        <v>137</v>
      </c>
      <c r="D8" s="25" t="s">
        <v>138</v>
      </c>
      <c r="E8" s="26">
        <v>276431</v>
      </c>
      <c r="F8" s="27">
        <v>8076.21</v>
      </c>
      <c r="G8" s="28">
        <v>0.1027</v>
      </c>
      <c r="H8" s="29"/>
    </row>
    <row r="9" spans="2:9" ht="15.75" customHeight="1" x14ac:dyDescent="0.2">
      <c r="B9" s="25" t="s">
        <v>128</v>
      </c>
      <c r="C9" s="25" t="s">
        <v>129</v>
      </c>
      <c r="D9" s="25" t="s">
        <v>130</v>
      </c>
      <c r="E9" s="26">
        <v>572830</v>
      </c>
      <c r="F9" s="27">
        <v>6027.32</v>
      </c>
      <c r="G9" s="28">
        <v>7.6700000000000004E-2</v>
      </c>
      <c r="H9" s="29"/>
    </row>
    <row r="10" spans="2:9" ht="15.75" customHeight="1" x14ac:dyDescent="0.2">
      <c r="B10" s="25" t="s">
        <v>131</v>
      </c>
      <c r="C10" s="25" t="s">
        <v>132</v>
      </c>
      <c r="D10" s="25" t="s">
        <v>133</v>
      </c>
      <c r="E10" s="26">
        <v>291372</v>
      </c>
      <c r="F10" s="27">
        <v>4877.28</v>
      </c>
      <c r="G10" s="28">
        <v>6.2E-2</v>
      </c>
      <c r="H10" s="29"/>
    </row>
    <row r="11" spans="2:9" ht="15.75" customHeight="1" x14ac:dyDescent="0.2">
      <c r="B11" s="25" t="s">
        <v>199</v>
      </c>
      <c r="C11" s="25" t="s">
        <v>200</v>
      </c>
      <c r="D11" s="25" t="s">
        <v>133</v>
      </c>
      <c r="E11" s="26">
        <v>82994</v>
      </c>
      <c r="F11" s="27">
        <v>3398.69</v>
      </c>
      <c r="G11" s="28">
        <v>4.3200000000000002E-2</v>
      </c>
      <c r="H11" s="29"/>
    </row>
    <row r="12" spans="2:9" ht="15.75" customHeight="1" x14ac:dyDescent="0.2">
      <c r="B12" s="25" t="s">
        <v>172</v>
      </c>
      <c r="C12" s="25" t="s">
        <v>173</v>
      </c>
      <c r="D12" s="25" t="s">
        <v>174</v>
      </c>
      <c r="E12" s="26">
        <v>96418</v>
      </c>
      <c r="F12" s="27">
        <v>3352.98</v>
      </c>
      <c r="G12" s="28">
        <v>4.2700000000000002E-2</v>
      </c>
      <c r="H12" s="29"/>
    </row>
    <row r="13" spans="2:9" ht="15.75" customHeight="1" x14ac:dyDescent="0.2">
      <c r="B13" s="25" t="s">
        <v>210</v>
      </c>
      <c r="C13" s="25" t="s">
        <v>211</v>
      </c>
      <c r="D13" s="25" t="s">
        <v>141</v>
      </c>
      <c r="E13" s="26">
        <v>727394</v>
      </c>
      <c r="F13" s="27">
        <v>2955.4</v>
      </c>
      <c r="G13" s="28">
        <v>3.7600000000000001E-2</v>
      </c>
      <c r="H13" s="29"/>
    </row>
    <row r="14" spans="2:9" ht="15.75" customHeight="1" x14ac:dyDescent="0.2">
      <c r="B14" s="25" t="s">
        <v>268</v>
      </c>
      <c r="C14" s="25" t="s">
        <v>269</v>
      </c>
      <c r="D14" s="25" t="s">
        <v>130</v>
      </c>
      <c r="E14" s="26">
        <v>226887</v>
      </c>
      <c r="F14" s="27">
        <v>2439.2600000000002</v>
      </c>
      <c r="G14" s="28">
        <v>3.1E-2</v>
      </c>
      <c r="H14" s="29"/>
    </row>
    <row r="15" spans="2:9" ht="15.75" customHeight="1" x14ac:dyDescent="0.2">
      <c r="B15" s="25" t="s">
        <v>266</v>
      </c>
      <c r="C15" s="25" t="s">
        <v>267</v>
      </c>
      <c r="D15" s="25" t="s">
        <v>130</v>
      </c>
      <c r="E15" s="26">
        <v>312202</v>
      </c>
      <c r="F15" s="27">
        <v>2335.58</v>
      </c>
      <c r="G15" s="28">
        <v>2.9700000000000001E-2</v>
      </c>
      <c r="H15" s="29"/>
    </row>
    <row r="16" spans="2:9" ht="15.75" customHeight="1" x14ac:dyDescent="0.2">
      <c r="B16" s="25" t="s">
        <v>241</v>
      </c>
      <c r="C16" s="25" t="s">
        <v>242</v>
      </c>
      <c r="D16" s="25" t="s">
        <v>168</v>
      </c>
      <c r="E16" s="26">
        <v>206594</v>
      </c>
      <c r="F16" s="27">
        <v>2320.77</v>
      </c>
      <c r="G16" s="28">
        <v>2.9499999999999998E-2</v>
      </c>
      <c r="H16" s="29"/>
    </row>
    <row r="17" spans="2:8" ht="15.75" customHeight="1" x14ac:dyDescent="0.2">
      <c r="B17" s="25" t="s">
        <v>214</v>
      </c>
      <c r="C17" s="25" t="s">
        <v>215</v>
      </c>
      <c r="D17" s="25" t="s">
        <v>130</v>
      </c>
      <c r="E17" s="26">
        <v>120315</v>
      </c>
      <c r="F17" s="27">
        <v>2032.66</v>
      </c>
      <c r="G17" s="28">
        <v>2.5899999999999999E-2</v>
      </c>
      <c r="H17" s="29"/>
    </row>
    <row r="18" spans="2:8" ht="15.75" customHeight="1" x14ac:dyDescent="0.2">
      <c r="B18" s="25" t="s">
        <v>139</v>
      </c>
      <c r="C18" s="25" t="s">
        <v>140</v>
      </c>
      <c r="D18" s="25" t="s">
        <v>141</v>
      </c>
      <c r="E18" s="26">
        <v>72907</v>
      </c>
      <c r="F18" s="27">
        <v>1758.74</v>
      </c>
      <c r="G18" s="28">
        <v>2.24E-2</v>
      </c>
      <c r="H18" s="29"/>
    </row>
    <row r="19" spans="2:8" ht="15.75" customHeight="1" x14ac:dyDescent="0.2">
      <c r="B19" s="25" t="s">
        <v>177</v>
      </c>
      <c r="C19" s="25" t="s">
        <v>178</v>
      </c>
      <c r="D19" s="25" t="s">
        <v>179</v>
      </c>
      <c r="E19" s="26">
        <v>22686</v>
      </c>
      <c r="F19" s="27">
        <v>1473.54</v>
      </c>
      <c r="G19" s="28">
        <v>1.8700000000000001E-2</v>
      </c>
      <c r="H19" s="29"/>
    </row>
    <row r="20" spans="2:8" ht="15.75" customHeight="1" x14ac:dyDescent="0.2">
      <c r="B20" s="25" t="s">
        <v>270</v>
      </c>
      <c r="C20" s="25" t="s">
        <v>271</v>
      </c>
      <c r="D20" s="25" t="s">
        <v>133</v>
      </c>
      <c r="E20" s="26">
        <v>86222</v>
      </c>
      <c r="F20" s="27">
        <v>1434.6</v>
      </c>
      <c r="G20" s="28">
        <v>1.8200000000000001E-2</v>
      </c>
      <c r="H20" s="29"/>
    </row>
    <row r="21" spans="2:8" ht="15.75" customHeight="1" x14ac:dyDescent="0.2">
      <c r="B21" s="25" t="s">
        <v>142</v>
      </c>
      <c r="C21" s="25" t="s">
        <v>143</v>
      </c>
      <c r="D21" s="25" t="s">
        <v>144</v>
      </c>
      <c r="E21" s="26">
        <v>72728</v>
      </c>
      <c r="F21" s="27">
        <v>1405.4</v>
      </c>
      <c r="G21" s="28">
        <v>1.7899999999999999E-2</v>
      </c>
      <c r="H21" s="29"/>
    </row>
    <row r="22" spans="2:8" ht="15.75" customHeight="1" x14ac:dyDescent="0.2">
      <c r="B22" s="25" t="s">
        <v>272</v>
      </c>
      <c r="C22" s="25" t="s">
        <v>273</v>
      </c>
      <c r="D22" s="25" t="s">
        <v>185</v>
      </c>
      <c r="E22" s="26">
        <v>87618</v>
      </c>
      <c r="F22" s="27">
        <v>1382.57</v>
      </c>
      <c r="G22" s="28">
        <v>1.7600000000000001E-2</v>
      </c>
      <c r="H22" s="29"/>
    </row>
    <row r="23" spans="2:8" ht="15.75" customHeight="1" x14ac:dyDescent="0.2">
      <c r="B23" s="25" t="s">
        <v>438</v>
      </c>
      <c r="C23" s="25" t="s">
        <v>439</v>
      </c>
      <c r="D23" s="25" t="s">
        <v>144</v>
      </c>
      <c r="E23" s="26">
        <v>143643</v>
      </c>
      <c r="F23" s="27">
        <v>1364.9</v>
      </c>
      <c r="G23" s="28">
        <v>1.7399999999999999E-2</v>
      </c>
      <c r="H23" s="29"/>
    </row>
    <row r="24" spans="2:8" ht="15.75" customHeight="1" x14ac:dyDescent="0.2">
      <c r="B24" s="25" t="s">
        <v>276</v>
      </c>
      <c r="C24" s="25" t="s">
        <v>277</v>
      </c>
      <c r="D24" s="25" t="s">
        <v>230</v>
      </c>
      <c r="E24" s="26">
        <v>389816</v>
      </c>
      <c r="F24" s="27">
        <v>1308.22</v>
      </c>
      <c r="G24" s="28">
        <v>1.66E-2</v>
      </c>
      <c r="H24" s="29"/>
    </row>
    <row r="25" spans="2:8" ht="15.75" customHeight="1" x14ac:dyDescent="0.2">
      <c r="B25" s="25" t="s">
        <v>204</v>
      </c>
      <c r="C25" s="25" t="s">
        <v>205</v>
      </c>
      <c r="D25" s="25" t="s">
        <v>206</v>
      </c>
      <c r="E25" s="26">
        <v>34077</v>
      </c>
      <c r="F25" s="27">
        <v>1235.0899999999999</v>
      </c>
      <c r="G25" s="28">
        <v>1.5699999999999999E-2</v>
      </c>
      <c r="H25" s="29"/>
    </row>
    <row r="26" spans="2:8" ht="15.75" customHeight="1" x14ac:dyDescent="0.2">
      <c r="B26" s="25" t="s">
        <v>274</v>
      </c>
      <c r="C26" s="25" t="s">
        <v>275</v>
      </c>
      <c r="D26" s="25" t="s">
        <v>144</v>
      </c>
      <c r="E26" s="26">
        <v>10814</v>
      </c>
      <c r="F26" s="27">
        <v>1220.72</v>
      </c>
      <c r="G26" s="28">
        <v>1.55E-2</v>
      </c>
      <c r="H26" s="29"/>
    </row>
    <row r="27" spans="2:8" ht="15.75" customHeight="1" x14ac:dyDescent="0.2">
      <c r="B27" s="25" t="s">
        <v>467</v>
      </c>
      <c r="C27" s="25" t="s">
        <v>468</v>
      </c>
      <c r="D27" s="25" t="s">
        <v>230</v>
      </c>
      <c r="E27" s="26">
        <v>372835</v>
      </c>
      <c r="F27" s="27">
        <v>1054.56</v>
      </c>
      <c r="G27" s="28">
        <v>1.34E-2</v>
      </c>
      <c r="H27" s="29"/>
    </row>
    <row r="28" spans="2:8" ht="15.75" customHeight="1" x14ac:dyDescent="0.2">
      <c r="B28" s="25" t="s">
        <v>216</v>
      </c>
      <c r="C28" s="25" t="s">
        <v>217</v>
      </c>
      <c r="D28" s="25" t="s">
        <v>206</v>
      </c>
      <c r="E28" s="26">
        <v>36777</v>
      </c>
      <c r="F28" s="27">
        <v>1037.81</v>
      </c>
      <c r="G28" s="28">
        <v>1.32E-2</v>
      </c>
      <c r="H28" s="29"/>
    </row>
    <row r="29" spans="2:8" ht="15.75" customHeight="1" x14ac:dyDescent="0.2">
      <c r="B29" s="25" t="s">
        <v>574</v>
      </c>
      <c r="C29" s="25" t="s">
        <v>575</v>
      </c>
      <c r="D29" s="25" t="s">
        <v>191</v>
      </c>
      <c r="E29" s="26">
        <v>675178</v>
      </c>
      <c r="F29" s="27">
        <v>950.99</v>
      </c>
      <c r="G29" s="28">
        <v>1.21E-2</v>
      </c>
      <c r="H29" s="29"/>
    </row>
    <row r="30" spans="2:8" ht="15.75" customHeight="1" x14ac:dyDescent="0.2">
      <c r="B30" s="25" t="s">
        <v>440</v>
      </c>
      <c r="C30" s="25" t="s">
        <v>441</v>
      </c>
      <c r="D30" s="25" t="s">
        <v>285</v>
      </c>
      <c r="E30" s="26">
        <v>9364</v>
      </c>
      <c r="F30" s="27">
        <v>926.32</v>
      </c>
      <c r="G30" s="28">
        <v>1.18E-2</v>
      </c>
      <c r="H30" s="29"/>
    </row>
    <row r="31" spans="2:8" ht="15.75" customHeight="1" x14ac:dyDescent="0.2">
      <c r="B31" s="25" t="s">
        <v>588</v>
      </c>
      <c r="C31" s="25" t="s">
        <v>589</v>
      </c>
      <c r="D31" s="25" t="s">
        <v>590</v>
      </c>
      <c r="E31" s="26">
        <v>318499</v>
      </c>
      <c r="F31" s="27">
        <v>842.75</v>
      </c>
      <c r="G31" s="28">
        <v>1.0699999999999999E-2</v>
      </c>
      <c r="H31" s="29"/>
    </row>
    <row r="32" spans="2:8" ht="15.75" customHeight="1" x14ac:dyDescent="0.2">
      <c r="B32" s="25" t="s">
        <v>398</v>
      </c>
      <c r="C32" s="25" t="s">
        <v>399</v>
      </c>
      <c r="D32" s="25" t="s">
        <v>400</v>
      </c>
      <c r="E32" s="26">
        <v>186758</v>
      </c>
      <c r="F32" s="27">
        <v>815.57</v>
      </c>
      <c r="G32" s="28">
        <v>1.04E-2</v>
      </c>
      <c r="H32" s="29"/>
    </row>
    <row r="33" spans="2:8" ht="15.75" customHeight="1" x14ac:dyDescent="0.2">
      <c r="B33" s="25" t="s">
        <v>721</v>
      </c>
      <c r="C33" s="25" t="s">
        <v>722</v>
      </c>
      <c r="D33" s="25" t="s">
        <v>723</v>
      </c>
      <c r="E33" s="26">
        <v>59951</v>
      </c>
      <c r="F33" s="27">
        <v>791.65</v>
      </c>
      <c r="G33" s="28">
        <v>1.01E-2</v>
      </c>
      <c r="H33" s="29"/>
    </row>
    <row r="34" spans="2:8" ht="15.75" customHeight="1" x14ac:dyDescent="0.2">
      <c r="B34" s="25" t="s">
        <v>253</v>
      </c>
      <c r="C34" s="25" t="s">
        <v>254</v>
      </c>
      <c r="D34" s="25" t="s">
        <v>130</v>
      </c>
      <c r="E34" s="26">
        <v>53619</v>
      </c>
      <c r="F34" s="27">
        <v>790.83</v>
      </c>
      <c r="G34" s="28">
        <v>1.01E-2</v>
      </c>
      <c r="H34" s="29"/>
    </row>
    <row r="35" spans="2:8" ht="15.75" customHeight="1" x14ac:dyDescent="0.2">
      <c r="B35" s="25" t="s">
        <v>145</v>
      </c>
      <c r="C35" s="25" t="s">
        <v>146</v>
      </c>
      <c r="D35" s="25" t="s">
        <v>147</v>
      </c>
      <c r="E35" s="26">
        <v>29038</v>
      </c>
      <c r="F35" s="27">
        <v>753.88</v>
      </c>
      <c r="G35" s="28">
        <v>9.5999999999999992E-3</v>
      </c>
      <c r="H35" s="29"/>
    </row>
    <row r="36" spans="2:8" ht="15.75" customHeight="1" x14ac:dyDescent="0.2">
      <c r="B36" s="25" t="s">
        <v>498</v>
      </c>
      <c r="C36" s="25" t="s">
        <v>499</v>
      </c>
      <c r="D36" s="25" t="s">
        <v>144</v>
      </c>
      <c r="E36" s="26">
        <v>9187</v>
      </c>
      <c r="F36" s="27">
        <v>726.63</v>
      </c>
      <c r="G36" s="28">
        <v>9.1999999999999998E-3</v>
      </c>
      <c r="H36" s="29"/>
    </row>
    <row r="37" spans="2:8" ht="15.75" customHeight="1" x14ac:dyDescent="0.2">
      <c r="B37" s="25" t="s">
        <v>251</v>
      </c>
      <c r="C37" s="25" t="s">
        <v>252</v>
      </c>
      <c r="D37" s="25" t="s">
        <v>179</v>
      </c>
      <c r="E37" s="26">
        <v>44235</v>
      </c>
      <c r="F37" s="27">
        <v>705.02</v>
      </c>
      <c r="G37" s="28">
        <v>8.9999999999999993E-3</v>
      </c>
      <c r="H37" s="29"/>
    </row>
    <row r="38" spans="2:8" ht="15.75" customHeight="1" x14ac:dyDescent="0.2">
      <c r="B38" s="25" t="s">
        <v>724</v>
      </c>
      <c r="C38" s="25" t="s">
        <v>725</v>
      </c>
      <c r="D38" s="25" t="s">
        <v>726</v>
      </c>
      <c r="E38" s="26">
        <v>21340</v>
      </c>
      <c r="F38" s="27">
        <v>701.1</v>
      </c>
      <c r="G38" s="28">
        <v>8.8999999999999999E-3</v>
      </c>
      <c r="H38" s="29"/>
    </row>
    <row r="39" spans="2:8" ht="15.75" customHeight="1" x14ac:dyDescent="0.2">
      <c r="B39" s="25" t="s">
        <v>283</v>
      </c>
      <c r="C39" s="25" t="s">
        <v>284</v>
      </c>
      <c r="D39" s="25" t="s">
        <v>285</v>
      </c>
      <c r="E39" s="26">
        <v>29917</v>
      </c>
      <c r="F39" s="27">
        <v>655.6</v>
      </c>
      <c r="G39" s="28">
        <v>8.3000000000000001E-3</v>
      </c>
      <c r="H39" s="29"/>
    </row>
    <row r="40" spans="2:8" ht="15.75" customHeight="1" x14ac:dyDescent="0.2">
      <c r="B40" s="25" t="s">
        <v>243</v>
      </c>
      <c r="C40" s="25" t="s">
        <v>244</v>
      </c>
      <c r="D40" s="25" t="s">
        <v>133</v>
      </c>
      <c r="E40" s="26">
        <v>50962</v>
      </c>
      <c r="F40" s="27">
        <v>649.17999999999995</v>
      </c>
      <c r="G40" s="28">
        <v>8.3000000000000001E-3</v>
      </c>
      <c r="H40" s="29"/>
    </row>
    <row r="41" spans="2:8" ht="15.75" customHeight="1" x14ac:dyDescent="0.2">
      <c r="B41" s="25" t="s">
        <v>510</v>
      </c>
      <c r="C41" s="25" t="s">
        <v>511</v>
      </c>
      <c r="D41" s="25" t="s">
        <v>185</v>
      </c>
      <c r="E41" s="26">
        <v>9953</v>
      </c>
      <c r="F41" s="27">
        <v>639.41</v>
      </c>
      <c r="G41" s="28">
        <v>8.0999999999999996E-3</v>
      </c>
      <c r="H41" s="29"/>
    </row>
    <row r="42" spans="2:8" ht="15.75" customHeight="1" x14ac:dyDescent="0.2">
      <c r="B42" s="25" t="s">
        <v>336</v>
      </c>
      <c r="C42" s="25" t="s">
        <v>337</v>
      </c>
      <c r="D42" s="25" t="s">
        <v>185</v>
      </c>
      <c r="E42" s="26">
        <v>42807</v>
      </c>
      <c r="F42" s="27">
        <v>633.69000000000005</v>
      </c>
      <c r="G42" s="28">
        <v>8.0999999999999996E-3</v>
      </c>
      <c r="H42" s="29"/>
    </row>
    <row r="43" spans="2:8" ht="15.75" customHeight="1" x14ac:dyDescent="0.2">
      <c r="B43" s="25" t="s">
        <v>249</v>
      </c>
      <c r="C43" s="25" t="s">
        <v>250</v>
      </c>
      <c r="D43" s="25" t="s">
        <v>191</v>
      </c>
      <c r="E43" s="26">
        <v>77473</v>
      </c>
      <c r="F43" s="27">
        <v>619.86</v>
      </c>
      <c r="G43" s="28">
        <v>7.9000000000000008E-3</v>
      </c>
      <c r="H43" s="29"/>
    </row>
    <row r="44" spans="2:8" ht="15.75" customHeight="1" x14ac:dyDescent="0.2">
      <c r="B44" s="25" t="s">
        <v>697</v>
      </c>
      <c r="C44" s="25" t="s">
        <v>698</v>
      </c>
      <c r="D44" s="25" t="s">
        <v>578</v>
      </c>
      <c r="E44" s="26">
        <v>50750</v>
      </c>
      <c r="F44" s="27">
        <v>603.95000000000005</v>
      </c>
      <c r="G44" s="28">
        <v>7.7000000000000002E-3</v>
      </c>
      <c r="H44" s="29"/>
    </row>
    <row r="45" spans="2:8" ht="15.75" customHeight="1" x14ac:dyDescent="0.2">
      <c r="B45" s="25" t="s">
        <v>194</v>
      </c>
      <c r="C45" s="25" t="s">
        <v>195</v>
      </c>
      <c r="D45" s="25" t="s">
        <v>196</v>
      </c>
      <c r="E45" s="26">
        <v>118642</v>
      </c>
      <c r="F45" s="27">
        <v>597.78</v>
      </c>
      <c r="G45" s="28">
        <v>7.6E-3</v>
      </c>
      <c r="H45" s="29"/>
    </row>
    <row r="46" spans="2:8" ht="15.75" customHeight="1" x14ac:dyDescent="0.2">
      <c r="B46" s="25" t="s">
        <v>727</v>
      </c>
      <c r="C46" s="25" t="s">
        <v>728</v>
      </c>
      <c r="D46" s="25" t="s">
        <v>133</v>
      </c>
      <c r="E46" s="26">
        <v>114804</v>
      </c>
      <c r="F46" s="27">
        <v>595.37</v>
      </c>
      <c r="G46" s="28">
        <v>7.6E-3</v>
      </c>
      <c r="H46" s="29"/>
    </row>
    <row r="47" spans="2:8" ht="15.75" customHeight="1" x14ac:dyDescent="0.2">
      <c r="B47" s="25" t="s">
        <v>299</v>
      </c>
      <c r="C47" s="25" t="s">
        <v>300</v>
      </c>
      <c r="D47" s="25" t="s">
        <v>282</v>
      </c>
      <c r="E47" s="26">
        <v>36640</v>
      </c>
      <c r="F47" s="27">
        <v>568.85</v>
      </c>
      <c r="G47" s="28">
        <v>7.1999999999999998E-3</v>
      </c>
      <c r="H47" s="29"/>
    </row>
    <row r="48" spans="2:8" ht="15.75" customHeight="1" x14ac:dyDescent="0.2">
      <c r="B48" s="25" t="s">
        <v>280</v>
      </c>
      <c r="C48" s="25" t="s">
        <v>281</v>
      </c>
      <c r="D48" s="25" t="s">
        <v>282</v>
      </c>
      <c r="E48" s="26">
        <v>85998</v>
      </c>
      <c r="F48" s="27">
        <v>500.51</v>
      </c>
      <c r="G48" s="28">
        <v>6.4000000000000003E-3</v>
      </c>
      <c r="H48" s="29"/>
    </row>
    <row r="49" spans="2:8" ht="15.75" customHeight="1" x14ac:dyDescent="0.2">
      <c r="B49" s="25" t="s">
        <v>201</v>
      </c>
      <c r="C49" s="25" t="s">
        <v>202</v>
      </c>
      <c r="D49" s="25" t="s">
        <v>203</v>
      </c>
      <c r="E49" s="26">
        <v>8201</v>
      </c>
      <c r="F49" s="27">
        <v>500.39</v>
      </c>
      <c r="G49" s="28">
        <v>6.4000000000000003E-3</v>
      </c>
      <c r="H49" s="29"/>
    </row>
    <row r="50" spans="2:8" ht="15.75" customHeight="1" x14ac:dyDescent="0.2">
      <c r="B50" s="25" t="s">
        <v>463</v>
      </c>
      <c r="C50" s="25" t="s">
        <v>464</v>
      </c>
      <c r="D50" s="25" t="s">
        <v>147</v>
      </c>
      <c r="E50" s="26">
        <v>9593</v>
      </c>
      <c r="F50" s="27">
        <v>476.31</v>
      </c>
      <c r="G50" s="28">
        <v>6.1000000000000004E-3</v>
      </c>
      <c r="H50" s="29"/>
    </row>
    <row r="51" spans="2:8" ht="15.75" customHeight="1" x14ac:dyDescent="0.2">
      <c r="B51" s="25" t="s">
        <v>329</v>
      </c>
      <c r="C51" s="25" t="s">
        <v>330</v>
      </c>
      <c r="D51" s="25" t="s">
        <v>138</v>
      </c>
      <c r="E51" s="26">
        <v>77919</v>
      </c>
      <c r="F51" s="27">
        <v>470.51</v>
      </c>
      <c r="G51" s="28">
        <v>6.0000000000000001E-3</v>
      </c>
      <c r="H51" s="29"/>
    </row>
    <row r="52" spans="2:8" ht="15.75" customHeight="1" x14ac:dyDescent="0.2">
      <c r="B52" s="25" t="s">
        <v>310</v>
      </c>
      <c r="C52" s="25" t="s">
        <v>311</v>
      </c>
      <c r="D52" s="25" t="s">
        <v>144</v>
      </c>
      <c r="E52" s="26">
        <v>10617</v>
      </c>
      <c r="F52" s="27">
        <v>469.96</v>
      </c>
      <c r="G52" s="28">
        <v>6.0000000000000001E-3</v>
      </c>
      <c r="H52" s="29"/>
    </row>
    <row r="53" spans="2:8" ht="15.75" customHeight="1" x14ac:dyDescent="0.2">
      <c r="B53" s="25" t="s">
        <v>701</v>
      </c>
      <c r="C53" s="25" t="s">
        <v>702</v>
      </c>
      <c r="D53" s="25" t="s">
        <v>144</v>
      </c>
      <c r="E53" s="26">
        <v>11125</v>
      </c>
      <c r="F53" s="27">
        <v>421.9</v>
      </c>
      <c r="G53" s="28">
        <v>5.4000000000000003E-3</v>
      </c>
      <c r="H53" s="29"/>
    </row>
    <row r="54" spans="2:8" ht="15.75" customHeight="1" x14ac:dyDescent="0.2">
      <c r="B54" s="25" t="s">
        <v>148</v>
      </c>
      <c r="C54" s="25" t="s">
        <v>149</v>
      </c>
      <c r="D54" s="25" t="s">
        <v>133</v>
      </c>
      <c r="E54" s="26">
        <v>7497</v>
      </c>
      <c r="F54" s="27">
        <v>397.4</v>
      </c>
      <c r="G54" s="28">
        <v>5.1000000000000004E-3</v>
      </c>
      <c r="H54" s="29"/>
    </row>
    <row r="55" spans="2:8" ht="15.75" customHeight="1" x14ac:dyDescent="0.2">
      <c r="B55" s="25" t="s">
        <v>483</v>
      </c>
      <c r="C55" s="25" t="s">
        <v>484</v>
      </c>
      <c r="D55" s="25" t="s">
        <v>185</v>
      </c>
      <c r="E55" s="26">
        <v>10403</v>
      </c>
      <c r="F55" s="27">
        <v>362.94</v>
      </c>
      <c r="G55" s="28">
        <v>4.5999999999999999E-3</v>
      </c>
      <c r="H55" s="29"/>
    </row>
    <row r="56" spans="2:8" ht="15.75" customHeight="1" x14ac:dyDescent="0.2">
      <c r="B56" s="25" t="s">
        <v>729</v>
      </c>
      <c r="C56" s="25" t="s">
        <v>730</v>
      </c>
      <c r="D56" s="25" t="s">
        <v>320</v>
      </c>
      <c r="E56" s="26">
        <v>41024</v>
      </c>
      <c r="F56" s="27">
        <v>192.69</v>
      </c>
      <c r="G56" s="28">
        <v>2.5000000000000001E-3</v>
      </c>
      <c r="H56" s="29"/>
    </row>
    <row r="57" spans="2:8" ht="15.75" customHeight="1" x14ac:dyDescent="0.2">
      <c r="B57" s="24" t="s">
        <v>98</v>
      </c>
      <c r="C57" s="24"/>
      <c r="D57" s="24"/>
      <c r="E57" s="30"/>
      <c r="F57" s="31">
        <v>78461.16</v>
      </c>
      <c r="G57" s="32">
        <v>0.998</v>
      </c>
      <c r="H57" s="33"/>
    </row>
    <row r="58" spans="2:8" ht="15.75" customHeight="1" x14ac:dyDescent="0.2">
      <c r="B58" s="24" t="s">
        <v>150</v>
      </c>
      <c r="C58" s="25"/>
      <c r="D58" s="25"/>
      <c r="E58" s="26"/>
      <c r="F58" s="27"/>
      <c r="G58" s="28"/>
      <c r="H58" s="29"/>
    </row>
    <row r="59" spans="2:8" ht="15.75" customHeight="1" x14ac:dyDescent="0.2">
      <c r="B59" s="24" t="s">
        <v>98</v>
      </c>
      <c r="C59" s="25"/>
      <c r="D59" s="25"/>
      <c r="E59" s="26"/>
      <c r="F59" s="34" t="s">
        <v>100</v>
      </c>
      <c r="G59" s="35" t="s">
        <v>100</v>
      </c>
      <c r="H59" s="29"/>
    </row>
    <row r="60" spans="2:8" ht="15.75" customHeight="1" x14ac:dyDescent="0.2">
      <c r="B60" s="25"/>
      <c r="C60" s="25"/>
      <c r="D60" s="25"/>
      <c r="E60" s="26"/>
      <c r="F60" s="27"/>
      <c r="G60" s="28"/>
      <c r="H60" s="29"/>
    </row>
    <row r="61" spans="2:8" ht="15.75" customHeight="1" x14ac:dyDescent="0.2">
      <c r="B61" s="36" t="s">
        <v>102</v>
      </c>
      <c r="C61" s="36"/>
      <c r="D61" s="36"/>
      <c r="E61" s="37"/>
      <c r="F61" s="31">
        <v>78461.16</v>
      </c>
      <c r="G61" s="32">
        <v>0.998</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105</v>
      </c>
      <c r="C64" s="25"/>
      <c r="D64" s="25"/>
      <c r="E64" s="26"/>
      <c r="F64" s="27"/>
      <c r="G64" s="28"/>
      <c r="H64" s="29"/>
    </row>
    <row r="65" spans="2:16" ht="15.75" customHeight="1" x14ac:dyDescent="0.2">
      <c r="B65" s="25" t="s">
        <v>106</v>
      </c>
      <c r="C65" s="25"/>
      <c r="D65" s="25"/>
      <c r="E65" s="26"/>
      <c r="F65" s="27">
        <v>137.44999999999999</v>
      </c>
      <c r="G65" s="28">
        <v>1.6999999999999999E-3</v>
      </c>
      <c r="H65" s="29"/>
    </row>
    <row r="66" spans="2:16" ht="15.75" customHeight="1" x14ac:dyDescent="0.2">
      <c r="B66" s="24" t="s">
        <v>98</v>
      </c>
      <c r="C66" s="24"/>
      <c r="D66" s="24"/>
      <c r="E66" s="30"/>
      <c r="F66" s="31">
        <v>137.44999999999999</v>
      </c>
      <c r="G66" s="32">
        <v>1.6999999999999999E-3</v>
      </c>
      <c r="H66" s="33"/>
    </row>
    <row r="67" spans="2:16" ht="15.75" customHeight="1" x14ac:dyDescent="0.2">
      <c r="B67" s="25"/>
      <c r="C67" s="25"/>
      <c r="D67" s="25"/>
      <c r="E67" s="26"/>
      <c r="F67" s="27"/>
      <c r="G67" s="28"/>
      <c r="H67" s="29"/>
    </row>
    <row r="68" spans="2:16" ht="15.75" customHeight="1" x14ac:dyDescent="0.2">
      <c r="B68" s="36" t="s">
        <v>102</v>
      </c>
      <c r="C68" s="36"/>
      <c r="D68" s="36"/>
      <c r="E68" s="37"/>
      <c r="F68" s="31">
        <v>137.44999999999999</v>
      </c>
      <c r="G68" s="32">
        <v>1.6999999999999999E-3</v>
      </c>
      <c r="H68" s="33"/>
      <c r="L68" s="3"/>
    </row>
    <row r="69" spans="2:16" ht="15.75" customHeight="1" x14ac:dyDescent="0.2">
      <c r="B69" s="25" t="s">
        <v>107</v>
      </c>
      <c r="C69" s="25"/>
      <c r="D69" s="25"/>
      <c r="E69" s="26"/>
      <c r="F69" s="27">
        <v>16.579999999999998</v>
      </c>
      <c r="G69" s="28">
        <v>2.9999999999996696E-4</v>
      </c>
      <c r="H69" s="29"/>
    </row>
    <row r="70" spans="2:16" ht="15.75" customHeight="1" x14ac:dyDescent="0.2">
      <c r="B70" s="40" t="s">
        <v>108</v>
      </c>
      <c r="C70" s="40"/>
      <c r="D70" s="40"/>
      <c r="E70" s="41"/>
      <c r="F70" s="42">
        <v>78615.19</v>
      </c>
      <c r="G70" s="43">
        <v>1</v>
      </c>
      <c r="H70" s="44"/>
      <c r="L70" s="3"/>
    </row>
    <row r="71" spans="2:16" ht="15.75" customHeight="1" x14ac:dyDescent="0.2">
      <c r="B71" s="2"/>
      <c r="L71" s="3"/>
    </row>
    <row r="72" spans="2:16" ht="15.75" customHeight="1" x14ac:dyDescent="0.2">
      <c r="B72" s="12" t="s">
        <v>124</v>
      </c>
      <c r="L72" s="3"/>
    </row>
    <row r="73" spans="2:16" ht="15.75" customHeight="1" thickBot="1" x14ac:dyDescent="0.25">
      <c r="L73" s="3"/>
    </row>
    <row r="74" spans="2:16" ht="27" customHeight="1" thickBot="1" x14ac:dyDescent="0.25">
      <c r="B74" s="57" t="s">
        <v>925</v>
      </c>
      <c r="C74" s="58" t="s">
        <v>926</v>
      </c>
      <c r="D74" s="58" t="s">
        <v>927</v>
      </c>
      <c r="E74" s="63" t="s">
        <v>928</v>
      </c>
      <c r="G74" s="2"/>
      <c r="H74" s="2"/>
    </row>
    <row r="75" spans="2:16" ht="30" customHeight="1" x14ac:dyDescent="0.2">
      <c r="B75" s="70" t="s">
        <v>77</v>
      </c>
      <c r="C75" s="82"/>
      <c r="D75" s="85" t="s">
        <v>992</v>
      </c>
      <c r="E75" s="87"/>
      <c r="G75" s="2"/>
      <c r="H75" s="2"/>
    </row>
    <row r="76" spans="2:16" ht="28.5" customHeight="1" x14ac:dyDescent="0.2">
      <c r="B76" s="66" t="s">
        <v>1011</v>
      </c>
      <c r="C76" s="83"/>
      <c r="D76" s="86"/>
      <c r="E76" s="83"/>
      <c r="G76" s="2"/>
      <c r="H76" s="2"/>
    </row>
    <row r="77" spans="2:16" ht="39.950000000000003" customHeight="1" x14ac:dyDescent="0.2">
      <c r="B77" s="66" t="s">
        <v>1019</v>
      </c>
      <c r="C77" s="83"/>
      <c r="D77" s="86"/>
      <c r="E77" s="83"/>
      <c r="G77" s="2"/>
      <c r="H77" s="2"/>
    </row>
    <row r="78" spans="2:16" ht="30" customHeight="1" thickBot="1" x14ac:dyDescent="0.25">
      <c r="B78" s="68" t="s">
        <v>1020</v>
      </c>
      <c r="C78" s="84"/>
      <c r="D78" s="71" t="s">
        <v>1020</v>
      </c>
      <c r="E78" s="88"/>
      <c r="G78" s="2"/>
      <c r="H78" s="2"/>
    </row>
    <row r="79" spans="2:16" ht="24.95" customHeight="1" x14ac:dyDescent="0.2">
      <c r="B79" s="59" t="s">
        <v>929</v>
      </c>
      <c r="C79" s="60"/>
      <c r="D79" s="61"/>
      <c r="E79" s="62"/>
      <c r="G79" s="2"/>
      <c r="H79" s="2"/>
    </row>
    <row r="80" spans="2:16" ht="15.75" customHeight="1" x14ac:dyDescent="0.2">
      <c r="L80" s="7"/>
      <c r="M80" s="7"/>
      <c r="N80" s="7"/>
      <c r="O80" s="7"/>
      <c r="P80" s="7"/>
    </row>
    <row r="81" spans="2:16" ht="12" x14ac:dyDescent="0.2">
      <c r="B81" s="2" t="s">
        <v>930</v>
      </c>
      <c r="C81" s="2"/>
      <c r="D81" s="2"/>
      <c r="G81" s="2"/>
      <c r="H81" s="2"/>
    </row>
    <row r="82" spans="2:16" ht="12" x14ac:dyDescent="0.2">
      <c r="B82" s="3" t="s">
        <v>931</v>
      </c>
      <c r="C82" s="2"/>
      <c r="D82" s="2"/>
      <c r="G82" s="2"/>
      <c r="H82" s="2"/>
    </row>
    <row r="83" spans="2:16" ht="15.75" customHeight="1" x14ac:dyDescent="0.2">
      <c r="L83" s="7"/>
      <c r="M83" s="7"/>
      <c r="N83" s="7"/>
      <c r="O83" s="7"/>
      <c r="P83" s="7"/>
    </row>
    <row r="84" spans="2:16" ht="15.75" customHeight="1" x14ac:dyDescent="0.2">
      <c r="L84" s="7"/>
      <c r="M84" s="7"/>
      <c r="N84" s="7"/>
      <c r="O84" s="7"/>
      <c r="P84" s="7"/>
    </row>
    <row r="86" spans="2:16" ht="15.75" customHeight="1" x14ac:dyDescent="0.2">
      <c r="L86" s="3"/>
    </row>
  </sheetData>
  <mergeCells count="3">
    <mergeCell ref="C75:C78"/>
    <mergeCell ref="D75:D77"/>
    <mergeCell ref="E75:E78"/>
  </mergeCells>
  <hyperlinks>
    <hyperlink ref="I1" location="'Sheet1'!A1" display="Index" xr:uid="{81C9AD9D-FE84-4759-A699-3E9EA3ABAFB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B404D-8D41-41C2-9010-0062F5A27A1F}">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4.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26</v>
      </c>
      <c r="C1" s="1" t="s">
        <v>1021</v>
      </c>
      <c r="D1" s="1" t="s">
        <v>1022</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134</v>
      </c>
      <c r="C7" s="25" t="s">
        <v>135</v>
      </c>
      <c r="D7" s="25" t="s">
        <v>130</v>
      </c>
      <c r="E7" s="26">
        <v>706590</v>
      </c>
      <c r="F7" s="27">
        <v>9911.69</v>
      </c>
      <c r="G7" s="28">
        <v>0.12870000000000001</v>
      </c>
      <c r="H7" s="29"/>
    </row>
    <row r="8" spans="2:9" ht="15.75" customHeight="1" x14ac:dyDescent="0.2">
      <c r="B8" s="25" t="s">
        <v>136</v>
      </c>
      <c r="C8" s="25" t="s">
        <v>137</v>
      </c>
      <c r="D8" s="25" t="s">
        <v>138</v>
      </c>
      <c r="E8" s="26">
        <v>320536</v>
      </c>
      <c r="F8" s="27">
        <v>9374.8799999999992</v>
      </c>
      <c r="G8" s="28">
        <v>0.12180000000000001</v>
      </c>
      <c r="H8" s="29"/>
    </row>
    <row r="9" spans="2:9" ht="15.75" customHeight="1" x14ac:dyDescent="0.2">
      <c r="B9" s="25" t="s">
        <v>128</v>
      </c>
      <c r="C9" s="25" t="s">
        <v>129</v>
      </c>
      <c r="D9" s="25" t="s">
        <v>130</v>
      </c>
      <c r="E9" s="26">
        <v>651845</v>
      </c>
      <c r="F9" s="27">
        <v>6866.86</v>
      </c>
      <c r="G9" s="28">
        <v>8.9200000000000002E-2</v>
      </c>
      <c r="H9" s="29"/>
    </row>
    <row r="10" spans="2:9" ht="15.75" customHeight="1" x14ac:dyDescent="0.2">
      <c r="B10" s="25" t="s">
        <v>131</v>
      </c>
      <c r="C10" s="25" t="s">
        <v>132</v>
      </c>
      <c r="D10" s="25" t="s">
        <v>133</v>
      </c>
      <c r="E10" s="26">
        <v>332514</v>
      </c>
      <c r="F10" s="27">
        <v>5569.78</v>
      </c>
      <c r="G10" s="28">
        <v>7.2300000000000003E-2</v>
      </c>
      <c r="H10" s="29"/>
    </row>
    <row r="11" spans="2:9" ht="15.75" customHeight="1" x14ac:dyDescent="0.2">
      <c r="B11" s="25" t="s">
        <v>172</v>
      </c>
      <c r="C11" s="25" t="s">
        <v>173</v>
      </c>
      <c r="D11" s="25" t="s">
        <v>174</v>
      </c>
      <c r="E11" s="26">
        <v>112329</v>
      </c>
      <c r="F11" s="27">
        <v>3910.85</v>
      </c>
      <c r="G11" s="28">
        <v>5.0799999999999998E-2</v>
      </c>
      <c r="H11" s="29"/>
    </row>
    <row r="12" spans="2:9" ht="15.75" customHeight="1" x14ac:dyDescent="0.2">
      <c r="B12" s="25" t="s">
        <v>199</v>
      </c>
      <c r="C12" s="25" t="s">
        <v>200</v>
      </c>
      <c r="D12" s="25" t="s">
        <v>133</v>
      </c>
      <c r="E12" s="26">
        <v>95238</v>
      </c>
      <c r="F12" s="27">
        <v>3897.28</v>
      </c>
      <c r="G12" s="28">
        <v>5.0599999999999999E-2</v>
      </c>
      <c r="H12" s="29"/>
    </row>
    <row r="13" spans="2:9" ht="15.75" customHeight="1" x14ac:dyDescent="0.2">
      <c r="B13" s="25" t="s">
        <v>210</v>
      </c>
      <c r="C13" s="25" t="s">
        <v>211</v>
      </c>
      <c r="D13" s="25" t="s">
        <v>141</v>
      </c>
      <c r="E13" s="26">
        <v>827758</v>
      </c>
      <c r="F13" s="27">
        <v>3364.84</v>
      </c>
      <c r="G13" s="28">
        <v>4.3700000000000003E-2</v>
      </c>
      <c r="H13" s="29"/>
    </row>
    <row r="14" spans="2:9" ht="15.75" customHeight="1" x14ac:dyDescent="0.2">
      <c r="B14" s="25" t="s">
        <v>268</v>
      </c>
      <c r="C14" s="25" t="s">
        <v>269</v>
      </c>
      <c r="D14" s="25" t="s">
        <v>130</v>
      </c>
      <c r="E14" s="26">
        <v>264092</v>
      </c>
      <c r="F14" s="27">
        <v>2840.84</v>
      </c>
      <c r="G14" s="28">
        <v>3.6900000000000002E-2</v>
      </c>
      <c r="H14" s="29"/>
    </row>
    <row r="15" spans="2:9" ht="15.75" customHeight="1" x14ac:dyDescent="0.2">
      <c r="B15" s="25" t="s">
        <v>266</v>
      </c>
      <c r="C15" s="25" t="s">
        <v>267</v>
      </c>
      <c r="D15" s="25" t="s">
        <v>130</v>
      </c>
      <c r="E15" s="26">
        <v>355351</v>
      </c>
      <c r="F15" s="27">
        <v>2662.65</v>
      </c>
      <c r="G15" s="28">
        <v>3.4599999999999999E-2</v>
      </c>
      <c r="H15" s="29"/>
    </row>
    <row r="16" spans="2:9" ht="15.75" customHeight="1" x14ac:dyDescent="0.2">
      <c r="B16" s="25" t="s">
        <v>241</v>
      </c>
      <c r="C16" s="25" t="s">
        <v>242</v>
      </c>
      <c r="D16" s="25" t="s">
        <v>168</v>
      </c>
      <c r="E16" s="26">
        <v>235218</v>
      </c>
      <c r="F16" s="27">
        <v>2641.26</v>
      </c>
      <c r="G16" s="28">
        <v>3.4299999999999997E-2</v>
      </c>
      <c r="H16" s="29"/>
    </row>
    <row r="17" spans="2:8" ht="15.75" customHeight="1" x14ac:dyDescent="0.2">
      <c r="B17" s="25" t="s">
        <v>214</v>
      </c>
      <c r="C17" s="25" t="s">
        <v>215</v>
      </c>
      <c r="D17" s="25" t="s">
        <v>130</v>
      </c>
      <c r="E17" s="26">
        <v>133038</v>
      </c>
      <c r="F17" s="27">
        <v>2249.41</v>
      </c>
      <c r="G17" s="28">
        <v>2.92E-2</v>
      </c>
      <c r="H17" s="29"/>
    </row>
    <row r="18" spans="2:8" ht="15.75" customHeight="1" x14ac:dyDescent="0.2">
      <c r="B18" s="25" t="s">
        <v>139</v>
      </c>
      <c r="C18" s="25" t="s">
        <v>140</v>
      </c>
      <c r="D18" s="25" t="s">
        <v>141</v>
      </c>
      <c r="E18" s="26">
        <v>83227</v>
      </c>
      <c r="F18" s="27">
        <v>2006.64</v>
      </c>
      <c r="G18" s="28">
        <v>2.6100000000000002E-2</v>
      </c>
      <c r="H18" s="29"/>
    </row>
    <row r="19" spans="2:8" ht="15.75" customHeight="1" x14ac:dyDescent="0.2">
      <c r="B19" s="25" t="s">
        <v>142</v>
      </c>
      <c r="C19" s="25" t="s">
        <v>143</v>
      </c>
      <c r="D19" s="25" t="s">
        <v>144</v>
      </c>
      <c r="E19" s="26">
        <v>88517</v>
      </c>
      <c r="F19" s="27">
        <v>1711.74</v>
      </c>
      <c r="G19" s="28">
        <v>2.2200000000000001E-2</v>
      </c>
      <c r="H19" s="29"/>
    </row>
    <row r="20" spans="2:8" ht="15.75" customHeight="1" x14ac:dyDescent="0.2">
      <c r="B20" s="25" t="s">
        <v>177</v>
      </c>
      <c r="C20" s="25" t="s">
        <v>178</v>
      </c>
      <c r="D20" s="25" t="s">
        <v>179</v>
      </c>
      <c r="E20" s="26">
        <v>25797</v>
      </c>
      <c r="F20" s="27">
        <v>1675.75</v>
      </c>
      <c r="G20" s="28">
        <v>2.18E-2</v>
      </c>
      <c r="H20" s="29"/>
    </row>
    <row r="21" spans="2:8" ht="15.75" customHeight="1" x14ac:dyDescent="0.2">
      <c r="B21" s="25" t="s">
        <v>270</v>
      </c>
      <c r="C21" s="25" t="s">
        <v>271</v>
      </c>
      <c r="D21" s="25" t="s">
        <v>133</v>
      </c>
      <c r="E21" s="26">
        <v>98119</v>
      </c>
      <c r="F21" s="27">
        <v>1635.79</v>
      </c>
      <c r="G21" s="28">
        <v>2.12E-2</v>
      </c>
      <c r="H21" s="29"/>
    </row>
    <row r="22" spans="2:8" ht="15.75" customHeight="1" x14ac:dyDescent="0.2">
      <c r="B22" s="25" t="s">
        <v>438</v>
      </c>
      <c r="C22" s="25" t="s">
        <v>439</v>
      </c>
      <c r="D22" s="25" t="s">
        <v>144</v>
      </c>
      <c r="E22" s="26">
        <v>166649</v>
      </c>
      <c r="F22" s="27">
        <v>1584.5</v>
      </c>
      <c r="G22" s="28">
        <v>2.06E-2</v>
      </c>
      <c r="H22" s="29"/>
    </row>
    <row r="23" spans="2:8" ht="15.75" customHeight="1" x14ac:dyDescent="0.2">
      <c r="B23" s="25" t="s">
        <v>272</v>
      </c>
      <c r="C23" s="25" t="s">
        <v>273</v>
      </c>
      <c r="D23" s="25" t="s">
        <v>185</v>
      </c>
      <c r="E23" s="26">
        <v>99685</v>
      </c>
      <c r="F23" s="27">
        <v>1571.23</v>
      </c>
      <c r="G23" s="28">
        <v>2.0400000000000001E-2</v>
      </c>
      <c r="H23" s="29"/>
    </row>
    <row r="24" spans="2:8" ht="15.75" customHeight="1" x14ac:dyDescent="0.2">
      <c r="B24" s="25" t="s">
        <v>276</v>
      </c>
      <c r="C24" s="25" t="s">
        <v>277</v>
      </c>
      <c r="D24" s="25" t="s">
        <v>230</v>
      </c>
      <c r="E24" s="26">
        <v>443468</v>
      </c>
      <c r="F24" s="27">
        <v>1487.61</v>
      </c>
      <c r="G24" s="28">
        <v>1.9300000000000001E-2</v>
      </c>
      <c r="H24" s="29"/>
    </row>
    <row r="25" spans="2:8" ht="15.75" customHeight="1" x14ac:dyDescent="0.2">
      <c r="B25" s="25" t="s">
        <v>204</v>
      </c>
      <c r="C25" s="25" t="s">
        <v>205</v>
      </c>
      <c r="D25" s="25" t="s">
        <v>206</v>
      </c>
      <c r="E25" s="26">
        <v>38768</v>
      </c>
      <c r="F25" s="27">
        <v>1407.03</v>
      </c>
      <c r="G25" s="28">
        <v>1.83E-2</v>
      </c>
      <c r="H25" s="29"/>
    </row>
    <row r="26" spans="2:8" ht="15.75" customHeight="1" x14ac:dyDescent="0.2">
      <c r="B26" s="25" t="s">
        <v>274</v>
      </c>
      <c r="C26" s="25" t="s">
        <v>275</v>
      </c>
      <c r="D26" s="25" t="s">
        <v>144</v>
      </c>
      <c r="E26" s="26">
        <v>12393</v>
      </c>
      <c r="F26" s="27">
        <v>1396.61</v>
      </c>
      <c r="G26" s="28">
        <v>1.8100000000000002E-2</v>
      </c>
      <c r="H26" s="29"/>
    </row>
    <row r="27" spans="2:8" ht="15.75" customHeight="1" x14ac:dyDescent="0.2">
      <c r="B27" s="25" t="s">
        <v>467</v>
      </c>
      <c r="C27" s="25" t="s">
        <v>468</v>
      </c>
      <c r="D27" s="25" t="s">
        <v>230</v>
      </c>
      <c r="E27" s="26">
        <v>423727</v>
      </c>
      <c r="F27" s="27">
        <v>1197.24</v>
      </c>
      <c r="G27" s="28">
        <v>1.5599999999999999E-2</v>
      </c>
      <c r="H27" s="29"/>
    </row>
    <row r="28" spans="2:8" ht="15.75" customHeight="1" x14ac:dyDescent="0.2">
      <c r="B28" s="25" t="s">
        <v>216</v>
      </c>
      <c r="C28" s="25" t="s">
        <v>217</v>
      </c>
      <c r="D28" s="25" t="s">
        <v>206</v>
      </c>
      <c r="E28" s="26">
        <v>41851</v>
      </c>
      <c r="F28" s="27">
        <v>1182.46</v>
      </c>
      <c r="G28" s="28">
        <v>1.54E-2</v>
      </c>
      <c r="H28" s="29"/>
    </row>
    <row r="29" spans="2:8" ht="15.75" customHeight="1" x14ac:dyDescent="0.2">
      <c r="B29" s="25" t="s">
        <v>574</v>
      </c>
      <c r="C29" s="25" t="s">
        <v>575</v>
      </c>
      <c r="D29" s="25" t="s">
        <v>191</v>
      </c>
      <c r="E29" s="26">
        <v>750095</v>
      </c>
      <c r="F29" s="27">
        <v>1056.8800000000001</v>
      </c>
      <c r="G29" s="28">
        <v>1.37E-2</v>
      </c>
      <c r="H29" s="29"/>
    </row>
    <row r="30" spans="2:8" ht="15.75" customHeight="1" x14ac:dyDescent="0.2">
      <c r="B30" s="25" t="s">
        <v>440</v>
      </c>
      <c r="C30" s="25" t="s">
        <v>441</v>
      </c>
      <c r="D30" s="25" t="s">
        <v>285</v>
      </c>
      <c r="E30" s="26">
        <v>10643</v>
      </c>
      <c r="F30" s="27">
        <v>1053.8599999999999</v>
      </c>
      <c r="G30" s="28">
        <v>1.37E-2</v>
      </c>
      <c r="H30" s="29"/>
    </row>
    <row r="31" spans="2:8" ht="15.75" customHeight="1" x14ac:dyDescent="0.2">
      <c r="B31" s="25" t="s">
        <v>253</v>
      </c>
      <c r="C31" s="25" t="s">
        <v>254</v>
      </c>
      <c r="D31" s="25" t="s">
        <v>130</v>
      </c>
      <c r="E31" s="26">
        <v>60328</v>
      </c>
      <c r="F31" s="27">
        <v>890.08</v>
      </c>
      <c r="G31" s="28">
        <v>1.1599999999999999E-2</v>
      </c>
      <c r="H31" s="29"/>
    </row>
    <row r="32" spans="2:8" ht="15.75" customHeight="1" x14ac:dyDescent="0.2">
      <c r="B32" s="25" t="s">
        <v>145</v>
      </c>
      <c r="C32" s="25" t="s">
        <v>146</v>
      </c>
      <c r="D32" s="25" t="s">
        <v>147</v>
      </c>
      <c r="E32" s="26">
        <v>33026</v>
      </c>
      <c r="F32" s="27">
        <v>858.23</v>
      </c>
      <c r="G32" s="28">
        <v>1.11E-2</v>
      </c>
      <c r="H32" s="29"/>
    </row>
    <row r="33" spans="2:8" ht="15.75" customHeight="1" x14ac:dyDescent="0.2">
      <c r="B33" s="25" t="s">
        <v>251</v>
      </c>
      <c r="C33" s="25" t="s">
        <v>252</v>
      </c>
      <c r="D33" s="25" t="s">
        <v>179</v>
      </c>
      <c r="E33" s="26">
        <v>50197</v>
      </c>
      <c r="F33" s="27">
        <v>800.22</v>
      </c>
      <c r="G33" s="28">
        <v>1.04E-2</v>
      </c>
      <c r="H33" s="29"/>
    </row>
    <row r="34" spans="2:8" ht="15.75" customHeight="1" x14ac:dyDescent="0.2">
      <c r="B34" s="25" t="s">
        <v>243</v>
      </c>
      <c r="C34" s="25" t="s">
        <v>244</v>
      </c>
      <c r="D34" s="25" t="s">
        <v>133</v>
      </c>
      <c r="E34" s="26">
        <v>57947</v>
      </c>
      <c r="F34" s="27">
        <v>739.55</v>
      </c>
      <c r="G34" s="28">
        <v>9.5999999999999992E-3</v>
      </c>
      <c r="H34" s="29"/>
    </row>
    <row r="35" spans="2:8" ht="15.75" customHeight="1" x14ac:dyDescent="0.2">
      <c r="B35" s="25" t="s">
        <v>249</v>
      </c>
      <c r="C35" s="25" t="s">
        <v>250</v>
      </c>
      <c r="D35" s="25" t="s">
        <v>191</v>
      </c>
      <c r="E35" s="26">
        <v>88389</v>
      </c>
      <c r="F35" s="27">
        <v>707.24</v>
      </c>
      <c r="G35" s="28">
        <v>9.1999999999999998E-3</v>
      </c>
      <c r="H35" s="29"/>
    </row>
    <row r="36" spans="2:8" ht="15.75" customHeight="1" x14ac:dyDescent="0.2">
      <c r="B36" s="25" t="s">
        <v>727</v>
      </c>
      <c r="C36" s="25" t="s">
        <v>728</v>
      </c>
      <c r="D36" s="25" t="s">
        <v>133</v>
      </c>
      <c r="E36" s="26">
        <v>130662</v>
      </c>
      <c r="F36" s="27">
        <v>678.33</v>
      </c>
      <c r="G36" s="28">
        <v>8.8000000000000005E-3</v>
      </c>
      <c r="H36" s="29"/>
    </row>
    <row r="37" spans="2:8" ht="15.75" customHeight="1" x14ac:dyDescent="0.2">
      <c r="B37" s="24" t="s">
        <v>98</v>
      </c>
      <c r="C37" s="24"/>
      <c r="D37" s="24"/>
      <c r="E37" s="30"/>
      <c r="F37" s="31">
        <v>76931.33</v>
      </c>
      <c r="G37" s="32">
        <v>0.99929999999999997</v>
      </c>
      <c r="H37" s="33"/>
    </row>
    <row r="38" spans="2:8" ht="15.75" customHeight="1" x14ac:dyDescent="0.2">
      <c r="B38" s="24" t="s">
        <v>150</v>
      </c>
      <c r="C38" s="25"/>
      <c r="D38" s="25"/>
      <c r="E38" s="26"/>
      <c r="F38" s="27"/>
      <c r="G38" s="28"/>
      <c r="H38" s="29"/>
    </row>
    <row r="39" spans="2:8" ht="15.75" customHeight="1" x14ac:dyDescent="0.2">
      <c r="B39" s="24" t="s">
        <v>98</v>
      </c>
      <c r="C39" s="25"/>
      <c r="D39" s="25"/>
      <c r="E39" s="26"/>
      <c r="F39" s="34" t="s">
        <v>100</v>
      </c>
      <c r="G39" s="35" t="s">
        <v>100</v>
      </c>
      <c r="H39" s="29"/>
    </row>
    <row r="40" spans="2:8" ht="15.75" customHeight="1" x14ac:dyDescent="0.2">
      <c r="B40" s="25"/>
      <c r="C40" s="25"/>
      <c r="D40" s="25"/>
      <c r="E40" s="26"/>
      <c r="F40" s="27"/>
      <c r="G40" s="28"/>
      <c r="H40" s="29"/>
    </row>
    <row r="41" spans="2:8" ht="15.75" customHeight="1" x14ac:dyDescent="0.2">
      <c r="B41" s="36" t="s">
        <v>102</v>
      </c>
      <c r="C41" s="36"/>
      <c r="D41" s="36"/>
      <c r="E41" s="37"/>
      <c r="F41" s="31">
        <v>76931.33</v>
      </c>
      <c r="G41" s="32">
        <v>0.99929999999999997</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105</v>
      </c>
      <c r="C44" s="25"/>
      <c r="D44" s="25"/>
      <c r="E44" s="26"/>
      <c r="F44" s="27"/>
      <c r="G44" s="28"/>
      <c r="H44" s="29"/>
    </row>
    <row r="45" spans="2:8" ht="15.75" customHeight="1" x14ac:dyDescent="0.2">
      <c r="B45" s="25" t="s">
        <v>106</v>
      </c>
      <c r="C45" s="25"/>
      <c r="D45" s="25"/>
      <c r="E45" s="26"/>
      <c r="F45" s="27">
        <v>165.34</v>
      </c>
      <c r="G45" s="28">
        <v>2.0999999999999999E-3</v>
      </c>
      <c r="H45" s="29"/>
    </row>
    <row r="46" spans="2:8" ht="15.75" customHeight="1" x14ac:dyDescent="0.2">
      <c r="B46" s="24" t="s">
        <v>98</v>
      </c>
      <c r="C46" s="24"/>
      <c r="D46" s="24"/>
      <c r="E46" s="30"/>
      <c r="F46" s="31">
        <v>165.34</v>
      </c>
      <c r="G46" s="32">
        <v>2.0999999999999999E-3</v>
      </c>
      <c r="H46" s="33"/>
    </row>
    <row r="47" spans="2:8" ht="15.75" customHeight="1" x14ac:dyDescent="0.2">
      <c r="B47" s="25"/>
      <c r="C47" s="25"/>
      <c r="D47" s="25"/>
      <c r="E47" s="26"/>
      <c r="F47" s="27"/>
      <c r="G47" s="28"/>
      <c r="H47" s="29"/>
    </row>
    <row r="48" spans="2:8" ht="15.75" customHeight="1" x14ac:dyDescent="0.2">
      <c r="B48" s="36" t="s">
        <v>102</v>
      </c>
      <c r="C48" s="36"/>
      <c r="D48" s="36"/>
      <c r="E48" s="37"/>
      <c r="F48" s="31">
        <v>165.34</v>
      </c>
      <c r="G48" s="32">
        <v>2.0999999999999999E-3</v>
      </c>
      <c r="H48" s="33"/>
    </row>
    <row r="49" spans="2:8" ht="15.75" customHeight="1" x14ac:dyDescent="0.2">
      <c r="B49" s="25" t="s">
        <v>107</v>
      </c>
      <c r="C49" s="25"/>
      <c r="D49" s="25"/>
      <c r="E49" s="26"/>
      <c r="F49" s="38">
        <v>-112.52</v>
      </c>
      <c r="G49" s="39">
        <v>-1.4000000000000679E-3</v>
      </c>
      <c r="H49" s="29"/>
    </row>
    <row r="50" spans="2:8" ht="15.75" customHeight="1" x14ac:dyDescent="0.2">
      <c r="B50" s="40" t="s">
        <v>108</v>
      </c>
      <c r="C50" s="40"/>
      <c r="D50" s="40"/>
      <c r="E50" s="41"/>
      <c r="F50" s="42">
        <v>76984.149999999994</v>
      </c>
      <c r="G50" s="43">
        <v>1</v>
      </c>
      <c r="H50" s="44"/>
    </row>
    <row r="51" spans="2:8" ht="15.75" customHeight="1" thickBot="1" x14ac:dyDescent="0.25">
      <c r="B51" s="2"/>
    </row>
    <row r="52" spans="2:8" ht="27" customHeight="1" thickBot="1" x14ac:dyDescent="0.25">
      <c r="B52" s="57" t="s">
        <v>925</v>
      </c>
      <c r="C52" s="58" t="s">
        <v>926</v>
      </c>
      <c r="D52" s="58" t="s">
        <v>927</v>
      </c>
      <c r="E52" s="63" t="s">
        <v>928</v>
      </c>
      <c r="G52" s="2"/>
      <c r="H52" s="2"/>
    </row>
    <row r="53" spans="2:8" ht="30" customHeight="1" x14ac:dyDescent="0.2">
      <c r="B53" s="70" t="s">
        <v>79</v>
      </c>
      <c r="C53" s="82"/>
      <c r="D53" s="85" t="s">
        <v>995</v>
      </c>
      <c r="E53" s="87"/>
      <c r="G53" s="2"/>
      <c r="H53" s="2"/>
    </row>
    <row r="54" spans="2:8" ht="34.5" customHeight="1" x14ac:dyDescent="0.2">
      <c r="B54" s="66" t="s">
        <v>1011</v>
      </c>
      <c r="C54" s="83"/>
      <c r="D54" s="86"/>
      <c r="E54" s="83"/>
      <c r="G54" s="2"/>
      <c r="H54" s="2"/>
    </row>
    <row r="55" spans="2:8" ht="39.950000000000003" customHeight="1" x14ac:dyDescent="0.2">
      <c r="B55" s="66" t="s">
        <v>1023</v>
      </c>
      <c r="C55" s="83"/>
      <c r="D55" s="86"/>
      <c r="E55" s="83"/>
      <c r="G55" s="2"/>
      <c r="H55" s="2"/>
    </row>
    <row r="56" spans="2:8" ht="29.25" customHeight="1" thickBot="1" x14ac:dyDescent="0.25">
      <c r="B56" s="68" t="s">
        <v>1020</v>
      </c>
      <c r="C56" s="84"/>
      <c r="D56" s="71" t="s">
        <v>1020</v>
      </c>
      <c r="E56" s="88"/>
      <c r="G56" s="2"/>
      <c r="H56" s="2"/>
    </row>
    <row r="57" spans="2:8" ht="24.95" customHeight="1" x14ac:dyDescent="0.2">
      <c r="B57" s="59" t="s">
        <v>929</v>
      </c>
      <c r="C57" s="60"/>
      <c r="D57" s="61"/>
      <c r="E57" s="62"/>
      <c r="G57" s="2"/>
      <c r="H57" s="2"/>
    </row>
    <row r="59" spans="2:8" ht="12" x14ac:dyDescent="0.2">
      <c r="B59" s="2" t="s">
        <v>930</v>
      </c>
      <c r="C59" s="2"/>
      <c r="D59" s="2"/>
      <c r="G59" s="2"/>
      <c r="H59" s="2"/>
    </row>
    <row r="60" spans="2:8" ht="12" x14ac:dyDescent="0.2">
      <c r="B60" s="3" t="s">
        <v>931</v>
      </c>
      <c r="C60" s="2"/>
      <c r="D60" s="2"/>
      <c r="G60" s="2"/>
      <c r="H6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34232679-FD0C-45EF-9CE8-09F37085598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88168-44AD-4673-8BCB-AB0925C2673B}">
  <dimension ref="B1:P95"/>
  <sheetViews>
    <sheetView workbookViewId="0"/>
  </sheetViews>
  <sheetFormatPr defaultColWidth="9.140625" defaultRowHeight="15.75" customHeight="1" x14ac:dyDescent="0.2"/>
  <cols>
    <col min="1" max="1" width="3.5703125" style="2" customWidth="1"/>
    <col min="2" max="2" width="50.42578125" style="9" customWidth="1"/>
    <col min="3" max="3" width="23.85546875" style="9" customWidth="1"/>
    <col min="4" max="4" width="26.5703125" style="9" customWidth="1"/>
    <col min="5" max="5" width="28.57031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126</v>
      </c>
      <c r="C5" s="19"/>
      <c r="D5" s="19"/>
      <c r="E5" s="20"/>
      <c r="F5" s="21"/>
      <c r="G5" s="22"/>
      <c r="H5" s="23"/>
    </row>
    <row r="6" spans="2:9" ht="15.75" customHeight="1" x14ac:dyDescent="0.2">
      <c r="B6" s="24" t="s">
        <v>127</v>
      </c>
      <c r="C6" s="25"/>
      <c r="D6" s="25"/>
      <c r="E6" s="26"/>
      <c r="F6" s="27"/>
      <c r="G6" s="28"/>
      <c r="H6" s="29"/>
    </row>
    <row r="7" spans="2:9" ht="15.75" customHeight="1" x14ac:dyDescent="0.2">
      <c r="B7" s="25" t="s">
        <v>128</v>
      </c>
      <c r="C7" s="25" t="s">
        <v>129</v>
      </c>
      <c r="D7" s="25" t="s">
        <v>130</v>
      </c>
      <c r="E7" s="26">
        <v>329336</v>
      </c>
      <c r="F7" s="27">
        <v>3465.27</v>
      </c>
      <c r="G7" s="28">
        <v>7.2099999999999997E-2</v>
      </c>
      <c r="H7" s="29"/>
    </row>
    <row r="8" spans="2:9" ht="15.75" customHeight="1" x14ac:dyDescent="0.2">
      <c r="B8" s="25" t="s">
        <v>131</v>
      </c>
      <c r="C8" s="25" t="s">
        <v>132</v>
      </c>
      <c r="D8" s="25" t="s">
        <v>133</v>
      </c>
      <c r="E8" s="26">
        <v>152784</v>
      </c>
      <c r="F8" s="27">
        <v>2557.4499999999998</v>
      </c>
      <c r="G8" s="28">
        <v>5.3199999999999997E-2</v>
      </c>
      <c r="H8" s="29"/>
    </row>
    <row r="9" spans="2:9" ht="15.75" customHeight="1" x14ac:dyDescent="0.2">
      <c r="B9" s="25" t="s">
        <v>534</v>
      </c>
      <c r="C9" s="25" t="s">
        <v>535</v>
      </c>
      <c r="D9" s="25" t="s">
        <v>240</v>
      </c>
      <c r="E9" s="26">
        <v>298508</v>
      </c>
      <c r="F9" s="27">
        <v>2224.48</v>
      </c>
      <c r="G9" s="28">
        <v>4.6300000000000001E-2</v>
      </c>
      <c r="H9" s="29"/>
    </row>
    <row r="10" spans="2:9" ht="15.75" customHeight="1" x14ac:dyDescent="0.2">
      <c r="B10" s="25" t="s">
        <v>134</v>
      </c>
      <c r="C10" s="25" t="s">
        <v>135</v>
      </c>
      <c r="D10" s="25" t="s">
        <v>130</v>
      </c>
      <c r="E10" s="26">
        <v>147981</v>
      </c>
      <c r="F10" s="27">
        <v>2076.77</v>
      </c>
      <c r="G10" s="28">
        <v>4.3200000000000002E-2</v>
      </c>
      <c r="H10" s="29"/>
    </row>
    <row r="11" spans="2:9" ht="15.75" customHeight="1" x14ac:dyDescent="0.2">
      <c r="B11" s="25" t="s">
        <v>207</v>
      </c>
      <c r="C11" s="25" t="s">
        <v>208</v>
      </c>
      <c r="D11" s="25" t="s">
        <v>209</v>
      </c>
      <c r="E11" s="26">
        <v>46455</v>
      </c>
      <c r="F11" s="27">
        <v>1803.29</v>
      </c>
      <c r="G11" s="28">
        <v>3.7499999999999999E-2</v>
      </c>
      <c r="H11" s="29"/>
    </row>
    <row r="12" spans="2:9" ht="15.75" customHeight="1" x14ac:dyDescent="0.2">
      <c r="B12" s="25" t="s">
        <v>199</v>
      </c>
      <c r="C12" s="25" t="s">
        <v>200</v>
      </c>
      <c r="D12" s="25" t="s">
        <v>133</v>
      </c>
      <c r="E12" s="26">
        <v>39365</v>
      </c>
      <c r="F12" s="27">
        <v>1612.04</v>
      </c>
      <c r="G12" s="28">
        <v>3.3500000000000002E-2</v>
      </c>
      <c r="H12" s="29"/>
    </row>
    <row r="13" spans="2:9" ht="15.75" customHeight="1" x14ac:dyDescent="0.2">
      <c r="B13" s="25" t="s">
        <v>204</v>
      </c>
      <c r="C13" s="25" t="s">
        <v>205</v>
      </c>
      <c r="D13" s="25" t="s">
        <v>206</v>
      </c>
      <c r="E13" s="26">
        <v>35307</v>
      </c>
      <c r="F13" s="27">
        <v>1279.67</v>
      </c>
      <c r="G13" s="28">
        <v>2.6599999999999999E-2</v>
      </c>
      <c r="H13" s="29"/>
    </row>
    <row r="14" spans="2:9" ht="15.75" customHeight="1" x14ac:dyDescent="0.2">
      <c r="B14" s="25" t="s">
        <v>645</v>
      </c>
      <c r="C14" s="25" t="s">
        <v>646</v>
      </c>
      <c r="D14" s="25" t="s">
        <v>309</v>
      </c>
      <c r="E14" s="26">
        <v>33781</v>
      </c>
      <c r="F14" s="27">
        <v>1236.25</v>
      </c>
      <c r="G14" s="28">
        <v>2.5700000000000001E-2</v>
      </c>
      <c r="H14" s="29"/>
    </row>
    <row r="15" spans="2:9" ht="15.75" customHeight="1" x14ac:dyDescent="0.2">
      <c r="B15" s="25" t="s">
        <v>434</v>
      </c>
      <c r="C15" s="25" t="s">
        <v>435</v>
      </c>
      <c r="D15" s="25" t="s">
        <v>294</v>
      </c>
      <c r="E15" s="26">
        <v>154147</v>
      </c>
      <c r="F15" s="27">
        <v>1186.47</v>
      </c>
      <c r="G15" s="28">
        <v>2.47E-2</v>
      </c>
      <c r="H15" s="29"/>
    </row>
    <row r="16" spans="2:9" ht="15.75" customHeight="1" x14ac:dyDescent="0.2">
      <c r="B16" s="25" t="s">
        <v>268</v>
      </c>
      <c r="C16" s="25" t="s">
        <v>269</v>
      </c>
      <c r="D16" s="25" t="s">
        <v>130</v>
      </c>
      <c r="E16" s="26">
        <v>103185</v>
      </c>
      <c r="F16" s="27">
        <v>1109.3399999999999</v>
      </c>
      <c r="G16" s="28">
        <v>2.3099999999999999E-2</v>
      </c>
      <c r="H16" s="29"/>
    </row>
    <row r="17" spans="2:8" ht="15.75" customHeight="1" x14ac:dyDescent="0.2">
      <c r="B17" s="25" t="s">
        <v>699</v>
      </c>
      <c r="C17" s="25" t="s">
        <v>700</v>
      </c>
      <c r="D17" s="25" t="s">
        <v>209</v>
      </c>
      <c r="E17" s="26">
        <v>27706</v>
      </c>
      <c r="F17" s="27">
        <v>1085.77</v>
      </c>
      <c r="G17" s="28">
        <v>2.2599999999999999E-2</v>
      </c>
      <c r="H17" s="29"/>
    </row>
    <row r="18" spans="2:8" ht="15.75" customHeight="1" x14ac:dyDescent="0.2">
      <c r="B18" s="25" t="s">
        <v>278</v>
      </c>
      <c r="C18" s="25" t="s">
        <v>279</v>
      </c>
      <c r="D18" s="25" t="s">
        <v>222</v>
      </c>
      <c r="E18" s="26">
        <v>42336</v>
      </c>
      <c r="F18" s="27">
        <v>1011.68</v>
      </c>
      <c r="G18" s="28">
        <v>2.1000000000000001E-2</v>
      </c>
      <c r="H18" s="29"/>
    </row>
    <row r="19" spans="2:8" ht="15.75" customHeight="1" x14ac:dyDescent="0.2">
      <c r="B19" s="25" t="s">
        <v>177</v>
      </c>
      <c r="C19" s="25" t="s">
        <v>178</v>
      </c>
      <c r="D19" s="25" t="s">
        <v>179</v>
      </c>
      <c r="E19" s="26">
        <v>15304</v>
      </c>
      <c r="F19" s="27">
        <v>994.05</v>
      </c>
      <c r="G19" s="28">
        <v>2.07E-2</v>
      </c>
      <c r="H19" s="29"/>
    </row>
    <row r="20" spans="2:8" ht="15.75" customHeight="1" x14ac:dyDescent="0.2">
      <c r="B20" s="25" t="s">
        <v>136</v>
      </c>
      <c r="C20" s="25" t="s">
        <v>137</v>
      </c>
      <c r="D20" s="25" t="s">
        <v>138</v>
      </c>
      <c r="E20" s="26">
        <v>29150</v>
      </c>
      <c r="F20" s="27">
        <v>851.65</v>
      </c>
      <c r="G20" s="28">
        <v>1.77E-2</v>
      </c>
      <c r="H20" s="29"/>
    </row>
    <row r="21" spans="2:8" ht="15.75" customHeight="1" x14ac:dyDescent="0.2">
      <c r="B21" s="25" t="s">
        <v>483</v>
      </c>
      <c r="C21" s="25" t="s">
        <v>484</v>
      </c>
      <c r="D21" s="25" t="s">
        <v>185</v>
      </c>
      <c r="E21" s="26">
        <v>22276</v>
      </c>
      <c r="F21" s="27">
        <v>777.17</v>
      </c>
      <c r="G21" s="28">
        <v>1.6199999999999999E-2</v>
      </c>
      <c r="H21" s="29"/>
    </row>
    <row r="22" spans="2:8" ht="15.75" customHeight="1" x14ac:dyDescent="0.2">
      <c r="B22" s="25" t="s">
        <v>697</v>
      </c>
      <c r="C22" s="25" t="s">
        <v>698</v>
      </c>
      <c r="D22" s="25" t="s">
        <v>578</v>
      </c>
      <c r="E22" s="26">
        <v>65270</v>
      </c>
      <c r="F22" s="27">
        <v>776.75</v>
      </c>
      <c r="G22" s="28">
        <v>1.6199999999999999E-2</v>
      </c>
      <c r="H22" s="29"/>
    </row>
    <row r="23" spans="2:8" ht="15.75" customHeight="1" x14ac:dyDescent="0.2">
      <c r="B23" s="25" t="s">
        <v>186</v>
      </c>
      <c r="C23" s="25" t="s">
        <v>187</v>
      </c>
      <c r="D23" s="25" t="s">
        <v>188</v>
      </c>
      <c r="E23" s="26">
        <v>373147</v>
      </c>
      <c r="F23" s="27">
        <v>765.32</v>
      </c>
      <c r="G23" s="28">
        <v>1.5900000000000001E-2</v>
      </c>
      <c r="H23" s="29"/>
    </row>
    <row r="24" spans="2:8" ht="15.75" customHeight="1" x14ac:dyDescent="0.2">
      <c r="B24" s="25" t="s">
        <v>485</v>
      </c>
      <c r="C24" s="25" t="s">
        <v>486</v>
      </c>
      <c r="D24" s="25" t="s">
        <v>309</v>
      </c>
      <c r="E24" s="26">
        <v>66778</v>
      </c>
      <c r="F24" s="27">
        <v>714.06</v>
      </c>
      <c r="G24" s="28">
        <v>1.49E-2</v>
      </c>
      <c r="H24" s="29"/>
    </row>
    <row r="25" spans="2:8" ht="15.75" customHeight="1" x14ac:dyDescent="0.2">
      <c r="B25" s="25" t="s">
        <v>241</v>
      </c>
      <c r="C25" s="25" t="s">
        <v>242</v>
      </c>
      <c r="D25" s="25" t="s">
        <v>168</v>
      </c>
      <c r="E25" s="26">
        <v>60521</v>
      </c>
      <c r="F25" s="27">
        <v>679.86</v>
      </c>
      <c r="G25" s="28">
        <v>1.41E-2</v>
      </c>
      <c r="H25" s="29"/>
    </row>
    <row r="26" spans="2:8" ht="15.75" customHeight="1" x14ac:dyDescent="0.2">
      <c r="B26" s="25" t="s">
        <v>274</v>
      </c>
      <c r="C26" s="25" t="s">
        <v>275</v>
      </c>
      <c r="D26" s="25" t="s">
        <v>144</v>
      </c>
      <c r="E26" s="26">
        <v>5868</v>
      </c>
      <c r="F26" s="27">
        <v>662.4</v>
      </c>
      <c r="G26" s="28">
        <v>1.38E-2</v>
      </c>
      <c r="H26" s="29"/>
    </row>
    <row r="27" spans="2:8" ht="15.75" customHeight="1" x14ac:dyDescent="0.2">
      <c r="B27" s="25" t="s">
        <v>251</v>
      </c>
      <c r="C27" s="25" t="s">
        <v>252</v>
      </c>
      <c r="D27" s="25" t="s">
        <v>179</v>
      </c>
      <c r="E27" s="26">
        <v>40357</v>
      </c>
      <c r="F27" s="27">
        <v>643.21</v>
      </c>
      <c r="G27" s="28">
        <v>1.34E-2</v>
      </c>
      <c r="H27" s="29"/>
    </row>
    <row r="28" spans="2:8" ht="15.75" customHeight="1" x14ac:dyDescent="0.2">
      <c r="B28" s="25" t="s">
        <v>906</v>
      </c>
      <c r="C28" s="25" t="s">
        <v>907</v>
      </c>
      <c r="D28" s="25" t="s">
        <v>206</v>
      </c>
      <c r="E28" s="26">
        <v>8273</v>
      </c>
      <c r="F28" s="27">
        <v>627.04999999999995</v>
      </c>
      <c r="G28" s="28">
        <v>1.2999999999999999E-2</v>
      </c>
      <c r="H28" s="29"/>
    </row>
    <row r="29" spans="2:8" ht="15.75" customHeight="1" x14ac:dyDescent="0.2">
      <c r="B29" s="25" t="s">
        <v>334</v>
      </c>
      <c r="C29" s="25" t="s">
        <v>335</v>
      </c>
      <c r="D29" s="25" t="s">
        <v>185</v>
      </c>
      <c r="E29" s="26">
        <v>12171</v>
      </c>
      <c r="F29" s="27">
        <v>624.04999999999995</v>
      </c>
      <c r="G29" s="28">
        <v>1.2999999999999999E-2</v>
      </c>
      <c r="H29" s="29"/>
    </row>
    <row r="30" spans="2:8" ht="15.75" customHeight="1" x14ac:dyDescent="0.2">
      <c r="B30" s="25" t="s">
        <v>139</v>
      </c>
      <c r="C30" s="25" t="s">
        <v>140</v>
      </c>
      <c r="D30" s="25" t="s">
        <v>141</v>
      </c>
      <c r="E30" s="26">
        <v>25290</v>
      </c>
      <c r="F30" s="27">
        <v>610.07000000000005</v>
      </c>
      <c r="G30" s="28">
        <v>1.2699999999999999E-2</v>
      </c>
      <c r="H30" s="29"/>
    </row>
    <row r="31" spans="2:8" ht="15.75" customHeight="1" x14ac:dyDescent="0.2">
      <c r="B31" s="25" t="s">
        <v>614</v>
      </c>
      <c r="C31" s="25" t="s">
        <v>615</v>
      </c>
      <c r="D31" s="25" t="s">
        <v>222</v>
      </c>
      <c r="E31" s="26">
        <v>34152</v>
      </c>
      <c r="F31" s="27">
        <v>568.66</v>
      </c>
      <c r="G31" s="28">
        <v>1.18E-2</v>
      </c>
      <c r="H31" s="29"/>
    </row>
    <row r="32" spans="2:8" ht="15.75" customHeight="1" x14ac:dyDescent="0.2">
      <c r="B32" s="25" t="s">
        <v>667</v>
      </c>
      <c r="C32" s="25" t="s">
        <v>668</v>
      </c>
      <c r="D32" s="25" t="s">
        <v>206</v>
      </c>
      <c r="E32" s="26">
        <v>56240</v>
      </c>
      <c r="F32" s="27">
        <v>560.04</v>
      </c>
      <c r="G32" s="28">
        <v>1.1599999999999999E-2</v>
      </c>
      <c r="H32" s="29"/>
    </row>
    <row r="33" spans="2:8" ht="15.75" customHeight="1" x14ac:dyDescent="0.2">
      <c r="B33" s="25" t="s">
        <v>412</v>
      </c>
      <c r="C33" s="25" t="s">
        <v>413</v>
      </c>
      <c r="D33" s="25" t="s">
        <v>179</v>
      </c>
      <c r="E33" s="26">
        <v>37940</v>
      </c>
      <c r="F33" s="27">
        <v>557.76</v>
      </c>
      <c r="G33" s="28">
        <v>1.1599999999999999E-2</v>
      </c>
      <c r="H33" s="29"/>
    </row>
    <row r="34" spans="2:8" ht="15.75" customHeight="1" x14ac:dyDescent="0.2">
      <c r="B34" s="25" t="s">
        <v>266</v>
      </c>
      <c r="C34" s="25" t="s">
        <v>267</v>
      </c>
      <c r="D34" s="25" t="s">
        <v>130</v>
      </c>
      <c r="E34" s="26">
        <v>73075</v>
      </c>
      <c r="F34" s="27">
        <v>546.66999999999996</v>
      </c>
      <c r="G34" s="28">
        <v>1.14E-2</v>
      </c>
      <c r="H34" s="29"/>
    </row>
    <row r="35" spans="2:8" ht="15.75" customHeight="1" x14ac:dyDescent="0.2">
      <c r="B35" s="25" t="s">
        <v>418</v>
      </c>
      <c r="C35" s="25" t="s">
        <v>419</v>
      </c>
      <c r="D35" s="25" t="s">
        <v>179</v>
      </c>
      <c r="E35" s="26">
        <v>300569</v>
      </c>
      <c r="F35" s="27">
        <v>502.4</v>
      </c>
      <c r="G35" s="28">
        <v>1.04E-2</v>
      </c>
      <c r="H35" s="29"/>
    </row>
    <row r="36" spans="2:8" ht="15.75" customHeight="1" x14ac:dyDescent="0.2">
      <c r="B36" s="25" t="s">
        <v>442</v>
      </c>
      <c r="C36" s="25" t="s">
        <v>443</v>
      </c>
      <c r="D36" s="25" t="s">
        <v>444</v>
      </c>
      <c r="E36" s="26">
        <v>57541</v>
      </c>
      <c r="F36" s="27">
        <v>486.19</v>
      </c>
      <c r="G36" s="28">
        <v>1.01E-2</v>
      </c>
      <c r="H36" s="29"/>
    </row>
    <row r="37" spans="2:8" ht="15.75" customHeight="1" x14ac:dyDescent="0.2">
      <c r="B37" s="25" t="s">
        <v>381</v>
      </c>
      <c r="C37" s="25" t="s">
        <v>382</v>
      </c>
      <c r="D37" s="25" t="s">
        <v>133</v>
      </c>
      <c r="E37" s="26">
        <v>6956</v>
      </c>
      <c r="F37" s="27">
        <v>455.9</v>
      </c>
      <c r="G37" s="28">
        <v>9.4999999999999998E-3</v>
      </c>
      <c r="H37" s="29"/>
    </row>
    <row r="38" spans="2:8" ht="15.75" customHeight="1" x14ac:dyDescent="0.2">
      <c r="B38" s="25" t="s">
        <v>453</v>
      </c>
      <c r="C38" s="25" t="s">
        <v>454</v>
      </c>
      <c r="D38" s="25" t="s">
        <v>209</v>
      </c>
      <c r="E38" s="26">
        <v>191124</v>
      </c>
      <c r="F38" s="27">
        <v>430.41</v>
      </c>
      <c r="G38" s="28">
        <v>8.9999999999999993E-3</v>
      </c>
      <c r="H38" s="29"/>
    </row>
    <row r="39" spans="2:8" ht="15.75" customHeight="1" x14ac:dyDescent="0.2">
      <c r="B39" s="25" t="s">
        <v>220</v>
      </c>
      <c r="C39" s="25" t="s">
        <v>221</v>
      </c>
      <c r="D39" s="25" t="s">
        <v>222</v>
      </c>
      <c r="E39" s="26">
        <v>15456</v>
      </c>
      <c r="F39" s="27">
        <v>422.88</v>
      </c>
      <c r="G39" s="28">
        <v>8.8000000000000005E-3</v>
      </c>
      <c r="H39" s="29"/>
    </row>
    <row r="40" spans="2:8" ht="15.75" customHeight="1" x14ac:dyDescent="0.2">
      <c r="B40" s="25" t="s">
        <v>908</v>
      </c>
      <c r="C40" s="25" t="s">
        <v>909</v>
      </c>
      <c r="D40" s="25" t="s">
        <v>309</v>
      </c>
      <c r="E40" s="26">
        <v>8498</v>
      </c>
      <c r="F40" s="27">
        <v>401.36</v>
      </c>
      <c r="G40" s="28">
        <v>8.3000000000000001E-3</v>
      </c>
      <c r="H40" s="29"/>
    </row>
    <row r="41" spans="2:8" ht="15.75" customHeight="1" x14ac:dyDescent="0.2">
      <c r="B41" s="25" t="s">
        <v>214</v>
      </c>
      <c r="C41" s="25" t="s">
        <v>215</v>
      </c>
      <c r="D41" s="25" t="s">
        <v>130</v>
      </c>
      <c r="E41" s="26">
        <v>23017</v>
      </c>
      <c r="F41" s="27">
        <v>388.86</v>
      </c>
      <c r="G41" s="28">
        <v>8.0999999999999996E-3</v>
      </c>
      <c r="H41" s="29"/>
    </row>
    <row r="42" spans="2:8" ht="15.75" customHeight="1" x14ac:dyDescent="0.2">
      <c r="B42" s="25" t="s">
        <v>675</v>
      </c>
      <c r="C42" s="25" t="s">
        <v>676</v>
      </c>
      <c r="D42" s="25" t="s">
        <v>222</v>
      </c>
      <c r="E42" s="26">
        <v>12765</v>
      </c>
      <c r="F42" s="27">
        <v>385.64</v>
      </c>
      <c r="G42" s="28">
        <v>8.0000000000000002E-3</v>
      </c>
      <c r="H42" s="29"/>
    </row>
    <row r="43" spans="2:8" ht="15.75" customHeight="1" x14ac:dyDescent="0.2">
      <c r="B43" s="25" t="s">
        <v>834</v>
      </c>
      <c r="C43" s="25" t="s">
        <v>835</v>
      </c>
      <c r="D43" s="25" t="s">
        <v>282</v>
      </c>
      <c r="E43" s="26">
        <v>65180</v>
      </c>
      <c r="F43" s="27">
        <v>365.99</v>
      </c>
      <c r="G43" s="28">
        <v>7.6E-3</v>
      </c>
      <c r="H43" s="29"/>
    </row>
    <row r="44" spans="2:8" ht="15.75" customHeight="1" x14ac:dyDescent="0.2">
      <c r="B44" s="25" t="s">
        <v>910</v>
      </c>
      <c r="C44" s="25" t="s">
        <v>911</v>
      </c>
      <c r="D44" s="25" t="s">
        <v>444</v>
      </c>
      <c r="E44" s="26">
        <v>17524</v>
      </c>
      <c r="F44" s="27">
        <v>321.37</v>
      </c>
      <c r="G44" s="28">
        <v>6.7000000000000002E-3</v>
      </c>
      <c r="H44" s="29"/>
    </row>
    <row r="45" spans="2:8" ht="15.75" customHeight="1" x14ac:dyDescent="0.2">
      <c r="B45" s="25" t="s">
        <v>226</v>
      </c>
      <c r="C45" s="25" t="s">
        <v>227</v>
      </c>
      <c r="D45" s="25" t="s">
        <v>130</v>
      </c>
      <c r="E45" s="26">
        <v>202835</v>
      </c>
      <c r="F45" s="27">
        <v>305.06</v>
      </c>
      <c r="G45" s="28">
        <v>6.3E-3</v>
      </c>
      <c r="H45" s="29"/>
    </row>
    <row r="46" spans="2:8" ht="15.75" customHeight="1" x14ac:dyDescent="0.2">
      <c r="B46" s="25" t="s">
        <v>912</v>
      </c>
      <c r="C46" s="25" t="s">
        <v>913</v>
      </c>
      <c r="D46" s="25" t="s">
        <v>309</v>
      </c>
      <c r="E46" s="26">
        <v>30248</v>
      </c>
      <c r="F46" s="27">
        <v>287.42</v>
      </c>
      <c r="G46" s="28">
        <v>6.0000000000000001E-3</v>
      </c>
      <c r="H46" s="29"/>
    </row>
    <row r="47" spans="2:8" ht="15.75" customHeight="1" x14ac:dyDescent="0.2">
      <c r="B47" s="25" t="s">
        <v>882</v>
      </c>
      <c r="C47" s="25" t="s">
        <v>883</v>
      </c>
      <c r="D47" s="25" t="s">
        <v>179</v>
      </c>
      <c r="E47" s="26">
        <v>39552</v>
      </c>
      <c r="F47" s="27">
        <v>284.64</v>
      </c>
      <c r="G47" s="28">
        <v>5.8999999999999999E-3</v>
      </c>
      <c r="H47" s="29"/>
    </row>
    <row r="48" spans="2:8" ht="15.75" customHeight="1" x14ac:dyDescent="0.2">
      <c r="B48" s="25" t="s">
        <v>383</v>
      </c>
      <c r="C48" s="25" t="s">
        <v>384</v>
      </c>
      <c r="D48" s="25" t="s">
        <v>171</v>
      </c>
      <c r="E48" s="26">
        <v>33108</v>
      </c>
      <c r="F48" s="27">
        <v>274.91000000000003</v>
      </c>
      <c r="G48" s="28">
        <v>5.7000000000000002E-3</v>
      </c>
      <c r="H48" s="29"/>
    </row>
    <row r="49" spans="2:8" ht="15.75" customHeight="1" x14ac:dyDescent="0.2">
      <c r="B49" s="25" t="s">
        <v>914</v>
      </c>
      <c r="C49" s="25" t="s">
        <v>915</v>
      </c>
      <c r="D49" s="25" t="s">
        <v>309</v>
      </c>
      <c r="E49" s="26">
        <v>43342</v>
      </c>
      <c r="F49" s="27">
        <v>247.29</v>
      </c>
      <c r="G49" s="28">
        <v>5.1000000000000004E-3</v>
      </c>
      <c r="H49" s="29"/>
    </row>
    <row r="50" spans="2:8" ht="15.75" customHeight="1" x14ac:dyDescent="0.2">
      <c r="B50" s="25" t="s">
        <v>367</v>
      </c>
      <c r="C50" s="25" t="s">
        <v>368</v>
      </c>
      <c r="D50" s="25" t="s">
        <v>179</v>
      </c>
      <c r="E50" s="26">
        <v>32711</v>
      </c>
      <c r="F50" s="27">
        <v>231.04</v>
      </c>
      <c r="G50" s="28">
        <v>4.7999999999999996E-3</v>
      </c>
      <c r="H50" s="29"/>
    </row>
    <row r="51" spans="2:8" ht="15.75" customHeight="1" x14ac:dyDescent="0.2">
      <c r="B51" s="25" t="s">
        <v>916</v>
      </c>
      <c r="C51" s="25" t="s">
        <v>917</v>
      </c>
      <c r="D51" s="25" t="s">
        <v>230</v>
      </c>
      <c r="E51" s="26">
        <v>58621</v>
      </c>
      <c r="F51" s="27">
        <v>127.35</v>
      </c>
      <c r="G51" s="28">
        <v>2.5999999999999999E-3</v>
      </c>
      <c r="H51" s="29"/>
    </row>
    <row r="52" spans="2:8" ht="15.75" customHeight="1" x14ac:dyDescent="0.2">
      <c r="B52" s="25" t="s">
        <v>918</v>
      </c>
      <c r="C52" s="25" t="s">
        <v>919</v>
      </c>
      <c r="D52" s="25" t="s">
        <v>168</v>
      </c>
      <c r="E52" s="26">
        <v>4329</v>
      </c>
      <c r="F52" s="27">
        <v>31.24</v>
      </c>
      <c r="G52" s="28">
        <v>5.9999999999999995E-4</v>
      </c>
      <c r="H52" s="29"/>
    </row>
    <row r="53" spans="2:8" ht="15.75" customHeight="1" x14ac:dyDescent="0.2">
      <c r="B53" s="24" t="s">
        <v>98</v>
      </c>
      <c r="C53" s="24"/>
      <c r="D53" s="24"/>
      <c r="E53" s="30"/>
      <c r="F53" s="31">
        <v>37557.199999999997</v>
      </c>
      <c r="G53" s="32">
        <v>0.78110000000000002</v>
      </c>
      <c r="H53" s="33"/>
    </row>
    <row r="54" spans="2:8" ht="15.75" customHeight="1" x14ac:dyDescent="0.2">
      <c r="B54" s="24" t="s">
        <v>150</v>
      </c>
      <c r="C54" s="25"/>
      <c r="D54" s="25"/>
      <c r="E54" s="26"/>
      <c r="F54" s="27"/>
      <c r="G54" s="28"/>
      <c r="H54" s="29"/>
    </row>
    <row r="55" spans="2:8" ht="15.75" customHeight="1" x14ac:dyDescent="0.2">
      <c r="B55" s="24" t="s">
        <v>98</v>
      </c>
      <c r="C55" s="25"/>
      <c r="D55" s="25"/>
      <c r="E55" s="26"/>
      <c r="F55" s="34" t="s">
        <v>100</v>
      </c>
      <c r="G55" s="35" t="s">
        <v>100</v>
      </c>
      <c r="H55" s="29"/>
    </row>
    <row r="56" spans="2:8" ht="15.75" customHeight="1" x14ac:dyDescent="0.2">
      <c r="B56" s="25"/>
      <c r="C56" s="25"/>
      <c r="D56" s="25"/>
      <c r="E56" s="26"/>
      <c r="F56" s="27"/>
      <c r="G56" s="28"/>
      <c r="H56" s="29"/>
    </row>
    <row r="57" spans="2:8" ht="15.75" customHeight="1" x14ac:dyDescent="0.2">
      <c r="B57" s="36" t="s">
        <v>102</v>
      </c>
      <c r="C57" s="36"/>
      <c r="D57" s="36"/>
      <c r="E57" s="37"/>
      <c r="F57" s="31">
        <v>37557.199999999997</v>
      </c>
      <c r="G57" s="32">
        <v>0.78110000000000002</v>
      </c>
      <c r="H57" s="33"/>
    </row>
    <row r="58" spans="2:8" ht="15.75" customHeight="1" x14ac:dyDescent="0.2">
      <c r="B58" s="25"/>
      <c r="C58" s="25"/>
      <c r="D58" s="25"/>
      <c r="E58" s="26"/>
      <c r="F58" s="27"/>
      <c r="G58" s="28"/>
      <c r="H58" s="29"/>
    </row>
    <row r="59" spans="2:8" ht="15.75" customHeight="1" x14ac:dyDescent="0.2">
      <c r="B59" s="24" t="s">
        <v>86</v>
      </c>
      <c r="C59" s="25"/>
      <c r="D59" s="25"/>
      <c r="E59" s="26"/>
      <c r="F59" s="27"/>
      <c r="G59" s="28"/>
      <c r="H59" s="29"/>
    </row>
    <row r="60" spans="2:8" ht="15.75" customHeight="1" x14ac:dyDescent="0.2">
      <c r="B60" s="24" t="s">
        <v>87</v>
      </c>
      <c r="C60" s="25"/>
      <c r="D60" s="25"/>
      <c r="E60" s="26"/>
      <c r="F60" s="27"/>
      <c r="G60" s="28"/>
      <c r="H60" s="29"/>
    </row>
    <row r="61" spans="2:8" ht="15.75" customHeight="1" x14ac:dyDescent="0.2">
      <c r="B61" s="25" t="s">
        <v>151</v>
      </c>
      <c r="C61" s="25" t="s">
        <v>152</v>
      </c>
      <c r="D61" s="25" t="s">
        <v>89</v>
      </c>
      <c r="E61" s="26">
        <v>8000000</v>
      </c>
      <c r="F61" s="27">
        <v>8188.75</v>
      </c>
      <c r="G61" s="28">
        <v>0.17030000000000001</v>
      </c>
      <c r="H61" s="29">
        <v>7.1877999999999997E-2</v>
      </c>
    </row>
    <row r="62" spans="2:8" ht="15.75" customHeight="1" x14ac:dyDescent="0.2">
      <c r="B62" s="25" t="s">
        <v>920</v>
      </c>
      <c r="C62" s="25" t="s">
        <v>921</v>
      </c>
      <c r="D62" s="25" t="s">
        <v>89</v>
      </c>
      <c r="E62" s="26">
        <v>500000</v>
      </c>
      <c r="F62" s="27">
        <v>492.58</v>
      </c>
      <c r="G62" s="28">
        <v>1.0200000000000001E-2</v>
      </c>
      <c r="H62" s="29">
        <v>7.1684999999999999E-2</v>
      </c>
    </row>
    <row r="63" spans="2:8" ht="15.75" customHeight="1" x14ac:dyDescent="0.2">
      <c r="B63" s="25" t="s">
        <v>115</v>
      </c>
      <c r="C63" s="25" t="s">
        <v>116</v>
      </c>
      <c r="D63" s="25" t="s">
        <v>89</v>
      </c>
      <c r="E63" s="26">
        <v>200000</v>
      </c>
      <c r="F63" s="27">
        <v>198.98</v>
      </c>
      <c r="G63" s="28">
        <v>4.1000000000000003E-3</v>
      </c>
      <c r="H63" s="29">
        <v>7.1371000000000004E-2</v>
      </c>
    </row>
    <row r="64" spans="2:8" ht="15.75" customHeight="1" x14ac:dyDescent="0.2">
      <c r="B64" s="25" t="s">
        <v>162</v>
      </c>
      <c r="C64" s="25" t="s">
        <v>163</v>
      </c>
      <c r="D64" s="25" t="s">
        <v>89</v>
      </c>
      <c r="E64" s="26">
        <v>100000</v>
      </c>
      <c r="F64" s="27">
        <v>102.76</v>
      </c>
      <c r="G64" s="28">
        <v>2.0999999999999999E-3</v>
      </c>
      <c r="H64" s="29">
        <v>7.1819999999999995E-2</v>
      </c>
    </row>
    <row r="65" spans="2:16" ht="15.75" customHeight="1" x14ac:dyDescent="0.2">
      <c r="B65" s="25" t="s">
        <v>92</v>
      </c>
      <c r="C65" s="25" t="s">
        <v>97</v>
      </c>
      <c r="D65" s="25" t="s">
        <v>89</v>
      </c>
      <c r="E65" s="26">
        <v>100000</v>
      </c>
      <c r="F65" s="27">
        <v>101.51</v>
      </c>
      <c r="G65" s="28">
        <v>2.0999999999999999E-3</v>
      </c>
      <c r="H65" s="29">
        <v>7.2307999999999997E-2</v>
      </c>
    </row>
    <row r="66" spans="2:16" ht="15.75" customHeight="1" x14ac:dyDescent="0.2">
      <c r="B66" s="25" t="s">
        <v>92</v>
      </c>
      <c r="C66" s="25" t="s">
        <v>93</v>
      </c>
      <c r="D66" s="25" t="s">
        <v>89</v>
      </c>
      <c r="E66" s="26">
        <v>100000</v>
      </c>
      <c r="F66" s="27">
        <v>101.11</v>
      </c>
      <c r="G66" s="28">
        <v>2.0999999999999999E-3</v>
      </c>
      <c r="H66" s="29">
        <v>7.2388999999999995E-2</v>
      </c>
    </row>
    <row r="67" spans="2:16" ht="15.75" customHeight="1" x14ac:dyDescent="0.2">
      <c r="B67" s="25" t="s">
        <v>155</v>
      </c>
      <c r="C67" s="25" t="s">
        <v>156</v>
      </c>
      <c r="D67" s="25" t="s">
        <v>89</v>
      </c>
      <c r="E67" s="26">
        <v>50000</v>
      </c>
      <c r="F67" s="27">
        <v>51.34</v>
      </c>
      <c r="G67" s="28">
        <v>1.1000000000000001E-3</v>
      </c>
      <c r="H67" s="29">
        <v>7.2112999999999997E-2</v>
      </c>
    </row>
    <row r="68" spans="2:16" ht="15.75" customHeight="1" x14ac:dyDescent="0.2">
      <c r="B68" s="24" t="s">
        <v>98</v>
      </c>
      <c r="C68" s="24"/>
      <c r="D68" s="24"/>
      <c r="E68" s="30"/>
      <c r="F68" s="31">
        <v>9237.0300000000007</v>
      </c>
      <c r="G68" s="32">
        <v>0.192</v>
      </c>
      <c r="H68" s="33"/>
      <c r="L68" s="3"/>
    </row>
    <row r="69" spans="2:16" ht="15.75" customHeight="1" x14ac:dyDescent="0.2">
      <c r="B69" s="25"/>
      <c r="C69" s="25"/>
      <c r="D69" s="25"/>
      <c r="E69" s="26"/>
      <c r="F69" s="27"/>
      <c r="G69" s="28"/>
      <c r="H69" s="29"/>
    </row>
    <row r="70" spans="2:16" ht="15.75" customHeight="1" x14ac:dyDescent="0.2">
      <c r="B70" s="24" t="s">
        <v>99</v>
      </c>
      <c r="C70" s="25"/>
      <c r="D70" s="25"/>
      <c r="E70" s="26"/>
      <c r="F70" s="27"/>
      <c r="G70" s="28"/>
      <c r="H70" s="29"/>
      <c r="L70" s="3"/>
    </row>
    <row r="71" spans="2:16" ht="15.75" customHeight="1" x14ac:dyDescent="0.2">
      <c r="B71" s="24" t="s">
        <v>98</v>
      </c>
      <c r="C71" s="25"/>
      <c r="D71" s="25"/>
      <c r="E71" s="26"/>
      <c r="F71" s="34" t="s">
        <v>100</v>
      </c>
      <c r="G71" s="35" t="s">
        <v>100</v>
      </c>
      <c r="H71" s="29"/>
      <c r="L71" s="3"/>
    </row>
    <row r="72" spans="2:16" ht="15.75" customHeight="1" x14ac:dyDescent="0.2">
      <c r="B72" s="25"/>
      <c r="C72" s="25"/>
      <c r="D72" s="25"/>
      <c r="E72" s="26"/>
      <c r="F72" s="27"/>
      <c r="G72" s="28"/>
      <c r="H72" s="29"/>
      <c r="L72" s="3"/>
    </row>
    <row r="73" spans="2:16" ht="15.75" customHeight="1" x14ac:dyDescent="0.2">
      <c r="B73" s="24" t="s">
        <v>101</v>
      </c>
      <c r="C73" s="25"/>
      <c r="D73" s="25"/>
      <c r="E73" s="26"/>
      <c r="F73" s="27"/>
      <c r="G73" s="28"/>
      <c r="H73" s="29"/>
      <c r="L73" s="3"/>
    </row>
    <row r="74" spans="2:16" ht="15.75" customHeight="1" x14ac:dyDescent="0.2">
      <c r="B74" s="24" t="s">
        <v>98</v>
      </c>
      <c r="C74" s="25"/>
      <c r="D74" s="25"/>
      <c r="E74" s="26"/>
      <c r="F74" s="34" t="s">
        <v>100</v>
      </c>
      <c r="G74" s="35" t="s">
        <v>100</v>
      </c>
      <c r="H74" s="29"/>
      <c r="L74" s="3"/>
    </row>
    <row r="75" spans="2:16" ht="15.75" customHeight="1" x14ac:dyDescent="0.2">
      <c r="B75" s="25"/>
      <c r="C75" s="25"/>
      <c r="D75" s="25"/>
      <c r="E75" s="26"/>
      <c r="F75" s="27"/>
      <c r="G75" s="28"/>
      <c r="H75" s="29"/>
      <c r="L75" s="5"/>
      <c r="M75" s="5"/>
      <c r="N75" s="6"/>
      <c r="O75" s="6"/>
      <c r="P75" s="5"/>
    </row>
    <row r="76" spans="2:16" ht="15.75" customHeight="1" x14ac:dyDescent="0.2">
      <c r="B76" s="36" t="s">
        <v>102</v>
      </c>
      <c r="C76" s="36"/>
      <c r="D76" s="36"/>
      <c r="E76" s="37"/>
      <c r="F76" s="31">
        <v>9237.0300000000007</v>
      </c>
      <c r="G76" s="32">
        <v>0.19209999999999999</v>
      </c>
      <c r="H76" s="33"/>
    </row>
    <row r="77" spans="2:16" ht="15.75" customHeight="1" x14ac:dyDescent="0.2">
      <c r="B77" s="25"/>
      <c r="C77" s="25"/>
      <c r="D77" s="25"/>
      <c r="E77" s="26"/>
      <c r="F77" s="27"/>
      <c r="G77" s="28"/>
      <c r="H77" s="29"/>
    </row>
    <row r="78" spans="2:16" ht="15.75" customHeight="1" x14ac:dyDescent="0.2">
      <c r="B78" s="25"/>
      <c r="C78" s="25"/>
      <c r="D78" s="25"/>
      <c r="E78" s="26"/>
      <c r="F78" s="27"/>
      <c r="G78" s="28"/>
      <c r="H78" s="29"/>
      <c r="L78" s="7"/>
      <c r="M78" s="7"/>
      <c r="N78" s="7"/>
      <c r="O78" s="7"/>
      <c r="P78" s="7"/>
    </row>
    <row r="79" spans="2:16" ht="15.75" customHeight="1" x14ac:dyDescent="0.2">
      <c r="B79" s="24" t="s">
        <v>105</v>
      </c>
      <c r="C79" s="25"/>
      <c r="D79" s="25"/>
      <c r="E79" s="26"/>
      <c r="F79" s="27"/>
      <c r="G79" s="28"/>
      <c r="H79" s="29"/>
      <c r="L79" s="7"/>
      <c r="M79" s="7"/>
      <c r="N79" s="7"/>
      <c r="O79" s="7"/>
      <c r="P79" s="7"/>
    </row>
    <row r="80" spans="2:16" ht="15.75" customHeight="1" x14ac:dyDescent="0.2">
      <c r="B80" s="25" t="s">
        <v>106</v>
      </c>
      <c r="C80" s="25"/>
      <c r="D80" s="25"/>
      <c r="E80" s="26"/>
      <c r="F80" s="27">
        <v>1477.05</v>
      </c>
      <c r="G80" s="28">
        <v>3.0700000000000002E-2</v>
      </c>
      <c r="H80" s="29"/>
      <c r="L80" s="7"/>
      <c r="M80" s="7"/>
      <c r="N80" s="7"/>
      <c r="O80" s="7"/>
      <c r="P80" s="7"/>
    </row>
    <row r="81" spans="2:16" ht="15.75" customHeight="1" x14ac:dyDescent="0.2">
      <c r="B81" s="24" t="s">
        <v>98</v>
      </c>
      <c r="C81" s="24"/>
      <c r="D81" s="24"/>
      <c r="E81" s="30"/>
      <c r="F81" s="31">
        <v>1477.05</v>
      </c>
      <c r="G81" s="32">
        <v>3.0700000000000002E-2</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36" t="s">
        <v>102</v>
      </c>
      <c r="C83" s="36"/>
      <c r="D83" s="36"/>
      <c r="E83" s="37"/>
      <c r="F83" s="31">
        <v>1477.05</v>
      </c>
      <c r="G83" s="32">
        <v>3.0700000000000002E-2</v>
      </c>
      <c r="H83" s="33"/>
      <c r="L83" s="7"/>
      <c r="M83" s="7"/>
      <c r="N83" s="7"/>
      <c r="O83" s="7"/>
      <c r="P83" s="7"/>
    </row>
    <row r="84" spans="2:16" ht="15.75" customHeight="1" x14ac:dyDescent="0.2">
      <c r="B84" s="25" t="s">
        <v>107</v>
      </c>
      <c r="C84" s="25"/>
      <c r="D84" s="25"/>
      <c r="E84" s="26"/>
      <c r="F84" s="38">
        <v>-189.33</v>
      </c>
      <c r="G84" s="39">
        <v>-3.9000000000000146E-3</v>
      </c>
      <c r="H84" s="29"/>
      <c r="L84" s="7"/>
      <c r="M84" s="7"/>
      <c r="N84" s="7"/>
      <c r="O84" s="7"/>
      <c r="P84" s="7"/>
    </row>
    <row r="85" spans="2:16" ht="15.75" customHeight="1" x14ac:dyDescent="0.2">
      <c r="B85" s="40" t="s">
        <v>108</v>
      </c>
      <c r="C85" s="40"/>
      <c r="D85" s="40"/>
      <c r="E85" s="41"/>
      <c r="F85" s="42">
        <v>48081.95</v>
      </c>
      <c r="G85" s="43">
        <v>1</v>
      </c>
      <c r="H85" s="44"/>
    </row>
    <row r="86" spans="2:16" ht="15.75" customHeight="1" thickBot="1" x14ac:dyDescent="0.25">
      <c r="B86" s="2"/>
      <c r="L86" s="3"/>
    </row>
    <row r="87" spans="2:16" ht="27" customHeight="1" thickBot="1" x14ac:dyDescent="0.25">
      <c r="B87" s="57" t="s">
        <v>925</v>
      </c>
      <c r="C87" s="58" t="s">
        <v>926</v>
      </c>
      <c r="D87" s="58" t="s">
        <v>927</v>
      </c>
      <c r="E87" s="63" t="s">
        <v>928</v>
      </c>
      <c r="G87" s="2"/>
      <c r="H87" s="2"/>
    </row>
    <row r="88" spans="2:16" ht="29.25" customHeight="1" x14ac:dyDescent="0.2">
      <c r="B88" s="70" t="s">
        <v>81</v>
      </c>
      <c r="C88" s="82"/>
      <c r="D88" s="85" t="s">
        <v>946</v>
      </c>
      <c r="E88" s="87"/>
      <c r="G88" s="2"/>
      <c r="H88" s="2"/>
    </row>
    <row r="89" spans="2:16" ht="39.950000000000003" customHeight="1" x14ac:dyDescent="0.2">
      <c r="B89" s="66" t="s">
        <v>1024</v>
      </c>
      <c r="C89" s="83"/>
      <c r="D89" s="86"/>
      <c r="E89" s="83"/>
      <c r="G89" s="2"/>
      <c r="H89" s="2"/>
    </row>
    <row r="90" spans="2:16" ht="39.950000000000003" customHeight="1" x14ac:dyDescent="0.2">
      <c r="B90" s="66" t="s">
        <v>1025</v>
      </c>
      <c r="C90" s="83"/>
      <c r="D90" s="86"/>
      <c r="E90" s="83"/>
      <c r="G90" s="2"/>
      <c r="H90" s="2"/>
    </row>
    <row r="91" spans="2:16" ht="23.25" customHeight="1" thickBot="1" x14ac:dyDescent="0.25">
      <c r="B91" s="68" t="s">
        <v>943</v>
      </c>
      <c r="C91" s="84"/>
      <c r="D91" s="71" t="s">
        <v>943</v>
      </c>
      <c r="E91" s="88"/>
      <c r="G91" s="2"/>
      <c r="H91" s="2"/>
    </row>
    <row r="92" spans="2:16" ht="24.95" customHeight="1" x14ac:dyDescent="0.2">
      <c r="B92" s="59" t="s">
        <v>929</v>
      </c>
      <c r="C92" s="60"/>
      <c r="D92" s="61"/>
      <c r="E92" s="62"/>
      <c r="G92" s="2"/>
      <c r="H92" s="2"/>
    </row>
    <row r="94" spans="2:16" ht="12" x14ac:dyDescent="0.2">
      <c r="B94" s="2" t="s">
        <v>930</v>
      </c>
      <c r="C94" s="2"/>
      <c r="D94" s="2"/>
      <c r="G94" s="2"/>
      <c r="H94" s="2"/>
    </row>
    <row r="95" spans="2:16" ht="12" x14ac:dyDescent="0.2">
      <c r="B95" s="3" t="s">
        <v>931</v>
      </c>
      <c r="C95" s="2"/>
      <c r="D95" s="2"/>
      <c r="G95" s="2"/>
      <c r="H95" s="2"/>
    </row>
  </sheetData>
  <mergeCells count="3">
    <mergeCell ref="C88:C91"/>
    <mergeCell ref="D88:D90"/>
    <mergeCell ref="E88:E91"/>
  </mergeCells>
  <hyperlinks>
    <hyperlink ref="I1" location="'Sheet1'!A1" display="Index" xr:uid="{181643EA-FA35-415A-89DD-4AE8C6E47046}"/>
  </hyperlinks>
  <pageMargins left="0.7" right="0.7" top="0.75" bottom="0.75" header="0.3" footer="0.3"/>
  <pageSetup orientation="portrait" horizontalDpi="300" verticalDpi="300"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84</vt:i4>
      </vt:variant>
    </vt:vector>
  </HeadingPairs>
  <TitlesOfParts>
    <vt:vector size="113"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LICMFGOLDETF</vt:lpstr>
      <vt:lpstr>LEGROW</vt:lpstr>
      <vt:lpstr>LEINFA</vt:lpstr>
      <vt:lpstr>LEINNF</vt:lpstr>
      <vt:lpstr>LEINSX</vt:lpstr>
      <vt:lpstr>LELTVF</vt:lpstr>
      <vt:lpstr>LEMETF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LEMETF!Hedging_Positions_through_Futures_AS_ON_MMMM_DD__YYYY___NIL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LICMFGOLDETF!Hedging_Positions_through_Futures_AS_ON_MMMM_DD__YYYY___NIL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LEGROW!JPM_Footer_disp</vt:lpstr>
      <vt:lpstr>LEINFA!JPM_Footer_disp</vt:lpstr>
      <vt:lpstr>LEINNF!JPM_Footer_disp</vt:lpstr>
      <vt:lpstr>LEINSX!JPM_Footer_disp</vt:lpstr>
      <vt:lpstr>LELTVF!JPM_Footer_disp</vt:lpstr>
      <vt:lpstr>LEMETF!JPM_Footer_disp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LICMFGOLDETF!JPM_Footer_disp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LEGROW!JPM_Footer_disp12</vt:lpstr>
      <vt:lpstr>LEINFA!JPM_Footer_disp12</vt:lpstr>
      <vt:lpstr>LEINNF!JPM_Footer_disp12</vt:lpstr>
      <vt:lpstr>LEINSX!JPM_Footer_disp12</vt:lpstr>
      <vt:lpstr>LELTVF!JPM_Footer_disp12</vt:lpstr>
      <vt:lpstr>LEMETF!JPM_Footer_disp12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lpstr>LICMFGOLDETF!JPM_Footer_disp12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2024-03-04T07:08:05Z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2024-03-02T09:10:59Z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82b471f5-07a4-4380-b0b9-7bcfa9559e96</vt:lpwstr>
  </property>
  <property fmtid="{D5CDD505-2E9C-101B-9397-08002B2CF9AE}" pid="8" name="MSIP_Label_ebbfc019-7f88-4fb6-96d6-94ffadd4b772_ContentBits">
    <vt:lpwstr>1</vt:lpwstr>
  </property>
</Properties>
</file>