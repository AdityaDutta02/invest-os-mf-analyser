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163BDCD9-1E03-4FF6-A587-4DC619BB3776}" xr6:coauthVersionLast="47" xr6:coauthVersionMax="47" xr10:uidLastSave="{00000000-0000-0000-0000-000000000000}"/>
  <bookViews>
    <workbookView xWindow="3510" yWindow="3510" windowWidth="21600" windowHeight="11235" xr2:uid="{7291B499-DD8C-4F12-BA28-9EE7F24AB421}"/>
  </bookViews>
  <sheets>
    <sheet name="JBLF" sheetId="15" r:id="rId1"/>
  </sheets>
  <definedNames>
    <definedName name="_xlnm.Print_Area" localSheetId="0">JBLF!$B$1:$I$145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15" l="1"/>
  <c r="F93" i="15"/>
  <c r="G87" i="15"/>
  <c r="F87" i="15"/>
  <c r="G73" i="15"/>
  <c r="F73" i="15"/>
  <c r="G46" i="15"/>
  <c r="F46" i="15"/>
  <c r="A2" i="15"/>
  <c r="F97" i="15" l="1"/>
  <c r="G88" i="15"/>
  <c r="G97" i="15"/>
  <c r="F88" i="15"/>
</calcChain>
</file>

<file path=xl/sharedStrings.xml><?xml version="1.0" encoding="utf-8"?>
<sst xmlns="http://schemas.openxmlformats.org/spreadsheetml/2006/main" count="266" uniqueCount="189">
  <si>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</si>
  <si>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</si>
  <si>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</si>
  <si>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</si>
  <si>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</si>
  <si>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</si>
  <si>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</si>
  <si>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Liquid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</si>
  <si>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</si>
  <si>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</si>
  <si>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</si>
  <si>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</si>
  <si>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</si>
  <si>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</si>
  <si>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HDFC Bank Ltd (24-Mar-2026)</t>
  </si>
  <si>
    <t>INE040A16GS5</t>
  </si>
  <si>
    <t>IND A1+</t>
  </si>
  <si>
    <t>CRISIL A1+</t>
  </si>
  <si>
    <t>Canara Bank (12-Mar-2026) **</t>
  </si>
  <si>
    <t>INE476A16B23</t>
  </si>
  <si>
    <t>Punjab National Bank (18-Mar-2026)</t>
  </si>
  <si>
    <t>INE160A16RK5</t>
  </si>
  <si>
    <t>Sub Total</t>
  </si>
  <si>
    <t>Commercial Paper</t>
  </si>
  <si>
    <t>NTPC Ltd (10-Mar-2026) **</t>
  </si>
  <si>
    <t>INE733E14BU9</t>
  </si>
  <si>
    <t>ICICI Securities Ltd (12-Mar-2026) **</t>
  </si>
  <si>
    <t>INE763G14D60</t>
  </si>
  <si>
    <t>Kotak Securities Ltd (06-Mar-2026) **</t>
  </si>
  <si>
    <t>INE028E14TR2</t>
  </si>
  <si>
    <t>Kotak Securities Ltd (12-Mar-2026) **</t>
  </si>
  <si>
    <t>INE028E14TZ5</t>
  </si>
  <si>
    <t>Small Industries Development Bank Of India (20-Mar-2026) **</t>
  </si>
  <si>
    <t>INE556F14LX4</t>
  </si>
  <si>
    <t>ICICI Securities Ltd (17-Mar-2026) **</t>
  </si>
  <si>
    <t>INE763G14XS9</t>
  </si>
  <si>
    <t>Treasury Bill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</si>
  <si>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</si>
  <si>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</si>
  <si>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</si>
  <si>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</si>
  <si>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</si>
  <si>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</si>
  <si>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</si>
  <si>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</si>
  <si>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</si>
  <si>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(15-JAN-2026)</t>
  </si>
  <si>
    <t>IN002025X299</t>
  </si>
  <si>
    <t>Canara Bank (24-Feb-2026) **</t>
  </si>
  <si>
    <t>INE476A16A65</t>
  </si>
  <si>
    <t>Bank of Baroda (24-Feb-2026)</t>
  </si>
  <si>
    <t>INE028A16JJ3</t>
  </si>
  <si>
    <t>Axis Bank Ltd (18-Feb-2026) **</t>
  </si>
  <si>
    <t>INE238AD6BM0</t>
  </si>
  <si>
    <t>Federal Bank Ltd (20-Feb-2026) **</t>
  </si>
  <si>
    <t>INE171A16MU2</t>
  </si>
  <si>
    <t>Union Bank of India (06-Mar-2026) **</t>
  </si>
  <si>
    <t>INE692A16JB3</t>
  </si>
  <si>
    <t>Federal Bank Ltd (24-Feb-2026) **</t>
  </si>
  <si>
    <t>INE171A16NA2</t>
  </si>
  <si>
    <t>Bank of India (05-Mar-2026) **</t>
  </si>
  <si>
    <t>INE084A16FC9</t>
  </si>
  <si>
    <t>Punjab National Bank (13-Mar-2026) **</t>
  </si>
  <si>
    <t>INE160A16TU0</t>
  </si>
  <si>
    <t>Punjab National Bank (03-Feb-2026) **</t>
  </si>
  <si>
    <t>INE160A16TC8</t>
  </si>
  <si>
    <t>National Bank For Agriculture &amp; Rural Development (06-Feb-2026) **</t>
  </si>
  <si>
    <t>INE261F16942</t>
  </si>
  <si>
    <t>HDFC Bank Ltd (12-Feb-2026) **</t>
  </si>
  <si>
    <t>INE040A16HV7</t>
  </si>
  <si>
    <t>Indian Bank (17-Feb-2026) **</t>
  </si>
  <si>
    <t>INE562A16PW1</t>
  </si>
  <si>
    <t>Bank of India (18-Feb-2026) **</t>
  </si>
  <si>
    <t>INE084A16ET6</t>
  </si>
  <si>
    <t>Punjab National Bank (05-Mar-2026) **</t>
  </si>
  <si>
    <t>INE160A16TS4</t>
  </si>
  <si>
    <t>Indian Bank (13-Mar-2026) **</t>
  </si>
  <si>
    <t>INE562A16QB3</t>
  </si>
  <si>
    <t>National Bank For Agriculture &amp; Rural Development (13-Mar-2026) **</t>
  </si>
  <si>
    <t>INE261F16983</t>
  </si>
  <si>
    <t>Export-Import Bank Of India (20-Mar-2026)</t>
  </si>
  <si>
    <t>INE514E16CK7</t>
  </si>
  <si>
    <t>ICRA A1+</t>
  </si>
  <si>
    <t>National Bank For Agriculture &amp; Rural Development (20-Jan-2026)</t>
  </si>
  <si>
    <t>INE261F16892</t>
  </si>
  <si>
    <t>National Bank For Agriculture &amp; Rural Development (17-Feb-2026) **</t>
  </si>
  <si>
    <t>INE261F16959</t>
  </si>
  <si>
    <t>Axis Bank Ltd (04-Mar-2026) **</t>
  </si>
  <si>
    <t>INE238AD6AN0</t>
  </si>
  <si>
    <t>HDFC Bank Ltd (09-Mar-2026) **</t>
  </si>
  <si>
    <t>INE040A16HM6</t>
  </si>
  <si>
    <t>Kotak Mahindra Bank Ltd (18-Feb-2026)</t>
  </si>
  <si>
    <t>INE237A165Z5</t>
  </si>
  <si>
    <t>Canara Bank (21-Jan-2026) **</t>
  </si>
  <si>
    <t>INE476A16A08</t>
  </si>
  <si>
    <t>Union Bank of India (27-Jan-2026) **</t>
  </si>
  <si>
    <t>INE692A16IM2</t>
  </si>
  <si>
    <t>Bank of Baroda (06-Feb-2026) **</t>
  </si>
  <si>
    <t>INE028A16JM7</t>
  </si>
  <si>
    <t>HDFC Bank Ltd (25-Feb-2026) **</t>
  </si>
  <si>
    <t>INE040A16GJ4</t>
  </si>
  <si>
    <t>Small Industries Development Bank of India (27-Feb-2026)</t>
  </si>
  <si>
    <t>INE556F16BB6</t>
  </si>
  <si>
    <t>Canara Bank (04-Mar-2026)</t>
  </si>
  <si>
    <t>INE476A16A73</t>
  </si>
  <si>
    <t>HDFC Bank Ltd (18-Mar-2026)</t>
  </si>
  <si>
    <t>INE040A16IC5</t>
  </si>
  <si>
    <t>Union Bank of India (03-Feb-2026) **</t>
  </si>
  <si>
    <t>INE692A16IP5</t>
  </si>
  <si>
    <t>National Bank For Agriculture &amp; Rural Development (04-Feb-2026)</t>
  </si>
  <si>
    <t>INE261F16926</t>
  </si>
  <si>
    <t>Bank of Baroda (09-Feb-2026) **</t>
  </si>
  <si>
    <t>INE028A16JN5</t>
  </si>
  <si>
    <t>Bank of Baroda (23-Feb-2026) **</t>
  </si>
  <si>
    <t>INE028A16JO3</t>
  </si>
  <si>
    <t>National Bank For Agriculture &amp; Rural Development (27-Feb-2026) **</t>
  </si>
  <si>
    <t>INE261F16967</t>
  </si>
  <si>
    <t>Axis Bank Ltd (05-Mar-2026) **</t>
  </si>
  <si>
    <t>INE238AD6AO8</t>
  </si>
  <si>
    <t>Bajaj Finance Ltd (16-Mar-2026) **</t>
  </si>
  <si>
    <t>INE296A14E12</t>
  </si>
  <si>
    <t>Bajaj Housing Finance Ltd (20-Jan-2026) **</t>
  </si>
  <si>
    <t>INE377Y14BA5</t>
  </si>
  <si>
    <t>ICICI Home Finance Co Ltd (11-Feb-2026) **</t>
  </si>
  <si>
    <t>INE071G14HF7</t>
  </si>
  <si>
    <t>LIC Housing Finance Ltd (11-Mar-2026) **</t>
  </si>
  <si>
    <t>INE115A14FK9</t>
  </si>
  <si>
    <t>HDFC Securities Ltd (09-Mar-2026) **</t>
  </si>
  <si>
    <t>INE700G14RF0</t>
  </si>
  <si>
    <t>Kotak Securities Ltd (06-Feb-2026) **</t>
  </si>
  <si>
    <t>INE028E14TL5</t>
  </si>
  <si>
    <t>Godrej Housing Finance Ltd (13-Feb-2026) **</t>
  </si>
  <si>
    <t>INE02JD14591</t>
  </si>
  <si>
    <t>Julius Baer Capital (India) Pvt Ltd (13-Feb-2026) **</t>
  </si>
  <si>
    <t>INE824H14SV1</t>
  </si>
  <si>
    <t>Small Industries Development Bank Of India (18-Feb-2026) **</t>
  </si>
  <si>
    <t>INE556F14LR6</t>
  </si>
  <si>
    <t>Small Industries Development Bank Of India (24-Feb-2026) **</t>
  </si>
  <si>
    <t>INE556F14LS4</t>
  </si>
  <si>
    <t>Kotak Securities Ltd (02-Mar-2026) **</t>
  </si>
  <si>
    <t>INE028E14TV4</t>
  </si>
  <si>
    <t>ICICI Securities Ltd (10-Mar-2026) **</t>
  </si>
  <si>
    <t>INE763G14A63</t>
  </si>
  <si>
    <t>ICICI Securities Ltd (18-Mar-2026) **</t>
  </si>
  <si>
    <t>INE763G14D94</t>
  </si>
  <si>
    <t>LIC Housing Finance Ltd (18-Feb-2026) **</t>
  </si>
  <si>
    <t>INE115A14FJ1</t>
  </si>
  <si>
    <t>Axis Securities Ltd (27-Feb-2026) **</t>
  </si>
  <si>
    <t>INE110O14GQ6</t>
  </si>
  <si>
    <t>Small Industries Development Bank Of India (06-Mar-2026) **</t>
  </si>
  <si>
    <t>INE556F14LU0</t>
  </si>
  <si>
    <t>ICICI Securities Ltd (06-Mar-2026) **</t>
  </si>
  <si>
    <t>INE763G14XX9</t>
  </si>
  <si>
    <t>Aditya Birla Capital Ltd (06-Feb-2026) **</t>
  </si>
  <si>
    <t>INE860H144V6</t>
  </si>
  <si>
    <t>ICICI Securities Ltd (27-Feb-2026) **</t>
  </si>
  <si>
    <t>INE763G14XI0</t>
  </si>
  <si>
    <t>182 DTB (22-JAN-2026)</t>
  </si>
  <si>
    <t>IN002025Y172</t>
  </si>
  <si>
    <t>364 DTB (12-MAR-2026)</t>
  </si>
  <si>
    <t>IN002024Z487</t>
  </si>
  <si>
    <t>91 DTB (23-JAN-2026)</t>
  </si>
  <si>
    <t>IN002025X307</t>
  </si>
  <si>
    <t>182 DTB (27-FEB-2026)</t>
  </si>
  <si>
    <t>IN002025Y222</t>
  </si>
  <si>
    <t>182 DTB (05-FEB-2026)</t>
  </si>
  <si>
    <t>IN002025Y198</t>
  </si>
  <si>
    <t>91 DTB (12-FEB-2026)</t>
  </si>
  <si>
    <t>IN002025X331</t>
  </si>
  <si>
    <t>182 DTB (19-FEB-2026)</t>
  </si>
  <si>
    <t>IN002025Y214</t>
  </si>
  <si>
    <t>91 DTB (29-JAN-2026)</t>
  </si>
  <si>
    <t>IN002025X315</t>
  </si>
  <si>
    <t>364 DTB (20-FEB-2026)</t>
  </si>
  <si>
    <t>IN002024Z453</t>
  </si>
  <si>
    <t>364 DTB (12-FEB-2026)</t>
  </si>
  <si>
    <t>IN002024Z446</t>
  </si>
  <si>
    <t>182 DTB (12-FEB-2026)</t>
  </si>
  <si>
    <t>IN002025Y206</t>
  </si>
  <si>
    <t>8.36% MAHARASHTRA SDL 27-JAN-26</t>
  </si>
  <si>
    <t>IN2220150170</t>
  </si>
  <si>
    <t>8.39% MADHYA PRADESH SDL 27-JAN-26</t>
  </si>
  <si>
    <t>IN2120150098</t>
  </si>
  <si>
    <t>8.30% MADHYA PRADESH SDL 13-JAN-26</t>
  </si>
  <si>
    <t>IN2120150080</t>
  </si>
  <si>
    <t>Scheme Risk-O-Meter</t>
  </si>
  <si>
    <t>Benchmark Risk-O-Meter</t>
  </si>
  <si>
    <t>Benchmark Name - NIFTY Liquid Index A-I</t>
  </si>
  <si>
    <t>* Less Than 0.01%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</si>
</sst>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4" fontId="6" fillId="2" borderId="1" xfId="0" applyNumberFormat="1" applyFont="1" applyFill="1" applyBorder="1"/>
    <xf numFmtId="10" fontId="5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64" fontId="6" fillId="2" borderId="1" xfId="0" applyNumberFormat="1" applyFont="1" applyFill="1" applyBorder="1"/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106</xdr:row>
      <xdr:rowOff>0</xdr:rowOff>
    </xdr:from>
    <xdr:to>
      <xdr:col>3</xdr:col>
      <xdr:colOff>873125</xdr:colOff>
      <xdr:row>123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1DC5D-12AC-42CA-816B-A180913E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6202025"/>
          <a:ext cx="47974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127</xdr:row>
      <xdr:rowOff>76200</xdr:rowOff>
    </xdr:from>
    <xdr:to>
      <xdr:col>4</xdr:col>
      <xdr:colOff>44450</xdr:colOff>
      <xdr:row>144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18ABA7-94B0-4545-A71E-9E29D0CB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9278600"/>
          <a:ext cx="492125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2A7B-07F7-42A1-8CDF-5124C9AF5D74}">
  <dimension ref="A1:K247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.5703125" style="6" customWidth="1"/>
    <col min="4" max="5" width="13.85546875" style="6" bestFit="1" customWidth="1"/>
    <col min="6" max="6" width="12.7109375" style="8" bestFit="1" customWidth="1"/>
    <col min="7" max="7" width="9.42578125" style="33" customWidth="1"/>
    <col min="8" max="8" width="12.42578125" style="11" customWidth="1"/>
    <col min="9" max="9" width="10.140625" style="11" bestFit="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39" t="s">
        <v>7</v>
      </c>
      <c r="C1" s="40"/>
      <c r="D1" s="10"/>
      <c r="F1" s="5"/>
      <c r="G1" s="33"/>
      <c r="H1" s="11"/>
      <c r="I1" s="12"/>
    </row>
    <row r="2" spans="1:11" s="1" customFormat="1" ht="15" x14ac:dyDescent="0.25">
      <c r="A2" s="32" t="str">
        <f>HYPERLINK("[Monthly-Portfolio-ISIN-31-Dec-2025.xlsx]index!A1","")</f>
        <v/>
      </c>
      <c r="F2" s="5"/>
      <c r="G2" s="33"/>
      <c r="H2" s="11"/>
      <c r="I2" s="12"/>
    </row>
    <row r="3" spans="1:11" s="1" customFormat="1" ht="12" x14ac:dyDescent="0.2">
      <c r="B3" s="7" t="s">
        <v>6</v>
      </c>
      <c r="C3" s="2"/>
      <c r="D3" s="3"/>
      <c r="E3" s="3"/>
      <c r="F3" s="4"/>
      <c r="G3" s="33"/>
      <c r="H3" s="11"/>
      <c r="I3" s="12"/>
    </row>
    <row r="4" spans="1:11" s="1" customFormat="1" ht="33.75" x14ac:dyDescent="0.2">
      <c r="B4" s="34" t="s">
        <v>4</v>
      </c>
      <c r="C4" s="34" t="s">
        <v>5</v>
      </c>
      <c r="D4" s="35" t="s">
        <v>43</v>
      </c>
      <c r="E4" s="35" t="s">
        <v>0</v>
      </c>
      <c r="F4" s="36" t="s">
        <v>1</v>
      </c>
      <c r="G4" s="37" t="s">
        <v>2</v>
      </c>
      <c r="H4" s="38" t="s">
        <v>3</v>
      </c>
      <c r="I4" s="38" t="s">
        <v>8</v>
      </c>
      <c r="J4" s="13"/>
      <c r="K4" s="9"/>
    </row>
    <row r="5" spans="1:11" x14ac:dyDescent="0.2">
      <c r="B5" s="15" t="s">
        <v>9</v>
      </c>
      <c r="C5" s="16"/>
      <c r="D5" s="16"/>
      <c r="E5" s="16"/>
      <c r="F5" s="17"/>
      <c r="G5" s="18"/>
      <c r="H5" s="19"/>
      <c r="I5" s="19"/>
    </row>
    <row r="6" spans="1:11" x14ac:dyDescent="0.2">
      <c r="B6" s="15" t="s">
        <v>10</v>
      </c>
      <c r="C6" s="16"/>
      <c r="D6" s="16"/>
      <c r="E6" s="16"/>
      <c r="F6" s="17"/>
      <c r="G6" s="18"/>
      <c r="H6" s="19"/>
      <c r="I6" s="19"/>
    </row>
    <row r="7" spans="1:11" x14ac:dyDescent="0.2">
      <c r="B7" s="16" t="s">
        <v>48</v>
      </c>
      <c r="C7" s="16" t="s">
        <v>49</v>
      </c>
      <c r="D7" s="16" t="s">
        <v>17</v>
      </c>
      <c r="E7" s="20">
        <v>7000</v>
      </c>
      <c r="F7" s="17">
        <v>34695.885000000002</v>
      </c>
      <c r="G7" s="18">
        <v>4.8647163234624298</v>
      </c>
      <c r="H7" s="19">
        <v>5.9249000000000003E-2</v>
      </c>
      <c r="I7" s="21"/>
    </row>
    <row r="8" spans="1:11" x14ac:dyDescent="0.2">
      <c r="B8" s="16" t="s">
        <v>50</v>
      </c>
      <c r="C8" s="16" t="s">
        <v>51</v>
      </c>
      <c r="D8" s="16" t="s">
        <v>17</v>
      </c>
      <c r="E8" s="20">
        <v>4300</v>
      </c>
      <c r="F8" s="17">
        <v>21313.444500000001</v>
      </c>
      <c r="G8" s="18">
        <v>2.9883619157822499</v>
      </c>
      <c r="H8" s="19">
        <v>5.9166999999999997E-2</v>
      </c>
      <c r="I8" s="21"/>
    </row>
    <row r="9" spans="1:11" x14ac:dyDescent="0.2">
      <c r="B9" s="16" t="s">
        <v>52</v>
      </c>
      <c r="C9" s="16" t="s">
        <v>53</v>
      </c>
      <c r="D9" s="16" t="s">
        <v>17</v>
      </c>
      <c r="E9" s="20">
        <v>4000</v>
      </c>
      <c r="F9" s="17">
        <v>19845.12</v>
      </c>
      <c r="G9" s="18">
        <v>2.78248787154646</v>
      </c>
      <c r="H9" s="19">
        <v>5.935E-2</v>
      </c>
      <c r="I9" s="21"/>
    </row>
    <row r="10" spans="1:11" x14ac:dyDescent="0.2">
      <c r="B10" s="16" t="s">
        <v>54</v>
      </c>
      <c r="C10" s="16" t="s">
        <v>55</v>
      </c>
      <c r="D10" s="16" t="s">
        <v>17</v>
      </c>
      <c r="E10" s="20">
        <v>4000</v>
      </c>
      <c r="F10" s="17">
        <v>19835.48</v>
      </c>
      <c r="G10" s="18">
        <v>2.7811362453994901</v>
      </c>
      <c r="H10" s="19">
        <v>6.0547999999999998E-2</v>
      </c>
      <c r="I10" s="21"/>
    </row>
    <row r="11" spans="1:11" x14ac:dyDescent="0.2">
      <c r="B11" s="16" t="s">
        <v>56</v>
      </c>
      <c r="C11" s="16" t="s">
        <v>57</v>
      </c>
      <c r="D11" s="16" t="s">
        <v>17</v>
      </c>
      <c r="E11" s="20">
        <v>4000</v>
      </c>
      <c r="F11" s="17">
        <v>19794.36</v>
      </c>
      <c r="G11" s="18">
        <v>2.7753708027477</v>
      </c>
      <c r="H11" s="19">
        <v>5.9249000000000003E-2</v>
      </c>
      <c r="I11" s="21"/>
    </row>
    <row r="12" spans="1:11" x14ac:dyDescent="0.2">
      <c r="B12" s="16" t="s">
        <v>58</v>
      </c>
      <c r="C12" s="16" t="s">
        <v>59</v>
      </c>
      <c r="D12" s="16" t="s">
        <v>17</v>
      </c>
      <c r="E12" s="20">
        <v>3000</v>
      </c>
      <c r="F12" s="17">
        <v>14866.83</v>
      </c>
      <c r="G12" s="18">
        <v>2.0844809284772801</v>
      </c>
      <c r="H12" s="19">
        <v>6.055E-2</v>
      </c>
      <c r="I12" s="21"/>
    </row>
    <row r="13" spans="1:11" x14ac:dyDescent="0.2">
      <c r="B13" s="16" t="s">
        <v>60</v>
      </c>
      <c r="C13" s="16" t="s">
        <v>61</v>
      </c>
      <c r="D13" s="16" t="s">
        <v>17</v>
      </c>
      <c r="E13" s="20">
        <v>3000</v>
      </c>
      <c r="F13" s="17">
        <v>14846.64</v>
      </c>
      <c r="G13" s="18">
        <v>2.0816500849184401</v>
      </c>
      <c r="H13" s="19">
        <v>5.9848999999999999E-2</v>
      </c>
      <c r="I13" s="21"/>
    </row>
    <row r="14" spans="1:11" x14ac:dyDescent="0.2">
      <c r="B14" s="16" t="s">
        <v>62</v>
      </c>
      <c r="C14" s="16" t="s">
        <v>63</v>
      </c>
      <c r="D14" s="16" t="s">
        <v>17</v>
      </c>
      <c r="E14" s="20">
        <v>3000</v>
      </c>
      <c r="F14" s="17">
        <v>14829.42</v>
      </c>
      <c r="G14" s="18">
        <v>2.0792356655978201</v>
      </c>
      <c r="H14" s="19">
        <v>5.9133999999999999E-2</v>
      </c>
      <c r="I14" s="21"/>
    </row>
    <row r="15" spans="1:11" x14ac:dyDescent="0.2">
      <c r="B15" s="16" t="s">
        <v>64</v>
      </c>
      <c r="C15" s="16" t="s">
        <v>65</v>
      </c>
      <c r="D15" s="16" t="s">
        <v>17</v>
      </c>
      <c r="E15" s="20">
        <v>2500</v>
      </c>
      <c r="F15" s="17">
        <v>12433.525</v>
      </c>
      <c r="G15" s="18">
        <v>1.7433067934620601</v>
      </c>
      <c r="H15" s="19">
        <v>5.9135E-2</v>
      </c>
      <c r="I15" s="21"/>
    </row>
    <row r="16" spans="1:11" x14ac:dyDescent="0.2">
      <c r="B16" s="16" t="s">
        <v>66</v>
      </c>
      <c r="C16" s="16" t="s">
        <v>67</v>
      </c>
      <c r="D16" s="16" t="s">
        <v>17</v>
      </c>
      <c r="E16" s="20">
        <v>2000</v>
      </c>
      <c r="F16" s="17">
        <v>9941.61</v>
      </c>
      <c r="G16" s="18">
        <v>1.39391493972548</v>
      </c>
      <c r="H16" s="19">
        <v>5.9548999999999998E-2</v>
      </c>
      <c r="I16" s="21"/>
    </row>
    <row r="17" spans="2:9" x14ac:dyDescent="0.2">
      <c r="B17" s="16" t="s">
        <v>68</v>
      </c>
      <c r="C17" s="16" t="s">
        <v>69</v>
      </c>
      <c r="D17" s="16" t="s">
        <v>17</v>
      </c>
      <c r="E17" s="20">
        <v>2000</v>
      </c>
      <c r="F17" s="17">
        <v>9932.57</v>
      </c>
      <c r="G17" s="18">
        <v>1.3926474396872499</v>
      </c>
      <c r="H17" s="19">
        <v>5.8998000000000002E-2</v>
      </c>
      <c r="I17" s="21"/>
    </row>
    <row r="18" spans="2:9" x14ac:dyDescent="0.2">
      <c r="B18" s="16" t="s">
        <v>70</v>
      </c>
      <c r="C18" s="16" t="s">
        <v>71</v>
      </c>
      <c r="D18" s="16" t="s">
        <v>17</v>
      </c>
      <c r="E18" s="20">
        <v>2000</v>
      </c>
      <c r="F18" s="17">
        <v>9924.5400000000009</v>
      </c>
      <c r="G18" s="18">
        <v>1.3915215519320501</v>
      </c>
      <c r="H18" s="19">
        <v>5.9050999999999999E-2</v>
      </c>
      <c r="I18" s="21"/>
    </row>
    <row r="19" spans="2:9" x14ac:dyDescent="0.2">
      <c r="B19" s="16" t="s">
        <v>72</v>
      </c>
      <c r="C19" s="16" t="s">
        <v>73</v>
      </c>
      <c r="D19" s="16" t="s">
        <v>17</v>
      </c>
      <c r="E19" s="20">
        <v>2000</v>
      </c>
      <c r="F19" s="17">
        <v>9921.91</v>
      </c>
      <c r="G19" s="18">
        <v>1.39115279915544</v>
      </c>
      <c r="H19" s="19">
        <v>5.9852000000000002E-2</v>
      </c>
      <c r="I19" s="21"/>
    </row>
    <row r="20" spans="2:9" x14ac:dyDescent="0.2">
      <c r="B20" s="16" t="s">
        <v>74</v>
      </c>
      <c r="C20" s="16" t="s">
        <v>75</v>
      </c>
      <c r="D20" s="16" t="s">
        <v>17</v>
      </c>
      <c r="E20" s="20">
        <v>2000</v>
      </c>
      <c r="F20" s="17">
        <v>9898.9699999999993</v>
      </c>
      <c r="G20" s="18">
        <v>1.3879363775982301</v>
      </c>
      <c r="H20" s="19">
        <v>5.9133999999999999E-2</v>
      </c>
      <c r="I20" s="21"/>
    </row>
    <row r="21" spans="2:9" x14ac:dyDescent="0.2">
      <c r="B21" s="16" t="s">
        <v>76</v>
      </c>
      <c r="C21" s="16" t="s">
        <v>77</v>
      </c>
      <c r="D21" s="16" t="s">
        <v>17</v>
      </c>
      <c r="E21" s="20">
        <v>2000</v>
      </c>
      <c r="F21" s="17">
        <v>9886.44</v>
      </c>
      <c r="G21" s="18">
        <v>1.38617954402754</v>
      </c>
      <c r="H21" s="19">
        <v>5.9049999999999998E-2</v>
      </c>
      <c r="I21" s="21"/>
    </row>
    <row r="22" spans="2:9" x14ac:dyDescent="0.2">
      <c r="B22" s="16" t="s">
        <v>78</v>
      </c>
      <c r="C22" s="16" t="s">
        <v>79</v>
      </c>
      <c r="D22" s="16" t="s">
        <v>16</v>
      </c>
      <c r="E22" s="20">
        <v>2000</v>
      </c>
      <c r="F22" s="17">
        <v>9884.82</v>
      </c>
      <c r="G22" s="18">
        <v>1.3859524035339601</v>
      </c>
      <c r="H22" s="19">
        <v>5.9901999999999997E-2</v>
      </c>
      <c r="I22" s="21"/>
    </row>
    <row r="23" spans="2:9" x14ac:dyDescent="0.2">
      <c r="B23" s="16" t="s">
        <v>80</v>
      </c>
      <c r="C23" s="16" t="s">
        <v>81</v>
      </c>
      <c r="D23" s="16" t="s">
        <v>82</v>
      </c>
      <c r="E23" s="20">
        <v>2000</v>
      </c>
      <c r="F23" s="17">
        <v>9875.2800000000007</v>
      </c>
      <c r="G23" s="18">
        <v>1.38461479840512</v>
      </c>
      <c r="H23" s="19">
        <v>5.91E-2</v>
      </c>
      <c r="I23" s="21"/>
    </row>
    <row r="24" spans="2:9" x14ac:dyDescent="0.2">
      <c r="B24" s="16" t="s">
        <v>83</v>
      </c>
      <c r="C24" s="16" t="s">
        <v>84</v>
      </c>
      <c r="D24" s="16" t="s">
        <v>17</v>
      </c>
      <c r="E24" s="20">
        <v>1500</v>
      </c>
      <c r="F24" s="17">
        <v>7476.3</v>
      </c>
      <c r="G24" s="18">
        <v>1.04825337786029</v>
      </c>
      <c r="H24" s="19">
        <v>6.0898000000000001E-2</v>
      </c>
      <c r="I24" s="21"/>
    </row>
    <row r="25" spans="2:9" x14ac:dyDescent="0.2">
      <c r="B25" s="16" t="s">
        <v>85</v>
      </c>
      <c r="C25" s="16" t="s">
        <v>86</v>
      </c>
      <c r="D25" s="16" t="s">
        <v>17</v>
      </c>
      <c r="E25" s="20">
        <v>1500</v>
      </c>
      <c r="F25" s="17">
        <v>7442.9324999999999</v>
      </c>
      <c r="G25" s="18">
        <v>1.0435749146384099</v>
      </c>
      <c r="H25" s="19">
        <v>5.9547999999999997E-2</v>
      </c>
      <c r="I25" s="21"/>
    </row>
    <row r="26" spans="2:9" x14ac:dyDescent="0.2">
      <c r="B26" s="16" t="s">
        <v>87</v>
      </c>
      <c r="C26" s="16" t="s">
        <v>88</v>
      </c>
      <c r="D26" s="16" t="s">
        <v>82</v>
      </c>
      <c r="E26" s="20">
        <v>1500</v>
      </c>
      <c r="F26" s="17">
        <v>7425.4575000000004</v>
      </c>
      <c r="G26" s="18">
        <v>1.0411247417215801</v>
      </c>
      <c r="H26" s="19">
        <v>5.9098999999999999E-2</v>
      </c>
      <c r="I26" s="21"/>
    </row>
    <row r="27" spans="2:9" x14ac:dyDescent="0.2">
      <c r="B27" s="16" t="s">
        <v>89</v>
      </c>
      <c r="C27" s="16" t="s">
        <v>90</v>
      </c>
      <c r="D27" s="16" t="s">
        <v>17</v>
      </c>
      <c r="E27" s="20">
        <v>1500</v>
      </c>
      <c r="F27" s="17">
        <v>7419.6450000000004</v>
      </c>
      <c r="G27" s="18">
        <v>1.04030977004323</v>
      </c>
      <c r="H27" s="19">
        <v>5.8999000000000003E-2</v>
      </c>
      <c r="I27" s="21"/>
    </row>
    <row r="28" spans="2:9" x14ac:dyDescent="0.2">
      <c r="B28" s="16" t="s">
        <v>11</v>
      </c>
      <c r="C28" s="16" t="s">
        <v>12</v>
      </c>
      <c r="D28" s="16" t="s">
        <v>13</v>
      </c>
      <c r="E28" s="20">
        <v>1500</v>
      </c>
      <c r="F28" s="17">
        <v>7415.67</v>
      </c>
      <c r="G28" s="18">
        <v>1.0397524345728799</v>
      </c>
      <c r="H28" s="19">
        <v>5.9298999999999998E-2</v>
      </c>
      <c r="I28" s="21"/>
    </row>
    <row r="29" spans="2:9" x14ac:dyDescent="0.2">
      <c r="B29" s="16" t="s">
        <v>91</v>
      </c>
      <c r="C29" s="16" t="s">
        <v>92</v>
      </c>
      <c r="D29" s="16" t="s">
        <v>17</v>
      </c>
      <c r="E29" s="20">
        <v>1400</v>
      </c>
      <c r="F29" s="17">
        <v>6945.9740000000002</v>
      </c>
      <c r="G29" s="18">
        <v>0.973896273294243</v>
      </c>
      <c r="H29" s="19">
        <v>5.9149E-2</v>
      </c>
      <c r="I29" s="21"/>
    </row>
    <row r="30" spans="2:9" x14ac:dyDescent="0.2">
      <c r="B30" s="16" t="s">
        <v>93</v>
      </c>
      <c r="C30" s="16" t="s">
        <v>94</v>
      </c>
      <c r="D30" s="16" t="s">
        <v>17</v>
      </c>
      <c r="E30" s="20">
        <v>1000</v>
      </c>
      <c r="F30" s="17">
        <v>4983.5349999999999</v>
      </c>
      <c r="G30" s="18">
        <v>0.69874234546968195</v>
      </c>
      <c r="H30" s="19">
        <v>6.0304999999999997E-2</v>
      </c>
      <c r="I30" s="21"/>
    </row>
    <row r="31" spans="2:9" x14ac:dyDescent="0.2">
      <c r="B31" s="16" t="s">
        <v>95</v>
      </c>
      <c r="C31" s="16" t="s">
        <v>96</v>
      </c>
      <c r="D31" s="16" t="s">
        <v>82</v>
      </c>
      <c r="E31" s="20">
        <v>1000</v>
      </c>
      <c r="F31" s="17">
        <v>4978.6000000000004</v>
      </c>
      <c r="G31" s="18">
        <v>0.69805040822535802</v>
      </c>
      <c r="H31" s="19">
        <v>6.0350000000000001E-2</v>
      </c>
      <c r="I31" s="21"/>
    </row>
    <row r="32" spans="2:9" x14ac:dyDescent="0.2">
      <c r="B32" s="16" t="s">
        <v>97</v>
      </c>
      <c r="C32" s="16" t="s">
        <v>98</v>
      </c>
      <c r="D32" s="16" t="s">
        <v>16</v>
      </c>
      <c r="E32" s="20">
        <v>1000</v>
      </c>
      <c r="F32" s="17">
        <v>4971</v>
      </c>
      <c r="G32" s="18">
        <v>0.69698481084807995</v>
      </c>
      <c r="H32" s="19">
        <v>5.9153999999999998E-2</v>
      </c>
      <c r="I32" s="21"/>
    </row>
    <row r="33" spans="2:9" x14ac:dyDescent="0.2">
      <c r="B33" s="16" t="s">
        <v>99</v>
      </c>
      <c r="C33" s="16" t="s">
        <v>100</v>
      </c>
      <c r="D33" s="16" t="s">
        <v>17</v>
      </c>
      <c r="E33" s="20">
        <v>1000</v>
      </c>
      <c r="F33" s="17">
        <v>4955.57</v>
      </c>
      <c r="G33" s="18">
        <v>0.694821367751845</v>
      </c>
      <c r="H33" s="19">
        <v>5.9499000000000003E-2</v>
      </c>
      <c r="I33" s="21"/>
    </row>
    <row r="34" spans="2:9" x14ac:dyDescent="0.2">
      <c r="B34" s="16" t="s">
        <v>101</v>
      </c>
      <c r="C34" s="16" t="s">
        <v>102</v>
      </c>
      <c r="D34" s="16" t="s">
        <v>17</v>
      </c>
      <c r="E34" s="20">
        <v>1000</v>
      </c>
      <c r="F34" s="17">
        <v>4953.585</v>
      </c>
      <c r="G34" s="18">
        <v>0.69454305054212195</v>
      </c>
      <c r="H34" s="19">
        <v>6.0000999999999999E-2</v>
      </c>
      <c r="I34" s="21"/>
    </row>
    <row r="35" spans="2:9" x14ac:dyDescent="0.2">
      <c r="B35" s="16" t="s">
        <v>103</v>
      </c>
      <c r="C35" s="16" t="s">
        <v>104</v>
      </c>
      <c r="D35" s="16" t="s">
        <v>17</v>
      </c>
      <c r="E35" s="20">
        <v>1000</v>
      </c>
      <c r="F35" s="17">
        <v>4949.9750000000004</v>
      </c>
      <c r="G35" s="18">
        <v>0.69403689178791494</v>
      </c>
      <c r="H35" s="19">
        <v>5.9499000000000003E-2</v>
      </c>
      <c r="I35" s="21"/>
    </row>
    <row r="36" spans="2:9" x14ac:dyDescent="0.2">
      <c r="B36" s="16" t="s">
        <v>105</v>
      </c>
      <c r="C36" s="16" t="s">
        <v>106</v>
      </c>
      <c r="D36" s="16" t="s">
        <v>17</v>
      </c>
      <c r="E36" s="20">
        <v>1000</v>
      </c>
      <c r="F36" s="17">
        <v>4939.5749999999998</v>
      </c>
      <c r="G36" s="18">
        <v>0.69257870590322002</v>
      </c>
      <c r="H36" s="19">
        <v>5.8749999999999997E-2</v>
      </c>
      <c r="I36" s="21"/>
    </row>
    <row r="37" spans="2:9" x14ac:dyDescent="0.2">
      <c r="B37" s="16" t="s">
        <v>14</v>
      </c>
      <c r="C37" s="16" t="s">
        <v>15</v>
      </c>
      <c r="D37" s="16" t="s">
        <v>13</v>
      </c>
      <c r="E37" s="20">
        <v>1000</v>
      </c>
      <c r="F37" s="17">
        <v>4934.4849999999997</v>
      </c>
      <c r="G37" s="18">
        <v>0.69186503608080696</v>
      </c>
      <c r="H37" s="19">
        <v>5.9098999999999999E-2</v>
      </c>
      <c r="I37" s="21"/>
    </row>
    <row r="38" spans="2:9" x14ac:dyDescent="0.2">
      <c r="B38" s="16" t="s">
        <v>20</v>
      </c>
      <c r="C38" s="16" t="s">
        <v>21</v>
      </c>
      <c r="D38" s="16" t="s">
        <v>17</v>
      </c>
      <c r="E38" s="20">
        <v>800</v>
      </c>
      <c r="F38" s="17">
        <v>3951.364</v>
      </c>
      <c r="G38" s="18">
        <v>0.55402146250893503</v>
      </c>
      <c r="H38" s="19">
        <v>5.9114E-2</v>
      </c>
      <c r="I38" s="21"/>
    </row>
    <row r="39" spans="2:9" x14ac:dyDescent="0.2">
      <c r="B39" s="16" t="s">
        <v>107</v>
      </c>
      <c r="C39" s="16" t="s">
        <v>108</v>
      </c>
      <c r="D39" s="16" t="s">
        <v>82</v>
      </c>
      <c r="E39" s="20">
        <v>500</v>
      </c>
      <c r="F39" s="17">
        <v>2486.6799999999998</v>
      </c>
      <c r="G39" s="18">
        <v>0.34865785343788103</v>
      </c>
      <c r="H39" s="19">
        <v>5.9251999999999999E-2</v>
      </c>
      <c r="I39" s="21"/>
    </row>
    <row r="40" spans="2:9" x14ac:dyDescent="0.2">
      <c r="B40" s="16" t="s">
        <v>109</v>
      </c>
      <c r="C40" s="16" t="s">
        <v>110</v>
      </c>
      <c r="D40" s="16" t="s">
        <v>17</v>
      </c>
      <c r="E40" s="20">
        <v>500</v>
      </c>
      <c r="F40" s="17">
        <v>2486.2049999999999</v>
      </c>
      <c r="G40" s="18">
        <v>0.34859125360180099</v>
      </c>
      <c r="H40" s="19">
        <v>5.9570999999999999E-2</v>
      </c>
      <c r="I40" s="21"/>
    </row>
    <row r="41" spans="2:9" x14ac:dyDescent="0.2">
      <c r="B41" s="16" t="s">
        <v>111</v>
      </c>
      <c r="C41" s="16" t="s">
        <v>112</v>
      </c>
      <c r="D41" s="16" t="s">
        <v>16</v>
      </c>
      <c r="E41" s="20">
        <v>500</v>
      </c>
      <c r="F41" s="17">
        <v>2484.3000000000002</v>
      </c>
      <c r="G41" s="18">
        <v>0.348324153206575</v>
      </c>
      <c r="H41" s="19">
        <v>5.9151000000000002E-2</v>
      </c>
      <c r="I41" s="21"/>
    </row>
    <row r="42" spans="2:9" x14ac:dyDescent="0.2">
      <c r="B42" s="16" t="s">
        <v>113</v>
      </c>
      <c r="C42" s="16" t="s">
        <v>114</v>
      </c>
      <c r="D42" s="16" t="s">
        <v>17</v>
      </c>
      <c r="E42" s="20">
        <v>500</v>
      </c>
      <c r="F42" s="17">
        <v>2478.7125000000001</v>
      </c>
      <c r="G42" s="18">
        <v>0.347540728819005</v>
      </c>
      <c r="H42" s="19">
        <v>5.9147999999999999E-2</v>
      </c>
      <c r="I42" s="21"/>
    </row>
    <row r="43" spans="2:9" x14ac:dyDescent="0.2">
      <c r="B43" s="16" t="s">
        <v>115</v>
      </c>
      <c r="C43" s="16" t="s">
        <v>116</v>
      </c>
      <c r="D43" s="16" t="s">
        <v>17</v>
      </c>
      <c r="E43" s="20">
        <v>500</v>
      </c>
      <c r="F43" s="17">
        <v>2476.9650000000001</v>
      </c>
      <c r="G43" s="18">
        <v>0.34729571152732203</v>
      </c>
      <c r="H43" s="19">
        <v>5.9551E-2</v>
      </c>
      <c r="I43" s="21"/>
    </row>
    <row r="44" spans="2:9" x14ac:dyDescent="0.2">
      <c r="B44" s="16" t="s">
        <v>18</v>
      </c>
      <c r="C44" s="16" t="s">
        <v>19</v>
      </c>
      <c r="D44" s="16" t="s">
        <v>17</v>
      </c>
      <c r="E44" s="20">
        <v>500</v>
      </c>
      <c r="F44" s="17">
        <v>2471.9124999999999</v>
      </c>
      <c r="G44" s="18">
        <v>0.34658729958670398</v>
      </c>
      <c r="H44" s="19">
        <v>5.9248000000000002E-2</v>
      </c>
      <c r="I44" s="21"/>
    </row>
    <row r="45" spans="2:9" x14ac:dyDescent="0.2">
      <c r="B45" s="16" t="s">
        <v>117</v>
      </c>
      <c r="C45" s="16" t="s">
        <v>118</v>
      </c>
      <c r="D45" s="16" t="s">
        <v>82</v>
      </c>
      <c r="E45" s="20">
        <v>400</v>
      </c>
      <c r="F45" s="17">
        <v>1979.8040000000001</v>
      </c>
      <c r="G45" s="18">
        <v>0.277588677621459</v>
      </c>
      <c r="H45" s="19">
        <v>5.9101000000000001E-2</v>
      </c>
      <c r="I45" s="21"/>
    </row>
    <row r="46" spans="2:9" x14ac:dyDescent="0.2">
      <c r="B46" s="15" t="s">
        <v>22</v>
      </c>
      <c r="C46" s="15"/>
      <c r="D46" s="15"/>
      <c r="E46" s="15"/>
      <c r="F46" s="27">
        <f>SUM(F6:F45)</f>
        <v>356335.09149999998</v>
      </c>
      <c r="G46" s="28">
        <f>SUM(G6:G45)</f>
        <v>49.961807754508349</v>
      </c>
      <c r="H46" s="22"/>
      <c r="I46" s="22"/>
    </row>
    <row r="47" spans="2:9" x14ac:dyDescent="0.2">
      <c r="B47" s="15" t="s">
        <v>23</v>
      </c>
      <c r="C47" s="16"/>
      <c r="D47" s="16"/>
      <c r="E47" s="16"/>
      <c r="F47" s="17"/>
      <c r="G47" s="18"/>
      <c r="H47" s="19"/>
      <c r="I47" s="19"/>
    </row>
    <row r="48" spans="2:9" x14ac:dyDescent="0.2">
      <c r="B48" s="16" t="s">
        <v>32</v>
      </c>
      <c r="C48" s="16" t="s">
        <v>33</v>
      </c>
      <c r="D48" s="16" t="s">
        <v>17</v>
      </c>
      <c r="E48" s="20">
        <v>9900</v>
      </c>
      <c r="F48" s="17">
        <v>48873.874499999998</v>
      </c>
      <c r="G48" s="18">
        <v>6.8526148006025602</v>
      </c>
      <c r="H48" s="19">
        <v>5.9949000000000002E-2</v>
      </c>
      <c r="I48" s="21"/>
    </row>
    <row r="49" spans="2:9" x14ac:dyDescent="0.2">
      <c r="B49" s="16" t="s">
        <v>119</v>
      </c>
      <c r="C49" s="16" t="s">
        <v>120</v>
      </c>
      <c r="D49" s="16" t="s">
        <v>17</v>
      </c>
      <c r="E49" s="20">
        <v>5500</v>
      </c>
      <c r="F49" s="17">
        <v>27149.65</v>
      </c>
      <c r="G49" s="18">
        <v>3.8066573465784699</v>
      </c>
      <c r="H49" s="19">
        <v>6.3649999999999998E-2</v>
      </c>
      <c r="I49" s="21"/>
    </row>
    <row r="50" spans="2:9" x14ac:dyDescent="0.2">
      <c r="B50" s="16" t="s">
        <v>121</v>
      </c>
      <c r="C50" s="16" t="s">
        <v>122</v>
      </c>
      <c r="D50" s="16" t="s">
        <v>17</v>
      </c>
      <c r="E50" s="20">
        <v>5000</v>
      </c>
      <c r="F50" s="17">
        <v>24920.875</v>
      </c>
      <c r="G50" s="18">
        <v>3.4941603999283202</v>
      </c>
      <c r="H50" s="19">
        <v>6.0994E-2</v>
      </c>
      <c r="I50" s="21"/>
    </row>
    <row r="51" spans="2:9" x14ac:dyDescent="0.2">
      <c r="B51" s="16" t="s">
        <v>123</v>
      </c>
      <c r="C51" s="16" t="s">
        <v>124</v>
      </c>
      <c r="D51" s="16" t="s">
        <v>17</v>
      </c>
      <c r="E51" s="20">
        <v>4000</v>
      </c>
      <c r="F51" s="17">
        <v>19865.439999999999</v>
      </c>
      <c r="G51" s="18">
        <v>2.7853369424288701</v>
      </c>
      <c r="H51" s="19">
        <v>6.0301E-2</v>
      </c>
      <c r="I51" s="21"/>
    </row>
    <row r="52" spans="2:9" x14ac:dyDescent="0.2">
      <c r="B52" s="16" t="s">
        <v>34</v>
      </c>
      <c r="C52" s="16" t="s">
        <v>35</v>
      </c>
      <c r="D52" s="16" t="s">
        <v>17</v>
      </c>
      <c r="E52" s="20">
        <v>4000</v>
      </c>
      <c r="F52" s="17">
        <v>19737.2</v>
      </c>
      <c r="G52" s="18">
        <v>2.7673563887891199</v>
      </c>
      <c r="H52" s="19">
        <v>6.4798999999999995E-2</v>
      </c>
      <c r="I52" s="21"/>
    </row>
    <row r="53" spans="2:9" x14ac:dyDescent="0.2">
      <c r="B53" s="16" t="s">
        <v>125</v>
      </c>
      <c r="C53" s="16" t="s">
        <v>126</v>
      </c>
      <c r="D53" s="16" t="s">
        <v>17</v>
      </c>
      <c r="E53" s="20">
        <v>3500</v>
      </c>
      <c r="F53" s="17">
        <v>17303.737499999999</v>
      </c>
      <c r="G53" s="18">
        <v>2.4261601706703599</v>
      </c>
      <c r="H53" s="19">
        <v>5.9998999999999997E-2</v>
      </c>
      <c r="I53" s="21"/>
    </row>
    <row r="54" spans="2:9" x14ac:dyDescent="0.2">
      <c r="B54" s="16" t="s">
        <v>127</v>
      </c>
      <c r="C54" s="16" t="s">
        <v>128</v>
      </c>
      <c r="D54" s="16" t="s">
        <v>13</v>
      </c>
      <c r="E54" s="20">
        <v>3000</v>
      </c>
      <c r="F54" s="17">
        <v>14823.674999999999</v>
      </c>
      <c r="G54" s="18">
        <v>2.0784301581067002</v>
      </c>
      <c r="H54" s="19">
        <v>6.4799999999999996E-2</v>
      </c>
      <c r="I54" s="21"/>
    </row>
    <row r="55" spans="2:9" x14ac:dyDescent="0.2">
      <c r="B55" s="16" t="s">
        <v>129</v>
      </c>
      <c r="C55" s="16" t="s">
        <v>130</v>
      </c>
      <c r="D55" s="16" t="s">
        <v>17</v>
      </c>
      <c r="E55" s="20">
        <v>2000</v>
      </c>
      <c r="F55" s="17">
        <v>9936.49</v>
      </c>
      <c r="G55" s="18">
        <v>1.3931970635976301</v>
      </c>
      <c r="H55" s="19">
        <v>6.4804E-2</v>
      </c>
      <c r="I55" s="21"/>
    </row>
    <row r="56" spans="2:9" x14ac:dyDescent="0.2">
      <c r="B56" s="16" t="s">
        <v>131</v>
      </c>
      <c r="C56" s="16" t="s">
        <v>132</v>
      </c>
      <c r="D56" s="16" t="s">
        <v>82</v>
      </c>
      <c r="E56" s="20">
        <v>2000</v>
      </c>
      <c r="F56" s="17">
        <v>9927.81</v>
      </c>
      <c r="G56" s="18">
        <v>1.39198003922464</v>
      </c>
      <c r="H56" s="19">
        <v>6.1723E-2</v>
      </c>
      <c r="I56" s="21"/>
    </row>
    <row r="57" spans="2:9" x14ac:dyDescent="0.2">
      <c r="B57" s="16" t="s">
        <v>133</v>
      </c>
      <c r="C57" s="16" t="s">
        <v>134</v>
      </c>
      <c r="D57" s="16" t="s">
        <v>17</v>
      </c>
      <c r="E57" s="20">
        <v>2000</v>
      </c>
      <c r="F57" s="17">
        <v>9921.7999999999993</v>
      </c>
      <c r="G57" s="18">
        <v>1.3911373760354999</v>
      </c>
      <c r="H57" s="19">
        <v>6.6902000000000003E-2</v>
      </c>
      <c r="I57" s="21"/>
    </row>
    <row r="58" spans="2:9" x14ac:dyDescent="0.2">
      <c r="B58" s="16" t="s">
        <v>135</v>
      </c>
      <c r="C58" s="16" t="s">
        <v>136</v>
      </c>
      <c r="D58" s="16" t="s">
        <v>17</v>
      </c>
      <c r="E58" s="20">
        <v>2000</v>
      </c>
      <c r="F58" s="17">
        <v>9921.52</v>
      </c>
      <c r="G58" s="18">
        <v>1.3910981171847601</v>
      </c>
      <c r="H58" s="19">
        <v>6.0150000000000002E-2</v>
      </c>
      <c r="I58" s="21"/>
    </row>
    <row r="59" spans="2:9" x14ac:dyDescent="0.2">
      <c r="B59" s="16" t="s">
        <v>137</v>
      </c>
      <c r="C59" s="16" t="s">
        <v>138</v>
      </c>
      <c r="D59" s="16" t="s">
        <v>17</v>
      </c>
      <c r="E59" s="20">
        <v>2000</v>
      </c>
      <c r="F59" s="17">
        <v>9911.7999999999993</v>
      </c>
      <c r="G59" s="18">
        <v>1.3897352742233</v>
      </c>
      <c r="H59" s="19">
        <v>6.0151000000000003E-2</v>
      </c>
      <c r="I59" s="21"/>
    </row>
    <row r="60" spans="2:9" x14ac:dyDescent="0.2">
      <c r="B60" s="16" t="s">
        <v>139</v>
      </c>
      <c r="C60" s="16" t="s">
        <v>140</v>
      </c>
      <c r="D60" s="16" t="s">
        <v>17</v>
      </c>
      <c r="E60" s="20">
        <v>2000</v>
      </c>
      <c r="F60" s="17">
        <v>9894.6</v>
      </c>
      <c r="G60" s="18">
        <v>1.3873236591063001</v>
      </c>
      <c r="H60" s="19">
        <v>6.4800999999999997E-2</v>
      </c>
      <c r="I60" s="21"/>
    </row>
    <row r="61" spans="2:9" x14ac:dyDescent="0.2">
      <c r="B61" s="16" t="s">
        <v>141</v>
      </c>
      <c r="C61" s="16" t="s">
        <v>142</v>
      </c>
      <c r="D61" s="16" t="s">
        <v>17</v>
      </c>
      <c r="E61" s="20">
        <v>2000</v>
      </c>
      <c r="F61" s="17">
        <v>9880.7199999999993</v>
      </c>
      <c r="G61" s="18">
        <v>1.38537754179096</v>
      </c>
      <c r="H61" s="19">
        <v>6.4797999999999994E-2</v>
      </c>
      <c r="I61" s="21"/>
    </row>
    <row r="62" spans="2:9" x14ac:dyDescent="0.2">
      <c r="B62" s="16" t="s">
        <v>30</v>
      </c>
      <c r="C62" s="16" t="s">
        <v>31</v>
      </c>
      <c r="D62" s="16" t="s">
        <v>17</v>
      </c>
      <c r="E62" s="20">
        <v>2000</v>
      </c>
      <c r="F62" s="17">
        <v>9877.25</v>
      </c>
      <c r="G62" s="18">
        <v>1.3848910124621201</v>
      </c>
      <c r="H62" s="19">
        <v>6.4800999999999997E-2</v>
      </c>
      <c r="I62" s="21"/>
    </row>
    <row r="63" spans="2:9" x14ac:dyDescent="0.2">
      <c r="B63" s="16" t="s">
        <v>26</v>
      </c>
      <c r="C63" s="16" t="s">
        <v>27</v>
      </c>
      <c r="D63" s="16" t="s">
        <v>17</v>
      </c>
      <c r="E63" s="20">
        <v>2000</v>
      </c>
      <c r="F63" s="17">
        <v>9877.25</v>
      </c>
      <c r="G63" s="18">
        <v>1.3848910124621201</v>
      </c>
      <c r="H63" s="19">
        <v>6.4800999999999997E-2</v>
      </c>
      <c r="I63" s="21"/>
    </row>
    <row r="64" spans="2:9" x14ac:dyDescent="0.2">
      <c r="B64" s="16" t="s">
        <v>143</v>
      </c>
      <c r="C64" s="16" t="s">
        <v>144</v>
      </c>
      <c r="D64" s="16" t="s">
        <v>17</v>
      </c>
      <c r="E64" s="20">
        <v>2000</v>
      </c>
      <c r="F64" s="17">
        <v>9866.8700000000008</v>
      </c>
      <c r="G64" s="18">
        <v>1.38343563078105</v>
      </c>
      <c r="H64" s="19">
        <v>6.4799999999999996E-2</v>
      </c>
      <c r="I64" s="21"/>
    </row>
    <row r="65" spans="2:9" x14ac:dyDescent="0.2">
      <c r="B65" s="16" t="s">
        <v>145</v>
      </c>
      <c r="C65" s="16" t="s">
        <v>146</v>
      </c>
      <c r="D65" s="16" t="s">
        <v>17</v>
      </c>
      <c r="E65" s="20">
        <v>1000</v>
      </c>
      <c r="F65" s="17">
        <v>4960.8549999999996</v>
      </c>
      <c r="G65" s="18">
        <v>0.69556237855959602</v>
      </c>
      <c r="H65" s="19">
        <v>6.0003000000000001E-2</v>
      </c>
      <c r="I65" s="21"/>
    </row>
    <row r="66" spans="2:9" x14ac:dyDescent="0.2">
      <c r="B66" s="16" t="s">
        <v>147</v>
      </c>
      <c r="C66" s="16" t="s">
        <v>148</v>
      </c>
      <c r="D66" s="16" t="s">
        <v>17</v>
      </c>
      <c r="E66" s="20">
        <v>1000</v>
      </c>
      <c r="F66" s="17">
        <v>4949.7550000000001</v>
      </c>
      <c r="G66" s="18">
        <v>0.69400604554804701</v>
      </c>
      <c r="H66" s="19">
        <v>6.5002000000000004E-2</v>
      </c>
      <c r="I66" s="21"/>
    </row>
    <row r="67" spans="2:9" x14ac:dyDescent="0.2">
      <c r="B67" s="16" t="s">
        <v>149</v>
      </c>
      <c r="C67" s="16" t="s">
        <v>150</v>
      </c>
      <c r="D67" s="16" t="s">
        <v>17</v>
      </c>
      <c r="E67" s="20">
        <v>1000</v>
      </c>
      <c r="F67" s="17">
        <v>4947.99</v>
      </c>
      <c r="G67" s="18">
        <v>0.69375857457819201</v>
      </c>
      <c r="H67" s="19">
        <v>5.9950000000000003E-2</v>
      </c>
      <c r="I67" s="21"/>
    </row>
    <row r="68" spans="2:9" x14ac:dyDescent="0.2">
      <c r="B68" s="16" t="s">
        <v>151</v>
      </c>
      <c r="C68" s="16" t="s">
        <v>152</v>
      </c>
      <c r="D68" s="16" t="s">
        <v>82</v>
      </c>
      <c r="E68" s="20">
        <v>1000</v>
      </c>
      <c r="F68" s="17">
        <v>4943.8249999999998</v>
      </c>
      <c r="G68" s="18">
        <v>0.69317459917340796</v>
      </c>
      <c r="H68" s="19">
        <v>6.4802999999999999E-2</v>
      </c>
      <c r="I68" s="21"/>
    </row>
    <row r="69" spans="2:9" x14ac:dyDescent="0.2">
      <c r="B69" s="16" t="s">
        <v>28</v>
      </c>
      <c r="C69" s="16" t="s">
        <v>29</v>
      </c>
      <c r="D69" s="16" t="s">
        <v>17</v>
      </c>
      <c r="E69" s="20">
        <v>1000</v>
      </c>
      <c r="F69" s="17">
        <v>4943.8249999999998</v>
      </c>
      <c r="G69" s="18">
        <v>0.69317459917340796</v>
      </c>
      <c r="H69" s="19">
        <v>6.4802999999999999E-2</v>
      </c>
      <c r="I69" s="21"/>
    </row>
    <row r="70" spans="2:9" x14ac:dyDescent="0.2">
      <c r="B70" s="16" t="s">
        <v>153</v>
      </c>
      <c r="C70" s="16" t="s">
        <v>154</v>
      </c>
      <c r="D70" s="16" t="s">
        <v>82</v>
      </c>
      <c r="E70" s="20">
        <v>500</v>
      </c>
      <c r="F70" s="17">
        <v>2484.3175000000001</v>
      </c>
      <c r="G70" s="18">
        <v>0.34832660688474698</v>
      </c>
      <c r="H70" s="19">
        <v>6.4003000000000004E-2</v>
      </c>
      <c r="I70" s="21"/>
    </row>
    <row r="71" spans="2:9" x14ac:dyDescent="0.2">
      <c r="B71" s="16" t="s">
        <v>155</v>
      </c>
      <c r="C71" s="16" t="s">
        <v>156</v>
      </c>
      <c r="D71" s="16" t="s">
        <v>17</v>
      </c>
      <c r="E71" s="20">
        <v>500</v>
      </c>
      <c r="F71" s="17">
        <v>2474.9549999999999</v>
      </c>
      <c r="G71" s="18">
        <v>0.34701388906306802</v>
      </c>
      <c r="H71" s="19">
        <v>6.4799999999999996E-2</v>
      </c>
      <c r="I71" s="21"/>
    </row>
    <row r="72" spans="2:9" x14ac:dyDescent="0.2">
      <c r="B72" s="16" t="s">
        <v>24</v>
      </c>
      <c r="C72" s="16" t="s">
        <v>25</v>
      </c>
      <c r="D72" s="16" t="s">
        <v>13</v>
      </c>
      <c r="E72" s="20">
        <v>500</v>
      </c>
      <c r="F72" s="17">
        <v>2473.3674999999998</v>
      </c>
      <c r="G72" s="18">
        <v>0.34679130540038</v>
      </c>
      <c r="H72" s="19">
        <v>5.7799999999999997E-2</v>
      </c>
      <c r="I72" s="21"/>
    </row>
    <row r="73" spans="2:9" x14ac:dyDescent="0.2">
      <c r="B73" s="15" t="s">
        <v>22</v>
      </c>
      <c r="C73" s="15"/>
      <c r="D73" s="15"/>
      <c r="E73" s="15"/>
      <c r="F73" s="27">
        <f>SUM(F47:F72)</f>
        <v>303869.45199999999</v>
      </c>
      <c r="G73" s="28">
        <f>SUM(G47:G72)</f>
        <v>42.605590932353635</v>
      </c>
      <c r="H73" s="22"/>
      <c r="I73" s="22"/>
    </row>
    <row r="74" spans="2:9" x14ac:dyDescent="0.2">
      <c r="B74" s="15" t="s">
        <v>36</v>
      </c>
      <c r="C74" s="16"/>
      <c r="D74" s="16"/>
      <c r="E74" s="16"/>
      <c r="F74" s="17"/>
      <c r="G74" s="18"/>
      <c r="H74" s="19"/>
      <c r="I74" s="19"/>
    </row>
    <row r="75" spans="2:9" x14ac:dyDescent="0.2">
      <c r="B75" s="16" t="s">
        <v>157</v>
      </c>
      <c r="C75" s="16" t="s">
        <v>158</v>
      </c>
      <c r="D75" s="16" t="s">
        <v>39</v>
      </c>
      <c r="E75" s="20">
        <v>59000000</v>
      </c>
      <c r="F75" s="17">
        <v>58822.351000000002</v>
      </c>
      <c r="G75" s="18">
        <v>8.2474924935374005</v>
      </c>
      <c r="H75" s="19">
        <v>5.2491999999999997E-2</v>
      </c>
      <c r="I75" s="21"/>
    </row>
    <row r="76" spans="2:9" x14ac:dyDescent="0.2">
      <c r="B76" s="16" t="s">
        <v>159</v>
      </c>
      <c r="C76" s="16" t="s">
        <v>160</v>
      </c>
      <c r="D76" s="16" t="s">
        <v>39</v>
      </c>
      <c r="E76" s="20">
        <v>25000000</v>
      </c>
      <c r="F76" s="17">
        <v>24753.575000000001</v>
      </c>
      <c r="G76" s="18">
        <v>3.4707032366100901</v>
      </c>
      <c r="H76" s="19">
        <v>5.1908999999999997E-2</v>
      </c>
      <c r="I76" s="21"/>
    </row>
    <row r="77" spans="2:9" x14ac:dyDescent="0.2">
      <c r="B77" s="16" t="s">
        <v>161</v>
      </c>
      <c r="C77" s="16" t="s">
        <v>162</v>
      </c>
      <c r="D77" s="16" t="s">
        <v>39</v>
      </c>
      <c r="E77" s="20">
        <v>16500000</v>
      </c>
      <c r="F77" s="17">
        <v>16447.464</v>
      </c>
      <c r="G77" s="18">
        <v>2.3061019080608798</v>
      </c>
      <c r="H77" s="19">
        <v>5.2993999999999999E-2</v>
      </c>
      <c r="I77" s="21"/>
    </row>
    <row r="78" spans="2:9" x14ac:dyDescent="0.2">
      <c r="B78" s="16" t="s">
        <v>163</v>
      </c>
      <c r="C78" s="16" t="s">
        <v>164</v>
      </c>
      <c r="D78" s="16" t="s">
        <v>39</v>
      </c>
      <c r="E78" s="20">
        <v>16000000</v>
      </c>
      <c r="F78" s="17">
        <v>15871.328</v>
      </c>
      <c r="G78" s="18">
        <v>2.2253217750931098</v>
      </c>
      <c r="H78" s="19">
        <v>5.1915000000000003E-2</v>
      </c>
      <c r="I78" s="21"/>
    </row>
    <row r="79" spans="2:9" x14ac:dyDescent="0.2">
      <c r="B79" s="16" t="s">
        <v>165</v>
      </c>
      <c r="C79" s="16" t="s">
        <v>166</v>
      </c>
      <c r="D79" s="16" t="s">
        <v>39</v>
      </c>
      <c r="E79" s="20">
        <v>10000000</v>
      </c>
      <c r="F79" s="17">
        <v>9950.3799999999992</v>
      </c>
      <c r="G79" s="18">
        <v>1.3951445830147899</v>
      </c>
      <c r="H79" s="19">
        <v>5.2005000000000003E-2</v>
      </c>
      <c r="I79" s="21"/>
    </row>
    <row r="80" spans="2:9" x14ac:dyDescent="0.2">
      <c r="B80" s="16" t="s">
        <v>167</v>
      </c>
      <c r="C80" s="16" t="s">
        <v>168</v>
      </c>
      <c r="D80" s="16" t="s">
        <v>39</v>
      </c>
      <c r="E80" s="20">
        <v>10000000</v>
      </c>
      <c r="F80" s="17">
        <v>9939.39</v>
      </c>
      <c r="G80" s="18">
        <v>1.39360367312317</v>
      </c>
      <c r="H80" s="19">
        <v>5.2998999999999998E-2</v>
      </c>
      <c r="I80" s="21"/>
    </row>
    <row r="81" spans="2:9" x14ac:dyDescent="0.2">
      <c r="B81" s="16" t="s">
        <v>169</v>
      </c>
      <c r="C81" s="16" t="s">
        <v>170</v>
      </c>
      <c r="D81" s="16" t="s">
        <v>39</v>
      </c>
      <c r="E81" s="20">
        <v>5000000</v>
      </c>
      <c r="F81" s="17">
        <v>4965.3999999999996</v>
      </c>
      <c r="G81" s="18">
        <v>0.69619963383324401</v>
      </c>
      <c r="H81" s="19">
        <v>5.1909999999999998E-2</v>
      </c>
      <c r="I81" s="21"/>
    </row>
    <row r="82" spans="2:9" x14ac:dyDescent="0.2">
      <c r="B82" s="16" t="s">
        <v>46</v>
      </c>
      <c r="C82" s="16" t="s">
        <v>47</v>
      </c>
      <c r="D82" s="16" t="s">
        <v>39</v>
      </c>
      <c r="E82" s="20">
        <v>3000000</v>
      </c>
      <c r="F82" s="17">
        <v>2993.973</v>
      </c>
      <c r="G82" s="18">
        <v>0.41978549689987099</v>
      </c>
      <c r="H82" s="19">
        <v>5.2483000000000002E-2</v>
      </c>
      <c r="I82" s="21"/>
    </row>
    <row r="83" spans="2:9" x14ac:dyDescent="0.2">
      <c r="B83" s="16" t="s">
        <v>171</v>
      </c>
      <c r="C83" s="16" t="s">
        <v>172</v>
      </c>
      <c r="D83" s="16" t="s">
        <v>39</v>
      </c>
      <c r="E83" s="20">
        <v>2500000</v>
      </c>
      <c r="F83" s="17">
        <v>2489.98</v>
      </c>
      <c r="G83" s="18">
        <v>0.349120547035909</v>
      </c>
      <c r="H83" s="19">
        <v>5.2463999999999997E-2</v>
      </c>
      <c r="I83" s="21"/>
    </row>
    <row r="84" spans="2:9" x14ac:dyDescent="0.2">
      <c r="B84" s="16" t="s">
        <v>173</v>
      </c>
      <c r="C84" s="16" t="s">
        <v>174</v>
      </c>
      <c r="D84" s="16" t="s">
        <v>39</v>
      </c>
      <c r="E84" s="20">
        <v>2500000</v>
      </c>
      <c r="F84" s="17">
        <v>2482.3325</v>
      </c>
      <c r="G84" s="18">
        <v>0.34804828967502399</v>
      </c>
      <c r="H84" s="19">
        <v>5.1959999999999999E-2</v>
      </c>
      <c r="I84" s="21"/>
    </row>
    <row r="85" spans="2:9" x14ac:dyDescent="0.2">
      <c r="B85" s="16" t="s">
        <v>175</v>
      </c>
      <c r="C85" s="16" t="s">
        <v>176</v>
      </c>
      <c r="D85" s="16" t="s">
        <v>39</v>
      </c>
      <c r="E85" s="20">
        <v>1500000</v>
      </c>
      <c r="F85" s="17">
        <v>1490.9085</v>
      </c>
      <c r="G85" s="18">
        <v>0.20904055096847601</v>
      </c>
      <c r="H85" s="19">
        <v>5.2998999999999998E-2</v>
      </c>
      <c r="I85" s="21"/>
    </row>
    <row r="86" spans="2:9" x14ac:dyDescent="0.2">
      <c r="B86" s="16" t="s">
        <v>177</v>
      </c>
      <c r="C86" s="16" t="s">
        <v>178</v>
      </c>
      <c r="D86" s="16" t="s">
        <v>39</v>
      </c>
      <c r="E86" s="20">
        <v>500000</v>
      </c>
      <c r="F86" s="17">
        <v>496.96949999999998</v>
      </c>
      <c r="G86" s="18">
        <v>6.9680183656158703E-2</v>
      </c>
      <c r="H86" s="19">
        <v>5.2998999999999998E-2</v>
      </c>
      <c r="I86" s="21"/>
    </row>
    <row r="87" spans="2:9" x14ac:dyDescent="0.2">
      <c r="B87" s="15" t="s">
        <v>22</v>
      </c>
      <c r="C87" s="15"/>
      <c r="D87" s="15"/>
      <c r="E87" s="15"/>
      <c r="F87" s="23">
        <f>SUM(F74:F86)</f>
        <v>150704.0515</v>
      </c>
      <c r="G87" s="24">
        <f>SUM(G74:G86)</f>
        <v>21.130242371508125</v>
      </c>
      <c r="H87" s="22"/>
      <c r="I87" s="22"/>
    </row>
    <row r="88" spans="2:9" x14ac:dyDescent="0.2">
      <c r="B88" s="26" t="s">
        <v>37</v>
      </c>
      <c r="C88" s="26"/>
      <c r="D88" s="26"/>
      <c r="E88" s="26"/>
      <c r="F88" s="27">
        <f>+F46+F73+F87</f>
        <v>810908.59499999997</v>
      </c>
      <c r="G88" s="28">
        <f>+G46+G73+G87</f>
        <v>113.69764105837012</v>
      </c>
      <c r="H88" s="22"/>
      <c r="I88" s="22"/>
    </row>
    <row r="89" spans="2:9" x14ac:dyDescent="0.2">
      <c r="B89" s="15" t="s">
        <v>38</v>
      </c>
      <c r="C89" s="16"/>
      <c r="D89" s="16"/>
      <c r="E89" s="16"/>
      <c r="F89" s="17"/>
      <c r="G89" s="18"/>
      <c r="H89" s="19"/>
      <c r="I89" s="19"/>
    </row>
    <row r="90" spans="2:9" x14ac:dyDescent="0.2">
      <c r="B90" s="16" t="s">
        <v>179</v>
      </c>
      <c r="C90" s="16" t="s">
        <v>180</v>
      </c>
      <c r="D90" s="16" t="s">
        <v>39</v>
      </c>
      <c r="E90" s="20">
        <v>1522000</v>
      </c>
      <c r="F90" s="17">
        <v>1525.126188</v>
      </c>
      <c r="G90" s="18">
        <v>0.213838219203909</v>
      </c>
      <c r="H90" s="19">
        <v>5.3887999999999998E-2</v>
      </c>
      <c r="I90" s="21"/>
    </row>
    <row r="91" spans="2:9" x14ac:dyDescent="0.2">
      <c r="B91" s="16" t="s">
        <v>181</v>
      </c>
      <c r="C91" s="16" t="s">
        <v>182</v>
      </c>
      <c r="D91" s="16" t="s">
        <v>39</v>
      </c>
      <c r="E91" s="20">
        <v>540000</v>
      </c>
      <c r="F91" s="17">
        <v>541.11293999999998</v>
      </c>
      <c r="G91" s="18">
        <v>7.5869543378263696E-2</v>
      </c>
      <c r="H91" s="19">
        <v>5.4079000000000002E-2</v>
      </c>
      <c r="I91" s="21"/>
    </row>
    <row r="92" spans="2:9" x14ac:dyDescent="0.2">
      <c r="B92" s="16" t="s">
        <v>183</v>
      </c>
      <c r="C92" s="16" t="s">
        <v>184</v>
      </c>
      <c r="D92" s="16" t="s">
        <v>39</v>
      </c>
      <c r="E92" s="20">
        <v>500000</v>
      </c>
      <c r="F92" s="17">
        <v>500.45949999999999</v>
      </c>
      <c r="G92" s="18">
        <v>7.0169517188618996E-2</v>
      </c>
      <c r="H92" s="19">
        <v>5.4079000000000002E-2</v>
      </c>
      <c r="I92" s="21"/>
    </row>
    <row r="93" spans="2:9" x14ac:dyDescent="0.2">
      <c r="B93" s="15" t="s">
        <v>37</v>
      </c>
      <c r="C93" s="15"/>
      <c r="D93" s="15"/>
      <c r="E93" s="15"/>
      <c r="F93" s="27">
        <f>SUM(F90:F92)</f>
        <v>2566.6986280000001</v>
      </c>
      <c r="G93" s="28">
        <f>SUM(G90:G92)</f>
        <v>0.35987727977079165</v>
      </c>
      <c r="H93" s="22"/>
      <c r="I93" s="22"/>
    </row>
    <row r="94" spans="2:9" x14ac:dyDescent="0.2">
      <c r="B94" s="15"/>
      <c r="C94" s="16"/>
      <c r="D94" s="16"/>
      <c r="E94" s="16"/>
      <c r="F94" s="17"/>
      <c r="G94" s="18"/>
      <c r="H94" s="19"/>
      <c r="I94" s="19"/>
    </row>
    <row r="95" spans="2:9" x14ac:dyDescent="0.2">
      <c r="B95" s="15" t="s">
        <v>40</v>
      </c>
      <c r="C95" s="15"/>
      <c r="D95" s="15"/>
      <c r="E95" s="15"/>
      <c r="F95" s="27">
        <v>5.4116048000000001</v>
      </c>
      <c r="G95" s="28">
        <v>7.5876208970278899E-4</v>
      </c>
      <c r="H95" s="25">
        <v>5.3636339999999998E-2</v>
      </c>
      <c r="I95" s="25"/>
    </row>
    <row r="96" spans="2:9" x14ac:dyDescent="0.2">
      <c r="B96" s="16"/>
      <c r="C96" s="16"/>
      <c r="D96" s="16"/>
      <c r="E96" s="16"/>
      <c r="F96" s="17"/>
      <c r="G96" s="18"/>
      <c r="H96" s="19"/>
      <c r="I96" s="19"/>
    </row>
    <row r="97" spans="1:11" x14ac:dyDescent="0.2">
      <c r="B97" s="26" t="s">
        <v>42</v>
      </c>
      <c r="C97" s="26"/>
      <c r="D97" s="26"/>
      <c r="E97" s="26"/>
      <c r="F97" s="27">
        <f>F98-(F46+F73+F87+F93+F95)</f>
        <v>-100265.73660940002</v>
      </c>
      <c r="G97" s="28">
        <f>G98-(G46+G73+G87+G93+G95)</f>
        <v>-14.058277100230612</v>
      </c>
      <c r="H97" s="22"/>
      <c r="I97" s="22"/>
    </row>
    <row r="98" spans="1:11" x14ac:dyDescent="0.2">
      <c r="B98" s="26" t="s">
        <v>41</v>
      </c>
      <c r="C98" s="26"/>
      <c r="D98" s="26"/>
      <c r="E98" s="26"/>
      <c r="F98" s="27">
        <v>713214.96862339997</v>
      </c>
      <c r="G98" s="28">
        <v>100</v>
      </c>
      <c r="H98" s="29"/>
      <c r="I98" s="29"/>
    </row>
    <row r="100" spans="1:11" x14ac:dyDescent="0.2">
      <c r="B100" s="14" t="s">
        <v>188</v>
      </c>
    </row>
    <row r="101" spans="1:11" x14ac:dyDescent="0.2">
      <c r="B101" s="14" t="s">
        <v>44</v>
      </c>
    </row>
    <row r="102" spans="1:11" ht="39.950000000000003" customHeight="1" x14ac:dyDescent="0.2">
      <c r="B102" s="41" t="s">
        <v>45</v>
      </c>
      <c r="C102" s="41"/>
      <c r="D102" s="41"/>
      <c r="E102" s="41"/>
      <c r="F102" s="41"/>
      <c r="G102" s="41"/>
      <c r="H102" s="41"/>
      <c r="I102" s="41"/>
    </row>
    <row r="104" spans="1:11" x14ac:dyDescent="0.2">
      <c r="B104" s="14" t="s">
        <v>185</v>
      </c>
    </row>
    <row r="105" spans="1:11" x14ac:dyDescent="0.2">
      <c r="B105" s="14"/>
      <c r="C105" s="14"/>
      <c r="D105" s="30"/>
      <c r="E105" s="14"/>
    </row>
    <row r="106" spans="1:11" x14ac:dyDescent="0.2">
      <c r="D106" s="31"/>
      <c r="E106" s="31"/>
    </row>
    <row r="111" spans="1:11" s="11" customFormat="1" x14ac:dyDescent="0.2">
      <c r="A111" s="6"/>
      <c r="B111" s="6"/>
      <c r="C111" s="6"/>
      <c r="D111" s="6"/>
      <c r="E111" s="6"/>
      <c r="F111" s="8"/>
      <c r="G111" s="33"/>
      <c r="J111" s="6"/>
      <c r="K111" s="6"/>
    </row>
    <row r="112" spans="1:11" s="11" customFormat="1" x14ac:dyDescent="0.2">
      <c r="A112" s="6"/>
      <c r="B112" s="6"/>
      <c r="C112" s="6"/>
      <c r="D112" s="6"/>
      <c r="E112" s="6"/>
      <c r="F112" s="8"/>
      <c r="G112" s="33"/>
      <c r="J112" s="6"/>
      <c r="K112" s="6"/>
    </row>
    <row r="113" spans="1:11" s="11" customFormat="1" x14ac:dyDescent="0.2">
      <c r="A113" s="6"/>
      <c r="B113" s="6"/>
      <c r="C113" s="6"/>
      <c r="D113" s="6"/>
      <c r="E113" s="6"/>
      <c r="F113" s="8"/>
      <c r="G113" s="33"/>
      <c r="J113" s="6"/>
      <c r="K113" s="6"/>
    </row>
    <row r="114" spans="1:11" s="11" customFormat="1" x14ac:dyDescent="0.2">
      <c r="A114" s="6"/>
      <c r="B114" s="6"/>
      <c r="C114" s="6"/>
      <c r="D114" s="6"/>
      <c r="E114" s="6"/>
      <c r="F114" s="8"/>
      <c r="G114" s="33"/>
      <c r="J114" s="6"/>
      <c r="K114" s="6"/>
    </row>
    <row r="115" spans="1:11" s="11" customFormat="1" x14ac:dyDescent="0.2">
      <c r="A115" s="6"/>
      <c r="B115" s="6"/>
      <c r="C115" s="6"/>
      <c r="D115" s="6"/>
      <c r="E115" s="6"/>
      <c r="F115" s="8"/>
      <c r="G115" s="33"/>
      <c r="J115" s="6"/>
      <c r="K115" s="6"/>
    </row>
    <row r="116" spans="1:11" s="11" customFormat="1" x14ac:dyDescent="0.2">
      <c r="A116" s="6"/>
      <c r="B116" s="6"/>
      <c r="C116" s="6"/>
      <c r="D116" s="6"/>
      <c r="E116" s="6"/>
      <c r="F116" s="8"/>
      <c r="G116" s="33"/>
      <c r="J116" s="6"/>
      <c r="K116" s="6"/>
    </row>
    <row r="117" spans="1:11" s="11" customFormat="1" x14ac:dyDescent="0.2">
      <c r="A117" s="6"/>
      <c r="B117" s="6"/>
      <c r="C117" s="6"/>
      <c r="D117" s="6"/>
      <c r="E117" s="6"/>
      <c r="F117" s="8"/>
      <c r="G117" s="33"/>
      <c r="J117" s="6"/>
      <c r="K117" s="6"/>
    </row>
    <row r="118" spans="1:11" s="11" customFormat="1" x14ac:dyDescent="0.2">
      <c r="A118" s="6"/>
      <c r="B118" s="6"/>
      <c r="C118" s="6"/>
      <c r="D118" s="6"/>
      <c r="E118" s="6"/>
      <c r="F118" s="8"/>
      <c r="G118" s="33"/>
      <c r="J118" s="6"/>
      <c r="K118" s="6"/>
    </row>
    <row r="119" spans="1:11" s="11" customFormat="1" x14ac:dyDescent="0.2">
      <c r="A119" s="6"/>
      <c r="B119" s="6"/>
      <c r="C119" s="6"/>
      <c r="D119" s="6"/>
      <c r="E119" s="6"/>
      <c r="F119" s="8"/>
      <c r="G119" s="33"/>
      <c r="J119" s="6"/>
      <c r="K119" s="6"/>
    </row>
    <row r="120" spans="1:11" s="11" customFormat="1" x14ac:dyDescent="0.2">
      <c r="A120" s="6"/>
      <c r="B120" s="6"/>
      <c r="C120" s="6"/>
      <c r="D120" s="6"/>
      <c r="E120" s="6"/>
      <c r="F120" s="8"/>
      <c r="G120" s="33"/>
      <c r="J120" s="6"/>
      <c r="K120" s="6"/>
    </row>
    <row r="121" spans="1:11" s="11" customFormat="1" x14ac:dyDescent="0.2">
      <c r="A121" s="6"/>
      <c r="B121" s="6"/>
      <c r="C121" s="6"/>
      <c r="D121" s="6"/>
      <c r="E121" s="6"/>
      <c r="F121" s="8"/>
      <c r="G121" s="33"/>
      <c r="J121" s="6"/>
      <c r="K121" s="6"/>
    </row>
    <row r="122" spans="1:11" s="11" customFormat="1" x14ac:dyDescent="0.2">
      <c r="A122" s="6"/>
      <c r="B122" s="6"/>
      <c r="C122" s="6"/>
      <c r="D122" s="6"/>
      <c r="E122" s="6"/>
      <c r="F122" s="8"/>
      <c r="G122" s="33"/>
      <c r="J122" s="6"/>
      <c r="K122" s="6"/>
    </row>
    <row r="123" spans="1:11" s="11" customFormat="1" x14ac:dyDescent="0.2">
      <c r="A123" s="6"/>
      <c r="B123" s="6"/>
      <c r="C123" s="6"/>
      <c r="D123" s="6"/>
      <c r="E123" s="6"/>
      <c r="F123" s="8"/>
      <c r="G123" s="33"/>
      <c r="J123" s="6"/>
      <c r="K123" s="6"/>
    </row>
    <row r="124" spans="1:11" s="11" customFormat="1" x14ac:dyDescent="0.2">
      <c r="A124" s="6"/>
      <c r="B124" s="6"/>
      <c r="C124" s="6"/>
      <c r="D124" s="6"/>
      <c r="E124" s="6"/>
      <c r="F124" s="8"/>
      <c r="G124" s="33"/>
      <c r="J124" s="6"/>
      <c r="K124" s="6"/>
    </row>
    <row r="125" spans="1:11" s="11" customFormat="1" x14ac:dyDescent="0.2">
      <c r="A125" s="6"/>
      <c r="B125" s="14" t="s">
        <v>186</v>
      </c>
      <c r="C125" s="6"/>
      <c r="D125" s="6"/>
      <c r="E125" s="6"/>
      <c r="F125" s="8"/>
      <c r="G125" s="33"/>
      <c r="J125" s="6"/>
      <c r="K125" s="6"/>
    </row>
    <row r="126" spans="1:11" s="11" customFormat="1" x14ac:dyDescent="0.2">
      <c r="A126" s="6"/>
      <c r="B126" s="14" t="s">
        <v>187</v>
      </c>
      <c r="C126" s="6"/>
      <c r="D126" s="6"/>
      <c r="E126" s="6"/>
      <c r="F126" s="8"/>
      <c r="G126" s="33"/>
      <c r="J126" s="6"/>
      <c r="K126" s="6"/>
    </row>
    <row r="127" spans="1:11" s="11" customFormat="1" x14ac:dyDescent="0.2">
      <c r="A127" s="6"/>
      <c r="B127" s="6"/>
      <c r="C127" s="6"/>
      <c r="D127" s="6"/>
      <c r="E127" s="6"/>
      <c r="F127" s="8"/>
      <c r="G127" s="33"/>
      <c r="J127" s="6"/>
      <c r="K127" s="6"/>
    </row>
    <row r="128" spans="1:11" s="11" customFormat="1" x14ac:dyDescent="0.2">
      <c r="A128" s="6"/>
      <c r="B128" s="6"/>
      <c r="C128" s="6"/>
      <c r="D128" s="6"/>
      <c r="E128" s="6"/>
      <c r="F128" s="8"/>
      <c r="G128" s="33"/>
      <c r="J128" s="6"/>
      <c r="K128" s="6"/>
    </row>
    <row r="129" spans="1:11" s="11" customFormat="1" x14ac:dyDescent="0.2">
      <c r="A129" s="6"/>
      <c r="B129" s="6"/>
      <c r="C129" s="6"/>
      <c r="D129" s="6"/>
      <c r="E129" s="6"/>
      <c r="F129" s="8"/>
      <c r="G129" s="33"/>
      <c r="J129" s="6"/>
      <c r="K129" s="6"/>
    </row>
    <row r="130" spans="1:11" s="11" customFormat="1" x14ac:dyDescent="0.2">
      <c r="A130" s="6"/>
      <c r="B130" s="6"/>
      <c r="C130" s="6"/>
      <c r="D130" s="6"/>
      <c r="E130" s="6"/>
      <c r="F130" s="8"/>
      <c r="G130" s="33"/>
      <c r="J130" s="6"/>
      <c r="K130" s="6"/>
    </row>
    <row r="131" spans="1:11" s="11" customFormat="1" x14ac:dyDescent="0.2">
      <c r="A131" s="6"/>
      <c r="B131" s="6"/>
      <c r="C131" s="6"/>
      <c r="D131" s="6"/>
      <c r="E131" s="6"/>
      <c r="F131" s="8"/>
      <c r="G131" s="33"/>
      <c r="J131" s="6"/>
      <c r="K131" s="6"/>
    </row>
    <row r="132" spans="1:11" s="11" customFormat="1" x14ac:dyDescent="0.2">
      <c r="A132" s="6"/>
      <c r="B132" s="6"/>
      <c r="C132" s="6"/>
      <c r="D132" s="6"/>
      <c r="E132" s="6"/>
      <c r="F132" s="8"/>
      <c r="G132" s="33"/>
      <c r="J132" s="6"/>
      <c r="K132" s="6"/>
    </row>
    <row r="133" spans="1:11" s="11" customFormat="1" x14ac:dyDescent="0.2">
      <c r="A133" s="6"/>
      <c r="B133" s="6"/>
      <c r="C133" s="6"/>
      <c r="D133" s="6"/>
      <c r="E133" s="6"/>
      <c r="F133" s="8"/>
      <c r="G133" s="33"/>
      <c r="J133" s="6"/>
      <c r="K133" s="6"/>
    </row>
    <row r="134" spans="1:11" s="11" customFormat="1" x14ac:dyDescent="0.2">
      <c r="A134" s="6"/>
      <c r="B134" s="6"/>
      <c r="C134" s="6"/>
      <c r="D134" s="6"/>
      <c r="E134" s="6"/>
      <c r="F134" s="8"/>
      <c r="G134" s="33"/>
      <c r="J134" s="6"/>
      <c r="K134" s="6"/>
    </row>
    <row r="135" spans="1:11" s="11" customFormat="1" x14ac:dyDescent="0.2">
      <c r="A135" s="6"/>
      <c r="B135" s="6"/>
      <c r="C135" s="6"/>
      <c r="D135" s="6"/>
      <c r="E135" s="6"/>
      <c r="F135" s="8"/>
      <c r="G135" s="33"/>
      <c r="J135" s="6"/>
      <c r="K135" s="6"/>
    </row>
    <row r="136" spans="1:11" s="11" customFormat="1" x14ac:dyDescent="0.2">
      <c r="A136" s="6"/>
      <c r="B136" s="6"/>
      <c r="C136" s="6"/>
      <c r="D136" s="6"/>
      <c r="E136" s="6"/>
      <c r="F136" s="8"/>
      <c r="G136" s="33"/>
      <c r="J136" s="6"/>
      <c r="K136" s="6"/>
    </row>
    <row r="137" spans="1:11" s="11" customFormat="1" x14ac:dyDescent="0.2">
      <c r="A137" s="6"/>
      <c r="B137" s="6"/>
      <c r="C137" s="6"/>
      <c r="D137" s="6"/>
      <c r="E137" s="6"/>
      <c r="F137" s="8"/>
      <c r="G137" s="33"/>
      <c r="J137" s="6"/>
      <c r="K137" s="6"/>
    </row>
    <row r="138" spans="1:11" s="11" customFormat="1" x14ac:dyDescent="0.2">
      <c r="A138" s="6"/>
      <c r="B138" s="6"/>
      <c r="C138" s="6"/>
      <c r="D138" s="6"/>
      <c r="E138" s="6"/>
      <c r="F138" s="8"/>
      <c r="G138" s="33"/>
      <c r="J138" s="6"/>
      <c r="K138" s="6"/>
    </row>
    <row r="139" spans="1:11" s="11" customFormat="1" x14ac:dyDescent="0.2">
      <c r="A139" s="6"/>
      <c r="B139" s="6"/>
      <c r="C139" s="6"/>
      <c r="D139" s="6"/>
      <c r="E139" s="6"/>
      <c r="F139" s="8"/>
      <c r="G139" s="33"/>
      <c r="J139" s="6"/>
      <c r="K139" s="6"/>
    </row>
    <row r="140" spans="1:11" s="11" customFormat="1" x14ac:dyDescent="0.2">
      <c r="A140" s="6"/>
      <c r="B140" s="6"/>
      <c r="C140" s="6"/>
      <c r="D140" s="6"/>
      <c r="E140" s="6"/>
      <c r="F140" s="8"/>
      <c r="G140" s="33"/>
      <c r="J140" s="6"/>
      <c r="K140" s="6"/>
    </row>
    <row r="141" spans="1:11" s="11" customFormat="1" x14ac:dyDescent="0.2">
      <c r="A141" s="6"/>
      <c r="B141" s="6"/>
      <c r="C141" s="6"/>
      <c r="D141" s="6"/>
      <c r="E141" s="6"/>
      <c r="F141" s="8"/>
      <c r="G141" s="33"/>
      <c r="J141" s="6"/>
      <c r="K141" s="6"/>
    </row>
    <row r="142" spans="1:11" s="11" customFormat="1" x14ac:dyDescent="0.2">
      <c r="A142" s="6"/>
      <c r="B142" s="6"/>
      <c r="C142" s="6"/>
      <c r="D142" s="6"/>
      <c r="E142" s="6"/>
      <c r="F142" s="8"/>
      <c r="G142" s="33"/>
      <c r="J142" s="6"/>
      <c r="K142" s="6"/>
    </row>
    <row r="143" spans="1:11" s="11" customFormat="1" x14ac:dyDescent="0.2">
      <c r="A143" s="6"/>
      <c r="B143" s="6"/>
      <c r="C143" s="6"/>
      <c r="D143" s="6"/>
      <c r="E143" s="6"/>
      <c r="F143" s="8"/>
      <c r="G143" s="33"/>
      <c r="J143" s="6"/>
      <c r="K143" s="6"/>
    </row>
    <row r="144" spans="1:11" s="11" customFormat="1" x14ac:dyDescent="0.2">
      <c r="A144" s="6"/>
      <c r="B144" s="6"/>
      <c r="C144" s="6"/>
      <c r="D144" s="6"/>
      <c r="E144" s="6"/>
      <c r="F144" s="8"/>
      <c r="G144" s="33"/>
      <c r="J144" s="6"/>
      <c r="K144" s="6"/>
    </row>
    <row r="145" spans="1:11" s="11" customFormat="1" x14ac:dyDescent="0.2">
      <c r="A145" s="6"/>
      <c r="B145" s="6"/>
      <c r="C145" s="6"/>
      <c r="D145" s="6"/>
      <c r="E145" s="6"/>
      <c r="F145" s="8"/>
      <c r="G145" s="33"/>
      <c r="J145" s="6"/>
      <c r="K145" s="6"/>
    </row>
    <row r="146" spans="1:11" s="11" customFormat="1" x14ac:dyDescent="0.2">
      <c r="A146" s="6"/>
      <c r="B146" s="6"/>
      <c r="C146" s="6"/>
      <c r="D146" s="6"/>
      <c r="E146" s="6"/>
      <c r="F146" s="8"/>
      <c r="G146" s="33"/>
      <c r="J146" s="6"/>
      <c r="K146" s="6"/>
    </row>
    <row r="147" spans="1:11" s="11" customFormat="1" x14ac:dyDescent="0.2">
      <c r="A147" s="6"/>
      <c r="B147" s="6"/>
      <c r="C147" s="6"/>
      <c r="D147" s="6"/>
      <c r="E147" s="6"/>
      <c r="F147" s="8"/>
      <c r="G147" s="33"/>
      <c r="J147" s="6"/>
      <c r="K147" s="6"/>
    </row>
    <row r="148" spans="1:11" s="11" customFormat="1" x14ac:dyDescent="0.2">
      <c r="A148" s="6"/>
      <c r="B148" s="6"/>
      <c r="C148" s="6"/>
      <c r="D148" s="6"/>
      <c r="E148" s="6"/>
      <c r="F148" s="8"/>
      <c r="G148" s="33"/>
      <c r="J148" s="6"/>
      <c r="K148" s="6"/>
    </row>
    <row r="149" spans="1:11" s="11" customFormat="1" x14ac:dyDescent="0.2">
      <c r="A149" s="6"/>
      <c r="B149" s="6"/>
      <c r="C149" s="6"/>
      <c r="D149" s="6"/>
      <c r="E149" s="6"/>
      <c r="F149" s="8"/>
      <c r="G149" s="33"/>
      <c r="J149" s="6"/>
      <c r="K149" s="6"/>
    </row>
    <row r="150" spans="1:11" s="11" customFormat="1" x14ac:dyDescent="0.2">
      <c r="A150" s="6"/>
      <c r="B150" s="6"/>
      <c r="C150" s="6"/>
      <c r="D150" s="6"/>
      <c r="E150" s="6"/>
      <c r="F150" s="8"/>
      <c r="G150" s="33"/>
      <c r="J150" s="6"/>
      <c r="K150" s="6"/>
    </row>
    <row r="151" spans="1:11" s="11" customFormat="1" x14ac:dyDescent="0.2">
      <c r="A151" s="6"/>
      <c r="B151" s="6"/>
      <c r="C151" s="6"/>
      <c r="D151" s="6"/>
      <c r="E151" s="6"/>
      <c r="F151" s="8"/>
      <c r="G151" s="33"/>
      <c r="J151" s="6"/>
      <c r="K151" s="6"/>
    </row>
    <row r="152" spans="1:11" s="11" customFormat="1" x14ac:dyDescent="0.2">
      <c r="A152" s="6"/>
      <c r="B152" s="6"/>
      <c r="C152" s="6"/>
      <c r="D152" s="6"/>
      <c r="E152" s="6"/>
      <c r="F152" s="8"/>
      <c r="G152" s="33"/>
      <c r="J152" s="6"/>
      <c r="K152" s="6"/>
    </row>
    <row r="153" spans="1:11" s="11" customFormat="1" x14ac:dyDescent="0.2">
      <c r="A153" s="6"/>
      <c r="B153" s="6"/>
      <c r="C153" s="6"/>
      <c r="D153" s="6"/>
      <c r="E153" s="6"/>
      <c r="F153" s="8"/>
      <c r="G153" s="33"/>
      <c r="J153" s="6"/>
      <c r="K153" s="6"/>
    </row>
    <row r="154" spans="1:11" s="11" customFormat="1" x14ac:dyDescent="0.2">
      <c r="A154" s="6"/>
      <c r="B154" s="6"/>
      <c r="C154" s="6"/>
      <c r="D154" s="6"/>
      <c r="E154" s="6"/>
      <c r="F154" s="8"/>
      <c r="G154" s="33"/>
      <c r="J154" s="6"/>
      <c r="K154" s="6"/>
    </row>
    <row r="155" spans="1:11" s="11" customFormat="1" x14ac:dyDescent="0.2">
      <c r="A155" s="6"/>
      <c r="B155" s="6"/>
      <c r="C155" s="6"/>
      <c r="D155" s="6"/>
      <c r="E155" s="6"/>
      <c r="F155" s="8"/>
      <c r="G155" s="33"/>
      <c r="J155" s="6"/>
      <c r="K155" s="6"/>
    </row>
    <row r="156" spans="1:11" s="11" customFormat="1" x14ac:dyDescent="0.2">
      <c r="A156" s="6"/>
      <c r="B156" s="6"/>
      <c r="C156" s="6"/>
      <c r="D156" s="6"/>
      <c r="E156" s="6"/>
      <c r="F156" s="8"/>
      <c r="G156" s="33"/>
      <c r="J156" s="6"/>
      <c r="K156" s="6"/>
    </row>
    <row r="157" spans="1:11" s="11" customFormat="1" x14ac:dyDescent="0.2">
      <c r="A157" s="6"/>
      <c r="B157" s="6"/>
      <c r="C157" s="6"/>
      <c r="D157" s="6"/>
      <c r="E157" s="6"/>
      <c r="F157" s="8"/>
      <c r="G157" s="33"/>
      <c r="J157" s="6"/>
      <c r="K157" s="6"/>
    </row>
    <row r="158" spans="1:11" s="11" customFormat="1" x14ac:dyDescent="0.2">
      <c r="A158" s="6"/>
      <c r="B158" s="6"/>
      <c r="C158" s="6"/>
      <c r="D158" s="6"/>
      <c r="E158" s="6"/>
      <c r="F158" s="8"/>
      <c r="G158" s="33"/>
      <c r="J158" s="6"/>
      <c r="K158" s="6"/>
    </row>
    <row r="159" spans="1:11" s="11" customFormat="1" x14ac:dyDescent="0.2">
      <c r="A159" s="6"/>
      <c r="B159" s="6"/>
      <c r="C159" s="6"/>
      <c r="D159" s="6"/>
      <c r="E159" s="6"/>
      <c r="F159" s="8"/>
      <c r="G159" s="33"/>
      <c r="J159" s="6"/>
      <c r="K159" s="6"/>
    </row>
    <row r="160" spans="1:11" s="11" customFormat="1" x14ac:dyDescent="0.2">
      <c r="A160" s="6"/>
      <c r="B160" s="6"/>
      <c r="C160" s="6"/>
      <c r="D160" s="6"/>
      <c r="E160" s="6"/>
      <c r="F160" s="8"/>
      <c r="G160" s="33"/>
      <c r="J160" s="6"/>
      <c r="K160" s="6"/>
    </row>
    <row r="161" spans="1:11" s="11" customFormat="1" x14ac:dyDescent="0.2">
      <c r="A161" s="6"/>
      <c r="B161" s="6"/>
      <c r="C161" s="6"/>
      <c r="D161" s="6"/>
      <c r="E161" s="6"/>
      <c r="F161" s="8"/>
      <c r="G161" s="33"/>
      <c r="J161" s="6"/>
      <c r="K161" s="6"/>
    </row>
    <row r="162" spans="1:11" s="11" customFormat="1" x14ac:dyDescent="0.2">
      <c r="A162" s="6"/>
      <c r="B162" s="6"/>
      <c r="C162" s="6"/>
      <c r="D162" s="6"/>
      <c r="E162" s="6"/>
      <c r="F162" s="8"/>
      <c r="G162" s="33"/>
      <c r="J162" s="6"/>
      <c r="K162" s="6"/>
    </row>
    <row r="163" spans="1:11" s="11" customFormat="1" x14ac:dyDescent="0.2">
      <c r="A163" s="6"/>
      <c r="B163" s="6"/>
      <c r="C163" s="6"/>
      <c r="D163" s="6"/>
      <c r="E163" s="6"/>
      <c r="F163" s="8"/>
      <c r="G163" s="33"/>
      <c r="J163" s="6"/>
      <c r="K163" s="6"/>
    </row>
    <row r="164" spans="1:11" s="11" customFormat="1" x14ac:dyDescent="0.2">
      <c r="A164" s="6"/>
      <c r="B164" s="6"/>
      <c r="C164" s="6"/>
      <c r="D164" s="6"/>
      <c r="E164" s="6"/>
      <c r="F164" s="8"/>
      <c r="G164" s="33"/>
      <c r="J164" s="6"/>
      <c r="K164" s="6"/>
    </row>
    <row r="165" spans="1:11" s="11" customFormat="1" x14ac:dyDescent="0.2">
      <c r="A165" s="6"/>
      <c r="B165" s="6"/>
      <c r="C165" s="6"/>
      <c r="D165" s="6"/>
      <c r="E165" s="6"/>
      <c r="F165" s="8"/>
      <c r="G165" s="33"/>
      <c r="J165" s="6"/>
      <c r="K165" s="6"/>
    </row>
    <row r="166" spans="1:11" s="11" customFormat="1" x14ac:dyDescent="0.2">
      <c r="A166" s="6"/>
      <c r="B166" s="6"/>
      <c r="C166" s="6"/>
      <c r="D166" s="6"/>
      <c r="E166" s="6"/>
      <c r="F166" s="8"/>
      <c r="G166" s="33"/>
      <c r="J166" s="6"/>
      <c r="K166" s="6"/>
    </row>
    <row r="167" spans="1:11" s="11" customFormat="1" x14ac:dyDescent="0.2">
      <c r="A167" s="6"/>
      <c r="B167" s="6"/>
      <c r="C167" s="6"/>
      <c r="D167" s="6"/>
      <c r="E167" s="6"/>
      <c r="F167" s="8"/>
      <c r="G167" s="33"/>
      <c r="J167" s="6"/>
      <c r="K167" s="6"/>
    </row>
    <row r="168" spans="1:11" s="11" customFormat="1" x14ac:dyDescent="0.2">
      <c r="A168" s="6"/>
      <c r="B168" s="6"/>
      <c r="C168" s="6"/>
      <c r="D168" s="6"/>
      <c r="E168" s="6"/>
      <c r="F168" s="8"/>
      <c r="G168" s="33"/>
      <c r="J168" s="6"/>
      <c r="K168" s="6"/>
    </row>
    <row r="169" spans="1:11" s="11" customFormat="1" x14ac:dyDescent="0.2">
      <c r="A169" s="6"/>
      <c r="B169" s="6"/>
      <c r="C169" s="6"/>
      <c r="D169" s="6"/>
      <c r="E169" s="6"/>
      <c r="F169" s="8"/>
      <c r="G169" s="33"/>
      <c r="J169" s="6"/>
      <c r="K169" s="6"/>
    </row>
    <row r="170" spans="1:11" s="11" customFormat="1" x14ac:dyDescent="0.2">
      <c r="A170" s="6"/>
      <c r="B170" s="6"/>
      <c r="C170" s="6"/>
      <c r="D170" s="6"/>
      <c r="E170" s="6"/>
      <c r="F170" s="8"/>
      <c r="G170" s="33"/>
      <c r="J170" s="6"/>
      <c r="K170" s="6"/>
    </row>
    <row r="171" spans="1:11" s="11" customFormat="1" x14ac:dyDescent="0.2">
      <c r="A171" s="6"/>
      <c r="B171" s="6"/>
      <c r="C171" s="6"/>
      <c r="D171" s="6"/>
      <c r="E171" s="6"/>
      <c r="F171" s="8"/>
      <c r="G171" s="33"/>
      <c r="J171" s="6"/>
      <c r="K171" s="6"/>
    </row>
    <row r="172" spans="1:11" s="11" customFormat="1" x14ac:dyDescent="0.2">
      <c r="A172" s="6"/>
      <c r="B172" s="6"/>
      <c r="C172" s="6"/>
      <c r="D172" s="6"/>
      <c r="E172" s="6"/>
      <c r="F172" s="8"/>
      <c r="G172" s="33"/>
      <c r="J172" s="6"/>
      <c r="K172" s="6"/>
    </row>
    <row r="173" spans="1:11" s="11" customFormat="1" x14ac:dyDescent="0.2">
      <c r="A173" s="6"/>
      <c r="B173" s="6"/>
      <c r="C173" s="6"/>
      <c r="D173" s="6"/>
      <c r="E173" s="6"/>
      <c r="F173" s="8"/>
      <c r="G173" s="33"/>
      <c r="J173" s="6"/>
      <c r="K173" s="6"/>
    </row>
    <row r="174" spans="1:11" s="11" customFormat="1" x14ac:dyDescent="0.2">
      <c r="A174" s="6"/>
      <c r="B174" s="6"/>
      <c r="C174" s="6"/>
      <c r="D174" s="6"/>
      <c r="E174" s="6"/>
      <c r="F174" s="8"/>
      <c r="G174" s="33"/>
      <c r="J174" s="6"/>
      <c r="K174" s="6"/>
    </row>
    <row r="175" spans="1:11" s="11" customFormat="1" x14ac:dyDescent="0.2">
      <c r="A175" s="6"/>
      <c r="B175" s="6"/>
      <c r="C175" s="6"/>
      <c r="D175" s="6"/>
      <c r="E175" s="6"/>
      <c r="F175" s="8"/>
      <c r="G175" s="33"/>
      <c r="J175" s="6"/>
      <c r="K175" s="6"/>
    </row>
    <row r="176" spans="1:11" s="11" customFormat="1" x14ac:dyDescent="0.2">
      <c r="A176" s="6"/>
      <c r="B176" s="6"/>
      <c r="C176" s="6"/>
      <c r="D176" s="6"/>
      <c r="E176" s="6"/>
      <c r="F176" s="8"/>
      <c r="G176" s="33"/>
      <c r="J176" s="6"/>
      <c r="K176" s="6"/>
    </row>
    <row r="177" spans="1:11" s="11" customFormat="1" x14ac:dyDescent="0.2">
      <c r="A177" s="6"/>
      <c r="B177" s="6"/>
      <c r="C177" s="6"/>
      <c r="D177" s="6"/>
      <c r="E177" s="6"/>
      <c r="F177" s="8"/>
      <c r="G177" s="33"/>
      <c r="J177" s="6"/>
      <c r="K177" s="6"/>
    </row>
    <row r="178" spans="1:11" s="11" customFormat="1" x14ac:dyDescent="0.2">
      <c r="A178" s="6"/>
      <c r="B178" s="6"/>
      <c r="C178" s="6"/>
      <c r="D178" s="6"/>
      <c r="E178" s="6"/>
      <c r="F178" s="8"/>
      <c r="G178" s="33"/>
      <c r="J178" s="6"/>
      <c r="K178" s="6"/>
    </row>
    <row r="179" spans="1:11" s="11" customFormat="1" x14ac:dyDescent="0.2">
      <c r="A179" s="6"/>
      <c r="B179" s="6"/>
      <c r="C179" s="6"/>
      <c r="D179" s="6"/>
      <c r="E179" s="6"/>
      <c r="F179" s="8"/>
      <c r="G179" s="33"/>
      <c r="J179" s="6"/>
      <c r="K179" s="6"/>
    </row>
    <row r="180" spans="1:11" s="11" customFormat="1" x14ac:dyDescent="0.2">
      <c r="A180" s="6"/>
      <c r="B180" s="6"/>
      <c r="C180" s="6"/>
      <c r="D180" s="6"/>
      <c r="E180" s="6"/>
      <c r="F180" s="8"/>
      <c r="G180" s="33"/>
      <c r="J180" s="6"/>
      <c r="K180" s="6"/>
    </row>
    <row r="181" spans="1:11" s="11" customFormat="1" x14ac:dyDescent="0.2">
      <c r="A181" s="6"/>
      <c r="B181" s="6"/>
      <c r="C181" s="6"/>
      <c r="D181" s="6"/>
      <c r="E181" s="6"/>
      <c r="F181" s="8"/>
      <c r="G181" s="33"/>
      <c r="J181" s="6"/>
      <c r="K181" s="6"/>
    </row>
    <row r="182" spans="1:11" s="11" customFormat="1" x14ac:dyDescent="0.2">
      <c r="A182" s="6"/>
      <c r="B182" s="6"/>
      <c r="C182" s="6"/>
      <c r="D182" s="6"/>
      <c r="E182" s="6"/>
      <c r="F182" s="8"/>
      <c r="G182" s="33"/>
      <c r="J182" s="6"/>
      <c r="K182" s="6"/>
    </row>
    <row r="183" spans="1:11" s="11" customFormat="1" x14ac:dyDescent="0.2">
      <c r="A183" s="6"/>
      <c r="B183" s="6"/>
      <c r="C183" s="6"/>
      <c r="D183" s="6"/>
      <c r="E183" s="6"/>
      <c r="F183" s="8"/>
      <c r="G183" s="33"/>
      <c r="J183" s="6"/>
      <c r="K183" s="6"/>
    </row>
    <row r="184" spans="1:11" s="11" customFormat="1" x14ac:dyDescent="0.2">
      <c r="A184" s="6"/>
      <c r="B184" s="6"/>
      <c r="C184" s="6"/>
      <c r="D184" s="6"/>
      <c r="E184" s="6"/>
      <c r="F184" s="8"/>
      <c r="G184" s="33"/>
      <c r="J184" s="6"/>
      <c r="K184" s="6"/>
    </row>
    <row r="185" spans="1:11" s="11" customFormat="1" x14ac:dyDescent="0.2">
      <c r="A185" s="6"/>
      <c r="B185" s="6"/>
      <c r="C185" s="6"/>
      <c r="D185" s="6"/>
      <c r="E185" s="6"/>
      <c r="F185" s="8"/>
      <c r="G185" s="33"/>
      <c r="J185" s="6"/>
      <c r="K185" s="6"/>
    </row>
    <row r="186" spans="1:11" s="11" customFormat="1" x14ac:dyDescent="0.2">
      <c r="A186" s="6"/>
      <c r="B186" s="6"/>
      <c r="C186" s="6"/>
      <c r="D186" s="6"/>
      <c r="E186" s="6"/>
      <c r="F186" s="8"/>
      <c r="G186" s="33"/>
      <c r="J186" s="6"/>
      <c r="K186" s="6"/>
    </row>
    <row r="187" spans="1:11" s="11" customFormat="1" x14ac:dyDescent="0.2">
      <c r="A187" s="6"/>
      <c r="B187" s="6"/>
      <c r="C187" s="6"/>
      <c r="D187" s="6"/>
      <c r="E187" s="6"/>
      <c r="F187" s="8"/>
      <c r="G187" s="33"/>
      <c r="J187" s="6"/>
      <c r="K187" s="6"/>
    </row>
    <row r="188" spans="1:11" s="11" customFormat="1" x14ac:dyDescent="0.2">
      <c r="A188" s="6"/>
      <c r="B188" s="6"/>
      <c r="C188" s="6"/>
      <c r="D188" s="6"/>
      <c r="E188" s="6"/>
      <c r="F188" s="8"/>
      <c r="G188" s="33"/>
      <c r="J188" s="6"/>
      <c r="K188" s="6"/>
    </row>
    <row r="189" spans="1:11" s="11" customFormat="1" x14ac:dyDescent="0.2">
      <c r="A189" s="6"/>
      <c r="B189" s="6"/>
      <c r="C189" s="6"/>
      <c r="D189" s="6"/>
      <c r="E189" s="6"/>
      <c r="F189" s="8"/>
      <c r="G189" s="33"/>
      <c r="J189" s="6"/>
      <c r="K189" s="6"/>
    </row>
    <row r="190" spans="1:11" s="11" customFormat="1" x14ac:dyDescent="0.2">
      <c r="A190" s="6"/>
      <c r="B190" s="6"/>
      <c r="C190" s="6"/>
      <c r="D190" s="6"/>
      <c r="E190" s="6"/>
      <c r="F190" s="8"/>
      <c r="G190" s="33"/>
      <c r="J190" s="6"/>
      <c r="K190" s="6"/>
    </row>
    <row r="191" spans="1:11" s="11" customFormat="1" x14ac:dyDescent="0.2">
      <c r="A191" s="6"/>
      <c r="B191" s="6"/>
      <c r="C191" s="6"/>
      <c r="D191" s="6"/>
      <c r="E191" s="6"/>
      <c r="F191" s="8"/>
      <c r="G191" s="33"/>
      <c r="J191" s="6"/>
      <c r="K191" s="6"/>
    </row>
    <row r="192" spans="1:11" s="11" customFormat="1" x14ac:dyDescent="0.2">
      <c r="A192" s="6"/>
      <c r="B192" s="6"/>
      <c r="C192" s="6"/>
      <c r="D192" s="6"/>
      <c r="E192" s="6"/>
      <c r="F192" s="8"/>
      <c r="G192" s="33"/>
      <c r="J192" s="6"/>
      <c r="K192" s="6"/>
    </row>
    <row r="193" spans="1:11" s="11" customFormat="1" x14ac:dyDescent="0.2">
      <c r="A193" s="6"/>
      <c r="B193" s="6"/>
      <c r="C193" s="6"/>
      <c r="D193" s="6"/>
      <c r="E193" s="6"/>
      <c r="F193" s="8"/>
      <c r="G193" s="33"/>
      <c r="J193" s="6"/>
      <c r="K193" s="6"/>
    </row>
    <row r="194" spans="1:11" s="11" customFormat="1" x14ac:dyDescent="0.2">
      <c r="A194" s="6"/>
      <c r="B194" s="6"/>
      <c r="C194" s="6"/>
      <c r="D194" s="6"/>
      <c r="E194" s="6"/>
      <c r="F194" s="8"/>
      <c r="G194" s="33"/>
      <c r="J194" s="6"/>
      <c r="K194" s="6"/>
    </row>
    <row r="195" spans="1:11" s="11" customFormat="1" x14ac:dyDescent="0.2">
      <c r="A195" s="6"/>
      <c r="B195" s="6"/>
      <c r="C195" s="6"/>
      <c r="D195" s="6"/>
      <c r="E195" s="6"/>
      <c r="F195" s="8"/>
      <c r="G195" s="33"/>
      <c r="J195" s="6"/>
      <c r="K195" s="6"/>
    </row>
    <row r="196" spans="1:11" s="11" customFormat="1" x14ac:dyDescent="0.2">
      <c r="A196" s="6"/>
      <c r="B196" s="6"/>
      <c r="C196" s="6"/>
      <c r="D196" s="6"/>
      <c r="E196" s="6"/>
      <c r="F196" s="8"/>
      <c r="G196" s="33"/>
      <c r="J196" s="6"/>
      <c r="K196" s="6"/>
    </row>
    <row r="197" spans="1:11" s="11" customFormat="1" x14ac:dyDescent="0.2">
      <c r="A197" s="6"/>
      <c r="B197" s="6"/>
      <c r="C197" s="6"/>
      <c r="D197" s="6"/>
      <c r="E197" s="6"/>
      <c r="F197" s="8"/>
      <c r="G197" s="33"/>
      <c r="J197" s="6"/>
      <c r="K197" s="6"/>
    </row>
    <row r="198" spans="1:11" s="11" customFormat="1" x14ac:dyDescent="0.2">
      <c r="A198" s="6"/>
      <c r="B198" s="6"/>
      <c r="C198" s="6"/>
      <c r="D198" s="6"/>
      <c r="E198" s="6"/>
      <c r="F198" s="8"/>
      <c r="G198" s="33"/>
      <c r="J198" s="6"/>
      <c r="K198" s="6"/>
    </row>
    <row r="199" spans="1:11" s="11" customFormat="1" x14ac:dyDescent="0.2">
      <c r="A199" s="6"/>
      <c r="B199" s="6"/>
      <c r="C199" s="6"/>
      <c r="D199" s="6"/>
      <c r="E199" s="6"/>
      <c r="F199" s="8"/>
      <c r="G199" s="33"/>
      <c r="J199" s="6"/>
      <c r="K199" s="6"/>
    </row>
    <row r="200" spans="1:11" s="11" customFormat="1" x14ac:dyDescent="0.2">
      <c r="A200" s="6"/>
      <c r="B200" s="6"/>
      <c r="C200" s="6"/>
      <c r="D200" s="6"/>
      <c r="E200" s="6"/>
      <c r="F200" s="8"/>
      <c r="G200" s="33"/>
      <c r="J200" s="6"/>
      <c r="K200" s="6"/>
    </row>
    <row r="201" spans="1:11" s="11" customFormat="1" x14ac:dyDescent="0.2">
      <c r="A201" s="6"/>
      <c r="B201" s="6"/>
      <c r="C201" s="6"/>
      <c r="D201" s="6"/>
      <c r="E201" s="6"/>
      <c r="F201" s="8"/>
      <c r="G201" s="33"/>
      <c r="J201" s="6"/>
      <c r="K201" s="6"/>
    </row>
    <row r="202" spans="1:11" s="11" customFormat="1" x14ac:dyDescent="0.2">
      <c r="A202" s="6"/>
      <c r="B202" s="6"/>
      <c r="C202" s="6"/>
      <c r="D202" s="6"/>
      <c r="E202" s="6"/>
      <c r="F202" s="8"/>
      <c r="G202" s="33"/>
      <c r="J202" s="6"/>
      <c r="K202" s="6"/>
    </row>
    <row r="203" spans="1:11" s="11" customFormat="1" x14ac:dyDescent="0.2">
      <c r="A203" s="6"/>
      <c r="B203" s="6"/>
      <c r="C203" s="6"/>
      <c r="D203" s="6"/>
      <c r="E203" s="6"/>
      <c r="F203" s="8"/>
      <c r="G203" s="33"/>
      <c r="J203" s="6"/>
      <c r="K203" s="6"/>
    </row>
    <row r="204" spans="1:11" s="11" customFormat="1" x14ac:dyDescent="0.2">
      <c r="A204" s="6"/>
      <c r="B204" s="6"/>
      <c r="C204" s="6"/>
      <c r="D204" s="6"/>
      <c r="E204" s="6"/>
      <c r="F204" s="8"/>
      <c r="G204" s="33"/>
      <c r="J204" s="6"/>
      <c r="K204" s="6"/>
    </row>
    <row r="205" spans="1:11" s="11" customFormat="1" x14ac:dyDescent="0.2">
      <c r="A205" s="6"/>
      <c r="B205" s="6"/>
      <c r="C205" s="6"/>
      <c r="D205" s="6"/>
      <c r="E205" s="6"/>
      <c r="F205" s="8"/>
      <c r="G205" s="33"/>
      <c r="J205" s="6"/>
      <c r="K205" s="6"/>
    </row>
    <row r="206" spans="1:11" s="11" customFormat="1" x14ac:dyDescent="0.2">
      <c r="A206" s="6"/>
      <c r="B206" s="6"/>
      <c r="C206" s="6"/>
      <c r="D206" s="6"/>
      <c r="E206" s="6"/>
      <c r="F206" s="8"/>
      <c r="G206" s="33"/>
      <c r="J206" s="6"/>
      <c r="K206" s="6"/>
    </row>
    <row r="207" spans="1:11" s="11" customFormat="1" x14ac:dyDescent="0.2">
      <c r="A207" s="6"/>
      <c r="B207" s="6"/>
      <c r="C207" s="6"/>
      <c r="D207" s="6"/>
      <c r="E207" s="6"/>
      <c r="F207" s="8"/>
      <c r="G207" s="33"/>
      <c r="J207" s="6"/>
      <c r="K207" s="6"/>
    </row>
    <row r="208" spans="1:11" s="11" customFormat="1" x14ac:dyDescent="0.2">
      <c r="A208" s="6"/>
      <c r="B208" s="6"/>
      <c r="C208" s="6"/>
      <c r="D208" s="6"/>
      <c r="E208" s="6"/>
      <c r="F208" s="8"/>
      <c r="G208" s="33"/>
      <c r="J208" s="6"/>
      <c r="K208" s="6"/>
    </row>
    <row r="209" spans="1:11" s="11" customFormat="1" x14ac:dyDescent="0.2">
      <c r="A209" s="6"/>
      <c r="B209" s="6"/>
      <c r="C209" s="6"/>
      <c r="D209" s="6"/>
      <c r="E209" s="6"/>
      <c r="F209" s="8"/>
      <c r="G209" s="33"/>
      <c r="J209" s="6"/>
      <c r="K209" s="6"/>
    </row>
    <row r="210" spans="1:11" s="11" customFormat="1" x14ac:dyDescent="0.2">
      <c r="A210" s="6"/>
      <c r="B210" s="6"/>
      <c r="C210" s="6"/>
      <c r="D210" s="6"/>
      <c r="E210" s="6"/>
      <c r="F210" s="8"/>
      <c r="G210" s="33"/>
      <c r="J210" s="6"/>
      <c r="K210" s="6"/>
    </row>
    <row r="211" spans="1:11" s="11" customFormat="1" x14ac:dyDescent="0.2">
      <c r="A211" s="6"/>
      <c r="B211" s="6"/>
      <c r="C211" s="6"/>
      <c r="D211" s="6"/>
      <c r="E211" s="6"/>
      <c r="F211" s="8"/>
      <c r="G211" s="33"/>
      <c r="J211" s="6"/>
      <c r="K211" s="6"/>
    </row>
    <row r="212" spans="1:11" s="11" customFormat="1" x14ac:dyDescent="0.2">
      <c r="A212" s="6"/>
      <c r="B212" s="6"/>
      <c r="C212" s="6"/>
      <c r="D212" s="6"/>
      <c r="E212" s="6"/>
      <c r="F212" s="8"/>
      <c r="G212" s="33"/>
      <c r="J212" s="6"/>
      <c r="K212" s="6"/>
    </row>
    <row r="213" spans="1:11" s="11" customFormat="1" x14ac:dyDescent="0.2">
      <c r="A213" s="6"/>
      <c r="B213" s="6"/>
      <c r="C213" s="6"/>
      <c r="D213" s="6"/>
      <c r="E213" s="6"/>
      <c r="F213" s="8"/>
      <c r="G213" s="33"/>
      <c r="J213" s="6"/>
      <c r="K213" s="6"/>
    </row>
    <row r="214" spans="1:11" s="11" customFormat="1" x14ac:dyDescent="0.2">
      <c r="A214" s="6"/>
      <c r="B214" s="6"/>
      <c r="C214" s="6"/>
      <c r="D214" s="6"/>
      <c r="E214" s="6"/>
      <c r="F214" s="8"/>
      <c r="G214" s="33"/>
      <c r="J214" s="6"/>
      <c r="K214" s="6"/>
    </row>
    <row r="215" spans="1:11" s="11" customFormat="1" x14ac:dyDescent="0.2">
      <c r="A215" s="6"/>
      <c r="B215" s="6"/>
      <c r="C215" s="6"/>
      <c r="D215" s="6"/>
      <c r="E215" s="6"/>
      <c r="F215" s="8"/>
      <c r="G215" s="33"/>
      <c r="J215" s="6"/>
      <c r="K215" s="6"/>
    </row>
    <row r="216" spans="1:11" s="11" customFormat="1" x14ac:dyDescent="0.2">
      <c r="A216" s="6"/>
      <c r="B216" s="6"/>
      <c r="C216" s="6"/>
      <c r="D216" s="6"/>
      <c r="E216" s="6"/>
      <c r="F216" s="8"/>
      <c r="G216" s="33"/>
      <c r="J216" s="6"/>
      <c r="K216" s="6"/>
    </row>
    <row r="217" spans="1:11" s="11" customFormat="1" x14ac:dyDescent="0.2">
      <c r="A217" s="6"/>
      <c r="B217" s="6"/>
      <c r="C217" s="6"/>
      <c r="D217" s="6"/>
      <c r="E217" s="6"/>
      <c r="F217" s="8"/>
      <c r="G217" s="33"/>
      <c r="J217" s="6"/>
      <c r="K217" s="6"/>
    </row>
    <row r="218" spans="1:11" s="11" customFormat="1" x14ac:dyDescent="0.2">
      <c r="A218" s="6"/>
      <c r="B218" s="6"/>
      <c r="C218" s="6"/>
      <c r="D218" s="6"/>
      <c r="E218" s="6"/>
      <c r="F218" s="8"/>
      <c r="G218" s="33"/>
      <c r="J218" s="6"/>
      <c r="K218" s="6"/>
    </row>
    <row r="219" spans="1:11" s="11" customFormat="1" x14ac:dyDescent="0.2">
      <c r="A219" s="6"/>
      <c r="B219" s="6"/>
      <c r="C219" s="6"/>
      <c r="D219" s="6"/>
      <c r="E219" s="6"/>
      <c r="F219" s="8"/>
      <c r="G219" s="33"/>
      <c r="J219" s="6"/>
      <c r="K219" s="6"/>
    </row>
    <row r="220" spans="1:11" s="11" customFormat="1" x14ac:dyDescent="0.2">
      <c r="A220" s="6"/>
      <c r="B220" s="6"/>
      <c r="C220" s="6"/>
      <c r="D220" s="6"/>
      <c r="E220" s="6"/>
      <c r="F220" s="8"/>
      <c r="G220" s="33"/>
      <c r="J220" s="6"/>
      <c r="K220" s="6"/>
    </row>
    <row r="221" spans="1:11" s="11" customFormat="1" x14ac:dyDescent="0.2">
      <c r="A221" s="6"/>
      <c r="B221" s="6"/>
      <c r="C221" s="6"/>
      <c r="D221" s="6"/>
      <c r="E221" s="6"/>
      <c r="F221" s="8"/>
      <c r="G221" s="33"/>
      <c r="J221" s="6"/>
      <c r="K221" s="6"/>
    </row>
    <row r="222" spans="1:11" s="11" customFormat="1" x14ac:dyDescent="0.2">
      <c r="A222" s="6"/>
      <c r="B222" s="6"/>
      <c r="C222" s="6"/>
      <c r="D222" s="6"/>
      <c r="E222" s="6"/>
      <c r="F222" s="8"/>
      <c r="G222" s="33"/>
      <c r="J222" s="6"/>
      <c r="K222" s="6"/>
    </row>
    <row r="223" spans="1:11" s="11" customFormat="1" x14ac:dyDescent="0.2">
      <c r="A223" s="6"/>
      <c r="B223" s="6"/>
      <c r="C223" s="6"/>
      <c r="D223" s="6"/>
      <c r="E223" s="6"/>
      <c r="F223" s="8"/>
      <c r="G223" s="33"/>
      <c r="J223" s="6"/>
      <c r="K223" s="6"/>
    </row>
    <row r="224" spans="1:11" s="11" customFormat="1" x14ac:dyDescent="0.2">
      <c r="A224" s="6"/>
      <c r="B224" s="6"/>
      <c r="C224" s="6"/>
      <c r="D224" s="6"/>
      <c r="E224" s="6"/>
      <c r="F224" s="8"/>
      <c r="G224" s="33"/>
      <c r="J224" s="6"/>
      <c r="K224" s="6"/>
    </row>
    <row r="225" spans="1:11" s="11" customFormat="1" x14ac:dyDescent="0.2">
      <c r="A225" s="6"/>
      <c r="B225" s="6"/>
      <c r="C225" s="6"/>
      <c r="D225" s="6"/>
      <c r="E225" s="6"/>
      <c r="F225" s="8"/>
      <c r="G225" s="33"/>
      <c r="J225" s="6"/>
      <c r="K225" s="6"/>
    </row>
    <row r="226" spans="1:11" s="11" customFormat="1" x14ac:dyDescent="0.2">
      <c r="A226" s="6"/>
      <c r="B226" s="6"/>
      <c r="C226" s="6"/>
      <c r="D226" s="6"/>
      <c r="E226" s="6"/>
      <c r="F226" s="8"/>
      <c r="G226" s="33"/>
      <c r="J226" s="6"/>
      <c r="K226" s="6"/>
    </row>
    <row r="227" spans="1:11" s="11" customFormat="1" x14ac:dyDescent="0.2">
      <c r="A227" s="6"/>
      <c r="B227" s="6"/>
      <c r="C227" s="6"/>
      <c r="D227" s="6"/>
      <c r="E227" s="6"/>
      <c r="F227" s="8"/>
      <c r="G227" s="33"/>
      <c r="J227" s="6"/>
      <c r="K227" s="6"/>
    </row>
    <row r="228" spans="1:11" s="11" customFormat="1" x14ac:dyDescent="0.2">
      <c r="A228" s="6"/>
      <c r="B228" s="6"/>
      <c r="C228" s="6"/>
      <c r="D228" s="6"/>
      <c r="E228" s="6"/>
      <c r="F228" s="8"/>
      <c r="G228" s="33"/>
      <c r="J228" s="6"/>
      <c r="K228" s="6"/>
    </row>
    <row r="229" spans="1:11" s="11" customFormat="1" x14ac:dyDescent="0.2">
      <c r="A229" s="6"/>
      <c r="B229" s="6"/>
      <c r="C229" s="6"/>
      <c r="D229" s="6"/>
      <c r="E229" s="6"/>
      <c r="F229" s="8"/>
      <c r="G229" s="33"/>
      <c r="J229" s="6"/>
      <c r="K229" s="6"/>
    </row>
    <row r="230" spans="1:11" s="11" customFormat="1" x14ac:dyDescent="0.2">
      <c r="A230" s="6"/>
      <c r="B230" s="6"/>
      <c r="C230" s="6"/>
      <c r="D230" s="6"/>
      <c r="E230" s="6"/>
      <c r="F230" s="8"/>
      <c r="G230" s="33"/>
      <c r="J230" s="6"/>
      <c r="K230" s="6"/>
    </row>
    <row r="231" spans="1:11" s="11" customFormat="1" x14ac:dyDescent="0.2">
      <c r="A231" s="6"/>
      <c r="B231" s="6"/>
      <c r="C231" s="6"/>
      <c r="D231" s="6"/>
      <c r="E231" s="6"/>
      <c r="F231" s="8"/>
      <c r="G231" s="33"/>
      <c r="J231" s="6"/>
      <c r="K231" s="6"/>
    </row>
    <row r="232" spans="1:11" s="11" customFormat="1" x14ac:dyDescent="0.2">
      <c r="A232" s="6"/>
      <c r="B232" s="6"/>
      <c r="C232" s="6"/>
      <c r="D232" s="6"/>
      <c r="E232" s="6"/>
      <c r="F232" s="8"/>
      <c r="G232" s="33"/>
      <c r="J232" s="6"/>
      <c r="K232" s="6"/>
    </row>
    <row r="233" spans="1:11" s="11" customFormat="1" x14ac:dyDescent="0.2">
      <c r="A233" s="6"/>
      <c r="B233" s="6"/>
      <c r="C233" s="6"/>
      <c r="D233" s="6"/>
      <c r="E233" s="6"/>
      <c r="F233" s="8"/>
      <c r="G233" s="33"/>
      <c r="J233" s="6"/>
      <c r="K233" s="6"/>
    </row>
    <row r="234" spans="1:11" s="11" customFormat="1" x14ac:dyDescent="0.2">
      <c r="A234" s="6"/>
      <c r="B234" s="6"/>
      <c r="C234" s="6"/>
      <c r="D234" s="6"/>
      <c r="E234" s="6"/>
      <c r="F234" s="8"/>
      <c r="G234" s="33"/>
      <c r="J234" s="6"/>
      <c r="K234" s="6"/>
    </row>
    <row r="235" spans="1:11" s="11" customFormat="1" x14ac:dyDescent="0.2">
      <c r="A235" s="6"/>
      <c r="B235" s="6"/>
      <c r="C235" s="6"/>
      <c r="D235" s="6"/>
      <c r="E235" s="6"/>
      <c r="F235" s="8"/>
      <c r="G235" s="33"/>
      <c r="J235" s="6"/>
      <c r="K235" s="6"/>
    </row>
    <row r="236" spans="1:11" s="11" customFormat="1" x14ac:dyDescent="0.2">
      <c r="A236" s="6"/>
      <c r="B236" s="6"/>
      <c r="C236" s="6"/>
      <c r="D236" s="6"/>
      <c r="E236" s="6"/>
      <c r="F236" s="8"/>
      <c r="G236" s="33"/>
      <c r="J236" s="6"/>
      <c r="K236" s="6"/>
    </row>
    <row r="237" spans="1:11" s="11" customFormat="1" x14ac:dyDescent="0.2">
      <c r="A237" s="6"/>
      <c r="B237" s="6"/>
      <c r="C237" s="6"/>
      <c r="D237" s="6"/>
      <c r="E237" s="6"/>
      <c r="F237" s="8"/>
      <c r="G237" s="33"/>
      <c r="J237" s="6"/>
      <c r="K237" s="6"/>
    </row>
    <row r="238" spans="1:11" s="11" customFormat="1" x14ac:dyDescent="0.2">
      <c r="A238" s="6"/>
      <c r="B238" s="6"/>
      <c r="C238" s="6"/>
      <c r="D238" s="6"/>
      <c r="E238" s="6"/>
      <c r="F238" s="8"/>
      <c r="G238" s="33"/>
      <c r="J238" s="6"/>
      <c r="K238" s="6"/>
    </row>
    <row r="239" spans="1:11" s="11" customFormat="1" x14ac:dyDescent="0.2">
      <c r="A239" s="6"/>
      <c r="B239" s="6"/>
      <c r="C239" s="6"/>
      <c r="D239" s="6"/>
      <c r="E239" s="6"/>
      <c r="F239" s="8"/>
      <c r="G239" s="33"/>
      <c r="J239" s="6"/>
      <c r="K239" s="6"/>
    </row>
    <row r="240" spans="1:11" s="11" customFormat="1" x14ac:dyDescent="0.2">
      <c r="A240" s="6"/>
      <c r="B240" s="6"/>
      <c r="C240" s="6"/>
      <c r="D240" s="6"/>
      <c r="E240" s="6"/>
      <c r="F240" s="8"/>
      <c r="G240" s="33"/>
      <c r="J240" s="6"/>
      <c r="K240" s="6"/>
    </row>
    <row r="241" spans="1:11" s="11" customFormat="1" x14ac:dyDescent="0.2">
      <c r="A241" s="6"/>
      <c r="B241" s="6"/>
      <c r="C241" s="6"/>
      <c r="D241" s="6"/>
      <c r="E241" s="6"/>
      <c r="F241" s="8"/>
      <c r="G241" s="33"/>
      <c r="J241" s="6"/>
      <c r="K241" s="6"/>
    </row>
    <row r="242" spans="1:11" s="11" customFormat="1" x14ac:dyDescent="0.2">
      <c r="A242" s="6"/>
      <c r="B242" s="6"/>
      <c r="C242" s="6"/>
      <c r="D242" s="6"/>
      <c r="E242" s="6"/>
      <c r="F242" s="8"/>
      <c r="G242" s="33"/>
      <c r="J242" s="6"/>
      <c r="K242" s="6"/>
    </row>
    <row r="243" spans="1:11" s="11" customFormat="1" x14ac:dyDescent="0.2">
      <c r="A243" s="6"/>
      <c r="B243" s="6"/>
      <c r="C243" s="6"/>
      <c r="D243" s="6"/>
      <c r="E243" s="6"/>
      <c r="F243" s="8"/>
      <c r="G243" s="33"/>
      <c r="J243" s="6"/>
      <c r="K243" s="6"/>
    </row>
    <row r="244" spans="1:11" s="11" customFormat="1" x14ac:dyDescent="0.2">
      <c r="A244" s="6"/>
      <c r="B244" s="6"/>
      <c r="C244" s="6"/>
      <c r="D244" s="6"/>
      <c r="E244" s="6"/>
      <c r="F244" s="8"/>
      <c r="G244" s="33"/>
      <c r="J244" s="6"/>
      <c r="K244" s="6"/>
    </row>
    <row r="245" spans="1:11" s="11" customFormat="1" x14ac:dyDescent="0.2">
      <c r="A245" s="6"/>
      <c r="B245" s="6"/>
      <c r="C245" s="6"/>
      <c r="D245" s="6"/>
      <c r="E245" s="6"/>
      <c r="F245" s="8"/>
      <c r="G245" s="33"/>
      <c r="J245" s="6"/>
      <c r="K245" s="6"/>
    </row>
    <row r="246" spans="1:11" s="11" customFormat="1" x14ac:dyDescent="0.2">
      <c r="A246" s="6"/>
      <c r="B246" s="6"/>
      <c r="C246" s="6"/>
      <c r="D246" s="6"/>
      <c r="E246" s="6"/>
      <c r="F246" s="8"/>
      <c r="G246" s="33"/>
      <c r="J246" s="6"/>
      <c r="K246" s="6"/>
    </row>
    <row r="247" spans="1:11" s="11" customFormat="1" x14ac:dyDescent="0.2">
      <c r="A247" s="6"/>
      <c r="B247" s="6"/>
      <c r="C247" s="6"/>
      <c r="D247" s="6"/>
      <c r="E247" s="6"/>
      <c r="F247" s="8"/>
      <c r="G247" s="33"/>
      <c r="J247" s="6"/>
      <c r="K247" s="6"/>
    </row>
  </sheetData>
  <mergeCells count="2">
    <mergeCell ref="B1:C1"/>
    <mergeCell ref="B102:I102"/>
  </mergeCells>
  <conditionalFormatting sqref="G1:G3 G5:G101">
    <cfRule type="cellIs" dxfId="1" priority="2" stopIfTrue="1" operator="between">
      <formula>0.009</formula>
      <formula>-0.009</formula>
    </cfRule>
  </conditionalFormatting>
  <conditionalFormatting sqref="G103:G145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4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44" min="1" max="8" man="1"/>
  </rowBreaks>
  <colBreaks count="1" manualBreakCount="1">
    <brk id="9" max="2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JBLF</vt:lpstr>
      <vt:lpstr>JBLF!Print_Area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