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9C147819-1131-49AE-8E84-1EFF2EF7FDFF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SHORT" sheetId="9" r:id="rId1"/>
  </sheets>
  <definedNames>
    <definedName name="_xlnm.Print_Area" localSheetId="0">JBSHORT!$B$1:$I$91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9" l="1"/>
  <c r="F19" i="9"/>
  <c r="G13" i="9"/>
  <c r="G23" i="9" s="1"/>
  <c r="F13" i="9"/>
  <c r="F23" i="9" l="1"/>
  <c r="F14" i="9"/>
  <c r="G14" i="9"/>
</calcChain>
</file>

<file path=xl/sharedStrings.xml><?xml version="1.0" encoding="utf-8"?>
<sst xmlns="http://schemas.openxmlformats.org/spreadsheetml/2006/main" count="64" uniqueCount="58">
  <si>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</si>
  <si>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</si>
  <si>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</si>
  <si>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</si>
  <si>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</si>
  <si>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</si>
  <si>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</si>
  <si>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Short Duration Fund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</si>
  <si>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</si>
  <si>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</si>
  <si>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</si>
  <si>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</si>
  <si>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</si>
  <si>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</si>
  <si>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</si>
  <si>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Yield to Call ^</t>
  </si>
  <si>
    <t>Money Market Instruments</t>
  </si>
  <si>
    <t>Certificate of Deposit</t>
  </si>
  <si>
    <t>Small Industries Development Bank of India (26-Feb-2027) **</t>
  </si>
  <si>
    <t>INE556F16CC2</t>
  </si>
  <si>
    <t>CARE A1+</t>
  </si>
  <si>
    <t>ICRA A1+</t>
  </si>
  <si>
    <t>CRISIL A1+</t>
  </si>
  <si>
    <t>Canara Bank (25-Mar-2027) **</t>
  </si>
  <si>
    <t>INE476A16I26</t>
  </si>
  <si>
    <t>HDFC Bank Ltd (05-Mar-2027) **</t>
  </si>
  <si>
    <t>INE040A16IU7</t>
  </si>
  <si>
    <t>Canara Bank (12-Mar-2027) **</t>
  </si>
  <si>
    <t>INE476A16H92</t>
  </si>
  <si>
    <t>National Bank For Agriculture &amp; Rural Development (02-Mar-2027) **</t>
  </si>
  <si>
    <t>INE261F16AM2</t>
  </si>
  <si>
    <t>National Bank For Agriculture &amp; Rural Development (10-Mar-2027) **</t>
  </si>
  <si>
    <t>INE261F16AO8</t>
  </si>
  <si>
    <t>Government Securities</t>
  </si>
  <si>
    <t>SOVEREIGN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</si>
  <si>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</si>
  <si>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</si>
  <si>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</si>
  <si>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6.48% GOI 2035 (06-OCT-2035)</t>
  </si>
  <si>
    <t>IN0020250091</t>
  </si>
  <si>
    <t>6.68% GOI 2033 (27-JAN-2033)</t>
  </si>
  <si>
    <t>IN0020250133</t>
  </si>
  <si>
    <t>6.36% GOI 2031 (16-FEB-2031)</t>
  </si>
  <si>
    <t>IN0020250141</t>
  </si>
  <si>
    <t>Benchmark Risk-O-Meter</t>
  </si>
  <si>
    <t>Benchmark Name - NIFTY Short Duration Debt Index A-II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</si>
  <si>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</si>
  <si>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</si>
  <si>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</si>
  <si>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</si>
  <si>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</si>
  <si>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</si>
  <si>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As on May 29, 2026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</si>
  <si>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</si>
  <si>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</si>
  <si>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(7) Repo transactions in corporate debt securities as on May 31, 2026 is Rs. Nil.</t>
  </si>
  <si>
    <t>(3) There was no distribution (of income and capital) during the month ended May 31, 2026.</t>
  </si>
  <si>
    <t>(6) The average maturity period of the portfolio is 1.42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</si>
</sst>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166" fontId="6" fillId="2" borderId="0" xfId="0" applyNumberFormat="1" applyFont="1" applyFill="1"/>
    <xf numFmtId="4" fontId="6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6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1682750</xdr:colOff>
      <xdr:row>45</xdr:row>
      <xdr:rowOff>31750</xdr:rowOff>
    </xdr:from>
    <xdr:to>
      <xdr:col>5</xdr:col>
      <xdr:colOff>247650</xdr:colOff>
      <xdr:row>65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0DAFB8-2CFD-4B0E-9615-50F8B03C0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4400" y="7835900"/>
          <a:ext cx="5295900" cy="252730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71</xdr:row>
      <xdr:rowOff>57150</xdr:rowOff>
    </xdr:from>
    <xdr:to>
      <xdr:col>5</xdr:col>
      <xdr:colOff>139700</xdr:colOff>
      <xdr:row>88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6839A8-6811-43D3-A710-FC5C2704E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50" y="10083800"/>
          <a:ext cx="51181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1DBA-BD20-4816-A796-AC89534AE2CF}">
  <dimension ref="A1:J91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5.8164062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64" t="s">
        <v>7</v>
      </c>
      <c r="C1" s="65"/>
      <c r="D1" s="13"/>
      <c r="E1" s="6"/>
      <c r="F1" s="7"/>
      <c r="G1" s="16"/>
      <c r="H1" s="15"/>
    </row>
    <row r="2" spans="1:10" s="1" customFormat="1" ht="14.5" x14ac:dyDescent="0.35">
      <c r="A2" s="53" t="s">
        <v>46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9" t="s">
        <v>4</v>
      </c>
      <c r="C4" s="19" t="s">
        <v>5</v>
      </c>
      <c r="D4" s="20" t="s">
        <v>35</v>
      </c>
      <c r="E4" s="21" t="s">
        <v>0</v>
      </c>
      <c r="F4" s="22" t="s">
        <v>1</v>
      </c>
      <c r="G4" s="23" t="s">
        <v>2</v>
      </c>
      <c r="H4" s="24" t="s">
        <v>3</v>
      </c>
      <c r="I4" s="22" t="s">
        <v>15</v>
      </c>
      <c r="J4" s="12"/>
    </row>
    <row r="5" spans="1:10" ht="10.5" x14ac:dyDescent="0.25">
      <c r="B5" s="25" t="s">
        <v>16</v>
      </c>
      <c r="C5" s="26"/>
      <c r="D5" s="26"/>
      <c r="E5" s="27"/>
      <c r="F5" s="28"/>
      <c r="G5" s="29"/>
      <c r="H5" s="30"/>
      <c r="I5" s="26"/>
    </row>
    <row r="6" spans="1:10" ht="10.5" x14ac:dyDescent="0.25">
      <c r="B6" s="25" t="s">
        <v>17</v>
      </c>
      <c r="C6" s="26"/>
      <c r="D6" s="26"/>
      <c r="E6" s="27"/>
      <c r="F6" s="28"/>
      <c r="G6" s="29"/>
      <c r="H6" s="30"/>
      <c r="I6" s="26"/>
    </row>
    <row r="7" spans="1:10" x14ac:dyDescent="0.2">
      <c r="B7" s="26" t="s">
        <v>18</v>
      </c>
      <c r="C7" s="26" t="s">
        <v>19</v>
      </c>
      <c r="D7" s="26" t="s">
        <v>20</v>
      </c>
      <c r="E7" s="31">
        <v>480</v>
      </c>
      <c r="F7" s="28">
        <v>2266.7015999999999</v>
      </c>
      <c r="G7" s="29">
        <v>15.8174366603522</v>
      </c>
      <c r="H7" s="32">
        <v>7.9499E-2</v>
      </c>
      <c r="I7" s="50"/>
    </row>
    <row r="8" spans="1:10" x14ac:dyDescent="0.2">
      <c r="B8" s="26" t="s">
        <v>25</v>
      </c>
      <c r="C8" s="26" t="s">
        <v>26</v>
      </c>
      <c r="D8" s="26" t="s">
        <v>22</v>
      </c>
      <c r="E8" s="31">
        <v>360</v>
      </c>
      <c r="F8" s="28">
        <v>1698.4926</v>
      </c>
      <c r="G8" s="29">
        <v>11.8523757686397</v>
      </c>
      <c r="H8" s="32">
        <v>7.8750000000000001E-2</v>
      </c>
      <c r="I8" s="50"/>
    </row>
    <row r="9" spans="1:10" x14ac:dyDescent="0.2">
      <c r="B9" s="26" t="s">
        <v>23</v>
      </c>
      <c r="C9" s="26" t="s">
        <v>24</v>
      </c>
      <c r="D9" s="26" t="s">
        <v>21</v>
      </c>
      <c r="E9" s="31">
        <v>300</v>
      </c>
      <c r="F9" s="28">
        <v>1410.5174999999999</v>
      </c>
      <c r="G9" s="29">
        <v>9.8428356050784398</v>
      </c>
      <c r="H9" s="32">
        <v>7.7964000000000006E-2</v>
      </c>
      <c r="I9" s="50"/>
    </row>
    <row r="10" spans="1:10" x14ac:dyDescent="0.2">
      <c r="B10" s="26" t="s">
        <v>29</v>
      </c>
      <c r="C10" s="26" t="s">
        <v>30</v>
      </c>
      <c r="D10" s="26" t="s">
        <v>22</v>
      </c>
      <c r="E10" s="31">
        <v>200</v>
      </c>
      <c r="F10" s="28">
        <v>944.351</v>
      </c>
      <c r="G10" s="29">
        <v>6.5898449657600402</v>
      </c>
      <c r="H10" s="32">
        <v>7.8498999999999999E-2</v>
      </c>
      <c r="I10" s="50"/>
    </row>
    <row r="11" spans="1:10" x14ac:dyDescent="0.2">
      <c r="B11" s="26" t="s">
        <v>31</v>
      </c>
      <c r="C11" s="26" t="s">
        <v>32</v>
      </c>
      <c r="D11" s="26" t="s">
        <v>22</v>
      </c>
      <c r="E11" s="31">
        <v>160</v>
      </c>
      <c r="F11" s="28">
        <v>754.25519999999995</v>
      </c>
      <c r="G11" s="29">
        <v>5.2633235233703699</v>
      </c>
      <c r="H11" s="32">
        <v>7.85E-2</v>
      </c>
      <c r="I11" s="50"/>
    </row>
    <row r="12" spans="1:10" x14ac:dyDescent="0.2">
      <c r="B12" s="26" t="s">
        <v>27</v>
      </c>
      <c r="C12" s="26" t="s">
        <v>28</v>
      </c>
      <c r="D12" s="26" t="s">
        <v>21</v>
      </c>
      <c r="E12" s="31">
        <v>40</v>
      </c>
      <c r="F12" s="28">
        <v>188.56139999999999</v>
      </c>
      <c r="G12" s="29">
        <v>1.31581413322659</v>
      </c>
      <c r="H12" s="32">
        <v>7.7964000000000006E-2</v>
      </c>
      <c r="I12" s="50"/>
    </row>
    <row r="13" spans="1:10" ht="10.5" x14ac:dyDescent="0.25">
      <c r="B13" s="25" t="s">
        <v>8</v>
      </c>
      <c r="C13" s="25"/>
      <c r="D13" s="25"/>
      <c r="E13" s="33"/>
      <c r="F13" s="51">
        <f>SUM(F6:F12)</f>
        <v>7262.8792999999987</v>
      </c>
      <c r="G13" s="52">
        <f>SUM(G6:G12)</f>
        <v>50.68163065642733</v>
      </c>
      <c r="H13" s="36"/>
      <c r="I13" s="25"/>
    </row>
    <row r="14" spans="1:10" ht="10.5" x14ac:dyDescent="0.25">
      <c r="B14" s="37" t="s">
        <v>9</v>
      </c>
      <c r="C14" s="37"/>
      <c r="D14" s="37"/>
      <c r="E14" s="38"/>
      <c r="F14" s="39">
        <f>+F13</f>
        <v>7262.8792999999987</v>
      </c>
      <c r="G14" s="40">
        <f>+G13</f>
        <v>50.68163065642733</v>
      </c>
      <c r="H14" s="36"/>
      <c r="I14" s="25"/>
    </row>
    <row r="15" spans="1:10" ht="10.5" x14ac:dyDescent="0.25">
      <c r="B15" s="25" t="s">
        <v>33</v>
      </c>
      <c r="C15" s="26"/>
      <c r="D15" s="26"/>
      <c r="E15" s="27"/>
      <c r="F15" s="28"/>
      <c r="G15" s="29"/>
      <c r="H15" s="30"/>
      <c r="I15" s="26"/>
    </row>
    <row r="16" spans="1:10" x14ac:dyDescent="0.2">
      <c r="B16" s="26" t="s">
        <v>38</v>
      </c>
      <c r="C16" s="26" t="s">
        <v>39</v>
      </c>
      <c r="D16" s="26" t="s">
        <v>34</v>
      </c>
      <c r="E16" s="31">
        <v>1000000</v>
      </c>
      <c r="F16" s="28">
        <v>964.34799999999996</v>
      </c>
      <c r="G16" s="29">
        <v>6.7293874979120698</v>
      </c>
      <c r="H16" s="32">
        <v>7.1271787753124899E-2</v>
      </c>
      <c r="I16" s="50"/>
    </row>
    <row r="17" spans="2:9" x14ac:dyDescent="0.2">
      <c r="B17" s="26" t="s">
        <v>40</v>
      </c>
      <c r="C17" s="26" t="s">
        <v>41</v>
      </c>
      <c r="D17" s="26" t="s">
        <v>34</v>
      </c>
      <c r="E17" s="31">
        <v>500000</v>
      </c>
      <c r="F17" s="28">
        <v>491.85</v>
      </c>
      <c r="G17" s="29">
        <v>3.43221455413196</v>
      </c>
      <c r="H17" s="32">
        <v>7.1101919270125005E-2</v>
      </c>
      <c r="I17" s="50"/>
    </row>
    <row r="18" spans="2:9" x14ac:dyDescent="0.2">
      <c r="B18" s="26" t="s">
        <v>42</v>
      </c>
      <c r="C18" s="26" t="s">
        <v>43</v>
      </c>
      <c r="D18" s="26" t="s">
        <v>34</v>
      </c>
      <c r="E18" s="31">
        <v>500000</v>
      </c>
      <c r="F18" s="28">
        <v>490.79349999999999</v>
      </c>
      <c r="G18" s="29">
        <v>3.4248421140050098</v>
      </c>
      <c r="H18" s="32">
        <v>6.9367990253124998E-2</v>
      </c>
      <c r="I18" s="50"/>
    </row>
    <row r="19" spans="2:9" ht="10.5" x14ac:dyDescent="0.25">
      <c r="B19" s="25" t="s">
        <v>9</v>
      </c>
      <c r="C19" s="25"/>
      <c r="D19" s="25"/>
      <c r="E19" s="33"/>
      <c r="F19" s="34">
        <f>SUM(F16:F18)</f>
        <v>1946.9914999999999</v>
      </c>
      <c r="G19" s="35">
        <f>SUM(G16:G18)</f>
        <v>13.58644416604904</v>
      </c>
      <c r="H19" s="36"/>
      <c r="I19" s="25"/>
    </row>
    <row r="20" spans="2:9" ht="10.5" x14ac:dyDescent="0.25">
      <c r="B20" s="25"/>
      <c r="C20" s="26"/>
      <c r="D20" s="26"/>
      <c r="E20" s="27"/>
      <c r="F20" s="28"/>
      <c r="G20" s="29"/>
      <c r="H20" s="30"/>
      <c r="I20" s="26"/>
    </row>
    <row r="21" spans="2:9" ht="10.5" x14ac:dyDescent="0.25">
      <c r="B21" s="25" t="s">
        <v>10</v>
      </c>
      <c r="C21" s="25"/>
      <c r="D21" s="25"/>
      <c r="E21" s="33"/>
      <c r="F21" s="34">
        <v>5106.7750758000002</v>
      </c>
      <c r="G21" s="35">
        <v>35.635961654649002</v>
      </c>
      <c r="H21" s="32">
        <v>5.3499999999999999E-2</v>
      </c>
      <c r="I21" s="32"/>
    </row>
    <row r="22" spans="2:9" x14ac:dyDescent="0.2">
      <c r="B22" s="26"/>
      <c r="C22" s="26"/>
      <c r="D22" s="26"/>
      <c r="E22" s="27"/>
      <c r="F22" s="28"/>
      <c r="G22" s="29"/>
      <c r="H22" s="30"/>
      <c r="I22" s="26"/>
    </row>
    <row r="23" spans="2:9" ht="10.5" x14ac:dyDescent="0.25">
      <c r="B23" s="47" t="s">
        <v>12</v>
      </c>
      <c r="C23" s="47"/>
      <c r="D23" s="47"/>
      <c r="E23" s="48"/>
      <c r="F23" s="34">
        <f>F24-(F13+F19+F21)</f>
        <v>13.751954600000317</v>
      </c>
      <c r="G23" s="35">
        <f>G24-(G13+G19+G21)</f>
        <v>9.5963522874626506E-2</v>
      </c>
      <c r="H23" s="36"/>
      <c r="I23" s="25"/>
    </row>
    <row r="24" spans="2:9" ht="10.5" x14ac:dyDescent="0.25">
      <c r="B24" s="41" t="s">
        <v>11</v>
      </c>
      <c r="C24" s="41"/>
      <c r="D24" s="41"/>
      <c r="E24" s="42"/>
      <c r="F24" s="43">
        <v>14330.397830399999</v>
      </c>
      <c r="G24" s="44">
        <v>100</v>
      </c>
      <c r="H24" s="45"/>
      <c r="I24" s="46"/>
    </row>
    <row r="26" spans="2:9" ht="10.5" x14ac:dyDescent="0.25">
      <c r="B26" s="17" t="s">
        <v>36</v>
      </c>
    </row>
    <row r="27" spans="2:9" ht="10.5" x14ac:dyDescent="0.25">
      <c r="B27" s="17"/>
    </row>
    <row r="28" spans="2:9" ht="40" customHeight="1" x14ac:dyDescent="0.2">
      <c r="B28" s="66" t="s">
        <v>37</v>
      </c>
      <c r="C28" s="66"/>
      <c r="D28" s="66"/>
      <c r="E28" s="66"/>
      <c r="F28" s="66"/>
      <c r="G28" s="66"/>
      <c r="H28" s="66"/>
      <c r="I28" s="66"/>
    </row>
    <row r="29" spans="2:9" ht="10.5" x14ac:dyDescent="0.25">
      <c r="B29" s="17"/>
    </row>
    <row r="30" spans="2:9" ht="10.5" x14ac:dyDescent="0.2">
      <c r="B30" s="55" t="s">
        <v>13</v>
      </c>
    </row>
    <row r="31" spans="2:9" ht="10.5" x14ac:dyDescent="0.2">
      <c r="B31" s="55"/>
    </row>
    <row r="32" spans="2:9" x14ac:dyDescent="0.2">
      <c r="B32" s="56" t="s">
        <v>47</v>
      </c>
    </row>
    <row r="33" spans="2:9" x14ac:dyDescent="0.2">
      <c r="B33" s="56" t="s">
        <v>48</v>
      </c>
    </row>
    <row r="34" spans="2:9" ht="10.5" x14ac:dyDescent="0.2">
      <c r="B34" s="55"/>
    </row>
    <row r="35" spans="2:9" ht="21" x14ac:dyDescent="0.2">
      <c r="B35" s="58" t="s">
        <v>49</v>
      </c>
      <c r="C35" s="59" t="s">
        <v>50</v>
      </c>
      <c r="D35" s="59" t="s">
        <v>52</v>
      </c>
    </row>
    <row r="36" spans="2:9" x14ac:dyDescent="0.2">
      <c r="B36" s="57" t="s">
        <v>51</v>
      </c>
      <c r="C36" s="60">
        <v>1013.4167</v>
      </c>
      <c r="D36" s="60">
        <v>1015.0931</v>
      </c>
    </row>
    <row r="37" spans="2:9" ht="10.5" x14ac:dyDescent="0.2">
      <c r="B37" s="55"/>
      <c r="C37" s="61"/>
      <c r="D37" s="61"/>
    </row>
    <row r="38" spans="2:9" x14ac:dyDescent="0.2">
      <c r="B38" s="56" t="s">
        <v>56</v>
      </c>
    </row>
    <row r="39" spans="2:9" x14ac:dyDescent="0.2">
      <c r="B39" s="62" t="s">
        <v>53</v>
      </c>
    </row>
    <row r="40" spans="2:9" ht="10.5" x14ac:dyDescent="0.25">
      <c r="B40" s="62" t="s">
        <v>54</v>
      </c>
      <c r="E40" s="18"/>
    </row>
    <row r="41" spans="2:9" x14ac:dyDescent="0.2">
      <c r="B41" s="63" t="s">
        <v>57</v>
      </c>
      <c r="E41" s="49"/>
    </row>
    <row r="42" spans="2:9" x14ac:dyDescent="0.2">
      <c r="B42" s="62" t="s">
        <v>55</v>
      </c>
    </row>
    <row r="45" spans="2:9" ht="10.5" x14ac:dyDescent="0.25">
      <c r="B45" s="17" t="s">
        <v>14</v>
      </c>
      <c r="E45" s="8"/>
      <c r="G45" s="54"/>
      <c r="I45" s="14"/>
    </row>
    <row r="46" spans="2:9" x14ac:dyDescent="0.2">
      <c r="E46" s="8"/>
      <c r="G46" s="54"/>
      <c r="I46" s="14"/>
    </row>
    <row r="47" spans="2:9" x14ac:dyDescent="0.2">
      <c r="E47" s="8"/>
      <c r="G47" s="54"/>
      <c r="I47" s="14"/>
    </row>
    <row r="48" spans="2:9" x14ac:dyDescent="0.2">
      <c r="E48" s="8"/>
      <c r="G48" s="54"/>
      <c r="I48" s="14"/>
    </row>
    <row r="49" spans="5:9" x14ac:dyDescent="0.2">
      <c r="E49" s="8"/>
      <c r="G49" s="54"/>
      <c r="I49" s="14"/>
    </row>
    <row r="50" spans="5:9" x14ac:dyDescent="0.2">
      <c r="E50" s="8"/>
      <c r="G50" s="54"/>
      <c r="I50" s="14"/>
    </row>
    <row r="51" spans="5:9" x14ac:dyDescent="0.2">
      <c r="E51" s="8"/>
      <c r="G51" s="54"/>
      <c r="I51" s="14"/>
    </row>
    <row r="52" spans="5:9" x14ac:dyDescent="0.2">
      <c r="E52" s="8"/>
      <c r="G52" s="54"/>
      <c r="I52" s="14"/>
    </row>
    <row r="53" spans="5:9" x14ac:dyDescent="0.2">
      <c r="E53" s="8"/>
      <c r="G53" s="54"/>
      <c r="I53" s="14"/>
    </row>
    <row r="54" spans="5:9" x14ac:dyDescent="0.2">
      <c r="E54" s="8"/>
      <c r="G54" s="54"/>
      <c r="I54" s="14"/>
    </row>
    <row r="55" spans="5:9" x14ac:dyDescent="0.2">
      <c r="E55" s="8"/>
      <c r="G55" s="54"/>
      <c r="I55" s="14"/>
    </row>
    <row r="56" spans="5:9" x14ac:dyDescent="0.2">
      <c r="E56" s="8"/>
      <c r="G56" s="54"/>
      <c r="I56" s="14"/>
    </row>
    <row r="57" spans="5:9" x14ac:dyDescent="0.2">
      <c r="E57" s="8"/>
      <c r="G57" s="54"/>
      <c r="I57" s="14"/>
    </row>
    <row r="58" spans="5:9" x14ac:dyDescent="0.2">
      <c r="E58" s="8"/>
      <c r="G58" s="54"/>
      <c r="I58" s="14"/>
    </row>
    <row r="59" spans="5:9" x14ac:dyDescent="0.2">
      <c r="E59" s="8"/>
      <c r="G59" s="54"/>
      <c r="I59" s="14"/>
    </row>
    <row r="60" spans="5:9" x14ac:dyDescent="0.2">
      <c r="E60" s="8"/>
      <c r="G60" s="54"/>
      <c r="I60" s="14"/>
    </row>
    <row r="61" spans="5:9" x14ac:dyDescent="0.2">
      <c r="E61" s="8"/>
      <c r="G61" s="54"/>
      <c r="I61" s="14"/>
    </row>
    <row r="62" spans="5:9" x14ac:dyDescent="0.2">
      <c r="E62" s="8"/>
      <c r="G62" s="54"/>
      <c r="I62" s="14"/>
    </row>
    <row r="63" spans="5:9" x14ac:dyDescent="0.2">
      <c r="E63" s="8"/>
      <c r="G63" s="54"/>
      <c r="I63" s="14"/>
    </row>
    <row r="64" spans="5:9" x14ac:dyDescent="0.2">
      <c r="E64" s="8"/>
      <c r="G64" s="54"/>
      <c r="I64" s="14"/>
    </row>
    <row r="65" spans="2:9" x14ac:dyDescent="0.2">
      <c r="E65" s="8"/>
      <c r="G65" s="54"/>
      <c r="I65" s="14"/>
    </row>
    <row r="66" spans="2:9" x14ac:dyDescent="0.2">
      <c r="E66" s="8"/>
      <c r="G66" s="54"/>
      <c r="I66" s="14"/>
    </row>
    <row r="67" spans="2:9" x14ac:dyDescent="0.2">
      <c r="E67" s="8"/>
      <c r="G67" s="54"/>
      <c r="I67" s="14"/>
    </row>
    <row r="68" spans="2:9" ht="10.5" x14ac:dyDescent="0.25">
      <c r="B68" s="17" t="s">
        <v>44</v>
      </c>
      <c r="E68" s="8"/>
      <c r="G68" s="54"/>
      <c r="I68" s="14"/>
    </row>
    <row r="69" spans="2:9" ht="10.5" x14ac:dyDescent="0.25">
      <c r="B69" s="17" t="s">
        <v>45</v>
      </c>
      <c r="E69" s="8"/>
      <c r="G69" s="54"/>
      <c r="I69" s="14"/>
    </row>
    <row r="70" spans="2:9" x14ac:dyDescent="0.2">
      <c r="E70" s="8"/>
      <c r="G70" s="54"/>
      <c r="I70" s="14"/>
    </row>
    <row r="71" spans="2:9" x14ac:dyDescent="0.2">
      <c r="E71" s="8"/>
      <c r="G71" s="54"/>
      <c r="I71" s="14"/>
    </row>
    <row r="72" spans="2:9" x14ac:dyDescent="0.2">
      <c r="E72" s="8"/>
      <c r="G72" s="54"/>
      <c r="I72" s="14"/>
    </row>
    <row r="73" spans="2:9" x14ac:dyDescent="0.2">
      <c r="E73" s="8"/>
      <c r="G73" s="54"/>
      <c r="I73" s="14"/>
    </row>
    <row r="74" spans="2:9" x14ac:dyDescent="0.2">
      <c r="E74" s="8"/>
      <c r="G74" s="54"/>
      <c r="I74" s="14"/>
    </row>
    <row r="75" spans="2:9" x14ac:dyDescent="0.2">
      <c r="E75" s="8"/>
      <c r="G75" s="54"/>
      <c r="I75" s="14"/>
    </row>
    <row r="76" spans="2:9" x14ac:dyDescent="0.2">
      <c r="E76" s="8"/>
      <c r="G76" s="54"/>
      <c r="I76" s="14"/>
    </row>
    <row r="77" spans="2:9" x14ac:dyDescent="0.2">
      <c r="E77" s="8"/>
      <c r="G77" s="54"/>
      <c r="I77" s="14"/>
    </row>
    <row r="78" spans="2:9" x14ac:dyDescent="0.2">
      <c r="E78" s="8"/>
      <c r="G78" s="54"/>
      <c r="I78" s="14"/>
    </row>
    <row r="79" spans="2:9" x14ac:dyDescent="0.2">
      <c r="E79" s="8"/>
      <c r="G79" s="54"/>
      <c r="I79" s="14"/>
    </row>
    <row r="80" spans="2:9" x14ac:dyDescent="0.2">
      <c r="E80" s="8"/>
      <c r="G80" s="54"/>
      <c r="I80" s="14"/>
    </row>
    <row r="81" spans="5:9" x14ac:dyDescent="0.2">
      <c r="E81" s="8"/>
      <c r="G81" s="54"/>
      <c r="I81" s="14"/>
    </row>
    <row r="82" spans="5:9" x14ac:dyDescent="0.2">
      <c r="E82" s="8"/>
      <c r="G82" s="54"/>
      <c r="I82" s="14"/>
    </row>
    <row r="83" spans="5:9" x14ac:dyDescent="0.2">
      <c r="E83" s="8"/>
      <c r="G83" s="54"/>
      <c r="I83" s="14"/>
    </row>
    <row r="84" spans="5:9" x14ac:dyDescent="0.2">
      <c r="E84" s="8"/>
      <c r="G84" s="54"/>
      <c r="I84" s="14"/>
    </row>
    <row r="85" spans="5:9" x14ac:dyDescent="0.2">
      <c r="E85" s="8"/>
      <c r="G85" s="54"/>
      <c r="I85" s="14"/>
    </row>
    <row r="86" spans="5:9" x14ac:dyDescent="0.2">
      <c r="E86" s="8"/>
      <c r="G86" s="54"/>
      <c r="I86" s="14"/>
    </row>
    <row r="87" spans="5:9" x14ac:dyDescent="0.2">
      <c r="E87" s="8"/>
      <c r="G87" s="54"/>
      <c r="I87" s="14"/>
    </row>
    <row r="88" spans="5:9" x14ac:dyDescent="0.2">
      <c r="E88" s="8"/>
      <c r="G88" s="54"/>
      <c r="I88" s="14"/>
    </row>
    <row r="89" spans="5:9" x14ac:dyDescent="0.2">
      <c r="E89" s="8"/>
      <c r="G89" s="54"/>
      <c r="I89" s="14"/>
    </row>
    <row r="90" spans="5:9" x14ac:dyDescent="0.2">
      <c r="E90" s="8"/>
      <c r="G90" s="54"/>
      <c r="I90" s="14"/>
    </row>
    <row r="91" spans="5:9" x14ac:dyDescent="0.2">
      <c r="E91" s="8"/>
      <c r="G91" s="54"/>
      <c r="I91" s="14"/>
    </row>
  </sheetData>
  <mergeCells count="2">
    <mergeCell ref="B1:C1"/>
    <mergeCell ref="B28:I28"/>
  </mergeCells>
  <conditionalFormatting sqref="G1:G3 G5:G27">
    <cfRule type="cellIs" dxfId="1" priority="2" stopIfTrue="1" operator="between">
      <formula>0.009</formula>
      <formula>-0.009</formula>
    </cfRule>
  </conditionalFormatting>
  <conditionalFormatting sqref="G29:G91">
    <cfRule type="cellIs" dxfId="0" priority="1" stopIfTrue="1" operator="between">
      <formula>0.009</formula>
      <formula>-0.009</formula>
    </cfRule>
  </conditionalFormatting>
  <hyperlinks>
    <hyperlink ref="A2" location="Index!A1" display="-" xr:uid="{3B02CFD5-2497-465C-950B-FCAF4D5250F2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JBSHORT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