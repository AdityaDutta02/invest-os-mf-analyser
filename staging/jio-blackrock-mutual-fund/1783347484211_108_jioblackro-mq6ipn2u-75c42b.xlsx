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E053FA0-24FD-4B36-897F-347383045B74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FLEXI" sheetId="14" r:id="rId1"/>
  </sheets>
  <definedNames>
    <definedName name="_xlnm.Print_Area" localSheetId="0">JBFLEXI!$B$1:$H$253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8" i="14" l="1"/>
  <c r="F148" i="14"/>
  <c r="G140" i="14"/>
  <c r="G134" i="14"/>
  <c r="F134" i="14"/>
  <c r="F141" i="14" s="1"/>
  <c r="G141" i="14" l="1"/>
  <c r="F137" i="14"/>
  <c r="G137" i="14"/>
</calcChain>
</file>

<file path=xl/sharedStrings.xml><?xml version="1.0" encoding="utf-8"?>
<sst xmlns="http://schemas.openxmlformats.org/spreadsheetml/2006/main" count="488" uniqueCount="374">
  <si>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</si>
  <si>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</si>
  <si>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</si>
  <si>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</si>
  <si>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</si>
  <si>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</si>
  <si>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</si>
  <si>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Flexi Cap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</si>
  <si>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</si>
  <si>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</si>
  <si>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</si>
  <si>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</si>
  <si>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</si>
  <si>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</si>
  <si>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</si>
  <si>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</si>
  <si>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</si>
  <si>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</si>
  <si>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Reliance Industries Ltd</t>
  </si>
  <si>
    <t>INE002A01018</t>
  </si>
  <si>
    <t>Petroleum Products</t>
  </si>
  <si>
    <t>Mahindra &amp; Mahindra Ltd</t>
  </si>
  <si>
    <t>INE101A01026</t>
  </si>
  <si>
    <t>Automobiles</t>
  </si>
  <si>
    <t>State Bank of India</t>
  </si>
  <si>
    <t>INE062A01020</t>
  </si>
  <si>
    <t>Infosys Ltd</t>
  </si>
  <si>
    <t>INE009A01021</t>
  </si>
  <si>
    <t>IT - Software</t>
  </si>
  <si>
    <t>Larsen &amp; Toubro Ltd</t>
  </si>
  <si>
    <t>INE018A01030</t>
  </si>
  <si>
    <t>Construction</t>
  </si>
  <si>
    <t>NTPC Ltd</t>
  </si>
  <si>
    <t>INE733E01010</t>
  </si>
  <si>
    <t>Power</t>
  </si>
  <si>
    <t>Indian Oil Corporation Ltd</t>
  </si>
  <si>
    <t>INE242A01010</t>
  </si>
  <si>
    <t>Nestle India Ltd</t>
  </si>
  <si>
    <t>INE239A01024</t>
  </si>
  <si>
    <t>Food Products</t>
  </si>
  <si>
    <t>Britannia Industries Ltd</t>
  </si>
  <si>
    <t>INE216A01030</t>
  </si>
  <si>
    <t>Tata Consultancy Services Ltd</t>
  </si>
  <si>
    <t>INE467B01029</t>
  </si>
  <si>
    <t>Tata Steel Ltd</t>
  </si>
  <si>
    <t>INE081A01020</t>
  </si>
  <si>
    <t>Ferrous Metals</t>
  </si>
  <si>
    <t>Apollo Tyres Ltd</t>
  </si>
  <si>
    <t>INE438A01022</t>
  </si>
  <si>
    <t>Auto Components</t>
  </si>
  <si>
    <t>ITC Ltd</t>
  </si>
  <si>
    <t>INE154A01025</t>
  </si>
  <si>
    <t>Diversified FMCG</t>
  </si>
  <si>
    <t>Interglobe Aviation Ltd</t>
  </si>
  <si>
    <t>INE646L01027</t>
  </si>
  <si>
    <t>Transport Services</t>
  </si>
  <si>
    <t>Ultratech Cement Ltd</t>
  </si>
  <si>
    <t>INE481G01011</t>
  </si>
  <si>
    <t>Cement &amp; Cement Products</t>
  </si>
  <si>
    <t>Axis Bank Ltd</t>
  </si>
  <si>
    <t>INE238A01034</t>
  </si>
  <si>
    <t>Multi Commodity Exchange Of India Ltd</t>
  </si>
  <si>
    <t>INE745G01043</t>
  </si>
  <si>
    <t>Capital Markets</t>
  </si>
  <si>
    <t>Sun Pharmaceutical Industries Ltd</t>
  </si>
  <si>
    <t>INE044A01036</t>
  </si>
  <si>
    <t>Pharmaceuticals &amp; Biotechnology</t>
  </si>
  <si>
    <t>Kotak Mahindra Bank Ltd</t>
  </si>
  <si>
    <t>INE237A01036</t>
  </si>
  <si>
    <t>Federal Bank Ltd</t>
  </si>
  <si>
    <t>INE171A01029</t>
  </si>
  <si>
    <t>JSW Steel Ltd</t>
  </si>
  <si>
    <t>INE019A01038</t>
  </si>
  <si>
    <t>Eternal Ltd</t>
  </si>
  <si>
    <t>INE758T01015</t>
  </si>
  <si>
    <t>Retailing</t>
  </si>
  <si>
    <t>ICICI Prudential Asset Management Co Ltd</t>
  </si>
  <si>
    <t>INE346A01027</t>
  </si>
  <si>
    <t>Escorts Kubota Ltd</t>
  </si>
  <si>
    <t>INE042A01014</t>
  </si>
  <si>
    <t>Agricultural, Commercial &amp; Construction Vehicles</t>
  </si>
  <si>
    <t>Titan Co Ltd</t>
  </si>
  <si>
    <t>INE280A01028</t>
  </si>
  <si>
    <t>Consumer Durables</t>
  </si>
  <si>
    <t>Oil &amp; Natural Gas Corporation Ltd</t>
  </si>
  <si>
    <t>INE213A01029</t>
  </si>
  <si>
    <t>Oil</t>
  </si>
  <si>
    <t>Hero MotoCorp Ltd</t>
  </si>
  <si>
    <t>INE158A01026</t>
  </si>
  <si>
    <t>Samvardhana Motherson International Ltd</t>
  </si>
  <si>
    <t>INE775A01035</t>
  </si>
  <si>
    <t>Vedanta Ltd</t>
  </si>
  <si>
    <t>INE205A01025</t>
  </si>
  <si>
    <t>Diversified Metals</t>
  </si>
  <si>
    <t>SBI Life Insurance Co Ltd</t>
  </si>
  <si>
    <t>INE123W01016</t>
  </si>
  <si>
    <t>Insurance</t>
  </si>
  <si>
    <t>Tata Motors Ltd</t>
  </si>
  <si>
    <t>INE1TAE01010</t>
  </si>
  <si>
    <t>Lenskart Solutions Ltd</t>
  </si>
  <si>
    <t>INE956O01016</t>
  </si>
  <si>
    <t>Steel Authority of India Ltd</t>
  </si>
  <si>
    <t>INE114A01011</t>
  </si>
  <si>
    <t>Tech Mahindra Ltd</t>
  </si>
  <si>
    <t>INE669C01036</t>
  </si>
  <si>
    <t>Yes Bank Ltd</t>
  </si>
  <si>
    <t>INE528G01035</t>
  </si>
  <si>
    <t>Life Insurance Corporation Of India</t>
  </si>
  <si>
    <t>INE0J1Y01017</t>
  </si>
  <si>
    <t>Lupin Ltd</t>
  </si>
  <si>
    <t>INE326A01037</t>
  </si>
  <si>
    <t>Max Financial Services Ltd</t>
  </si>
  <si>
    <t>INE180A01020</t>
  </si>
  <si>
    <t>Finance</t>
  </si>
  <si>
    <t>Bharat Petroleum Corporation Ltd</t>
  </si>
  <si>
    <t>INE029A01011</t>
  </si>
  <si>
    <t>Billionbrains Garage Ventures Ltd</t>
  </si>
  <si>
    <t>INE0HOQ01053</t>
  </si>
  <si>
    <t>INE1CDF01017</t>
  </si>
  <si>
    <t>Non - Ferrous Metals</t>
  </si>
  <si>
    <t>INE694L01019</t>
  </si>
  <si>
    <t>INE704J01044</t>
  </si>
  <si>
    <t>INE1CLE01013</t>
  </si>
  <si>
    <t>Asian Paints Ltd</t>
  </si>
  <si>
    <t>INE021A01026</t>
  </si>
  <si>
    <t>Radico Khaitan Ltd</t>
  </si>
  <si>
    <t>INE944F01028</t>
  </si>
  <si>
    <t>Beverages</t>
  </si>
  <si>
    <t>Hindustan Petroleum Corporation Ltd</t>
  </si>
  <si>
    <t>INE094A01015</t>
  </si>
  <si>
    <t>Ashok Leyland Ltd</t>
  </si>
  <si>
    <t>INE208A01029</t>
  </si>
  <si>
    <t>Schaeffler India Ltd</t>
  </si>
  <si>
    <t>INE513A01022</t>
  </si>
  <si>
    <t>Ltm Ltd</t>
  </si>
  <si>
    <t>INE214T01019</t>
  </si>
  <si>
    <t>Laurus Labs Ltd</t>
  </si>
  <si>
    <t>INE947Q01028</t>
  </si>
  <si>
    <t>Mahindra &amp; Mahindra Financial Services Ltd</t>
  </si>
  <si>
    <t>INE774D01024</t>
  </si>
  <si>
    <t>Nippon Life India Asset Management Ltd</t>
  </si>
  <si>
    <t>INE298J01013</t>
  </si>
  <si>
    <t>Bharat Heavy Electricals Ltd</t>
  </si>
  <si>
    <t>INE257A01026</t>
  </si>
  <si>
    <t>Electrical Equipment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</si>
  <si>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</si>
  <si>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</si>
  <si>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</si>
  <si>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</si>
  <si>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</si>
  <si>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</si>
  <si>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</si>
  <si>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</si>
  <si>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</si>
  <si>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</si>
  <si>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</si>
  <si>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</si>
  <si>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</si>
  <si>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NIFTY 30-JUN-26 FUT</t>
  </si>
  <si>
    <t>Long</t>
  </si>
  <si>
    <t>Index</t>
  </si>
  <si>
    <t>Notes</t>
  </si>
  <si>
    <t xml:space="preserve">Scheme Risk-O-Meter </t>
  </si>
  <si>
    <t>** Non Traded Security</t>
  </si>
  <si>
    <t>Nil</t>
  </si>
  <si>
    <t>Healthcare Services</t>
  </si>
  <si>
    <t>Agricultural Food &amp; Other Products</t>
  </si>
  <si>
    <t>Industrial Products</t>
  </si>
  <si>
    <t>TVS Motor Co Ltd</t>
  </si>
  <si>
    <t>INE494B01023</t>
  </si>
  <si>
    <t>Chemicals &amp; Petrochemicals</t>
  </si>
  <si>
    <t>Gas</t>
  </si>
  <si>
    <t>Personal Products</t>
  </si>
  <si>
    <t>DLF Ltd</t>
  </si>
  <si>
    <t>INE271C01023</t>
  </si>
  <si>
    <t>Realty</t>
  </si>
  <si>
    <t>Hindustan Zinc Ltd</t>
  </si>
  <si>
    <t>INE267A01025</t>
  </si>
  <si>
    <t>Industrial Manufacturing</t>
  </si>
  <si>
    <t>Tata Capital Ltd</t>
  </si>
  <si>
    <t>INE976I01016</t>
  </si>
  <si>
    <t>BSE Ltd</t>
  </si>
  <si>
    <t>INE118H01025</t>
  </si>
  <si>
    <t>Financial Technology (Fintech)</t>
  </si>
  <si>
    <t>Polycab India Ltd</t>
  </si>
  <si>
    <t>INE455K01017</t>
  </si>
  <si>
    <t>Marico Ltd</t>
  </si>
  <si>
    <t>INE196A01026</t>
  </si>
  <si>
    <t>Aurobindo Pharma Ltd</t>
  </si>
  <si>
    <t>INE406A01037</t>
  </si>
  <si>
    <t>National Aluminium Co Ltd</t>
  </si>
  <si>
    <t>INE139A01034</t>
  </si>
  <si>
    <t>Fertilizers &amp; Agrochemicals</t>
  </si>
  <si>
    <t>Indian Bank</t>
  </si>
  <si>
    <t>INE562A01011</t>
  </si>
  <si>
    <t>Textiles &amp; Apparels</t>
  </si>
  <si>
    <t>Oracle Financial Services Software Ltd</t>
  </si>
  <si>
    <t>INE881D01027</t>
  </si>
  <si>
    <t>ICICI Prudential Life Insurance Co Ltd</t>
  </si>
  <si>
    <t>INE726G01019</t>
  </si>
  <si>
    <t>Agricultural Food &amp; other Products</t>
  </si>
  <si>
    <t>Kalyan Jewellers India Ltd</t>
  </si>
  <si>
    <t>INE303R01014</t>
  </si>
  <si>
    <t>Awl Agri Business Ltd</t>
  </si>
  <si>
    <t>INE699H01024</t>
  </si>
  <si>
    <t>IT - Services</t>
  </si>
  <si>
    <t>Karur Vysya Bank Ltd</t>
  </si>
  <si>
    <t>INE036D01028</t>
  </si>
  <si>
    <t>Navin Fluorine International Ltd</t>
  </si>
  <si>
    <t>INE048G01026</t>
  </si>
  <si>
    <t>Delhivery Ltd</t>
  </si>
  <si>
    <t>INE148O01028</t>
  </si>
  <si>
    <t>City Union Bank Ltd</t>
  </si>
  <si>
    <t>INE491A01021</t>
  </si>
  <si>
    <t>Ather Energy Ltd</t>
  </si>
  <si>
    <t>INE0LEZ01016</t>
  </si>
  <si>
    <t>Acutaas Chemicals Ltd</t>
  </si>
  <si>
    <t>INE00FF01025</t>
  </si>
  <si>
    <t>Kalpataru Projects International Ltd</t>
  </si>
  <si>
    <t>INE220B01022</t>
  </si>
  <si>
    <t>Great Eastern Shipping Co Ltd</t>
  </si>
  <si>
    <t>INE017A01032</t>
  </si>
  <si>
    <t>Commercial Services &amp; Supplies</t>
  </si>
  <si>
    <t>Dr. Lal Path Labs Ltd</t>
  </si>
  <si>
    <t>INE600L01024</t>
  </si>
  <si>
    <t>Elgi Equipments Ltd</t>
  </si>
  <si>
    <t>INE285A01027</t>
  </si>
  <si>
    <t>CESC Ltd</t>
  </si>
  <si>
    <t>INE486A01021</t>
  </si>
  <si>
    <t>Indraprastha Gas Ltd</t>
  </si>
  <si>
    <t>INE203G01027</t>
  </si>
  <si>
    <t>Sagility Ltd</t>
  </si>
  <si>
    <t>INE0W2G01015</t>
  </si>
  <si>
    <t>Natco Pharma Ltd</t>
  </si>
  <si>
    <t>INE987B01026</t>
  </si>
  <si>
    <t>Kajaria Ceramics Ltd</t>
  </si>
  <si>
    <t>INE217B01036</t>
  </si>
  <si>
    <t>Entertainment</t>
  </si>
  <si>
    <t>Syrma SGS Technology Ltd</t>
  </si>
  <si>
    <t>INE0DYJ01015</t>
  </si>
  <si>
    <t>Nava Ltd</t>
  </si>
  <si>
    <t>INE725A01030</t>
  </si>
  <si>
    <t>CCL Products (India) Ltd</t>
  </si>
  <si>
    <t>INE421D01022</t>
  </si>
  <si>
    <t>Pfizer Ltd</t>
  </si>
  <si>
    <t>INE182A01018</t>
  </si>
  <si>
    <t>PVR Inox Ltd</t>
  </si>
  <si>
    <t>INE191H01014</t>
  </si>
  <si>
    <t>CEAT Ltd</t>
  </si>
  <si>
    <t>INE482A01020</t>
  </si>
  <si>
    <t>R R Kabel Ltd</t>
  </si>
  <si>
    <t>INE777K01022</t>
  </si>
  <si>
    <t>Cemindia Projects Ltd</t>
  </si>
  <si>
    <t>INE686A01026</t>
  </si>
  <si>
    <t>Aditya Infotech Ltd</t>
  </si>
  <si>
    <t>INE819V01029</t>
  </si>
  <si>
    <t>CIE Automotive India Ltd</t>
  </si>
  <si>
    <t>INE536H01010</t>
  </si>
  <si>
    <t>Honasa Consumer Ltd</t>
  </si>
  <si>
    <t>INE0J5401028</t>
  </si>
  <si>
    <t>JK Tyre &amp; Industries Ltd</t>
  </si>
  <si>
    <t>INE573A01042</t>
  </si>
  <si>
    <t>Chennai Petroleum Corporation Ltd</t>
  </si>
  <si>
    <t>INE178A01016</t>
  </si>
  <si>
    <t>JM Financial Ltd</t>
  </si>
  <si>
    <t>INE780C01023</t>
  </si>
  <si>
    <t>Telecom - Equipment &amp; Accessories</t>
  </si>
  <si>
    <t>Nuvoco Vistas Corporation Ltd</t>
  </si>
  <si>
    <t>INE118D01016</t>
  </si>
  <si>
    <t>Bombay Burmah Trading Corporation Ltd</t>
  </si>
  <si>
    <t>INE050A01025</t>
  </si>
  <si>
    <t>Pine Labs Ltd</t>
  </si>
  <si>
    <t>INE15B701018</t>
  </si>
  <si>
    <t>VA Tech Wabag Ltd</t>
  </si>
  <si>
    <t>INE956G01038</t>
  </si>
  <si>
    <t>Other Utilities</t>
  </si>
  <si>
    <t>Jamna Auto Industries Ltd</t>
  </si>
  <si>
    <t>INE039C01032</t>
  </si>
  <si>
    <t>Akums Drugs And Pharmaceuticals Ltd</t>
  </si>
  <si>
    <t>INE09XN01023</t>
  </si>
  <si>
    <t>PTC India Ltd</t>
  </si>
  <si>
    <t>INE877F01012</t>
  </si>
  <si>
    <t>Sterlite Technologies Ltd</t>
  </si>
  <si>
    <t>INE089C01029</t>
  </si>
  <si>
    <t>Ujjivan Small Finance Bank Ltd</t>
  </si>
  <si>
    <t>INE551W01018</t>
  </si>
  <si>
    <t>MTAR Technologies Ltd</t>
  </si>
  <si>
    <t>INE864I01014</t>
  </si>
  <si>
    <t>Arvind Ltd</t>
  </si>
  <si>
    <t>INE034A01011</t>
  </si>
  <si>
    <t>Fiem Industries Ltd</t>
  </si>
  <si>
    <t>INE737H01014</t>
  </si>
  <si>
    <t>Sharda Cropchem Ltd</t>
  </si>
  <si>
    <t>INE221J01015</t>
  </si>
  <si>
    <t>WeWork India Management Ltd</t>
  </si>
  <si>
    <t>INE085001019</t>
  </si>
  <si>
    <t>Rubicon Research Ltd</t>
  </si>
  <si>
    <t>INE506V01022</t>
  </si>
  <si>
    <t>Kansai Nerolac Paints Ltd</t>
  </si>
  <si>
    <t>INE531A01024</t>
  </si>
  <si>
    <t>Strides Pharma Science Ltd</t>
  </si>
  <si>
    <t>INE939A01011</t>
  </si>
  <si>
    <t>KRBL Ltd</t>
  </si>
  <si>
    <t>INE001B01026</t>
  </si>
  <si>
    <t>Advanced Enzyme Technologies Ltd</t>
  </si>
  <si>
    <t>INE837H01020</t>
  </si>
  <si>
    <t>Rashtriya Chemicals and Fertilizers Ltd</t>
  </si>
  <si>
    <t>INE027A01015</t>
  </si>
  <si>
    <t>INE1YPB01014</t>
  </si>
  <si>
    <t>TVS Supply Chain Solutions Ltd</t>
  </si>
  <si>
    <t>INE395N01027</t>
  </si>
  <si>
    <t>Godrej Agrovet Ltd</t>
  </si>
  <si>
    <t>INE850D01014</t>
  </si>
  <si>
    <t>Ahluwalia Contracts (India) Ltd</t>
  </si>
  <si>
    <t>INE758C01029</t>
  </si>
  <si>
    <t>GMM Pfaudler Ltd</t>
  </si>
  <si>
    <t>INE541A01023</t>
  </si>
  <si>
    <t>Birla Corporation Ltd</t>
  </si>
  <si>
    <t>INE340A01012</t>
  </si>
  <si>
    <t>V-Mart Retail Ltd</t>
  </si>
  <si>
    <t>INE665J01013</t>
  </si>
  <si>
    <t>Benchmark Risk-O-Meter</t>
  </si>
  <si>
    <t>Benchmark Name - Nifty 500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</si>
  <si>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</si>
  <si>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</si>
  <si>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</si>
  <si>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</si>
  <si>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</si>
  <si>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</si>
  <si>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</si>
  <si>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Underlying</t>
  </si>
  <si>
    <t>Long/Short</t>
  </si>
  <si>
    <t>Futures Price When purchased</t>
  </si>
  <si>
    <t>Current price of the contract</t>
  </si>
  <si>
    <t>Margin maintained
in Rs. Lakhs</t>
  </si>
  <si>
    <t>Total percentage of existing assets hedged through futures: Nil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</si>
  <si>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</si>
  <si>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</si>
  <si>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</si>
  <si>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</si>
  <si>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</si>
  <si>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</si>
  <si>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</si>
  <si>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</si>
  <si>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</si>
  <si>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</si>
  <si>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</si>
  <si>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</si>
  <si>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</si>
  <si>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</si>
  <si>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</si>
  <si>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</si>
  <si>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</si>
  <si>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</si>
  <si>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(5) Exposure to Derivative Instruments as on May 31, 2026:</t>
  </si>
  <si>
    <t>a)  Hedging positions through futures as on May 31, 2026 is :</t>
  </si>
  <si>
    <t>For the Month ended May 31, 2026 following were the hedging transactions through futures which have been squared off/expired:</t>
  </si>
  <si>
    <t>b) Other than Hedging Positions through Futures as on May 31, 2026 is :</t>
  </si>
  <si>
    <t>For the Month ended May 31, 2026 following were the non-hedging transactions through futures which have been squared off/expired:</t>
  </si>
  <si>
    <t>c) Hedging positions through Put options as on May 31, 2026</t>
  </si>
  <si>
    <t>For the Month ended May 31, 2026, following details specified for hedging transactions through Put options which have already been exercised/ expired:</t>
  </si>
  <si>
    <t>For the period ended May 31, 2026, following details specified for non-hedging transactions through options which have already been exercised/ expired:</t>
  </si>
  <si>
    <t>(6) Total market value of investments in foreign securities/ American Depository Receipts/ Global Depository Receipts as at May 31, 2026 is Rs. Nil.</t>
  </si>
  <si>
    <t>(8) Repo transactions in corporate debt securities as on May 31, 2026 is Rs. Nil.</t>
  </si>
  <si>
    <t>As on May 29, 2026</t>
  </si>
  <si>
    <t>(4) There was no distribution (of income and capital) during the Month ended May 31, 2026.</t>
  </si>
  <si>
    <t>Total exposure due to futures (non hedging positions) as a percentage of net assets: 0.50%.</t>
  </si>
  <si>
    <t>(7) During the period, the portfolio turnover ratio is 1.23 times.</t>
  </si>
  <si>
    <t>Vedanta Aluminium Metal Ltd **</t>
  </si>
  <si>
    <t>Talwandi Sabo Power Ltd **</t>
  </si>
  <si>
    <t>Malco Energy Ltd **</t>
  </si>
  <si>
    <t>Vedanta Iron And Steel Ltd **</t>
  </si>
  <si>
    <t>Allcargo Global Ltd **</t>
  </si>
  <si>
    <t>d) Other than hedging positions through options as on May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</si>
</sst>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%"/>
    <numFmt numFmtId="166" formatCode="#,##0;\(#,##0.\)"/>
    <numFmt numFmtId="167" formatCode="#,##0.0000_ ;\-#,##0.0000\ "/>
  </numFmts>
  <fonts count="1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164" fontId="12" fillId="0" borderId="0" applyFont="0" applyFill="0" applyBorder="0" applyAlignment="0" applyProtection="0"/>
  </cellStyleXfs>
  <cellXfs count="10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5" fontId="6" fillId="2" borderId="0" xfId="0" applyNumberFormat="1" applyFont="1" applyFill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39" fontId="5" fillId="0" borderId="5" xfId="0" applyNumberFormat="1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39" fontId="6" fillId="2" borderId="6" xfId="0" applyNumberFormat="1" applyFont="1" applyFill="1" applyBorder="1"/>
    <xf numFmtId="39" fontId="6" fillId="3" borderId="6" xfId="0" applyNumberFormat="1" applyFont="1" applyFill="1" applyBorder="1"/>
    <xf numFmtId="3" fontId="6" fillId="2" borderId="6" xfId="0" applyNumberFormat="1" applyFont="1" applyFill="1" applyBorder="1"/>
    <xf numFmtId="165" fontId="6" fillId="2" borderId="6" xfId="0" applyNumberFormat="1" applyFont="1" applyFill="1" applyBorder="1"/>
    <xf numFmtId="0" fontId="5" fillId="2" borderId="6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9" xfId="0" applyFont="1" applyFill="1" applyBorder="1"/>
    <xf numFmtId="0" fontId="5" fillId="2" borderId="9" xfId="0" applyNumberFormat="1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0" fontId="5" fillId="2" borderId="10" xfId="0" applyFont="1" applyFill="1" applyBorder="1"/>
    <xf numFmtId="0" fontId="5" fillId="2" borderId="10" xfId="0" applyNumberFormat="1" applyFont="1" applyFill="1" applyBorder="1"/>
    <xf numFmtId="39" fontId="5" fillId="2" borderId="10" xfId="0" applyNumberFormat="1" applyFont="1" applyFill="1" applyBorder="1"/>
    <xf numFmtId="39" fontId="5" fillId="3" borderId="10" xfId="0" applyNumberFormat="1" applyFont="1" applyFill="1" applyBorder="1"/>
    <xf numFmtId="0" fontId="5" fillId="2" borderId="11" xfId="0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10" fillId="2" borderId="5" xfId="0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/>
    </xf>
    <xf numFmtId="164" fontId="11" fillId="3" borderId="0" xfId="2" applyFont="1" applyFill="1" applyAlignment="1">
      <alignment horizontal="justify" vertical="center"/>
    </xf>
    <xf numFmtId="2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164" fontId="11" fillId="0" borderId="11" xfId="2" applyFont="1" applyFill="1" applyBorder="1" applyAlignment="1">
      <alignment horizontal="left"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7" fontId="13" fillId="3" borderId="0" xfId="0" applyNumberFormat="1" applyFont="1" applyFill="1" applyAlignment="1">
      <alignment horizontal="center"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167" fontId="11" fillId="3" borderId="0" xfId="0" applyNumberFormat="1" applyFont="1" applyFill="1" applyAlignment="1">
      <alignment horizontal="center" vertical="top"/>
    </xf>
    <xf numFmtId="3" fontId="11" fillId="3" borderId="0" xfId="0" applyNumberFormat="1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left" vertical="center"/>
    </xf>
    <xf numFmtId="39" fontId="6" fillId="0" borderId="6" xfId="0" applyNumberFormat="1" applyFont="1" applyFill="1" applyBorder="1"/>
    <xf numFmtId="0" fontId="11" fillId="0" borderId="12" xfId="0" applyFont="1" applyFill="1" applyBorder="1" applyAlignment="1">
      <alignment horizontal="justify" vertical="center"/>
    </xf>
    <xf numFmtId="164" fontId="11" fillId="0" borderId="11" xfId="2" applyFont="1" applyFill="1" applyBorder="1" applyAlignment="1">
      <alignment horizontal="justify" vertical="center"/>
    </xf>
    <xf numFmtId="164" fontId="11" fillId="0" borderId="13" xfId="2" applyFont="1" applyFill="1" applyBorder="1" applyAlignment="1">
      <alignment horizontal="center" vertical="center"/>
    </xf>
    <xf numFmtId="164" fontId="11" fillId="0" borderId="11" xfId="2" applyFont="1" applyFill="1" applyBorder="1" applyAlignment="1">
      <alignment horizontal="right" vertical="center"/>
    </xf>
    <xf numFmtId="0" fontId="11" fillId="0" borderId="0" xfId="0" applyFont="1" applyFill="1" applyAlignment="1">
      <alignment horizontal="left"/>
    </xf>
    <xf numFmtId="0" fontId="11" fillId="0" borderId="0" xfId="0" applyFont="1" applyFill="1"/>
    <xf numFmtId="3" fontId="11" fillId="0" borderId="12" xfId="0" applyNumberFormat="1" applyFont="1" applyFill="1" applyBorder="1" applyAlignment="1">
      <alignment horizontal="center" vertical="center"/>
    </xf>
    <xf numFmtId="4" fontId="11" fillId="0" borderId="12" xfId="0" applyNumberFormat="1" applyFont="1" applyFill="1" applyBorder="1" applyAlignment="1">
      <alignment horizontal="center" vertical="center"/>
    </xf>
    <xf numFmtId="164" fontId="11" fillId="0" borderId="11" xfId="0" applyNumberFormat="1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3" fontId="11" fillId="3" borderId="10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3">
    <cellStyle name="Comma" xfId="2" builtinId="3"/>
    <cellStyle name="Hyperlink" xfId="1" builtinId="8"/>
    <cellStyle name="Normal" xfId="0" builtinId="0"/>
  </cellStyles>
  <dxfs count="1">
    <dxf>
      <numFmt numFmtId="168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218</xdr:row>
      <xdr:rowOff>0</xdr:rowOff>
    </xdr:from>
    <xdr:to>
      <xdr:col>2</xdr:col>
      <xdr:colOff>422275</xdr:colOff>
      <xdr:row>232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B57F3-9E73-4A72-BF0C-D581317FB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28111450"/>
          <a:ext cx="407035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236</xdr:row>
      <xdr:rowOff>47624</xdr:rowOff>
    </xdr:from>
    <xdr:to>
      <xdr:col>2</xdr:col>
      <xdr:colOff>479425</xdr:colOff>
      <xdr:row>251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69EE7-7BE8-4639-B646-9D916E23B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30457774"/>
          <a:ext cx="4092575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CAC7-BA4C-43DD-8E1E-EEED028ACB2D}">
  <dimension ref="A1:I253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65.1796875" style="8" bestFit="1" customWidth="1"/>
    <col min="3" max="3" width="14.7265625" style="8" customWidth="1"/>
    <col min="4" max="4" width="32.1796875" style="8" bestFit="1" customWidth="1"/>
    <col min="5" max="5" width="13.90625" style="9" bestFit="1" customWidth="1"/>
    <col min="6" max="6" width="22.81640625" style="11" bestFit="1" customWidth="1"/>
    <col min="7" max="7" width="12.1796875" style="13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106" t="s">
        <v>7</v>
      </c>
      <c r="C1" s="107"/>
      <c r="D1" s="12"/>
      <c r="E1" s="6"/>
      <c r="F1" s="7"/>
      <c r="G1" s="13"/>
    </row>
    <row r="2" spans="1:8" s="1" customFormat="1" ht="14.5" x14ac:dyDescent="0.35">
      <c r="A2" s="55" t="s">
        <v>323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17" t="s">
        <v>155</v>
      </c>
      <c r="E4" s="18" t="s">
        <v>0</v>
      </c>
      <c r="F4" s="19" t="s">
        <v>1</v>
      </c>
      <c r="G4" s="20" t="s">
        <v>2</v>
      </c>
      <c r="H4" s="54" t="s">
        <v>3</v>
      </c>
    </row>
    <row r="5" spans="1:8" ht="10.5" x14ac:dyDescent="0.25">
      <c r="B5" s="21" t="s">
        <v>8</v>
      </c>
      <c r="C5" s="22"/>
      <c r="D5" s="22"/>
      <c r="E5" s="23"/>
      <c r="F5" s="24"/>
      <c r="G5" s="25"/>
      <c r="H5" s="22"/>
    </row>
    <row r="6" spans="1:8" ht="10.5" x14ac:dyDescent="0.25">
      <c r="B6" s="21" t="s">
        <v>9</v>
      </c>
      <c r="C6" s="22"/>
      <c r="D6" s="22"/>
      <c r="E6" s="23"/>
      <c r="F6" s="24"/>
      <c r="G6" s="25"/>
      <c r="H6" s="22"/>
    </row>
    <row r="7" spans="1:8" x14ac:dyDescent="0.2">
      <c r="B7" s="22" t="s">
        <v>10</v>
      </c>
      <c r="C7" s="22" t="s">
        <v>11</v>
      </c>
      <c r="D7" s="22" t="s">
        <v>12</v>
      </c>
      <c r="E7" s="26">
        <v>3002518</v>
      </c>
      <c r="F7" s="24">
        <v>22355.247769000001</v>
      </c>
      <c r="G7" s="25">
        <v>7.2264987691104201</v>
      </c>
      <c r="H7" s="27"/>
    </row>
    <row r="8" spans="1:8" x14ac:dyDescent="0.2">
      <c r="B8" s="22" t="s">
        <v>13</v>
      </c>
      <c r="C8" s="22" t="s">
        <v>14</v>
      </c>
      <c r="D8" s="22" t="s">
        <v>12</v>
      </c>
      <c r="E8" s="26">
        <v>1377072</v>
      </c>
      <c r="F8" s="24">
        <v>17301.532608000001</v>
      </c>
      <c r="G8" s="25">
        <v>5.5928480590948304</v>
      </c>
      <c r="H8" s="27"/>
    </row>
    <row r="9" spans="1:8" x14ac:dyDescent="0.2">
      <c r="B9" s="22" t="s">
        <v>15</v>
      </c>
      <c r="C9" s="22" t="s">
        <v>16</v>
      </c>
      <c r="D9" s="22" t="s">
        <v>17</v>
      </c>
      <c r="E9" s="26">
        <v>713019</v>
      </c>
      <c r="F9" s="24">
        <v>13041.11751</v>
      </c>
      <c r="G9" s="25">
        <v>4.2156374470840801</v>
      </c>
      <c r="H9" s="27"/>
    </row>
    <row r="10" spans="1:8" x14ac:dyDescent="0.2">
      <c r="B10" s="22" t="s">
        <v>18</v>
      </c>
      <c r="C10" s="22" t="s">
        <v>19</v>
      </c>
      <c r="D10" s="22" t="s">
        <v>20</v>
      </c>
      <c r="E10" s="26">
        <v>738331</v>
      </c>
      <c r="F10" s="24">
        <v>9754.8291719999997</v>
      </c>
      <c r="G10" s="25">
        <v>3.1533204969480702</v>
      </c>
      <c r="H10" s="27"/>
    </row>
    <row r="11" spans="1:8" x14ac:dyDescent="0.2">
      <c r="B11" s="22" t="s">
        <v>29</v>
      </c>
      <c r="C11" s="22" t="s">
        <v>30</v>
      </c>
      <c r="D11" s="22" t="s">
        <v>31</v>
      </c>
      <c r="E11" s="26">
        <v>236989</v>
      </c>
      <c r="F11" s="24">
        <v>9660.8565849999995</v>
      </c>
      <c r="G11" s="25">
        <v>3.1229431649094002</v>
      </c>
      <c r="H11" s="27"/>
    </row>
    <row r="12" spans="1:8" x14ac:dyDescent="0.2">
      <c r="B12" s="22" t="s">
        <v>24</v>
      </c>
      <c r="C12" s="22" t="s">
        <v>25</v>
      </c>
      <c r="D12" s="22" t="s">
        <v>12</v>
      </c>
      <c r="E12" s="26">
        <v>992739</v>
      </c>
      <c r="F12" s="24">
        <v>9573.9749159999992</v>
      </c>
      <c r="G12" s="25">
        <v>3.0948580244280999</v>
      </c>
      <c r="H12" s="27"/>
    </row>
    <row r="13" spans="1:8" x14ac:dyDescent="0.2">
      <c r="B13" s="22" t="s">
        <v>26</v>
      </c>
      <c r="C13" s="22" t="s">
        <v>27</v>
      </c>
      <c r="D13" s="22" t="s">
        <v>28</v>
      </c>
      <c r="E13" s="26">
        <v>803358</v>
      </c>
      <c r="F13" s="24">
        <v>9326.1830219999993</v>
      </c>
      <c r="G13" s="25">
        <v>3.0147574665863899</v>
      </c>
      <c r="H13" s="27"/>
    </row>
    <row r="14" spans="1:8" x14ac:dyDescent="0.2">
      <c r="B14" s="22" t="s">
        <v>21</v>
      </c>
      <c r="C14" s="22" t="s">
        <v>22</v>
      </c>
      <c r="D14" s="22" t="s">
        <v>23</v>
      </c>
      <c r="E14" s="26">
        <v>288716</v>
      </c>
      <c r="F14" s="24">
        <v>8793.1344960000006</v>
      </c>
      <c r="G14" s="25">
        <v>2.84244559794511</v>
      </c>
      <c r="H14" s="27"/>
    </row>
    <row r="15" spans="1:8" x14ac:dyDescent="0.2">
      <c r="B15" s="22" t="s">
        <v>42</v>
      </c>
      <c r="C15" s="22" t="s">
        <v>43</v>
      </c>
      <c r="D15" s="22" t="s">
        <v>28</v>
      </c>
      <c r="E15" s="26">
        <v>300904</v>
      </c>
      <c r="F15" s="24">
        <v>6797.1204559999996</v>
      </c>
      <c r="G15" s="25">
        <v>2.19721933374825</v>
      </c>
      <c r="H15" s="27"/>
    </row>
    <row r="16" spans="1:8" x14ac:dyDescent="0.2">
      <c r="B16" s="22" t="s">
        <v>32</v>
      </c>
      <c r="C16" s="22" t="s">
        <v>33</v>
      </c>
      <c r="D16" s="22" t="s">
        <v>34</v>
      </c>
      <c r="E16" s="26">
        <v>1449063</v>
      </c>
      <c r="F16" s="24">
        <v>5606.424747</v>
      </c>
      <c r="G16" s="25">
        <v>1.8123181613530399</v>
      </c>
      <c r="H16" s="27"/>
    </row>
    <row r="17" spans="2:8" x14ac:dyDescent="0.2">
      <c r="B17" s="22" t="s">
        <v>44</v>
      </c>
      <c r="C17" s="22" t="s">
        <v>45</v>
      </c>
      <c r="D17" s="22" t="s">
        <v>46</v>
      </c>
      <c r="E17" s="26">
        <v>2684562</v>
      </c>
      <c r="F17" s="24">
        <v>5584.4258724000001</v>
      </c>
      <c r="G17" s="25">
        <v>1.80520686283998</v>
      </c>
      <c r="H17" s="27"/>
    </row>
    <row r="18" spans="2:8" x14ac:dyDescent="0.2">
      <c r="B18" s="22" t="s">
        <v>37</v>
      </c>
      <c r="C18" s="22" t="s">
        <v>38</v>
      </c>
      <c r="D18" s="22" t="s">
        <v>39</v>
      </c>
      <c r="E18" s="26">
        <v>391703</v>
      </c>
      <c r="F18" s="24">
        <v>5568.058145</v>
      </c>
      <c r="G18" s="25">
        <v>1.7999158742036001</v>
      </c>
      <c r="H18" s="27"/>
    </row>
    <row r="19" spans="2:8" x14ac:dyDescent="0.2">
      <c r="B19" s="22" t="s">
        <v>81</v>
      </c>
      <c r="C19" s="22" t="s">
        <v>82</v>
      </c>
      <c r="D19" s="22" t="s">
        <v>83</v>
      </c>
      <c r="E19" s="26">
        <v>135638</v>
      </c>
      <c r="F19" s="24">
        <v>5527.112862</v>
      </c>
      <c r="G19" s="25">
        <v>1.7866800093964701</v>
      </c>
      <c r="H19" s="27"/>
    </row>
    <row r="20" spans="2:8" x14ac:dyDescent="0.2">
      <c r="B20" s="22" t="s">
        <v>61</v>
      </c>
      <c r="C20" s="22" t="s">
        <v>62</v>
      </c>
      <c r="D20" s="22" t="s">
        <v>63</v>
      </c>
      <c r="E20" s="26">
        <v>177112</v>
      </c>
      <c r="F20" s="24">
        <v>5232.7740400000002</v>
      </c>
      <c r="G20" s="25">
        <v>1.69153281367476</v>
      </c>
      <c r="H20" s="27"/>
    </row>
    <row r="21" spans="2:8" x14ac:dyDescent="0.2">
      <c r="B21" s="22" t="s">
        <v>35</v>
      </c>
      <c r="C21" s="22" t="s">
        <v>36</v>
      </c>
      <c r="D21" s="22" t="s">
        <v>20</v>
      </c>
      <c r="E21" s="26">
        <v>3662253</v>
      </c>
      <c r="F21" s="24">
        <v>5135.9436071999999</v>
      </c>
      <c r="G21" s="25">
        <v>1.6602316618972299</v>
      </c>
      <c r="H21" s="27"/>
    </row>
    <row r="22" spans="2:8" x14ac:dyDescent="0.2">
      <c r="B22" s="22" t="s">
        <v>208</v>
      </c>
      <c r="C22" s="22" t="s">
        <v>209</v>
      </c>
      <c r="D22" s="22" t="s">
        <v>170</v>
      </c>
      <c r="E22" s="26">
        <v>69508</v>
      </c>
      <c r="F22" s="24">
        <v>4955.2253199999996</v>
      </c>
      <c r="G22" s="25">
        <v>1.60181314229498</v>
      </c>
      <c r="H22" s="27"/>
    </row>
    <row r="23" spans="2:8" x14ac:dyDescent="0.2">
      <c r="B23" s="22" t="s">
        <v>111</v>
      </c>
      <c r="C23" s="22" t="s">
        <v>112</v>
      </c>
      <c r="D23" s="22" t="s">
        <v>96</v>
      </c>
      <c r="E23" s="26">
        <v>278874</v>
      </c>
      <c r="F23" s="24">
        <v>4668.3507600000003</v>
      </c>
      <c r="G23" s="25">
        <v>1.50907882433301</v>
      </c>
      <c r="H23" s="27"/>
    </row>
    <row r="24" spans="2:8" x14ac:dyDescent="0.2">
      <c r="B24" s="22" t="s">
        <v>223</v>
      </c>
      <c r="C24" s="22" t="s">
        <v>224</v>
      </c>
      <c r="D24" s="22" t="s">
        <v>165</v>
      </c>
      <c r="E24" s="26">
        <v>286246</v>
      </c>
      <c r="F24" s="24">
        <v>4601.1182040000003</v>
      </c>
      <c r="G24" s="25">
        <v>1.4873454045919901</v>
      </c>
      <c r="H24" s="27"/>
    </row>
    <row r="25" spans="2:8" x14ac:dyDescent="0.2">
      <c r="B25" s="22" t="s">
        <v>47</v>
      </c>
      <c r="C25" s="22" t="s">
        <v>48</v>
      </c>
      <c r="D25" s="22" t="s">
        <v>49</v>
      </c>
      <c r="E25" s="26">
        <v>1125316</v>
      </c>
      <c r="F25" s="24">
        <v>4439.3716199999999</v>
      </c>
      <c r="G25" s="25">
        <v>1.43505962801453</v>
      </c>
      <c r="H25" s="27"/>
    </row>
    <row r="26" spans="2:8" x14ac:dyDescent="0.2">
      <c r="B26" s="22" t="s">
        <v>50</v>
      </c>
      <c r="C26" s="22" t="s">
        <v>51</v>
      </c>
      <c r="D26" s="22" t="s">
        <v>52</v>
      </c>
      <c r="E26" s="26">
        <v>1527387</v>
      </c>
      <c r="F26" s="24">
        <v>4382.0733030000001</v>
      </c>
      <c r="G26" s="25">
        <v>1.4165375243209699</v>
      </c>
      <c r="H26" s="27"/>
    </row>
    <row r="27" spans="2:8" x14ac:dyDescent="0.2">
      <c r="B27" s="22" t="s">
        <v>73</v>
      </c>
      <c r="C27" s="22" t="s">
        <v>74</v>
      </c>
      <c r="D27" s="22" t="s">
        <v>75</v>
      </c>
      <c r="E27" s="26">
        <v>1655291</v>
      </c>
      <c r="F27" s="24">
        <v>4147.8281877999998</v>
      </c>
      <c r="G27" s="25">
        <v>1.3408160626689001</v>
      </c>
      <c r="H27" s="27"/>
    </row>
    <row r="28" spans="2:8" x14ac:dyDescent="0.2">
      <c r="B28" s="22" t="s">
        <v>101</v>
      </c>
      <c r="C28" s="22" t="s">
        <v>102</v>
      </c>
      <c r="D28" s="22" t="s">
        <v>46</v>
      </c>
      <c r="E28" s="26">
        <v>2011936</v>
      </c>
      <c r="F28" s="24">
        <v>4111.7936031999998</v>
      </c>
      <c r="G28" s="25">
        <v>1.3291676173486699</v>
      </c>
      <c r="H28" s="27"/>
    </row>
    <row r="29" spans="2:8" x14ac:dyDescent="0.2">
      <c r="B29" s="22" t="s">
        <v>184</v>
      </c>
      <c r="C29" s="22" t="s">
        <v>185</v>
      </c>
      <c r="D29" s="22" t="s">
        <v>167</v>
      </c>
      <c r="E29" s="26">
        <v>43315</v>
      </c>
      <c r="F29" s="24">
        <v>4105.1791249999997</v>
      </c>
      <c r="G29" s="25">
        <v>1.3270294384716299</v>
      </c>
      <c r="H29" s="27"/>
    </row>
    <row r="30" spans="2:8" x14ac:dyDescent="0.2">
      <c r="B30" s="22" t="s">
        <v>76</v>
      </c>
      <c r="C30" s="22" t="s">
        <v>77</v>
      </c>
      <c r="D30" s="22" t="s">
        <v>63</v>
      </c>
      <c r="E30" s="26">
        <v>114133</v>
      </c>
      <c r="F30" s="24">
        <v>4038.5962049999998</v>
      </c>
      <c r="G30" s="25">
        <v>1.30550601836036</v>
      </c>
      <c r="H30" s="27"/>
    </row>
    <row r="31" spans="2:8" x14ac:dyDescent="0.2">
      <c r="B31" s="22" t="s">
        <v>229</v>
      </c>
      <c r="C31" s="22" t="s">
        <v>230</v>
      </c>
      <c r="D31" s="22" t="s">
        <v>171</v>
      </c>
      <c r="E31" s="26">
        <v>2429075</v>
      </c>
      <c r="F31" s="24">
        <v>3897.9366525</v>
      </c>
      <c r="G31" s="25">
        <v>1.2600367802866701</v>
      </c>
      <c r="H31" s="27"/>
    </row>
    <row r="32" spans="2:8" x14ac:dyDescent="0.2">
      <c r="B32" s="22" t="s">
        <v>107</v>
      </c>
      <c r="C32" s="22" t="s">
        <v>108</v>
      </c>
      <c r="D32" s="22" t="s">
        <v>96</v>
      </c>
      <c r="E32" s="26">
        <v>940946</v>
      </c>
      <c r="F32" s="24">
        <v>3870.5813710000002</v>
      </c>
      <c r="G32" s="25">
        <v>1.2511939837258399</v>
      </c>
      <c r="H32" s="27"/>
    </row>
    <row r="33" spans="2:8" x14ac:dyDescent="0.2">
      <c r="B33" s="22" t="s">
        <v>69</v>
      </c>
      <c r="C33" s="22" t="s">
        <v>70</v>
      </c>
      <c r="D33" s="22" t="s">
        <v>12</v>
      </c>
      <c r="E33" s="26">
        <v>1306434</v>
      </c>
      <c r="F33" s="24">
        <v>3774.9410429999998</v>
      </c>
      <c r="G33" s="25">
        <v>1.22027754210501</v>
      </c>
      <c r="H33" s="27"/>
    </row>
    <row r="34" spans="2:8" x14ac:dyDescent="0.2">
      <c r="B34" s="22" t="s">
        <v>246</v>
      </c>
      <c r="C34" s="22" t="s">
        <v>247</v>
      </c>
      <c r="D34" s="22" t="s">
        <v>237</v>
      </c>
      <c r="E34" s="26">
        <v>388631</v>
      </c>
      <c r="F34" s="24">
        <v>3740.9620060000002</v>
      </c>
      <c r="G34" s="25">
        <v>1.20929356771147</v>
      </c>
      <c r="H34" s="27"/>
    </row>
    <row r="35" spans="2:8" x14ac:dyDescent="0.2">
      <c r="B35" s="22" t="s">
        <v>71</v>
      </c>
      <c r="C35" s="22" t="s">
        <v>72</v>
      </c>
      <c r="D35" s="22" t="s">
        <v>46</v>
      </c>
      <c r="E35" s="26">
        <v>274544</v>
      </c>
      <c r="F35" s="24">
        <v>3508.6723200000001</v>
      </c>
      <c r="G35" s="25">
        <v>1.1342042129746399</v>
      </c>
      <c r="H35" s="27"/>
    </row>
    <row r="36" spans="2:8" x14ac:dyDescent="0.2">
      <c r="B36" s="22" t="s">
        <v>220</v>
      </c>
      <c r="C36" s="22" t="s">
        <v>221</v>
      </c>
      <c r="D36" s="22" t="s">
        <v>55</v>
      </c>
      <c r="E36" s="26">
        <v>232711</v>
      </c>
      <c r="F36" s="24">
        <v>3301.9363790000002</v>
      </c>
      <c r="G36" s="25">
        <v>1.06737529483404</v>
      </c>
      <c r="H36" s="27"/>
    </row>
    <row r="37" spans="2:8" x14ac:dyDescent="0.2">
      <c r="B37" s="22" t="s">
        <v>53</v>
      </c>
      <c r="C37" s="22" t="s">
        <v>54</v>
      </c>
      <c r="D37" s="22" t="s">
        <v>55</v>
      </c>
      <c r="E37" s="26">
        <v>74254</v>
      </c>
      <c r="F37" s="24">
        <v>3270.8887</v>
      </c>
      <c r="G37" s="25">
        <v>1.05733890354034</v>
      </c>
      <c r="H37" s="27"/>
    </row>
    <row r="38" spans="2:8" x14ac:dyDescent="0.2">
      <c r="B38" s="22" t="s">
        <v>78</v>
      </c>
      <c r="C38" s="22" t="s">
        <v>79</v>
      </c>
      <c r="D38" s="22" t="s">
        <v>80</v>
      </c>
      <c r="E38" s="26">
        <v>112114</v>
      </c>
      <c r="F38" s="24">
        <v>3206.2361719999999</v>
      </c>
      <c r="G38" s="25">
        <v>1.0364394968847099</v>
      </c>
      <c r="H38" s="27"/>
    </row>
    <row r="39" spans="2:8" x14ac:dyDescent="0.2">
      <c r="B39" s="22" t="s">
        <v>136</v>
      </c>
      <c r="C39" s="22" t="s">
        <v>137</v>
      </c>
      <c r="D39" s="22" t="s">
        <v>66</v>
      </c>
      <c r="E39" s="26">
        <v>231542</v>
      </c>
      <c r="F39" s="24">
        <v>3153.6020400000002</v>
      </c>
      <c r="G39" s="25">
        <v>1.0194251254028299</v>
      </c>
      <c r="H39" s="27"/>
    </row>
    <row r="40" spans="2:8" x14ac:dyDescent="0.2">
      <c r="B40" s="22" t="s">
        <v>40</v>
      </c>
      <c r="C40" s="22" t="s">
        <v>41</v>
      </c>
      <c r="D40" s="22" t="s">
        <v>39</v>
      </c>
      <c r="E40" s="26">
        <v>60059</v>
      </c>
      <c r="F40" s="24">
        <v>3125.7706549999998</v>
      </c>
      <c r="G40" s="25">
        <v>1.0104284248731199</v>
      </c>
      <c r="H40" s="27"/>
    </row>
    <row r="41" spans="2:8" x14ac:dyDescent="0.2">
      <c r="B41" s="22" t="s">
        <v>64</v>
      </c>
      <c r="C41" s="22" t="s">
        <v>65</v>
      </c>
      <c r="D41" s="22" t="s">
        <v>66</v>
      </c>
      <c r="E41" s="26">
        <v>164899</v>
      </c>
      <c r="F41" s="24">
        <v>2966.8628079999999</v>
      </c>
      <c r="G41" s="25">
        <v>0.95906029097393197</v>
      </c>
      <c r="H41" s="27"/>
    </row>
    <row r="42" spans="2:8" x14ac:dyDescent="0.2">
      <c r="B42" s="22" t="s">
        <v>225</v>
      </c>
      <c r="C42" s="22" t="s">
        <v>226</v>
      </c>
      <c r="D42" s="22" t="s">
        <v>167</v>
      </c>
      <c r="E42" s="26">
        <v>506446</v>
      </c>
      <c r="F42" s="24">
        <v>2904.2145869999999</v>
      </c>
      <c r="G42" s="25">
        <v>0.938808791342992</v>
      </c>
      <c r="H42" s="27"/>
    </row>
    <row r="43" spans="2:8" x14ac:dyDescent="0.2">
      <c r="B43" s="22" t="s">
        <v>91</v>
      </c>
      <c r="C43" s="22" t="s">
        <v>92</v>
      </c>
      <c r="D43" s="22" t="s">
        <v>93</v>
      </c>
      <c r="E43" s="26">
        <v>816494</v>
      </c>
      <c r="F43" s="24">
        <v>2878.957844</v>
      </c>
      <c r="G43" s="25">
        <v>0.93064436283442797</v>
      </c>
      <c r="H43" s="27"/>
    </row>
    <row r="44" spans="2:8" x14ac:dyDescent="0.2">
      <c r="B44" s="22" t="s">
        <v>273</v>
      </c>
      <c r="C44" s="22" t="s">
        <v>274</v>
      </c>
      <c r="D44" s="22" t="s">
        <v>275</v>
      </c>
      <c r="E44" s="26">
        <v>184962</v>
      </c>
      <c r="F44" s="24">
        <v>2825.849436</v>
      </c>
      <c r="G44" s="25">
        <v>0.91347667813653799</v>
      </c>
      <c r="H44" s="27"/>
    </row>
    <row r="45" spans="2:8" x14ac:dyDescent="0.2">
      <c r="B45" s="22" t="s">
        <v>87</v>
      </c>
      <c r="C45" s="22" t="s">
        <v>88</v>
      </c>
      <c r="D45" s="22" t="s">
        <v>23</v>
      </c>
      <c r="E45" s="26">
        <v>54802</v>
      </c>
      <c r="F45" s="24">
        <v>2686.9420599999999</v>
      </c>
      <c r="G45" s="25">
        <v>0.86857384404331195</v>
      </c>
      <c r="H45" s="27"/>
    </row>
    <row r="46" spans="2:8" x14ac:dyDescent="0.2">
      <c r="B46" s="22" t="s">
        <v>140</v>
      </c>
      <c r="C46" s="22" t="s">
        <v>141</v>
      </c>
      <c r="D46" s="22" t="s">
        <v>63</v>
      </c>
      <c r="E46" s="26">
        <v>242858</v>
      </c>
      <c r="F46" s="24">
        <v>2671.9237159999998</v>
      </c>
      <c r="G46" s="25">
        <v>0.86371905354617495</v>
      </c>
      <c r="H46" s="27"/>
    </row>
    <row r="47" spans="2:8" x14ac:dyDescent="0.2">
      <c r="B47" s="22" t="s">
        <v>56</v>
      </c>
      <c r="C47" s="22" t="s">
        <v>57</v>
      </c>
      <c r="D47" s="22" t="s">
        <v>58</v>
      </c>
      <c r="E47" s="26">
        <v>21602</v>
      </c>
      <c r="F47" s="24">
        <v>2480.3416400000001</v>
      </c>
      <c r="G47" s="25">
        <v>0.801788734065778</v>
      </c>
      <c r="H47" s="27"/>
    </row>
    <row r="48" spans="2:8" x14ac:dyDescent="0.2">
      <c r="B48" s="22" t="s">
        <v>206</v>
      </c>
      <c r="C48" s="22" t="s">
        <v>207</v>
      </c>
      <c r="D48" s="22" t="s">
        <v>12</v>
      </c>
      <c r="E48" s="26">
        <v>845551</v>
      </c>
      <c r="F48" s="24">
        <v>2441.5285125</v>
      </c>
      <c r="G48" s="25">
        <v>0.78924210425418495</v>
      </c>
      <c r="H48" s="27"/>
    </row>
    <row r="49" spans="2:8" x14ac:dyDescent="0.2">
      <c r="B49" s="22" t="s">
        <v>168</v>
      </c>
      <c r="C49" s="22" t="s">
        <v>169</v>
      </c>
      <c r="D49" s="22" t="s">
        <v>23</v>
      </c>
      <c r="E49" s="26">
        <v>71435</v>
      </c>
      <c r="F49" s="24">
        <v>2397.1442950000001</v>
      </c>
      <c r="G49" s="25">
        <v>0.77489457849889198</v>
      </c>
      <c r="H49" s="27"/>
    </row>
    <row r="50" spans="2:8" x14ac:dyDescent="0.2">
      <c r="B50" s="22" t="s">
        <v>97</v>
      </c>
      <c r="C50" s="22" t="s">
        <v>98</v>
      </c>
      <c r="D50" s="22" t="s">
        <v>80</v>
      </c>
      <c r="E50" s="26">
        <v>606869</v>
      </c>
      <c r="F50" s="24">
        <v>2303.0678549999998</v>
      </c>
      <c r="G50" s="25">
        <v>0.74448367521178904</v>
      </c>
      <c r="H50" s="27"/>
    </row>
    <row r="51" spans="2:8" x14ac:dyDescent="0.2">
      <c r="B51" s="22" t="s">
        <v>99</v>
      </c>
      <c r="C51" s="22" t="s">
        <v>100</v>
      </c>
      <c r="D51" s="22" t="s">
        <v>75</v>
      </c>
      <c r="E51" s="26">
        <v>435986</v>
      </c>
      <c r="F51" s="24">
        <v>2283.9126609999998</v>
      </c>
      <c r="G51" s="25">
        <v>0.73829161743218197</v>
      </c>
      <c r="H51" s="27"/>
    </row>
    <row r="52" spans="2:8" x14ac:dyDescent="0.2">
      <c r="B52" s="22" t="s">
        <v>181</v>
      </c>
      <c r="C52" s="22" t="s">
        <v>182</v>
      </c>
      <c r="D52" s="22" t="s">
        <v>63</v>
      </c>
      <c r="E52" s="26">
        <v>53547</v>
      </c>
      <c r="F52" s="24">
        <v>2220.1121670000002</v>
      </c>
      <c r="G52" s="25">
        <v>0.71766763705299896</v>
      </c>
      <c r="H52" s="27"/>
    </row>
    <row r="53" spans="2:8" x14ac:dyDescent="0.2">
      <c r="B53" s="22" t="s">
        <v>67</v>
      </c>
      <c r="C53" s="22" t="s">
        <v>68</v>
      </c>
      <c r="D53" s="22" t="s">
        <v>12</v>
      </c>
      <c r="E53" s="26">
        <v>561302</v>
      </c>
      <c r="F53" s="24">
        <v>2156.5222840000001</v>
      </c>
      <c r="G53" s="25">
        <v>0.69711173823336703</v>
      </c>
      <c r="H53" s="27"/>
    </row>
    <row r="54" spans="2:8" x14ac:dyDescent="0.2">
      <c r="B54" s="22" t="s">
        <v>103</v>
      </c>
      <c r="C54" s="22" t="s">
        <v>104</v>
      </c>
      <c r="D54" s="22" t="s">
        <v>28</v>
      </c>
      <c r="E54" s="26">
        <v>144032</v>
      </c>
      <c r="F54" s="24">
        <v>2137.2908480000001</v>
      </c>
      <c r="G54" s="25">
        <v>0.69089503466477797</v>
      </c>
      <c r="H54" s="27"/>
    </row>
    <row r="55" spans="2:8" x14ac:dyDescent="0.2">
      <c r="B55" s="22" t="s">
        <v>276</v>
      </c>
      <c r="C55" s="22" t="s">
        <v>277</v>
      </c>
      <c r="D55" s="22" t="s">
        <v>49</v>
      </c>
      <c r="E55" s="26">
        <v>1617851</v>
      </c>
      <c r="F55" s="24">
        <v>2065.5103717000002</v>
      </c>
      <c r="G55" s="25">
        <v>0.66769146613410801</v>
      </c>
      <c r="H55" s="27"/>
    </row>
    <row r="56" spans="2:8" x14ac:dyDescent="0.2">
      <c r="B56" s="22" t="s">
        <v>130</v>
      </c>
      <c r="C56" s="22" t="s">
        <v>131</v>
      </c>
      <c r="D56" s="22" t="s">
        <v>80</v>
      </c>
      <c r="E56" s="26">
        <v>1248690</v>
      </c>
      <c r="F56" s="24">
        <v>1940.9637359999999</v>
      </c>
      <c r="G56" s="25">
        <v>0.62743084729046505</v>
      </c>
      <c r="H56" s="27"/>
    </row>
    <row r="57" spans="2:8" x14ac:dyDescent="0.2">
      <c r="B57" s="22" t="s">
        <v>227</v>
      </c>
      <c r="C57" s="22" t="s">
        <v>228</v>
      </c>
      <c r="D57" s="22" t="s">
        <v>34</v>
      </c>
      <c r="E57" s="26">
        <v>954384</v>
      </c>
      <c r="F57" s="24">
        <v>1737.8378256000001</v>
      </c>
      <c r="G57" s="25">
        <v>0.56176889817462705</v>
      </c>
      <c r="H57" s="27"/>
    </row>
    <row r="58" spans="2:8" x14ac:dyDescent="0.2">
      <c r="B58" s="22" t="s">
        <v>59</v>
      </c>
      <c r="C58" s="22" t="s">
        <v>60</v>
      </c>
      <c r="D58" s="22" t="s">
        <v>12</v>
      </c>
      <c r="E58" s="26">
        <v>134554</v>
      </c>
      <c r="F58" s="24">
        <v>1731.1717639999999</v>
      </c>
      <c r="G58" s="25">
        <v>0.55961404458297903</v>
      </c>
      <c r="H58" s="27"/>
    </row>
    <row r="59" spans="2:8" x14ac:dyDescent="0.2">
      <c r="B59" s="22" t="s">
        <v>128</v>
      </c>
      <c r="C59" s="22" t="s">
        <v>129</v>
      </c>
      <c r="D59" s="22" t="s">
        <v>20</v>
      </c>
      <c r="E59" s="26">
        <v>409330</v>
      </c>
      <c r="F59" s="24">
        <v>1612.146205</v>
      </c>
      <c r="G59" s="25">
        <v>0.52113815451483403</v>
      </c>
      <c r="H59" s="27"/>
    </row>
    <row r="60" spans="2:8" x14ac:dyDescent="0.2">
      <c r="B60" s="22" t="s">
        <v>94</v>
      </c>
      <c r="C60" s="22" t="s">
        <v>95</v>
      </c>
      <c r="D60" s="22" t="s">
        <v>96</v>
      </c>
      <c r="E60" s="26">
        <v>86053</v>
      </c>
      <c r="F60" s="24">
        <v>1574.855953</v>
      </c>
      <c r="G60" s="25">
        <v>0.50908380544376297</v>
      </c>
      <c r="H60" s="27"/>
    </row>
    <row r="61" spans="2:8" x14ac:dyDescent="0.2">
      <c r="B61" s="22" t="s">
        <v>233</v>
      </c>
      <c r="C61" s="22" t="s">
        <v>234</v>
      </c>
      <c r="D61" s="22" t="s">
        <v>66</v>
      </c>
      <c r="E61" s="26">
        <v>147842</v>
      </c>
      <c r="F61" s="24">
        <v>1501.926878</v>
      </c>
      <c r="G61" s="25">
        <v>0.485508943909431</v>
      </c>
      <c r="H61" s="27"/>
    </row>
    <row r="62" spans="2:8" x14ac:dyDescent="0.2">
      <c r="B62" s="22" t="s">
        <v>105</v>
      </c>
      <c r="C62" s="22" t="s">
        <v>106</v>
      </c>
      <c r="D62" s="22" t="s">
        <v>12</v>
      </c>
      <c r="E62" s="26">
        <v>6483231</v>
      </c>
      <c r="F62" s="24">
        <v>1500.8679764999999</v>
      </c>
      <c r="G62" s="25">
        <v>0.485166646187418</v>
      </c>
      <c r="H62" s="27"/>
    </row>
    <row r="63" spans="2:8" x14ac:dyDescent="0.2">
      <c r="B63" s="22" t="s">
        <v>250</v>
      </c>
      <c r="C63" s="22" t="s">
        <v>251</v>
      </c>
      <c r="D63" s="22" t="s">
        <v>167</v>
      </c>
      <c r="E63" s="26">
        <v>69887</v>
      </c>
      <c r="F63" s="24">
        <v>1437.0863810000001</v>
      </c>
      <c r="G63" s="25">
        <v>0.46454877488778501</v>
      </c>
      <c r="H63" s="27"/>
    </row>
    <row r="64" spans="2:8" x14ac:dyDescent="0.2">
      <c r="B64" s="22" t="s">
        <v>142</v>
      </c>
      <c r="C64" s="22" t="s">
        <v>143</v>
      </c>
      <c r="D64" s="22" t="s">
        <v>144</v>
      </c>
      <c r="E64" s="26">
        <v>341215</v>
      </c>
      <c r="F64" s="24">
        <v>1422.0135124999999</v>
      </c>
      <c r="G64" s="25">
        <v>0.45967635894376402</v>
      </c>
      <c r="H64" s="27"/>
    </row>
    <row r="65" spans="2:8" x14ac:dyDescent="0.2">
      <c r="B65" s="22" t="s">
        <v>89</v>
      </c>
      <c r="C65" s="22" t="s">
        <v>90</v>
      </c>
      <c r="D65" s="22" t="s">
        <v>49</v>
      </c>
      <c r="E65" s="26">
        <v>888275</v>
      </c>
      <c r="F65" s="24">
        <v>1294.571985</v>
      </c>
      <c r="G65" s="25">
        <v>0.41847994496845697</v>
      </c>
      <c r="H65" s="27"/>
    </row>
    <row r="66" spans="2:8" x14ac:dyDescent="0.2">
      <c r="B66" s="22" t="s">
        <v>198</v>
      </c>
      <c r="C66" s="22" t="s">
        <v>199</v>
      </c>
      <c r="D66" s="22" t="s">
        <v>96</v>
      </c>
      <c r="E66" s="26">
        <v>241374</v>
      </c>
      <c r="F66" s="24">
        <v>1216.4042730000001</v>
      </c>
      <c r="G66" s="25">
        <v>0.393211655375375</v>
      </c>
      <c r="H66" s="27"/>
    </row>
    <row r="67" spans="2:8" x14ac:dyDescent="0.2">
      <c r="B67" s="22" t="s">
        <v>176</v>
      </c>
      <c r="C67" s="22" t="s">
        <v>177</v>
      </c>
      <c r="D67" s="22" t="s">
        <v>119</v>
      </c>
      <c r="E67" s="26">
        <v>186677</v>
      </c>
      <c r="F67" s="24">
        <v>1181.5720715</v>
      </c>
      <c r="G67" s="25">
        <v>0.38195188926291002</v>
      </c>
      <c r="H67" s="27"/>
    </row>
    <row r="68" spans="2:8" x14ac:dyDescent="0.2">
      <c r="B68" s="22" t="s">
        <v>134</v>
      </c>
      <c r="C68" s="22" t="s">
        <v>135</v>
      </c>
      <c r="D68" s="22" t="s">
        <v>28</v>
      </c>
      <c r="E68" s="26">
        <v>28427</v>
      </c>
      <c r="F68" s="24">
        <v>1154.591032</v>
      </c>
      <c r="G68" s="25">
        <v>0.37323006918957302</v>
      </c>
      <c r="H68" s="27"/>
    </row>
    <row r="69" spans="2:8" x14ac:dyDescent="0.2">
      <c r="B69" s="22" t="s">
        <v>231</v>
      </c>
      <c r="C69" s="22" t="s">
        <v>232</v>
      </c>
      <c r="D69" s="22" t="s">
        <v>205</v>
      </c>
      <c r="E69" s="26">
        <v>2805074</v>
      </c>
      <c r="F69" s="24">
        <v>1151.2023696000001</v>
      </c>
      <c r="G69" s="25">
        <v>0.37213465906862198</v>
      </c>
      <c r="H69" s="27"/>
    </row>
    <row r="70" spans="2:8" x14ac:dyDescent="0.2">
      <c r="B70" s="22" t="s">
        <v>116</v>
      </c>
      <c r="C70" s="22" t="s">
        <v>117</v>
      </c>
      <c r="D70" s="22" t="s">
        <v>63</v>
      </c>
      <c r="E70" s="26">
        <v>614003</v>
      </c>
      <c r="F70" s="24">
        <v>1135.2301467</v>
      </c>
      <c r="G70" s="25">
        <v>0.366971520179736</v>
      </c>
      <c r="H70" s="27"/>
    </row>
    <row r="71" spans="2:8" x14ac:dyDescent="0.2">
      <c r="B71" s="22" t="s">
        <v>278</v>
      </c>
      <c r="C71" s="22" t="s">
        <v>279</v>
      </c>
      <c r="D71" s="22" t="s">
        <v>66</v>
      </c>
      <c r="E71" s="26">
        <v>213208</v>
      </c>
      <c r="F71" s="24">
        <v>1118.2759599999999</v>
      </c>
      <c r="G71" s="25">
        <v>0.361490954247977</v>
      </c>
      <c r="H71" s="27"/>
    </row>
    <row r="72" spans="2:8" x14ac:dyDescent="0.2">
      <c r="B72" s="22" t="s">
        <v>280</v>
      </c>
      <c r="C72" s="22" t="s">
        <v>281</v>
      </c>
      <c r="D72" s="22" t="s">
        <v>34</v>
      </c>
      <c r="E72" s="26">
        <v>608390</v>
      </c>
      <c r="F72" s="24">
        <v>1114.2662849999999</v>
      </c>
      <c r="G72" s="25">
        <v>0.36019479722250197</v>
      </c>
      <c r="H72" s="27"/>
    </row>
    <row r="73" spans="2:8" x14ac:dyDescent="0.2">
      <c r="B73" s="22" t="s">
        <v>282</v>
      </c>
      <c r="C73" s="22" t="s">
        <v>283</v>
      </c>
      <c r="D73" s="22" t="s">
        <v>266</v>
      </c>
      <c r="E73" s="26">
        <v>207158</v>
      </c>
      <c r="F73" s="24">
        <v>1110.6776170000001</v>
      </c>
      <c r="G73" s="25">
        <v>0.35903473381579198</v>
      </c>
      <c r="H73" s="27"/>
    </row>
    <row r="74" spans="2:8" x14ac:dyDescent="0.2">
      <c r="B74" s="22" t="s">
        <v>193</v>
      </c>
      <c r="C74" s="22" t="s">
        <v>194</v>
      </c>
      <c r="D74" s="22" t="s">
        <v>12</v>
      </c>
      <c r="E74" s="26">
        <v>128532</v>
      </c>
      <c r="F74" s="24">
        <v>1070.67156</v>
      </c>
      <c r="G74" s="25">
        <v>0.34610248074238298</v>
      </c>
      <c r="H74" s="27"/>
    </row>
    <row r="75" spans="2:8" x14ac:dyDescent="0.2">
      <c r="B75" s="22" t="s">
        <v>258</v>
      </c>
      <c r="C75" s="22" t="s">
        <v>259</v>
      </c>
      <c r="D75" s="22" t="s">
        <v>172</v>
      </c>
      <c r="E75" s="26">
        <v>249195</v>
      </c>
      <c r="F75" s="24">
        <v>1012.72848</v>
      </c>
      <c r="G75" s="25">
        <v>0.32737195265227997</v>
      </c>
      <c r="H75" s="27"/>
    </row>
    <row r="76" spans="2:8" x14ac:dyDescent="0.2">
      <c r="B76" s="22" t="s">
        <v>256</v>
      </c>
      <c r="C76" s="22" t="s">
        <v>257</v>
      </c>
      <c r="D76" s="22" t="s">
        <v>49</v>
      </c>
      <c r="E76" s="26">
        <v>225663</v>
      </c>
      <c r="F76" s="24">
        <v>1007.4724635</v>
      </c>
      <c r="G76" s="25">
        <v>0.32567290654193698</v>
      </c>
      <c r="H76" s="27"/>
    </row>
    <row r="77" spans="2:8" x14ac:dyDescent="0.2">
      <c r="B77" s="22" t="s">
        <v>369</v>
      </c>
      <c r="C77" s="22" t="s">
        <v>120</v>
      </c>
      <c r="D77" s="22" t="s">
        <v>34</v>
      </c>
      <c r="E77" s="26">
        <v>816494</v>
      </c>
      <c r="F77" s="24">
        <v>988.16186349999998</v>
      </c>
      <c r="G77" s="25">
        <v>0.31943061262630901</v>
      </c>
      <c r="H77" s="27"/>
    </row>
    <row r="78" spans="2:8" x14ac:dyDescent="0.2">
      <c r="B78" s="22" t="s">
        <v>370</v>
      </c>
      <c r="C78" s="22" t="s">
        <v>121</v>
      </c>
      <c r="D78" s="22" t="s">
        <v>86</v>
      </c>
      <c r="E78" s="26">
        <v>816494</v>
      </c>
      <c r="F78" s="24">
        <v>988.16186349999998</v>
      </c>
      <c r="G78" s="25">
        <v>0.31943061262630901</v>
      </c>
      <c r="H78" s="27"/>
    </row>
    <row r="79" spans="2:8" x14ac:dyDescent="0.2">
      <c r="B79" s="22" t="s">
        <v>368</v>
      </c>
      <c r="C79" s="22" t="s">
        <v>118</v>
      </c>
      <c r="D79" s="22" t="s">
        <v>119</v>
      </c>
      <c r="E79" s="26">
        <v>816494</v>
      </c>
      <c r="F79" s="24">
        <v>988.16186349999998</v>
      </c>
      <c r="G79" s="25">
        <v>0.31943061262630901</v>
      </c>
      <c r="H79" s="27"/>
    </row>
    <row r="80" spans="2:8" x14ac:dyDescent="0.2">
      <c r="B80" s="22" t="s">
        <v>371</v>
      </c>
      <c r="C80" s="22" t="s">
        <v>122</v>
      </c>
      <c r="D80" s="22" t="s">
        <v>46</v>
      </c>
      <c r="E80" s="26">
        <v>816494</v>
      </c>
      <c r="F80" s="24">
        <v>988.16186349999998</v>
      </c>
      <c r="G80" s="25">
        <v>0.31943061262630901</v>
      </c>
      <c r="H80" s="27"/>
    </row>
    <row r="81" spans="2:8" x14ac:dyDescent="0.2">
      <c r="B81" s="22" t="s">
        <v>109</v>
      </c>
      <c r="C81" s="22" t="s">
        <v>110</v>
      </c>
      <c r="D81" s="22" t="s">
        <v>66</v>
      </c>
      <c r="E81" s="26">
        <v>43309</v>
      </c>
      <c r="F81" s="24">
        <v>982.11819300000002</v>
      </c>
      <c r="G81" s="25">
        <v>0.31747695154948102</v>
      </c>
      <c r="H81" s="27"/>
    </row>
    <row r="82" spans="2:8" x14ac:dyDescent="0.2">
      <c r="B82" s="22" t="s">
        <v>125</v>
      </c>
      <c r="C82" s="22" t="s">
        <v>126</v>
      </c>
      <c r="D82" s="22" t="s">
        <v>127</v>
      </c>
      <c r="E82" s="26">
        <v>27293</v>
      </c>
      <c r="F82" s="24">
        <v>960.33149800000001</v>
      </c>
      <c r="G82" s="25">
        <v>0.310434241657497</v>
      </c>
      <c r="H82" s="27"/>
    </row>
    <row r="83" spans="2:8" x14ac:dyDescent="0.2">
      <c r="B83" s="22" t="s">
        <v>114</v>
      </c>
      <c r="C83" s="22" t="s">
        <v>115</v>
      </c>
      <c r="D83" s="22" t="s">
        <v>20</v>
      </c>
      <c r="E83" s="26">
        <v>301721</v>
      </c>
      <c r="F83" s="24">
        <v>899.43030099999999</v>
      </c>
      <c r="G83" s="25">
        <v>0.290747480423379</v>
      </c>
      <c r="H83" s="27"/>
    </row>
    <row r="84" spans="2:8" x14ac:dyDescent="0.2">
      <c r="B84" s="22" t="s">
        <v>238</v>
      </c>
      <c r="C84" s="22" t="s">
        <v>239</v>
      </c>
      <c r="D84" s="22" t="s">
        <v>178</v>
      </c>
      <c r="E84" s="26">
        <v>81594</v>
      </c>
      <c r="F84" s="24">
        <v>888.19148700000005</v>
      </c>
      <c r="G84" s="25">
        <v>0.287114450882553</v>
      </c>
      <c r="H84" s="27"/>
    </row>
    <row r="85" spans="2:8" x14ac:dyDescent="0.2">
      <c r="B85" s="22" t="s">
        <v>212</v>
      </c>
      <c r="C85" s="22" t="s">
        <v>213</v>
      </c>
      <c r="D85" s="22" t="s">
        <v>12</v>
      </c>
      <c r="E85" s="26">
        <v>325866</v>
      </c>
      <c r="F85" s="24">
        <v>832.42469700000004</v>
      </c>
      <c r="G85" s="25">
        <v>0.26908742459071799</v>
      </c>
      <c r="H85" s="27"/>
    </row>
    <row r="86" spans="2:8" x14ac:dyDescent="0.2">
      <c r="B86" s="22" t="s">
        <v>244</v>
      </c>
      <c r="C86" s="22" t="s">
        <v>245</v>
      </c>
      <c r="D86" s="22" t="s">
        <v>66</v>
      </c>
      <c r="E86" s="26">
        <v>17672</v>
      </c>
      <c r="F86" s="24">
        <v>812.64692000000002</v>
      </c>
      <c r="G86" s="25">
        <v>0.262694112263202</v>
      </c>
      <c r="H86" s="27"/>
    </row>
    <row r="87" spans="2:8" x14ac:dyDescent="0.2">
      <c r="B87" s="22" t="s">
        <v>264</v>
      </c>
      <c r="C87" s="22" t="s">
        <v>265</v>
      </c>
      <c r="D87" s="22" t="s">
        <v>113</v>
      </c>
      <c r="E87" s="26">
        <v>609401</v>
      </c>
      <c r="F87" s="24">
        <v>794.41514359999996</v>
      </c>
      <c r="G87" s="25">
        <v>0.25680055603538798</v>
      </c>
      <c r="H87" s="27"/>
    </row>
    <row r="88" spans="2:8" x14ac:dyDescent="0.2">
      <c r="B88" s="22" t="s">
        <v>190</v>
      </c>
      <c r="C88" s="22" t="s">
        <v>191</v>
      </c>
      <c r="D88" s="22" t="s">
        <v>119</v>
      </c>
      <c r="E88" s="26">
        <v>183647</v>
      </c>
      <c r="F88" s="24">
        <v>779.48969150000005</v>
      </c>
      <c r="G88" s="25">
        <v>0.25197579353024502</v>
      </c>
      <c r="H88" s="27"/>
    </row>
    <row r="89" spans="2:8" x14ac:dyDescent="0.2">
      <c r="B89" s="22" t="s">
        <v>242</v>
      </c>
      <c r="C89" s="22" t="s">
        <v>243</v>
      </c>
      <c r="D89" s="22" t="s">
        <v>166</v>
      </c>
      <c r="E89" s="26">
        <v>70028</v>
      </c>
      <c r="F89" s="24">
        <v>737.95506399999999</v>
      </c>
      <c r="G89" s="25">
        <v>0.23854941876555</v>
      </c>
      <c r="H89" s="27"/>
    </row>
    <row r="90" spans="2:8" x14ac:dyDescent="0.2">
      <c r="B90" s="22" t="s">
        <v>186</v>
      </c>
      <c r="C90" s="22" t="s">
        <v>187</v>
      </c>
      <c r="D90" s="22" t="s">
        <v>166</v>
      </c>
      <c r="E90" s="26">
        <v>87338</v>
      </c>
      <c r="F90" s="24">
        <v>717.65634599999998</v>
      </c>
      <c r="G90" s="25">
        <v>0.23198770841649499</v>
      </c>
      <c r="H90" s="27"/>
    </row>
    <row r="91" spans="2:8" x14ac:dyDescent="0.2">
      <c r="B91" s="22" t="s">
        <v>284</v>
      </c>
      <c r="C91" s="22" t="s">
        <v>285</v>
      </c>
      <c r="D91" s="22" t="s">
        <v>12</v>
      </c>
      <c r="E91" s="26">
        <v>1269439</v>
      </c>
      <c r="F91" s="24">
        <v>690.44787210000004</v>
      </c>
      <c r="G91" s="25">
        <v>0.223192368495442</v>
      </c>
      <c r="H91" s="27"/>
    </row>
    <row r="92" spans="2:8" x14ac:dyDescent="0.2">
      <c r="B92" s="22" t="s">
        <v>218</v>
      </c>
      <c r="C92" s="22" t="s">
        <v>219</v>
      </c>
      <c r="D92" s="22" t="s">
        <v>31</v>
      </c>
      <c r="E92" s="26">
        <v>52610</v>
      </c>
      <c r="F92" s="24">
        <v>686.56050000000005</v>
      </c>
      <c r="G92" s="25">
        <v>0.221935746784692</v>
      </c>
      <c r="H92" s="27"/>
    </row>
    <row r="93" spans="2:8" x14ac:dyDescent="0.2">
      <c r="B93" s="22" t="s">
        <v>269</v>
      </c>
      <c r="C93" s="22" t="s">
        <v>270</v>
      </c>
      <c r="D93" s="22" t="s">
        <v>39</v>
      </c>
      <c r="E93" s="26">
        <v>44929</v>
      </c>
      <c r="F93" s="24">
        <v>674.653864</v>
      </c>
      <c r="G93" s="25">
        <v>0.21808683885545099</v>
      </c>
      <c r="H93" s="27"/>
    </row>
    <row r="94" spans="2:8" x14ac:dyDescent="0.2">
      <c r="B94" s="22" t="s">
        <v>286</v>
      </c>
      <c r="C94" s="22" t="s">
        <v>287</v>
      </c>
      <c r="D94" s="22" t="s">
        <v>144</v>
      </c>
      <c r="E94" s="26">
        <v>8406</v>
      </c>
      <c r="F94" s="24">
        <v>662.35077000000001</v>
      </c>
      <c r="G94" s="25">
        <v>0.214109772952807</v>
      </c>
      <c r="H94" s="27"/>
    </row>
    <row r="95" spans="2:8" x14ac:dyDescent="0.2">
      <c r="B95" s="22" t="s">
        <v>173</v>
      </c>
      <c r="C95" s="22" t="s">
        <v>174</v>
      </c>
      <c r="D95" s="22" t="s">
        <v>175</v>
      </c>
      <c r="E95" s="26">
        <v>110714</v>
      </c>
      <c r="F95" s="24">
        <v>653.87688400000002</v>
      </c>
      <c r="G95" s="25">
        <v>0.211370526786477</v>
      </c>
      <c r="H95" s="27"/>
    </row>
    <row r="96" spans="2:8" x14ac:dyDescent="0.2">
      <c r="B96" s="22" t="s">
        <v>260</v>
      </c>
      <c r="C96" s="22" t="s">
        <v>261</v>
      </c>
      <c r="D96" s="22" t="s">
        <v>49</v>
      </c>
      <c r="E96" s="26">
        <v>159074</v>
      </c>
      <c r="F96" s="24">
        <v>649.02192000000002</v>
      </c>
      <c r="G96" s="25">
        <v>0.20980112385555899</v>
      </c>
      <c r="H96" s="27"/>
    </row>
    <row r="97" spans="2:8" x14ac:dyDescent="0.2">
      <c r="B97" s="22" t="s">
        <v>179</v>
      </c>
      <c r="C97" s="22" t="s">
        <v>180</v>
      </c>
      <c r="D97" s="22" t="s">
        <v>113</v>
      </c>
      <c r="E97" s="26">
        <v>199396</v>
      </c>
      <c r="F97" s="24">
        <v>609.95236399999999</v>
      </c>
      <c r="G97" s="25">
        <v>0.197171601639518</v>
      </c>
      <c r="H97" s="27"/>
    </row>
    <row r="98" spans="2:8" x14ac:dyDescent="0.2">
      <c r="B98" s="22" t="s">
        <v>248</v>
      </c>
      <c r="C98" s="22" t="s">
        <v>249</v>
      </c>
      <c r="D98" s="22" t="s">
        <v>49</v>
      </c>
      <c r="E98" s="26">
        <v>18749</v>
      </c>
      <c r="F98" s="24">
        <v>607.65508999999997</v>
      </c>
      <c r="G98" s="25">
        <v>0.19642899087068</v>
      </c>
      <c r="H98" s="27"/>
    </row>
    <row r="99" spans="2:8" x14ac:dyDescent="0.2">
      <c r="B99" s="22" t="s">
        <v>288</v>
      </c>
      <c r="C99" s="22" t="s">
        <v>289</v>
      </c>
      <c r="D99" s="22" t="s">
        <v>195</v>
      </c>
      <c r="E99" s="26">
        <v>128365</v>
      </c>
      <c r="F99" s="24">
        <v>607.61572750000005</v>
      </c>
      <c r="G99" s="25">
        <v>0.196416266652154</v>
      </c>
      <c r="H99" s="27"/>
    </row>
    <row r="100" spans="2:8" x14ac:dyDescent="0.2">
      <c r="B100" s="22" t="s">
        <v>290</v>
      </c>
      <c r="C100" s="22" t="s">
        <v>291</v>
      </c>
      <c r="D100" s="22" t="s">
        <v>49</v>
      </c>
      <c r="E100" s="26">
        <v>26416</v>
      </c>
      <c r="F100" s="24">
        <v>592.51088000000004</v>
      </c>
      <c r="G100" s="25">
        <v>0.19153351326045601</v>
      </c>
      <c r="H100" s="27"/>
    </row>
    <row r="101" spans="2:8" x14ac:dyDescent="0.2">
      <c r="B101" s="22" t="s">
        <v>188</v>
      </c>
      <c r="C101" s="22" t="s">
        <v>189</v>
      </c>
      <c r="D101" s="22" t="s">
        <v>66</v>
      </c>
      <c r="E101" s="26">
        <v>37992</v>
      </c>
      <c r="F101" s="24">
        <v>541.91788799999995</v>
      </c>
      <c r="G101" s="25">
        <v>0.17517895534226499</v>
      </c>
      <c r="H101" s="27"/>
    </row>
    <row r="102" spans="2:8" x14ac:dyDescent="0.2">
      <c r="B102" s="22" t="s">
        <v>84</v>
      </c>
      <c r="C102" s="22" t="s">
        <v>85</v>
      </c>
      <c r="D102" s="22" t="s">
        <v>86</v>
      </c>
      <c r="E102" s="26">
        <v>199129</v>
      </c>
      <c r="F102" s="24">
        <v>528.48836600000004</v>
      </c>
      <c r="G102" s="25">
        <v>0.1708377632783</v>
      </c>
      <c r="H102" s="27"/>
    </row>
    <row r="103" spans="2:8" x14ac:dyDescent="0.2">
      <c r="B103" s="22" t="s">
        <v>216</v>
      </c>
      <c r="C103" s="22" t="s">
        <v>217</v>
      </c>
      <c r="D103" s="22" t="s">
        <v>66</v>
      </c>
      <c r="E103" s="26">
        <v>15876</v>
      </c>
      <c r="F103" s="24">
        <v>497.31569999999999</v>
      </c>
      <c r="G103" s="25">
        <v>0.16076096901475101</v>
      </c>
      <c r="H103" s="27"/>
    </row>
    <row r="104" spans="2:8" x14ac:dyDescent="0.2">
      <c r="B104" s="22" t="s">
        <v>132</v>
      </c>
      <c r="C104" s="22" t="s">
        <v>133</v>
      </c>
      <c r="D104" s="22" t="s">
        <v>49</v>
      </c>
      <c r="E104" s="26">
        <v>11742</v>
      </c>
      <c r="F104" s="24">
        <v>484.79195399999998</v>
      </c>
      <c r="G104" s="25">
        <v>0.15671257572522701</v>
      </c>
      <c r="H104" s="27"/>
    </row>
    <row r="105" spans="2:8" x14ac:dyDescent="0.2">
      <c r="B105" s="22" t="s">
        <v>138</v>
      </c>
      <c r="C105" s="22" t="s">
        <v>139</v>
      </c>
      <c r="D105" s="22" t="s">
        <v>113</v>
      </c>
      <c r="E105" s="26">
        <v>155592</v>
      </c>
      <c r="F105" s="24">
        <v>472.455108</v>
      </c>
      <c r="G105" s="25">
        <v>0.15272459923957499</v>
      </c>
      <c r="H105" s="27"/>
    </row>
    <row r="106" spans="2:8" x14ac:dyDescent="0.2">
      <c r="B106" s="22" t="s">
        <v>214</v>
      </c>
      <c r="C106" s="22" t="s">
        <v>215</v>
      </c>
      <c r="D106" s="22" t="s">
        <v>23</v>
      </c>
      <c r="E106" s="26">
        <v>47919</v>
      </c>
      <c r="F106" s="24">
        <v>461.98707899999999</v>
      </c>
      <c r="G106" s="25">
        <v>0.149340731636532</v>
      </c>
      <c r="H106" s="27"/>
    </row>
    <row r="107" spans="2:8" x14ac:dyDescent="0.2">
      <c r="B107" s="22" t="s">
        <v>292</v>
      </c>
      <c r="C107" s="22" t="s">
        <v>293</v>
      </c>
      <c r="D107" s="22" t="s">
        <v>192</v>
      </c>
      <c r="E107" s="26">
        <v>49079</v>
      </c>
      <c r="F107" s="24">
        <v>444.16494999999998</v>
      </c>
      <c r="G107" s="25">
        <v>0.14357959695297801</v>
      </c>
      <c r="H107" s="27"/>
    </row>
    <row r="108" spans="2:8" x14ac:dyDescent="0.2">
      <c r="B108" s="22" t="s">
        <v>294</v>
      </c>
      <c r="C108" s="22" t="s">
        <v>295</v>
      </c>
      <c r="D108" s="22" t="s">
        <v>222</v>
      </c>
      <c r="E108" s="26">
        <v>65675</v>
      </c>
      <c r="F108" s="24">
        <v>394.5754</v>
      </c>
      <c r="G108" s="25">
        <v>0.12754940906426801</v>
      </c>
      <c r="H108" s="27"/>
    </row>
    <row r="109" spans="2:8" x14ac:dyDescent="0.2">
      <c r="B109" s="22" t="s">
        <v>203</v>
      </c>
      <c r="C109" s="22" t="s">
        <v>204</v>
      </c>
      <c r="D109" s="22" t="s">
        <v>166</v>
      </c>
      <c r="E109" s="26">
        <v>203891</v>
      </c>
      <c r="F109" s="24">
        <v>392.08239300000002</v>
      </c>
      <c r="G109" s="25">
        <v>0.126743526159143</v>
      </c>
      <c r="H109" s="27"/>
    </row>
    <row r="110" spans="2:8" x14ac:dyDescent="0.2">
      <c r="B110" s="22" t="s">
        <v>296</v>
      </c>
      <c r="C110" s="22" t="s">
        <v>297</v>
      </c>
      <c r="D110" s="22" t="s">
        <v>66</v>
      </c>
      <c r="E110" s="26">
        <v>38621</v>
      </c>
      <c r="F110" s="24">
        <v>388.37277599999999</v>
      </c>
      <c r="G110" s="25">
        <v>0.125544365095871</v>
      </c>
      <c r="H110" s="27"/>
    </row>
    <row r="111" spans="2:8" x14ac:dyDescent="0.2">
      <c r="B111" s="22" t="s">
        <v>298</v>
      </c>
      <c r="C111" s="22" t="s">
        <v>299</v>
      </c>
      <c r="D111" s="22" t="s">
        <v>83</v>
      </c>
      <c r="E111" s="26">
        <v>157147</v>
      </c>
      <c r="F111" s="24">
        <v>342.67474820000001</v>
      </c>
      <c r="G111" s="25">
        <v>0.110772140468354</v>
      </c>
      <c r="H111" s="27"/>
    </row>
    <row r="112" spans="2:8" x14ac:dyDescent="0.2">
      <c r="B112" s="22" t="s">
        <v>300</v>
      </c>
      <c r="C112" s="22" t="s">
        <v>301</v>
      </c>
      <c r="D112" s="22" t="s">
        <v>66</v>
      </c>
      <c r="E112" s="26">
        <v>28128</v>
      </c>
      <c r="F112" s="24">
        <v>312.727104</v>
      </c>
      <c r="G112" s="25">
        <v>0.101091343539359</v>
      </c>
      <c r="H112" s="27"/>
    </row>
    <row r="113" spans="2:8" x14ac:dyDescent="0.2">
      <c r="B113" s="22" t="s">
        <v>302</v>
      </c>
      <c r="C113" s="22" t="s">
        <v>303</v>
      </c>
      <c r="D113" s="22" t="s">
        <v>200</v>
      </c>
      <c r="E113" s="26">
        <v>88677</v>
      </c>
      <c r="F113" s="24">
        <v>310.546854</v>
      </c>
      <c r="G113" s="25">
        <v>0.100386561641875</v>
      </c>
      <c r="H113" s="27"/>
    </row>
    <row r="114" spans="2:8" x14ac:dyDescent="0.2">
      <c r="B114" s="22" t="s">
        <v>123</v>
      </c>
      <c r="C114" s="22" t="s">
        <v>124</v>
      </c>
      <c r="D114" s="22" t="s">
        <v>83</v>
      </c>
      <c r="E114" s="26">
        <v>9892</v>
      </c>
      <c r="F114" s="24">
        <v>264.27467200000001</v>
      </c>
      <c r="G114" s="25">
        <v>8.5428737433335497E-2</v>
      </c>
      <c r="H114" s="27"/>
    </row>
    <row r="115" spans="2:8" x14ac:dyDescent="0.2">
      <c r="B115" s="22" t="s">
        <v>304</v>
      </c>
      <c r="C115" s="22" t="s">
        <v>305</v>
      </c>
      <c r="D115" s="22" t="s">
        <v>66</v>
      </c>
      <c r="E115" s="26">
        <v>67881</v>
      </c>
      <c r="F115" s="24">
        <v>247.08684</v>
      </c>
      <c r="G115" s="25">
        <v>7.98726439346127E-2</v>
      </c>
      <c r="H115" s="27"/>
    </row>
    <row r="116" spans="2:8" x14ac:dyDescent="0.2">
      <c r="B116" s="22" t="s">
        <v>306</v>
      </c>
      <c r="C116" s="22" t="s">
        <v>307</v>
      </c>
      <c r="D116" s="22" t="s">
        <v>192</v>
      </c>
      <c r="E116" s="26">
        <v>185784</v>
      </c>
      <c r="F116" s="24">
        <v>238.67670480000001</v>
      </c>
      <c r="G116" s="25">
        <v>7.7154005684710203E-2</v>
      </c>
      <c r="H116" s="27"/>
    </row>
    <row r="117" spans="2:8" x14ac:dyDescent="0.2">
      <c r="B117" s="22" t="s">
        <v>196</v>
      </c>
      <c r="C117" s="22" t="s">
        <v>197</v>
      </c>
      <c r="D117" s="22" t="s">
        <v>28</v>
      </c>
      <c r="E117" s="26">
        <v>2358</v>
      </c>
      <c r="F117" s="24">
        <v>234.95112</v>
      </c>
      <c r="G117" s="25">
        <v>7.5949682912284905E-2</v>
      </c>
      <c r="H117" s="27"/>
    </row>
    <row r="118" spans="2:8" x14ac:dyDescent="0.2">
      <c r="B118" s="22" t="s">
        <v>235</v>
      </c>
      <c r="C118" s="22" t="s">
        <v>236</v>
      </c>
      <c r="D118" s="22" t="s">
        <v>83</v>
      </c>
      <c r="E118" s="26">
        <v>20205</v>
      </c>
      <c r="F118" s="24">
        <v>216.71883</v>
      </c>
      <c r="G118" s="25">
        <v>7.0055960659482594E-2</v>
      </c>
      <c r="H118" s="27"/>
    </row>
    <row r="119" spans="2:8" x14ac:dyDescent="0.2">
      <c r="B119" s="22" t="s">
        <v>201</v>
      </c>
      <c r="C119" s="22" t="s">
        <v>202</v>
      </c>
      <c r="D119" s="22" t="s">
        <v>83</v>
      </c>
      <c r="E119" s="26">
        <v>59635</v>
      </c>
      <c r="F119" s="24">
        <v>211.73406750000001</v>
      </c>
      <c r="G119" s="25">
        <v>6.8444599405839496E-2</v>
      </c>
      <c r="H119" s="27"/>
    </row>
    <row r="120" spans="2:8" x14ac:dyDescent="0.2">
      <c r="B120" s="22" t="s">
        <v>262</v>
      </c>
      <c r="C120" s="22" t="s">
        <v>263</v>
      </c>
      <c r="D120" s="22" t="s">
        <v>20</v>
      </c>
      <c r="E120" s="26">
        <v>18942</v>
      </c>
      <c r="F120" s="24">
        <v>200.444244</v>
      </c>
      <c r="G120" s="25">
        <v>6.4795080667811505E-2</v>
      </c>
      <c r="H120" s="27"/>
    </row>
    <row r="121" spans="2:8" x14ac:dyDescent="0.2">
      <c r="B121" s="22" t="s">
        <v>372</v>
      </c>
      <c r="C121" s="22" t="s">
        <v>308</v>
      </c>
      <c r="D121" s="22" t="s">
        <v>55</v>
      </c>
      <c r="E121" s="26">
        <v>884320</v>
      </c>
      <c r="F121" s="24">
        <v>197.55708799999999</v>
      </c>
      <c r="G121" s="25">
        <v>6.3861786190567496E-2</v>
      </c>
      <c r="H121" s="27"/>
    </row>
    <row r="122" spans="2:8" x14ac:dyDescent="0.2">
      <c r="B122" s="22" t="s">
        <v>309</v>
      </c>
      <c r="C122" s="22" t="s">
        <v>310</v>
      </c>
      <c r="D122" s="22" t="s">
        <v>55</v>
      </c>
      <c r="E122" s="26">
        <v>136204</v>
      </c>
      <c r="F122" s="24">
        <v>159.6174676</v>
      </c>
      <c r="G122" s="25">
        <v>5.15975239934243E-2</v>
      </c>
      <c r="H122" s="27"/>
    </row>
    <row r="123" spans="2:8" x14ac:dyDescent="0.2">
      <c r="B123" s="22" t="s">
        <v>311</v>
      </c>
      <c r="C123" s="22" t="s">
        <v>312</v>
      </c>
      <c r="D123" s="22" t="s">
        <v>39</v>
      </c>
      <c r="E123" s="26">
        <v>25769</v>
      </c>
      <c r="F123" s="24">
        <v>148.48097799999999</v>
      </c>
      <c r="G123" s="25">
        <v>4.79975715698054E-2</v>
      </c>
      <c r="H123" s="27"/>
    </row>
    <row r="124" spans="2:8" x14ac:dyDescent="0.2">
      <c r="B124" s="22" t="s">
        <v>313</v>
      </c>
      <c r="C124" s="22" t="s">
        <v>314</v>
      </c>
      <c r="D124" s="22" t="s">
        <v>31</v>
      </c>
      <c r="E124" s="26">
        <v>18597</v>
      </c>
      <c r="F124" s="24">
        <v>147.28824</v>
      </c>
      <c r="G124" s="25">
        <v>4.76120102117773E-2</v>
      </c>
      <c r="H124" s="27"/>
    </row>
    <row r="125" spans="2:8" x14ac:dyDescent="0.2">
      <c r="B125" s="22" t="s">
        <v>315</v>
      </c>
      <c r="C125" s="22" t="s">
        <v>316</v>
      </c>
      <c r="D125" s="22" t="s">
        <v>178</v>
      </c>
      <c r="E125" s="26">
        <v>18909</v>
      </c>
      <c r="F125" s="24">
        <v>144.975303</v>
      </c>
      <c r="G125" s="25">
        <v>4.6864336262633803E-2</v>
      </c>
      <c r="H125" s="27"/>
    </row>
    <row r="126" spans="2:8" x14ac:dyDescent="0.2">
      <c r="B126" s="22" t="s">
        <v>317</v>
      </c>
      <c r="C126" s="22" t="s">
        <v>318</v>
      </c>
      <c r="D126" s="22" t="s">
        <v>58</v>
      </c>
      <c r="E126" s="26">
        <v>12560</v>
      </c>
      <c r="F126" s="24">
        <v>125.26088</v>
      </c>
      <c r="G126" s="25">
        <v>4.0491503583016598E-2</v>
      </c>
      <c r="H126" s="27"/>
    </row>
    <row r="127" spans="2:8" x14ac:dyDescent="0.2">
      <c r="B127" s="22" t="s">
        <v>240</v>
      </c>
      <c r="C127" s="22" t="s">
        <v>241</v>
      </c>
      <c r="D127" s="22" t="s">
        <v>34</v>
      </c>
      <c r="E127" s="26">
        <v>20826</v>
      </c>
      <c r="F127" s="24">
        <v>123.41487600000001</v>
      </c>
      <c r="G127" s="25">
        <v>3.9894769170961797E-2</v>
      </c>
      <c r="H127" s="27"/>
    </row>
    <row r="128" spans="2:8" x14ac:dyDescent="0.2">
      <c r="B128" s="22" t="s">
        <v>254</v>
      </c>
      <c r="C128" s="22" t="s">
        <v>255</v>
      </c>
      <c r="D128" s="22" t="s">
        <v>178</v>
      </c>
      <c r="E128" s="26">
        <v>4222</v>
      </c>
      <c r="F128" s="24">
        <v>122.58577</v>
      </c>
      <c r="G128" s="25">
        <v>3.96267545396604E-2</v>
      </c>
      <c r="H128" s="27"/>
    </row>
    <row r="129" spans="2:9" x14ac:dyDescent="0.2">
      <c r="B129" s="22" t="s">
        <v>252</v>
      </c>
      <c r="C129" s="22" t="s">
        <v>253</v>
      </c>
      <c r="D129" s="22" t="s">
        <v>31</v>
      </c>
      <c r="E129" s="26">
        <v>10532</v>
      </c>
      <c r="F129" s="24">
        <v>112.813518</v>
      </c>
      <c r="G129" s="25">
        <v>3.6467801985022898E-2</v>
      </c>
      <c r="H129" s="27"/>
    </row>
    <row r="130" spans="2:9" x14ac:dyDescent="0.2">
      <c r="B130" s="22" t="s">
        <v>267</v>
      </c>
      <c r="C130" s="22" t="s">
        <v>268</v>
      </c>
      <c r="D130" s="22" t="s">
        <v>58</v>
      </c>
      <c r="E130" s="26">
        <v>28741</v>
      </c>
      <c r="F130" s="24">
        <v>100.2054965</v>
      </c>
      <c r="G130" s="25">
        <v>3.2392166018374698E-2</v>
      </c>
      <c r="H130" s="27"/>
    </row>
    <row r="131" spans="2:9" x14ac:dyDescent="0.2">
      <c r="B131" s="22" t="s">
        <v>210</v>
      </c>
      <c r="C131" s="22" t="s">
        <v>211</v>
      </c>
      <c r="D131" s="22" t="s">
        <v>55</v>
      </c>
      <c r="E131" s="26">
        <v>21048</v>
      </c>
      <c r="F131" s="24">
        <v>95.210628</v>
      </c>
      <c r="G131" s="25">
        <v>3.0777537925673702E-2</v>
      </c>
      <c r="H131" s="27"/>
    </row>
    <row r="132" spans="2:9" x14ac:dyDescent="0.2">
      <c r="B132" s="22" t="s">
        <v>319</v>
      </c>
      <c r="C132" s="22" t="s">
        <v>320</v>
      </c>
      <c r="D132" s="22" t="s">
        <v>75</v>
      </c>
      <c r="E132" s="26">
        <v>14120</v>
      </c>
      <c r="F132" s="24">
        <v>94.145099999999999</v>
      </c>
      <c r="G132" s="25">
        <v>3.04330981386484E-2</v>
      </c>
      <c r="H132" s="27"/>
    </row>
    <row r="133" spans="2:9" x14ac:dyDescent="0.2">
      <c r="B133" s="22" t="s">
        <v>271</v>
      </c>
      <c r="C133" s="22" t="s">
        <v>272</v>
      </c>
      <c r="D133" s="22" t="s">
        <v>183</v>
      </c>
      <c r="E133" s="26">
        <v>61412</v>
      </c>
      <c r="F133" s="24">
        <v>88.746481200000005</v>
      </c>
      <c r="G133" s="25">
        <v>2.86879547827695E-2</v>
      </c>
      <c r="H133" s="27"/>
    </row>
    <row r="134" spans="2:9" ht="10.5" x14ac:dyDescent="0.25">
      <c r="B134" s="21" t="s">
        <v>145</v>
      </c>
      <c r="C134" s="21"/>
      <c r="D134" s="21"/>
      <c r="E134" s="28"/>
      <c r="F134" s="29">
        <f>SUM(F7:F133)</f>
        <v>306644.75632570038</v>
      </c>
      <c r="G134" s="30">
        <f>SUM(G7:G133)</f>
        <v>99.125179780593399</v>
      </c>
      <c r="H134" s="21"/>
      <c r="I134" s="14"/>
    </row>
    <row r="135" spans="2:9" ht="10.5" x14ac:dyDescent="0.25">
      <c r="B135" s="21" t="s">
        <v>146</v>
      </c>
      <c r="C135" s="21"/>
      <c r="D135" s="21"/>
      <c r="E135" s="28"/>
      <c r="F135" s="31" t="s">
        <v>147</v>
      </c>
      <c r="G135" s="32" t="s">
        <v>147</v>
      </c>
      <c r="H135" s="21"/>
      <c r="I135" s="14"/>
    </row>
    <row r="136" spans="2:9" ht="10.5" x14ac:dyDescent="0.25">
      <c r="B136" s="21" t="s">
        <v>145</v>
      </c>
      <c r="C136" s="21"/>
      <c r="D136" s="21"/>
      <c r="E136" s="28"/>
      <c r="F136" s="33" t="s">
        <v>147</v>
      </c>
      <c r="G136" s="34" t="s">
        <v>147</v>
      </c>
      <c r="H136" s="21"/>
      <c r="I136" s="14"/>
    </row>
    <row r="137" spans="2:9" ht="10.5" x14ac:dyDescent="0.25">
      <c r="B137" s="35" t="s">
        <v>148</v>
      </c>
      <c r="C137" s="35"/>
      <c r="D137" s="35"/>
      <c r="E137" s="36"/>
      <c r="F137" s="37">
        <f>F134</f>
        <v>306644.75632570038</v>
      </c>
      <c r="G137" s="38">
        <f>G134</f>
        <v>99.125179780593399</v>
      </c>
      <c r="H137" s="21"/>
      <c r="I137" s="14"/>
    </row>
    <row r="138" spans="2:9" ht="10.5" x14ac:dyDescent="0.25">
      <c r="B138" s="21" t="s">
        <v>149</v>
      </c>
      <c r="C138" s="21"/>
      <c r="D138" s="21"/>
      <c r="E138" s="28"/>
      <c r="F138" s="29">
        <v>2836.9094669000001</v>
      </c>
      <c r="G138" s="30">
        <v>0.91705191472130099</v>
      </c>
      <c r="H138" s="27">
        <v>5.3499999999999999E-2</v>
      </c>
      <c r="I138" s="15"/>
    </row>
    <row r="139" spans="2:9" x14ac:dyDescent="0.2">
      <c r="B139" s="22"/>
      <c r="C139" s="22"/>
      <c r="D139" s="22"/>
      <c r="E139" s="23"/>
      <c r="F139" s="24"/>
      <c r="G139" s="25"/>
      <c r="H139" s="22"/>
    </row>
    <row r="140" spans="2:9" ht="10.5" x14ac:dyDescent="0.25">
      <c r="B140" s="21" t="s">
        <v>151</v>
      </c>
      <c r="C140" s="22"/>
      <c r="D140" s="22"/>
      <c r="E140" s="23"/>
      <c r="F140" s="86">
        <v>300</v>
      </c>
      <c r="G140" s="86">
        <f>F140/F142*100</f>
        <v>9.6977213276044236E-2</v>
      </c>
      <c r="H140" s="22"/>
    </row>
    <row r="141" spans="2:9" ht="10.5" x14ac:dyDescent="0.25">
      <c r="B141" s="44" t="s">
        <v>152</v>
      </c>
      <c r="C141" s="44"/>
      <c r="D141" s="44"/>
      <c r="E141" s="45"/>
      <c r="F141" s="29">
        <f>F142-(F134+F138+F140)</f>
        <v>-430.64418090035906</v>
      </c>
      <c r="G141" s="30">
        <f>G142-(G134+G138+G140)</f>
        <v>-0.13920890859074575</v>
      </c>
      <c r="H141" s="21"/>
      <c r="I141" s="14"/>
    </row>
    <row r="142" spans="2:9" ht="10.5" x14ac:dyDescent="0.25">
      <c r="B142" s="39" t="s">
        <v>150</v>
      </c>
      <c r="C142" s="39"/>
      <c r="D142" s="39"/>
      <c r="E142" s="40"/>
      <c r="F142" s="41">
        <v>309351.02161170001</v>
      </c>
      <c r="G142" s="42">
        <v>100</v>
      </c>
      <c r="H142" s="43"/>
      <c r="I142" s="14"/>
    </row>
    <row r="144" spans="2:9" ht="10.5" x14ac:dyDescent="0.25">
      <c r="B144" s="14" t="s">
        <v>153</v>
      </c>
    </row>
    <row r="146" spans="2:7" ht="10.5" x14ac:dyDescent="0.25">
      <c r="B146" s="46" t="s">
        <v>4</v>
      </c>
      <c r="C146" s="46" t="s">
        <v>154</v>
      </c>
      <c r="D146" s="46" t="s">
        <v>155</v>
      </c>
      <c r="E146" s="47" t="s">
        <v>0</v>
      </c>
      <c r="F146" s="48" t="s">
        <v>156</v>
      </c>
      <c r="G146" s="49" t="s">
        <v>157</v>
      </c>
    </row>
    <row r="147" spans="2:7" x14ac:dyDescent="0.2">
      <c r="B147" s="50" t="s">
        <v>158</v>
      </c>
      <c r="C147" s="50" t="s">
        <v>159</v>
      </c>
      <c r="D147" s="50" t="s">
        <v>160</v>
      </c>
      <c r="E147" s="51">
        <v>6500</v>
      </c>
      <c r="F147" s="52">
        <v>1543.672</v>
      </c>
      <c r="G147" s="53">
        <v>0.49900336257419298</v>
      </c>
    </row>
    <row r="148" spans="2:7" ht="10.5" x14ac:dyDescent="0.25">
      <c r="B148" s="46"/>
      <c r="C148" s="46"/>
      <c r="D148" s="46"/>
      <c r="E148" s="47"/>
      <c r="F148" s="48">
        <f>SUM(F147:F147)</f>
        <v>1543.672</v>
      </c>
      <c r="G148" s="49">
        <f>SUM(G147:G147)</f>
        <v>0.49900336257419298</v>
      </c>
    </row>
    <row r="150" spans="2:7" ht="10.5" x14ac:dyDescent="0.25">
      <c r="B150" s="14" t="s">
        <v>163</v>
      </c>
    </row>
    <row r="151" spans="2:7" ht="10.5" x14ac:dyDescent="0.25">
      <c r="B151" s="14"/>
    </row>
    <row r="152" spans="2:7" ht="10.5" x14ac:dyDescent="0.2">
      <c r="B152" s="57" t="s">
        <v>161</v>
      </c>
      <c r="E152" s="8"/>
    </row>
    <row r="153" spans="2:7" ht="10.5" x14ac:dyDescent="0.2">
      <c r="B153" s="57"/>
      <c r="E153" s="8"/>
    </row>
    <row r="154" spans="2:7" x14ac:dyDescent="0.2">
      <c r="B154" s="59" t="s">
        <v>324</v>
      </c>
      <c r="E154" s="8"/>
    </row>
    <row r="155" spans="2:7" x14ac:dyDescent="0.2">
      <c r="B155" s="59" t="s">
        <v>328</v>
      </c>
      <c r="E155" s="8"/>
    </row>
    <row r="156" spans="2:7" x14ac:dyDescent="0.2">
      <c r="B156" s="59" t="s">
        <v>329</v>
      </c>
      <c r="E156" s="8"/>
    </row>
    <row r="157" spans="2:7" ht="10.5" x14ac:dyDescent="0.2">
      <c r="B157" s="57"/>
      <c r="E157" s="8"/>
    </row>
    <row r="158" spans="2:7" ht="10.5" x14ac:dyDescent="0.2">
      <c r="B158" s="63" t="s">
        <v>325</v>
      </c>
      <c r="C158" s="60" t="s">
        <v>326</v>
      </c>
      <c r="D158" s="60" t="s">
        <v>364</v>
      </c>
      <c r="E158" s="8"/>
    </row>
    <row r="159" spans="2:7" x14ac:dyDescent="0.2">
      <c r="B159" s="61" t="s">
        <v>327</v>
      </c>
      <c r="C159" s="64">
        <v>9.6951000000000001</v>
      </c>
      <c r="D159" s="64">
        <v>9.6484000000000005</v>
      </c>
      <c r="E159" s="8"/>
    </row>
    <row r="160" spans="2:7" ht="10.5" x14ac:dyDescent="0.2">
      <c r="B160" s="57"/>
      <c r="E160" s="8"/>
    </row>
    <row r="161" spans="2:6" ht="10.5" x14ac:dyDescent="0.2">
      <c r="B161" s="57"/>
      <c r="E161" s="8"/>
    </row>
    <row r="162" spans="2:6" x14ac:dyDescent="0.2">
      <c r="B162" s="59" t="s">
        <v>365</v>
      </c>
      <c r="E162" s="8"/>
    </row>
    <row r="163" spans="2:6" x14ac:dyDescent="0.2">
      <c r="B163" s="59"/>
      <c r="E163" s="8"/>
    </row>
    <row r="164" spans="2:6" ht="10.5" x14ac:dyDescent="0.2">
      <c r="B164" s="66" t="s">
        <v>354</v>
      </c>
      <c r="E164" s="8"/>
    </row>
    <row r="165" spans="2:6" x14ac:dyDescent="0.2">
      <c r="B165" s="62"/>
      <c r="E165" s="8"/>
    </row>
    <row r="166" spans="2:6" ht="10.5" x14ac:dyDescent="0.2">
      <c r="B166" s="66" t="s">
        <v>355</v>
      </c>
      <c r="E166" s="8"/>
    </row>
    <row r="167" spans="2:6" ht="21" x14ac:dyDescent="0.2">
      <c r="B167" s="67" t="s">
        <v>330</v>
      </c>
      <c r="C167" s="68" t="s">
        <v>331</v>
      </c>
      <c r="D167" s="68" t="s">
        <v>332</v>
      </c>
      <c r="E167" s="68" t="s">
        <v>333</v>
      </c>
      <c r="F167" s="68" t="s">
        <v>334</v>
      </c>
    </row>
    <row r="168" spans="2:6" x14ac:dyDescent="0.2">
      <c r="B168" s="101" t="s">
        <v>164</v>
      </c>
      <c r="C168" s="102"/>
      <c r="D168" s="102"/>
      <c r="E168" s="102"/>
      <c r="F168" s="103"/>
    </row>
    <row r="169" spans="2:6" x14ac:dyDescent="0.2">
      <c r="B169" s="62" t="s">
        <v>335</v>
      </c>
      <c r="E169" s="8"/>
    </row>
    <row r="170" spans="2:6" x14ac:dyDescent="0.2">
      <c r="B170" s="62" t="s">
        <v>356</v>
      </c>
      <c r="E170" s="8"/>
    </row>
    <row r="171" spans="2:6" x14ac:dyDescent="0.2">
      <c r="B171" s="62"/>
      <c r="E171" s="8"/>
    </row>
    <row r="172" spans="2:6" ht="10" customHeight="1" x14ac:dyDescent="0.2">
      <c r="B172" s="97" t="s">
        <v>336</v>
      </c>
      <c r="C172" s="97" t="s">
        <v>337</v>
      </c>
      <c r="D172" s="97" t="s">
        <v>338</v>
      </c>
      <c r="E172" s="97" t="s">
        <v>339</v>
      </c>
      <c r="F172" s="97" t="s">
        <v>340</v>
      </c>
    </row>
    <row r="173" spans="2:6" ht="10" customHeight="1" x14ac:dyDescent="0.2">
      <c r="B173" s="98"/>
      <c r="C173" s="98"/>
      <c r="D173" s="98"/>
      <c r="E173" s="98"/>
      <c r="F173" s="98"/>
    </row>
    <row r="174" spans="2:6" x14ac:dyDescent="0.2">
      <c r="B174" s="101" t="s">
        <v>164</v>
      </c>
      <c r="C174" s="102"/>
      <c r="D174" s="102"/>
      <c r="E174" s="102"/>
      <c r="F174" s="103"/>
    </row>
    <row r="175" spans="2:6" x14ac:dyDescent="0.2">
      <c r="B175" s="62"/>
      <c r="E175" s="8"/>
    </row>
    <row r="176" spans="2:6" ht="10.5" x14ac:dyDescent="0.25">
      <c r="B176" s="69" t="s">
        <v>357</v>
      </c>
      <c r="C176" s="70"/>
      <c r="D176" s="70"/>
      <c r="E176" s="70"/>
      <c r="F176" s="70"/>
    </row>
    <row r="177" spans="2:6" x14ac:dyDescent="0.2">
      <c r="B177" s="71"/>
      <c r="C177" s="70"/>
      <c r="D177" s="70"/>
      <c r="E177" s="70"/>
      <c r="F177" s="70"/>
    </row>
    <row r="178" spans="2:6" ht="21" x14ac:dyDescent="0.2">
      <c r="B178" s="67" t="s">
        <v>330</v>
      </c>
      <c r="C178" s="68" t="s">
        <v>331</v>
      </c>
      <c r="D178" s="68" t="s">
        <v>332</v>
      </c>
      <c r="E178" s="68" t="s">
        <v>333</v>
      </c>
      <c r="F178" s="68" t="s">
        <v>334</v>
      </c>
    </row>
    <row r="179" spans="2:6" x14ac:dyDescent="0.2">
      <c r="B179" s="87" t="s">
        <v>158</v>
      </c>
      <c r="C179" s="88" t="s">
        <v>159</v>
      </c>
      <c r="D179" s="89">
        <v>23854.218000000001</v>
      </c>
      <c r="E179" s="90">
        <v>23748.799999999999</v>
      </c>
      <c r="F179" s="90">
        <v>174.59298999999999</v>
      </c>
    </row>
    <row r="180" spans="2:6" x14ac:dyDescent="0.2">
      <c r="B180" s="91"/>
      <c r="C180" s="92"/>
      <c r="D180" s="92"/>
      <c r="E180" s="92"/>
      <c r="F180" s="92"/>
    </row>
    <row r="181" spans="2:6" x14ac:dyDescent="0.2">
      <c r="B181" s="91" t="s">
        <v>366</v>
      </c>
      <c r="C181" s="92"/>
      <c r="D181" s="92"/>
      <c r="E181" s="92"/>
      <c r="F181" s="92"/>
    </row>
    <row r="182" spans="2:6" ht="10.5" x14ac:dyDescent="0.2">
      <c r="B182" s="70" t="s">
        <v>358</v>
      </c>
      <c r="C182" s="72"/>
      <c r="D182" s="73"/>
      <c r="E182" s="74"/>
      <c r="F182" s="75"/>
    </row>
    <row r="183" spans="2:6" ht="10.5" x14ac:dyDescent="0.2">
      <c r="B183" s="70" t="s">
        <v>341</v>
      </c>
      <c r="C183" s="72"/>
      <c r="D183" s="73"/>
      <c r="E183" s="74"/>
      <c r="F183" s="75"/>
    </row>
    <row r="184" spans="2:6" ht="10" customHeight="1" x14ac:dyDescent="0.2">
      <c r="B184" s="104" t="s">
        <v>336</v>
      </c>
      <c r="C184" s="104" t="s">
        <v>337</v>
      </c>
      <c r="D184" s="104" t="s">
        <v>338</v>
      </c>
      <c r="E184" s="104" t="s">
        <v>339</v>
      </c>
      <c r="F184" s="104" t="s">
        <v>340</v>
      </c>
    </row>
    <row r="185" spans="2:6" ht="10" customHeight="1" x14ac:dyDescent="0.2">
      <c r="B185" s="105"/>
      <c r="C185" s="105"/>
      <c r="D185" s="105"/>
      <c r="E185" s="105"/>
      <c r="F185" s="105"/>
    </row>
    <row r="186" spans="2:6" x14ac:dyDescent="0.2">
      <c r="B186" s="93">
        <v>320</v>
      </c>
      <c r="C186" s="93">
        <v>366</v>
      </c>
      <c r="D186" s="94">
        <v>5000.8263520999999</v>
      </c>
      <c r="E186" s="76">
        <v>5733.5847438000001</v>
      </c>
      <c r="F186" s="95">
        <v>11.771696399999858</v>
      </c>
    </row>
    <row r="187" spans="2:6" x14ac:dyDescent="0.2">
      <c r="B187" s="65"/>
      <c r="C187" s="77"/>
      <c r="D187" s="77"/>
      <c r="E187" s="77"/>
      <c r="F187" s="56"/>
    </row>
    <row r="188" spans="2:6" ht="10.5" x14ac:dyDescent="0.2">
      <c r="B188" s="78" t="s">
        <v>359</v>
      </c>
      <c r="C188" s="79"/>
      <c r="D188" s="79"/>
      <c r="E188" s="80"/>
      <c r="F188" s="56"/>
    </row>
    <row r="189" spans="2:6" ht="10.5" x14ac:dyDescent="0.2">
      <c r="B189" s="81"/>
      <c r="C189" s="79"/>
      <c r="D189" s="79"/>
      <c r="E189" s="80"/>
      <c r="F189" s="56"/>
    </row>
    <row r="190" spans="2:6" ht="21" x14ac:dyDescent="0.2">
      <c r="B190" s="67" t="s">
        <v>330</v>
      </c>
      <c r="C190" s="68" t="s">
        <v>342</v>
      </c>
      <c r="D190" s="68" t="s">
        <v>343</v>
      </c>
      <c r="E190" s="68" t="s">
        <v>344</v>
      </c>
      <c r="F190" s="56"/>
    </row>
    <row r="191" spans="2:6" x14ac:dyDescent="0.2">
      <c r="B191" s="101" t="s">
        <v>164</v>
      </c>
      <c r="C191" s="102"/>
      <c r="D191" s="102"/>
      <c r="E191" s="103"/>
      <c r="F191" s="56"/>
    </row>
    <row r="192" spans="2:6" x14ac:dyDescent="0.2">
      <c r="B192" s="71" t="s">
        <v>345</v>
      </c>
      <c r="C192" s="70"/>
      <c r="D192" s="70"/>
      <c r="E192" s="70"/>
      <c r="F192" s="56"/>
    </row>
    <row r="193" spans="2:6" x14ac:dyDescent="0.2">
      <c r="B193" s="82"/>
      <c r="C193" s="83"/>
      <c r="D193" s="83"/>
      <c r="E193" s="82"/>
      <c r="F193" s="56"/>
    </row>
    <row r="194" spans="2:6" x14ac:dyDescent="0.2">
      <c r="B194" s="82" t="s">
        <v>360</v>
      </c>
      <c r="C194" s="83"/>
      <c r="D194" s="83"/>
      <c r="E194" s="82"/>
      <c r="F194" s="56"/>
    </row>
    <row r="195" spans="2:6" x14ac:dyDescent="0.2">
      <c r="B195" s="82"/>
      <c r="C195" s="83"/>
      <c r="D195" s="83"/>
      <c r="E195" s="82"/>
      <c r="F195" s="56"/>
    </row>
    <row r="196" spans="2:6" ht="10" customHeight="1" x14ac:dyDescent="0.2">
      <c r="B196" s="97" t="s">
        <v>346</v>
      </c>
      <c r="C196" s="97" t="s">
        <v>347</v>
      </c>
      <c r="D196" s="97" t="s">
        <v>348</v>
      </c>
      <c r="E196" s="82"/>
      <c r="F196" s="56"/>
    </row>
    <row r="197" spans="2:6" ht="10" customHeight="1" x14ac:dyDescent="0.2">
      <c r="B197" s="98"/>
      <c r="C197" s="98"/>
      <c r="D197" s="98"/>
      <c r="E197" s="82"/>
      <c r="F197" s="56"/>
    </row>
    <row r="198" spans="2:6" x14ac:dyDescent="0.2">
      <c r="B198" s="100" t="s">
        <v>164</v>
      </c>
      <c r="C198" s="100"/>
      <c r="D198" s="100"/>
      <c r="E198" s="77"/>
      <c r="F198" s="56"/>
    </row>
    <row r="199" spans="2:6" x14ac:dyDescent="0.2">
      <c r="B199" s="84"/>
      <c r="C199" s="84"/>
      <c r="D199" s="84"/>
      <c r="E199" s="77"/>
      <c r="F199" s="56"/>
    </row>
    <row r="200" spans="2:6" ht="10.5" x14ac:dyDescent="0.2">
      <c r="B200" s="78" t="s">
        <v>373</v>
      </c>
      <c r="C200" s="84"/>
      <c r="D200" s="84"/>
      <c r="E200" s="77"/>
      <c r="F200" s="56"/>
    </row>
    <row r="201" spans="2:6" x14ac:dyDescent="0.2">
      <c r="B201" s="84"/>
      <c r="C201" s="84"/>
      <c r="D201" s="84"/>
      <c r="E201" s="77"/>
      <c r="F201" s="56"/>
    </row>
    <row r="202" spans="2:6" ht="21" x14ac:dyDescent="0.2">
      <c r="B202" s="68" t="s">
        <v>330</v>
      </c>
      <c r="C202" s="68" t="s">
        <v>349</v>
      </c>
      <c r="D202" s="68" t="s">
        <v>350</v>
      </c>
      <c r="E202" s="68" t="s">
        <v>351</v>
      </c>
      <c r="F202" s="68" t="s">
        <v>352</v>
      </c>
    </row>
    <row r="203" spans="2:6" x14ac:dyDescent="0.2">
      <c r="B203" s="99" t="s">
        <v>164</v>
      </c>
      <c r="C203" s="99"/>
      <c r="D203" s="99"/>
      <c r="E203" s="99"/>
      <c r="F203" s="99"/>
    </row>
    <row r="204" spans="2:6" x14ac:dyDescent="0.2">
      <c r="B204" s="85" t="s">
        <v>353</v>
      </c>
      <c r="C204" s="84"/>
      <c r="D204" s="84"/>
      <c r="E204" s="77"/>
      <c r="F204" s="56"/>
    </row>
    <row r="205" spans="2:6" x14ac:dyDescent="0.2">
      <c r="B205" s="84"/>
      <c r="C205" s="84"/>
      <c r="D205" s="84"/>
      <c r="E205" s="77"/>
      <c r="F205" s="56"/>
    </row>
    <row r="206" spans="2:6" x14ac:dyDescent="0.2">
      <c r="B206" s="82" t="s">
        <v>361</v>
      </c>
      <c r="C206" s="83"/>
      <c r="D206" s="83"/>
      <c r="E206" s="77"/>
      <c r="F206" s="56"/>
    </row>
    <row r="207" spans="2:6" x14ac:dyDescent="0.2">
      <c r="B207" s="82"/>
      <c r="C207" s="83"/>
      <c r="D207" s="83"/>
      <c r="E207" s="77"/>
      <c r="F207" s="56"/>
    </row>
    <row r="208" spans="2:6" ht="10" customHeight="1" x14ac:dyDescent="0.2">
      <c r="B208" s="97" t="s">
        <v>346</v>
      </c>
      <c r="C208" s="97" t="s">
        <v>347</v>
      </c>
      <c r="D208" s="97" t="s">
        <v>348</v>
      </c>
      <c r="E208" s="77"/>
      <c r="F208" s="56"/>
    </row>
    <row r="209" spans="2:7" ht="10" customHeight="1" x14ac:dyDescent="0.2">
      <c r="B209" s="98"/>
      <c r="C209" s="98"/>
      <c r="D209" s="98"/>
      <c r="E209" s="77"/>
      <c r="F209" s="56"/>
    </row>
    <row r="210" spans="2:7" x14ac:dyDescent="0.2">
      <c r="B210" s="100" t="s">
        <v>164</v>
      </c>
      <c r="C210" s="100"/>
      <c r="D210" s="100"/>
      <c r="E210" s="77"/>
      <c r="F210" s="56"/>
    </row>
    <row r="211" spans="2:7" x14ac:dyDescent="0.2">
      <c r="B211" s="59"/>
      <c r="E211" s="8"/>
    </row>
    <row r="212" spans="2:7" x14ac:dyDescent="0.2">
      <c r="B212" s="59" t="s">
        <v>362</v>
      </c>
      <c r="E212" s="8"/>
    </row>
    <row r="213" spans="2:7" x14ac:dyDescent="0.2">
      <c r="B213" s="96" t="s">
        <v>367</v>
      </c>
      <c r="E213" s="8"/>
    </row>
    <row r="214" spans="2:7" x14ac:dyDescent="0.2">
      <c r="B214" s="59" t="s">
        <v>363</v>
      </c>
      <c r="E214" s="8"/>
    </row>
    <row r="215" spans="2:7" ht="10.5" x14ac:dyDescent="0.25">
      <c r="B215" s="14"/>
    </row>
    <row r="217" spans="2:7" ht="10.5" x14ac:dyDescent="0.25">
      <c r="B217" s="14" t="s">
        <v>162</v>
      </c>
      <c r="E217" s="8"/>
      <c r="G217" s="56"/>
    </row>
    <row r="218" spans="2:7" x14ac:dyDescent="0.2">
      <c r="E218" s="8"/>
      <c r="G218" s="56"/>
    </row>
    <row r="219" spans="2:7" x14ac:dyDescent="0.2">
      <c r="E219" s="8"/>
      <c r="G219" s="56"/>
    </row>
    <row r="220" spans="2:7" x14ac:dyDescent="0.2">
      <c r="E220" s="8"/>
      <c r="G220" s="56"/>
    </row>
    <row r="221" spans="2:7" x14ac:dyDescent="0.2">
      <c r="E221" s="8"/>
      <c r="G221" s="56"/>
    </row>
    <row r="222" spans="2:7" x14ac:dyDescent="0.2">
      <c r="E222" s="8"/>
      <c r="G222" s="56"/>
    </row>
    <row r="223" spans="2:7" x14ac:dyDescent="0.2">
      <c r="E223" s="8"/>
      <c r="G223" s="56"/>
    </row>
    <row r="224" spans="2:7" x14ac:dyDescent="0.2">
      <c r="E224" s="8"/>
      <c r="G224" s="56"/>
    </row>
    <row r="225" spans="2:7" x14ac:dyDescent="0.2">
      <c r="E225" s="8"/>
      <c r="G225" s="56"/>
    </row>
    <row r="226" spans="2:7" x14ac:dyDescent="0.2">
      <c r="E226" s="8"/>
      <c r="G226" s="56"/>
    </row>
    <row r="227" spans="2:7" x14ac:dyDescent="0.2">
      <c r="E227" s="8"/>
      <c r="G227" s="56"/>
    </row>
    <row r="228" spans="2:7" x14ac:dyDescent="0.2">
      <c r="E228" s="8"/>
      <c r="G228" s="56"/>
    </row>
    <row r="229" spans="2:7" x14ac:dyDescent="0.2">
      <c r="E229" s="8"/>
      <c r="G229" s="56"/>
    </row>
    <row r="230" spans="2:7" x14ac:dyDescent="0.2">
      <c r="E230" s="8"/>
      <c r="G230" s="56"/>
    </row>
    <row r="231" spans="2:7" x14ac:dyDescent="0.2">
      <c r="E231" s="8"/>
      <c r="G231" s="56"/>
    </row>
    <row r="232" spans="2:7" x14ac:dyDescent="0.2">
      <c r="E232" s="8"/>
      <c r="G232" s="56"/>
    </row>
    <row r="233" spans="2:7" x14ac:dyDescent="0.2">
      <c r="E233" s="8"/>
      <c r="G233" s="56"/>
    </row>
    <row r="234" spans="2:7" ht="10.5" x14ac:dyDescent="0.2">
      <c r="B234" s="57" t="s">
        <v>321</v>
      </c>
      <c r="E234" s="8"/>
      <c r="G234" s="56"/>
    </row>
    <row r="235" spans="2:7" ht="10.5" x14ac:dyDescent="0.25">
      <c r="B235" s="58" t="s">
        <v>322</v>
      </c>
      <c r="E235" s="8"/>
      <c r="G235" s="56"/>
    </row>
    <row r="236" spans="2:7" x14ac:dyDescent="0.2">
      <c r="E236" s="8"/>
      <c r="G236" s="56"/>
    </row>
    <row r="237" spans="2:7" x14ac:dyDescent="0.2">
      <c r="E237" s="8"/>
      <c r="G237" s="56"/>
    </row>
    <row r="238" spans="2:7" x14ac:dyDescent="0.2">
      <c r="E238" s="8"/>
      <c r="G238" s="56"/>
    </row>
    <row r="239" spans="2:7" x14ac:dyDescent="0.2">
      <c r="E239" s="8"/>
      <c r="G239" s="56"/>
    </row>
    <row r="240" spans="2:7" x14ac:dyDescent="0.2">
      <c r="E240" s="8"/>
      <c r="G240" s="56"/>
    </row>
    <row r="241" spans="5:7" x14ac:dyDescent="0.2">
      <c r="E241" s="8"/>
      <c r="G241" s="56"/>
    </row>
    <row r="242" spans="5:7" x14ac:dyDescent="0.2">
      <c r="E242" s="8"/>
      <c r="G242" s="56"/>
    </row>
    <row r="243" spans="5:7" x14ac:dyDescent="0.2">
      <c r="E243" s="8"/>
      <c r="G243" s="56"/>
    </row>
    <row r="244" spans="5:7" x14ac:dyDescent="0.2">
      <c r="E244" s="8"/>
      <c r="G244" s="56"/>
    </row>
    <row r="245" spans="5:7" x14ac:dyDescent="0.2">
      <c r="E245" s="8"/>
      <c r="G245" s="56"/>
    </row>
    <row r="246" spans="5:7" x14ac:dyDescent="0.2">
      <c r="E246" s="8"/>
      <c r="G246" s="56"/>
    </row>
    <row r="247" spans="5:7" x14ac:dyDescent="0.2">
      <c r="E247" s="8"/>
      <c r="G247" s="56"/>
    </row>
    <row r="248" spans="5:7" x14ac:dyDescent="0.2">
      <c r="E248" s="8"/>
      <c r="G248" s="56"/>
    </row>
    <row r="249" spans="5:7" x14ac:dyDescent="0.2">
      <c r="E249" s="8"/>
      <c r="G249" s="56"/>
    </row>
    <row r="250" spans="5:7" x14ac:dyDescent="0.2">
      <c r="E250" s="8"/>
      <c r="G250" s="56"/>
    </row>
    <row r="251" spans="5:7" x14ac:dyDescent="0.2">
      <c r="E251" s="8"/>
      <c r="G251" s="56"/>
    </row>
    <row r="252" spans="5:7" x14ac:dyDescent="0.2">
      <c r="E252" s="8"/>
      <c r="G252" s="56"/>
    </row>
    <row r="253" spans="5:7" x14ac:dyDescent="0.2">
      <c r="E253" s="8"/>
      <c r="G253" s="56"/>
    </row>
  </sheetData>
  <mergeCells count="23">
    <mergeCell ref="B1:C1"/>
    <mergeCell ref="C172:C173"/>
    <mergeCell ref="D172:D173"/>
    <mergeCell ref="E172:E173"/>
    <mergeCell ref="F172:F173"/>
    <mergeCell ref="B168:F168"/>
    <mergeCell ref="B172:B173"/>
    <mergeCell ref="C184:C185"/>
    <mergeCell ref="D184:D185"/>
    <mergeCell ref="E184:E185"/>
    <mergeCell ref="F184:F185"/>
    <mergeCell ref="B174:F174"/>
    <mergeCell ref="B184:B185"/>
    <mergeCell ref="C196:C197"/>
    <mergeCell ref="D196:D197"/>
    <mergeCell ref="B191:E191"/>
    <mergeCell ref="B196:B197"/>
    <mergeCell ref="B198:D198"/>
    <mergeCell ref="C208:C209"/>
    <mergeCell ref="D208:D209"/>
    <mergeCell ref="B203:F203"/>
    <mergeCell ref="B208:B209"/>
    <mergeCell ref="B210:D210"/>
  </mergeCells>
  <conditionalFormatting sqref="G1:G3 G5:G252">
    <cfRule type="cellIs" dxfId="0" priority="2" stopIfTrue="1" operator="between">
      <formula>0.009</formula>
      <formula>-0.009</formula>
    </cfRule>
  </conditionalFormatting>
  <hyperlinks>
    <hyperlink ref="A2" location="Index!A1" display="-" xr:uid="{EA408269-D4E1-4CBB-9F5A-98B5C03583B8}"/>
  </hyperlinks>
  <pageMargins left="0.7" right="0.7" top="0.75" bottom="0.75" header="0.3" footer="0.3"/>
  <pageSetup paperSize="9" scale="35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99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JBFLEXI</vt:lpstr>
      <vt:lpstr>JBFLEXI!Print_Area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2026-06-09T07:15:26Z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