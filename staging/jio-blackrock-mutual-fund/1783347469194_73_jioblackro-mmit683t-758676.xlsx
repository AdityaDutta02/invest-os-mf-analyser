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F80FEDBC-21CE-460A-98C5-345C2BD5CC42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NM150" sheetId="11" r:id="rId1"/>
  </sheets>
  <definedNames>
    <definedName name="_xlnm.Print_Area" localSheetId="0">JBNM150!$B$1:$H$205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11" l="1"/>
  <c r="G163" i="11" s="1"/>
  <c r="F157" i="11"/>
  <c r="F160" i="11" s="1"/>
  <c r="G160" i="11" l="1"/>
  <c r="F163" i="11"/>
</calcChain>
</file>

<file path=xl/sharedStrings.xml><?xml version="1.0" encoding="utf-8"?>
<sst xmlns="http://schemas.openxmlformats.org/spreadsheetml/2006/main" count="476" uniqueCount="363">
  <si>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</si>
  <si>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</si>
  <si>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</si>
  <si>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</si>
  <si>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</si>
  <si>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</si>
  <si>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</si>
  <si>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</si>
  <si>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</si>
  <si>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</si>
  <si>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</si>
  <si>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</si>
  <si>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</si>
  <si>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</si>
  <si>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</si>
  <si>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</si>
  <si>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</si>
  <si>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</si>
  <si>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Telecom - Services</t>
  </si>
  <si>
    <t>Construction</t>
  </si>
  <si>
    <t>IT - Software</t>
  </si>
  <si>
    <t>Automobiles</t>
  </si>
  <si>
    <t>Finance</t>
  </si>
  <si>
    <t>Pharmaceuticals &amp; Biotechnology</t>
  </si>
  <si>
    <t>Power</t>
  </si>
  <si>
    <t>Consumer Durables</t>
  </si>
  <si>
    <t>Retailing</t>
  </si>
  <si>
    <t>Ferrous Metals</t>
  </si>
  <si>
    <t>Aerospace &amp; Defense</t>
  </si>
  <si>
    <t>Cement &amp; Cement Products</t>
  </si>
  <si>
    <t>Non - Ferrous Metals</t>
  </si>
  <si>
    <t>Transport Infrastructure</t>
  </si>
  <si>
    <t>Transport Services</t>
  </si>
  <si>
    <t>Oil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</si>
  <si>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</si>
  <si>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</si>
  <si>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</si>
  <si>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</si>
  <si>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</si>
  <si>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</si>
  <si>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Beverages</t>
  </si>
  <si>
    <t>Auto Components</t>
  </si>
  <si>
    <t>Leisure Services</t>
  </si>
  <si>
    <t>Electrical Equipment</t>
  </si>
  <si>
    <t>Personal Products</t>
  </si>
  <si>
    <t>Chemicals &amp; Petrochemicals</t>
  </si>
  <si>
    <t>Gas</t>
  </si>
  <si>
    <t>Realty</t>
  </si>
  <si>
    <t>Industrial Manufacturing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</si>
  <si>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</si>
  <si>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</si>
  <si>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</si>
  <si>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</si>
  <si>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</si>
  <si>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</si>
  <si>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</si>
  <si>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Cummins India Ltd</t>
  </si>
  <si>
    <t>INE298A01020</t>
  </si>
  <si>
    <t>Industrial Products</t>
  </si>
  <si>
    <t>IndusInd Bank Ltd</t>
  </si>
  <si>
    <t>INE095A01012</t>
  </si>
  <si>
    <t>Ashok Leyland Ltd</t>
  </si>
  <si>
    <t>INE208A01029</t>
  </si>
  <si>
    <t>Agricultural, Commercial &amp; Construction Vehicles</t>
  </si>
  <si>
    <t>Indus Towers Ltd</t>
  </si>
  <si>
    <t>INE121J01017</t>
  </si>
  <si>
    <t>Lupin Ltd</t>
  </si>
  <si>
    <t>INE326A01037</t>
  </si>
  <si>
    <t>HDFC Asset Management Co Ltd</t>
  </si>
  <si>
    <t>INE127D01025</t>
  </si>
  <si>
    <t>AU Small Finance Bank Ltd</t>
  </si>
  <si>
    <t>INE949L01017</t>
  </si>
  <si>
    <t>Suzlon Energy Ltd</t>
  </si>
  <si>
    <t>INE040H01021</t>
  </si>
  <si>
    <t>Persistent Systems Ltd</t>
  </si>
  <si>
    <t>INE262H01021</t>
  </si>
  <si>
    <t>Bharat Forge Ltd</t>
  </si>
  <si>
    <t>INE465A01025</t>
  </si>
  <si>
    <t>PB Fintech Ltd</t>
  </si>
  <si>
    <t>INE417T01026</t>
  </si>
  <si>
    <t>Financial Technology (Fintech)</t>
  </si>
  <si>
    <t>Fortis Healthcare Ltd</t>
  </si>
  <si>
    <t>INE061F01013</t>
  </si>
  <si>
    <t>IDFC First Bank Ltd</t>
  </si>
  <si>
    <t>INE092T01019</t>
  </si>
  <si>
    <t>Max Financial Services Ltd</t>
  </si>
  <si>
    <t>INE180A01020</t>
  </si>
  <si>
    <t>Ge Vernova T&amp;D India Ltd</t>
  </si>
  <si>
    <t>INE200A01026</t>
  </si>
  <si>
    <t>Polycab India Ltd</t>
  </si>
  <si>
    <t>INE455K01017</t>
  </si>
  <si>
    <t>One 97 Communications Ltd</t>
  </si>
  <si>
    <t>INE982J01020</t>
  </si>
  <si>
    <t>Dixon Technologies (India) Ltd</t>
  </si>
  <si>
    <t>INE935N01020</t>
  </si>
  <si>
    <t>Hindustan Petroleum Corporation Ltd</t>
  </si>
  <si>
    <t>INE094A01015</t>
  </si>
  <si>
    <t>Marico Ltd</t>
  </si>
  <si>
    <t>INE196A01026</t>
  </si>
  <si>
    <t>APL Apollo Tubes Ltd</t>
  </si>
  <si>
    <t>INE702C01027</t>
  </si>
  <si>
    <t>Swiggy Ltd</t>
  </si>
  <si>
    <t>INE00H001014</t>
  </si>
  <si>
    <t>Coforge Ltd</t>
  </si>
  <si>
    <t>INE591G01025</t>
  </si>
  <si>
    <t>Union Bank Of India</t>
  </si>
  <si>
    <t>INE692A01016</t>
  </si>
  <si>
    <t>Bharat Heavy Electricals Ltd</t>
  </si>
  <si>
    <t>INE257A01026</t>
  </si>
  <si>
    <t>Sundaram Finance Ltd</t>
  </si>
  <si>
    <t>INE660A01013</t>
  </si>
  <si>
    <t>SRF Ltd</t>
  </si>
  <si>
    <t>INE647A01010</t>
  </si>
  <si>
    <t>Yes Bank Ltd</t>
  </si>
  <si>
    <t>INE528G01035</t>
  </si>
  <si>
    <t>FSN E-Commerce Ventures Ltd</t>
  </si>
  <si>
    <t>INE388Y01029</t>
  </si>
  <si>
    <t>Muthoot Finance Ltd</t>
  </si>
  <si>
    <t>INE414G01012</t>
  </si>
  <si>
    <t>GMR Airports Ltd</t>
  </si>
  <si>
    <t>INE776C01039</t>
  </si>
  <si>
    <t>UPL Ltd</t>
  </si>
  <si>
    <t>INE628A01036</t>
  </si>
  <si>
    <t>Fertilizers &amp; Agrochemicals</t>
  </si>
  <si>
    <t>Voltas Ltd</t>
  </si>
  <si>
    <t>INE226A01021</t>
  </si>
  <si>
    <t>Indian Bank</t>
  </si>
  <si>
    <t>INE562A01011</t>
  </si>
  <si>
    <t>Aurobindo Pharma Ltd</t>
  </si>
  <si>
    <t>INE406A01037</t>
  </si>
  <si>
    <t>Alkem Laboratories Ltd</t>
  </si>
  <si>
    <t>INE540L01014</t>
  </si>
  <si>
    <t>Hitachi Energy India Ltd</t>
  </si>
  <si>
    <t>INE07Y701011</t>
  </si>
  <si>
    <t>Glenmark Pharmaceuticals Ltd</t>
  </si>
  <si>
    <t>INE935A01035</t>
  </si>
  <si>
    <t>National Aluminium Co Ltd</t>
  </si>
  <si>
    <t>INE139A01034</t>
  </si>
  <si>
    <t>KEI Industries Ltd</t>
  </si>
  <si>
    <t>INE878B01027</t>
  </si>
  <si>
    <t>Phoenix Mills Ltd</t>
  </si>
  <si>
    <t>INE211B01039</t>
  </si>
  <si>
    <t>Dabur India Ltd</t>
  </si>
  <si>
    <t>INE016A01026</t>
  </si>
  <si>
    <t>Torrent Power Ltd</t>
  </si>
  <si>
    <t>INE813H01021</t>
  </si>
  <si>
    <t>Colgate Palmolive (India) Ltd</t>
  </si>
  <si>
    <t>INE259A01022</t>
  </si>
  <si>
    <t>Tube Investments of India Ltd</t>
  </si>
  <si>
    <t>INE974X01010</t>
  </si>
  <si>
    <t>Vodafone Idea Ltd</t>
  </si>
  <si>
    <t>INE669E01016</t>
  </si>
  <si>
    <t>MRF Ltd</t>
  </si>
  <si>
    <t>INE883A01011</t>
  </si>
  <si>
    <t>NMDC Ltd</t>
  </si>
  <si>
    <t>INE584A01023</t>
  </si>
  <si>
    <t>Minerals &amp; Mining</t>
  </si>
  <si>
    <t>360 One Wam Ltd</t>
  </si>
  <si>
    <t>INE466L01038</t>
  </si>
  <si>
    <t>Biocon Ltd</t>
  </si>
  <si>
    <t>INE376G01013</t>
  </si>
  <si>
    <t>Aditya Birla Capital Ltd</t>
  </si>
  <si>
    <t>INE674K01013</t>
  </si>
  <si>
    <t>Oil India Ltd</t>
  </si>
  <si>
    <t>INE274J01014</t>
  </si>
  <si>
    <t>Coromandel International Ltd</t>
  </si>
  <si>
    <t>INE169A01031</t>
  </si>
  <si>
    <t>Mphasis Ltd</t>
  </si>
  <si>
    <t>INE356A01018</t>
  </si>
  <si>
    <t>Waaree Energies Ltd</t>
  </si>
  <si>
    <t>INE377N01017</t>
  </si>
  <si>
    <t>Godrej Properties Ltd</t>
  </si>
  <si>
    <t>INE484J01027</t>
  </si>
  <si>
    <t>ICICI Prudential Life Insurance Co Ltd</t>
  </si>
  <si>
    <t>INE726G01019</t>
  </si>
  <si>
    <t>Supreme Industries Ltd</t>
  </si>
  <si>
    <t>INE195A01028</t>
  </si>
  <si>
    <t>Mankind Pharma Ltd</t>
  </si>
  <si>
    <t>INE634S01028</t>
  </si>
  <si>
    <t>PI Industries Ltd</t>
  </si>
  <si>
    <t>INE603J01030</t>
  </si>
  <si>
    <t>Blue Star Ltd</t>
  </si>
  <si>
    <t>INE472A01039</t>
  </si>
  <si>
    <t>Vishal Mega Mart Ltd</t>
  </si>
  <si>
    <t>INE01EA01019</t>
  </si>
  <si>
    <t>Jindal Stainless Ltd</t>
  </si>
  <si>
    <t>INE220G01021</t>
  </si>
  <si>
    <t>Mahindra &amp; Mahindra Financial Services Ltd</t>
  </si>
  <si>
    <t>INE774D01024</t>
  </si>
  <si>
    <t>Petronet LNG Ltd</t>
  </si>
  <si>
    <t>INE347G01014</t>
  </si>
  <si>
    <t>Sona Blw Precision Forgings Ltd</t>
  </si>
  <si>
    <t>INE073K01018</t>
  </si>
  <si>
    <t>Steel Authority of India Ltd</t>
  </si>
  <si>
    <t>INE114A01011</t>
  </si>
  <si>
    <t>NHPC Ltd</t>
  </si>
  <si>
    <t>INE848E01016</t>
  </si>
  <si>
    <t>J.K. Cement Ltd</t>
  </si>
  <si>
    <t>INE823G01014</t>
  </si>
  <si>
    <t>Prestige Estates Projects Ltd</t>
  </si>
  <si>
    <t>INE811K01011</t>
  </si>
  <si>
    <t>L&amp;T Finance Ltd</t>
  </si>
  <si>
    <t>INE498L01015</t>
  </si>
  <si>
    <t>SBI Cards and Payment Services Ltd</t>
  </si>
  <si>
    <t>INE018E01016</t>
  </si>
  <si>
    <t>Uno Minda Ltd</t>
  </si>
  <si>
    <t>INE405E01023</t>
  </si>
  <si>
    <t>Bank of India</t>
  </si>
  <si>
    <t>INE084A01016</t>
  </si>
  <si>
    <t>IPCA Laboratories Ltd</t>
  </si>
  <si>
    <t>INE571A01038</t>
  </si>
  <si>
    <t>Astral Ltd</t>
  </si>
  <si>
    <t>INE006I01046</t>
  </si>
  <si>
    <t>Jubilant Foodworks Ltd</t>
  </si>
  <si>
    <t>INE797F01020</t>
  </si>
  <si>
    <t>Page Industries Ltd</t>
  </si>
  <si>
    <t>INE761H01022</t>
  </si>
  <si>
    <t>Textiles &amp; Apparels</t>
  </si>
  <si>
    <t>Balkrishna Industries Ltd</t>
  </si>
  <si>
    <t>INE787D01026</t>
  </si>
  <si>
    <t>Apar Industries Ltd</t>
  </si>
  <si>
    <t>INE372A01015</t>
  </si>
  <si>
    <t>Tata Communications Ltd</t>
  </si>
  <si>
    <t>INE151A01013</t>
  </si>
  <si>
    <t>Rail Vikas Nigam Ltd</t>
  </si>
  <si>
    <t>INE415G01027</t>
  </si>
  <si>
    <t>Oberoi Realty Ltd</t>
  </si>
  <si>
    <t>INE093I01010</t>
  </si>
  <si>
    <t>Schaeffler India Ltd</t>
  </si>
  <si>
    <t>INE513A01022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</si>
  <si>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</si>
  <si>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</si>
  <si>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</si>
  <si>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</si>
  <si>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</si>
  <si>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Container Corporation Of India Ltd</t>
  </si>
  <si>
    <t>INE111A01025</t>
  </si>
  <si>
    <t>Nippon Life India Asset Management Ltd</t>
  </si>
  <si>
    <t>INE298J01013</t>
  </si>
  <si>
    <t>Oracle Financial Services Software Ltd</t>
  </si>
  <si>
    <t>INE881D01027</t>
  </si>
  <si>
    <t>ITC Hotels Ltd</t>
  </si>
  <si>
    <t>INE379A01028</t>
  </si>
  <si>
    <t>LIC Housing Finance Ltd</t>
  </si>
  <si>
    <t>INE115A01026</t>
  </si>
  <si>
    <t>Lloyds Metals And Energy Ltd</t>
  </si>
  <si>
    <t>INE281B01032</t>
  </si>
  <si>
    <t>Dalmia Bharat Ltd</t>
  </si>
  <si>
    <t>INE00R701025</t>
  </si>
  <si>
    <t>Kalyan Jewellers India Ltd</t>
  </si>
  <si>
    <t>INE303R01014</t>
  </si>
  <si>
    <t>Tata Elxsi Ltd</t>
  </si>
  <si>
    <t>INE670A01012</t>
  </si>
  <si>
    <t>Bank Of Maharashtra</t>
  </si>
  <si>
    <t>INE457A01014</t>
  </si>
  <si>
    <t>Exide Industries Ltd</t>
  </si>
  <si>
    <t>INE302A01020</t>
  </si>
  <si>
    <t>AIA Engineering Ltd</t>
  </si>
  <si>
    <t>INE212H01026</t>
  </si>
  <si>
    <t>Apollo Tyres Ltd</t>
  </si>
  <si>
    <t>INE438A01022</t>
  </si>
  <si>
    <t>Gujarat Fluorochemicals Ltd</t>
  </si>
  <si>
    <t>INE09N301011</t>
  </si>
  <si>
    <t>Adani Total Gas Ltd</t>
  </si>
  <si>
    <t>INE399L01023</t>
  </si>
  <si>
    <t>Linde India Ltd</t>
  </si>
  <si>
    <t>INE473A01011</t>
  </si>
  <si>
    <t>Abbott India Ltd</t>
  </si>
  <si>
    <t>INE358A01014</t>
  </si>
  <si>
    <t>Berger Paints India Ltd</t>
  </si>
  <si>
    <t>INE463A01038</t>
  </si>
  <si>
    <t>KPIT Technologies Ltd</t>
  </si>
  <si>
    <t>INE04I401011</t>
  </si>
  <si>
    <t>Cochin Shipyard Ltd</t>
  </si>
  <si>
    <t>INE704P01025</t>
  </si>
  <si>
    <t>Ajanta Pharma Ltd</t>
  </si>
  <si>
    <t>INE031B01049</t>
  </si>
  <si>
    <t>Bharti Hexacom Ltd</t>
  </si>
  <si>
    <t>INE343G01021</t>
  </si>
  <si>
    <t>Thermax Ltd</t>
  </si>
  <si>
    <t>INE152A01029</t>
  </si>
  <si>
    <t>Indraprastha Gas Ltd</t>
  </si>
  <si>
    <t>INE203G01027</t>
  </si>
  <si>
    <t>General Insurance Corporation Of India</t>
  </si>
  <si>
    <t>INE481Y01014</t>
  </si>
  <si>
    <t>Escorts Kubota Ltd</t>
  </si>
  <si>
    <t>INE042A01014</t>
  </si>
  <si>
    <t>Bharat Dynamics Ltd</t>
  </si>
  <si>
    <t>INE171Z01026</t>
  </si>
  <si>
    <t>United Breweries Ltd</t>
  </si>
  <si>
    <t>INE686F01025</t>
  </si>
  <si>
    <t>Motilal Oswal Financial Services Ltd</t>
  </si>
  <si>
    <t>INE338I01027</t>
  </si>
  <si>
    <t>Deepak Nitrite Ltd</t>
  </si>
  <si>
    <t>INE288B01029</t>
  </si>
  <si>
    <t>Procter &amp; Gamble Hygiene and Health Care Ltd</t>
  </si>
  <si>
    <t>INE179A01014</t>
  </si>
  <si>
    <t>CRISIL Ltd</t>
  </si>
  <si>
    <t>INE007A01025</t>
  </si>
  <si>
    <t>Glaxosmithkline Pharmaceuticals Ltd</t>
  </si>
  <si>
    <t>INE159A01016</t>
  </si>
  <si>
    <t>3M India Ltd</t>
  </si>
  <si>
    <t>INE470A01017</t>
  </si>
  <si>
    <t>Diversified</t>
  </si>
  <si>
    <t>K.P.R. Mill Ltd</t>
  </si>
  <si>
    <t>INE930H01031</t>
  </si>
  <si>
    <t>Tata Technologies Ltd</t>
  </si>
  <si>
    <t>INE142M01025</t>
  </si>
  <si>
    <t>IT - Services</t>
  </si>
  <si>
    <t>Indian Renewable Energy Development Agency Ltd</t>
  </si>
  <si>
    <t>INE202E01016</t>
  </si>
  <si>
    <t>ACC Ltd</t>
  </si>
  <si>
    <t>INE012A01025</t>
  </si>
  <si>
    <t>L&amp;T Technology Services Ltd</t>
  </si>
  <si>
    <t>INE010V01017</t>
  </si>
  <si>
    <t>Global Health Ltd</t>
  </si>
  <si>
    <t>INE474Q01031</t>
  </si>
  <si>
    <t>Endurance Technologies Ltd</t>
  </si>
  <si>
    <t>INE913H01037</t>
  </si>
  <si>
    <t>Housing &amp; Urban Development Corporation Ltd</t>
  </si>
  <si>
    <t>INE031A01017</t>
  </si>
  <si>
    <t>Awl Agri Business Ltd</t>
  </si>
  <si>
    <t>INE699H01024</t>
  </si>
  <si>
    <t>Godfrey Phillips India Ltd</t>
  </si>
  <si>
    <t>INE260B01028</t>
  </si>
  <si>
    <t>Cigarettes &amp; Tobacco Products</t>
  </si>
  <si>
    <t>Tata Investment Corporation Ltd</t>
  </si>
  <si>
    <t>INE672A01026</t>
  </si>
  <si>
    <t>NLC India Ltd</t>
  </si>
  <si>
    <t>INE589A01014</t>
  </si>
  <si>
    <t>Premier Energies Ltd</t>
  </si>
  <si>
    <t>INE0BS701011</t>
  </si>
  <si>
    <t>NTPC Green Energy Ltd</t>
  </si>
  <si>
    <t>INE0ONG01011</t>
  </si>
  <si>
    <t>IRB Infrastructure Developers Ltd</t>
  </si>
  <si>
    <t>INE821I01022</t>
  </si>
  <si>
    <t>JSW Infrastructure Ltd</t>
  </si>
  <si>
    <t>INE880J01026</t>
  </si>
  <si>
    <t>Syngene International Ltd</t>
  </si>
  <si>
    <t>INE398R01022</t>
  </si>
  <si>
    <t>Hexaware Technologies Ltd</t>
  </si>
  <si>
    <t>INE093A01041</t>
  </si>
  <si>
    <t>Gujarat Gas Ltd</t>
  </si>
  <si>
    <t>INE844O01030</t>
  </si>
  <si>
    <t>Honeywell Automation India Ltd</t>
  </si>
  <si>
    <t>INE671A01010</t>
  </si>
  <si>
    <t>IDBI Bank Ltd</t>
  </si>
  <si>
    <t>INE008A01015</t>
  </si>
  <si>
    <t>Indian Overseas Bank</t>
  </si>
  <si>
    <t>INE565A01014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</si>
  <si>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</si>
  <si>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</si>
  <si>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</si>
  <si>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</si>
  <si>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</si>
  <si>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</si>
  <si>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</si>
  <si>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</si>
  <si>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</si>
  <si>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</si>
  <si>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Benchmark Risk-O-Meter</t>
  </si>
  <si>
    <t>Benchmark Name - NIFTY Midcap 150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</si>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</sst>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168</xdr:row>
      <xdr:rowOff>85725</xdr:rowOff>
    </xdr:from>
    <xdr:to>
      <xdr:col>2</xdr:col>
      <xdr:colOff>708025</xdr:colOff>
      <xdr:row>183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EA0D1-4563-4AFC-844B-FD295A38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566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187</xdr:row>
      <xdr:rowOff>47625</xdr:rowOff>
    </xdr:from>
    <xdr:to>
      <xdr:col>2</xdr:col>
      <xdr:colOff>612775</xdr:colOff>
      <xdr:row>203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F998C-4AFD-4ACC-A718-F6443683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44275"/>
          <a:ext cx="374015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50B9-5155-4CBB-A2A6-12A5C0957FB2}">
  <dimension ref="A1:I511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1796875" style="8" bestFit="1" customWidth="1"/>
    <col min="4" max="4" width="32.1796875" style="8" bestFit="1" customWidth="1"/>
    <col min="5" max="5" width="13.7265625" style="9" bestFit="1" customWidth="1"/>
    <col min="6" max="6" width="16" style="11" customWidth="1"/>
    <col min="7" max="7" width="8.81640625" style="14" customWidth="1"/>
    <col min="8" max="8" width="13.81640625" style="8" bestFit="1" customWidth="1"/>
    <col min="9" max="16384" width="9.1796875" style="8"/>
  </cols>
  <sheetData>
    <row r="1" spans="1:9" s="1" customFormat="1" ht="16.75" customHeight="1" x14ac:dyDescent="0.35">
      <c r="B1" s="52" t="s">
        <v>7</v>
      </c>
      <c r="C1" s="53"/>
      <c r="D1" s="13"/>
      <c r="E1" s="6"/>
      <c r="F1" s="7"/>
      <c r="G1" s="14"/>
    </row>
    <row r="2" spans="1:9" s="1" customFormat="1" ht="14.5" x14ac:dyDescent="0.35">
      <c r="A2" s="48" t="s">
        <v>362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29.25" customHeight="1" x14ac:dyDescent="0.25">
      <c r="B4" s="17" t="s">
        <v>4</v>
      </c>
      <c r="C4" s="17" t="s">
        <v>5</v>
      </c>
      <c r="D4" s="18" t="s">
        <v>39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ht="10.5" x14ac:dyDescent="0.25">
      <c r="B5" s="22" t="s">
        <v>15</v>
      </c>
      <c r="C5" s="23"/>
      <c r="D5" s="23"/>
      <c r="E5" s="24"/>
      <c r="F5" s="25"/>
      <c r="G5" s="26"/>
      <c r="H5" s="23"/>
    </row>
    <row r="6" spans="1:9" ht="10.5" x14ac:dyDescent="0.25">
      <c r="B6" s="22" t="s">
        <v>14</v>
      </c>
      <c r="C6" s="23"/>
      <c r="D6" s="23"/>
      <c r="E6" s="24"/>
      <c r="F6" s="25"/>
      <c r="G6" s="26"/>
      <c r="H6" s="23"/>
    </row>
    <row r="7" spans="1:9" x14ac:dyDescent="0.2">
      <c r="B7" s="23" t="s">
        <v>49</v>
      </c>
      <c r="C7" s="23" t="s">
        <v>50</v>
      </c>
      <c r="D7" s="23" t="s">
        <v>51</v>
      </c>
      <c r="E7" s="27">
        <v>23955</v>
      </c>
      <c r="F7" s="25">
        <v>648.48580500000003</v>
      </c>
      <c r="G7" s="26">
        <v>2.9275575494948498</v>
      </c>
      <c r="H7" s="28"/>
    </row>
    <row r="8" spans="1:9" x14ac:dyDescent="0.2">
      <c r="B8" s="23" t="s">
        <v>52</v>
      </c>
      <c r="C8" s="23" t="s">
        <v>53</v>
      </c>
      <c r="D8" s="23" t="s">
        <v>21</v>
      </c>
      <c r="E8" s="27">
        <v>7609</v>
      </c>
      <c r="F8" s="25">
        <v>434.47390000000001</v>
      </c>
      <c r="G8" s="26">
        <v>1.9614112386060201</v>
      </c>
      <c r="H8" s="28"/>
    </row>
    <row r="9" spans="1:9" x14ac:dyDescent="0.2">
      <c r="B9" s="23" t="s">
        <v>54</v>
      </c>
      <c r="C9" s="23" t="s">
        <v>55</v>
      </c>
      <c r="D9" s="23" t="s">
        <v>16</v>
      </c>
      <c r="E9" s="27">
        <v>144223</v>
      </c>
      <c r="F9" s="25">
        <v>432.45266550000002</v>
      </c>
      <c r="G9" s="26">
        <v>1.95228647400184</v>
      </c>
      <c r="H9" s="28"/>
    </row>
    <row r="10" spans="1:9" x14ac:dyDescent="0.2">
      <c r="B10" s="23" t="s">
        <v>56</v>
      </c>
      <c r="C10" s="23" t="s">
        <v>57</v>
      </c>
      <c r="D10" s="23" t="s">
        <v>58</v>
      </c>
      <c r="E10" s="27">
        <v>7923</v>
      </c>
      <c r="F10" s="25">
        <v>388.092309</v>
      </c>
      <c r="G10" s="26">
        <v>1.75202380738903</v>
      </c>
      <c r="H10" s="28"/>
    </row>
    <row r="11" spans="1:9" x14ac:dyDescent="0.2">
      <c r="B11" s="23" t="s">
        <v>59</v>
      </c>
      <c r="C11" s="23" t="s">
        <v>60</v>
      </c>
      <c r="D11" s="23" t="s">
        <v>16</v>
      </c>
      <c r="E11" s="27">
        <v>38605</v>
      </c>
      <c r="F11" s="25">
        <v>369.35333750000001</v>
      </c>
      <c r="G11" s="26">
        <v>1.66742763417812</v>
      </c>
      <c r="H11" s="28"/>
    </row>
    <row r="12" spans="1:9" x14ac:dyDescent="0.2">
      <c r="B12" s="23" t="s">
        <v>61</v>
      </c>
      <c r="C12" s="23" t="s">
        <v>62</v>
      </c>
      <c r="D12" s="23" t="s">
        <v>63</v>
      </c>
      <c r="E12" s="27">
        <v>167735</v>
      </c>
      <c r="F12" s="25">
        <v>354.08858500000002</v>
      </c>
      <c r="G12" s="26">
        <v>1.59851565325582</v>
      </c>
      <c r="H12" s="28"/>
    </row>
    <row r="13" spans="1:9" x14ac:dyDescent="0.2">
      <c r="B13" s="23" t="s">
        <v>64</v>
      </c>
      <c r="C13" s="23" t="s">
        <v>65</v>
      </c>
      <c r="D13" s="23" t="s">
        <v>18</v>
      </c>
      <c r="E13" s="27">
        <v>75873</v>
      </c>
      <c r="F13" s="25">
        <v>345.1842135</v>
      </c>
      <c r="G13" s="26">
        <v>1.55831730225516</v>
      </c>
      <c r="H13" s="28"/>
    </row>
    <row r="14" spans="1:9" x14ac:dyDescent="0.2">
      <c r="B14" s="23" t="s">
        <v>66</v>
      </c>
      <c r="C14" s="23" t="s">
        <v>67</v>
      </c>
      <c r="D14" s="23" t="s">
        <v>23</v>
      </c>
      <c r="E14" s="27">
        <v>14211</v>
      </c>
      <c r="F14" s="25">
        <v>327.12300900000002</v>
      </c>
      <c r="G14" s="26">
        <v>1.4767808751209599</v>
      </c>
      <c r="H14" s="28"/>
    </row>
    <row r="15" spans="1:9" x14ac:dyDescent="0.2">
      <c r="B15" s="23" t="s">
        <v>68</v>
      </c>
      <c r="C15" s="23" t="s">
        <v>69</v>
      </c>
      <c r="D15" s="23" t="s">
        <v>51</v>
      </c>
      <c r="E15" s="27">
        <v>11930</v>
      </c>
      <c r="F15" s="25">
        <v>321.94297999999998</v>
      </c>
      <c r="G15" s="26">
        <v>1.45339588675479</v>
      </c>
      <c r="H15" s="28"/>
    </row>
    <row r="16" spans="1:9" x14ac:dyDescent="0.2">
      <c r="B16" s="23" t="s">
        <v>70</v>
      </c>
      <c r="C16" s="23" t="s">
        <v>71</v>
      </c>
      <c r="D16" s="23" t="s">
        <v>16</v>
      </c>
      <c r="E16" s="27">
        <v>33084</v>
      </c>
      <c r="F16" s="25">
        <v>317.06051400000001</v>
      </c>
      <c r="G16" s="26">
        <v>1.43135423204432</v>
      </c>
      <c r="H16" s="28"/>
    </row>
    <row r="17" spans="2:8" x14ac:dyDescent="0.2">
      <c r="B17" s="23" t="s">
        <v>72</v>
      </c>
      <c r="C17" s="23" t="s">
        <v>73</v>
      </c>
      <c r="D17" s="23" t="s">
        <v>43</v>
      </c>
      <c r="E17" s="27">
        <v>711339</v>
      </c>
      <c r="F17" s="25">
        <v>303.5283513</v>
      </c>
      <c r="G17" s="26">
        <v>1.37026394330103</v>
      </c>
      <c r="H17" s="28"/>
    </row>
    <row r="18" spans="2:8" x14ac:dyDescent="0.2">
      <c r="B18" s="23" t="s">
        <v>74</v>
      </c>
      <c r="C18" s="23" t="s">
        <v>75</v>
      </c>
      <c r="D18" s="23" t="s">
        <v>20</v>
      </c>
      <c r="E18" s="27">
        <v>6379</v>
      </c>
      <c r="F18" s="25">
        <v>301.91807</v>
      </c>
      <c r="G18" s="26">
        <v>1.3629944068820701</v>
      </c>
      <c r="H18" s="28"/>
    </row>
    <row r="19" spans="2:8" x14ac:dyDescent="0.2">
      <c r="B19" s="23" t="s">
        <v>76</v>
      </c>
      <c r="C19" s="23" t="s">
        <v>77</v>
      </c>
      <c r="D19" s="23" t="s">
        <v>41</v>
      </c>
      <c r="E19" s="27">
        <v>15630</v>
      </c>
      <c r="F19" s="25">
        <v>298.72055999999998</v>
      </c>
      <c r="G19" s="26">
        <v>1.3485594038829101</v>
      </c>
      <c r="H19" s="28"/>
    </row>
    <row r="20" spans="2:8" x14ac:dyDescent="0.2">
      <c r="B20" s="23" t="s">
        <v>78</v>
      </c>
      <c r="C20" s="23" t="s">
        <v>79</v>
      </c>
      <c r="D20" s="23" t="s">
        <v>80</v>
      </c>
      <c r="E20" s="27">
        <v>19988</v>
      </c>
      <c r="F20" s="25">
        <v>296.14220799999998</v>
      </c>
      <c r="G20" s="26">
        <v>1.3369195594874701</v>
      </c>
      <c r="H20" s="28"/>
    </row>
    <row r="21" spans="2:8" x14ac:dyDescent="0.2">
      <c r="B21" s="23" t="s">
        <v>81</v>
      </c>
      <c r="C21" s="23" t="s">
        <v>82</v>
      </c>
      <c r="D21" s="23" t="s">
        <v>35</v>
      </c>
      <c r="E21" s="27">
        <v>30549</v>
      </c>
      <c r="F21" s="25">
        <v>287.97014849999999</v>
      </c>
      <c r="G21" s="26">
        <v>1.30002719530666</v>
      </c>
      <c r="H21" s="28"/>
    </row>
    <row r="22" spans="2:8" x14ac:dyDescent="0.2">
      <c r="B22" s="23" t="s">
        <v>83</v>
      </c>
      <c r="C22" s="23" t="s">
        <v>84</v>
      </c>
      <c r="D22" s="23" t="s">
        <v>16</v>
      </c>
      <c r="E22" s="27">
        <v>387997</v>
      </c>
      <c r="F22" s="25">
        <v>285.10019560000001</v>
      </c>
      <c r="G22" s="26">
        <v>1.2870709328652701</v>
      </c>
      <c r="H22" s="28"/>
    </row>
    <row r="23" spans="2:8" x14ac:dyDescent="0.2">
      <c r="B23" s="23" t="s">
        <v>85</v>
      </c>
      <c r="C23" s="23" t="s">
        <v>86</v>
      </c>
      <c r="D23" s="23" t="s">
        <v>34</v>
      </c>
      <c r="E23" s="27">
        <v>15454</v>
      </c>
      <c r="F23" s="25">
        <v>280.24283600000001</v>
      </c>
      <c r="G23" s="26">
        <v>1.26514261977353</v>
      </c>
      <c r="H23" s="28"/>
    </row>
    <row r="24" spans="2:8" x14ac:dyDescent="0.2">
      <c r="B24" s="23" t="s">
        <v>87</v>
      </c>
      <c r="C24" s="23" t="s">
        <v>88</v>
      </c>
      <c r="D24" s="23" t="s">
        <v>43</v>
      </c>
      <c r="E24" s="27">
        <v>7263</v>
      </c>
      <c r="F24" s="25">
        <v>279.64002599999998</v>
      </c>
      <c r="G24" s="26">
        <v>1.2624212634187699</v>
      </c>
      <c r="H24" s="28"/>
    </row>
    <row r="25" spans="2:8" x14ac:dyDescent="0.2">
      <c r="B25" s="23" t="s">
        <v>89</v>
      </c>
      <c r="C25" s="23" t="s">
        <v>90</v>
      </c>
      <c r="D25" s="23" t="s">
        <v>58</v>
      </c>
      <c r="E25" s="27">
        <v>3087</v>
      </c>
      <c r="F25" s="25">
        <v>265.80613499999998</v>
      </c>
      <c r="G25" s="26">
        <v>1.199968836976</v>
      </c>
      <c r="H25" s="28"/>
    </row>
    <row r="26" spans="2:8" x14ac:dyDescent="0.2">
      <c r="B26" s="23" t="s">
        <v>91</v>
      </c>
      <c r="C26" s="23" t="s">
        <v>92</v>
      </c>
      <c r="D26" s="23" t="s">
        <v>80</v>
      </c>
      <c r="E26" s="27">
        <v>23799</v>
      </c>
      <c r="F26" s="25">
        <v>261.38441699999998</v>
      </c>
      <c r="G26" s="26">
        <v>1.18000720664758</v>
      </c>
      <c r="H26" s="28"/>
    </row>
    <row r="27" spans="2:8" x14ac:dyDescent="0.2">
      <c r="B27" s="23" t="s">
        <v>93</v>
      </c>
      <c r="C27" s="23" t="s">
        <v>94</v>
      </c>
      <c r="D27" s="23" t="s">
        <v>25</v>
      </c>
      <c r="E27" s="27">
        <v>2411</v>
      </c>
      <c r="F27" s="25">
        <v>253.83008000000001</v>
      </c>
      <c r="G27" s="26">
        <v>1.14590352057572</v>
      </c>
      <c r="H27" s="28"/>
    </row>
    <row r="28" spans="2:8" x14ac:dyDescent="0.2">
      <c r="B28" s="23" t="s">
        <v>95</v>
      </c>
      <c r="C28" s="23" t="s">
        <v>96</v>
      </c>
      <c r="D28" s="23" t="s">
        <v>17</v>
      </c>
      <c r="E28" s="27">
        <v>56300</v>
      </c>
      <c r="F28" s="25">
        <v>247.01625000000001</v>
      </c>
      <c r="G28" s="26">
        <v>1.11514281725166</v>
      </c>
      <c r="H28" s="28"/>
    </row>
    <row r="29" spans="2:8" x14ac:dyDescent="0.2">
      <c r="B29" s="23" t="s">
        <v>97</v>
      </c>
      <c r="C29" s="23" t="s">
        <v>98</v>
      </c>
      <c r="D29" s="23" t="s">
        <v>36</v>
      </c>
      <c r="E29" s="27">
        <v>30986</v>
      </c>
      <c r="F29" s="25">
        <v>244.37108900000001</v>
      </c>
      <c r="G29" s="26">
        <v>1.1032013668830101</v>
      </c>
      <c r="H29" s="28"/>
    </row>
    <row r="30" spans="2:8" x14ac:dyDescent="0.2">
      <c r="B30" s="23" t="s">
        <v>99</v>
      </c>
      <c r="C30" s="23" t="s">
        <v>100</v>
      </c>
      <c r="D30" s="23" t="s">
        <v>58</v>
      </c>
      <c r="E30" s="27">
        <v>10655</v>
      </c>
      <c r="F30" s="25">
        <v>238.09663</v>
      </c>
      <c r="G30" s="26">
        <v>1.0748756276411999</v>
      </c>
      <c r="H30" s="28"/>
    </row>
    <row r="31" spans="2:8" x14ac:dyDescent="0.2">
      <c r="B31" s="23" t="s">
        <v>101</v>
      </c>
      <c r="C31" s="23" t="s">
        <v>102</v>
      </c>
      <c r="D31" s="23" t="s">
        <v>26</v>
      </c>
      <c r="E31" s="27">
        <v>78353</v>
      </c>
      <c r="F31" s="25">
        <v>236.43017750000001</v>
      </c>
      <c r="G31" s="26">
        <v>1.0673525090784901</v>
      </c>
      <c r="H31" s="28"/>
    </row>
    <row r="32" spans="2:8" x14ac:dyDescent="0.2">
      <c r="B32" s="23" t="s">
        <v>103</v>
      </c>
      <c r="C32" s="23" t="s">
        <v>104</v>
      </c>
      <c r="D32" s="23" t="s">
        <v>20</v>
      </c>
      <c r="E32" s="27">
        <v>19627</v>
      </c>
      <c r="F32" s="25">
        <v>232.736966</v>
      </c>
      <c r="G32" s="26">
        <v>1.0506796858256999</v>
      </c>
      <c r="H32" s="28"/>
    </row>
    <row r="33" spans="2:8" x14ac:dyDescent="0.2">
      <c r="B33" s="23" t="s">
        <v>105</v>
      </c>
      <c r="C33" s="23" t="s">
        <v>106</v>
      </c>
      <c r="D33" s="23" t="s">
        <v>16</v>
      </c>
      <c r="E33" s="27">
        <v>113274</v>
      </c>
      <c r="F33" s="25">
        <v>229.1193198</v>
      </c>
      <c r="G33" s="26">
        <v>1.0343479984355499</v>
      </c>
      <c r="H33" s="28"/>
    </row>
    <row r="34" spans="2:8" x14ac:dyDescent="0.2">
      <c r="B34" s="23" t="s">
        <v>107</v>
      </c>
      <c r="C34" s="23" t="s">
        <v>108</v>
      </c>
      <c r="D34" s="23" t="s">
        <v>43</v>
      </c>
      <c r="E34" s="27">
        <v>85572</v>
      </c>
      <c r="F34" s="25">
        <v>226.72301400000001</v>
      </c>
      <c r="G34" s="26">
        <v>1.02352999273427</v>
      </c>
      <c r="H34" s="28"/>
    </row>
    <row r="35" spans="2:8" x14ac:dyDescent="0.2">
      <c r="B35" s="23" t="s">
        <v>109</v>
      </c>
      <c r="C35" s="23" t="s">
        <v>110</v>
      </c>
      <c r="D35" s="23" t="s">
        <v>22</v>
      </c>
      <c r="E35" s="27">
        <v>4036</v>
      </c>
      <c r="F35" s="25">
        <v>222.36341999999999</v>
      </c>
      <c r="G35" s="26">
        <v>1.0038488181749701</v>
      </c>
      <c r="H35" s="28"/>
    </row>
    <row r="36" spans="2:8" x14ac:dyDescent="0.2">
      <c r="B36" s="23" t="s">
        <v>111</v>
      </c>
      <c r="C36" s="23" t="s">
        <v>112</v>
      </c>
      <c r="D36" s="23" t="s">
        <v>45</v>
      </c>
      <c r="E36" s="27">
        <v>8511</v>
      </c>
      <c r="F36" s="25">
        <v>218.06884199999999</v>
      </c>
      <c r="G36" s="26">
        <v>0.98446115517779098</v>
      </c>
      <c r="H36" s="28"/>
    </row>
    <row r="37" spans="2:8" x14ac:dyDescent="0.2">
      <c r="B37" s="23" t="s">
        <v>113</v>
      </c>
      <c r="C37" s="23" t="s">
        <v>114</v>
      </c>
      <c r="D37" s="23" t="s">
        <v>16</v>
      </c>
      <c r="E37" s="27">
        <v>1029215</v>
      </c>
      <c r="F37" s="25">
        <v>213.25334799999999</v>
      </c>
      <c r="G37" s="26">
        <v>0.96272184229607405</v>
      </c>
      <c r="H37" s="28"/>
    </row>
    <row r="38" spans="2:8" x14ac:dyDescent="0.2">
      <c r="B38" s="23" t="s">
        <v>115</v>
      </c>
      <c r="C38" s="23" t="s">
        <v>116</v>
      </c>
      <c r="D38" s="23" t="s">
        <v>26</v>
      </c>
      <c r="E38" s="27">
        <v>80078</v>
      </c>
      <c r="F38" s="25">
        <v>212.5910744</v>
      </c>
      <c r="G38" s="26">
        <v>0.95973204041828097</v>
      </c>
      <c r="H38" s="28"/>
    </row>
    <row r="39" spans="2:8" x14ac:dyDescent="0.2">
      <c r="B39" s="23" t="s">
        <v>117</v>
      </c>
      <c r="C39" s="23" t="s">
        <v>118</v>
      </c>
      <c r="D39" s="23" t="s">
        <v>22</v>
      </c>
      <c r="E39" s="27">
        <v>6287</v>
      </c>
      <c r="F39" s="25">
        <v>210.83454499999999</v>
      </c>
      <c r="G39" s="26">
        <v>0.95180227408225504</v>
      </c>
      <c r="H39" s="28"/>
    </row>
    <row r="40" spans="2:8" x14ac:dyDescent="0.2">
      <c r="B40" s="23" t="s">
        <v>119</v>
      </c>
      <c r="C40" s="23" t="s">
        <v>120</v>
      </c>
      <c r="D40" s="23" t="s">
        <v>31</v>
      </c>
      <c r="E40" s="27">
        <v>209173</v>
      </c>
      <c r="F40" s="25">
        <v>210.49078990000001</v>
      </c>
      <c r="G40" s="26">
        <v>0.95025040844321895</v>
      </c>
      <c r="H40" s="28"/>
    </row>
    <row r="41" spans="2:8" x14ac:dyDescent="0.2">
      <c r="B41" s="23" t="s">
        <v>121</v>
      </c>
      <c r="C41" s="23" t="s">
        <v>122</v>
      </c>
      <c r="D41" s="23" t="s">
        <v>123</v>
      </c>
      <c r="E41" s="27">
        <v>32836</v>
      </c>
      <c r="F41" s="25">
        <v>209.29666399999999</v>
      </c>
      <c r="G41" s="26">
        <v>0.94485958528774205</v>
      </c>
      <c r="H41" s="28"/>
    </row>
    <row r="42" spans="2:8" x14ac:dyDescent="0.2">
      <c r="B42" s="23" t="s">
        <v>124</v>
      </c>
      <c r="C42" s="23" t="s">
        <v>125</v>
      </c>
      <c r="D42" s="23" t="s">
        <v>25</v>
      </c>
      <c r="E42" s="27">
        <v>13349</v>
      </c>
      <c r="F42" s="25">
        <v>208.41793699999999</v>
      </c>
      <c r="G42" s="26">
        <v>0.94089261508891797</v>
      </c>
      <c r="H42" s="28"/>
    </row>
    <row r="43" spans="2:8" x14ac:dyDescent="0.2">
      <c r="B43" s="23" t="s">
        <v>126</v>
      </c>
      <c r="C43" s="23" t="s">
        <v>127</v>
      </c>
      <c r="D43" s="23" t="s">
        <v>16</v>
      </c>
      <c r="E43" s="27">
        <v>20716</v>
      </c>
      <c r="F43" s="25">
        <v>205.19198</v>
      </c>
      <c r="G43" s="26">
        <v>0.92632918949520704</v>
      </c>
      <c r="H43" s="28"/>
    </row>
    <row r="44" spans="2:8" x14ac:dyDescent="0.2">
      <c r="B44" s="23" t="s">
        <v>128</v>
      </c>
      <c r="C44" s="23" t="s">
        <v>129</v>
      </c>
      <c r="D44" s="23" t="s">
        <v>23</v>
      </c>
      <c r="E44" s="27">
        <v>16396</v>
      </c>
      <c r="F44" s="25">
        <v>200.09678400000001</v>
      </c>
      <c r="G44" s="26">
        <v>0.90332717557146902</v>
      </c>
      <c r="H44" s="28"/>
    </row>
    <row r="45" spans="2:8" x14ac:dyDescent="0.2">
      <c r="B45" s="23" t="s">
        <v>130</v>
      </c>
      <c r="C45" s="23" t="s">
        <v>131</v>
      </c>
      <c r="D45" s="23" t="s">
        <v>23</v>
      </c>
      <c r="E45" s="27">
        <v>3430</v>
      </c>
      <c r="F45" s="25">
        <v>193.43485000000001</v>
      </c>
      <c r="G45" s="26">
        <v>0.87325219933365295</v>
      </c>
      <c r="H45" s="28"/>
    </row>
    <row r="46" spans="2:8" x14ac:dyDescent="0.2">
      <c r="B46" s="23" t="s">
        <v>132</v>
      </c>
      <c r="C46" s="23" t="s">
        <v>133</v>
      </c>
      <c r="D46" s="23" t="s">
        <v>43</v>
      </c>
      <c r="E46" s="27">
        <v>746</v>
      </c>
      <c r="F46" s="25">
        <v>190.69252</v>
      </c>
      <c r="G46" s="26">
        <v>0.860872084252018</v>
      </c>
      <c r="H46" s="28"/>
    </row>
    <row r="47" spans="2:8" x14ac:dyDescent="0.2">
      <c r="B47" s="23" t="s">
        <v>134</v>
      </c>
      <c r="C47" s="23" t="s">
        <v>135</v>
      </c>
      <c r="D47" s="23" t="s">
        <v>23</v>
      </c>
      <c r="E47" s="27">
        <v>8828</v>
      </c>
      <c r="F47" s="25">
        <v>188.62787599999999</v>
      </c>
      <c r="G47" s="26">
        <v>0.85155134957654</v>
      </c>
      <c r="H47" s="28"/>
    </row>
    <row r="48" spans="2:8" x14ac:dyDescent="0.2">
      <c r="B48" s="23" t="s">
        <v>136</v>
      </c>
      <c r="C48" s="23" t="s">
        <v>137</v>
      </c>
      <c r="D48" s="23" t="s">
        <v>30</v>
      </c>
      <c r="E48" s="27">
        <v>52570</v>
      </c>
      <c r="F48" s="25">
        <v>186.41322</v>
      </c>
      <c r="G48" s="26">
        <v>0.841553393040954</v>
      </c>
      <c r="H48" s="28"/>
    </row>
    <row r="49" spans="2:8" x14ac:dyDescent="0.2">
      <c r="B49" s="23" t="s">
        <v>138</v>
      </c>
      <c r="C49" s="23" t="s">
        <v>139</v>
      </c>
      <c r="D49" s="23" t="s">
        <v>58</v>
      </c>
      <c r="E49" s="27">
        <v>3616</v>
      </c>
      <c r="F49" s="25">
        <v>183.70726400000001</v>
      </c>
      <c r="G49" s="26">
        <v>0.82933748660889195</v>
      </c>
      <c r="H49" s="28"/>
    </row>
    <row r="50" spans="2:8" x14ac:dyDescent="0.2">
      <c r="B50" s="23" t="s">
        <v>140</v>
      </c>
      <c r="C50" s="23" t="s">
        <v>141</v>
      </c>
      <c r="D50" s="23" t="s">
        <v>47</v>
      </c>
      <c r="E50" s="27">
        <v>10938</v>
      </c>
      <c r="F50" s="25">
        <v>181.41766799999999</v>
      </c>
      <c r="G50" s="26">
        <v>0.81900121709703499</v>
      </c>
      <c r="H50" s="28"/>
    </row>
    <row r="51" spans="2:8" x14ac:dyDescent="0.2">
      <c r="B51" s="23" t="s">
        <v>142</v>
      </c>
      <c r="C51" s="23" t="s">
        <v>143</v>
      </c>
      <c r="D51" s="23" t="s">
        <v>44</v>
      </c>
      <c r="E51" s="27">
        <v>34533</v>
      </c>
      <c r="F51" s="25">
        <v>179.053605</v>
      </c>
      <c r="G51" s="26">
        <v>0.80832876994434599</v>
      </c>
      <c r="H51" s="28"/>
    </row>
    <row r="52" spans="2:8" x14ac:dyDescent="0.2">
      <c r="B52" s="23" t="s">
        <v>144</v>
      </c>
      <c r="C52" s="23" t="s">
        <v>145</v>
      </c>
      <c r="D52" s="23" t="s">
        <v>24</v>
      </c>
      <c r="E52" s="27">
        <v>11154</v>
      </c>
      <c r="F52" s="25">
        <v>174.71625599999999</v>
      </c>
      <c r="G52" s="26">
        <v>0.788748019352984</v>
      </c>
      <c r="H52" s="28"/>
    </row>
    <row r="53" spans="2:8" x14ac:dyDescent="0.2">
      <c r="B53" s="23" t="s">
        <v>146</v>
      </c>
      <c r="C53" s="23" t="s">
        <v>147</v>
      </c>
      <c r="D53" s="23" t="s">
        <v>44</v>
      </c>
      <c r="E53" s="27">
        <v>7720</v>
      </c>
      <c r="F53" s="25">
        <v>174.04740000000001</v>
      </c>
      <c r="G53" s="26">
        <v>0.78572850155131801</v>
      </c>
      <c r="H53" s="28"/>
    </row>
    <row r="54" spans="2:8" x14ac:dyDescent="0.2">
      <c r="B54" s="23" t="s">
        <v>148</v>
      </c>
      <c r="C54" s="23" t="s">
        <v>149</v>
      </c>
      <c r="D54" s="23" t="s">
        <v>41</v>
      </c>
      <c r="E54" s="27">
        <v>6260</v>
      </c>
      <c r="F54" s="25">
        <v>172.36284000000001</v>
      </c>
      <c r="G54" s="26">
        <v>0.77812363756269598</v>
      </c>
      <c r="H54" s="28"/>
    </row>
    <row r="55" spans="2:8" x14ac:dyDescent="0.2">
      <c r="B55" s="23" t="s">
        <v>150</v>
      </c>
      <c r="C55" s="23" t="s">
        <v>151</v>
      </c>
      <c r="D55" s="23" t="s">
        <v>18</v>
      </c>
      <c r="E55" s="27">
        <v>1618606</v>
      </c>
      <c r="F55" s="25">
        <v>171.41037539999999</v>
      </c>
      <c r="G55" s="26">
        <v>0.77382378256377804</v>
      </c>
      <c r="H55" s="28"/>
    </row>
    <row r="56" spans="2:8" x14ac:dyDescent="0.2">
      <c r="B56" s="23" t="s">
        <v>152</v>
      </c>
      <c r="C56" s="23" t="s">
        <v>153</v>
      </c>
      <c r="D56" s="23" t="s">
        <v>41</v>
      </c>
      <c r="E56" s="27">
        <v>119</v>
      </c>
      <c r="F56" s="25">
        <v>167.77215000000001</v>
      </c>
      <c r="G56" s="26">
        <v>0.75739919137857303</v>
      </c>
      <c r="H56" s="28"/>
    </row>
    <row r="57" spans="2:8" x14ac:dyDescent="0.2">
      <c r="B57" s="23" t="s">
        <v>154</v>
      </c>
      <c r="C57" s="23" t="s">
        <v>155</v>
      </c>
      <c r="D57" s="23" t="s">
        <v>156</v>
      </c>
      <c r="E57" s="27">
        <v>202617</v>
      </c>
      <c r="F57" s="25">
        <v>165.61913580000001</v>
      </c>
      <c r="G57" s="26">
        <v>0.74767951374371699</v>
      </c>
      <c r="H57" s="28"/>
    </row>
    <row r="58" spans="2:8" x14ac:dyDescent="0.2">
      <c r="B58" s="23" t="s">
        <v>157</v>
      </c>
      <c r="C58" s="23" t="s">
        <v>158</v>
      </c>
      <c r="D58" s="23" t="s">
        <v>51</v>
      </c>
      <c r="E58" s="27">
        <v>14901</v>
      </c>
      <c r="F58" s="25">
        <v>164.44743600000001</v>
      </c>
      <c r="G58" s="26">
        <v>0.74238993212329696</v>
      </c>
      <c r="H58" s="28"/>
    </row>
    <row r="59" spans="2:8" x14ac:dyDescent="0.2">
      <c r="B59" s="23" t="s">
        <v>159</v>
      </c>
      <c r="C59" s="23" t="s">
        <v>160</v>
      </c>
      <c r="D59" s="23" t="s">
        <v>23</v>
      </c>
      <c r="E59" s="27">
        <v>41838</v>
      </c>
      <c r="F59" s="25">
        <v>163.08452399999999</v>
      </c>
      <c r="G59" s="26">
        <v>0.736237132348601</v>
      </c>
      <c r="H59" s="28"/>
    </row>
    <row r="60" spans="2:8" x14ac:dyDescent="0.2">
      <c r="B60" s="23" t="s">
        <v>161</v>
      </c>
      <c r="C60" s="23" t="s">
        <v>162</v>
      </c>
      <c r="D60" s="23" t="s">
        <v>22</v>
      </c>
      <c r="E60" s="27">
        <v>44970</v>
      </c>
      <c r="F60" s="25">
        <v>154.89916500000001</v>
      </c>
      <c r="G60" s="26">
        <v>0.69928472822346299</v>
      </c>
      <c r="H60" s="28"/>
    </row>
    <row r="61" spans="2:8" x14ac:dyDescent="0.2">
      <c r="B61" s="23" t="s">
        <v>163</v>
      </c>
      <c r="C61" s="23" t="s">
        <v>164</v>
      </c>
      <c r="D61" s="23" t="s">
        <v>33</v>
      </c>
      <c r="E61" s="27">
        <v>31973</v>
      </c>
      <c r="F61" s="25">
        <v>154.71734699999999</v>
      </c>
      <c r="G61" s="26">
        <v>0.69846391972707</v>
      </c>
      <c r="H61" s="28"/>
    </row>
    <row r="62" spans="2:8" x14ac:dyDescent="0.2">
      <c r="B62" s="23" t="s">
        <v>165</v>
      </c>
      <c r="C62" s="23" t="s">
        <v>166</v>
      </c>
      <c r="D62" s="23" t="s">
        <v>123</v>
      </c>
      <c r="E62" s="27">
        <v>6929</v>
      </c>
      <c r="F62" s="25">
        <v>153.82380000000001</v>
      </c>
      <c r="G62" s="26">
        <v>0.694430045360802</v>
      </c>
      <c r="H62" s="28"/>
    </row>
    <row r="63" spans="2:8" x14ac:dyDescent="0.2">
      <c r="B63" s="23" t="s">
        <v>167</v>
      </c>
      <c r="C63" s="23" t="s">
        <v>168</v>
      </c>
      <c r="D63" s="23" t="s">
        <v>20</v>
      </c>
      <c r="E63" s="27">
        <v>6685</v>
      </c>
      <c r="F63" s="25">
        <v>153.52102500000001</v>
      </c>
      <c r="G63" s="26">
        <v>0.69306318238521503</v>
      </c>
      <c r="H63" s="28"/>
    </row>
    <row r="64" spans="2:8" x14ac:dyDescent="0.2">
      <c r="B64" s="23" t="s">
        <v>169</v>
      </c>
      <c r="C64" s="23" t="s">
        <v>170</v>
      </c>
      <c r="D64" s="23" t="s">
        <v>43</v>
      </c>
      <c r="E64" s="27">
        <v>5616</v>
      </c>
      <c r="F64" s="25">
        <v>152.15428800000001</v>
      </c>
      <c r="G64" s="26">
        <v>0.68689311483450899</v>
      </c>
      <c r="H64" s="28"/>
    </row>
    <row r="65" spans="2:8" x14ac:dyDescent="0.2">
      <c r="B65" s="23" t="s">
        <v>171</v>
      </c>
      <c r="C65" s="23" t="s">
        <v>172</v>
      </c>
      <c r="D65" s="23" t="s">
        <v>47</v>
      </c>
      <c r="E65" s="27">
        <v>8744</v>
      </c>
      <c r="F65" s="25">
        <v>151.35864000000001</v>
      </c>
      <c r="G65" s="26">
        <v>0.68330120073063705</v>
      </c>
      <c r="H65" s="28"/>
    </row>
    <row r="66" spans="2:8" x14ac:dyDescent="0.2">
      <c r="B66" s="23" t="s">
        <v>173</v>
      </c>
      <c r="C66" s="23" t="s">
        <v>174</v>
      </c>
      <c r="D66" s="23" t="s">
        <v>34</v>
      </c>
      <c r="E66" s="27">
        <v>23034</v>
      </c>
      <c r="F66" s="25">
        <v>150.75753</v>
      </c>
      <c r="G66" s="26">
        <v>0.68058751894298797</v>
      </c>
      <c r="H66" s="28"/>
    </row>
    <row r="67" spans="2:8" x14ac:dyDescent="0.2">
      <c r="B67" s="23" t="s">
        <v>175</v>
      </c>
      <c r="C67" s="23" t="s">
        <v>176</v>
      </c>
      <c r="D67" s="23" t="s">
        <v>58</v>
      </c>
      <c r="E67" s="27">
        <v>3780</v>
      </c>
      <c r="F67" s="25">
        <v>150.26256000000001</v>
      </c>
      <c r="G67" s="26">
        <v>0.67835300101044305</v>
      </c>
      <c r="H67" s="28"/>
    </row>
    <row r="68" spans="2:8" x14ac:dyDescent="0.2">
      <c r="B68" s="23" t="s">
        <v>177</v>
      </c>
      <c r="C68" s="23" t="s">
        <v>178</v>
      </c>
      <c r="D68" s="23" t="s">
        <v>23</v>
      </c>
      <c r="E68" s="27">
        <v>6631</v>
      </c>
      <c r="F68" s="25">
        <v>149.03835599999999</v>
      </c>
      <c r="G68" s="26">
        <v>0.67282639173898495</v>
      </c>
      <c r="H68" s="28"/>
    </row>
    <row r="69" spans="2:8" x14ac:dyDescent="0.2">
      <c r="B69" s="23" t="s">
        <v>179</v>
      </c>
      <c r="C69" s="23" t="s">
        <v>180</v>
      </c>
      <c r="D69" s="23" t="s">
        <v>123</v>
      </c>
      <c r="E69" s="27">
        <v>4749</v>
      </c>
      <c r="F69" s="25">
        <v>148.04057700000001</v>
      </c>
      <c r="G69" s="26">
        <v>0.668321967090589</v>
      </c>
      <c r="H69" s="28"/>
    </row>
    <row r="70" spans="2:8" x14ac:dyDescent="0.2">
      <c r="B70" s="23" t="s">
        <v>181</v>
      </c>
      <c r="C70" s="23" t="s">
        <v>182</v>
      </c>
      <c r="D70" s="23" t="s">
        <v>25</v>
      </c>
      <c r="E70" s="27">
        <v>7607</v>
      </c>
      <c r="F70" s="25">
        <v>147.66708399999999</v>
      </c>
      <c r="G70" s="26">
        <v>0.66663585115188495</v>
      </c>
      <c r="H70" s="28"/>
    </row>
    <row r="71" spans="2:8" x14ac:dyDescent="0.2">
      <c r="B71" s="23" t="s">
        <v>183</v>
      </c>
      <c r="C71" s="23" t="s">
        <v>184</v>
      </c>
      <c r="D71" s="23" t="s">
        <v>26</v>
      </c>
      <c r="E71" s="27">
        <v>124763</v>
      </c>
      <c r="F71" s="25">
        <v>146.94586140000001</v>
      </c>
      <c r="G71" s="26">
        <v>0.663379926887674</v>
      </c>
      <c r="H71" s="28"/>
    </row>
    <row r="72" spans="2:8" x14ac:dyDescent="0.2">
      <c r="B72" s="23" t="s">
        <v>185</v>
      </c>
      <c r="C72" s="23" t="s">
        <v>186</v>
      </c>
      <c r="D72" s="23" t="s">
        <v>27</v>
      </c>
      <c r="E72" s="27">
        <v>18742</v>
      </c>
      <c r="F72" s="25">
        <v>145.50351699999999</v>
      </c>
      <c r="G72" s="26">
        <v>0.65686853341593598</v>
      </c>
      <c r="H72" s="28"/>
    </row>
    <row r="73" spans="2:8" x14ac:dyDescent="0.2">
      <c r="B73" s="23" t="s">
        <v>187</v>
      </c>
      <c r="C73" s="23" t="s">
        <v>188</v>
      </c>
      <c r="D73" s="23" t="s">
        <v>22</v>
      </c>
      <c r="E73" s="27">
        <v>38781</v>
      </c>
      <c r="F73" s="25">
        <v>145.15728300000001</v>
      </c>
      <c r="G73" s="26">
        <v>0.65530547690370899</v>
      </c>
      <c r="H73" s="28"/>
    </row>
    <row r="74" spans="2:8" x14ac:dyDescent="0.2">
      <c r="B74" s="23" t="s">
        <v>189</v>
      </c>
      <c r="C74" s="23" t="s">
        <v>190</v>
      </c>
      <c r="D74" s="23" t="s">
        <v>46</v>
      </c>
      <c r="E74" s="27">
        <v>43939</v>
      </c>
      <c r="F74" s="25">
        <v>142.098726</v>
      </c>
      <c r="G74" s="26">
        <v>0.64149777044834499</v>
      </c>
      <c r="H74" s="28"/>
    </row>
    <row r="75" spans="2:8" x14ac:dyDescent="0.2">
      <c r="B75" s="23" t="s">
        <v>191</v>
      </c>
      <c r="C75" s="23" t="s">
        <v>192</v>
      </c>
      <c r="D75" s="23" t="s">
        <v>41</v>
      </c>
      <c r="E75" s="27">
        <v>26275</v>
      </c>
      <c r="F75" s="25">
        <v>140.439875</v>
      </c>
      <c r="G75" s="26">
        <v>0.63400896848677102</v>
      </c>
      <c r="H75" s="28"/>
    </row>
    <row r="76" spans="2:8" x14ac:dyDescent="0.2">
      <c r="B76" s="23" t="s">
        <v>193</v>
      </c>
      <c r="C76" s="23" t="s">
        <v>194</v>
      </c>
      <c r="D76" s="23" t="s">
        <v>27</v>
      </c>
      <c r="E76" s="27">
        <v>84748</v>
      </c>
      <c r="F76" s="25">
        <v>140.43591079999999</v>
      </c>
      <c r="G76" s="26">
        <v>0.63399107229914697</v>
      </c>
      <c r="H76" s="28"/>
    </row>
    <row r="77" spans="2:8" x14ac:dyDescent="0.2">
      <c r="B77" s="23" t="s">
        <v>195</v>
      </c>
      <c r="C77" s="23" t="s">
        <v>196</v>
      </c>
      <c r="D77" s="23" t="s">
        <v>24</v>
      </c>
      <c r="E77" s="27">
        <v>185469</v>
      </c>
      <c r="F77" s="25">
        <v>139.71379769999999</v>
      </c>
      <c r="G77" s="26">
        <v>0.63073112791610197</v>
      </c>
      <c r="H77" s="28"/>
    </row>
    <row r="78" spans="2:8" x14ac:dyDescent="0.2">
      <c r="B78" s="23" t="s">
        <v>197</v>
      </c>
      <c r="C78" s="23" t="s">
        <v>198</v>
      </c>
      <c r="D78" s="23" t="s">
        <v>29</v>
      </c>
      <c r="E78" s="27">
        <v>2454</v>
      </c>
      <c r="F78" s="25">
        <v>138.79823999999999</v>
      </c>
      <c r="G78" s="26">
        <v>0.62659788731782395</v>
      </c>
      <c r="H78" s="28"/>
    </row>
    <row r="79" spans="2:8" x14ac:dyDescent="0.2">
      <c r="B79" s="23" t="s">
        <v>199</v>
      </c>
      <c r="C79" s="23" t="s">
        <v>200</v>
      </c>
      <c r="D79" s="23" t="s">
        <v>47</v>
      </c>
      <c r="E79" s="27">
        <v>9889</v>
      </c>
      <c r="F79" s="25">
        <v>137.75377</v>
      </c>
      <c r="G79" s="26">
        <v>0.62188267842636502</v>
      </c>
      <c r="H79" s="28"/>
    </row>
    <row r="80" spans="2:8" x14ac:dyDescent="0.2">
      <c r="B80" s="23" t="s">
        <v>201</v>
      </c>
      <c r="C80" s="23" t="s">
        <v>202</v>
      </c>
      <c r="D80" s="23" t="s">
        <v>22</v>
      </c>
      <c r="E80" s="27">
        <v>47945</v>
      </c>
      <c r="F80" s="25">
        <v>136.1398275</v>
      </c>
      <c r="G80" s="26">
        <v>0.61459661369850904</v>
      </c>
      <c r="H80" s="28"/>
    </row>
    <row r="81" spans="2:8" x14ac:dyDescent="0.2">
      <c r="B81" s="23" t="s">
        <v>203</v>
      </c>
      <c r="C81" s="23" t="s">
        <v>204</v>
      </c>
      <c r="D81" s="23" t="s">
        <v>22</v>
      </c>
      <c r="E81" s="27">
        <v>17572</v>
      </c>
      <c r="F81" s="25">
        <v>136.07756800000001</v>
      </c>
      <c r="G81" s="26">
        <v>0.61431554622124596</v>
      </c>
      <c r="H81" s="28"/>
    </row>
    <row r="82" spans="2:8" x14ac:dyDescent="0.2">
      <c r="B82" s="23" t="s">
        <v>205</v>
      </c>
      <c r="C82" s="23" t="s">
        <v>206</v>
      </c>
      <c r="D82" s="23" t="s">
        <v>41</v>
      </c>
      <c r="E82" s="27">
        <v>10626</v>
      </c>
      <c r="F82" s="25">
        <v>126.29001</v>
      </c>
      <c r="G82" s="26">
        <v>0.570130092826443</v>
      </c>
      <c r="H82" s="28"/>
    </row>
    <row r="83" spans="2:8" x14ac:dyDescent="0.2">
      <c r="B83" s="23" t="s">
        <v>207</v>
      </c>
      <c r="C83" s="23" t="s">
        <v>208</v>
      </c>
      <c r="D83" s="23" t="s">
        <v>16</v>
      </c>
      <c r="E83" s="27">
        <v>71237</v>
      </c>
      <c r="F83" s="25">
        <v>125.4127385</v>
      </c>
      <c r="G83" s="26">
        <v>0.56616969341140599</v>
      </c>
      <c r="H83" s="28"/>
    </row>
    <row r="84" spans="2:8" x14ac:dyDescent="0.2">
      <c r="B84" s="23" t="s">
        <v>209</v>
      </c>
      <c r="C84" s="23" t="s">
        <v>210</v>
      </c>
      <c r="D84" s="23" t="s">
        <v>23</v>
      </c>
      <c r="E84" s="27">
        <v>8148</v>
      </c>
      <c r="F84" s="25">
        <v>124.574772</v>
      </c>
      <c r="G84" s="26">
        <v>0.56238673450253795</v>
      </c>
      <c r="H84" s="28"/>
    </row>
    <row r="85" spans="2:8" x14ac:dyDescent="0.2">
      <c r="B85" s="23" t="s">
        <v>211</v>
      </c>
      <c r="C85" s="23" t="s">
        <v>212</v>
      </c>
      <c r="D85" s="23" t="s">
        <v>58</v>
      </c>
      <c r="E85" s="27">
        <v>7183</v>
      </c>
      <c r="F85" s="25">
        <v>119.805257</v>
      </c>
      <c r="G85" s="26">
        <v>0.54085499157459704</v>
      </c>
      <c r="H85" s="28"/>
    </row>
    <row r="86" spans="2:8" x14ac:dyDescent="0.2">
      <c r="B86" s="23" t="s">
        <v>213</v>
      </c>
      <c r="C86" s="23" t="s">
        <v>214</v>
      </c>
      <c r="D86" s="23" t="s">
        <v>42</v>
      </c>
      <c r="E86" s="27">
        <v>22945</v>
      </c>
      <c r="F86" s="25">
        <v>119.291055</v>
      </c>
      <c r="G86" s="26">
        <v>0.53853365171571599</v>
      </c>
      <c r="H86" s="28"/>
    </row>
    <row r="87" spans="2:8" x14ac:dyDescent="0.2">
      <c r="B87" s="23" t="s">
        <v>215</v>
      </c>
      <c r="C87" s="23" t="s">
        <v>216</v>
      </c>
      <c r="D87" s="23" t="s">
        <v>217</v>
      </c>
      <c r="E87" s="27">
        <v>370</v>
      </c>
      <c r="F87" s="25">
        <v>118.807</v>
      </c>
      <c r="G87" s="26">
        <v>0.536348409018506</v>
      </c>
      <c r="H87" s="28"/>
    </row>
    <row r="88" spans="2:8" x14ac:dyDescent="0.2">
      <c r="B88" s="23" t="s">
        <v>218</v>
      </c>
      <c r="C88" s="23" t="s">
        <v>219</v>
      </c>
      <c r="D88" s="23" t="s">
        <v>41</v>
      </c>
      <c r="E88" s="27">
        <v>4694</v>
      </c>
      <c r="F88" s="25">
        <v>111.900266</v>
      </c>
      <c r="G88" s="26">
        <v>0.50516829511600803</v>
      </c>
      <c r="H88" s="28"/>
    </row>
    <row r="89" spans="2:8" x14ac:dyDescent="0.2">
      <c r="B89" s="23" t="s">
        <v>220</v>
      </c>
      <c r="C89" s="23" t="s">
        <v>221</v>
      </c>
      <c r="D89" s="23" t="s">
        <v>43</v>
      </c>
      <c r="E89" s="27">
        <v>991</v>
      </c>
      <c r="F89" s="25">
        <v>110.798755</v>
      </c>
      <c r="G89" s="26">
        <v>0.50019557741110499</v>
      </c>
      <c r="H89" s="28"/>
    </row>
    <row r="90" spans="2:8" x14ac:dyDescent="0.2">
      <c r="B90" s="23" t="s">
        <v>222</v>
      </c>
      <c r="C90" s="23" t="s">
        <v>223</v>
      </c>
      <c r="D90" s="23" t="s">
        <v>18</v>
      </c>
      <c r="E90" s="27">
        <v>6885</v>
      </c>
      <c r="F90" s="25">
        <v>109.987875</v>
      </c>
      <c r="G90" s="26">
        <v>0.49653489918587501</v>
      </c>
      <c r="H90" s="28"/>
    </row>
    <row r="91" spans="2:8" x14ac:dyDescent="0.2">
      <c r="B91" s="23" t="s">
        <v>224</v>
      </c>
      <c r="C91" s="23" t="s">
        <v>225</v>
      </c>
      <c r="D91" s="23" t="s">
        <v>19</v>
      </c>
      <c r="E91" s="27">
        <v>33277</v>
      </c>
      <c r="F91" s="25">
        <v>105.2717895</v>
      </c>
      <c r="G91" s="26">
        <v>0.475244361130708</v>
      </c>
      <c r="H91" s="28"/>
    </row>
    <row r="92" spans="2:8" x14ac:dyDescent="0.2">
      <c r="B92" s="23" t="s">
        <v>226</v>
      </c>
      <c r="C92" s="23" t="s">
        <v>227</v>
      </c>
      <c r="D92" s="23" t="s">
        <v>47</v>
      </c>
      <c r="E92" s="27">
        <v>6900</v>
      </c>
      <c r="F92" s="25">
        <v>105.0732</v>
      </c>
      <c r="G92" s="26">
        <v>0.47434783851526602</v>
      </c>
      <c r="H92" s="28"/>
    </row>
    <row r="93" spans="2:8" x14ac:dyDescent="0.2">
      <c r="B93" s="23" t="s">
        <v>228</v>
      </c>
      <c r="C93" s="23" t="s">
        <v>229</v>
      </c>
      <c r="D93" s="23" t="s">
        <v>41</v>
      </c>
      <c r="E93" s="27">
        <v>2359</v>
      </c>
      <c r="F93" s="25">
        <v>102.786348</v>
      </c>
      <c r="G93" s="26">
        <v>0.46402395665762503</v>
      </c>
      <c r="H93" s="28"/>
    </row>
    <row r="94" spans="2:8" x14ac:dyDescent="0.2">
      <c r="B94" s="23" t="s">
        <v>230</v>
      </c>
      <c r="C94" s="23" t="s">
        <v>231</v>
      </c>
      <c r="D94" s="23" t="s">
        <v>232</v>
      </c>
      <c r="E94" s="27">
        <v>19936</v>
      </c>
      <c r="F94" s="25">
        <v>101.27488</v>
      </c>
      <c r="G94" s="26">
        <v>0.457200508063835</v>
      </c>
      <c r="H94" s="28"/>
    </row>
    <row r="95" spans="2:8" x14ac:dyDescent="0.2">
      <c r="B95" s="23" t="s">
        <v>233</v>
      </c>
      <c r="C95" s="23" t="s">
        <v>234</v>
      </c>
      <c r="D95" s="23" t="s">
        <v>42</v>
      </c>
      <c r="E95" s="27">
        <v>17684</v>
      </c>
      <c r="F95" s="25">
        <v>100.719222</v>
      </c>
      <c r="G95" s="26">
        <v>0.45469201711415702</v>
      </c>
      <c r="H95" s="28"/>
    </row>
    <row r="96" spans="2:8" x14ac:dyDescent="0.2">
      <c r="B96" s="23" t="s">
        <v>235</v>
      </c>
      <c r="C96" s="23" t="s">
        <v>236</v>
      </c>
      <c r="D96" s="23" t="s">
        <v>32</v>
      </c>
      <c r="E96" s="27">
        <v>20237</v>
      </c>
      <c r="F96" s="25">
        <v>100.30469050000001</v>
      </c>
      <c r="G96" s="26">
        <v>0.45282063486805202</v>
      </c>
      <c r="H96" s="28"/>
    </row>
    <row r="97" spans="2:8" x14ac:dyDescent="0.2">
      <c r="B97" s="23" t="s">
        <v>237</v>
      </c>
      <c r="C97" s="23" t="s">
        <v>238</v>
      </c>
      <c r="D97" s="23" t="s">
        <v>51</v>
      </c>
      <c r="E97" s="27">
        <v>10419</v>
      </c>
      <c r="F97" s="25">
        <v>97.021727999999996</v>
      </c>
      <c r="G97" s="26">
        <v>0.437999860723915</v>
      </c>
      <c r="H97" s="28"/>
    </row>
    <row r="98" spans="2:8" x14ac:dyDescent="0.2">
      <c r="B98" s="23" t="s">
        <v>239</v>
      </c>
      <c r="C98" s="23" t="s">
        <v>240</v>
      </c>
      <c r="D98" s="23" t="s">
        <v>20</v>
      </c>
      <c r="E98" s="27">
        <v>1395</v>
      </c>
      <c r="F98" s="25">
        <v>96.701400000000007</v>
      </c>
      <c r="G98" s="26">
        <v>0.43655375558563098</v>
      </c>
      <c r="H98" s="28"/>
    </row>
    <row r="99" spans="2:8" x14ac:dyDescent="0.2">
      <c r="B99" s="23" t="s">
        <v>241</v>
      </c>
      <c r="C99" s="23" t="s">
        <v>242</v>
      </c>
      <c r="D99" s="23" t="s">
        <v>42</v>
      </c>
      <c r="E99" s="27">
        <v>54656</v>
      </c>
      <c r="F99" s="25">
        <v>96.227353600000001</v>
      </c>
      <c r="G99" s="26">
        <v>0.43441369622514803</v>
      </c>
      <c r="H99" s="28"/>
    </row>
    <row r="100" spans="2:8" x14ac:dyDescent="0.2">
      <c r="B100" s="23" t="s">
        <v>243</v>
      </c>
      <c r="C100" s="23" t="s">
        <v>244</v>
      </c>
      <c r="D100" s="23" t="s">
        <v>22</v>
      </c>
      <c r="E100" s="27">
        <v>17628</v>
      </c>
      <c r="F100" s="25">
        <v>94.794569999999993</v>
      </c>
      <c r="G100" s="26">
        <v>0.42794546451887</v>
      </c>
      <c r="H100" s="28"/>
    </row>
    <row r="101" spans="2:8" x14ac:dyDescent="0.2">
      <c r="B101" s="23" t="s">
        <v>245</v>
      </c>
      <c r="C101" s="23" t="s">
        <v>246</v>
      </c>
      <c r="D101" s="23" t="s">
        <v>156</v>
      </c>
      <c r="E101" s="27">
        <v>7596</v>
      </c>
      <c r="F101" s="25">
        <v>93.658680000000004</v>
      </c>
      <c r="G101" s="26">
        <v>0.42281754449462899</v>
      </c>
      <c r="H101" s="28"/>
    </row>
    <row r="102" spans="2:8" x14ac:dyDescent="0.2">
      <c r="B102" s="23" t="s">
        <v>247</v>
      </c>
      <c r="C102" s="23" t="s">
        <v>248</v>
      </c>
      <c r="D102" s="23" t="s">
        <v>29</v>
      </c>
      <c r="E102" s="27">
        <v>4670</v>
      </c>
      <c r="F102" s="25">
        <v>93.073099999999997</v>
      </c>
      <c r="G102" s="26">
        <v>0.420173972134809</v>
      </c>
      <c r="H102" s="28"/>
    </row>
    <row r="103" spans="2:8" x14ac:dyDescent="0.2">
      <c r="B103" s="23" t="s">
        <v>249</v>
      </c>
      <c r="C103" s="23" t="s">
        <v>250</v>
      </c>
      <c r="D103" s="23" t="s">
        <v>25</v>
      </c>
      <c r="E103" s="27">
        <v>22572</v>
      </c>
      <c r="F103" s="25">
        <v>92.567772000000005</v>
      </c>
      <c r="G103" s="26">
        <v>0.41789269351627201</v>
      </c>
      <c r="H103" s="28"/>
    </row>
    <row r="104" spans="2:8" x14ac:dyDescent="0.2">
      <c r="B104" s="23" t="s">
        <v>251</v>
      </c>
      <c r="C104" s="23" t="s">
        <v>252</v>
      </c>
      <c r="D104" s="23" t="s">
        <v>20</v>
      </c>
      <c r="E104" s="27">
        <v>2017</v>
      </c>
      <c r="F104" s="25">
        <v>91.027209999999997</v>
      </c>
      <c r="G104" s="26">
        <v>0.41093790147797199</v>
      </c>
      <c r="H104" s="28"/>
    </row>
    <row r="105" spans="2:8" x14ac:dyDescent="0.2">
      <c r="B105" s="23" t="s">
        <v>253</v>
      </c>
      <c r="C105" s="23" t="s">
        <v>254</v>
      </c>
      <c r="D105" s="23" t="s">
        <v>16</v>
      </c>
      <c r="E105" s="27">
        <v>119364</v>
      </c>
      <c r="F105" s="25">
        <v>89.236526400000002</v>
      </c>
      <c r="G105" s="26">
        <v>0.40285394767124699</v>
      </c>
      <c r="H105" s="28"/>
    </row>
    <row r="106" spans="2:8" x14ac:dyDescent="0.2">
      <c r="B106" s="23" t="s">
        <v>255</v>
      </c>
      <c r="C106" s="23" t="s">
        <v>256</v>
      </c>
      <c r="D106" s="23" t="s">
        <v>41</v>
      </c>
      <c r="E106" s="27">
        <v>26671</v>
      </c>
      <c r="F106" s="25">
        <v>89.161152999999999</v>
      </c>
      <c r="G106" s="26">
        <v>0.402513678131807</v>
      </c>
      <c r="H106" s="28"/>
    </row>
    <row r="107" spans="2:8" x14ac:dyDescent="0.2">
      <c r="B107" s="23" t="s">
        <v>257</v>
      </c>
      <c r="C107" s="23" t="s">
        <v>258</v>
      </c>
      <c r="D107" s="23" t="s">
        <v>58</v>
      </c>
      <c r="E107" s="27">
        <v>2276</v>
      </c>
      <c r="F107" s="25">
        <v>87.662415999999993</v>
      </c>
      <c r="G107" s="26">
        <v>0.395747703016812</v>
      </c>
      <c r="H107" s="28"/>
    </row>
    <row r="108" spans="2:8" x14ac:dyDescent="0.2">
      <c r="B108" s="23" t="s">
        <v>259</v>
      </c>
      <c r="C108" s="23" t="s">
        <v>260</v>
      </c>
      <c r="D108" s="23" t="s">
        <v>41</v>
      </c>
      <c r="E108" s="27">
        <v>18962</v>
      </c>
      <c r="F108" s="25">
        <v>86.096960999999993</v>
      </c>
      <c r="G108" s="26">
        <v>0.38868053274367897</v>
      </c>
      <c r="H108" s="28"/>
    </row>
    <row r="109" spans="2:8" x14ac:dyDescent="0.2">
      <c r="B109" s="23" t="s">
        <v>261</v>
      </c>
      <c r="C109" s="23" t="s">
        <v>262</v>
      </c>
      <c r="D109" s="23" t="s">
        <v>45</v>
      </c>
      <c r="E109" s="27">
        <v>2471</v>
      </c>
      <c r="F109" s="25">
        <v>86.072343000000004</v>
      </c>
      <c r="G109" s="26">
        <v>0.38856939598293999</v>
      </c>
      <c r="H109" s="28"/>
    </row>
    <row r="110" spans="2:8" x14ac:dyDescent="0.2">
      <c r="B110" s="23" t="s">
        <v>263</v>
      </c>
      <c r="C110" s="23" t="s">
        <v>264</v>
      </c>
      <c r="D110" s="23" t="s">
        <v>46</v>
      </c>
      <c r="E110" s="27">
        <v>16262</v>
      </c>
      <c r="F110" s="25">
        <v>83.261439999999993</v>
      </c>
      <c r="G110" s="26">
        <v>0.37587971143610899</v>
      </c>
      <c r="H110" s="28"/>
    </row>
    <row r="111" spans="2:8" x14ac:dyDescent="0.2">
      <c r="B111" s="23" t="s">
        <v>265</v>
      </c>
      <c r="C111" s="23" t="s">
        <v>266</v>
      </c>
      <c r="D111" s="23" t="s">
        <v>45</v>
      </c>
      <c r="E111" s="27">
        <v>1233</v>
      </c>
      <c r="F111" s="25">
        <v>82.980900000000005</v>
      </c>
      <c r="G111" s="26">
        <v>0.37461322728394503</v>
      </c>
      <c r="H111" s="28"/>
    </row>
    <row r="112" spans="2:8" x14ac:dyDescent="0.2">
      <c r="B112" s="23" t="s">
        <v>267</v>
      </c>
      <c r="C112" s="23" t="s">
        <v>268</v>
      </c>
      <c r="D112" s="23" t="s">
        <v>23</v>
      </c>
      <c r="E112" s="27">
        <v>306</v>
      </c>
      <c r="F112" s="25">
        <v>81.181799999999996</v>
      </c>
      <c r="G112" s="26">
        <v>0.366491278049766</v>
      </c>
      <c r="H112" s="28"/>
    </row>
    <row r="113" spans="2:8" x14ac:dyDescent="0.2">
      <c r="B113" s="23" t="s">
        <v>269</v>
      </c>
      <c r="C113" s="23" t="s">
        <v>270</v>
      </c>
      <c r="D113" s="23" t="s">
        <v>25</v>
      </c>
      <c r="E113" s="27">
        <v>16688</v>
      </c>
      <c r="F113" s="25">
        <v>76.113968</v>
      </c>
      <c r="G113" s="26">
        <v>0.343612797569886</v>
      </c>
      <c r="H113" s="28"/>
    </row>
    <row r="114" spans="2:8" x14ac:dyDescent="0.2">
      <c r="B114" s="23" t="s">
        <v>271</v>
      </c>
      <c r="C114" s="23" t="s">
        <v>272</v>
      </c>
      <c r="D114" s="23" t="s">
        <v>20</v>
      </c>
      <c r="E114" s="27">
        <v>9601</v>
      </c>
      <c r="F114" s="25">
        <v>74.033310999999998</v>
      </c>
      <c r="G114" s="26">
        <v>0.33421977298662697</v>
      </c>
      <c r="H114" s="28"/>
    </row>
    <row r="115" spans="2:8" x14ac:dyDescent="0.2">
      <c r="B115" s="23" t="s">
        <v>273</v>
      </c>
      <c r="C115" s="23" t="s">
        <v>274</v>
      </c>
      <c r="D115" s="23" t="s">
        <v>48</v>
      </c>
      <c r="E115" s="27">
        <v>4962</v>
      </c>
      <c r="F115" s="25">
        <v>74.018153999999996</v>
      </c>
      <c r="G115" s="26">
        <v>0.33415134744911301</v>
      </c>
      <c r="H115" s="28"/>
    </row>
    <row r="116" spans="2:8" x14ac:dyDescent="0.2">
      <c r="B116" s="23" t="s">
        <v>275</v>
      </c>
      <c r="C116" s="23" t="s">
        <v>276</v>
      </c>
      <c r="D116" s="23" t="s">
        <v>23</v>
      </c>
      <c r="E116" s="27">
        <v>2469</v>
      </c>
      <c r="F116" s="25">
        <v>73.919391000000005</v>
      </c>
      <c r="G116" s="26">
        <v>0.33370548670084099</v>
      </c>
      <c r="H116" s="28"/>
    </row>
    <row r="117" spans="2:8" x14ac:dyDescent="0.2">
      <c r="B117" s="23" t="s">
        <v>277</v>
      </c>
      <c r="C117" s="23" t="s">
        <v>278</v>
      </c>
      <c r="D117" s="23" t="s">
        <v>18</v>
      </c>
      <c r="E117" s="27">
        <v>4409</v>
      </c>
      <c r="F117" s="25">
        <v>70.848220999999995</v>
      </c>
      <c r="G117" s="26">
        <v>0.31984083947192898</v>
      </c>
      <c r="H117" s="28"/>
    </row>
    <row r="118" spans="2:8" x14ac:dyDescent="0.2">
      <c r="B118" s="23" t="s">
        <v>279</v>
      </c>
      <c r="C118" s="23" t="s">
        <v>280</v>
      </c>
      <c r="D118" s="23" t="s">
        <v>43</v>
      </c>
      <c r="E118" s="27">
        <v>2271</v>
      </c>
      <c r="F118" s="25">
        <v>70.805238000000003</v>
      </c>
      <c r="G118" s="26">
        <v>0.31964679481408198</v>
      </c>
      <c r="H118" s="28"/>
    </row>
    <row r="119" spans="2:8" x14ac:dyDescent="0.2">
      <c r="B119" s="23" t="s">
        <v>281</v>
      </c>
      <c r="C119" s="23" t="s">
        <v>282</v>
      </c>
      <c r="D119" s="23" t="s">
        <v>46</v>
      </c>
      <c r="E119" s="27">
        <v>41121</v>
      </c>
      <c r="F119" s="25">
        <v>70.259340600000002</v>
      </c>
      <c r="G119" s="26">
        <v>0.31718236761722202</v>
      </c>
      <c r="H119" s="28"/>
    </row>
    <row r="120" spans="2:8" x14ac:dyDescent="0.2">
      <c r="B120" s="23" t="s">
        <v>283</v>
      </c>
      <c r="C120" s="23" t="s">
        <v>284</v>
      </c>
      <c r="D120" s="23" t="s">
        <v>34</v>
      </c>
      <c r="E120" s="27">
        <v>18127</v>
      </c>
      <c r="F120" s="25">
        <v>69.435473500000001</v>
      </c>
      <c r="G120" s="26">
        <v>0.31346305976223299</v>
      </c>
      <c r="H120" s="28"/>
    </row>
    <row r="121" spans="2:8" x14ac:dyDescent="0.2">
      <c r="B121" s="23" t="s">
        <v>285</v>
      </c>
      <c r="C121" s="23" t="s">
        <v>286</v>
      </c>
      <c r="D121" s="23" t="s">
        <v>63</v>
      </c>
      <c r="E121" s="27">
        <v>1948</v>
      </c>
      <c r="F121" s="25">
        <v>68.542327999999998</v>
      </c>
      <c r="G121" s="26">
        <v>0.309430997948139</v>
      </c>
      <c r="H121" s="28"/>
    </row>
    <row r="122" spans="2:8" x14ac:dyDescent="0.2">
      <c r="B122" s="23" t="s">
        <v>287</v>
      </c>
      <c r="C122" s="23" t="s">
        <v>288</v>
      </c>
      <c r="D122" s="23" t="s">
        <v>28</v>
      </c>
      <c r="E122" s="27">
        <v>5403</v>
      </c>
      <c r="F122" s="25">
        <v>68.358756</v>
      </c>
      <c r="G122" s="26">
        <v>0.30860227110426303</v>
      </c>
      <c r="H122" s="28"/>
    </row>
    <row r="123" spans="2:8" x14ac:dyDescent="0.2">
      <c r="B123" s="23" t="s">
        <v>289</v>
      </c>
      <c r="C123" s="23" t="s">
        <v>290</v>
      </c>
      <c r="D123" s="23" t="s">
        <v>40</v>
      </c>
      <c r="E123" s="27">
        <v>4234</v>
      </c>
      <c r="F123" s="25">
        <v>67.955699999999993</v>
      </c>
      <c r="G123" s="26">
        <v>0.30678269444341499</v>
      </c>
      <c r="H123" s="28"/>
    </row>
    <row r="124" spans="2:8" x14ac:dyDescent="0.2">
      <c r="B124" s="23" t="s">
        <v>291</v>
      </c>
      <c r="C124" s="23" t="s">
        <v>292</v>
      </c>
      <c r="D124" s="23" t="s">
        <v>51</v>
      </c>
      <c r="E124" s="27">
        <v>9085</v>
      </c>
      <c r="F124" s="25">
        <v>65.879877500000006</v>
      </c>
      <c r="G124" s="26">
        <v>0.29741149497469899</v>
      </c>
      <c r="H124" s="28"/>
    </row>
    <row r="125" spans="2:8" x14ac:dyDescent="0.2">
      <c r="B125" s="23" t="s">
        <v>293</v>
      </c>
      <c r="C125" s="23" t="s">
        <v>294</v>
      </c>
      <c r="D125" s="23" t="s">
        <v>45</v>
      </c>
      <c r="E125" s="27">
        <v>4026</v>
      </c>
      <c r="F125" s="25">
        <v>63.638981999999999</v>
      </c>
      <c r="G125" s="26">
        <v>0.287295081495681</v>
      </c>
      <c r="H125" s="28"/>
    </row>
    <row r="126" spans="2:8" x14ac:dyDescent="0.2">
      <c r="B126" s="23" t="s">
        <v>295</v>
      </c>
      <c r="C126" s="23" t="s">
        <v>296</v>
      </c>
      <c r="D126" s="23" t="s">
        <v>44</v>
      </c>
      <c r="E126" s="27">
        <v>554</v>
      </c>
      <c r="F126" s="25">
        <v>62.884540000000001</v>
      </c>
      <c r="G126" s="26">
        <v>0.283889189869794</v>
      </c>
      <c r="H126" s="28"/>
    </row>
    <row r="127" spans="2:8" x14ac:dyDescent="0.2">
      <c r="B127" s="23" t="s">
        <v>297</v>
      </c>
      <c r="C127" s="23" t="s">
        <v>298</v>
      </c>
      <c r="D127" s="23" t="s">
        <v>22</v>
      </c>
      <c r="E127" s="27">
        <v>1429</v>
      </c>
      <c r="F127" s="25">
        <v>62.538755999999999</v>
      </c>
      <c r="G127" s="26">
        <v>0.28232816486062701</v>
      </c>
      <c r="H127" s="28"/>
    </row>
    <row r="128" spans="2:8" x14ac:dyDescent="0.2">
      <c r="B128" s="23" t="s">
        <v>299</v>
      </c>
      <c r="C128" s="23" t="s">
        <v>300</v>
      </c>
      <c r="D128" s="23" t="s">
        <v>23</v>
      </c>
      <c r="E128" s="27">
        <v>2425</v>
      </c>
      <c r="F128" s="25">
        <v>62.3613</v>
      </c>
      <c r="G128" s="26">
        <v>0.28152704840056297</v>
      </c>
      <c r="H128" s="28"/>
    </row>
    <row r="129" spans="2:8" x14ac:dyDescent="0.2">
      <c r="B129" s="23" t="s">
        <v>301</v>
      </c>
      <c r="C129" s="23" t="s">
        <v>302</v>
      </c>
      <c r="D129" s="23" t="s">
        <v>303</v>
      </c>
      <c r="E129" s="27">
        <v>166</v>
      </c>
      <c r="F129" s="25">
        <v>62.258299999999998</v>
      </c>
      <c r="G129" s="26">
        <v>0.28106205992236799</v>
      </c>
      <c r="H129" s="28"/>
    </row>
    <row r="130" spans="2:8" x14ac:dyDescent="0.2">
      <c r="B130" s="23" t="s">
        <v>304</v>
      </c>
      <c r="C130" s="23" t="s">
        <v>305</v>
      </c>
      <c r="D130" s="23" t="s">
        <v>217</v>
      </c>
      <c r="E130" s="27">
        <v>6764</v>
      </c>
      <c r="F130" s="25">
        <v>60.727192000000002</v>
      </c>
      <c r="G130" s="26">
        <v>0.27414994750613397</v>
      </c>
      <c r="H130" s="28"/>
    </row>
    <row r="131" spans="2:8" x14ac:dyDescent="0.2">
      <c r="B131" s="23" t="s">
        <v>306</v>
      </c>
      <c r="C131" s="23" t="s">
        <v>307</v>
      </c>
      <c r="D131" s="23" t="s">
        <v>308</v>
      </c>
      <c r="E131" s="27">
        <v>10060</v>
      </c>
      <c r="F131" s="25">
        <v>58.896270000000001</v>
      </c>
      <c r="G131" s="26">
        <v>0.265884339404449</v>
      </c>
      <c r="H131" s="28"/>
    </row>
    <row r="132" spans="2:8" x14ac:dyDescent="0.2">
      <c r="B132" s="23" t="s">
        <v>309</v>
      </c>
      <c r="C132" s="23" t="s">
        <v>310</v>
      </c>
      <c r="D132" s="23" t="s">
        <v>22</v>
      </c>
      <c r="E132" s="27">
        <v>46638</v>
      </c>
      <c r="F132" s="25">
        <v>57.014955</v>
      </c>
      <c r="G132" s="26">
        <v>0.25739123456119301</v>
      </c>
      <c r="H132" s="28"/>
    </row>
    <row r="133" spans="2:8" x14ac:dyDescent="0.2">
      <c r="B133" s="23" t="s">
        <v>311</v>
      </c>
      <c r="C133" s="23" t="s">
        <v>312</v>
      </c>
      <c r="D133" s="23" t="s">
        <v>29</v>
      </c>
      <c r="E133" s="27">
        <v>3576</v>
      </c>
      <c r="F133" s="25">
        <v>56.944223999999998</v>
      </c>
      <c r="G133" s="26">
        <v>0.25707192291021103</v>
      </c>
      <c r="H133" s="28"/>
    </row>
    <row r="134" spans="2:8" x14ac:dyDescent="0.2">
      <c r="B134" s="23" t="s">
        <v>313</v>
      </c>
      <c r="C134" s="23" t="s">
        <v>314</v>
      </c>
      <c r="D134" s="23" t="s">
        <v>308</v>
      </c>
      <c r="E134" s="27">
        <v>1615</v>
      </c>
      <c r="F134" s="25">
        <v>56.725259999999999</v>
      </c>
      <c r="G134" s="26">
        <v>0.25608342060788603</v>
      </c>
      <c r="H134" s="28"/>
    </row>
    <row r="135" spans="2:8" x14ac:dyDescent="0.2">
      <c r="B135" s="23" t="s">
        <v>315</v>
      </c>
      <c r="C135" s="23" t="s">
        <v>316</v>
      </c>
      <c r="D135" s="23" t="s">
        <v>35</v>
      </c>
      <c r="E135" s="27">
        <v>4963</v>
      </c>
      <c r="F135" s="25">
        <v>56.518644000000002</v>
      </c>
      <c r="G135" s="26">
        <v>0.25515066274952902</v>
      </c>
      <c r="H135" s="28"/>
    </row>
    <row r="136" spans="2:8" x14ac:dyDescent="0.2">
      <c r="B136" s="23" t="s">
        <v>317</v>
      </c>
      <c r="C136" s="23" t="s">
        <v>318</v>
      </c>
      <c r="D136" s="23" t="s">
        <v>41</v>
      </c>
      <c r="E136" s="27">
        <v>2067</v>
      </c>
      <c r="F136" s="25">
        <v>55.017339</v>
      </c>
      <c r="G136" s="26">
        <v>0.24837309452373799</v>
      </c>
      <c r="H136" s="28"/>
    </row>
    <row r="137" spans="2:8" x14ac:dyDescent="0.2">
      <c r="B137" s="23" t="s">
        <v>319</v>
      </c>
      <c r="C137" s="23" t="s">
        <v>320</v>
      </c>
      <c r="D137" s="23" t="s">
        <v>22</v>
      </c>
      <c r="E137" s="27">
        <v>29419</v>
      </c>
      <c r="F137" s="25">
        <v>54.939982499999999</v>
      </c>
      <c r="G137" s="26">
        <v>0.24802387237603499</v>
      </c>
      <c r="H137" s="28"/>
    </row>
    <row r="138" spans="2:8" x14ac:dyDescent="0.2">
      <c r="B138" s="23" t="s">
        <v>321</v>
      </c>
      <c r="C138" s="23" t="s">
        <v>322</v>
      </c>
      <c r="D138" s="23" t="s">
        <v>36</v>
      </c>
      <c r="E138" s="27">
        <v>27295</v>
      </c>
      <c r="F138" s="25">
        <v>51.614845000000003</v>
      </c>
      <c r="G138" s="26">
        <v>0.23301270125065701</v>
      </c>
      <c r="H138" s="28"/>
    </row>
    <row r="139" spans="2:8" x14ac:dyDescent="0.2">
      <c r="B139" s="23" t="s">
        <v>323</v>
      </c>
      <c r="C139" s="23" t="s">
        <v>324</v>
      </c>
      <c r="D139" s="23" t="s">
        <v>325</v>
      </c>
      <c r="E139" s="27">
        <v>2389</v>
      </c>
      <c r="F139" s="25">
        <v>50.536906000000002</v>
      </c>
      <c r="G139" s="26">
        <v>0.22814639819049201</v>
      </c>
      <c r="H139" s="28"/>
    </row>
    <row r="140" spans="2:8" x14ac:dyDescent="0.2">
      <c r="B140" s="23" t="s">
        <v>326</v>
      </c>
      <c r="C140" s="23" t="s">
        <v>327</v>
      </c>
      <c r="D140" s="23" t="s">
        <v>22</v>
      </c>
      <c r="E140" s="27">
        <v>7619</v>
      </c>
      <c r="F140" s="25">
        <v>50.186352999999997</v>
      </c>
      <c r="G140" s="26">
        <v>0.22656384376333999</v>
      </c>
      <c r="H140" s="28"/>
    </row>
    <row r="141" spans="2:8" x14ac:dyDescent="0.2">
      <c r="B141" s="23" t="s">
        <v>328</v>
      </c>
      <c r="C141" s="23" t="s">
        <v>329</v>
      </c>
      <c r="D141" s="23" t="s">
        <v>24</v>
      </c>
      <c r="E141" s="27">
        <v>19123</v>
      </c>
      <c r="F141" s="25">
        <v>49.729361500000003</v>
      </c>
      <c r="G141" s="26">
        <v>0.22450077791738801</v>
      </c>
      <c r="H141" s="28"/>
    </row>
    <row r="142" spans="2:8" x14ac:dyDescent="0.2">
      <c r="B142" s="23" t="s">
        <v>330</v>
      </c>
      <c r="C142" s="23" t="s">
        <v>331</v>
      </c>
      <c r="D142" s="23" t="s">
        <v>43</v>
      </c>
      <c r="E142" s="27">
        <v>6768</v>
      </c>
      <c r="F142" s="25">
        <v>49.474080000000001</v>
      </c>
      <c r="G142" s="26">
        <v>0.22334832203198701</v>
      </c>
      <c r="H142" s="28"/>
    </row>
    <row r="143" spans="2:8" x14ac:dyDescent="0.2">
      <c r="B143" s="23" t="s">
        <v>332</v>
      </c>
      <c r="C143" s="23" t="s">
        <v>333</v>
      </c>
      <c r="D143" s="23" t="s">
        <v>24</v>
      </c>
      <c r="E143" s="27">
        <v>54455</v>
      </c>
      <c r="F143" s="25">
        <v>49.085737000000002</v>
      </c>
      <c r="G143" s="26">
        <v>0.22159516649230099</v>
      </c>
      <c r="H143" s="28"/>
    </row>
    <row r="144" spans="2:8" x14ac:dyDescent="0.2">
      <c r="B144" s="23" t="s">
        <v>334</v>
      </c>
      <c r="C144" s="23" t="s">
        <v>335</v>
      </c>
      <c r="D144" s="23" t="s">
        <v>19</v>
      </c>
      <c r="E144" s="27">
        <v>116294</v>
      </c>
      <c r="F144" s="25">
        <v>48.5062274</v>
      </c>
      <c r="G144" s="26">
        <v>0.21897899865731699</v>
      </c>
      <c r="H144" s="28"/>
    </row>
    <row r="145" spans="2:9" x14ac:dyDescent="0.2">
      <c r="B145" s="23" t="s">
        <v>336</v>
      </c>
      <c r="C145" s="23" t="s">
        <v>337</v>
      </c>
      <c r="D145" s="23" t="s">
        <v>31</v>
      </c>
      <c r="E145" s="27">
        <v>18957</v>
      </c>
      <c r="F145" s="25">
        <v>48.302436</v>
      </c>
      <c r="G145" s="26">
        <v>0.21805899231794601</v>
      </c>
      <c r="H145" s="28"/>
    </row>
    <row r="146" spans="2:9" x14ac:dyDescent="0.2">
      <c r="B146" s="23" t="s">
        <v>338</v>
      </c>
      <c r="C146" s="23" t="s">
        <v>339</v>
      </c>
      <c r="D146" s="23" t="s">
        <v>35</v>
      </c>
      <c r="E146" s="27">
        <v>11122</v>
      </c>
      <c r="F146" s="25">
        <v>46.957084000000002</v>
      </c>
      <c r="G146" s="26">
        <v>0.21198546630710599</v>
      </c>
      <c r="H146" s="28"/>
    </row>
    <row r="147" spans="2:9" x14ac:dyDescent="0.2">
      <c r="B147" s="23" t="s">
        <v>340</v>
      </c>
      <c r="C147" s="23" t="s">
        <v>341</v>
      </c>
      <c r="D147" s="23" t="s">
        <v>20</v>
      </c>
      <c r="E147" s="27">
        <v>8701</v>
      </c>
      <c r="F147" s="25">
        <v>41.199235000000002</v>
      </c>
      <c r="G147" s="26">
        <v>0.185991937722773</v>
      </c>
      <c r="H147" s="28"/>
    </row>
    <row r="148" spans="2:9" x14ac:dyDescent="0.2">
      <c r="B148" s="23" t="s">
        <v>342</v>
      </c>
      <c r="C148" s="23" t="s">
        <v>343</v>
      </c>
      <c r="D148" s="23" t="s">
        <v>46</v>
      </c>
      <c r="E148" s="27">
        <v>10109</v>
      </c>
      <c r="F148" s="25">
        <v>41.184066000000001</v>
      </c>
      <c r="G148" s="26">
        <v>0.18592345801184401</v>
      </c>
      <c r="H148" s="28"/>
    </row>
    <row r="149" spans="2:9" x14ac:dyDescent="0.2">
      <c r="B149" s="23" t="s">
        <v>344</v>
      </c>
      <c r="C149" s="23" t="s">
        <v>345</v>
      </c>
      <c r="D149" s="23" t="s">
        <v>48</v>
      </c>
      <c r="E149" s="27">
        <v>129</v>
      </c>
      <c r="F149" s="25">
        <v>39.957749999999997</v>
      </c>
      <c r="G149" s="26">
        <v>0.180387314219357</v>
      </c>
      <c r="H149" s="28"/>
    </row>
    <row r="150" spans="2:9" x14ac:dyDescent="0.2">
      <c r="B150" s="23" t="s">
        <v>346</v>
      </c>
      <c r="C150" s="23" t="s">
        <v>347</v>
      </c>
      <c r="D150" s="23" t="s">
        <v>16</v>
      </c>
      <c r="E150" s="27">
        <v>32862</v>
      </c>
      <c r="F150" s="25">
        <v>38.123206199999998</v>
      </c>
      <c r="G150" s="26">
        <v>0.17210535567815399</v>
      </c>
      <c r="H150" s="28"/>
    </row>
    <row r="151" spans="2:9" x14ac:dyDescent="0.2">
      <c r="B151" s="23" t="s">
        <v>348</v>
      </c>
      <c r="C151" s="23" t="s">
        <v>349</v>
      </c>
      <c r="D151" s="23" t="s">
        <v>16</v>
      </c>
      <c r="E151" s="27">
        <v>85599</v>
      </c>
      <c r="F151" s="25">
        <v>31.2008355</v>
      </c>
      <c r="G151" s="26">
        <v>0.14085465065587999</v>
      </c>
      <c r="H151" s="28"/>
    </row>
    <row r="152" spans="2:9" x14ac:dyDescent="0.2">
      <c r="B152" s="23" t="s">
        <v>350</v>
      </c>
      <c r="C152" s="23" t="s">
        <v>351</v>
      </c>
      <c r="D152" s="23" t="s">
        <v>24</v>
      </c>
      <c r="E152" s="27">
        <v>41932</v>
      </c>
      <c r="F152" s="25">
        <v>30.622939599999999</v>
      </c>
      <c r="G152" s="26">
        <v>0.138245767790869</v>
      </c>
      <c r="H152" s="28"/>
    </row>
    <row r="153" spans="2:9" x14ac:dyDescent="0.2">
      <c r="B153" s="23" t="s">
        <v>352</v>
      </c>
      <c r="C153" s="23" t="s">
        <v>353</v>
      </c>
      <c r="D153" s="23" t="s">
        <v>123</v>
      </c>
      <c r="E153" s="27">
        <v>3652</v>
      </c>
      <c r="F153" s="25">
        <v>27.150794000000001</v>
      </c>
      <c r="G153" s="26">
        <v>0.12257093576547801</v>
      </c>
      <c r="H153" s="28"/>
    </row>
    <row r="154" spans="2:9" x14ac:dyDescent="0.2">
      <c r="B154" s="23" t="s">
        <v>354</v>
      </c>
      <c r="C154" s="23" t="s">
        <v>355</v>
      </c>
      <c r="D154" s="23" t="s">
        <v>303</v>
      </c>
      <c r="E154" s="27">
        <v>2531</v>
      </c>
      <c r="F154" s="25">
        <v>25.134095500000001</v>
      </c>
      <c r="G154" s="26">
        <v>0.113466648712148</v>
      </c>
      <c r="H154" s="28"/>
    </row>
    <row r="155" spans="2:9" x14ac:dyDescent="0.2">
      <c r="B155" s="23" t="s">
        <v>356</v>
      </c>
      <c r="C155" s="23" t="s">
        <v>357</v>
      </c>
      <c r="D155" s="23" t="s">
        <v>34</v>
      </c>
      <c r="E155" s="27">
        <v>14108</v>
      </c>
      <c r="F155" s="25">
        <v>20.781084</v>
      </c>
      <c r="G155" s="26">
        <v>9.3815190528166906E-2</v>
      </c>
      <c r="H155" s="28"/>
    </row>
    <row r="156" spans="2:9" x14ac:dyDescent="0.2">
      <c r="B156" s="23" t="s">
        <v>358</v>
      </c>
      <c r="C156" s="23" t="s">
        <v>359</v>
      </c>
      <c r="D156" s="23" t="s">
        <v>16</v>
      </c>
      <c r="E156" s="27">
        <v>66702</v>
      </c>
      <c r="F156" s="25">
        <v>19.7571324</v>
      </c>
      <c r="G156" s="26">
        <v>8.9192610953125404E-2</v>
      </c>
      <c r="H156" s="28"/>
    </row>
    <row r="157" spans="2:9" ht="10.5" x14ac:dyDescent="0.25">
      <c r="B157" s="22" t="s">
        <v>8</v>
      </c>
      <c r="C157" s="22"/>
      <c r="D157" s="22"/>
      <c r="E157" s="29"/>
      <c r="F157" s="30">
        <f>SUM(F7:F156)</f>
        <v>22192.913927800018</v>
      </c>
      <c r="G157" s="31">
        <f>SUM(G7:G156)</f>
        <v>100.1888279029027</v>
      </c>
      <c r="H157" s="22"/>
      <c r="I157" s="15"/>
    </row>
    <row r="158" spans="2:9" ht="10.5" x14ac:dyDescent="0.25">
      <c r="B158" s="22" t="s">
        <v>37</v>
      </c>
      <c r="C158" s="22"/>
      <c r="D158" s="22"/>
      <c r="E158" s="29"/>
      <c r="F158" s="44" t="s">
        <v>38</v>
      </c>
      <c r="G158" s="45" t="s">
        <v>38</v>
      </c>
      <c r="H158" s="22"/>
      <c r="I158" s="15"/>
    </row>
    <row r="159" spans="2:9" ht="10.5" x14ac:dyDescent="0.25">
      <c r="B159" s="22" t="s">
        <v>8</v>
      </c>
      <c r="C159" s="22"/>
      <c r="D159" s="22"/>
      <c r="E159" s="29"/>
      <c r="F159" s="42" t="s">
        <v>38</v>
      </c>
      <c r="G159" s="43" t="s">
        <v>38</v>
      </c>
      <c r="H159" s="22"/>
      <c r="I159" s="15"/>
    </row>
    <row r="160" spans="2:9" ht="10.5" x14ac:dyDescent="0.25">
      <c r="B160" s="32" t="s">
        <v>9</v>
      </c>
      <c r="C160" s="32"/>
      <c r="D160" s="32"/>
      <c r="E160" s="33"/>
      <c r="F160" s="34">
        <f>F157</f>
        <v>22192.913927800018</v>
      </c>
      <c r="G160" s="35">
        <f>G157</f>
        <v>100.1888279029027</v>
      </c>
      <c r="H160" s="22"/>
      <c r="I160" s="15"/>
    </row>
    <row r="161" spans="2:9" ht="10.5" x14ac:dyDescent="0.25">
      <c r="B161" s="22" t="s">
        <v>10</v>
      </c>
      <c r="C161" s="22"/>
      <c r="D161" s="22"/>
      <c r="E161" s="29"/>
      <c r="F161" s="30">
        <v>120.9938183</v>
      </c>
      <c r="G161" s="31">
        <v>0.54622069361467895</v>
      </c>
      <c r="H161" s="28">
        <v>4.9299999999999997E-2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ht="10.5" x14ac:dyDescent="0.25">
      <c r="B163" s="40" t="s">
        <v>12</v>
      </c>
      <c r="C163" s="40"/>
      <c r="D163" s="40"/>
      <c r="E163" s="41"/>
      <c r="F163" s="30">
        <f>F164-(F157+F161)</f>
        <v>-162.82125040001847</v>
      </c>
      <c r="G163" s="31">
        <f>G164-(G157+G161)</f>
        <v>-0.73504859651738741</v>
      </c>
      <c r="H163" s="22"/>
      <c r="I163" s="15"/>
    </row>
    <row r="164" spans="2:9" ht="10.5" x14ac:dyDescent="0.25">
      <c r="B164" s="36" t="s">
        <v>11</v>
      </c>
      <c r="C164" s="36"/>
      <c r="D164" s="36"/>
      <c r="E164" s="37"/>
      <c r="F164" s="38">
        <v>22151.086495700001</v>
      </c>
      <c r="G164" s="39">
        <v>100</v>
      </c>
      <c r="H164" s="46"/>
      <c r="I164" s="15"/>
    </row>
    <row r="168" spans="2:9" ht="10.5" x14ac:dyDescent="0.25">
      <c r="B168" s="15" t="s">
        <v>13</v>
      </c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x14ac:dyDescent="0.2">
      <c r="E184" s="8"/>
      <c r="G184" s="49"/>
    </row>
    <row r="185" spans="2:7" ht="10.5" x14ac:dyDescent="0.2">
      <c r="B185" s="50" t="s">
        <v>360</v>
      </c>
      <c r="E185" s="8"/>
      <c r="G185" s="49"/>
    </row>
    <row r="186" spans="2:7" ht="10.5" x14ac:dyDescent="0.25">
      <c r="B186" s="51" t="s">
        <v>361</v>
      </c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  <row r="288" spans="5:7" x14ac:dyDescent="0.2">
      <c r="E288" s="8"/>
      <c r="G288" s="49"/>
    </row>
    <row r="289" spans="5:7" x14ac:dyDescent="0.2">
      <c r="E289" s="8"/>
      <c r="G289" s="49"/>
    </row>
    <row r="290" spans="5:7" x14ac:dyDescent="0.2">
      <c r="E290" s="8"/>
      <c r="G290" s="49"/>
    </row>
    <row r="291" spans="5:7" x14ac:dyDescent="0.2">
      <c r="E291" s="8"/>
      <c r="G291" s="49"/>
    </row>
    <row r="292" spans="5:7" x14ac:dyDescent="0.2">
      <c r="E292" s="8"/>
      <c r="G292" s="49"/>
    </row>
    <row r="293" spans="5:7" x14ac:dyDescent="0.2">
      <c r="E293" s="8"/>
      <c r="G293" s="49"/>
    </row>
    <row r="294" spans="5:7" x14ac:dyDescent="0.2">
      <c r="E294" s="8"/>
      <c r="G294" s="49"/>
    </row>
    <row r="295" spans="5:7" x14ac:dyDescent="0.2">
      <c r="E295" s="8"/>
      <c r="G295" s="49"/>
    </row>
    <row r="296" spans="5:7" x14ac:dyDescent="0.2">
      <c r="E296" s="8"/>
      <c r="G296" s="49"/>
    </row>
    <row r="297" spans="5:7" x14ac:dyDescent="0.2">
      <c r="E297" s="8"/>
      <c r="G297" s="49"/>
    </row>
    <row r="298" spans="5:7" x14ac:dyDescent="0.2">
      <c r="E298" s="8"/>
      <c r="G298" s="49"/>
    </row>
    <row r="299" spans="5:7" x14ac:dyDescent="0.2">
      <c r="E299" s="8"/>
      <c r="G299" s="49"/>
    </row>
    <row r="300" spans="5:7" x14ac:dyDescent="0.2">
      <c r="E300" s="8"/>
      <c r="G300" s="49"/>
    </row>
    <row r="301" spans="5:7" x14ac:dyDescent="0.2">
      <c r="E301" s="8"/>
      <c r="G301" s="49"/>
    </row>
    <row r="302" spans="5:7" x14ac:dyDescent="0.2">
      <c r="E302" s="8"/>
      <c r="G302" s="49"/>
    </row>
    <row r="303" spans="5:7" x14ac:dyDescent="0.2">
      <c r="E303" s="8"/>
      <c r="G303" s="49"/>
    </row>
    <row r="304" spans="5:7" x14ac:dyDescent="0.2">
      <c r="E304" s="8"/>
      <c r="G304" s="49"/>
    </row>
    <row r="305" spans="5:7" x14ac:dyDescent="0.2">
      <c r="E305" s="8"/>
      <c r="G305" s="49"/>
    </row>
    <row r="306" spans="5:7" x14ac:dyDescent="0.2">
      <c r="E306" s="8"/>
      <c r="G306" s="49"/>
    </row>
    <row r="307" spans="5:7" x14ac:dyDescent="0.2">
      <c r="E307" s="8"/>
      <c r="G307" s="49"/>
    </row>
    <row r="308" spans="5:7" x14ac:dyDescent="0.2">
      <c r="E308" s="8"/>
      <c r="G308" s="49"/>
    </row>
    <row r="309" spans="5:7" x14ac:dyDescent="0.2">
      <c r="E309" s="8"/>
      <c r="G309" s="49"/>
    </row>
    <row r="310" spans="5:7" x14ac:dyDescent="0.2">
      <c r="E310" s="8"/>
      <c r="G310" s="49"/>
    </row>
    <row r="311" spans="5:7" x14ac:dyDescent="0.2">
      <c r="E311" s="8"/>
      <c r="G311" s="49"/>
    </row>
    <row r="312" spans="5:7" x14ac:dyDescent="0.2">
      <c r="E312" s="8"/>
      <c r="G312" s="49"/>
    </row>
    <row r="313" spans="5:7" x14ac:dyDescent="0.2">
      <c r="E313" s="8"/>
      <c r="G313" s="49"/>
    </row>
    <row r="314" spans="5:7" x14ac:dyDescent="0.2">
      <c r="E314" s="8"/>
      <c r="G314" s="49"/>
    </row>
    <row r="315" spans="5:7" x14ac:dyDescent="0.2">
      <c r="E315" s="8"/>
      <c r="G315" s="49"/>
    </row>
    <row r="316" spans="5:7" x14ac:dyDescent="0.2">
      <c r="E316" s="8"/>
      <c r="G316" s="49"/>
    </row>
    <row r="317" spans="5:7" x14ac:dyDescent="0.2">
      <c r="E317" s="8"/>
      <c r="G317" s="49"/>
    </row>
    <row r="318" spans="5:7" x14ac:dyDescent="0.2">
      <c r="E318" s="8"/>
      <c r="G318" s="49"/>
    </row>
    <row r="319" spans="5:7" x14ac:dyDescent="0.2">
      <c r="E319" s="8"/>
      <c r="G319" s="49"/>
    </row>
    <row r="320" spans="5:7" x14ac:dyDescent="0.2">
      <c r="E320" s="8"/>
      <c r="G320" s="49"/>
    </row>
    <row r="321" spans="5:7" x14ac:dyDescent="0.2">
      <c r="E321" s="8"/>
      <c r="G321" s="49"/>
    </row>
    <row r="322" spans="5:7" x14ac:dyDescent="0.2">
      <c r="E322" s="8"/>
      <c r="G322" s="49"/>
    </row>
    <row r="323" spans="5:7" x14ac:dyDescent="0.2">
      <c r="E323" s="8"/>
      <c r="G323" s="49"/>
    </row>
    <row r="324" spans="5:7" x14ac:dyDescent="0.2">
      <c r="E324" s="8"/>
      <c r="G324" s="49"/>
    </row>
    <row r="325" spans="5:7" x14ac:dyDescent="0.2">
      <c r="E325" s="8"/>
      <c r="G325" s="49"/>
    </row>
    <row r="326" spans="5:7" x14ac:dyDescent="0.2">
      <c r="E326" s="8"/>
      <c r="G326" s="49"/>
    </row>
    <row r="327" spans="5:7" x14ac:dyDescent="0.2">
      <c r="E327" s="8"/>
      <c r="G327" s="49"/>
    </row>
    <row r="328" spans="5:7" x14ac:dyDescent="0.2">
      <c r="E328" s="8"/>
      <c r="G328" s="49"/>
    </row>
    <row r="329" spans="5:7" x14ac:dyDescent="0.2">
      <c r="E329" s="8"/>
      <c r="G329" s="49"/>
    </row>
    <row r="330" spans="5:7" x14ac:dyDescent="0.2">
      <c r="E330" s="8"/>
      <c r="G330" s="49"/>
    </row>
    <row r="331" spans="5:7" x14ac:dyDescent="0.2">
      <c r="E331" s="8"/>
      <c r="G331" s="49"/>
    </row>
    <row r="332" spans="5:7" x14ac:dyDescent="0.2">
      <c r="E332" s="8"/>
      <c r="G332" s="49"/>
    </row>
    <row r="333" spans="5:7" x14ac:dyDescent="0.2">
      <c r="E333" s="8"/>
      <c r="G333" s="49"/>
    </row>
    <row r="334" spans="5:7" x14ac:dyDescent="0.2">
      <c r="E334" s="8"/>
      <c r="G334" s="49"/>
    </row>
    <row r="335" spans="5:7" x14ac:dyDescent="0.2">
      <c r="E335" s="8"/>
      <c r="G335" s="49"/>
    </row>
    <row r="336" spans="5:7" x14ac:dyDescent="0.2">
      <c r="E336" s="8"/>
      <c r="G336" s="49"/>
    </row>
    <row r="337" spans="5:7" x14ac:dyDescent="0.2">
      <c r="E337" s="8"/>
      <c r="G337" s="49"/>
    </row>
    <row r="338" spans="5:7" x14ac:dyDescent="0.2">
      <c r="E338" s="8"/>
      <c r="G338" s="49"/>
    </row>
    <row r="339" spans="5:7" x14ac:dyDescent="0.2">
      <c r="E339" s="8"/>
      <c r="G339" s="49"/>
    </row>
    <row r="340" spans="5:7" x14ac:dyDescent="0.2">
      <c r="E340" s="8"/>
      <c r="G340" s="49"/>
    </row>
    <row r="341" spans="5:7" x14ac:dyDescent="0.2">
      <c r="E341" s="8"/>
      <c r="G341" s="49"/>
    </row>
    <row r="342" spans="5:7" x14ac:dyDescent="0.2">
      <c r="E342" s="8"/>
      <c r="G342" s="49"/>
    </row>
    <row r="343" spans="5:7" x14ac:dyDescent="0.2">
      <c r="E343" s="8"/>
      <c r="G343" s="49"/>
    </row>
    <row r="344" spans="5:7" x14ac:dyDescent="0.2">
      <c r="E344" s="8"/>
      <c r="G344" s="49"/>
    </row>
    <row r="345" spans="5:7" x14ac:dyDescent="0.2">
      <c r="E345" s="8"/>
      <c r="G345" s="49"/>
    </row>
    <row r="346" spans="5:7" x14ac:dyDescent="0.2">
      <c r="E346" s="8"/>
      <c r="G346" s="49"/>
    </row>
    <row r="347" spans="5:7" x14ac:dyDescent="0.2">
      <c r="E347" s="8"/>
      <c r="G347" s="49"/>
    </row>
    <row r="348" spans="5:7" x14ac:dyDescent="0.2">
      <c r="E348" s="8"/>
      <c r="G348" s="49"/>
    </row>
    <row r="349" spans="5:7" x14ac:dyDescent="0.2">
      <c r="E349" s="8"/>
      <c r="G349" s="49"/>
    </row>
    <row r="350" spans="5:7" x14ac:dyDescent="0.2">
      <c r="E350" s="8"/>
      <c r="G350" s="49"/>
    </row>
    <row r="351" spans="5:7" x14ac:dyDescent="0.2">
      <c r="E351" s="8"/>
      <c r="G351" s="49"/>
    </row>
    <row r="352" spans="5:7" x14ac:dyDescent="0.2">
      <c r="E352" s="8"/>
      <c r="G352" s="49"/>
    </row>
    <row r="353" spans="5:7" x14ac:dyDescent="0.2">
      <c r="E353" s="8"/>
      <c r="G353" s="49"/>
    </row>
    <row r="354" spans="5:7" x14ac:dyDescent="0.2">
      <c r="E354" s="8"/>
      <c r="G354" s="49"/>
    </row>
    <row r="355" spans="5:7" x14ac:dyDescent="0.2">
      <c r="E355" s="8"/>
      <c r="G355" s="49"/>
    </row>
    <row r="356" spans="5:7" x14ac:dyDescent="0.2">
      <c r="E356" s="8"/>
      <c r="G356" s="49"/>
    </row>
    <row r="357" spans="5:7" x14ac:dyDescent="0.2">
      <c r="E357" s="8"/>
      <c r="G357" s="49"/>
    </row>
    <row r="358" spans="5:7" x14ac:dyDescent="0.2">
      <c r="E358" s="8"/>
      <c r="G358" s="49"/>
    </row>
    <row r="359" spans="5:7" x14ac:dyDescent="0.2">
      <c r="E359" s="8"/>
      <c r="G359" s="49"/>
    </row>
    <row r="360" spans="5:7" x14ac:dyDescent="0.2">
      <c r="E360" s="8"/>
      <c r="G360" s="49"/>
    </row>
    <row r="361" spans="5:7" x14ac:dyDescent="0.2">
      <c r="E361" s="8"/>
      <c r="G361" s="49"/>
    </row>
    <row r="362" spans="5:7" x14ac:dyDescent="0.2">
      <c r="E362" s="8"/>
      <c r="G362" s="49"/>
    </row>
    <row r="363" spans="5:7" x14ac:dyDescent="0.2">
      <c r="E363" s="8"/>
      <c r="G363" s="49"/>
    </row>
    <row r="364" spans="5:7" x14ac:dyDescent="0.2">
      <c r="E364" s="8"/>
      <c r="G364" s="49"/>
    </row>
    <row r="365" spans="5:7" x14ac:dyDescent="0.2">
      <c r="E365" s="8"/>
      <c r="G365" s="49"/>
    </row>
    <row r="366" spans="5:7" x14ac:dyDescent="0.2">
      <c r="E366" s="8"/>
      <c r="G366" s="49"/>
    </row>
    <row r="367" spans="5:7" x14ac:dyDescent="0.2">
      <c r="E367" s="8"/>
      <c r="G367" s="49"/>
    </row>
    <row r="368" spans="5:7" x14ac:dyDescent="0.2">
      <c r="E368" s="8"/>
      <c r="G368" s="49"/>
    </row>
    <row r="369" spans="5:7" x14ac:dyDescent="0.2">
      <c r="E369" s="8"/>
      <c r="G369" s="49"/>
    </row>
    <row r="370" spans="5:7" x14ac:dyDescent="0.2">
      <c r="E370" s="8"/>
      <c r="G370" s="49"/>
    </row>
    <row r="371" spans="5:7" x14ac:dyDescent="0.2">
      <c r="E371" s="8"/>
      <c r="G371" s="49"/>
    </row>
    <row r="372" spans="5:7" x14ac:dyDescent="0.2">
      <c r="E372" s="8"/>
      <c r="G372" s="49"/>
    </row>
    <row r="373" spans="5:7" x14ac:dyDescent="0.2">
      <c r="E373" s="8"/>
      <c r="G373" s="49"/>
    </row>
    <row r="374" spans="5:7" x14ac:dyDescent="0.2">
      <c r="E374" s="8"/>
      <c r="G374" s="49"/>
    </row>
    <row r="375" spans="5:7" x14ac:dyDescent="0.2">
      <c r="E375" s="8"/>
      <c r="G375" s="49"/>
    </row>
    <row r="376" spans="5:7" x14ac:dyDescent="0.2">
      <c r="E376" s="8"/>
      <c r="G376" s="49"/>
    </row>
    <row r="377" spans="5:7" x14ac:dyDescent="0.2">
      <c r="E377" s="8"/>
      <c r="G377" s="49"/>
    </row>
    <row r="378" spans="5:7" x14ac:dyDescent="0.2">
      <c r="E378" s="8"/>
      <c r="G378" s="49"/>
    </row>
    <row r="379" spans="5:7" x14ac:dyDescent="0.2">
      <c r="E379" s="8"/>
      <c r="G379" s="49"/>
    </row>
    <row r="380" spans="5:7" x14ac:dyDescent="0.2">
      <c r="E380" s="8"/>
      <c r="G380" s="49"/>
    </row>
    <row r="381" spans="5:7" x14ac:dyDescent="0.2">
      <c r="E381" s="8"/>
      <c r="G381" s="49"/>
    </row>
    <row r="382" spans="5:7" x14ac:dyDescent="0.2">
      <c r="E382" s="8"/>
      <c r="G382" s="49"/>
    </row>
    <row r="383" spans="5:7" x14ac:dyDescent="0.2">
      <c r="E383" s="8"/>
      <c r="G383" s="49"/>
    </row>
    <row r="384" spans="5:7" x14ac:dyDescent="0.2">
      <c r="E384" s="8"/>
      <c r="G384" s="49"/>
    </row>
    <row r="385" spans="5:7" x14ac:dyDescent="0.2">
      <c r="E385" s="8"/>
      <c r="G385" s="49"/>
    </row>
    <row r="386" spans="5:7" x14ac:dyDescent="0.2">
      <c r="E386" s="8"/>
      <c r="G386" s="49"/>
    </row>
    <row r="387" spans="5:7" x14ac:dyDescent="0.2">
      <c r="E387" s="8"/>
      <c r="G387" s="49"/>
    </row>
    <row r="388" spans="5:7" x14ac:dyDescent="0.2">
      <c r="E388" s="8"/>
      <c r="G388" s="49"/>
    </row>
    <row r="389" spans="5:7" x14ac:dyDescent="0.2">
      <c r="E389" s="8"/>
      <c r="G389" s="49"/>
    </row>
    <row r="390" spans="5:7" x14ac:dyDescent="0.2">
      <c r="E390" s="8"/>
      <c r="G390" s="49"/>
    </row>
    <row r="391" spans="5:7" x14ac:dyDescent="0.2">
      <c r="E391" s="8"/>
      <c r="G391" s="49"/>
    </row>
    <row r="392" spans="5:7" x14ac:dyDescent="0.2">
      <c r="E392" s="8"/>
      <c r="G392" s="49"/>
    </row>
    <row r="393" spans="5:7" x14ac:dyDescent="0.2">
      <c r="E393" s="8"/>
      <c r="G393" s="49"/>
    </row>
    <row r="394" spans="5:7" x14ac:dyDescent="0.2">
      <c r="E394" s="8"/>
      <c r="G394" s="49"/>
    </row>
    <row r="395" spans="5:7" x14ac:dyDescent="0.2">
      <c r="E395" s="8"/>
      <c r="G395" s="49"/>
    </row>
    <row r="396" spans="5:7" x14ac:dyDescent="0.2">
      <c r="E396" s="8"/>
      <c r="G396" s="49"/>
    </row>
    <row r="397" spans="5:7" x14ac:dyDescent="0.2">
      <c r="E397" s="8"/>
      <c r="G397" s="49"/>
    </row>
    <row r="398" spans="5:7" x14ac:dyDescent="0.2">
      <c r="E398" s="8"/>
      <c r="G398" s="49"/>
    </row>
    <row r="399" spans="5:7" x14ac:dyDescent="0.2">
      <c r="E399" s="8"/>
      <c r="G399" s="49"/>
    </row>
    <row r="400" spans="5:7" x14ac:dyDescent="0.2">
      <c r="E400" s="8"/>
      <c r="G400" s="49"/>
    </row>
    <row r="401" spans="5:7" x14ac:dyDescent="0.2">
      <c r="E401" s="8"/>
      <c r="G401" s="49"/>
    </row>
    <row r="402" spans="5:7" x14ac:dyDescent="0.2">
      <c r="E402" s="8"/>
      <c r="G402" s="49"/>
    </row>
    <row r="403" spans="5:7" x14ac:dyDescent="0.2">
      <c r="E403" s="8"/>
      <c r="G403" s="49"/>
    </row>
    <row r="404" spans="5:7" x14ac:dyDescent="0.2">
      <c r="E404" s="8"/>
      <c r="G404" s="49"/>
    </row>
    <row r="405" spans="5:7" x14ac:dyDescent="0.2">
      <c r="E405" s="8"/>
      <c r="G405" s="49"/>
    </row>
    <row r="406" spans="5:7" x14ac:dyDescent="0.2">
      <c r="E406" s="8"/>
      <c r="G406" s="49"/>
    </row>
    <row r="407" spans="5:7" x14ac:dyDescent="0.2">
      <c r="E407" s="8"/>
      <c r="G407" s="49"/>
    </row>
    <row r="408" spans="5:7" x14ac:dyDescent="0.2">
      <c r="E408" s="8"/>
      <c r="G408" s="49"/>
    </row>
    <row r="409" spans="5:7" x14ac:dyDescent="0.2">
      <c r="E409" s="8"/>
      <c r="G409" s="49"/>
    </row>
    <row r="410" spans="5:7" x14ac:dyDescent="0.2">
      <c r="E410" s="8"/>
      <c r="G410" s="49"/>
    </row>
    <row r="411" spans="5:7" x14ac:dyDescent="0.2">
      <c r="E411" s="8"/>
      <c r="G411" s="49"/>
    </row>
    <row r="412" spans="5:7" x14ac:dyDescent="0.2">
      <c r="E412" s="8"/>
      <c r="G412" s="49"/>
    </row>
    <row r="413" spans="5:7" x14ac:dyDescent="0.2">
      <c r="E413" s="8"/>
      <c r="G413" s="49"/>
    </row>
    <row r="414" spans="5:7" x14ac:dyDescent="0.2">
      <c r="E414" s="8"/>
      <c r="G414" s="49"/>
    </row>
    <row r="415" spans="5:7" x14ac:dyDescent="0.2">
      <c r="E415" s="8"/>
      <c r="G415" s="49"/>
    </row>
    <row r="416" spans="5:7" x14ac:dyDescent="0.2">
      <c r="E416" s="8"/>
      <c r="G416" s="49"/>
    </row>
    <row r="417" spans="5:7" x14ac:dyDescent="0.2">
      <c r="E417" s="8"/>
      <c r="G417" s="49"/>
    </row>
    <row r="418" spans="5:7" x14ac:dyDescent="0.2">
      <c r="E418" s="8"/>
      <c r="G418" s="49"/>
    </row>
    <row r="419" spans="5:7" x14ac:dyDescent="0.2">
      <c r="E419" s="8"/>
      <c r="G419" s="49"/>
    </row>
    <row r="420" spans="5:7" x14ac:dyDescent="0.2">
      <c r="E420" s="8"/>
      <c r="G420" s="49"/>
    </row>
    <row r="421" spans="5:7" x14ac:dyDescent="0.2">
      <c r="E421" s="8"/>
      <c r="G421" s="49"/>
    </row>
    <row r="422" spans="5:7" x14ac:dyDescent="0.2">
      <c r="E422" s="8"/>
      <c r="G422" s="49"/>
    </row>
    <row r="423" spans="5:7" x14ac:dyDescent="0.2">
      <c r="E423" s="8"/>
      <c r="G423" s="49"/>
    </row>
    <row r="424" spans="5:7" x14ac:dyDescent="0.2">
      <c r="E424" s="8"/>
      <c r="G424" s="49"/>
    </row>
    <row r="425" spans="5:7" x14ac:dyDescent="0.2">
      <c r="E425" s="8"/>
      <c r="G425" s="49"/>
    </row>
    <row r="426" spans="5:7" x14ac:dyDescent="0.2">
      <c r="E426" s="8"/>
      <c r="G426" s="49"/>
    </row>
    <row r="427" spans="5:7" x14ac:dyDescent="0.2">
      <c r="E427" s="8"/>
      <c r="G427" s="49"/>
    </row>
    <row r="428" spans="5:7" x14ac:dyDescent="0.2">
      <c r="E428" s="8"/>
      <c r="G428" s="49"/>
    </row>
    <row r="429" spans="5:7" x14ac:dyDescent="0.2">
      <c r="E429" s="8"/>
      <c r="G429" s="49"/>
    </row>
    <row r="430" spans="5:7" x14ac:dyDescent="0.2">
      <c r="E430" s="8"/>
      <c r="G430" s="49"/>
    </row>
    <row r="431" spans="5:7" x14ac:dyDescent="0.2">
      <c r="E431" s="8"/>
      <c r="G431" s="49"/>
    </row>
    <row r="432" spans="5:7" x14ac:dyDescent="0.2">
      <c r="E432" s="8"/>
      <c r="G432" s="49"/>
    </row>
    <row r="433" spans="5:7" x14ac:dyDescent="0.2">
      <c r="E433" s="8"/>
      <c r="G433" s="49"/>
    </row>
    <row r="434" spans="5:7" x14ac:dyDescent="0.2">
      <c r="E434" s="8"/>
      <c r="G434" s="49"/>
    </row>
    <row r="435" spans="5:7" x14ac:dyDescent="0.2">
      <c r="E435" s="8"/>
      <c r="G435" s="49"/>
    </row>
    <row r="436" spans="5:7" x14ac:dyDescent="0.2">
      <c r="E436" s="8"/>
      <c r="G436" s="49"/>
    </row>
    <row r="437" spans="5:7" x14ac:dyDescent="0.2">
      <c r="E437" s="8"/>
      <c r="G437" s="49"/>
    </row>
    <row r="438" spans="5:7" x14ac:dyDescent="0.2">
      <c r="E438" s="8"/>
      <c r="G438" s="49"/>
    </row>
    <row r="439" spans="5:7" x14ac:dyDescent="0.2">
      <c r="E439" s="8"/>
      <c r="G439" s="49"/>
    </row>
    <row r="440" spans="5:7" x14ac:dyDescent="0.2">
      <c r="E440" s="8"/>
      <c r="G440" s="49"/>
    </row>
    <row r="441" spans="5:7" x14ac:dyDescent="0.2">
      <c r="E441" s="8"/>
      <c r="G441" s="49"/>
    </row>
    <row r="442" spans="5:7" x14ac:dyDescent="0.2">
      <c r="E442" s="8"/>
      <c r="G442" s="49"/>
    </row>
    <row r="443" spans="5:7" x14ac:dyDescent="0.2">
      <c r="E443" s="8"/>
      <c r="G443" s="49"/>
    </row>
    <row r="444" spans="5:7" x14ac:dyDescent="0.2">
      <c r="E444" s="8"/>
      <c r="G444" s="49"/>
    </row>
    <row r="445" spans="5:7" x14ac:dyDescent="0.2">
      <c r="E445" s="8"/>
      <c r="G445" s="49"/>
    </row>
    <row r="446" spans="5:7" x14ac:dyDescent="0.2">
      <c r="E446" s="8"/>
      <c r="G446" s="49"/>
    </row>
    <row r="447" spans="5:7" x14ac:dyDescent="0.2">
      <c r="E447" s="8"/>
      <c r="G447" s="49"/>
    </row>
    <row r="448" spans="5:7" x14ac:dyDescent="0.2">
      <c r="E448" s="8"/>
      <c r="G448" s="49"/>
    </row>
    <row r="449" spans="5:7" x14ac:dyDescent="0.2">
      <c r="E449" s="8"/>
      <c r="G449" s="49"/>
    </row>
    <row r="450" spans="5:7" x14ac:dyDescent="0.2">
      <c r="E450" s="8"/>
      <c r="G450" s="49"/>
    </row>
    <row r="451" spans="5:7" x14ac:dyDescent="0.2">
      <c r="E451" s="8"/>
      <c r="G451" s="49"/>
    </row>
    <row r="452" spans="5:7" x14ac:dyDescent="0.2">
      <c r="E452" s="8"/>
      <c r="G452" s="49"/>
    </row>
    <row r="453" spans="5:7" x14ac:dyDescent="0.2">
      <c r="E453" s="8"/>
      <c r="G453" s="49"/>
    </row>
    <row r="454" spans="5:7" x14ac:dyDescent="0.2">
      <c r="E454" s="8"/>
      <c r="G454" s="49"/>
    </row>
    <row r="455" spans="5:7" x14ac:dyDescent="0.2">
      <c r="E455" s="8"/>
      <c r="G455" s="49"/>
    </row>
    <row r="456" spans="5:7" x14ac:dyDescent="0.2">
      <c r="E456" s="8"/>
      <c r="G456" s="49"/>
    </row>
    <row r="457" spans="5:7" x14ac:dyDescent="0.2">
      <c r="E457" s="8"/>
      <c r="G457" s="49"/>
    </row>
    <row r="458" spans="5:7" x14ac:dyDescent="0.2">
      <c r="E458" s="8"/>
      <c r="G458" s="49"/>
    </row>
    <row r="459" spans="5:7" x14ac:dyDescent="0.2">
      <c r="E459" s="8"/>
      <c r="G459" s="49"/>
    </row>
    <row r="460" spans="5:7" x14ac:dyDescent="0.2">
      <c r="E460" s="8"/>
      <c r="G460" s="49"/>
    </row>
    <row r="461" spans="5:7" x14ac:dyDescent="0.2">
      <c r="E461" s="8"/>
      <c r="G461" s="49"/>
    </row>
    <row r="462" spans="5:7" x14ac:dyDescent="0.2">
      <c r="E462" s="8"/>
      <c r="G462" s="49"/>
    </row>
    <row r="463" spans="5:7" x14ac:dyDescent="0.2">
      <c r="E463" s="8"/>
      <c r="G463" s="49"/>
    </row>
    <row r="464" spans="5:7" x14ac:dyDescent="0.2">
      <c r="E464" s="8"/>
      <c r="G464" s="49"/>
    </row>
    <row r="465" spans="5:7" x14ac:dyDescent="0.2">
      <c r="E465" s="8"/>
      <c r="G465" s="49"/>
    </row>
    <row r="466" spans="5:7" x14ac:dyDescent="0.2">
      <c r="E466" s="8"/>
      <c r="G466" s="49"/>
    </row>
    <row r="467" spans="5:7" x14ac:dyDescent="0.2">
      <c r="E467" s="8"/>
      <c r="G467" s="49"/>
    </row>
    <row r="468" spans="5:7" x14ac:dyDescent="0.2">
      <c r="E468" s="8"/>
      <c r="G468" s="49"/>
    </row>
    <row r="469" spans="5:7" x14ac:dyDescent="0.2">
      <c r="E469" s="8"/>
      <c r="G469" s="49"/>
    </row>
    <row r="470" spans="5:7" x14ac:dyDescent="0.2">
      <c r="E470" s="8"/>
      <c r="G470" s="49"/>
    </row>
    <row r="471" spans="5:7" x14ac:dyDescent="0.2">
      <c r="E471" s="8"/>
      <c r="G471" s="49"/>
    </row>
    <row r="472" spans="5:7" x14ac:dyDescent="0.2">
      <c r="E472" s="8"/>
      <c r="G472" s="49"/>
    </row>
    <row r="473" spans="5:7" x14ac:dyDescent="0.2">
      <c r="E473" s="8"/>
      <c r="G473" s="49"/>
    </row>
    <row r="474" spans="5:7" x14ac:dyDescent="0.2">
      <c r="E474" s="8"/>
      <c r="G474" s="49"/>
    </row>
    <row r="475" spans="5:7" x14ac:dyDescent="0.2">
      <c r="E475" s="8"/>
      <c r="G475" s="49"/>
    </row>
    <row r="476" spans="5:7" x14ac:dyDescent="0.2">
      <c r="E476" s="8"/>
      <c r="G476" s="49"/>
    </row>
    <row r="477" spans="5:7" x14ac:dyDescent="0.2">
      <c r="E477" s="8"/>
      <c r="G477" s="49"/>
    </row>
    <row r="478" spans="5:7" x14ac:dyDescent="0.2">
      <c r="E478" s="8"/>
      <c r="G478" s="49"/>
    </row>
    <row r="479" spans="5:7" x14ac:dyDescent="0.2">
      <c r="E479" s="8"/>
      <c r="G479" s="49"/>
    </row>
    <row r="480" spans="5:7" x14ac:dyDescent="0.2">
      <c r="E480" s="8"/>
      <c r="G480" s="49"/>
    </row>
    <row r="481" spans="5:7" x14ac:dyDescent="0.2">
      <c r="E481" s="8"/>
      <c r="G481" s="49"/>
    </row>
    <row r="482" spans="5:7" x14ac:dyDescent="0.2">
      <c r="E482" s="8"/>
      <c r="G482" s="49"/>
    </row>
    <row r="483" spans="5:7" x14ac:dyDescent="0.2">
      <c r="E483" s="8"/>
      <c r="G483" s="49"/>
    </row>
    <row r="484" spans="5:7" x14ac:dyDescent="0.2">
      <c r="E484" s="8"/>
      <c r="G484" s="49"/>
    </row>
    <row r="485" spans="5:7" x14ac:dyDescent="0.2">
      <c r="E485" s="8"/>
      <c r="G485" s="49"/>
    </row>
    <row r="486" spans="5:7" x14ac:dyDescent="0.2">
      <c r="E486" s="8"/>
      <c r="G486" s="49"/>
    </row>
    <row r="487" spans="5:7" x14ac:dyDescent="0.2">
      <c r="E487" s="8"/>
      <c r="G487" s="49"/>
    </row>
    <row r="488" spans="5:7" x14ac:dyDescent="0.2">
      <c r="E488" s="8"/>
      <c r="G488" s="49"/>
    </row>
    <row r="489" spans="5:7" x14ac:dyDescent="0.2">
      <c r="E489" s="8"/>
      <c r="G489" s="49"/>
    </row>
    <row r="490" spans="5:7" x14ac:dyDescent="0.2">
      <c r="E490" s="8"/>
      <c r="G490" s="49"/>
    </row>
    <row r="491" spans="5:7" x14ac:dyDescent="0.2">
      <c r="E491" s="8"/>
      <c r="G491" s="49"/>
    </row>
    <row r="492" spans="5:7" x14ac:dyDescent="0.2">
      <c r="E492" s="8"/>
      <c r="G492" s="49"/>
    </row>
    <row r="493" spans="5:7" x14ac:dyDescent="0.2">
      <c r="E493" s="8"/>
      <c r="G493" s="49"/>
    </row>
    <row r="494" spans="5:7" x14ac:dyDescent="0.2">
      <c r="E494" s="8"/>
      <c r="G494" s="49"/>
    </row>
    <row r="495" spans="5:7" x14ac:dyDescent="0.2">
      <c r="E495" s="8"/>
      <c r="G495" s="49"/>
    </row>
    <row r="496" spans="5:7" x14ac:dyDescent="0.2">
      <c r="E496" s="8"/>
      <c r="G496" s="49"/>
    </row>
    <row r="497" spans="5:7" x14ac:dyDescent="0.2">
      <c r="E497" s="8"/>
      <c r="G497" s="49"/>
    </row>
    <row r="498" spans="5:7" x14ac:dyDescent="0.2">
      <c r="E498" s="8"/>
      <c r="G498" s="49"/>
    </row>
    <row r="499" spans="5:7" x14ac:dyDescent="0.2">
      <c r="E499" s="8"/>
      <c r="G499" s="49"/>
    </row>
    <row r="500" spans="5:7" x14ac:dyDescent="0.2">
      <c r="E500" s="8"/>
      <c r="G500" s="49"/>
    </row>
    <row r="501" spans="5:7" x14ac:dyDescent="0.2">
      <c r="E501" s="8"/>
      <c r="G501" s="49"/>
    </row>
    <row r="502" spans="5:7" x14ac:dyDescent="0.2">
      <c r="E502" s="8"/>
      <c r="G502" s="49"/>
    </row>
    <row r="503" spans="5:7" x14ac:dyDescent="0.2">
      <c r="E503" s="8"/>
      <c r="G503" s="49"/>
    </row>
    <row r="504" spans="5:7" x14ac:dyDescent="0.2">
      <c r="E504" s="8"/>
      <c r="G504" s="49"/>
    </row>
    <row r="505" spans="5:7" x14ac:dyDescent="0.2">
      <c r="E505" s="8"/>
      <c r="G505" s="49"/>
    </row>
    <row r="506" spans="5:7" x14ac:dyDescent="0.2">
      <c r="E506" s="8"/>
      <c r="G506" s="49"/>
    </row>
    <row r="507" spans="5:7" x14ac:dyDescent="0.2">
      <c r="E507" s="8"/>
      <c r="G507" s="49"/>
    </row>
    <row r="508" spans="5:7" x14ac:dyDescent="0.2">
      <c r="E508" s="8"/>
      <c r="G508" s="49"/>
    </row>
    <row r="509" spans="5:7" x14ac:dyDescent="0.2">
      <c r="E509" s="8"/>
      <c r="G509" s="49"/>
    </row>
    <row r="510" spans="5:7" x14ac:dyDescent="0.2">
      <c r="E510" s="8"/>
      <c r="G510" s="49"/>
    </row>
    <row r="511" spans="5:7" x14ac:dyDescent="0.2">
      <c r="E511" s="8"/>
      <c r="G511" s="49"/>
    </row>
  </sheetData>
  <mergeCells count="1">
    <mergeCell ref="B1:C1"/>
  </mergeCells>
  <conditionalFormatting sqref="G1:G3 G5:G205">
    <cfRule type="cellIs" dxfId="0" priority="2" stopIfTrue="1" operator="between">
      <formula>0.009</formula>
      <formula>-0.009</formula>
    </cfRule>
  </conditionalFormatting>
  <hyperlinks>
    <hyperlink ref="A2" location="Index!A1" display="-" xr:uid="{E03BFF10-2D4E-447F-934C-571EABE7B30D}"/>
  </hyperlinks>
  <pageMargins left="0.7" right="0.7" top="0.75" bottom="0.75" header="0.3" footer="0.3"/>
  <pageSetup paperSize="9" scale="3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51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