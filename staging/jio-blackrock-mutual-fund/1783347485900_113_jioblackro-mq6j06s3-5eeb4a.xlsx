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1B6875AD-FD09-4BBA-9F57-03CF904E14EF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OF" sheetId="5" r:id="rId1"/>
  </sheets>
  <definedNames>
    <definedName name="_xlnm.Print_Area" localSheetId="0">JBOF!$B$1:$I$106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G43" i="5" s="1"/>
  <c r="F11" i="5"/>
  <c r="F43" i="5" s="1"/>
  <c r="F12" i="5" l="1"/>
  <c r="G12" i="5"/>
</calcChain>
</file>

<file path=xl/sharedStrings.xml><?xml version="1.0" encoding="utf-8"?>
<sst xmlns="http://schemas.openxmlformats.org/spreadsheetml/2006/main" count="73" uniqueCount="46">
  <si>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</si>
  <si>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</si>
  <si>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</si>
  <si>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</si>
  <si>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</si>
  <si>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</si>
  <si>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</si>
  <si>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Overnight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</si>
  <si>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</si>
  <si>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</si>
  <si>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</si>
  <si>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</si>
  <si>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</si>
  <si>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</si>
  <si>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</si>
  <si>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</si>
  <si>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</si>
  <si>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</si>
  <si>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Treasury Bill</t>
  </si>
  <si>
    <t>91 DTB (11-JUN-2026)</t>
  </si>
  <si>
    <t>IN002025X497</t>
  </si>
  <si>
    <t xml:space="preserve"> SOVEREIGN</t>
  </si>
  <si>
    <t>364 DTB (04-JUN-2026)</t>
  </si>
  <si>
    <t>IN002025Z104</t>
  </si>
  <si>
    <t>182 DTB (11-JUN-2026)</t>
  </si>
  <si>
    <t>IN002025Y370</t>
  </si>
  <si>
    <t>364 DTB (18-JUN-2026)</t>
  </si>
  <si>
    <t>IN002025Z120</t>
  </si>
  <si>
    <t>Reverse Repo</t>
  </si>
  <si>
    <t>Reverse Repo (01-Jun-2026)</t>
  </si>
  <si>
    <t>Benchmark Risk-O-Meter</t>
  </si>
  <si>
    <t>Scheme Risk-O-Meter</t>
  </si>
  <si>
    <t>Benchmark Name - NIFTY 1D Rate Index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</si>
  <si>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</si>
  <si>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</si>
  <si>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</si>
  <si>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</si>
  <si>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</si>
  <si>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</si>
  <si>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Unclaimed Redemption - Upto 3 years - Growth Option</t>
  </si>
  <si>
    <t>As on May 31, 2026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</si>
  <si>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</si>
  <si>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</si>
  <si>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(7) Repo transactions in corporate debt securities as on May 31, 2026 is Rs. Nil.</t>
  </si>
  <si>
    <t>(6) The average maturity period of the portfolio is 0.004 years.</t>
  </si>
  <si>
    <t>(3) There was no distribution (of income and capital) during the month ended May 31,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</si>
</sst>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4" fontId="6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64</xdr:row>
      <xdr:rowOff>104775</xdr:rowOff>
    </xdr:from>
    <xdr:to>
      <xdr:col>3</xdr:col>
      <xdr:colOff>514350</xdr:colOff>
      <xdr:row>81</xdr:row>
      <xdr:rowOff>50801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303EC-55AC-4803-B226-BF579EABB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7775575"/>
          <a:ext cx="4638675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88</xdr:row>
      <xdr:rowOff>28575</xdr:rowOff>
    </xdr:from>
    <xdr:to>
      <xdr:col>3</xdr:col>
      <xdr:colOff>609600</xdr:colOff>
      <xdr:row>105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6DF53-E198-4F17-BACA-6003EB1F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10766425"/>
          <a:ext cx="50577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0F52-6DDC-45B0-BBA9-0C20A0F8C9F5}">
  <dimension ref="A1:J106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7265625" style="8" bestFit="1" customWidth="1"/>
    <col min="3" max="3" width="14.36328125" style="8" customWidth="1"/>
    <col min="4" max="4" width="13.90625" style="8" bestFit="1" customWidth="1"/>
    <col min="5" max="5" width="13.9062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08984375" style="8" bestFit="1" customWidth="1"/>
    <col min="10" max="16384" width="9.08984375" style="8"/>
  </cols>
  <sheetData>
    <row r="1" spans="1:10" s="1" customFormat="1" ht="16.75" customHeight="1" x14ac:dyDescent="0.35">
      <c r="B1" s="65" t="s">
        <v>7</v>
      </c>
      <c r="C1" s="66"/>
      <c r="D1" s="13"/>
      <c r="E1" s="6"/>
      <c r="F1" s="7"/>
      <c r="G1" s="16"/>
      <c r="H1" s="15"/>
    </row>
    <row r="2" spans="1:10" s="1" customFormat="1" ht="14.5" x14ac:dyDescent="0.35">
      <c r="A2" s="53" t="s">
        <v>33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16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14</v>
      </c>
      <c r="J4" s="12"/>
    </row>
    <row r="5" spans="1:10" ht="10.5" x14ac:dyDescent="0.25">
      <c r="B5" s="24" t="s">
        <v>15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18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19</v>
      </c>
      <c r="C7" s="25" t="s">
        <v>20</v>
      </c>
      <c r="D7" s="25" t="s">
        <v>21</v>
      </c>
      <c r="E7" s="30">
        <v>1100000</v>
      </c>
      <c r="F7" s="27">
        <v>1098.405</v>
      </c>
      <c r="G7" s="28">
        <v>1.0880331439175699</v>
      </c>
      <c r="H7" s="31">
        <v>5.3002000000000001E-2</v>
      </c>
      <c r="I7" s="50"/>
    </row>
    <row r="8" spans="1:10" x14ac:dyDescent="0.2">
      <c r="B8" s="25" t="s">
        <v>22</v>
      </c>
      <c r="C8" s="25" t="s">
        <v>23</v>
      </c>
      <c r="D8" s="25" t="s">
        <v>21</v>
      </c>
      <c r="E8" s="30">
        <v>1000000</v>
      </c>
      <c r="F8" s="27">
        <v>999.577</v>
      </c>
      <c r="G8" s="28">
        <v>0.99013834232154496</v>
      </c>
      <c r="H8" s="31">
        <v>5.1486999999999998E-2</v>
      </c>
      <c r="I8" s="50"/>
    </row>
    <row r="9" spans="1:10" x14ac:dyDescent="0.2">
      <c r="B9" s="25" t="s">
        <v>24</v>
      </c>
      <c r="C9" s="25" t="s">
        <v>25</v>
      </c>
      <c r="D9" s="25" t="s">
        <v>21</v>
      </c>
      <c r="E9" s="30">
        <v>1000000</v>
      </c>
      <c r="F9" s="27">
        <v>998.55</v>
      </c>
      <c r="G9" s="28">
        <v>0.98912103992506795</v>
      </c>
      <c r="H9" s="31">
        <v>5.3002000000000001E-2</v>
      </c>
      <c r="I9" s="50"/>
    </row>
    <row r="10" spans="1:10" x14ac:dyDescent="0.2">
      <c r="B10" s="25" t="s">
        <v>26</v>
      </c>
      <c r="C10" s="25" t="s">
        <v>27</v>
      </c>
      <c r="D10" s="25" t="s">
        <v>21</v>
      </c>
      <c r="E10" s="30">
        <v>1000000</v>
      </c>
      <c r="F10" s="27">
        <v>997.57600000000002</v>
      </c>
      <c r="G10" s="28">
        <v>0.98815623706803801</v>
      </c>
      <c r="H10" s="31">
        <v>5.2171000000000002E-2</v>
      </c>
      <c r="I10" s="50"/>
    </row>
    <row r="11" spans="1:10" ht="10.5" x14ac:dyDescent="0.25">
      <c r="B11" s="24" t="s">
        <v>8</v>
      </c>
      <c r="C11" s="24"/>
      <c r="D11" s="24"/>
      <c r="E11" s="32"/>
      <c r="F11" s="51">
        <f>SUM(F6:F10)</f>
        <v>4094.1080000000002</v>
      </c>
      <c r="G11" s="52">
        <f>SUM(G6:G10)</f>
        <v>4.0554487632322207</v>
      </c>
      <c r="H11" s="35"/>
      <c r="I11" s="24"/>
    </row>
    <row r="12" spans="1:10" ht="10.5" x14ac:dyDescent="0.25">
      <c r="B12" s="36" t="s">
        <v>9</v>
      </c>
      <c r="C12" s="36"/>
      <c r="D12" s="36"/>
      <c r="E12" s="37"/>
      <c r="F12" s="38">
        <f>+F11</f>
        <v>4094.1080000000002</v>
      </c>
      <c r="G12" s="39">
        <f>+G11</f>
        <v>4.0554487632322207</v>
      </c>
      <c r="H12" s="35"/>
      <c r="I12" s="24"/>
    </row>
    <row r="13" spans="1:10" ht="10.5" x14ac:dyDescent="0.25">
      <c r="B13" s="24"/>
      <c r="C13" s="25"/>
      <c r="D13" s="25"/>
      <c r="E13" s="26"/>
      <c r="F13" s="27"/>
      <c r="G13" s="28"/>
      <c r="H13" s="29"/>
      <c r="I13" s="25"/>
    </row>
    <row r="14" spans="1:10" ht="10.5" x14ac:dyDescent="0.25">
      <c r="B14" s="24" t="s">
        <v>10</v>
      </c>
      <c r="C14" s="24"/>
      <c r="D14" s="24"/>
      <c r="E14" s="32"/>
      <c r="F14" s="33">
        <v>4318.4400009999999</v>
      </c>
      <c r="G14" s="34">
        <v>4.2776624752322201</v>
      </c>
      <c r="H14" s="31">
        <v>5.3499999999999999E-2</v>
      </c>
      <c r="I14" s="31"/>
    </row>
    <row r="15" spans="1:10" x14ac:dyDescent="0.2">
      <c r="B15" s="25"/>
      <c r="C15" s="25"/>
      <c r="D15" s="25"/>
      <c r="E15" s="26"/>
      <c r="F15" s="27"/>
      <c r="G15" s="28"/>
      <c r="H15" s="29"/>
      <c r="I15" s="25"/>
    </row>
    <row r="16" spans="1:10" ht="10.5" x14ac:dyDescent="0.25">
      <c r="B16" s="24" t="s">
        <v>28</v>
      </c>
      <c r="C16" s="25"/>
      <c r="D16" s="25"/>
      <c r="E16" s="26"/>
      <c r="F16" s="27"/>
      <c r="G16" s="28"/>
      <c r="H16" s="29"/>
      <c r="I16" s="25"/>
    </row>
    <row r="17" spans="2:9" x14ac:dyDescent="0.2">
      <c r="B17" s="25" t="s">
        <v>29</v>
      </c>
      <c r="C17" s="25"/>
      <c r="D17" s="25"/>
      <c r="E17" s="26"/>
      <c r="F17" s="27">
        <v>12627.208333299999</v>
      </c>
      <c r="G17" s="28">
        <v>12.5079740002846</v>
      </c>
      <c r="H17" s="29">
        <v>5.3999999999999999E-2</v>
      </c>
      <c r="I17" s="25"/>
    </row>
    <row r="18" spans="2:9" x14ac:dyDescent="0.2">
      <c r="B18" s="25" t="s">
        <v>29</v>
      </c>
      <c r="C18" s="25"/>
      <c r="D18" s="25"/>
      <c r="E18" s="26"/>
      <c r="F18" s="27">
        <v>9743.9573610999996</v>
      </c>
      <c r="G18" s="28">
        <v>9.6519485634137006</v>
      </c>
      <c r="H18" s="29">
        <v>5.3999999999999999E-2</v>
      </c>
      <c r="I18" s="25"/>
    </row>
    <row r="19" spans="2:9" x14ac:dyDescent="0.2">
      <c r="B19" s="25" t="s">
        <v>29</v>
      </c>
      <c r="C19" s="25"/>
      <c r="D19" s="25"/>
      <c r="E19" s="26"/>
      <c r="F19" s="27">
        <v>7506.4083332999999</v>
      </c>
      <c r="G19" s="28">
        <v>7.4355279322376298</v>
      </c>
      <c r="H19" s="29">
        <v>5.3999999999999999E-2</v>
      </c>
      <c r="I19" s="25"/>
    </row>
    <row r="20" spans="2:9" x14ac:dyDescent="0.2">
      <c r="B20" s="25" t="s">
        <v>29</v>
      </c>
      <c r="C20" s="25"/>
      <c r="D20" s="25"/>
      <c r="E20" s="26"/>
      <c r="F20" s="27">
        <v>6298.89</v>
      </c>
      <c r="G20" s="28">
        <v>6.2394117742462596</v>
      </c>
      <c r="H20" s="29">
        <v>5.3999999999999999E-2</v>
      </c>
      <c r="I20" s="25"/>
    </row>
    <row r="21" spans="2:9" x14ac:dyDescent="0.2">
      <c r="B21" s="25" t="s">
        <v>29</v>
      </c>
      <c r="C21" s="25"/>
      <c r="D21" s="25"/>
      <c r="E21" s="26"/>
      <c r="F21" s="27">
        <v>5697.9358333</v>
      </c>
      <c r="G21" s="28">
        <v>5.6441322085624197</v>
      </c>
      <c r="H21" s="29">
        <v>5.4199999999999998E-2</v>
      </c>
      <c r="I21" s="25"/>
    </row>
    <row r="22" spans="2:9" x14ac:dyDescent="0.2">
      <c r="B22" s="25" t="s">
        <v>29</v>
      </c>
      <c r="C22" s="25"/>
      <c r="D22" s="25"/>
      <c r="E22" s="26"/>
      <c r="F22" s="27">
        <v>5138.4166667</v>
      </c>
      <c r="G22" s="28">
        <v>5.08989638669531</v>
      </c>
      <c r="H22" s="29">
        <v>5.3999999999999999E-2</v>
      </c>
      <c r="I22" s="25"/>
    </row>
    <row r="23" spans="2:9" x14ac:dyDescent="0.2">
      <c r="B23" s="25" t="s">
        <v>29</v>
      </c>
      <c r="C23" s="25"/>
      <c r="D23" s="25"/>
      <c r="E23" s="26"/>
      <c r="F23" s="27">
        <v>4999.3368499999997</v>
      </c>
      <c r="G23" s="28">
        <v>4.95212985229354</v>
      </c>
      <c r="H23" s="29">
        <v>5.3999999999999999E-2</v>
      </c>
      <c r="I23" s="25"/>
    </row>
    <row r="24" spans="2:9" x14ac:dyDescent="0.2">
      <c r="B24" s="25" t="s">
        <v>29</v>
      </c>
      <c r="C24" s="25"/>
      <c r="D24" s="25"/>
      <c r="E24" s="26"/>
      <c r="F24" s="27">
        <v>4601.4025000000001</v>
      </c>
      <c r="G24" s="28">
        <v>4.5579530578476799</v>
      </c>
      <c r="H24" s="29">
        <v>5.3999999999999999E-2</v>
      </c>
      <c r="I24" s="25"/>
    </row>
    <row r="25" spans="2:9" x14ac:dyDescent="0.2">
      <c r="B25" s="25" t="s">
        <v>29</v>
      </c>
      <c r="C25" s="25"/>
      <c r="D25" s="25"/>
      <c r="E25" s="26"/>
      <c r="F25" s="27">
        <v>4196.8999999999996</v>
      </c>
      <c r="G25" s="28">
        <v>4.1572701341560396</v>
      </c>
      <c r="H25" s="29">
        <v>5.4199999999999998E-2</v>
      </c>
      <c r="I25" s="25"/>
    </row>
    <row r="26" spans="2:9" x14ac:dyDescent="0.2">
      <c r="B26" s="25" t="s">
        <v>29</v>
      </c>
      <c r="C26" s="25"/>
      <c r="D26" s="25"/>
      <c r="E26" s="26"/>
      <c r="F26" s="27">
        <v>3703.0787500000001</v>
      </c>
      <c r="G26" s="28">
        <v>3.6681118663305998</v>
      </c>
      <c r="H26" s="29">
        <v>5.3999999999999999E-2</v>
      </c>
      <c r="I26" s="25"/>
    </row>
    <row r="27" spans="2:9" x14ac:dyDescent="0.2">
      <c r="B27" s="25" t="s">
        <v>29</v>
      </c>
      <c r="C27" s="25"/>
      <c r="D27" s="25"/>
      <c r="E27" s="26"/>
      <c r="F27" s="27">
        <v>2595.4583333</v>
      </c>
      <c r="G27" s="28">
        <v>2.5709503236852198</v>
      </c>
      <c r="H27" s="29">
        <v>5.4199999999999998E-2</v>
      </c>
      <c r="I27" s="25"/>
    </row>
    <row r="28" spans="2:9" x14ac:dyDescent="0.2">
      <c r="B28" s="25" t="s">
        <v>29</v>
      </c>
      <c r="C28" s="25"/>
      <c r="D28" s="25"/>
      <c r="E28" s="26"/>
      <c r="F28" s="27">
        <v>2589.0534722000002</v>
      </c>
      <c r="G28" s="28">
        <v>2.56460594145919</v>
      </c>
      <c r="H28" s="29">
        <v>5.4199999999999998E-2</v>
      </c>
      <c r="I28" s="25"/>
    </row>
    <row r="29" spans="2:9" x14ac:dyDescent="0.2">
      <c r="B29" s="25" t="s">
        <v>29</v>
      </c>
      <c r="C29" s="25"/>
      <c r="D29" s="25"/>
      <c r="E29" s="26"/>
      <c r="F29" s="27">
        <v>2560.2624999999998</v>
      </c>
      <c r="G29" s="28">
        <v>2.5360868323881198</v>
      </c>
      <c r="H29" s="29">
        <v>5.4199999999999998E-2</v>
      </c>
      <c r="I29" s="25"/>
    </row>
    <row r="30" spans="2:9" x14ac:dyDescent="0.2">
      <c r="B30" s="25" t="s">
        <v>29</v>
      </c>
      <c r="C30" s="25"/>
      <c r="D30" s="25"/>
      <c r="E30" s="26"/>
      <c r="F30" s="27">
        <v>2529.0833333</v>
      </c>
      <c r="G30" s="28">
        <v>2.5052020797064301</v>
      </c>
      <c r="H30" s="29">
        <v>5.3999999999999999E-2</v>
      </c>
      <c r="I30" s="25"/>
    </row>
    <row r="31" spans="2:9" x14ac:dyDescent="0.2">
      <c r="B31" s="25" t="s">
        <v>29</v>
      </c>
      <c r="C31" s="25"/>
      <c r="D31" s="25"/>
      <c r="E31" s="26"/>
      <c r="F31" s="27">
        <v>2154.11</v>
      </c>
      <c r="G31" s="28">
        <v>2.1337694890721401</v>
      </c>
      <c r="H31" s="29">
        <v>5.4199999999999998E-2</v>
      </c>
      <c r="I31" s="25"/>
    </row>
    <row r="32" spans="2:9" x14ac:dyDescent="0.2">
      <c r="B32" s="25" t="s">
        <v>29</v>
      </c>
      <c r="C32" s="25"/>
      <c r="D32" s="25"/>
      <c r="E32" s="26"/>
      <c r="F32" s="27">
        <v>2124.0477777999999</v>
      </c>
      <c r="G32" s="28">
        <v>2.1039911339723201</v>
      </c>
      <c r="H32" s="29">
        <v>5.4199999999999998E-2</v>
      </c>
      <c r="I32" s="25"/>
    </row>
    <row r="33" spans="2:9" x14ac:dyDescent="0.2">
      <c r="B33" s="25" t="s">
        <v>29</v>
      </c>
      <c r="C33" s="25"/>
      <c r="D33" s="25"/>
      <c r="E33" s="26"/>
      <c r="F33" s="27">
        <v>2084.25</v>
      </c>
      <c r="G33" s="28">
        <v>2.0645691527352898</v>
      </c>
      <c r="H33" s="29">
        <v>5.4800000000000001E-2</v>
      </c>
      <c r="I33" s="25"/>
    </row>
    <row r="34" spans="2:9" x14ac:dyDescent="0.2">
      <c r="B34" s="25" t="s">
        <v>29</v>
      </c>
      <c r="C34" s="25"/>
      <c r="D34" s="25"/>
      <c r="E34" s="26"/>
      <c r="F34" s="27">
        <v>2074.7849999999999</v>
      </c>
      <c r="G34" s="28">
        <v>2.0551935274357098</v>
      </c>
      <c r="H34" s="29">
        <v>5.4199999999999998E-2</v>
      </c>
      <c r="I34" s="25"/>
    </row>
    <row r="35" spans="2:9" x14ac:dyDescent="0.2">
      <c r="B35" s="25" t="s">
        <v>29</v>
      </c>
      <c r="C35" s="25"/>
      <c r="D35" s="25"/>
      <c r="E35" s="26"/>
      <c r="F35" s="27">
        <v>2026.5766667</v>
      </c>
      <c r="G35" s="28">
        <v>2.0074404086467199</v>
      </c>
      <c r="H35" s="29">
        <v>5.4199999999999998E-2</v>
      </c>
      <c r="I35" s="25"/>
    </row>
    <row r="36" spans="2:9" x14ac:dyDescent="0.2">
      <c r="B36" s="25" t="s">
        <v>29</v>
      </c>
      <c r="C36" s="25"/>
      <c r="D36" s="25"/>
      <c r="E36" s="26"/>
      <c r="F36" s="27">
        <v>1590.4024999999999</v>
      </c>
      <c r="G36" s="28">
        <v>1.5753848827794601</v>
      </c>
      <c r="H36" s="29">
        <v>5.4199999999999998E-2</v>
      </c>
      <c r="I36" s="25"/>
    </row>
    <row r="37" spans="2:9" x14ac:dyDescent="0.2">
      <c r="B37" s="25" t="s">
        <v>29</v>
      </c>
      <c r="C37" s="25"/>
      <c r="D37" s="25"/>
      <c r="E37" s="26"/>
      <c r="F37" s="27">
        <v>1528.2083333</v>
      </c>
      <c r="G37" s="28">
        <v>1.5137779939470699</v>
      </c>
      <c r="H37" s="29">
        <v>5.4199999999999998E-2</v>
      </c>
      <c r="I37" s="25"/>
    </row>
    <row r="38" spans="2:9" x14ac:dyDescent="0.2">
      <c r="B38" s="25" t="s">
        <v>29</v>
      </c>
      <c r="C38" s="25"/>
      <c r="D38" s="25"/>
      <c r="E38" s="26"/>
      <c r="F38" s="27">
        <v>1522.67875</v>
      </c>
      <c r="G38" s="28">
        <v>1.50830062457744</v>
      </c>
      <c r="H38" s="29">
        <v>5.4199999999999998E-2</v>
      </c>
      <c r="I38" s="25"/>
    </row>
    <row r="39" spans="2:9" x14ac:dyDescent="0.2">
      <c r="B39" s="25" t="s">
        <v>29</v>
      </c>
      <c r="C39" s="25"/>
      <c r="D39" s="25"/>
      <c r="E39" s="26"/>
      <c r="F39" s="27">
        <v>1506.09375</v>
      </c>
      <c r="G39" s="28">
        <v>1.49187223095954</v>
      </c>
      <c r="H39" s="29">
        <v>5.4199999999999998E-2</v>
      </c>
      <c r="I39" s="25"/>
    </row>
    <row r="40" spans="2:9" x14ac:dyDescent="0.2">
      <c r="B40" s="25" t="s">
        <v>29</v>
      </c>
      <c r="C40" s="25"/>
      <c r="D40" s="25"/>
      <c r="E40" s="26"/>
      <c r="F40" s="27">
        <v>1048.5250000000001</v>
      </c>
      <c r="G40" s="28">
        <v>1.03862414339535</v>
      </c>
      <c r="H40" s="29">
        <v>5.45E-2</v>
      </c>
      <c r="I40" s="25"/>
    </row>
    <row r="41" spans="2:9" ht="10.5" x14ac:dyDescent="0.25">
      <c r="B41" s="24" t="s">
        <v>9</v>
      </c>
      <c r="C41" s="24"/>
      <c r="D41" s="24"/>
      <c r="E41" s="32"/>
      <c r="F41" s="33">
        <v>92447.07004430001</v>
      </c>
      <c r="G41" s="34">
        <v>91.574124540827768</v>
      </c>
      <c r="H41" s="29"/>
      <c r="I41" s="25"/>
    </row>
    <row r="42" spans="2:9" x14ac:dyDescent="0.2">
      <c r="B42" s="25"/>
      <c r="C42" s="25"/>
      <c r="D42" s="25"/>
      <c r="E42" s="26"/>
      <c r="F42" s="27"/>
      <c r="G42" s="28"/>
      <c r="H42" s="29"/>
      <c r="I42" s="25"/>
    </row>
    <row r="43" spans="2:9" ht="10.5" x14ac:dyDescent="0.25">
      <c r="B43" s="46" t="s">
        <v>12</v>
      </c>
      <c r="C43" s="46"/>
      <c r="D43" s="46"/>
      <c r="E43" s="47"/>
      <c r="F43" s="33">
        <f>F44-(F11+F14+F41)</f>
        <v>93.648510999992141</v>
      </c>
      <c r="G43" s="34">
        <f>G44-(G11+G14+G41)</f>
        <v>9.2764220707792333E-2</v>
      </c>
      <c r="H43" s="35"/>
      <c r="I43" s="24"/>
    </row>
    <row r="44" spans="2:9" ht="10.5" x14ac:dyDescent="0.25">
      <c r="B44" s="40" t="s">
        <v>11</v>
      </c>
      <c r="C44" s="40"/>
      <c r="D44" s="40"/>
      <c r="E44" s="41"/>
      <c r="F44" s="42">
        <v>100953.2665563</v>
      </c>
      <c r="G44" s="43">
        <v>100</v>
      </c>
      <c r="H44" s="44"/>
      <c r="I44" s="45"/>
    </row>
    <row r="46" spans="2:9" ht="40" customHeight="1" x14ac:dyDescent="0.2">
      <c r="B46" s="67" t="s">
        <v>17</v>
      </c>
      <c r="C46" s="67"/>
      <c r="D46" s="67"/>
      <c r="E46" s="67"/>
      <c r="F46" s="67"/>
      <c r="G46" s="67"/>
      <c r="H46" s="67"/>
      <c r="I46" s="67"/>
    </row>
    <row r="47" spans="2:9" ht="10.5" x14ac:dyDescent="0.25">
      <c r="B47" s="17"/>
    </row>
    <row r="48" spans="2:9" ht="10.5" x14ac:dyDescent="0.2">
      <c r="B48" s="55" t="s">
        <v>13</v>
      </c>
      <c r="C48" s="57"/>
      <c r="D48" s="57"/>
    </row>
    <row r="49" spans="2:9" ht="10.5" x14ac:dyDescent="0.2">
      <c r="B49" s="55"/>
      <c r="C49" s="57"/>
      <c r="D49" s="57"/>
    </row>
    <row r="50" spans="2:9" ht="10.5" x14ac:dyDescent="0.2">
      <c r="B50" s="58" t="s">
        <v>34</v>
      </c>
      <c r="C50" s="57"/>
      <c r="D50" s="57"/>
    </row>
    <row r="51" spans="2:9" ht="10.5" x14ac:dyDescent="0.2">
      <c r="B51" s="58" t="s">
        <v>35</v>
      </c>
      <c r="C51" s="57"/>
      <c r="D51" s="57"/>
    </row>
    <row r="52" spans="2:9" ht="10.5" x14ac:dyDescent="0.2">
      <c r="B52" s="55"/>
      <c r="C52" s="57"/>
      <c r="D52" s="57"/>
    </row>
    <row r="53" spans="2:9" ht="21" x14ac:dyDescent="0.2">
      <c r="B53" s="61" t="s">
        <v>36</v>
      </c>
      <c r="C53" s="64" t="s">
        <v>37</v>
      </c>
      <c r="D53" s="63" t="s">
        <v>40</v>
      </c>
    </row>
    <row r="54" spans="2:9" x14ac:dyDescent="0.2">
      <c r="B54" s="59" t="s">
        <v>38</v>
      </c>
      <c r="C54" s="62">
        <v>1044.3471</v>
      </c>
      <c r="D54" s="62">
        <v>1048.8948</v>
      </c>
    </row>
    <row r="55" spans="2:9" x14ac:dyDescent="0.2">
      <c r="B55" s="59" t="s">
        <v>39</v>
      </c>
      <c r="C55" s="62">
        <v>1021.2217000000001</v>
      </c>
      <c r="D55" s="62">
        <v>1025.6804999999999</v>
      </c>
    </row>
    <row r="56" spans="2:9" ht="10.5" x14ac:dyDescent="0.2">
      <c r="B56" s="55"/>
      <c r="C56" s="57"/>
      <c r="D56" s="57"/>
    </row>
    <row r="57" spans="2:9" ht="10.5" x14ac:dyDescent="0.2">
      <c r="B57" s="58" t="s">
        <v>45</v>
      </c>
      <c r="C57" s="57"/>
      <c r="D57" s="57"/>
    </row>
    <row r="58" spans="2:9" ht="10.5" x14ac:dyDescent="0.2">
      <c r="B58" s="58" t="s">
        <v>41</v>
      </c>
      <c r="C58" s="57"/>
      <c r="D58" s="57"/>
    </row>
    <row r="59" spans="2:9" ht="10.5" x14ac:dyDescent="0.2">
      <c r="B59" s="58" t="s">
        <v>42</v>
      </c>
      <c r="C59" s="57"/>
      <c r="D59" s="57"/>
    </row>
    <row r="60" spans="2:9" ht="10.5" x14ac:dyDescent="0.2">
      <c r="B60" s="60" t="s">
        <v>44</v>
      </c>
      <c r="C60" s="57"/>
      <c r="D60" s="57"/>
    </row>
    <row r="61" spans="2:9" ht="10.5" x14ac:dyDescent="0.2">
      <c r="B61" s="58" t="s">
        <v>43</v>
      </c>
      <c r="C61" s="57"/>
      <c r="D61" s="57"/>
    </row>
    <row r="62" spans="2:9" ht="10.5" x14ac:dyDescent="0.25">
      <c r="B62" s="17"/>
    </row>
    <row r="63" spans="2:9" ht="10.5" x14ac:dyDescent="0.25">
      <c r="B63" s="17" t="s">
        <v>31</v>
      </c>
      <c r="E63" s="8"/>
      <c r="G63" s="54"/>
      <c r="I63" s="14"/>
    </row>
    <row r="64" spans="2:9" ht="10.5" x14ac:dyDescent="0.25">
      <c r="B64" s="17"/>
      <c r="C64" s="17"/>
      <c r="D64" s="48"/>
      <c r="E64" s="17"/>
      <c r="G64" s="54"/>
      <c r="I64" s="14"/>
    </row>
    <row r="65" spans="2:9" x14ac:dyDescent="0.2">
      <c r="D65" s="49"/>
      <c r="E65" s="49"/>
      <c r="G65" s="54"/>
      <c r="I65" s="14"/>
    </row>
    <row r="66" spans="2:9" x14ac:dyDescent="0.2">
      <c r="E66" s="8"/>
      <c r="G66" s="54"/>
      <c r="I66" s="14"/>
    </row>
    <row r="67" spans="2:9" x14ac:dyDescent="0.2">
      <c r="E67" s="8"/>
      <c r="G67" s="54"/>
      <c r="I67" s="14"/>
    </row>
    <row r="68" spans="2:9" x14ac:dyDescent="0.2">
      <c r="E68" s="8"/>
      <c r="G68" s="54"/>
      <c r="I68" s="14"/>
    </row>
    <row r="69" spans="2:9" ht="10.5" x14ac:dyDescent="0.25">
      <c r="B69" s="17"/>
      <c r="E69" s="8"/>
      <c r="G69" s="54"/>
      <c r="I69" s="14"/>
    </row>
    <row r="70" spans="2:9" x14ac:dyDescent="0.2">
      <c r="E70" s="8"/>
      <c r="G70" s="54"/>
      <c r="I70" s="14"/>
    </row>
    <row r="71" spans="2:9" x14ac:dyDescent="0.2">
      <c r="E71" s="8"/>
      <c r="G71" s="54"/>
      <c r="I71" s="14"/>
    </row>
    <row r="72" spans="2:9" x14ac:dyDescent="0.2">
      <c r="E72" s="8"/>
      <c r="G72" s="54"/>
      <c r="I72" s="14"/>
    </row>
    <row r="73" spans="2:9" x14ac:dyDescent="0.2">
      <c r="E73" s="8"/>
      <c r="G73" s="54"/>
      <c r="I73" s="14"/>
    </row>
    <row r="74" spans="2:9" x14ac:dyDescent="0.2">
      <c r="E74" s="8"/>
      <c r="G74" s="54"/>
      <c r="I74" s="14"/>
    </row>
    <row r="75" spans="2:9" x14ac:dyDescent="0.2">
      <c r="E75" s="8"/>
      <c r="G75" s="54"/>
      <c r="I75" s="14"/>
    </row>
    <row r="76" spans="2:9" x14ac:dyDescent="0.2">
      <c r="E76" s="8"/>
      <c r="G76" s="54"/>
      <c r="I76" s="14"/>
    </row>
    <row r="77" spans="2:9" x14ac:dyDescent="0.2">
      <c r="E77" s="8"/>
      <c r="G77" s="54"/>
      <c r="I77" s="14"/>
    </row>
    <row r="78" spans="2:9" x14ac:dyDescent="0.2">
      <c r="E78" s="8"/>
      <c r="G78" s="54"/>
      <c r="I78" s="14"/>
    </row>
    <row r="79" spans="2:9" x14ac:dyDescent="0.2">
      <c r="E79" s="8"/>
      <c r="G79" s="54"/>
      <c r="I79" s="14"/>
    </row>
    <row r="80" spans="2:9" x14ac:dyDescent="0.2">
      <c r="E80" s="8"/>
      <c r="G80" s="54"/>
      <c r="I80" s="14"/>
    </row>
    <row r="81" spans="2:9" x14ac:dyDescent="0.2">
      <c r="E81" s="8"/>
      <c r="G81" s="54"/>
      <c r="I81" s="14"/>
    </row>
    <row r="82" spans="2:9" x14ac:dyDescent="0.2">
      <c r="E82" s="8"/>
      <c r="G82" s="54"/>
      <c r="I82" s="14"/>
    </row>
    <row r="83" spans="2:9" x14ac:dyDescent="0.2">
      <c r="E83" s="8"/>
      <c r="G83" s="54"/>
      <c r="I83" s="14"/>
    </row>
    <row r="84" spans="2:9" ht="10.5" x14ac:dyDescent="0.25">
      <c r="B84" s="17" t="s">
        <v>30</v>
      </c>
      <c r="E84" s="8"/>
      <c r="G84" s="54"/>
      <c r="I84" s="14"/>
    </row>
    <row r="85" spans="2:9" ht="10.5" x14ac:dyDescent="0.25">
      <c r="B85" s="56" t="s">
        <v>32</v>
      </c>
      <c r="E85" s="8"/>
      <c r="G85" s="54"/>
      <c r="I85" s="14"/>
    </row>
    <row r="86" spans="2:9" x14ac:dyDescent="0.2">
      <c r="E86" s="8"/>
      <c r="G86" s="54"/>
      <c r="I86" s="14"/>
    </row>
    <row r="87" spans="2:9" x14ac:dyDescent="0.2">
      <c r="E87" s="8"/>
      <c r="G87" s="54"/>
      <c r="I87" s="14"/>
    </row>
    <row r="88" spans="2:9" x14ac:dyDescent="0.2">
      <c r="E88" s="8"/>
      <c r="G88" s="54"/>
      <c r="I88" s="14"/>
    </row>
    <row r="89" spans="2:9" x14ac:dyDescent="0.2">
      <c r="E89" s="8"/>
      <c r="G89" s="54"/>
      <c r="I89" s="14"/>
    </row>
    <row r="90" spans="2:9" x14ac:dyDescent="0.2">
      <c r="E90" s="8"/>
      <c r="G90" s="54"/>
      <c r="I90" s="14"/>
    </row>
    <row r="91" spans="2:9" x14ac:dyDescent="0.2">
      <c r="E91" s="8"/>
      <c r="G91" s="54"/>
      <c r="I91" s="14"/>
    </row>
    <row r="92" spans="2:9" x14ac:dyDescent="0.2">
      <c r="E92" s="8"/>
      <c r="G92" s="54"/>
      <c r="I92" s="14"/>
    </row>
    <row r="93" spans="2:9" x14ac:dyDescent="0.2">
      <c r="E93" s="8"/>
      <c r="G93" s="54"/>
      <c r="I93" s="14"/>
    </row>
    <row r="94" spans="2:9" x14ac:dyDescent="0.2">
      <c r="E94" s="8"/>
      <c r="G94" s="54"/>
      <c r="I94" s="14"/>
    </row>
    <row r="95" spans="2:9" x14ac:dyDescent="0.2">
      <c r="E95" s="8"/>
      <c r="G95" s="54"/>
      <c r="I95" s="14"/>
    </row>
    <row r="96" spans="2:9" x14ac:dyDescent="0.2">
      <c r="E96" s="8"/>
      <c r="G96" s="54"/>
      <c r="I96" s="14"/>
    </row>
    <row r="97" spans="5:9" x14ac:dyDescent="0.2">
      <c r="E97" s="8"/>
      <c r="G97" s="54"/>
      <c r="I97" s="14"/>
    </row>
    <row r="98" spans="5:9" x14ac:dyDescent="0.2">
      <c r="E98" s="8"/>
      <c r="G98" s="54"/>
      <c r="I98" s="14"/>
    </row>
    <row r="99" spans="5:9" x14ac:dyDescent="0.2">
      <c r="E99" s="8"/>
      <c r="G99" s="54"/>
      <c r="I99" s="14"/>
    </row>
    <row r="100" spans="5:9" x14ac:dyDescent="0.2">
      <c r="E100" s="8"/>
      <c r="G100" s="54"/>
      <c r="I100" s="14"/>
    </row>
    <row r="101" spans="5:9" x14ac:dyDescent="0.2">
      <c r="E101" s="8"/>
      <c r="G101" s="54"/>
      <c r="I101" s="14"/>
    </row>
    <row r="102" spans="5:9" x14ac:dyDescent="0.2">
      <c r="E102" s="8"/>
      <c r="G102" s="54"/>
      <c r="I102" s="14"/>
    </row>
    <row r="103" spans="5:9" x14ac:dyDescent="0.2">
      <c r="E103" s="8"/>
      <c r="G103" s="54"/>
      <c r="I103" s="14"/>
    </row>
    <row r="104" spans="5:9" x14ac:dyDescent="0.2">
      <c r="E104" s="8"/>
      <c r="G104" s="54"/>
      <c r="I104" s="14"/>
    </row>
    <row r="105" spans="5:9" x14ac:dyDescent="0.2">
      <c r="E105" s="8"/>
      <c r="G105" s="54"/>
      <c r="I105" s="14"/>
    </row>
    <row r="106" spans="5:9" x14ac:dyDescent="0.2">
      <c r="E106" s="8"/>
      <c r="G106" s="54"/>
      <c r="I106" s="14"/>
    </row>
  </sheetData>
  <mergeCells count="2">
    <mergeCell ref="B1:C1"/>
    <mergeCell ref="B46:I46"/>
  </mergeCells>
  <conditionalFormatting sqref="G1:G3 G5:G45 G47:G106">
    <cfRule type="cellIs" dxfId="0" priority="2" stopIfTrue="1" operator="between">
      <formula>0.009</formula>
      <formula>-0.009</formula>
    </cfRule>
  </conditionalFormatting>
  <hyperlinks>
    <hyperlink ref="A2" location="Index!A1" display="-" xr:uid="{E90D2D54-A09B-4CB7-93CD-5B4B37BE6084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71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