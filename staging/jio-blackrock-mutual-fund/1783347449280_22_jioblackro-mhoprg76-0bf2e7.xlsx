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684FF88C-A0A6-4B55-8549-DE9F285EF467}" xr6:coauthVersionLast="47" xr6:coauthVersionMax="47" xr10:uidLastSave="{00000000-0000-0000-0000-000000000000}"/>
  <bookViews>
    <workbookView xWindow="0" yWindow="165" windowWidth="28800" windowHeight="15315" xr2:uid="{89728DBC-F07D-4157-8807-01DBF0F4A3D6}"/>
  </bookViews>
  <sheets>
    <sheet name="JBNS250" sheetId="10" r:id="rId1"/>
  </sheets>
  <definedNames>
    <definedName name="_xlnm.Print_Area" localSheetId="0">JBNS250!$B$1:$H$307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G258" i="10"/>
  <c r="G261" i="10"/>
  <c r="G264" i="10"/>
  <c r="F258" i="10"/>
  <c r="F264" i="10" s="1"/>
  <c r="F261" i="10"/>
</calcChain>
</file>

<file path=xl/sharedStrings.xml><?xml version="1.0" encoding="utf-8"?>
<sst xmlns="http://schemas.openxmlformats.org/spreadsheetml/2006/main" count="780" uniqueCount="570">
  <si>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</si>
  <si>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</si>
  <si>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</si>
  <si>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</si>
  <si>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</si>
  <si>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</si>
  <si>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</si>
  <si>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</si>
  <si>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</si>
  <si>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</si>
  <si>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</si>
  <si>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</si>
  <si>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>** Non Traded Security</t>
  </si>
  <si>
    <t>Notes</t>
  </si>
  <si>
    <t xml:space="preserve">Scheme Risk-O-Meter </t>
  </si>
  <si>
    <t>(a) Listed / awaiting listing on Stock Exchanges</t>
  </si>
  <si>
    <t>Equity &amp; Equity related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</si>
  <si>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</si>
  <si>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</si>
  <si>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</si>
  <si>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</si>
  <si>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</si>
  <si>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</si>
  <si>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</si>
  <si>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</si>
  <si>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</si>
  <si>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Power</t>
  </si>
  <si>
    <t>Consumer Durables</t>
  </si>
  <si>
    <t>Aerospace &amp; Defense</t>
  </si>
  <si>
    <t>Ferrous Metals</t>
  </si>
  <si>
    <t>Cement &amp; Cement Products</t>
  </si>
  <si>
    <t>Transport Services</t>
  </si>
  <si>
    <t>Non - Ferrous Metals</t>
  </si>
  <si>
    <t>Oil</t>
  </si>
  <si>
    <t>Food Products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</si>
  <si>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</si>
  <si>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</si>
  <si>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</si>
  <si>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</si>
  <si>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</si>
  <si>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</si>
  <si>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Leisure Services</t>
  </si>
  <si>
    <t>Beverages</t>
  </si>
  <si>
    <t>Electrical Equipment</t>
  </si>
  <si>
    <t>Gas</t>
  </si>
  <si>
    <t>Realty</t>
  </si>
  <si>
    <t>Auto Components</t>
  </si>
  <si>
    <t>Personal Products</t>
  </si>
  <si>
    <t>Chemicals &amp; Petrochemicals</t>
  </si>
  <si>
    <t>Industrial Manufacturing</t>
  </si>
  <si>
    <t>Capital Markets</t>
  </si>
  <si>
    <t>Industrial Products</t>
  </si>
  <si>
    <t>Fertilizers &amp; Agrochemicals</t>
  </si>
  <si>
    <t>Agricultural, Commercial &amp; Construction Vehicles</t>
  </si>
  <si>
    <t>Minerals &amp; Mining</t>
  </si>
  <si>
    <t>Textiles &amp; Apparels</t>
  </si>
  <si>
    <t>Agricultural Food &amp; other Products</t>
  </si>
  <si>
    <t>IT - Services</t>
  </si>
  <si>
    <t>Diversified</t>
  </si>
  <si>
    <t>Multi Commodity Exchange Of India Ltd</t>
  </si>
  <si>
    <t>INE745G01035</t>
  </si>
  <si>
    <t>Laurus Labs Ltd</t>
  </si>
  <si>
    <t>INE947Q01028</t>
  </si>
  <si>
    <t>Central Depository Services (India) Ltd</t>
  </si>
  <si>
    <t>INE736A01011</t>
  </si>
  <si>
    <t>Delhivery Ltd</t>
  </si>
  <si>
    <t>INE148O01028</t>
  </si>
  <si>
    <t>Radico Khaitan Ltd</t>
  </si>
  <si>
    <t>INE944F01028</t>
  </si>
  <si>
    <t>Karur Vysya Bank Ltd</t>
  </si>
  <si>
    <t>INE036D01028</t>
  </si>
  <si>
    <t>Kaynes Technology India Ltd</t>
  </si>
  <si>
    <t>INE918Z01012</t>
  </si>
  <si>
    <t>Navin Fluorine International Ltd</t>
  </si>
  <si>
    <t>INE048G01026</t>
  </si>
  <si>
    <t>RBL Bank Ltd</t>
  </si>
  <si>
    <t>INE976G01028</t>
  </si>
  <si>
    <t>Cholamandalam Financial Holdings Ltd</t>
  </si>
  <si>
    <t>INE149A01033</t>
  </si>
  <si>
    <t>Computer Age Management Services Ltd</t>
  </si>
  <si>
    <t>INE596I01012</t>
  </si>
  <si>
    <t>Crompton Greaves Consumer Electricals Ltd</t>
  </si>
  <si>
    <t>INE299U01018</t>
  </si>
  <si>
    <t>Krishna Institute Of Medical Sciences Ltd</t>
  </si>
  <si>
    <t>INE967H01025</t>
  </si>
  <si>
    <t>PNB Housing Finance Ltd</t>
  </si>
  <si>
    <t>INE572E01012</t>
  </si>
  <si>
    <t>Amber Enterprises India Ltd</t>
  </si>
  <si>
    <t>INE371P01015</t>
  </si>
  <si>
    <t>City Union Bank Ltd</t>
  </si>
  <si>
    <t>INE491A01021</t>
  </si>
  <si>
    <t>Angel One Ltd</t>
  </si>
  <si>
    <t>INE732I01013</t>
  </si>
  <si>
    <t>Gland Pharma Ltd</t>
  </si>
  <si>
    <t>INE068V01023</t>
  </si>
  <si>
    <t>Aster DM Healthcare Ltd</t>
  </si>
  <si>
    <t>INE914M01019</t>
  </si>
  <si>
    <t>Redington Ltd</t>
  </si>
  <si>
    <t>INE891D01026</t>
  </si>
  <si>
    <t>Commercial Services &amp; Supplies</t>
  </si>
  <si>
    <t>Inox Wind Ltd</t>
  </si>
  <si>
    <t>INE066P01011</t>
  </si>
  <si>
    <t>Manappuram Finance Ltd</t>
  </si>
  <si>
    <t>INE522D01027</t>
  </si>
  <si>
    <t>Kfin Technologies Ltd</t>
  </si>
  <si>
    <t>INE138Y01010</t>
  </si>
  <si>
    <t>Sammaan Capital Ltd</t>
  </si>
  <si>
    <t>INE148I01020</t>
  </si>
  <si>
    <t>Brigade Enterprises Ltd</t>
  </si>
  <si>
    <t>INE791I01019</t>
  </si>
  <si>
    <t>Kalpataru Projects International Ltd</t>
  </si>
  <si>
    <t>INE220B01022</t>
  </si>
  <si>
    <t>Neuland Laboratories Ltd</t>
  </si>
  <si>
    <t>INE794A01010</t>
  </si>
  <si>
    <t>Tata Chemicals Ltd</t>
  </si>
  <si>
    <t>INE092A01019</t>
  </si>
  <si>
    <t>Poonawalla Fincorp Ltd</t>
  </si>
  <si>
    <t>INE511C01022</t>
  </si>
  <si>
    <t>J.B. Chemicals &amp; Pharmaceuticals Ltd</t>
  </si>
  <si>
    <t>INE572A01036</t>
  </si>
  <si>
    <t>Bandhan Bank Ltd</t>
  </si>
  <si>
    <t>INE545U01014</t>
  </si>
  <si>
    <t>Reliance Power Ltd</t>
  </si>
  <si>
    <t>INE614G01033</t>
  </si>
  <si>
    <t>The Ramco Cements Ltd</t>
  </si>
  <si>
    <t>INE331A01037</t>
  </si>
  <si>
    <t>Welspun Corp Ltd</t>
  </si>
  <si>
    <t>INE191B01025</t>
  </si>
  <si>
    <t>IIFL Finance Ltd</t>
  </si>
  <si>
    <t>INE530B01024</t>
  </si>
  <si>
    <t>Authum Investment &amp; Infrastructure Ltd</t>
  </si>
  <si>
    <t>INE206F01022</t>
  </si>
  <si>
    <t>Piramal Pharma Ltd</t>
  </si>
  <si>
    <t>INE0DK501011</t>
  </si>
  <si>
    <t>Amara Raja Energy And Mobility Ltd</t>
  </si>
  <si>
    <t>INE885A01032</t>
  </si>
  <si>
    <t>Affle 3i Ltd</t>
  </si>
  <si>
    <t>INE00WC01027</t>
  </si>
  <si>
    <t>Five-Star Business Finance Ltd</t>
  </si>
  <si>
    <t>INE128S01021</t>
  </si>
  <si>
    <t>NBCC (India) Ltd</t>
  </si>
  <si>
    <t>INE095N01031</t>
  </si>
  <si>
    <t>Motherson Sumi Wiring India Ltd</t>
  </si>
  <si>
    <t>INE0FS801015</t>
  </si>
  <si>
    <t>Dr. Lal Path Labs Ltd</t>
  </si>
  <si>
    <t>INE600L01024</t>
  </si>
  <si>
    <t>Narayana Hrudayalaya Ltd</t>
  </si>
  <si>
    <t>INE410P01011</t>
  </si>
  <si>
    <t>Anand Rathi Wealth Ltd</t>
  </si>
  <si>
    <t>INE463V01026</t>
  </si>
  <si>
    <t>CESC Ltd</t>
  </si>
  <si>
    <t>INE486A01021</t>
  </si>
  <si>
    <t>HBL Engineering Ltd</t>
  </si>
  <si>
    <t>INE292B01021</t>
  </si>
  <si>
    <t>Himadri Speciality Chemical Ltd</t>
  </si>
  <si>
    <t>INE019C01026</t>
  </si>
  <si>
    <t>Timken India Ltd</t>
  </si>
  <si>
    <t>INE325A01013</t>
  </si>
  <si>
    <t>Firstsource Solutions Ltd</t>
  </si>
  <si>
    <t>INE684F01012</t>
  </si>
  <si>
    <t>Star Health And Allied Insurance Co Ltd</t>
  </si>
  <si>
    <t>INE575P01011</t>
  </si>
  <si>
    <t>Hindustan Copper Ltd</t>
  </si>
  <si>
    <t>INE531E01026</t>
  </si>
  <si>
    <t>Indian Energy Exchange Ltd</t>
  </si>
  <si>
    <t>INE022Q01020</t>
  </si>
  <si>
    <t>EID Parry India Ltd</t>
  </si>
  <si>
    <t>INE126A01031</t>
  </si>
  <si>
    <t>Great Eastern Shipping Co Ltd</t>
  </si>
  <si>
    <t>INE017A01032</t>
  </si>
  <si>
    <t>Elgi Equipments Ltd</t>
  </si>
  <si>
    <t>INE285A01027</t>
  </si>
  <si>
    <t>Asahi India Glass Ltd</t>
  </si>
  <si>
    <t>INE439A01020</t>
  </si>
  <si>
    <t>Nuvama Wealth Management Ltd</t>
  </si>
  <si>
    <t>INE531F01015</t>
  </si>
  <si>
    <t>KEC International Ltd</t>
  </si>
  <si>
    <t>INE389H01022</t>
  </si>
  <si>
    <t>Wockhardt Ltd</t>
  </si>
  <si>
    <t>INE049B01025</t>
  </si>
  <si>
    <t>Emami Ltd</t>
  </si>
  <si>
    <t>INE548C01032</t>
  </si>
  <si>
    <t>Sundram Fasteners Ltd</t>
  </si>
  <si>
    <t>INE387A01021</t>
  </si>
  <si>
    <t>PTC Industries Ltd</t>
  </si>
  <si>
    <t>INE596F01018</t>
  </si>
  <si>
    <t>Carborundum Universal Ltd</t>
  </si>
  <si>
    <t>INE120A01034</t>
  </si>
  <si>
    <t>Intellect Design Arena Ltd</t>
  </si>
  <si>
    <t>INE306R01017</t>
  </si>
  <si>
    <t>Onesource Specialty Pharma Ltd</t>
  </si>
  <si>
    <t>INE013P01021</t>
  </si>
  <si>
    <t>eClerx Services Ltd</t>
  </si>
  <si>
    <t>INE738I01010</t>
  </si>
  <si>
    <t>Kajaria Ceramics Ltd</t>
  </si>
  <si>
    <t>INE217B01036</t>
  </si>
  <si>
    <t>Deepak Fertilizers and Petrochemicals Corporation Ltd</t>
  </si>
  <si>
    <t>INE501A01019</t>
  </si>
  <si>
    <t>Cyient Ltd</t>
  </si>
  <si>
    <t>INE136B01020</t>
  </si>
  <si>
    <t>Aditya Birla Real Estate Ltd</t>
  </si>
  <si>
    <t>INE055A01016</t>
  </si>
  <si>
    <t>Paper, Forest &amp; Jute Products</t>
  </si>
  <si>
    <t>Cohance Lifesciences Ltd</t>
  </si>
  <si>
    <t>INE03QK01018</t>
  </si>
  <si>
    <t>Castrol India Ltd</t>
  </si>
  <si>
    <t>INE172A01027</t>
  </si>
  <si>
    <t>Home First Finance Co India Ltd</t>
  </si>
  <si>
    <t>INE481N01025</t>
  </si>
  <si>
    <t>Aegis Logistics Ltd</t>
  </si>
  <si>
    <t>INE208C01025</t>
  </si>
  <si>
    <t>ZF Commercial Vehicle Control Systems India Ltd</t>
  </si>
  <si>
    <t>INE342J01019</t>
  </si>
  <si>
    <t>Zee Entertainment Enterprises Ltd</t>
  </si>
  <si>
    <t>INE256A01028</t>
  </si>
  <si>
    <t>Entertainment</t>
  </si>
  <si>
    <t>Sai Life Sciences Ltd</t>
  </si>
  <si>
    <t>INE570L01029</t>
  </si>
  <si>
    <t>Atul Ltd</t>
  </si>
  <si>
    <t>INE100A01010</t>
  </si>
  <si>
    <t>PG Electroplast Ltd</t>
  </si>
  <si>
    <t>INE457L01029</t>
  </si>
  <si>
    <t>Zensar Technologies Ltd</t>
  </si>
  <si>
    <t>INE520A01027</t>
  </si>
  <si>
    <t>Gujarat State Petronet Ltd</t>
  </si>
  <si>
    <t>INE246F01010</t>
  </si>
  <si>
    <t>Jubilant Pharmova Ltd</t>
  </si>
  <si>
    <t>INE700A01033</t>
  </si>
  <si>
    <t>Anant Raj Ltd</t>
  </si>
  <si>
    <t>INE242C01024</t>
  </si>
  <si>
    <t>NCC Ltd</t>
  </si>
  <si>
    <t>INE868B01028</t>
  </si>
  <si>
    <t>Whirlpool Of India Ltd</t>
  </si>
  <si>
    <t>INE716A01013</t>
  </si>
  <si>
    <t>PVR Inox Ltd</t>
  </si>
  <si>
    <t>INE191H01014</t>
  </si>
  <si>
    <t>Go Digit General Insurance Ltd</t>
  </si>
  <si>
    <t>INE03JT01014</t>
  </si>
  <si>
    <t>Eris Lifesciences Ltd</t>
  </si>
  <si>
    <t>INE406M01024</t>
  </si>
  <si>
    <t>Jaiprakash Power Ventures Ltd</t>
  </si>
  <si>
    <t>INE351F01018</t>
  </si>
  <si>
    <t>Nava Ltd</t>
  </si>
  <si>
    <t>INE725A01030</t>
  </si>
  <si>
    <t>Aptus Value Housing Finance India Ltd</t>
  </si>
  <si>
    <t>INE852O01025</t>
  </si>
  <si>
    <t>Force Motors Ltd</t>
  </si>
  <si>
    <t>INE451A01017</t>
  </si>
  <si>
    <t>CEAT Ltd</t>
  </si>
  <si>
    <t>INE482A01020</t>
  </si>
  <si>
    <t>BEML Ltd</t>
  </si>
  <si>
    <t>INE258A01016</t>
  </si>
  <si>
    <t>Kirloskar Oil Engines Ltd</t>
  </si>
  <si>
    <t>INE146L01010</t>
  </si>
  <si>
    <t>Maharashtra Scooters Ltd</t>
  </si>
  <si>
    <t>INE288A01013</t>
  </si>
  <si>
    <t>Lemon Tree Hotels Ltd</t>
  </si>
  <si>
    <t>INE970X01018</t>
  </si>
  <si>
    <t>Granules India Ltd</t>
  </si>
  <si>
    <t>INE101D01020</t>
  </si>
  <si>
    <t>Usha Martin Ltd</t>
  </si>
  <si>
    <t>INE228A01035</t>
  </si>
  <si>
    <t>Craftsman Automation Ltd</t>
  </si>
  <si>
    <t>INE00LO01017</t>
  </si>
  <si>
    <t>Data Patterns India Ltd</t>
  </si>
  <si>
    <t>INE0IX101010</t>
  </si>
  <si>
    <t>Sagility Ltd</t>
  </si>
  <si>
    <t>INE0W2G01015</t>
  </si>
  <si>
    <t>Ather Energy Ltd</t>
  </si>
  <si>
    <t>INE0LEZ01016</t>
  </si>
  <si>
    <t>Pfizer Ltd</t>
  </si>
  <si>
    <t>INE182A01018</t>
  </si>
  <si>
    <t>Capri Global Capital Ltd</t>
  </si>
  <si>
    <t>INE180C01042</t>
  </si>
  <si>
    <t>Inventurus Knowledge Solutions Ltd</t>
  </si>
  <si>
    <t>INE115Q01022</t>
  </si>
  <si>
    <t>Aarti Industries Ltd</t>
  </si>
  <si>
    <t>INE769A01020</t>
  </si>
  <si>
    <t>EIH Ltd</t>
  </si>
  <si>
    <t>INE230A01023</t>
  </si>
  <si>
    <t>Creditaccess Grameen Ltd</t>
  </si>
  <si>
    <t>INE741K01010</t>
  </si>
  <si>
    <t>Poly Medicure Ltd</t>
  </si>
  <si>
    <t>INE205C01021</t>
  </si>
  <si>
    <t>Healthcare Equipment &amp; Supplies</t>
  </si>
  <si>
    <t>Indiamart Intermesh Ltd</t>
  </si>
  <si>
    <t>INE933S01016</t>
  </si>
  <si>
    <t>Garden Reach Shipbuilders &amp; Engineers Ltd</t>
  </si>
  <si>
    <t>INE382Z01011</t>
  </si>
  <si>
    <t>Brainbees Solutions Ltd</t>
  </si>
  <si>
    <t>INE02RE01045</t>
  </si>
  <si>
    <t>Jyoti CNC Automation Ltd</t>
  </si>
  <si>
    <t>INE980O01024</t>
  </si>
  <si>
    <t>Natco Pharma Ltd</t>
  </si>
  <si>
    <t>INE987B01026</t>
  </si>
  <si>
    <t>Can Fin Homes Ltd</t>
  </si>
  <si>
    <t>INE477A01020</t>
  </si>
  <si>
    <t>Gillette India Ltd</t>
  </si>
  <si>
    <t>INE322A01010</t>
  </si>
  <si>
    <t>Chambal Fertilizers &amp; Chemicals Ltd</t>
  </si>
  <si>
    <t>INE085A01013</t>
  </si>
  <si>
    <t>Mahanagar Gas Ltd</t>
  </si>
  <si>
    <t>INE002S01010</t>
  </si>
  <si>
    <t>HFCL Ltd</t>
  </si>
  <si>
    <t>INE548A01028</t>
  </si>
  <si>
    <t>Sobha Ltd</t>
  </si>
  <si>
    <t>INE671H01015</t>
  </si>
  <si>
    <t>Sonata Software Ltd</t>
  </si>
  <si>
    <t>INE269A01021</t>
  </si>
  <si>
    <t>Titagarh Rail Systems Ltd</t>
  </si>
  <si>
    <t>INE615H01020</t>
  </si>
  <si>
    <t>Godawari Power &amp; Ispat Ltd</t>
  </si>
  <si>
    <t>INE177H01039</t>
  </si>
  <si>
    <t>Rainbow Childrens Medicare Ltd</t>
  </si>
  <si>
    <t>INE961O01016</t>
  </si>
  <si>
    <t>Bata India Ltd</t>
  </si>
  <si>
    <t>INE176A01028</t>
  </si>
  <si>
    <t>Chalet Hotels Ltd</t>
  </si>
  <si>
    <t>INE427F01016</t>
  </si>
  <si>
    <t>Sapphire Foods India Ltd</t>
  </si>
  <si>
    <t>INE806T01020</t>
  </si>
  <si>
    <t>V-Guard Industries Ltd</t>
  </si>
  <si>
    <t>INE951I01027</t>
  </si>
  <si>
    <t>Afcons Infrastructure Ltd</t>
  </si>
  <si>
    <t>INE101I01011</t>
  </si>
  <si>
    <t>Choice International Ltd</t>
  </si>
  <si>
    <t>INE102B01014</t>
  </si>
  <si>
    <t>Netweb Technologies India Ltd</t>
  </si>
  <si>
    <t>INE0NT901020</t>
  </si>
  <si>
    <t>Devyani International Ltd</t>
  </si>
  <si>
    <t>INE872J01023</t>
  </si>
  <si>
    <t>Techno Electric &amp; Engineering Co Ltd</t>
  </si>
  <si>
    <t>INE285K01026</t>
  </si>
  <si>
    <t>Aavas Financiers Ltd</t>
  </si>
  <si>
    <t>INE216P01012</t>
  </si>
  <si>
    <t>Swan Corp Ltd</t>
  </si>
  <si>
    <t>INE665A01038</t>
  </si>
  <si>
    <t>JM Financial Ltd</t>
  </si>
  <si>
    <t>INE780C01023</t>
  </si>
  <si>
    <t>PCBL Chemical Ltd</t>
  </si>
  <si>
    <t>INE602A01031</t>
  </si>
  <si>
    <t>Olectra Greentech Ltd</t>
  </si>
  <si>
    <t>INE260D01016</t>
  </si>
  <si>
    <t>Aditya Birla Lifestyle Brands Ltd</t>
  </si>
  <si>
    <t>INE14LE01019</t>
  </si>
  <si>
    <t>Bayer Cropscience Ltd</t>
  </si>
  <si>
    <t>INE462A01022</t>
  </si>
  <si>
    <t>Syrma SGS Technology Ltd</t>
  </si>
  <si>
    <t>INE0DYJ01015</t>
  </si>
  <si>
    <t>Reliance Infrastructure Ltd</t>
  </si>
  <si>
    <t>INE036A01016</t>
  </si>
  <si>
    <t>Zen Technologies Ltd</t>
  </si>
  <si>
    <t>INE251B01027</t>
  </si>
  <si>
    <t>Sumitomo Chemical India Ltd</t>
  </si>
  <si>
    <t>INE258G01013</t>
  </si>
  <si>
    <t>Newgen Software Technologies Ltd</t>
  </si>
  <si>
    <t>INE619B01017</t>
  </si>
  <si>
    <t>Ola Electric Mobility Ltd</t>
  </si>
  <si>
    <t>INE0LXG01040</t>
  </si>
  <si>
    <t>Triveni Turbine Ltd</t>
  </si>
  <si>
    <t>INE152M01016</t>
  </si>
  <si>
    <t>Shyam Metalics And Energy Ltd</t>
  </si>
  <si>
    <t>INE810G01011</t>
  </si>
  <si>
    <t>Birlasoft Ltd</t>
  </si>
  <si>
    <t>INE836A01035</t>
  </si>
  <si>
    <t>CCL Products (India) Ltd</t>
  </si>
  <si>
    <t>INE421D01022</t>
  </si>
  <si>
    <t>Finolex Cables Ltd</t>
  </si>
  <si>
    <t>INE235A01022</t>
  </si>
  <si>
    <t>AstraZenca Pharma India Ltd</t>
  </si>
  <si>
    <t>INE203A01020</t>
  </si>
  <si>
    <t>Jubilant Ingrevia Ltd</t>
  </si>
  <si>
    <t>INE0BY001018</t>
  </si>
  <si>
    <t>LT Foods Ltd</t>
  </si>
  <si>
    <t>INE818H01020</t>
  </si>
  <si>
    <t>INE2J8701016</t>
  </si>
  <si>
    <t>Ramkrishna Forgings Ltd</t>
  </si>
  <si>
    <t>INE399G01023</t>
  </si>
  <si>
    <t>Sun TV Network Ltd</t>
  </si>
  <si>
    <t>INE424H01027</t>
  </si>
  <si>
    <t>Indegene Ltd</t>
  </si>
  <si>
    <t>INE065X01017</t>
  </si>
  <si>
    <t>Engineers India Ltd</t>
  </si>
  <si>
    <t>INE510A01028</t>
  </si>
  <si>
    <t>Aditya Birla Sun Life AMC Ltd</t>
  </si>
  <si>
    <t>INE404A01024</t>
  </si>
  <si>
    <t>IRCON International Ltd</t>
  </si>
  <si>
    <t>INE962Y01021</t>
  </si>
  <si>
    <t>Aadhar Housing Finance Ltd</t>
  </si>
  <si>
    <t>INE883F01010</t>
  </si>
  <si>
    <t>Finolex Industries Ltd</t>
  </si>
  <si>
    <t>INE183A01024</t>
  </si>
  <si>
    <t>Gravita India Ltd</t>
  </si>
  <si>
    <t>INE024L01027</t>
  </si>
  <si>
    <t>Balrampur Chini Mills Ltd</t>
  </si>
  <si>
    <t>INE119A01028</t>
  </si>
  <si>
    <t>JK Tyre &amp; Industries Ltd</t>
  </si>
  <si>
    <t>INE573A01042</t>
  </si>
  <si>
    <t>UTI Asset Management Co Ltd</t>
  </si>
  <si>
    <t>INE094J01016</t>
  </si>
  <si>
    <t>Metropolis Healthcare Ltd</t>
  </si>
  <si>
    <t>INE112L01020</t>
  </si>
  <si>
    <t>Dcm Shriram Ltd</t>
  </si>
  <si>
    <t>INE499A01024</t>
  </si>
  <si>
    <t>BASF India Ltd</t>
  </si>
  <si>
    <t>INE373A01013</t>
  </si>
  <si>
    <t>Alembic Pharmaceuticals Ltd</t>
  </si>
  <si>
    <t>INE901L01018</t>
  </si>
  <si>
    <t>SKF India Ltd</t>
  </si>
  <si>
    <t>INE640A01023</t>
  </si>
  <si>
    <t>Heg Ltd</t>
  </si>
  <si>
    <t>INE545A01024</t>
  </si>
  <si>
    <t>NMDC Steel Ltd</t>
  </si>
  <si>
    <t>INE0NNS01018</t>
  </si>
  <si>
    <t>Elecon Engineering Co Ltd</t>
  </si>
  <si>
    <t>INE205B01031</t>
  </si>
  <si>
    <t>TBO Tek Ltd</t>
  </si>
  <si>
    <t>INE673O01025</t>
  </si>
  <si>
    <t>Gujarat Mineral Development Corporation Ltd</t>
  </si>
  <si>
    <t>INE131A01031</t>
  </si>
  <si>
    <t>Schneider Electric Infrastructure Ltd</t>
  </si>
  <si>
    <t>INE839M01018</t>
  </si>
  <si>
    <t>Sarda Energy &amp; Minerals Ltd</t>
  </si>
  <si>
    <t>INE385C01021</t>
  </si>
  <si>
    <t>Vijaya Diagnostic Centre Ltd</t>
  </si>
  <si>
    <t>INE043W01024</t>
  </si>
  <si>
    <t>Concord Biotech Ltd</t>
  </si>
  <si>
    <t>INE338H01029</t>
  </si>
  <si>
    <t>Transformers And Rectifiers India Ltd</t>
  </si>
  <si>
    <t>INE763I01026</t>
  </si>
  <si>
    <t>Kirloskar Brothers Ltd</t>
  </si>
  <si>
    <t>INE732A01036</t>
  </si>
  <si>
    <t>The Jammu &amp; Kashmir Bank Ltd</t>
  </si>
  <si>
    <t>INE168A01041</t>
  </si>
  <si>
    <t>Chennai Petroleum Corporation Ltd</t>
  </si>
  <si>
    <t>INE178A01016</t>
  </si>
  <si>
    <t>Doms Industries Ltd</t>
  </si>
  <si>
    <t>INE321T01012</t>
  </si>
  <si>
    <t>Household Products</t>
  </si>
  <si>
    <t>Niva Bupa Health Insurance Co Ltd</t>
  </si>
  <si>
    <t>INE995S01015</t>
  </si>
  <si>
    <t>Bikaji Foods International Ltd</t>
  </si>
  <si>
    <t>INE00E101023</t>
  </si>
  <si>
    <t>R R Kabel Ltd</t>
  </si>
  <si>
    <t>INE777K01022</t>
  </si>
  <si>
    <t>Century Plyboards (India) Ltd</t>
  </si>
  <si>
    <t>INE348B01021</t>
  </si>
  <si>
    <t>Action Construction Equipment Ltd</t>
  </si>
  <si>
    <t>INE731H01025</t>
  </si>
  <si>
    <t>Minda Corporation Ltd</t>
  </si>
  <si>
    <t>INE842C01021</t>
  </si>
  <si>
    <t>Vardhman Textiles Ltd</t>
  </si>
  <si>
    <t>INE825A01020</t>
  </si>
  <si>
    <t>Aditya Birla Fashion and Retail Ltd</t>
  </si>
  <si>
    <t>INE647O01011</t>
  </si>
  <si>
    <t>Shipping Corporation of India Ltd</t>
  </si>
  <si>
    <t>INE109A01011</t>
  </si>
  <si>
    <t>Jupiter Wagons Ltd</t>
  </si>
  <si>
    <t>INE209L01016</t>
  </si>
  <si>
    <t>Tejas Networks Ltd</t>
  </si>
  <si>
    <t>INE010J01012</t>
  </si>
  <si>
    <t>Telecom - Equipment &amp; Accessories</t>
  </si>
  <si>
    <t>Jyothy Labs Ltd</t>
  </si>
  <si>
    <t>INE668F01031</t>
  </si>
  <si>
    <t>SBFC Finance Ltd</t>
  </si>
  <si>
    <t>INE423Y01016</t>
  </si>
  <si>
    <t>Signatureglobal (India) Ltd</t>
  </si>
  <si>
    <t>INE903U01023</t>
  </si>
  <si>
    <t>Happiest Minds Technologies Ltd</t>
  </si>
  <si>
    <t>INE419U01012</t>
  </si>
  <si>
    <t>Praj Industries Ltd</t>
  </si>
  <si>
    <t>INE074A01025</t>
  </si>
  <si>
    <t>Nuvoco Vistas Corporation Ltd</t>
  </si>
  <si>
    <t>INE118D01016</t>
  </si>
  <si>
    <t>Graphite India Ltd</t>
  </si>
  <si>
    <t>INE371A01025</t>
  </si>
  <si>
    <t>KSB Ltd</t>
  </si>
  <si>
    <t>INE999A01023</t>
  </si>
  <si>
    <t>Welspun Living Ltd</t>
  </si>
  <si>
    <t>INE192B01031</t>
  </si>
  <si>
    <t>Caplin Point Laboratories Ltd</t>
  </si>
  <si>
    <t>INE475E01026</t>
  </si>
  <si>
    <t>Jindal Saw Ltd</t>
  </si>
  <si>
    <t>INE324A01032</t>
  </si>
  <si>
    <t>Vedant Fashions Ltd</t>
  </si>
  <si>
    <t>INE825V01034</t>
  </si>
  <si>
    <t>Honasa Consumer Ltd</t>
  </si>
  <si>
    <t>INE0J5401028</t>
  </si>
  <si>
    <t>Blue Dart Express Ltd</t>
  </si>
  <si>
    <t>INE233B01017</t>
  </si>
  <si>
    <t>Dr. Agarwals Health Care Ltd</t>
  </si>
  <si>
    <t>INE943P01029</t>
  </si>
  <si>
    <t>Central Bank of India</t>
  </si>
  <si>
    <t>INE483A01010</t>
  </si>
  <si>
    <t>IFCI Ltd</t>
  </si>
  <si>
    <t>INE039A01010</t>
  </si>
  <si>
    <t>BLS International Services Ltd</t>
  </si>
  <si>
    <t>INE153T01027</t>
  </si>
  <si>
    <t>Valor Estate Ltd</t>
  </si>
  <si>
    <t>INE879I01012</t>
  </si>
  <si>
    <t>Cera Sanitaryware Ltd</t>
  </si>
  <si>
    <t>INE739E01017</t>
  </si>
  <si>
    <t>Trident Ltd</t>
  </si>
  <si>
    <t>INE064C01022</t>
  </si>
  <si>
    <t>Bombay Burmah Trading Corporation Ltd</t>
  </si>
  <si>
    <t>INE050A01025</t>
  </si>
  <si>
    <t>International Gemmological Institute India Ltd</t>
  </si>
  <si>
    <t>INE0Q9301021</t>
  </si>
  <si>
    <t>Saregama India Ltd</t>
  </si>
  <si>
    <t>INE979A01025</t>
  </si>
  <si>
    <t>Emcure Pharmaceuticals Ltd</t>
  </si>
  <si>
    <t>INE168P01015</t>
  </si>
  <si>
    <t>Rites Ltd</t>
  </si>
  <si>
    <t>INE320J01015</t>
  </si>
  <si>
    <t>Latent View Analytics Ltd</t>
  </si>
  <si>
    <t>INE0I7C01011</t>
  </si>
  <si>
    <t>Railtel Corporation Of India Ltd</t>
  </si>
  <si>
    <t>INE0DD101019</t>
  </si>
  <si>
    <t>Aegis Vopak Terminals Ltd</t>
  </si>
  <si>
    <t>INE0INX01018</t>
  </si>
  <si>
    <t>ITI Ltd</t>
  </si>
  <si>
    <t>INE248A01017</t>
  </si>
  <si>
    <t>CE Info Systems Ltd</t>
  </si>
  <si>
    <t>INE0BV301023</t>
  </si>
  <si>
    <t>Triveni Engineering &amp; Industries Ltd</t>
  </si>
  <si>
    <t>INE256C01024</t>
  </si>
  <si>
    <t>Mangalore Refinery &amp; Petrochemicals Ltd</t>
  </si>
  <si>
    <t>INE103A01014</t>
  </si>
  <si>
    <t>Akzo Nobel India Ltd</t>
  </si>
  <si>
    <t>INE133A01011</t>
  </si>
  <si>
    <t>Godrej Agrovet Ltd</t>
  </si>
  <si>
    <t>INE850D01014</t>
  </si>
  <si>
    <t>Rhi Magnesita India Ltd</t>
  </si>
  <si>
    <t>INE743M01012</t>
  </si>
  <si>
    <t>Acme Solar Holdings Ltd</t>
  </si>
  <si>
    <t>INE622W01025</t>
  </si>
  <si>
    <t>Tata Teleservices Maharashtra Ltd</t>
  </si>
  <si>
    <t>INE517B01013</t>
  </si>
  <si>
    <t>Leela Palaces Hotels &amp; Resorts Ltd</t>
  </si>
  <si>
    <t>INE0AQ201015</t>
  </si>
  <si>
    <t>JBM Auto Ltd</t>
  </si>
  <si>
    <t>INE927D01051</t>
  </si>
  <si>
    <t>Inox India Ltd</t>
  </si>
  <si>
    <t>INE616N01034</t>
  </si>
  <si>
    <t>Alkyl Amines Chemicals Ltd</t>
  </si>
  <si>
    <t>INE150B01039</t>
  </si>
  <si>
    <t>Campus Activewear Ltd</t>
  </si>
  <si>
    <t>INE278Y01022</t>
  </si>
  <si>
    <t>Maharashtra Seamless Ltd</t>
  </si>
  <si>
    <t>INE271B01025</t>
  </si>
  <si>
    <t>Blue Jet Healthcare Ltd</t>
  </si>
  <si>
    <t>INE0KBH01020</t>
  </si>
  <si>
    <t>Clean Science And Technology Ltd</t>
  </si>
  <si>
    <t>INE227W01023</t>
  </si>
  <si>
    <t>Alok Industries Ltd</t>
  </si>
  <si>
    <t>INE270A01029</t>
  </si>
  <si>
    <t>Rashtriya Chemicals and Fertilizers Ltd</t>
  </si>
  <si>
    <t>INE027A01015</t>
  </si>
  <si>
    <t>The India Cements Ltd</t>
  </si>
  <si>
    <t>INE383A01012</t>
  </si>
  <si>
    <t>Ventive Hospitality Ltd</t>
  </si>
  <si>
    <t>INE781S01027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</si>
  <si>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</si>
  <si>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</si>
  <si>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</si>
  <si>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</si>
  <si>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</si>
  <si>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</si>
  <si>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SKF India Industrial Ltd **</t>
  </si>
  <si>
    <t>Monthly Portfolio Statement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</si>
</sst>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57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5" fillId="2" borderId="0" xfId="0" applyNumberFormat="1" applyFont="1" applyFill="1"/>
    <xf numFmtId="4" fontId="5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5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7" fillId="2" borderId="0" xfId="0" applyFont="1" applyFill="1"/>
    <xf numFmtId="164" fontId="6" fillId="2" borderId="0" xfId="0" applyNumberFormat="1" applyFont="1" applyFill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39" fontId="7" fillId="0" borderId="1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7" fillId="2" borderId="2" xfId="0" applyNumberFormat="1" applyFont="1" applyFill="1" applyBorder="1"/>
    <xf numFmtId="39" fontId="7" fillId="2" borderId="3" xfId="0" applyNumberFormat="1" applyFont="1" applyFill="1" applyBorder="1"/>
    <xf numFmtId="39" fontId="7" fillId="3" borderId="3" xfId="0" applyNumberFormat="1" applyFont="1" applyFill="1" applyBorder="1"/>
    <xf numFmtId="0" fontId="7" fillId="2" borderId="5" xfId="0" applyFont="1" applyFill="1" applyBorder="1"/>
    <xf numFmtId="0" fontId="7" fillId="2" borderId="5" xfId="0" applyNumberFormat="1" applyFont="1" applyFill="1" applyBorder="1"/>
    <xf numFmtId="39" fontId="7" fillId="2" borderId="5" xfId="0" applyNumberFormat="1" applyFont="1" applyFill="1" applyBorder="1"/>
    <xf numFmtId="39" fontId="7" fillId="3" borderId="5" xfId="0" applyNumberFormat="1" applyFont="1" applyFill="1" applyBorder="1"/>
    <xf numFmtId="164" fontId="6" fillId="2" borderId="2" xfId="0" applyNumberFormat="1" applyFont="1" applyFill="1" applyBorder="1"/>
    <xf numFmtId="0" fontId="7" fillId="2" borderId="6" xfId="0" applyFont="1" applyFill="1" applyBorder="1"/>
    <xf numFmtId="0" fontId="7" fillId="2" borderId="6" xfId="0" applyNumberFormat="1" applyFont="1" applyFill="1" applyBorder="1"/>
    <xf numFmtId="39" fontId="7" fillId="2" borderId="6" xfId="0" applyNumberFormat="1" applyFont="1" applyFill="1" applyBorder="1"/>
    <xf numFmtId="39" fontId="7" fillId="3" borderId="6" xfId="0" applyNumberFormat="1" applyFont="1" applyFill="1" applyBorder="1"/>
    <xf numFmtId="0" fontId="7" fillId="2" borderId="3" xfId="0" applyFont="1" applyFill="1" applyBorder="1"/>
    <xf numFmtId="0" fontId="7" fillId="2" borderId="3" xfId="0" applyNumberFormat="1" applyFont="1" applyFill="1" applyBorder="1"/>
    <xf numFmtId="39" fontId="7" fillId="2" borderId="4" xfId="0" applyNumberFormat="1" applyFont="1" applyFill="1" applyBorder="1" applyAlignment="1">
      <alignment horizontal="right"/>
    </xf>
    <xf numFmtId="39" fontId="7" fillId="3" borderId="4" xfId="0" applyNumberFormat="1" applyFont="1" applyFill="1" applyBorder="1" applyAlignment="1">
      <alignment horizontal="right"/>
    </xf>
    <xf numFmtId="39" fontId="7" fillId="2" borderId="2" xfId="0" applyNumberFormat="1" applyFont="1" applyFill="1" applyBorder="1" applyAlignment="1">
      <alignment horizontal="right"/>
    </xf>
    <xf numFmtId="39" fontId="7" fillId="3" borderId="2" xfId="0" applyNumberFormat="1" applyFont="1" applyFill="1" applyBorder="1" applyAlignment="1">
      <alignment horizontal="right"/>
    </xf>
    <xf numFmtId="0" fontId="7" fillId="2" borderId="7" xfId="0" applyFont="1" applyFill="1" applyBorder="1"/>
    <xf numFmtId="0" fontId="8" fillId="2" borderId="1" xfId="0" applyFont="1" applyFill="1" applyBorder="1" applyAlignment="1">
      <alignment vertical="center"/>
    </xf>
    <xf numFmtId="0" fontId="4" fillId="2" borderId="0" xfId="1" applyFill="1"/>
    <xf numFmtId="39" fontId="6" fillId="3" borderId="0" xfId="0" applyNumberFormat="1" applyFont="1" applyFill="1"/>
    <xf numFmtId="0" fontId="7" fillId="2" borderId="0" xfId="0" applyFont="1" applyFill="1" applyAlignment="1">
      <alignment vertical="center"/>
    </xf>
    <xf numFmtId="0" fontId="7" fillId="0" borderId="0" xfId="0" applyFont="1"/>
    <xf numFmtId="0" fontId="7" fillId="2" borderId="0" xfId="0" applyFont="1" applyFill="1" applyBorder="1"/>
    <xf numFmtId="0" fontId="7" fillId="2" borderId="0" xfId="0" applyNumberFormat="1" applyFont="1" applyFill="1" applyBorder="1"/>
    <xf numFmtId="39" fontId="7" fillId="2" borderId="0" xfId="0" applyNumberFormat="1" applyFont="1" applyFill="1" applyBorder="1"/>
    <xf numFmtId="39" fontId="7" fillId="3" borderId="0" xfId="0" applyNumberFormat="1" applyFont="1" applyFill="1" applyBorder="1"/>
    <xf numFmtId="0" fontId="9" fillId="0" borderId="0" xfId="0" applyFont="1" applyAlignment="1">
      <alignment horizontal="left" vertical="top" wrapText="1"/>
    </xf>
    <xf numFmtId="0" fontId="10" fillId="0" borderId="0" xfId="0" applyFont="1" applyAlignment="1"/>
  </cellXfs>
  <cellStyles count="2">
    <cellStyle name="Hyperlink" xfId="1" builtinId="8"/>
    <cellStyle name="Normal" xfId="0" builtinId="0"/>
  </cellStyles>
  <dxfs count="2">
    <dxf>
      <numFmt numFmtId="166" formatCode="&quot;0.00*&quot;"/>
    </dxf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272</xdr:row>
      <xdr:rowOff>47625</xdr:rowOff>
    </xdr:from>
    <xdr:to>
      <xdr:col>2</xdr:col>
      <xdr:colOff>304800</xdr:colOff>
      <xdr:row>286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F127A8-0870-43D0-8976-0E17F8C29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38642925"/>
          <a:ext cx="38481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291</xdr:row>
      <xdr:rowOff>19050</xdr:rowOff>
    </xdr:from>
    <xdr:to>
      <xdr:col>2</xdr:col>
      <xdr:colOff>152400</xdr:colOff>
      <xdr:row>305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B1FA9-78EA-4334-B844-A45654A85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2525" y="41328975"/>
          <a:ext cx="3457575" cy="20859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D11D8-1AAC-4C94-A119-DE6E9C816BB8}">
  <dimension ref="A1:I494"/>
  <sheetViews>
    <sheetView tabSelected="1" view="pageBreakPreview" zoomScaleNormal="100" zoomScaleSheetLayoutView="100" workbookViewId="0">
      <selection activeCell="B1" sqref="B1:C1"/>
    </sheetView>
  </sheetViews>
  <sheetFormatPr defaultRowHeight="11.25" x14ac:dyDescent="0.2"/>
  <cols>
    <col min="1" max="1" width="7.28515625" style="8" customWidth="1"/>
    <col min="2" max="2" width="59.5703125" style="8" bestFit="1" customWidth="1"/>
    <col min="3" max="3" width="11.7109375" style="8" bestFit="1" customWidth="1"/>
    <col min="4" max="4" width="35.42578125" style="8" bestFit="1" customWidth="1"/>
    <col min="5" max="5" width="15" style="9" bestFit="1" customWidth="1"/>
    <col min="6" max="6" width="14.85546875" style="11" bestFit="1" customWidth="1"/>
    <col min="7" max="7" width="7.28515625" style="13" bestFit="1" customWidth="1"/>
    <col min="8" max="8" width="14.42578125" style="8" bestFit="1" customWidth="1"/>
    <col min="9" max="16384" width="9.140625" style="8"/>
  </cols>
  <sheetData>
    <row r="1" spans="1:8" s="1" customFormat="1" ht="16.899999999999999" customHeight="1" x14ac:dyDescent="0.2">
      <c r="B1" s="55" t="s">
        <v>6</v>
      </c>
      <c r="C1" s="56"/>
      <c r="D1" s="12"/>
      <c r="E1" s="6"/>
      <c r="F1" s="7"/>
      <c r="G1" s="13"/>
    </row>
    <row r="2" spans="1:8" s="1" customFormat="1" ht="15" x14ac:dyDescent="0.25">
      <c r="A2" s="47" t="str">
        <f>HYPERLINK("[Fortnightly-Portfolio-ISIN-31-Oct-2025.xls]index!A1","")</f>
        <v/>
      </c>
      <c r="E2" s="6"/>
      <c r="F2" s="7"/>
      <c r="G2" s="13"/>
    </row>
    <row r="3" spans="1:8" s="1" customFormat="1" ht="12" x14ac:dyDescent="0.2">
      <c r="B3" s="10" t="s">
        <v>569</v>
      </c>
      <c r="C3" s="2"/>
      <c r="D3" s="3"/>
      <c r="E3" s="4"/>
      <c r="F3" s="5"/>
      <c r="G3" s="13"/>
    </row>
    <row r="4" spans="1:8" s="1" customFormat="1" ht="25.5" customHeight="1" x14ac:dyDescent="0.2">
      <c r="B4" s="16" t="s">
        <v>4</v>
      </c>
      <c r="C4" s="16" t="s">
        <v>5</v>
      </c>
      <c r="D4" s="17" t="s">
        <v>40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x14ac:dyDescent="0.2">
      <c r="B5" s="21" t="s">
        <v>16</v>
      </c>
      <c r="C5" s="22"/>
      <c r="D5" s="22"/>
      <c r="E5" s="23"/>
      <c r="F5" s="24"/>
      <c r="G5" s="25"/>
      <c r="H5" s="22"/>
    </row>
    <row r="6" spans="1:8" x14ac:dyDescent="0.2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59</v>
      </c>
      <c r="C7" s="22" t="s">
        <v>60</v>
      </c>
      <c r="D7" s="22" t="s">
        <v>50</v>
      </c>
      <c r="E7" s="26">
        <v>4165</v>
      </c>
      <c r="F7" s="24">
        <v>384.99177500000002</v>
      </c>
      <c r="G7" s="25">
        <v>2.30046639006689</v>
      </c>
      <c r="H7" s="22"/>
    </row>
    <row r="8" spans="1:8" x14ac:dyDescent="0.2">
      <c r="B8" s="22" t="s">
        <v>61</v>
      </c>
      <c r="C8" s="22" t="s">
        <v>62</v>
      </c>
      <c r="D8" s="22" t="s">
        <v>25</v>
      </c>
      <c r="E8" s="26">
        <v>31709</v>
      </c>
      <c r="F8" s="24">
        <v>302.39287849999999</v>
      </c>
      <c r="G8" s="25">
        <v>1.80690783221234</v>
      </c>
      <c r="H8" s="22"/>
    </row>
    <row r="9" spans="1:8" x14ac:dyDescent="0.2">
      <c r="B9" s="22" t="s">
        <v>63</v>
      </c>
      <c r="C9" s="22" t="s">
        <v>64</v>
      </c>
      <c r="D9" s="22" t="s">
        <v>50</v>
      </c>
      <c r="E9" s="26">
        <v>14539</v>
      </c>
      <c r="F9" s="24">
        <v>230.76300800000001</v>
      </c>
      <c r="G9" s="25">
        <v>1.37889320875683</v>
      </c>
      <c r="H9" s="22"/>
    </row>
    <row r="10" spans="1:8" x14ac:dyDescent="0.2">
      <c r="B10" s="22" t="s">
        <v>65</v>
      </c>
      <c r="C10" s="22" t="s">
        <v>66</v>
      </c>
      <c r="D10" s="22" t="s">
        <v>31</v>
      </c>
      <c r="E10" s="26">
        <v>43650</v>
      </c>
      <c r="F10" s="24">
        <v>203.38717500000001</v>
      </c>
      <c r="G10" s="25">
        <v>1.21531261351792</v>
      </c>
      <c r="H10" s="22"/>
    </row>
    <row r="11" spans="1:8" x14ac:dyDescent="0.2">
      <c r="B11" s="22" t="s">
        <v>67</v>
      </c>
      <c r="C11" s="22" t="s">
        <v>68</v>
      </c>
      <c r="D11" s="22" t="s">
        <v>42</v>
      </c>
      <c r="E11" s="26">
        <v>6386</v>
      </c>
      <c r="F11" s="24">
        <v>199.97758999999999</v>
      </c>
      <c r="G11" s="25">
        <v>1.1949390985341899</v>
      </c>
      <c r="H11" s="22"/>
    </row>
    <row r="12" spans="1:8" x14ac:dyDescent="0.2">
      <c r="B12" s="22" t="s">
        <v>69</v>
      </c>
      <c r="C12" s="22" t="s">
        <v>70</v>
      </c>
      <c r="D12" s="22" t="s">
        <v>17</v>
      </c>
      <c r="E12" s="26">
        <v>77059</v>
      </c>
      <c r="F12" s="24">
        <v>187.36895849999999</v>
      </c>
      <c r="G12" s="25">
        <v>1.1195979227636501</v>
      </c>
      <c r="H12" s="22"/>
    </row>
    <row r="13" spans="1:8" x14ac:dyDescent="0.2">
      <c r="B13" s="22" t="s">
        <v>71</v>
      </c>
      <c r="C13" s="22" t="s">
        <v>72</v>
      </c>
      <c r="D13" s="22" t="s">
        <v>49</v>
      </c>
      <c r="E13" s="26">
        <v>2549</v>
      </c>
      <c r="F13" s="24">
        <v>170.897705</v>
      </c>
      <c r="G13" s="25">
        <v>1.0211761705612199</v>
      </c>
      <c r="H13" s="22"/>
    </row>
    <row r="14" spans="1:8" x14ac:dyDescent="0.2">
      <c r="B14" s="22" t="s">
        <v>73</v>
      </c>
      <c r="C14" s="22" t="s">
        <v>74</v>
      </c>
      <c r="D14" s="22" t="s">
        <v>48</v>
      </c>
      <c r="E14" s="26">
        <v>3000</v>
      </c>
      <c r="F14" s="24">
        <v>170.62200000000001</v>
      </c>
      <c r="G14" s="25">
        <v>1.01952873254498</v>
      </c>
      <c r="H14" s="22"/>
    </row>
    <row r="15" spans="1:8" x14ac:dyDescent="0.2">
      <c r="B15" s="22" t="s">
        <v>75</v>
      </c>
      <c r="C15" s="22" t="s">
        <v>76</v>
      </c>
      <c r="D15" s="22" t="s">
        <v>17</v>
      </c>
      <c r="E15" s="26">
        <v>48818</v>
      </c>
      <c r="F15" s="24">
        <v>159.317543</v>
      </c>
      <c r="G15" s="25">
        <v>0.95198047547778697</v>
      </c>
      <c r="H15" s="22"/>
    </row>
    <row r="16" spans="1:8" x14ac:dyDescent="0.2">
      <c r="B16" s="22" t="s">
        <v>77</v>
      </c>
      <c r="C16" s="22" t="s">
        <v>78</v>
      </c>
      <c r="D16" s="22" t="s">
        <v>23</v>
      </c>
      <c r="E16" s="26">
        <v>8084</v>
      </c>
      <c r="F16" s="24">
        <v>154.61458400000001</v>
      </c>
      <c r="G16" s="25">
        <v>0.92387857872073897</v>
      </c>
      <c r="H16" s="22"/>
    </row>
    <row r="17" spans="2:8" x14ac:dyDescent="0.2">
      <c r="B17" s="22" t="s">
        <v>79</v>
      </c>
      <c r="C17" s="22" t="s">
        <v>80</v>
      </c>
      <c r="D17" s="22" t="s">
        <v>50</v>
      </c>
      <c r="E17" s="26">
        <v>3916</v>
      </c>
      <c r="F17" s="24">
        <v>154.341308</v>
      </c>
      <c r="G17" s="25">
        <v>0.92224565486616605</v>
      </c>
      <c r="H17" s="22"/>
    </row>
    <row r="18" spans="2:8" x14ac:dyDescent="0.2">
      <c r="B18" s="22" t="s">
        <v>81</v>
      </c>
      <c r="C18" s="22" t="s">
        <v>82</v>
      </c>
      <c r="D18" s="22" t="s">
        <v>27</v>
      </c>
      <c r="E18" s="26">
        <v>52455</v>
      </c>
      <c r="F18" s="24">
        <v>148.29028500000001</v>
      </c>
      <c r="G18" s="25">
        <v>0.88608858362218501</v>
      </c>
      <c r="H18" s="22"/>
    </row>
    <row r="19" spans="2:8" x14ac:dyDescent="0.2">
      <c r="B19" s="22" t="s">
        <v>83</v>
      </c>
      <c r="C19" s="22" t="s">
        <v>84</v>
      </c>
      <c r="D19" s="22" t="s">
        <v>36</v>
      </c>
      <c r="E19" s="26">
        <v>20109</v>
      </c>
      <c r="F19" s="24">
        <v>144.99594450000001</v>
      </c>
      <c r="G19" s="25">
        <v>0.86640369659392003</v>
      </c>
      <c r="H19" s="22"/>
    </row>
    <row r="20" spans="2:8" x14ac:dyDescent="0.2">
      <c r="B20" s="22" t="s">
        <v>85</v>
      </c>
      <c r="C20" s="22" t="s">
        <v>86</v>
      </c>
      <c r="D20" s="22" t="s">
        <v>23</v>
      </c>
      <c r="E20" s="26">
        <v>15332</v>
      </c>
      <c r="F20" s="24">
        <v>142.388284</v>
      </c>
      <c r="G20" s="25">
        <v>0.85082197322605002</v>
      </c>
      <c r="H20" s="22"/>
    </row>
    <row r="21" spans="2:8" x14ac:dyDescent="0.2">
      <c r="B21" s="22" t="s">
        <v>87</v>
      </c>
      <c r="C21" s="22" t="s">
        <v>88</v>
      </c>
      <c r="D21" s="22" t="s">
        <v>27</v>
      </c>
      <c r="E21" s="26">
        <v>1735</v>
      </c>
      <c r="F21" s="24">
        <v>139.43327500000001</v>
      </c>
      <c r="G21" s="25">
        <v>0.83316471577725104</v>
      </c>
      <c r="H21" s="22"/>
    </row>
    <row r="22" spans="2:8" x14ac:dyDescent="0.2">
      <c r="B22" s="22" t="s">
        <v>89</v>
      </c>
      <c r="C22" s="22" t="s">
        <v>90</v>
      </c>
      <c r="D22" s="22" t="s">
        <v>17</v>
      </c>
      <c r="E22" s="26">
        <v>58825</v>
      </c>
      <c r="F22" s="24">
        <v>134.51512750000001</v>
      </c>
      <c r="G22" s="25">
        <v>0.80377698918194496</v>
      </c>
      <c r="H22" s="22"/>
    </row>
    <row r="23" spans="2:8" x14ac:dyDescent="0.2">
      <c r="B23" s="22" t="s">
        <v>91</v>
      </c>
      <c r="C23" s="22" t="s">
        <v>92</v>
      </c>
      <c r="D23" s="22" t="s">
        <v>50</v>
      </c>
      <c r="E23" s="26">
        <v>5246</v>
      </c>
      <c r="F23" s="24">
        <v>130.751304</v>
      </c>
      <c r="G23" s="25">
        <v>0.78128676985221102</v>
      </c>
      <c r="H23" s="22"/>
    </row>
    <row r="24" spans="2:8" x14ac:dyDescent="0.2">
      <c r="B24" s="22" t="s">
        <v>93</v>
      </c>
      <c r="C24" s="22" t="s">
        <v>94</v>
      </c>
      <c r="D24" s="22" t="s">
        <v>25</v>
      </c>
      <c r="E24" s="26">
        <v>6496</v>
      </c>
      <c r="F24" s="24">
        <v>125.301344</v>
      </c>
      <c r="G24" s="25">
        <v>0.74872126944065198</v>
      </c>
      <c r="H24" s="22"/>
    </row>
    <row r="25" spans="2:8" x14ac:dyDescent="0.2">
      <c r="B25" s="22" t="s">
        <v>95</v>
      </c>
      <c r="C25" s="22" t="s">
        <v>96</v>
      </c>
      <c r="D25" s="22" t="s">
        <v>36</v>
      </c>
      <c r="E25" s="26">
        <v>18447</v>
      </c>
      <c r="F25" s="24">
        <v>125.07988349999999</v>
      </c>
      <c r="G25" s="25">
        <v>0.74739796211291198</v>
      </c>
      <c r="H25" s="22"/>
    </row>
    <row r="26" spans="2:8" x14ac:dyDescent="0.2">
      <c r="B26" s="22" t="s">
        <v>97</v>
      </c>
      <c r="C26" s="22" t="s">
        <v>98</v>
      </c>
      <c r="D26" s="22" t="s">
        <v>99</v>
      </c>
      <c r="E26" s="26">
        <v>48492</v>
      </c>
      <c r="F26" s="24">
        <v>123.04845</v>
      </c>
      <c r="G26" s="25">
        <v>0.73525940541152301</v>
      </c>
      <c r="H26" s="22"/>
    </row>
    <row r="27" spans="2:8" x14ac:dyDescent="0.2">
      <c r="B27" s="22" t="s">
        <v>100</v>
      </c>
      <c r="C27" s="22" t="s">
        <v>101</v>
      </c>
      <c r="D27" s="22" t="s">
        <v>43</v>
      </c>
      <c r="E27" s="26">
        <v>78705</v>
      </c>
      <c r="F27" s="24">
        <v>122.0950665</v>
      </c>
      <c r="G27" s="25">
        <v>0.72956259098322895</v>
      </c>
      <c r="H27" s="22"/>
    </row>
    <row r="28" spans="2:8" x14ac:dyDescent="0.2">
      <c r="B28" s="22" t="s">
        <v>102</v>
      </c>
      <c r="C28" s="22" t="s">
        <v>103</v>
      </c>
      <c r="D28" s="22" t="s">
        <v>23</v>
      </c>
      <c r="E28" s="26">
        <v>44796</v>
      </c>
      <c r="F28" s="24">
        <v>120.72521999999999</v>
      </c>
      <c r="G28" s="25">
        <v>0.72137725810747899</v>
      </c>
      <c r="H28" s="22"/>
    </row>
    <row r="29" spans="2:8" x14ac:dyDescent="0.2">
      <c r="B29" s="22" t="s">
        <v>104</v>
      </c>
      <c r="C29" s="22" t="s">
        <v>105</v>
      </c>
      <c r="D29" s="22" t="s">
        <v>50</v>
      </c>
      <c r="E29" s="26">
        <v>10870</v>
      </c>
      <c r="F29" s="24">
        <v>119.36347000000001</v>
      </c>
      <c r="G29" s="25">
        <v>0.71324030477471401</v>
      </c>
      <c r="H29" s="22"/>
    </row>
    <row r="30" spans="2:8" x14ac:dyDescent="0.2">
      <c r="B30" s="22" t="s">
        <v>106</v>
      </c>
      <c r="C30" s="22" t="s">
        <v>107</v>
      </c>
      <c r="D30" s="22" t="s">
        <v>23</v>
      </c>
      <c r="E30" s="26">
        <v>62941</v>
      </c>
      <c r="F30" s="24">
        <v>118.7004319</v>
      </c>
      <c r="G30" s="25">
        <v>0.70927841009687598</v>
      </c>
      <c r="H30" s="22"/>
    </row>
    <row r="31" spans="2:8" x14ac:dyDescent="0.2">
      <c r="B31" s="22" t="s">
        <v>108</v>
      </c>
      <c r="C31" s="22" t="s">
        <v>109</v>
      </c>
      <c r="D31" s="22" t="s">
        <v>45</v>
      </c>
      <c r="E31" s="26">
        <v>11334</v>
      </c>
      <c r="F31" s="24">
        <v>117.61291799999999</v>
      </c>
      <c r="G31" s="25">
        <v>0.70278011756665104</v>
      </c>
      <c r="H31" s="22"/>
    </row>
    <row r="32" spans="2:8" x14ac:dyDescent="0.2">
      <c r="B32" s="22" t="s">
        <v>110</v>
      </c>
      <c r="C32" s="22" t="s">
        <v>111</v>
      </c>
      <c r="D32" s="22" t="s">
        <v>21</v>
      </c>
      <c r="E32" s="26">
        <v>9275</v>
      </c>
      <c r="F32" s="24">
        <v>116.5311</v>
      </c>
      <c r="G32" s="25">
        <v>0.69631586011811297</v>
      </c>
      <c r="H32" s="22"/>
    </row>
    <row r="33" spans="2:8" x14ac:dyDescent="0.2">
      <c r="B33" s="22" t="s">
        <v>112</v>
      </c>
      <c r="C33" s="22" t="s">
        <v>113</v>
      </c>
      <c r="D33" s="22" t="s">
        <v>25</v>
      </c>
      <c r="E33" s="26">
        <v>699</v>
      </c>
      <c r="F33" s="24">
        <v>115.14627</v>
      </c>
      <c r="G33" s="25">
        <v>0.68804099536040197</v>
      </c>
      <c r="H33" s="22"/>
    </row>
    <row r="34" spans="2:8" x14ac:dyDescent="0.2">
      <c r="B34" s="22" t="s">
        <v>114</v>
      </c>
      <c r="C34" s="22" t="s">
        <v>115</v>
      </c>
      <c r="D34" s="22" t="s">
        <v>48</v>
      </c>
      <c r="E34" s="26">
        <v>12778</v>
      </c>
      <c r="F34" s="24">
        <v>113.80725700000001</v>
      </c>
      <c r="G34" s="25">
        <v>0.68003990390237601</v>
      </c>
      <c r="H34" s="22"/>
    </row>
    <row r="35" spans="2:8" x14ac:dyDescent="0.2">
      <c r="B35" s="22" t="s">
        <v>116</v>
      </c>
      <c r="C35" s="22" t="s">
        <v>117</v>
      </c>
      <c r="D35" s="22" t="s">
        <v>23</v>
      </c>
      <c r="E35" s="26">
        <v>23442</v>
      </c>
      <c r="F35" s="24">
        <v>112.955277</v>
      </c>
      <c r="G35" s="25">
        <v>0.674949012402138</v>
      </c>
      <c r="H35" s="22"/>
    </row>
    <row r="36" spans="2:8" x14ac:dyDescent="0.2">
      <c r="B36" s="22" t="s">
        <v>118</v>
      </c>
      <c r="C36" s="22" t="s">
        <v>119</v>
      </c>
      <c r="D36" s="22" t="s">
        <v>25</v>
      </c>
      <c r="E36" s="26">
        <v>6644</v>
      </c>
      <c r="F36" s="24">
        <v>111.772012</v>
      </c>
      <c r="G36" s="25">
        <v>0.66787857209716595</v>
      </c>
      <c r="H36" s="22"/>
    </row>
    <row r="37" spans="2:8" x14ac:dyDescent="0.2">
      <c r="B37" s="22" t="s">
        <v>120</v>
      </c>
      <c r="C37" s="22" t="s">
        <v>121</v>
      </c>
      <c r="D37" s="22" t="s">
        <v>17</v>
      </c>
      <c r="E37" s="26">
        <v>71181</v>
      </c>
      <c r="F37" s="24">
        <v>111.44097360000001</v>
      </c>
      <c r="G37" s="25">
        <v>0.66590049681745</v>
      </c>
      <c r="H37" s="22"/>
    </row>
    <row r="38" spans="2:8" x14ac:dyDescent="0.2">
      <c r="B38" s="22" t="s">
        <v>122</v>
      </c>
      <c r="C38" s="22" t="s">
        <v>123</v>
      </c>
      <c r="D38" s="22" t="s">
        <v>26</v>
      </c>
      <c r="E38" s="26">
        <v>233869</v>
      </c>
      <c r="F38" s="24">
        <v>108.56198980000001</v>
      </c>
      <c r="G38" s="25">
        <v>0.64869751769030604</v>
      </c>
      <c r="H38" s="22"/>
    </row>
    <row r="39" spans="2:8" x14ac:dyDescent="0.2">
      <c r="B39" s="22" t="s">
        <v>124</v>
      </c>
      <c r="C39" s="22" t="s">
        <v>125</v>
      </c>
      <c r="D39" s="22" t="s">
        <v>30</v>
      </c>
      <c r="E39" s="26">
        <v>10312</v>
      </c>
      <c r="F39" s="24">
        <v>107.703684</v>
      </c>
      <c r="G39" s="25">
        <v>0.64356882722594699</v>
      </c>
      <c r="H39" s="22"/>
    </row>
    <row r="40" spans="2:8" x14ac:dyDescent="0.2">
      <c r="B40" s="22" t="s">
        <v>126</v>
      </c>
      <c r="C40" s="22" t="s">
        <v>127</v>
      </c>
      <c r="D40" s="22" t="s">
        <v>51</v>
      </c>
      <c r="E40" s="26">
        <v>10679</v>
      </c>
      <c r="F40" s="24">
        <v>103.1324425</v>
      </c>
      <c r="G40" s="25">
        <v>0.61625399061254404</v>
      </c>
      <c r="H40" s="22"/>
    </row>
    <row r="41" spans="2:8" x14ac:dyDescent="0.2">
      <c r="B41" s="22" t="s">
        <v>128</v>
      </c>
      <c r="C41" s="22" t="s">
        <v>129</v>
      </c>
      <c r="D41" s="22" t="s">
        <v>23</v>
      </c>
      <c r="E41" s="26">
        <v>18945</v>
      </c>
      <c r="F41" s="24">
        <v>101.27997000000001</v>
      </c>
      <c r="G41" s="25">
        <v>0.60518479121270397</v>
      </c>
      <c r="H41" s="22"/>
    </row>
    <row r="42" spans="2:8" x14ac:dyDescent="0.2">
      <c r="B42" s="22" t="s">
        <v>130</v>
      </c>
      <c r="C42" s="22" t="s">
        <v>131</v>
      </c>
      <c r="D42" s="22" t="s">
        <v>23</v>
      </c>
      <c r="E42" s="26">
        <v>3468</v>
      </c>
      <c r="F42" s="24">
        <v>100.852908</v>
      </c>
      <c r="G42" s="25">
        <v>0.60263293987126998</v>
      </c>
      <c r="H42" s="22"/>
    </row>
    <row r="43" spans="2:8" x14ac:dyDescent="0.2">
      <c r="B43" s="22" t="s">
        <v>132</v>
      </c>
      <c r="C43" s="22" t="s">
        <v>133</v>
      </c>
      <c r="D43" s="22" t="s">
        <v>25</v>
      </c>
      <c r="E43" s="26">
        <v>50438</v>
      </c>
      <c r="F43" s="24">
        <v>100.68937940000001</v>
      </c>
      <c r="G43" s="25">
        <v>0.60165579679304504</v>
      </c>
      <c r="H43" s="22"/>
    </row>
    <row r="44" spans="2:8" x14ac:dyDescent="0.2">
      <c r="B44" s="22" t="s">
        <v>134</v>
      </c>
      <c r="C44" s="22" t="s">
        <v>135</v>
      </c>
      <c r="D44" s="22" t="s">
        <v>46</v>
      </c>
      <c r="E44" s="26">
        <v>9998</v>
      </c>
      <c r="F44" s="24">
        <v>100.454905</v>
      </c>
      <c r="G44" s="25">
        <v>0.60025472666231094</v>
      </c>
      <c r="H44" s="22"/>
    </row>
    <row r="45" spans="2:8" x14ac:dyDescent="0.2">
      <c r="B45" s="22" t="s">
        <v>136</v>
      </c>
      <c r="C45" s="22" t="s">
        <v>137</v>
      </c>
      <c r="D45" s="22" t="s">
        <v>57</v>
      </c>
      <c r="E45" s="26">
        <v>5166</v>
      </c>
      <c r="F45" s="24">
        <v>99.734796000000003</v>
      </c>
      <c r="G45" s="25">
        <v>0.59595181252425</v>
      </c>
      <c r="H45" s="22"/>
    </row>
    <row r="46" spans="2:8" x14ac:dyDescent="0.2">
      <c r="B46" s="22" t="s">
        <v>138</v>
      </c>
      <c r="C46" s="22" t="s">
        <v>139</v>
      </c>
      <c r="D46" s="22" t="s">
        <v>23</v>
      </c>
      <c r="E46" s="26">
        <v>15217</v>
      </c>
      <c r="F46" s="24">
        <v>99.328967500000005</v>
      </c>
      <c r="G46" s="25">
        <v>0.59352683909623005</v>
      </c>
      <c r="H46" s="22"/>
    </row>
    <row r="47" spans="2:8" x14ac:dyDescent="0.2">
      <c r="B47" s="22" t="s">
        <v>140</v>
      </c>
      <c r="C47" s="22" t="s">
        <v>141</v>
      </c>
      <c r="D47" s="22" t="s">
        <v>21</v>
      </c>
      <c r="E47" s="26">
        <v>84510</v>
      </c>
      <c r="F47" s="24">
        <v>99.223191</v>
      </c>
      <c r="G47" s="25">
        <v>0.59289478589688804</v>
      </c>
      <c r="H47" s="22"/>
    </row>
    <row r="48" spans="2:8" x14ac:dyDescent="0.2">
      <c r="B48" s="22" t="s">
        <v>142</v>
      </c>
      <c r="C48" s="22" t="s">
        <v>143</v>
      </c>
      <c r="D48" s="22" t="s">
        <v>46</v>
      </c>
      <c r="E48" s="26">
        <v>207523</v>
      </c>
      <c r="F48" s="24">
        <v>97.9716083</v>
      </c>
      <c r="G48" s="25">
        <v>0.58541612239624796</v>
      </c>
      <c r="H48" s="22"/>
    </row>
    <row r="49" spans="2:8" x14ac:dyDescent="0.2">
      <c r="B49" s="22" t="s">
        <v>144</v>
      </c>
      <c r="C49" s="22" t="s">
        <v>145</v>
      </c>
      <c r="D49" s="22" t="s">
        <v>36</v>
      </c>
      <c r="E49" s="26">
        <v>3117</v>
      </c>
      <c r="F49" s="24">
        <v>97.733535000000003</v>
      </c>
      <c r="G49" s="25">
        <v>0.583993547524298</v>
      </c>
      <c r="H49" s="22"/>
    </row>
    <row r="50" spans="2:8" x14ac:dyDescent="0.2">
      <c r="B50" s="22" t="s">
        <v>146</v>
      </c>
      <c r="C50" s="22" t="s">
        <v>147</v>
      </c>
      <c r="D50" s="22" t="s">
        <v>36</v>
      </c>
      <c r="E50" s="26">
        <v>5543</v>
      </c>
      <c r="F50" s="24">
        <v>97.412682000000004</v>
      </c>
      <c r="G50" s="25">
        <v>0.58207633372758205</v>
      </c>
      <c r="H50" s="22"/>
    </row>
    <row r="51" spans="2:8" x14ac:dyDescent="0.2">
      <c r="B51" s="22" t="s">
        <v>148</v>
      </c>
      <c r="C51" s="22" t="s">
        <v>149</v>
      </c>
      <c r="D51" s="22" t="s">
        <v>50</v>
      </c>
      <c r="E51" s="26">
        <v>3146</v>
      </c>
      <c r="F51" s="24">
        <v>97.161063999999996</v>
      </c>
      <c r="G51" s="25">
        <v>0.58057282432887902</v>
      </c>
      <c r="H51" s="22"/>
    </row>
    <row r="52" spans="2:8" x14ac:dyDescent="0.2">
      <c r="B52" s="22" t="s">
        <v>150</v>
      </c>
      <c r="C52" s="22" t="s">
        <v>151</v>
      </c>
      <c r="D52" s="22" t="s">
        <v>26</v>
      </c>
      <c r="E52" s="26">
        <v>51458</v>
      </c>
      <c r="F52" s="24">
        <v>92.603816800000004</v>
      </c>
      <c r="G52" s="25">
        <v>0.55334160876634797</v>
      </c>
      <c r="H52" s="22"/>
    </row>
    <row r="53" spans="2:8" x14ac:dyDescent="0.2">
      <c r="B53" s="22" t="s">
        <v>152</v>
      </c>
      <c r="C53" s="22" t="s">
        <v>153</v>
      </c>
      <c r="D53" s="22" t="s">
        <v>51</v>
      </c>
      <c r="E53" s="26">
        <v>9197</v>
      </c>
      <c r="F53" s="24">
        <v>92.356273999999999</v>
      </c>
      <c r="G53" s="25">
        <v>0.55186245017522495</v>
      </c>
      <c r="H53" s="22"/>
    </row>
    <row r="54" spans="2:8" x14ac:dyDescent="0.2">
      <c r="B54" s="22" t="s">
        <v>154</v>
      </c>
      <c r="C54" s="22" t="s">
        <v>155</v>
      </c>
      <c r="D54" s="22" t="s">
        <v>48</v>
      </c>
      <c r="E54" s="26">
        <v>19150</v>
      </c>
      <c r="F54" s="24">
        <v>92.350875000000002</v>
      </c>
      <c r="G54" s="25">
        <v>0.55183018917941595</v>
      </c>
      <c r="H54" s="22"/>
    </row>
    <row r="55" spans="2:8" x14ac:dyDescent="0.2">
      <c r="B55" s="22" t="s">
        <v>156</v>
      </c>
      <c r="C55" s="22" t="s">
        <v>157</v>
      </c>
      <c r="D55" s="22" t="s">
        <v>51</v>
      </c>
      <c r="E55" s="26">
        <v>2931</v>
      </c>
      <c r="F55" s="24">
        <v>92.150639999999996</v>
      </c>
      <c r="G55" s="25">
        <v>0.55063371196216804</v>
      </c>
      <c r="H55" s="22"/>
    </row>
    <row r="56" spans="2:8" x14ac:dyDescent="0.2">
      <c r="B56" s="22" t="s">
        <v>158</v>
      </c>
      <c r="C56" s="22" t="s">
        <v>159</v>
      </c>
      <c r="D56" s="22" t="s">
        <v>99</v>
      </c>
      <c r="E56" s="26">
        <v>25917</v>
      </c>
      <c r="F56" s="24">
        <v>91.720263000000003</v>
      </c>
      <c r="G56" s="25">
        <v>0.54806205228565197</v>
      </c>
      <c r="H56" s="22"/>
    </row>
    <row r="57" spans="2:8" x14ac:dyDescent="0.2">
      <c r="B57" s="22" t="s">
        <v>160</v>
      </c>
      <c r="C57" s="22" t="s">
        <v>161</v>
      </c>
      <c r="D57" s="22" t="s">
        <v>35</v>
      </c>
      <c r="E57" s="26">
        <v>18551</v>
      </c>
      <c r="F57" s="24">
        <v>91.716144</v>
      </c>
      <c r="G57" s="25">
        <v>0.54803743975708397</v>
      </c>
      <c r="H57" s="22"/>
    </row>
    <row r="58" spans="2:8" x14ac:dyDescent="0.2">
      <c r="B58" s="22" t="s">
        <v>162</v>
      </c>
      <c r="C58" s="22" t="s">
        <v>163</v>
      </c>
      <c r="D58" s="22" t="s">
        <v>32</v>
      </c>
      <c r="E58" s="26">
        <v>26786</v>
      </c>
      <c r="F58" s="24">
        <v>91.139364999999998</v>
      </c>
      <c r="G58" s="25">
        <v>0.544590974689106</v>
      </c>
      <c r="H58" s="22"/>
    </row>
    <row r="59" spans="2:8" x14ac:dyDescent="0.2">
      <c r="B59" s="22" t="s">
        <v>164</v>
      </c>
      <c r="C59" s="22" t="s">
        <v>165</v>
      </c>
      <c r="D59" s="22" t="s">
        <v>50</v>
      </c>
      <c r="E59" s="26">
        <v>64904</v>
      </c>
      <c r="F59" s="24">
        <v>90.255502399999997</v>
      </c>
      <c r="G59" s="25">
        <v>0.53930957301568805</v>
      </c>
      <c r="H59" s="22"/>
    </row>
    <row r="60" spans="2:8" x14ac:dyDescent="0.2">
      <c r="B60" s="22" t="s">
        <v>166</v>
      </c>
      <c r="C60" s="22" t="s">
        <v>167</v>
      </c>
      <c r="D60" s="22" t="s">
        <v>34</v>
      </c>
      <c r="E60" s="26">
        <v>8387</v>
      </c>
      <c r="F60" s="24">
        <v>89.942188000000002</v>
      </c>
      <c r="G60" s="25">
        <v>0.53743740510580496</v>
      </c>
      <c r="H60" s="22"/>
    </row>
    <row r="61" spans="2:8" x14ac:dyDescent="0.2">
      <c r="B61" s="22" t="s">
        <v>168</v>
      </c>
      <c r="C61" s="22" t="s">
        <v>169</v>
      </c>
      <c r="D61" s="22" t="s">
        <v>31</v>
      </c>
      <c r="E61" s="26">
        <v>8093</v>
      </c>
      <c r="F61" s="24">
        <v>88.990628000000001</v>
      </c>
      <c r="G61" s="25">
        <v>0.53175148675564798</v>
      </c>
      <c r="H61" s="22"/>
    </row>
    <row r="62" spans="2:8" x14ac:dyDescent="0.2">
      <c r="B62" s="22" t="s">
        <v>170</v>
      </c>
      <c r="C62" s="22" t="s">
        <v>171</v>
      </c>
      <c r="D62" s="22" t="s">
        <v>51</v>
      </c>
      <c r="E62" s="26">
        <v>17572</v>
      </c>
      <c r="F62" s="24">
        <v>87.403127999999995</v>
      </c>
      <c r="G62" s="25">
        <v>0.52226559476683498</v>
      </c>
      <c r="H62" s="22"/>
    </row>
    <row r="63" spans="2:8" x14ac:dyDescent="0.2">
      <c r="B63" s="22" t="s">
        <v>172</v>
      </c>
      <c r="C63" s="22" t="s">
        <v>173</v>
      </c>
      <c r="D63" s="22" t="s">
        <v>46</v>
      </c>
      <c r="E63" s="26">
        <v>9450</v>
      </c>
      <c r="F63" s="24">
        <v>87.21405</v>
      </c>
      <c r="G63" s="25">
        <v>0.52113578469725397</v>
      </c>
      <c r="H63" s="22"/>
    </row>
    <row r="64" spans="2:8" x14ac:dyDescent="0.2">
      <c r="B64" s="22" t="s">
        <v>174</v>
      </c>
      <c r="C64" s="22" t="s">
        <v>175</v>
      </c>
      <c r="D64" s="22" t="s">
        <v>50</v>
      </c>
      <c r="E64" s="26">
        <v>1228</v>
      </c>
      <c r="F64" s="24">
        <v>87.089759999999998</v>
      </c>
      <c r="G64" s="25">
        <v>0.52039310657738602</v>
      </c>
      <c r="H64" s="22"/>
    </row>
    <row r="65" spans="2:8" x14ac:dyDescent="0.2">
      <c r="B65" s="22" t="s">
        <v>176</v>
      </c>
      <c r="C65" s="22" t="s">
        <v>177</v>
      </c>
      <c r="D65" s="22" t="s">
        <v>21</v>
      </c>
      <c r="E65" s="26">
        <v>10591</v>
      </c>
      <c r="F65" s="24">
        <v>86.607902499999994</v>
      </c>
      <c r="G65" s="25">
        <v>0.51751383212132396</v>
      </c>
      <c r="H65" s="22"/>
    </row>
    <row r="66" spans="2:8" x14ac:dyDescent="0.2">
      <c r="B66" s="22" t="s">
        <v>178</v>
      </c>
      <c r="C66" s="22" t="s">
        <v>179</v>
      </c>
      <c r="D66" s="22" t="s">
        <v>25</v>
      </c>
      <c r="E66" s="26">
        <v>6742</v>
      </c>
      <c r="F66" s="24">
        <v>86.39873</v>
      </c>
      <c r="G66" s="25">
        <v>0.51626395007909998</v>
      </c>
      <c r="H66" s="22"/>
    </row>
    <row r="67" spans="2:8" x14ac:dyDescent="0.2">
      <c r="B67" s="22" t="s">
        <v>180</v>
      </c>
      <c r="C67" s="22" t="s">
        <v>181</v>
      </c>
      <c r="D67" s="22" t="s">
        <v>47</v>
      </c>
      <c r="E67" s="26">
        <v>16092</v>
      </c>
      <c r="F67" s="24">
        <v>85.995648000000003</v>
      </c>
      <c r="G67" s="25">
        <v>0.51385538799114205</v>
      </c>
      <c r="H67" s="22"/>
    </row>
    <row r="68" spans="2:8" x14ac:dyDescent="0.2">
      <c r="B68" s="22" t="s">
        <v>182</v>
      </c>
      <c r="C68" s="22" t="s">
        <v>183</v>
      </c>
      <c r="D68" s="22" t="s">
        <v>46</v>
      </c>
      <c r="E68" s="26">
        <v>9024</v>
      </c>
      <c r="F68" s="24">
        <v>85.673856000000001</v>
      </c>
      <c r="G68" s="25">
        <v>0.51193256332666004</v>
      </c>
      <c r="H68" s="22"/>
    </row>
    <row r="69" spans="2:8" x14ac:dyDescent="0.2">
      <c r="B69" s="22" t="s">
        <v>184</v>
      </c>
      <c r="C69" s="22" t="s">
        <v>185</v>
      </c>
      <c r="D69" s="22" t="s">
        <v>51</v>
      </c>
      <c r="E69" s="26">
        <v>494</v>
      </c>
      <c r="F69" s="24">
        <v>85.378020000000006</v>
      </c>
      <c r="G69" s="25">
        <v>0.51016483523695799</v>
      </c>
      <c r="H69" s="22"/>
    </row>
    <row r="70" spans="2:8" x14ac:dyDescent="0.2">
      <c r="B70" s="22" t="s">
        <v>186</v>
      </c>
      <c r="C70" s="22" t="s">
        <v>187</v>
      </c>
      <c r="D70" s="22" t="s">
        <v>51</v>
      </c>
      <c r="E70" s="26">
        <v>9376</v>
      </c>
      <c r="F70" s="24">
        <v>84.430880000000002</v>
      </c>
      <c r="G70" s="25">
        <v>0.50450532800024395</v>
      </c>
      <c r="H70" s="22"/>
    </row>
    <row r="71" spans="2:8" x14ac:dyDescent="0.2">
      <c r="B71" s="22" t="s">
        <v>188</v>
      </c>
      <c r="C71" s="22" t="s">
        <v>189</v>
      </c>
      <c r="D71" s="22" t="s">
        <v>20</v>
      </c>
      <c r="E71" s="26">
        <v>7428</v>
      </c>
      <c r="F71" s="24">
        <v>84.196380000000005</v>
      </c>
      <c r="G71" s="25">
        <v>0.503104104900164</v>
      </c>
      <c r="H71" s="22"/>
    </row>
    <row r="72" spans="2:8" x14ac:dyDescent="0.2">
      <c r="B72" s="22" t="s">
        <v>190</v>
      </c>
      <c r="C72" s="22" t="s">
        <v>191</v>
      </c>
      <c r="D72" s="22" t="s">
        <v>25</v>
      </c>
      <c r="E72" s="26">
        <v>4513</v>
      </c>
      <c r="F72" s="24">
        <v>83.675533000000001</v>
      </c>
      <c r="G72" s="25">
        <v>0.499991853949174</v>
      </c>
      <c r="H72" s="22"/>
    </row>
    <row r="73" spans="2:8" x14ac:dyDescent="0.2">
      <c r="B73" s="22" t="s">
        <v>192</v>
      </c>
      <c r="C73" s="22" t="s">
        <v>193</v>
      </c>
      <c r="D73" s="22" t="s">
        <v>99</v>
      </c>
      <c r="E73" s="26">
        <v>1746</v>
      </c>
      <c r="F73" s="24">
        <v>82.543896000000004</v>
      </c>
      <c r="G73" s="25">
        <v>0.49322990979009101</v>
      </c>
      <c r="H73" s="22"/>
    </row>
    <row r="74" spans="2:8" x14ac:dyDescent="0.2">
      <c r="B74" s="22" t="s">
        <v>194</v>
      </c>
      <c r="C74" s="22" t="s">
        <v>195</v>
      </c>
      <c r="D74" s="22" t="s">
        <v>27</v>
      </c>
      <c r="E74" s="26">
        <v>6787</v>
      </c>
      <c r="F74" s="24">
        <v>81.959811999999999</v>
      </c>
      <c r="G74" s="25">
        <v>0.48973979468055201</v>
      </c>
      <c r="H74" s="22"/>
    </row>
    <row r="75" spans="2:8" x14ac:dyDescent="0.2">
      <c r="B75" s="22" t="s">
        <v>196</v>
      </c>
      <c r="C75" s="22" t="s">
        <v>197</v>
      </c>
      <c r="D75" s="22" t="s">
        <v>48</v>
      </c>
      <c r="E75" s="26">
        <v>5480</v>
      </c>
      <c r="F75" s="24">
        <v>81.739680000000007</v>
      </c>
      <c r="G75" s="25">
        <v>0.48842442562525701</v>
      </c>
      <c r="H75" s="22"/>
    </row>
    <row r="76" spans="2:8" x14ac:dyDescent="0.2">
      <c r="B76" s="22" t="s">
        <v>198</v>
      </c>
      <c r="C76" s="22" t="s">
        <v>199</v>
      </c>
      <c r="D76" s="22" t="s">
        <v>57</v>
      </c>
      <c r="E76" s="26">
        <v>6905</v>
      </c>
      <c r="F76" s="24">
        <v>80.270624999999995</v>
      </c>
      <c r="G76" s="25">
        <v>0.47964628574769802</v>
      </c>
      <c r="H76" s="22"/>
    </row>
    <row r="77" spans="2:8" x14ac:dyDescent="0.2">
      <c r="B77" s="22" t="s">
        <v>200</v>
      </c>
      <c r="C77" s="22" t="s">
        <v>201</v>
      </c>
      <c r="D77" s="22" t="s">
        <v>202</v>
      </c>
      <c r="E77" s="26">
        <v>4269</v>
      </c>
      <c r="F77" s="24">
        <v>80.116322999999994</v>
      </c>
      <c r="G77" s="25">
        <v>0.47872427497247999</v>
      </c>
      <c r="H77" s="22"/>
    </row>
    <row r="78" spans="2:8" x14ac:dyDescent="0.2">
      <c r="B78" s="22" t="s">
        <v>203</v>
      </c>
      <c r="C78" s="22" t="s">
        <v>204</v>
      </c>
      <c r="D78" s="22" t="s">
        <v>25</v>
      </c>
      <c r="E78" s="26">
        <v>10426</v>
      </c>
      <c r="F78" s="24">
        <v>78.549484000000007</v>
      </c>
      <c r="G78" s="25">
        <v>0.46936184000060099</v>
      </c>
      <c r="H78" s="22"/>
    </row>
    <row r="79" spans="2:8" x14ac:dyDescent="0.2">
      <c r="B79" s="22" t="s">
        <v>205</v>
      </c>
      <c r="C79" s="22" t="s">
        <v>206</v>
      </c>
      <c r="D79" s="22" t="s">
        <v>18</v>
      </c>
      <c r="E79" s="26">
        <v>39493</v>
      </c>
      <c r="F79" s="24">
        <v>77.015299299999995</v>
      </c>
      <c r="G79" s="25">
        <v>0.46019452639109598</v>
      </c>
      <c r="H79" s="22"/>
    </row>
    <row r="80" spans="2:8" x14ac:dyDescent="0.2">
      <c r="B80" s="22" t="s">
        <v>207</v>
      </c>
      <c r="C80" s="22" t="s">
        <v>208</v>
      </c>
      <c r="D80" s="22" t="s">
        <v>23</v>
      </c>
      <c r="E80" s="26">
        <v>6441</v>
      </c>
      <c r="F80" s="24">
        <v>76.976391000000007</v>
      </c>
      <c r="G80" s="25">
        <v>0.45996203509580902</v>
      </c>
      <c r="H80" s="22"/>
    </row>
    <row r="81" spans="2:8" x14ac:dyDescent="0.2">
      <c r="B81" s="22" t="s">
        <v>209</v>
      </c>
      <c r="C81" s="22" t="s">
        <v>210</v>
      </c>
      <c r="D81" s="22" t="s">
        <v>44</v>
      </c>
      <c r="E81" s="26">
        <v>10251</v>
      </c>
      <c r="F81" s="24">
        <v>76.897876499999995</v>
      </c>
      <c r="G81" s="25">
        <v>0.45949288229797802</v>
      </c>
      <c r="H81" s="22"/>
    </row>
    <row r="82" spans="2:8" x14ac:dyDescent="0.2">
      <c r="B82" s="22" t="s">
        <v>211</v>
      </c>
      <c r="C82" s="22" t="s">
        <v>212</v>
      </c>
      <c r="D82" s="22" t="s">
        <v>46</v>
      </c>
      <c r="E82" s="26">
        <v>617</v>
      </c>
      <c r="F82" s="24">
        <v>76.656080000000003</v>
      </c>
      <c r="G82" s="25">
        <v>0.45804805994693998</v>
      </c>
      <c r="H82" s="22"/>
    </row>
    <row r="83" spans="2:8" x14ac:dyDescent="0.2">
      <c r="B83" s="22" t="s">
        <v>213</v>
      </c>
      <c r="C83" s="22" t="s">
        <v>214</v>
      </c>
      <c r="D83" s="22" t="s">
        <v>215</v>
      </c>
      <c r="E83" s="26">
        <v>75155</v>
      </c>
      <c r="F83" s="24">
        <v>75.590898999999993</v>
      </c>
      <c r="G83" s="25">
        <v>0.45168321464644601</v>
      </c>
      <c r="H83" s="22"/>
    </row>
    <row r="84" spans="2:8" x14ac:dyDescent="0.2">
      <c r="B84" s="22" t="s">
        <v>216</v>
      </c>
      <c r="C84" s="22" t="s">
        <v>217</v>
      </c>
      <c r="D84" s="22" t="s">
        <v>25</v>
      </c>
      <c r="E84" s="26">
        <v>8170</v>
      </c>
      <c r="F84" s="24">
        <v>75.016940000000005</v>
      </c>
      <c r="G84" s="25">
        <v>0.44825360010785897</v>
      </c>
      <c r="H84" s="22"/>
    </row>
    <row r="85" spans="2:8" x14ac:dyDescent="0.2">
      <c r="B85" s="22" t="s">
        <v>218</v>
      </c>
      <c r="C85" s="22" t="s">
        <v>219</v>
      </c>
      <c r="D85" s="22" t="s">
        <v>48</v>
      </c>
      <c r="E85" s="26">
        <v>1300</v>
      </c>
      <c r="F85" s="24">
        <v>74.912499999999994</v>
      </c>
      <c r="G85" s="25">
        <v>0.44762953298388303</v>
      </c>
      <c r="H85" s="22"/>
    </row>
    <row r="86" spans="2:8" x14ac:dyDescent="0.2">
      <c r="B86" s="22" t="s">
        <v>220</v>
      </c>
      <c r="C86" s="22" t="s">
        <v>221</v>
      </c>
      <c r="D86" s="22" t="s">
        <v>27</v>
      </c>
      <c r="E86" s="26">
        <v>13061</v>
      </c>
      <c r="F86" s="24">
        <v>74.571779500000005</v>
      </c>
      <c r="G86" s="25">
        <v>0.44559360362238798</v>
      </c>
      <c r="H86" s="22"/>
    </row>
    <row r="87" spans="2:8" x14ac:dyDescent="0.2">
      <c r="B87" s="22" t="s">
        <v>222</v>
      </c>
      <c r="C87" s="22" t="s">
        <v>223</v>
      </c>
      <c r="D87" s="22" t="s">
        <v>20</v>
      </c>
      <c r="E87" s="26">
        <v>9350</v>
      </c>
      <c r="F87" s="24">
        <v>74.570925000000003</v>
      </c>
      <c r="G87" s="25">
        <v>0.44558849767296699</v>
      </c>
      <c r="H87" s="22"/>
    </row>
    <row r="88" spans="2:8" x14ac:dyDescent="0.2">
      <c r="B88" s="22" t="s">
        <v>224</v>
      </c>
      <c r="C88" s="22" t="s">
        <v>225</v>
      </c>
      <c r="D88" s="22" t="s">
        <v>44</v>
      </c>
      <c r="E88" s="26">
        <v>23500</v>
      </c>
      <c r="F88" s="24">
        <v>72.767750000000007</v>
      </c>
      <c r="G88" s="25">
        <v>0.43481386883080902</v>
      </c>
      <c r="H88" s="22"/>
    </row>
    <row r="89" spans="2:8" x14ac:dyDescent="0.2">
      <c r="B89" s="22" t="s">
        <v>226</v>
      </c>
      <c r="C89" s="22" t="s">
        <v>227</v>
      </c>
      <c r="D89" s="22" t="s">
        <v>25</v>
      </c>
      <c r="E89" s="26">
        <v>6584</v>
      </c>
      <c r="F89" s="24">
        <v>72.489840000000001</v>
      </c>
      <c r="G89" s="25">
        <v>0.43315325513467601</v>
      </c>
      <c r="H89" s="22"/>
    </row>
    <row r="90" spans="2:8" x14ac:dyDescent="0.2">
      <c r="B90" s="22" t="s">
        <v>228</v>
      </c>
      <c r="C90" s="22" t="s">
        <v>229</v>
      </c>
      <c r="D90" s="22" t="s">
        <v>45</v>
      </c>
      <c r="E90" s="26">
        <v>11114</v>
      </c>
      <c r="F90" s="24">
        <v>71.618616000000003</v>
      </c>
      <c r="G90" s="25">
        <v>0.427947373709755</v>
      </c>
      <c r="H90" s="22"/>
    </row>
    <row r="91" spans="2:8" x14ac:dyDescent="0.2">
      <c r="B91" s="22" t="s">
        <v>230</v>
      </c>
      <c r="C91" s="22" t="s">
        <v>231</v>
      </c>
      <c r="D91" s="22" t="s">
        <v>21</v>
      </c>
      <c r="E91" s="26">
        <v>33382</v>
      </c>
      <c r="F91" s="24">
        <v>70.893353399999995</v>
      </c>
      <c r="G91" s="25">
        <v>0.42361366493046398</v>
      </c>
      <c r="H91" s="22"/>
    </row>
    <row r="92" spans="2:8" x14ac:dyDescent="0.2">
      <c r="B92" s="22" t="s">
        <v>232</v>
      </c>
      <c r="C92" s="22" t="s">
        <v>233</v>
      </c>
      <c r="D92" s="22" t="s">
        <v>27</v>
      </c>
      <c r="E92" s="26">
        <v>5056</v>
      </c>
      <c r="F92" s="24">
        <v>70.738495999999998</v>
      </c>
      <c r="G92" s="25">
        <v>0.422688335437507</v>
      </c>
      <c r="H92" s="22"/>
    </row>
    <row r="93" spans="2:8" x14ac:dyDescent="0.2">
      <c r="B93" s="22" t="s">
        <v>234</v>
      </c>
      <c r="C93" s="22" t="s">
        <v>235</v>
      </c>
      <c r="D93" s="22" t="s">
        <v>215</v>
      </c>
      <c r="E93" s="26">
        <v>5822</v>
      </c>
      <c r="F93" s="24">
        <v>70.248251999999994</v>
      </c>
      <c r="G93" s="25">
        <v>0.41975894858260099</v>
      </c>
      <c r="H93" s="22"/>
    </row>
    <row r="94" spans="2:8" x14ac:dyDescent="0.2">
      <c r="B94" s="22" t="s">
        <v>236</v>
      </c>
      <c r="C94" s="22" t="s">
        <v>237</v>
      </c>
      <c r="D94" s="22" t="s">
        <v>35</v>
      </c>
      <c r="E94" s="26">
        <v>19577</v>
      </c>
      <c r="F94" s="24">
        <v>70.212910500000007</v>
      </c>
      <c r="G94" s="25">
        <v>0.419547770219312</v>
      </c>
      <c r="H94" s="22"/>
    </row>
    <row r="95" spans="2:8" x14ac:dyDescent="0.2">
      <c r="B95" s="22" t="s">
        <v>238</v>
      </c>
      <c r="C95" s="22" t="s">
        <v>239</v>
      </c>
      <c r="D95" s="22" t="s">
        <v>25</v>
      </c>
      <c r="E95" s="26">
        <v>4407</v>
      </c>
      <c r="F95" s="24">
        <v>70.146219000000002</v>
      </c>
      <c r="G95" s="25">
        <v>0.41914926416225801</v>
      </c>
      <c r="H95" s="22"/>
    </row>
    <row r="96" spans="2:8" x14ac:dyDescent="0.2">
      <c r="B96" s="22" t="s">
        <v>240</v>
      </c>
      <c r="C96" s="22" t="s">
        <v>241</v>
      </c>
      <c r="D96" s="22" t="s">
        <v>26</v>
      </c>
      <c r="E96" s="26">
        <v>389096</v>
      </c>
      <c r="F96" s="24">
        <v>70.115099200000003</v>
      </c>
      <c r="G96" s="25">
        <v>0.41896331199752601</v>
      </c>
      <c r="H96" s="22"/>
    </row>
    <row r="97" spans="2:8" x14ac:dyDescent="0.2">
      <c r="B97" s="22" t="s">
        <v>242</v>
      </c>
      <c r="C97" s="22" t="s">
        <v>243</v>
      </c>
      <c r="D97" s="22" t="s">
        <v>26</v>
      </c>
      <c r="E97" s="26">
        <v>11315</v>
      </c>
      <c r="F97" s="24">
        <v>70.017219999999995</v>
      </c>
      <c r="G97" s="25">
        <v>0.41837844804845398</v>
      </c>
      <c r="H97" s="22"/>
    </row>
    <row r="98" spans="2:8" x14ac:dyDescent="0.2">
      <c r="B98" s="22" t="s">
        <v>244</v>
      </c>
      <c r="C98" s="22" t="s">
        <v>245</v>
      </c>
      <c r="D98" s="22" t="s">
        <v>23</v>
      </c>
      <c r="E98" s="26">
        <v>22038</v>
      </c>
      <c r="F98" s="24">
        <v>69.992688000000001</v>
      </c>
      <c r="G98" s="25">
        <v>0.41823186039348098</v>
      </c>
      <c r="H98" s="22"/>
    </row>
    <row r="99" spans="2:8" x14ac:dyDescent="0.2">
      <c r="B99" s="22" t="s">
        <v>246</v>
      </c>
      <c r="C99" s="22" t="s">
        <v>247</v>
      </c>
      <c r="D99" s="22" t="s">
        <v>22</v>
      </c>
      <c r="E99" s="26">
        <v>393</v>
      </c>
      <c r="F99" s="24">
        <v>69.380219999999994</v>
      </c>
      <c r="G99" s="25">
        <v>0.41457214052286401</v>
      </c>
      <c r="H99" s="22"/>
    </row>
    <row r="100" spans="2:8" x14ac:dyDescent="0.2">
      <c r="B100" s="22" t="s">
        <v>248</v>
      </c>
      <c r="C100" s="22" t="s">
        <v>249</v>
      </c>
      <c r="D100" s="22" t="s">
        <v>46</v>
      </c>
      <c r="E100" s="26">
        <v>1719</v>
      </c>
      <c r="F100" s="24">
        <v>69.322113000000002</v>
      </c>
      <c r="G100" s="25">
        <v>0.414224929986931</v>
      </c>
      <c r="H100" s="22"/>
    </row>
    <row r="101" spans="2:8" x14ac:dyDescent="0.2">
      <c r="B101" s="22" t="s">
        <v>250</v>
      </c>
      <c r="C101" s="22" t="s">
        <v>251</v>
      </c>
      <c r="D101" s="22" t="s">
        <v>53</v>
      </c>
      <c r="E101" s="26">
        <v>1561</v>
      </c>
      <c r="F101" s="24">
        <v>68.680878000000007</v>
      </c>
      <c r="G101" s="25">
        <v>0.41039331679042901</v>
      </c>
      <c r="H101" s="22"/>
    </row>
    <row r="102" spans="2:8" x14ac:dyDescent="0.2">
      <c r="B102" s="22" t="s">
        <v>252</v>
      </c>
      <c r="C102" s="22" t="s">
        <v>253</v>
      </c>
      <c r="D102" s="22" t="s">
        <v>51</v>
      </c>
      <c r="E102" s="26">
        <v>6790</v>
      </c>
      <c r="F102" s="24">
        <v>67.893209999999996</v>
      </c>
      <c r="G102" s="25">
        <v>0.40568671296615</v>
      </c>
      <c r="H102" s="22"/>
    </row>
    <row r="103" spans="2:8" x14ac:dyDescent="0.2">
      <c r="B103" s="22" t="s">
        <v>254</v>
      </c>
      <c r="C103" s="22" t="s">
        <v>255</v>
      </c>
      <c r="D103" s="22" t="s">
        <v>23</v>
      </c>
      <c r="E103" s="26">
        <v>444</v>
      </c>
      <c r="F103" s="24">
        <v>67.079520000000002</v>
      </c>
      <c r="G103" s="25">
        <v>0.40082461819299903</v>
      </c>
      <c r="H103" s="22"/>
    </row>
    <row r="104" spans="2:8" x14ac:dyDescent="0.2">
      <c r="B104" s="22" t="s">
        <v>256</v>
      </c>
      <c r="C104" s="22" t="s">
        <v>257</v>
      </c>
      <c r="D104" s="22" t="s">
        <v>41</v>
      </c>
      <c r="E104" s="26">
        <v>40561</v>
      </c>
      <c r="F104" s="24">
        <v>67.035164699999996</v>
      </c>
      <c r="G104" s="25">
        <v>0.400559579084381</v>
      </c>
      <c r="H104" s="22"/>
    </row>
    <row r="105" spans="2:8" x14ac:dyDescent="0.2">
      <c r="B105" s="22" t="s">
        <v>258</v>
      </c>
      <c r="C105" s="22" t="s">
        <v>259</v>
      </c>
      <c r="D105" s="22" t="s">
        <v>25</v>
      </c>
      <c r="E105" s="26">
        <v>11841</v>
      </c>
      <c r="F105" s="24">
        <v>66.972695999999999</v>
      </c>
      <c r="G105" s="25">
        <v>0.400186305798786</v>
      </c>
      <c r="H105" s="22"/>
    </row>
    <row r="106" spans="2:8" x14ac:dyDescent="0.2">
      <c r="B106" s="22" t="s">
        <v>260</v>
      </c>
      <c r="C106" s="22" t="s">
        <v>261</v>
      </c>
      <c r="D106" s="22" t="s">
        <v>51</v>
      </c>
      <c r="E106" s="26">
        <v>14406</v>
      </c>
      <c r="F106" s="24">
        <v>66.966290999999998</v>
      </c>
      <c r="G106" s="25">
        <v>0.40014803358575401</v>
      </c>
      <c r="H106" s="22"/>
    </row>
    <row r="107" spans="2:8" x14ac:dyDescent="0.2">
      <c r="B107" s="22" t="s">
        <v>262</v>
      </c>
      <c r="C107" s="22" t="s">
        <v>263</v>
      </c>
      <c r="D107" s="22" t="s">
        <v>46</v>
      </c>
      <c r="E107" s="26">
        <v>1002</v>
      </c>
      <c r="F107" s="24">
        <v>66.933599999999998</v>
      </c>
      <c r="G107" s="25">
        <v>0.39995269292748298</v>
      </c>
      <c r="H107" s="22"/>
    </row>
    <row r="108" spans="2:8" x14ac:dyDescent="0.2">
      <c r="B108" s="22" t="s">
        <v>264</v>
      </c>
      <c r="C108" s="22" t="s">
        <v>265</v>
      </c>
      <c r="D108" s="22" t="s">
        <v>28</v>
      </c>
      <c r="E108" s="26">
        <v>2417</v>
      </c>
      <c r="F108" s="24">
        <v>66.322479999999999</v>
      </c>
      <c r="G108" s="25">
        <v>0.39630102784892901</v>
      </c>
      <c r="H108" s="22"/>
    </row>
    <row r="109" spans="2:8" x14ac:dyDescent="0.2">
      <c r="B109" s="22" t="s">
        <v>266</v>
      </c>
      <c r="C109" s="22" t="s">
        <v>267</v>
      </c>
      <c r="D109" s="22" t="s">
        <v>57</v>
      </c>
      <c r="E109" s="26">
        <v>124996</v>
      </c>
      <c r="F109" s="24">
        <v>65.672898399999994</v>
      </c>
      <c r="G109" s="25">
        <v>0.39241954067064899</v>
      </c>
      <c r="H109" s="22"/>
    </row>
    <row r="110" spans="2:8" x14ac:dyDescent="0.2">
      <c r="B110" s="22" t="s">
        <v>268</v>
      </c>
      <c r="C110" s="22" t="s">
        <v>269</v>
      </c>
      <c r="D110" s="22" t="s">
        <v>22</v>
      </c>
      <c r="E110" s="26">
        <v>9381</v>
      </c>
      <c r="F110" s="24">
        <v>64.911829499999996</v>
      </c>
      <c r="G110" s="25">
        <v>0.38787187617840102</v>
      </c>
      <c r="H110" s="22"/>
    </row>
    <row r="111" spans="2:8" x14ac:dyDescent="0.2">
      <c r="B111" s="22" t="s">
        <v>270</v>
      </c>
      <c r="C111" s="22" t="s">
        <v>271</v>
      </c>
      <c r="D111" s="22" t="s">
        <v>25</v>
      </c>
      <c r="E111" s="26">
        <v>1238</v>
      </c>
      <c r="F111" s="24">
        <v>64.48742</v>
      </c>
      <c r="G111" s="25">
        <v>0.385335874492715</v>
      </c>
      <c r="H111" s="22"/>
    </row>
    <row r="112" spans="2:8" x14ac:dyDescent="0.2">
      <c r="B112" s="22" t="s">
        <v>272</v>
      </c>
      <c r="C112" s="22" t="s">
        <v>273</v>
      </c>
      <c r="D112" s="22" t="s">
        <v>23</v>
      </c>
      <c r="E112" s="26">
        <v>31508</v>
      </c>
      <c r="F112" s="24">
        <v>63.970692399999997</v>
      </c>
      <c r="G112" s="25">
        <v>0.38224823846043898</v>
      </c>
      <c r="H112" s="22"/>
    </row>
    <row r="113" spans="2:8" x14ac:dyDescent="0.2">
      <c r="B113" s="22" t="s">
        <v>274</v>
      </c>
      <c r="C113" s="22" t="s">
        <v>275</v>
      </c>
      <c r="D113" s="22" t="s">
        <v>57</v>
      </c>
      <c r="E113" s="26">
        <v>3886</v>
      </c>
      <c r="F113" s="24">
        <v>63.959674</v>
      </c>
      <c r="G113" s="25">
        <v>0.38218239949836702</v>
      </c>
      <c r="H113" s="22"/>
    </row>
    <row r="114" spans="2:8" x14ac:dyDescent="0.2">
      <c r="B114" s="22" t="s">
        <v>276</v>
      </c>
      <c r="C114" s="22" t="s">
        <v>277</v>
      </c>
      <c r="D114" s="22" t="s">
        <v>48</v>
      </c>
      <c r="E114" s="26">
        <v>16746</v>
      </c>
      <c r="F114" s="24">
        <v>63.626427</v>
      </c>
      <c r="G114" s="25">
        <v>0.38019112702744001</v>
      </c>
      <c r="H114" s="22"/>
    </row>
    <row r="115" spans="2:8" x14ac:dyDescent="0.2">
      <c r="B115" s="22" t="s">
        <v>278</v>
      </c>
      <c r="C115" s="22" t="s">
        <v>279</v>
      </c>
      <c r="D115" s="22" t="s">
        <v>41</v>
      </c>
      <c r="E115" s="26">
        <v>16182</v>
      </c>
      <c r="F115" s="24">
        <v>63.077435999999999</v>
      </c>
      <c r="G115" s="25">
        <v>0.37691070540298</v>
      </c>
      <c r="H115" s="22"/>
    </row>
    <row r="116" spans="2:8" x14ac:dyDescent="0.2">
      <c r="B116" s="22" t="s">
        <v>280</v>
      </c>
      <c r="C116" s="22" t="s">
        <v>281</v>
      </c>
      <c r="D116" s="22" t="s">
        <v>23</v>
      </c>
      <c r="E116" s="26">
        <v>4391</v>
      </c>
      <c r="F116" s="24">
        <v>62.510275999999998</v>
      </c>
      <c r="G116" s="25">
        <v>0.37352171737124801</v>
      </c>
      <c r="H116" s="22"/>
    </row>
    <row r="117" spans="2:8" x14ac:dyDescent="0.2">
      <c r="B117" s="22" t="s">
        <v>282</v>
      </c>
      <c r="C117" s="22" t="s">
        <v>283</v>
      </c>
      <c r="D117" s="22" t="s">
        <v>284</v>
      </c>
      <c r="E117" s="26">
        <v>3115</v>
      </c>
      <c r="F117" s="24">
        <v>62.290655000000001</v>
      </c>
      <c r="G117" s="25">
        <v>0.37220940172748401</v>
      </c>
      <c r="H117" s="22"/>
    </row>
    <row r="118" spans="2:8" x14ac:dyDescent="0.2">
      <c r="B118" s="22" t="s">
        <v>285</v>
      </c>
      <c r="C118" s="22" t="s">
        <v>286</v>
      </c>
      <c r="D118" s="22" t="s">
        <v>24</v>
      </c>
      <c r="E118" s="26">
        <v>2493</v>
      </c>
      <c r="F118" s="24">
        <v>61.275447</v>
      </c>
      <c r="G118" s="25">
        <v>0.36614316334375002</v>
      </c>
      <c r="H118" s="22"/>
    </row>
    <row r="119" spans="2:8" x14ac:dyDescent="0.2">
      <c r="B119" s="22" t="s">
        <v>287</v>
      </c>
      <c r="C119" s="22" t="s">
        <v>288</v>
      </c>
      <c r="D119" s="22" t="s">
        <v>28</v>
      </c>
      <c r="E119" s="26">
        <v>2391</v>
      </c>
      <c r="F119" s="24">
        <v>61.116351000000002</v>
      </c>
      <c r="G119" s="25">
        <v>0.36519250666856801</v>
      </c>
      <c r="H119" s="22"/>
    </row>
    <row r="120" spans="2:8" x14ac:dyDescent="0.2">
      <c r="B120" s="22" t="s">
        <v>289</v>
      </c>
      <c r="C120" s="22" t="s">
        <v>290</v>
      </c>
      <c r="D120" s="22" t="s">
        <v>24</v>
      </c>
      <c r="E120" s="26">
        <v>17492</v>
      </c>
      <c r="F120" s="24">
        <v>60.942127999999997</v>
      </c>
      <c r="G120" s="25">
        <v>0.36415146064654103</v>
      </c>
      <c r="H120" s="22"/>
    </row>
    <row r="121" spans="2:8" x14ac:dyDescent="0.2">
      <c r="B121" s="22" t="s">
        <v>291</v>
      </c>
      <c r="C121" s="22" t="s">
        <v>292</v>
      </c>
      <c r="D121" s="22" t="s">
        <v>49</v>
      </c>
      <c r="E121" s="26">
        <v>6957</v>
      </c>
      <c r="F121" s="24">
        <v>60.10848</v>
      </c>
      <c r="G121" s="25">
        <v>0.35917010953807499</v>
      </c>
      <c r="H121" s="22"/>
    </row>
    <row r="122" spans="2:8" x14ac:dyDescent="0.2">
      <c r="B122" s="22" t="s">
        <v>293</v>
      </c>
      <c r="C122" s="22" t="s">
        <v>294</v>
      </c>
      <c r="D122" s="22" t="s">
        <v>25</v>
      </c>
      <c r="E122" s="26">
        <v>7310</v>
      </c>
      <c r="F122" s="24">
        <v>59.934690000000003</v>
      </c>
      <c r="G122" s="25">
        <v>0.35813165084910797</v>
      </c>
      <c r="H122" s="22"/>
    </row>
    <row r="123" spans="2:8" x14ac:dyDescent="0.2">
      <c r="B123" s="22" t="s">
        <v>295</v>
      </c>
      <c r="C123" s="22" t="s">
        <v>296</v>
      </c>
      <c r="D123" s="22" t="s">
        <v>23</v>
      </c>
      <c r="E123" s="26">
        <v>6901</v>
      </c>
      <c r="F123" s="24">
        <v>59.893779000000002</v>
      </c>
      <c r="G123" s="25">
        <v>0.35788719269027103</v>
      </c>
      <c r="H123" s="22"/>
    </row>
    <row r="124" spans="2:8" x14ac:dyDescent="0.2">
      <c r="B124" s="22" t="s">
        <v>297</v>
      </c>
      <c r="C124" s="22" t="s">
        <v>298</v>
      </c>
      <c r="D124" s="22" t="s">
        <v>47</v>
      </c>
      <c r="E124" s="26">
        <v>664</v>
      </c>
      <c r="F124" s="24">
        <v>59.86956</v>
      </c>
      <c r="G124" s="25">
        <v>0.357742475324553</v>
      </c>
      <c r="H124" s="22"/>
    </row>
    <row r="125" spans="2:8" x14ac:dyDescent="0.2">
      <c r="B125" s="22" t="s">
        <v>299</v>
      </c>
      <c r="C125" s="22" t="s">
        <v>300</v>
      </c>
      <c r="D125" s="22" t="s">
        <v>52</v>
      </c>
      <c r="E125" s="26">
        <v>12408</v>
      </c>
      <c r="F125" s="24">
        <v>59.663868000000001</v>
      </c>
      <c r="G125" s="25">
        <v>0.35651339054032399</v>
      </c>
      <c r="H125" s="22"/>
    </row>
    <row r="126" spans="2:8" x14ac:dyDescent="0.2">
      <c r="B126" s="22" t="s">
        <v>301</v>
      </c>
      <c r="C126" s="22" t="s">
        <v>302</v>
      </c>
      <c r="D126" s="22" t="s">
        <v>44</v>
      </c>
      <c r="E126" s="26">
        <v>4648</v>
      </c>
      <c r="F126" s="24">
        <v>59.350312000000002</v>
      </c>
      <c r="G126" s="25">
        <v>0.35463977898224902</v>
      </c>
      <c r="H126" s="22"/>
    </row>
    <row r="127" spans="2:8" x14ac:dyDescent="0.2">
      <c r="B127" s="22" t="s">
        <v>303</v>
      </c>
      <c r="C127" s="22" t="s">
        <v>304</v>
      </c>
      <c r="D127" s="22" t="s">
        <v>19</v>
      </c>
      <c r="E127" s="26">
        <v>80591</v>
      </c>
      <c r="F127" s="24">
        <v>59.2424441</v>
      </c>
      <c r="G127" s="25">
        <v>0.35399522890447899</v>
      </c>
      <c r="H127" s="22"/>
    </row>
    <row r="128" spans="2:8" x14ac:dyDescent="0.2">
      <c r="B128" s="22" t="s">
        <v>305</v>
      </c>
      <c r="C128" s="22" t="s">
        <v>306</v>
      </c>
      <c r="D128" s="22" t="s">
        <v>45</v>
      </c>
      <c r="E128" s="26">
        <v>3634</v>
      </c>
      <c r="F128" s="24">
        <v>58.819924</v>
      </c>
      <c r="G128" s="25">
        <v>0.35147051707348598</v>
      </c>
      <c r="H128" s="22"/>
    </row>
    <row r="129" spans="2:8" x14ac:dyDescent="0.2">
      <c r="B129" s="22" t="s">
        <v>307</v>
      </c>
      <c r="C129" s="22" t="s">
        <v>308</v>
      </c>
      <c r="D129" s="22" t="s">
        <v>20</v>
      </c>
      <c r="E129" s="26">
        <v>15898</v>
      </c>
      <c r="F129" s="24">
        <v>58.798752999999998</v>
      </c>
      <c r="G129" s="25">
        <v>0.351344012620386</v>
      </c>
      <c r="H129" s="22"/>
    </row>
    <row r="130" spans="2:8" x14ac:dyDescent="0.2">
      <c r="B130" s="22" t="s">
        <v>309</v>
      </c>
      <c r="C130" s="22" t="s">
        <v>310</v>
      </c>
      <c r="D130" s="22" t="s">
        <v>49</v>
      </c>
      <c r="E130" s="26">
        <v>6539</v>
      </c>
      <c r="F130" s="24">
        <v>57.8407245</v>
      </c>
      <c r="G130" s="25">
        <v>0.345619442621518</v>
      </c>
      <c r="H130" s="22"/>
    </row>
    <row r="131" spans="2:8" x14ac:dyDescent="0.2">
      <c r="B131" s="22" t="s">
        <v>311</v>
      </c>
      <c r="C131" s="22" t="s">
        <v>312</v>
      </c>
      <c r="D131" s="22" t="s">
        <v>51</v>
      </c>
      <c r="E131" s="26">
        <v>19982</v>
      </c>
      <c r="F131" s="24">
        <v>56.6969268</v>
      </c>
      <c r="G131" s="25">
        <v>0.33878483384088598</v>
      </c>
      <c r="H131" s="22"/>
    </row>
    <row r="132" spans="2:8" x14ac:dyDescent="0.2">
      <c r="B132" s="22" t="s">
        <v>313</v>
      </c>
      <c r="C132" s="22" t="s">
        <v>314</v>
      </c>
      <c r="D132" s="22" t="s">
        <v>36</v>
      </c>
      <c r="E132" s="26">
        <v>4079</v>
      </c>
      <c r="F132" s="24">
        <v>55.857826000000003</v>
      </c>
      <c r="G132" s="25">
        <v>0.33377090026197198</v>
      </c>
      <c r="H132" s="22"/>
    </row>
    <row r="133" spans="2:8" x14ac:dyDescent="0.2">
      <c r="B133" s="22" t="s">
        <v>315</v>
      </c>
      <c r="C133" s="22" t="s">
        <v>316</v>
      </c>
      <c r="D133" s="22" t="s">
        <v>27</v>
      </c>
      <c r="E133" s="26">
        <v>5211</v>
      </c>
      <c r="F133" s="24">
        <v>55.788966000000002</v>
      </c>
      <c r="G133" s="25">
        <v>0.33335943662584699</v>
      </c>
      <c r="H133" s="22"/>
    </row>
    <row r="134" spans="2:8" x14ac:dyDescent="0.2">
      <c r="B134" s="22" t="s">
        <v>317</v>
      </c>
      <c r="C134" s="22" t="s">
        <v>318</v>
      </c>
      <c r="D134" s="22" t="s">
        <v>41</v>
      </c>
      <c r="E134" s="26">
        <v>5830</v>
      </c>
      <c r="F134" s="24">
        <v>55.370424999999997</v>
      </c>
      <c r="G134" s="25">
        <v>0.33085850136985301</v>
      </c>
      <c r="H134" s="22"/>
    </row>
    <row r="135" spans="2:8" x14ac:dyDescent="0.2">
      <c r="B135" s="22" t="s">
        <v>319</v>
      </c>
      <c r="C135" s="22" t="s">
        <v>320</v>
      </c>
      <c r="D135" s="22" t="s">
        <v>41</v>
      </c>
      <c r="E135" s="26">
        <v>19316</v>
      </c>
      <c r="F135" s="24">
        <v>55.253418000000003</v>
      </c>
      <c r="G135" s="25">
        <v>0.33015934183351597</v>
      </c>
      <c r="H135" s="22"/>
    </row>
    <row r="136" spans="2:8" x14ac:dyDescent="0.2">
      <c r="B136" s="22" t="s">
        <v>321</v>
      </c>
      <c r="C136" s="22" t="s">
        <v>322</v>
      </c>
      <c r="D136" s="22" t="s">
        <v>27</v>
      </c>
      <c r="E136" s="26">
        <v>14999</v>
      </c>
      <c r="F136" s="24">
        <v>54.3338775</v>
      </c>
      <c r="G136" s="25">
        <v>0.32466475168401099</v>
      </c>
      <c r="H136" s="22"/>
    </row>
    <row r="137" spans="2:8" x14ac:dyDescent="0.2">
      <c r="B137" s="22" t="s">
        <v>323</v>
      </c>
      <c r="C137" s="22" t="s">
        <v>324</v>
      </c>
      <c r="D137" s="22" t="s">
        <v>21</v>
      </c>
      <c r="E137" s="26">
        <v>12125</v>
      </c>
      <c r="F137" s="24">
        <v>54.326062499999999</v>
      </c>
      <c r="G137" s="25">
        <v>0.32461805420628398</v>
      </c>
      <c r="H137" s="22"/>
    </row>
    <row r="138" spans="2:8" x14ac:dyDescent="0.2">
      <c r="B138" s="22" t="s">
        <v>325</v>
      </c>
      <c r="C138" s="22" t="s">
        <v>326</v>
      </c>
      <c r="D138" s="22" t="s">
        <v>23</v>
      </c>
      <c r="E138" s="26">
        <v>6492</v>
      </c>
      <c r="F138" s="24">
        <v>54.312072000000001</v>
      </c>
      <c r="G138" s="25">
        <v>0.32453445586179902</v>
      </c>
      <c r="H138" s="22"/>
    </row>
    <row r="139" spans="2:8" x14ac:dyDescent="0.2">
      <c r="B139" s="22" t="s">
        <v>327</v>
      </c>
      <c r="C139" s="22" t="s">
        <v>328</v>
      </c>
      <c r="D139" s="22" t="s">
        <v>57</v>
      </c>
      <c r="E139" s="26">
        <v>1343</v>
      </c>
      <c r="F139" s="24">
        <v>54.227654000000001</v>
      </c>
      <c r="G139" s="25">
        <v>0.32403002749650101</v>
      </c>
      <c r="H139" s="22"/>
    </row>
    <row r="140" spans="2:8" x14ac:dyDescent="0.2">
      <c r="B140" s="22" t="s">
        <v>329</v>
      </c>
      <c r="C140" s="22" t="s">
        <v>330</v>
      </c>
      <c r="D140" s="22" t="s">
        <v>41</v>
      </c>
      <c r="E140" s="26">
        <v>33449</v>
      </c>
      <c r="F140" s="24">
        <v>54.120482000000003</v>
      </c>
      <c r="G140" s="25">
        <v>0.32338963567525603</v>
      </c>
      <c r="H140" s="22"/>
    </row>
    <row r="141" spans="2:8" x14ac:dyDescent="0.2">
      <c r="B141" s="22" t="s">
        <v>331</v>
      </c>
      <c r="C141" s="22" t="s">
        <v>332</v>
      </c>
      <c r="D141" s="22" t="s">
        <v>21</v>
      </c>
      <c r="E141" s="26">
        <v>4093</v>
      </c>
      <c r="F141" s="24">
        <v>53.990763000000001</v>
      </c>
      <c r="G141" s="25">
        <v>0.322614517298629</v>
      </c>
      <c r="H141" s="22"/>
    </row>
    <row r="142" spans="2:8" x14ac:dyDescent="0.2">
      <c r="B142" s="22" t="s">
        <v>333</v>
      </c>
      <c r="C142" s="22" t="s">
        <v>334</v>
      </c>
      <c r="D142" s="22" t="s">
        <v>23</v>
      </c>
      <c r="E142" s="26">
        <v>3245</v>
      </c>
      <c r="F142" s="24">
        <v>53.542499999999997</v>
      </c>
      <c r="G142" s="25">
        <v>0.31993598224314401</v>
      </c>
      <c r="H142" s="22"/>
    </row>
    <row r="143" spans="2:8" x14ac:dyDescent="0.2">
      <c r="B143" s="22" t="s">
        <v>335</v>
      </c>
      <c r="C143" s="22" t="s">
        <v>336</v>
      </c>
      <c r="D143" s="22" t="s">
        <v>48</v>
      </c>
      <c r="E143" s="26">
        <v>11387</v>
      </c>
      <c r="F143" s="24">
        <v>53.473351999999998</v>
      </c>
      <c r="G143" s="25">
        <v>0.31952279770188902</v>
      </c>
      <c r="H143" s="22"/>
    </row>
    <row r="144" spans="2:8" x14ac:dyDescent="0.2">
      <c r="B144" s="22" t="s">
        <v>337</v>
      </c>
      <c r="C144" s="22" t="s">
        <v>338</v>
      </c>
      <c r="D144" s="22" t="s">
        <v>23</v>
      </c>
      <c r="E144" s="26">
        <v>31845</v>
      </c>
      <c r="F144" s="24">
        <v>52.232168999999999</v>
      </c>
      <c r="G144" s="25">
        <v>0.312106276204976</v>
      </c>
      <c r="H144" s="22"/>
    </row>
    <row r="145" spans="2:8" x14ac:dyDescent="0.2">
      <c r="B145" s="22" t="s">
        <v>339</v>
      </c>
      <c r="C145" s="22" t="s">
        <v>340</v>
      </c>
      <c r="D145" s="22" t="s">
        <v>48</v>
      </c>
      <c r="E145" s="26">
        <v>14345</v>
      </c>
      <c r="F145" s="24">
        <v>51.943244999999997</v>
      </c>
      <c r="G145" s="25">
        <v>0.31037984983837702</v>
      </c>
      <c r="H145" s="22"/>
    </row>
    <row r="146" spans="2:8" x14ac:dyDescent="0.2">
      <c r="B146" s="22" t="s">
        <v>341</v>
      </c>
      <c r="C146" s="22" t="s">
        <v>342</v>
      </c>
      <c r="D146" s="22" t="s">
        <v>22</v>
      </c>
      <c r="E146" s="26">
        <v>3340</v>
      </c>
      <c r="F146" s="24">
        <v>51.719900000000003</v>
      </c>
      <c r="G146" s="25">
        <v>0.30904528193523301</v>
      </c>
      <c r="H146" s="22"/>
    </row>
    <row r="147" spans="2:8" x14ac:dyDescent="0.2">
      <c r="B147" s="22" t="s">
        <v>343</v>
      </c>
      <c r="C147" s="22" t="s">
        <v>344</v>
      </c>
      <c r="D147" s="22" t="s">
        <v>24</v>
      </c>
      <c r="E147" s="26">
        <v>38332</v>
      </c>
      <c r="F147" s="24">
        <v>51.211551999999998</v>
      </c>
      <c r="G147" s="25">
        <v>0.30600771707178198</v>
      </c>
      <c r="H147" s="22"/>
    </row>
    <row r="148" spans="2:8" x14ac:dyDescent="0.2">
      <c r="B148" s="22" t="s">
        <v>345</v>
      </c>
      <c r="C148" s="22" t="s">
        <v>346</v>
      </c>
      <c r="D148" s="22" t="s">
        <v>52</v>
      </c>
      <c r="E148" s="26">
        <v>1041</v>
      </c>
      <c r="F148" s="24">
        <v>50.848686000000001</v>
      </c>
      <c r="G148" s="25">
        <v>0.30383946026396302</v>
      </c>
      <c r="H148" s="22"/>
    </row>
    <row r="149" spans="2:8" x14ac:dyDescent="0.2">
      <c r="B149" s="22" t="s">
        <v>347</v>
      </c>
      <c r="C149" s="22" t="s">
        <v>348</v>
      </c>
      <c r="D149" s="22" t="s">
        <v>49</v>
      </c>
      <c r="E149" s="26">
        <v>6227</v>
      </c>
      <c r="F149" s="24">
        <v>50.675325999999998</v>
      </c>
      <c r="G149" s="25">
        <v>0.30280357098195898</v>
      </c>
      <c r="H149" s="22"/>
    </row>
    <row r="150" spans="2:8" x14ac:dyDescent="0.2">
      <c r="B150" s="22" t="s">
        <v>349</v>
      </c>
      <c r="C150" s="22" t="s">
        <v>350</v>
      </c>
      <c r="D150" s="22" t="s">
        <v>26</v>
      </c>
      <c r="E150" s="26">
        <v>23460</v>
      </c>
      <c r="F150" s="24">
        <v>50.664216000000003</v>
      </c>
      <c r="G150" s="25">
        <v>0.30273718467645</v>
      </c>
      <c r="H150" s="22"/>
    </row>
    <row r="151" spans="2:8" x14ac:dyDescent="0.2">
      <c r="B151" s="22" t="s">
        <v>351</v>
      </c>
      <c r="C151" s="22" t="s">
        <v>352</v>
      </c>
      <c r="D151" s="22" t="s">
        <v>28</v>
      </c>
      <c r="E151" s="26">
        <v>3722</v>
      </c>
      <c r="F151" s="24">
        <v>50.514983999999998</v>
      </c>
      <c r="G151" s="25">
        <v>0.30184546900194698</v>
      </c>
      <c r="H151" s="22"/>
    </row>
    <row r="152" spans="2:8" x14ac:dyDescent="0.2">
      <c r="B152" s="22" t="s">
        <v>353</v>
      </c>
      <c r="C152" s="22" t="s">
        <v>354</v>
      </c>
      <c r="D152" s="22" t="s">
        <v>52</v>
      </c>
      <c r="E152" s="26">
        <v>10043</v>
      </c>
      <c r="F152" s="24">
        <v>50.435946000000001</v>
      </c>
      <c r="G152" s="25">
        <v>0.30137318810052199</v>
      </c>
      <c r="H152" s="22"/>
    </row>
    <row r="153" spans="2:8" x14ac:dyDescent="0.2">
      <c r="B153" s="22" t="s">
        <v>355</v>
      </c>
      <c r="C153" s="22" t="s">
        <v>356</v>
      </c>
      <c r="D153" s="22" t="s">
        <v>20</v>
      </c>
      <c r="E153" s="26">
        <v>5166</v>
      </c>
      <c r="F153" s="24">
        <v>50.425325999999998</v>
      </c>
      <c r="G153" s="25">
        <v>0.30130972972387898</v>
      </c>
      <c r="H153" s="22"/>
    </row>
    <row r="154" spans="2:8" x14ac:dyDescent="0.2">
      <c r="B154" s="22" t="s">
        <v>357</v>
      </c>
      <c r="C154" s="22" t="s">
        <v>358</v>
      </c>
      <c r="D154" s="22" t="s">
        <v>22</v>
      </c>
      <c r="E154" s="26">
        <v>100554</v>
      </c>
      <c r="F154" s="24">
        <v>50.417775599999999</v>
      </c>
      <c r="G154" s="25">
        <v>0.30126461332773902</v>
      </c>
      <c r="H154" s="22"/>
    </row>
    <row r="155" spans="2:8" x14ac:dyDescent="0.2">
      <c r="B155" s="22" t="s">
        <v>359</v>
      </c>
      <c r="C155" s="22" t="s">
        <v>360</v>
      </c>
      <c r="D155" s="22" t="s">
        <v>43</v>
      </c>
      <c r="E155" s="26">
        <v>9412</v>
      </c>
      <c r="F155" s="24">
        <v>50.382435999999998</v>
      </c>
      <c r="G155" s="25">
        <v>0.30105344631764203</v>
      </c>
      <c r="H155" s="22"/>
    </row>
    <row r="156" spans="2:8" x14ac:dyDescent="0.2">
      <c r="B156" s="22" t="s">
        <v>361</v>
      </c>
      <c r="C156" s="22" t="s">
        <v>362</v>
      </c>
      <c r="D156" s="22" t="s">
        <v>51</v>
      </c>
      <c r="E156" s="26">
        <v>5732</v>
      </c>
      <c r="F156" s="24">
        <v>50.318362</v>
      </c>
      <c r="G156" s="25">
        <v>0.30067058077856101</v>
      </c>
      <c r="H156" s="22"/>
    </row>
    <row r="157" spans="2:8" x14ac:dyDescent="0.2">
      <c r="B157" s="22" t="s">
        <v>363</v>
      </c>
      <c r="C157" s="22" t="s">
        <v>364</v>
      </c>
      <c r="D157" s="22" t="s">
        <v>20</v>
      </c>
      <c r="E157" s="26">
        <v>13481</v>
      </c>
      <c r="F157" s="24">
        <v>50.095396000000001</v>
      </c>
      <c r="G157" s="25">
        <v>0.29933827753876402</v>
      </c>
      <c r="H157" s="22"/>
    </row>
    <row r="158" spans="2:8" x14ac:dyDescent="0.2">
      <c r="B158" s="22" t="s">
        <v>365</v>
      </c>
      <c r="C158" s="22" t="s">
        <v>366</v>
      </c>
      <c r="D158" s="22" t="s">
        <v>37</v>
      </c>
      <c r="E158" s="26">
        <v>5760</v>
      </c>
      <c r="F158" s="24">
        <v>49.521599999999999</v>
      </c>
      <c r="G158" s="25">
        <v>0.29590963698467798</v>
      </c>
      <c r="H158" s="22"/>
    </row>
    <row r="159" spans="2:8" x14ac:dyDescent="0.2">
      <c r="B159" s="22" t="s">
        <v>367</v>
      </c>
      <c r="C159" s="22" t="s">
        <v>368</v>
      </c>
      <c r="D159" s="22" t="s">
        <v>51</v>
      </c>
      <c r="E159" s="26">
        <v>6179</v>
      </c>
      <c r="F159" s="24">
        <v>48.560760999999999</v>
      </c>
      <c r="G159" s="25">
        <v>0.29016827322238598</v>
      </c>
      <c r="H159" s="22"/>
    </row>
    <row r="160" spans="2:8" x14ac:dyDescent="0.2">
      <c r="B160" s="22" t="s">
        <v>369</v>
      </c>
      <c r="C160" s="22" t="s">
        <v>370</v>
      </c>
      <c r="D160" s="22" t="s">
        <v>25</v>
      </c>
      <c r="E160" s="26">
        <v>503</v>
      </c>
      <c r="F160" s="24">
        <v>48.06165</v>
      </c>
      <c r="G160" s="25">
        <v>0.28718590280573802</v>
      </c>
      <c r="H160" s="22"/>
    </row>
    <row r="161" spans="2:8" x14ac:dyDescent="0.2">
      <c r="B161" s="22" t="s">
        <v>371</v>
      </c>
      <c r="C161" s="22" t="s">
        <v>372</v>
      </c>
      <c r="D161" s="22" t="s">
        <v>48</v>
      </c>
      <c r="E161" s="26">
        <v>6882</v>
      </c>
      <c r="F161" s="24">
        <v>47.482359000000002</v>
      </c>
      <c r="G161" s="25">
        <v>0.28372442762079902</v>
      </c>
      <c r="H161" s="22"/>
    </row>
    <row r="162" spans="2:8" x14ac:dyDescent="0.2">
      <c r="B162" s="22" t="s">
        <v>373</v>
      </c>
      <c r="C162" s="22" t="s">
        <v>374</v>
      </c>
      <c r="D162" s="22" t="s">
        <v>37</v>
      </c>
      <c r="E162" s="26">
        <v>11220</v>
      </c>
      <c r="F162" s="24">
        <v>47.180100000000003</v>
      </c>
      <c r="G162" s="25">
        <v>0.28191831976149401</v>
      </c>
      <c r="H162" s="22"/>
    </row>
    <row r="163" spans="2:8" x14ac:dyDescent="0.2">
      <c r="B163" s="22" t="s">
        <v>568</v>
      </c>
      <c r="C163" s="22" t="s">
        <v>375</v>
      </c>
      <c r="D163" s="22" t="s">
        <v>51</v>
      </c>
      <c r="E163" s="26">
        <v>1717</v>
      </c>
      <c r="F163" s="24">
        <v>46.503228</v>
      </c>
      <c r="G163" s="25">
        <v>0.277873762481335</v>
      </c>
      <c r="H163" s="22"/>
    </row>
    <row r="164" spans="2:8" x14ac:dyDescent="0.2">
      <c r="B164" s="22" t="s">
        <v>376</v>
      </c>
      <c r="C164" s="22" t="s">
        <v>377</v>
      </c>
      <c r="D164" s="22" t="s">
        <v>46</v>
      </c>
      <c r="E164" s="26">
        <v>8393</v>
      </c>
      <c r="F164" s="24">
        <v>45.573990000000002</v>
      </c>
      <c r="G164" s="25">
        <v>0.27232122622943</v>
      </c>
      <c r="H164" s="22"/>
    </row>
    <row r="165" spans="2:8" x14ac:dyDescent="0.2">
      <c r="B165" s="22" t="s">
        <v>378</v>
      </c>
      <c r="C165" s="22" t="s">
        <v>379</v>
      </c>
      <c r="D165" s="22" t="s">
        <v>215</v>
      </c>
      <c r="E165" s="26">
        <v>8063</v>
      </c>
      <c r="F165" s="24">
        <v>45.297933999999998</v>
      </c>
      <c r="G165" s="25">
        <v>0.27067169086006698</v>
      </c>
      <c r="H165" s="22"/>
    </row>
    <row r="166" spans="2:8" x14ac:dyDescent="0.2">
      <c r="B166" s="22" t="s">
        <v>380</v>
      </c>
      <c r="C166" s="22" t="s">
        <v>381</v>
      </c>
      <c r="D166" s="22" t="s">
        <v>36</v>
      </c>
      <c r="E166" s="26">
        <v>8382</v>
      </c>
      <c r="F166" s="24">
        <v>45.212508</v>
      </c>
      <c r="G166" s="25">
        <v>0.27016123932681602</v>
      </c>
      <c r="H166" s="22"/>
    </row>
    <row r="167" spans="2:8" x14ac:dyDescent="0.2">
      <c r="B167" s="22" t="s">
        <v>382</v>
      </c>
      <c r="C167" s="22" t="s">
        <v>383</v>
      </c>
      <c r="D167" s="22" t="s">
        <v>21</v>
      </c>
      <c r="E167" s="26">
        <v>22355</v>
      </c>
      <c r="F167" s="24">
        <v>45.197338999999999</v>
      </c>
      <c r="G167" s="25">
        <v>0.27007059901463998</v>
      </c>
      <c r="H167" s="22"/>
    </row>
    <row r="168" spans="2:8" x14ac:dyDescent="0.2">
      <c r="B168" s="22" t="s">
        <v>384</v>
      </c>
      <c r="C168" s="22" t="s">
        <v>385</v>
      </c>
      <c r="D168" s="22" t="s">
        <v>50</v>
      </c>
      <c r="E168" s="26">
        <v>5924</v>
      </c>
      <c r="F168" s="24">
        <v>45.140880000000003</v>
      </c>
      <c r="G168" s="25">
        <v>0.26973323588027998</v>
      </c>
      <c r="H168" s="22"/>
    </row>
    <row r="169" spans="2:8" x14ac:dyDescent="0.2">
      <c r="B169" s="22" t="s">
        <v>386</v>
      </c>
      <c r="C169" s="22" t="s">
        <v>387</v>
      </c>
      <c r="D169" s="22" t="s">
        <v>21</v>
      </c>
      <c r="E169" s="26">
        <v>26596</v>
      </c>
      <c r="F169" s="24">
        <v>45.112135199999997</v>
      </c>
      <c r="G169" s="25">
        <v>0.26956147520749901</v>
      </c>
      <c r="H169" s="22"/>
    </row>
    <row r="170" spans="2:8" x14ac:dyDescent="0.2">
      <c r="B170" s="22" t="s">
        <v>388</v>
      </c>
      <c r="C170" s="22" t="s">
        <v>389</v>
      </c>
      <c r="D170" s="22" t="s">
        <v>23</v>
      </c>
      <c r="E170" s="26">
        <v>8616</v>
      </c>
      <c r="F170" s="24">
        <v>43.928676000000003</v>
      </c>
      <c r="G170" s="25">
        <v>0.26248987448663902</v>
      </c>
      <c r="H170" s="22"/>
    </row>
    <row r="171" spans="2:8" x14ac:dyDescent="0.2">
      <c r="B171" s="22" t="s">
        <v>390</v>
      </c>
      <c r="C171" s="22" t="s">
        <v>391</v>
      </c>
      <c r="D171" s="22" t="s">
        <v>51</v>
      </c>
      <c r="E171" s="26">
        <v>22975</v>
      </c>
      <c r="F171" s="24">
        <v>43.195297500000002</v>
      </c>
      <c r="G171" s="25">
        <v>0.25810767024228098</v>
      </c>
      <c r="H171" s="22"/>
    </row>
    <row r="172" spans="2:8" x14ac:dyDescent="0.2">
      <c r="B172" s="22" t="s">
        <v>392</v>
      </c>
      <c r="C172" s="22" t="s">
        <v>393</v>
      </c>
      <c r="D172" s="22" t="s">
        <v>54</v>
      </c>
      <c r="E172" s="26">
        <v>2583</v>
      </c>
      <c r="F172" s="24">
        <v>43.061193000000003</v>
      </c>
      <c r="G172" s="25">
        <v>0.25730634690230397</v>
      </c>
      <c r="H172" s="22"/>
    </row>
    <row r="173" spans="2:8" x14ac:dyDescent="0.2">
      <c r="B173" s="22" t="s">
        <v>394</v>
      </c>
      <c r="C173" s="22" t="s">
        <v>395</v>
      </c>
      <c r="D173" s="22" t="s">
        <v>37</v>
      </c>
      <c r="E173" s="26">
        <v>9369</v>
      </c>
      <c r="F173" s="24">
        <v>42.999025500000002</v>
      </c>
      <c r="G173" s="25">
        <v>0.25693487339665699</v>
      </c>
      <c r="H173" s="22"/>
    </row>
    <row r="174" spans="2:8" x14ac:dyDescent="0.2">
      <c r="B174" s="22" t="s">
        <v>396</v>
      </c>
      <c r="C174" s="22" t="s">
        <v>397</v>
      </c>
      <c r="D174" s="22" t="s">
        <v>46</v>
      </c>
      <c r="E174" s="26">
        <v>9911</v>
      </c>
      <c r="F174" s="24">
        <v>42.820475500000001</v>
      </c>
      <c r="G174" s="25">
        <v>0.255867971970136</v>
      </c>
      <c r="H174" s="22"/>
    </row>
    <row r="175" spans="2:8" x14ac:dyDescent="0.2">
      <c r="B175" s="22" t="s">
        <v>398</v>
      </c>
      <c r="C175" s="22" t="s">
        <v>399</v>
      </c>
      <c r="D175" s="22" t="s">
        <v>50</v>
      </c>
      <c r="E175" s="26">
        <v>3396</v>
      </c>
      <c r="F175" s="24">
        <v>42.368496</v>
      </c>
      <c r="G175" s="25">
        <v>0.25316722947050901</v>
      </c>
      <c r="H175" s="22"/>
    </row>
    <row r="176" spans="2:8" x14ac:dyDescent="0.2">
      <c r="B176" s="22" t="s">
        <v>400</v>
      </c>
      <c r="C176" s="22" t="s">
        <v>401</v>
      </c>
      <c r="D176" s="22" t="s">
        <v>36</v>
      </c>
      <c r="E176" s="26">
        <v>2121</v>
      </c>
      <c r="F176" s="24">
        <v>41.792183999999999</v>
      </c>
      <c r="G176" s="25">
        <v>0.24972355489800099</v>
      </c>
      <c r="H176" s="22"/>
    </row>
    <row r="177" spans="2:8" x14ac:dyDescent="0.2">
      <c r="B177" s="22" t="s">
        <v>402</v>
      </c>
      <c r="C177" s="22" t="s">
        <v>403</v>
      </c>
      <c r="D177" s="22" t="s">
        <v>58</v>
      </c>
      <c r="E177" s="26">
        <v>3228</v>
      </c>
      <c r="F177" s="24">
        <v>41.357135999999997</v>
      </c>
      <c r="G177" s="25">
        <v>0.24712398429141899</v>
      </c>
      <c r="H177" s="22"/>
    </row>
    <row r="178" spans="2:8" x14ac:dyDescent="0.2">
      <c r="B178" s="22" t="s">
        <v>404</v>
      </c>
      <c r="C178" s="22" t="s">
        <v>405</v>
      </c>
      <c r="D178" s="22" t="s">
        <v>48</v>
      </c>
      <c r="E178" s="26">
        <v>930</v>
      </c>
      <c r="F178" s="24">
        <v>41.031599999999997</v>
      </c>
      <c r="G178" s="25">
        <v>0.24517878786025701</v>
      </c>
      <c r="H178" s="22"/>
    </row>
    <row r="179" spans="2:8" x14ac:dyDescent="0.2">
      <c r="B179" s="22" t="s">
        <v>406</v>
      </c>
      <c r="C179" s="22" t="s">
        <v>407</v>
      </c>
      <c r="D179" s="22" t="s">
        <v>25</v>
      </c>
      <c r="E179" s="26">
        <v>4556</v>
      </c>
      <c r="F179" s="24">
        <v>40.885544000000003</v>
      </c>
      <c r="G179" s="25">
        <v>0.244306049945096</v>
      </c>
      <c r="H179" s="22"/>
    </row>
    <row r="180" spans="2:8" x14ac:dyDescent="0.2">
      <c r="B180" s="22" t="s">
        <v>408</v>
      </c>
      <c r="C180" s="22" t="s">
        <v>409</v>
      </c>
      <c r="D180" s="22" t="s">
        <v>46</v>
      </c>
      <c r="E180" s="26">
        <v>1897</v>
      </c>
      <c r="F180" s="24">
        <v>40.610976000000001</v>
      </c>
      <c r="G180" s="25">
        <v>0.24266540591890101</v>
      </c>
      <c r="H180" s="22"/>
    </row>
    <row r="181" spans="2:8" x14ac:dyDescent="0.2">
      <c r="B181" s="22" t="s">
        <v>410</v>
      </c>
      <c r="C181" s="22" t="s">
        <v>411</v>
      </c>
      <c r="D181" s="22" t="s">
        <v>51</v>
      </c>
      <c r="E181" s="26">
        <v>6867</v>
      </c>
      <c r="F181" s="24">
        <v>40.583970000000001</v>
      </c>
      <c r="G181" s="25">
        <v>0.24250403521083799</v>
      </c>
      <c r="H181" s="22"/>
    </row>
    <row r="182" spans="2:8" x14ac:dyDescent="0.2">
      <c r="B182" s="22" t="s">
        <v>412</v>
      </c>
      <c r="C182" s="22" t="s">
        <v>413</v>
      </c>
      <c r="D182" s="22" t="s">
        <v>29</v>
      </c>
      <c r="E182" s="26">
        <v>94033</v>
      </c>
      <c r="F182" s="24">
        <v>40.481206499999999</v>
      </c>
      <c r="G182" s="25">
        <v>0.241889985786339</v>
      </c>
      <c r="H182" s="22"/>
    </row>
    <row r="183" spans="2:8" x14ac:dyDescent="0.2">
      <c r="B183" s="22" t="s">
        <v>414</v>
      </c>
      <c r="C183" s="22" t="s">
        <v>415</v>
      </c>
      <c r="D183" s="22" t="s">
        <v>43</v>
      </c>
      <c r="E183" s="26">
        <v>7183</v>
      </c>
      <c r="F183" s="24">
        <v>40.328953499999997</v>
      </c>
      <c r="G183" s="25">
        <v>0.240980218534073</v>
      </c>
      <c r="H183" s="22"/>
    </row>
    <row r="184" spans="2:8" x14ac:dyDescent="0.2">
      <c r="B184" s="22" t="s">
        <v>416</v>
      </c>
      <c r="C184" s="22" t="s">
        <v>417</v>
      </c>
      <c r="D184" s="22" t="s">
        <v>41</v>
      </c>
      <c r="E184" s="26">
        <v>2718</v>
      </c>
      <c r="F184" s="24">
        <v>40.313375999999998</v>
      </c>
      <c r="G184" s="25">
        <v>0.24088713728528199</v>
      </c>
      <c r="H184" s="22"/>
    </row>
    <row r="185" spans="2:8" x14ac:dyDescent="0.2">
      <c r="B185" s="22" t="s">
        <v>418</v>
      </c>
      <c r="C185" s="22" t="s">
        <v>419</v>
      </c>
      <c r="D185" s="22" t="s">
        <v>54</v>
      </c>
      <c r="E185" s="26">
        <v>6754</v>
      </c>
      <c r="F185" s="24">
        <v>40.139021999999997</v>
      </c>
      <c r="G185" s="25">
        <v>0.239845308490436</v>
      </c>
      <c r="H185" s="22"/>
    </row>
    <row r="186" spans="2:8" x14ac:dyDescent="0.2">
      <c r="B186" s="22" t="s">
        <v>420</v>
      </c>
      <c r="C186" s="22" t="s">
        <v>421</v>
      </c>
      <c r="D186" s="22" t="s">
        <v>43</v>
      </c>
      <c r="E186" s="26">
        <v>4774</v>
      </c>
      <c r="F186" s="24">
        <v>39.934510000000003</v>
      </c>
      <c r="G186" s="25">
        <v>0.23862327463694599</v>
      </c>
      <c r="H186" s="22"/>
    </row>
    <row r="187" spans="2:8" x14ac:dyDescent="0.2">
      <c r="B187" s="22" t="s">
        <v>422</v>
      </c>
      <c r="C187" s="22" t="s">
        <v>423</v>
      </c>
      <c r="D187" s="22" t="s">
        <v>29</v>
      </c>
      <c r="E187" s="26">
        <v>7503</v>
      </c>
      <c r="F187" s="24">
        <v>39.728385000000003</v>
      </c>
      <c r="G187" s="25">
        <v>0.23739160251965799</v>
      </c>
      <c r="H187" s="22"/>
    </row>
    <row r="188" spans="2:8" x14ac:dyDescent="0.2">
      <c r="B188" s="22" t="s">
        <v>424</v>
      </c>
      <c r="C188" s="22" t="s">
        <v>425</v>
      </c>
      <c r="D188" s="22" t="s">
        <v>36</v>
      </c>
      <c r="E188" s="26">
        <v>3982</v>
      </c>
      <c r="F188" s="24">
        <v>39.368043</v>
      </c>
      <c r="G188" s="25">
        <v>0.235238427533181</v>
      </c>
      <c r="H188" s="22"/>
    </row>
    <row r="189" spans="2:8" x14ac:dyDescent="0.2">
      <c r="B189" s="22" t="s">
        <v>426</v>
      </c>
      <c r="C189" s="22" t="s">
        <v>427</v>
      </c>
      <c r="D189" s="22" t="s">
        <v>25</v>
      </c>
      <c r="E189" s="26">
        <v>2700</v>
      </c>
      <c r="F189" s="24">
        <v>38.982599999999998</v>
      </c>
      <c r="G189" s="25">
        <v>0.232935264909027</v>
      </c>
      <c r="H189" s="22"/>
    </row>
    <row r="190" spans="2:8" x14ac:dyDescent="0.2">
      <c r="B190" s="22" t="s">
        <v>428</v>
      </c>
      <c r="C190" s="22" t="s">
        <v>429</v>
      </c>
      <c r="D190" s="22" t="s">
        <v>43</v>
      </c>
      <c r="E190" s="26">
        <v>8744</v>
      </c>
      <c r="F190" s="24">
        <v>38.945776000000002</v>
      </c>
      <c r="G190" s="25">
        <v>0.23271522806707701</v>
      </c>
      <c r="H190" s="22"/>
    </row>
    <row r="191" spans="2:8" x14ac:dyDescent="0.2">
      <c r="B191" s="22" t="s">
        <v>430</v>
      </c>
      <c r="C191" s="22" t="s">
        <v>431</v>
      </c>
      <c r="D191" s="22" t="s">
        <v>51</v>
      </c>
      <c r="E191" s="26">
        <v>2064</v>
      </c>
      <c r="F191" s="24">
        <v>38.689680000000003</v>
      </c>
      <c r="G191" s="25">
        <v>0.23118496098375901</v>
      </c>
      <c r="H191" s="22"/>
    </row>
    <row r="192" spans="2:8" x14ac:dyDescent="0.2">
      <c r="B192" s="22" t="s">
        <v>432</v>
      </c>
      <c r="C192" s="22" t="s">
        <v>433</v>
      </c>
      <c r="D192" s="22" t="s">
        <v>17</v>
      </c>
      <c r="E192" s="26">
        <v>36395</v>
      </c>
      <c r="F192" s="24">
        <v>38.626013499999999</v>
      </c>
      <c r="G192" s="25">
        <v>0.23080453040592899</v>
      </c>
      <c r="H192" s="22"/>
    </row>
    <row r="193" spans="2:8" x14ac:dyDescent="0.2">
      <c r="B193" s="22" t="s">
        <v>434</v>
      </c>
      <c r="C193" s="22" t="s">
        <v>435</v>
      </c>
      <c r="D193" s="22" t="s">
        <v>18</v>
      </c>
      <c r="E193" s="26">
        <v>3931</v>
      </c>
      <c r="F193" s="24">
        <v>38.498248500000003</v>
      </c>
      <c r="G193" s="25">
        <v>0.23004108789257399</v>
      </c>
      <c r="H193" s="22"/>
    </row>
    <row r="194" spans="2:8" x14ac:dyDescent="0.2">
      <c r="B194" s="22" t="s">
        <v>436</v>
      </c>
      <c r="C194" s="22" t="s">
        <v>437</v>
      </c>
      <c r="D194" s="22" t="s">
        <v>438</v>
      </c>
      <c r="E194" s="26">
        <v>1471</v>
      </c>
      <c r="F194" s="24">
        <v>37.835591000000001</v>
      </c>
      <c r="G194" s="25">
        <v>0.226081467438668</v>
      </c>
      <c r="H194" s="22"/>
    </row>
    <row r="195" spans="2:8" x14ac:dyDescent="0.2">
      <c r="B195" s="22" t="s">
        <v>439</v>
      </c>
      <c r="C195" s="22" t="s">
        <v>440</v>
      </c>
      <c r="D195" s="22" t="s">
        <v>35</v>
      </c>
      <c r="E195" s="26">
        <v>50314</v>
      </c>
      <c r="F195" s="24">
        <v>37.765688400000002</v>
      </c>
      <c r="G195" s="25">
        <v>0.22566377388695899</v>
      </c>
      <c r="H195" s="22"/>
    </row>
    <row r="196" spans="2:8" x14ac:dyDescent="0.2">
      <c r="B196" s="22" t="s">
        <v>441</v>
      </c>
      <c r="C196" s="22" t="s">
        <v>442</v>
      </c>
      <c r="D196" s="22" t="s">
        <v>34</v>
      </c>
      <c r="E196" s="26">
        <v>5139</v>
      </c>
      <c r="F196" s="24">
        <v>37.545534000000004</v>
      </c>
      <c r="G196" s="25">
        <v>0.224348270983487</v>
      </c>
      <c r="H196" s="22"/>
    </row>
    <row r="197" spans="2:8" x14ac:dyDescent="0.2">
      <c r="B197" s="22" t="s">
        <v>443</v>
      </c>
      <c r="C197" s="22" t="s">
        <v>444</v>
      </c>
      <c r="D197" s="22" t="s">
        <v>51</v>
      </c>
      <c r="E197" s="26">
        <v>2654</v>
      </c>
      <c r="F197" s="24">
        <v>37.47448</v>
      </c>
      <c r="G197" s="25">
        <v>0.22392369739648099</v>
      </c>
      <c r="H197" s="22"/>
    </row>
    <row r="198" spans="2:8" x14ac:dyDescent="0.2">
      <c r="B198" s="22" t="s">
        <v>445</v>
      </c>
      <c r="C198" s="22" t="s">
        <v>446</v>
      </c>
      <c r="D198" s="22" t="s">
        <v>27</v>
      </c>
      <c r="E198" s="26">
        <v>4957</v>
      </c>
      <c r="F198" s="24">
        <v>37.398086499999998</v>
      </c>
      <c r="G198" s="25">
        <v>0.22346721834788399</v>
      </c>
      <c r="H198" s="22"/>
    </row>
    <row r="199" spans="2:8" x14ac:dyDescent="0.2">
      <c r="B199" s="22" t="s">
        <v>447</v>
      </c>
      <c r="C199" s="22" t="s">
        <v>448</v>
      </c>
      <c r="D199" s="22" t="s">
        <v>53</v>
      </c>
      <c r="E199" s="26">
        <v>3360</v>
      </c>
      <c r="F199" s="24">
        <v>36.99024</v>
      </c>
      <c r="G199" s="25">
        <v>0.22103018663322899</v>
      </c>
      <c r="H199" s="22"/>
    </row>
    <row r="200" spans="2:8" x14ac:dyDescent="0.2">
      <c r="B200" s="22" t="s">
        <v>449</v>
      </c>
      <c r="C200" s="22" t="s">
        <v>450</v>
      </c>
      <c r="D200" s="22" t="s">
        <v>46</v>
      </c>
      <c r="E200" s="26">
        <v>6552</v>
      </c>
      <c r="F200" s="24">
        <v>36.933624000000002</v>
      </c>
      <c r="G200" s="25">
        <v>0.22069188536655901</v>
      </c>
      <c r="H200" s="22"/>
    </row>
    <row r="201" spans="2:8" x14ac:dyDescent="0.2">
      <c r="B201" s="22" t="s">
        <v>451</v>
      </c>
      <c r="C201" s="22" t="s">
        <v>452</v>
      </c>
      <c r="D201" s="22" t="s">
        <v>55</v>
      </c>
      <c r="E201" s="26">
        <v>8365</v>
      </c>
      <c r="F201" s="24">
        <v>36.475582500000002</v>
      </c>
      <c r="G201" s="25">
        <v>0.21795492020410601</v>
      </c>
      <c r="H201" s="22"/>
    </row>
    <row r="202" spans="2:8" x14ac:dyDescent="0.2">
      <c r="B202" s="22" t="s">
        <v>453</v>
      </c>
      <c r="C202" s="22" t="s">
        <v>454</v>
      </c>
      <c r="D202" s="22" t="s">
        <v>24</v>
      </c>
      <c r="E202" s="26">
        <v>44338</v>
      </c>
      <c r="F202" s="24">
        <v>36.197543199999998</v>
      </c>
      <c r="G202" s="25">
        <v>0.21629353389327499</v>
      </c>
      <c r="H202" s="22"/>
    </row>
    <row r="203" spans="2:8" x14ac:dyDescent="0.2">
      <c r="B203" s="22" t="s">
        <v>455</v>
      </c>
      <c r="C203" s="22" t="s">
        <v>456</v>
      </c>
      <c r="D203" s="22" t="s">
        <v>31</v>
      </c>
      <c r="E203" s="26">
        <v>13803</v>
      </c>
      <c r="F203" s="24">
        <v>35.843630400000002</v>
      </c>
      <c r="G203" s="25">
        <v>0.21417877572366301</v>
      </c>
      <c r="H203" s="22"/>
    </row>
    <row r="204" spans="2:8" x14ac:dyDescent="0.2">
      <c r="B204" s="22" t="s">
        <v>457</v>
      </c>
      <c r="C204" s="22" t="s">
        <v>458</v>
      </c>
      <c r="D204" s="22" t="s">
        <v>49</v>
      </c>
      <c r="E204" s="26">
        <v>11081</v>
      </c>
      <c r="F204" s="24">
        <v>35.752846499999997</v>
      </c>
      <c r="G204" s="25">
        <v>0.21363630878210499</v>
      </c>
      <c r="H204" s="22"/>
    </row>
    <row r="205" spans="2:8" x14ac:dyDescent="0.2">
      <c r="B205" s="22" t="s">
        <v>459</v>
      </c>
      <c r="C205" s="22" t="s">
        <v>460</v>
      </c>
      <c r="D205" s="22" t="s">
        <v>461</v>
      </c>
      <c r="E205" s="26">
        <v>6603</v>
      </c>
      <c r="F205" s="24">
        <v>35.227004999999998</v>
      </c>
      <c r="G205" s="25">
        <v>0.21049421387046099</v>
      </c>
      <c r="H205" s="22"/>
    </row>
    <row r="206" spans="2:8" x14ac:dyDescent="0.2">
      <c r="B206" s="22" t="s">
        <v>462</v>
      </c>
      <c r="C206" s="22" t="s">
        <v>463</v>
      </c>
      <c r="D206" s="22" t="s">
        <v>438</v>
      </c>
      <c r="E206" s="26">
        <v>11110</v>
      </c>
      <c r="F206" s="24">
        <v>34.940950000000001</v>
      </c>
      <c r="G206" s="25">
        <v>0.20878493082614</v>
      </c>
      <c r="H206" s="22"/>
    </row>
    <row r="207" spans="2:8" x14ac:dyDescent="0.2">
      <c r="B207" s="22" t="s">
        <v>464</v>
      </c>
      <c r="C207" s="22" t="s">
        <v>465</v>
      </c>
      <c r="D207" s="22" t="s">
        <v>23</v>
      </c>
      <c r="E207" s="26">
        <v>30498</v>
      </c>
      <c r="F207" s="24">
        <v>34.7921184</v>
      </c>
      <c r="G207" s="25">
        <v>0.207895607687795</v>
      </c>
      <c r="H207" s="22"/>
    </row>
    <row r="208" spans="2:8" x14ac:dyDescent="0.2">
      <c r="B208" s="22" t="s">
        <v>466</v>
      </c>
      <c r="C208" s="22" t="s">
        <v>467</v>
      </c>
      <c r="D208" s="22" t="s">
        <v>45</v>
      </c>
      <c r="E208" s="26">
        <v>3198</v>
      </c>
      <c r="F208" s="24">
        <v>34.675913999999999</v>
      </c>
      <c r="G208" s="25">
        <v>0.20720124397943299</v>
      </c>
      <c r="H208" s="22"/>
    </row>
    <row r="209" spans="2:8" x14ac:dyDescent="0.2">
      <c r="B209" s="22" t="s">
        <v>468</v>
      </c>
      <c r="C209" s="22" t="s">
        <v>469</v>
      </c>
      <c r="D209" s="22" t="s">
        <v>20</v>
      </c>
      <c r="E209" s="26">
        <v>6693</v>
      </c>
      <c r="F209" s="24">
        <v>34.505761499999998</v>
      </c>
      <c r="G209" s="25">
        <v>0.20618452068077101</v>
      </c>
      <c r="H209" s="22"/>
    </row>
    <row r="210" spans="2:8" x14ac:dyDescent="0.2">
      <c r="B210" s="22" t="s">
        <v>470</v>
      </c>
      <c r="C210" s="22" t="s">
        <v>471</v>
      </c>
      <c r="D210" s="22" t="s">
        <v>49</v>
      </c>
      <c r="E210" s="26">
        <v>10066</v>
      </c>
      <c r="F210" s="24">
        <v>33.982816</v>
      </c>
      <c r="G210" s="25">
        <v>0.20305973042625999</v>
      </c>
      <c r="H210" s="22"/>
    </row>
    <row r="211" spans="2:8" x14ac:dyDescent="0.2">
      <c r="B211" s="22" t="s">
        <v>472</v>
      </c>
      <c r="C211" s="22" t="s">
        <v>473</v>
      </c>
      <c r="D211" s="22" t="s">
        <v>30</v>
      </c>
      <c r="E211" s="26">
        <v>8180</v>
      </c>
      <c r="F211" s="24">
        <v>33.918370000000003</v>
      </c>
      <c r="G211" s="25">
        <v>0.20267464205138699</v>
      </c>
      <c r="H211" s="22"/>
    </row>
    <row r="212" spans="2:8" x14ac:dyDescent="0.2">
      <c r="B212" s="22" t="s">
        <v>474</v>
      </c>
      <c r="C212" s="22" t="s">
        <v>475</v>
      </c>
      <c r="D212" s="22" t="s">
        <v>51</v>
      </c>
      <c r="E212" s="26">
        <v>5443</v>
      </c>
      <c r="F212" s="24">
        <v>33.918054499999997</v>
      </c>
      <c r="G212" s="25">
        <v>0.20267275682371999</v>
      </c>
      <c r="H212" s="22"/>
    </row>
    <row r="213" spans="2:8" x14ac:dyDescent="0.2">
      <c r="B213" s="22" t="s">
        <v>476</v>
      </c>
      <c r="C213" s="22" t="s">
        <v>477</v>
      </c>
      <c r="D213" s="22" t="s">
        <v>51</v>
      </c>
      <c r="E213" s="26">
        <v>4278</v>
      </c>
      <c r="F213" s="24">
        <v>33.824007000000002</v>
      </c>
      <c r="G213" s="25">
        <v>0.20211078868084201</v>
      </c>
      <c r="H213" s="22"/>
    </row>
    <row r="214" spans="2:8" x14ac:dyDescent="0.2">
      <c r="B214" s="22" t="s">
        <v>478</v>
      </c>
      <c r="C214" s="22" t="s">
        <v>479</v>
      </c>
      <c r="D214" s="22" t="s">
        <v>55</v>
      </c>
      <c r="E214" s="26">
        <v>25934</v>
      </c>
      <c r="F214" s="24">
        <v>33.623430999999997</v>
      </c>
      <c r="G214" s="25">
        <v>0.200912273864119</v>
      </c>
      <c r="H214" s="22"/>
    </row>
    <row r="215" spans="2:8" x14ac:dyDescent="0.2">
      <c r="B215" s="22" t="s">
        <v>480</v>
      </c>
      <c r="C215" s="22" t="s">
        <v>481</v>
      </c>
      <c r="D215" s="22" t="s">
        <v>25</v>
      </c>
      <c r="E215" s="26">
        <v>1647</v>
      </c>
      <c r="F215" s="24">
        <v>33.480215999999999</v>
      </c>
      <c r="G215" s="25">
        <v>0.20005651196101501</v>
      </c>
      <c r="H215" s="22"/>
    </row>
    <row r="216" spans="2:8" x14ac:dyDescent="0.2">
      <c r="B216" s="22" t="s">
        <v>482</v>
      </c>
      <c r="C216" s="22" t="s">
        <v>483</v>
      </c>
      <c r="D216" s="22" t="s">
        <v>51</v>
      </c>
      <c r="E216" s="26">
        <v>18964</v>
      </c>
      <c r="F216" s="24">
        <v>33.234409999999997</v>
      </c>
      <c r="G216" s="25">
        <v>0.19858773138388</v>
      </c>
      <c r="H216" s="22"/>
    </row>
    <row r="217" spans="2:8" x14ac:dyDescent="0.2">
      <c r="B217" s="22" t="s">
        <v>484</v>
      </c>
      <c r="C217" s="22" t="s">
        <v>485</v>
      </c>
      <c r="D217" s="22" t="s">
        <v>24</v>
      </c>
      <c r="E217" s="26">
        <v>4982</v>
      </c>
      <c r="F217" s="24">
        <v>32.171264999999998</v>
      </c>
      <c r="G217" s="25">
        <v>0.19223505192659099</v>
      </c>
      <c r="H217" s="22"/>
    </row>
    <row r="218" spans="2:8" x14ac:dyDescent="0.2">
      <c r="B218" s="22" t="s">
        <v>486</v>
      </c>
      <c r="C218" s="22" t="s">
        <v>487</v>
      </c>
      <c r="D218" s="22" t="s">
        <v>47</v>
      </c>
      <c r="E218" s="26">
        <v>11237</v>
      </c>
      <c r="F218" s="24">
        <v>31.946791000000001</v>
      </c>
      <c r="G218" s="25">
        <v>0.19089373783632499</v>
      </c>
      <c r="H218" s="22"/>
    </row>
    <row r="219" spans="2:8" x14ac:dyDescent="0.2">
      <c r="B219" s="22" t="s">
        <v>488</v>
      </c>
      <c r="C219" s="22" t="s">
        <v>489</v>
      </c>
      <c r="D219" s="22" t="s">
        <v>31</v>
      </c>
      <c r="E219" s="26">
        <v>483</v>
      </c>
      <c r="F219" s="24">
        <v>31.742760000000001</v>
      </c>
      <c r="G219" s="25">
        <v>0.18967457813341501</v>
      </c>
      <c r="H219" s="22"/>
    </row>
    <row r="220" spans="2:8" x14ac:dyDescent="0.2">
      <c r="B220" s="22" t="s">
        <v>490</v>
      </c>
      <c r="C220" s="22" t="s">
        <v>491</v>
      </c>
      <c r="D220" s="22" t="s">
        <v>36</v>
      </c>
      <c r="E220" s="26">
        <v>6263</v>
      </c>
      <c r="F220" s="24">
        <v>31.7064375</v>
      </c>
      <c r="G220" s="25">
        <v>0.18945753793702899</v>
      </c>
      <c r="H220" s="22"/>
    </row>
    <row r="221" spans="2:8" x14ac:dyDescent="0.2">
      <c r="B221" s="22" t="s">
        <v>492</v>
      </c>
      <c r="C221" s="22" t="s">
        <v>493</v>
      </c>
      <c r="D221" s="22" t="s">
        <v>17</v>
      </c>
      <c r="E221" s="26">
        <v>79470</v>
      </c>
      <c r="F221" s="24">
        <v>31.374756000000001</v>
      </c>
      <c r="G221" s="25">
        <v>0.18747561990006101</v>
      </c>
      <c r="H221" s="22"/>
    </row>
    <row r="222" spans="2:8" x14ac:dyDescent="0.2">
      <c r="B222" s="22" t="s">
        <v>494</v>
      </c>
      <c r="C222" s="22" t="s">
        <v>495</v>
      </c>
      <c r="D222" s="22" t="s">
        <v>23</v>
      </c>
      <c r="E222" s="26">
        <v>53708</v>
      </c>
      <c r="F222" s="24">
        <v>31.123785999999999</v>
      </c>
      <c r="G222" s="25">
        <v>0.18597598253789799</v>
      </c>
      <c r="H222" s="22"/>
    </row>
    <row r="223" spans="2:8" x14ac:dyDescent="0.2">
      <c r="B223" s="22" t="s">
        <v>496</v>
      </c>
      <c r="C223" s="22" t="s">
        <v>497</v>
      </c>
      <c r="D223" s="22" t="s">
        <v>41</v>
      </c>
      <c r="E223" s="26">
        <v>9889</v>
      </c>
      <c r="F223" s="24">
        <v>31.110793999999999</v>
      </c>
      <c r="G223" s="25">
        <v>0.185898350595398</v>
      </c>
      <c r="H223" s="22"/>
    </row>
    <row r="224" spans="2:8" x14ac:dyDescent="0.2">
      <c r="B224" s="22" t="s">
        <v>498</v>
      </c>
      <c r="C224" s="22" t="s">
        <v>499</v>
      </c>
      <c r="D224" s="22" t="s">
        <v>41</v>
      </c>
      <c r="E224" s="26">
        <v>19971</v>
      </c>
      <c r="F224" s="24">
        <v>29.732824799999999</v>
      </c>
      <c r="G224" s="25">
        <v>0.17766448162210099</v>
      </c>
      <c r="H224" s="22"/>
    </row>
    <row r="225" spans="2:8" x14ac:dyDescent="0.2">
      <c r="B225" s="22" t="s">
        <v>500</v>
      </c>
      <c r="C225" s="22" t="s">
        <v>501</v>
      </c>
      <c r="D225" s="22" t="s">
        <v>27</v>
      </c>
      <c r="E225" s="26">
        <v>471</v>
      </c>
      <c r="F225" s="24">
        <v>29.326815</v>
      </c>
      <c r="G225" s="25">
        <v>0.1752384248604</v>
      </c>
      <c r="H225" s="22"/>
    </row>
    <row r="226" spans="2:8" x14ac:dyDescent="0.2">
      <c r="B226" s="22" t="s">
        <v>502</v>
      </c>
      <c r="C226" s="22" t="s">
        <v>503</v>
      </c>
      <c r="D226" s="22" t="s">
        <v>55</v>
      </c>
      <c r="E226" s="26">
        <v>101955</v>
      </c>
      <c r="F226" s="24">
        <v>29.189716499999999</v>
      </c>
      <c r="G226" s="25">
        <v>0.174419211277516</v>
      </c>
      <c r="H226" s="22"/>
    </row>
    <row r="227" spans="2:8" x14ac:dyDescent="0.2">
      <c r="B227" s="22" t="s">
        <v>504</v>
      </c>
      <c r="C227" s="22" t="s">
        <v>505</v>
      </c>
      <c r="D227" s="22" t="s">
        <v>34</v>
      </c>
      <c r="E227" s="26">
        <v>1414</v>
      </c>
      <c r="F227" s="24">
        <v>28.008512</v>
      </c>
      <c r="G227" s="25">
        <v>0.16736108321219401</v>
      </c>
      <c r="H227" s="22"/>
    </row>
    <row r="228" spans="2:8" x14ac:dyDescent="0.2">
      <c r="B228" s="22" t="s">
        <v>506</v>
      </c>
      <c r="C228" s="22" t="s">
        <v>507</v>
      </c>
      <c r="D228" s="22" t="s">
        <v>99</v>
      </c>
      <c r="E228" s="26">
        <v>8293</v>
      </c>
      <c r="F228" s="24">
        <v>28.005461</v>
      </c>
      <c r="G228" s="25">
        <v>0.16734285237348001</v>
      </c>
      <c r="H228" s="22"/>
    </row>
    <row r="229" spans="2:8" x14ac:dyDescent="0.2">
      <c r="B229" s="22" t="s">
        <v>508</v>
      </c>
      <c r="C229" s="22" t="s">
        <v>509</v>
      </c>
      <c r="D229" s="22" t="s">
        <v>215</v>
      </c>
      <c r="E229" s="26">
        <v>6112</v>
      </c>
      <c r="F229" s="24">
        <v>27.803488000000002</v>
      </c>
      <c r="G229" s="25">
        <v>0.16613598997180701</v>
      </c>
      <c r="H229" s="22"/>
    </row>
    <row r="230" spans="2:8" x14ac:dyDescent="0.2">
      <c r="B230" s="22" t="s">
        <v>510</v>
      </c>
      <c r="C230" s="22" t="s">
        <v>511</v>
      </c>
      <c r="D230" s="22" t="s">
        <v>25</v>
      </c>
      <c r="E230" s="26">
        <v>2050</v>
      </c>
      <c r="F230" s="24">
        <v>27.03745</v>
      </c>
      <c r="G230" s="25">
        <v>0.16155863329317699</v>
      </c>
      <c r="H230" s="22"/>
    </row>
    <row r="231" spans="2:8" x14ac:dyDescent="0.2">
      <c r="B231" s="22" t="s">
        <v>512</v>
      </c>
      <c r="C231" s="22" t="s">
        <v>513</v>
      </c>
      <c r="D231" s="22" t="s">
        <v>21</v>
      </c>
      <c r="E231" s="26">
        <v>10934</v>
      </c>
      <c r="F231" s="24">
        <v>26.840783200000001</v>
      </c>
      <c r="G231" s="25">
        <v>0.160383477373438</v>
      </c>
      <c r="H231" s="22"/>
    </row>
    <row r="232" spans="2:8" x14ac:dyDescent="0.2">
      <c r="B232" s="22" t="s">
        <v>514</v>
      </c>
      <c r="C232" s="22" t="s">
        <v>515</v>
      </c>
      <c r="D232" s="22" t="s">
        <v>20</v>
      </c>
      <c r="E232" s="26">
        <v>5870</v>
      </c>
      <c r="F232" s="24">
        <v>26.318145000000001</v>
      </c>
      <c r="G232" s="25">
        <v>0.15726052334860199</v>
      </c>
      <c r="H232" s="22"/>
    </row>
    <row r="233" spans="2:8" x14ac:dyDescent="0.2">
      <c r="B233" s="22" t="s">
        <v>516</v>
      </c>
      <c r="C233" s="22" t="s">
        <v>517</v>
      </c>
      <c r="D233" s="22" t="s">
        <v>19</v>
      </c>
      <c r="E233" s="26">
        <v>7133</v>
      </c>
      <c r="F233" s="24">
        <v>26.256572999999999</v>
      </c>
      <c r="G233" s="25">
        <v>0.15689260817283099</v>
      </c>
      <c r="H233" s="22"/>
    </row>
    <row r="234" spans="2:8" x14ac:dyDescent="0.2">
      <c r="B234" s="22" t="s">
        <v>518</v>
      </c>
      <c r="C234" s="22" t="s">
        <v>519</v>
      </c>
      <c r="D234" s="22" t="s">
        <v>33</v>
      </c>
      <c r="E234" s="26">
        <v>9212</v>
      </c>
      <c r="F234" s="24">
        <v>25.696874000000001</v>
      </c>
      <c r="G234" s="25">
        <v>0.15354820233960501</v>
      </c>
      <c r="H234" s="22"/>
    </row>
    <row r="235" spans="2:8" x14ac:dyDescent="0.2">
      <c r="B235" s="22" t="s">
        <v>520</v>
      </c>
      <c r="C235" s="22" t="s">
        <v>521</v>
      </c>
      <c r="D235" s="22" t="s">
        <v>461</v>
      </c>
      <c r="E235" s="26">
        <v>7844</v>
      </c>
      <c r="F235" s="24">
        <v>25.469467999999999</v>
      </c>
      <c r="G235" s="25">
        <v>0.152189368479065</v>
      </c>
      <c r="H235" s="22"/>
    </row>
    <row r="236" spans="2:8" x14ac:dyDescent="0.2">
      <c r="B236" s="22" t="s">
        <v>522</v>
      </c>
      <c r="C236" s="22" t="s">
        <v>523</v>
      </c>
      <c r="D236" s="22" t="s">
        <v>20</v>
      </c>
      <c r="E236" s="26">
        <v>1393</v>
      </c>
      <c r="F236" s="24">
        <v>25.342849000000001</v>
      </c>
      <c r="G236" s="25">
        <v>0.15143277373403699</v>
      </c>
      <c r="H236" s="22"/>
    </row>
    <row r="237" spans="2:8" x14ac:dyDescent="0.2">
      <c r="B237" s="22" t="s">
        <v>524</v>
      </c>
      <c r="C237" s="22" t="s">
        <v>525</v>
      </c>
      <c r="D237" s="22" t="s">
        <v>56</v>
      </c>
      <c r="E237" s="26">
        <v>6980</v>
      </c>
      <c r="F237" s="24">
        <v>24.922090000000001</v>
      </c>
      <c r="G237" s="25">
        <v>0.148918585118402</v>
      </c>
      <c r="H237" s="22"/>
    </row>
    <row r="238" spans="2:8" x14ac:dyDescent="0.2">
      <c r="B238" s="22" t="s">
        <v>526</v>
      </c>
      <c r="C238" s="22" t="s">
        <v>527</v>
      </c>
      <c r="D238" s="22" t="s">
        <v>18</v>
      </c>
      <c r="E238" s="26">
        <v>14571</v>
      </c>
      <c r="F238" s="24">
        <v>24.246144000000001</v>
      </c>
      <c r="G238" s="25">
        <v>0.14487956102626401</v>
      </c>
      <c r="H238" s="22"/>
    </row>
    <row r="239" spans="2:8" x14ac:dyDescent="0.2">
      <c r="B239" s="22" t="s">
        <v>528</v>
      </c>
      <c r="C239" s="22" t="s">
        <v>529</v>
      </c>
      <c r="D239" s="22" t="s">
        <v>27</v>
      </c>
      <c r="E239" s="26">
        <v>738</v>
      </c>
      <c r="F239" s="24">
        <v>23.923746000000001</v>
      </c>
      <c r="G239" s="25">
        <v>0.142953115290573</v>
      </c>
      <c r="H239" s="22"/>
    </row>
    <row r="240" spans="2:8" x14ac:dyDescent="0.2">
      <c r="B240" s="22" t="s">
        <v>530</v>
      </c>
      <c r="C240" s="22" t="s">
        <v>531</v>
      </c>
      <c r="D240" s="22" t="s">
        <v>34</v>
      </c>
      <c r="E240" s="26">
        <v>3578</v>
      </c>
      <c r="F240" s="24">
        <v>23.731085</v>
      </c>
      <c r="G240" s="25">
        <v>0.141801895488081</v>
      </c>
      <c r="H240" s="22"/>
    </row>
    <row r="241" spans="2:8" x14ac:dyDescent="0.2">
      <c r="B241" s="22" t="s">
        <v>532</v>
      </c>
      <c r="C241" s="22" t="s">
        <v>533</v>
      </c>
      <c r="D241" s="22" t="s">
        <v>51</v>
      </c>
      <c r="E241" s="26">
        <v>4947</v>
      </c>
      <c r="F241" s="24">
        <v>23.587295999999998</v>
      </c>
      <c r="G241" s="25">
        <v>0.14094270372544801</v>
      </c>
      <c r="H241" s="22"/>
    </row>
    <row r="242" spans="2:8" x14ac:dyDescent="0.2">
      <c r="B242" s="22" t="s">
        <v>534</v>
      </c>
      <c r="C242" s="22" t="s">
        <v>535</v>
      </c>
      <c r="D242" s="22" t="s">
        <v>26</v>
      </c>
      <c r="E242" s="26">
        <v>8213</v>
      </c>
      <c r="F242" s="24">
        <v>23.144234000000001</v>
      </c>
      <c r="G242" s="25">
        <v>0.13829524654349701</v>
      </c>
      <c r="H242" s="22"/>
    </row>
    <row r="243" spans="2:8" x14ac:dyDescent="0.2">
      <c r="B243" s="22" t="s">
        <v>536</v>
      </c>
      <c r="C243" s="22" t="s">
        <v>537</v>
      </c>
      <c r="D243" s="22" t="s">
        <v>19</v>
      </c>
      <c r="E243" s="26">
        <v>41022</v>
      </c>
      <c r="F243" s="24">
        <v>22.389807600000001</v>
      </c>
      <c r="G243" s="25">
        <v>0.13378727341347599</v>
      </c>
      <c r="H243" s="22"/>
    </row>
    <row r="244" spans="2:8" x14ac:dyDescent="0.2">
      <c r="B244" s="22" t="s">
        <v>538</v>
      </c>
      <c r="C244" s="22" t="s">
        <v>539</v>
      </c>
      <c r="D244" s="22" t="s">
        <v>41</v>
      </c>
      <c r="E244" s="26">
        <v>5104</v>
      </c>
      <c r="F244" s="24">
        <v>22.136047999999999</v>
      </c>
      <c r="G244" s="25">
        <v>0.13227096717301901</v>
      </c>
      <c r="H244" s="22"/>
    </row>
    <row r="245" spans="2:8" x14ac:dyDescent="0.2">
      <c r="B245" s="22" t="s">
        <v>540</v>
      </c>
      <c r="C245" s="22" t="s">
        <v>541</v>
      </c>
      <c r="D245" s="22" t="s">
        <v>46</v>
      </c>
      <c r="E245" s="26">
        <v>3291</v>
      </c>
      <c r="F245" s="24">
        <v>21.885149999999999</v>
      </c>
      <c r="G245" s="25">
        <v>0.13077176003714</v>
      </c>
      <c r="H245" s="22"/>
    </row>
    <row r="246" spans="2:8" x14ac:dyDescent="0.2">
      <c r="B246" s="22" t="s">
        <v>542</v>
      </c>
      <c r="C246" s="22" t="s">
        <v>543</v>
      </c>
      <c r="D246" s="22" t="s">
        <v>51</v>
      </c>
      <c r="E246" s="26">
        <v>1837</v>
      </c>
      <c r="F246" s="24">
        <v>21.80519</v>
      </c>
      <c r="G246" s="25">
        <v>0.13029396984915501</v>
      </c>
      <c r="H246" s="22"/>
    </row>
    <row r="247" spans="2:8" x14ac:dyDescent="0.2">
      <c r="B247" s="22" t="s">
        <v>544</v>
      </c>
      <c r="C247" s="22" t="s">
        <v>545</v>
      </c>
      <c r="D247" s="22" t="s">
        <v>48</v>
      </c>
      <c r="E247" s="26">
        <v>1131</v>
      </c>
      <c r="F247" s="24">
        <v>21.0366</v>
      </c>
      <c r="G247" s="25">
        <v>0.12570136403896201</v>
      </c>
      <c r="H247" s="22"/>
    </row>
    <row r="248" spans="2:8" x14ac:dyDescent="0.2">
      <c r="B248" s="22" t="s">
        <v>546</v>
      </c>
      <c r="C248" s="22" t="s">
        <v>547</v>
      </c>
      <c r="D248" s="22" t="s">
        <v>27</v>
      </c>
      <c r="E248" s="26">
        <v>6968</v>
      </c>
      <c r="F248" s="24">
        <v>19.499948</v>
      </c>
      <c r="G248" s="25">
        <v>0.116519307411313</v>
      </c>
      <c r="H248" s="22"/>
    </row>
    <row r="249" spans="2:8" x14ac:dyDescent="0.2">
      <c r="B249" s="22" t="s">
        <v>548</v>
      </c>
      <c r="C249" s="22" t="s">
        <v>549</v>
      </c>
      <c r="D249" s="22" t="s">
        <v>51</v>
      </c>
      <c r="E249" s="26">
        <v>3324</v>
      </c>
      <c r="F249" s="24">
        <v>18.880320000000001</v>
      </c>
      <c r="G249" s="25">
        <v>0.112816803927065</v>
      </c>
      <c r="H249" s="22"/>
    </row>
    <row r="250" spans="2:8" x14ac:dyDescent="0.2">
      <c r="B250" s="22" t="s">
        <v>550</v>
      </c>
      <c r="C250" s="22" t="s">
        <v>551</v>
      </c>
      <c r="D250" s="22" t="s">
        <v>25</v>
      </c>
      <c r="E250" s="26">
        <v>2866</v>
      </c>
      <c r="F250" s="24">
        <v>18.812424</v>
      </c>
      <c r="G250" s="25">
        <v>0.112411100542831</v>
      </c>
      <c r="H250" s="22"/>
    </row>
    <row r="251" spans="2:8" x14ac:dyDescent="0.2">
      <c r="B251" s="22" t="s">
        <v>552</v>
      </c>
      <c r="C251" s="22" t="s">
        <v>553</v>
      </c>
      <c r="D251" s="22" t="s">
        <v>48</v>
      </c>
      <c r="E251" s="26">
        <v>1836</v>
      </c>
      <c r="F251" s="24">
        <v>18.521567999999998</v>
      </c>
      <c r="G251" s="25">
        <v>0.110673129770989</v>
      </c>
      <c r="H251" s="22"/>
    </row>
    <row r="252" spans="2:8" x14ac:dyDescent="0.2">
      <c r="B252" s="22" t="s">
        <v>554</v>
      </c>
      <c r="C252" s="22" t="s">
        <v>555</v>
      </c>
      <c r="D252" s="22" t="s">
        <v>55</v>
      </c>
      <c r="E252" s="26">
        <v>101332</v>
      </c>
      <c r="F252" s="24">
        <v>17.652034400000002</v>
      </c>
      <c r="G252" s="25">
        <v>0.105477349103119</v>
      </c>
      <c r="H252" s="22"/>
    </row>
    <row r="253" spans="2:8" x14ac:dyDescent="0.2">
      <c r="B253" s="22" t="s">
        <v>556</v>
      </c>
      <c r="C253" s="22" t="s">
        <v>557</v>
      </c>
      <c r="D253" s="22" t="s">
        <v>52</v>
      </c>
      <c r="E253" s="26">
        <v>11271</v>
      </c>
      <c r="F253" s="24">
        <v>16.8253488</v>
      </c>
      <c r="G253" s="25">
        <v>0.100537600876155</v>
      </c>
      <c r="H253" s="22"/>
    </row>
    <row r="254" spans="2:8" x14ac:dyDescent="0.2">
      <c r="B254" s="22" t="s">
        <v>558</v>
      </c>
      <c r="C254" s="22" t="s">
        <v>559</v>
      </c>
      <c r="D254" s="22" t="s">
        <v>30</v>
      </c>
      <c r="E254" s="26">
        <v>3973</v>
      </c>
      <c r="F254" s="24">
        <v>15.9853655</v>
      </c>
      <c r="G254" s="25">
        <v>9.5518394037599499E-2</v>
      </c>
      <c r="H254" s="22"/>
    </row>
    <row r="255" spans="2:8" x14ac:dyDescent="0.2">
      <c r="B255" s="22" t="s">
        <v>560</v>
      </c>
      <c r="C255" s="22" t="s">
        <v>561</v>
      </c>
      <c r="D255" s="22" t="s">
        <v>41</v>
      </c>
      <c r="E255" s="26">
        <v>2106</v>
      </c>
      <c r="F255" s="24">
        <v>15.561234000000001</v>
      </c>
      <c r="G255" s="25">
        <v>9.2984053503392894E-2</v>
      </c>
      <c r="H255" s="22"/>
    </row>
    <row r="256" spans="2:8" x14ac:dyDescent="0.2">
      <c r="B256" s="22" t="s">
        <v>562</v>
      </c>
      <c r="C256" s="22" t="s">
        <v>563</v>
      </c>
      <c r="D256" s="22" t="s">
        <v>25</v>
      </c>
      <c r="E256" s="26">
        <v>2240</v>
      </c>
      <c r="F256" s="24">
        <v>10.3208</v>
      </c>
      <c r="G256" s="25">
        <v>6.16705474255973E-2</v>
      </c>
      <c r="H256" s="22"/>
    </row>
    <row r="257" spans="2:9" x14ac:dyDescent="0.2">
      <c r="B257" s="22" t="s">
        <v>564</v>
      </c>
      <c r="C257" s="22" t="s">
        <v>565</v>
      </c>
      <c r="D257" s="22" t="s">
        <v>99</v>
      </c>
      <c r="E257" s="26">
        <v>12352</v>
      </c>
      <c r="F257" s="24">
        <v>8.4895295999999991</v>
      </c>
      <c r="G257" s="25">
        <v>5.07280383127095E-2</v>
      </c>
      <c r="H257" s="22"/>
    </row>
    <row r="258" spans="2:9" x14ac:dyDescent="0.2">
      <c r="B258" s="21" t="s">
        <v>7</v>
      </c>
      <c r="C258" s="21"/>
      <c r="D258" s="21"/>
      <c r="E258" s="27"/>
      <c r="F258" s="28">
        <f>SUM(F7:F257)</f>
        <v>16822.329948599996</v>
      </c>
      <c r="G258" s="29">
        <f>SUM(G7:G257)</f>
        <v>100.51956213706119</v>
      </c>
      <c r="H258" s="21"/>
      <c r="I258" s="14"/>
    </row>
    <row r="259" spans="2:9" x14ac:dyDescent="0.2">
      <c r="B259" s="21" t="s">
        <v>38</v>
      </c>
      <c r="C259" s="21"/>
      <c r="D259" s="21"/>
      <c r="E259" s="27"/>
      <c r="F259" s="43" t="s">
        <v>39</v>
      </c>
      <c r="G259" s="44" t="s">
        <v>39</v>
      </c>
      <c r="H259" s="21"/>
      <c r="I259" s="14"/>
    </row>
    <row r="260" spans="2:9" x14ac:dyDescent="0.2">
      <c r="B260" s="21" t="s">
        <v>7</v>
      </c>
      <c r="C260" s="21"/>
      <c r="D260" s="21"/>
      <c r="E260" s="27"/>
      <c r="F260" s="41" t="s">
        <v>39</v>
      </c>
      <c r="G260" s="42" t="s">
        <v>39</v>
      </c>
      <c r="H260" s="21"/>
      <c r="I260" s="14"/>
    </row>
    <row r="261" spans="2:9" x14ac:dyDescent="0.2">
      <c r="B261" s="30" t="s">
        <v>8</v>
      </c>
      <c r="C261" s="30"/>
      <c r="D261" s="30"/>
      <c r="E261" s="31"/>
      <c r="F261" s="32">
        <f>F258</f>
        <v>16822.329948599996</v>
      </c>
      <c r="G261" s="33">
        <f>G258</f>
        <v>100.51956213706119</v>
      </c>
      <c r="H261" s="21"/>
      <c r="I261" s="14"/>
    </row>
    <row r="262" spans="2:9" x14ac:dyDescent="0.2">
      <c r="B262" s="21" t="s">
        <v>9</v>
      </c>
      <c r="C262" s="21"/>
      <c r="D262" s="21"/>
      <c r="E262" s="27"/>
      <c r="F262" s="28">
        <v>245.40918149999999</v>
      </c>
      <c r="G262" s="29">
        <v>1.46640944174606</v>
      </c>
      <c r="H262" s="34">
        <v>5.4149999999999997E-2</v>
      </c>
      <c r="I262" s="15"/>
    </row>
    <row r="263" spans="2:9" x14ac:dyDescent="0.2">
      <c r="B263" s="22"/>
      <c r="C263" s="22"/>
      <c r="D263" s="22"/>
      <c r="E263" s="23"/>
      <c r="F263" s="24"/>
      <c r="G263" s="25"/>
      <c r="H263" s="22"/>
    </row>
    <row r="264" spans="2:9" x14ac:dyDescent="0.2">
      <c r="B264" s="39" t="s">
        <v>11</v>
      </c>
      <c r="C264" s="39"/>
      <c r="D264" s="39"/>
      <c r="E264" s="40"/>
      <c r="F264" s="28">
        <f>F265-(F258+F262)</f>
        <v>-332.35987559999558</v>
      </c>
      <c r="G264" s="29">
        <f>G265-(G258+G262)</f>
        <v>-1.9859715788072521</v>
      </c>
      <c r="H264" s="21"/>
      <c r="I264" s="14"/>
    </row>
    <row r="265" spans="2:9" x14ac:dyDescent="0.2">
      <c r="B265" s="35" t="s">
        <v>10</v>
      </c>
      <c r="C265" s="35"/>
      <c r="D265" s="35"/>
      <c r="E265" s="36"/>
      <c r="F265" s="37">
        <v>16735.3792545</v>
      </c>
      <c r="G265" s="38">
        <v>100</v>
      </c>
      <c r="H265" s="45"/>
      <c r="I265" s="14"/>
    </row>
    <row r="266" spans="2:9" x14ac:dyDescent="0.2">
      <c r="B266" s="51"/>
      <c r="C266" s="51"/>
      <c r="D266" s="51"/>
      <c r="E266" s="52"/>
      <c r="F266" s="53"/>
      <c r="G266" s="54"/>
      <c r="H266" s="51"/>
      <c r="I266" s="14"/>
    </row>
    <row r="267" spans="2:9" x14ac:dyDescent="0.2">
      <c r="B267" s="8" t="s">
        <v>12</v>
      </c>
    </row>
    <row r="269" spans="2:9" x14ac:dyDescent="0.2">
      <c r="B269" s="14" t="s">
        <v>13</v>
      </c>
    </row>
    <row r="271" spans="2:9" x14ac:dyDescent="0.2">
      <c r="B271" s="14" t="s">
        <v>14</v>
      </c>
      <c r="E271" s="8"/>
      <c r="G271" s="48"/>
    </row>
    <row r="272" spans="2:9" x14ac:dyDescent="0.2">
      <c r="E272" s="8"/>
      <c r="G272" s="48"/>
    </row>
    <row r="273" spans="5:7" x14ac:dyDescent="0.2">
      <c r="E273" s="8"/>
      <c r="G273" s="48"/>
    </row>
    <row r="274" spans="5:7" x14ac:dyDescent="0.2">
      <c r="E274" s="8"/>
      <c r="G274" s="48"/>
    </row>
    <row r="275" spans="5:7" x14ac:dyDescent="0.2">
      <c r="E275" s="8"/>
      <c r="G275" s="48"/>
    </row>
    <row r="276" spans="5:7" x14ac:dyDescent="0.2">
      <c r="E276" s="8"/>
      <c r="G276" s="48"/>
    </row>
    <row r="277" spans="5:7" x14ac:dyDescent="0.2">
      <c r="E277" s="8"/>
      <c r="G277" s="48"/>
    </row>
    <row r="278" spans="5:7" x14ac:dyDescent="0.2">
      <c r="E278" s="8"/>
      <c r="G278" s="48"/>
    </row>
    <row r="279" spans="5:7" x14ac:dyDescent="0.2">
      <c r="E279" s="8"/>
      <c r="G279" s="48"/>
    </row>
    <row r="280" spans="5:7" x14ac:dyDescent="0.2">
      <c r="E280" s="8"/>
      <c r="G280" s="48"/>
    </row>
    <row r="281" spans="5:7" x14ac:dyDescent="0.2">
      <c r="E281" s="8"/>
      <c r="G281" s="48"/>
    </row>
    <row r="282" spans="5:7" x14ac:dyDescent="0.2">
      <c r="E282" s="8"/>
      <c r="G282" s="48"/>
    </row>
    <row r="283" spans="5:7" x14ac:dyDescent="0.2">
      <c r="E283" s="8"/>
      <c r="G283" s="48"/>
    </row>
    <row r="284" spans="5:7" x14ac:dyDescent="0.2">
      <c r="E284" s="8"/>
      <c r="G284" s="48"/>
    </row>
    <row r="285" spans="5:7" x14ac:dyDescent="0.2">
      <c r="E285" s="8"/>
      <c r="G285" s="48"/>
    </row>
    <row r="286" spans="5:7" x14ac:dyDescent="0.2">
      <c r="E286" s="8"/>
      <c r="G286" s="48"/>
    </row>
    <row r="287" spans="5:7" x14ac:dyDescent="0.2">
      <c r="E287" s="8"/>
      <c r="G287" s="48"/>
    </row>
    <row r="288" spans="5:7" x14ac:dyDescent="0.2">
      <c r="E288" s="8"/>
      <c r="G288" s="48"/>
    </row>
    <row r="289" spans="2:7" x14ac:dyDescent="0.2">
      <c r="B289" s="49" t="s">
        <v>566</v>
      </c>
      <c r="E289" s="8"/>
      <c r="G289" s="48"/>
    </row>
    <row r="290" spans="2:7" x14ac:dyDescent="0.2">
      <c r="B290" s="50" t="s">
        <v>567</v>
      </c>
      <c r="E290" s="8"/>
      <c r="G290" s="48"/>
    </row>
    <row r="291" spans="2:7" x14ac:dyDescent="0.2">
      <c r="E291" s="8"/>
      <c r="G291" s="48"/>
    </row>
    <row r="292" spans="2:7" x14ac:dyDescent="0.2">
      <c r="E292" s="8"/>
      <c r="G292" s="48"/>
    </row>
    <row r="293" spans="2:7" x14ac:dyDescent="0.2">
      <c r="E293" s="8"/>
      <c r="G293" s="48"/>
    </row>
    <row r="294" spans="2:7" x14ac:dyDescent="0.2">
      <c r="E294" s="8"/>
      <c r="G294" s="48"/>
    </row>
    <row r="295" spans="2:7" x14ac:dyDescent="0.2">
      <c r="E295" s="8"/>
      <c r="G295" s="48"/>
    </row>
    <row r="296" spans="2:7" x14ac:dyDescent="0.2">
      <c r="E296" s="8"/>
      <c r="G296" s="48"/>
    </row>
    <row r="297" spans="2:7" x14ac:dyDescent="0.2">
      <c r="E297" s="8"/>
      <c r="G297" s="48"/>
    </row>
    <row r="298" spans="2:7" x14ac:dyDescent="0.2">
      <c r="E298" s="8"/>
      <c r="G298" s="48"/>
    </row>
    <row r="299" spans="2:7" x14ac:dyDescent="0.2">
      <c r="E299" s="8"/>
      <c r="G299" s="48"/>
    </row>
    <row r="300" spans="2:7" x14ac:dyDescent="0.2">
      <c r="E300" s="8"/>
      <c r="G300" s="48"/>
    </row>
    <row r="301" spans="2:7" x14ac:dyDescent="0.2">
      <c r="E301" s="8"/>
      <c r="G301" s="48"/>
    </row>
    <row r="302" spans="2:7" x14ac:dyDescent="0.2">
      <c r="E302" s="8"/>
      <c r="G302" s="48"/>
    </row>
    <row r="303" spans="2:7" x14ac:dyDescent="0.2">
      <c r="E303" s="8"/>
      <c r="G303" s="48"/>
    </row>
    <row r="304" spans="2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  <row r="407" spans="5:7" x14ac:dyDescent="0.2">
      <c r="E407" s="8"/>
      <c r="G407" s="48"/>
    </row>
    <row r="408" spans="5:7" x14ac:dyDescent="0.2">
      <c r="E408" s="8"/>
      <c r="G408" s="48"/>
    </row>
    <row r="409" spans="5:7" x14ac:dyDescent="0.2">
      <c r="E409" s="8"/>
      <c r="G409" s="48"/>
    </row>
    <row r="410" spans="5:7" x14ac:dyDescent="0.2">
      <c r="E410" s="8"/>
      <c r="G410" s="48"/>
    </row>
    <row r="411" spans="5:7" x14ac:dyDescent="0.2">
      <c r="E411" s="8"/>
      <c r="G411" s="48"/>
    </row>
    <row r="412" spans="5:7" x14ac:dyDescent="0.2">
      <c r="E412" s="8"/>
      <c r="G412" s="48"/>
    </row>
    <row r="413" spans="5:7" x14ac:dyDescent="0.2">
      <c r="E413" s="8"/>
      <c r="G413" s="48"/>
    </row>
    <row r="414" spans="5:7" x14ac:dyDescent="0.2">
      <c r="E414" s="8"/>
      <c r="G414" s="48"/>
    </row>
    <row r="415" spans="5:7" x14ac:dyDescent="0.2">
      <c r="E415" s="8"/>
      <c r="G415" s="48"/>
    </row>
    <row r="416" spans="5:7" x14ac:dyDescent="0.2">
      <c r="E416" s="8"/>
      <c r="G416" s="48"/>
    </row>
    <row r="417" spans="5:7" x14ac:dyDescent="0.2">
      <c r="E417" s="8"/>
      <c r="G417" s="48"/>
    </row>
    <row r="418" spans="5:7" x14ac:dyDescent="0.2">
      <c r="E418" s="8"/>
      <c r="G418" s="48"/>
    </row>
    <row r="419" spans="5:7" x14ac:dyDescent="0.2">
      <c r="E419" s="8"/>
      <c r="G419" s="48"/>
    </row>
    <row r="420" spans="5:7" x14ac:dyDescent="0.2">
      <c r="E420" s="8"/>
      <c r="G420" s="48"/>
    </row>
    <row r="421" spans="5:7" x14ac:dyDescent="0.2">
      <c r="E421" s="8"/>
      <c r="G421" s="48"/>
    </row>
    <row r="422" spans="5:7" x14ac:dyDescent="0.2">
      <c r="E422" s="8"/>
      <c r="G422" s="48"/>
    </row>
    <row r="423" spans="5:7" x14ac:dyDescent="0.2">
      <c r="E423" s="8"/>
      <c r="G423" s="48"/>
    </row>
    <row r="424" spans="5:7" x14ac:dyDescent="0.2">
      <c r="E424" s="8"/>
      <c r="G424" s="48"/>
    </row>
    <row r="425" spans="5:7" x14ac:dyDescent="0.2">
      <c r="E425" s="8"/>
      <c r="G425" s="48"/>
    </row>
    <row r="426" spans="5:7" x14ac:dyDescent="0.2">
      <c r="E426" s="8"/>
      <c r="G426" s="48"/>
    </row>
    <row r="427" spans="5:7" x14ac:dyDescent="0.2">
      <c r="E427" s="8"/>
      <c r="G427" s="48"/>
    </row>
    <row r="428" spans="5:7" x14ac:dyDescent="0.2">
      <c r="E428" s="8"/>
      <c r="G428" s="48"/>
    </row>
    <row r="429" spans="5:7" x14ac:dyDescent="0.2">
      <c r="E429" s="8"/>
      <c r="G429" s="48"/>
    </row>
    <row r="430" spans="5:7" x14ac:dyDescent="0.2">
      <c r="E430" s="8"/>
      <c r="G430" s="48"/>
    </row>
    <row r="431" spans="5:7" x14ac:dyDescent="0.2">
      <c r="E431" s="8"/>
      <c r="G431" s="48"/>
    </row>
    <row r="432" spans="5:7" x14ac:dyDescent="0.2">
      <c r="E432" s="8"/>
      <c r="G432" s="48"/>
    </row>
    <row r="433" spans="5:7" x14ac:dyDescent="0.2">
      <c r="E433" s="8"/>
      <c r="G433" s="48"/>
    </row>
    <row r="434" spans="5:7" x14ac:dyDescent="0.2">
      <c r="E434" s="8"/>
      <c r="G434" s="48"/>
    </row>
    <row r="435" spans="5:7" x14ac:dyDescent="0.2">
      <c r="E435" s="8"/>
      <c r="G435" s="48"/>
    </row>
    <row r="436" spans="5:7" x14ac:dyDescent="0.2">
      <c r="E436" s="8"/>
      <c r="G436" s="48"/>
    </row>
    <row r="437" spans="5:7" x14ac:dyDescent="0.2">
      <c r="E437" s="8"/>
      <c r="G437" s="48"/>
    </row>
    <row r="438" spans="5:7" x14ac:dyDescent="0.2">
      <c r="E438" s="8"/>
      <c r="G438" s="48"/>
    </row>
    <row r="439" spans="5:7" x14ac:dyDescent="0.2">
      <c r="E439" s="8"/>
      <c r="G439" s="48"/>
    </row>
    <row r="440" spans="5:7" x14ac:dyDescent="0.2">
      <c r="E440" s="8"/>
      <c r="G440" s="48"/>
    </row>
    <row r="441" spans="5:7" x14ac:dyDescent="0.2">
      <c r="E441" s="8"/>
      <c r="G441" s="48"/>
    </row>
    <row r="442" spans="5:7" x14ac:dyDescent="0.2">
      <c r="E442" s="8"/>
      <c r="G442" s="48"/>
    </row>
    <row r="443" spans="5:7" x14ac:dyDescent="0.2">
      <c r="E443" s="8"/>
      <c r="G443" s="48"/>
    </row>
    <row r="444" spans="5:7" x14ac:dyDescent="0.2">
      <c r="E444" s="8"/>
      <c r="G444" s="48"/>
    </row>
    <row r="445" spans="5:7" x14ac:dyDescent="0.2">
      <c r="E445" s="8"/>
      <c r="G445" s="48"/>
    </row>
    <row r="446" spans="5:7" x14ac:dyDescent="0.2">
      <c r="E446" s="8"/>
      <c r="G446" s="48"/>
    </row>
    <row r="447" spans="5:7" x14ac:dyDescent="0.2">
      <c r="E447" s="8"/>
      <c r="G447" s="48"/>
    </row>
    <row r="448" spans="5:7" x14ac:dyDescent="0.2">
      <c r="E448" s="8"/>
      <c r="G448" s="48"/>
    </row>
    <row r="449" spans="5:7" x14ac:dyDescent="0.2">
      <c r="E449" s="8"/>
      <c r="G449" s="48"/>
    </row>
    <row r="450" spans="5:7" x14ac:dyDescent="0.2">
      <c r="E450" s="8"/>
      <c r="G450" s="48"/>
    </row>
    <row r="451" spans="5:7" x14ac:dyDescent="0.2">
      <c r="E451" s="8"/>
      <c r="G451" s="48"/>
    </row>
    <row r="452" spans="5:7" x14ac:dyDescent="0.2">
      <c r="E452" s="8"/>
      <c r="G452" s="48"/>
    </row>
    <row r="453" spans="5:7" x14ac:dyDescent="0.2">
      <c r="E453" s="8"/>
      <c r="G453" s="48"/>
    </row>
    <row r="454" spans="5:7" x14ac:dyDescent="0.2">
      <c r="E454" s="8"/>
      <c r="G454" s="48"/>
    </row>
    <row r="455" spans="5:7" x14ac:dyDescent="0.2">
      <c r="E455" s="8"/>
      <c r="G455" s="48"/>
    </row>
    <row r="456" spans="5:7" x14ac:dyDescent="0.2">
      <c r="E456" s="8"/>
      <c r="G456" s="48"/>
    </row>
    <row r="457" spans="5:7" x14ac:dyDescent="0.2">
      <c r="E457" s="8"/>
      <c r="G457" s="48"/>
    </row>
    <row r="458" spans="5:7" x14ac:dyDescent="0.2">
      <c r="E458" s="8"/>
      <c r="G458" s="48"/>
    </row>
    <row r="459" spans="5:7" x14ac:dyDescent="0.2">
      <c r="E459" s="8"/>
      <c r="G459" s="48"/>
    </row>
    <row r="460" spans="5:7" x14ac:dyDescent="0.2">
      <c r="E460" s="8"/>
      <c r="G460" s="48"/>
    </row>
    <row r="461" spans="5:7" x14ac:dyDescent="0.2">
      <c r="E461" s="8"/>
      <c r="G461" s="48"/>
    </row>
    <row r="462" spans="5:7" x14ac:dyDescent="0.2">
      <c r="E462" s="8"/>
      <c r="G462" s="48"/>
    </row>
    <row r="463" spans="5:7" x14ac:dyDescent="0.2">
      <c r="E463" s="8"/>
      <c r="G463" s="48"/>
    </row>
    <row r="464" spans="5:7" x14ac:dyDescent="0.2">
      <c r="E464" s="8"/>
      <c r="G464" s="48"/>
    </row>
    <row r="465" spans="5:7" x14ac:dyDescent="0.2">
      <c r="E465" s="8"/>
      <c r="G465" s="48"/>
    </row>
    <row r="466" spans="5:7" x14ac:dyDescent="0.2">
      <c r="E466" s="8"/>
      <c r="G466" s="48"/>
    </row>
    <row r="467" spans="5:7" x14ac:dyDescent="0.2">
      <c r="E467" s="8"/>
      <c r="G467" s="48"/>
    </row>
    <row r="468" spans="5:7" x14ac:dyDescent="0.2">
      <c r="E468" s="8"/>
      <c r="G468" s="48"/>
    </row>
    <row r="469" spans="5:7" x14ac:dyDescent="0.2">
      <c r="E469" s="8"/>
      <c r="G469" s="48"/>
    </row>
    <row r="470" spans="5:7" x14ac:dyDescent="0.2">
      <c r="E470" s="8"/>
      <c r="G470" s="48"/>
    </row>
    <row r="471" spans="5:7" x14ac:dyDescent="0.2">
      <c r="E471" s="8"/>
      <c r="G471" s="48"/>
    </row>
    <row r="472" spans="5:7" x14ac:dyDescent="0.2">
      <c r="E472" s="8"/>
      <c r="G472" s="48"/>
    </row>
    <row r="473" spans="5:7" x14ac:dyDescent="0.2">
      <c r="E473" s="8"/>
      <c r="G473" s="48"/>
    </row>
    <row r="474" spans="5:7" x14ac:dyDescent="0.2">
      <c r="E474" s="8"/>
      <c r="G474" s="48"/>
    </row>
    <row r="475" spans="5:7" x14ac:dyDescent="0.2">
      <c r="E475" s="8"/>
      <c r="G475" s="48"/>
    </row>
    <row r="476" spans="5:7" x14ac:dyDescent="0.2">
      <c r="E476" s="8"/>
      <c r="G476" s="48"/>
    </row>
    <row r="477" spans="5:7" x14ac:dyDescent="0.2">
      <c r="E477" s="8"/>
      <c r="G477" s="48"/>
    </row>
    <row r="478" spans="5:7" x14ac:dyDescent="0.2">
      <c r="E478" s="8"/>
      <c r="G478" s="48"/>
    </row>
    <row r="479" spans="5:7" x14ac:dyDescent="0.2">
      <c r="E479" s="8"/>
      <c r="G479" s="48"/>
    </row>
    <row r="480" spans="5:7" x14ac:dyDescent="0.2">
      <c r="E480" s="8"/>
      <c r="G480" s="48"/>
    </row>
    <row r="481" spans="5:7" x14ac:dyDescent="0.2">
      <c r="E481" s="8"/>
      <c r="G481" s="48"/>
    </row>
    <row r="482" spans="5:7" x14ac:dyDescent="0.2">
      <c r="E482" s="8"/>
      <c r="G482" s="48"/>
    </row>
    <row r="483" spans="5:7" x14ac:dyDescent="0.2">
      <c r="E483" s="8"/>
      <c r="G483" s="48"/>
    </row>
    <row r="484" spans="5:7" x14ac:dyDescent="0.2">
      <c r="E484" s="8"/>
      <c r="G484" s="48"/>
    </row>
    <row r="485" spans="5:7" x14ac:dyDescent="0.2">
      <c r="E485" s="8"/>
      <c r="G485" s="48"/>
    </row>
    <row r="486" spans="5:7" x14ac:dyDescent="0.2">
      <c r="E486" s="8"/>
      <c r="G486" s="48"/>
    </row>
    <row r="487" spans="5:7" x14ac:dyDescent="0.2">
      <c r="E487" s="8"/>
      <c r="G487" s="48"/>
    </row>
    <row r="488" spans="5:7" x14ac:dyDescent="0.2">
      <c r="E488" s="8"/>
      <c r="G488" s="48"/>
    </row>
    <row r="489" spans="5:7" x14ac:dyDescent="0.2">
      <c r="E489" s="8"/>
      <c r="G489" s="48"/>
    </row>
    <row r="490" spans="5:7" x14ac:dyDescent="0.2">
      <c r="E490" s="8"/>
      <c r="G490" s="48"/>
    </row>
    <row r="491" spans="5:7" x14ac:dyDescent="0.2">
      <c r="E491" s="8"/>
      <c r="G491" s="48"/>
    </row>
    <row r="492" spans="5:7" x14ac:dyDescent="0.2">
      <c r="E492" s="8"/>
      <c r="G492" s="48"/>
    </row>
    <row r="493" spans="5:7" x14ac:dyDescent="0.2">
      <c r="E493" s="8"/>
      <c r="G493" s="48"/>
    </row>
    <row r="494" spans="5:7" x14ac:dyDescent="0.2">
      <c r="E494" s="8"/>
      <c r="G494" s="48"/>
    </row>
  </sheetData>
  <mergeCells count="1">
    <mergeCell ref="B1:C1"/>
  </mergeCells>
  <conditionalFormatting sqref="G1:G3">
    <cfRule type="cellIs" dxfId="1" priority="2" stopIfTrue="1" operator="between">
      <formula>0.009</formula>
      <formula>-0.009</formula>
    </cfRule>
  </conditionalFormatting>
  <conditionalFormatting sqref="G5:G65538">
    <cfRule type="cellIs" dxfId="0" priority="1" stopIfTrue="1" operator="between">
      <formula>0.009</formula>
      <formula>-0.009</formula>
    </cfRule>
  </conditionalFormatting>
  <pageMargins left="0.7" right="0.7" top="0.75" bottom="0.75" header="0.3" footer="0.3"/>
  <pageSetup paperSize="9" scale="47" orientation="portrait" r:id="rId1"/>
  <headerFooter>
    <oddFooter>&amp;C&amp;1#&amp;"Calibri"&amp;10&amp;K000000RESTRICTED</oddFooter>
    <evenFooter>&amp;LPUBLIC</evenFooter>
    <firstFooter>&amp;LPUBLIC</firstFooter>
  </headerFooter>
  <rowBreaks count="2" manualBreakCount="2">
    <brk id="125" min="1" max="7" man="1"/>
    <brk id="268" min="1" max="7" man="1"/>
  </rowBreaks>
  <colBreaks count="1" manualBreakCount="1">
    <brk id="8" max="273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2025-11-06T12:18:19Z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2025-11-06T08:45:51Z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ef336553-7af8-4207-9dd3-8f85d68daaa6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