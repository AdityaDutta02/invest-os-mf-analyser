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1F02CE7F-3FFF-410E-B340-EF7325B229A5}" xr6:coauthVersionLast="47" xr6:coauthVersionMax="47" xr10:uidLastSave="{00000000-0000-0000-0000-000000000000}"/>
  <bookViews>
    <workbookView xWindow="-120" yWindow="-120" windowWidth="29040" windowHeight="15720" xr2:uid="{7291B499-DD8C-4F12-BA28-9EE7F24AB421}"/>
  </bookViews>
  <sheets>
    <sheet name="Index" sheetId="2" r:id="rId1"/>
    <sheet name="JBMMF" sheetId="3" r:id="rId2"/>
    <sheet name="JBOF" sheetId="4" r:id="rId3"/>
    <sheet name="JBLF" sheetId="5" r:id="rId4"/>
    <sheet name="JBN8-13" sheetId="6" r:id="rId5"/>
    <sheet name="JBLOW" sheetId="7" r:id="rId6"/>
    <sheet name="JBSHORT" sheetId="8" r:id="rId7"/>
    <sheet name="JBN50" sheetId="9" r:id="rId8"/>
    <sheet name="JBNNX50" sheetId="10" r:id="rId9"/>
    <sheet name="JBNM150" sheetId="11" r:id="rId10"/>
    <sheet name="JBNS250" sheetId="12" r:id="rId11"/>
    <sheet name="JBFLEXI" sheetId="13" r:id="rId12"/>
    <sheet name="JBARB" sheetId="14" r:id="rId13"/>
    <sheet name="JBSECRO" sheetId="15" r:id="rId14"/>
  </sheets>
  <definedNames>
    <definedName name="_xlnm.Print_Area" localSheetId="12">JBARB!$B$1:$H$210</definedName>
    <definedName name="_xlnm.Print_Area" localSheetId="11">JBFLEXI!$B$1:$H$179</definedName>
    <definedName name="_xlnm.Print_Area" localSheetId="3">JBLF!$B$1:$I$127</definedName>
    <definedName name="_xlnm.Print_Area" localSheetId="5">JBLOW!$B$1:$I$89</definedName>
    <definedName name="_xlnm.Print_Area" localSheetId="1">JBMMF!$B$1:$I$108</definedName>
    <definedName name="_xlnm.Print_Area" localSheetId="7">'JBN50'!$B$1:$H$102</definedName>
    <definedName name="_xlnm.Print_Area" localSheetId="4">'JBN8-13'!$B$1:$I$55</definedName>
    <definedName name="_xlnm.Print_Area" localSheetId="9">JBNM150!$B$1:$H$205</definedName>
    <definedName name="_xlnm.Print_Area" localSheetId="8">JBNNX50!$B$1:$H$108</definedName>
    <definedName name="_xlnm.Print_Area" localSheetId="10">JBNS250!$B$1:$H$303</definedName>
    <definedName name="_xlnm.Print_Area" localSheetId="2">JBOF!$B$1:$I$82</definedName>
    <definedName name="_xlnm.Print_Area" localSheetId="13">JBSECRO!$B$1:$H$329</definedName>
    <definedName name="_xlnm.Print_Area" localSheetId="6">JBSHORT!$B$1:$I$82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" i="13" l="1"/>
  <c r="F132" i="13"/>
  <c r="G70" i="10" l="1"/>
  <c r="F70" i="10"/>
  <c r="G60" i="10"/>
  <c r="F60" i="10"/>
  <c r="G65" i="10"/>
  <c r="G67" i="10" s="1"/>
  <c r="F65" i="10"/>
  <c r="F67" i="10" s="1"/>
  <c r="G131" i="13" l="1"/>
  <c r="G281" i="15" l="1"/>
  <c r="F281" i="15"/>
  <c r="G273" i="15"/>
  <c r="G267" i="15"/>
  <c r="G270" i="15" s="1"/>
  <c r="F267" i="15"/>
  <c r="F274" i="15" s="1"/>
  <c r="G168" i="14"/>
  <c r="F168" i="14"/>
  <c r="G79" i="14"/>
  <c r="F79" i="14"/>
  <c r="G74" i="14"/>
  <c r="F74" i="14"/>
  <c r="G71" i="14"/>
  <c r="F71" i="14"/>
  <c r="G65" i="14"/>
  <c r="F65" i="14"/>
  <c r="G139" i="13"/>
  <c r="F139" i="13"/>
  <c r="G125" i="13"/>
  <c r="F125" i="13"/>
  <c r="G257" i="12"/>
  <c r="G260" i="12" s="1"/>
  <c r="F257" i="12"/>
  <c r="F263" i="12" s="1"/>
  <c r="G157" i="11"/>
  <c r="G163" i="11" s="1"/>
  <c r="F157" i="11"/>
  <c r="F160" i="11" s="1"/>
  <c r="G57" i="10"/>
  <c r="F57" i="10"/>
  <c r="G57" i="9"/>
  <c r="G63" i="9" s="1"/>
  <c r="F57" i="9"/>
  <c r="F63" i="9" s="1"/>
  <c r="G27" i="8"/>
  <c r="F27" i="8"/>
  <c r="G21" i="8"/>
  <c r="G22" i="8" s="1"/>
  <c r="F21" i="8"/>
  <c r="F22" i="8" s="1"/>
  <c r="G13" i="8"/>
  <c r="F13" i="8"/>
  <c r="F31" i="8" s="1"/>
  <c r="G32" i="7"/>
  <c r="F32" i="7"/>
  <c r="G28" i="7"/>
  <c r="F28" i="7"/>
  <c r="G25" i="7"/>
  <c r="F25" i="7"/>
  <c r="G10" i="7"/>
  <c r="G13" i="7" s="1"/>
  <c r="F10" i="7"/>
  <c r="G9" i="6"/>
  <c r="G13" i="6" s="1"/>
  <c r="F9" i="6"/>
  <c r="F13" i="6" s="1"/>
  <c r="G74" i="5"/>
  <c r="F74" i="5"/>
  <c r="G70" i="5"/>
  <c r="F70" i="5"/>
  <c r="G56" i="5"/>
  <c r="F56" i="5"/>
  <c r="G26" i="5"/>
  <c r="F26" i="5"/>
  <c r="G11" i="4"/>
  <c r="G34" i="4" s="1"/>
  <c r="F11" i="4"/>
  <c r="F34" i="4" s="1"/>
  <c r="G54" i="3"/>
  <c r="F54" i="3"/>
  <c r="G51" i="3"/>
  <c r="F51" i="3"/>
  <c r="G47" i="3"/>
  <c r="F47" i="3"/>
  <c r="G41" i="3"/>
  <c r="F41" i="3"/>
  <c r="G25" i="3"/>
  <c r="F25" i="3"/>
  <c r="G78" i="5" l="1"/>
  <c r="G58" i="3"/>
  <c r="F48" i="3"/>
  <c r="F68" i="14"/>
  <c r="F83" i="14"/>
  <c r="G68" i="14"/>
  <c r="G83" i="14"/>
  <c r="G128" i="13"/>
  <c r="F37" i="7"/>
  <c r="F33" i="7"/>
  <c r="F71" i="5"/>
  <c r="F270" i="15"/>
  <c r="G274" i="15"/>
  <c r="F75" i="14"/>
  <c r="G75" i="14"/>
  <c r="F128" i="13"/>
  <c r="G263" i="12"/>
  <c r="F260" i="12"/>
  <c r="G160" i="11"/>
  <c r="F163" i="11"/>
  <c r="F60" i="9"/>
  <c r="G60" i="9"/>
  <c r="G31" i="8"/>
  <c r="F16" i="8"/>
  <c r="G16" i="8"/>
  <c r="G33" i="7"/>
  <c r="G37" i="7"/>
  <c r="F13" i="7"/>
  <c r="G71" i="5"/>
  <c r="F78" i="5"/>
  <c r="F12" i="4"/>
  <c r="G12" i="4"/>
  <c r="G48" i="3"/>
  <c r="F58" i="3"/>
</calcChain>
</file>

<file path=xl/sharedStrings.xml><?xml version="1.0" encoding="utf-8"?>
<sst xmlns="http://schemas.openxmlformats.org/spreadsheetml/2006/main" count="3896" uniqueCount="1508">
  <si>
    <t>Quantity</t>
  </si>
  <si>
    <t>Sr No.</t>
  </si>
  <si>
    <t>Short Name</t>
  </si>
  <si>
    <t>Scheme Name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</si>
  <si>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</si>
  <si>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</si>
  <si>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</si>
  <si>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</si>
  <si>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</si>
  <si>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February 28, 2026</t>
  </si>
  <si>
    <t>JioBlackRock Money Market Fund</t>
  </si>
  <si>
    <t>JioBlackRock Overnight Fund</t>
  </si>
  <si>
    <t>JioBlackRock Liquid Fund</t>
  </si>
  <si>
    <t>JioBlackRock Nifty 8-13 yr G-Sec Index Fund</t>
  </si>
  <si>
    <t>JioBlackRock Low Duration Fund</t>
  </si>
  <si>
    <t>JioBlackRock Short Duration Fund</t>
  </si>
  <si>
    <t>JioBlackRock Nifty 50 Index Fund</t>
  </si>
  <si>
    <t>JioBlackRock Nifty Next 50 Index Fund</t>
  </si>
  <si>
    <t>JioBlackRock Nifty Midcap 150 Index Fund</t>
  </si>
  <si>
    <t>JioBlackRock Nifty Smallcap 250 Index Fund</t>
  </si>
  <si>
    <t>JioBlackRock Flexi Cap Fund</t>
  </si>
  <si>
    <t>JioBlackRock Arbitrage Fund</t>
  </si>
  <si>
    <t>JioBlackRock Sector Rotation Fund</t>
  </si>
  <si>
    <t>Yield to Call ^</t>
  </si>
  <si>
    <t>Money Market Instruments</t>
  </si>
  <si>
    <t>Certificate of Deposit</t>
  </si>
  <si>
    <t>HDFC Bank Ltd (12-Mar-2026)</t>
  </si>
  <si>
    <t>INE040A16GN6</t>
  </si>
  <si>
    <t>CARE A1+</t>
  </si>
  <si>
    <t>Bank of Baroda (11-Mar-2026) **</t>
  </si>
  <si>
    <t>INE028A16HZ3</t>
  </si>
  <si>
    <t>IND A1+</t>
  </si>
  <si>
    <t>Punjab National Bank (09-Mar-2026)</t>
  </si>
  <si>
    <t>INE160A16TT2</t>
  </si>
  <si>
    <t>National Bank For Agriculture &amp; Rural Development (10-Mar-2026) **</t>
  </si>
  <si>
    <t>INE261F16975</t>
  </si>
  <si>
    <t>CRISIL A1+</t>
  </si>
  <si>
    <t>Canara Bank (12-Mar-2026)</t>
  </si>
  <si>
    <t>INE476A16B23</t>
  </si>
  <si>
    <t>HDFC Bank Ltd (24-Feb-2027)</t>
  </si>
  <si>
    <t>INE040A16IO0</t>
  </si>
  <si>
    <t>Small Industries Development Bank of India (26-Feb-2027) **</t>
  </si>
  <si>
    <t>INE556F16CC2</t>
  </si>
  <si>
    <t>Export-Import Bank Of India (28-May-2026)</t>
  </si>
  <si>
    <t>INE514E16CL5</t>
  </si>
  <si>
    <t>Punjab National Bank (05-Feb-2027) **</t>
  </si>
  <si>
    <t>INE160A16UE2</t>
  </si>
  <si>
    <t>National Bank For Agriculture &amp; Rural Development (02-Mar-2027) **</t>
  </si>
  <si>
    <t>INE261F16AM2</t>
  </si>
  <si>
    <t>Federal Bank Ltd (20-Mar-2026) **</t>
  </si>
  <si>
    <t>INE171A16NE4</t>
  </si>
  <si>
    <t>Axis Bank Ltd (25-Mar-2026) **</t>
  </si>
  <si>
    <t>INE238AD6BT5</t>
  </si>
  <si>
    <t>Small Industries Development Bank of India (04-Dec-2026) **</t>
  </si>
  <si>
    <t>INE556F16BS0</t>
  </si>
  <si>
    <t>Indian Bank (15-Dec-2026) **</t>
  </si>
  <si>
    <t>INE562A16QN8</t>
  </si>
  <si>
    <t>Canara Bank (28-Jan-2027)</t>
  </si>
  <si>
    <t>INE476A16G28</t>
  </si>
  <si>
    <t>Bank of Baroda (03-Feb-2027) **</t>
  </si>
  <si>
    <t>INE028A16LE0</t>
  </si>
  <si>
    <t>Indian Bank (05-Feb-2027) **</t>
  </si>
  <si>
    <t>INE562A16QI8</t>
  </si>
  <si>
    <t>National Bank For Agriculture &amp; Rural Development (04-Feb-2027) **</t>
  </si>
  <si>
    <t>INE261F16AJ8</t>
  </si>
  <si>
    <t>Sub Total</t>
  </si>
  <si>
    <t>Commercial Paper</t>
  </si>
  <si>
    <t>NTPC Ltd (10-Mar-2026) **</t>
  </si>
  <si>
    <t>INE733E14BU9</t>
  </si>
  <si>
    <t>Reliance Retail Ventures Ltd (13-Mar-2026)</t>
  </si>
  <si>
    <t>INE929O14EP6</t>
  </si>
  <si>
    <t>Kotak Securities Ltd (13-Mar-2026) **</t>
  </si>
  <si>
    <t>INE028E14TK7</t>
  </si>
  <si>
    <t>ICICI Securities Ltd (09-Mar-2026) **</t>
  </si>
  <si>
    <t>INE763G14D03</t>
  </si>
  <si>
    <t>Kotak Securities Ltd (12-Mar-2026) **</t>
  </si>
  <si>
    <t>INE028E14TZ5</t>
  </si>
  <si>
    <t>ICICI Securities Ltd (12-Mar-2026) **</t>
  </si>
  <si>
    <t>INE763G14D60</t>
  </si>
  <si>
    <t>Kotak Securities Ltd (16-Mar-2026) **</t>
  </si>
  <si>
    <t>INE028E14UA6</t>
  </si>
  <si>
    <t>ICICI Securities Ltd (17-Mar-2026) **</t>
  </si>
  <si>
    <t>INE763G14XS9</t>
  </si>
  <si>
    <t>Small Industries Development Bank Of India (20-Mar-2026)</t>
  </si>
  <si>
    <t>INE556F14LX4</t>
  </si>
  <si>
    <t>Mahindra &amp; Mahindra Financial Services Ltd (20-Mar-2026) **</t>
  </si>
  <si>
    <t>INE774D14TE1</t>
  </si>
  <si>
    <t>Tata Capital Ltd (23-Mar-2026) **</t>
  </si>
  <si>
    <t>INE976I14QR9</t>
  </si>
  <si>
    <t>Small Industries Development Bank Of India (27-Mar-2026)</t>
  </si>
  <si>
    <t>INE556F14LY2</t>
  </si>
  <si>
    <t>ICICI Securities Ltd (06-Mar-2026)</t>
  </si>
  <si>
    <t>INE763G14XX9</t>
  </si>
  <si>
    <t>ICRA A1+</t>
  </si>
  <si>
    <t>Kotak Securities Ltd (24-Mar-2026) **</t>
  </si>
  <si>
    <t>INE028E14UF5</t>
  </si>
  <si>
    <t>Treasury Bill</t>
  </si>
  <si>
    <t>364 DTB (21-JAN-2027)</t>
  </si>
  <si>
    <t>IN002025Z427</t>
  </si>
  <si>
    <t>364 DTB (03-DEC-2026)</t>
  </si>
  <si>
    <t>IN002025Z369</t>
  </si>
  <si>
    <t>364 DTB (10-DEC-2026)</t>
  </si>
  <si>
    <t>IN002025Z377</t>
  </si>
  <si>
    <t>364 DTB (19-FEB-2027)</t>
  </si>
  <si>
    <t>IN002025Z468</t>
  </si>
  <si>
    <t>Total</t>
  </si>
  <si>
    <t>Government Securities</t>
  </si>
  <si>
    <t>5.63% GOI 2026 (12-APR-2026)</t>
  </si>
  <si>
    <t>IN0020210012</t>
  </si>
  <si>
    <t>SOVEREIGN</t>
  </si>
  <si>
    <t>Alternative Investment Fund</t>
  </si>
  <si>
    <t>Corporate Debt Market Development Fund Class A2</t>
  </si>
  <si>
    <t>INF0RQ622028</t>
  </si>
  <si>
    <t>TREPS</t>
  </si>
  <si>
    <t>Grand Total</t>
  </si>
  <si>
    <t>Net Receivables / (Payables)</t>
  </si>
  <si>
    <t>Rating</t>
  </si>
  <si>
    <t>** Non Traded Security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</si>
  <si>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</si>
  <si>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</si>
  <si>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182 DTB (05-MAR-2026)</t>
  </si>
  <si>
    <t>IN002025Y230</t>
  </si>
  <si>
    <t>91 DTB (12-MAR-2026)</t>
  </si>
  <si>
    <t>IN002025X372</t>
  </si>
  <si>
    <t>364 DTB (19-MAR-2026)</t>
  </si>
  <si>
    <t>IN002024Z495</t>
  </si>
  <si>
    <t>182 DTB (19-MAR-2026)</t>
  </si>
  <si>
    <t>IN002025Y255</t>
  </si>
  <si>
    <t>Reverse Repo</t>
  </si>
  <si>
    <t>Reverse Repo (02-Mar-2026)</t>
  </si>
  <si>
    <t>Axis Bank Ltd (25-May-2026)</t>
  </si>
  <si>
    <t>INE238AD6BB3</t>
  </si>
  <si>
    <t>Canara Bank (27-May-2026) **</t>
  </si>
  <si>
    <t>INE476A16H19</t>
  </si>
  <si>
    <t>Bank of Baroda (25-May-2026) **</t>
  </si>
  <si>
    <t>INE028A16JR6</t>
  </si>
  <si>
    <t>Bank of India (19-May-2026) **</t>
  </si>
  <si>
    <t>INE084A16EU4</t>
  </si>
  <si>
    <t>Union Bank of India (26-May-2026) **</t>
  </si>
  <si>
    <t>INE692A16KG0</t>
  </si>
  <si>
    <t>Canara Bank (04-Mar-2026)</t>
  </si>
  <si>
    <t>INE476A16A73</t>
  </si>
  <si>
    <t>State Bank Of India (27-Mar-2026)</t>
  </si>
  <si>
    <t>INE062A16614</t>
  </si>
  <si>
    <t>HDFC Bank Ltd (25-May-2026) **</t>
  </si>
  <si>
    <t>INE040A16HX3</t>
  </si>
  <si>
    <t>Indian Bank (30-Apr-2026)</t>
  </si>
  <si>
    <t>INE562A16PQ3</t>
  </si>
  <si>
    <t>Axis Bank Ltd (05-Mar-2026)</t>
  </si>
  <si>
    <t>INE238AD6AO8</t>
  </si>
  <si>
    <t>National Bank For Agriculture &amp; Rural Development (13-Mar-2026) **</t>
  </si>
  <si>
    <t>INE261F16983</t>
  </si>
  <si>
    <t>Canara Bank (26-May-2026) **</t>
  </si>
  <si>
    <t>INE476A16E87</t>
  </si>
  <si>
    <t>Canara Bank (20-Mar-2026) **</t>
  </si>
  <si>
    <t>INE476A16F86</t>
  </si>
  <si>
    <t>National Bank For Agriculture &amp; Rural Development (25-Mar-2026)</t>
  </si>
  <si>
    <t>INE261F16AA7</t>
  </si>
  <si>
    <t>Union Bank of India (07-May-2026) **</t>
  </si>
  <si>
    <t>INE692A16LA1</t>
  </si>
  <si>
    <t>Canara Bank (15-May-2026) **</t>
  </si>
  <si>
    <t>INE476A16E79</t>
  </si>
  <si>
    <t>Union Bank of India (05-Mar-2026)</t>
  </si>
  <si>
    <t>INE692A16IY7</t>
  </si>
  <si>
    <t>Bank of Baroda (05-Mar-2026) **</t>
  </si>
  <si>
    <t>INE028A16KP8</t>
  </si>
  <si>
    <t>Larsen &amp; Toubro Ltd (18-Mar-2026) **</t>
  </si>
  <si>
    <t>INE018A14LT4</t>
  </si>
  <si>
    <t>Tata Steel Ltd (13-Mar-2026) **</t>
  </si>
  <si>
    <t>INE081A14GO3</t>
  </si>
  <si>
    <t>HDFC Securities Ltd (27-May-2026) **</t>
  </si>
  <si>
    <t>INE700G14SS1</t>
  </si>
  <si>
    <t>Small Industries Development Bank Of India (10-Mar-2026)</t>
  </si>
  <si>
    <t>INE556F14LV8</t>
  </si>
  <si>
    <t>ICICI Securities Ltd (18-Mar-2026)</t>
  </si>
  <si>
    <t>INE763G14D94</t>
  </si>
  <si>
    <t>Can Fin Homes Ltd (20-May-2026) **</t>
  </si>
  <si>
    <t>INE477A14EC3</t>
  </si>
  <si>
    <t>Export-Import Bank Of India (27-May-2026) **</t>
  </si>
  <si>
    <t>INE514E14TF6</t>
  </si>
  <si>
    <t>LIC Housing Finance Ltd (11-Mar-2026) **</t>
  </si>
  <si>
    <t>INE115A14FK9</t>
  </si>
  <si>
    <t>Kotak Securities Ltd (25-Mar-2026) **</t>
  </si>
  <si>
    <t>INE028E14UG3</t>
  </si>
  <si>
    <t>Export-Import Bank Of India (07-May-2026) **</t>
  </si>
  <si>
    <t>INE514E14TD1</t>
  </si>
  <si>
    <t>Aditya Birla Housing Finance Ltd (07-May-2026) **</t>
  </si>
  <si>
    <t>INE831R14FU4</t>
  </si>
  <si>
    <t>HDFC Securities Ltd (09-Mar-2026) **</t>
  </si>
  <si>
    <t>INE700G14RF0</t>
  </si>
  <si>
    <t>LIC Housing Finance Ltd (18-Mar-2026)</t>
  </si>
  <si>
    <t>INE115A14FL7</t>
  </si>
  <si>
    <t>Muthoot Finance Ltd (05-Mar-2026)</t>
  </si>
  <si>
    <t>INE414G14UL0</t>
  </si>
  <si>
    <t>ICICI Securities Ltd (10-Mar-2026) **</t>
  </si>
  <si>
    <t>INE763G14A63</t>
  </si>
  <si>
    <t>ICICI Securities Ltd (20-Apr-2026) **</t>
  </si>
  <si>
    <t>INE763G14B54</t>
  </si>
  <si>
    <t>Godrej Industries Ltd (02-Mar-2026) **</t>
  </si>
  <si>
    <t>INE233A143V5</t>
  </si>
  <si>
    <t>Muthoot Finance Ltd (02-Mar-2026) **</t>
  </si>
  <si>
    <t>INE414G14UK2</t>
  </si>
  <si>
    <t>Small Industries Development Bank Of India (06-Mar-2026) **</t>
  </si>
  <si>
    <t>INE556F14LU0</t>
  </si>
  <si>
    <t>Kotak Securities Ltd (06-Mar-2026) **</t>
  </si>
  <si>
    <t>INE028E14TR2</t>
  </si>
  <si>
    <t>Kotak Securities Ltd (02-Mar-2026)</t>
  </si>
  <si>
    <t>INE028E14TV4</t>
  </si>
  <si>
    <t>364 DTB (23-APR-2026)</t>
  </si>
  <si>
    <t>IN002025Z047</t>
  </si>
  <si>
    <t>91 DTB (17-APR-2026)</t>
  </si>
  <si>
    <t>IN002025X414</t>
  </si>
  <si>
    <t>91 DTB (23-APR-2026)</t>
  </si>
  <si>
    <t>IN002025X422</t>
  </si>
  <si>
    <t>364 DTB (16-APR-2026)</t>
  </si>
  <si>
    <t>IN002025Z039</t>
  </si>
  <si>
    <t>91 DTB (30-APR-2026)</t>
  </si>
  <si>
    <t>IN002025X430</t>
  </si>
  <si>
    <t>182 DTB (24-APR-2026)</t>
  </si>
  <si>
    <t>IN002025Y305</t>
  </si>
  <si>
    <t>364 DTB (07-MAY-2026)</t>
  </si>
  <si>
    <t>IN002025Z062</t>
  </si>
  <si>
    <t>91 DTB (07-MAY-2026)</t>
  </si>
  <si>
    <t>IN002025X448</t>
  </si>
  <si>
    <t>364 DTB (26-MAR-2026)</t>
  </si>
  <si>
    <t>IN002024Z503</t>
  </si>
  <si>
    <t>182 DTB (30-APR-2026)</t>
  </si>
  <si>
    <t>IN002025Y313</t>
  </si>
  <si>
    <t>182 DTB (08-MAY-2026)</t>
  </si>
  <si>
    <t>IN002025Y321</t>
  </si>
  <si>
    <t>364 DTB (12-MAR-2026)</t>
  </si>
  <si>
    <t>IN002024Z487</t>
  </si>
  <si>
    <t>6.48% GOI 2035 (06-OCT-2035)</t>
  </si>
  <si>
    <t>IN0020250091</t>
  </si>
  <si>
    <t>6.33% GOI 2035 (05-MAY-2035)</t>
  </si>
  <si>
    <t>IN0020250026</t>
  </si>
  <si>
    <t>6.79% GOI 2034 (07-OCT-2034)</t>
  </si>
  <si>
    <t>IN0020240126</t>
  </si>
  <si>
    <t>Debt Instruments</t>
  </si>
  <si>
    <t>(a) Listed / awaiting listing on Stock Exchanges</t>
  </si>
  <si>
    <t>7.8% National Bank For Agriculture &amp; Rural Development (15-Mar-2027) **</t>
  </si>
  <si>
    <t>INE261F08EF5</t>
  </si>
  <si>
    <t>CRISIL AAA</t>
  </si>
  <si>
    <t>7.7% REC Ltd (31-Aug-2026)</t>
  </si>
  <si>
    <t>INE020B08FC8</t>
  </si>
  <si>
    <t>6.65% LIC Housing Finance Ltd (15-Feb-2027) **</t>
  </si>
  <si>
    <t>INE115A07PR7</t>
  </si>
  <si>
    <t>(b) Privately Placed / Unlisted</t>
  </si>
  <si>
    <t>Nil</t>
  </si>
  <si>
    <t>Axis Bank Ltd (04-Mar-2026) **</t>
  </si>
  <si>
    <t>INE238AD6AN0</t>
  </si>
  <si>
    <t>Kotak Mahindra Bank Ltd (13-Mar-2026)</t>
  </si>
  <si>
    <t>INE237A167Z1</t>
  </si>
  <si>
    <t>Indian Bank (22-Jan-2027)</t>
  </si>
  <si>
    <t>INE562A16QG2</t>
  </si>
  <si>
    <t>Union Bank of India (19-Jan-2027) **</t>
  </si>
  <si>
    <t>INE692A16KU1</t>
  </si>
  <si>
    <t>Bank of Baroda (25-Jan-2027) **</t>
  </si>
  <si>
    <t>INE028A16LD2</t>
  </si>
  <si>
    <t>ICICI Bank Ltd (27-Jan-2027) **</t>
  </si>
  <si>
    <t>INE090AD6279</t>
  </si>
  <si>
    <t>Small Industries Development Bank of India (29-Jan-2027) **</t>
  </si>
  <si>
    <t>INE556F16BX0</t>
  </si>
  <si>
    <t>Canara Bank (12-Feb-2027) **</t>
  </si>
  <si>
    <t>INE476A16H01</t>
  </si>
  <si>
    <t>ICICI Securities Ltd (04-Mar-2026)</t>
  </si>
  <si>
    <t>INE763G14XM2</t>
  </si>
  <si>
    <t>7.5% Indian Railway Finance Corporation Ltd (07-Sep-2029) **</t>
  </si>
  <si>
    <t>INE053F07BW9</t>
  </si>
  <si>
    <t>7.5% NHPC Ltd (07-Oct-2028) **</t>
  </si>
  <si>
    <t>INE848E07AR7</t>
  </si>
  <si>
    <t>ICRA AAA</t>
  </si>
  <si>
    <t>7.64% REC Ltd (30-Apr-2027) **</t>
  </si>
  <si>
    <t>INE020B08EX7</t>
  </si>
  <si>
    <t>7.22% Small Industries Development Bank Of India (10-Apr-2029) **</t>
  </si>
  <si>
    <t>INE556F08LC0</t>
  </si>
  <si>
    <t>6.92% Power Finance Corporation Ltd (16-Feb-2028) **</t>
  </si>
  <si>
    <t>INE134E08OA7</t>
  </si>
  <si>
    <t>7.01% National Bank For Agriculture &amp; Rural Development (16-Mar-2029) **</t>
  </si>
  <si>
    <t>INE261F08ES8</t>
  </si>
  <si>
    <t>6.68% GOI 2033 (27-JAN-2033)</t>
  </si>
  <si>
    <t>IN0020250133</t>
  </si>
  <si>
    <t>6.36% GOI 2031 (16-FEB-2031)</t>
  </si>
  <si>
    <t>IN0020250141</t>
  </si>
  <si>
    <t>Equity &amp; Equity related</t>
  </si>
  <si>
    <t>HDFC Bank Ltd</t>
  </si>
  <si>
    <t>INE040A01034</t>
  </si>
  <si>
    <t>Banks</t>
  </si>
  <si>
    <t>ICICI Bank Ltd</t>
  </si>
  <si>
    <t>INE090A01021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</si>
  <si>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</si>
  <si>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</si>
  <si>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</si>
  <si>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</si>
  <si>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</si>
  <si>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</si>
  <si>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Larsen &amp; Toubro Ltd</t>
  </si>
  <si>
    <t>INE018A01030</t>
  </si>
  <si>
    <t>Construction</t>
  </si>
  <si>
    <t>State Bank of India</t>
  </si>
  <si>
    <t>INE062A01020</t>
  </si>
  <si>
    <t>Infosys Ltd</t>
  </si>
  <si>
    <t>INE009A01021</t>
  </si>
  <si>
    <t>IT - Software</t>
  </si>
  <si>
    <t>Axis Bank Ltd</t>
  </si>
  <si>
    <t>INE238A01034</t>
  </si>
  <si>
    <t>Kotak Mahindra Bank Ltd</t>
  </si>
  <si>
    <t>INE237A01036</t>
  </si>
  <si>
    <t>Mahindra &amp; Mahindra Ltd</t>
  </si>
  <si>
    <t>INE101A01026</t>
  </si>
  <si>
    <t>Automobiles</t>
  </si>
  <si>
    <t>ITC Ltd</t>
  </si>
  <si>
    <t>INE154A01025</t>
  </si>
  <si>
    <t>Diversified FMCG</t>
  </si>
  <si>
    <t>Tata Consultancy Services Ltd</t>
  </si>
  <si>
    <t>INE467B01029</t>
  </si>
  <si>
    <t>Bajaj Finance Ltd</t>
  </si>
  <si>
    <t>INE296A01032</t>
  </si>
  <si>
    <t>Finance</t>
  </si>
  <si>
    <t>Hindustan Unilever Ltd</t>
  </si>
  <si>
    <t>INE030A01027</t>
  </si>
  <si>
    <t>Maruti Suzuki India Ltd</t>
  </si>
  <si>
    <t>INE585B01010</t>
  </si>
  <si>
    <t>Sun Pharmaceutical Industries Ltd</t>
  </si>
  <si>
    <t>INE044A01036</t>
  </si>
  <si>
    <t>Pharmaceuticals &amp; Biotechnology</t>
  </si>
  <si>
    <t>NTPC Ltd</t>
  </si>
  <si>
    <t>INE733E01010</t>
  </si>
  <si>
    <t>Power</t>
  </si>
  <si>
    <t>Titan Co Ltd</t>
  </si>
  <si>
    <t>INE280A01028</t>
  </si>
  <si>
    <t>Consumer Durables</t>
  </si>
  <si>
    <t>Eternal Ltd</t>
  </si>
  <si>
    <t>INE758T01015</t>
  </si>
  <si>
    <t>Retailing</t>
  </si>
  <si>
    <t>Tata Steel Ltd</t>
  </si>
  <si>
    <t>INE081A01020</t>
  </si>
  <si>
    <t>Ferrous Metals</t>
  </si>
  <si>
    <t>Bharat Electronics Ltd</t>
  </si>
  <si>
    <t>INE263A01024</t>
  </si>
  <si>
    <t>Aerospace &amp; Defense</t>
  </si>
  <si>
    <t>Shriram Finance Ltd</t>
  </si>
  <si>
    <t>INE721A01047</t>
  </si>
  <si>
    <t>Ultratech Cement Ltd</t>
  </si>
  <si>
    <t>INE481G01011</t>
  </si>
  <si>
    <t>Cement &amp; Cement Products</t>
  </si>
  <si>
    <t>HCL Technologies Ltd</t>
  </si>
  <si>
    <t>INE860A01027</t>
  </si>
  <si>
    <t>Power Grid Corporation of India Ltd</t>
  </si>
  <si>
    <t>INE752E01010</t>
  </si>
  <si>
    <t>Hindalco Industries Ltd</t>
  </si>
  <si>
    <t>INE038A01020</t>
  </si>
  <si>
    <t>Non - Ferrous Metals</t>
  </si>
  <si>
    <t>JSW Steel Ltd</t>
  </si>
  <si>
    <t>INE019A01038</t>
  </si>
  <si>
    <t>Bajaj Finserv Ltd</t>
  </si>
  <si>
    <t>INE918I01026</t>
  </si>
  <si>
    <t>Adani Ports and Special Economic Zone Ltd</t>
  </si>
  <si>
    <t>INE742F01042</t>
  </si>
  <si>
    <t>Transport Infrastructure</t>
  </si>
  <si>
    <t>Bajaj Auto Ltd</t>
  </si>
  <si>
    <t>INE917I01010</t>
  </si>
  <si>
    <t>Eicher Motors Ltd</t>
  </si>
  <si>
    <t>INE066A01021</t>
  </si>
  <si>
    <t>Interglobe Aviation Ltd</t>
  </si>
  <si>
    <t>INE646L01027</t>
  </si>
  <si>
    <t>Transport Services</t>
  </si>
  <si>
    <t>Oil &amp; Natural Gas Corporation Ltd</t>
  </si>
  <si>
    <t>INE213A01029</t>
  </si>
  <si>
    <t>Oil</t>
  </si>
  <si>
    <t>Asian Paints Ltd</t>
  </si>
  <si>
    <t>INE021A01026</t>
  </si>
  <si>
    <t>Grasim Industries Ltd</t>
  </si>
  <si>
    <t>INE047A01021</t>
  </si>
  <si>
    <t>Coal India Ltd</t>
  </si>
  <si>
    <t>INE522F01014</t>
  </si>
  <si>
    <t>Consumable Fuels</t>
  </si>
  <si>
    <t>Nestle India Ltd</t>
  </si>
  <si>
    <t>INE239A01024</t>
  </si>
  <si>
    <t>Food Products</t>
  </si>
  <si>
    <t>SBI Life Insurance Co Ltd</t>
  </si>
  <si>
    <t>INE123W01016</t>
  </si>
  <si>
    <t>Insurance</t>
  </si>
  <si>
    <t>Trent Ltd</t>
  </si>
  <si>
    <t>INE849A01020</t>
  </si>
  <si>
    <t>Tech Mahindra Ltd</t>
  </si>
  <si>
    <t>INE669C01036</t>
  </si>
  <si>
    <t>Jio Financial Services Ltd</t>
  </si>
  <si>
    <t>INE758E01017</t>
  </si>
  <si>
    <t>Max Healthcare Institute Ltd</t>
  </si>
  <si>
    <t>INE027H01010</t>
  </si>
  <si>
    <t>Healthcare Services</t>
  </si>
  <si>
    <t>Apollo Hospitals Enterprise Ltd</t>
  </si>
  <si>
    <t>INE437A01024</t>
  </si>
  <si>
    <t>Tata Motors Passenger Vehicles Ltd</t>
  </si>
  <si>
    <t>INE155A01022</t>
  </si>
  <si>
    <t>Dr. Reddy's Laboratories Ltd</t>
  </si>
  <si>
    <t>INE089A01031</t>
  </si>
  <si>
    <t>HDFC Life Insurance Co Ltd</t>
  </si>
  <si>
    <t>INE795G01014</t>
  </si>
  <si>
    <t>Cipla Ltd</t>
  </si>
  <si>
    <t>INE059A01026</t>
  </si>
  <si>
    <t>Tata Consumer Products Ltd</t>
  </si>
  <si>
    <t>INE192A01025</t>
  </si>
  <si>
    <t>Agricultural Food &amp; Other Products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</si>
  <si>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</si>
  <si>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</si>
  <si>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</si>
  <si>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</si>
  <si>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</si>
  <si>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</si>
  <si>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</si>
  <si>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Industry Classification</t>
  </si>
  <si>
    <t>Vedanta Ltd</t>
  </si>
  <si>
    <t>INE205A01025</t>
  </si>
  <si>
    <t>Diversified Metals</t>
  </si>
  <si>
    <t>TVS Motor Co Ltd</t>
  </si>
  <si>
    <t>INE494B01023</t>
  </si>
  <si>
    <t>Divi's Laboratories Ltd</t>
  </si>
  <si>
    <t>INE361B01024</t>
  </si>
  <si>
    <t>Bharat Petroleum Corporation Ltd</t>
  </si>
  <si>
    <t>INE029A01011</t>
  </si>
  <si>
    <t>Hindustan Aeronautics Ltd</t>
  </si>
  <si>
    <t>INE066F01020</t>
  </si>
  <si>
    <t>Cholamandalam Investment and Finance Co Ltd</t>
  </si>
  <si>
    <t>INE121A01024</t>
  </si>
  <si>
    <t>Britannia Industries Ltd</t>
  </si>
  <si>
    <t>INE216A01030</t>
  </si>
  <si>
    <t>Indian Oil Corporation Ltd</t>
  </si>
  <si>
    <t>INE242A01010</t>
  </si>
  <si>
    <t>Tata Power Co Ltd</t>
  </si>
  <si>
    <t>INE245A01021</t>
  </si>
  <si>
    <t>Varun Beverages Ltd</t>
  </si>
  <si>
    <t>INE200M01039</t>
  </si>
  <si>
    <t>Beverages</t>
  </si>
  <si>
    <t>Power Finance Corporation Ltd</t>
  </si>
  <si>
    <t>INE134E01011</t>
  </si>
  <si>
    <t>Bank of Baroda</t>
  </si>
  <si>
    <t>INE028A01039</t>
  </si>
  <si>
    <t>Samvardhana Motherson International Ltd</t>
  </si>
  <si>
    <t>INE775A01035</t>
  </si>
  <si>
    <t>Auto Components</t>
  </si>
  <si>
    <t>Indian Hotels Co Ltd</t>
  </si>
  <si>
    <t>INE053A01029</t>
  </si>
  <si>
    <t>Leisure Services</t>
  </si>
  <si>
    <t>Avenue Supermarts Ltd</t>
  </si>
  <si>
    <t>INE192R01011</t>
  </si>
  <si>
    <t>Adani Power Ltd</t>
  </si>
  <si>
    <t>INE814H01029</t>
  </si>
  <si>
    <t>Canara Bank</t>
  </si>
  <si>
    <t>INE476A01022</t>
  </si>
  <si>
    <t>CG Power and Industrial Solutions Ltd</t>
  </si>
  <si>
    <t>INE067A01029</t>
  </si>
  <si>
    <t>Electrical Equipment</t>
  </si>
  <si>
    <t>Godrej Consumer Products Ltd</t>
  </si>
  <si>
    <t>INE102D01028</t>
  </si>
  <si>
    <t>Personal Products</t>
  </si>
  <si>
    <t>Bajaj Holdings &amp; Investment Ltd</t>
  </si>
  <si>
    <t>INE118A01012</t>
  </si>
  <si>
    <t>Jindal Steel Ltd</t>
  </si>
  <si>
    <t>INE749A01030</t>
  </si>
  <si>
    <t>Pidilite Industries Ltd</t>
  </si>
  <si>
    <t>INE318A01026</t>
  </si>
  <si>
    <t>Chemicals &amp; Petrochemicals</t>
  </si>
  <si>
    <t>ICICI Lombard General Insurance Co Ltd</t>
  </si>
  <si>
    <t>INE765G01017</t>
  </si>
  <si>
    <t>GAIL (India) Ltd</t>
  </si>
  <si>
    <t>INE129A01019</t>
  </si>
  <si>
    <t>Gas</t>
  </si>
  <si>
    <t>Torrent Pharmaceuticals Ltd</t>
  </si>
  <si>
    <t>INE685A01028</t>
  </si>
  <si>
    <t>Punjab National Bank</t>
  </si>
  <si>
    <t>INE160A01022</t>
  </si>
  <si>
    <t>REC Ltd</t>
  </si>
  <si>
    <t>INE020B01018</t>
  </si>
  <si>
    <t>Ltimindtree Ltd</t>
  </si>
  <si>
    <t>INE214T01019</t>
  </si>
  <si>
    <t>United Spirits Ltd</t>
  </si>
  <si>
    <t>INE854D01024</t>
  </si>
  <si>
    <t>Info Edge (India) Ltd</t>
  </si>
  <si>
    <t>INE663F01032</t>
  </si>
  <si>
    <t>DLF Ltd</t>
  </si>
  <si>
    <t>INE271C01023</t>
  </si>
  <si>
    <t>Realty</t>
  </si>
  <si>
    <t>Havells India Ltd</t>
  </si>
  <si>
    <t>INE176B01034</t>
  </si>
  <si>
    <t>Adani Energy Solutions Ltd</t>
  </si>
  <si>
    <t>INE931S01010</t>
  </si>
  <si>
    <t>Shree Cement Ltd</t>
  </si>
  <si>
    <t>INE070A01015</t>
  </si>
  <si>
    <t>Solar Industries India Ltd</t>
  </si>
  <si>
    <t>INE343H01029</t>
  </si>
  <si>
    <t>ABB India Ltd</t>
  </si>
  <si>
    <t>INE117A01022</t>
  </si>
  <si>
    <t>Bosch Ltd</t>
  </si>
  <si>
    <t>INE323A01026</t>
  </si>
  <si>
    <t>Hyundai Motor India Ltd</t>
  </si>
  <si>
    <t>INE0V6F01027</t>
  </si>
  <si>
    <t>Ambuja Cements Ltd</t>
  </si>
  <si>
    <t>INE079A01024</t>
  </si>
  <si>
    <t>Siemens Ltd</t>
  </si>
  <si>
    <t>INE003A01024</t>
  </si>
  <si>
    <t>Adani Green Energy Ltd</t>
  </si>
  <si>
    <t>INE364U01010</t>
  </si>
  <si>
    <t>Lodha Developers Ltd</t>
  </si>
  <si>
    <t>INE670K01029</t>
  </si>
  <si>
    <t>Hindustan Zinc Ltd</t>
  </si>
  <si>
    <t>INE267A01025</t>
  </si>
  <si>
    <t>JSW Energy Ltd</t>
  </si>
  <si>
    <t>INE121E01018</t>
  </si>
  <si>
    <t>Siemens Energy India ltd</t>
  </si>
  <si>
    <t>INE1NPP01017</t>
  </si>
  <si>
    <t>Zydus Lifesciences Ltd</t>
  </si>
  <si>
    <t>INE010B01027</t>
  </si>
  <si>
    <t>Life Insurance Corporation Of India</t>
  </si>
  <si>
    <t>INE0J1Y01017</t>
  </si>
  <si>
    <t>Indian Railway Finance Corporation Ltd</t>
  </si>
  <si>
    <t>INE053F01010</t>
  </si>
  <si>
    <t>Mazagon Dock Shipbuilders Ltd</t>
  </si>
  <si>
    <t>INE249Z01020</t>
  </si>
  <si>
    <t>Industrial Manufacturing</t>
  </si>
  <si>
    <t>Bajaj Housing Finance Ltd</t>
  </si>
  <si>
    <t>INE377Y01014</t>
  </si>
  <si>
    <t>6.00% TVS Motor Co Ltd Cumulative NCRPS (01-Sep-2026) **</t>
  </si>
  <si>
    <t>INE494B04019</t>
  </si>
  <si>
    <t>** Non- Traded Security</t>
  </si>
  <si>
    <t>BSE Ltd</t>
  </si>
  <si>
    <t>INE118H01025</t>
  </si>
  <si>
    <t>Capital Markets</t>
  </si>
  <si>
    <t>Hero MotoCorp Ltd</t>
  </si>
  <si>
    <t>INE158A01026</t>
  </si>
  <si>
    <t>Federal Bank Ltd</t>
  </si>
  <si>
    <t>INE171A01029</t>
  </si>
  <si>
    <t>Cummins India Ltd</t>
  </si>
  <si>
    <t>INE298A01020</t>
  </si>
  <si>
    <t>Industrial Products</t>
  </si>
  <si>
    <t>IndusInd Bank Ltd</t>
  </si>
  <si>
    <t>INE095A01012</t>
  </si>
  <si>
    <t>Ashok Leyland Ltd</t>
  </si>
  <si>
    <t>INE208A01029</t>
  </si>
  <si>
    <t>Agricultural, Commercial &amp; Construction Vehicles</t>
  </si>
  <si>
    <t>Indus Towers Ltd</t>
  </si>
  <si>
    <t>INE121J01017</t>
  </si>
  <si>
    <t>Lupin Ltd</t>
  </si>
  <si>
    <t>INE326A01037</t>
  </si>
  <si>
    <t>HDFC Asset Management Co Ltd</t>
  </si>
  <si>
    <t>INE127D01025</t>
  </si>
  <si>
    <t>AU Small Finance Bank Ltd</t>
  </si>
  <si>
    <t>INE949L01017</t>
  </si>
  <si>
    <t>Suzlon Energy Ltd</t>
  </si>
  <si>
    <t>INE040H01021</t>
  </si>
  <si>
    <t>Persistent Systems Ltd</t>
  </si>
  <si>
    <t>INE262H01021</t>
  </si>
  <si>
    <t>Bharat Forge Ltd</t>
  </si>
  <si>
    <t>INE465A01025</t>
  </si>
  <si>
    <t>PB Fintech Ltd</t>
  </si>
  <si>
    <t>INE417T01026</t>
  </si>
  <si>
    <t>Financial Technology (Fintech)</t>
  </si>
  <si>
    <t>Fortis Healthcare Ltd</t>
  </si>
  <si>
    <t>INE061F01013</t>
  </si>
  <si>
    <t>IDFC First Bank Ltd</t>
  </si>
  <si>
    <t>INE092T01019</t>
  </si>
  <si>
    <t>Max Financial Services Ltd</t>
  </si>
  <si>
    <t>INE180A01020</t>
  </si>
  <si>
    <t>Ge Vernova T&amp;D India Ltd</t>
  </si>
  <si>
    <t>INE200A01026</t>
  </si>
  <si>
    <t>Polycab India Ltd</t>
  </si>
  <si>
    <t>INE455K01017</t>
  </si>
  <si>
    <t>One 97 Communications Ltd</t>
  </si>
  <si>
    <t>INE982J01020</t>
  </si>
  <si>
    <t>Dixon Technologies (India) Ltd</t>
  </si>
  <si>
    <t>INE935N01020</t>
  </si>
  <si>
    <t>Hindustan Petroleum Corporation Ltd</t>
  </si>
  <si>
    <t>INE094A01015</t>
  </si>
  <si>
    <t>Marico Ltd</t>
  </si>
  <si>
    <t>INE196A01026</t>
  </si>
  <si>
    <t>APL Apollo Tubes Ltd</t>
  </si>
  <si>
    <t>INE702C01027</t>
  </si>
  <si>
    <t>Swiggy Ltd</t>
  </si>
  <si>
    <t>INE00H001014</t>
  </si>
  <si>
    <t>Coforge Ltd</t>
  </si>
  <si>
    <t>INE591G01025</t>
  </si>
  <si>
    <t>Union Bank Of India</t>
  </si>
  <si>
    <t>INE692A01016</t>
  </si>
  <si>
    <t>Bharat Heavy Electricals Ltd</t>
  </si>
  <si>
    <t>INE257A01026</t>
  </si>
  <si>
    <t>Sundaram Finance Ltd</t>
  </si>
  <si>
    <t>INE660A01013</t>
  </si>
  <si>
    <t>SRF Ltd</t>
  </si>
  <si>
    <t>INE647A01010</t>
  </si>
  <si>
    <t>Yes Bank Ltd</t>
  </si>
  <si>
    <t>INE528G01035</t>
  </si>
  <si>
    <t>FSN E-Commerce Ventures Ltd</t>
  </si>
  <si>
    <t>INE388Y01029</t>
  </si>
  <si>
    <t>Muthoot Finance Ltd</t>
  </si>
  <si>
    <t>INE414G01012</t>
  </si>
  <si>
    <t>GMR Airports Ltd</t>
  </si>
  <si>
    <t>INE776C01039</t>
  </si>
  <si>
    <t>UPL Ltd</t>
  </si>
  <si>
    <t>INE628A01036</t>
  </si>
  <si>
    <t>Fertilizers &amp; Agrochemicals</t>
  </si>
  <si>
    <t>Voltas Ltd</t>
  </si>
  <si>
    <t>INE226A01021</t>
  </si>
  <si>
    <t>Indian Bank</t>
  </si>
  <si>
    <t>INE562A01011</t>
  </si>
  <si>
    <t>Aurobindo Pharma Ltd</t>
  </si>
  <si>
    <t>INE406A01037</t>
  </si>
  <si>
    <t>Alkem Laboratories Ltd</t>
  </si>
  <si>
    <t>INE540L01014</t>
  </si>
  <si>
    <t>Hitachi Energy India Ltd</t>
  </si>
  <si>
    <t>INE07Y701011</t>
  </si>
  <si>
    <t>Glenmark Pharmaceuticals Ltd</t>
  </si>
  <si>
    <t>INE935A01035</t>
  </si>
  <si>
    <t>National Aluminium Co Ltd</t>
  </si>
  <si>
    <t>INE139A01034</t>
  </si>
  <si>
    <t>KEI Industries Ltd</t>
  </si>
  <si>
    <t>INE878B01027</t>
  </si>
  <si>
    <t>Phoenix Mills Ltd</t>
  </si>
  <si>
    <t>INE211B01039</t>
  </si>
  <si>
    <t>Dabur India Ltd</t>
  </si>
  <si>
    <t>INE016A01026</t>
  </si>
  <si>
    <t>Torrent Power Ltd</t>
  </si>
  <si>
    <t>INE813H01021</t>
  </si>
  <si>
    <t>Colgate Palmolive (India) Ltd</t>
  </si>
  <si>
    <t>INE259A01022</t>
  </si>
  <si>
    <t>Tube Investments of India Ltd</t>
  </si>
  <si>
    <t>INE974X01010</t>
  </si>
  <si>
    <t>Vodafone Idea Ltd</t>
  </si>
  <si>
    <t>INE669E01016</t>
  </si>
  <si>
    <t>MRF Ltd</t>
  </si>
  <si>
    <t>INE883A01011</t>
  </si>
  <si>
    <t>NMDC Ltd</t>
  </si>
  <si>
    <t>INE584A01023</t>
  </si>
  <si>
    <t>Minerals &amp; Mining</t>
  </si>
  <si>
    <t>360 One Wam Ltd</t>
  </si>
  <si>
    <t>INE466L01038</t>
  </si>
  <si>
    <t>Biocon Ltd</t>
  </si>
  <si>
    <t>INE376G01013</t>
  </si>
  <si>
    <t>Aditya Birla Capital Ltd</t>
  </si>
  <si>
    <t>INE674K01013</t>
  </si>
  <si>
    <t>Oil India Ltd</t>
  </si>
  <si>
    <t>INE274J01014</t>
  </si>
  <si>
    <t>Coromandel International Ltd</t>
  </si>
  <si>
    <t>INE169A01031</t>
  </si>
  <si>
    <t>Mphasis Ltd</t>
  </si>
  <si>
    <t>INE356A01018</t>
  </si>
  <si>
    <t>Waaree Energies Ltd</t>
  </si>
  <si>
    <t>INE377N01017</t>
  </si>
  <si>
    <t>Godrej Properties Ltd</t>
  </si>
  <si>
    <t>INE484J01027</t>
  </si>
  <si>
    <t>ICICI Prudential Life Insurance Co Ltd</t>
  </si>
  <si>
    <t>INE726G01019</t>
  </si>
  <si>
    <t>Supreme Industries Ltd</t>
  </si>
  <si>
    <t>INE195A01028</t>
  </si>
  <si>
    <t>Mankind Pharma Ltd</t>
  </si>
  <si>
    <t>INE634S01028</t>
  </si>
  <si>
    <t>PI Industries Ltd</t>
  </si>
  <si>
    <t>INE603J01030</t>
  </si>
  <si>
    <t>Blue Star Ltd</t>
  </si>
  <si>
    <t>INE472A01039</t>
  </si>
  <si>
    <t>Vishal Mega Mart Ltd</t>
  </si>
  <si>
    <t>INE01EA01019</t>
  </si>
  <si>
    <t>Jindal Stainless Ltd</t>
  </si>
  <si>
    <t>INE220G01021</t>
  </si>
  <si>
    <t>Mahindra &amp; Mahindra Financial Services Ltd</t>
  </si>
  <si>
    <t>INE774D01024</t>
  </si>
  <si>
    <t>Petronet LNG Ltd</t>
  </si>
  <si>
    <t>INE347G01014</t>
  </si>
  <si>
    <t>Sona Blw Precision Forgings Ltd</t>
  </si>
  <si>
    <t>INE073K01018</t>
  </si>
  <si>
    <t>Steel Authority of India Ltd</t>
  </si>
  <si>
    <t>INE114A01011</t>
  </si>
  <si>
    <t>NHPC Ltd</t>
  </si>
  <si>
    <t>INE848E01016</t>
  </si>
  <si>
    <t>J.K. Cement Ltd</t>
  </si>
  <si>
    <t>INE823G01014</t>
  </si>
  <si>
    <t>Prestige Estates Projects Ltd</t>
  </si>
  <si>
    <t>INE811K01011</t>
  </si>
  <si>
    <t>L&amp;T Finance Ltd</t>
  </si>
  <si>
    <t>INE498L01015</t>
  </si>
  <si>
    <t>SBI Cards and Payment Services Ltd</t>
  </si>
  <si>
    <t>INE018E01016</t>
  </si>
  <si>
    <t>Uno Minda Ltd</t>
  </si>
  <si>
    <t>INE405E01023</t>
  </si>
  <si>
    <t>Bank of India</t>
  </si>
  <si>
    <t>INE084A01016</t>
  </si>
  <si>
    <t>IPCA Laboratories Ltd</t>
  </si>
  <si>
    <t>INE571A01038</t>
  </si>
  <si>
    <t>Astral Ltd</t>
  </si>
  <si>
    <t>INE006I01046</t>
  </si>
  <si>
    <t>Jubilant Foodworks Ltd</t>
  </si>
  <si>
    <t>INE797F01020</t>
  </si>
  <si>
    <t>Page Industries Ltd</t>
  </si>
  <si>
    <t>INE761H01022</t>
  </si>
  <si>
    <t>Textiles &amp; Apparels</t>
  </si>
  <si>
    <t>Balkrishna Industries Ltd</t>
  </si>
  <si>
    <t>INE787D01026</t>
  </si>
  <si>
    <t>Apar Industries Ltd</t>
  </si>
  <si>
    <t>INE372A01015</t>
  </si>
  <si>
    <t>Tata Communications Ltd</t>
  </si>
  <si>
    <t>INE151A01013</t>
  </si>
  <si>
    <t>Rail Vikas Nigam Ltd</t>
  </si>
  <si>
    <t>INE415G01027</t>
  </si>
  <si>
    <t>Oberoi Realty Ltd</t>
  </si>
  <si>
    <t>INE093I01010</t>
  </si>
  <si>
    <t>Schaeffler India Ltd</t>
  </si>
  <si>
    <t>INE513A01022</t>
  </si>
  <si>
    <t>Patanjali Foods Ltd</t>
  </si>
  <si>
    <t>INE619A01035</t>
  </si>
  <si>
    <t>Agricultural Food &amp; other Products</t>
  </si>
  <si>
    <t>Indian Railway Catering And Tourism Corporation Ltd</t>
  </si>
  <si>
    <t>INE335Y01020</t>
  </si>
  <si>
    <t>Container Corporation Of India Ltd</t>
  </si>
  <si>
    <t>INE111A01025</t>
  </si>
  <si>
    <t>Nippon Life India Asset Management Ltd</t>
  </si>
  <si>
    <t>INE298J01013</t>
  </si>
  <si>
    <t>Oracle Financial Services Software Ltd</t>
  </si>
  <si>
    <t>INE881D01027</t>
  </si>
  <si>
    <t>ITC Hotels Ltd</t>
  </si>
  <si>
    <t>INE379A01028</t>
  </si>
  <si>
    <t>LIC Housing Finance Ltd</t>
  </si>
  <si>
    <t>INE115A01026</t>
  </si>
  <si>
    <t>Lloyds Metals And Energy Ltd</t>
  </si>
  <si>
    <t>INE281B01032</t>
  </si>
  <si>
    <t>Dalmia Bharat Ltd</t>
  </si>
  <si>
    <t>INE00R701025</t>
  </si>
  <si>
    <t>Kalyan Jewellers India Ltd</t>
  </si>
  <si>
    <t>INE303R01014</t>
  </si>
  <si>
    <t>Tata Elxsi Ltd</t>
  </si>
  <si>
    <t>INE670A01012</t>
  </si>
  <si>
    <t>Bank Of Maharashtra</t>
  </si>
  <si>
    <t>INE457A01014</t>
  </si>
  <si>
    <t>Exide Industries Ltd</t>
  </si>
  <si>
    <t>INE302A01020</t>
  </si>
  <si>
    <t>AIA Engineering Ltd</t>
  </si>
  <si>
    <t>INE212H01026</t>
  </si>
  <si>
    <t>Apollo Tyres Ltd</t>
  </si>
  <si>
    <t>INE438A01022</t>
  </si>
  <si>
    <t>Gujarat Fluorochemicals Ltd</t>
  </si>
  <si>
    <t>INE09N301011</t>
  </si>
  <si>
    <t>Adani Total Gas Ltd</t>
  </si>
  <si>
    <t>INE399L01023</t>
  </si>
  <si>
    <t>Linde India Ltd</t>
  </si>
  <si>
    <t>INE473A01011</t>
  </si>
  <si>
    <t>Abbott India Ltd</t>
  </si>
  <si>
    <t>INE358A01014</t>
  </si>
  <si>
    <t>Berger Paints India Ltd</t>
  </si>
  <si>
    <t>INE463A01038</t>
  </si>
  <si>
    <t>KPIT Technologies Ltd</t>
  </si>
  <si>
    <t>INE04I401011</t>
  </si>
  <si>
    <t>Cochin Shipyard Ltd</t>
  </si>
  <si>
    <t>INE704P01025</t>
  </si>
  <si>
    <t>Ajanta Pharma Ltd</t>
  </si>
  <si>
    <t>INE031B01049</t>
  </si>
  <si>
    <t>Bharti Hexacom Ltd</t>
  </si>
  <si>
    <t>INE343G01021</t>
  </si>
  <si>
    <t>Thermax Ltd</t>
  </si>
  <si>
    <t>INE152A01029</t>
  </si>
  <si>
    <t>Indraprastha Gas Ltd</t>
  </si>
  <si>
    <t>INE203G01027</t>
  </si>
  <si>
    <t>General Insurance Corporation Of India</t>
  </si>
  <si>
    <t>INE481Y01014</t>
  </si>
  <si>
    <t>Escorts Kubota Ltd</t>
  </si>
  <si>
    <t>INE042A01014</t>
  </si>
  <si>
    <t>Bharat Dynamics Ltd</t>
  </si>
  <si>
    <t>INE171Z01026</t>
  </si>
  <si>
    <t>United Breweries Ltd</t>
  </si>
  <si>
    <t>INE686F01025</t>
  </si>
  <si>
    <t>Motilal Oswal Financial Services Ltd</t>
  </si>
  <si>
    <t>INE338I01027</t>
  </si>
  <si>
    <t>Deepak Nitrite Ltd</t>
  </si>
  <si>
    <t>INE288B01029</t>
  </si>
  <si>
    <t>Procter &amp; Gamble Hygiene and Health Care Ltd</t>
  </si>
  <si>
    <t>INE179A01014</t>
  </si>
  <si>
    <t>CRISIL Ltd</t>
  </si>
  <si>
    <t>INE007A01025</t>
  </si>
  <si>
    <t>Glaxosmithkline Pharmaceuticals Ltd</t>
  </si>
  <si>
    <t>INE159A01016</t>
  </si>
  <si>
    <t>3M India Ltd</t>
  </si>
  <si>
    <t>INE470A01017</t>
  </si>
  <si>
    <t>Diversified</t>
  </si>
  <si>
    <t>K.P.R. Mill Ltd</t>
  </si>
  <si>
    <t>INE930H01031</t>
  </si>
  <si>
    <t>Tata Technologies Ltd</t>
  </si>
  <si>
    <t>INE142M01025</t>
  </si>
  <si>
    <t>IT - Services</t>
  </si>
  <si>
    <t>Indian Renewable Energy Development Agency Ltd</t>
  </si>
  <si>
    <t>INE202E01016</t>
  </si>
  <si>
    <t>ACC Ltd</t>
  </si>
  <si>
    <t>INE012A01025</t>
  </si>
  <si>
    <t>L&amp;T Technology Services Ltd</t>
  </si>
  <si>
    <t>INE010V01017</t>
  </si>
  <si>
    <t>Global Health Ltd</t>
  </si>
  <si>
    <t>INE474Q01031</t>
  </si>
  <si>
    <t>Endurance Technologies Ltd</t>
  </si>
  <si>
    <t>INE913H01037</t>
  </si>
  <si>
    <t>Housing &amp; Urban Development Corporation Ltd</t>
  </si>
  <si>
    <t>INE031A01017</t>
  </si>
  <si>
    <t>Awl Agri Business Ltd</t>
  </si>
  <si>
    <t>INE699H01024</t>
  </si>
  <si>
    <t>Godfrey Phillips India Ltd</t>
  </si>
  <si>
    <t>INE260B01028</t>
  </si>
  <si>
    <t>Cigarettes &amp; Tobacco Products</t>
  </si>
  <si>
    <t>Tata Investment Corporation Ltd</t>
  </si>
  <si>
    <t>INE672A01026</t>
  </si>
  <si>
    <t>NLC India Ltd</t>
  </si>
  <si>
    <t>INE589A01014</t>
  </si>
  <si>
    <t>Premier Energies Ltd</t>
  </si>
  <si>
    <t>INE0BS701011</t>
  </si>
  <si>
    <t>NTPC Green Energy Ltd</t>
  </si>
  <si>
    <t>INE0ONG01011</t>
  </si>
  <si>
    <t>IRB Infrastructure Developers Ltd</t>
  </si>
  <si>
    <t>INE821I01022</t>
  </si>
  <si>
    <t>JSW Infrastructure Ltd</t>
  </si>
  <si>
    <t>INE880J01026</t>
  </si>
  <si>
    <t>Syngene International Ltd</t>
  </si>
  <si>
    <t>INE398R01022</t>
  </si>
  <si>
    <t>Hexaware Technologies Ltd</t>
  </si>
  <si>
    <t>INE093A01041</t>
  </si>
  <si>
    <t>Gujarat Gas Ltd</t>
  </si>
  <si>
    <t>INE844O01030</t>
  </si>
  <si>
    <t>Honeywell Automation India Ltd</t>
  </si>
  <si>
    <t>INE671A01010</t>
  </si>
  <si>
    <t>IDBI Bank Ltd</t>
  </si>
  <si>
    <t>INE008A01015</t>
  </si>
  <si>
    <t>Indian Overseas Bank</t>
  </si>
  <si>
    <t>INE565A01014</t>
  </si>
  <si>
    <t>SJVN Ltd</t>
  </si>
  <si>
    <t>INE002L01015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</si>
  <si>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</si>
  <si>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</si>
  <si>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</si>
  <si>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</si>
  <si>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</si>
  <si>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</si>
  <si>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UCO Bank</t>
  </si>
  <si>
    <t>INE691A01018</t>
  </si>
  <si>
    <t>Multi Commodity Exchange Of India Ltd</t>
  </si>
  <si>
    <t>INE745G01043</t>
  </si>
  <si>
    <t>Laurus Labs Ltd</t>
  </si>
  <si>
    <t>INE947Q01028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</si>
  <si>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</si>
  <si>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</si>
  <si>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</si>
  <si>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</si>
  <si>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</si>
  <si>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</si>
  <si>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Central Depository Services (India) Ltd</t>
  </si>
  <si>
    <t>INE736A01011</t>
  </si>
  <si>
    <t>Radico Khaitan Ltd</t>
  </si>
  <si>
    <t>INE944F01028</t>
  </si>
  <si>
    <t>City Union Bank Ltd</t>
  </si>
  <si>
    <t>INE491A01021</t>
  </si>
  <si>
    <t>RBL Bank Ltd</t>
  </si>
  <si>
    <t>INE976G01028</t>
  </si>
  <si>
    <t>Hindustan Copper Ltd</t>
  </si>
  <si>
    <t>INE531E01026</t>
  </si>
  <si>
    <t>Krishna Institute Of Medical Sciences Ltd</t>
  </si>
  <si>
    <t>INE967H01025</t>
  </si>
  <si>
    <t>Amber Enterprises India Ltd</t>
  </si>
  <si>
    <t>INE371P01015</t>
  </si>
  <si>
    <t>J.B. Chemicals &amp; Pharmaceuticals Ltd</t>
  </si>
  <si>
    <t>INE572A01036</t>
  </si>
  <si>
    <t>Redington Ltd</t>
  </si>
  <si>
    <t>INE891D01026</t>
  </si>
  <si>
    <t>Commercial Services &amp; Supplies</t>
  </si>
  <si>
    <t>Crompton Greaves Consumer Electricals Ltd</t>
  </si>
  <si>
    <t>INE299U01018</t>
  </si>
  <si>
    <t>Computer Age Management Services Ltd</t>
  </si>
  <si>
    <t>INE596I01020</t>
  </si>
  <si>
    <t>Cholamandalam Financial Holdings Ltd</t>
  </si>
  <si>
    <t>INE149A01033</t>
  </si>
  <si>
    <t>Bandhan Bank Ltd</t>
  </si>
  <si>
    <t>INE545U01014</t>
  </si>
  <si>
    <t>Manappuram Finance Ltd</t>
  </si>
  <si>
    <t>INE522D01027</t>
  </si>
  <si>
    <t>PNB Housing Finance Ltd</t>
  </si>
  <si>
    <t>INE572E01012</t>
  </si>
  <si>
    <t>Aster DM Healthcare Ltd</t>
  </si>
  <si>
    <t>INE914M01019</t>
  </si>
  <si>
    <t>Angel One Ltd</t>
  </si>
  <si>
    <t>INE732I01021</t>
  </si>
  <si>
    <t>Gland Pharma Ltd</t>
  </si>
  <si>
    <t>INE068V01023</t>
  </si>
  <si>
    <t>The Ramco Cements Ltd</t>
  </si>
  <si>
    <t>INE331A01037</t>
  </si>
  <si>
    <t>Kalpataru Projects International Ltd</t>
  </si>
  <si>
    <t>INE220B01022</t>
  </si>
  <si>
    <t>Sai Life Sciences Ltd</t>
  </si>
  <si>
    <t>INE570L01029</t>
  </si>
  <si>
    <t>Great Eastern Shipping Co Ltd</t>
  </si>
  <si>
    <t>INE017A01032</t>
  </si>
  <si>
    <t>Anand Rathi Wealth Ltd</t>
  </si>
  <si>
    <t>INE463V01026</t>
  </si>
  <si>
    <t>Poonawalla Fincorp Ltd</t>
  </si>
  <si>
    <t>INE511C01022</t>
  </si>
  <si>
    <t>Authum Investment &amp; Infrastructure Ltd</t>
  </si>
  <si>
    <t>INE206F01022</t>
  </si>
  <si>
    <t>Kfin Technologies Ltd</t>
  </si>
  <si>
    <t>INE138Y01010</t>
  </si>
  <si>
    <t>Timken India Ltd</t>
  </si>
  <si>
    <t>INE325A01013</t>
  </si>
  <si>
    <t>Narayana Hrudayalaya Ltd</t>
  </si>
  <si>
    <t>INE410P01011</t>
  </si>
  <si>
    <t>Kaynes Technology India Ltd</t>
  </si>
  <si>
    <t>INE918Z01012</t>
  </si>
  <si>
    <t>Force Motors Ltd</t>
  </si>
  <si>
    <t>INE451A01017</t>
  </si>
  <si>
    <t>Kirloskar Oil Engines Ltd</t>
  </si>
  <si>
    <t>INE146L01010</t>
  </si>
  <si>
    <t>Sammaan Capital Ltd</t>
  </si>
  <si>
    <t>INE148I01020</t>
  </si>
  <si>
    <t>IIFL Finance Ltd</t>
  </si>
  <si>
    <t>INE530B01024</t>
  </si>
  <si>
    <t>Elgi Equipments Ltd</t>
  </si>
  <si>
    <t>INE285A01027</t>
  </si>
  <si>
    <t>ZF Commercial Vehicle Control Systems India Ltd</t>
  </si>
  <si>
    <t>INE342J01019</t>
  </si>
  <si>
    <t>Himadri Speciality Chemical Ltd</t>
  </si>
  <si>
    <t>INE019C01026</t>
  </si>
  <si>
    <t>Wockhardt Ltd</t>
  </si>
  <si>
    <t>INE049B01025</t>
  </si>
  <si>
    <t>Tata Chemicals Ltd</t>
  </si>
  <si>
    <t>INE092A01019</t>
  </si>
  <si>
    <t>Neuland Laboratories Ltd</t>
  </si>
  <si>
    <t>INE794A01010</t>
  </si>
  <si>
    <t>Motherson Sumi Wiring India Ltd</t>
  </si>
  <si>
    <t>INE0FS801015</t>
  </si>
  <si>
    <t>Star Health And Allied Insurance Co Ltd</t>
  </si>
  <si>
    <t>INE575P01011</t>
  </si>
  <si>
    <t>Asahi India Glass Ltd</t>
  </si>
  <si>
    <t>INE439A01020</t>
  </si>
  <si>
    <t>PTC Industries Ltd</t>
  </si>
  <si>
    <t>INE596F01018</t>
  </si>
  <si>
    <t>Dr. Lal Path Labs Ltd</t>
  </si>
  <si>
    <t>INE600L01024</t>
  </si>
  <si>
    <t>Welspun Corp Ltd</t>
  </si>
  <si>
    <t>INE191B01025</t>
  </si>
  <si>
    <t>Atul Ltd</t>
  </si>
  <si>
    <t>INE100A01010</t>
  </si>
  <si>
    <t>Amara Raja Energy And Mobility Ltd</t>
  </si>
  <si>
    <t>INE885A01032</t>
  </si>
  <si>
    <t>Ather Energy Ltd</t>
  </si>
  <si>
    <t>INE0LEZ01016</t>
  </si>
  <si>
    <t>PG Electroplast Ltd</t>
  </si>
  <si>
    <t>INE457L01029</t>
  </si>
  <si>
    <t>Indian Energy Exchange Ltd</t>
  </si>
  <si>
    <t>INE022Q01020</t>
  </si>
  <si>
    <t>CESC Ltd</t>
  </si>
  <si>
    <t>INE486A01021</t>
  </si>
  <si>
    <t>Home First Finance Co India Ltd</t>
  </si>
  <si>
    <t>INE481N01025</t>
  </si>
  <si>
    <t>Piramal Pharma Ltd</t>
  </si>
  <si>
    <t>INE0DK501011</t>
  </si>
  <si>
    <t>Sundram Fasteners Ltd</t>
  </si>
  <si>
    <t>INE387A01021</t>
  </si>
  <si>
    <t>Brigade Enterprises Ltd</t>
  </si>
  <si>
    <t>INE791I01019</t>
  </si>
  <si>
    <t>NBCC (India) Ltd</t>
  </si>
  <si>
    <t>INE095N01031</t>
  </si>
  <si>
    <t>Data Patterns India Ltd</t>
  </si>
  <si>
    <t>INE0IX101010</t>
  </si>
  <si>
    <t>Carborundum Universal Ltd</t>
  </si>
  <si>
    <t>INE120A01034</t>
  </si>
  <si>
    <t>Nuvama Wealth Management Ltd</t>
  </si>
  <si>
    <t>INE531F01023</t>
  </si>
  <si>
    <t>Craftsman Automation Ltd</t>
  </si>
  <si>
    <t>INE00LO01017</t>
  </si>
  <si>
    <t>Aarti Industries Ltd</t>
  </si>
  <si>
    <t>INE769A01020</t>
  </si>
  <si>
    <t>Emami Ltd</t>
  </si>
  <si>
    <t>INE548C01032</t>
  </si>
  <si>
    <t>Castrol India Ltd</t>
  </si>
  <si>
    <t>INE172A01027</t>
  </si>
  <si>
    <t>EID Parry India Ltd</t>
  </si>
  <si>
    <t>INE126A01031</t>
  </si>
  <si>
    <t>Inox Wind Ltd</t>
  </si>
  <si>
    <t>INE066P01011</t>
  </si>
  <si>
    <t>Natco Pharma Ltd</t>
  </si>
  <si>
    <t>INE987B01026</t>
  </si>
  <si>
    <t>Gujarat State Petronet Ltd</t>
  </si>
  <si>
    <t>INE246F01010</t>
  </si>
  <si>
    <t>Affle 3i Ltd</t>
  </si>
  <si>
    <t>INE00WC01027</t>
  </si>
  <si>
    <t>Aegis Logistics Ltd</t>
  </si>
  <si>
    <t>INE208C01025</t>
  </si>
  <si>
    <t>Aptus Value Housing Finance India Ltd</t>
  </si>
  <si>
    <t>INE852O01025</t>
  </si>
  <si>
    <t>Granules India Ltd</t>
  </si>
  <si>
    <t>INE101D01020</t>
  </si>
  <si>
    <t>Nava Ltd</t>
  </si>
  <si>
    <t>INE725A01030</t>
  </si>
  <si>
    <t>Anant Raj Ltd</t>
  </si>
  <si>
    <t>INE242C01024</t>
  </si>
  <si>
    <t>Go Digit General Insurance Ltd</t>
  </si>
  <si>
    <t>INE03JT01014</t>
  </si>
  <si>
    <t>Five-Star Business Finance Ltd</t>
  </si>
  <si>
    <t>INE128S01021</t>
  </si>
  <si>
    <t>Zee Entertainment Enterprises Ltd</t>
  </si>
  <si>
    <t>INE256A01028</t>
  </si>
  <si>
    <t>Entertainment</t>
  </si>
  <si>
    <t>Kajaria Ceramics Ltd</t>
  </si>
  <si>
    <t>INE217B01036</t>
  </si>
  <si>
    <t>Cyient Ltd</t>
  </si>
  <si>
    <t>INE136B01020</t>
  </si>
  <si>
    <t>HBL Engineering Ltd</t>
  </si>
  <si>
    <t>INE292B01021</t>
  </si>
  <si>
    <t>Pfizer Ltd</t>
  </si>
  <si>
    <t>INE182A01018</t>
  </si>
  <si>
    <t>KEC International Ltd</t>
  </si>
  <si>
    <t>INE389H01022</t>
  </si>
  <si>
    <t>Usha Martin Ltd</t>
  </si>
  <si>
    <t>INE228A01035</t>
  </si>
  <si>
    <t>Onesource Specialty Pharma Ltd</t>
  </si>
  <si>
    <t>INE013P01021</t>
  </si>
  <si>
    <t>Jaiprakash Power Ventures Ltd</t>
  </si>
  <si>
    <t>INE351F01018</t>
  </si>
  <si>
    <t>CEAT Ltd</t>
  </si>
  <si>
    <t>INE482A01020</t>
  </si>
  <si>
    <t>HFCL Ltd</t>
  </si>
  <si>
    <t>INE548A01028</t>
  </si>
  <si>
    <t>Eris Lifesciences Ltd</t>
  </si>
  <si>
    <t>INE406M01024</t>
  </si>
  <si>
    <t>PVR Inox Ltd</t>
  </si>
  <si>
    <t>INE191H01014</t>
  </si>
  <si>
    <t>Maharashtra Scooters Ltd</t>
  </si>
  <si>
    <t>INE288A01013</t>
  </si>
  <si>
    <t>CCL Products (India) Ltd</t>
  </si>
  <si>
    <t>INE421D01022</t>
  </si>
  <si>
    <t>Garden Reach Shipbuilders &amp; Engineers Ltd</t>
  </si>
  <si>
    <t>INE382Z01011</t>
  </si>
  <si>
    <t>Can Fin Homes Ltd</t>
  </si>
  <si>
    <t>INE477A01020</t>
  </si>
  <si>
    <t>Chambal Fertilizers &amp; Chemicals Ltd</t>
  </si>
  <si>
    <t>INE085A01013</t>
  </si>
  <si>
    <t>Jyoti CNC Automation Ltd</t>
  </si>
  <si>
    <t>INE980O01024</t>
  </si>
  <si>
    <t>Jubilant Pharmova Ltd</t>
  </si>
  <si>
    <t>INE700A01033</t>
  </si>
  <si>
    <t>Mahanagar Gas Ltd</t>
  </si>
  <si>
    <t>INE002S01010</t>
  </si>
  <si>
    <t>Finolex Cables Ltd</t>
  </si>
  <si>
    <t>INE235A01022</t>
  </si>
  <si>
    <t>Reliance Power Ltd</t>
  </si>
  <si>
    <t>INE614G01033</t>
  </si>
  <si>
    <t>Creditaccess Grameen Ltd</t>
  </si>
  <si>
    <t>INE741K01010</t>
  </si>
  <si>
    <t>Gillette India Ltd</t>
  </si>
  <si>
    <t>INE322A01010</t>
  </si>
  <si>
    <t>Firstsource Solutions Ltd</t>
  </si>
  <si>
    <t>INE684F01012</t>
  </si>
  <si>
    <t>eClerx Services Ltd</t>
  </si>
  <si>
    <t>INE738I01010</t>
  </si>
  <si>
    <t>Aditya Birla Real Estate Ltd</t>
  </si>
  <si>
    <t>INE055A01016</t>
  </si>
  <si>
    <t>Paper, Forest &amp; Jute Products</t>
  </si>
  <si>
    <t>Deepak Fertilizers and Petrochemicals Corporation Ltd</t>
  </si>
  <si>
    <t>INE501A01019</t>
  </si>
  <si>
    <t>Inventurus Knowledge Solutions Ltd</t>
  </si>
  <si>
    <t>INE115Q01022</t>
  </si>
  <si>
    <t>Indiamart Intermesh Ltd</t>
  </si>
  <si>
    <t>INE933S01016</t>
  </si>
  <si>
    <t>Godawari Power &amp; Ispat Ltd</t>
  </si>
  <si>
    <t>INE177H01039</t>
  </si>
  <si>
    <t>Aditya Birla Sun Life AMC Ltd</t>
  </si>
  <si>
    <t>INE404A01024</t>
  </si>
  <si>
    <t>Zensar Technologies Ltd</t>
  </si>
  <si>
    <t>INE520A01027</t>
  </si>
  <si>
    <t>Birlasoft Ltd</t>
  </si>
  <si>
    <t>INE836A01035</t>
  </si>
  <si>
    <t>BEML Ltd</t>
  </si>
  <si>
    <t>INE258A01024</t>
  </si>
  <si>
    <t>Sun TV Network Ltd</t>
  </si>
  <si>
    <t>INE424H01027</t>
  </si>
  <si>
    <t>Netweb Technologies India Ltd</t>
  </si>
  <si>
    <t>INE0NT901020</t>
  </si>
  <si>
    <t>Syrma SGS Technology Ltd</t>
  </si>
  <si>
    <t>INE0DYJ01015</t>
  </si>
  <si>
    <t>Zen Technologies Ltd</t>
  </si>
  <si>
    <t>INE251B01027</t>
  </si>
  <si>
    <t>JK Tyre &amp; Industries Ltd</t>
  </si>
  <si>
    <t>INE573A01042</t>
  </si>
  <si>
    <t>Intellect Design Arena Ltd</t>
  </si>
  <si>
    <t>INE306R01017</t>
  </si>
  <si>
    <t>NCC Ltd</t>
  </si>
  <si>
    <t>INE868B01028</t>
  </si>
  <si>
    <t>EIH Ltd</t>
  </si>
  <si>
    <t>INE230A01023</t>
  </si>
  <si>
    <t>Sobha Ltd</t>
  </si>
  <si>
    <t>INE671H01015</t>
  </si>
  <si>
    <t>Capri Global Capital Ltd</t>
  </si>
  <si>
    <t>INE180C01042</t>
  </si>
  <si>
    <t>Engineers India Ltd</t>
  </si>
  <si>
    <t>INE510A01028</t>
  </si>
  <si>
    <t>Sagility Ltd</t>
  </si>
  <si>
    <t>INE0W2G01015</t>
  </si>
  <si>
    <t>Shyam Metalics And Energy Ltd</t>
  </si>
  <si>
    <t>INE810G01011</t>
  </si>
  <si>
    <t>Bayer Cropscience Ltd</t>
  </si>
  <si>
    <t>INE462A01022</t>
  </si>
  <si>
    <t>Rainbow Childrens Medicare Ltd</t>
  </si>
  <si>
    <t>INE961O01016</t>
  </si>
  <si>
    <t>V-Guard Industries Ltd</t>
  </si>
  <si>
    <t>INE951I01027</t>
  </si>
  <si>
    <t>Techno Electric &amp; Engineering Co Ltd</t>
  </si>
  <si>
    <t>INE285K01026</t>
  </si>
  <si>
    <t>Choice International Ltd</t>
  </si>
  <si>
    <t>INE102B01014</t>
  </si>
  <si>
    <t>Chalet Hotels Ltd</t>
  </si>
  <si>
    <t>INE427F01016</t>
  </si>
  <si>
    <t>Whirlpool Of India Ltd</t>
  </si>
  <si>
    <t>INE716A01013</t>
  </si>
  <si>
    <t>Ramkrishna Forgings Ltd</t>
  </si>
  <si>
    <t>INE399G01023</t>
  </si>
  <si>
    <t>Lemon Tree Hotels Ltd</t>
  </si>
  <si>
    <t>INE970X01018</t>
  </si>
  <si>
    <t>Triveni Turbine Ltd</t>
  </si>
  <si>
    <t>INE152M01016</t>
  </si>
  <si>
    <t>Titagarh Rail Systems Ltd</t>
  </si>
  <si>
    <t>INE615H01020</t>
  </si>
  <si>
    <t>Vardhman Textiles Ltd</t>
  </si>
  <si>
    <t>INE825A01020</t>
  </si>
  <si>
    <t>LT Foods Ltd</t>
  </si>
  <si>
    <t>INE818H01020</t>
  </si>
  <si>
    <t>AstraZenca Pharma India Ltd</t>
  </si>
  <si>
    <t>INE203A01020</t>
  </si>
  <si>
    <t>PCBL Chemical Ltd</t>
  </si>
  <si>
    <t>INE602A01031</t>
  </si>
  <si>
    <t>The Jammu &amp; Kashmir Bank Ltd</t>
  </si>
  <si>
    <t>INE168A01041</t>
  </si>
  <si>
    <t>Balrampur Chini Mills Ltd</t>
  </si>
  <si>
    <t>INE119A01028</t>
  </si>
  <si>
    <t>Swan Corp Ltd</t>
  </si>
  <si>
    <t>INE665A01038</t>
  </si>
  <si>
    <t>Schneider Electric Infrastructure Ltd</t>
  </si>
  <si>
    <t>INE839M01018</t>
  </si>
  <si>
    <t>Sonata Software Ltd</t>
  </si>
  <si>
    <t>INE269A01021</t>
  </si>
  <si>
    <t>Finolex Industries Ltd</t>
  </si>
  <si>
    <t>INE183A01024</t>
  </si>
  <si>
    <t>Devyani International Ltd</t>
  </si>
  <si>
    <t>INE872J01023</t>
  </si>
  <si>
    <t>Aavas Financiers Ltd</t>
  </si>
  <si>
    <t>INE216P01012</t>
  </si>
  <si>
    <t>Gravita India Ltd</t>
  </si>
  <si>
    <t>INE024L01027</t>
  </si>
  <si>
    <t>Indegene Ltd</t>
  </si>
  <si>
    <t>INE065X01017</t>
  </si>
  <si>
    <t>R R Kabel Ltd</t>
  </si>
  <si>
    <t>INE777K01022</t>
  </si>
  <si>
    <t>Sarda Energy &amp; Minerals Ltd</t>
  </si>
  <si>
    <t>INE385C01021</t>
  </si>
  <si>
    <t>Cohance Lifesciences Ltd</t>
  </si>
  <si>
    <t>INE03QK01018</t>
  </si>
  <si>
    <t>Bata India Ltd</t>
  </si>
  <si>
    <t>INE176A01028</t>
  </si>
  <si>
    <t>JM Financial Ltd</t>
  </si>
  <si>
    <t>INE780C01023</t>
  </si>
  <si>
    <t>Aditya Birla Lifestyle Brands Ltd</t>
  </si>
  <si>
    <t>INE14LE01019</t>
  </si>
  <si>
    <t>Metropolis Healthcare Ltd</t>
  </si>
  <si>
    <t>INE112L01020</t>
  </si>
  <si>
    <t>Sumitomo Chemical India Ltd</t>
  </si>
  <si>
    <t>INE258G01013</t>
  </si>
  <si>
    <t>Jubilant Ingrevia Ltd</t>
  </si>
  <si>
    <t>INE0BY001018</t>
  </si>
  <si>
    <t>Vijaya Diagnostic Centre Ltd</t>
  </si>
  <si>
    <t>INE043W01024</t>
  </si>
  <si>
    <t>Aadhar Housing Finance Ltd</t>
  </si>
  <si>
    <t>INE883F01010</t>
  </si>
  <si>
    <t>Heg Ltd</t>
  </si>
  <si>
    <t>INE545A01024</t>
  </si>
  <si>
    <t>Sapphire Foods India Ltd</t>
  </si>
  <si>
    <t>INE806T01020</t>
  </si>
  <si>
    <t>Brainbees Solutions Ltd</t>
  </si>
  <si>
    <t>INE02RE01045</t>
  </si>
  <si>
    <t>Poly Medicure Ltd</t>
  </si>
  <si>
    <t>INE205C01021</t>
  </si>
  <si>
    <t>Healthcare Equipment &amp; Supplies</t>
  </si>
  <si>
    <t>Graphite India Ltd</t>
  </si>
  <si>
    <t>INE371A01025</t>
  </si>
  <si>
    <t>Gujarat Mineral Development Corporation Ltd</t>
  </si>
  <si>
    <t>INE131A01031</t>
  </si>
  <si>
    <t>IRCON International Ltd</t>
  </si>
  <si>
    <t>INE962Y01021</t>
  </si>
  <si>
    <t>NMDC Steel Ltd</t>
  </si>
  <si>
    <t>INE0NNS01018</t>
  </si>
  <si>
    <t>Niva Bupa Health Insurance Co Ltd</t>
  </si>
  <si>
    <t>INE995S01015</t>
  </si>
  <si>
    <t>Chennai Petroleum Corporation Ltd</t>
  </si>
  <si>
    <t>INE178A01016</t>
  </si>
  <si>
    <t>Century Plyboards (India) Ltd</t>
  </si>
  <si>
    <t>INE348B01021</t>
  </si>
  <si>
    <t>Minda Corporation Ltd</t>
  </si>
  <si>
    <t>INE842C01021</t>
  </si>
  <si>
    <t>Shipping Corporation of India Ltd</t>
  </si>
  <si>
    <t>INE109A01011</t>
  </si>
  <si>
    <t>Ola Electric Mobility Ltd</t>
  </si>
  <si>
    <t>INE0LXG01040</t>
  </si>
  <si>
    <t>Afcons Infrastructure Ltd</t>
  </si>
  <si>
    <t>INE101I01011</t>
  </si>
  <si>
    <t>Emcure Pharmaceuticals Ltd</t>
  </si>
  <si>
    <t>INE168P01015</t>
  </si>
  <si>
    <t>Jindal Saw Ltd</t>
  </si>
  <si>
    <t>INE324A01032</t>
  </si>
  <si>
    <t>Doms Industries Ltd</t>
  </si>
  <si>
    <t>INE321T01012</t>
  </si>
  <si>
    <t>Household Products</t>
  </si>
  <si>
    <t>Bikaji Foods International Ltd</t>
  </si>
  <si>
    <t>INE00E101023</t>
  </si>
  <si>
    <t>Honasa Consumer Ltd</t>
  </si>
  <si>
    <t>INE0J5401028</t>
  </si>
  <si>
    <t>UTI Asset Management Co Ltd</t>
  </si>
  <si>
    <t>INE094J01016</t>
  </si>
  <si>
    <t>Dcm Shriram Ltd</t>
  </si>
  <si>
    <t>INE499A01024</t>
  </si>
  <si>
    <t>TBO Tek Ltd</t>
  </si>
  <si>
    <t>INE673O01025</t>
  </si>
  <si>
    <t>Olectra Greentech Ltd</t>
  </si>
  <si>
    <t>INE260D01016</t>
  </si>
  <si>
    <t>Concord Biotech Ltd</t>
  </si>
  <si>
    <t>INE338H01029</t>
  </si>
  <si>
    <t>KSB Ltd</t>
  </si>
  <si>
    <t>INE999A01023</t>
  </si>
  <si>
    <t>Kirloskar Brothers Ltd</t>
  </si>
  <si>
    <t>INE732A01036</t>
  </si>
  <si>
    <t>Welspun Living Ltd</t>
  </si>
  <si>
    <t>INE192B01031</t>
  </si>
  <si>
    <t>IFCI Ltd</t>
  </si>
  <si>
    <t>INE039A01010</t>
  </si>
  <si>
    <t>Alembic Pharmaceuticals Ltd</t>
  </si>
  <si>
    <t>INE901L01018</t>
  </si>
  <si>
    <t>BASF India Ltd</t>
  </si>
  <si>
    <t>INE373A01013</t>
  </si>
  <si>
    <t>Praj Industries Ltd</t>
  </si>
  <si>
    <t>INE074A01025</t>
  </si>
  <si>
    <t>Akzo Nobel India Ltd</t>
  </si>
  <si>
    <t>INE133A01011</t>
  </si>
  <si>
    <t>Central Bank of India</t>
  </si>
  <si>
    <t>INE483A01010</t>
  </si>
  <si>
    <t>Signatureglobal (India) Ltd</t>
  </si>
  <si>
    <t>INE903U01023</t>
  </si>
  <si>
    <t>Aditya Birla Fashion and Retail Ltd</t>
  </si>
  <si>
    <t>INE647O01011</t>
  </si>
  <si>
    <t>Elecon Engineering Co Ltd</t>
  </si>
  <si>
    <t>INE205B01031</t>
  </si>
  <si>
    <t>Leela Palaces Hotels &amp; Resorts Ltd</t>
  </si>
  <si>
    <t>INE0AQ201015</t>
  </si>
  <si>
    <t>Action Construction Equipment Ltd</t>
  </si>
  <si>
    <t>INE731H01025</t>
  </si>
  <si>
    <t>SBFC Finance Ltd</t>
  </si>
  <si>
    <t>INE423Y01016</t>
  </si>
  <si>
    <t>Jupiter Wagons Ltd</t>
  </si>
  <si>
    <t>INE209L01016</t>
  </si>
  <si>
    <t>Tejas Networks Ltd</t>
  </si>
  <si>
    <t>INE010J01012</t>
  </si>
  <si>
    <t>Telecom - Equipment &amp; Accessories</t>
  </si>
  <si>
    <t>Clean Science And Technology Ltd</t>
  </si>
  <si>
    <t>INE227W01023</t>
  </si>
  <si>
    <t>Mangalore Refinery &amp; Petrochemicals Ltd</t>
  </si>
  <si>
    <t>INE103A01014</t>
  </si>
  <si>
    <t>Dr. Agarwals Health Care Ltd</t>
  </si>
  <si>
    <t>INE943P01029</t>
  </si>
  <si>
    <t>Jyothy Labs Ltd</t>
  </si>
  <si>
    <t>INE668F01031</t>
  </si>
  <si>
    <t>Caplin Point Laboratories Ltd</t>
  </si>
  <si>
    <t>INE475E01026</t>
  </si>
  <si>
    <t>BLS International Services Ltd</t>
  </si>
  <si>
    <t>INE153T01027</t>
  </si>
  <si>
    <t>Triveni Engineering &amp; Industries Ltd</t>
  </si>
  <si>
    <t>INE256C01024</t>
  </si>
  <si>
    <t>Blue Dart Express Ltd</t>
  </si>
  <si>
    <t>INE233B01017</t>
  </si>
  <si>
    <t>International Gemmological Institute India Ltd</t>
  </si>
  <si>
    <t>INE0Q9301021</t>
  </si>
  <si>
    <t>Transformers And Rectifiers India Ltd</t>
  </si>
  <si>
    <t>INE763I01026</t>
  </si>
  <si>
    <t>Nuvoco Vistas Corporation Ltd</t>
  </si>
  <si>
    <t>INE118D01016</t>
  </si>
  <si>
    <t>Newgen Software Technologies Ltd</t>
  </si>
  <si>
    <t>INE619B01017</t>
  </si>
  <si>
    <t>Trident Ltd</t>
  </si>
  <si>
    <t>INE064C01022</t>
  </si>
  <si>
    <t>Aegis Vopak Terminals Ltd</t>
  </si>
  <si>
    <t>INE0INX01018</t>
  </si>
  <si>
    <t>Godrej Agrovet Ltd</t>
  </si>
  <si>
    <t>INE850D01014</t>
  </si>
  <si>
    <t>Happiest Minds Technologies Ltd</t>
  </si>
  <si>
    <t>INE419U01012</t>
  </si>
  <si>
    <t>Bombay Burmah Trading Corporation Ltd</t>
  </si>
  <si>
    <t>INE050A01025</t>
  </si>
  <si>
    <t>Rites Ltd</t>
  </si>
  <si>
    <t>INE320J01015</t>
  </si>
  <si>
    <t>Cera Sanitaryware Ltd</t>
  </si>
  <si>
    <t>INE739E01017</t>
  </si>
  <si>
    <t>Valor Estate Ltd</t>
  </si>
  <si>
    <t>INE879I01012</t>
  </si>
  <si>
    <t>Railtel Corporation Of India Ltd</t>
  </si>
  <si>
    <t>INE0DD101019</t>
  </si>
  <si>
    <t>The India Cements Ltd</t>
  </si>
  <si>
    <t>INE383A01012</t>
  </si>
  <si>
    <t>JSW Cement Ltd</t>
  </si>
  <si>
    <t>INE718I01012</t>
  </si>
  <si>
    <t>Rhi Magnesita India Ltd</t>
  </si>
  <si>
    <t>INE743M01012</t>
  </si>
  <si>
    <t>Inox India Ltd</t>
  </si>
  <si>
    <t>INE616N01034</t>
  </si>
  <si>
    <t>ITI Ltd</t>
  </si>
  <si>
    <t>INE248A01017</t>
  </si>
  <si>
    <t>Reliance Infrastructure Ltd</t>
  </si>
  <si>
    <t>INE036A01016</t>
  </si>
  <si>
    <t>Saregama India Ltd</t>
  </si>
  <si>
    <t>INE979A01025</t>
  </si>
  <si>
    <t>Latent View Analytics Ltd</t>
  </si>
  <si>
    <t>INE0I7C01011</t>
  </si>
  <si>
    <t>Vedant Fashions Ltd</t>
  </si>
  <si>
    <t>INE825V01034</t>
  </si>
  <si>
    <t>Acme Solar Holdings Ltd</t>
  </si>
  <si>
    <t>INE622W01025</t>
  </si>
  <si>
    <t>Maharashtra Seamless Ltd</t>
  </si>
  <si>
    <t>INE271B01025</t>
  </si>
  <si>
    <t>JBM Auto Ltd</t>
  </si>
  <si>
    <t>INE927D01051</t>
  </si>
  <si>
    <t>Campus Activewear Ltd</t>
  </si>
  <si>
    <t>INE278Y01022</t>
  </si>
  <si>
    <t>Tata Teleservices Maharashtra Ltd</t>
  </si>
  <si>
    <t>INE517B01013</t>
  </si>
  <si>
    <t>Alkyl Amines Chemicals Ltd</t>
  </si>
  <si>
    <t>INE150B01039</t>
  </si>
  <si>
    <t>Ventive Hospitality Ltd</t>
  </si>
  <si>
    <t>INE781S01027</t>
  </si>
  <si>
    <t>CE Info Systems Ltd</t>
  </si>
  <si>
    <t>INE0BV301023</t>
  </si>
  <si>
    <t>Alok Industries Ltd</t>
  </si>
  <si>
    <t>INE270A01029</t>
  </si>
  <si>
    <t>Rashtriya Chemicals and Fertilizers Ltd</t>
  </si>
  <si>
    <t>INE027A01015</t>
  </si>
  <si>
    <t>Blue Jet Healthcare Ltd</t>
  </si>
  <si>
    <t>INE0KBH01020</t>
  </si>
  <si>
    <t>Akums Drugs And Pharmaceuticals Ltd</t>
  </si>
  <si>
    <t>INE09XN01023</t>
  </si>
  <si>
    <t>MMTC Ltd</t>
  </si>
  <si>
    <t>INE123F01029</t>
  </si>
  <si>
    <t>VA Tech Wabag Ltd</t>
  </si>
  <si>
    <t>INE956G01038</t>
  </si>
  <si>
    <t>Other Utilities</t>
  </si>
  <si>
    <t>PTC India Ltd</t>
  </si>
  <si>
    <t>INE877F01012</t>
  </si>
  <si>
    <t>Jamna Auto Industries Ltd</t>
  </si>
  <si>
    <t>INE039C01032</t>
  </si>
  <si>
    <t>V-Mart Retail Ltd</t>
  </si>
  <si>
    <t>INE665J01013</t>
  </si>
  <si>
    <t>Sharda Cropchem Ltd</t>
  </si>
  <si>
    <t>INE221J01015</t>
  </si>
  <si>
    <t>GMM Pfaudler Ltd</t>
  </si>
  <si>
    <t>INE541A01023</t>
  </si>
  <si>
    <t>Ahluwalia Contracts (India) Ltd</t>
  </si>
  <si>
    <t>INE758C01029</t>
  </si>
  <si>
    <t>Fiem Industries Ltd</t>
  </si>
  <si>
    <t>INE737H01014</t>
  </si>
  <si>
    <t>KRBL Ltd</t>
  </si>
  <si>
    <t>INE001B01026</t>
  </si>
  <si>
    <t>Route Mobile Ltd</t>
  </si>
  <si>
    <t>INE450U01017</t>
  </si>
  <si>
    <t>Thyrocare Technologies Ltd</t>
  </si>
  <si>
    <t>INE594H01019</t>
  </si>
  <si>
    <t>Advanced Enzyme Technologies Ltd</t>
  </si>
  <si>
    <t>INE837H01020</t>
  </si>
  <si>
    <t>INE1YPB01014</t>
  </si>
  <si>
    <t>TVS Supply Chain Solutions Ltd</t>
  </si>
  <si>
    <t>INE395N01027</t>
  </si>
  <si>
    <t>Dodla Dairy Ltd</t>
  </si>
  <si>
    <t>INE021O01019</t>
  </si>
  <si>
    <t>Allcargo Logistics Ltd</t>
  </si>
  <si>
    <t>INE418H01029</t>
  </si>
  <si>
    <t>Embassy Developments Ltd</t>
  </si>
  <si>
    <t>INE069I01010</t>
  </si>
  <si>
    <t>Gulf Oil Lubricants India Ltd</t>
  </si>
  <si>
    <t>INE635Q01029</t>
  </si>
  <si>
    <t>RattanIndia Enterprises Ltd</t>
  </si>
  <si>
    <t>INE834M01019</t>
  </si>
  <si>
    <t>Margin on Derivatives</t>
  </si>
  <si>
    <t>Derivatives</t>
  </si>
  <si>
    <t>Long / Short</t>
  </si>
  <si>
    <t>Market/Fair Value (Rs. in Lakhs)</t>
  </si>
  <si>
    <t xml:space="preserve">% to Net Assets </t>
  </si>
  <si>
    <t>NIFTY 30-MAR-26 FUT</t>
  </si>
  <si>
    <t>Long</t>
  </si>
  <si>
    <t>Index</t>
  </si>
  <si>
    <t>Mutual Fund Units</t>
  </si>
  <si>
    <t>JioBlackRock Money Market Fund - Direct Plan - Growth Option</t>
  </si>
  <si>
    <t>INF22M001028</t>
  </si>
  <si>
    <t>JioBlackRock Liquid Fund - Direct Plan - Growth Option</t>
  </si>
  <si>
    <t>INF22M001010</t>
  </si>
  <si>
    <t>MAX HEALTHCARE INSTITUTE FUT 28-APR-26</t>
  </si>
  <si>
    <t>Short</t>
  </si>
  <si>
    <t>INDIAN HOTELS CO LTD FUT 30-MAR-26</t>
  </si>
  <si>
    <t>M&amp;M LTD FUT 30-MAR-26</t>
  </si>
  <si>
    <t>VODAFONE IDEA LTD FUT 26-MAY-26</t>
  </si>
  <si>
    <t>SUN PHARMA IND LTD FUT 28-APR-26</t>
  </si>
  <si>
    <t>VODAFONE IDEA LTD FUT 30-MAR-26</t>
  </si>
  <si>
    <t>TRENT LTD FUT 28-APR-26</t>
  </si>
  <si>
    <t>GAIL INDIA LTD FUT 28-APR-26</t>
  </si>
  <si>
    <t>ICICI PRU LIFE INS CO LTD FUT 30-MAR-26</t>
  </si>
  <si>
    <t>BAJAJ FINSERV LTD FUT 28-APR-26</t>
  </si>
  <si>
    <t>GMR AIRPORTS LTD FUT 30-MAR-26</t>
  </si>
  <si>
    <t>FORTIS HEALTHCARE LTD  FUT 30-MAR-26</t>
  </si>
  <si>
    <t>CROMPT GREA CON ELEC LTD FUT 30-MAR-26</t>
  </si>
  <si>
    <t>TATA CONSUMER PRODUCTS LTD FUT 30-MAR-26</t>
  </si>
  <si>
    <t>CIPLA LTD FUT 30-MAR-26</t>
  </si>
  <si>
    <t>ADANI PORTS AND SP ECO FUT 28-APR-26</t>
  </si>
  <si>
    <t>YES BANK LTD FUT 26-MAY-26</t>
  </si>
  <si>
    <t>HDFC BANK LTD FUT 30-MAR-26</t>
  </si>
  <si>
    <t>DALMIA BHARAT LTD FUT 30-MAR-26</t>
  </si>
  <si>
    <t>HDFC LIFE INSURANCE COLTD FUT 28-APR-26</t>
  </si>
  <si>
    <t>HINDALCO INDUSTRIES LTD FUT 30-MAR-26</t>
  </si>
  <si>
    <t>ASIAN PAINTS LTD FUT 30-MAR-26</t>
  </si>
  <si>
    <t>IDFC FIRST BANK LTD FUT 30-MAR-26</t>
  </si>
  <si>
    <t>CROMPT GREA CON ELEC LTD FUT 28-APR-26</t>
  </si>
  <si>
    <t>FSN E-COMMERCE VENTURES FUT 30-MAR-26</t>
  </si>
  <si>
    <t>RELIANCE INDUSTRIES LTD FUT 30-MAR-26</t>
  </si>
  <si>
    <t>ETERNAL LTD FUT 30-MAR-26</t>
  </si>
  <si>
    <t>GRASIM INDUSTRIES LTD FUT 30-MAR-26</t>
  </si>
  <si>
    <t>HINDUSTAN AERONAUTICS LTD FUT 30-MAR-26</t>
  </si>
  <si>
    <t>PUNJAB NATIONAL BANK FUT 28-APR-26</t>
  </si>
  <si>
    <t>NTPC LTD FUT 30-MAR-26</t>
  </si>
  <si>
    <t>INDIAN HOTELS CO LTD FUT 28-APR-26</t>
  </si>
  <si>
    <t>INFOSYS LTD FUT 28-APR-26</t>
  </si>
  <si>
    <t>BANK OF BARODA FUT 28-APR-26</t>
  </si>
  <si>
    <t>SUN PHARMA IND LTD FUT 30-MAR-26</t>
  </si>
  <si>
    <t>LIC HOUSING FIN LTD FUT 30-MAR-26</t>
  </si>
  <si>
    <t>ULTRA TECH CEMENT LTD FUT 30-MAR-26</t>
  </si>
  <si>
    <t>ONGC LTD FUT 28-APR-26</t>
  </si>
  <si>
    <t>BHARAT HEAVY ELECT LTD FUT 30-MAR-26</t>
  </si>
  <si>
    <t>LIC HOUSING FIN LTD FUT 28-APR-26</t>
  </si>
  <si>
    <t>KPIT TECHNOLOGIES LTD FUT 30-MAR-26</t>
  </si>
  <si>
    <t>DLF LTD FUT 28-APR-26</t>
  </si>
  <si>
    <t>IDFC FIRST BANK LTD FUT 28-APR-26</t>
  </si>
  <si>
    <t>BRITANNIA INDUSTRIES LTD FUT 30-MAR-26</t>
  </si>
  <si>
    <t>M&amp;M LTD FUT 28-APR-26</t>
  </si>
  <si>
    <t>BAJAJ FINANCE LTD FUT 28-APR-26</t>
  </si>
  <si>
    <t>TCS LTD FUT 30-MAR-26</t>
  </si>
  <si>
    <t>POLYCAB INDIA LTD FUT 30-MAR-26</t>
  </si>
  <si>
    <t>TCS LTD FUT 28-APR-26</t>
  </si>
  <si>
    <t>LAURUS LABS LTD FUT 28-APR-26</t>
  </si>
  <si>
    <t>BHARTI AIRTEL LTD FUT 30-MAR-26</t>
  </si>
  <si>
    <t>BAJAJ FINANCE LTD FUT 30-MAR-26</t>
  </si>
  <si>
    <t>UPL LTD FUT 30-MAR-26</t>
  </si>
  <si>
    <t>UPL LTD FUT 28-APR-26</t>
  </si>
  <si>
    <t>ICICI BANK LTD FUT 28-APR-26</t>
  </si>
  <si>
    <t>YES BANK LTD FUT 28-APR-26</t>
  </si>
  <si>
    <t>VODAFONE IDEA LTD FUT 28-APR-26</t>
  </si>
  <si>
    <t>MAX FINANCIAL SERVICES LTD FUT 30-MAR-26</t>
  </si>
  <si>
    <t>BAJAJ FINSERV LTD FUT 30-MAR-26</t>
  </si>
  <si>
    <t>BHARAT HEAVY ELECT LTD FUT 28-APR-26</t>
  </si>
  <si>
    <t>KOTAK BANK LTD FUT 30-MAR-26</t>
  </si>
  <si>
    <t>JSW STEEL LTD FUT 30-MAR-26</t>
  </si>
  <si>
    <t>AXIS BANK LTD FUT 30-MAR-26</t>
  </si>
  <si>
    <t>TATA POWER CO LTD FUT 28-APR-26</t>
  </si>
  <si>
    <t>INDIAN OIL CORP LTD FUT 30-MAR-26</t>
  </si>
  <si>
    <t>INTERGLOBE AVIATION LTD FUT 30-MAR-26</t>
  </si>
  <si>
    <t>HDFC AMC LTD FUT 30-MAR-26</t>
  </si>
  <si>
    <t>BANK OF BARODA FUT 30-MAR-26</t>
  </si>
  <si>
    <t>BHARTI AIRTEL LTD FUT 28-APR-26</t>
  </si>
  <si>
    <t>DLF LTD FUT 30-MAR-26</t>
  </si>
  <si>
    <t>KOTAK BANK LTD FUT 28-APR-26</t>
  </si>
  <si>
    <t>ICICI BANK LTD FUT 30-MAR-26</t>
  </si>
  <si>
    <t>GODREJ PROPERTIES LTD FUT 30-MAR-26</t>
  </si>
  <si>
    <t>TATA MOTORS PASS VEHICLES FUT 30-MAR-26</t>
  </si>
  <si>
    <t>ITC LTD FUT 28-APR-26</t>
  </si>
  <si>
    <t>PRESTIGE ESTATES PROJECTS FUT 30-MAR-26</t>
  </si>
  <si>
    <t>RELIANCE INDUSTRIES LTD FUT 28-APR-26</t>
  </si>
  <si>
    <t>HDFC BANK LTD FUT 28-APR-26</t>
  </si>
  <si>
    <t>Industry Classification / Rating</t>
  </si>
  <si>
    <t>Scheme Risk-O-Meter</t>
  </si>
  <si>
    <t>Benchmark Risk-O-Meter</t>
  </si>
  <si>
    <t>Benchmark Name - NIFTY Money Market Index A-I</t>
  </si>
  <si>
    <t>Benchmark Name - NIFTY 1D Rate Index</t>
  </si>
  <si>
    <t>Benchmark Name - NIFTY Liquid Index A-I</t>
  </si>
  <si>
    <t>Benchmark Name - NIFTY 8-13 yr G-Sec</t>
  </si>
  <si>
    <t>Benchmark Name - NIFTY Low Duration Debt Index A-I</t>
  </si>
  <si>
    <t>Benchmark Name - NIFTY Short Duration Debt Index A-II</t>
  </si>
  <si>
    <t>Benchmark Name - NIFTY 50 Index (TRI)</t>
  </si>
  <si>
    <t>Benchmark Name - NIFTY Next 50 Index (TRI)</t>
  </si>
  <si>
    <t>Benchmark Name - NIFTY Midcap 150 Index (TRI)</t>
  </si>
  <si>
    <t>Benchmark Name - NIFTY Smallcap 250 Index (TRI)</t>
  </si>
  <si>
    <t>Benchmark Name - Nifty 500 Index (TRI)</t>
  </si>
  <si>
    <t>Benchmark Name - Nifty 50 Arbitrage (TRI)</t>
  </si>
  <si>
    <t>JBMMF</t>
  </si>
  <si>
    <t>JBOF</t>
  </si>
  <si>
    <t>JBLF</t>
  </si>
  <si>
    <t>JBN8-13</t>
  </si>
  <si>
    <t>JBLOW</t>
  </si>
  <si>
    <t>JBSHORT</t>
  </si>
  <si>
    <t>JBN50</t>
  </si>
  <si>
    <t>JBNNX50</t>
  </si>
  <si>
    <t>JBNM150</t>
  </si>
  <si>
    <t>JBNS250</t>
  </si>
  <si>
    <t>JBFLEXI</t>
  </si>
  <si>
    <t>JBARB</t>
  </si>
  <si>
    <t>JBSECRO</t>
  </si>
  <si>
    <t>-</t>
  </si>
  <si>
    <t>Debt Index Replication Factor (DIRF) : 97.35%</t>
  </si>
  <si>
    <t>Allcargo Global Ltd**</t>
  </si>
  <si>
    <t>Cumulative Non-Convertible Redeemable Preference Shares</t>
  </si>
  <si>
    <t>Aggregate Investments by other schemes (at NAV) as on February 28, 2026, is Rs.2,528.09 Lakh's.</t>
  </si>
  <si>
    <t>Aggregate Investments by other schemes (at NAV) as on February 28, 2026, is Rs.1,520.99 Lakh's.</t>
  </si>
  <si>
    <t>MULTI COMMODITY EXCHANGE OF IND FUT 30-MAR-26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</si>
</sst>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00"/>
    <numFmt numFmtId="166" formatCode="#,##0;\(#,##0.\)"/>
  </numFmts>
  <fonts count="1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CCCCC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1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7" fillId="3" borderId="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center" vertical="center" wrapText="1"/>
    </xf>
    <xf numFmtId="39" fontId="6" fillId="4" borderId="0" xfId="0" applyNumberFormat="1" applyFont="1" applyFill="1" applyBorder="1"/>
    <xf numFmtId="0" fontId="10" fillId="0" borderId="0" xfId="0" applyFont="1"/>
    <xf numFmtId="0" fontId="11" fillId="0" borderId="3" xfId="1" applyBorder="1"/>
    <xf numFmtId="0" fontId="10" fillId="0" borderId="4" xfId="0" applyFont="1" applyBorder="1"/>
    <xf numFmtId="0" fontId="10" fillId="0" borderId="5" xfId="0" applyFont="1" applyBorder="1"/>
    <xf numFmtId="0" fontId="11" fillId="0" borderId="6" xfId="1" applyBorder="1"/>
    <xf numFmtId="0" fontId="10" fillId="0" borderId="7" xfId="0" applyFont="1" applyBorder="1"/>
    <xf numFmtId="0" fontId="10" fillId="0" borderId="8" xfId="0" applyFont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 wrapText="1"/>
    </xf>
    <xf numFmtId="39" fontId="5" fillId="0" borderId="9" xfId="0" applyNumberFormat="1" applyFont="1" applyBorder="1" applyAlignment="1">
      <alignment horizontal="center" vertical="center" wrapText="1"/>
    </xf>
    <xf numFmtId="10" fontId="5" fillId="0" borderId="9" xfId="0" applyNumberFormat="1" applyFont="1" applyBorder="1" applyAlignment="1">
      <alignment horizontal="center" vertical="center" wrapText="1"/>
    </xf>
    <xf numFmtId="0" fontId="5" fillId="2" borderId="10" xfId="0" applyFont="1" applyFill="1" applyBorder="1"/>
    <xf numFmtId="0" fontId="6" fillId="2" borderId="10" xfId="0" applyFont="1" applyFill="1" applyBorder="1"/>
    <xf numFmtId="0" fontId="6" fillId="2" borderId="10" xfId="0" applyNumberFormat="1" applyFont="1" applyFill="1" applyBorder="1"/>
    <xf numFmtId="39" fontId="6" fillId="2" borderId="10" xfId="0" applyNumberFormat="1" applyFont="1" applyFill="1" applyBorder="1"/>
    <xf numFmtId="39" fontId="6" fillId="4" borderId="10" xfId="0" applyNumberFormat="1" applyFont="1" applyFill="1" applyBorder="1"/>
    <xf numFmtId="10" fontId="6" fillId="2" borderId="10" xfId="0" applyNumberFormat="1" applyFont="1" applyFill="1" applyBorder="1"/>
    <xf numFmtId="3" fontId="6" fillId="2" borderId="10" xfId="0" applyNumberFormat="1" applyFont="1" applyFill="1" applyBorder="1"/>
    <xf numFmtId="164" fontId="6" fillId="2" borderId="10" xfId="0" applyNumberFormat="1" applyFont="1" applyFill="1" applyBorder="1"/>
    <xf numFmtId="4" fontId="6" fillId="2" borderId="10" xfId="0" applyNumberFormat="1" applyFont="1" applyFill="1" applyBorder="1"/>
    <xf numFmtId="0" fontId="5" fillId="2" borderId="10" xfId="0" applyNumberFormat="1" applyFont="1" applyFill="1" applyBorder="1"/>
    <xf numFmtId="39" fontId="5" fillId="2" borderId="11" xfId="0" applyNumberFormat="1" applyFont="1" applyFill="1" applyBorder="1"/>
    <xf numFmtId="39" fontId="5" fillId="4" borderId="11" xfId="0" applyNumberFormat="1" applyFont="1" applyFill="1" applyBorder="1"/>
    <xf numFmtId="10" fontId="5" fillId="2" borderId="10" xfId="0" applyNumberFormat="1" applyFont="1" applyFill="1" applyBorder="1"/>
    <xf numFmtId="39" fontId="5" fillId="2" borderId="12" xfId="0" applyNumberFormat="1" applyFont="1" applyFill="1" applyBorder="1"/>
    <xf numFmtId="39" fontId="5" fillId="4" borderId="12" xfId="0" applyNumberFormat="1" applyFont="1" applyFill="1" applyBorder="1"/>
    <xf numFmtId="0" fontId="5" fillId="2" borderId="13" xfId="0" applyFont="1" applyFill="1" applyBorder="1"/>
    <xf numFmtId="0" fontId="5" fillId="2" borderId="13" xfId="0" applyNumberFormat="1" applyFont="1" applyFill="1" applyBorder="1"/>
    <xf numFmtId="39" fontId="5" fillId="2" borderId="13" xfId="0" applyNumberFormat="1" applyFont="1" applyFill="1" applyBorder="1"/>
    <xf numFmtId="39" fontId="5" fillId="4" borderId="13" xfId="0" applyNumberFormat="1" applyFont="1" applyFill="1" applyBorder="1"/>
    <xf numFmtId="0" fontId="5" fillId="2" borderId="14" xfId="0" applyFont="1" applyFill="1" applyBorder="1"/>
    <xf numFmtId="0" fontId="5" fillId="2" borderId="14" xfId="0" applyNumberFormat="1" applyFont="1" applyFill="1" applyBorder="1"/>
    <xf numFmtId="39" fontId="5" fillId="2" borderId="14" xfId="0" applyNumberFormat="1" applyFont="1" applyFill="1" applyBorder="1"/>
    <xf numFmtId="39" fontId="5" fillId="4" borderId="14" xfId="0" applyNumberFormat="1" applyFont="1" applyFill="1" applyBorder="1"/>
    <xf numFmtId="10" fontId="5" fillId="2" borderId="15" xfId="0" applyNumberFormat="1" applyFont="1" applyFill="1" applyBorder="1"/>
    <xf numFmtId="0" fontId="5" fillId="2" borderId="11" xfId="0" applyFont="1" applyFill="1" applyBorder="1"/>
    <xf numFmtId="0" fontId="5" fillId="2" borderId="11" xfId="0" applyNumberFormat="1" applyFont="1" applyFill="1" applyBorder="1"/>
    <xf numFmtId="0" fontId="5" fillId="2" borderId="0" xfId="0" applyFont="1" applyFill="1" applyAlignment="1">
      <alignment horizontal="right"/>
    </xf>
    <xf numFmtId="165" fontId="6" fillId="2" borderId="0" xfId="0" applyNumberFormat="1" applyFont="1" applyFill="1"/>
    <xf numFmtId="0" fontId="6" fillId="2" borderId="13" xfId="0" applyFont="1" applyFill="1" applyBorder="1"/>
    <xf numFmtId="0" fontId="6" fillId="2" borderId="13" xfId="0" applyNumberFormat="1" applyFont="1" applyFill="1" applyBorder="1"/>
    <xf numFmtId="39" fontId="6" fillId="2" borderId="13" xfId="0" applyNumberFormat="1" applyFont="1" applyFill="1" applyBorder="1"/>
    <xf numFmtId="39" fontId="6" fillId="4" borderId="13" xfId="0" applyNumberFormat="1" applyFont="1" applyFill="1" applyBorder="1"/>
    <xf numFmtId="39" fontId="5" fillId="2" borderId="12" xfId="0" applyNumberFormat="1" applyFont="1" applyFill="1" applyBorder="1" applyAlignment="1">
      <alignment horizontal="right"/>
    </xf>
    <xf numFmtId="39" fontId="5" fillId="4" borderId="12" xfId="0" applyNumberFormat="1" applyFont="1" applyFill="1" applyBorder="1" applyAlignment="1">
      <alignment horizontal="right"/>
    </xf>
    <xf numFmtId="39" fontId="5" fillId="2" borderId="13" xfId="0" applyNumberFormat="1" applyFont="1" applyFill="1" applyBorder="1" applyAlignment="1">
      <alignment horizontal="right"/>
    </xf>
    <xf numFmtId="39" fontId="5" fillId="4" borderId="13" xfId="0" applyNumberFormat="1" applyFont="1" applyFill="1" applyBorder="1" applyAlignment="1">
      <alignment horizontal="right"/>
    </xf>
    <xf numFmtId="39" fontId="5" fillId="2" borderId="10" xfId="0" applyNumberFormat="1" applyFont="1" applyFill="1" applyBorder="1" applyAlignment="1">
      <alignment horizontal="right"/>
    </xf>
    <xf numFmtId="39" fontId="5" fillId="4" borderId="10" xfId="0" applyNumberFormat="1" applyFont="1" applyFill="1" applyBorder="1" applyAlignment="1">
      <alignment horizontal="right"/>
    </xf>
    <xf numFmtId="0" fontId="5" fillId="2" borderId="15" xfId="0" applyFont="1" applyFill="1" applyBorder="1"/>
    <xf numFmtId="0" fontId="12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/>
    <xf numFmtId="0" fontId="5" fillId="2" borderId="1" xfId="0" applyNumberFormat="1" applyFont="1" applyFill="1" applyBorder="1"/>
    <xf numFmtId="39" fontId="5" fillId="2" borderId="1" xfId="0" applyNumberFormat="1" applyFont="1" applyFill="1" applyBorder="1"/>
    <xf numFmtId="39" fontId="5" fillId="4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4" borderId="1" xfId="0" applyNumberFormat="1" applyFont="1" applyFill="1" applyBorder="1"/>
    <xf numFmtId="0" fontId="11" fillId="2" borderId="0" xfId="1" applyFill="1"/>
    <xf numFmtId="39" fontId="6" fillId="4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5" fillId="4" borderId="0" xfId="0" applyFont="1" applyFill="1" applyAlignment="1">
      <alignment vertical="center"/>
    </xf>
    <xf numFmtId="0" fontId="5" fillId="4" borderId="0" xfId="0" applyFont="1" applyFill="1"/>
    <xf numFmtId="0" fontId="5" fillId="2" borderId="0" xfId="0" applyFont="1" applyFill="1" applyAlignment="1">
      <alignment vertical="center" wrapText="1"/>
    </xf>
    <xf numFmtId="39" fontId="6" fillId="0" borderId="10" xfId="0" applyNumberFormat="1" applyFont="1" applyFill="1" applyBorder="1"/>
    <xf numFmtId="0" fontId="6" fillId="4" borderId="0" xfId="0" applyFont="1" applyFill="1"/>
    <xf numFmtId="0" fontId="5" fillId="2" borderId="16" xfId="0" applyFont="1" applyFill="1" applyBorder="1"/>
    <xf numFmtId="0" fontId="5" fillId="2" borderId="17" xfId="0" applyFont="1" applyFill="1" applyBorder="1"/>
    <xf numFmtId="39" fontId="5" fillId="2" borderId="17" xfId="0" applyNumberFormat="1" applyFont="1" applyFill="1" applyBorder="1"/>
    <xf numFmtId="39" fontId="5" fillId="4" borderId="18" xfId="0" applyNumberFormat="1" applyFont="1" applyFill="1" applyBorder="1"/>
    <xf numFmtId="39" fontId="5" fillId="2" borderId="14" xfId="0" applyNumberFormat="1" applyFont="1" applyFill="1" applyBorder="1" applyAlignment="1">
      <alignment horizontal="right"/>
    </xf>
    <xf numFmtId="39" fontId="5" fillId="4" borderId="14" xfId="0" applyNumberFormat="1" applyFont="1" applyFill="1" applyBorder="1" applyAlignment="1">
      <alignment horizontal="right"/>
    </xf>
    <xf numFmtId="0" fontId="3" fillId="4" borderId="0" xfId="0" applyFont="1" applyFill="1"/>
    <xf numFmtId="0" fontId="8" fillId="0" borderId="0" xfId="0" applyFont="1" applyAlignment="1">
      <alignment horizontal="left" vertical="top" wrapText="1"/>
    </xf>
    <xf numFmtId="0" fontId="9" fillId="0" borderId="0" xfId="0" applyFont="1" applyAlignment="1"/>
    <xf numFmtId="0" fontId="5" fillId="2" borderId="0" xfId="0" applyFont="1" applyFill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39" fontId="5" fillId="2" borderId="1" xfId="0" applyNumberFormat="1" applyFont="1" applyFill="1" applyBorder="1" applyAlignment="1">
      <alignment horizontal="center" vertical="center" wrapText="1"/>
    </xf>
    <xf numFmtId="39" fontId="5" fillId="4" borderId="19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39" fontId="5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14"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  <dxf>
      <numFmt numFmtId="167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68</xdr:row>
      <xdr:rowOff>9525</xdr:rowOff>
    </xdr:from>
    <xdr:to>
      <xdr:col>4</xdr:col>
      <xdr:colOff>28575</xdr:colOff>
      <xdr:row>85</xdr:row>
      <xdr:rowOff>66675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5DA47B0-C710-40D6-92C3-EB059363B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700" y="9515475"/>
          <a:ext cx="5032375" cy="2216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476250</xdr:colOff>
      <xdr:row>91</xdr:row>
      <xdr:rowOff>47625</xdr:rowOff>
    </xdr:from>
    <xdr:to>
      <xdr:col>4</xdr:col>
      <xdr:colOff>228600</xdr:colOff>
      <xdr:row>108</xdr:row>
      <xdr:rowOff>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795FF02-B16D-4FFB-90BB-6EE734D3F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2493625"/>
          <a:ext cx="5156200" cy="2111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40</xdr:row>
      <xdr:rowOff>104775</xdr:rowOff>
    </xdr:from>
    <xdr:to>
      <xdr:col>3</xdr:col>
      <xdr:colOff>793750</xdr:colOff>
      <xdr:row>57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13048-7341-4DA4-B7B5-F83D1FBE9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3625" y="5108575"/>
          <a:ext cx="4632325" cy="2073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64</xdr:row>
      <xdr:rowOff>28575</xdr:rowOff>
    </xdr:from>
    <xdr:to>
      <xdr:col>3</xdr:col>
      <xdr:colOff>889000</xdr:colOff>
      <xdr:row>81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D01FC5-194D-45CB-9845-47C98612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775" y="8099425"/>
          <a:ext cx="505142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88</xdr:row>
      <xdr:rowOff>0</xdr:rowOff>
    </xdr:from>
    <xdr:to>
      <xdr:col>3</xdr:col>
      <xdr:colOff>882650</xdr:colOff>
      <xdr:row>105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125B56-48CF-4E2F-8C62-0DD1505CC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4075" y="15030450"/>
          <a:ext cx="4994275" cy="215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323850</xdr:colOff>
      <xdr:row>109</xdr:row>
      <xdr:rowOff>76200</xdr:rowOff>
    </xdr:from>
    <xdr:to>
      <xdr:col>4</xdr:col>
      <xdr:colOff>60325</xdr:colOff>
      <xdr:row>126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595F7E-FA18-41AC-9E7D-2616FE50F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786350"/>
          <a:ext cx="5159375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400050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A80BF-8DCC-4B70-9ED1-642860106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9825" y="3740150"/>
          <a:ext cx="4149725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460375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32734F-E0A2-4B0D-9BDF-24D3F37DC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5050" y="6184900"/>
          <a:ext cx="4314825" cy="172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920750</xdr:colOff>
      <xdr:row>45</xdr:row>
      <xdr:rowOff>74084</xdr:rowOff>
    </xdr:from>
    <xdr:to>
      <xdr:col>4</xdr:col>
      <xdr:colOff>536575</xdr:colOff>
      <xdr:row>63</xdr:row>
      <xdr:rowOff>11643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55765740-0A42-4359-B677-0FB6E247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400" y="6595534"/>
          <a:ext cx="5032375" cy="2223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1123950</xdr:colOff>
      <xdr:row>71</xdr:row>
      <xdr:rowOff>69850</xdr:rowOff>
    </xdr:from>
    <xdr:to>
      <xdr:col>4</xdr:col>
      <xdr:colOff>863600</xdr:colOff>
      <xdr:row>88</xdr:row>
      <xdr:rowOff>25400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1CB62B-D50D-4DA9-9283-42F55AEB3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5600" y="9906000"/>
          <a:ext cx="5156200" cy="2114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1504950</xdr:colOff>
      <xdr:row>63</xdr:row>
      <xdr:rowOff>63500</xdr:rowOff>
    </xdr:from>
    <xdr:to>
      <xdr:col>5</xdr:col>
      <xdr:colOff>285750</xdr:colOff>
      <xdr:row>80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20B23-F32C-4A1C-A1C4-91209F271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6600" y="87439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1619250</xdr:colOff>
      <xdr:row>38</xdr:row>
      <xdr:rowOff>114300</xdr:rowOff>
    </xdr:from>
    <xdr:to>
      <xdr:col>5</xdr:col>
      <xdr:colOff>400050</xdr:colOff>
      <xdr:row>55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D0AB90-92D4-44CD-AA22-3E983748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0900" y="5607050"/>
          <a:ext cx="51562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3</xdr:col>
      <xdr:colOff>63500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8FCB05-346D-4DA2-8AE0-53F6ADD26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375" y="9394825"/>
          <a:ext cx="4035425" cy="1816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9524</xdr:rowOff>
    </xdr:from>
    <xdr:to>
      <xdr:col>3</xdr:col>
      <xdr:colOff>177800</xdr:colOff>
      <xdr:row>101</xdr:row>
      <xdr:rowOff>12699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7EA97A-840A-4AB8-9E67-A5F8C4EDB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1250" y="11566524"/>
          <a:ext cx="4006850" cy="2035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75</xdr:row>
      <xdr:rowOff>104775</xdr:rowOff>
    </xdr:from>
    <xdr:to>
      <xdr:col>2</xdr:col>
      <xdr:colOff>812800</xdr:colOff>
      <xdr:row>89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D75C0-3CC3-4CAB-979A-BAAD67B7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7900" y="10188575"/>
          <a:ext cx="4041775" cy="175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762000</xdr:colOff>
      <xdr:row>92</xdr:row>
      <xdr:rowOff>19050</xdr:rowOff>
    </xdr:from>
    <xdr:to>
      <xdr:col>2</xdr:col>
      <xdr:colOff>708025</xdr:colOff>
      <xdr:row>106</xdr:row>
      <xdr:rowOff>101601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9F7A9D-0373-4094-80C4-A9D202241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650" y="12274550"/>
          <a:ext cx="3616325" cy="18605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168</xdr:row>
      <xdr:rowOff>85725</xdr:rowOff>
    </xdr:from>
    <xdr:to>
      <xdr:col>2</xdr:col>
      <xdr:colOff>708025</xdr:colOff>
      <xdr:row>183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EA0D1-4563-4AFC-844B-FD295A381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3125" y="21656675"/>
          <a:ext cx="40068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187</xdr:row>
      <xdr:rowOff>47625</xdr:rowOff>
    </xdr:from>
    <xdr:to>
      <xdr:col>2</xdr:col>
      <xdr:colOff>612775</xdr:colOff>
      <xdr:row>203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7F998C-4AFD-4ACC-A718-F6443683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575" y="24044275"/>
          <a:ext cx="3740150" cy="203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268</xdr:row>
      <xdr:rowOff>47625</xdr:rowOff>
    </xdr:from>
    <xdr:to>
      <xdr:col>3</xdr:col>
      <xdr:colOff>22225</xdr:colOff>
      <xdr:row>282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73E19-487D-4EE7-B4FC-070A9F7F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83292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287</xdr:row>
      <xdr:rowOff>19050</xdr:rowOff>
    </xdr:from>
    <xdr:to>
      <xdr:col>2</xdr:col>
      <xdr:colOff>609600</xdr:colOff>
      <xdr:row>301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368FD3-8E6A-4D8C-8624-6A6155FF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230050"/>
          <a:ext cx="3613150" cy="186372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904875</xdr:colOff>
      <xdr:row>145</xdr:row>
      <xdr:rowOff>0</xdr:rowOff>
    </xdr:from>
    <xdr:to>
      <xdr:col>2</xdr:col>
      <xdr:colOff>174625</xdr:colOff>
      <xdr:row>159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7FBB9-AD4F-45BE-9630-5BC7B8A97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6525" y="19627850"/>
          <a:ext cx="4070350" cy="177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939800</xdr:colOff>
      <xdr:row>163</xdr:row>
      <xdr:rowOff>47624</xdr:rowOff>
    </xdr:from>
    <xdr:to>
      <xdr:col>2</xdr:col>
      <xdr:colOff>231775</xdr:colOff>
      <xdr:row>178</xdr:row>
      <xdr:rowOff>85724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3F5600-1276-4751-A0C0-7CDAAD9BF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41450" y="21974174"/>
          <a:ext cx="409257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1276350</xdr:colOff>
      <xdr:row>173</xdr:row>
      <xdr:rowOff>47625</xdr:rowOff>
    </xdr:from>
    <xdr:to>
      <xdr:col>3</xdr:col>
      <xdr:colOff>44450</xdr:colOff>
      <xdr:row>189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B580B-00C3-44BF-A746-F6A2D6D0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0" y="21631275"/>
          <a:ext cx="4699000" cy="207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923925</xdr:colOff>
      <xdr:row>192</xdr:row>
      <xdr:rowOff>85725</xdr:rowOff>
    </xdr:from>
    <xdr:to>
      <xdr:col>3</xdr:col>
      <xdr:colOff>107950</xdr:colOff>
      <xdr:row>209</xdr:row>
      <xdr:rowOff>82550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D05617-34D9-4293-8E67-425719C0C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5575" y="24095075"/>
          <a:ext cx="5114925" cy="215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1171575</xdr:colOff>
      <xdr:row>285</xdr:row>
      <xdr:rowOff>9525</xdr:rowOff>
    </xdr:from>
    <xdr:to>
      <xdr:col>3</xdr:col>
      <xdr:colOff>808264</xdr:colOff>
      <xdr:row>303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68F5E3-FB08-407A-BBE8-5E6B9A37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7825" y="41176575"/>
          <a:ext cx="4951639" cy="257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1581149</xdr:colOff>
      <xdr:row>311</xdr:row>
      <xdr:rowOff>123825</xdr:rowOff>
    </xdr:from>
    <xdr:to>
      <xdr:col>3</xdr:col>
      <xdr:colOff>419100</xdr:colOff>
      <xdr:row>327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7F04687-C751-44A8-A150-3AADF2999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57399" y="45005625"/>
          <a:ext cx="4152901" cy="2181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D9DFF-70F7-428E-B8B4-6C3F7A0594B3}">
  <dimension ref="A1:C14"/>
  <sheetViews>
    <sheetView tabSelected="1" workbookViewId="0">
      <selection activeCell="C2" sqref="C2"/>
    </sheetView>
  </sheetViews>
  <sheetFormatPr defaultColWidth="8.85546875" defaultRowHeight="12.75" x14ac:dyDescent="0.2"/>
  <cols>
    <col min="1" max="1" width="6.140625" style="19" bestFit="1" customWidth="1"/>
    <col min="2" max="2" width="10.85546875" style="19" bestFit="1" customWidth="1"/>
    <col min="3" max="3" width="40.42578125" style="19" customWidth="1"/>
    <col min="4" max="16384" width="8.85546875" style="19"/>
  </cols>
  <sheetData>
    <row r="1" spans="1:3" ht="15.95" customHeight="1" x14ac:dyDescent="0.2">
      <c r="A1" s="112" t="s">
        <v>1</v>
      </c>
      <c r="B1" s="16" t="s">
        <v>2</v>
      </c>
      <c r="C1" s="16" t="s">
        <v>3</v>
      </c>
    </row>
    <row r="2" spans="1:3" ht="15" x14ac:dyDescent="0.25">
      <c r="A2" s="21">
        <v>1</v>
      </c>
      <c r="B2" s="20" t="s">
        <v>1488</v>
      </c>
      <c r="C2" s="22" t="s">
        <v>10</v>
      </c>
    </row>
    <row r="3" spans="1:3" ht="15" x14ac:dyDescent="0.25">
      <c r="A3" s="24">
        <v>2</v>
      </c>
      <c r="B3" s="23" t="s">
        <v>1489</v>
      </c>
      <c r="C3" s="25" t="s">
        <v>11</v>
      </c>
    </row>
    <row r="4" spans="1:3" ht="15" x14ac:dyDescent="0.25">
      <c r="A4" s="24">
        <v>3</v>
      </c>
      <c r="B4" s="23" t="s">
        <v>1490</v>
      </c>
      <c r="C4" s="25" t="s">
        <v>12</v>
      </c>
    </row>
    <row r="5" spans="1:3" ht="15" x14ac:dyDescent="0.25">
      <c r="A5" s="24">
        <v>4</v>
      </c>
      <c r="B5" s="23" t="s">
        <v>1491</v>
      </c>
      <c r="C5" s="25" t="s">
        <v>13</v>
      </c>
    </row>
    <row r="6" spans="1:3" ht="15" x14ac:dyDescent="0.25">
      <c r="A6" s="24">
        <v>5</v>
      </c>
      <c r="B6" s="23" t="s">
        <v>1492</v>
      </c>
      <c r="C6" s="25" t="s">
        <v>14</v>
      </c>
    </row>
    <row r="7" spans="1:3" ht="15" x14ac:dyDescent="0.25">
      <c r="A7" s="24">
        <v>6</v>
      </c>
      <c r="B7" s="23" t="s">
        <v>1493</v>
      </c>
      <c r="C7" s="25" t="s">
        <v>15</v>
      </c>
    </row>
    <row r="8" spans="1:3" ht="15" x14ac:dyDescent="0.25">
      <c r="A8" s="24">
        <v>7</v>
      </c>
      <c r="B8" s="23" t="s">
        <v>1494</v>
      </c>
      <c r="C8" s="25" t="s">
        <v>16</v>
      </c>
    </row>
    <row r="9" spans="1:3" ht="15" x14ac:dyDescent="0.25">
      <c r="A9" s="24">
        <v>8</v>
      </c>
      <c r="B9" s="23" t="s">
        <v>1495</v>
      </c>
      <c r="C9" s="25" t="s">
        <v>17</v>
      </c>
    </row>
    <row r="10" spans="1:3" ht="15" x14ac:dyDescent="0.25">
      <c r="A10" s="24">
        <v>9</v>
      </c>
      <c r="B10" s="23" t="s">
        <v>1496</v>
      </c>
      <c r="C10" s="25" t="s">
        <v>18</v>
      </c>
    </row>
    <row r="11" spans="1:3" ht="15" x14ac:dyDescent="0.25">
      <c r="A11" s="24">
        <v>10</v>
      </c>
      <c r="B11" s="23" t="s">
        <v>1497</v>
      </c>
      <c r="C11" s="25" t="s">
        <v>19</v>
      </c>
    </row>
    <row r="12" spans="1:3" ht="15" x14ac:dyDescent="0.25">
      <c r="A12" s="24">
        <v>11</v>
      </c>
      <c r="B12" s="23" t="s">
        <v>1498</v>
      </c>
      <c r="C12" s="25" t="s">
        <v>20</v>
      </c>
    </row>
    <row r="13" spans="1:3" ht="15" x14ac:dyDescent="0.25">
      <c r="A13" s="24">
        <v>12</v>
      </c>
      <c r="B13" s="23" t="s">
        <v>1499</v>
      </c>
      <c r="C13" s="25" t="s">
        <v>21</v>
      </c>
    </row>
    <row r="14" spans="1:3" ht="15" x14ac:dyDescent="0.25">
      <c r="A14" s="24">
        <v>13</v>
      </c>
      <c r="B14" s="23" t="s">
        <v>1500</v>
      </c>
      <c r="C14" s="25" t="s">
        <v>22</v>
      </c>
    </row>
  </sheetData>
  <hyperlinks>
    <hyperlink ref="B2" location="JBMMF!A1" display="JBMMF" xr:uid="{7DC417D0-CA84-426F-B3E8-4A77481D2D65}"/>
    <hyperlink ref="B3" location="JBOF!A1" display="JBOF" xr:uid="{B34A0BE3-F5C0-4BE5-9945-65A2D8548AC2}"/>
    <hyperlink ref="B4" location="JBLF!A1" display="JBLF" xr:uid="{34C4CEAE-4861-45FE-9F59-50FBB148F772}"/>
    <hyperlink ref="B5" location="'JBN8-13'!A1" display="JBN8-13" xr:uid="{45928B10-1902-4F6A-913F-6F7D44C7E37B}"/>
    <hyperlink ref="B6" location="JBLOW!A1" display="JBLOW" xr:uid="{78A92D2B-7F0B-4C90-A9B5-52268B590D60}"/>
    <hyperlink ref="B7" location="JBSHORT!A1" display="JBSHORT" xr:uid="{F0D05065-C89C-483F-9BFD-40DA8E0568D8}"/>
    <hyperlink ref="B8" location="'JBN50'!A1" display="JBN50" xr:uid="{F2B7F027-CA0F-4848-828F-D2153072EFF0}"/>
    <hyperlink ref="B9" location="JBNNX50!A1" display="JBNNX50" xr:uid="{89787756-2A3C-41BC-B979-5960D2D0EFD4}"/>
    <hyperlink ref="B10" location="JBNM150!A1" display="JBNM150" xr:uid="{F478D334-EF78-4B18-9D47-3EACC5E951FF}"/>
    <hyperlink ref="B11" location="JBNS250!A1" display="JBNS250" xr:uid="{1410B6D3-008E-4E34-8EAA-C2815E861A1E}"/>
    <hyperlink ref="B12" location="JBFLEXI!A1" display="JBFLEXI" xr:uid="{B7C48C15-D1BC-4EA1-8409-780B83096A6D}"/>
    <hyperlink ref="B13" location="JBARB!A1" display="JBARB" xr:uid="{6B238AF6-1C24-4DCF-9623-04EB1A5152E9}"/>
    <hyperlink ref="B14" location="JBSECRO!A1" display="JBSECRO" xr:uid="{D266D464-0753-4CCB-894E-CFA3D16BACB6}"/>
  </hyperlinks>
  <pageMargins left="0.7" right="0.7" top="0.75" bottom="0.75" header="0.3" footer="0.3"/>
  <pageSetup paperSize="9" orientation="portrait" r:id="rId1"/>
  <headerFooter>
    <oddFooter>&amp;C&amp;1#&amp;"Calibri"&amp;10&amp;K000000RESTRICTED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3E7F3-D956-4C4F-9335-D0254254921E}">
  <dimension ref="A1:K432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140625" style="8" bestFit="1" customWidth="1"/>
    <col min="4" max="4" width="13.7109375" style="8" bestFit="1" customWidth="1"/>
    <col min="5" max="5" width="13.7109375" style="9" bestFit="1" customWidth="1"/>
    <col min="6" max="6" width="12.7109375" style="11" bestFit="1" customWidth="1"/>
    <col min="7" max="7" width="10.7109375" style="18" customWidth="1"/>
    <col min="8" max="8" width="11.85546875" style="14" bestFit="1" customWidth="1"/>
    <col min="9" max="9" width="12.42578125" style="14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98" t="s">
        <v>10</v>
      </c>
      <c r="C1" s="99"/>
      <c r="D1" s="13"/>
      <c r="E1" s="6"/>
      <c r="F1" s="7"/>
      <c r="G1" s="18"/>
      <c r="H1" s="14"/>
      <c r="I1" s="15"/>
    </row>
    <row r="2" spans="1:11" s="1" customFormat="1" ht="15" x14ac:dyDescent="0.25">
      <c r="A2" s="82" t="s">
        <v>1501</v>
      </c>
      <c r="E2" s="6"/>
      <c r="F2" s="7"/>
      <c r="G2" s="18"/>
      <c r="H2" s="14"/>
      <c r="I2" s="15"/>
    </row>
    <row r="3" spans="1:11" s="1" customFormat="1" ht="12" x14ac:dyDescent="0.2">
      <c r="B3" s="10" t="s">
        <v>9</v>
      </c>
      <c r="C3" s="2"/>
      <c r="D3" s="3"/>
      <c r="E3" s="4"/>
      <c r="F3" s="5"/>
      <c r="G3" s="18"/>
      <c r="H3" s="14"/>
      <c r="I3" s="15"/>
    </row>
    <row r="4" spans="1:11" s="1" customFormat="1" ht="34.5" customHeight="1" x14ac:dyDescent="0.2">
      <c r="B4" s="28" t="s">
        <v>7</v>
      </c>
      <c r="C4" s="28" t="s">
        <v>8</v>
      </c>
      <c r="D4" s="29" t="s">
        <v>116</v>
      </c>
      <c r="E4" s="30" t="s">
        <v>0</v>
      </c>
      <c r="F4" s="31" t="s">
        <v>4</v>
      </c>
      <c r="G4" s="32" t="s">
        <v>5</v>
      </c>
      <c r="H4" s="33" t="s">
        <v>6</v>
      </c>
      <c r="I4" s="33" t="s">
        <v>23</v>
      </c>
      <c r="J4" s="17"/>
      <c r="K4" s="12"/>
    </row>
    <row r="5" spans="1:11" x14ac:dyDescent="0.2">
      <c r="B5" s="34" t="s">
        <v>24</v>
      </c>
      <c r="C5" s="35"/>
      <c r="D5" s="35"/>
      <c r="E5" s="36"/>
      <c r="F5" s="37"/>
      <c r="G5" s="38"/>
      <c r="H5" s="39"/>
      <c r="I5" s="39"/>
    </row>
    <row r="6" spans="1:11" x14ac:dyDescent="0.2">
      <c r="B6" s="34" t="s">
        <v>25</v>
      </c>
      <c r="C6" s="35"/>
      <c r="D6" s="35"/>
      <c r="E6" s="36"/>
      <c r="F6" s="37"/>
      <c r="G6" s="38"/>
      <c r="H6" s="39"/>
      <c r="I6" s="39"/>
    </row>
    <row r="7" spans="1:11" x14ac:dyDescent="0.2">
      <c r="B7" s="35" t="s">
        <v>26</v>
      </c>
      <c r="C7" s="35" t="s">
        <v>27</v>
      </c>
      <c r="D7" s="35" t="s">
        <v>28</v>
      </c>
      <c r="E7" s="40">
        <v>3000</v>
      </c>
      <c r="F7" s="37">
        <v>14974.95</v>
      </c>
      <c r="G7" s="38">
        <v>5.4173419316115101</v>
      </c>
      <c r="H7" s="41">
        <v>5.5506E-2</v>
      </c>
      <c r="I7" s="42"/>
    </row>
    <row r="8" spans="1:11" x14ac:dyDescent="0.2">
      <c r="B8" s="35" t="s">
        <v>29</v>
      </c>
      <c r="C8" s="35" t="s">
        <v>30</v>
      </c>
      <c r="D8" s="35" t="s">
        <v>31</v>
      </c>
      <c r="E8" s="40">
        <v>2500</v>
      </c>
      <c r="F8" s="37">
        <v>12481.025</v>
      </c>
      <c r="G8" s="38">
        <v>4.5151389541862601</v>
      </c>
      <c r="H8" s="41">
        <v>5.5490999999999999E-2</v>
      </c>
      <c r="I8" s="42"/>
    </row>
    <row r="9" spans="1:11" x14ac:dyDescent="0.2">
      <c r="B9" s="35" t="s">
        <v>32</v>
      </c>
      <c r="C9" s="35" t="s">
        <v>33</v>
      </c>
      <c r="D9" s="35" t="s">
        <v>31</v>
      </c>
      <c r="E9" s="40">
        <v>2000</v>
      </c>
      <c r="F9" s="37">
        <v>9987.85</v>
      </c>
      <c r="G9" s="38">
        <v>3.6132072969623299</v>
      </c>
      <c r="H9" s="41">
        <v>5.5502000000000003E-2</v>
      </c>
      <c r="I9" s="42"/>
    </row>
    <row r="10" spans="1:11" x14ac:dyDescent="0.2">
      <c r="B10" s="35" t="s">
        <v>34</v>
      </c>
      <c r="C10" s="35" t="s">
        <v>35</v>
      </c>
      <c r="D10" s="35" t="s">
        <v>36</v>
      </c>
      <c r="E10" s="40">
        <v>2000</v>
      </c>
      <c r="F10" s="37">
        <v>9986.2900000000009</v>
      </c>
      <c r="G10" s="38">
        <v>3.6126429509435898</v>
      </c>
      <c r="H10" s="41">
        <v>5.5677999999999998E-2</v>
      </c>
      <c r="I10" s="42"/>
    </row>
    <row r="11" spans="1:11" x14ac:dyDescent="0.2">
      <c r="B11" s="35" t="s">
        <v>37</v>
      </c>
      <c r="C11" s="35" t="s">
        <v>38</v>
      </c>
      <c r="D11" s="35" t="s">
        <v>36</v>
      </c>
      <c r="E11" s="40">
        <v>2000</v>
      </c>
      <c r="F11" s="37">
        <v>9983.32</v>
      </c>
      <c r="G11" s="38">
        <v>3.6115685229463699</v>
      </c>
      <c r="H11" s="41">
        <v>5.5440000000000003E-2</v>
      </c>
      <c r="I11" s="42"/>
    </row>
    <row r="12" spans="1:11" x14ac:dyDescent="0.2">
      <c r="B12" s="35" t="s">
        <v>39</v>
      </c>
      <c r="C12" s="35" t="s">
        <v>40</v>
      </c>
      <c r="D12" s="35" t="s">
        <v>28</v>
      </c>
      <c r="E12" s="40">
        <v>2000</v>
      </c>
      <c r="F12" s="37">
        <v>9365.41</v>
      </c>
      <c r="G12" s="38">
        <v>3.3880332354855098</v>
      </c>
      <c r="H12" s="41">
        <v>6.8699999999999997E-2</v>
      </c>
      <c r="I12" s="42"/>
    </row>
    <row r="13" spans="1:11" x14ac:dyDescent="0.2">
      <c r="B13" s="35" t="s">
        <v>41</v>
      </c>
      <c r="C13" s="35" t="s">
        <v>42</v>
      </c>
      <c r="D13" s="35" t="s">
        <v>28</v>
      </c>
      <c r="E13" s="40">
        <v>2000</v>
      </c>
      <c r="F13" s="37">
        <v>9349.09</v>
      </c>
      <c r="G13" s="38">
        <v>3.3821293079048602</v>
      </c>
      <c r="H13" s="41">
        <v>7.0199999999999999E-2</v>
      </c>
      <c r="I13" s="42"/>
    </row>
    <row r="14" spans="1:11" x14ac:dyDescent="0.2">
      <c r="B14" s="35" t="s">
        <v>43</v>
      </c>
      <c r="C14" s="35" t="s">
        <v>44</v>
      </c>
      <c r="D14" s="35" t="s">
        <v>36</v>
      </c>
      <c r="E14" s="40">
        <v>1500</v>
      </c>
      <c r="F14" s="37">
        <v>7375.1774999999998</v>
      </c>
      <c r="G14" s="38">
        <v>2.6680461920625902</v>
      </c>
      <c r="H14" s="41">
        <v>7.0198999999999998E-2</v>
      </c>
      <c r="I14" s="42"/>
    </row>
    <row r="15" spans="1:11" x14ac:dyDescent="0.2">
      <c r="B15" s="35" t="s">
        <v>45</v>
      </c>
      <c r="C15" s="35" t="s">
        <v>46</v>
      </c>
      <c r="D15" s="35" t="s">
        <v>28</v>
      </c>
      <c r="E15" s="40">
        <v>1500</v>
      </c>
      <c r="F15" s="37">
        <v>7047.6674999999996</v>
      </c>
      <c r="G15" s="38">
        <v>2.5495660865515899</v>
      </c>
      <c r="H15" s="41">
        <v>6.8699999999999997E-2</v>
      </c>
      <c r="I15" s="42"/>
    </row>
    <row r="16" spans="1:11" x14ac:dyDescent="0.2">
      <c r="B16" s="35" t="s">
        <v>47</v>
      </c>
      <c r="C16" s="35" t="s">
        <v>48</v>
      </c>
      <c r="D16" s="35" t="s">
        <v>36</v>
      </c>
      <c r="E16" s="40">
        <v>1500</v>
      </c>
      <c r="F16" s="37">
        <v>7010.0024999999996</v>
      </c>
      <c r="G16" s="38">
        <v>2.5359403860414602</v>
      </c>
      <c r="H16" s="41">
        <v>6.9900000000000004E-2</v>
      </c>
      <c r="I16" s="42"/>
    </row>
    <row r="17" spans="2:9" x14ac:dyDescent="0.2">
      <c r="B17" s="35" t="s">
        <v>49</v>
      </c>
      <c r="C17" s="35" t="s">
        <v>50</v>
      </c>
      <c r="D17" s="35" t="s">
        <v>36</v>
      </c>
      <c r="E17" s="40">
        <v>1000</v>
      </c>
      <c r="F17" s="37">
        <v>4985.2349999999997</v>
      </c>
      <c r="G17" s="38">
        <v>1.8034599517485701</v>
      </c>
      <c r="H17" s="41">
        <v>5.6897000000000003E-2</v>
      </c>
      <c r="I17" s="42"/>
    </row>
    <row r="18" spans="2:9" x14ac:dyDescent="0.2">
      <c r="B18" s="35" t="s">
        <v>51</v>
      </c>
      <c r="C18" s="35" t="s">
        <v>52</v>
      </c>
      <c r="D18" s="35" t="s">
        <v>36</v>
      </c>
      <c r="E18" s="40">
        <v>1000</v>
      </c>
      <c r="F18" s="37">
        <v>4981.87</v>
      </c>
      <c r="G18" s="38">
        <v>1.8022426284453299</v>
      </c>
      <c r="H18" s="41">
        <v>5.5354E-2</v>
      </c>
      <c r="I18" s="42"/>
    </row>
    <row r="19" spans="2:9" x14ac:dyDescent="0.2">
      <c r="B19" s="35" t="s">
        <v>53</v>
      </c>
      <c r="C19" s="35" t="s">
        <v>54</v>
      </c>
      <c r="D19" s="35" t="s">
        <v>36</v>
      </c>
      <c r="E19" s="40">
        <v>1000</v>
      </c>
      <c r="F19" s="37">
        <v>4746.2299999999996</v>
      </c>
      <c r="G19" s="38">
        <v>1.7169974387942899</v>
      </c>
      <c r="H19" s="41">
        <v>7.0199999999999999E-2</v>
      </c>
      <c r="I19" s="42"/>
    </row>
    <row r="20" spans="2:9" x14ac:dyDescent="0.2">
      <c r="B20" s="35" t="s">
        <v>55</v>
      </c>
      <c r="C20" s="35" t="s">
        <v>56</v>
      </c>
      <c r="D20" s="35" t="s">
        <v>36</v>
      </c>
      <c r="E20" s="40">
        <v>1000</v>
      </c>
      <c r="F20" s="37">
        <v>4740.8100000000004</v>
      </c>
      <c r="G20" s="38">
        <v>1.71503669813944</v>
      </c>
      <c r="H20" s="41">
        <v>6.905E-2</v>
      </c>
      <c r="I20" s="42"/>
    </row>
    <row r="21" spans="2:9" x14ac:dyDescent="0.2">
      <c r="B21" s="35" t="s">
        <v>57</v>
      </c>
      <c r="C21" s="35" t="s">
        <v>58</v>
      </c>
      <c r="D21" s="35" t="s">
        <v>36</v>
      </c>
      <c r="E21" s="40">
        <v>1000</v>
      </c>
      <c r="F21" s="37">
        <v>4703.8850000000002</v>
      </c>
      <c r="G21" s="38">
        <v>1.7016787002279401</v>
      </c>
      <c r="H21" s="41">
        <v>6.9001000000000007E-2</v>
      </c>
      <c r="I21" s="42"/>
    </row>
    <row r="22" spans="2:9" x14ac:dyDescent="0.2">
      <c r="B22" s="35" t="s">
        <v>59</v>
      </c>
      <c r="C22" s="35" t="s">
        <v>60</v>
      </c>
      <c r="D22" s="35" t="s">
        <v>28</v>
      </c>
      <c r="E22" s="40">
        <v>1000</v>
      </c>
      <c r="F22" s="37">
        <v>4700.72</v>
      </c>
      <c r="G22" s="38">
        <v>1.70053372897838</v>
      </c>
      <c r="H22" s="41">
        <v>6.855E-2</v>
      </c>
      <c r="I22" s="42"/>
    </row>
    <row r="23" spans="2:9" x14ac:dyDescent="0.2">
      <c r="B23" s="35" t="s">
        <v>61</v>
      </c>
      <c r="C23" s="35" t="s">
        <v>62</v>
      </c>
      <c r="D23" s="35" t="s">
        <v>28</v>
      </c>
      <c r="E23" s="40">
        <v>1000</v>
      </c>
      <c r="F23" s="37">
        <v>4699.0600000000004</v>
      </c>
      <c r="G23" s="38">
        <v>1.6999332069327999</v>
      </c>
      <c r="H23" s="41">
        <v>6.855E-2</v>
      </c>
      <c r="I23" s="42"/>
    </row>
    <row r="24" spans="2:9" x14ac:dyDescent="0.2">
      <c r="B24" s="35" t="s">
        <v>63</v>
      </c>
      <c r="C24" s="35" t="s">
        <v>64</v>
      </c>
      <c r="D24" s="35" t="s">
        <v>36</v>
      </c>
      <c r="E24" s="40">
        <v>1000</v>
      </c>
      <c r="F24" s="37">
        <v>4694.96</v>
      </c>
      <c r="G24" s="38">
        <v>1.69844998983227</v>
      </c>
      <c r="H24" s="41">
        <v>6.9750000000000006E-2</v>
      </c>
      <c r="I24" s="42"/>
    </row>
    <row r="25" spans="2:9" x14ac:dyDescent="0.2">
      <c r="B25" s="34" t="s">
        <v>65</v>
      </c>
      <c r="C25" s="34"/>
      <c r="D25" s="34"/>
      <c r="E25" s="43"/>
      <c r="F25" s="44">
        <f>SUM(F6:F24)</f>
        <v>135813.55249999999</v>
      </c>
      <c r="G25" s="45">
        <f>SUM(G6:G24)</f>
        <v>49.131947207795086</v>
      </c>
      <c r="H25" s="46"/>
      <c r="I25" s="46"/>
    </row>
    <row r="26" spans="2:9" x14ac:dyDescent="0.2">
      <c r="B26" s="34" t="s">
        <v>66</v>
      </c>
      <c r="C26" s="35"/>
      <c r="D26" s="35"/>
      <c r="E26" s="36"/>
      <c r="F26" s="37"/>
      <c r="G26" s="38"/>
      <c r="H26" s="39"/>
      <c r="I26" s="39"/>
    </row>
    <row r="27" spans="2:9" x14ac:dyDescent="0.2">
      <c r="B27" s="35" t="s">
        <v>67</v>
      </c>
      <c r="C27" s="35" t="s">
        <v>68</v>
      </c>
      <c r="D27" s="35" t="s">
        <v>28</v>
      </c>
      <c r="E27" s="40">
        <v>4500</v>
      </c>
      <c r="F27" s="37">
        <v>22469.197499999998</v>
      </c>
      <c r="G27" s="38">
        <v>8.1284629188351492</v>
      </c>
      <c r="H27" s="41">
        <v>5.5597000000000001E-2</v>
      </c>
      <c r="I27" s="42"/>
    </row>
    <row r="28" spans="2:9" x14ac:dyDescent="0.2">
      <c r="B28" s="35" t="s">
        <v>69</v>
      </c>
      <c r="C28" s="35" t="s">
        <v>70</v>
      </c>
      <c r="D28" s="35" t="s">
        <v>36</v>
      </c>
      <c r="E28" s="40">
        <v>1500</v>
      </c>
      <c r="F28" s="37">
        <v>7485.7275</v>
      </c>
      <c r="G28" s="38">
        <v>2.70803878973669</v>
      </c>
      <c r="H28" s="41">
        <v>5.7993000000000003E-2</v>
      </c>
      <c r="I28" s="42"/>
    </row>
    <row r="29" spans="2:9" x14ac:dyDescent="0.2">
      <c r="B29" s="35" t="s">
        <v>71</v>
      </c>
      <c r="C29" s="35" t="s">
        <v>72</v>
      </c>
      <c r="D29" s="35" t="s">
        <v>36</v>
      </c>
      <c r="E29" s="40">
        <v>1500</v>
      </c>
      <c r="F29" s="37">
        <v>7484.9324999999999</v>
      </c>
      <c r="G29" s="38">
        <v>2.70775119032329</v>
      </c>
      <c r="H29" s="41">
        <v>6.1245000000000001E-2</v>
      </c>
      <c r="I29" s="42"/>
    </row>
    <row r="30" spans="2:9" x14ac:dyDescent="0.2">
      <c r="B30" s="35" t="s">
        <v>73</v>
      </c>
      <c r="C30" s="35" t="s">
        <v>74</v>
      </c>
      <c r="D30" s="35" t="s">
        <v>36</v>
      </c>
      <c r="E30" s="40">
        <v>1000</v>
      </c>
      <c r="F30" s="37">
        <v>4993.24</v>
      </c>
      <c r="G30" s="38">
        <v>1.8063558426972901</v>
      </c>
      <c r="H30" s="41">
        <v>6.1790999999999999E-2</v>
      </c>
      <c r="I30" s="42"/>
    </row>
    <row r="31" spans="2:9" x14ac:dyDescent="0.2">
      <c r="B31" s="35" t="s">
        <v>75</v>
      </c>
      <c r="C31" s="35" t="s">
        <v>76</v>
      </c>
      <c r="D31" s="35" t="s">
        <v>36</v>
      </c>
      <c r="E31" s="40">
        <v>1000</v>
      </c>
      <c r="F31" s="37">
        <v>4990.79</v>
      </c>
      <c r="G31" s="38">
        <v>1.8054695300396599</v>
      </c>
      <c r="H31" s="41">
        <v>6.1249999999999999E-2</v>
      </c>
      <c r="I31" s="42"/>
    </row>
    <row r="32" spans="2:9" x14ac:dyDescent="0.2">
      <c r="B32" s="35" t="s">
        <v>77</v>
      </c>
      <c r="C32" s="35" t="s">
        <v>78</v>
      </c>
      <c r="D32" s="35" t="s">
        <v>36</v>
      </c>
      <c r="E32" s="40">
        <v>1000</v>
      </c>
      <c r="F32" s="37">
        <v>4990.7049999999999</v>
      </c>
      <c r="G32" s="38">
        <v>1.8054387804168399</v>
      </c>
      <c r="H32" s="41">
        <v>6.1800000000000001E-2</v>
      </c>
      <c r="I32" s="42"/>
    </row>
    <row r="33" spans="2:9" x14ac:dyDescent="0.2">
      <c r="B33" s="35" t="s">
        <v>79</v>
      </c>
      <c r="C33" s="35" t="s">
        <v>80</v>
      </c>
      <c r="D33" s="35" t="s">
        <v>36</v>
      </c>
      <c r="E33" s="40">
        <v>1000</v>
      </c>
      <c r="F33" s="37">
        <v>4987.2650000000003</v>
      </c>
      <c r="G33" s="38">
        <v>1.80419432509347</v>
      </c>
      <c r="H33" s="41">
        <v>6.2147000000000001E-2</v>
      </c>
      <c r="I33" s="42"/>
    </row>
    <row r="34" spans="2:9" x14ac:dyDescent="0.2">
      <c r="B34" s="35" t="s">
        <v>81</v>
      </c>
      <c r="C34" s="35" t="s">
        <v>82</v>
      </c>
      <c r="D34" s="35" t="s">
        <v>36</v>
      </c>
      <c r="E34" s="40">
        <v>1000</v>
      </c>
      <c r="F34" s="37">
        <v>4986.2950000000001</v>
      </c>
      <c r="G34" s="38">
        <v>1.8038434176331</v>
      </c>
      <c r="H34" s="41">
        <v>6.2701000000000007E-2</v>
      </c>
      <c r="I34" s="42"/>
    </row>
    <row r="35" spans="2:9" x14ac:dyDescent="0.2">
      <c r="B35" s="35" t="s">
        <v>83</v>
      </c>
      <c r="C35" s="35" t="s">
        <v>84</v>
      </c>
      <c r="D35" s="35" t="s">
        <v>36</v>
      </c>
      <c r="E35" s="40">
        <v>1000</v>
      </c>
      <c r="F35" s="37">
        <v>4985.34</v>
      </c>
      <c r="G35" s="38">
        <v>1.8034979365767601</v>
      </c>
      <c r="H35" s="41">
        <v>5.6491E-2</v>
      </c>
      <c r="I35" s="42"/>
    </row>
    <row r="36" spans="2:9" x14ac:dyDescent="0.2">
      <c r="B36" s="35" t="s">
        <v>85</v>
      </c>
      <c r="C36" s="35" t="s">
        <v>86</v>
      </c>
      <c r="D36" s="35" t="s">
        <v>36</v>
      </c>
      <c r="E36" s="40">
        <v>1000</v>
      </c>
      <c r="F36" s="37">
        <v>4984.03</v>
      </c>
      <c r="G36" s="38">
        <v>1.80302403062512</v>
      </c>
      <c r="H36" s="41">
        <v>6.1554999999999999E-2</v>
      </c>
      <c r="I36" s="42"/>
    </row>
    <row r="37" spans="2:9" x14ac:dyDescent="0.2">
      <c r="B37" s="35" t="s">
        <v>87</v>
      </c>
      <c r="C37" s="35" t="s">
        <v>88</v>
      </c>
      <c r="D37" s="35" t="s">
        <v>36</v>
      </c>
      <c r="E37" s="40">
        <v>1000</v>
      </c>
      <c r="F37" s="37">
        <v>4981.55</v>
      </c>
      <c r="G37" s="38">
        <v>1.80212686515944</v>
      </c>
      <c r="H37" s="41">
        <v>6.1447000000000002E-2</v>
      </c>
      <c r="I37" s="42"/>
    </row>
    <row r="38" spans="2:9" x14ac:dyDescent="0.2">
      <c r="B38" s="35" t="s">
        <v>89</v>
      </c>
      <c r="C38" s="35" t="s">
        <v>90</v>
      </c>
      <c r="D38" s="35" t="s">
        <v>36</v>
      </c>
      <c r="E38" s="40">
        <v>1000</v>
      </c>
      <c r="F38" s="37">
        <v>4979.9549999999999</v>
      </c>
      <c r="G38" s="38">
        <v>1.8015498575313</v>
      </c>
      <c r="H38" s="41">
        <v>5.6507000000000002E-2</v>
      </c>
      <c r="I38" s="42"/>
    </row>
    <row r="39" spans="2:9" x14ac:dyDescent="0.2">
      <c r="B39" s="35" t="s">
        <v>91</v>
      </c>
      <c r="C39" s="35" t="s">
        <v>92</v>
      </c>
      <c r="D39" s="35" t="s">
        <v>93</v>
      </c>
      <c r="E39" s="40">
        <v>500</v>
      </c>
      <c r="F39" s="37">
        <v>2497.895</v>
      </c>
      <c r="G39" s="38">
        <v>0.90363916569088598</v>
      </c>
      <c r="H39" s="41">
        <v>6.1518000000000003E-2</v>
      </c>
      <c r="I39" s="42"/>
    </row>
    <row r="40" spans="2:9" x14ac:dyDescent="0.2">
      <c r="B40" s="35" t="s">
        <v>94</v>
      </c>
      <c r="C40" s="35" t="s">
        <v>95</v>
      </c>
      <c r="D40" s="35" t="s">
        <v>36</v>
      </c>
      <c r="E40" s="40">
        <v>500</v>
      </c>
      <c r="F40" s="37">
        <v>2490.2249999999999</v>
      </c>
      <c r="G40" s="38">
        <v>0.90086446443208601</v>
      </c>
      <c r="H40" s="41">
        <v>6.2302000000000003E-2</v>
      </c>
      <c r="I40" s="42"/>
    </row>
    <row r="41" spans="2:9" x14ac:dyDescent="0.2">
      <c r="B41" s="34" t="s">
        <v>65</v>
      </c>
      <c r="C41" s="34"/>
      <c r="D41" s="34"/>
      <c r="E41" s="43"/>
      <c r="F41" s="44">
        <f>SUM(F26:F40)</f>
        <v>87307.147500000006</v>
      </c>
      <c r="G41" s="45">
        <f>SUM(G26:G40)</f>
        <v>31.584257114791082</v>
      </c>
      <c r="H41" s="46"/>
      <c r="I41" s="46"/>
    </row>
    <row r="42" spans="2:9" x14ac:dyDescent="0.2">
      <c r="B42" s="34" t="s">
        <v>96</v>
      </c>
      <c r="C42" s="35"/>
      <c r="D42" s="35"/>
      <c r="E42" s="36"/>
      <c r="F42" s="37"/>
      <c r="G42" s="38"/>
      <c r="H42" s="39"/>
      <c r="I42" s="39"/>
    </row>
    <row r="43" spans="2:9" x14ac:dyDescent="0.2">
      <c r="B43" s="35" t="s">
        <v>97</v>
      </c>
      <c r="C43" s="35" t="s">
        <v>98</v>
      </c>
      <c r="D43" s="35" t="s">
        <v>109</v>
      </c>
      <c r="E43" s="40">
        <v>15000000</v>
      </c>
      <c r="F43" s="37">
        <v>14295.915000000001</v>
      </c>
      <c r="G43" s="38">
        <v>5.1716940477433297</v>
      </c>
      <c r="H43" s="41">
        <v>5.5142999999999998E-2</v>
      </c>
      <c r="I43" s="42"/>
    </row>
    <row r="44" spans="2:9" x14ac:dyDescent="0.2">
      <c r="B44" s="35" t="s">
        <v>99</v>
      </c>
      <c r="C44" s="35" t="s">
        <v>100</v>
      </c>
      <c r="D44" s="35" t="s">
        <v>109</v>
      </c>
      <c r="E44" s="40">
        <v>5000000</v>
      </c>
      <c r="F44" s="37">
        <v>4800.6149999999998</v>
      </c>
      <c r="G44" s="38">
        <v>1.73667177099244</v>
      </c>
      <c r="H44" s="41">
        <v>5.4729E-2</v>
      </c>
      <c r="I44" s="42"/>
    </row>
    <row r="45" spans="2:9" x14ac:dyDescent="0.2">
      <c r="B45" s="35" t="s">
        <v>101</v>
      </c>
      <c r="C45" s="35" t="s">
        <v>102</v>
      </c>
      <c r="D45" s="35" t="s">
        <v>109</v>
      </c>
      <c r="E45" s="40">
        <v>2500000</v>
      </c>
      <c r="F45" s="37">
        <v>2397.89</v>
      </c>
      <c r="G45" s="38">
        <v>0.86746133004730697</v>
      </c>
      <c r="H45" s="41">
        <v>5.4729E-2</v>
      </c>
      <c r="I45" s="42"/>
    </row>
    <row r="46" spans="2:9" x14ac:dyDescent="0.2">
      <c r="B46" s="35" t="s">
        <v>103</v>
      </c>
      <c r="C46" s="35" t="s">
        <v>104</v>
      </c>
      <c r="D46" s="35" t="s">
        <v>109</v>
      </c>
      <c r="E46" s="40">
        <v>2500000</v>
      </c>
      <c r="F46" s="37">
        <v>2372.2024999999999</v>
      </c>
      <c r="G46" s="38">
        <v>0.85816861315220805</v>
      </c>
      <c r="H46" s="41">
        <v>5.5391000000000003E-2</v>
      </c>
      <c r="I46" s="42"/>
    </row>
    <row r="47" spans="2:9" x14ac:dyDescent="0.2">
      <c r="B47" s="34" t="s">
        <v>65</v>
      </c>
      <c r="C47" s="34"/>
      <c r="D47" s="34"/>
      <c r="E47" s="43"/>
      <c r="F47" s="47">
        <f>SUM(F42:F46)</f>
        <v>23866.622499999998</v>
      </c>
      <c r="G47" s="48">
        <f>SUM(G42:G46)</f>
        <v>8.6339957619352852</v>
      </c>
      <c r="H47" s="46"/>
      <c r="I47" s="46"/>
    </row>
    <row r="48" spans="2:9" x14ac:dyDescent="0.2">
      <c r="B48" s="49" t="s">
        <v>105</v>
      </c>
      <c r="C48" s="49"/>
      <c r="D48" s="49"/>
      <c r="E48" s="50"/>
      <c r="F48" s="51">
        <f>+F25+F41+F47</f>
        <v>246987.32250000001</v>
      </c>
      <c r="G48" s="52">
        <f>+G25+G41+G47</f>
        <v>89.350200084521447</v>
      </c>
      <c r="H48" s="46"/>
      <c r="I48" s="46"/>
    </row>
    <row r="49" spans="2:9" x14ac:dyDescent="0.2">
      <c r="B49" s="34" t="s">
        <v>106</v>
      </c>
      <c r="C49" s="35"/>
      <c r="D49" s="35"/>
      <c r="E49" s="36"/>
      <c r="F49" s="37"/>
      <c r="G49" s="38"/>
      <c r="H49" s="39"/>
      <c r="I49" s="39"/>
    </row>
    <row r="50" spans="2:9" x14ac:dyDescent="0.2">
      <c r="B50" s="35" t="s">
        <v>107</v>
      </c>
      <c r="C50" s="35" t="s">
        <v>108</v>
      </c>
      <c r="D50" s="35" t="s">
        <v>109</v>
      </c>
      <c r="E50" s="40">
        <v>14500000</v>
      </c>
      <c r="F50" s="37">
        <v>14502.7695</v>
      </c>
      <c r="G50" s="38">
        <v>5.2465257871877</v>
      </c>
      <c r="H50" s="41">
        <v>5.2901999999999998E-2</v>
      </c>
      <c r="I50" s="42"/>
    </row>
    <row r="51" spans="2:9" x14ac:dyDescent="0.2">
      <c r="B51" s="34" t="s">
        <v>105</v>
      </c>
      <c r="C51" s="34"/>
      <c r="D51" s="34"/>
      <c r="E51" s="43"/>
      <c r="F51" s="44">
        <f>SUM(F50:F50)</f>
        <v>14502.7695</v>
      </c>
      <c r="G51" s="45">
        <f>SUM(G50:G50)</f>
        <v>5.2465257871877</v>
      </c>
      <c r="H51" s="46"/>
      <c r="I51" s="46"/>
    </row>
    <row r="52" spans="2:9" x14ac:dyDescent="0.2">
      <c r="B52" s="34" t="s">
        <v>110</v>
      </c>
      <c r="C52" s="35"/>
      <c r="D52" s="35"/>
      <c r="E52" s="36"/>
      <c r="F52" s="37"/>
      <c r="G52" s="38"/>
      <c r="H52" s="39"/>
      <c r="I52" s="39"/>
    </row>
    <row r="53" spans="2:9" x14ac:dyDescent="0.2">
      <c r="B53" s="35" t="s">
        <v>111</v>
      </c>
      <c r="C53" s="35" t="s">
        <v>112</v>
      </c>
      <c r="D53" s="35"/>
      <c r="E53" s="40">
        <v>6542.44</v>
      </c>
      <c r="F53" s="37">
        <v>763.21926410000003</v>
      </c>
      <c r="G53" s="38">
        <v>0.27610240584593698</v>
      </c>
      <c r="H53" s="39"/>
      <c r="I53" s="39"/>
    </row>
    <row r="54" spans="2:9" x14ac:dyDescent="0.2">
      <c r="B54" s="34" t="s">
        <v>65</v>
      </c>
      <c r="C54" s="34"/>
      <c r="D54" s="34"/>
      <c r="E54" s="43"/>
      <c r="F54" s="44">
        <f>SUM(F53:F53)</f>
        <v>763.21926410000003</v>
      </c>
      <c r="G54" s="45">
        <f>SUM(G53:G53)</f>
        <v>0.27610240584593698</v>
      </c>
      <c r="H54" s="46"/>
      <c r="I54" s="46"/>
    </row>
    <row r="55" spans="2:9" x14ac:dyDescent="0.2">
      <c r="B55" s="34"/>
      <c r="C55" s="35"/>
      <c r="D55" s="35"/>
      <c r="E55" s="36"/>
      <c r="F55" s="37"/>
      <c r="G55" s="38"/>
      <c r="H55" s="39"/>
      <c r="I55" s="39"/>
    </row>
    <row r="56" spans="2:9" x14ac:dyDescent="0.2">
      <c r="B56" s="34" t="s">
        <v>113</v>
      </c>
      <c r="C56" s="34"/>
      <c r="D56" s="34"/>
      <c r="E56" s="43"/>
      <c r="F56" s="44">
        <v>21218.220410800001</v>
      </c>
      <c r="G56" s="45">
        <v>7.6759091112559297</v>
      </c>
      <c r="H56" s="41">
        <v>4.9299999999999997E-2</v>
      </c>
      <c r="I56" s="41"/>
    </row>
    <row r="57" spans="2:9" x14ac:dyDescent="0.2">
      <c r="B57" s="35"/>
      <c r="C57" s="35"/>
      <c r="D57" s="35"/>
      <c r="E57" s="36"/>
      <c r="F57" s="37"/>
      <c r="G57" s="38"/>
      <c r="H57" s="39"/>
      <c r="I57" s="39"/>
    </row>
    <row r="58" spans="2:9" x14ac:dyDescent="0.2">
      <c r="B58" s="58" t="s">
        <v>115</v>
      </c>
      <c r="C58" s="58"/>
      <c r="D58" s="58"/>
      <c r="E58" s="59"/>
      <c r="F58" s="44">
        <f>F59-(F25+F41+F47+F51+F54+F56)</f>
        <v>-7045.3767627000343</v>
      </c>
      <c r="G58" s="45">
        <f>G59-(G25+G41+G47+G51+G54+G56)</f>
        <v>-2.5487373888110056</v>
      </c>
      <c r="H58" s="46"/>
      <c r="I58" s="46"/>
    </row>
    <row r="59" spans="2:9" x14ac:dyDescent="0.2">
      <c r="B59" s="53" t="s">
        <v>114</v>
      </c>
      <c r="C59" s="53"/>
      <c r="D59" s="53"/>
      <c r="E59" s="54"/>
      <c r="F59" s="55">
        <v>276426.1549122</v>
      </c>
      <c r="G59" s="56">
        <v>100</v>
      </c>
      <c r="H59" s="57"/>
      <c r="I59" s="57"/>
    </row>
    <row r="61" spans="2:9" x14ac:dyDescent="0.2">
      <c r="B61" s="26" t="s">
        <v>117</v>
      </c>
    </row>
    <row r="62" spans="2:9" ht="39.950000000000003" customHeight="1" x14ac:dyDescent="0.2">
      <c r="B62" s="100" t="s">
        <v>118</v>
      </c>
      <c r="C62" s="100"/>
      <c r="D62" s="100"/>
      <c r="E62" s="100"/>
      <c r="F62" s="100"/>
      <c r="G62" s="100"/>
      <c r="H62" s="100"/>
      <c r="I62" s="100"/>
    </row>
    <row r="64" spans="2:9" x14ac:dyDescent="0.2">
      <c r="B64" s="97" t="s">
        <v>1505</v>
      </c>
    </row>
    <row r="65" spans="2:7" x14ac:dyDescent="0.2">
      <c r="B65" s="97"/>
    </row>
    <row r="66" spans="2:7" x14ac:dyDescent="0.2">
      <c r="B66" s="26" t="s">
        <v>1474</v>
      </c>
      <c r="C66" s="26"/>
      <c r="D66" s="60"/>
      <c r="E66" s="26"/>
      <c r="G66" s="83"/>
    </row>
    <row r="67" spans="2:7" x14ac:dyDescent="0.2">
      <c r="D67" s="61"/>
      <c r="E67" s="61"/>
      <c r="G67" s="83"/>
    </row>
    <row r="68" spans="2:7" x14ac:dyDescent="0.2">
      <c r="E68" s="8"/>
      <c r="G68" s="83"/>
    </row>
    <row r="69" spans="2:7" x14ac:dyDescent="0.2">
      <c r="E69" s="8"/>
      <c r="G69" s="83"/>
    </row>
    <row r="70" spans="2:7" x14ac:dyDescent="0.2">
      <c r="E70" s="8"/>
      <c r="G70" s="83"/>
    </row>
    <row r="71" spans="2:7" x14ac:dyDescent="0.2">
      <c r="B71" s="26"/>
      <c r="E71" s="8"/>
      <c r="G71" s="83"/>
    </row>
    <row r="72" spans="2:7" x14ac:dyDescent="0.2">
      <c r="E72" s="8"/>
      <c r="G72" s="83"/>
    </row>
    <row r="73" spans="2:7" x14ac:dyDescent="0.2">
      <c r="E73" s="8"/>
      <c r="G73" s="83"/>
    </row>
    <row r="74" spans="2:7" x14ac:dyDescent="0.2">
      <c r="E74" s="8"/>
      <c r="G74" s="83"/>
    </row>
    <row r="75" spans="2:7" x14ac:dyDescent="0.2">
      <c r="E75" s="8"/>
      <c r="G75" s="83"/>
    </row>
    <row r="76" spans="2:7" x14ac:dyDescent="0.2">
      <c r="E76" s="8"/>
      <c r="G76" s="83"/>
    </row>
    <row r="77" spans="2:7" x14ac:dyDescent="0.2">
      <c r="E77" s="8"/>
      <c r="G77" s="83"/>
    </row>
    <row r="78" spans="2:7" x14ac:dyDescent="0.2">
      <c r="E78" s="8"/>
      <c r="G78" s="83"/>
    </row>
    <row r="79" spans="2:7" x14ac:dyDescent="0.2">
      <c r="E79" s="8"/>
      <c r="G79" s="83"/>
    </row>
    <row r="80" spans="2:7" x14ac:dyDescent="0.2">
      <c r="E80" s="8"/>
      <c r="G80" s="83"/>
    </row>
    <row r="81" spans="2:7" x14ac:dyDescent="0.2">
      <c r="E81" s="8"/>
      <c r="G81" s="83"/>
    </row>
    <row r="82" spans="2:7" x14ac:dyDescent="0.2">
      <c r="E82" s="8"/>
      <c r="G82" s="83"/>
    </row>
    <row r="83" spans="2:7" x14ac:dyDescent="0.2">
      <c r="E83" s="8"/>
      <c r="G83" s="83"/>
    </row>
    <row r="84" spans="2:7" x14ac:dyDescent="0.2">
      <c r="E84" s="8"/>
      <c r="G84" s="83"/>
    </row>
    <row r="85" spans="2:7" x14ac:dyDescent="0.2">
      <c r="E85" s="8"/>
      <c r="G85" s="83"/>
    </row>
    <row r="86" spans="2:7" x14ac:dyDescent="0.2">
      <c r="E86" s="8"/>
      <c r="G86" s="83"/>
    </row>
    <row r="87" spans="2:7" x14ac:dyDescent="0.2">
      <c r="B87" s="26" t="s">
        <v>1475</v>
      </c>
      <c r="E87" s="8"/>
      <c r="G87" s="83"/>
    </row>
    <row r="88" spans="2:7" x14ac:dyDescent="0.2">
      <c r="B88" s="84" t="s">
        <v>1476</v>
      </c>
      <c r="E88" s="8"/>
      <c r="G88" s="83"/>
    </row>
    <row r="89" spans="2:7" x14ac:dyDescent="0.2">
      <c r="E89" s="8"/>
      <c r="G89" s="83"/>
    </row>
    <row r="90" spans="2:7" x14ac:dyDescent="0.2">
      <c r="E90" s="8"/>
      <c r="G90" s="83"/>
    </row>
    <row r="91" spans="2:7" x14ac:dyDescent="0.2">
      <c r="E91" s="8"/>
      <c r="G91" s="83"/>
    </row>
    <row r="92" spans="2:7" x14ac:dyDescent="0.2">
      <c r="E92" s="8"/>
      <c r="G92" s="83"/>
    </row>
    <row r="93" spans="2:7" x14ac:dyDescent="0.2">
      <c r="E93" s="8"/>
      <c r="G93" s="83"/>
    </row>
    <row r="94" spans="2:7" x14ac:dyDescent="0.2">
      <c r="E94" s="8"/>
      <c r="G94" s="83"/>
    </row>
    <row r="95" spans="2:7" x14ac:dyDescent="0.2">
      <c r="E95" s="8"/>
      <c r="G95" s="83"/>
    </row>
    <row r="96" spans="2:7" x14ac:dyDescent="0.2">
      <c r="E96" s="8"/>
      <c r="G96" s="83"/>
    </row>
    <row r="97" spans="5:7" x14ac:dyDescent="0.2">
      <c r="E97" s="8"/>
      <c r="G97" s="83"/>
    </row>
    <row r="98" spans="5:7" x14ac:dyDescent="0.2">
      <c r="E98" s="8"/>
      <c r="G98" s="83"/>
    </row>
    <row r="99" spans="5:7" x14ac:dyDescent="0.2">
      <c r="E99" s="8"/>
      <c r="G99" s="83"/>
    </row>
    <row r="100" spans="5:7" x14ac:dyDescent="0.2">
      <c r="E100" s="8"/>
      <c r="G100" s="83"/>
    </row>
    <row r="101" spans="5:7" x14ac:dyDescent="0.2">
      <c r="E101" s="8"/>
      <c r="G101" s="83"/>
    </row>
    <row r="102" spans="5:7" x14ac:dyDescent="0.2">
      <c r="E102" s="8"/>
      <c r="G102" s="83"/>
    </row>
    <row r="103" spans="5:7" x14ac:dyDescent="0.2">
      <c r="E103" s="8"/>
      <c r="G103" s="83"/>
    </row>
    <row r="104" spans="5:7" x14ac:dyDescent="0.2">
      <c r="E104" s="8"/>
      <c r="G104" s="83"/>
    </row>
    <row r="105" spans="5:7" x14ac:dyDescent="0.2">
      <c r="E105" s="8"/>
      <c r="G105" s="83"/>
    </row>
    <row r="106" spans="5:7" x14ac:dyDescent="0.2">
      <c r="E106" s="8"/>
      <c r="G106" s="83"/>
    </row>
    <row r="107" spans="5:7" x14ac:dyDescent="0.2">
      <c r="E107" s="8"/>
      <c r="G107" s="83"/>
    </row>
    <row r="108" spans="5:7" x14ac:dyDescent="0.2">
      <c r="E108" s="8"/>
      <c r="G108" s="83"/>
    </row>
    <row r="109" spans="5:7" x14ac:dyDescent="0.2">
      <c r="E109" s="8"/>
      <c r="G109" s="83"/>
    </row>
    <row r="110" spans="5:7" x14ac:dyDescent="0.2">
      <c r="E110" s="8"/>
      <c r="G110" s="83"/>
    </row>
    <row r="111" spans="5:7" x14ac:dyDescent="0.2">
      <c r="E111" s="8"/>
      <c r="G111" s="83"/>
    </row>
    <row r="112" spans="5:7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  <row r="164" spans="5:7" x14ac:dyDescent="0.2">
      <c r="E164" s="8"/>
      <c r="G164" s="83"/>
    </row>
    <row r="165" spans="5:7" x14ac:dyDescent="0.2">
      <c r="E165" s="8"/>
      <c r="G165" s="83"/>
    </row>
    <row r="166" spans="5:7" x14ac:dyDescent="0.2">
      <c r="E166" s="8"/>
      <c r="G166" s="83"/>
    </row>
    <row r="167" spans="5:7" x14ac:dyDescent="0.2">
      <c r="E167" s="8"/>
      <c r="G167" s="83"/>
    </row>
    <row r="168" spans="5:7" x14ac:dyDescent="0.2">
      <c r="E168" s="8"/>
      <c r="G168" s="83"/>
    </row>
    <row r="169" spans="5:7" x14ac:dyDescent="0.2">
      <c r="E169" s="8"/>
      <c r="G169" s="83"/>
    </row>
    <row r="170" spans="5:7" x14ac:dyDescent="0.2">
      <c r="E170" s="8"/>
      <c r="G170" s="83"/>
    </row>
    <row r="171" spans="5:7" x14ac:dyDescent="0.2">
      <c r="E171" s="8"/>
      <c r="G171" s="83"/>
    </row>
    <row r="172" spans="5:7" x14ac:dyDescent="0.2">
      <c r="E172" s="8"/>
      <c r="G172" s="83"/>
    </row>
    <row r="173" spans="5:7" x14ac:dyDescent="0.2">
      <c r="E173" s="8"/>
      <c r="G173" s="83"/>
    </row>
    <row r="174" spans="5:7" x14ac:dyDescent="0.2">
      <c r="E174" s="8"/>
      <c r="G174" s="83"/>
    </row>
    <row r="175" spans="5:7" x14ac:dyDescent="0.2">
      <c r="E175" s="8"/>
      <c r="G175" s="83"/>
    </row>
    <row r="176" spans="5:7" x14ac:dyDescent="0.2">
      <c r="E176" s="8"/>
      <c r="G176" s="83"/>
    </row>
    <row r="177" spans="5:7" x14ac:dyDescent="0.2">
      <c r="E177" s="8"/>
      <c r="G177" s="83"/>
    </row>
    <row r="178" spans="5:7" x14ac:dyDescent="0.2">
      <c r="E178" s="8"/>
      <c r="G178" s="83"/>
    </row>
    <row r="179" spans="5:7" x14ac:dyDescent="0.2">
      <c r="E179" s="8"/>
      <c r="G179" s="83"/>
    </row>
    <row r="180" spans="5:7" x14ac:dyDescent="0.2">
      <c r="E180" s="8"/>
      <c r="G180" s="83"/>
    </row>
    <row r="181" spans="5:7" x14ac:dyDescent="0.2">
      <c r="E181" s="8"/>
      <c r="G181" s="83"/>
    </row>
    <row r="182" spans="5:7" x14ac:dyDescent="0.2">
      <c r="E182" s="8"/>
      <c r="G182" s="83"/>
    </row>
    <row r="183" spans="5:7" x14ac:dyDescent="0.2">
      <c r="E183" s="8"/>
      <c r="G183" s="83"/>
    </row>
    <row r="184" spans="5:7" x14ac:dyDescent="0.2">
      <c r="E184" s="8"/>
      <c r="G184" s="83"/>
    </row>
    <row r="185" spans="5:7" x14ac:dyDescent="0.2">
      <c r="E185" s="8"/>
      <c r="G185" s="83"/>
    </row>
    <row r="186" spans="5:7" x14ac:dyDescent="0.2">
      <c r="E186" s="8"/>
      <c r="G186" s="83"/>
    </row>
    <row r="187" spans="5:7" x14ac:dyDescent="0.2">
      <c r="E187" s="8"/>
      <c r="G187" s="83"/>
    </row>
    <row r="188" spans="5:7" x14ac:dyDescent="0.2">
      <c r="E188" s="8"/>
      <c r="G188" s="83"/>
    </row>
    <row r="189" spans="5:7" x14ac:dyDescent="0.2">
      <c r="E189" s="8"/>
      <c r="G189" s="83"/>
    </row>
    <row r="190" spans="5:7" x14ac:dyDescent="0.2">
      <c r="E190" s="8"/>
      <c r="G190" s="83"/>
    </row>
    <row r="191" spans="5:7" x14ac:dyDescent="0.2">
      <c r="E191" s="8"/>
      <c r="G191" s="83"/>
    </row>
    <row r="192" spans="5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  <row r="397" spans="5:7" x14ac:dyDescent="0.2">
      <c r="E397" s="8"/>
      <c r="G397" s="83"/>
    </row>
    <row r="398" spans="5:7" x14ac:dyDescent="0.2">
      <c r="E398" s="8"/>
      <c r="G398" s="83"/>
    </row>
    <row r="399" spans="5:7" x14ac:dyDescent="0.2">
      <c r="E399" s="8"/>
      <c r="G399" s="83"/>
    </row>
    <row r="400" spans="5:7" x14ac:dyDescent="0.2">
      <c r="E400" s="8"/>
      <c r="G400" s="83"/>
    </row>
    <row r="401" spans="5:7" x14ac:dyDescent="0.2">
      <c r="E401" s="8"/>
      <c r="G401" s="83"/>
    </row>
    <row r="402" spans="5:7" x14ac:dyDescent="0.2">
      <c r="E402" s="8"/>
      <c r="G402" s="83"/>
    </row>
    <row r="403" spans="5:7" x14ac:dyDescent="0.2">
      <c r="E403" s="8"/>
      <c r="G403" s="83"/>
    </row>
    <row r="404" spans="5:7" x14ac:dyDescent="0.2">
      <c r="E404" s="8"/>
      <c r="G404" s="83"/>
    </row>
    <row r="405" spans="5:7" x14ac:dyDescent="0.2">
      <c r="E405" s="8"/>
      <c r="G405" s="83"/>
    </row>
    <row r="406" spans="5:7" x14ac:dyDescent="0.2">
      <c r="E406" s="8"/>
      <c r="G406" s="83"/>
    </row>
    <row r="407" spans="5:7" x14ac:dyDescent="0.2">
      <c r="E407" s="8"/>
      <c r="G407" s="83"/>
    </row>
    <row r="408" spans="5:7" x14ac:dyDescent="0.2">
      <c r="E408" s="8"/>
      <c r="G408" s="83"/>
    </row>
    <row r="409" spans="5:7" x14ac:dyDescent="0.2">
      <c r="E409" s="8"/>
      <c r="G409" s="83"/>
    </row>
    <row r="410" spans="5:7" x14ac:dyDescent="0.2">
      <c r="E410" s="8"/>
      <c r="G410" s="83"/>
    </row>
    <row r="411" spans="5:7" x14ac:dyDescent="0.2">
      <c r="E411" s="8"/>
      <c r="G411" s="83"/>
    </row>
    <row r="412" spans="5:7" x14ac:dyDescent="0.2">
      <c r="E412" s="8"/>
      <c r="G412" s="83"/>
    </row>
    <row r="413" spans="5:7" x14ac:dyDescent="0.2">
      <c r="E413" s="8"/>
      <c r="G413" s="83"/>
    </row>
    <row r="414" spans="5:7" x14ac:dyDescent="0.2">
      <c r="E414" s="8"/>
      <c r="G414" s="83"/>
    </row>
    <row r="415" spans="5:7" x14ac:dyDescent="0.2">
      <c r="E415" s="8"/>
      <c r="G415" s="83"/>
    </row>
    <row r="416" spans="5:7" x14ac:dyDescent="0.2">
      <c r="E416" s="8"/>
      <c r="G416" s="83"/>
    </row>
    <row r="417" spans="5:7" x14ac:dyDescent="0.2">
      <c r="E417" s="8"/>
      <c r="G417" s="83"/>
    </row>
    <row r="418" spans="5:7" x14ac:dyDescent="0.2">
      <c r="E418" s="8"/>
      <c r="G418" s="83"/>
    </row>
    <row r="419" spans="5:7" x14ac:dyDescent="0.2">
      <c r="E419" s="8"/>
      <c r="G419" s="83"/>
    </row>
    <row r="420" spans="5:7" x14ac:dyDescent="0.2">
      <c r="E420" s="8"/>
      <c r="G420" s="83"/>
    </row>
    <row r="421" spans="5:7" x14ac:dyDescent="0.2">
      <c r="E421" s="8"/>
      <c r="G421" s="83"/>
    </row>
    <row r="422" spans="5:7" x14ac:dyDescent="0.2">
      <c r="E422" s="8"/>
      <c r="G422" s="83"/>
    </row>
    <row r="423" spans="5:7" x14ac:dyDescent="0.2">
      <c r="E423" s="8"/>
      <c r="G423" s="83"/>
    </row>
    <row r="424" spans="5:7" x14ac:dyDescent="0.2">
      <c r="E424" s="8"/>
      <c r="G424" s="83"/>
    </row>
    <row r="425" spans="5:7" x14ac:dyDescent="0.2">
      <c r="E425" s="8"/>
      <c r="G425" s="83"/>
    </row>
    <row r="426" spans="5:7" x14ac:dyDescent="0.2">
      <c r="E426" s="8"/>
      <c r="G426" s="83"/>
    </row>
    <row r="427" spans="5:7" x14ac:dyDescent="0.2">
      <c r="E427" s="8"/>
      <c r="G427" s="83"/>
    </row>
    <row r="428" spans="5:7" x14ac:dyDescent="0.2">
      <c r="E428" s="8"/>
      <c r="G428" s="83"/>
    </row>
    <row r="429" spans="5:7" x14ac:dyDescent="0.2">
      <c r="E429" s="8"/>
      <c r="G429" s="83"/>
    </row>
    <row r="430" spans="5:7" x14ac:dyDescent="0.2">
      <c r="E430" s="8"/>
      <c r="G430" s="83"/>
    </row>
    <row r="431" spans="5:7" x14ac:dyDescent="0.2">
      <c r="E431" s="8"/>
      <c r="G431" s="83"/>
    </row>
    <row r="432" spans="5:7" x14ac:dyDescent="0.2">
      <c r="E432" s="8"/>
      <c r="G432" s="83"/>
    </row>
  </sheetData>
  <mergeCells count="2">
    <mergeCell ref="B1:C1"/>
    <mergeCell ref="B62:I62"/>
  </mergeCells>
  <conditionalFormatting sqref="G1:G3 G5:G61 G63:G126">
    <cfRule type="cellIs" dxfId="13" priority="2" stopIfTrue="1" operator="between">
      <formula>0.009</formula>
      <formula>-0.009</formula>
    </cfRule>
  </conditionalFormatting>
  <hyperlinks>
    <hyperlink ref="A2" location="Index!A1" display="-" xr:uid="{07F71A22-6F31-4632-8C28-D367C3352FD2}"/>
  </hyperlinks>
  <pageMargins left="0.7" right="0.7" top="0.75" bottom="0.75" header="0.3" footer="0.3"/>
  <pageSetup paperSize="9" scale="62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8" min="1" max="8" man="1"/>
  </rowBreaks>
  <colBreaks count="1" manualBreakCount="1">
    <brk id="9" max="43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AB20-9098-4027-8E9A-ADB0E7812265}">
  <dimension ref="A1:K390"/>
  <sheetViews>
    <sheetView view="pageBreakPreview" zoomScaleNormal="100" zoomScaleSheetLayoutView="100" workbookViewId="0">
      <selection activeCell="F4" sqref="F4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0.42578125" style="8" bestFit="1" customWidth="1"/>
    <col min="4" max="4" width="13.7109375" style="8" bestFit="1" customWidth="1"/>
    <col min="5" max="5" width="13.7109375" style="9" bestFit="1" customWidth="1"/>
    <col min="6" max="6" width="12.7109375" style="11" bestFit="1" customWidth="1"/>
    <col min="7" max="7" width="11.42578125" style="18" customWidth="1"/>
    <col min="8" max="8" width="11.85546875" style="14" bestFit="1" customWidth="1"/>
    <col min="9" max="9" width="10.140625" style="14" bestFit="1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98" t="s">
        <v>11</v>
      </c>
      <c r="C1" s="99"/>
      <c r="D1" s="13"/>
      <c r="E1" s="6"/>
      <c r="F1" s="7"/>
      <c r="G1" s="18"/>
      <c r="H1" s="14"/>
      <c r="I1" s="15"/>
    </row>
    <row r="2" spans="1:11" s="1" customFormat="1" ht="15" x14ac:dyDescent="0.25">
      <c r="A2" s="82" t="s">
        <v>1501</v>
      </c>
      <c r="E2" s="6"/>
      <c r="F2" s="7"/>
      <c r="G2" s="18"/>
      <c r="H2" s="14"/>
      <c r="I2" s="15"/>
    </row>
    <row r="3" spans="1:11" s="1" customFormat="1" ht="12" x14ac:dyDescent="0.2">
      <c r="B3" s="10" t="s">
        <v>9</v>
      </c>
      <c r="C3" s="2"/>
      <c r="D3" s="3"/>
      <c r="E3" s="4"/>
      <c r="F3" s="5"/>
      <c r="G3" s="18"/>
      <c r="H3" s="14"/>
      <c r="I3" s="15"/>
    </row>
    <row r="4" spans="1:11" s="1" customFormat="1" ht="45" x14ac:dyDescent="0.2">
      <c r="B4" s="28" t="s">
        <v>7</v>
      </c>
      <c r="C4" s="28" t="s">
        <v>8</v>
      </c>
      <c r="D4" s="29" t="s">
        <v>116</v>
      </c>
      <c r="E4" s="30" t="s">
        <v>0</v>
      </c>
      <c r="F4" s="31" t="s">
        <v>4</v>
      </c>
      <c r="G4" s="32" t="s">
        <v>5</v>
      </c>
      <c r="H4" s="33" t="s">
        <v>6</v>
      </c>
      <c r="I4" s="33" t="s">
        <v>23</v>
      </c>
      <c r="J4" s="17"/>
      <c r="K4" s="12"/>
    </row>
    <row r="5" spans="1:11" x14ac:dyDescent="0.2">
      <c r="B5" s="34" t="s">
        <v>24</v>
      </c>
      <c r="C5" s="35"/>
      <c r="D5" s="35"/>
      <c r="E5" s="36"/>
      <c r="F5" s="37"/>
      <c r="G5" s="38"/>
      <c r="H5" s="39"/>
      <c r="I5" s="39"/>
    </row>
    <row r="6" spans="1:11" x14ac:dyDescent="0.2">
      <c r="B6" s="34" t="s">
        <v>96</v>
      </c>
      <c r="C6" s="35"/>
      <c r="D6" s="35"/>
      <c r="E6" s="36"/>
      <c r="F6" s="37"/>
      <c r="G6" s="38"/>
      <c r="H6" s="39"/>
      <c r="I6" s="39"/>
    </row>
    <row r="7" spans="1:11" x14ac:dyDescent="0.2">
      <c r="B7" s="35" t="s">
        <v>120</v>
      </c>
      <c r="C7" s="35" t="s">
        <v>121</v>
      </c>
      <c r="D7" s="35" t="s">
        <v>109</v>
      </c>
      <c r="E7" s="40">
        <v>1000000</v>
      </c>
      <c r="F7" s="37">
        <v>999.452</v>
      </c>
      <c r="G7" s="38">
        <v>1.0348616556227399</v>
      </c>
      <c r="H7" s="41">
        <v>5.0032E-2</v>
      </c>
      <c r="I7" s="42"/>
    </row>
    <row r="8" spans="1:11" x14ac:dyDescent="0.2">
      <c r="B8" s="35" t="s">
        <v>122</v>
      </c>
      <c r="C8" s="35" t="s">
        <v>123</v>
      </c>
      <c r="D8" s="35" t="s">
        <v>109</v>
      </c>
      <c r="E8" s="40">
        <v>1000000</v>
      </c>
      <c r="F8" s="37">
        <v>998.55499999999995</v>
      </c>
      <c r="G8" s="38">
        <v>1.03393287574627</v>
      </c>
      <c r="H8" s="41">
        <v>4.8016999999999997E-2</v>
      </c>
      <c r="I8" s="42"/>
    </row>
    <row r="9" spans="1:11" x14ac:dyDescent="0.2">
      <c r="B9" s="35" t="s">
        <v>124</v>
      </c>
      <c r="C9" s="35" t="s">
        <v>125</v>
      </c>
      <c r="D9" s="35" t="s">
        <v>109</v>
      </c>
      <c r="E9" s="40">
        <v>1000000</v>
      </c>
      <c r="F9" s="37">
        <v>997.73699999999997</v>
      </c>
      <c r="G9" s="38">
        <v>1.0330858947663899</v>
      </c>
      <c r="H9" s="41">
        <v>4.5992999999999999E-2</v>
      </c>
      <c r="I9" s="42"/>
    </row>
    <row r="10" spans="1:11" x14ac:dyDescent="0.2">
      <c r="B10" s="35" t="s">
        <v>126</v>
      </c>
      <c r="C10" s="35" t="s">
        <v>127</v>
      </c>
      <c r="D10" s="35" t="s">
        <v>109</v>
      </c>
      <c r="E10" s="40">
        <v>500000</v>
      </c>
      <c r="F10" s="37">
        <v>498.86849999999998</v>
      </c>
      <c r="G10" s="38">
        <v>0.51654294738319595</v>
      </c>
      <c r="H10" s="41">
        <v>4.5992999999999999E-2</v>
      </c>
      <c r="I10" s="42"/>
    </row>
    <row r="11" spans="1:11" x14ac:dyDescent="0.2">
      <c r="B11" s="34" t="s">
        <v>65</v>
      </c>
      <c r="C11" s="34"/>
      <c r="D11" s="34"/>
      <c r="E11" s="43"/>
      <c r="F11" s="47">
        <f>SUM(F6:F10)</f>
        <v>3494.6125000000002</v>
      </c>
      <c r="G11" s="48">
        <f>SUM(G6:G10)</f>
        <v>3.6184233735185956</v>
      </c>
      <c r="H11" s="46"/>
      <c r="I11" s="46"/>
    </row>
    <row r="12" spans="1:11" x14ac:dyDescent="0.2">
      <c r="B12" s="49" t="s">
        <v>105</v>
      </c>
      <c r="C12" s="49"/>
      <c r="D12" s="49"/>
      <c r="E12" s="50"/>
      <c r="F12" s="51">
        <f>+F11</f>
        <v>3494.6125000000002</v>
      </c>
      <c r="G12" s="52">
        <f>+G11</f>
        <v>3.6184233735185956</v>
      </c>
      <c r="H12" s="46"/>
      <c r="I12" s="46"/>
    </row>
    <row r="13" spans="1:11" x14ac:dyDescent="0.2">
      <c r="B13" s="34"/>
      <c r="C13" s="35"/>
      <c r="D13" s="35"/>
      <c r="E13" s="36"/>
      <c r="F13" s="37"/>
      <c r="G13" s="38"/>
      <c r="H13" s="39"/>
      <c r="I13" s="39"/>
    </row>
    <row r="14" spans="1:11" x14ac:dyDescent="0.2">
      <c r="B14" s="34" t="s">
        <v>113</v>
      </c>
      <c r="C14" s="34"/>
      <c r="D14" s="34"/>
      <c r="E14" s="43"/>
      <c r="F14" s="44">
        <v>3930.5484661999999</v>
      </c>
      <c r="G14" s="45">
        <v>4.0698041459090897</v>
      </c>
      <c r="H14" s="41">
        <v>4.9299999999999997E-2</v>
      </c>
      <c r="I14" s="41"/>
    </row>
    <row r="15" spans="1:11" x14ac:dyDescent="0.2">
      <c r="B15" s="35"/>
      <c r="C15" s="35"/>
      <c r="D15" s="35"/>
      <c r="E15" s="36"/>
      <c r="F15" s="37"/>
      <c r="G15" s="38"/>
      <c r="H15" s="39"/>
      <c r="I15" s="39"/>
    </row>
    <row r="16" spans="1:11" x14ac:dyDescent="0.2">
      <c r="B16" s="34" t="s">
        <v>128</v>
      </c>
      <c r="C16" s="35"/>
      <c r="D16" s="35"/>
      <c r="E16" s="36"/>
      <c r="F16" s="37"/>
      <c r="G16" s="38"/>
      <c r="H16" s="39"/>
      <c r="I16" s="39"/>
    </row>
    <row r="17" spans="2:9" x14ac:dyDescent="0.2">
      <c r="B17" s="35" t="s">
        <v>129</v>
      </c>
      <c r="C17" s="35"/>
      <c r="D17" s="35"/>
      <c r="E17" s="36"/>
      <c r="F17" s="37">
        <v>10424.483333300001</v>
      </c>
      <c r="G17" s="38">
        <v>10.793813090884299</v>
      </c>
      <c r="H17" s="39">
        <v>5.0999999999999997E-2</v>
      </c>
      <c r="I17" s="39"/>
    </row>
    <row r="18" spans="2:9" x14ac:dyDescent="0.2">
      <c r="B18" s="35" t="s">
        <v>129</v>
      </c>
      <c r="C18" s="35"/>
      <c r="D18" s="35"/>
      <c r="E18" s="36"/>
      <c r="F18" s="37">
        <v>9655.0162500000006</v>
      </c>
      <c r="G18" s="38">
        <v>9.9970845038475193</v>
      </c>
      <c r="H18" s="39">
        <v>5.0999999999999997E-2</v>
      </c>
      <c r="I18" s="39"/>
    </row>
    <row r="19" spans="2:9" x14ac:dyDescent="0.2">
      <c r="B19" s="35" t="s">
        <v>129</v>
      </c>
      <c r="C19" s="35"/>
      <c r="D19" s="35"/>
      <c r="E19" s="36"/>
      <c r="F19" s="37">
        <v>9499.1797430000006</v>
      </c>
      <c r="G19" s="38">
        <v>9.8357268542150393</v>
      </c>
      <c r="H19" s="39">
        <v>5.0999999999999997E-2</v>
      </c>
      <c r="I19" s="39"/>
    </row>
    <row r="20" spans="2:9" x14ac:dyDescent="0.2">
      <c r="B20" s="35" t="s">
        <v>129</v>
      </c>
      <c r="C20" s="35"/>
      <c r="D20" s="35"/>
      <c r="E20" s="36"/>
      <c r="F20" s="37">
        <v>8599.5388800000001</v>
      </c>
      <c r="G20" s="38">
        <v>8.9042125514270598</v>
      </c>
      <c r="H20" s="39">
        <v>5.0999999999999997E-2</v>
      </c>
      <c r="I20" s="39"/>
    </row>
    <row r="21" spans="2:9" x14ac:dyDescent="0.2">
      <c r="B21" s="35" t="s">
        <v>129</v>
      </c>
      <c r="C21" s="35"/>
      <c r="D21" s="35"/>
      <c r="E21" s="36"/>
      <c r="F21" s="37">
        <v>7681.5583333000004</v>
      </c>
      <c r="G21" s="38">
        <v>7.95370880698768</v>
      </c>
      <c r="H21" s="39">
        <v>5.0900000000000001E-2</v>
      </c>
      <c r="I21" s="39"/>
    </row>
    <row r="22" spans="2:9" x14ac:dyDescent="0.2">
      <c r="B22" s="35" t="s">
        <v>129</v>
      </c>
      <c r="C22" s="35"/>
      <c r="D22" s="35"/>
      <c r="E22" s="36"/>
      <c r="F22" s="37">
        <v>7299.7397778000004</v>
      </c>
      <c r="G22" s="38">
        <v>7.5583627748698703</v>
      </c>
      <c r="H22" s="39">
        <v>5.0999999999999997E-2</v>
      </c>
      <c r="I22" s="39"/>
    </row>
    <row r="23" spans="2:9" x14ac:dyDescent="0.2">
      <c r="B23" s="35" t="s">
        <v>129</v>
      </c>
      <c r="C23" s="35"/>
      <c r="D23" s="35"/>
      <c r="E23" s="36"/>
      <c r="F23" s="37">
        <v>6483.1549999999997</v>
      </c>
      <c r="G23" s="38">
        <v>6.7128471572009598</v>
      </c>
      <c r="H23" s="39">
        <v>5.1200000000000002E-2</v>
      </c>
      <c r="I23" s="39"/>
    </row>
    <row r="24" spans="2:9" x14ac:dyDescent="0.2">
      <c r="B24" s="35" t="s">
        <v>129</v>
      </c>
      <c r="C24" s="35"/>
      <c r="D24" s="35"/>
      <c r="E24" s="36"/>
      <c r="F24" s="37">
        <v>5112.1638888999996</v>
      </c>
      <c r="G24" s="38">
        <v>5.2932831050233702</v>
      </c>
      <c r="H24" s="39">
        <v>5.0999999999999997E-2</v>
      </c>
      <c r="I24" s="39"/>
    </row>
    <row r="25" spans="2:9" x14ac:dyDescent="0.2">
      <c r="B25" s="35" t="s">
        <v>129</v>
      </c>
      <c r="C25" s="35"/>
      <c r="D25" s="35"/>
      <c r="E25" s="36"/>
      <c r="F25" s="37">
        <v>5099.2220850000003</v>
      </c>
      <c r="G25" s="38">
        <v>5.2798827850373202</v>
      </c>
      <c r="H25" s="39">
        <v>5.0999999999999997E-2</v>
      </c>
      <c r="I25" s="39"/>
    </row>
    <row r="26" spans="2:9" x14ac:dyDescent="0.2">
      <c r="B26" s="35" t="s">
        <v>129</v>
      </c>
      <c r="C26" s="35"/>
      <c r="D26" s="35"/>
      <c r="E26" s="36"/>
      <c r="F26" s="37">
        <v>5086.9194444000004</v>
      </c>
      <c r="G26" s="38">
        <v>5.2671442733130398</v>
      </c>
      <c r="H26" s="39">
        <v>5.0700000000000002E-2</v>
      </c>
      <c r="I26" s="39"/>
    </row>
    <row r="27" spans="2:9" x14ac:dyDescent="0.2">
      <c r="B27" s="35" t="s">
        <v>129</v>
      </c>
      <c r="C27" s="35"/>
      <c r="D27" s="35"/>
      <c r="E27" s="36"/>
      <c r="F27" s="37">
        <v>4999.9875443999999</v>
      </c>
      <c r="G27" s="38">
        <v>5.1771324568772101</v>
      </c>
      <c r="H27" s="39">
        <v>5.1200000000000002E-2</v>
      </c>
      <c r="I27" s="39"/>
    </row>
    <row r="28" spans="2:9" x14ac:dyDescent="0.2">
      <c r="B28" s="35" t="s">
        <v>129</v>
      </c>
      <c r="C28" s="35"/>
      <c r="D28" s="35"/>
      <c r="E28" s="36"/>
      <c r="F28" s="37">
        <v>3693.8649999999998</v>
      </c>
      <c r="G28" s="38">
        <v>3.8247352044389098</v>
      </c>
      <c r="H28" s="39">
        <v>5.0999999999999997E-2</v>
      </c>
      <c r="I28" s="39"/>
    </row>
    <row r="29" spans="2:9" x14ac:dyDescent="0.2">
      <c r="B29" s="35" t="s">
        <v>129</v>
      </c>
      <c r="C29" s="35"/>
      <c r="D29" s="35"/>
      <c r="E29" s="36"/>
      <c r="F29" s="37">
        <v>2667.6194443999998</v>
      </c>
      <c r="G29" s="38">
        <v>2.7621307224390801</v>
      </c>
      <c r="H29" s="39">
        <v>5.0999999999999997E-2</v>
      </c>
      <c r="I29" s="39"/>
    </row>
    <row r="30" spans="2:9" x14ac:dyDescent="0.2">
      <c r="B30" s="35" t="s">
        <v>129</v>
      </c>
      <c r="C30" s="35"/>
      <c r="D30" s="35"/>
      <c r="E30" s="36"/>
      <c r="F30" s="37">
        <v>2089.4349999999999</v>
      </c>
      <c r="G30" s="38">
        <v>2.1634617404498599</v>
      </c>
      <c r="H30" s="39">
        <v>5.1200000000000002E-2</v>
      </c>
      <c r="I30" s="39"/>
    </row>
    <row r="31" spans="2:9" x14ac:dyDescent="0.2">
      <c r="B31" s="35" t="s">
        <v>129</v>
      </c>
      <c r="C31" s="35"/>
      <c r="D31" s="35"/>
      <c r="E31" s="36"/>
      <c r="F31" s="37">
        <v>1031.5866667</v>
      </c>
      <c r="G31" s="38">
        <v>1.06813482370289</v>
      </c>
      <c r="H31" s="39">
        <v>5.1200000000000002E-2</v>
      </c>
      <c r="I31" s="39"/>
    </row>
    <row r="32" spans="2:9" x14ac:dyDescent="0.2">
      <c r="B32" s="34" t="s">
        <v>105</v>
      </c>
      <c r="C32" s="34"/>
      <c r="D32" s="34"/>
      <c r="E32" s="43"/>
      <c r="F32" s="44">
        <v>89423.470391200011</v>
      </c>
      <c r="G32" s="45">
        <v>92.591660850714106</v>
      </c>
      <c r="H32" s="39"/>
      <c r="I32" s="39"/>
    </row>
    <row r="33" spans="2:9" x14ac:dyDescent="0.2">
      <c r="B33" s="35"/>
      <c r="C33" s="35"/>
      <c r="D33" s="35"/>
      <c r="E33" s="36"/>
      <c r="F33" s="37"/>
      <c r="G33" s="38"/>
      <c r="H33" s="39"/>
      <c r="I33" s="39"/>
    </row>
    <row r="34" spans="2:9" x14ac:dyDescent="0.2">
      <c r="B34" s="58" t="s">
        <v>115</v>
      </c>
      <c r="C34" s="58"/>
      <c r="D34" s="58"/>
      <c r="E34" s="59"/>
      <c r="F34" s="44">
        <f>F35-(F11+F14+F32)</f>
        <v>-270.31148540001595</v>
      </c>
      <c r="G34" s="45">
        <f>G35-(G11+G14+G32)</f>
        <v>-0.27988837014179069</v>
      </c>
      <c r="H34" s="46"/>
      <c r="I34" s="46"/>
    </row>
    <row r="35" spans="2:9" x14ac:dyDescent="0.2">
      <c r="B35" s="53" t="s">
        <v>114</v>
      </c>
      <c r="C35" s="53"/>
      <c r="D35" s="53"/>
      <c r="E35" s="54"/>
      <c r="F35" s="55">
        <v>96578.319871999993</v>
      </c>
      <c r="G35" s="56">
        <v>100</v>
      </c>
      <c r="H35" s="57"/>
      <c r="I35" s="57"/>
    </row>
    <row r="37" spans="2:9" ht="39.950000000000003" customHeight="1" x14ac:dyDescent="0.2">
      <c r="B37" s="100" t="s">
        <v>118</v>
      </c>
      <c r="C37" s="100"/>
      <c r="D37" s="100"/>
      <c r="E37" s="100"/>
      <c r="F37" s="100"/>
      <c r="G37" s="100"/>
      <c r="H37" s="100"/>
      <c r="I37" s="100"/>
    </row>
    <row r="39" spans="2:9" x14ac:dyDescent="0.2">
      <c r="B39" s="26" t="s">
        <v>1474</v>
      </c>
      <c r="E39" s="8"/>
      <c r="G39" s="83"/>
    </row>
    <row r="40" spans="2:9" x14ac:dyDescent="0.2">
      <c r="B40" s="26"/>
      <c r="C40" s="26"/>
      <c r="D40" s="60"/>
      <c r="E40" s="26"/>
      <c r="G40" s="83"/>
    </row>
    <row r="41" spans="2:9" x14ac:dyDescent="0.2">
      <c r="D41" s="61"/>
      <c r="E41" s="61"/>
      <c r="G41" s="83"/>
    </row>
    <row r="42" spans="2:9" x14ac:dyDescent="0.2">
      <c r="E42" s="8"/>
      <c r="G42" s="83"/>
    </row>
    <row r="43" spans="2:9" x14ac:dyDescent="0.2">
      <c r="E43" s="8"/>
      <c r="G43" s="83"/>
    </row>
    <row r="44" spans="2:9" x14ac:dyDescent="0.2">
      <c r="E44" s="8"/>
      <c r="G44" s="83"/>
    </row>
    <row r="45" spans="2:9" x14ac:dyDescent="0.2">
      <c r="B45" s="26"/>
      <c r="E45" s="8"/>
      <c r="G45" s="83"/>
    </row>
    <row r="46" spans="2:9" x14ac:dyDescent="0.2">
      <c r="E46" s="8"/>
      <c r="G46" s="83"/>
    </row>
    <row r="47" spans="2:9" x14ac:dyDescent="0.2">
      <c r="E47" s="8"/>
      <c r="G47" s="83"/>
    </row>
    <row r="48" spans="2:9" x14ac:dyDescent="0.2">
      <c r="E48" s="8"/>
      <c r="G48" s="83"/>
    </row>
    <row r="49" spans="2:7" x14ac:dyDescent="0.2">
      <c r="E49" s="8"/>
      <c r="G49" s="83"/>
    </row>
    <row r="50" spans="2:7" x14ac:dyDescent="0.2">
      <c r="E50" s="8"/>
      <c r="G50" s="83"/>
    </row>
    <row r="51" spans="2:7" x14ac:dyDescent="0.2">
      <c r="E51" s="8"/>
      <c r="G51" s="83"/>
    </row>
    <row r="52" spans="2:7" x14ac:dyDescent="0.2">
      <c r="E52" s="8"/>
      <c r="G52" s="83"/>
    </row>
    <row r="53" spans="2:7" x14ac:dyDescent="0.2">
      <c r="E53" s="8"/>
      <c r="G53" s="83"/>
    </row>
    <row r="54" spans="2:7" x14ac:dyDescent="0.2">
      <c r="E54" s="8"/>
      <c r="G54" s="83"/>
    </row>
    <row r="55" spans="2:7" x14ac:dyDescent="0.2">
      <c r="E55" s="8"/>
      <c r="G55" s="83"/>
    </row>
    <row r="56" spans="2:7" x14ac:dyDescent="0.2">
      <c r="E56" s="8"/>
      <c r="G56" s="83"/>
    </row>
    <row r="57" spans="2:7" x14ac:dyDescent="0.2">
      <c r="E57" s="8"/>
      <c r="G57" s="83"/>
    </row>
    <row r="58" spans="2:7" x14ac:dyDescent="0.2">
      <c r="E58" s="8"/>
      <c r="G58" s="83"/>
    </row>
    <row r="59" spans="2:7" x14ac:dyDescent="0.2">
      <c r="E59" s="8"/>
      <c r="G59" s="83"/>
    </row>
    <row r="60" spans="2:7" x14ac:dyDescent="0.2">
      <c r="B60" s="26" t="s">
        <v>1475</v>
      </c>
      <c r="E60" s="8"/>
      <c r="G60" s="83"/>
    </row>
    <row r="61" spans="2:7" x14ac:dyDescent="0.2">
      <c r="B61" s="85" t="s">
        <v>1477</v>
      </c>
      <c r="E61" s="8"/>
      <c r="G61" s="83"/>
    </row>
    <row r="62" spans="2:7" x14ac:dyDescent="0.2">
      <c r="E62" s="8"/>
      <c r="G62" s="83"/>
    </row>
    <row r="63" spans="2:7" x14ac:dyDescent="0.2">
      <c r="E63" s="8"/>
      <c r="G63" s="83"/>
    </row>
    <row r="64" spans="2:7" x14ac:dyDescent="0.2">
      <c r="E64" s="8"/>
      <c r="G64" s="83"/>
    </row>
    <row r="65" spans="5:7" x14ac:dyDescent="0.2">
      <c r="E65" s="8"/>
      <c r="G65" s="83"/>
    </row>
    <row r="66" spans="5:7" x14ac:dyDescent="0.2">
      <c r="E66" s="8"/>
      <c r="G66" s="83"/>
    </row>
    <row r="67" spans="5:7" x14ac:dyDescent="0.2">
      <c r="E67" s="8"/>
      <c r="G67" s="83"/>
    </row>
    <row r="68" spans="5:7" x14ac:dyDescent="0.2">
      <c r="E68" s="8"/>
      <c r="G68" s="83"/>
    </row>
    <row r="69" spans="5:7" x14ac:dyDescent="0.2">
      <c r="E69" s="8"/>
      <c r="G69" s="83"/>
    </row>
    <row r="70" spans="5:7" x14ac:dyDescent="0.2">
      <c r="E70" s="8"/>
      <c r="G70" s="83"/>
    </row>
    <row r="71" spans="5:7" x14ac:dyDescent="0.2">
      <c r="E71" s="8"/>
      <c r="G71" s="83"/>
    </row>
    <row r="72" spans="5:7" x14ac:dyDescent="0.2">
      <c r="E72" s="8"/>
      <c r="G72" s="83"/>
    </row>
    <row r="73" spans="5:7" x14ac:dyDescent="0.2">
      <c r="E73" s="8"/>
      <c r="G73" s="83"/>
    </row>
    <row r="74" spans="5:7" x14ac:dyDescent="0.2">
      <c r="E74" s="8"/>
      <c r="G74" s="83"/>
    </row>
    <row r="75" spans="5:7" x14ac:dyDescent="0.2">
      <c r="E75" s="8"/>
      <c r="G75" s="83"/>
    </row>
    <row r="76" spans="5:7" x14ac:dyDescent="0.2">
      <c r="E76" s="8"/>
      <c r="G76" s="83"/>
    </row>
    <row r="77" spans="5:7" x14ac:dyDescent="0.2">
      <c r="E77" s="8"/>
      <c r="G77" s="83"/>
    </row>
    <row r="78" spans="5:7" x14ac:dyDescent="0.2">
      <c r="E78" s="8"/>
      <c r="G78" s="83"/>
    </row>
    <row r="79" spans="5:7" x14ac:dyDescent="0.2">
      <c r="E79" s="8"/>
      <c r="G79" s="83"/>
    </row>
    <row r="80" spans="5:7" x14ac:dyDescent="0.2">
      <c r="E80" s="8"/>
      <c r="G80" s="83"/>
    </row>
    <row r="81" spans="5:7" x14ac:dyDescent="0.2">
      <c r="E81" s="8"/>
      <c r="G81" s="83"/>
    </row>
    <row r="82" spans="5:7" x14ac:dyDescent="0.2">
      <c r="E82" s="8"/>
      <c r="G82" s="83"/>
    </row>
    <row r="83" spans="5:7" x14ac:dyDescent="0.2">
      <c r="E83" s="8"/>
      <c r="G83" s="83"/>
    </row>
    <row r="84" spans="5:7" x14ac:dyDescent="0.2">
      <c r="E84" s="8"/>
      <c r="G84" s="83"/>
    </row>
    <row r="85" spans="5:7" x14ac:dyDescent="0.2">
      <c r="E85" s="8"/>
      <c r="G85" s="83"/>
    </row>
    <row r="86" spans="5:7" x14ac:dyDescent="0.2">
      <c r="E86" s="8"/>
      <c r="G86" s="83"/>
    </row>
    <row r="87" spans="5:7" x14ac:dyDescent="0.2">
      <c r="E87" s="8"/>
      <c r="G87" s="83"/>
    </row>
    <row r="88" spans="5:7" x14ac:dyDescent="0.2">
      <c r="E88" s="8"/>
      <c r="G88" s="83"/>
    </row>
    <row r="89" spans="5:7" x14ac:dyDescent="0.2">
      <c r="E89" s="8"/>
      <c r="G89" s="83"/>
    </row>
    <row r="90" spans="5:7" x14ac:dyDescent="0.2">
      <c r="E90" s="8"/>
      <c r="G90" s="83"/>
    </row>
    <row r="91" spans="5:7" x14ac:dyDescent="0.2">
      <c r="E91" s="8"/>
      <c r="G91" s="83"/>
    </row>
    <row r="92" spans="5:7" x14ac:dyDescent="0.2">
      <c r="E92" s="8"/>
      <c r="G92" s="83"/>
    </row>
    <row r="93" spans="5:7" x14ac:dyDescent="0.2">
      <c r="E93" s="8"/>
      <c r="G93" s="83"/>
    </row>
    <row r="94" spans="5:7" x14ac:dyDescent="0.2">
      <c r="E94" s="8"/>
      <c r="G94" s="83"/>
    </row>
    <row r="95" spans="5:7" x14ac:dyDescent="0.2">
      <c r="E95" s="8"/>
      <c r="G95" s="83"/>
    </row>
    <row r="96" spans="5:7" x14ac:dyDescent="0.2">
      <c r="E96" s="8"/>
      <c r="G96" s="83"/>
    </row>
    <row r="97" spans="5:7" x14ac:dyDescent="0.2">
      <c r="E97" s="8"/>
      <c r="G97" s="83"/>
    </row>
    <row r="98" spans="5:7" x14ac:dyDescent="0.2">
      <c r="E98" s="8"/>
      <c r="G98" s="83"/>
    </row>
    <row r="99" spans="5:7" x14ac:dyDescent="0.2">
      <c r="E99" s="8"/>
      <c r="G99" s="83"/>
    </row>
    <row r="100" spans="5:7" x14ac:dyDescent="0.2">
      <c r="E100" s="8"/>
      <c r="G100" s="83"/>
    </row>
    <row r="101" spans="5:7" x14ac:dyDescent="0.2">
      <c r="E101" s="8"/>
      <c r="G101" s="83"/>
    </row>
    <row r="102" spans="5:7" x14ac:dyDescent="0.2">
      <c r="E102" s="8"/>
      <c r="G102" s="83"/>
    </row>
    <row r="103" spans="5:7" x14ac:dyDescent="0.2">
      <c r="E103" s="8"/>
      <c r="G103" s="83"/>
    </row>
    <row r="104" spans="5:7" x14ac:dyDescent="0.2">
      <c r="E104" s="8"/>
      <c r="G104" s="83"/>
    </row>
    <row r="105" spans="5:7" x14ac:dyDescent="0.2">
      <c r="E105" s="8"/>
      <c r="G105" s="83"/>
    </row>
    <row r="106" spans="5:7" x14ac:dyDescent="0.2">
      <c r="E106" s="8"/>
      <c r="G106" s="83"/>
    </row>
    <row r="107" spans="5:7" x14ac:dyDescent="0.2">
      <c r="E107" s="8"/>
      <c r="G107" s="83"/>
    </row>
    <row r="108" spans="5:7" x14ac:dyDescent="0.2">
      <c r="E108" s="8"/>
      <c r="G108" s="83"/>
    </row>
    <row r="109" spans="5:7" x14ac:dyDescent="0.2">
      <c r="E109" s="8"/>
      <c r="G109" s="83"/>
    </row>
    <row r="110" spans="5:7" x14ac:dyDescent="0.2">
      <c r="E110" s="8"/>
      <c r="G110" s="83"/>
    </row>
    <row r="111" spans="5:7" x14ac:dyDescent="0.2">
      <c r="E111" s="8"/>
      <c r="G111" s="83"/>
    </row>
    <row r="112" spans="5:7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  <row r="164" spans="5:7" x14ac:dyDescent="0.2">
      <c r="E164" s="8"/>
      <c r="G164" s="83"/>
    </row>
    <row r="165" spans="5:7" x14ac:dyDescent="0.2">
      <c r="E165" s="8"/>
      <c r="G165" s="83"/>
    </row>
    <row r="166" spans="5:7" x14ac:dyDescent="0.2">
      <c r="E166" s="8"/>
      <c r="G166" s="83"/>
    </row>
    <row r="167" spans="5:7" x14ac:dyDescent="0.2">
      <c r="E167" s="8"/>
      <c r="G167" s="83"/>
    </row>
    <row r="168" spans="5:7" x14ac:dyDescent="0.2">
      <c r="E168" s="8"/>
      <c r="G168" s="83"/>
    </row>
    <row r="169" spans="5:7" x14ac:dyDescent="0.2">
      <c r="E169" s="8"/>
      <c r="G169" s="83"/>
    </row>
    <row r="170" spans="5:7" x14ac:dyDescent="0.2">
      <c r="E170" s="8"/>
      <c r="G170" s="83"/>
    </row>
    <row r="171" spans="5:7" x14ac:dyDescent="0.2">
      <c r="E171" s="8"/>
      <c r="G171" s="83"/>
    </row>
    <row r="172" spans="5:7" x14ac:dyDescent="0.2">
      <c r="E172" s="8"/>
      <c r="G172" s="83"/>
    </row>
    <row r="173" spans="5:7" x14ac:dyDescent="0.2">
      <c r="E173" s="8"/>
      <c r="G173" s="83"/>
    </row>
    <row r="174" spans="5:7" x14ac:dyDescent="0.2">
      <c r="E174" s="8"/>
      <c r="G174" s="83"/>
    </row>
    <row r="175" spans="5:7" x14ac:dyDescent="0.2">
      <c r="E175" s="8"/>
      <c r="G175" s="83"/>
    </row>
    <row r="176" spans="5:7" x14ac:dyDescent="0.2">
      <c r="E176" s="8"/>
      <c r="G176" s="83"/>
    </row>
    <row r="177" spans="5:7" x14ac:dyDescent="0.2">
      <c r="E177" s="8"/>
      <c r="G177" s="83"/>
    </row>
    <row r="178" spans="5:7" x14ac:dyDescent="0.2">
      <c r="E178" s="8"/>
      <c r="G178" s="83"/>
    </row>
    <row r="179" spans="5:7" x14ac:dyDescent="0.2">
      <c r="E179" s="8"/>
      <c r="G179" s="83"/>
    </row>
    <row r="180" spans="5:7" x14ac:dyDescent="0.2">
      <c r="E180" s="8"/>
      <c r="G180" s="83"/>
    </row>
    <row r="181" spans="5:7" x14ac:dyDescent="0.2">
      <c r="E181" s="8"/>
      <c r="G181" s="83"/>
    </row>
    <row r="182" spans="5:7" x14ac:dyDescent="0.2">
      <c r="E182" s="8"/>
      <c r="G182" s="83"/>
    </row>
    <row r="183" spans="5:7" x14ac:dyDescent="0.2">
      <c r="E183" s="8"/>
      <c r="G183" s="83"/>
    </row>
    <row r="184" spans="5:7" x14ac:dyDescent="0.2">
      <c r="E184" s="8"/>
      <c r="G184" s="83"/>
    </row>
    <row r="185" spans="5:7" x14ac:dyDescent="0.2">
      <c r="E185" s="8"/>
      <c r="G185" s="83"/>
    </row>
    <row r="186" spans="5:7" x14ac:dyDescent="0.2">
      <c r="E186" s="8"/>
      <c r="G186" s="83"/>
    </row>
    <row r="187" spans="5:7" x14ac:dyDescent="0.2">
      <c r="E187" s="8"/>
      <c r="G187" s="83"/>
    </row>
    <row r="188" spans="5:7" x14ac:dyDescent="0.2">
      <c r="E188" s="8"/>
      <c r="G188" s="83"/>
    </row>
    <row r="189" spans="5:7" x14ac:dyDescent="0.2">
      <c r="E189" s="8"/>
      <c r="G189" s="83"/>
    </row>
    <row r="190" spans="5:7" x14ac:dyDescent="0.2">
      <c r="E190" s="8"/>
      <c r="G190" s="83"/>
    </row>
    <row r="191" spans="5:7" x14ac:dyDescent="0.2">
      <c r="E191" s="8"/>
      <c r="G191" s="83"/>
    </row>
    <row r="192" spans="5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</sheetData>
  <mergeCells count="2">
    <mergeCell ref="B1:C1"/>
    <mergeCell ref="B37:I37"/>
  </mergeCells>
  <conditionalFormatting sqref="G1:G3 G5:G36 G38:G186">
    <cfRule type="cellIs" dxfId="12" priority="2" stopIfTrue="1" operator="between">
      <formula>0.009</formula>
      <formula>-0.009</formula>
    </cfRule>
  </conditionalFormatting>
  <hyperlinks>
    <hyperlink ref="A2" location="Index!A1" display="-" xr:uid="{346C4293-681B-4F4F-8F47-24924EE2BC89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82" min="1" max="8" man="1"/>
  </rowBreaks>
  <colBreaks count="1" manualBreakCount="1">
    <brk id="9" max="39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9812-5C92-4D37-A950-F3A31C96B4FA}">
  <dimension ref="A1:K433"/>
  <sheetViews>
    <sheetView view="pageBreakPreview" zoomScaleNormal="100" zoomScaleSheetLayoutView="100" workbookViewId="0">
      <selection activeCell="B35" sqref="B35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42578125" style="8" bestFit="1" customWidth="1"/>
    <col min="4" max="4" width="13.7109375" style="8" bestFit="1" customWidth="1"/>
    <col min="5" max="5" width="13.7109375" style="9" bestFit="1" customWidth="1"/>
    <col min="6" max="6" width="12.7109375" style="11" bestFit="1" customWidth="1"/>
    <col min="7" max="7" width="8.140625" style="18" customWidth="1"/>
    <col min="8" max="8" width="11.85546875" style="14" bestFit="1" customWidth="1"/>
    <col min="9" max="9" width="12.140625" style="14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98" t="s">
        <v>12</v>
      </c>
      <c r="C1" s="99"/>
      <c r="D1" s="13"/>
      <c r="E1" s="6"/>
      <c r="F1" s="7"/>
      <c r="G1" s="18"/>
      <c r="H1" s="14"/>
      <c r="I1" s="15"/>
    </row>
    <row r="2" spans="1:11" s="1" customFormat="1" ht="15" x14ac:dyDescent="0.25">
      <c r="A2" s="82" t="s">
        <v>1501</v>
      </c>
      <c r="E2" s="6"/>
      <c r="F2" s="7"/>
      <c r="G2" s="18"/>
      <c r="H2" s="14"/>
      <c r="I2" s="15"/>
    </row>
    <row r="3" spans="1:11" s="1" customFormat="1" ht="12" x14ac:dyDescent="0.2">
      <c r="B3" s="10" t="s">
        <v>9</v>
      </c>
      <c r="C3" s="2"/>
      <c r="D3" s="3"/>
      <c r="E3" s="4"/>
      <c r="F3" s="5"/>
      <c r="G3" s="18"/>
      <c r="H3" s="14"/>
      <c r="I3" s="15"/>
    </row>
    <row r="4" spans="1:11" s="1" customFormat="1" ht="45" x14ac:dyDescent="0.2">
      <c r="B4" s="28" t="s">
        <v>7</v>
      </c>
      <c r="C4" s="28" t="s">
        <v>8</v>
      </c>
      <c r="D4" s="29" t="s">
        <v>116</v>
      </c>
      <c r="E4" s="30" t="s">
        <v>0</v>
      </c>
      <c r="F4" s="31" t="s">
        <v>4</v>
      </c>
      <c r="G4" s="32" t="s">
        <v>5</v>
      </c>
      <c r="H4" s="33" t="s">
        <v>6</v>
      </c>
      <c r="I4" s="33" t="s">
        <v>23</v>
      </c>
      <c r="J4" s="17"/>
      <c r="K4" s="12"/>
    </row>
    <row r="5" spans="1:11" x14ac:dyDescent="0.2">
      <c r="B5" s="34" t="s">
        <v>24</v>
      </c>
      <c r="C5" s="35"/>
      <c r="D5" s="35"/>
      <c r="E5" s="36"/>
      <c r="F5" s="37"/>
      <c r="G5" s="38"/>
      <c r="H5" s="39"/>
      <c r="I5" s="39"/>
    </row>
    <row r="6" spans="1:11" x14ac:dyDescent="0.2">
      <c r="B6" s="34" t="s">
        <v>25</v>
      </c>
      <c r="C6" s="35"/>
      <c r="D6" s="35"/>
      <c r="E6" s="36"/>
      <c r="F6" s="37"/>
      <c r="G6" s="38"/>
      <c r="H6" s="39"/>
      <c r="I6" s="39"/>
    </row>
    <row r="7" spans="1:11" x14ac:dyDescent="0.2">
      <c r="B7" s="35" t="s">
        <v>130</v>
      </c>
      <c r="C7" s="35" t="s">
        <v>131</v>
      </c>
      <c r="D7" s="35" t="s">
        <v>36</v>
      </c>
      <c r="E7" s="40">
        <v>7000</v>
      </c>
      <c r="F7" s="37">
        <v>34427.96</v>
      </c>
      <c r="G7" s="38">
        <v>3.8139666760091999</v>
      </c>
      <c r="H7" s="41">
        <v>7.1348999999999996E-2</v>
      </c>
      <c r="I7" s="42"/>
    </row>
    <row r="8" spans="1:11" x14ac:dyDescent="0.2">
      <c r="B8" s="35" t="s">
        <v>132</v>
      </c>
      <c r="C8" s="35" t="s">
        <v>133</v>
      </c>
      <c r="D8" s="35" t="s">
        <v>36</v>
      </c>
      <c r="E8" s="40">
        <v>5000</v>
      </c>
      <c r="F8" s="37">
        <v>24589.724999999999</v>
      </c>
      <c r="G8" s="38">
        <v>2.72407635312201</v>
      </c>
      <c r="H8" s="41">
        <v>7.0000000000000007E-2</v>
      </c>
      <c r="I8" s="42"/>
    </row>
    <row r="9" spans="1:11" x14ac:dyDescent="0.2">
      <c r="B9" s="35" t="s">
        <v>134</v>
      </c>
      <c r="C9" s="35" t="s">
        <v>135</v>
      </c>
      <c r="D9" s="35" t="s">
        <v>36</v>
      </c>
      <c r="E9" s="40">
        <v>4500</v>
      </c>
      <c r="F9" s="37">
        <v>22137.322499999998</v>
      </c>
      <c r="G9" s="38">
        <v>2.4523965495216302</v>
      </c>
      <c r="H9" s="41">
        <v>7.0352999999999999E-2</v>
      </c>
      <c r="I9" s="42"/>
    </row>
    <row r="10" spans="1:11" x14ac:dyDescent="0.2">
      <c r="B10" s="35" t="s">
        <v>136</v>
      </c>
      <c r="C10" s="35" t="s">
        <v>137</v>
      </c>
      <c r="D10" s="35" t="s">
        <v>36</v>
      </c>
      <c r="E10" s="40">
        <v>4000</v>
      </c>
      <c r="F10" s="37">
        <v>19693.96</v>
      </c>
      <c r="G10" s="38">
        <v>2.1817182069067802</v>
      </c>
      <c r="H10" s="41">
        <v>7.1800000000000003E-2</v>
      </c>
      <c r="I10" s="42"/>
    </row>
    <row r="11" spans="1:11" x14ac:dyDescent="0.2">
      <c r="B11" s="35" t="s">
        <v>138</v>
      </c>
      <c r="C11" s="35" t="s">
        <v>139</v>
      </c>
      <c r="D11" s="35" t="s">
        <v>93</v>
      </c>
      <c r="E11" s="40">
        <v>4000</v>
      </c>
      <c r="F11" s="37">
        <v>19674.12</v>
      </c>
      <c r="G11" s="38">
        <v>2.1795203102305898</v>
      </c>
      <c r="H11" s="41">
        <v>7.0300000000000001E-2</v>
      </c>
      <c r="I11" s="42"/>
    </row>
    <row r="12" spans="1:11" x14ac:dyDescent="0.2">
      <c r="B12" s="35" t="s">
        <v>140</v>
      </c>
      <c r="C12" s="35" t="s">
        <v>141</v>
      </c>
      <c r="D12" s="35" t="s">
        <v>36</v>
      </c>
      <c r="E12" s="40">
        <v>3000</v>
      </c>
      <c r="F12" s="37">
        <v>14993.25</v>
      </c>
      <c r="G12" s="38">
        <v>1.66096846473259</v>
      </c>
      <c r="H12" s="41">
        <v>5.4774999999999997E-2</v>
      </c>
      <c r="I12" s="42"/>
    </row>
    <row r="13" spans="1:11" x14ac:dyDescent="0.2">
      <c r="B13" s="35" t="s">
        <v>142</v>
      </c>
      <c r="C13" s="35" t="s">
        <v>143</v>
      </c>
      <c r="D13" s="35" t="s">
        <v>36</v>
      </c>
      <c r="E13" s="40">
        <v>3000</v>
      </c>
      <c r="F13" s="37">
        <v>14940.81</v>
      </c>
      <c r="G13" s="38">
        <v>1.6551591047679</v>
      </c>
      <c r="H13" s="41">
        <v>5.5614999999999998E-2</v>
      </c>
      <c r="I13" s="42"/>
    </row>
    <row r="14" spans="1:11" x14ac:dyDescent="0.2">
      <c r="B14" s="35" t="s">
        <v>144</v>
      </c>
      <c r="C14" s="35" t="s">
        <v>145</v>
      </c>
      <c r="D14" s="35" t="s">
        <v>36</v>
      </c>
      <c r="E14" s="40">
        <v>3000</v>
      </c>
      <c r="F14" s="37">
        <v>14754.584999999999</v>
      </c>
      <c r="G14" s="38">
        <v>1.63452889768506</v>
      </c>
      <c r="H14" s="41">
        <v>7.1425000000000002E-2</v>
      </c>
      <c r="I14" s="42"/>
    </row>
    <row r="15" spans="1:11" x14ac:dyDescent="0.2">
      <c r="B15" s="35" t="s">
        <v>146</v>
      </c>
      <c r="C15" s="35" t="s">
        <v>147</v>
      </c>
      <c r="D15" s="35" t="s">
        <v>36</v>
      </c>
      <c r="E15" s="40">
        <v>2500</v>
      </c>
      <c r="F15" s="37">
        <v>12353.375</v>
      </c>
      <c r="G15" s="38">
        <v>1.3685202546489901</v>
      </c>
      <c r="H15" s="41">
        <v>7.2204000000000004E-2</v>
      </c>
      <c r="I15" s="42"/>
    </row>
    <row r="16" spans="1:11" x14ac:dyDescent="0.2">
      <c r="B16" s="35" t="s">
        <v>148</v>
      </c>
      <c r="C16" s="35" t="s">
        <v>149</v>
      </c>
      <c r="D16" s="35" t="s">
        <v>93</v>
      </c>
      <c r="E16" s="40">
        <v>2400</v>
      </c>
      <c r="F16" s="37">
        <v>11992.896000000001</v>
      </c>
      <c r="G16" s="38">
        <v>1.32858600082154</v>
      </c>
      <c r="H16" s="41">
        <v>5.4052000000000003E-2</v>
      </c>
      <c r="I16" s="42"/>
    </row>
    <row r="17" spans="2:9" x14ac:dyDescent="0.2">
      <c r="B17" s="35" t="s">
        <v>150</v>
      </c>
      <c r="C17" s="35" t="s">
        <v>151</v>
      </c>
      <c r="D17" s="35" t="s">
        <v>31</v>
      </c>
      <c r="E17" s="40">
        <v>2000</v>
      </c>
      <c r="F17" s="37">
        <v>9981.73</v>
      </c>
      <c r="G17" s="38">
        <v>1.10578685431612</v>
      </c>
      <c r="H17" s="41">
        <v>5.5673E-2</v>
      </c>
      <c r="I17" s="42"/>
    </row>
    <row r="18" spans="2:9" x14ac:dyDescent="0.2">
      <c r="B18" s="35" t="s">
        <v>152</v>
      </c>
      <c r="C18" s="35" t="s">
        <v>153</v>
      </c>
      <c r="D18" s="35" t="s">
        <v>36</v>
      </c>
      <c r="E18" s="40">
        <v>2000</v>
      </c>
      <c r="F18" s="37">
        <v>9837.74</v>
      </c>
      <c r="G18" s="38">
        <v>1.0898354862513699</v>
      </c>
      <c r="H18" s="41">
        <v>7.0001999999999995E-2</v>
      </c>
      <c r="I18" s="42"/>
    </row>
    <row r="19" spans="2:9" x14ac:dyDescent="0.2">
      <c r="B19" s="35" t="s">
        <v>154</v>
      </c>
      <c r="C19" s="35" t="s">
        <v>155</v>
      </c>
      <c r="D19" s="35" t="s">
        <v>36</v>
      </c>
      <c r="E19" s="40">
        <v>1000</v>
      </c>
      <c r="F19" s="37">
        <v>4985.625</v>
      </c>
      <c r="G19" s="38">
        <v>0.55231293428592299</v>
      </c>
      <c r="H19" s="41">
        <v>5.5398999999999997E-2</v>
      </c>
      <c r="I19" s="42"/>
    </row>
    <row r="20" spans="2:9" x14ac:dyDescent="0.2">
      <c r="B20" s="35" t="s">
        <v>156</v>
      </c>
      <c r="C20" s="35" t="s">
        <v>157</v>
      </c>
      <c r="D20" s="35" t="s">
        <v>36</v>
      </c>
      <c r="E20" s="40">
        <v>1000</v>
      </c>
      <c r="F20" s="37">
        <v>4981.5200000000004</v>
      </c>
      <c r="G20" s="38">
        <v>0.55185817794238701</v>
      </c>
      <c r="H20" s="41">
        <v>5.6418999999999997E-2</v>
      </c>
      <c r="I20" s="42"/>
    </row>
    <row r="21" spans="2:9" x14ac:dyDescent="0.2">
      <c r="B21" s="35" t="s">
        <v>158</v>
      </c>
      <c r="C21" s="35" t="s">
        <v>159</v>
      </c>
      <c r="D21" s="35" t="s">
        <v>36</v>
      </c>
      <c r="E21" s="40">
        <v>1000</v>
      </c>
      <c r="F21" s="37">
        <v>4935.05</v>
      </c>
      <c r="G21" s="38">
        <v>0.54671018104003899</v>
      </c>
      <c r="H21" s="41">
        <v>7.1697999999999998E-2</v>
      </c>
      <c r="I21" s="42"/>
    </row>
    <row r="22" spans="2:9" x14ac:dyDescent="0.2">
      <c r="B22" s="35" t="s">
        <v>160</v>
      </c>
      <c r="C22" s="35" t="s">
        <v>161</v>
      </c>
      <c r="D22" s="35" t="s">
        <v>36</v>
      </c>
      <c r="E22" s="40">
        <v>1000</v>
      </c>
      <c r="F22" s="37">
        <v>4927.2049999999999</v>
      </c>
      <c r="G22" s="38">
        <v>0.54584110344806702</v>
      </c>
      <c r="H22" s="41">
        <v>7.1901000000000007E-2</v>
      </c>
      <c r="I22" s="42"/>
    </row>
    <row r="23" spans="2:9" x14ac:dyDescent="0.2">
      <c r="B23" s="35" t="s">
        <v>162</v>
      </c>
      <c r="C23" s="35" t="s">
        <v>163</v>
      </c>
      <c r="D23" s="35" t="s">
        <v>36</v>
      </c>
      <c r="E23" s="40">
        <v>500</v>
      </c>
      <c r="F23" s="37">
        <v>2498.5124999999998</v>
      </c>
      <c r="G23" s="38">
        <v>0.27678791931303598</v>
      </c>
      <c r="H23" s="41">
        <v>5.4325999999999999E-2</v>
      </c>
      <c r="I23" s="42"/>
    </row>
    <row r="24" spans="2:9" x14ac:dyDescent="0.2">
      <c r="B24" s="35" t="s">
        <v>37</v>
      </c>
      <c r="C24" s="35" t="s">
        <v>38</v>
      </c>
      <c r="D24" s="35" t="s">
        <v>36</v>
      </c>
      <c r="E24" s="40">
        <v>500</v>
      </c>
      <c r="F24" s="37">
        <v>2495.83</v>
      </c>
      <c r="G24" s="38">
        <v>0.27649074905931298</v>
      </c>
      <c r="H24" s="41">
        <v>5.5440000000000003E-2</v>
      </c>
      <c r="I24" s="42"/>
    </row>
    <row r="25" spans="2:9" x14ac:dyDescent="0.2">
      <c r="B25" s="35" t="s">
        <v>164</v>
      </c>
      <c r="C25" s="35" t="s">
        <v>165</v>
      </c>
      <c r="D25" s="35" t="s">
        <v>36</v>
      </c>
      <c r="E25" s="40">
        <v>300</v>
      </c>
      <c r="F25" s="37">
        <v>1499.1015</v>
      </c>
      <c r="G25" s="38">
        <v>0.16607208690132699</v>
      </c>
      <c r="H25" s="41">
        <v>5.4737000000000001E-2</v>
      </c>
      <c r="I25" s="42"/>
    </row>
    <row r="26" spans="2:9" x14ac:dyDescent="0.2">
      <c r="B26" s="34" t="s">
        <v>65</v>
      </c>
      <c r="C26" s="34"/>
      <c r="D26" s="34"/>
      <c r="E26" s="43"/>
      <c r="F26" s="44">
        <f>SUM(F6:F25)</f>
        <v>235700.31749999995</v>
      </c>
      <c r="G26" s="45">
        <f>SUM(G6:G25)</f>
        <v>26.111136311003868</v>
      </c>
      <c r="H26" s="46"/>
      <c r="I26" s="46"/>
    </row>
    <row r="27" spans="2:9" x14ac:dyDescent="0.2">
      <c r="B27" s="34" t="s">
        <v>66</v>
      </c>
      <c r="C27" s="35"/>
      <c r="D27" s="35"/>
      <c r="E27" s="36"/>
      <c r="F27" s="37"/>
      <c r="G27" s="38"/>
      <c r="H27" s="39"/>
      <c r="I27" s="39"/>
    </row>
    <row r="28" spans="2:9" x14ac:dyDescent="0.2">
      <c r="B28" s="35" t="s">
        <v>166</v>
      </c>
      <c r="C28" s="35" t="s">
        <v>167</v>
      </c>
      <c r="D28" s="35" t="s">
        <v>36</v>
      </c>
      <c r="E28" s="40">
        <v>10000</v>
      </c>
      <c r="F28" s="37">
        <v>49862.05</v>
      </c>
      <c r="G28" s="38">
        <v>5.5237718731375498</v>
      </c>
      <c r="H28" s="41">
        <v>5.9401000000000002E-2</v>
      </c>
      <c r="I28" s="42"/>
    </row>
    <row r="29" spans="2:9" x14ac:dyDescent="0.2">
      <c r="B29" s="35" t="s">
        <v>83</v>
      </c>
      <c r="C29" s="35" t="s">
        <v>84</v>
      </c>
      <c r="D29" s="35" t="s">
        <v>36</v>
      </c>
      <c r="E29" s="40">
        <v>9900</v>
      </c>
      <c r="F29" s="37">
        <v>49354.866000000002</v>
      </c>
      <c r="G29" s="38">
        <v>5.4675854806064503</v>
      </c>
      <c r="H29" s="41">
        <v>5.6491E-2</v>
      </c>
      <c r="I29" s="42"/>
    </row>
    <row r="30" spans="2:9" x14ac:dyDescent="0.2">
      <c r="B30" s="35" t="s">
        <v>168</v>
      </c>
      <c r="C30" s="35" t="s">
        <v>169</v>
      </c>
      <c r="D30" s="35" t="s">
        <v>36</v>
      </c>
      <c r="E30" s="40">
        <v>8000</v>
      </c>
      <c r="F30" s="37">
        <v>39920.120000000003</v>
      </c>
      <c r="G30" s="38">
        <v>4.4223941059037104</v>
      </c>
      <c r="H30" s="41">
        <v>6.0864000000000001E-2</v>
      </c>
      <c r="I30" s="42"/>
    </row>
    <row r="31" spans="2:9" x14ac:dyDescent="0.2">
      <c r="B31" s="35" t="s">
        <v>170</v>
      </c>
      <c r="C31" s="35" t="s">
        <v>171</v>
      </c>
      <c r="D31" s="35" t="s">
        <v>28</v>
      </c>
      <c r="E31" s="40">
        <v>8000</v>
      </c>
      <c r="F31" s="37">
        <v>39290.120000000003</v>
      </c>
      <c r="G31" s="38">
        <v>4.3526020239480596</v>
      </c>
      <c r="H31" s="41">
        <v>7.5800999999999993E-2</v>
      </c>
      <c r="I31" s="42"/>
    </row>
    <row r="32" spans="2:9" x14ac:dyDescent="0.2">
      <c r="B32" s="35" t="s">
        <v>172</v>
      </c>
      <c r="C32" s="35" t="s">
        <v>173</v>
      </c>
      <c r="D32" s="35" t="s">
        <v>36</v>
      </c>
      <c r="E32" s="40">
        <v>4000</v>
      </c>
      <c r="F32" s="37">
        <v>19972.18</v>
      </c>
      <c r="G32" s="38">
        <v>2.2125397196713799</v>
      </c>
      <c r="H32" s="41">
        <v>5.6491E-2</v>
      </c>
      <c r="I32" s="42"/>
    </row>
    <row r="33" spans="2:9" x14ac:dyDescent="0.2">
      <c r="B33" s="35" t="s">
        <v>81</v>
      </c>
      <c r="C33" s="35" t="s">
        <v>82</v>
      </c>
      <c r="D33" s="35" t="s">
        <v>36</v>
      </c>
      <c r="E33" s="40">
        <v>4000</v>
      </c>
      <c r="F33" s="37">
        <v>19945.18</v>
      </c>
      <c r="G33" s="38">
        <v>2.2095486304447101</v>
      </c>
      <c r="H33" s="41">
        <v>6.2701000000000007E-2</v>
      </c>
      <c r="I33" s="42"/>
    </row>
    <row r="34" spans="2:9" x14ac:dyDescent="0.2">
      <c r="B34" s="35" t="s">
        <v>174</v>
      </c>
      <c r="C34" s="35" t="s">
        <v>175</v>
      </c>
      <c r="D34" s="35" t="s">
        <v>36</v>
      </c>
      <c r="E34" s="40">
        <v>4000</v>
      </c>
      <c r="F34" s="37">
        <v>19941.759999999998</v>
      </c>
      <c r="G34" s="38">
        <v>2.20916975914266</v>
      </c>
      <c r="H34" s="41">
        <v>6.2704999999999997E-2</v>
      </c>
      <c r="I34" s="42"/>
    </row>
    <row r="35" spans="2:9" x14ac:dyDescent="0.2">
      <c r="B35" s="35" t="s">
        <v>176</v>
      </c>
      <c r="C35" s="35" t="s">
        <v>177</v>
      </c>
      <c r="D35" s="35" t="s">
        <v>36</v>
      </c>
      <c r="E35" s="40">
        <v>4000</v>
      </c>
      <c r="F35" s="37">
        <v>19687.16</v>
      </c>
      <c r="G35" s="38">
        <v>2.1809648955459902</v>
      </c>
      <c r="H35" s="41">
        <v>7.2500999999999996E-2</v>
      </c>
      <c r="I35" s="42"/>
    </row>
    <row r="36" spans="2:9" x14ac:dyDescent="0.2">
      <c r="B36" s="35" t="s">
        <v>178</v>
      </c>
      <c r="C36" s="35" t="s">
        <v>179</v>
      </c>
      <c r="D36" s="35" t="s">
        <v>93</v>
      </c>
      <c r="E36" s="40">
        <v>4000</v>
      </c>
      <c r="F36" s="37">
        <v>19669.48</v>
      </c>
      <c r="G36" s="38">
        <v>2.17900628600793</v>
      </c>
      <c r="H36" s="41">
        <v>7.0498000000000005E-2</v>
      </c>
      <c r="I36" s="42"/>
    </row>
    <row r="37" spans="2:9" x14ac:dyDescent="0.2">
      <c r="B37" s="35" t="s">
        <v>180</v>
      </c>
      <c r="C37" s="35" t="s">
        <v>181</v>
      </c>
      <c r="D37" s="35" t="s">
        <v>36</v>
      </c>
      <c r="E37" s="40">
        <v>3500</v>
      </c>
      <c r="F37" s="37">
        <v>17471.912499999999</v>
      </c>
      <c r="G37" s="38">
        <v>1.9355573795586101</v>
      </c>
      <c r="H37" s="41">
        <v>5.8694999999999997E-2</v>
      </c>
      <c r="I37" s="42"/>
    </row>
    <row r="38" spans="2:9" x14ac:dyDescent="0.2">
      <c r="B38" s="35" t="s">
        <v>89</v>
      </c>
      <c r="C38" s="35" t="s">
        <v>90</v>
      </c>
      <c r="D38" s="35" t="s">
        <v>36</v>
      </c>
      <c r="E38" s="40">
        <v>3500</v>
      </c>
      <c r="F38" s="37">
        <v>17429.842499999999</v>
      </c>
      <c r="G38" s="38">
        <v>1.9308968194191301</v>
      </c>
      <c r="H38" s="41">
        <v>5.6507000000000002E-2</v>
      </c>
      <c r="I38" s="42"/>
    </row>
    <row r="39" spans="2:9" x14ac:dyDescent="0.2">
      <c r="B39" s="35" t="s">
        <v>182</v>
      </c>
      <c r="C39" s="35" t="s">
        <v>183</v>
      </c>
      <c r="D39" s="35" t="s">
        <v>36</v>
      </c>
      <c r="E39" s="40">
        <v>3500</v>
      </c>
      <c r="F39" s="37">
        <v>17428.6175</v>
      </c>
      <c r="G39" s="38">
        <v>1.9307611125930999</v>
      </c>
      <c r="H39" s="41">
        <v>6.2296999999999998E-2</v>
      </c>
      <c r="I39" s="42"/>
    </row>
    <row r="40" spans="2:9" x14ac:dyDescent="0.2">
      <c r="B40" s="35" t="s">
        <v>184</v>
      </c>
      <c r="C40" s="35" t="s">
        <v>185</v>
      </c>
      <c r="D40" s="35" t="s">
        <v>36</v>
      </c>
      <c r="E40" s="40">
        <v>3500</v>
      </c>
      <c r="F40" s="37">
        <v>17271.887500000001</v>
      </c>
      <c r="G40" s="38">
        <v>1.9133983935376899</v>
      </c>
      <c r="H40" s="41">
        <v>7.1952000000000002E-2</v>
      </c>
      <c r="I40" s="42"/>
    </row>
    <row r="41" spans="2:9" x14ac:dyDescent="0.2">
      <c r="B41" s="35" t="s">
        <v>186</v>
      </c>
      <c r="C41" s="35" t="s">
        <v>187</v>
      </c>
      <c r="D41" s="35" t="s">
        <v>36</v>
      </c>
      <c r="E41" s="40">
        <v>3000</v>
      </c>
      <c r="F41" s="37">
        <v>14801.76</v>
      </c>
      <c r="G41" s="38">
        <v>1.6397549952505499</v>
      </c>
      <c r="H41" s="41">
        <v>7.2961999999999999E-2</v>
      </c>
      <c r="I41" s="42"/>
    </row>
    <row r="42" spans="2:9" x14ac:dyDescent="0.2">
      <c r="B42" s="35" t="s">
        <v>188</v>
      </c>
      <c r="C42" s="35" t="s">
        <v>189</v>
      </c>
      <c r="D42" s="35" t="s">
        <v>28</v>
      </c>
      <c r="E42" s="40">
        <v>2500</v>
      </c>
      <c r="F42" s="37">
        <v>12483.2</v>
      </c>
      <c r="G42" s="38">
        <v>1.3829024086805599</v>
      </c>
      <c r="H42" s="41">
        <v>6.1402999999999999E-2</v>
      </c>
      <c r="I42" s="42"/>
    </row>
    <row r="43" spans="2:9" x14ac:dyDescent="0.2">
      <c r="B43" s="35" t="s">
        <v>190</v>
      </c>
      <c r="C43" s="35" t="s">
        <v>191</v>
      </c>
      <c r="D43" s="35" t="s">
        <v>36</v>
      </c>
      <c r="E43" s="40">
        <v>2500</v>
      </c>
      <c r="F43" s="37">
        <v>12465.8</v>
      </c>
      <c r="G43" s="38">
        <v>1.3809748178456001</v>
      </c>
      <c r="H43" s="41">
        <v>5.8904999999999999E-2</v>
      </c>
      <c r="I43" s="42"/>
    </row>
    <row r="44" spans="2:9" x14ac:dyDescent="0.2">
      <c r="B44" s="35" t="s">
        <v>192</v>
      </c>
      <c r="C44" s="35" t="s">
        <v>193</v>
      </c>
      <c r="D44" s="35" t="s">
        <v>93</v>
      </c>
      <c r="E44" s="40">
        <v>2000</v>
      </c>
      <c r="F44" s="37">
        <v>9993.2099999999991</v>
      </c>
      <c r="G44" s="38">
        <v>1.1070586211428699</v>
      </c>
      <c r="H44" s="41">
        <v>6.2001000000000001E-2</v>
      </c>
      <c r="I44" s="42"/>
    </row>
    <row r="45" spans="2:9" x14ac:dyDescent="0.2">
      <c r="B45" s="35" t="s">
        <v>194</v>
      </c>
      <c r="C45" s="35" t="s">
        <v>195</v>
      </c>
      <c r="D45" s="35" t="s">
        <v>36</v>
      </c>
      <c r="E45" s="40">
        <v>2000</v>
      </c>
      <c r="F45" s="37">
        <v>9984.7900000000009</v>
      </c>
      <c r="G45" s="38">
        <v>1.1061258444284801</v>
      </c>
      <c r="H45" s="41">
        <v>6.1799E-2</v>
      </c>
      <c r="I45" s="42"/>
    </row>
    <row r="46" spans="2:9" x14ac:dyDescent="0.2">
      <c r="B46" s="35" t="s">
        <v>75</v>
      </c>
      <c r="C46" s="35" t="s">
        <v>76</v>
      </c>
      <c r="D46" s="35" t="s">
        <v>36</v>
      </c>
      <c r="E46" s="40">
        <v>2000</v>
      </c>
      <c r="F46" s="37">
        <v>9981.58</v>
      </c>
      <c r="G46" s="38">
        <v>1.1057702371537499</v>
      </c>
      <c r="H46" s="41">
        <v>6.1249999999999999E-2</v>
      </c>
      <c r="I46" s="42"/>
    </row>
    <row r="47" spans="2:9" x14ac:dyDescent="0.2">
      <c r="B47" s="35" t="s">
        <v>77</v>
      </c>
      <c r="C47" s="35" t="s">
        <v>78</v>
      </c>
      <c r="D47" s="35" t="s">
        <v>36</v>
      </c>
      <c r="E47" s="40">
        <v>2000</v>
      </c>
      <c r="F47" s="37">
        <v>9981.41</v>
      </c>
      <c r="G47" s="38">
        <v>1.1057514043697301</v>
      </c>
      <c r="H47" s="41">
        <v>6.1800000000000001E-2</v>
      </c>
      <c r="I47" s="42"/>
    </row>
    <row r="48" spans="2:9" x14ac:dyDescent="0.2">
      <c r="B48" s="35" t="s">
        <v>196</v>
      </c>
      <c r="C48" s="35" t="s">
        <v>197</v>
      </c>
      <c r="D48" s="35" t="s">
        <v>36</v>
      </c>
      <c r="E48" s="40">
        <v>2000</v>
      </c>
      <c r="F48" s="37">
        <v>9895.4699999999993</v>
      </c>
      <c r="G48" s="38">
        <v>1.09623087814232</v>
      </c>
      <c r="H48" s="41">
        <v>7.7113000000000001E-2</v>
      </c>
      <c r="I48" s="42"/>
    </row>
    <row r="49" spans="2:9" x14ac:dyDescent="0.2">
      <c r="B49" s="35" t="s">
        <v>198</v>
      </c>
      <c r="C49" s="35" t="s">
        <v>199</v>
      </c>
      <c r="D49" s="35" t="s">
        <v>36</v>
      </c>
      <c r="E49" s="40">
        <v>1500</v>
      </c>
      <c r="F49" s="37">
        <v>7498.8374999999996</v>
      </c>
      <c r="G49" s="38">
        <v>0.83072933551125805</v>
      </c>
      <c r="H49" s="41">
        <v>5.6584000000000002E-2</v>
      </c>
      <c r="I49" s="42"/>
    </row>
    <row r="50" spans="2:9" x14ac:dyDescent="0.2">
      <c r="B50" s="35" t="s">
        <v>200</v>
      </c>
      <c r="C50" s="35" t="s">
        <v>201</v>
      </c>
      <c r="D50" s="35" t="s">
        <v>36</v>
      </c>
      <c r="E50" s="40">
        <v>1500</v>
      </c>
      <c r="F50" s="37">
        <v>7498.8374999999996</v>
      </c>
      <c r="G50" s="38">
        <v>0.83072933551125805</v>
      </c>
      <c r="H50" s="41">
        <v>5.6765999999999997E-2</v>
      </c>
      <c r="I50" s="42"/>
    </row>
    <row r="51" spans="2:9" x14ac:dyDescent="0.2">
      <c r="B51" s="35" t="s">
        <v>202</v>
      </c>
      <c r="C51" s="35" t="s">
        <v>203</v>
      </c>
      <c r="D51" s="35" t="s">
        <v>36</v>
      </c>
      <c r="E51" s="40">
        <v>1000</v>
      </c>
      <c r="F51" s="37">
        <v>4996.1850000000004</v>
      </c>
      <c r="G51" s="38">
        <v>0.55348278251679905</v>
      </c>
      <c r="H51" s="41">
        <v>5.5742E-2</v>
      </c>
      <c r="I51" s="42"/>
    </row>
    <row r="52" spans="2:9" x14ac:dyDescent="0.2">
      <c r="B52" s="35" t="s">
        <v>204</v>
      </c>
      <c r="C52" s="35" t="s">
        <v>205</v>
      </c>
      <c r="D52" s="35" t="s">
        <v>36</v>
      </c>
      <c r="E52" s="40">
        <v>1000</v>
      </c>
      <c r="F52" s="37">
        <v>4995.8549999999996</v>
      </c>
      <c r="G52" s="38">
        <v>0.55344622475958405</v>
      </c>
      <c r="H52" s="41">
        <v>6.0567000000000003E-2</v>
      </c>
      <c r="I52" s="42"/>
    </row>
    <row r="53" spans="2:9" x14ac:dyDescent="0.2">
      <c r="B53" s="35" t="s">
        <v>91</v>
      </c>
      <c r="C53" s="35" t="s">
        <v>92</v>
      </c>
      <c r="D53" s="35" t="s">
        <v>93</v>
      </c>
      <c r="E53" s="40">
        <v>1000</v>
      </c>
      <c r="F53" s="37">
        <v>4995.79</v>
      </c>
      <c r="G53" s="38">
        <v>0.55343902398922296</v>
      </c>
      <c r="H53" s="41">
        <v>6.1518000000000003E-2</v>
      </c>
      <c r="I53" s="42"/>
    </row>
    <row r="54" spans="2:9" x14ac:dyDescent="0.2">
      <c r="B54" s="35" t="s">
        <v>206</v>
      </c>
      <c r="C54" s="35" t="s">
        <v>207</v>
      </c>
      <c r="D54" s="35" t="s">
        <v>36</v>
      </c>
      <c r="E54" s="40">
        <v>500</v>
      </c>
      <c r="F54" s="37">
        <v>2499.6525000000001</v>
      </c>
      <c r="G54" s="38">
        <v>0.276914209747051</v>
      </c>
      <c r="H54" s="41">
        <v>5.0742000000000002E-2</v>
      </c>
      <c r="I54" s="42"/>
    </row>
    <row r="55" spans="2:9" x14ac:dyDescent="0.2">
      <c r="B55" s="35" t="s">
        <v>67</v>
      </c>
      <c r="C55" s="35" t="s">
        <v>68</v>
      </c>
      <c r="D55" s="35" t="s">
        <v>28</v>
      </c>
      <c r="E55" s="40">
        <v>500</v>
      </c>
      <c r="F55" s="37">
        <v>2496.5774999999999</v>
      </c>
      <c r="G55" s="38">
        <v>0.276573557918458</v>
      </c>
      <c r="H55" s="41">
        <v>5.5597000000000001E-2</v>
      </c>
      <c r="I55" s="42"/>
    </row>
    <row r="56" spans="2:9" x14ac:dyDescent="0.2">
      <c r="B56" s="34" t="s">
        <v>65</v>
      </c>
      <c r="C56" s="34"/>
      <c r="D56" s="34"/>
      <c r="E56" s="43"/>
      <c r="F56" s="44">
        <f>SUM(F27:F55)</f>
        <v>471814.13099999999</v>
      </c>
      <c r="G56" s="45">
        <f>SUM(G27:G55)</f>
        <v>52.268080156484459</v>
      </c>
      <c r="H56" s="46"/>
      <c r="I56" s="46"/>
    </row>
    <row r="57" spans="2:9" x14ac:dyDescent="0.2">
      <c r="B57" s="34" t="s">
        <v>96</v>
      </c>
      <c r="C57" s="35"/>
      <c r="D57" s="35"/>
      <c r="E57" s="36"/>
      <c r="F57" s="37"/>
      <c r="G57" s="38"/>
      <c r="H57" s="39"/>
      <c r="I57" s="39"/>
    </row>
    <row r="58" spans="2:9" x14ac:dyDescent="0.2">
      <c r="B58" s="35" t="s">
        <v>208</v>
      </c>
      <c r="C58" s="35" t="s">
        <v>209</v>
      </c>
      <c r="D58" s="35" t="s">
        <v>109</v>
      </c>
      <c r="E58" s="40">
        <v>39500000</v>
      </c>
      <c r="F58" s="37">
        <v>39202.565000000002</v>
      </c>
      <c r="G58" s="38">
        <v>4.3429025862724604</v>
      </c>
      <c r="H58" s="41">
        <v>5.2250999999999999E-2</v>
      </c>
      <c r="I58" s="42"/>
    </row>
    <row r="59" spans="2:9" x14ac:dyDescent="0.2">
      <c r="B59" s="35" t="s">
        <v>210</v>
      </c>
      <c r="C59" s="35" t="s">
        <v>211</v>
      </c>
      <c r="D59" s="35" t="s">
        <v>109</v>
      </c>
      <c r="E59" s="40">
        <v>29000000</v>
      </c>
      <c r="F59" s="37">
        <v>28806.192999999999</v>
      </c>
      <c r="G59" s="38">
        <v>3.1911812423591099</v>
      </c>
      <c r="H59" s="41">
        <v>5.2248999999999997E-2</v>
      </c>
      <c r="I59" s="42"/>
    </row>
    <row r="60" spans="2:9" x14ac:dyDescent="0.2">
      <c r="B60" s="35" t="s">
        <v>212</v>
      </c>
      <c r="C60" s="35" t="s">
        <v>213</v>
      </c>
      <c r="D60" s="35" t="s">
        <v>109</v>
      </c>
      <c r="E60" s="40">
        <v>23500000</v>
      </c>
      <c r="F60" s="37">
        <v>23323.044999999998</v>
      </c>
      <c r="G60" s="38">
        <v>2.5837521715798202</v>
      </c>
      <c r="H60" s="41">
        <v>5.2250999999999999E-2</v>
      </c>
      <c r="I60" s="42"/>
    </row>
    <row r="61" spans="2:9" x14ac:dyDescent="0.2">
      <c r="B61" s="35" t="s">
        <v>214</v>
      </c>
      <c r="C61" s="35" t="s">
        <v>215</v>
      </c>
      <c r="D61" s="35" t="s">
        <v>109</v>
      </c>
      <c r="E61" s="40">
        <v>22500000</v>
      </c>
      <c r="F61" s="37">
        <v>22352.805</v>
      </c>
      <c r="G61" s="38">
        <v>2.4762679341248202</v>
      </c>
      <c r="H61" s="41">
        <v>5.2250999999999999E-2</v>
      </c>
      <c r="I61" s="42"/>
    </row>
    <row r="62" spans="2:9" x14ac:dyDescent="0.2">
      <c r="B62" s="35" t="s">
        <v>216</v>
      </c>
      <c r="C62" s="35" t="s">
        <v>217</v>
      </c>
      <c r="D62" s="35" t="s">
        <v>109</v>
      </c>
      <c r="E62" s="40">
        <v>16000000</v>
      </c>
      <c r="F62" s="37">
        <v>15863.76</v>
      </c>
      <c r="G62" s="38">
        <v>1.7574045048329301</v>
      </c>
      <c r="H62" s="41">
        <v>5.2248000000000003E-2</v>
      </c>
      <c r="I62" s="42"/>
    </row>
    <row r="63" spans="2:9" x14ac:dyDescent="0.2">
      <c r="B63" s="35" t="s">
        <v>218</v>
      </c>
      <c r="C63" s="35" t="s">
        <v>219</v>
      </c>
      <c r="D63" s="35" t="s">
        <v>109</v>
      </c>
      <c r="E63" s="40">
        <v>15500000</v>
      </c>
      <c r="F63" s="37">
        <v>15381.115</v>
      </c>
      <c r="G63" s="38">
        <v>1.7039365692845401</v>
      </c>
      <c r="H63" s="41">
        <v>5.2248000000000003E-2</v>
      </c>
      <c r="I63" s="42"/>
    </row>
    <row r="64" spans="2:9" x14ac:dyDescent="0.2">
      <c r="B64" s="35" t="s">
        <v>220</v>
      </c>
      <c r="C64" s="35" t="s">
        <v>221</v>
      </c>
      <c r="D64" s="35" t="s">
        <v>109</v>
      </c>
      <c r="E64" s="40">
        <v>14000000</v>
      </c>
      <c r="F64" s="37">
        <v>13866.621999999999</v>
      </c>
      <c r="G64" s="38">
        <v>1.53615939535238</v>
      </c>
      <c r="H64" s="41">
        <v>5.2400000000000002E-2</v>
      </c>
      <c r="I64" s="42"/>
    </row>
    <row r="65" spans="2:9" x14ac:dyDescent="0.2">
      <c r="B65" s="35" t="s">
        <v>222</v>
      </c>
      <c r="C65" s="35" t="s">
        <v>223</v>
      </c>
      <c r="D65" s="35" t="s">
        <v>109</v>
      </c>
      <c r="E65" s="40">
        <v>9500000</v>
      </c>
      <c r="F65" s="37">
        <v>9409.4935000000005</v>
      </c>
      <c r="G65" s="38">
        <v>1.04239387541769</v>
      </c>
      <c r="H65" s="41">
        <v>5.2400000000000002E-2</v>
      </c>
      <c r="I65" s="42"/>
    </row>
    <row r="66" spans="2:9" x14ac:dyDescent="0.2">
      <c r="B66" s="35" t="s">
        <v>224</v>
      </c>
      <c r="C66" s="35" t="s">
        <v>225</v>
      </c>
      <c r="D66" s="35" t="s">
        <v>109</v>
      </c>
      <c r="E66" s="40">
        <v>4000000</v>
      </c>
      <c r="F66" s="37">
        <v>3987.5720000000001</v>
      </c>
      <c r="G66" s="38">
        <v>0.44174754258420701</v>
      </c>
      <c r="H66" s="41">
        <v>4.5504000000000003E-2</v>
      </c>
      <c r="I66" s="42"/>
    </row>
    <row r="67" spans="2:9" x14ac:dyDescent="0.2">
      <c r="B67" s="35" t="s">
        <v>226</v>
      </c>
      <c r="C67" s="35" t="s">
        <v>227</v>
      </c>
      <c r="D67" s="35" t="s">
        <v>109</v>
      </c>
      <c r="E67" s="40">
        <v>500000</v>
      </c>
      <c r="F67" s="37">
        <v>495.74250000000001</v>
      </c>
      <c r="G67" s="38">
        <v>5.4918890776028899E-2</v>
      </c>
      <c r="H67" s="41">
        <v>5.2248000000000003E-2</v>
      </c>
      <c r="I67" s="42"/>
    </row>
    <row r="68" spans="2:9" x14ac:dyDescent="0.2">
      <c r="B68" s="35" t="s">
        <v>228</v>
      </c>
      <c r="C68" s="35" t="s">
        <v>229</v>
      </c>
      <c r="D68" s="35" t="s">
        <v>109</v>
      </c>
      <c r="E68" s="40">
        <v>500000</v>
      </c>
      <c r="F68" s="37">
        <v>495.166</v>
      </c>
      <c r="G68" s="38">
        <v>5.4855025481985398E-2</v>
      </c>
      <c r="H68" s="41">
        <v>5.2401000000000003E-2</v>
      </c>
      <c r="I68" s="42"/>
    </row>
    <row r="69" spans="2:9" x14ac:dyDescent="0.2">
      <c r="B69" s="35" t="s">
        <v>230</v>
      </c>
      <c r="C69" s="35" t="s">
        <v>231</v>
      </c>
      <c r="D69" s="35" t="s">
        <v>109</v>
      </c>
      <c r="E69" s="40">
        <v>440000</v>
      </c>
      <c r="F69" s="37">
        <v>439.36464000000001</v>
      </c>
      <c r="G69" s="38">
        <v>4.8673290417927201E-2</v>
      </c>
      <c r="H69" s="41">
        <v>4.8000000000000001E-2</v>
      </c>
      <c r="I69" s="42"/>
    </row>
    <row r="70" spans="2:9" x14ac:dyDescent="0.2">
      <c r="B70" s="34" t="s">
        <v>65</v>
      </c>
      <c r="C70" s="34"/>
      <c r="D70" s="34"/>
      <c r="E70" s="43"/>
      <c r="F70" s="47">
        <f>SUM(F57:F69)</f>
        <v>173623.44364000001</v>
      </c>
      <c r="G70" s="48">
        <f>SUM(G57:G69)</f>
        <v>19.234193028483901</v>
      </c>
      <c r="H70" s="46"/>
      <c r="I70" s="46"/>
    </row>
    <row r="71" spans="2:9" x14ac:dyDescent="0.2">
      <c r="B71" s="49" t="s">
        <v>105</v>
      </c>
      <c r="C71" s="49"/>
      <c r="D71" s="49"/>
      <c r="E71" s="50"/>
      <c r="F71" s="51">
        <f>+F26+F56+F70</f>
        <v>881137.89213999989</v>
      </c>
      <c r="G71" s="52">
        <f>+G26+G56+G70</f>
        <v>97.613409495972235</v>
      </c>
      <c r="H71" s="46"/>
      <c r="I71" s="46"/>
    </row>
    <row r="72" spans="2:9" x14ac:dyDescent="0.2">
      <c r="B72" s="34" t="s">
        <v>110</v>
      </c>
      <c r="C72" s="35"/>
      <c r="D72" s="35"/>
      <c r="E72" s="36"/>
      <c r="F72" s="37"/>
      <c r="G72" s="38"/>
      <c r="H72" s="39"/>
      <c r="I72" s="39"/>
    </row>
    <row r="73" spans="2:9" x14ac:dyDescent="0.2">
      <c r="B73" s="35" t="s">
        <v>111</v>
      </c>
      <c r="C73" s="35" t="s">
        <v>112</v>
      </c>
      <c r="D73" s="35"/>
      <c r="E73" s="40">
        <v>15348.03</v>
      </c>
      <c r="F73" s="37">
        <v>1790.4500708999999</v>
      </c>
      <c r="G73" s="38">
        <v>0.19834799696150801</v>
      </c>
      <c r="H73" s="39"/>
      <c r="I73" s="39"/>
    </row>
    <row r="74" spans="2:9" x14ac:dyDescent="0.2">
      <c r="B74" s="34" t="s">
        <v>65</v>
      </c>
      <c r="C74" s="34"/>
      <c r="D74" s="34"/>
      <c r="E74" s="43"/>
      <c r="F74" s="44">
        <f>SUM(F73:F73)</f>
        <v>1790.4500708999999</v>
      </c>
      <c r="G74" s="45">
        <f>SUM(G73:G73)</f>
        <v>0.19834799696150801</v>
      </c>
      <c r="H74" s="46"/>
      <c r="I74" s="46"/>
    </row>
    <row r="75" spans="2:9" x14ac:dyDescent="0.2">
      <c r="B75" s="34"/>
      <c r="C75" s="35"/>
      <c r="D75" s="35"/>
      <c r="E75" s="36"/>
      <c r="F75" s="37"/>
      <c r="G75" s="38"/>
      <c r="H75" s="39"/>
      <c r="I75" s="39"/>
    </row>
    <row r="76" spans="2:9" x14ac:dyDescent="0.2">
      <c r="B76" s="34" t="s">
        <v>113</v>
      </c>
      <c r="C76" s="34"/>
      <c r="D76" s="34"/>
      <c r="E76" s="43"/>
      <c r="F76" s="44">
        <v>19630.762456500001</v>
      </c>
      <c r="G76" s="45">
        <v>2.1747171146284501</v>
      </c>
      <c r="H76" s="41">
        <v>4.9299999999999997E-2</v>
      </c>
      <c r="I76" s="41"/>
    </row>
    <row r="77" spans="2:9" x14ac:dyDescent="0.2">
      <c r="B77" s="35"/>
      <c r="C77" s="35"/>
      <c r="D77" s="35"/>
      <c r="E77" s="36"/>
      <c r="F77" s="37"/>
      <c r="G77" s="38"/>
      <c r="H77" s="39"/>
      <c r="I77" s="39"/>
    </row>
    <row r="78" spans="2:9" x14ac:dyDescent="0.2">
      <c r="B78" s="58" t="s">
        <v>115</v>
      </c>
      <c r="C78" s="58"/>
      <c r="D78" s="58"/>
      <c r="E78" s="59"/>
      <c r="F78" s="44">
        <f>F79-(F26+F56+F70+F74+F76)</f>
        <v>122.09117420006078</v>
      </c>
      <c r="G78" s="45">
        <f>G79-(G26+G56+G70+G74+G76)</f>
        <v>1.3525392437813366E-2</v>
      </c>
      <c r="H78" s="46"/>
      <c r="I78" s="46"/>
    </row>
    <row r="79" spans="2:9" x14ac:dyDescent="0.2">
      <c r="B79" s="53" t="s">
        <v>114</v>
      </c>
      <c r="C79" s="53"/>
      <c r="D79" s="53"/>
      <c r="E79" s="54"/>
      <c r="F79" s="55">
        <v>902681.19584159995</v>
      </c>
      <c r="G79" s="56">
        <v>100</v>
      </c>
      <c r="H79" s="57"/>
      <c r="I79" s="57"/>
    </row>
    <row r="81" spans="2:9" x14ac:dyDescent="0.2">
      <c r="B81" s="26" t="s">
        <v>117</v>
      </c>
    </row>
    <row r="82" spans="2:9" ht="39.950000000000003" customHeight="1" x14ac:dyDescent="0.2">
      <c r="B82" s="100" t="s">
        <v>118</v>
      </c>
      <c r="C82" s="100"/>
      <c r="D82" s="100"/>
      <c r="E82" s="100"/>
      <c r="F82" s="100"/>
      <c r="G82" s="100"/>
      <c r="H82" s="100"/>
      <c r="I82" s="100"/>
    </row>
    <row r="83" spans="2:9" ht="13.5" customHeight="1" x14ac:dyDescent="0.2">
      <c r="B83" s="88"/>
      <c r="C83" s="88"/>
      <c r="D83" s="88"/>
      <c r="E83" s="88"/>
      <c r="F83" s="88"/>
      <c r="G83" s="88"/>
      <c r="H83" s="88"/>
      <c r="I83" s="88"/>
    </row>
    <row r="84" spans="2:9" x14ac:dyDescent="0.2">
      <c r="B84" s="97" t="s">
        <v>1506</v>
      </c>
    </row>
    <row r="85" spans="2:9" x14ac:dyDescent="0.2">
      <c r="B85" s="97"/>
    </row>
    <row r="86" spans="2:9" x14ac:dyDescent="0.2">
      <c r="B86" s="26" t="s">
        <v>1474</v>
      </c>
      <c r="E86" s="8"/>
      <c r="G86" s="83"/>
    </row>
    <row r="87" spans="2:9" x14ac:dyDescent="0.2">
      <c r="B87" s="26"/>
      <c r="C87" s="26"/>
      <c r="D87" s="60"/>
      <c r="E87" s="26"/>
      <c r="G87" s="83"/>
    </row>
    <row r="88" spans="2:9" x14ac:dyDescent="0.2">
      <c r="D88" s="61"/>
      <c r="E88" s="61"/>
      <c r="G88" s="83"/>
    </row>
    <row r="89" spans="2:9" x14ac:dyDescent="0.2">
      <c r="E89" s="8"/>
      <c r="G89" s="83"/>
    </row>
    <row r="90" spans="2:9" x14ac:dyDescent="0.2">
      <c r="E90" s="8"/>
      <c r="G90" s="83"/>
    </row>
    <row r="91" spans="2:9" x14ac:dyDescent="0.2">
      <c r="E91" s="8"/>
      <c r="G91" s="83"/>
    </row>
    <row r="92" spans="2:9" x14ac:dyDescent="0.2">
      <c r="E92" s="8"/>
      <c r="G92" s="83"/>
    </row>
    <row r="93" spans="2:9" x14ac:dyDescent="0.2">
      <c r="E93" s="8"/>
      <c r="G93" s="83"/>
    </row>
    <row r="94" spans="2:9" x14ac:dyDescent="0.2">
      <c r="E94" s="8"/>
      <c r="G94" s="83"/>
    </row>
    <row r="95" spans="2:9" x14ac:dyDescent="0.2">
      <c r="E95" s="8"/>
      <c r="G95" s="83"/>
    </row>
    <row r="96" spans="2:9" x14ac:dyDescent="0.2">
      <c r="E96" s="8"/>
      <c r="G96" s="83"/>
    </row>
    <row r="97" spans="2:7" x14ac:dyDescent="0.2">
      <c r="E97" s="8"/>
      <c r="G97" s="83"/>
    </row>
    <row r="98" spans="2:7" x14ac:dyDescent="0.2">
      <c r="E98" s="8"/>
      <c r="G98" s="83"/>
    </row>
    <row r="99" spans="2:7" x14ac:dyDescent="0.2">
      <c r="E99" s="8"/>
      <c r="G99" s="83"/>
    </row>
    <row r="100" spans="2:7" x14ac:dyDescent="0.2">
      <c r="E100" s="8"/>
      <c r="G100" s="83"/>
    </row>
    <row r="101" spans="2:7" x14ac:dyDescent="0.2">
      <c r="E101" s="8"/>
      <c r="G101" s="83"/>
    </row>
    <row r="102" spans="2:7" x14ac:dyDescent="0.2">
      <c r="E102" s="8"/>
      <c r="G102" s="83"/>
    </row>
    <row r="103" spans="2:7" x14ac:dyDescent="0.2">
      <c r="E103" s="8"/>
      <c r="G103" s="83"/>
    </row>
    <row r="104" spans="2:7" x14ac:dyDescent="0.2">
      <c r="E104" s="8"/>
      <c r="G104" s="83"/>
    </row>
    <row r="105" spans="2:7" x14ac:dyDescent="0.2">
      <c r="E105" s="8"/>
      <c r="G105" s="83"/>
    </row>
    <row r="106" spans="2:7" x14ac:dyDescent="0.2">
      <c r="E106" s="8"/>
      <c r="G106" s="83"/>
    </row>
    <row r="107" spans="2:7" x14ac:dyDescent="0.2">
      <c r="B107" s="26" t="s">
        <v>1475</v>
      </c>
      <c r="E107" s="8"/>
      <c r="G107" s="83"/>
    </row>
    <row r="108" spans="2:7" x14ac:dyDescent="0.2">
      <c r="B108" s="26" t="s">
        <v>1478</v>
      </c>
      <c r="E108" s="8"/>
      <c r="G108" s="83"/>
    </row>
    <row r="109" spans="2:7" x14ac:dyDescent="0.2">
      <c r="E109" s="8"/>
      <c r="G109" s="83"/>
    </row>
    <row r="110" spans="2:7" x14ac:dyDescent="0.2">
      <c r="E110" s="8"/>
      <c r="G110" s="83"/>
    </row>
    <row r="111" spans="2:7" x14ac:dyDescent="0.2">
      <c r="E111" s="8"/>
      <c r="G111" s="83"/>
    </row>
    <row r="112" spans="2:7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  <row r="164" spans="5:7" x14ac:dyDescent="0.2">
      <c r="E164" s="8"/>
      <c r="G164" s="83"/>
    </row>
    <row r="165" spans="5:7" x14ac:dyDescent="0.2">
      <c r="E165" s="8"/>
      <c r="G165" s="83"/>
    </row>
    <row r="166" spans="5:7" x14ac:dyDescent="0.2">
      <c r="E166" s="8"/>
      <c r="G166" s="83"/>
    </row>
    <row r="167" spans="5:7" x14ac:dyDescent="0.2">
      <c r="E167" s="8"/>
      <c r="G167" s="83"/>
    </row>
    <row r="168" spans="5:7" x14ac:dyDescent="0.2">
      <c r="E168" s="8"/>
      <c r="G168" s="83"/>
    </row>
    <row r="169" spans="5:7" x14ac:dyDescent="0.2">
      <c r="E169" s="8"/>
      <c r="G169" s="83"/>
    </row>
    <row r="170" spans="5:7" x14ac:dyDescent="0.2">
      <c r="E170" s="8"/>
      <c r="G170" s="83"/>
    </row>
    <row r="171" spans="5:7" x14ac:dyDescent="0.2">
      <c r="E171" s="8"/>
      <c r="G171" s="83"/>
    </row>
    <row r="172" spans="5:7" x14ac:dyDescent="0.2">
      <c r="E172" s="8"/>
      <c r="G172" s="83"/>
    </row>
    <row r="173" spans="5:7" x14ac:dyDescent="0.2">
      <c r="E173" s="8"/>
      <c r="G173" s="83"/>
    </row>
    <row r="174" spans="5:7" x14ac:dyDescent="0.2">
      <c r="E174" s="8"/>
      <c r="G174" s="83"/>
    </row>
    <row r="175" spans="5:7" x14ac:dyDescent="0.2">
      <c r="E175" s="8"/>
      <c r="G175" s="83"/>
    </row>
    <row r="176" spans="5:7" x14ac:dyDescent="0.2">
      <c r="E176" s="8"/>
      <c r="G176" s="83"/>
    </row>
    <row r="177" spans="5:7" x14ac:dyDescent="0.2">
      <c r="E177" s="8"/>
      <c r="G177" s="83"/>
    </row>
    <row r="178" spans="5:7" x14ac:dyDescent="0.2">
      <c r="E178" s="8"/>
      <c r="G178" s="83"/>
    </row>
    <row r="179" spans="5:7" x14ac:dyDescent="0.2">
      <c r="E179" s="8"/>
      <c r="G179" s="83"/>
    </row>
    <row r="180" spans="5:7" x14ac:dyDescent="0.2">
      <c r="E180" s="8"/>
      <c r="G180" s="83"/>
    </row>
    <row r="181" spans="5:7" x14ac:dyDescent="0.2">
      <c r="E181" s="8"/>
      <c r="G181" s="83"/>
    </row>
    <row r="182" spans="5:7" x14ac:dyDescent="0.2">
      <c r="E182" s="8"/>
      <c r="G182" s="83"/>
    </row>
    <row r="183" spans="5:7" x14ac:dyDescent="0.2">
      <c r="E183" s="8"/>
      <c r="G183" s="83"/>
    </row>
    <row r="184" spans="5:7" x14ac:dyDescent="0.2">
      <c r="E184" s="8"/>
      <c r="G184" s="83"/>
    </row>
    <row r="185" spans="5:7" x14ac:dyDescent="0.2">
      <c r="E185" s="8"/>
      <c r="G185" s="83"/>
    </row>
    <row r="186" spans="5:7" x14ac:dyDescent="0.2">
      <c r="E186" s="8"/>
      <c r="G186" s="83"/>
    </row>
    <row r="187" spans="5:7" x14ac:dyDescent="0.2">
      <c r="E187" s="8"/>
      <c r="G187" s="83"/>
    </row>
    <row r="188" spans="5:7" x14ac:dyDescent="0.2">
      <c r="E188" s="8"/>
      <c r="G188" s="83"/>
    </row>
    <row r="189" spans="5:7" x14ac:dyDescent="0.2">
      <c r="E189" s="8"/>
      <c r="G189" s="83"/>
    </row>
    <row r="190" spans="5:7" x14ac:dyDescent="0.2">
      <c r="E190" s="8"/>
      <c r="G190" s="83"/>
    </row>
    <row r="191" spans="5:7" x14ac:dyDescent="0.2">
      <c r="E191" s="8"/>
      <c r="G191" s="83"/>
    </row>
    <row r="192" spans="5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  <row r="397" spans="5:7" x14ac:dyDescent="0.2">
      <c r="E397" s="8"/>
      <c r="G397" s="83"/>
    </row>
    <row r="398" spans="5:7" x14ac:dyDescent="0.2">
      <c r="E398" s="8"/>
      <c r="G398" s="83"/>
    </row>
    <row r="399" spans="5:7" x14ac:dyDescent="0.2">
      <c r="E399" s="8"/>
      <c r="G399" s="83"/>
    </row>
    <row r="400" spans="5:7" x14ac:dyDescent="0.2">
      <c r="E400" s="8"/>
      <c r="G400" s="83"/>
    </row>
    <row r="401" spans="5:7" x14ac:dyDescent="0.2">
      <c r="E401" s="8"/>
      <c r="G401" s="83"/>
    </row>
    <row r="402" spans="5:7" x14ac:dyDescent="0.2">
      <c r="E402" s="8"/>
      <c r="G402" s="83"/>
    </row>
    <row r="403" spans="5:7" x14ac:dyDescent="0.2">
      <c r="E403" s="8"/>
      <c r="G403" s="83"/>
    </row>
    <row r="404" spans="5:7" x14ac:dyDescent="0.2">
      <c r="E404" s="8"/>
      <c r="G404" s="83"/>
    </row>
    <row r="405" spans="5:7" x14ac:dyDescent="0.2">
      <c r="E405" s="8"/>
      <c r="G405" s="83"/>
    </row>
    <row r="406" spans="5:7" x14ac:dyDescent="0.2">
      <c r="E406" s="8"/>
      <c r="G406" s="83"/>
    </row>
    <row r="407" spans="5:7" x14ac:dyDescent="0.2">
      <c r="E407" s="8"/>
      <c r="G407" s="83"/>
    </row>
    <row r="408" spans="5:7" x14ac:dyDescent="0.2">
      <c r="E408" s="8"/>
      <c r="G408" s="83"/>
    </row>
    <row r="409" spans="5:7" x14ac:dyDescent="0.2">
      <c r="E409" s="8"/>
      <c r="G409" s="83"/>
    </row>
    <row r="410" spans="5:7" x14ac:dyDescent="0.2">
      <c r="E410" s="8"/>
      <c r="G410" s="83"/>
    </row>
    <row r="411" spans="5:7" x14ac:dyDescent="0.2">
      <c r="E411" s="8"/>
      <c r="G411" s="83"/>
    </row>
    <row r="412" spans="5:7" x14ac:dyDescent="0.2">
      <c r="E412" s="8"/>
      <c r="G412" s="83"/>
    </row>
    <row r="413" spans="5:7" x14ac:dyDescent="0.2">
      <c r="E413" s="8"/>
      <c r="G413" s="83"/>
    </row>
    <row r="414" spans="5:7" x14ac:dyDescent="0.2">
      <c r="E414" s="8"/>
      <c r="G414" s="83"/>
    </row>
    <row r="415" spans="5:7" x14ac:dyDescent="0.2">
      <c r="E415" s="8"/>
      <c r="G415" s="83"/>
    </row>
    <row r="416" spans="5:7" x14ac:dyDescent="0.2">
      <c r="E416" s="8"/>
      <c r="G416" s="83"/>
    </row>
    <row r="417" spans="5:7" x14ac:dyDescent="0.2">
      <c r="E417" s="8"/>
      <c r="G417" s="83"/>
    </row>
    <row r="418" spans="5:7" x14ac:dyDescent="0.2">
      <c r="E418" s="8"/>
      <c r="G418" s="83"/>
    </row>
    <row r="419" spans="5:7" x14ac:dyDescent="0.2">
      <c r="E419" s="8"/>
      <c r="G419" s="83"/>
    </row>
    <row r="420" spans="5:7" x14ac:dyDescent="0.2">
      <c r="E420" s="8"/>
      <c r="G420" s="83"/>
    </row>
    <row r="421" spans="5:7" x14ac:dyDescent="0.2">
      <c r="E421" s="8"/>
      <c r="G421" s="83"/>
    </row>
    <row r="422" spans="5:7" x14ac:dyDescent="0.2">
      <c r="E422" s="8"/>
      <c r="G422" s="83"/>
    </row>
    <row r="423" spans="5:7" x14ac:dyDescent="0.2">
      <c r="E423" s="8"/>
      <c r="G423" s="83"/>
    </row>
    <row r="424" spans="5:7" x14ac:dyDescent="0.2">
      <c r="E424" s="8"/>
      <c r="G424" s="83"/>
    </row>
    <row r="425" spans="5:7" x14ac:dyDescent="0.2">
      <c r="E425" s="8"/>
      <c r="G425" s="83"/>
    </row>
    <row r="426" spans="5:7" x14ac:dyDescent="0.2">
      <c r="E426" s="8"/>
      <c r="G426" s="83"/>
    </row>
    <row r="427" spans="5:7" x14ac:dyDescent="0.2">
      <c r="E427" s="8"/>
      <c r="G427" s="83"/>
    </row>
    <row r="428" spans="5:7" x14ac:dyDescent="0.2">
      <c r="E428" s="8"/>
      <c r="G428" s="83"/>
    </row>
    <row r="429" spans="5:7" x14ac:dyDescent="0.2">
      <c r="E429" s="8"/>
      <c r="G429" s="83"/>
    </row>
    <row r="430" spans="5:7" x14ac:dyDescent="0.2">
      <c r="E430" s="8"/>
      <c r="G430" s="83"/>
    </row>
    <row r="431" spans="5:7" x14ac:dyDescent="0.2">
      <c r="E431" s="8"/>
      <c r="G431" s="83"/>
    </row>
    <row r="432" spans="5:7" x14ac:dyDescent="0.2">
      <c r="E432" s="8"/>
      <c r="G432" s="83"/>
    </row>
    <row r="433" spans="5:7" x14ac:dyDescent="0.2">
      <c r="E433" s="8"/>
      <c r="G433" s="83"/>
    </row>
  </sheetData>
  <mergeCells count="2">
    <mergeCell ref="B1:C1"/>
    <mergeCell ref="B82:I82"/>
  </mergeCells>
  <conditionalFormatting sqref="G1:G3 G5:G81 G84:G127">
    <cfRule type="cellIs" dxfId="11" priority="2" stopIfTrue="1" operator="between">
      <formula>0.009</formula>
      <formula>-0.009</formula>
    </cfRule>
  </conditionalFormatting>
  <hyperlinks>
    <hyperlink ref="A2" location="Index!A1" display="-" xr:uid="{FD2C9EF6-6489-4FF9-B465-A8E32BD92EF2}"/>
  </hyperlinks>
  <pageMargins left="0.7" right="0.7" top="0.75" bottom="0.75" header="0.3" footer="0.3"/>
  <pageSetup paperSize="9" scale="53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27" min="1" max="8" man="1"/>
  </rowBreaks>
  <colBreaks count="1" manualBreakCount="1">
    <brk id="9" max="43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09CD-A430-4D21-92C9-CCEF7CB42BD7}">
  <dimension ref="A1:K243"/>
  <sheetViews>
    <sheetView view="pageBreakPreview" zoomScaleNormal="100" zoomScaleSheetLayoutView="100" workbookViewId="0">
      <selection activeCell="B17" sqref="B17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0.28515625" style="8" bestFit="1" customWidth="1"/>
    <col min="4" max="4" width="13.7109375" style="8" bestFit="1" customWidth="1"/>
    <col min="5" max="5" width="13.7109375" style="9" bestFit="1" customWidth="1"/>
    <col min="6" max="6" width="12.7109375" style="11" bestFit="1" customWidth="1"/>
    <col min="7" max="7" width="7.85546875" style="18" customWidth="1"/>
    <col min="8" max="8" width="11.85546875" style="14" bestFit="1" customWidth="1"/>
    <col min="9" max="9" width="11.85546875" style="14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98" t="s">
        <v>13</v>
      </c>
      <c r="C1" s="99"/>
      <c r="D1" s="13"/>
      <c r="E1" s="6"/>
      <c r="F1" s="7"/>
      <c r="G1" s="18"/>
      <c r="H1" s="14"/>
      <c r="I1" s="15"/>
    </row>
    <row r="2" spans="1:11" s="1" customFormat="1" ht="15" x14ac:dyDescent="0.25">
      <c r="A2" s="82" t="s">
        <v>1501</v>
      </c>
      <c r="E2" s="6"/>
      <c r="F2" s="7"/>
      <c r="G2" s="18"/>
      <c r="H2" s="14"/>
      <c r="I2" s="15"/>
    </row>
    <row r="3" spans="1:11" s="1" customFormat="1" ht="12" x14ac:dyDescent="0.2">
      <c r="B3" s="10" t="s">
        <v>9</v>
      </c>
      <c r="C3" s="2"/>
      <c r="D3" s="3"/>
      <c r="E3" s="4"/>
      <c r="F3" s="5"/>
      <c r="G3" s="18"/>
      <c r="H3" s="14"/>
      <c r="I3" s="15"/>
    </row>
    <row r="4" spans="1:11" s="1" customFormat="1" ht="45" x14ac:dyDescent="0.2">
      <c r="B4" s="28" t="s">
        <v>7</v>
      </c>
      <c r="C4" s="28" t="s">
        <v>8</v>
      </c>
      <c r="D4" s="29" t="s">
        <v>116</v>
      </c>
      <c r="E4" s="30" t="s">
        <v>0</v>
      </c>
      <c r="F4" s="31" t="s">
        <v>4</v>
      </c>
      <c r="G4" s="32" t="s">
        <v>5</v>
      </c>
      <c r="H4" s="33" t="s">
        <v>6</v>
      </c>
      <c r="I4" s="33" t="s">
        <v>23</v>
      </c>
      <c r="J4" s="17"/>
      <c r="K4" s="12"/>
    </row>
    <row r="5" spans="1:11" x14ac:dyDescent="0.2">
      <c r="B5" s="34" t="s">
        <v>106</v>
      </c>
      <c r="C5" s="35"/>
      <c r="D5" s="35"/>
      <c r="E5" s="36"/>
      <c r="F5" s="37"/>
      <c r="G5" s="38"/>
      <c r="H5" s="39"/>
      <c r="I5" s="39"/>
    </row>
    <row r="6" spans="1:11" x14ac:dyDescent="0.2">
      <c r="B6" s="35" t="s">
        <v>232</v>
      </c>
      <c r="C6" s="35" t="s">
        <v>233</v>
      </c>
      <c r="D6" s="35" t="s">
        <v>109</v>
      </c>
      <c r="E6" s="40">
        <v>1784100</v>
      </c>
      <c r="F6" s="37">
        <v>1760.8924271999999</v>
      </c>
      <c r="G6" s="38">
        <v>54.562276170441102</v>
      </c>
      <c r="H6" s="41">
        <v>6.7754694503124893E-2</v>
      </c>
      <c r="I6" s="42"/>
    </row>
    <row r="7" spans="1:11" x14ac:dyDescent="0.2">
      <c r="B7" s="35" t="s">
        <v>234</v>
      </c>
      <c r="C7" s="35" t="s">
        <v>235</v>
      </c>
      <c r="D7" s="35" t="s">
        <v>109</v>
      </c>
      <c r="E7" s="40">
        <v>719000</v>
      </c>
      <c r="F7" s="37">
        <v>704.25690499999996</v>
      </c>
      <c r="G7" s="38">
        <v>21.821809868676201</v>
      </c>
      <c r="H7" s="41">
        <v>6.7399961250000001E-2</v>
      </c>
      <c r="I7" s="42"/>
    </row>
    <row r="8" spans="1:11" x14ac:dyDescent="0.2">
      <c r="B8" s="35" t="s">
        <v>236</v>
      </c>
      <c r="C8" s="35" t="s">
        <v>237</v>
      </c>
      <c r="D8" s="35" t="s">
        <v>109</v>
      </c>
      <c r="E8" s="40">
        <v>671200</v>
      </c>
      <c r="F8" s="37">
        <v>676.62128240000004</v>
      </c>
      <c r="G8" s="38">
        <v>20.9655040267339</v>
      </c>
      <c r="H8" s="41">
        <v>6.7747061221125102E-2</v>
      </c>
      <c r="I8" s="42"/>
    </row>
    <row r="9" spans="1:11" x14ac:dyDescent="0.2">
      <c r="B9" s="34" t="s">
        <v>105</v>
      </c>
      <c r="C9" s="34"/>
      <c r="D9" s="34"/>
      <c r="E9" s="43"/>
      <c r="F9" s="44">
        <f>SUM(F6:F8)</f>
        <v>3141.7706145999996</v>
      </c>
      <c r="G9" s="45">
        <f>SUM(G6:G8)</f>
        <v>97.349590065851203</v>
      </c>
      <c r="H9" s="46"/>
      <c r="I9" s="46"/>
    </row>
    <row r="10" spans="1:11" x14ac:dyDescent="0.2">
      <c r="B10" s="34"/>
      <c r="C10" s="35"/>
      <c r="D10" s="35"/>
      <c r="E10" s="36"/>
      <c r="F10" s="37"/>
      <c r="G10" s="38"/>
      <c r="H10" s="39"/>
      <c r="I10" s="39"/>
    </row>
    <row r="11" spans="1:11" x14ac:dyDescent="0.2">
      <c r="B11" s="34" t="s">
        <v>113</v>
      </c>
      <c r="C11" s="34"/>
      <c r="D11" s="34"/>
      <c r="E11" s="43"/>
      <c r="F11" s="44">
        <v>4.1622617999999996</v>
      </c>
      <c r="G11" s="45">
        <v>0.12897010306665599</v>
      </c>
      <c r="H11" s="41">
        <v>4.9299999999999997E-2</v>
      </c>
      <c r="I11" s="41"/>
    </row>
    <row r="12" spans="1:11" x14ac:dyDescent="0.2">
      <c r="B12" s="35"/>
      <c r="C12" s="35"/>
      <c r="D12" s="35"/>
      <c r="E12" s="36"/>
      <c r="F12" s="37"/>
      <c r="G12" s="38"/>
      <c r="H12" s="39"/>
      <c r="I12" s="39"/>
    </row>
    <row r="13" spans="1:11" x14ac:dyDescent="0.2">
      <c r="B13" s="58" t="s">
        <v>115</v>
      </c>
      <c r="C13" s="58"/>
      <c r="D13" s="58"/>
      <c r="E13" s="59"/>
      <c r="F13" s="44">
        <f>F14-(F9+F11)</f>
        <v>81.374616600000081</v>
      </c>
      <c r="G13" s="45">
        <f>G14-(G9+G11)</f>
        <v>2.521439831082148</v>
      </c>
      <c r="H13" s="46"/>
      <c r="I13" s="46"/>
    </row>
    <row r="14" spans="1:11" x14ac:dyDescent="0.2">
      <c r="B14" s="53" t="s">
        <v>114</v>
      </c>
      <c r="C14" s="53"/>
      <c r="D14" s="53"/>
      <c r="E14" s="54"/>
      <c r="F14" s="55">
        <v>3227.3074929999998</v>
      </c>
      <c r="G14" s="56">
        <v>100</v>
      </c>
      <c r="H14" s="57"/>
      <c r="I14" s="57"/>
    </row>
    <row r="16" spans="1:11" ht="39.950000000000003" customHeight="1" x14ac:dyDescent="0.2">
      <c r="B16" s="100" t="s">
        <v>118</v>
      </c>
      <c r="C16" s="100"/>
      <c r="D16" s="100"/>
      <c r="E16" s="100"/>
      <c r="F16" s="100"/>
      <c r="G16" s="100"/>
      <c r="H16" s="100"/>
      <c r="I16" s="100"/>
    </row>
    <row r="18" spans="2:7" x14ac:dyDescent="0.2">
      <c r="B18" s="26" t="s">
        <v>1502</v>
      </c>
    </row>
    <row r="20" spans="2:7" x14ac:dyDescent="0.2">
      <c r="B20" s="26" t="s">
        <v>119</v>
      </c>
      <c r="E20" s="8"/>
      <c r="G20" s="83"/>
    </row>
    <row r="21" spans="2:7" x14ac:dyDescent="0.2">
      <c r="E21" s="8"/>
      <c r="G21" s="83"/>
    </row>
    <row r="22" spans="2:7" x14ac:dyDescent="0.2">
      <c r="E22" s="8"/>
      <c r="G22" s="83"/>
    </row>
    <row r="23" spans="2:7" x14ac:dyDescent="0.2">
      <c r="E23" s="8"/>
      <c r="G23" s="83"/>
    </row>
    <row r="24" spans="2:7" x14ac:dyDescent="0.2">
      <c r="E24" s="8"/>
      <c r="G24" s="83"/>
    </row>
    <row r="25" spans="2:7" x14ac:dyDescent="0.2">
      <c r="E25" s="8"/>
      <c r="G25" s="83"/>
    </row>
    <row r="26" spans="2:7" x14ac:dyDescent="0.2">
      <c r="E26" s="8"/>
      <c r="G26" s="83"/>
    </row>
    <row r="27" spans="2:7" x14ac:dyDescent="0.2">
      <c r="E27" s="8"/>
      <c r="G27" s="83"/>
    </row>
    <row r="28" spans="2:7" x14ac:dyDescent="0.2">
      <c r="E28" s="8"/>
      <c r="G28" s="83"/>
    </row>
    <row r="29" spans="2:7" x14ac:dyDescent="0.2">
      <c r="E29" s="8"/>
      <c r="G29" s="83"/>
    </row>
    <row r="30" spans="2:7" x14ac:dyDescent="0.2">
      <c r="E30" s="8"/>
      <c r="G30" s="83"/>
    </row>
    <row r="31" spans="2:7" x14ac:dyDescent="0.2">
      <c r="E31" s="8"/>
      <c r="G31" s="83"/>
    </row>
    <row r="32" spans="2:7" x14ac:dyDescent="0.2">
      <c r="E32" s="8"/>
      <c r="G32" s="83"/>
    </row>
    <row r="33" spans="2:7" x14ac:dyDescent="0.2">
      <c r="E33" s="8"/>
      <c r="G33" s="83"/>
    </row>
    <row r="34" spans="2:7" x14ac:dyDescent="0.2">
      <c r="E34" s="8"/>
      <c r="G34" s="83"/>
    </row>
    <row r="35" spans="2:7" x14ac:dyDescent="0.2">
      <c r="E35" s="8"/>
      <c r="G35" s="83"/>
    </row>
    <row r="36" spans="2:7" x14ac:dyDescent="0.2">
      <c r="E36" s="8"/>
      <c r="G36" s="83"/>
    </row>
    <row r="37" spans="2:7" x14ac:dyDescent="0.2">
      <c r="E37" s="8"/>
      <c r="G37" s="83"/>
    </row>
    <row r="38" spans="2:7" x14ac:dyDescent="0.2">
      <c r="B38" s="26" t="s">
        <v>1475</v>
      </c>
      <c r="E38" s="8"/>
      <c r="G38" s="83"/>
    </row>
    <row r="39" spans="2:7" x14ac:dyDescent="0.2">
      <c r="B39" s="26" t="s">
        <v>1479</v>
      </c>
      <c r="E39" s="8"/>
      <c r="G39" s="83"/>
    </row>
    <row r="40" spans="2:7" x14ac:dyDescent="0.2">
      <c r="E40" s="8"/>
      <c r="G40" s="83"/>
    </row>
    <row r="41" spans="2:7" x14ac:dyDescent="0.2">
      <c r="E41" s="8"/>
      <c r="G41" s="83"/>
    </row>
    <row r="42" spans="2:7" x14ac:dyDescent="0.2">
      <c r="E42" s="8"/>
      <c r="G42" s="83"/>
    </row>
    <row r="43" spans="2:7" x14ac:dyDescent="0.2">
      <c r="E43" s="8"/>
      <c r="G43" s="83"/>
    </row>
    <row r="44" spans="2:7" x14ac:dyDescent="0.2">
      <c r="E44" s="8"/>
      <c r="G44" s="83"/>
    </row>
    <row r="45" spans="2:7" x14ac:dyDescent="0.2">
      <c r="E45" s="8"/>
      <c r="G45" s="83"/>
    </row>
    <row r="46" spans="2:7" x14ac:dyDescent="0.2">
      <c r="E46" s="8"/>
      <c r="G46" s="83"/>
    </row>
    <row r="47" spans="2:7" x14ac:dyDescent="0.2">
      <c r="E47" s="8"/>
      <c r="G47" s="83"/>
    </row>
    <row r="48" spans="2:7" x14ac:dyDescent="0.2">
      <c r="E48" s="8"/>
      <c r="G48" s="83"/>
    </row>
    <row r="49" spans="5:7" x14ac:dyDescent="0.2">
      <c r="E49" s="8"/>
      <c r="G49" s="83"/>
    </row>
    <row r="50" spans="5:7" x14ac:dyDescent="0.2">
      <c r="E50" s="8"/>
      <c r="G50" s="83"/>
    </row>
    <row r="51" spans="5:7" x14ac:dyDescent="0.2">
      <c r="E51" s="8"/>
      <c r="G51" s="83"/>
    </row>
    <row r="52" spans="5:7" x14ac:dyDescent="0.2">
      <c r="E52" s="8"/>
      <c r="G52" s="83"/>
    </row>
    <row r="53" spans="5:7" x14ac:dyDescent="0.2">
      <c r="E53" s="8"/>
      <c r="G53" s="83"/>
    </row>
    <row r="54" spans="5:7" x14ac:dyDescent="0.2">
      <c r="E54" s="8"/>
      <c r="G54" s="83"/>
    </row>
    <row r="55" spans="5:7" x14ac:dyDescent="0.2">
      <c r="E55" s="8"/>
      <c r="G55" s="83"/>
    </row>
    <row r="56" spans="5:7" x14ac:dyDescent="0.2">
      <c r="E56" s="8"/>
      <c r="G56" s="83"/>
    </row>
    <row r="57" spans="5:7" x14ac:dyDescent="0.2">
      <c r="E57" s="8"/>
      <c r="G57" s="83"/>
    </row>
    <row r="58" spans="5:7" x14ac:dyDescent="0.2">
      <c r="E58" s="8"/>
      <c r="G58" s="83"/>
    </row>
    <row r="59" spans="5:7" x14ac:dyDescent="0.2">
      <c r="E59" s="8"/>
      <c r="G59" s="83"/>
    </row>
    <row r="60" spans="5:7" x14ac:dyDescent="0.2">
      <c r="E60" s="8"/>
      <c r="G60" s="83"/>
    </row>
    <row r="61" spans="5:7" x14ac:dyDescent="0.2">
      <c r="E61" s="8"/>
      <c r="G61" s="83"/>
    </row>
    <row r="62" spans="5:7" x14ac:dyDescent="0.2">
      <c r="E62" s="8"/>
      <c r="G62" s="83"/>
    </row>
    <row r="63" spans="5:7" x14ac:dyDescent="0.2">
      <c r="E63" s="8"/>
      <c r="G63" s="83"/>
    </row>
    <row r="64" spans="5:7" x14ac:dyDescent="0.2">
      <c r="E64" s="8"/>
      <c r="G64" s="83"/>
    </row>
    <row r="65" spans="5:7" x14ac:dyDescent="0.2">
      <c r="E65" s="8"/>
      <c r="G65" s="83"/>
    </row>
    <row r="66" spans="5:7" x14ac:dyDescent="0.2">
      <c r="E66" s="8"/>
      <c r="G66" s="83"/>
    </row>
    <row r="67" spans="5:7" x14ac:dyDescent="0.2">
      <c r="E67" s="8"/>
      <c r="G67" s="83"/>
    </row>
    <row r="68" spans="5:7" x14ac:dyDescent="0.2">
      <c r="E68" s="8"/>
      <c r="G68" s="83"/>
    </row>
    <row r="69" spans="5:7" x14ac:dyDescent="0.2">
      <c r="E69" s="8"/>
      <c r="G69" s="83"/>
    </row>
    <row r="70" spans="5:7" x14ac:dyDescent="0.2">
      <c r="E70" s="8"/>
      <c r="G70" s="83"/>
    </row>
    <row r="71" spans="5:7" x14ac:dyDescent="0.2">
      <c r="E71" s="8"/>
      <c r="G71" s="83"/>
    </row>
    <row r="72" spans="5:7" x14ac:dyDescent="0.2">
      <c r="E72" s="8"/>
      <c r="G72" s="83"/>
    </row>
    <row r="73" spans="5:7" x14ac:dyDescent="0.2">
      <c r="E73" s="8"/>
      <c r="G73" s="83"/>
    </row>
    <row r="74" spans="5:7" x14ac:dyDescent="0.2">
      <c r="E74" s="8"/>
      <c r="G74" s="83"/>
    </row>
    <row r="75" spans="5:7" x14ac:dyDescent="0.2">
      <c r="E75" s="8"/>
      <c r="G75" s="83"/>
    </row>
    <row r="76" spans="5:7" x14ac:dyDescent="0.2">
      <c r="E76" s="8"/>
      <c r="G76" s="83"/>
    </row>
    <row r="77" spans="5:7" x14ac:dyDescent="0.2">
      <c r="E77" s="8"/>
      <c r="G77" s="83"/>
    </row>
    <row r="78" spans="5:7" x14ac:dyDescent="0.2">
      <c r="E78" s="8"/>
      <c r="G78" s="83"/>
    </row>
    <row r="79" spans="5:7" x14ac:dyDescent="0.2">
      <c r="E79" s="8"/>
      <c r="G79" s="83"/>
    </row>
    <row r="80" spans="5:7" x14ac:dyDescent="0.2">
      <c r="E80" s="8"/>
      <c r="G80" s="83"/>
    </row>
    <row r="81" spans="5:7" x14ac:dyDescent="0.2">
      <c r="E81" s="8"/>
      <c r="G81" s="83"/>
    </row>
    <row r="82" spans="5:7" x14ac:dyDescent="0.2">
      <c r="E82" s="8"/>
      <c r="G82" s="83"/>
    </row>
    <row r="83" spans="5:7" x14ac:dyDescent="0.2">
      <c r="E83" s="8"/>
      <c r="G83" s="83"/>
    </row>
    <row r="84" spans="5:7" x14ac:dyDescent="0.2">
      <c r="E84" s="8"/>
      <c r="G84" s="83"/>
    </row>
    <row r="85" spans="5:7" x14ac:dyDescent="0.2">
      <c r="E85" s="8"/>
      <c r="G85" s="83"/>
    </row>
    <row r="86" spans="5:7" x14ac:dyDescent="0.2">
      <c r="E86" s="8"/>
      <c r="G86" s="83"/>
    </row>
    <row r="87" spans="5:7" x14ac:dyDescent="0.2">
      <c r="E87" s="8"/>
      <c r="G87" s="83"/>
    </row>
    <row r="88" spans="5:7" x14ac:dyDescent="0.2">
      <c r="E88" s="8"/>
      <c r="G88" s="83"/>
    </row>
    <row r="89" spans="5:7" x14ac:dyDescent="0.2">
      <c r="E89" s="8"/>
      <c r="G89" s="83"/>
    </row>
    <row r="90" spans="5:7" x14ac:dyDescent="0.2">
      <c r="E90" s="8"/>
      <c r="G90" s="83"/>
    </row>
    <row r="91" spans="5:7" x14ac:dyDescent="0.2">
      <c r="E91" s="8"/>
      <c r="G91" s="83"/>
    </row>
    <row r="92" spans="5:7" x14ac:dyDescent="0.2">
      <c r="E92" s="8"/>
      <c r="G92" s="83"/>
    </row>
    <row r="93" spans="5:7" x14ac:dyDescent="0.2">
      <c r="E93" s="8"/>
      <c r="G93" s="83"/>
    </row>
    <row r="94" spans="5:7" x14ac:dyDescent="0.2">
      <c r="E94" s="8"/>
      <c r="G94" s="83"/>
    </row>
    <row r="95" spans="5:7" x14ac:dyDescent="0.2">
      <c r="E95" s="8"/>
      <c r="G95" s="83"/>
    </row>
    <row r="96" spans="5:7" x14ac:dyDescent="0.2">
      <c r="E96" s="8"/>
      <c r="G96" s="83"/>
    </row>
    <row r="97" spans="5:7" x14ac:dyDescent="0.2">
      <c r="E97" s="8"/>
      <c r="G97" s="83"/>
    </row>
    <row r="98" spans="5:7" x14ac:dyDescent="0.2">
      <c r="E98" s="8"/>
      <c r="G98" s="83"/>
    </row>
    <row r="99" spans="5:7" x14ac:dyDescent="0.2">
      <c r="E99" s="8"/>
      <c r="G99" s="83"/>
    </row>
    <row r="100" spans="5:7" x14ac:dyDescent="0.2">
      <c r="E100" s="8"/>
      <c r="G100" s="83"/>
    </row>
    <row r="101" spans="5:7" x14ac:dyDescent="0.2">
      <c r="E101" s="8"/>
      <c r="G101" s="83"/>
    </row>
    <row r="102" spans="5:7" x14ac:dyDescent="0.2">
      <c r="E102" s="8"/>
      <c r="G102" s="83"/>
    </row>
    <row r="103" spans="5:7" x14ac:dyDescent="0.2">
      <c r="E103" s="8"/>
      <c r="G103" s="83"/>
    </row>
    <row r="104" spans="5:7" x14ac:dyDescent="0.2">
      <c r="E104" s="8"/>
      <c r="G104" s="83"/>
    </row>
    <row r="105" spans="5:7" x14ac:dyDescent="0.2">
      <c r="E105" s="8"/>
      <c r="G105" s="83"/>
    </row>
    <row r="106" spans="5:7" x14ac:dyDescent="0.2">
      <c r="E106" s="8"/>
      <c r="G106" s="83"/>
    </row>
    <row r="107" spans="5:7" x14ac:dyDescent="0.2">
      <c r="E107" s="8"/>
      <c r="G107" s="83"/>
    </row>
    <row r="108" spans="5:7" x14ac:dyDescent="0.2">
      <c r="E108" s="8"/>
      <c r="G108" s="83"/>
    </row>
    <row r="109" spans="5:7" x14ac:dyDescent="0.2">
      <c r="E109" s="8"/>
      <c r="G109" s="83"/>
    </row>
    <row r="110" spans="5:7" x14ac:dyDescent="0.2">
      <c r="E110" s="8"/>
      <c r="G110" s="83"/>
    </row>
    <row r="111" spans="5:7" x14ac:dyDescent="0.2">
      <c r="E111" s="8"/>
      <c r="G111" s="83"/>
    </row>
    <row r="112" spans="5:7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  <row r="164" spans="5:7" x14ac:dyDescent="0.2">
      <c r="E164" s="8"/>
      <c r="G164" s="83"/>
    </row>
    <row r="165" spans="5:7" x14ac:dyDescent="0.2">
      <c r="E165" s="8"/>
      <c r="G165" s="83"/>
    </row>
    <row r="166" spans="5:7" x14ac:dyDescent="0.2">
      <c r="E166" s="8"/>
      <c r="G166" s="83"/>
    </row>
    <row r="167" spans="5:7" x14ac:dyDescent="0.2">
      <c r="E167" s="8"/>
      <c r="G167" s="83"/>
    </row>
    <row r="168" spans="5:7" x14ac:dyDescent="0.2">
      <c r="E168" s="8"/>
      <c r="G168" s="83"/>
    </row>
    <row r="169" spans="5:7" x14ac:dyDescent="0.2">
      <c r="E169" s="8"/>
      <c r="G169" s="83"/>
    </row>
    <row r="170" spans="5:7" x14ac:dyDescent="0.2">
      <c r="E170" s="8"/>
      <c r="G170" s="83"/>
    </row>
    <row r="171" spans="5:7" x14ac:dyDescent="0.2">
      <c r="E171" s="8"/>
      <c r="G171" s="83"/>
    </row>
    <row r="172" spans="5:7" x14ac:dyDescent="0.2">
      <c r="E172" s="8"/>
      <c r="G172" s="83"/>
    </row>
    <row r="173" spans="5:7" x14ac:dyDescent="0.2">
      <c r="E173" s="8"/>
      <c r="G173" s="83"/>
    </row>
    <row r="174" spans="5:7" x14ac:dyDescent="0.2">
      <c r="E174" s="8"/>
      <c r="G174" s="83"/>
    </row>
    <row r="175" spans="5:7" x14ac:dyDescent="0.2">
      <c r="E175" s="8"/>
      <c r="G175" s="83"/>
    </row>
    <row r="176" spans="5:7" x14ac:dyDescent="0.2">
      <c r="E176" s="8"/>
      <c r="G176" s="83"/>
    </row>
    <row r="177" spans="5:7" x14ac:dyDescent="0.2">
      <c r="E177" s="8"/>
      <c r="G177" s="83"/>
    </row>
    <row r="178" spans="5:7" x14ac:dyDescent="0.2">
      <c r="E178" s="8"/>
      <c r="G178" s="83"/>
    </row>
    <row r="179" spans="5:7" x14ac:dyDescent="0.2">
      <c r="E179" s="8"/>
      <c r="G179" s="83"/>
    </row>
    <row r="180" spans="5:7" x14ac:dyDescent="0.2">
      <c r="E180" s="8"/>
      <c r="G180" s="83"/>
    </row>
    <row r="181" spans="5:7" x14ac:dyDescent="0.2">
      <c r="E181" s="8"/>
      <c r="G181" s="83"/>
    </row>
    <row r="182" spans="5:7" x14ac:dyDescent="0.2">
      <c r="E182" s="8"/>
      <c r="G182" s="83"/>
    </row>
    <row r="183" spans="5:7" x14ac:dyDescent="0.2">
      <c r="E183" s="8"/>
      <c r="G183" s="83"/>
    </row>
    <row r="184" spans="5:7" x14ac:dyDescent="0.2">
      <c r="E184" s="8"/>
      <c r="G184" s="83"/>
    </row>
    <row r="185" spans="5:7" x14ac:dyDescent="0.2">
      <c r="E185" s="8"/>
      <c r="G185" s="83"/>
    </row>
    <row r="186" spans="5:7" x14ac:dyDescent="0.2">
      <c r="E186" s="8"/>
      <c r="G186" s="83"/>
    </row>
    <row r="187" spans="5:7" x14ac:dyDescent="0.2">
      <c r="E187" s="8"/>
      <c r="G187" s="83"/>
    </row>
    <row r="188" spans="5:7" x14ac:dyDescent="0.2">
      <c r="E188" s="8"/>
      <c r="G188" s="83"/>
    </row>
    <row r="189" spans="5:7" x14ac:dyDescent="0.2">
      <c r="E189" s="8"/>
      <c r="G189" s="83"/>
    </row>
    <row r="190" spans="5:7" x14ac:dyDescent="0.2">
      <c r="E190" s="8"/>
      <c r="G190" s="83"/>
    </row>
    <row r="191" spans="5:7" x14ac:dyDescent="0.2">
      <c r="E191" s="8"/>
      <c r="G191" s="83"/>
    </row>
    <row r="192" spans="5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</sheetData>
  <mergeCells count="2">
    <mergeCell ref="B1:C1"/>
    <mergeCell ref="B16:I16"/>
  </mergeCells>
  <conditionalFormatting sqref="G1:G3 G5:G15 G17:G58">
    <cfRule type="cellIs" dxfId="10" priority="2" stopIfTrue="1" operator="between">
      <formula>0.009</formula>
      <formula>-0.009</formula>
    </cfRule>
  </conditionalFormatting>
  <hyperlinks>
    <hyperlink ref="A2" location="Index!A1" display="-" xr:uid="{F30E9F3C-FBBF-4B35-856E-C79E5B63D759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55" min="1" max="8" man="1"/>
  </rowBreaks>
  <colBreaks count="1" manualBreakCount="1">
    <brk id="9" max="246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E22C-DAFE-45AF-A148-9E321CE7D99E}">
  <dimension ref="A1:K168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28515625" style="8" bestFit="1" customWidth="1"/>
    <col min="4" max="4" width="13.7109375" style="8" bestFit="1" customWidth="1"/>
    <col min="5" max="5" width="13.7109375" style="9" bestFit="1" customWidth="1"/>
    <col min="6" max="6" width="15.42578125" style="11" customWidth="1"/>
    <col min="7" max="7" width="8.28515625" style="18" customWidth="1"/>
    <col min="8" max="8" width="11.85546875" style="14" bestFit="1" customWidth="1"/>
    <col min="9" max="9" width="11.5703125" style="14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98" t="s">
        <v>14</v>
      </c>
      <c r="C1" s="99"/>
      <c r="D1" s="13"/>
      <c r="E1" s="6"/>
      <c r="F1" s="7"/>
      <c r="G1" s="18"/>
      <c r="H1" s="14"/>
      <c r="I1" s="15"/>
    </row>
    <row r="2" spans="1:11" s="1" customFormat="1" ht="15" x14ac:dyDescent="0.25">
      <c r="A2" s="82" t="s">
        <v>1501</v>
      </c>
      <c r="E2" s="6"/>
      <c r="F2" s="7"/>
      <c r="G2" s="18"/>
      <c r="H2" s="14"/>
      <c r="I2" s="15"/>
    </row>
    <row r="3" spans="1:11" s="1" customFormat="1" ht="12" x14ac:dyDescent="0.2">
      <c r="B3" s="10" t="s">
        <v>9</v>
      </c>
      <c r="C3" s="2"/>
      <c r="D3" s="3"/>
      <c r="E3" s="4"/>
      <c r="F3" s="5"/>
      <c r="G3" s="18"/>
      <c r="H3" s="14"/>
      <c r="I3" s="15"/>
    </row>
    <row r="4" spans="1:11" s="1" customFormat="1" ht="31.5" customHeight="1" x14ac:dyDescent="0.2">
      <c r="B4" s="28" t="s">
        <v>7</v>
      </c>
      <c r="C4" s="28" t="s">
        <v>8</v>
      </c>
      <c r="D4" s="29" t="s">
        <v>116</v>
      </c>
      <c r="E4" s="30" t="s">
        <v>0</v>
      </c>
      <c r="F4" s="31" t="s">
        <v>4</v>
      </c>
      <c r="G4" s="32" t="s">
        <v>5</v>
      </c>
      <c r="H4" s="33" t="s">
        <v>6</v>
      </c>
      <c r="I4" s="33" t="s">
        <v>23</v>
      </c>
      <c r="J4" s="17"/>
      <c r="K4" s="12"/>
    </row>
    <row r="5" spans="1:11" x14ac:dyDescent="0.2">
      <c r="B5" s="34" t="s">
        <v>238</v>
      </c>
      <c r="C5" s="35"/>
      <c r="D5" s="35"/>
      <c r="E5" s="36"/>
      <c r="F5" s="37"/>
      <c r="G5" s="38"/>
      <c r="H5" s="39"/>
      <c r="I5" s="39"/>
    </row>
    <row r="6" spans="1:11" x14ac:dyDescent="0.2">
      <c r="B6" s="34" t="s">
        <v>239</v>
      </c>
      <c r="C6" s="35"/>
      <c r="D6" s="35"/>
      <c r="E6" s="36"/>
      <c r="F6" s="37"/>
      <c r="G6" s="38"/>
      <c r="H6" s="39"/>
      <c r="I6" s="39"/>
    </row>
    <row r="7" spans="1:11" x14ac:dyDescent="0.2">
      <c r="B7" s="35" t="s">
        <v>240</v>
      </c>
      <c r="C7" s="35" t="s">
        <v>241</v>
      </c>
      <c r="D7" s="35" t="s">
        <v>242</v>
      </c>
      <c r="E7" s="40">
        <v>2500</v>
      </c>
      <c r="F7" s="37">
        <v>2517.9175</v>
      </c>
      <c r="G7" s="38">
        <v>6.5049337639035603</v>
      </c>
      <c r="H7" s="41">
        <v>7.0499999999999993E-2</v>
      </c>
      <c r="I7" s="42"/>
    </row>
    <row r="8" spans="1:11" x14ac:dyDescent="0.2">
      <c r="B8" s="35" t="s">
        <v>243</v>
      </c>
      <c r="C8" s="35" t="s">
        <v>244</v>
      </c>
      <c r="D8" s="35" t="s">
        <v>242</v>
      </c>
      <c r="E8" s="40">
        <v>2500</v>
      </c>
      <c r="F8" s="37">
        <v>2502.0749999999998</v>
      </c>
      <c r="G8" s="38">
        <v>6.46400533270808</v>
      </c>
      <c r="H8" s="41">
        <v>7.2500999999999996E-2</v>
      </c>
      <c r="I8" s="42"/>
    </row>
    <row r="9" spans="1:11" x14ac:dyDescent="0.2">
      <c r="B9" s="35" t="s">
        <v>245</v>
      </c>
      <c r="C9" s="35" t="s">
        <v>246</v>
      </c>
      <c r="D9" s="35" t="s">
        <v>242</v>
      </c>
      <c r="E9" s="40">
        <v>250</v>
      </c>
      <c r="F9" s="37">
        <v>2488.12</v>
      </c>
      <c r="G9" s="38">
        <v>6.4279531782291199</v>
      </c>
      <c r="H9" s="41">
        <v>7.1599999999999997E-2</v>
      </c>
      <c r="I9" s="42"/>
    </row>
    <row r="10" spans="1:11" x14ac:dyDescent="0.2">
      <c r="B10" s="34" t="s">
        <v>65</v>
      </c>
      <c r="C10" s="34"/>
      <c r="D10" s="34"/>
      <c r="E10" s="43"/>
      <c r="F10" s="47">
        <f>SUM(F6:F9)</f>
        <v>7508.1125000000002</v>
      </c>
      <c r="G10" s="48">
        <f>SUM(G6:G9)</f>
        <v>19.396892274840759</v>
      </c>
      <c r="H10" s="46"/>
      <c r="I10" s="46"/>
    </row>
    <row r="11" spans="1:11" x14ac:dyDescent="0.2">
      <c r="B11" s="49" t="s">
        <v>247</v>
      </c>
      <c r="C11" s="62"/>
      <c r="D11" s="62"/>
      <c r="E11" s="63"/>
      <c r="F11" s="64"/>
      <c r="G11" s="65"/>
      <c r="H11" s="39"/>
      <c r="I11" s="39"/>
    </row>
    <row r="12" spans="1:11" x14ac:dyDescent="0.2">
      <c r="B12" s="34" t="s">
        <v>65</v>
      </c>
      <c r="C12" s="34"/>
      <c r="D12" s="34"/>
      <c r="E12" s="43"/>
      <c r="F12" s="66" t="s">
        <v>248</v>
      </c>
      <c r="G12" s="67" t="s">
        <v>248</v>
      </c>
      <c r="H12" s="46"/>
      <c r="I12" s="46"/>
    </row>
    <row r="13" spans="1:11" x14ac:dyDescent="0.2">
      <c r="B13" s="49" t="s">
        <v>105</v>
      </c>
      <c r="C13" s="49"/>
      <c r="D13" s="49"/>
      <c r="E13" s="50"/>
      <c r="F13" s="68">
        <f>F10</f>
        <v>7508.1125000000002</v>
      </c>
      <c r="G13" s="69">
        <f>G10</f>
        <v>19.396892274840759</v>
      </c>
      <c r="H13" s="46"/>
      <c r="I13" s="46"/>
    </row>
    <row r="14" spans="1:11" x14ac:dyDescent="0.2">
      <c r="B14" s="34" t="s">
        <v>24</v>
      </c>
      <c r="C14" s="35"/>
      <c r="D14" s="35"/>
      <c r="E14" s="36"/>
      <c r="F14" s="37"/>
      <c r="G14" s="38"/>
      <c r="H14" s="39"/>
      <c r="I14" s="39"/>
    </row>
    <row r="15" spans="1:11" x14ac:dyDescent="0.2">
      <c r="B15" s="34" t="s">
        <v>25</v>
      </c>
      <c r="C15" s="35"/>
      <c r="D15" s="35"/>
      <c r="E15" s="36"/>
      <c r="F15" s="37"/>
      <c r="G15" s="38"/>
      <c r="H15" s="39"/>
      <c r="I15" s="39"/>
    </row>
    <row r="16" spans="1:11" x14ac:dyDescent="0.2">
      <c r="B16" s="35" t="s">
        <v>249</v>
      </c>
      <c r="C16" s="35" t="s">
        <v>250</v>
      </c>
      <c r="D16" s="35" t="s">
        <v>93</v>
      </c>
      <c r="E16" s="40">
        <v>500</v>
      </c>
      <c r="F16" s="37">
        <v>2498.89</v>
      </c>
      <c r="G16" s="38">
        <v>6.4557770194142501</v>
      </c>
      <c r="H16" s="41">
        <v>5.4044000000000002E-2</v>
      </c>
      <c r="I16" s="42"/>
    </row>
    <row r="17" spans="2:9" x14ac:dyDescent="0.2">
      <c r="B17" s="35" t="s">
        <v>251</v>
      </c>
      <c r="C17" s="35" t="s">
        <v>252</v>
      </c>
      <c r="D17" s="35" t="s">
        <v>36</v>
      </c>
      <c r="E17" s="40">
        <v>500</v>
      </c>
      <c r="F17" s="37">
        <v>2495.4475000000002</v>
      </c>
      <c r="G17" s="38">
        <v>6.4468834657206697</v>
      </c>
      <c r="H17" s="41">
        <v>5.5489999999999998E-2</v>
      </c>
      <c r="I17" s="42"/>
    </row>
    <row r="18" spans="2:9" x14ac:dyDescent="0.2">
      <c r="B18" s="35" t="s">
        <v>253</v>
      </c>
      <c r="C18" s="35" t="s">
        <v>254</v>
      </c>
      <c r="D18" s="35" t="s">
        <v>36</v>
      </c>
      <c r="E18" s="40">
        <v>500</v>
      </c>
      <c r="F18" s="37">
        <v>2354.6550000000002</v>
      </c>
      <c r="G18" s="38">
        <v>6.0831519745362304</v>
      </c>
      <c r="H18" s="41">
        <v>6.8900000000000003E-2</v>
      </c>
      <c r="I18" s="42"/>
    </row>
    <row r="19" spans="2:9" x14ac:dyDescent="0.2">
      <c r="B19" s="35" t="s">
        <v>255</v>
      </c>
      <c r="C19" s="35" t="s">
        <v>256</v>
      </c>
      <c r="D19" s="35" t="s">
        <v>93</v>
      </c>
      <c r="E19" s="40">
        <v>500</v>
      </c>
      <c r="F19" s="37">
        <v>2354.19</v>
      </c>
      <c r="G19" s="38">
        <v>6.0819506666299104</v>
      </c>
      <c r="H19" s="41">
        <v>6.9775000000000004E-2</v>
      </c>
      <c r="I19" s="42"/>
    </row>
    <row r="20" spans="2:9" x14ac:dyDescent="0.2">
      <c r="B20" s="35" t="s">
        <v>257</v>
      </c>
      <c r="C20" s="35" t="s">
        <v>258</v>
      </c>
      <c r="D20" s="35" t="s">
        <v>36</v>
      </c>
      <c r="E20" s="40">
        <v>500</v>
      </c>
      <c r="F20" s="37">
        <v>2353.4</v>
      </c>
      <c r="G20" s="38">
        <v>6.0799097349181004</v>
      </c>
      <c r="H20" s="41">
        <v>6.8900000000000003E-2</v>
      </c>
      <c r="I20" s="42"/>
    </row>
    <row r="21" spans="2:9" x14ac:dyDescent="0.2">
      <c r="B21" s="35" t="s">
        <v>259</v>
      </c>
      <c r="C21" s="35" t="s">
        <v>260</v>
      </c>
      <c r="D21" s="35" t="s">
        <v>36</v>
      </c>
      <c r="E21" s="40">
        <v>500</v>
      </c>
      <c r="F21" s="37">
        <v>2353.1675</v>
      </c>
      <c r="G21" s="38">
        <v>6.0793090809649399</v>
      </c>
      <c r="H21" s="41">
        <v>6.8599999999999994E-2</v>
      </c>
      <c r="I21" s="42"/>
    </row>
    <row r="22" spans="2:9" x14ac:dyDescent="0.2">
      <c r="B22" s="35" t="s">
        <v>261</v>
      </c>
      <c r="C22" s="35" t="s">
        <v>262</v>
      </c>
      <c r="D22" s="35" t="s">
        <v>36</v>
      </c>
      <c r="E22" s="40">
        <v>500</v>
      </c>
      <c r="F22" s="37">
        <v>2349.1</v>
      </c>
      <c r="G22" s="38">
        <v>6.0688008661069501</v>
      </c>
      <c r="H22" s="41">
        <v>7.0199999999999999E-2</v>
      </c>
      <c r="I22" s="42"/>
    </row>
    <row r="23" spans="2:9" x14ac:dyDescent="0.2">
      <c r="B23" s="35" t="s">
        <v>263</v>
      </c>
      <c r="C23" s="35" t="s">
        <v>264</v>
      </c>
      <c r="D23" s="35" t="s">
        <v>36</v>
      </c>
      <c r="E23" s="40">
        <v>500</v>
      </c>
      <c r="F23" s="37">
        <v>2346.7350000000001</v>
      </c>
      <c r="G23" s="38">
        <v>6.0626909882608198</v>
      </c>
      <c r="H23" s="41">
        <v>6.8500000000000005E-2</v>
      </c>
      <c r="I23" s="42"/>
    </row>
    <row r="24" spans="2:9" x14ac:dyDescent="0.2">
      <c r="B24" s="35" t="s">
        <v>39</v>
      </c>
      <c r="C24" s="35" t="s">
        <v>40</v>
      </c>
      <c r="D24" s="35" t="s">
        <v>28</v>
      </c>
      <c r="E24" s="40">
        <v>500</v>
      </c>
      <c r="F24" s="37">
        <v>2341.3525</v>
      </c>
      <c r="G24" s="38">
        <v>6.04878552631292</v>
      </c>
      <c r="H24" s="41">
        <v>6.8699999999999997E-2</v>
      </c>
      <c r="I24" s="42"/>
    </row>
    <row r="25" spans="2:9" x14ac:dyDescent="0.2">
      <c r="B25" s="34" t="s">
        <v>65</v>
      </c>
      <c r="C25" s="34"/>
      <c r="D25" s="34"/>
      <c r="E25" s="43"/>
      <c r="F25" s="44">
        <f>SUM(F15:F24)</f>
        <v>21446.9375</v>
      </c>
      <c r="G25" s="45">
        <f>SUM(G15:G24)</f>
        <v>55.407259322864789</v>
      </c>
      <c r="H25" s="46"/>
      <c r="I25" s="46"/>
    </row>
    <row r="26" spans="2:9" x14ac:dyDescent="0.2">
      <c r="B26" s="34" t="s">
        <v>66</v>
      </c>
      <c r="C26" s="35"/>
      <c r="D26" s="35"/>
      <c r="E26" s="36"/>
      <c r="F26" s="37"/>
      <c r="G26" s="38"/>
      <c r="H26" s="39"/>
      <c r="I26" s="39"/>
    </row>
    <row r="27" spans="2:9" x14ac:dyDescent="0.2">
      <c r="B27" s="35" t="s">
        <v>265</v>
      </c>
      <c r="C27" s="35" t="s">
        <v>266</v>
      </c>
      <c r="D27" s="35" t="s">
        <v>93</v>
      </c>
      <c r="E27" s="40">
        <v>500</v>
      </c>
      <c r="F27" s="37">
        <v>2498.7249999999999</v>
      </c>
      <c r="G27" s="38">
        <v>6.4553507488668398</v>
      </c>
      <c r="H27" s="41">
        <v>6.2081999999999998E-2</v>
      </c>
      <c r="I27" s="42"/>
    </row>
    <row r="28" spans="2:9" x14ac:dyDescent="0.2">
      <c r="B28" s="34" t="s">
        <v>65</v>
      </c>
      <c r="C28" s="34"/>
      <c r="D28" s="34"/>
      <c r="E28" s="43"/>
      <c r="F28" s="44">
        <f>SUM(F26:F27)</f>
        <v>2498.7249999999999</v>
      </c>
      <c r="G28" s="45">
        <f>SUM(G26:G27)</f>
        <v>6.4553507488668398</v>
      </c>
      <c r="H28" s="46"/>
      <c r="I28" s="46"/>
    </row>
    <row r="29" spans="2:9" x14ac:dyDescent="0.2">
      <c r="B29" s="34" t="s">
        <v>96</v>
      </c>
      <c r="C29" s="35"/>
      <c r="D29" s="35"/>
      <c r="E29" s="36"/>
      <c r="F29" s="37"/>
      <c r="G29" s="38"/>
      <c r="H29" s="39"/>
      <c r="I29" s="39"/>
    </row>
    <row r="30" spans="2:9" x14ac:dyDescent="0.2">
      <c r="B30" s="35" t="s">
        <v>228</v>
      </c>
      <c r="C30" s="35" t="s">
        <v>229</v>
      </c>
      <c r="D30" s="35" t="s">
        <v>109</v>
      </c>
      <c r="E30" s="40">
        <v>2500000</v>
      </c>
      <c r="F30" s="37">
        <v>2475.83</v>
      </c>
      <c r="G30" s="38">
        <v>6.3962024810921498</v>
      </c>
      <c r="H30" s="41">
        <v>5.2401000000000003E-2</v>
      </c>
      <c r="I30" s="42"/>
    </row>
    <row r="31" spans="2:9" x14ac:dyDescent="0.2">
      <c r="B31" s="35" t="s">
        <v>216</v>
      </c>
      <c r="C31" s="35" t="s">
        <v>217</v>
      </c>
      <c r="D31" s="35" t="s">
        <v>109</v>
      </c>
      <c r="E31" s="40">
        <v>2000000</v>
      </c>
      <c r="F31" s="37">
        <v>1982.97</v>
      </c>
      <c r="G31" s="38">
        <v>5.1229194387059298</v>
      </c>
      <c r="H31" s="41">
        <v>5.2248000000000003E-2</v>
      </c>
      <c r="I31" s="42"/>
    </row>
    <row r="32" spans="2:9" x14ac:dyDescent="0.2">
      <c r="B32" s="34" t="s">
        <v>65</v>
      </c>
      <c r="C32" s="34"/>
      <c r="D32" s="34"/>
      <c r="E32" s="43"/>
      <c r="F32" s="47">
        <f>SUM(F29:F31)</f>
        <v>4458.8</v>
      </c>
      <c r="G32" s="48">
        <f>SUM(G29:G31)</f>
        <v>11.51912191979808</v>
      </c>
      <c r="H32" s="46"/>
      <c r="I32" s="46"/>
    </row>
    <row r="33" spans="2:9" x14ac:dyDescent="0.2">
      <c r="B33" s="49" t="s">
        <v>105</v>
      </c>
      <c r="C33" s="49"/>
      <c r="D33" s="49"/>
      <c r="E33" s="50"/>
      <c r="F33" s="51">
        <f>+F25+F28+F32</f>
        <v>28404.462499999998</v>
      </c>
      <c r="G33" s="52">
        <f>+G25+G28+G32</f>
        <v>73.381731991529705</v>
      </c>
      <c r="H33" s="46"/>
      <c r="I33" s="46"/>
    </row>
    <row r="34" spans="2:9" x14ac:dyDescent="0.2">
      <c r="B34" s="34"/>
      <c r="C34" s="35"/>
      <c r="D34" s="35"/>
      <c r="E34" s="36"/>
      <c r="F34" s="37"/>
      <c r="G34" s="38"/>
      <c r="H34" s="39"/>
      <c r="I34" s="39"/>
    </row>
    <row r="35" spans="2:9" x14ac:dyDescent="0.2">
      <c r="B35" s="34" t="s">
        <v>113</v>
      </c>
      <c r="C35" s="34"/>
      <c r="D35" s="34"/>
      <c r="E35" s="43"/>
      <c r="F35" s="44">
        <v>5109.7336261999999</v>
      </c>
      <c r="G35" s="45">
        <v>13.200781514732601</v>
      </c>
      <c r="H35" s="41">
        <v>4.9299999999999997E-2</v>
      </c>
      <c r="I35" s="41"/>
    </row>
    <row r="36" spans="2:9" x14ac:dyDescent="0.2">
      <c r="B36" s="35"/>
      <c r="C36" s="35"/>
      <c r="D36" s="35"/>
      <c r="E36" s="36"/>
      <c r="F36" s="37"/>
      <c r="G36" s="38"/>
      <c r="H36" s="39"/>
      <c r="I36" s="39"/>
    </row>
    <row r="37" spans="2:9" x14ac:dyDescent="0.2">
      <c r="B37" s="58" t="s">
        <v>115</v>
      </c>
      <c r="C37" s="58"/>
      <c r="D37" s="58"/>
      <c r="E37" s="59"/>
      <c r="F37" s="44">
        <f>F38-(F10+F25+F28+F32+F35)</f>
        <v>-2314.4971189999997</v>
      </c>
      <c r="G37" s="45">
        <f>G38-(G10+G25+G28+G32+G35)</f>
        <v>-5.9794057811030683</v>
      </c>
      <c r="H37" s="46"/>
      <c r="I37" s="46"/>
    </row>
    <row r="38" spans="2:9" x14ac:dyDescent="0.2">
      <c r="B38" s="53" t="s">
        <v>114</v>
      </c>
      <c r="C38" s="53"/>
      <c r="D38" s="53"/>
      <c r="E38" s="54"/>
      <c r="F38" s="55">
        <v>38707.8115072</v>
      </c>
      <c r="G38" s="56">
        <v>100</v>
      </c>
      <c r="H38" s="57"/>
      <c r="I38" s="57"/>
    </row>
    <row r="40" spans="2:9" x14ac:dyDescent="0.2">
      <c r="B40" s="26" t="s">
        <v>117</v>
      </c>
    </row>
    <row r="41" spans="2:9" ht="39.950000000000003" customHeight="1" x14ac:dyDescent="0.2">
      <c r="B41" s="100" t="s">
        <v>118</v>
      </c>
      <c r="C41" s="100"/>
      <c r="D41" s="100"/>
      <c r="E41" s="100"/>
      <c r="F41" s="100"/>
      <c r="G41" s="100"/>
      <c r="H41" s="100"/>
      <c r="I41" s="100"/>
    </row>
    <row r="43" spans="2:9" x14ac:dyDescent="0.2">
      <c r="B43" s="26" t="s">
        <v>119</v>
      </c>
      <c r="E43" s="8"/>
      <c r="G43" s="83"/>
    </row>
    <row r="44" spans="2:9" x14ac:dyDescent="0.2">
      <c r="E44" s="8"/>
      <c r="G44" s="83"/>
    </row>
    <row r="45" spans="2:9" x14ac:dyDescent="0.2">
      <c r="E45" s="8"/>
      <c r="G45" s="83"/>
    </row>
    <row r="46" spans="2:9" x14ac:dyDescent="0.2">
      <c r="E46" s="8"/>
      <c r="G46" s="83"/>
    </row>
    <row r="47" spans="2:9" x14ac:dyDescent="0.2">
      <c r="E47" s="8"/>
      <c r="G47" s="83"/>
    </row>
    <row r="48" spans="2:9" x14ac:dyDescent="0.2">
      <c r="E48" s="8"/>
      <c r="G48" s="83"/>
    </row>
    <row r="49" spans="5:7" x14ac:dyDescent="0.2">
      <c r="E49" s="8"/>
      <c r="G49" s="83"/>
    </row>
    <row r="50" spans="5:7" x14ac:dyDescent="0.2">
      <c r="E50" s="8"/>
      <c r="G50" s="83"/>
    </row>
    <row r="51" spans="5:7" x14ac:dyDescent="0.2">
      <c r="E51" s="8"/>
      <c r="G51" s="83"/>
    </row>
    <row r="52" spans="5:7" x14ac:dyDescent="0.2">
      <c r="E52" s="8"/>
      <c r="G52" s="83"/>
    </row>
    <row r="53" spans="5:7" x14ac:dyDescent="0.2">
      <c r="E53" s="8"/>
      <c r="G53" s="83"/>
    </row>
    <row r="54" spans="5:7" x14ac:dyDescent="0.2">
      <c r="E54" s="8"/>
      <c r="G54" s="83"/>
    </row>
    <row r="55" spans="5:7" x14ac:dyDescent="0.2">
      <c r="E55" s="8"/>
      <c r="G55" s="83"/>
    </row>
    <row r="56" spans="5:7" x14ac:dyDescent="0.2">
      <c r="E56" s="8"/>
      <c r="G56" s="83"/>
    </row>
    <row r="57" spans="5:7" x14ac:dyDescent="0.2">
      <c r="E57" s="8"/>
      <c r="G57" s="83"/>
    </row>
    <row r="58" spans="5:7" x14ac:dyDescent="0.2">
      <c r="E58" s="8"/>
      <c r="G58" s="83"/>
    </row>
    <row r="59" spans="5:7" x14ac:dyDescent="0.2">
      <c r="E59" s="8"/>
      <c r="G59" s="83"/>
    </row>
    <row r="60" spans="5:7" x14ac:dyDescent="0.2">
      <c r="E60" s="8"/>
      <c r="G60" s="83"/>
    </row>
    <row r="61" spans="5:7" x14ac:dyDescent="0.2">
      <c r="E61" s="8"/>
      <c r="G61" s="83"/>
    </row>
    <row r="62" spans="5:7" x14ac:dyDescent="0.2">
      <c r="E62" s="8"/>
      <c r="G62" s="83"/>
    </row>
    <row r="63" spans="5:7" x14ac:dyDescent="0.2">
      <c r="E63" s="8"/>
      <c r="G63" s="83"/>
    </row>
    <row r="64" spans="5:7" x14ac:dyDescent="0.2">
      <c r="E64" s="8"/>
      <c r="G64" s="83"/>
    </row>
    <row r="65" spans="2:7" x14ac:dyDescent="0.2">
      <c r="B65" s="26" t="s">
        <v>1475</v>
      </c>
      <c r="E65" s="8"/>
      <c r="G65" s="83"/>
    </row>
    <row r="66" spans="2:7" x14ac:dyDescent="0.2">
      <c r="B66" s="26" t="s">
        <v>1480</v>
      </c>
      <c r="E66" s="8"/>
      <c r="G66" s="83"/>
    </row>
    <row r="67" spans="2:7" x14ac:dyDescent="0.2">
      <c r="E67" s="8"/>
      <c r="G67" s="83"/>
    </row>
    <row r="68" spans="2:7" x14ac:dyDescent="0.2">
      <c r="E68" s="8"/>
      <c r="G68" s="83"/>
    </row>
    <row r="69" spans="2:7" x14ac:dyDescent="0.2">
      <c r="E69" s="8"/>
      <c r="G69" s="83"/>
    </row>
    <row r="70" spans="2:7" x14ac:dyDescent="0.2">
      <c r="E70" s="8"/>
      <c r="G70" s="83"/>
    </row>
    <row r="71" spans="2:7" x14ac:dyDescent="0.2">
      <c r="E71" s="8"/>
      <c r="G71" s="83"/>
    </row>
    <row r="72" spans="2:7" x14ac:dyDescent="0.2">
      <c r="E72" s="8"/>
      <c r="G72" s="83"/>
    </row>
    <row r="73" spans="2:7" x14ac:dyDescent="0.2">
      <c r="E73" s="8"/>
      <c r="G73" s="83"/>
    </row>
    <row r="74" spans="2:7" x14ac:dyDescent="0.2">
      <c r="E74" s="8"/>
      <c r="G74" s="83"/>
    </row>
    <row r="75" spans="2:7" x14ac:dyDescent="0.2">
      <c r="E75" s="8"/>
      <c r="G75" s="83"/>
    </row>
    <row r="76" spans="2:7" x14ac:dyDescent="0.2">
      <c r="E76" s="8"/>
      <c r="G76" s="83"/>
    </row>
    <row r="77" spans="2:7" x14ac:dyDescent="0.2">
      <c r="E77" s="8"/>
      <c r="G77" s="83"/>
    </row>
    <row r="78" spans="2:7" x14ac:dyDescent="0.2">
      <c r="E78" s="8"/>
      <c r="G78" s="83"/>
    </row>
    <row r="79" spans="2:7" x14ac:dyDescent="0.2">
      <c r="E79" s="8"/>
      <c r="G79" s="83"/>
    </row>
    <row r="80" spans="2:7" x14ac:dyDescent="0.2">
      <c r="E80" s="8"/>
      <c r="G80" s="83"/>
    </row>
    <row r="81" spans="5:7" x14ac:dyDescent="0.2">
      <c r="E81" s="8"/>
      <c r="G81" s="83"/>
    </row>
    <row r="82" spans="5:7" x14ac:dyDescent="0.2">
      <c r="E82" s="8"/>
      <c r="G82" s="83"/>
    </row>
    <row r="83" spans="5:7" x14ac:dyDescent="0.2">
      <c r="E83" s="8"/>
      <c r="G83" s="83"/>
    </row>
    <row r="84" spans="5:7" x14ac:dyDescent="0.2">
      <c r="E84" s="8"/>
      <c r="G84" s="83"/>
    </row>
    <row r="85" spans="5:7" x14ac:dyDescent="0.2">
      <c r="E85" s="8"/>
      <c r="G85" s="83"/>
    </row>
    <row r="86" spans="5:7" x14ac:dyDescent="0.2">
      <c r="E86" s="8"/>
      <c r="G86" s="83"/>
    </row>
    <row r="87" spans="5:7" x14ac:dyDescent="0.2">
      <c r="E87" s="8"/>
      <c r="G87" s="83"/>
    </row>
    <row r="88" spans="5:7" x14ac:dyDescent="0.2">
      <c r="E88" s="8"/>
      <c r="G88" s="83"/>
    </row>
    <row r="89" spans="5:7" x14ac:dyDescent="0.2">
      <c r="E89" s="8"/>
      <c r="G89" s="83"/>
    </row>
    <row r="90" spans="5:7" x14ac:dyDescent="0.2">
      <c r="E90" s="8"/>
      <c r="G90" s="83"/>
    </row>
    <row r="91" spans="5:7" x14ac:dyDescent="0.2">
      <c r="E91" s="8"/>
      <c r="G91" s="83"/>
    </row>
    <row r="92" spans="5:7" x14ac:dyDescent="0.2">
      <c r="E92" s="8"/>
      <c r="G92" s="83"/>
    </row>
    <row r="93" spans="5:7" x14ac:dyDescent="0.2">
      <c r="E93" s="8"/>
      <c r="G93" s="83"/>
    </row>
    <row r="94" spans="5:7" x14ac:dyDescent="0.2">
      <c r="E94" s="8"/>
      <c r="G94" s="83"/>
    </row>
    <row r="95" spans="5:7" x14ac:dyDescent="0.2">
      <c r="E95" s="8"/>
      <c r="G95" s="83"/>
    </row>
    <row r="96" spans="5:7" x14ac:dyDescent="0.2">
      <c r="E96" s="8"/>
      <c r="G96" s="83"/>
    </row>
    <row r="97" spans="5:7" x14ac:dyDescent="0.2">
      <c r="E97" s="8"/>
      <c r="G97" s="83"/>
    </row>
    <row r="98" spans="5:7" x14ac:dyDescent="0.2">
      <c r="E98" s="8"/>
      <c r="G98" s="83"/>
    </row>
    <row r="99" spans="5:7" x14ac:dyDescent="0.2">
      <c r="E99" s="8"/>
      <c r="G99" s="83"/>
    </row>
    <row r="100" spans="5:7" x14ac:dyDescent="0.2">
      <c r="E100" s="8"/>
      <c r="G100" s="83"/>
    </row>
    <row r="101" spans="5:7" x14ac:dyDescent="0.2">
      <c r="E101" s="8"/>
      <c r="G101" s="83"/>
    </row>
    <row r="102" spans="5:7" x14ac:dyDescent="0.2">
      <c r="E102" s="8"/>
      <c r="G102" s="83"/>
    </row>
    <row r="103" spans="5:7" x14ac:dyDescent="0.2">
      <c r="E103" s="8"/>
      <c r="G103" s="83"/>
    </row>
    <row r="104" spans="5:7" x14ac:dyDescent="0.2">
      <c r="E104" s="8"/>
      <c r="G104" s="83"/>
    </row>
    <row r="105" spans="5:7" x14ac:dyDescent="0.2">
      <c r="E105" s="8"/>
      <c r="G105" s="83"/>
    </row>
    <row r="106" spans="5:7" x14ac:dyDescent="0.2">
      <c r="E106" s="8"/>
      <c r="G106" s="83"/>
    </row>
    <row r="107" spans="5:7" x14ac:dyDescent="0.2">
      <c r="E107" s="8"/>
      <c r="G107" s="83"/>
    </row>
    <row r="108" spans="5:7" x14ac:dyDescent="0.2">
      <c r="E108" s="8"/>
      <c r="G108" s="83"/>
    </row>
    <row r="109" spans="5:7" x14ac:dyDescent="0.2">
      <c r="E109" s="8"/>
      <c r="G109" s="83"/>
    </row>
    <row r="110" spans="5:7" x14ac:dyDescent="0.2">
      <c r="E110" s="8"/>
      <c r="G110" s="83"/>
    </row>
    <row r="111" spans="5:7" x14ac:dyDescent="0.2">
      <c r="E111" s="8"/>
      <c r="G111" s="83"/>
    </row>
    <row r="112" spans="5:7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  <row r="164" spans="5:7" x14ac:dyDescent="0.2">
      <c r="E164" s="8"/>
      <c r="G164" s="83"/>
    </row>
    <row r="165" spans="5:7" x14ac:dyDescent="0.2">
      <c r="E165" s="8"/>
      <c r="G165" s="83"/>
    </row>
    <row r="166" spans="5:7" x14ac:dyDescent="0.2">
      <c r="E166" s="8"/>
      <c r="G166" s="83"/>
    </row>
    <row r="167" spans="5:7" x14ac:dyDescent="0.2">
      <c r="E167" s="8"/>
      <c r="G167" s="83"/>
    </row>
    <row r="168" spans="5:7" x14ac:dyDescent="0.2">
      <c r="E168" s="8"/>
      <c r="G168" s="83"/>
    </row>
  </sheetData>
  <mergeCells count="2">
    <mergeCell ref="B1:C1"/>
    <mergeCell ref="B41:I41"/>
  </mergeCells>
  <conditionalFormatting sqref="G1:G3 G5:G40 G42:G168">
    <cfRule type="cellIs" dxfId="9" priority="2" stopIfTrue="1" operator="between">
      <formula>0.009</formula>
      <formula>-0.009</formula>
    </cfRule>
  </conditionalFormatting>
  <hyperlinks>
    <hyperlink ref="A2" location="Index!A1" display="-" xr:uid="{80BF7897-DF19-4D0B-9AA1-CC123FB55C5E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89" min="1" max="8" man="1"/>
  </rowBreaks>
  <colBreaks count="1" manualBreakCount="1">
    <brk id="9" max="173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AF24E-0A6C-418B-AA1B-044F18181366}">
  <dimension ref="A1:K163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28515625" style="8" bestFit="1" customWidth="1"/>
    <col min="4" max="4" width="13.7109375" style="8" bestFit="1" customWidth="1"/>
    <col min="5" max="5" width="13.7109375" style="9" bestFit="1" customWidth="1"/>
    <col min="6" max="6" width="13.28515625" style="11" customWidth="1"/>
    <col min="7" max="7" width="8.5703125" style="18" customWidth="1"/>
    <col min="8" max="8" width="11.85546875" style="14" bestFit="1" customWidth="1"/>
    <col min="9" max="9" width="13.140625" style="14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98" t="s">
        <v>15</v>
      </c>
      <c r="C1" s="99"/>
      <c r="D1" s="13"/>
      <c r="E1" s="6"/>
      <c r="F1" s="7"/>
      <c r="G1" s="18"/>
      <c r="H1" s="14"/>
      <c r="I1" s="15"/>
    </row>
    <row r="2" spans="1:11" s="1" customFormat="1" ht="15" x14ac:dyDescent="0.25">
      <c r="A2" s="82" t="s">
        <v>1501</v>
      </c>
      <c r="E2" s="6"/>
      <c r="F2" s="7"/>
      <c r="G2" s="18"/>
      <c r="H2" s="14"/>
      <c r="I2" s="15"/>
    </row>
    <row r="3" spans="1:11" s="1" customFormat="1" ht="12" x14ac:dyDescent="0.2">
      <c r="B3" s="10" t="s">
        <v>9</v>
      </c>
      <c r="C3" s="2"/>
      <c r="D3" s="3"/>
      <c r="E3" s="4"/>
      <c r="F3" s="5"/>
      <c r="G3" s="18"/>
      <c r="H3" s="14"/>
      <c r="I3" s="15"/>
    </row>
    <row r="4" spans="1:11" s="1" customFormat="1" ht="45" x14ac:dyDescent="0.2">
      <c r="B4" s="28" t="s">
        <v>7</v>
      </c>
      <c r="C4" s="28" t="s">
        <v>8</v>
      </c>
      <c r="D4" s="29" t="s">
        <v>116</v>
      </c>
      <c r="E4" s="30" t="s">
        <v>0</v>
      </c>
      <c r="F4" s="31" t="s">
        <v>4</v>
      </c>
      <c r="G4" s="32" t="s">
        <v>5</v>
      </c>
      <c r="H4" s="33" t="s">
        <v>6</v>
      </c>
      <c r="I4" s="33" t="s">
        <v>23</v>
      </c>
      <c r="J4" s="17"/>
      <c r="K4" s="12"/>
    </row>
    <row r="5" spans="1:11" x14ac:dyDescent="0.2">
      <c r="B5" s="34" t="s">
        <v>238</v>
      </c>
      <c r="C5" s="35"/>
      <c r="D5" s="35"/>
      <c r="E5" s="36"/>
      <c r="F5" s="37"/>
      <c r="G5" s="38"/>
      <c r="H5" s="39"/>
      <c r="I5" s="39"/>
    </row>
    <row r="6" spans="1:11" x14ac:dyDescent="0.2">
      <c r="B6" s="34" t="s">
        <v>239</v>
      </c>
      <c r="C6" s="35"/>
      <c r="D6" s="35"/>
      <c r="E6" s="36"/>
      <c r="F6" s="37"/>
      <c r="G6" s="38"/>
      <c r="H6" s="39"/>
      <c r="I6" s="39"/>
    </row>
    <row r="7" spans="1:11" x14ac:dyDescent="0.2">
      <c r="B7" s="35" t="s">
        <v>267</v>
      </c>
      <c r="C7" s="35" t="s">
        <v>268</v>
      </c>
      <c r="D7" s="35" t="s">
        <v>242</v>
      </c>
      <c r="E7" s="40">
        <v>250</v>
      </c>
      <c r="F7" s="37">
        <v>2541.7950000000001</v>
      </c>
      <c r="G7" s="38">
        <v>9.2835438684287599</v>
      </c>
      <c r="H7" s="41">
        <v>6.9550000000000001E-2</v>
      </c>
      <c r="I7" s="42"/>
    </row>
    <row r="8" spans="1:11" x14ac:dyDescent="0.2">
      <c r="B8" s="35" t="s">
        <v>269</v>
      </c>
      <c r="C8" s="35" t="s">
        <v>270</v>
      </c>
      <c r="D8" s="35" t="s">
        <v>271</v>
      </c>
      <c r="E8" s="40">
        <v>1250</v>
      </c>
      <c r="F8" s="37">
        <v>2531.9924999999998</v>
      </c>
      <c r="G8" s="38">
        <v>9.2477416346647203</v>
      </c>
      <c r="H8" s="41">
        <v>6.9199999999999998E-2</v>
      </c>
      <c r="I8" s="42"/>
    </row>
    <row r="9" spans="1:11" x14ac:dyDescent="0.2">
      <c r="B9" s="35" t="s">
        <v>272</v>
      </c>
      <c r="C9" s="35" t="s">
        <v>273</v>
      </c>
      <c r="D9" s="35" t="s">
        <v>242</v>
      </c>
      <c r="E9" s="40">
        <v>2500</v>
      </c>
      <c r="F9" s="37">
        <v>2517.2424999999998</v>
      </c>
      <c r="G9" s="38">
        <v>9.1938693624872503</v>
      </c>
      <c r="H9" s="41">
        <v>6.9699999999999998E-2</v>
      </c>
      <c r="I9" s="42"/>
    </row>
    <row r="10" spans="1:11" x14ac:dyDescent="0.2">
      <c r="B10" s="35" t="s">
        <v>274</v>
      </c>
      <c r="C10" s="35" t="s">
        <v>275</v>
      </c>
      <c r="D10" s="35" t="s">
        <v>242</v>
      </c>
      <c r="E10" s="40">
        <v>2500</v>
      </c>
      <c r="F10" s="37">
        <v>2505.06</v>
      </c>
      <c r="G10" s="38">
        <v>9.1493745180261001</v>
      </c>
      <c r="H10" s="41">
        <v>7.1530999999999997E-2</v>
      </c>
      <c r="I10" s="42"/>
    </row>
    <row r="11" spans="1:11" x14ac:dyDescent="0.2">
      <c r="B11" s="35" t="s">
        <v>276</v>
      </c>
      <c r="C11" s="35" t="s">
        <v>277</v>
      </c>
      <c r="D11" s="35" t="s">
        <v>242</v>
      </c>
      <c r="E11" s="40">
        <v>2500</v>
      </c>
      <c r="F11" s="37">
        <v>2495.3575000000001</v>
      </c>
      <c r="G11" s="38">
        <v>9.1139375200056403</v>
      </c>
      <c r="H11" s="41">
        <v>7.0199999999999999E-2</v>
      </c>
      <c r="I11" s="42"/>
    </row>
    <row r="12" spans="1:11" x14ac:dyDescent="0.2">
      <c r="B12" s="35" t="s">
        <v>278</v>
      </c>
      <c r="C12" s="35" t="s">
        <v>279</v>
      </c>
      <c r="D12" s="35" t="s">
        <v>242</v>
      </c>
      <c r="E12" s="40">
        <v>2500</v>
      </c>
      <c r="F12" s="37">
        <v>2494.9124999999999</v>
      </c>
      <c r="G12" s="38">
        <v>9.1123122209467198</v>
      </c>
      <c r="H12" s="41">
        <v>7.0900000000000005E-2</v>
      </c>
      <c r="I12" s="42"/>
    </row>
    <row r="13" spans="1:11" x14ac:dyDescent="0.2">
      <c r="B13" s="34" t="s">
        <v>65</v>
      </c>
      <c r="C13" s="34"/>
      <c r="D13" s="34"/>
      <c r="E13" s="43"/>
      <c r="F13" s="47">
        <f>SUM(F6:F12)</f>
        <v>15086.36</v>
      </c>
      <c r="G13" s="48">
        <f>SUM(G6:G12)</f>
        <v>55.100779124559189</v>
      </c>
      <c r="H13" s="46"/>
      <c r="I13" s="46"/>
    </row>
    <row r="14" spans="1:11" x14ac:dyDescent="0.2">
      <c r="B14" s="49" t="s">
        <v>247</v>
      </c>
      <c r="C14" s="62"/>
      <c r="D14" s="62"/>
      <c r="E14" s="63"/>
      <c r="F14" s="64"/>
      <c r="G14" s="65"/>
      <c r="H14" s="39"/>
      <c r="I14" s="39"/>
    </row>
    <row r="15" spans="1:11" x14ac:dyDescent="0.2">
      <c r="B15" s="34" t="s">
        <v>65</v>
      </c>
      <c r="C15" s="34"/>
      <c r="D15" s="34"/>
      <c r="E15" s="43"/>
      <c r="F15" s="66" t="s">
        <v>248</v>
      </c>
      <c r="G15" s="67" t="s">
        <v>248</v>
      </c>
      <c r="H15" s="46"/>
      <c r="I15" s="46"/>
    </row>
    <row r="16" spans="1:11" x14ac:dyDescent="0.2">
      <c r="B16" s="49" t="s">
        <v>105</v>
      </c>
      <c r="C16" s="49"/>
      <c r="D16" s="49"/>
      <c r="E16" s="50"/>
      <c r="F16" s="68">
        <f>F13</f>
        <v>15086.36</v>
      </c>
      <c r="G16" s="69">
        <f>G13</f>
        <v>55.100779124559189</v>
      </c>
      <c r="H16" s="46"/>
      <c r="I16" s="46"/>
    </row>
    <row r="17" spans="2:9" x14ac:dyDescent="0.2">
      <c r="B17" s="34" t="s">
        <v>24</v>
      </c>
      <c r="C17" s="35"/>
      <c r="D17" s="35"/>
      <c r="E17" s="36"/>
      <c r="F17" s="37"/>
      <c r="G17" s="38"/>
      <c r="H17" s="39"/>
      <c r="I17" s="39"/>
    </row>
    <row r="18" spans="2:9" x14ac:dyDescent="0.2">
      <c r="B18" s="34" t="s">
        <v>25</v>
      </c>
      <c r="C18" s="35"/>
      <c r="D18" s="35"/>
      <c r="E18" s="36"/>
      <c r="F18" s="37"/>
      <c r="G18" s="38"/>
      <c r="H18" s="39"/>
      <c r="I18" s="39"/>
    </row>
    <row r="19" spans="2:9" x14ac:dyDescent="0.2">
      <c r="B19" s="35" t="s">
        <v>57</v>
      </c>
      <c r="C19" s="35" t="s">
        <v>58</v>
      </c>
      <c r="D19" s="35" t="s">
        <v>36</v>
      </c>
      <c r="E19" s="40">
        <v>500</v>
      </c>
      <c r="F19" s="37">
        <v>2351.9425000000001</v>
      </c>
      <c r="G19" s="38">
        <v>8.5901346783560495</v>
      </c>
      <c r="H19" s="41">
        <v>6.9001000000000007E-2</v>
      </c>
      <c r="I19" s="42"/>
    </row>
    <row r="20" spans="2:9" x14ac:dyDescent="0.2">
      <c r="B20" s="35" t="s">
        <v>61</v>
      </c>
      <c r="C20" s="35" t="s">
        <v>62</v>
      </c>
      <c r="D20" s="35" t="s">
        <v>28</v>
      </c>
      <c r="E20" s="40">
        <v>500</v>
      </c>
      <c r="F20" s="37">
        <v>2349.5300000000002</v>
      </c>
      <c r="G20" s="38">
        <v>8.5813233660422803</v>
      </c>
      <c r="H20" s="41">
        <v>6.855E-2</v>
      </c>
      <c r="I20" s="42"/>
    </row>
    <row r="21" spans="2:9" x14ac:dyDescent="0.2">
      <c r="B21" s="34" t="s">
        <v>65</v>
      </c>
      <c r="C21" s="34"/>
      <c r="D21" s="34"/>
      <c r="E21" s="43"/>
      <c r="F21" s="47">
        <f>SUM(F18:F20)</f>
        <v>4701.4724999999999</v>
      </c>
      <c r="G21" s="48">
        <f>SUM(G18:G20)</f>
        <v>17.171458044398328</v>
      </c>
      <c r="H21" s="46"/>
      <c r="I21" s="46"/>
    </row>
    <row r="22" spans="2:9" x14ac:dyDescent="0.2">
      <c r="B22" s="49" t="s">
        <v>105</v>
      </c>
      <c r="C22" s="49"/>
      <c r="D22" s="49"/>
      <c r="E22" s="50"/>
      <c r="F22" s="51">
        <f>+F21</f>
        <v>4701.4724999999999</v>
      </c>
      <c r="G22" s="52">
        <f>+G21</f>
        <v>17.171458044398328</v>
      </c>
      <c r="H22" s="46"/>
      <c r="I22" s="46"/>
    </row>
    <row r="23" spans="2:9" x14ac:dyDescent="0.2">
      <c r="B23" s="34" t="s">
        <v>106</v>
      </c>
      <c r="C23" s="35"/>
      <c r="D23" s="35"/>
      <c r="E23" s="36"/>
      <c r="F23" s="37"/>
      <c r="G23" s="38"/>
      <c r="H23" s="39"/>
      <c r="I23" s="39"/>
    </row>
    <row r="24" spans="2:9" x14ac:dyDescent="0.2">
      <c r="B24" s="35" t="s">
        <v>280</v>
      </c>
      <c r="C24" s="35" t="s">
        <v>281</v>
      </c>
      <c r="D24" s="35" t="s">
        <v>109</v>
      </c>
      <c r="E24" s="40">
        <v>1500000</v>
      </c>
      <c r="F24" s="37">
        <v>1509.8040000000001</v>
      </c>
      <c r="G24" s="38">
        <v>5.5143438659408899</v>
      </c>
      <c r="H24" s="41">
        <v>6.6668805206124906E-2</v>
      </c>
      <c r="I24" s="42"/>
    </row>
    <row r="25" spans="2:9" x14ac:dyDescent="0.2">
      <c r="B25" s="35" t="s">
        <v>282</v>
      </c>
      <c r="C25" s="35" t="s">
        <v>283</v>
      </c>
      <c r="D25" s="35" t="s">
        <v>109</v>
      </c>
      <c r="E25" s="40">
        <v>1500000</v>
      </c>
      <c r="F25" s="37">
        <v>1504.479</v>
      </c>
      <c r="G25" s="38">
        <v>5.49489506259546</v>
      </c>
      <c r="H25" s="41">
        <v>6.3868815403125098E-2</v>
      </c>
      <c r="I25" s="42"/>
    </row>
    <row r="26" spans="2:9" x14ac:dyDescent="0.2">
      <c r="B26" s="35" t="s">
        <v>232</v>
      </c>
      <c r="C26" s="35" t="s">
        <v>233</v>
      </c>
      <c r="D26" s="35" t="s">
        <v>109</v>
      </c>
      <c r="E26" s="40">
        <v>585000</v>
      </c>
      <c r="F26" s="37">
        <v>577.39031999999997</v>
      </c>
      <c r="G26" s="38">
        <v>2.1088358285881101</v>
      </c>
      <c r="H26" s="41">
        <v>6.7754694503124893E-2</v>
      </c>
      <c r="I26" s="42"/>
    </row>
    <row r="27" spans="2:9" x14ac:dyDescent="0.2">
      <c r="B27" s="34" t="s">
        <v>105</v>
      </c>
      <c r="C27" s="34"/>
      <c r="D27" s="34"/>
      <c r="E27" s="43"/>
      <c r="F27" s="44">
        <f>SUM(F24:F26)</f>
        <v>3591.6733200000003</v>
      </c>
      <c r="G27" s="45">
        <f>SUM(G24:G26)</f>
        <v>13.118074757124461</v>
      </c>
      <c r="H27" s="46"/>
      <c r="I27" s="46"/>
    </row>
    <row r="28" spans="2:9" x14ac:dyDescent="0.2">
      <c r="B28" s="34"/>
      <c r="C28" s="35"/>
      <c r="D28" s="35"/>
      <c r="E28" s="36"/>
      <c r="F28" s="37"/>
      <c r="G28" s="38"/>
      <c r="H28" s="39"/>
      <c r="I28" s="39"/>
    </row>
    <row r="29" spans="2:9" x14ac:dyDescent="0.2">
      <c r="B29" s="34" t="s">
        <v>113</v>
      </c>
      <c r="C29" s="34"/>
      <c r="D29" s="34"/>
      <c r="E29" s="43"/>
      <c r="F29" s="44">
        <v>3587.0135940999999</v>
      </c>
      <c r="G29" s="45">
        <v>13.101055772584999</v>
      </c>
      <c r="H29" s="41">
        <v>4.9299999999999997E-2</v>
      </c>
      <c r="I29" s="41"/>
    </row>
    <row r="30" spans="2:9" x14ac:dyDescent="0.2">
      <c r="B30" s="35"/>
      <c r="C30" s="35"/>
      <c r="D30" s="35"/>
      <c r="E30" s="36"/>
      <c r="F30" s="37"/>
      <c r="G30" s="38"/>
      <c r="H30" s="39"/>
      <c r="I30" s="39"/>
    </row>
    <row r="31" spans="2:9" x14ac:dyDescent="0.2">
      <c r="B31" s="58" t="s">
        <v>115</v>
      </c>
      <c r="C31" s="58"/>
      <c r="D31" s="58"/>
      <c r="E31" s="59"/>
      <c r="F31" s="44">
        <f>F32-(F13+F21+F27+F29)</f>
        <v>413.05713579999792</v>
      </c>
      <c r="G31" s="45">
        <f>G32-(G13+G21+G27+G29)</f>
        <v>1.508632301333023</v>
      </c>
      <c r="H31" s="46"/>
      <c r="I31" s="46"/>
    </row>
    <row r="32" spans="2:9" x14ac:dyDescent="0.2">
      <c r="B32" s="53" t="s">
        <v>114</v>
      </c>
      <c r="C32" s="53"/>
      <c r="D32" s="53"/>
      <c r="E32" s="54"/>
      <c r="F32" s="55">
        <v>27379.576549900001</v>
      </c>
      <c r="G32" s="56">
        <v>100</v>
      </c>
      <c r="H32" s="57"/>
      <c r="I32" s="57"/>
    </row>
    <row r="34" spans="2:9" x14ac:dyDescent="0.2">
      <c r="B34" s="26" t="s">
        <v>117</v>
      </c>
    </row>
    <row r="35" spans="2:9" ht="39.950000000000003" customHeight="1" x14ac:dyDescent="0.2">
      <c r="B35" s="100" t="s">
        <v>118</v>
      </c>
      <c r="C35" s="100"/>
      <c r="D35" s="100"/>
      <c r="E35" s="100"/>
      <c r="F35" s="100"/>
      <c r="G35" s="100"/>
      <c r="H35" s="100"/>
      <c r="I35" s="100"/>
    </row>
    <row r="37" spans="2:9" x14ac:dyDescent="0.2">
      <c r="B37" s="26" t="s">
        <v>119</v>
      </c>
      <c r="E37" s="8"/>
      <c r="G37" s="83"/>
    </row>
    <row r="38" spans="2:9" x14ac:dyDescent="0.2">
      <c r="E38" s="8"/>
      <c r="G38" s="83"/>
    </row>
    <row r="39" spans="2:9" x14ac:dyDescent="0.2">
      <c r="E39" s="8"/>
      <c r="G39" s="83"/>
    </row>
    <row r="40" spans="2:9" x14ac:dyDescent="0.2">
      <c r="E40" s="8"/>
      <c r="G40" s="83"/>
    </row>
    <row r="41" spans="2:9" x14ac:dyDescent="0.2">
      <c r="E41" s="8"/>
      <c r="G41" s="83"/>
    </row>
    <row r="42" spans="2:9" x14ac:dyDescent="0.2">
      <c r="E42" s="8"/>
      <c r="G42" s="83"/>
    </row>
    <row r="43" spans="2:9" x14ac:dyDescent="0.2">
      <c r="E43" s="8"/>
      <c r="G43" s="83"/>
    </row>
    <row r="44" spans="2:9" x14ac:dyDescent="0.2">
      <c r="E44" s="8"/>
      <c r="G44" s="83"/>
    </row>
    <row r="45" spans="2:9" x14ac:dyDescent="0.2">
      <c r="E45" s="8"/>
      <c r="G45" s="83"/>
    </row>
    <row r="46" spans="2:9" x14ac:dyDescent="0.2">
      <c r="E46" s="8"/>
      <c r="G46" s="83"/>
    </row>
    <row r="47" spans="2:9" x14ac:dyDescent="0.2">
      <c r="E47" s="8"/>
      <c r="G47" s="83"/>
    </row>
    <row r="48" spans="2:9" x14ac:dyDescent="0.2">
      <c r="E48" s="8"/>
      <c r="G48" s="83"/>
    </row>
    <row r="49" spans="2:7" x14ac:dyDescent="0.2">
      <c r="E49" s="8"/>
      <c r="G49" s="83"/>
    </row>
    <row r="50" spans="2:7" x14ac:dyDescent="0.2">
      <c r="E50" s="8"/>
      <c r="G50" s="83"/>
    </row>
    <row r="51" spans="2:7" x14ac:dyDescent="0.2">
      <c r="E51" s="8"/>
      <c r="G51" s="83"/>
    </row>
    <row r="52" spans="2:7" x14ac:dyDescent="0.2">
      <c r="E52" s="8"/>
      <c r="G52" s="83"/>
    </row>
    <row r="53" spans="2:7" x14ac:dyDescent="0.2">
      <c r="E53" s="8"/>
      <c r="G53" s="83"/>
    </row>
    <row r="54" spans="2:7" x14ac:dyDescent="0.2">
      <c r="E54" s="8"/>
      <c r="G54" s="83"/>
    </row>
    <row r="55" spans="2:7" x14ac:dyDescent="0.2">
      <c r="E55" s="8"/>
      <c r="G55" s="83"/>
    </row>
    <row r="56" spans="2:7" x14ac:dyDescent="0.2">
      <c r="E56" s="8"/>
      <c r="G56" s="83"/>
    </row>
    <row r="57" spans="2:7" x14ac:dyDescent="0.2">
      <c r="E57" s="8"/>
      <c r="G57" s="83"/>
    </row>
    <row r="58" spans="2:7" x14ac:dyDescent="0.2">
      <c r="E58" s="8"/>
      <c r="G58" s="83"/>
    </row>
    <row r="59" spans="2:7" x14ac:dyDescent="0.2">
      <c r="E59" s="8"/>
      <c r="G59" s="83"/>
    </row>
    <row r="60" spans="2:7" x14ac:dyDescent="0.2">
      <c r="B60" s="26" t="s">
        <v>1475</v>
      </c>
      <c r="E60" s="8"/>
      <c r="G60" s="83"/>
    </row>
    <row r="61" spans="2:7" x14ac:dyDescent="0.2">
      <c r="B61" s="26" t="s">
        <v>1481</v>
      </c>
      <c r="E61" s="8"/>
      <c r="G61" s="83"/>
    </row>
    <row r="62" spans="2:7" x14ac:dyDescent="0.2">
      <c r="E62" s="8"/>
      <c r="G62" s="83"/>
    </row>
    <row r="63" spans="2:7" x14ac:dyDescent="0.2">
      <c r="E63" s="8"/>
      <c r="G63" s="83"/>
    </row>
    <row r="64" spans="2:7" x14ac:dyDescent="0.2">
      <c r="E64" s="8"/>
      <c r="G64" s="83"/>
    </row>
    <row r="65" spans="5:7" x14ac:dyDescent="0.2">
      <c r="E65" s="8"/>
      <c r="G65" s="83"/>
    </row>
    <row r="66" spans="5:7" x14ac:dyDescent="0.2">
      <c r="E66" s="8"/>
      <c r="G66" s="83"/>
    </row>
    <row r="67" spans="5:7" x14ac:dyDescent="0.2">
      <c r="E67" s="8"/>
      <c r="G67" s="83"/>
    </row>
    <row r="68" spans="5:7" x14ac:dyDescent="0.2">
      <c r="E68" s="8"/>
      <c r="G68" s="83"/>
    </row>
    <row r="69" spans="5:7" x14ac:dyDescent="0.2">
      <c r="E69" s="8"/>
      <c r="G69" s="83"/>
    </row>
    <row r="70" spans="5:7" x14ac:dyDescent="0.2">
      <c r="E70" s="8"/>
      <c r="G70" s="83"/>
    </row>
    <row r="71" spans="5:7" x14ac:dyDescent="0.2">
      <c r="E71" s="8"/>
      <c r="G71" s="83"/>
    </row>
    <row r="72" spans="5:7" x14ac:dyDescent="0.2">
      <c r="E72" s="8"/>
      <c r="G72" s="83"/>
    </row>
    <row r="73" spans="5:7" x14ac:dyDescent="0.2">
      <c r="E73" s="8"/>
      <c r="G73" s="83"/>
    </row>
    <row r="74" spans="5:7" x14ac:dyDescent="0.2">
      <c r="E74" s="8"/>
      <c r="G74" s="83"/>
    </row>
    <row r="75" spans="5:7" x14ac:dyDescent="0.2">
      <c r="E75" s="8"/>
      <c r="G75" s="83"/>
    </row>
    <row r="76" spans="5:7" x14ac:dyDescent="0.2">
      <c r="E76" s="8"/>
      <c r="G76" s="83"/>
    </row>
    <row r="77" spans="5:7" x14ac:dyDescent="0.2">
      <c r="E77" s="8"/>
      <c r="G77" s="83"/>
    </row>
    <row r="78" spans="5:7" x14ac:dyDescent="0.2">
      <c r="E78" s="8"/>
      <c r="G78" s="83"/>
    </row>
    <row r="79" spans="5:7" x14ac:dyDescent="0.2">
      <c r="E79" s="8"/>
      <c r="G79" s="83"/>
    </row>
    <row r="80" spans="5:7" x14ac:dyDescent="0.2">
      <c r="E80" s="8"/>
      <c r="G80" s="83"/>
    </row>
    <row r="81" spans="5:7" x14ac:dyDescent="0.2">
      <c r="E81" s="8"/>
      <c r="G81" s="83"/>
    </row>
    <row r="82" spans="5:7" x14ac:dyDescent="0.2">
      <c r="E82" s="8"/>
      <c r="G82" s="83"/>
    </row>
    <row r="83" spans="5:7" x14ac:dyDescent="0.2">
      <c r="E83" s="8"/>
      <c r="G83" s="83"/>
    </row>
    <row r="84" spans="5:7" x14ac:dyDescent="0.2">
      <c r="E84" s="8"/>
      <c r="G84" s="83"/>
    </row>
    <row r="85" spans="5:7" x14ac:dyDescent="0.2">
      <c r="E85" s="8"/>
      <c r="G85" s="83"/>
    </row>
    <row r="86" spans="5:7" x14ac:dyDescent="0.2">
      <c r="E86" s="8"/>
      <c r="G86" s="83"/>
    </row>
    <row r="87" spans="5:7" x14ac:dyDescent="0.2">
      <c r="E87" s="8"/>
      <c r="G87" s="83"/>
    </row>
    <row r="88" spans="5:7" x14ac:dyDescent="0.2">
      <c r="E88" s="8"/>
      <c r="G88" s="83"/>
    </row>
    <row r="89" spans="5:7" x14ac:dyDescent="0.2">
      <c r="E89" s="8"/>
      <c r="G89" s="83"/>
    </row>
    <row r="90" spans="5:7" x14ac:dyDescent="0.2">
      <c r="E90" s="8"/>
      <c r="G90" s="83"/>
    </row>
    <row r="91" spans="5:7" x14ac:dyDescent="0.2">
      <c r="E91" s="8"/>
      <c r="G91" s="83"/>
    </row>
    <row r="92" spans="5:7" x14ac:dyDescent="0.2">
      <c r="E92" s="8"/>
      <c r="G92" s="83"/>
    </row>
    <row r="93" spans="5:7" x14ac:dyDescent="0.2">
      <c r="E93" s="8"/>
      <c r="G93" s="83"/>
    </row>
    <row r="94" spans="5:7" x14ac:dyDescent="0.2">
      <c r="E94" s="8"/>
      <c r="G94" s="83"/>
    </row>
    <row r="95" spans="5:7" x14ac:dyDescent="0.2">
      <c r="E95" s="8"/>
      <c r="G95" s="83"/>
    </row>
    <row r="96" spans="5:7" x14ac:dyDescent="0.2">
      <c r="E96" s="8"/>
      <c r="G96" s="83"/>
    </row>
    <row r="97" spans="5:7" x14ac:dyDescent="0.2">
      <c r="E97" s="8"/>
      <c r="G97" s="83"/>
    </row>
    <row r="98" spans="5:7" x14ac:dyDescent="0.2">
      <c r="E98" s="8"/>
      <c r="G98" s="83"/>
    </row>
    <row r="99" spans="5:7" x14ac:dyDescent="0.2">
      <c r="E99" s="8"/>
      <c r="G99" s="83"/>
    </row>
    <row r="100" spans="5:7" x14ac:dyDescent="0.2">
      <c r="E100" s="8"/>
      <c r="G100" s="83"/>
    </row>
    <row r="101" spans="5:7" x14ac:dyDescent="0.2">
      <c r="E101" s="8"/>
      <c r="G101" s="83"/>
    </row>
    <row r="102" spans="5:7" x14ac:dyDescent="0.2">
      <c r="E102" s="8"/>
      <c r="G102" s="83"/>
    </row>
    <row r="103" spans="5:7" x14ac:dyDescent="0.2">
      <c r="E103" s="8"/>
      <c r="G103" s="83"/>
    </row>
    <row r="104" spans="5:7" x14ac:dyDescent="0.2">
      <c r="E104" s="8"/>
      <c r="G104" s="83"/>
    </row>
    <row r="105" spans="5:7" x14ac:dyDescent="0.2">
      <c r="E105" s="8"/>
      <c r="G105" s="83"/>
    </row>
    <row r="106" spans="5:7" x14ac:dyDescent="0.2">
      <c r="E106" s="8"/>
      <c r="G106" s="83"/>
    </row>
    <row r="107" spans="5:7" x14ac:dyDescent="0.2">
      <c r="E107" s="8"/>
      <c r="G107" s="83"/>
    </row>
    <row r="108" spans="5:7" x14ac:dyDescent="0.2">
      <c r="E108" s="8"/>
      <c r="G108" s="83"/>
    </row>
    <row r="109" spans="5:7" x14ac:dyDescent="0.2">
      <c r="E109" s="8"/>
      <c r="G109" s="83"/>
    </row>
    <row r="110" spans="5:7" x14ac:dyDescent="0.2">
      <c r="E110" s="8"/>
      <c r="G110" s="83"/>
    </row>
    <row r="111" spans="5:7" x14ac:dyDescent="0.2">
      <c r="E111" s="8"/>
      <c r="G111" s="83"/>
    </row>
    <row r="112" spans="5:7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</sheetData>
  <mergeCells count="2">
    <mergeCell ref="B1:C1"/>
    <mergeCell ref="B35:I35"/>
  </mergeCells>
  <conditionalFormatting sqref="G1:G3 G5:G34 G36:G163">
    <cfRule type="cellIs" dxfId="8" priority="2" stopIfTrue="1" operator="between">
      <formula>0.009</formula>
      <formula>-0.009</formula>
    </cfRule>
  </conditionalFormatting>
  <hyperlinks>
    <hyperlink ref="A2" location="Index!A1" display="-" xr:uid="{D122BCF7-D963-4807-99FB-92873AB4B653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82" min="1" max="8" man="1"/>
  </rowBreaks>
  <colBreaks count="1" manualBreakCount="1">
    <brk id="9" max="16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1E2C-083F-46F7-816E-38D35D2115B5}">
  <dimension ref="A1:J407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" style="8" bestFit="1" customWidth="1"/>
    <col min="4" max="4" width="24.85546875" style="8" customWidth="1"/>
    <col min="5" max="5" width="13.7109375" style="9" bestFit="1" customWidth="1"/>
    <col min="6" max="6" width="12.7109375" style="11" bestFit="1" customWidth="1"/>
    <col min="7" max="7" width="8.140625" style="18" customWidth="1"/>
    <col min="8" max="8" width="11.85546875" style="14" bestFit="1" customWidth="1"/>
    <col min="9" max="9" width="25.85546875" style="8" customWidth="1"/>
    <col min="10" max="16384" width="9.140625" style="8"/>
  </cols>
  <sheetData>
    <row r="1" spans="1:10" s="1" customFormat="1" ht="16.7" customHeight="1" x14ac:dyDescent="0.2">
      <c r="B1" s="98" t="s">
        <v>16</v>
      </c>
      <c r="C1" s="99"/>
      <c r="D1" s="13"/>
      <c r="E1" s="6"/>
      <c r="F1" s="7"/>
      <c r="G1" s="18"/>
      <c r="H1" s="15"/>
    </row>
    <row r="2" spans="1:10" s="1" customFormat="1" ht="15" x14ac:dyDescent="0.25">
      <c r="A2" s="82" t="s">
        <v>1501</v>
      </c>
      <c r="E2" s="6"/>
      <c r="F2" s="7"/>
      <c r="G2" s="18"/>
      <c r="H2" s="15"/>
    </row>
    <row r="3" spans="1:10" s="1" customFormat="1" ht="12" x14ac:dyDescent="0.2">
      <c r="B3" s="10" t="s">
        <v>9</v>
      </c>
      <c r="C3" s="2"/>
      <c r="D3" s="3"/>
      <c r="E3" s="4"/>
      <c r="F3" s="5"/>
      <c r="G3" s="18"/>
      <c r="H3" s="15"/>
    </row>
    <row r="4" spans="1:10" s="1" customFormat="1" ht="45" x14ac:dyDescent="0.2">
      <c r="B4" s="28" t="s">
        <v>7</v>
      </c>
      <c r="C4" s="28" t="s">
        <v>8</v>
      </c>
      <c r="D4" s="29" t="s">
        <v>412</v>
      </c>
      <c r="E4" s="30" t="s">
        <v>0</v>
      </c>
      <c r="F4" s="31" t="s">
        <v>4</v>
      </c>
      <c r="G4" s="32" t="s">
        <v>5</v>
      </c>
      <c r="H4" s="33" t="s">
        <v>6</v>
      </c>
      <c r="I4" s="17"/>
      <c r="J4" s="12"/>
    </row>
    <row r="5" spans="1:10" x14ac:dyDescent="0.2">
      <c r="B5" s="34" t="s">
        <v>284</v>
      </c>
      <c r="C5" s="35"/>
      <c r="D5" s="35"/>
      <c r="E5" s="36"/>
      <c r="F5" s="37"/>
      <c r="G5" s="38"/>
      <c r="H5" s="39"/>
    </row>
    <row r="6" spans="1:10" x14ac:dyDescent="0.2">
      <c r="B6" s="34" t="s">
        <v>239</v>
      </c>
      <c r="C6" s="35"/>
      <c r="D6" s="35"/>
      <c r="E6" s="36"/>
      <c r="F6" s="37"/>
      <c r="G6" s="38"/>
      <c r="H6" s="39"/>
    </row>
    <row r="7" spans="1:10" x14ac:dyDescent="0.2">
      <c r="B7" s="35" t="s">
        <v>285</v>
      </c>
      <c r="C7" s="35" t="s">
        <v>286</v>
      </c>
      <c r="D7" s="35" t="s">
        <v>287</v>
      </c>
      <c r="E7" s="40">
        <v>272961</v>
      </c>
      <c r="F7" s="37">
        <v>2423.2112775000001</v>
      </c>
      <c r="G7" s="38">
        <v>11.810506302339199</v>
      </c>
      <c r="H7" s="41"/>
    </row>
    <row r="8" spans="1:10" x14ac:dyDescent="0.2">
      <c r="B8" s="35" t="s">
        <v>288</v>
      </c>
      <c r="C8" s="35" t="s">
        <v>289</v>
      </c>
      <c r="D8" s="35" t="s">
        <v>287</v>
      </c>
      <c r="E8" s="40">
        <v>127456</v>
      </c>
      <c r="F8" s="37">
        <v>1757.4907840000001</v>
      </c>
      <c r="G8" s="38">
        <v>8.5658465580226597</v>
      </c>
      <c r="H8" s="41"/>
    </row>
    <row r="9" spans="1:10" x14ac:dyDescent="0.2">
      <c r="B9" s="35" t="s">
        <v>290</v>
      </c>
      <c r="C9" s="35" t="s">
        <v>291</v>
      </c>
      <c r="D9" s="35" t="s">
        <v>292</v>
      </c>
      <c r="E9" s="40">
        <v>120484</v>
      </c>
      <c r="F9" s="37">
        <v>1679.4264760000001</v>
      </c>
      <c r="G9" s="38">
        <v>8.1853683842115199</v>
      </c>
      <c r="H9" s="41"/>
    </row>
    <row r="10" spans="1:10" x14ac:dyDescent="0.2">
      <c r="B10" s="35" t="s">
        <v>293</v>
      </c>
      <c r="C10" s="35" t="s">
        <v>294</v>
      </c>
      <c r="D10" s="35" t="s">
        <v>295</v>
      </c>
      <c r="E10" s="40">
        <v>49722</v>
      </c>
      <c r="F10" s="37">
        <v>934.42554600000005</v>
      </c>
      <c r="G10" s="38">
        <v>4.5543031689277704</v>
      </c>
      <c r="H10" s="41"/>
    </row>
    <row r="11" spans="1:10" x14ac:dyDescent="0.2">
      <c r="B11" s="35" t="s">
        <v>296</v>
      </c>
      <c r="C11" s="35" t="s">
        <v>297</v>
      </c>
      <c r="D11" s="35" t="s">
        <v>298</v>
      </c>
      <c r="E11" s="40">
        <v>20956</v>
      </c>
      <c r="F11" s="37">
        <v>896.56054800000004</v>
      </c>
      <c r="G11" s="38">
        <v>4.3697526917698504</v>
      </c>
      <c r="H11" s="41"/>
    </row>
    <row r="12" spans="1:10" x14ac:dyDescent="0.2">
      <c r="B12" s="35" t="s">
        <v>299</v>
      </c>
      <c r="C12" s="35" t="s">
        <v>300</v>
      </c>
      <c r="D12" s="35" t="s">
        <v>287</v>
      </c>
      <c r="E12" s="40">
        <v>74037</v>
      </c>
      <c r="F12" s="37">
        <v>889.702629</v>
      </c>
      <c r="G12" s="38">
        <v>4.3363278326490304</v>
      </c>
      <c r="H12" s="41"/>
    </row>
    <row r="13" spans="1:10" x14ac:dyDescent="0.2">
      <c r="B13" s="35" t="s">
        <v>301</v>
      </c>
      <c r="C13" s="35" t="s">
        <v>302</v>
      </c>
      <c r="D13" s="35" t="s">
        <v>303</v>
      </c>
      <c r="E13" s="40">
        <v>62505</v>
      </c>
      <c r="F13" s="37">
        <v>812.62750500000004</v>
      </c>
      <c r="G13" s="38">
        <v>3.9606708496166898</v>
      </c>
      <c r="H13" s="41"/>
    </row>
    <row r="14" spans="1:10" x14ac:dyDescent="0.2">
      <c r="B14" s="35" t="s">
        <v>304</v>
      </c>
      <c r="C14" s="35" t="s">
        <v>305</v>
      </c>
      <c r="D14" s="35" t="s">
        <v>287</v>
      </c>
      <c r="E14" s="40">
        <v>51142</v>
      </c>
      <c r="F14" s="37">
        <v>707.75413800000001</v>
      </c>
      <c r="G14" s="38">
        <v>3.44952781664976</v>
      </c>
      <c r="H14" s="41"/>
    </row>
    <row r="15" spans="1:10" x14ac:dyDescent="0.2">
      <c r="B15" s="35" t="s">
        <v>306</v>
      </c>
      <c r="C15" s="35" t="s">
        <v>307</v>
      </c>
      <c r="D15" s="35" t="s">
        <v>287</v>
      </c>
      <c r="E15" s="40">
        <v>131213</v>
      </c>
      <c r="F15" s="37">
        <v>544.79637600000001</v>
      </c>
      <c r="G15" s="38">
        <v>2.6552868468315198</v>
      </c>
      <c r="H15" s="41"/>
    </row>
    <row r="16" spans="1:10" x14ac:dyDescent="0.2">
      <c r="B16" s="35" t="s">
        <v>308</v>
      </c>
      <c r="C16" s="35" t="s">
        <v>309</v>
      </c>
      <c r="D16" s="35" t="s">
        <v>310</v>
      </c>
      <c r="E16" s="40">
        <v>15929</v>
      </c>
      <c r="F16" s="37">
        <v>541.17184599999996</v>
      </c>
      <c r="G16" s="38">
        <v>2.6376212248506801</v>
      </c>
      <c r="H16" s="41"/>
    </row>
    <row r="17" spans="2:8" x14ac:dyDescent="0.2">
      <c r="B17" s="35" t="s">
        <v>311</v>
      </c>
      <c r="C17" s="35" t="s">
        <v>312</v>
      </c>
      <c r="D17" s="35" t="s">
        <v>313</v>
      </c>
      <c r="E17" s="40">
        <v>171964</v>
      </c>
      <c r="F17" s="37">
        <v>539.27910399999996</v>
      </c>
      <c r="G17" s="38">
        <v>2.62839617645013</v>
      </c>
      <c r="H17" s="41"/>
    </row>
    <row r="18" spans="2:8" x14ac:dyDescent="0.2">
      <c r="B18" s="35" t="s">
        <v>314</v>
      </c>
      <c r="C18" s="35" t="s">
        <v>315</v>
      </c>
      <c r="D18" s="35" t="s">
        <v>303</v>
      </c>
      <c r="E18" s="40">
        <v>18222</v>
      </c>
      <c r="F18" s="37">
        <v>480.58702799999998</v>
      </c>
      <c r="G18" s="38">
        <v>2.3423364589456299</v>
      </c>
      <c r="H18" s="41"/>
    </row>
    <row r="19" spans="2:8" x14ac:dyDescent="0.2">
      <c r="B19" s="35" t="s">
        <v>316</v>
      </c>
      <c r="C19" s="35" t="s">
        <v>317</v>
      </c>
      <c r="D19" s="35" t="s">
        <v>318</v>
      </c>
      <c r="E19" s="40">
        <v>47378</v>
      </c>
      <c r="F19" s="37">
        <v>471.83750199999997</v>
      </c>
      <c r="G19" s="38">
        <v>2.29969208330865</v>
      </c>
      <c r="H19" s="41"/>
    </row>
    <row r="20" spans="2:8" x14ac:dyDescent="0.2">
      <c r="B20" s="35" t="s">
        <v>319</v>
      </c>
      <c r="C20" s="35" t="s">
        <v>320</v>
      </c>
      <c r="D20" s="35" t="s">
        <v>313</v>
      </c>
      <c r="E20" s="40">
        <v>15836</v>
      </c>
      <c r="F20" s="37">
        <v>370.26151599999997</v>
      </c>
      <c r="G20" s="38">
        <v>1.8046201785356599</v>
      </c>
      <c r="H20" s="41"/>
    </row>
    <row r="21" spans="2:8" x14ac:dyDescent="0.2">
      <c r="B21" s="35" t="s">
        <v>321</v>
      </c>
      <c r="C21" s="35" t="s">
        <v>322</v>
      </c>
      <c r="D21" s="35" t="s">
        <v>310</v>
      </c>
      <c r="E21" s="40">
        <v>2342</v>
      </c>
      <c r="F21" s="37">
        <v>347.95094</v>
      </c>
      <c r="G21" s="38">
        <v>1.695880506967</v>
      </c>
      <c r="H21" s="41"/>
    </row>
    <row r="22" spans="2:8" x14ac:dyDescent="0.2">
      <c r="B22" s="35" t="s">
        <v>323</v>
      </c>
      <c r="C22" s="35" t="s">
        <v>324</v>
      </c>
      <c r="D22" s="35" t="s">
        <v>325</v>
      </c>
      <c r="E22" s="40">
        <v>18895</v>
      </c>
      <c r="F22" s="37">
        <v>328.20614999999998</v>
      </c>
      <c r="G22" s="38">
        <v>1.59964623763249</v>
      </c>
      <c r="H22" s="41"/>
    </row>
    <row r="23" spans="2:8" x14ac:dyDescent="0.2">
      <c r="B23" s="35" t="s">
        <v>326</v>
      </c>
      <c r="C23" s="35" t="s">
        <v>327</v>
      </c>
      <c r="D23" s="35" t="s">
        <v>328</v>
      </c>
      <c r="E23" s="40">
        <v>84598</v>
      </c>
      <c r="F23" s="37">
        <v>323.07976200000002</v>
      </c>
      <c r="G23" s="38">
        <v>1.57466069949786</v>
      </c>
      <c r="H23" s="41"/>
    </row>
    <row r="24" spans="2:8" x14ac:dyDescent="0.2">
      <c r="B24" s="35" t="s">
        <v>329</v>
      </c>
      <c r="C24" s="35" t="s">
        <v>330</v>
      </c>
      <c r="D24" s="35" t="s">
        <v>331</v>
      </c>
      <c r="E24" s="40">
        <v>7365</v>
      </c>
      <c r="F24" s="37">
        <v>318.72037499999999</v>
      </c>
      <c r="G24" s="38">
        <v>1.5534134528727299</v>
      </c>
      <c r="H24" s="41"/>
    </row>
    <row r="25" spans="2:8" x14ac:dyDescent="0.2">
      <c r="B25" s="35" t="s">
        <v>332</v>
      </c>
      <c r="C25" s="35" t="s">
        <v>333</v>
      </c>
      <c r="D25" s="35" t="s">
        <v>334</v>
      </c>
      <c r="E25" s="40">
        <v>128206</v>
      </c>
      <c r="F25" s="37">
        <v>315.77137800000003</v>
      </c>
      <c r="G25" s="38">
        <v>1.5390403158799</v>
      </c>
      <c r="H25" s="41"/>
    </row>
    <row r="26" spans="2:8" x14ac:dyDescent="0.2">
      <c r="B26" s="35" t="s">
        <v>335</v>
      </c>
      <c r="C26" s="35" t="s">
        <v>336</v>
      </c>
      <c r="D26" s="35" t="s">
        <v>337</v>
      </c>
      <c r="E26" s="40">
        <v>147493</v>
      </c>
      <c r="F26" s="37">
        <v>313.1718869</v>
      </c>
      <c r="G26" s="38">
        <v>1.5263706381244</v>
      </c>
      <c r="H26" s="41"/>
    </row>
    <row r="27" spans="2:8" x14ac:dyDescent="0.2">
      <c r="B27" s="35" t="s">
        <v>338</v>
      </c>
      <c r="C27" s="35" t="s">
        <v>339</v>
      </c>
      <c r="D27" s="35" t="s">
        <v>340</v>
      </c>
      <c r="E27" s="40">
        <v>63913</v>
      </c>
      <c r="F27" s="37">
        <v>284.22111100000001</v>
      </c>
      <c r="G27" s="38">
        <v>1.38526725007095</v>
      </c>
      <c r="H27" s="41"/>
    </row>
    <row r="28" spans="2:8" x14ac:dyDescent="0.2">
      <c r="B28" s="35" t="s">
        <v>341</v>
      </c>
      <c r="C28" s="35" t="s">
        <v>342</v>
      </c>
      <c r="D28" s="35" t="s">
        <v>318</v>
      </c>
      <c r="E28" s="40">
        <v>24991</v>
      </c>
      <c r="F28" s="37">
        <v>269.75285400000001</v>
      </c>
      <c r="G28" s="38">
        <v>1.3147503116310399</v>
      </c>
      <c r="H28" s="41"/>
    </row>
    <row r="29" spans="2:8" x14ac:dyDescent="0.2">
      <c r="B29" s="35" t="s">
        <v>343</v>
      </c>
      <c r="C29" s="35" t="s">
        <v>344</v>
      </c>
      <c r="D29" s="35" t="s">
        <v>345</v>
      </c>
      <c r="E29" s="40">
        <v>2115</v>
      </c>
      <c r="F29" s="37">
        <v>268.11855000000003</v>
      </c>
      <c r="G29" s="38">
        <v>1.3067848659965</v>
      </c>
      <c r="H29" s="41"/>
    </row>
    <row r="30" spans="2:8" x14ac:dyDescent="0.2">
      <c r="B30" s="35" t="s">
        <v>346</v>
      </c>
      <c r="C30" s="35" t="s">
        <v>347</v>
      </c>
      <c r="D30" s="35" t="s">
        <v>303</v>
      </c>
      <c r="E30" s="40">
        <v>18827</v>
      </c>
      <c r="F30" s="37">
        <v>261.52585699999997</v>
      </c>
      <c r="G30" s="38">
        <v>1.2746526937221101</v>
      </c>
      <c r="H30" s="41"/>
    </row>
    <row r="31" spans="2:8" x14ac:dyDescent="0.2">
      <c r="B31" s="35" t="s">
        <v>348</v>
      </c>
      <c r="C31" s="35" t="s">
        <v>349</v>
      </c>
      <c r="D31" s="35" t="s">
        <v>328</v>
      </c>
      <c r="E31" s="40">
        <v>80825</v>
      </c>
      <c r="F31" s="37">
        <v>241.38386249999999</v>
      </c>
      <c r="G31" s="38">
        <v>1.1764824866119099</v>
      </c>
      <c r="H31" s="41"/>
    </row>
    <row r="32" spans="2:8" x14ac:dyDescent="0.2">
      <c r="B32" s="35" t="s">
        <v>350</v>
      </c>
      <c r="C32" s="35" t="s">
        <v>351</v>
      </c>
      <c r="D32" s="35" t="s">
        <v>352</v>
      </c>
      <c r="E32" s="40">
        <v>25817</v>
      </c>
      <c r="F32" s="37">
        <v>238.72979900000001</v>
      </c>
      <c r="G32" s="38">
        <v>1.1635468280564201</v>
      </c>
      <c r="H32" s="41"/>
    </row>
    <row r="33" spans="2:8" x14ac:dyDescent="0.2">
      <c r="B33" s="35" t="s">
        <v>353</v>
      </c>
      <c r="C33" s="35" t="s">
        <v>354</v>
      </c>
      <c r="D33" s="35" t="s">
        <v>337</v>
      </c>
      <c r="E33" s="40">
        <v>16764</v>
      </c>
      <c r="F33" s="37">
        <v>212.014308</v>
      </c>
      <c r="G33" s="38">
        <v>1.03333801062672</v>
      </c>
      <c r="H33" s="41"/>
    </row>
    <row r="34" spans="2:8" x14ac:dyDescent="0.2">
      <c r="B34" s="35" t="s">
        <v>355</v>
      </c>
      <c r="C34" s="35" t="s">
        <v>356</v>
      </c>
      <c r="D34" s="35" t="s">
        <v>318</v>
      </c>
      <c r="E34" s="40">
        <v>10203</v>
      </c>
      <c r="F34" s="37">
        <v>203.38660200000001</v>
      </c>
      <c r="G34" s="38">
        <v>0.991287374335173</v>
      </c>
      <c r="H34" s="41"/>
    </row>
    <row r="35" spans="2:8" x14ac:dyDescent="0.2">
      <c r="B35" s="35" t="s">
        <v>357</v>
      </c>
      <c r="C35" s="35" t="s">
        <v>358</v>
      </c>
      <c r="D35" s="35" t="s">
        <v>359</v>
      </c>
      <c r="E35" s="40">
        <v>13164</v>
      </c>
      <c r="F35" s="37">
        <v>200.22443999999999</v>
      </c>
      <c r="G35" s="38">
        <v>0.97587529096597203</v>
      </c>
      <c r="H35" s="41"/>
    </row>
    <row r="36" spans="2:8" x14ac:dyDescent="0.2">
      <c r="B36" s="35" t="s">
        <v>360</v>
      </c>
      <c r="C36" s="35" t="s">
        <v>361</v>
      </c>
      <c r="D36" s="35" t="s">
        <v>310</v>
      </c>
      <c r="E36" s="40">
        <v>1978</v>
      </c>
      <c r="F36" s="37">
        <v>197.25604999999999</v>
      </c>
      <c r="G36" s="38">
        <v>0.961407634295535</v>
      </c>
      <c r="H36" s="41"/>
    </row>
    <row r="37" spans="2:8" x14ac:dyDescent="0.2">
      <c r="B37" s="35" t="s">
        <v>362</v>
      </c>
      <c r="C37" s="35" t="s">
        <v>363</v>
      </c>
      <c r="D37" s="35" t="s">
        <v>310</v>
      </c>
      <c r="E37" s="40">
        <v>2456</v>
      </c>
      <c r="F37" s="37">
        <v>196.73787999999999</v>
      </c>
      <c r="G37" s="38">
        <v>0.958882121927915</v>
      </c>
      <c r="H37" s="41"/>
    </row>
    <row r="38" spans="2:8" x14ac:dyDescent="0.2">
      <c r="B38" s="35" t="s">
        <v>364</v>
      </c>
      <c r="C38" s="35" t="s">
        <v>365</v>
      </c>
      <c r="D38" s="35" t="s">
        <v>366</v>
      </c>
      <c r="E38" s="40">
        <v>4034</v>
      </c>
      <c r="F38" s="37">
        <v>194.72924800000001</v>
      </c>
      <c r="G38" s="38">
        <v>0.94909223645018004</v>
      </c>
      <c r="H38" s="41"/>
    </row>
    <row r="39" spans="2:8" x14ac:dyDescent="0.2">
      <c r="B39" s="35" t="s">
        <v>367</v>
      </c>
      <c r="C39" s="35" t="s">
        <v>368</v>
      </c>
      <c r="D39" s="35" t="s">
        <v>369</v>
      </c>
      <c r="E39" s="40">
        <v>69316</v>
      </c>
      <c r="F39" s="37">
        <v>193.87685200000001</v>
      </c>
      <c r="G39" s="38">
        <v>0.94493773765613598</v>
      </c>
      <c r="H39" s="41"/>
    </row>
    <row r="40" spans="2:8" x14ac:dyDescent="0.2">
      <c r="B40" s="35" t="s">
        <v>370</v>
      </c>
      <c r="C40" s="35" t="s">
        <v>371</v>
      </c>
      <c r="D40" s="35" t="s">
        <v>331</v>
      </c>
      <c r="E40" s="40">
        <v>8069</v>
      </c>
      <c r="F40" s="37">
        <v>191.735578</v>
      </c>
      <c r="G40" s="38">
        <v>0.93450136741188505</v>
      </c>
      <c r="H40" s="41"/>
    </row>
    <row r="41" spans="2:8" x14ac:dyDescent="0.2">
      <c r="B41" s="35" t="s">
        <v>372</v>
      </c>
      <c r="C41" s="35" t="s">
        <v>373</v>
      </c>
      <c r="D41" s="35" t="s">
        <v>345</v>
      </c>
      <c r="E41" s="40">
        <v>6817</v>
      </c>
      <c r="F41" s="37">
        <v>190.86236600000001</v>
      </c>
      <c r="G41" s="38">
        <v>0.93024541337063504</v>
      </c>
      <c r="H41" s="41"/>
    </row>
    <row r="42" spans="2:8" x14ac:dyDescent="0.2">
      <c r="B42" s="35" t="s">
        <v>374</v>
      </c>
      <c r="C42" s="35" t="s">
        <v>375</v>
      </c>
      <c r="D42" s="35" t="s">
        <v>376</v>
      </c>
      <c r="E42" s="40">
        <v>40517</v>
      </c>
      <c r="F42" s="37">
        <v>174.48646049999999</v>
      </c>
      <c r="G42" s="38">
        <v>0.85043077363612596</v>
      </c>
      <c r="H42" s="41"/>
    </row>
    <row r="43" spans="2:8" x14ac:dyDescent="0.2">
      <c r="B43" s="35" t="s">
        <v>377</v>
      </c>
      <c r="C43" s="35" t="s">
        <v>378</v>
      </c>
      <c r="D43" s="35" t="s">
        <v>379</v>
      </c>
      <c r="E43" s="40">
        <v>12794</v>
      </c>
      <c r="F43" s="37">
        <v>165.260098</v>
      </c>
      <c r="G43" s="38">
        <v>0.80546234126470795</v>
      </c>
      <c r="H43" s="41"/>
    </row>
    <row r="44" spans="2:8" x14ac:dyDescent="0.2">
      <c r="B44" s="35" t="s">
        <v>380</v>
      </c>
      <c r="C44" s="35" t="s">
        <v>381</v>
      </c>
      <c r="D44" s="35" t="s">
        <v>382</v>
      </c>
      <c r="E44" s="40">
        <v>8010</v>
      </c>
      <c r="F44" s="37">
        <v>163.17972</v>
      </c>
      <c r="G44" s="38">
        <v>0.79532277245847605</v>
      </c>
      <c r="H44" s="41"/>
    </row>
    <row r="45" spans="2:8" x14ac:dyDescent="0.2">
      <c r="B45" s="35" t="s">
        <v>383</v>
      </c>
      <c r="C45" s="35" t="s">
        <v>384</v>
      </c>
      <c r="D45" s="35" t="s">
        <v>334</v>
      </c>
      <c r="E45" s="40">
        <v>3959</v>
      </c>
      <c r="F45" s="37">
        <v>154.38120499999999</v>
      </c>
      <c r="G45" s="38">
        <v>0.75243962899360495</v>
      </c>
      <c r="H45" s="41"/>
    </row>
    <row r="46" spans="2:8" x14ac:dyDescent="0.2">
      <c r="B46" s="35" t="s">
        <v>385</v>
      </c>
      <c r="C46" s="35" t="s">
        <v>386</v>
      </c>
      <c r="D46" s="35" t="s">
        <v>303</v>
      </c>
      <c r="E46" s="40">
        <v>11328</v>
      </c>
      <c r="F46" s="37">
        <v>153.81158400000001</v>
      </c>
      <c r="G46" s="38">
        <v>0.749663349239169</v>
      </c>
      <c r="H46" s="41"/>
    </row>
    <row r="47" spans="2:8" x14ac:dyDescent="0.2">
      <c r="B47" s="35" t="s">
        <v>387</v>
      </c>
      <c r="C47" s="35" t="s">
        <v>388</v>
      </c>
      <c r="D47" s="35" t="s">
        <v>318</v>
      </c>
      <c r="E47" s="40">
        <v>58495</v>
      </c>
      <c r="F47" s="37">
        <v>149.39623</v>
      </c>
      <c r="G47" s="38">
        <v>0.72814332466340903</v>
      </c>
      <c r="H47" s="41"/>
    </row>
    <row r="48" spans="2:8" x14ac:dyDescent="0.2">
      <c r="B48" s="35" t="s">
        <v>389</v>
      </c>
      <c r="C48" s="35" t="s">
        <v>390</v>
      </c>
      <c r="D48" s="35" t="s">
        <v>391</v>
      </c>
      <c r="E48" s="40">
        <v>13270</v>
      </c>
      <c r="F48" s="37">
        <v>144.90176500000001</v>
      </c>
      <c r="G48" s="38">
        <v>0.70623772043441801</v>
      </c>
      <c r="H48" s="41"/>
    </row>
    <row r="49" spans="2:9" x14ac:dyDescent="0.2">
      <c r="B49" s="35" t="s">
        <v>392</v>
      </c>
      <c r="C49" s="35" t="s">
        <v>393</v>
      </c>
      <c r="D49" s="35" t="s">
        <v>391</v>
      </c>
      <c r="E49" s="40">
        <v>1837</v>
      </c>
      <c r="F49" s="37">
        <v>143.68095500000001</v>
      </c>
      <c r="G49" s="38">
        <v>0.70028760608292195</v>
      </c>
      <c r="H49" s="41"/>
    </row>
    <row r="50" spans="2:9" x14ac:dyDescent="0.2">
      <c r="B50" s="35" t="s">
        <v>394</v>
      </c>
      <c r="C50" s="35" t="s">
        <v>395</v>
      </c>
      <c r="D50" s="35" t="s">
        <v>310</v>
      </c>
      <c r="E50" s="40">
        <v>37313</v>
      </c>
      <c r="F50" s="37">
        <v>142.77819450000001</v>
      </c>
      <c r="G50" s="38">
        <v>0.69588763540196996</v>
      </c>
      <c r="H50" s="41"/>
    </row>
    <row r="51" spans="2:9" x14ac:dyDescent="0.2">
      <c r="B51" s="35" t="s">
        <v>396</v>
      </c>
      <c r="C51" s="35" t="s">
        <v>397</v>
      </c>
      <c r="D51" s="35" t="s">
        <v>325</v>
      </c>
      <c r="E51" s="40">
        <v>10874</v>
      </c>
      <c r="F51" s="37">
        <v>139.87226200000001</v>
      </c>
      <c r="G51" s="38">
        <v>0.68172439077526503</v>
      </c>
      <c r="H51" s="41"/>
    </row>
    <row r="52" spans="2:9" x14ac:dyDescent="0.2">
      <c r="B52" s="35" t="s">
        <v>398</v>
      </c>
      <c r="C52" s="35" t="s">
        <v>399</v>
      </c>
      <c r="D52" s="35" t="s">
        <v>382</v>
      </c>
      <c r="E52" s="40">
        <v>19178</v>
      </c>
      <c r="F52" s="37">
        <v>137.18023400000001</v>
      </c>
      <c r="G52" s="38">
        <v>0.66860369677912501</v>
      </c>
      <c r="H52" s="41"/>
    </row>
    <row r="53" spans="2:9" x14ac:dyDescent="0.2">
      <c r="B53" s="35" t="s">
        <v>400</v>
      </c>
      <c r="C53" s="35" t="s">
        <v>401</v>
      </c>
      <c r="D53" s="35" t="s">
        <v>325</v>
      </c>
      <c r="E53" s="40">
        <v>10040</v>
      </c>
      <c r="F53" s="37">
        <v>135.35928000000001</v>
      </c>
      <c r="G53" s="38">
        <v>0.65972853641116203</v>
      </c>
      <c r="H53" s="41"/>
    </row>
    <row r="54" spans="2:9" x14ac:dyDescent="0.2">
      <c r="B54" s="35" t="s">
        <v>402</v>
      </c>
      <c r="C54" s="35" t="s">
        <v>403</v>
      </c>
      <c r="D54" s="35" t="s">
        <v>404</v>
      </c>
      <c r="E54" s="40">
        <v>11619</v>
      </c>
      <c r="F54" s="37">
        <v>132.57279</v>
      </c>
      <c r="G54" s="38">
        <v>0.64614744341610197</v>
      </c>
      <c r="H54" s="41"/>
    </row>
    <row r="55" spans="2:9" x14ac:dyDescent="0.2">
      <c r="B55" s="35" t="s">
        <v>405</v>
      </c>
      <c r="C55" s="35" t="s">
        <v>406</v>
      </c>
      <c r="D55" s="35" t="s">
        <v>303</v>
      </c>
      <c r="E55" s="40">
        <v>50949</v>
      </c>
      <c r="F55" s="37">
        <v>102.3871104</v>
      </c>
      <c r="G55" s="38">
        <v>0.49902524962869199</v>
      </c>
      <c r="H55" s="41"/>
    </row>
    <row r="56" spans="2:9" x14ac:dyDescent="0.2">
      <c r="B56" s="35" t="s">
        <v>407</v>
      </c>
      <c r="C56" s="35" t="s">
        <v>408</v>
      </c>
      <c r="D56" s="35" t="s">
        <v>409</v>
      </c>
      <c r="E56" s="40">
        <v>4648</v>
      </c>
      <c r="F56" s="37">
        <v>100.480464</v>
      </c>
      <c r="G56" s="38">
        <v>0.48973243247625398</v>
      </c>
      <c r="H56" s="41"/>
    </row>
    <row r="57" spans="2:9" x14ac:dyDescent="0.2">
      <c r="B57" s="34" t="s">
        <v>65</v>
      </c>
      <c r="C57" s="34"/>
      <c r="D57" s="34"/>
      <c r="E57" s="43"/>
      <c r="F57" s="44">
        <f>SUM(F7:F56)</f>
        <v>20480.316477300003</v>
      </c>
      <c r="G57" s="45">
        <f>SUM(G7:G56)</f>
        <v>99.819156948873626</v>
      </c>
      <c r="H57" s="46"/>
      <c r="I57" s="26"/>
    </row>
    <row r="58" spans="2:9" x14ac:dyDescent="0.2">
      <c r="B58" s="34" t="s">
        <v>410</v>
      </c>
      <c r="C58" s="34"/>
      <c r="D58" s="34"/>
      <c r="E58" s="43"/>
      <c r="F58" s="70" t="s">
        <v>411</v>
      </c>
      <c r="G58" s="71" t="s">
        <v>411</v>
      </c>
      <c r="H58" s="46"/>
      <c r="I58" s="26"/>
    </row>
    <row r="59" spans="2:9" x14ac:dyDescent="0.2">
      <c r="B59" s="34" t="s">
        <v>65</v>
      </c>
      <c r="C59" s="34"/>
      <c r="D59" s="34"/>
      <c r="E59" s="43"/>
      <c r="F59" s="66" t="s">
        <v>411</v>
      </c>
      <c r="G59" s="67" t="s">
        <v>411</v>
      </c>
      <c r="H59" s="46"/>
      <c r="I59" s="26"/>
    </row>
    <row r="60" spans="2:9" x14ac:dyDescent="0.2">
      <c r="B60" s="49" t="s">
        <v>105</v>
      </c>
      <c r="C60" s="49"/>
      <c r="D60" s="49"/>
      <c r="E60" s="50"/>
      <c r="F60" s="51">
        <f>F57</f>
        <v>20480.316477300003</v>
      </c>
      <c r="G60" s="52">
        <f>G57</f>
        <v>99.819156948873626</v>
      </c>
      <c r="H60" s="46"/>
      <c r="I60" s="26"/>
    </row>
    <row r="61" spans="2:9" x14ac:dyDescent="0.2">
      <c r="B61" s="34" t="s">
        <v>113</v>
      </c>
      <c r="C61" s="34"/>
      <c r="D61" s="34"/>
      <c r="E61" s="43"/>
      <c r="F61" s="44">
        <v>136.53449029999999</v>
      </c>
      <c r="G61" s="45">
        <v>0.66545640206761603</v>
      </c>
      <c r="H61" s="41">
        <v>4.9299999999999997E-2</v>
      </c>
      <c r="I61" s="27"/>
    </row>
    <row r="62" spans="2:9" x14ac:dyDescent="0.2">
      <c r="B62" s="35"/>
      <c r="C62" s="35"/>
      <c r="D62" s="35"/>
      <c r="E62" s="36"/>
      <c r="F62" s="37"/>
      <c r="G62" s="38"/>
      <c r="H62" s="39"/>
    </row>
    <row r="63" spans="2:9" x14ac:dyDescent="0.2">
      <c r="B63" s="58" t="s">
        <v>115</v>
      </c>
      <c r="C63" s="58"/>
      <c r="D63" s="58"/>
      <c r="E63" s="59"/>
      <c r="F63" s="44">
        <f>F64-(F57+F61)</f>
        <v>-99.430160500003694</v>
      </c>
      <c r="G63" s="45">
        <f>G64-(G57+G61)</f>
        <v>-0.48461335094124536</v>
      </c>
      <c r="H63" s="46"/>
      <c r="I63" s="26"/>
    </row>
    <row r="64" spans="2:9" x14ac:dyDescent="0.2">
      <c r="B64" s="53" t="s">
        <v>114</v>
      </c>
      <c r="C64" s="53"/>
      <c r="D64" s="53"/>
      <c r="E64" s="54"/>
      <c r="F64" s="55">
        <v>20517.420807099999</v>
      </c>
      <c r="G64" s="56">
        <v>100</v>
      </c>
      <c r="H64" s="57"/>
      <c r="I64" s="26"/>
    </row>
    <row r="67" spans="2:8" x14ac:dyDescent="0.2">
      <c r="B67" s="26" t="s">
        <v>119</v>
      </c>
      <c r="E67" s="8"/>
      <c r="G67" s="83"/>
      <c r="H67" s="8"/>
    </row>
    <row r="68" spans="2:8" x14ac:dyDescent="0.2">
      <c r="E68" s="8"/>
      <c r="G68" s="83"/>
      <c r="H68" s="8"/>
    </row>
    <row r="69" spans="2:8" x14ac:dyDescent="0.2">
      <c r="E69" s="8"/>
      <c r="G69" s="83"/>
      <c r="H69" s="8"/>
    </row>
    <row r="70" spans="2:8" x14ac:dyDescent="0.2">
      <c r="E70" s="8"/>
      <c r="G70" s="83"/>
      <c r="H70" s="8"/>
    </row>
    <row r="71" spans="2:8" x14ac:dyDescent="0.2">
      <c r="E71" s="8"/>
      <c r="G71" s="83"/>
      <c r="H71" s="8"/>
    </row>
    <row r="72" spans="2:8" x14ac:dyDescent="0.2">
      <c r="E72" s="8"/>
      <c r="G72" s="83"/>
      <c r="H72" s="8"/>
    </row>
    <row r="73" spans="2:8" x14ac:dyDescent="0.2">
      <c r="E73" s="8"/>
      <c r="G73" s="83"/>
      <c r="H73" s="8"/>
    </row>
    <row r="74" spans="2:8" x14ac:dyDescent="0.2">
      <c r="E74" s="8"/>
      <c r="G74" s="83"/>
      <c r="H74" s="8"/>
    </row>
    <row r="75" spans="2:8" x14ac:dyDescent="0.2">
      <c r="E75" s="8"/>
      <c r="G75" s="83"/>
      <c r="H75" s="8"/>
    </row>
    <row r="76" spans="2:8" x14ac:dyDescent="0.2">
      <c r="E76" s="8"/>
      <c r="G76" s="83"/>
      <c r="H76" s="8"/>
    </row>
    <row r="77" spans="2:8" x14ac:dyDescent="0.2">
      <c r="E77" s="8"/>
      <c r="G77" s="83"/>
      <c r="H77" s="8"/>
    </row>
    <row r="78" spans="2:8" x14ac:dyDescent="0.2">
      <c r="E78" s="8"/>
      <c r="G78" s="83"/>
      <c r="H78" s="8"/>
    </row>
    <row r="79" spans="2:8" x14ac:dyDescent="0.2">
      <c r="E79" s="8"/>
      <c r="G79" s="83"/>
      <c r="H79" s="8"/>
    </row>
    <row r="80" spans="2:8" x14ac:dyDescent="0.2">
      <c r="E80" s="8"/>
      <c r="G80" s="83"/>
      <c r="H80" s="8"/>
    </row>
    <row r="81" spans="2:8" x14ac:dyDescent="0.2">
      <c r="E81" s="8"/>
      <c r="G81" s="83"/>
      <c r="H81" s="8"/>
    </row>
    <row r="82" spans="2:8" x14ac:dyDescent="0.2">
      <c r="E82" s="8"/>
      <c r="G82" s="83"/>
      <c r="H82" s="8"/>
    </row>
    <row r="83" spans="2:8" x14ac:dyDescent="0.2">
      <c r="E83" s="8"/>
      <c r="G83" s="83"/>
      <c r="H83" s="8"/>
    </row>
    <row r="84" spans="2:8" x14ac:dyDescent="0.2">
      <c r="B84" s="84" t="s">
        <v>1475</v>
      </c>
      <c r="E84" s="8"/>
      <c r="G84" s="83"/>
      <c r="H84" s="8"/>
    </row>
    <row r="85" spans="2:8" x14ac:dyDescent="0.2">
      <c r="B85" s="85" t="s">
        <v>1482</v>
      </c>
      <c r="E85" s="8"/>
      <c r="G85" s="83"/>
      <c r="H85" s="8"/>
    </row>
    <row r="86" spans="2:8" x14ac:dyDescent="0.2">
      <c r="E86" s="8"/>
      <c r="G86" s="83"/>
      <c r="H86" s="8"/>
    </row>
    <row r="87" spans="2:8" x14ac:dyDescent="0.2">
      <c r="E87" s="8"/>
      <c r="G87" s="83"/>
      <c r="H87" s="8"/>
    </row>
    <row r="88" spans="2:8" x14ac:dyDescent="0.2">
      <c r="E88" s="8"/>
      <c r="G88" s="83"/>
      <c r="H88" s="8"/>
    </row>
    <row r="89" spans="2:8" x14ac:dyDescent="0.2">
      <c r="E89" s="8"/>
      <c r="G89" s="83"/>
      <c r="H89" s="8"/>
    </row>
    <row r="90" spans="2:8" x14ac:dyDescent="0.2">
      <c r="E90" s="8"/>
      <c r="G90" s="83"/>
      <c r="H90" s="8"/>
    </row>
    <row r="91" spans="2:8" x14ac:dyDescent="0.2">
      <c r="E91" s="8"/>
      <c r="G91" s="83"/>
      <c r="H91" s="8"/>
    </row>
    <row r="92" spans="2:8" x14ac:dyDescent="0.2">
      <c r="E92" s="8"/>
      <c r="G92" s="83"/>
      <c r="H92" s="8"/>
    </row>
    <row r="93" spans="2:8" x14ac:dyDescent="0.2">
      <c r="E93" s="8"/>
      <c r="G93" s="83"/>
      <c r="H93" s="8"/>
    </row>
    <row r="94" spans="2:8" x14ac:dyDescent="0.2">
      <c r="E94" s="8"/>
      <c r="G94" s="83"/>
      <c r="H94" s="8"/>
    </row>
    <row r="95" spans="2:8" x14ac:dyDescent="0.2">
      <c r="E95" s="8"/>
      <c r="G95" s="83"/>
      <c r="H95" s="8"/>
    </row>
    <row r="96" spans="2:8" x14ac:dyDescent="0.2">
      <c r="E96" s="8"/>
      <c r="G96" s="83"/>
      <c r="H96" s="8"/>
    </row>
    <row r="97" spans="5:8" x14ac:dyDescent="0.2">
      <c r="E97" s="8"/>
      <c r="G97" s="83"/>
      <c r="H97" s="8"/>
    </row>
    <row r="98" spans="5:8" x14ac:dyDescent="0.2">
      <c r="E98" s="8"/>
      <c r="G98" s="83"/>
      <c r="H98" s="8"/>
    </row>
    <row r="99" spans="5:8" x14ac:dyDescent="0.2">
      <c r="E99" s="8"/>
      <c r="G99" s="83"/>
      <c r="H99" s="8"/>
    </row>
    <row r="100" spans="5:8" x14ac:dyDescent="0.2">
      <c r="E100" s="8"/>
      <c r="G100" s="83"/>
      <c r="H100" s="8"/>
    </row>
    <row r="101" spans="5:8" x14ac:dyDescent="0.2">
      <c r="E101" s="8"/>
      <c r="G101" s="83"/>
      <c r="H101" s="8"/>
    </row>
    <row r="102" spans="5:8" x14ac:dyDescent="0.2">
      <c r="E102" s="8"/>
      <c r="G102" s="83"/>
    </row>
    <row r="103" spans="5:8" x14ac:dyDescent="0.2">
      <c r="E103" s="8"/>
      <c r="G103" s="83"/>
    </row>
    <row r="104" spans="5:8" x14ac:dyDescent="0.2">
      <c r="E104" s="8"/>
      <c r="G104" s="83"/>
    </row>
    <row r="105" spans="5:8" x14ac:dyDescent="0.2">
      <c r="E105" s="8"/>
      <c r="G105" s="83"/>
    </row>
    <row r="106" spans="5:8" x14ac:dyDescent="0.2">
      <c r="E106" s="8"/>
      <c r="G106" s="83"/>
    </row>
    <row r="107" spans="5:8" x14ac:dyDescent="0.2">
      <c r="E107" s="8"/>
      <c r="G107" s="83"/>
    </row>
    <row r="108" spans="5:8" x14ac:dyDescent="0.2">
      <c r="E108" s="8"/>
      <c r="G108" s="83"/>
    </row>
    <row r="109" spans="5:8" x14ac:dyDescent="0.2">
      <c r="E109" s="8"/>
      <c r="G109" s="83"/>
    </row>
    <row r="110" spans="5:8" x14ac:dyDescent="0.2">
      <c r="E110" s="8"/>
      <c r="G110" s="83"/>
    </row>
    <row r="111" spans="5:8" x14ac:dyDescent="0.2">
      <c r="E111" s="8"/>
      <c r="G111" s="83"/>
    </row>
    <row r="112" spans="5:8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  <row r="164" spans="5:7" x14ac:dyDescent="0.2">
      <c r="E164" s="8"/>
      <c r="G164" s="83"/>
    </row>
    <row r="165" spans="5:7" x14ac:dyDescent="0.2">
      <c r="E165" s="8"/>
      <c r="G165" s="83"/>
    </row>
    <row r="166" spans="5:7" x14ac:dyDescent="0.2">
      <c r="E166" s="8"/>
      <c r="G166" s="83"/>
    </row>
    <row r="167" spans="5:7" x14ac:dyDescent="0.2">
      <c r="E167" s="8"/>
      <c r="G167" s="83"/>
    </row>
    <row r="168" spans="5:7" x14ac:dyDescent="0.2">
      <c r="E168" s="8"/>
      <c r="G168" s="83"/>
    </row>
    <row r="169" spans="5:7" x14ac:dyDescent="0.2">
      <c r="E169" s="8"/>
      <c r="G169" s="83"/>
    </row>
    <row r="170" spans="5:7" x14ac:dyDescent="0.2">
      <c r="E170" s="8"/>
      <c r="G170" s="83"/>
    </row>
    <row r="171" spans="5:7" x14ac:dyDescent="0.2">
      <c r="E171" s="8"/>
      <c r="G171" s="83"/>
    </row>
    <row r="172" spans="5:7" x14ac:dyDescent="0.2">
      <c r="E172" s="8"/>
      <c r="G172" s="83"/>
    </row>
    <row r="173" spans="5:7" x14ac:dyDescent="0.2">
      <c r="E173" s="8"/>
      <c r="G173" s="83"/>
    </row>
    <row r="174" spans="5:7" x14ac:dyDescent="0.2">
      <c r="E174" s="8"/>
      <c r="G174" s="83"/>
    </row>
    <row r="175" spans="5:7" x14ac:dyDescent="0.2">
      <c r="E175" s="8"/>
      <c r="G175" s="83"/>
    </row>
    <row r="176" spans="5:7" x14ac:dyDescent="0.2">
      <c r="E176" s="8"/>
      <c r="G176" s="83"/>
    </row>
    <row r="177" spans="5:7" x14ac:dyDescent="0.2">
      <c r="E177" s="8"/>
      <c r="G177" s="83"/>
    </row>
    <row r="178" spans="5:7" x14ac:dyDescent="0.2">
      <c r="E178" s="8"/>
      <c r="G178" s="83"/>
    </row>
    <row r="179" spans="5:7" x14ac:dyDescent="0.2">
      <c r="E179" s="8"/>
      <c r="G179" s="83"/>
    </row>
    <row r="180" spans="5:7" x14ac:dyDescent="0.2">
      <c r="E180" s="8"/>
      <c r="G180" s="83"/>
    </row>
    <row r="181" spans="5:7" x14ac:dyDescent="0.2">
      <c r="E181" s="8"/>
      <c r="G181" s="83"/>
    </row>
    <row r="182" spans="5:7" x14ac:dyDescent="0.2">
      <c r="E182" s="8"/>
      <c r="G182" s="83"/>
    </row>
    <row r="183" spans="5:7" x14ac:dyDescent="0.2">
      <c r="E183" s="8"/>
      <c r="G183" s="83"/>
    </row>
    <row r="184" spans="5:7" x14ac:dyDescent="0.2">
      <c r="E184" s="8"/>
      <c r="G184" s="83"/>
    </row>
    <row r="185" spans="5:7" x14ac:dyDescent="0.2">
      <c r="E185" s="8"/>
      <c r="G185" s="83"/>
    </row>
    <row r="186" spans="5:7" x14ac:dyDescent="0.2">
      <c r="E186" s="8"/>
      <c r="G186" s="83"/>
    </row>
    <row r="187" spans="5:7" x14ac:dyDescent="0.2">
      <c r="E187" s="8"/>
      <c r="G187" s="83"/>
    </row>
    <row r="188" spans="5:7" x14ac:dyDescent="0.2">
      <c r="E188" s="8"/>
      <c r="G188" s="83"/>
    </row>
    <row r="189" spans="5:7" x14ac:dyDescent="0.2">
      <c r="E189" s="8"/>
      <c r="G189" s="83"/>
    </row>
    <row r="190" spans="5:7" x14ac:dyDescent="0.2">
      <c r="E190" s="8"/>
      <c r="G190" s="83"/>
    </row>
    <row r="191" spans="5:7" x14ac:dyDescent="0.2">
      <c r="E191" s="8"/>
      <c r="G191" s="83"/>
    </row>
    <row r="192" spans="5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  <row r="397" spans="5:7" x14ac:dyDescent="0.2">
      <c r="E397" s="8"/>
      <c r="G397" s="83"/>
    </row>
    <row r="398" spans="5:7" x14ac:dyDescent="0.2">
      <c r="E398" s="8"/>
      <c r="G398" s="83"/>
    </row>
    <row r="399" spans="5:7" x14ac:dyDescent="0.2">
      <c r="E399" s="8"/>
      <c r="G399" s="83"/>
    </row>
    <row r="400" spans="5:7" x14ac:dyDescent="0.2">
      <c r="E400" s="8"/>
      <c r="G400" s="83"/>
    </row>
    <row r="401" spans="5:7" x14ac:dyDescent="0.2">
      <c r="E401" s="8"/>
      <c r="G401" s="83"/>
    </row>
    <row r="402" spans="5:7" x14ac:dyDescent="0.2">
      <c r="E402" s="8"/>
      <c r="G402" s="83"/>
    </row>
    <row r="403" spans="5:7" x14ac:dyDescent="0.2">
      <c r="E403" s="8"/>
      <c r="G403" s="83"/>
    </row>
    <row r="404" spans="5:7" x14ac:dyDescent="0.2">
      <c r="E404" s="8"/>
      <c r="G404" s="83"/>
    </row>
    <row r="405" spans="5:7" x14ac:dyDescent="0.2">
      <c r="E405" s="8"/>
      <c r="G405" s="83"/>
    </row>
    <row r="406" spans="5:7" x14ac:dyDescent="0.2">
      <c r="E406" s="8"/>
      <c r="G406" s="83"/>
    </row>
    <row r="407" spans="5:7" x14ac:dyDescent="0.2">
      <c r="E407" s="8"/>
      <c r="G407" s="83"/>
    </row>
  </sheetData>
  <mergeCells count="1">
    <mergeCell ref="B1:C1"/>
  </mergeCells>
  <conditionalFormatting sqref="G1:G3 G5:G101">
    <cfRule type="cellIs" dxfId="7" priority="2" stopIfTrue="1" operator="between">
      <formula>0.009</formula>
      <formula>-0.009</formula>
    </cfRule>
  </conditionalFormatting>
  <hyperlinks>
    <hyperlink ref="A2" location="Index!A1" display="-" xr:uid="{E1E856AB-8FAE-4C8D-B279-B18FC540B4B8}"/>
  </hyperlinks>
  <pageMargins left="0.7" right="0.7" top="0.75" bottom="0.75" header="0.3" footer="0.3"/>
  <pageSetup paperSize="9" scale="64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2" min="1" max="7" man="1"/>
  </rowBreaks>
  <colBreaks count="1" manualBreakCount="1">
    <brk id="8" max="412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0F1B-4DD6-4F40-AFE9-E8460C458D14}">
  <dimension ref="A1:I413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3.28515625" style="8" customWidth="1"/>
    <col min="4" max="4" width="23.85546875" style="8" customWidth="1"/>
    <col min="5" max="5" width="13.7109375" style="9" bestFit="1" customWidth="1"/>
    <col min="6" max="6" width="12.7109375" style="11" bestFit="1" customWidth="1"/>
    <col min="7" max="7" width="11.42578125" style="18" customWidth="1"/>
    <col min="8" max="8" width="11.85546875" style="8" bestFit="1" customWidth="1"/>
    <col min="9" max="16384" width="9.140625" style="8"/>
  </cols>
  <sheetData>
    <row r="1" spans="1:9" s="1" customFormat="1" ht="16.7" customHeight="1" x14ac:dyDescent="0.2">
      <c r="B1" s="98" t="s">
        <v>17</v>
      </c>
      <c r="C1" s="99"/>
      <c r="D1" s="13"/>
      <c r="E1" s="6"/>
      <c r="F1" s="7"/>
      <c r="G1" s="18"/>
    </row>
    <row r="2" spans="1:9" s="1" customFormat="1" ht="15" x14ac:dyDescent="0.25">
      <c r="A2" s="82" t="s">
        <v>1501</v>
      </c>
      <c r="E2" s="6"/>
      <c r="F2" s="7"/>
      <c r="G2" s="18"/>
    </row>
    <row r="3" spans="1:9" s="1" customFormat="1" ht="12" x14ac:dyDescent="0.2">
      <c r="B3" s="10" t="s">
        <v>9</v>
      </c>
      <c r="C3" s="2"/>
      <c r="D3" s="3"/>
      <c r="E3" s="4"/>
      <c r="F3" s="5"/>
      <c r="G3" s="18"/>
    </row>
    <row r="4" spans="1:9" s="1" customFormat="1" ht="33.75" x14ac:dyDescent="0.2">
      <c r="B4" s="28" t="s">
        <v>7</v>
      </c>
      <c r="C4" s="28" t="s">
        <v>8</v>
      </c>
      <c r="D4" s="101" t="s">
        <v>1473</v>
      </c>
      <c r="E4" s="30" t="s">
        <v>0</v>
      </c>
      <c r="F4" s="31" t="s">
        <v>4</v>
      </c>
      <c r="G4" s="32" t="s">
        <v>5</v>
      </c>
      <c r="H4" s="31" t="s">
        <v>6</v>
      </c>
      <c r="I4" s="12"/>
    </row>
    <row r="5" spans="1:9" x14ac:dyDescent="0.2">
      <c r="B5" s="34" t="s">
        <v>284</v>
      </c>
      <c r="C5" s="35"/>
      <c r="D5" s="35"/>
      <c r="E5" s="36"/>
      <c r="F5" s="37"/>
      <c r="G5" s="38"/>
      <c r="H5" s="35"/>
    </row>
    <row r="6" spans="1:9" x14ac:dyDescent="0.2">
      <c r="B6" s="34" t="s">
        <v>239</v>
      </c>
      <c r="C6" s="35"/>
      <c r="D6" s="35"/>
      <c r="E6" s="36"/>
      <c r="F6" s="37"/>
      <c r="G6" s="38"/>
      <c r="H6" s="35"/>
    </row>
    <row r="7" spans="1:9" x14ac:dyDescent="0.2">
      <c r="B7" s="35" t="s">
        <v>413</v>
      </c>
      <c r="C7" s="35" t="s">
        <v>414</v>
      </c>
      <c r="D7" s="35" t="s">
        <v>415</v>
      </c>
      <c r="E7" s="40">
        <v>125236</v>
      </c>
      <c r="F7" s="37">
        <v>899.695424</v>
      </c>
      <c r="G7" s="38">
        <v>5.22940881775079</v>
      </c>
      <c r="H7" s="41"/>
    </row>
    <row r="8" spans="1:9" x14ac:dyDescent="0.2">
      <c r="B8" s="35" t="s">
        <v>416</v>
      </c>
      <c r="C8" s="35" t="s">
        <v>417</v>
      </c>
      <c r="D8" s="35" t="s">
        <v>310</v>
      </c>
      <c r="E8" s="40">
        <v>17333</v>
      </c>
      <c r="F8" s="37">
        <v>670.73510099999999</v>
      </c>
      <c r="G8" s="38">
        <v>3.89859496667215</v>
      </c>
      <c r="H8" s="41"/>
    </row>
    <row r="9" spans="1:9" x14ac:dyDescent="0.2">
      <c r="B9" s="35" t="s">
        <v>418</v>
      </c>
      <c r="C9" s="35" t="s">
        <v>419</v>
      </c>
      <c r="D9" s="35" t="s">
        <v>325</v>
      </c>
      <c r="E9" s="40">
        <v>9380</v>
      </c>
      <c r="F9" s="37">
        <v>601.1173</v>
      </c>
      <c r="G9" s="38">
        <v>3.4939469794641802</v>
      </c>
      <c r="H9" s="41"/>
    </row>
    <row r="10" spans="1:9" x14ac:dyDescent="0.2">
      <c r="B10" s="35" t="s">
        <v>420</v>
      </c>
      <c r="C10" s="35" t="s">
        <v>421</v>
      </c>
      <c r="D10" s="35" t="s">
        <v>292</v>
      </c>
      <c r="E10" s="40">
        <v>143091</v>
      </c>
      <c r="F10" s="37">
        <v>551.472714</v>
      </c>
      <c r="G10" s="38">
        <v>3.2053917319252299</v>
      </c>
      <c r="H10" s="41"/>
    </row>
    <row r="11" spans="1:9" x14ac:dyDescent="0.2">
      <c r="B11" s="35" t="s">
        <v>422</v>
      </c>
      <c r="C11" s="35" t="s">
        <v>423</v>
      </c>
      <c r="D11" s="35" t="s">
        <v>340</v>
      </c>
      <c r="E11" s="40">
        <v>14007</v>
      </c>
      <c r="F11" s="37">
        <v>548.12192400000004</v>
      </c>
      <c r="G11" s="38">
        <v>3.1859155288625001</v>
      </c>
      <c r="H11" s="41"/>
    </row>
    <row r="12" spans="1:9" x14ac:dyDescent="0.2">
      <c r="B12" s="35" t="s">
        <v>424</v>
      </c>
      <c r="C12" s="35" t="s">
        <v>425</v>
      </c>
      <c r="D12" s="35" t="s">
        <v>318</v>
      </c>
      <c r="E12" s="40">
        <v>31222</v>
      </c>
      <c r="F12" s="37">
        <v>540.39037599999995</v>
      </c>
      <c r="G12" s="38">
        <v>3.1409765148278299</v>
      </c>
      <c r="H12" s="41"/>
    </row>
    <row r="13" spans="1:9" x14ac:dyDescent="0.2">
      <c r="B13" s="35" t="s">
        <v>426</v>
      </c>
      <c r="C13" s="35" t="s">
        <v>427</v>
      </c>
      <c r="D13" s="35" t="s">
        <v>379</v>
      </c>
      <c r="E13" s="40">
        <v>8707</v>
      </c>
      <c r="F13" s="37">
        <v>522.63767499999994</v>
      </c>
      <c r="G13" s="38">
        <v>3.03779033795972</v>
      </c>
      <c r="H13" s="41"/>
    </row>
    <row r="14" spans="1:9" x14ac:dyDescent="0.2">
      <c r="B14" s="35" t="s">
        <v>428</v>
      </c>
      <c r="C14" s="35" t="s">
        <v>429</v>
      </c>
      <c r="D14" s="35" t="s">
        <v>292</v>
      </c>
      <c r="E14" s="40">
        <v>275836</v>
      </c>
      <c r="F14" s="37">
        <v>517.10974920000001</v>
      </c>
      <c r="G14" s="38">
        <v>3.0056597044683602</v>
      </c>
      <c r="H14" s="41"/>
    </row>
    <row r="15" spans="1:9" x14ac:dyDescent="0.2">
      <c r="B15" s="35" t="s">
        <v>430</v>
      </c>
      <c r="C15" s="35" t="s">
        <v>431</v>
      </c>
      <c r="D15" s="35" t="s">
        <v>328</v>
      </c>
      <c r="E15" s="40">
        <v>123969</v>
      </c>
      <c r="F15" s="37">
        <v>468.0449595</v>
      </c>
      <c r="G15" s="38">
        <v>2.7204744772749998</v>
      </c>
      <c r="H15" s="41"/>
    </row>
    <row r="16" spans="1:9" x14ac:dyDescent="0.2">
      <c r="B16" s="35" t="s">
        <v>432</v>
      </c>
      <c r="C16" s="35" t="s">
        <v>433</v>
      </c>
      <c r="D16" s="35" t="s">
        <v>434</v>
      </c>
      <c r="E16" s="40">
        <v>101027</v>
      </c>
      <c r="F16" s="37">
        <v>456.03587800000003</v>
      </c>
      <c r="G16" s="38">
        <v>2.6506726365476401</v>
      </c>
      <c r="H16" s="41"/>
    </row>
    <row r="17" spans="2:8" x14ac:dyDescent="0.2">
      <c r="B17" s="35" t="s">
        <v>435</v>
      </c>
      <c r="C17" s="35" t="s">
        <v>436</v>
      </c>
      <c r="D17" s="35" t="s">
        <v>318</v>
      </c>
      <c r="E17" s="40">
        <v>107491</v>
      </c>
      <c r="F17" s="37">
        <v>444.79775799999999</v>
      </c>
      <c r="G17" s="38">
        <v>2.5853519488401702</v>
      </c>
      <c r="H17" s="41"/>
    </row>
    <row r="18" spans="2:8" x14ac:dyDescent="0.2">
      <c r="B18" s="35" t="s">
        <v>437</v>
      </c>
      <c r="C18" s="35" t="s">
        <v>438</v>
      </c>
      <c r="D18" s="35" t="s">
        <v>287</v>
      </c>
      <c r="E18" s="40">
        <v>136956</v>
      </c>
      <c r="F18" s="37">
        <v>440.92984200000001</v>
      </c>
      <c r="G18" s="38">
        <v>2.5628699916164801</v>
      </c>
      <c r="H18" s="41"/>
    </row>
    <row r="19" spans="2:8" x14ac:dyDescent="0.2">
      <c r="B19" s="35" t="s">
        <v>439</v>
      </c>
      <c r="C19" s="35" t="s">
        <v>440</v>
      </c>
      <c r="D19" s="35" t="s">
        <v>441</v>
      </c>
      <c r="E19" s="40">
        <v>327876</v>
      </c>
      <c r="F19" s="37">
        <v>437.18985839999999</v>
      </c>
      <c r="G19" s="38">
        <v>2.5411316313954901</v>
      </c>
      <c r="H19" s="41"/>
    </row>
    <row r="20" spans="2:8" x14ac:dyDescent="0.2">
      <c r="B20" s="35" t="s">
        <v>442</v>
      </c>
      <c r="C20" s="35" t="s">
        <v>443</v>
      </c>
      <c r="D20" s="35" t="s">
        <v>444</v>
      </c>
      <c r="E20" s="40">
        <v>64841</v>
      </c>
      <c r="F20" s="37">
        <v>432.52189049999998</v>
      </c>
      <c r="G20" s="38">
        <v>2.5139994354922299</v>
      </c>
      <c r="H20" s="41"/>
    </row>
    <row r="21" spans="2:8" x14ac:dyDescent="0.2">
      <c r="B21" s="35" t="s">
        <v>445</v>
      </c>
      <c r="C21" s="35" t="s">
        <v>446</v>
      </c>
      <c r="D21" s="35" t="s">
        <v>334</v>
      </c>
      <c r="E21" s="40">
        <v>10870</v>
      </c>
      <c r="F21" s="37">
        <v>418.23412000000002</v>
      </c>
      <c r="G21" s="38">
        <v>2.4309528943566598</v>
      </c>
      <c r="H21" s="41"/>
    </row>
    <row r="22" spans="2:8" x14ac:dyDescent="0.2">
      <c r="B22" s="35" t="s">
        <v>447</v>
      </c>
      <c r="C22" s="35" t="s">
        <v>448</v>
      </c>
      <c r="D22" s="35" t="s">
        <v>328</v>
      </c>
      <c r="E22" s="40">
        <v>291232</v>
      </c>
      <c r="F22" s="37">
        <v>408.04515520000001</v>
      </c>
      <c r="G22" s="38">
        <v>2.3717303386477702</v>
      </c>
      <c r="H22" s="41"/>
    </row>
    <row r="23" spans="2:8" x14ac:dyDescent="0.2">
      <c r="B23" s="35" t="s">
        <v>449</v>
      </c>
      <c r="C23" s="35" t="s">
        <v>450</v>
      </c>
      <c r="D23" s="35" t="s">
        <v>287</v>
      </c>
      <c r="E23" s="40">
        <v>248888</v>
      </c>
      <c r="F23" s="37">
        <v>391.67504559999998</v>
      </c>
      <c r="G23" s="38">
        <v>2.2765803654388499</v>
      </c>
      <c r="H23" s="41"/>
    </row>
    <row r="24" spans="2:8" x14ac:dyDescent="0.2">
      <c r="B24" s="35" t="s">
        <v>451</v>
      </c>
      <c r="C24" s="35" t="s">
        <v>452</v>
      </c>
      <c r="D24" s="35" t="s">
        <v>453</v>
      </c>
      <c r="E24" s="40">
        <v>50690</v>
      </c>
      <c r="F24" s="37">
        <v>367.60388</v>
      </c>
      <c r="G24" s="38">
        <v>2.1366686105445898</v>
      </c>
      <c r="H24" s="41"/>
    </row>
    <row r="25" spans="2:8" x14ac:dyDescent="0.2">
      <c r="B25" s="35" t="s">
        <v>454</v>
      </c>
      <c r="C25" s="35" t="s">
        <v>455</v>
      </c>
      <c r="D25" s="35" t="s">
        <v>456</v>
      </c>
      <c r="E25" s="40">
        <v>29704</v>
      </c>
      <c r="F25" s="37">
        <v>361.64620000000002</v>
      </c>
      <c r="G25" s="38">
        <v>2.1020400646008701</v>
      </c>
      <c r="H25" s="41"/>
    </row>
    <row r="26" spans="2:8" x14ac:dyDescent="0.2">
      <c r="B26" s="35" t="s">
        <v>457</v>
      </c>
      <c r="C26" s="35" t="s">
        <v>458</v>
      </c>
      <c r="D26" s="35" t="s">
        <v>318</v>
      </c>
      <c r="E26" s="40">
        <v>3196</v>
      </c>
      <c r="F26" s="37">
        <v>345.29584</v>
      </c>
      <c r="G26" s="38">
        <v>2.0070048843870398</v>
      </c>
      <c r="H26" s="41"/>
    </row>
    <row r="27" spans="2:8" x14ac:dyDescent="0.2">
      <c r="B27" s="35" t="s">
        <v>459</v>
      </c>
      <c r="C27" s="35" t="s">
        <v>460</v>
      </c>
      <c r="D27" s="35" t="s">
        <v>337</v>
      </c>
      <c r="E27" s="40">
        <v>27587</v>
      </c>
      <c r="F27" s="37">
        <v>343.23745400000001</v>
      </c>
      <c r="G27" s="38">
        <v>1.9950406778215799</v>
      </c>
      <c r="H27" s="41"/>
    </row>
    <row r="28" spans="2:8" x14ac:dyDescent="0.2">
      <c r="B28" s="35" t="s">
        <v>461</v>
      </c>
      <c r="C28" s="35" t="s">
        <v>462</v>
      </c>
      <c r="D28" s="35" t="s">
        <v>463</v>
      </c>
      <c r="E28" s="40">
        <v>22925</v>
      </c>
      <c r="F28" s="37">
        <v>342.041</v>
      </c>
      <c r="G28" s="38">
        <v>1.9880863831450299</v>
      </c>
      <c r="H28" s="41"/>
    </row>
    <row r="29" spans="2:8" x14ac:dyDescent="0.2">
      <c r="B29" s="35" t="s">
        <v>464</v>
      </c>
      <c r="C29" s="35" t="s">
        <v>465</v>
      </c>
      <c r="D29" s="35" t="s">
        <v>382</v>
      </c>
      <c r="E29" s="40">
        <v>17869</v>
      </c>
      <c r="F29" s="37">
        <v>339.77903500000002</v>
      </c>
      <c r="G29" s="38">
        <v>1.9749388896701301</v>
      </c>
      <c r="H29" s="41"/>
    </row>
    <row r="30" spans="2:8" x14ac:dyDescent="0.2">
      <c r="B30" s="35" t="s">
        <v>466</v>
      </c>
      <c r="C30" s="35" t="s">
        <v>467</v>
      </c>
      <c r="D30" s="35" t="s">
        <v>468</v>
      </c>
      <c r="E30" s="40">
        <v>199129</v>
      </c>
      <c r="F30" s="37">
        <v>337.58339369999999</v>
      </c>
      <c r="G30" s="38">
        <v>1.96217689747971</v>
      </c>
      <c r="H30" s="41"/>
    </row>
    <row r="31" spans="2:8" x14ac:dyDescent="0.2">
      <c r="B31" s="35" t="s">
        <v>469</v>
      </c>
      <c r="C31" s="35" t="s">
        <v>470</v>
      </c>
      <c r="D31" s="35" t="s">
        <v>325</v>
      </c>
      <c r="E31" s="40">
        <v>7721</v>
      </c>
      <c r="F31" s="37">
        <v>334.574093</v>
      </c>
      <c r="G31" s="38">
        <v>1.9446855740873199</v>
      </c>
      <c r="H31" s="41"/>
    </row>
    <row r="32" spans="2:8" x14ac:dyDescent="0.2">
      <c r="B32" s="35" t="s">
        <v>471</v>
      </c>
      <c r="C32" s="35" t="s">
        <v>472</v>
      </c>
      <c r="D32" s="35" t="s">
        <v>287</v>
      </c>
      <c r="E32" s="40">
        <v>254543</v>
      </c>
      <c r="F32" s="37">
        <v>329.48045919999998</v>
      </c>
      <c r="G32" s="38">
        <v>1.9150792286535601</v>
      </c>
      <c r="H32" s="41"/>
    </row>
    <row r="33" spans="2:8" x14ac:dyDescent="0.2">
      <c r="B33" s="35" t="s">
        <v>473</v>
      </c>
      <c r="C33" s="35" t="s">
        <v>474</v>
      </c>
      <c r="D33" s="35" t="s">
        <v>318</v>
      </c>
      <c r="E33" s="40">
        <v>92206</v>
      </c>
      <c r="F33" s="37">
        <v>322.53658799999999</v>
      </c>
      <c r="G33" s="38">
        <v>1.8747185240040201</v>
      </c>
      <c r="H33" s="41"/>
    </row>
    <row r="34" spans="2:8" x14ac:dyDescent="0.2">
      <c r="B34" s="35" t="s">
        <v>475</v>
      </c>
      <c r="C34" s="35" t="s">
        <v>476</v>
      </c>
      <c r="D34" s="35" t="s">
        <v>303</v>
      </c>
      <c r="E34" s="40">
        <v>6846</v>
      </c>
      <c r="F34" s="37">
        <v>305.46852000000001</v>
      </c>
      <c r="G34" s="38">
        <v>1.7755117225463199</v>
      </c>
      <c r="H34" s="41"/>
    </row>
    <row r="35" spans="2:8" x14ac:dyDescent="0.2">
      <c r="B35" s="35" t="s">
        <v>477</v>
      </c>
      <c r="C35" s="35" t="s">
        <v>478</v>
      </c>
      <c r="D35" s="35" t="s">
        <v>434</v>
      </c>
      <c r="E35" s="40">
        <v>21804</v>
      </c>
      <c r="F35" s="37">
        <v>301.06963200000001</v>
      </c>
      <c r="G35" s="38">
        <v>1.74994353237678</v>
      </c>
      <c r="H35" s="41"/>
    </row>
    <row r="36" spans="2:8" x14ac:dyDescent="0.2">
      <c r="B36" s="35" t="s">
        <v>479</v>
      </c>
      <c r="C36" s="35" t="s">
        <v>480</v>
      </c>
      <c r="D36" s="35" t="s">
        <v>334</v>
      </c>
      <c r="E36" s="40">
        <v>28682</v>
      </c>
      <c r="F36" s="37">
        <v>295.30987199999998</v>
      </c>
      <c r="G36" s="38">
        <v>1.7164653808505499</v>
      </c>
      <c r="H36" s="41"/>
    </row>
    <row r="37" spans="2:8" x14ac:dyDescent="0.2">
      <c r="B37" s="35" t="s">
        <v>481</v>
      </c>
      <c r="C37" s="35" t="s">
        <v>482</v>
      </c>
      <c r="D37" s="35" t="s">
        <v>483</v>
      </c>
      <c r="E37" s="40">
        <v>47358</v>
      </c>
      <c r="F37" s="37">
        <v>285.97128300000003</v>
      </c>
      <c r="G37" s="38">
        <v>1.66218556752791</v>
      </c>
      <c r="H37" s="41"/>
    </row>
    <row r="38" spans="2:8" x14ac:dyDescent="0.2">
      <c r="B38" s="35" t="s">
        <v>484</v>
      </c>
      <c r="C38" s="35" t="s">
        <v>485</v>
      </c>
      <c r="D38" s="35" t="s">
        <v>331</v>
      </c>
      <c r="E38" s="40">
        <v>18619</v>
      </c>
      <c r="F38" s="37">
        <v>260.12604900000002</v>
      </c>
      <c r="G38" s="38">
        <v>1.5119621797334799</v>
      </c>
      <c r="H38" s="41"/>
    </row>
    <row r="39" spans="2:8" x14ac:dyDescent="0.2">
      <c r="B39" s="35" t="s">
        <v>486</v>
      </c>
      <c r="C39" s="35" t="s">
        <v>487</v>
      </c>
      <c r="D39" s="35" t="s">
        <v>328</v>
      </c>
      <c r="E39" s="40">
        <v>25610</v>
      </c>
      <c r="F39" s="37">
        <v>259.05795499999999</v>
      </c>
      <c r="G39" s="38">
        <v>1.5057539674509799</v>
      </c>
      <c r="H39" s="41"/>
    </row>
    <row r="40" spans="2:8" x14ac:dyDescent="0.2">
      <c r="B40" s="35" t="s">
        <v>488</v>
      </c>
      <c r="C40" s="35" t="s">
        <v>489</v>
      </c>
      <c r="D40" s="35" t="s">
        <v>345</v>
      </c>
      <c r="E40" s="40">
        <v>987</v>
      </c>
      <c r="F40" s="37">
        <v>257.36025000000001</v>
      </c>
      <c r="G40" s="38">
        <v>1.4958861908011101</v>
      </c>
      <c r="H40" s="41"/>
    </row>
    <row r="41" spans="2:8" x14ac:dyDescent="0.2">
      <c r="B41" s="35" t="s">
        <v>490</v>
      </c>
      <c r="C41" s="35" t="s">
        <v>491</v>
      </c>
      <c r="D41" s="35" t="s">
        <v>463</v>
      </c>
      <c r="E41" s="40">
        <v>1798</v>
      </c>
      <c r="F41" s="37">
        <v>242.80192</v>
      </c>
      <c r="G41" s="38">
        <v>1.4112670438733099</v>
      </c>
      <c r="H41" s="41"/>
    </row>
    <row r="42" spans="2:8" x14ac:dyDescent="0.2">
      <c r="B42" s="35" t="s">
        <v>492</v>
      </c>
      <c r="C42" s="35" t="s">
        <v>493</v>
      </c>
      <c r="D42" s="35" t="s">
        <v>453</v>
      </c>
      <c r="E42" s="40">
        <v>3871</v>
      </c>
      <c r="F42" s="37">
        <v>235.08582999999999</v>
      </c>
      <c r="G42" s="38">
        <v>1.3664178782466101</v>
      </c>
      <c r="H42" s="41"/>
    </row>
    <row r="43" spans="2:8" x14ac:dyDescent="0.2">
      <c r="B43" s="35" t="s">
        <v>494</v>
      </c>
      <c r="C43" s="35" t="s">
        <v>495</v>
      </c>
      <c r="D43" s="35" t="s">
        <v>441</v>
      </c>
      <c r="E43" s="40">
        <v>640</v>
      </c>
      <c r="F43" s="37">
        <v>233.12</v>
      </c>
      <c r="G43" s="38">
        <v>1.3549916461440901</v>
      </c>
      <c r="H43" s="41"/>
    </row>
    <row r="44" spans="2:8" x14ac:dyDescent="0.2">
      <c r="B44" s="35" t="s">
        <v>496</v>
      </c>
      <c r="C44" s="35" t="s">
        <v>497</v>
      </c>
      <c r="D44" s="35" t="s">
        <v>310</v>
      </c>
      <c r="E44" s="40">
        <v>10526</v>
      </c>
      <c r="F44" s="37">
        <v>227.930004</v>
      </c>
      <c r="G44" s="38">
        <v>1.32482520300956</v>
      </c>
      <c r="H44" s="41"/>
    </row>
    <row r="45" spans="2:8" x14ac:dyDescent="0.2">
      <c r="B45" s="35" t="s">
        <v>498</v>
      </c>
      <c r="C45" s="35" t="s">
        <v>499</v>
      </c>
      <c r="D45" s="35" t="s">
        <v>345</v>
      </c>
      <c r="E45" s="40">
        <v>45020</v>
      </c>
      <c r="F45" s="37">
        <v>225.28008</v>
      </c>
      <c r="G45" s="38">
        <v>1.3094227283916999</v>
      </c>
      <c r="H45" s="41"/>
    </row>
    <row r="46" spans="2:8" x14ac:dyDescent="0.2">
      <c r="B46" s="35" t="s">
        <v>500</v>
      </c>
      <c r="C46" s="35" t="s">
        <v>501</v>
      </c>
      <c r="D46" s="35" t="s">
        <v>453</v>
      </c>
      <c r="E46" s="40">
        <v>6525</v>
      </c>
      <c r="F46" s="37">
        <v>223.06365</v>
      </c>
      <c r="G46" s="38">
        <v>1.29653990351926</v>
      </c>
      <c r="H46" s="41"/>
    </row>
    <row r="47" spans="2:8" x14ac:dyDescent="0.2">
      <c r="B47" s="35" t="s">
        <v>502</v>
      </c>
      <c r="C47" s="35" t="s">
        <v>503</v>
      </c>
      <c r="D47" s="35" t="s">
        <v>328</v>
      </c>
      <c r="E47" s="40">
        <v>22629</v>
      </c>
      <c r="F47" s="37">
        <v>214.3758315</v>
      </c>
      <c r="G47" s="38">
        <v>1.2460426424918201</v>
      </c>
      <c r="H47" s="41"/>
    </row>
    <row r="48" spans="2:8" x14ac:dyDescent="0.2">
      <c r="B48" s="35" t="s">
        <v>504</v>
      </c>
      <c r="C48" s="35" t="s">
        <v>505</v>
      </c>
      <c r="D48" s="35" t="s">
        <v>483</v>
      </c>
      <c r="E48" s="40">
        <v>20767</v>
      </c>
      <c r="F48" s="37">
        <v>205.22987749999999</v>
      </c>
      <c r="G48" s="38">
        <v>1.19288250494027</v>
      </c>
      <c r="H48" s="41"/>
    </row>
    <row r="49" spans="2:9" x14ac:dyDescent="0.2">
      <c r="B49" s="35" t="s">
        <v>506</v>
      </c>
      <c r="C49" s="35" t="s">
        <v>507</v>
      </c>
      <c r="D49" s="35" t="s">
        <v>352</v>
      </c>
      <c r="E49" s="40">
        <v>32003</v>
      </c>
      <c r="F49" s="37">
        <v>193.23411400000001</v>
      </c>
      <c r="G49" s="38">
        <v>1.1231580740393601</v>
      </c>
      <c r="H49" s="41"/>
    </row>
    <row r="50" spans="2:9" x14ac:dyDescent="0.2">
      <c r="B50" s="35" t="s">
        <v>508</v>
      </c>
      <c r="C50" s="35" t="s">
        <v>509</v>
      </c>
      <c r="D50" s="35" t="s">
        <v>328</v>
      </c>
      <c r="E50" s="40">
        <v>39613</v>
      </c>
      <c r="F50" s="37">
        <v>193.21240750000001</v>
      </c>
      <c r="G50" s="38">
        <v>1.12303190671709</v>
      </c>
      <c r="H50" s="41"/>
    </row>
    <row r="51" spans="2:9" x14ac:dyDescent="0.2">
      <c r="B51" s="35" t="s">
        <v>510</v>
      </c>
      <c r="C51" s="35" t="s">
        <v>511</v>
      </c>
      <c r="D51" s="35" t="s">
        <v>453</v>
      </c>
      <c r="E51" s="40">
        <v>6529</v>
      </c>
      <c r="F51" s="37">
        <v>191.35846100000001</v>
      </c>
      <c r="G51" s="38">
        <v>1.11225598864958</v>
      </c>
      <c r="H51" s="41"/>
    </row>
    <row r="52" spans="2:9" x14ac:dyDescent="0.2">
      <c r="B52" s="35" t="s">
        <v>512</v>
      </c>
      <c r="C52" s="35" t="s">
        <v>513</v>
      </c>
      <c r="D52" s="35" t="s">
        <v>325</v>
      </c>
      <c r="E52" s="40">
        <v>18473</v>
      </c>
      <c r="F52" s="37">
        <v>170.26564099999999</v>
      </c>
      <c r="G52" s="38">
        <v>0.98965563306609705</v>
      </c>
      <c r="H52" s="41"/>
    </row>
    <row r="53" spans="2:9" x14ac:dyDescent="0.2">
      <c r="B53" s="35" t="s">
        <v>514</v>
      </c>
      <c r="C53" s="35" t="s">
        <v>515</v>
      </c>
      <c r="D53" s="35" t="s">
        <v>382</v>
      </c>
      <c r="E53" s="40">
        <v>16388</v>
      </c>
      <c r="F53" s="37">
        <v>139.19967199999999</v>
      </c>
      <c r="G53" s="38">
        <v>0.80908713411975497</v>
      </c>
      <c r="H53" s="41"/>
    </row>
    <row r="54" spans="2:9" x14ac:dyDescent="0.2">
      <c r="B54" s="35" t="s">
        <v>516</v>
      </c>
      <c r="C54" s="35" t="s">
        <v>517</v>
      </c>
      <c r="D54" s="35" t="s">
        <v>318</v>
      </c>
      <c r="E54" s="40">
        <v>131905</v>
      </c>
      <c r="F54" s="37">
        <v>136.5876275</v>
      </c>
      <c r="G54" s="38">
        <v>0.79390483111333499</v>
      </c>
      <c r="H54" s="41"/>
    </row>
    <row r="55" spans="2:9" x14ac:dyDescent="0.2">
      <c r="B55" s="35" t="s">
        <v>518</v>
      </c>
      <c r="C55" s="35" t="s">
        <v>519</v>
      </c>
      <c r="D55" s="35" t="s">
        <v>520</v>
      </c>
      <c r="E55" s="40">
        <v>5609</v>
      </c>
      <c r="F55" s="37">
        <v>124.794641</v>
      </c>
      <c r="G55" s="38">
        <v>0.72535902556001497</v>
      </c>
      <c r="H55" s="41"/>
    </row>
    <row r="56" spans="2:9" x14ac:dyDescent="0.2">
      <c r="B56" s="35" t="s">
        <v>521</v>
      </c>
      <c r="C56" s="35" t="s">
        <v>522</v>
      </c>
      <c r="D56" s="35" t="s">
        <v>318</v>
      </c>
      <c r="E56" s="40">
        <v>69129</v>
      </c>
      <c r="F56" s="37">
        <v>60.169881599999997</v>
      </c>
      <c r="G56" s="38">
        <v>0.34973269954306302</v>
      </c>
      <c r="H56" s="41"/>
    </row>
    <row r="57" spans="2:9" x14ac:dyDescent="0.2">
      <c r="B57" s="34" t="s">
        <v>65</v>
      </c>
      <c r="C57" s="34"/>
      <c r="D57" s="34"/>
      <c r="E57" s="43"/>
      <c r="F57" s="44">
        <f>SUM(F7:F56)</f>
        <v>17152.605912900002</v>
      </c>
      <c r="G57" s="45">
        <f>SUM(G7:G56)</f>
        <v>99.698171420646929</v>
      </c>
      <c r="H57" s="34"/>
      <c r="I57" s="26"/>
    </row>
    <row r="58" spans="2:9" x14ac:dyDescent="0.2">
      <c r="B58" s="34" t="s">
        <v>410</v>
      </c>
      <c r="C58" s="35"/>
      <c r="D58" s="35"/>
      <c r="E58" s="36"/>
      <c r="F58" s="70" t="s">
        <v>411</v>
      </c>
      <c r="G58" s="71" t="s">
        <v>411</v>
      </c>
      <c r="H58" s="35"/>
    </row>
    <row r="59" spans="2:9" x14ac:dyDescent="0.2">
      <c r="B59" s="34" t="s">
        <v>65</v>
      </c>
      <c r="C59" s="34"/>
      <c r="D59" s="34"/>
      <c r="E59" s="43"/>
      <c r="F59" s="70" t="s">
        <v>411</v>
      </c>
      <c r="G59" s="71" t="s">
        <v>411</v>
      </c>
      <c r="H59" s="34"/>
      <c r="I59" s="26"/>
    </row>
    <row r="60" spans="2:9" x14ac:dyDescent="0.2">
      <c r="B60" s="49" t="s">
        <v>105</v>
      </c>
      <c r="C60" s="49"/>
      <c r="D60" s="49"/>
      <c r="E60" s="50"/>
      <c r="F60" s="51">
        <f>F57</f>
        <v>17152.605912900002</v>
      </c>
      <c r="G60" s="51">
        <f>G57</f>
        <v>99.698171420646929</v>
      </c>
      <c r="H60" s="34"/>
      <c r="I60" s="26"/>
    </row>
    <row r="61" spans="2:9" x14ac:dyDescent="0.2">
      <c r="B61" s="87" t="s">
        <v>238</v>
      </c>
      <c r="C61" s="34"/>
      <c r="D61" s="34"/>
      <c r="E61" s="43"/>
      <c r="F61" s="55"/>
      <c r="G61" s="56"/>
      <c r="H61" s="34"/>
      <c r="I61" s="26"/>
    </row>
    <row r="62" spans="2:9" x14ac:dyDescent="0.2">
      <c r="B62" s="87" t="s">
        <v>239</v>
      </c>
      <c r="C62" s="34"/>
      <c r="D62" s="34"/>
      <c r="E62" s="43"/>
      <c r="F62" s="55"/>
      <c r="G62" s="56"/>
      <c r="H62" s="34"/>
      <c r="I62" s="26"/>
    </row>
    <row r="63" spans="2:9" x14ac:dyDescent="0.2">
      <c r="B63" s="87" t="s">
        <v>1504</v>
      </c>
      <c r="C63" s="34"/>
      <c r="D63" s="34"/>
      <c r="E63" s="43"/>
      <c r="F63" s="55"/>
      <c r="G63" s="56"/>
      <c r="H63" s="34"/>
      <c r="I63" s="26"/>
    </row>
    <row r="64" spans="2:9" x14ac:dyDescent="0.2">
      <c r="B64" s="90" t="s">
        <v>523</v>
      </c>
      <c r="C64" s="35" t="s">
        <v>524</v>
      </c>
      <c r="D64" s="35" t="s">
        <v>28</v>
      </c>
      <c r="E64" s="40">
        <v>26520</v>
      </c>
      <c r="F64" s="37">
        <v>2.7242139999999999</v>
      </c>
      <c r="G64" s="38">
        <v>1.5834279393912E-2</v>
      </c>
      <c r="H64" s="39">
        <v>6.3299999999999995E-2</v>
      </c>
      <c r="I64" s="26"/>
    </row>
    <row r="65" spans="2:9" x14ac:dyDescent="0.2">
      <c r="B65" s="87" t="s">
        <v>65</v>
      </c>
      <c r="C65" s="34"/>
      <c r="D65" s="34"/>
      <c r="E65" s="43"/>
      <c r="F65" s="47">
        <f>SUM(F63:F64)</f>
        <v>2.7242139999999999</v>
      </c>
      <c r="G65" s="48">
        <f>SUM(G63:G64)</f>
        <v>1.5834279393912E-2</v>
      </c>
      <c r="H65" s="46"/>
      <c r="I65" s="26"/>
    </row>
    <row r="66" spans="2:9" x14ac:dyDescent="0.2">
      <c r="B66" s="34" t="s">
        <v>410</v>
      </c>
      <c r="C66" s="34"/>
      <c r="D66" s="34"/>
      <c r="E66" s="43"/>
      <c r="F66" s="95" t="s">
        <v>411</v>
      </c>
      <c r="G66" s="96" t="s">
        <v>411</v>
      </c>
      <c r="H66" s="34"/>
      <c r="I66" s="26"/>
    </row>
    <row r="67" spans="2:9" x14ac:dyDescent="0.2">
      <c r="B67" s="91" t="s">
        <v>105</v>
      </c>
      <c r="C67" s="92"/>
      <c r="D67" s="92"/>
      <c r="E67" s="92"/>
      <c r="F67" s="93">
        <f>F65</f>
        <v>2.7242139999999999</v>
      </c>
      <c r="G67" s="94">
        <f>G65</f>
        <v>1.5834279393912E-2</v>
      </c>
      <c r="H67" s="34"/>
      <c r="I67" s="26"/>
    </row>
    <row r="68" spans="2:9" x14ac:dyDescent="0.2">
      <c r="B68" s="34" t="s">
        <v>113</v>
      </c>
      <c r="C68" s="34"/>
      <c r="D68" s="34"/>
      <c r="E68" s="43"/>
      <c r="F68" s="44">
        <v>107.5331391</v>
      </c>
      <c r="G68" s="45">
        <v>0.62502790478787895</v>
      </c>
      <c r="H68" s="41">
        <v>4.9299999999999997E-2</v>
      </c>
      <c r="I68" s="27"/>
    </row>
    <row r="69" spans="2:9" x14ac:dyDescent="0.2">
      <c r="B69" s="35"/>
      <c r="C69" s="35"/>
      <c r="D69" s="35"/>
      <c r="E69" s="36"/>
      <c r="F69" s="37"/>
      <c r="G69" s="38"/>
      <c r="H69" s="35"/>
    </row>
    <row r="70" spans="2:9" x14ac:dyDescent="0.2">
      <c r="B70" s="58" t="s">
        <v>115</v>
      </c>
      <c r="C70" s="58"/>
      <c r="D70" s="58"/>
      <c r="E70" s="59"/>
      <c r="F70" s="44">
        <f>F71-(F57+F67+F68)</f>
        <v>-58.329152200003591</v>
      </c>
      <c r="G70" s="44">
        <f>G71-(G57+G67+G68)</f>
        <v>-0.33903360482872813</v>
      </c>
      <c r="H70" s="34"/>
      <c r="I70" s="26"/>
    </row>
    <row r="71" spans="2:9" x14ac:dyDescent="0.2">
      <c r="B71" s="53" t="s">
        <v>114</v>
      </c>
      <c r="C71" s="53"/>
      <c r="D71" s="53"/>
      <c r="E71" s="54"/>
      <c r="F71" s="55">
        <v>17204.5341138</v>
      </c>
      <c r="G71" s="56">
        <v>100</v>
      </c>
      <c r="H71" s="72"/>
      <c r="I71" s="26"/>
    </row>
    <row r="72" spans="2:9" x14ac:dyDescent="0.2">
      <c r="B72" s="26" t="s">
        <v>525</v>
      </c>
    </row>
    <row r="75" spans="2:9" x14ac:dyDescent="0.2">
      <c r="B75" s="26" t="s">
        <v>119</v>
      </c>
      <c r="E75" s="8"/>
      <c r="G75" s="83"/>
    </row>
    <row r="76" spans="2:9" x14ac:dyDescent="0.2">
      <c r="E76" s="8"/>
      <c r="G76" s="83"/>
    </row>
    <row r="77" spans="2:9" x14ac:dyDescent="0.2">
      <c r="E77" s="8"/>
      <c r="G77" s="83"/>
    </row>
    <row r="78" spans="2:9" x14ac:dyDescent="0.2">
      <c r="E78" s="8"/>
      <c r="G78" s="83"/>
    </row>
    <row r="79" spans="2:9" x14ac:dyDescent="0.2">
      <c r="E79" s="8"/>
      <c r="G79" s="83"/>
    </row>
    <row r="80" spans="2:9" x14ac:dyDescent="0.2">
      <c r="E80" s="8"/>
      <c r="G80" s="83"/>
    </row>
    <row r="81" spans="2:7" x14ac:dyDescent="0.2">
      <c r="E81" s="8"/>
      <c r="G81" s="83"/>
    </row>
    <row r="82" spans="2:7" x14ac:dyDescent="0.2">
      <c r="E82" s="8"/>
      <c r="G82" s="83"/>
    </row>
    <row r="83" spans="2:7" x14ac:dyDescent="0.2">
      <c r="E83" s="8"/>
      <c r="G83" s="83"/>
    </row>
    <row r="84" spans="2:7" x14ac:dyDescent="0.2">
      <c r="E84" s="8"/>
      <c r="G84" s="83"/>
    </row>
    <row r="85" spans="2:7" x14ac:dyDescent="0.2">
      <c r="E85" s="8"/>
      <c r="G85" s="83"/>
    </row>
    <row r="86" spans="2:7" x14ac:dyDescent="0.2">
      <c r="E86" s="8"/>
      <c r="G86" s="83"/>
    </row>
    <row r="87" spans="2:7" x14ac:dyDescent="0.2">
      <c r="E87" s="8"/>
      <c r="G87" s="83"/>
    </row>
    <row r="88" spans="2:7" x14ac:dyDescent="0.2">
      <c r="E88" s="8"/>
      <c r="G88" s="83"/>
    </row>
    <row r="89" spans="2:7" x14ac:dyDescent="0.2">
      <c r="E89" s="8"/>
      <c r="G89" s="83"/>
    </row>
    <row r="90" spans="2:7" x14ac:dyDescent="0.2">
      <c r="E90" s="8"/>
      <c r="G90" s="83"/>
    </row>
    <row r="91" spans="2:7" x14ac:dyDescent="0.2">
      <c r="B91" s="84" t="s">
        <v>1475</v>
      </c>
      <c r="E91" s="8"/>
      <c r="G91" s="83"/>
    </row>
    <row r="92" spans="2:7" x14ac:dyDescent="0.2">
      <c r="B92" s="85" t="s">
        <v>1483</v>
      </c>
      <c r="E92" s="8"/>
      <c r="G92" s="83"/>
    </row>
    <row r="93" spans="2:7" x14ac:dyDescent="0.2">
      <c r="E93" s="8"/>
      <c r="G93" s="83"/>
    </row>
    <row r="94" spans="2:7" x14ac:dyDescent="0.2">
      <c r="E94" s="8"/>
      <c r="G94" s="83"/>
    </row>
    <row r="95" spans="2:7" x14ac:dyDescent="0.2">
      <c r="E95" s="8"/>
      <c r="G95" s="83"/>
    </row>
    <row r="96" spans="2:7" x14ac:dyDescent="0.2">
      <c r="E96" s="8"/>
      <c r="G96" s="83"/>
    </row>
    <row r="97" spans="5:7" x14ac:dyDescent="0.2">
      <c r="E97" s="8"/>
      <c r="G97" s="83"/>
    </row>
    <row r="98" spans="5:7" x14ac:dyDescent="0.2">
      <c r="E98" s="8"/>
      <c r="G98" s="83"/>
    </row>
    <row r="99" spans="5:7" x14ac:dyDescent="0.2">
      <c r="E99" s="8"/>
      <c r="G99" s="83"/>
    </row>
    <row r="100" spans="5:7" x14ac:dyDescent="0.2">
      <c r="E100" s="8"/>
      <c r="G100" s="83"/>
    </row>
    <row r="101" spans="5:7" x14ac:dyDescent="0.2">
      <c r="E101" s="8"/>
      <c r="G101" s="83"/>
    </row>
    <row r="102" spans="5:7" x14ac:dyDescent="0.2">
      <c r="E102" s="8"/>
      <c r="G102" s="83"/>
    </row>
    <row r="103" spans="5:7" x14ac:dyDescent="0.2">
      <c r="E103" s="8"/>
      <c r="G103" s="83"/>
    </row>
    <row r="104" spans="5:7" x14ac:dyDescent="0.2">
      <c r="E104" s="8"/>
      <c r="G104" s="83"/>
    </row>
    <row r="105" spans="5:7" x14ac:dyDescent="0.2">
      <c r="E105" s="8"/>
      <c r="G105" s="83"/>
    </row>
    <row r="106" spans="5:7" x14ac:dyDescent="0.2">
      <c r="E106" s="8"/>
      <c r="G106" s="83"/>
    </row>
    <row r="107" spans="5:7" x14ac:dyDescent="0.2">
      <c r="E107" s="8"/>
      <c r="G107" s="83"/>
    </row>
    <row r="108" spans="5:7" x14ac:dyDescent="0.2">
      <c r="E108" s="8"/>
      <c r="G108" s="83"/>
    </row>
    <row r="109" spans="5:7" x14ac:dyDescent="0.2">
      <c r="E109" s="8"/>
      <c r="G109" s="83"/>
    </row>
    <row r="110" spans="5:7" x14ac:dyDescent="0.2">
      <c r="E110" s="8"/>
      <c r="G110" s="83"/>
    </row>
    <row r="111" spans="5:7" x14ac:dyDescent="0.2">
      <c r="E111" s="8"/>
      <c r="G111" s="83"/>
    </row>
    <row r="112" spans="5:7" x14ac:dyDescent="0.2">
      <c r="E112" s="8"/>
      <c r="G112" s="83"/>
    </row>
    <row r="113" spans="5:7" x14ac:dyDescent="0.2">
      <c r="E113" s="8"/>
      <c r="G113" s="83"/>
    </row>
    <row r="114" spans="5:7" x14ac:dyDescent="0.2">
      <c r="E114" s="8"/>
      <c r="G114" s="83"/>
    </row>
    <row r="115" spans="5:7" x14ac:dyDescent="0.2">
      <c r="E115" s="8"/>
      <c r="G115" s="83"/>
    </row>
    <row r="116" spans="5:7" x14ac:dyDescent="0.2">
      <c r="E116" s="8"/>
      <c r="G116" s="83"/>
    </row>
    <row r="117" spans="5:7" x14ac:dyDescent="0.2">
      <c r="E117" s="8"/>
      <c r="G117" s="83"/>
    </row>
    <row r="118" spans="5:7" x14ac:dyDescent="0.2">
      <c r="E118" s="8"/>
      <c r="G118" s="83"/>
    </row>
    <row r="119" spans="5:7" x14ac:dyDescent="0.2">
      <c r="E119" s="8"/>
      <c r="G119" s="83"/>
    </row>
    <row r="120" spans="5:7" x14ac:dyDescent="0.2">
      <c r="E120" s="8"/>
      <c r="G120" s="83"/>
    </row>
    <row r="121" spans="5:7" x14ac:dyDescent="0.2">
      <c r="E121" s="8"/>
      <c r="G121" s="83"/>
    </row>
    <row r="122" spans="5:7" x14ac:dyDescent="0.2">
      <c r="E122" s="8"/>
      <c r="G122" s="83"/>
    </row>
    <row r="123" spans="5:7" x14ac:dyDescent="0.2">
      <c r="E123" s="8"/>
      <c r="G123" s="83"/>
    </row>
    <row r="124" spans="5:7" x14ac:dyDescent="0.2">
      <c r="E124" s="8"/>
      <c r="G124" s="83"/>
    </row>
    <row r="125" spans="5:7" x14ac:dyDescent="0.2">
      <c r="E125" s="8"/>
      <c r="G125" s="83"/>
    </row>
    <row r="126" spans="5:7" x14ac:dyDescent="0.2">
      <c r="E126" s="8"/>
      <c r="G126" s="83"/>
    </row>
    <row r="127" spans="5:7" x14ac:dyDescent="0.2">
      <c r="E127" s="8"/>
      <c r="G127" s="83"/>
    </row>
    <row r="128" spans="5:7" x14ac:dyDescent="0.2">
      <c r="E128" s="8"/>
      <c r="G128" s="83"/>
    </row>
    <row r="129" spans="5:7" x14ac:dyDescent="0.2">
      <c r="E129" s="8"/>
      <c r="G129" s="83"/>
    </row>
    <row r="130" spans="5:7" x14ac:dyDescent="0.2">
      <c r="E130" s="8"/>
      <c r="G130" s="83"/>
    </row>
    <row r="131" spans="5:7" x14ac:dyDescent="0.2">
      <c r="E131" s="8"/>
      <c r="G131" s="83"/>
    </row>
    <row r="132" spans="5:7" x14ac:dyDescent="0.2">
      <c r="E132" s="8"/>
      <c r="G132" s="83"/>
    </row>
    <row r="133" spans="5:7" x14ac:dyDescent="0.2">
      <c r="E133" s="8"/>
      <c r="G133" s="83"/>
    </row>
    <row r="134" spans="5:7" x14ac:dyDescent="0.2">
      <c r="E134" s="8"/>
      <c r="G134" s="83"/>
    </row>
    <row r="135" spans="5:7" x14ac:dyDescent="0.2">
      <c r="E135" s="8"/>
      <c r="G135" s="83"/>
    </row>
    <row r="136" spans="5:7" x14ac:dyDescent="0.2">
      <c r="E136" s="8"/>
      <c r="G136" s="83"/>
    </row>
    <row r="137" spans="5:7" x14ac:dyDescent="0.2">
      <c r="E137" s="8"/>
      <c r="G137" s="83"/>
    </row>
    <row r="138" spans="5:7" x14ac:dyDescent="0.2">
      <c r="E138" s="8"/>
      <c r="G138" s="83"/>
    </row>
    <row r="139" spans="5:7" x14ac:dyDescent="0.2">
      <c r="E139" s="8"/>
      <c r="G139" s="83"/>
    </row>
    <row r="140" spans="5:7" x14ac:dyDescent="0.2">
      <c r="E140" s="8"/>
      <c r="G140" s="83"/>
    </row>
    <row r="141" spans="5:7" x14ac:dyDescent="0.2">
      <c r="E141" s="8"/>
      <c r="G141" s="83"/>
    </row>
    <row r="142" spans="5:7" x14ac:dyDescent="0.2">
      <c r="E142" s="8"/>
      <c r="G142" s="83"/>
    </row>
    <row r="143" spans="5:7" x14ac:dyDescent="0.2">
      <c r="E143" s="8"/>
      <c r="G143" s="83"/>
    </row>
    <row r="144" spans="5:7" x14ac:dyDescent="0.2"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5:7" x14ac:dyDescent="0.2">
      <c r="E161" s="8"/>
      <c r="G161" s="83"/>
    </row>
    <row r="162" spans="5:7" x14ac:dyDescent="0.2">
      <c r="E162" s="8"/>
      <c r="G162" s="83"/>
    </row>
    <row r="163" spans="5:7" x14ac:dyDescent="0.2">
      <c r="E163" s="8"/>
      <c r="G163" s="83"/>
    </row>
    <row r="164" spans="5:7" x14ac:dyDescent="0.2">
      <c r="E164" s="8"/>
      <c r="G164" s="83"/>
    </row>
    <row r="165" spans="5:7" x14ac:dyDescent="0.2">
      <c r="E165" s="8"/>
      <c r="G165" s="83"/>
    </row>
    <row r="166" spans="5:7" x14ac:dyDescent="0.2">
      <c r="E166" s="8"/>
      <c r="G166" s="83"/>
    </row>
    <row r="167" spans="5:7" x14ac:dyDescent="0.2">
      <c r="E167" s="8"/>
      <c r="G167" s="83"/>
    </row>
    <row r="168" spans="5:7" x14ac:dyDescent="0.2">
      <c r="E168" s="8"/>
      <c r="G168" s="83"/>
    </row>
    <row r="169" spans="5:7" x14ac:dyDescent="0.2">
      <c r="E169" s="8"/>
      <c r="G169" s="83"/>
    </row>
    <row r="170" spans="5:7" x14ac:dyDescent="0.2">
      <c r="E170" s="8"/>
      <c r="G170" s="83"/>
    </row>
    <row r="171" spans="5:7" x14ac:dyDescent="0.2">
      <c r="E171" s="8"/>
      <c r="G171" s="83"/>
    </row>
    <row r="172" spans="5:7" x14ac:dyDescent="0.2">
      <c r="E172" s="8"/>
      <c r="G172" s="83"/>
    </row>
    <row r="173" spans="5:7" x14ac:dyDescent="0.2">
      <c r="E173" s="8"/>
      <c r="G173" s="83"/>
    </row>
    <row r="174" spans="5:7" x14ac:dyDescent="0.2">
      <c r="E174" s="8"/>
      <c r="G174" s="83"/>
    </row>
    <row r="175" spans="5:7" x14ac:dyDescent="0.2">
      <c r="E175" s="8"/>
      <c r="G175" s="83"/>
    </row>
    <row r="176" spans="5:7" x14ac:dyDescent="0.2">
      <c r="E176" s="8"/>
      <c r="G176" s="83"/>
    </row>
    <row r="177" spans="5:7" x14ac:dyDescent="0.2">
      <c r="E177" s="8"/>
      <c r="G177" s="83"/>
    </row>
    <row r="178" spans="5:7" x14ac:dyDescent="0.2">
      <c r="E178" s="8"/>
      <c r="G178" s="83"/>
    </row>
    <row r="179" spans="5:7" x14ac:dyDescent="0.2">
      <c r="E179" s="8"/>
      <c r="G179" s="83"/>
    </row>
    <row r="180" spans="5:7" x14ac:dyDescent="0.2">
      <c r="E180" s="8"/>
      <c r="G180" s="83"/>
    </row>
    <row r="181" spans="5:7" x14ac:dyDescent="0.2">
      <c r="E181" s="8"/>
      <c r="G181" s="83"/>
    </row>
    <row r="182" spans="5:7" x14ac:dyDescent="0.2">
      <c r="E182" s="8"/>
      <c r="G182" s="83"/>
    </row>
    <row r="183" spans="5:7" x14ac:dyDescent="0.2">
      <c r="E183" s="8"/>
      <c r="G183" s="83"/>
    </row>
    <row r="184" spans="5:7" x14ac:dyDescent="0.2">
      <c r="E184" s="8"/>
      <c r="G184" s="83"/>
    </row>
    <row r="185" spans="5:7" x14ac:dyDescent="0.2">
      <c r="E185" s="8"/>
      <c r="G185" s="83"/>
    </row>
    <row r="186" spans="5:7" x14ac:dyDescent="0.2">
      <c r="E186" s="8"/>
      <c r="G186" s="83"/>
    </row>
    <row r="187" spans="5:7" x14ac:dyDescent="0.2">
      <c r="E187" s="8"/>
      <c r="G187" s="83"/>
    </row>
    <row r="188" spans="5:7" x14ac:dyDescent="0.2">
      <c r="E188" s="8"/>
      <c r="G188" s="83"/>
    </row>
    <row r="189" spans="5:7" x14ac:dyDescent="0.2">
      <c r="E189" s="8"/>
      <c r="G189" s="83"/>
    </row>
    <row r="190" spans="5:7" x14ac:dyDescent="0.2">
      <c r="E190" s="8"/>
      <c r="G190" s="83"/>
    </row>
    <row r="191" spans="5:7" x14ac:dyDescent="0.2">
      <c r="E191" s="8"/>
      <c r="G191" s="83"/>
    </row>
    <row r="192" spans="5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  <row r="397" spans="5:7" x14ac:dyDescent="0.2">
      <c r="E397" s="8"/>
      <c r="G397" s="83"/>
    </row>
    <row r="398" spans="5:7" x14ac:dyDescent="0.2">
      <c r="E398" s="8"/>
      <c r="G398" s="83"/>
    </row>
    <row r="399" spans="5:7" x14ac:dyDescent="0.2">
      <c r="E399" s="8"/>
      <c r="G399" s="83"/>
    </row>
    <row r="400" spans="5:7" x14ac:dyDescent="0.2">
      <c r="E400" s="8"/>
      <c r="G400" s="83"/>
    </row>
    <row r="401" spans="5:7" x14ac:dyDescent="0.2">
      <c r="E401" s="8"/>
      <c r="G401" s="83"/>
    </row>
    <row r="402" spans="5:7" x14ac:dyDescent="0.2">
      <c r="E402" s="8"/>
      <c r="G402" s="83"/>
    </row>
    <row r="403" spans="5:7" x14ac:dyDescent="0.2">
      <c r="E403" s="8"/>
      <c r="G403" s="83"/>
    </row>
    <row r="404" spans="5:7" x14ac:dyDescent="0.2">
      <c r="E404" s="8"/>
      <c r="G404" s="83"/>
    </row>
    <row r="405" spans="5:7" x14ac:dyDescent="0.2">
      <c r="E405" s="8"/>
      <c r="G405" s="83"/>
    </row>
    <row r="406" spans="5:7" x14ac:dyDescent="0.2">
      <c r="E406" s="8"/>
      <c r="G406" s="83"/>
    </row>
    <row r="407" spans="5:7" x14ac:dyDescent="0.2">
      <c r="E407" s="8"/>
      <c r="G407" s="83"/>
    </row>
    <row r="408" spans="5:7" x14ac:dyDescent="0.2">
      <c r="E408" s="8"/>
      <c r="G408" s="83"/>
    </row>
    <row r="409" spans="5:7" x14ac:dyDescent="0.2">
      <c r="E409" s="8"/>
      <c r="G409" s="83"/>
    </row>
    <row r="410" spans="5:7" x14ac:dyDescent="0.2">
      <c r="E410" s="8"/>
      <c r="G410" s="83"/>
    </row>
    <row r="411" spans="5:7" x14ac:dyDescent="0.2">
      <c r="E411" s="8"/>
      <c r="G411" s="83"/>
    </row>
    <row r="412" spans="5:7" x14ac:dyDescent="0.2">
      <c r="E412" s="8"/>
      <c r="G412" s="83"/>
    </row>
    <row r="413" spans="5:7" x14ac:dyDescent="0.2">
      <c r="E413" s="8"/>
      <c r="G413" s="83"/>
    </row>
  </sheetData>
  <mergeCells count="1">
    <mergeCell ref="B1:C1"/>
  </mergeCells>
  <conditionalFormatting sqref="G1:G3 G5:G59 G71:G107">
    <cfRule type="cellIs" dxfId="6" priority="3" stopIfTrue="1" operator="between">
      <formula>0.009</formula>
      <formula>-0.009</formula>
    </cfRule>
  </conditionalFormatting>
  <conditionalFormatting sqref="G61:G69">
    <cfRule type="cellIs" dxfId="5" priority="1" stopIfTrue="1" operator="between">
      <formula>0.009</formula>
      <formula>-0.009</formula>
    </cfRule>
  </conditionalFormatting>
  <hyperlinks>
    <hyperlink ref="A2" location="Index!A1" display="-" xr:uid="{36BC494F-72E5-44A3-A2FE-C3291C5D72E1}"/>
  </hyperlinks>
  <pageMargins left="0.7" right="0.7" top="0.75" bottom="0.75" header="0.3" footer="0.3"/>
  <pageSetup paperSize="9" scale="60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08" min="1" max="7" man="1"/>
  </rowBreaks>
  <colBreaks count="1" manualBreakCount="1">
    <brk id="8" max="412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50B9-5155-4CBB-A2A6-12A5C0957FB2}">
  <dimension ref="A1:I511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140625" style="8" bestFit="1" customWidth="1"/>
    <col min="4" max="4" width="32.140625" style="8" bestFit="1" customWidth="1"/>
    <col min="5" max="5" width="13.7109375" style="9" bestFit="1" customWidth="1"/>
    <col min="6" max="6" width="16" style="11" customWidth="1"/>
    <col min="7" max="7" width="8.85546875" style="18" customWidth="1"/>
    <col min="8" max="8" width="13.85546875" style="8" bestFit="1" customWidth="1"/>
    <col min="9" max="16384" width="9.140625" style="8"/>
  </cols>
  <sheetData>
    <row r="1" spans="1:9" s="1" customFormat="1" ht="16.7" customHeight="1" x14ac:dyDescent="0.2">
      <c r="B1" s="98" t="s">
        <v>18</v>
      </c>
      <c r="C1" s="99"/>
      <c r="D1" s="13"/>
      <c r="E1" s="6"/>
      <c r="F1" s="7"/>
      <c r="G1" s="18"/>
    </row>
    <row r="2" spans="1:9" s="1" customFormat="1" ht="15" x14ac:dyDescent="0.25">
      <c r="A2" s="82" t="s">
        <v>1501</v>
      </c>
      <c r="E2" s="6"/>
      <c r="F2" s="7"/>
      <c r="G2" s="18"/>
    </row>
    <row r="3" spans="1:9" s="1" customFormat="1" ht="12" x14ac:dyDescent="0.2">
      <c r="B3" s="10" t="s">
        <v>9</v>
      </c>
      <c r="C3" s="2"/>
      <c r="D3" s="3"/>
      <c r="E3" s="4"/>
      <c r="F3" s="5"/>
      <c r="G3" s="18"/>
    </row>
    <row r="4" spans="1:9" s="1" customFormat="1" ht="29.25" customHeight="1" x14ac:dyDescent="0.2">
      <c r="B4" s="28" t="s">
        <v>7</v>
      </c>
      <c r="C4" s="28" t="s">
        <v>8</v>
      </c>
      <c r="D4" s="29" t="s">
        <v>412</v>
      </c>
      <c r="E4" s="30" t="s">
        <v>0</v>
      </c>
      <c r="F4" s="31" t="s">
        <v>4</v>
      </c>
      <c r="G4" s="32" t="s">
        <v>5</v>
      </c>
      <c r="H4" s="73" t="s">
        <v>6</v>
      </c>
      <c r="I4" s="12"/>
    </row>
    <row r="5" spans="1:9" x14ac:dyDescent="0.2">
      <c r="B5" s="34" t="s">
        <v>284</v>
      </c>
      <c r="C5" s="35"/>
      <c r="D5" s="35"/>
      <c r="E5" s="36"/>
      <c r="F5" s="37"/>
      <c r="G5" s="38"/>
      <c r="H5" s="35"/>
    </row>
    <row r="6" spans="1:9" x14ac:dyDescent="0.2">
      <c r="B6" s="34" t="s">
        <v>239</v>
      </c>
      <c r="C6" s="35"/>
      <c r="D6" s="35"/>
      <c r="E6" s="36"/>
      <c r="F6" s="37"/>
      <c r="G6" s="38"/>
      <c r="H6" s="35"/>
    </row>
    <row r="7" spans="1:9" x14ac:dyDescent="0.2">
      <c r="B7" s="35" t="s">
        <v>526</v>
      </c>
      <c r="C7" s="35" t="s">
        <v>527</v>
      </c>
      <c r="D7" s="35" t="s">
        <v>528</v>
      </c>
      <c r="E7" s="40">
        <v>23955</v>
      </c>
      <c r="F7" s="37">
        <v>648.48580500000003</v>
      </c>
      <c r="G7" s="38">
        <v>2.9275575494948498</v>
      </c>
      <c r="H7" s="41"/>
    </row>
    <row r="8" spans="1:9" x14ac:dyDescent="0.2">
      <c r="B8" s="35" t="s">
        <v>529</v>
      </c>
      <c r="C8" s="35" t="s">
        <v>530</v>
      </c>
      <c r="D8" s="35" t="s">
        <v>310</v>
      </c>
      <c r="E8" s="40">
        <v>7609</v>
      </c>
      <c r="F8" s="37">
        <v>434.47390000000001</v>
      </c>
      <c r="G8" s="38">
        <v>1.9614112386060201</v>
      </c>
      <c r="H8" s="41"/>
    </row>
    <row r="9" spans="1:9" x14ac:dyDescent="0.2">
      <c r="B9" s="35" t="s">
        <v>531</v>
      </c>
      <c r="C9" s="35" t="s">
        <v>532</v>
      </c>
      <c r="D9" s="35" t="s">
        <v>287</v>
      </c>
      <c r="E9" s="40">
        <v>144223</v>
      </c>
      <c r="F9" s="37">
        <v>432.45266550000002</v>
      </c>
      <c r="G9" s="38">
        <v>1.95228647400184</v>
      </c>
      <c r="H9" s="41"/>
    </row>
    <row r="10" spans="1:9" x14ac:dyDescent="0.2">
      <c r="B10" s="35" t="s">
        <v>533</v>
      </c>
      <c r="C10" s="35" t="s">
        <v>534</v>
      </c>
      <c r="D10" s="35" t="s">
        <v>535</v>
      </c>
      <c r="E10" s="40">
        <v>7923</v>
      </c>
      <c r="F10" s="37">
        <v>388.092309</v>
      </c>
      <c r="G10" s="38">
        <v>1.75202380738903</v>
      </c>
      <c r="H10" s="41"/>
    </row>
    <row r="11" spans="1:9" x14ac:dyDescent="0.2">
      <c r="B11" s="35" t="s">
        <v>536</v>
      </c>
      <c r="C11" s="35" t="s">
        <v>537</v>
      </c>
      <c r="D11" s="35" t="s">
        <v>287</v>
      </c>
      <c r="E11" s="40">
        <v>38605</v>
      </c>
      <c r="F11" s="37">
        <v>369.35333750000001</v>
      </c>
      <c r="G11" s="38">
        <v>1.66742763417812</v>
      </c>
      <c r="H11" s="41"/>
    </row>
    <row r="12" spans="1:9" x14ac:dyDescent="0.2">
      <c r="B12" s="35" t="s">
        <v>538</v>
      </c>
      <c r="C12" s="35" t="s">
        <v>539</v>
      </c>
      <c r="D12" s="35" t="s">
        <v>540</v>
      </c>
      <c r="E12" s="40">
        <v>167735</v>
      </c>
      <c r="F12" s="37">
        <v>354.08858500000002</v>
      </c>
      <c r="G12" s="38">
        <v>1.59851565325582</v>
      </c>
      <c r="H12" s="41"/>
    </row>
    <row r="13" spans="1:9" x14ac:dyDescent="0.2">
      <c r="B13" s="35" t="s">
        <v>541</v>
      </c>
      <c r="C13" s="35" t="s">
        <v>542</v>
      </c>
      <c r="D13" s="35" t="s">
        <v>295</v>
      </c>
      <c r="E13" s="40">
        <v>75873</v>
      </c>
      <c r="F13" s="37">
        <v>345.1842135</v>
      </c>
      <c r="G13" s="38">
        <v>1.55831730225516</v>
      </c>
      <c r="H13" s="41"/>
    </row>
    <row r="14" spans="1:9" x14ac:dyDescent="0.2">
      <c r="B14" s="35" t="s">
        <v>543</v>
      </c>
      <c r="C14" s="35" t="s">
        <v>544</v>
      </c>
      <c r="D14" s="35" t="s">
        <v>325</v>
      </c>
      <c r="E14" s="40">
        <v>14211</v>
      </c>
      <c r="F14" s="37">
        <v>327.12300900000002</v>
      </c>
      <c r="G14" s="38">
        <v>1.4767808751209599</v>
      </c>
      <c r="H14" s="41"/>
    </row>
    <row r="15" spans="1:9" x14ac:dyDescent="0.2">
      <c r="B15" s="35" t="s">
        <v>545</v>
      </c>
      <c r="C15" s="35" t="s">
        <v>546</v>
      </c>
      <c r="D15" s="35" t="s">
        <v>528</v>
      </c>
      <c r="E15" s="40">
        <v>11930</v>
      </c>
      <c r="F15" s="37">
        <v>321.94297999999998</v>
      </c>
      <c r="G15" s="38">
        <v>1.45339588675479</v>
      </c>
      <c r="H15" s="41"/>
    </row>
    <row r="16" spans="1:9" x14ac:dyDescent="0.2">
      <c r="B16" s="35" t="s">
        <v>547</v>
      </c>
      <c r="C16" s="35" t="s">
        <v>548</v>
      </c>
      <c r="D16" s="35" t="s">
        <v>287</v>
      </c>
      <c r="E16" s="40">
        <v>33084</v>
      </c>
      <c r="F16" s="37">
        <v>317.06051400000001</v>
      </c>
      <c r="G16" s="38">
        <v>1.43135423204432</v>
      </c>
      <c r="H16" s="41"/>
    </row>
    <row r="17" spans="2:8" x14ac:dyDescent="0.2">
      <c r="B17" s="35" t="s">
        <v>549</v>
      </c>
      <c r="C17" s="35" t="s">
        <v>550</v>
      </c>
      <c r="D17" s="35" t="s">
        <v>453</v>
      </c>
      <c r="E17" s="40">
        <v>711339</v>
      </c>
      <c r="F17" s="37">
        <v>303.5283513</v>
      </c>
      <c r="G17" s="38">
        <v>1.37026394330103</v>
      </c>
      <c r="H17" s="41"/>
    </row>
    <row r="18" spans="2:8" x14ac:dyDescent="0.2">
      <c r="B18" s="35" t="s">
        <v>551</v>
      </c>
      <c r="C18" s="35" t="s">
        <v>552</v>
      </c>
      <c r="D18" s="35" t="s">
        <v>303</v>
      </c>
      <c r="E18" s="40">
        <v>6379</v>
      </c>
      <c r="F18" s="37">
        <v>301.91807</v>
      </c>
      <c r="G18" s="38">
        <v>1.3629944068820701</v>
      </c>
      <c r="H18" s="41"/>
    </row>
    <row r="19" spans="2:8" x14ac:dyDescent="0.2">
      <c r="B19" s="35" t="s">
        <v>553</v>
      </c>
      <c r="C19" s="35" t="s">
        <v>554</v>
      </c>
      <c r="D19" s="35" t="s">
        <v>441</v>
      </c>
      <c r="E19" s="40">
        <v>15630</v>
      </c>
      <c r="F19" s="37">
        <v>298.72055999999998</v>
      </c>
      <c r="G19" s="38">
        <v>1.3485594038829101</v>
      </c>
      <c r="H19" s="41"/>
    </row>
    <row r="20" spans="2:8" x14ac:dyDescent="0.2">
      <c r="B20" s="35" t="s">
        <v>555</v>
      </c>
      <c r="C20" s="35" t="s">
        <v>556</v>
      </c>
      <c r="D20" s="35" t="s">
        <v>557</v>
      </c>
      <c r="E20" s="40">
        <v>19988</v>
      </c>
      <c r="F20" s="37">
        <v>296.14220799999998</v>
      </c>
      <c r="G20" s="38">
        <v>1.3369195594874701</v>
      </c>
      <c r="H20" s="41"/>
    </row>
    <row r="21" spans="2:8" x14ac:dyDescent="0.2">
      <c r="B21" s="35" t="s">
        <v>558</v>
      </c>
      <c r="C21" s="35" t="s">
        <v>559</v>
      </c>
      <c r="D21" s="35" t="s">
        <v>391</v>
      </c>
      <c r="E21" s="40">
        <v>30549</v>
      </c>
      <c r="F21" s="37">
        <v>287.97014849999999</v>
      </c>
      <c r="G21" s="38">
        <v>1.30002719530666</v>
      </c>
      <c r="H21" s="41"/>
    </row>
    <row r="22" spans="2:8" x14ac:dyDescent="0.2">
      <c r="B22" s="35" t="s">
        <v>560</v>
      </c>
      <c r="C22" s="35" t="s">
        <v>561</v>
      </c>
      <c r="D22" s="35" t="s">
        <v>287</v>
      </c>
      <c r="E22" s="40">
        <v>387997</v>
      </c>
      <c r="F22" s="37">
        <v>285.10019560000001</v>
      </c>
      <c r="G22" s="38">
        <v>1.2870709328652701</v>
      </c>
      <c r="H22" s="41"/>
    </row>
    <row r="23" spans="2:8" x14ac:dyDescent="0.2">
      <c r="B23" s="35" t="s">
        <v>562</v>
      </c>
      <c r="C23" s="35" t="s">
        <v>563</v>
      </c>
      <c r="D23" s="35" t="s">
        <v>382</v>
      </c>
      <c r="E23" s="40">
        <v>15454</v>
      </c>
      <c r="F23" s="37">
        <v>280.24283600000001</v>
      </c>
      <c r="G23" s="38">
        <v>1.26514261977353</v>
      </c>
      <c r="H23" s="41"/>
    </row>
    <row r="24" spans="2:8" x14ac:dyDescent="0.2">
      <c r="B24" s="35" t="s">
        <v>564</v>
      </c>
      <c r="C24" s="35" t="s">
        <v>565</v>
      </c>
      <c r="D24" s="35" t="s">
        <v>453</v>
      </c>
      <c r="E24" s="40">
        <v>7263</v>
      </c>
      <c r="F24" s="37">
        <v>279.64002599999998</v>
      </c>
      <c r="G24" s="38">
        <v>1.2624212634187699</v>
      </c>
      <c r="H24" s="41"/>
    </row>
    <row r="25" spans="2:8" x14ac:dyDescent="0.2">
      <c r="B25" s="35" t="s">
        <v>566</v>
      </c>
      <c r="C25" s="35" t="s">
        <v>567</v>
      </c>
      <c r="D25" s="35" t="s">
        <v>535</v>
      </c>
      <c r="E25" s="40">
        <v>3087</v>
      </c>
      <c r="F25" s="37">
        <v>265.80613499999998</v>
      </c>
      <c r="G25" s="38">
        <v>1.199968836976</v>
      </c>
      <c r="H25" s="41"/>
    </row>
    <row r="26" spans="2:8" x14ac:dyDescent="0.2">
      <c r="B26" s="35" t="s">
        <v>568</v>
      </c>
      <c r="C26" s="35" t="s">
        <v>569</v>
      </c>
      <c r="D26" s="35" t="s">
        <v>557</v>
      </c>
      <c r="E26" s="40">
        <v>23799</v>
      </c>
      <c r="F26" s="37">
        <v>261.38441699999998</v>
      </c>
      <c r="G26" s="38">
        <v>1.18000720664758</v>
      </c>
      <c r="H26" s="41"/>
    </row>
    <row r="27" spans="2:8" x14ac:dyDescent="0.2">
      <c r="B27" s="35" t="s">
        <v>570</v>
      </c>
      <c r="C27" s="35" t="s">
        <v>571</v>
      </c>
      <c r="D27" s="35" t="s">
        <v>331</v>
      </c>
      <c r="E27" s="40">
        <v>2411</v>
      </c>
      <c r="F27" s="37">
        <v>253.83008000000001</v>
      </c>
      <c r="G27" s="38">
        <v>1.14590352057572</v>
      </c>
      <c r="H27" s="41"/>
    </row>
    <row r="28" spans="2:8" x14ac:dyDescent="0.2">
      <c r="B28" s="35" t="s">
        <v>572</v>
      </c>
      <c r="C28" s="35" t="s">
        <v>573</v>
      </c>
      <c r="D28" s="35" t="s">
        <v>292</v>
      </c>
      <c r="E28" s="40">
        <v>56300</v>
      </c>
      <c r="F28" s="37">
        <v>247.01625000000001</v>
      </c>
      <c r="G28" s="38">
        <v>1.11514281725166</v>
      </c>
      <c r="H28" s="41"/>
    </row>
    <row r="29" spans="2:8" x14ac:dyDescent="0.2">
      <c r="B29" s="35" t="s">
        <v>574</v>
      </c>
      <c r="C29" s="35" t="s">
        <v>575</v>
      </c>
      <c r="D29" s="35" t="s">
        <v>404</v>
      </c>
      <c r="E29" s="40">
        <v>30986</v>
      </c>
      <c r="F29" s="37">
        <v>244.37108900000001</v>
      </c>
      <c r="G29" s="38">
        <v>1.1032013668830101</v>
      </c>
      <c r="H29" s="41"/>
    </row>
    <row r="30" spans="2:8" x14ac:dyDescent="0.2">
      <c r="B30" s="35" t="s">
        <v>576</v>
      </c>
      <c r="C30" s="35" t="s">
        <v>577</v>
      </c>
      <c r="D30" s="35" t="s">
        <v>535</v>
      </c>
      <c r="E30" s="40">
        <v>10655</v>
      </c>
      <c r="F30" s="37">
        <v>238.09663</v>
      </c>
      <c r="G30" s="38">
        <v>1.0748756276411999</v>
      </c>
      <c r="H30" s="41"/>
    </row>
    <row r="31" spans="2:8" x14ac:dyDescent="0.2">
      <c r="B31" s="35" t="s">
        <v>578</v>
      </c>
      <c r="C31" s="35" t="s">
        <v>579</v>
      </c>
      <c r="D31" s="35" t="s">
        <v>334</v>
      </c>
      <c r="E31" s="40">
        <v>78353</v>
      </c>
      <c r="F31" s="37">
        <v>236.43017750000001</v>
      </c>
      <c r="G31" s="38">
        <v>1.0673525090784901</v>
      </c>
      <c r="H31" s="41"/>
    </row>
    <row r="32" spans="2:8" x14ac:dyDescent="0.2">
      <c r="B32" s="35" t="s">
        <v>580</v>
      </c>
      <c r="C32" s="35" t="s">
        <v>581</v>
      </c>
      <c r="D32" s="35" t="s">
        <v>303</v>
      </c>
      <c r="E32" s="40">
        <v>19627</v>
      </c>
      <c r="F32" s="37">
        <v>232.736966</v>
      </c>
      <c r="G32" s="38">
        <v>1.0506796858256999</v>
      </c>
      <c r="H32" s="41"/>
    </row>
    <row r="33" spans="2:8" x14ac:dyDescent="0.2">
      <c r="B33" s="35" t="s">
        <v>582</v>
      </c>
      <c r="C33" s="35" t="s">
        <v>583</v>
      </c>
      <c r="D33" s="35" t="s">
        <v>287</v>
      </c>
      <c r="E33" s="40">
        <v>113274</v>
      </c>
      <c r="F33" s="37">
        <v>229.1193198</v>
      </c>
      <c r="G33" s="38">
        <v>1.0343479984355499</v>
      </c>
      <c r="H33" s="41"/>
    </row>
    <row r="34" spans="2:8" x14ac:dyDescent="0.2">
      <c r="B34" s="35" t="s">
        <v>584</v>
      </c>
      <c r="C34" s="35" t="s">
        <v>585</v>
      </c>
      <c r="D34" s="35" t="s">
        <v>453</v>
      </c>
      <c r="E34" s="40">
        <v>85572</v>
      </c>
      <c r="F34" s="37">
        <v>226.72301400000001</v>
      </c>
      <c r="G34" s="38">
        <v>1.02352999273427</v>
      </c>
      <c r="H34" s="41"/>
    </row>
    <row r="35" spans="2:8" x14ac:dyDescent="0.2">
      <c r="B35" s="35" t="s">
        <v>586</v>
      </c>
      <c r="C35" s="35" t="s">
        <v>587</v>
      </c>
      <c r="D35" s="35" t="s">
        <v>318</v>
      </c>
      <c r="E35" s="40">
        <v>4036</v>
      </c>
      <c r="F35" s="37">
        <v>222.36341999999999</v>
      </c>
      <c r="G35" s="38">
        <v>1.0038488181749701</v>
      </c>
      <c r="H35" s="41"/>
    </row>
    <row r="36" spans="2:8" x14ac:dyDescent="0.2">
      <c r="B36" s="35" t="s">
        <v>588</v>
      </c>
      <c r="C36" s="35" t="s">
        <v>589</v>
      </c>
      <c r="D36" s="35" t="s">
        <v>463</v>
      </c>
      <c r="E36" s="40">
        <v>8511</v>
      </c>
      <c r="F36" s="37">
        <v>218.06884199999999</v>
      </c>
      <c r="G36" s="38">
        <v>0.98446115517779098</v>
      </c>
      <c r="H36" s="41"/>
    </row>
    <row r="37" spans="2:8" x14ac:dyDescent="0.2">
      <c r="B37" s="35" t="s">
        <v>590</v>
      </c>
      <c r="C37" s="35" t="s">
        <v>591</v>
      </c>
      <c r="D37" s="35" t="s">
        <v>287</v>
      </c>
      <c r="E37" s="40">
        <v>1029215</v>
      </c>
      <c r="F37" s="37">
        <v>213.25334799999999</v>
      </c>
      <c r="G37" s="38">
        <v>0.96272184229607405</v>
      </c>
      <c r="H37" s="41"/>
    </row>
    <row r="38" spans="2:8" x14ac:dyDescent="0.2">
      <c r="B38" s="35" t="s">
        <v>592</v>
      </c>
      <c r="C38" s="35" t="s">
        <v>593</v>
      </c>
      <c r="D38" s="35" t="s">
        <v>334</v>
      </c>
      <c r="E38" s="40">
        <v>80078</v>
      </c>
      <c r="F38" s="37">
        <v>212.5910744</v>
      </c>
      <c r="G38" s="38">
        <v>0.95973204041828097</v>
      </c>
      <c r="H38" s="41"/>
    </row>
    <row r="39" spans="2:8" x14ac:dyDescent="0.2">
      <c r="B39" s="35" t="s">
        <v>594</v>
      </c>
      <c r="C39" s="35" t="s">
        <v>595</v>
      </c>
      <c r="D39" s="35" t="s">
        <v>318</v>
      </c>
      <c r="E39" s="40">
        <v>6287</v>
      </c>
      <c r="F39" s="37">
        <v>210.83454499999999</v>
      </c>
      <c r="G39" s="38">
        <v>0.95180227408225504</v>
      </c>
      <c r="H39" s="41"/>
    </row>
    <row r="40" spans="2:8" x14ac:dyDescent="0.2">
      <c r="B40" s="35" t="s">
        <v>596</v>
      </c>
      <c r="C40" s="35" t="s">
        <v>597</v>
      </c>
      <c r="D40" s="35" t="s">
        <v>359</v>
      </c>
      <c r="E40" s="40">
        <v>209173</v>
      </c>
      <c r="F40" s="37">
        <v>210.49078990000001</v>
      </c>
      <c r="G40" s="38">
        <v>0.95025040844321895</v>
      </c>
      <c r="H40" s="41"/>
    </row>
    <row r="41" spans="2:8" x14ac:dyDescent="0.2">
      <c r="B41" s="35" t="s">
        <v>598</v>
      </c>
      <c r="C41" s="35" t="s">
        <v>599</v>
      </c>
      <c r="D41" s="35" t="s">
        <v>600</v>
      </c>
      <c r="E41" s="40">
        <v>32836</v>
      </c>
      <c r="F41" s="37">
        <v>209.29666399999999</v>
      </c>
      <c r="G41" s="38">
        <v>0.94485958528774205</v>
      </c>
      <c r="H41" s="41"/>
    </row>
    <row r="42" spans="2:8" x14ac:dyDescent="0.2">
      <c r="B42" s="35" t="s">
        <v>601</v>
      </c>
      <c r="C42" s="35" t="s">
        <v>602</v>
      </c>
      <c r="D42" s="35" t="s">
        <v>331</v>
      </c>
      <c r="E42" s="40">
        <v>13349</v>
      </c>
      <c r="F42" s="37">
        <v>208.41793699999999</v>
      </c>
      <c r="G42" s="38">
        <v>0.94089261508891797</v>
      </c>
      <c r="H42" s="41"/>
    </row>
    <row r="43" spans="2:8" x14ac:dyDescent="0.2">
      <c r="B43" s="35" t="s">
        <v>603</v>
      </c>
      <c r="C43" s="35" t="s">
        <v>604</v>
      </c>
      <c r="D43" s="35" t="s">
        <v>287</v>
      </c>
      <c r="E43" s="40">
        <v>20716</v>
      </c>
      <c r="F43" s="37">
        <v>205.19198</v>
      </c>
      <c r="G43" s="38">
        <v>0.92632918949520704</v>
      </c>
      <c r="H43" s="41"/>
    </row>
    <row r="44" spans="2:8" x14ac:dyDescent="0.2">
      <c r="B44" s="35" t="s">
        <v>605</v>
      </c>
      <c r="C44" s="35" t="s">
        <v>606</v>
      </c>
      <c r="D44" s="35" t="s">
        <v>325</v>
      </c>
      <c r="E44" s="40">
        <v>16396</v>
      </c>
      <c r="F44" s="37">
        <v>200.09678400000001</v>
      </c>
      <c r="G44" s="38">
        <v>0.90332717557146902</v>
      </c>
      <c r="H44" s="41"/>
    </row>
    <row r="45" spans="2:8" x14ac:dyDescent="0.2">
      <c r="B45" s="35" t="s">
        <v>607</v>
      </c>
      <c r="C45" s="35" t="s">
        <v>608</v>
      </c>
      <c r="D45" s="35" t="s">
        <v>325</v>
      </c>
      <c r="E45" s="40">
        <v>3430</v>
      </c>
      <c r="F45" s="37">
        <v>193.43485000000001</v>
      </c>
      <c r="G45" s="38">
        <v>0.87325219933365295</v>
      </c>
      <c r="H45" s="41"/>
    </row>
    <row r="46" spans="2:8" x14ac:dyDescent="0.2">
      <c r="B46" s="35" t="s">
        <v>609</v>
      </c>
      <c r="C46" s="35" t="s">
        <v>610</v>
      </c>
      <c r="D46" s="35" t="s">
        <v>453</v>
      </c>
      <c r="E46" s="40">
        <v>746</v>
      </c>
      <c r="F46" s="37">
        <v>190.69252</v>
      </c>
      <c r="G46" s="38">
        <v>0.860872084252018</v>
      </c>
      <c r="H46" s="41"/>
    </row>
    <row r="47" spans="2:8" x14ac:dyDescent="0.2">
      <c r="B47" s="35" t="s">
        <v>611</v>
      </c>
      <c r="C47" s="35" t="s">
        <v>612</v>
      </c>
      <c r="D47" s="35" t="s">
        <v>325</v>
      </c>
      <c r="E47" s="40">
        <v>8828</v>
      </c>
      <c r="F47" s="37">
        <v>188.62787599999999</v>
      </c>
      <c r="G47" s="38">
        <v>0.85155134957654</v>
      </c>
      <c r="H47" s="41"/>
    </row>
    <row r="48" spans="2:8" x14ac:dyDescent="0.2">
      <c r="B48" s="35" t="s">
        <v>613</v>
      </c>
      <c r="C48" s="35" t="s">
        <v>614</v>
      </c>
      <c r="D48" s="35" t="s">
        <v>352</v>
      </c>
      <c r="E48" s="40">
        <v>52570</v>
      </c>
      <c r="F48" s="37">
        <v>186.41322</v>
      </c>
      <c r="G48" s="38">
        <v>0.841553393040954</v>
      </c>
      <c r="H48" s="41"/>
    </row>
    <row r="49" spans="2:8" x14ac:dyDescent="0.2">
      <c r="B49" s="35" t="s">
        <v>615</v>
      </c>
      <c r="C49" s="35" t="s">
        <v>616</v>
      </c>
      <c r="D49" s="35" t="s">
        <v>535</v>
      </c>
      <c r="E49" s="40">
        <v>3616</v>
      </c>
      <c r="F49" s="37">
        <v>183.70726400000001</v>
      </c>
      <c r="G49" s="38">
        <v>0.82933748660889195</v>
      </c>
      <c r="H49" s="41"/>
    </row>
    <row r="50" spans="2:8" x14ac:dyDescent="0.2">
      <c r="B50" s="35" t="s">
        <v>617</v>
      </c>
      <c r="C50" s="35" t="s">
        <v>618</v>
      </c>
      <c r="D50" s="35" t="s">
        <v>483</v>
      </c>
      <c r="E50" s="40">
        <v>10938</v>
      </c>
      <c r="F50" s="37">
        <v>181.41766799999999</v>
      </c>
      <c r="G50" s="38">
        <v>0.81900121709703499</v>
      </c>
      <c r="H50" s="41"/>
    </row>
    <row r="51" spans="2:8" x14ac:dyDescent="0.2">
      <c r="B51" s="35" t="s">
        <v>619</v>
      </c>
      <c r="C51" s="35" t="s">
        <v>620</v>
      </c>
      <c r="D51" s="35" t="s">
        <v>456</v>
      </c>
      <c r="E51" s="40">
        <v>34533</v>
      </c>
      <c r="F51" s="37">
        <v>179.053605</v>
      </c>
      <c r="G51" s="38">
        <v>0.80832876994434599</v>
      </c>
      <c r="H51" s="41"/>
    </row>
    <row r="52" spans="2:8" x14ac:dyDescent="0.2">
      <c r="B52" s="35" t="s">
        <v>621</v>
      </c>
      <c r="C52" s="35" t="s">
        <v>622</v>
      </c>
      <c r="D52" s="35" t="s">
        <v>328</v>
      </c>
      <c r="E52" s="40">
        <v>11154</v>
      </c>
      <c r="F52" s="37">
        <v>174.71625599999999</v>
      </c>
      <c r="G52" s="38">
        <v>0.788748019352984</v>
      </c>
      <c r="H52" s="41"/>
    </row>
    <row r="53" spans="2:8" x14ac:dyDescent="0.2">
      <c r="B53" s="35" t="s">
        <v>623</v>
      </c>
      <c r="C53" s="35" t="s">
        <v>624</v>
      </c>
      <c r="D53" s="35" t="s">
        <v>456</v>
      </c>
      <c r="E53" s="40">
        <v>7720</v>
      </c>
      <c r="F53" s="37">
        <v>174.04740000000001</v>
      </c>
      <c r="G53" s="38">
        <v>0.78572850155131801</v>
      </c>
      <c r="H53" s="41"/>
    </row>
    <row r="54" spans="2:8" x14ac:dyDescent="0.2">
      <c r="B54" s="35" t="s">
        <v>625</v>
      </c>
      <c r="C54" s="35" t="s">
        <v>626</v>
      </c>
      <c r="D54" s="35" t="s">
        <v>441</v>
      </c>
      <c r="E54" s="40">
        <v>6260</v>
      </c>
      <c r="F54" s="37">
        <v>172.36284000000001</v>
      </c>
      <c r="G54" s="38">
        <v>0.77812363756269598</v>
      </c>
      <c r="H54" s="41"/>
    </row>
    <row r="55" spans="2:8" x14ac:dyDescent="0.2">
      <c r="B55" s="35" t="s">
        <v>627</v>
      </c>
      <c r="C55" s="35" t="s">
        <v>628</v>
      </c>
      <c r="D55" s="35" t="s">
        <v>295</v>
      </c>
      <c r="E55" s="40">
        <v>1618606</v>
      </c>
      <c r="F55" s="37">
        <v>171.41037539999999</v>
      </c>
      <c r="G55" s="38">
        <v>0.77382378256377804</v>
      </c>
      <c r="H55" s="41"/>
    </row>
    <row r="56" spans="2:8" x14ac:dyDescent="0.2">
      <c r="B56" s="35" t="s">
        <v>629</v>
      </c>
      <c r="C56" s="35" t="s">
        <v>630</v>
      </c>
      <c r="D56" s="35" t="s">
        <v>441</v>
      </c>
      <c r="E56" s="40">
        <v>119</v>
      </c>
      <c r="F56" s="37">
        <v>167.77215000000001</v>
      </c>
      <c r="G56" s="38">
        <v>0.75739919137857303</v>
      </c>
      <c r="H56" s="41"/>
    </row>
    <row r="57" spans="2:8" x14ac:dyDescent="0.2">
      <c r="B57" s="35" t="s">
        <v>631</v>
      </c>
      <c r="C57" s="35" t="s">
        <v>632</v>
      </c>
      <c r="D57" s="35" t="s">
        <v>633</v>
      </c>
      <c r="E57" s="40">
        <v>202617</v>
      </c>
      <c r="F57" s="37">
        <v>165.61913580000001</v>
      </c>
      <c r="G57" s="38">
        <v>0.74767951374371699</v>
      </c>
      <c r="H57" s="41"/>
    </row>
    <row r="58" spans="2:8" x14ac:dyDescent="0.2">
      <c r="B58" s="35" t="s">
        <v>634</v>
      </c>
      <c r="C58" s="35" t="s">
        <v>635</v>
      </c>
      <c r="D58" s="35" t="s">
        <v>528</v>
      </c>
      <c r="E58" s="40">
        <v>14901</v>
      </c>
      <c r="F58" s="37">
        <v>164.44743600000001</v>
      </c>
      <c r="G58" s="38">
        <v>0.74238993212329696</v>
      </c>
      <c r="H58" s="41"/>
    </row>
    <row r="59" spans="2:8" x14ac:dyDescent="0.2">
      <c r="B59" s="35" t="s">
        <v>636</v>
      </c>
      <c r="C59" s="35" t="s">
        <v>637</v>
      </c>
      <c r="D59" s="35" t="s">
        <v>325</v>
      </c>
      <c r="E59" s="40">
        <v>41838</v>
      </c>
      <c r="F59" s="37">
        <v>163.08452399999999</v>
      </c>
      <c r="G59" s="38">
        <v>0.736237132348601</v>
      </c>
      <c r="H59" s="41"/>
    </row>
    <row r="60" spans="2:8" x14ac:dyDescent="0.2">
      <c r="B60" s="35" t="s">
        <v>638</v>
      </c>
      <c r="C60" s="35" t="s">
        <v>639</v>
      </c>
      <c r="D60" s="35" t="s">
        <v>318</v>
      </c>
      <c r="E60" s="40">
        <v>44970</v>
      </c>
      <c r="F60" s="37">
        <v>154.89916500000001</v>
      </c>
      <c r="G60" s="38">
        <v>0.69928472822346299</v>
      </c>
      <c r="H60" s="41"/>
    </row>
    <row r="61" spans="2:8" x14ac:dyDescent="0.2">
      <c r="B61" s="35" t="s">
        <v>640</v>
      </c>
      <c r="C61" s="35" t="s">
        <v>641</v>
      </c>
      <c r="D61" s="35" t="s">
        <v>369</v>
      </c>
      <c r="E61" s="40">
        <v>31973</v>
      </c>
      <c r="F61" s="37">
        <v>154.71734699999999</v>
      </c>
      <c r="G61" s="38">
        <v>0.69846391972707</v>
      </c>
      <c r="H61" s="41"/>
    </row>
    <row r="62" spans="2:8" x14ac:dyDescent="0.2">
      <c r="B62" s="35" t="s">
        <v>642</v>
      </c>
      <c r="C62" s="35" t="s">
        <v>643</v>
      </c>
      <c r="D62" s="35" t="s">
        <v>600</v>
      </c>
      <c r="E62" s="40">
        <v>6929</v>
      </c>
      <c r="F62" s="37">
        <v>153.82380000000001</v>
      </c>
      <c r="G62" s="38">
        <v>0.694430045360802</v>
      </c>
      <c r="H62" s="41"/>
    </row>
    <row r="63" spans="2:8" x14ac:dyDescent="0.2">
      <c r="B63" s="35" t="s">
        <v>644</v>
      </c>
      <c r="C63" s="35" t="s">
        <v>645</v>
      </c>
      <c r="D63" s="35" t="s">
        <v>303</v>
      </c>
      <c r="E63" s="40">
        <v>6685</v>
      </c>
      <c r="F63" s="37">
        <v>153.52102500000001</v>
      </c>
      <c r="G63" s="38">
        <v>0.69306318238521503</v>
      </c>
      <c r="H63" s="41"/>
    </row>
    <row r="64" spans="2:8" x14ac:dyDescent="0.2">
      <c r="B64" s="35" t="s">
        <v>646</v>
      </c>
      <c r="C64" s="35" t="s">
        <v>647</v>
      </c>
      <c r="D64" s="35" t="s">
        <v>453</v>
      </c>
      <c r="E64" s="40">
        <v>5616</v>
      </c>
      <c r="F64" s="37">
        <v>152.15428800000001</v>
      </c>
      <c r="G64" s="38">
        <v>0.68689311483450899</v>
      </c>
      <c r="H64" s="41"/>
    </row>
    <row r="65" spans="2:8" x14ac:dyDescent="0.2">
      <c r="B65" s="35" t="s">
        <v>648</v>
      </c>
      <c r="C65" s="35" t="s">
        <v>649</v>
      </c>
      <c r="D65" s="35" t="s">
        <v>483</v>
      </c>
      <c r="E65" s="40">
        <v>8744</v>
      </c>
      <c r="F65" s="37">
        <v>151.35864000000001</v>
      </c>
      <c r="G65" s="38">
        <v>0.68330120073063705</v>
      </c>
      <c r="H65" s="41"/>
    </row>
    <row r="66" spans="2:8" x14ac:dyDescent="0.2">
      <c r="B66" s="35" t="s">
        <v>650</v>
      </c>
      <c r="C66" s="35" t="s">
        <v>651</v>
      </c>
      <c r="D66" s="35" t="s">
        <v>382</v>
      </c>
      <c r="E66" s="40">
        <v>23034</v>
      </c>
      <c r="F66" s="37">
        <v>150.75753</v>
      </c>
      <c r="G66" s="38">
        <v>0.68058751894298797</v>
      </c>
      <c r="H66" s="41"/>
    </row>
    <row r="67" spans="2:8" x14ac:dyDescent="0.2">
      <c r="B67" s="35" t="s">
        <v>652</v>
      </c>
      <c r="C67" s="35" t="s">
        <v>653</v>
      </c>
      <c r="D67" s="35" t="s">
        <v>535</v>
      </c>
      <c r="E67" s="40">
        <v>3780</v>
      </c>
      <c r="F67" s="37">
        <v>150.26256000000001</v>
      </c>
      <c r="G67" s="38">
        <v>0.67835300101044305</v>
      </c>
      <c r="H67" s="41"/>
    </row>
    <row r="68" spans="2:8" x14ac:dyDescent="0.2">
      <c r="B68" s="35" t="s">
        <v>654</v>
      </c>
      <c r="C68" s="35" t="s">
        <v>655</v>
      </c>
      <c r="D68" s="35" t="s">
        <v>325</v>
      </c>
      <c r="E68" s="40">
        <v>6631</v>
      </c>
      <c r="F68" s="37">
        <v>149.03835599999999</v>
      </c>
      <c r="G68" s="38">
        <v>0.67282639173898495</v>
      </c>
      <c r="H68" s="41"/>
    </row>
    <row r="69" spans="2:8" x14ac:dyDescent="0.2">
      <c r="B69" s="35" t="s">
        <v>656</v>
      </c>
      <c r="C69" s="35" t="s">
        <v>657</v>
      </c>
      <c r="D69" s="35" t="s">
        <v>600</v>
      </c>
      <c r="E69" s="40">
        <v>4749</v>
      </c>
      <c r="F69" s="37">
        <v>148.04057700000001</v>
      </c>
      <c r="G69" s="38">
        <v>0.668321967090589</v>
      </c>
      <c r="H69" s="41"/>
    </row>
    <row r="70" spans="2:8" x14ac:dyDescent="0.2">
      <c r="B70" s="35" t="s">
        <v>658</v>
      </c>
      <c r="C70" s="35" t="s">
        <v>659</v>
      </c>
      <c r="D70" s="35" t="s">
        <v>331</v>
      </c>
      <c r="E70" s="40">
        <v>7607</v>
      </c>
      <c r="F70" s="37">
        <v>147.66708399999999</v>
      </c>
      <c r="G70" s="38">
        <v>0.66663585115188495</v>
      </c>
      <c r="H70" s="41"/>
    </row>
    <row r="71" spans="2:8" x14ac:dyDescent="0.2">
      <c r="B71" s="35" t="s">
        <v>660</v>
      </c>
      <c r="C71" s="35" t="s">
        <v>661</v>
      </c>
      <c r="D71" s="35" t="s">
        <v>334</v>
      </c>
      <c r="E71" s="40">
        <v>124763</v>
      </c>
      <c r="F71" s="37">
        <v>146.94586140000001</v>
      </c>
      <c r="G71" s="38">
        <v>0.663379926887674</v>
      </c>
      <c r="H71" s="41"/>
    </row>
    <row r="72" spans="2:8" x14ac:dyDescent="0.2">
      <c r="B72" s="35" t="s">
        <v>662</v>
      </c>
      <c r="C72" s="35" t="s">
        <v>663</v>
      </c>
      <c r="D72" s="35" t="s">
        <v>337</v>
      </c>
      <c r="E72" s="40">
        <v>18742</v>
      </c>
      <c r="F72" s="37">
        <v>145.50351699999999</v>
      </c>
      <c r="G72" s="38">
        <v>0.65686853341593598</v>
      </c>
      <c r="H72" s="41"/>
    </row>
    <row r="73" spans="2:8" x14ac:dyDescent="0.2">
      <c r="B73" s="35" t="s">
        <v>664</v>
      </c>
      <c r="C73" s="35" t="s">
        <v>665</v>
      </c>
      <c r="D73" s="35" t="s">
        <v>318</v>
      </c>
      <c r="E73" s="40">
        <v>38781</v>
      </c>
      <c r="F73" s="37">
        <v>145.15728300000001</v>
      </c>
      <c r="G73" s="38">
        <v>0.65530547690370899</v>
      </c>
      <c r="H73" s="41"/>
    </row>
    <row r="74" spans="2:8" x14ac:dyDescent="0.2">
      <c r="B74" s="35" t="s">
        <v>666</v>
      </c>
      <c r="C74" s="35" t="s">
        <v>667</v>
      </c>
      <c r="D74" s="35" t="s">
        <v>468</v>
      </c>
      <c r="E74" s="40">
        <v>43939</v>
      </c>
      <c r="F74" s="37">
        <v>142.098726</v>
      </c>
      <c r="G74" s="38">
        <v>0.64149777044834499</v>
      </c>
      <c r="H74" s="41"/>
    </row>
    <row r="75" spans="2:8" x14ac:dyDescent="0.2">
      <c r="B75" s="35" t="s">
        <v>668</v>
      </c>
      <c r="C75" s="35" t="s">
        <v>669</v>
      </c>
      <c r="D75" s="35" t="s">
        <v>441</v>
      </c>
      <c r="E75" s="40">
        <v>26275</v>
      </c>
      <c r="F75" s="37">
        <v>140.439875</v>
      </c>
      <c r="G75" s="38">
        <v>0.63400896848677102</v>
      </c>
      <c r="H75" s="41"/>
    </row>
    <row r="76" spans="2:8" x14ac:dyDescent="0.2">
      <c r="B76" s="35" t="s">
        <v>670</v>
      </c>
      <c r="C76" s="35" t="s">
        <v>671</v>
      </c>
      <c r="D76" s="35" t="s">
        <v>337</v>
      </c>
      <c r="E76" s="40">
        <v>84748</v>
      </c>
      <c r="F76" s="37">
        <v>140.43591079999999</v>
      </c>
      <c r="G76" s="38">
        <v>0.63399107229914697</v>
      </c>
      <c r="H76" s="41"/>
    </row>
    <row r="77" spans="2:8" x14ac:dyDescent="0.2">
      <c r="B77" s="35" t="s">
        <v>672</v>
      </c>
      <c r="C77" s="35" t="s">
        <v>673</v>
      </c>
      <c r="D77" s="35" t="s">
        <v>328</v>
      </c>
      <c r="E77" s="40">
        <v>185469</v>
      </c>
      <c r="F77" s="37">
        <v>139.71379769999999</v>
      </c>
      <c r="G77" s="38">
        <v>0.63073112791610197</v>
      </c>
      <c r="H77" s="41"/>
    </row>
    <row r="78" spans="2:8" x14ac:dyDescent="0.2">
      <c r="B78" s="35" t="s">
        <v>674</v>
      </c>
      <c r="C78" s="35" t="s">
        <v>675</v>
      </c>
      <c r="D78" s="35" t="s">
        <v>345</v>
      </c>
      <c r="E78" s="40">
        <v>2454</v>
      </c>
      <c r="F78" s="37">
        <v>138.79823999999999</v>
      </c>
      <c r="G78" s="38">
        <v>0.62659788731782395</v>
      </c>
      <c r="H78" s="41"/>
    </row>
    <row r="79" spans="2:8" x14ac:dyDescent="0.2">
      <c r="B79" s="35" t="s">
        <v>676</v>
      </c>
      <c r="C79" s="35" t="s">
        <v>677</v>
      </c>
      <c r="D79" s="35" t="s">
        <v>483</v>
      </c>
      <c r="E79" s="40">
        <v>9889</v>
      </c>
      <c r="F79" s="37">
        <v>137.75377</v>
      </c>
      <c r="G79" s="38">
        <v>0.62188267842636502</v>
      </c>
      <c r="H79" s="41"/>
    </row>
    <row r="80" spans="2:8" x14ac:dyDescent="0.2">
      <c r="B80" s="35" t="s">
        <v>678</v>
      </c>
      <c r="C80" s="35" t="s">
        <v>679</v>
      </c>
      <c r="D80" s="35" t="s">
        <v>318</v>
      </c>
      <c r="E80" s="40">
        <v>47945</v>
      </c>
      <c r="F80" s="37">
        <v>136.1398275</v>
      </c>
      <c r="G80" s="38">
        <v>0.61459661369850904</v>
      </c>
      <c r="H80" s="41"/>
    </row>
    <row r="81" spans="2:8" x14ac:dyDescent="0.2">
      <c r="B81" s="35" t="s">
        <v>680</v>
      </c>
      <c r="C81" s="35" t="s">
        <v>681</v>
      </c>
      <c r="D81" s="35" t="s">
        <v>318</v>
      </c>
      <c r="E81" s="40">
        <v>17572</v>
      </c>
      <c r="F81" s="37">
        <v>136.07756800000001</v>
      </c>
      <c r="G81" s="38">
        <v>0.61431554622124596</v>
      </c>
      <c r="H81" s="41"/>
    </row>
    <row r="82" spans="2:8" x14ac:dyDescent="0.2">
      <c r="B82" s="35" t="s">
        <v>682</v>
      </c>
      <c r="C82" s="35" t="s">
        <v>683</v>
      </c>
      <c r="D82" s="35" t="s">
        <v>441</v>
      </c>
      <c r="E82" s="40">
        <v>10626</v>
      </c>
      <c r="F82" s="37">
        <v>126.29001</v>
      </c>
      <c r="G82" s="38">
        <v>0.570130092826443</v>
      </c>
      <c r="H82" s="41"/>
    </row>
    <row r="83" spans="2:8" x14ac:dyDescent="0.2">
      <c r="B83" s="35" t="s">
        <v>684</v>
      </c>
      <c r="C83" s="35" t="s">
        <v>685</v>
      </c>
      <c r="D83" s="35" t="s">
        <v>287</v>
      </c>
      <c r="E83" s="40">
        <v>71237</v>
      </c>
      <c r="F83" s="37">
        <v>125.4127385</v>
      </c>
      <c r="G83" s="38">
        <v>0.56616969341140599</v>
      </c>
      <c r="H83" s="41"/>
    </row>
    <row r="84" spans="2:8" x14ac:dyDescent="0.2">
      <c r="B84" s="35" t="s">
        <v>686</v>
      </c>
      <c r="C84" s="35" t="s">
        <v>687</v>
      </c>
      <c r="D84" s="35" t="s">
        <v>325</v>
      </c>
      <c r="E84" s="40">
        <v>8148</v>
      </c>
      <c r="F84" s="37">
        <v>124.574772</v>
      </c>
      <c r="G84" s="38">
        <v>0.56238673450253795</v>
      </c>
      <c r="H84" s="41"/>
    </row>
    <row r="85" spans="2:8" x14ac:dyDescent="0.2">
      <c r="B85" s="35" t="s">
        <v>688</v>
      </c>
      <c r="C85" s="35" t="s">
        <v>689</v>
      </c>
      <c r="D85" s="35" t="s">
        <v>535</v>
      </c>
      <c r="E85" s="40">
        <v>7183</v>
      </c>
      <c r="F85" s="37">
        <v>119.805257</v>
      </c>
      <c r="G85" s="38">
        <v>0.54085499157459704</v>
      </c>
      <c r="H85" s="41"/>
    </row>
    <row r="86" spans="2:8" x14ac:dyDescent="0.2">
      <c r="B86" s="35" t="s">
        <v>690</v>
      </c>
      <c r="C86" s="35" t="s">
        <v>691</v>
      </c>
      <c r="D86" s="35" t="s">
        <v>444</v>
      </c>
      <c r="E86" s="40">
        <v>22945</v>
      </c>
      <c r="F86" s="37">
        <v>119.291055</v>
      </c>
      <c r="G86" s="38">
        <v>0.53853365171571599</v>
      </c>
      <c r="H86" s="41"/>
    </row>
    <row r="87" spans="2:8" x14ac:dyDescent="0.2">
      <c r="B87" s="35" t="s">
        <v>692</v>
      </c>
      <c r="C87" s="35" t="s">
        <v>693</v>
      </c>
      <c r="D87" s="35" t="s">
        <v>694</v>
      </c>
      <c r="E87" s="40">
        <v>370</v>
      </c>
      <c r="F87" s="37">
        <v>118.807</v>
      </c>
      <c r="G87" s="38">
        <v>0.536348409018506</v>
      </c>
      <c r="H87" s="41"/>
    </row>
    <row r="88" spans="2:8" x14ac:dyDescent="0.2">
      <c r="B88" s="35" t="s">
        <v>695</v>
      </c>
      <c r="C88" s="35" t="s">
        <v>696</v>
      </c>
      <c r="D88" s="35" t="s">
        <v>441</v>
      </c>
      <c r="E88" s="40">
        <v>4694</v>
      </c>
      <c r="F88" s="37">
        <v>111.900266</v>
      </c>
      <c r="G88" s="38">
        <v>0.50516829511600803</v>
      </c>
      <c r="H88" s="41"/>
    </row>
    <row r="89" spans="2:8" x14ac:dyDescent="0.2">
      <c r="B89" s="35" t="s">
        <v>697</v>
      </c>
      <c r="C89" s="35" t="s">
        <v>698</v>
      </c>
      <c r="D89" s="35" t="s">
        <v>453</v>
      </c>
      <c r="E89" s="40">
        <v>991</v>
      </c>
      <c r="F89" s="37">
        <v>110.798755</v>
      </c>
      <c r="G89" s="38">
        <v>0.50019557741110499</v>
      </c>
      <c r="H89" s="41"/>
    </row>
    <row r="90" spans="2:8" x14ac:dyDescent="0.2">
      <c r="B90" s="35" t="s">
        <v>699</v>
      </c>
      <c r="C90" s="35" t="s">
        <v>700</v>
      </c>
      <c r="D90" s="35" t="s">
        <v>295</v>
      </c>
      <c r="E90" s="40">
        <v>6885</v>
      </c>
      <c r="F90" s="37">
        <v>109.987875</v>
      </c>
      <c r="G90" s="38">
        <v>0.49653489918587501</v>
      </c>
      <c r="H90" s="41"/>
    </row>
    <row r="91" spans="2:8" x14ac:dyDescent="0.2">
      <c r="B91" s="35" t="s">
        <v>701</v>
      </c>
      <c r="C91" s="35" t="s">
        <v>702</v>
      </c>
      <c r="D91" s="35" t="s">
        <v>298</v>
      </c>
      <c r="E91" s="40">
        <v>33277</v>
      </c>
      <c r="F91" s="37">
        <v>105.2717895</v>
      </c>
      <c r="G91" s="38">
        <v>0.475244361130708</v>
      </c>
      <c r="H91" s="41"/>
    </row>
    <row r="92" spans="2:8" x14ac:dyDescent="0.2">
      <c r="B92" s="35" t="s">
        <v>703</v>
      </c>
      <c r="C92" s="35" t="s">
        <v>704</v>
      </c>
      <c r="D92" s="35" t="s">
        <v>483</v>
      </c>
      <c r="E92" s="40">
        <v>6900</v>
      </c>
      <c r="F92" s="37">
        <v>105.0732</v>
      </c>
      <c r="G92" s="38">
        <v>0.47434783851526602</v>
      </c>
      <c r="H92" s="41"/>
    </row>
    <row r="93" spans="2:8" x14ac:dyDescent="0.2">
      <c r="B93" s="35" t="s">
        <v>705</v>
      </c>
      <c r="C93" s="35" t="s">
        <v>706</v>
      </c>
      <c r="D93" s="35" t="s">
        <v>441</v>
      </c>
      <c r="E93" s="40">
        <v>2359</v>
      </c>
      <c r="F93" s="37">
        <v>102.786348</v>
      </c>
      <c r="G93" s="38">
        <v>0.46402395665762503</v>
      </c>
      <c r="H93" s="41"/>
    </row>
    <row r="94" spans="2:8" x14ac:dyDescent="0.2">
      <c r="B94" s="35" t="s">
        <v>707</v>
      </c>
      <c r="C94" s="35" t="s">
        <v>708</v>
      </c>
      <c r="D94" s="35" t="s">
        <v>709</v>
      </c>
      <c r="E94" s="40">
        <v>19936</v>
      </c>
      <c r="F94" s="37">
        <v>101.27488</v>
      </c>
      <c r="G94" s="38">
        <v>0.457200508063835</v>
      </c>
      <c r="H94" s="41"/>
    </row>
    <row r="95" spans="2:8" x14ac:dyDescent="0.2">
      <c r="B95" s="35" t="s">
        <v>710</v>
      </c>
      <c r="C95" s="35" t="s">
        <v>711</v>
      </c>
      <c r="D95" s="35" t="s">
        <v>444</v>
      </c>
      <c r="E95" s="40">
        <v>17684</v>
      </c>
      <c r="F95" s="37">
        <v>100.719222</v>
      </c>
      <c r="G95" s="38">
        <v>0.45469201711415702</v>
      </c>
      <c r="H95" s="41"/>
    </row>
    <row r="96" spans="2:8" x14ac:dyDescent="0.2">
      <c r="B96" s="35" t="s">
        <v>712</v>
      </c>
      <c r="C96" s="35" t="s">
        <v>713</v>
      </c>
      <c r="D96" s="35" t="s">
        <v>366</v>
      </c>
      <c r="E96" s="40">
        <v>20237</v>
      </c>
      <c r="F96" s="37">
        <v>100.30469050000001</v>
      </c>
      <c r="G96" s="38">
        <v>0.45282063486805202</v>
      </c>
      <c r="H96" s="41"/>
    </row>
    <row r="97" spans="2:8" x14ac:dyDescent="0.2">
      <c r="B97" s="35" t="s">
        <v>714</v>
      </c>
      <c r="C97" s="35" t="s">
        <v>715</v>
      </c>
      <c r="D97" s="35" t="s">
        <v>528</v>
      </c>
      <c r="E97" s="40">
        <v>10419</v>
      </c>
      <c r="F97" s="37">
        <v>97.021727999999996</v>
      </c>
      <c r="G97" s="38">
        <v>0.437999860723915</v>
      </c>
      <c r="H97" s="41"/>
    </row>
    <row r="98" spans="2:8" x14ac:dyDescent="0.2">
      <c r="B98" s="35" t="s">
        <v>716</v>
      </c>
      <c r="C98" s="35" t="s">
        <v>717</v>
      </c>
      <c r="D98" s="35" t="s">
        <v>303</v>
      </c>
      <c r="E98" s="40">
        <v>1395</v>
      </c>
      <c r="F98" s="37">
        <v>96.701400000000007</v>
      </c>
      <c r="G98" s="38">
        <v>0.43655375558563098</v>
      </c>
      <c r="H98" s="41"/>
    </row>
    <row r="99" spans="2:8" x14ac:dyDescent="0.2">
      <c r="B99" s="35" t="s">
        <v>718</v>
      </c>
      <c r="C99" s="35" t="s">
        <v>719</v>
      </c>
      <c r="D99" s="35" t="s">
        <v>444</v>
      </c>
      <c r="E99" s="40">
        <v>54656</v>
      </c>
      <c r="F99" s="37">
        <v>96.227353600000001</v>
      </c>
      <c r="G99" s="38">
        <v>0.43441369622514803</v>
      </c>
      <c r="H99" s="41"/>
    </row>
    <row r="100" spans="2:8" x14ac:dyDescent="0.2">
      <c r="B100" s="35" t="s">
        <v>720</v>
      </c>
      <c r="C100" s="35" t="s">
        <v>721</v>
      </c>
      <c r="D100" s="35" t="s">
        <v>318</v>
      </c>
      <c r="E100" s="40">
        <v>17628</v>
      </c>
      <c r="F100" s="37">
        <v>94.794569999999993</v>
      </c>
      <c r="G100" s="38">
        <v>0.42794546451887</v>
      </c>
      <c r="H100" s="41"/>
    </row>
    <row r="101" spans="2:8" x14ac:dyDescent="0.2">
      <c r="B101" s="35" t="s">
        <v>722</v>
      </c>
      <c r="C101" s="35" t="s">
        <v>723</v>
      </c>
      <c r="D101" s="35" t="s">
        <v>633</v>
      </c>
      <c r="E101" s="40">
        <v>7596</v>
      </c>
      <c r="F101" s="37">
        <v>93.658680000000004</v>
      </c>
      <c r="G101" s="38">
        <v>0.42281754449462899</v>
      </c>
      <c r="H101" s="41"/>
    </row>
    <row r="102" spans="2:8" x14ac:dyDescent="0.2">
      <c r="B102" s="35" t="s">
        <v>724</v>
      </c>
      <c r="C102" s="35" t="s">
        <v>725</v>
      </c>
      <c r="D102" s="35" t="s">
        <v>345</v>
      </c>
      <c r="E102" s="40">
        <v>4670</v>
      </c>
      <c r="F102" s="37">
        <v>93.073099999999997</v>
      </c>
      <c r="G102" s="38">
        <v>0.420173972134809</v>
      </c>
      <c r="H102" s="41"/>
    </row>
    <row r="103" spans="2:8" x14ac:dyDescent="0.2">
      <c r="B103" s="35" t="s">
        <v>726</v>
      </c>
      <c r="C103" s="35" t="s">
        <v>727</v>
      </c>
      <c r="D103" s="35" t="s">
        <v>331</v>
      </c>
      <c r="E103" s="40">
        <v>22572</v>
      </c>
      <c r="F103" s="37">
        <v>92.567772000000005</v>
      </c>
      <c r="G103" s="38">
        <v>0.41789269351627201</v>
      </c>
      <c r="H103" s="41"/>
    </row>
    <row r="104" spans="2:8" x14ac:dyDescent="0.2">
      <c r="B104" s="35" t="s">
        <v>728</v>
      </c>
      <c r="C104" s="35" t="s">
        <v>729</v>
      </c>
      <c r="D104" s="35" t="s">
        <v>303</v>
      </c>
      <c r="E104" s="40">
        <v>2017</v>
      </c>
      <c r="F104" s="37">
        <v>91.027209999999997</v>
      </c>
      <c r="G104" s="38">
        <v>0.41093790147797199</v>
      </c>
      <c r="H104" s="41"/>
    </row>
    <row r="105" spans="2:8" x14ac:dyDescent="0.2">
      <c r="B105" s="35" t="s">
        <v>730</v>
      </c>
      <c r="C105" s="35" t="s">
        <v>731</v>
      </c>
      <c r="D105" s="35" t="s">
        <v>287</v>
      </c>
      <c r="E105" s="40">
        <v>119364</v>
      </c>
      <c r="F105" s="37">
        <v>89.236526400000002</v>
      </c>
      <c r="G105" s="38">
        <v>0.40285394767124699</v>
      </c>
      <c r="H105" s="41"/>
    </row>
    <row r="106" spans="2:8" x14ac:dyDescent="0.2">
      <c r="B106" s="35" t="s">
        <v>732</v>
      </c>
      <c r="C106" s="35" t="s">
        <v>733</v>
      </c>
      <c r="D106" s="35" t="s">
        <v>441</v>
      </c>
      <c r="E106" s="40">
        <v>26671</v>
      </c>
      <c r="F106" s="37">
        <v>89.161152999999999</v>
      </c>
      <c r="G106" s="38">
        <v>0.402513678131807</v>
      </c>
      <c r="H106" s="41"/>
    </row>
    <row r="107" spans="2:8" x14ac:dyDescent="0.2">
      <c r="B107" s="35" t="s">
        <v>734</v>
      </c>
      <c r="C107" s="35" t="s">
        <v>735</v>
      </c>
      <c r="D107" s="35" t="s">
        <v>535</v>
      </c>
      <c r="E107" s="40">
        <v>2276</v>
      </c>
      <c r="F107" s="37">
        <v>87.662415999999993</v>
      </c>
      <c r="G107" s="38">
        <v>0.395747703016812</v>
      </c>
      <c r="H107" s="41"/>
    </row>
    <row r="108" spans="2:8" x14ac:dyDescent="0.2">
      <c r="B108" s="35" t="s">
        <v>736</v>
      </c>
      <c r="C108" s="35" t="s">
        <v>737</v>
      </c>
      <c r="D108" s="35" t="s">
        <v>441</v>
      </c>
      <c r="E108" s="40">
        <v>18962</v>
      </c>
      <c r="F108" s="37">
        <v>86.096960999999993</v>
      </c>
      <c r="G108" s="38">
        <v>0.38868053274367897</v>
      </c>
      <c r="H108" s="41"/>
    </row>
    <row r="109" spans="2:8" x14ac:dyDescent="0.2">
      <c r="B109" s="35" t="s">
        <v>738</v>
      </c>
      <c r="C109" s="35" t="s">
        <v>739</v>
      </c>
      <c r="D109" s="35" t="s">
        <v>463</v>
      </c>
      <c r="E109" s="40">
        <v>2471</v>
      </c>
      <c r="F109" s="37">
        <v>86.072343000000004</v>
      </c>
      <c r="G109" s="38">
        <v>0.38856939598293999</v>
      </c>
      <c r="H109" s="41"/>
    </row>
    <row r="110" spans="2:8" x14ac:dyDescent="0.2">
      <c r="B110" s="35" t="s">
        <v>740</v>
      </c>
      <c r="C110" s="35" t="s">
        <v>741</v>
      </c>
      <c r="D110" s="35" t="s">
        <v>468</v>
      </c>
      <c r="E110" s="40">
        <v>16262</v>
      </c>
      <c r="F110" s="37">
        <v>83.261439999999993</v>
      </c>
      <c r="G110" s="38">
        <v>0.37587971143610899</v>
      </c>
      <c r="H110" s="41"/>
    </row>
    <row r="111" spans="2:8" x14ac:dyDescent="0.2">
      <c r="B111" s="35" t="s">
        <v>742</v>
      </c>
      <c r="C111" s="35" t="s">
        <v>743</v>
      </c>
      <c r="D111" s="35" t="s">
        <v>463</v>
      </c>
      <c r="E111" s="40">
        <v>1233</v>
      </c>
      <c r="F111" s="37">
        <v>82.980900000000005</v>
      </c>
      <c r="G111" s="38">
        <v>0.37461322728394503</v>
      </c>
      <c r="H111" s="41"/>
    </row>
    <row r="112" spans="2:8" x14ac:dyDescent="0.2">
      <c r="B112" s="35" t="s">
        <v>744</v>
      </c>
      <c r="C112" s="35" t="s">
        <v>745</v>
      </c>
      <c r="D112" s="35" t="s">
        <v>325</v>
      </c>
      <c r="E112" s="40">
        <v>306</v>
      </c>
      <c r="F112" s="37">
        <v>81.181799999999996</v>
      </c>
      <c r="G112" s="38">
        <v>0.366491278049766</v>
      </c>
      <c r="H112" s="41"/>
    </row>
    <row r="113" spans="2:8" x14ac:dyDescent="0.2">
      <c r="B113" s="35" t="s">
        <v>746</v>
      </c>
      <c r="C113" s="35" t="s">
        <v>747</v>
      </c>
      <c r="D113" s="35" t="s">
        <v>331</v>
      </c>
      <c r="E113" s="40">
        <v>16688</v>
      </c>
      <c r="F113" s="37">
        <v>76.113968</v>
      </c>
      <c r="G113" s="38">
        <v>0.343612797569886</v>
      </c>
      <c r="H113" s="41"/>
    </row>
    <row r="114" spans="2:8" x14ac:dyDescent="0.2">
      <c r="B114" s="35" t="s">
        <v>748</v>
      </c>
      <c r="C114" s="35" t="s">
        <v>749</v>
      </c>
      <c r="D114" s="35" t="s">
        <v>303</v>
      </c>
      <c r="E114" s="40">
        <v>9601</v>
      </c>
      <c r="F114" s="37">
        <v>74.033310999999998</v>
      </c>
      <c r="G114" s="38">
        <v>0.33421977298662697</v>
      </c>
      <c r="H114" s="41"/>
    </row>
    <row r="115" spans="2:8" x14ac:dyDescent="0.2">
      <c r="B115" s="35" t="s">
        <v>750</v>
      </c>
      <c r="C115" s="35" t="s">
        <v>751</v>
      </c>
      <c r="D115" s="35" t="s">
        <v>520</v>
      </c>
      <c r="E115" s="40">
        <v>4962</v>
      </c>
      <c r="F115" s="37">
        <v>74.018153999999996</v>
      </c>
      <c r="G115" s="38">
        <v>0.33415134744911301</v>
      </c>
      <c r="H115" s="41"/>
    </row>
    <row r="116" spans="2:8" x14ac:dyDescent="0.2">
      <c r="B116" s="35" t="s">
        <v>752</v>
      </c>
      <c r="C116" s="35" t="s">
        <v>753</v>
      </c>
      <c r="D116" s="35" t="s">
        <v>325</v>
      </c>
      <c r="E116" s="40">
        <v>2469</v>
      </c>
      <c r="F116" s="37">
        <v>73.919391000000005</v>
      </c>
      <c r="G116" s="38">
        <v>0.33370548670084099</v>
      </c>
      <c r="H116" s="41"/>
    </row>
    <row r="117" spans="2:8" x14ac:dyDescent="0.2">
      <c r="B117" s="35" t="s">
        <v>754</v>
      </c>
      <c r="C117" s="35" t="s">
        <v>755</v>
      </c>
      <c r="D117" s="35" t="s">
        <v>295</v>
      </c>
      <c r="E117" s="40">
        <v>4409</v>
      </c>
      <c r="F117" s="37">
        <v>70.848220999999995</v>
      </c>
      <c r="G117" s="38">
        <v>0.31984083947192898</v>
      </c>
      <c r="H117" s="41"/>
    </row>
    <row r="118" spans="2:8" x14ac:dyDescent="0.2">
      <c r="B118" s="35" t="s">
        <v>756</v>
      </c>
      <c r="C118" s="35" t="s">
        <v>757</v>
      </c>
      <c r="D118" s="35" t="s">
        <v>453</v>
      </c>
      <c r="E118" s="40">
        <v>2271</v>
      </c>
      <c r="F118" s="37">
        <v>70.805238000000003</v>
      </c>
      <c r="G118" s="38">
        <v>0.31964679481408198</v>
      </c>
      <c r="H118" s="41"/>
    </row>
    <row r="119" spans="2:8" x14ac:dyDescent="0.2">
      <c r="B119" s="35" t="s">
        <v>758</v>
      </c>
      <c r="C119" s="35" t="s">
        <v>759</v>
      </c>
      <c r="D119" s="35" t="s">
        <v>468</v>
      </c>
      <c r="E119" s="40">
        <v>41121</v>
      </c>
      <c r="F119" s="37">
        <v>70.259340600000002</v>
      </c>
      <c r="G119" s="38">
        <v>0.31718236761722202</v>
      </c>
      <c r="H119" s="41"/>
    </row>
    <row r="120" spans="2:8" x14ac:dyDescent="0.2">
      <c r="B120" s="35" t="s">
        <v>760</v>
      </c>
      <c r="C120" s="35" t="s">
        <v>761</v>
      </c>
      <c r="D120" s="35" t="s">
        <v>382</v>
      </c>
      <c r="E120" s="40">
        <v>18127</v>
      </c>
      <c r="F120" s="37">
        <v>69.435473500000001</v>
      </c>
      <c r="G120" s="38">
        <v>0.31346305976223299</v>
      </c>
      <c r="H120" s="41"/>
    </row>
    <row r="121" spans="2:8" x14ac:dyDescent="0.2">
      <c r="B121" s="35" t="s">
        <v>762</v>
      </c>
      <c r="C121" s="35" t="s">
        <v>763</v>
      </c>
      <c r="D121" s="35" t="s">
        <v>540</v>
      </c>
      <c r="E121" s="40">
        <v>1948</v>
      </c>
      <c r="F121" s="37">
        <v>68.542327999999998</v>
      </c>
      <c r="G121" s="38">
        <v>0.309430997948139</v>
      </c>
      <c r="H121" s="41"/>
    </row>
    <row r="122" spans="2:8" x14ac:dyDescent="0.2">
      <c r="B122" s="35" t="s">
        <v>764</v>
      </c>
      <c r="C122" s="35" t="s">
        <v>765</v>
      </c>
      <c r="D122" s="35" t="s">
        <v>340</v>
      </c>
      <c r="E122" s="40">
        <v>5403</v>
      </c>
      <c r="F122" s="37">
        <v>68.358756</v>
      </c>
      <c r="G122" s="38">
        <v>0.30860227110426303</v>
      </c>
      <c r="H122" s="41"/>
    </row>
    <row r="123" spans="2:8" x14ac:dyDescent="0.2">
      <c r="B123" s="35" t="s">
        <v>766</v>
      </c>
      <c r="C123" s="35" t="s">
        <v>767</v>
      </c>
      <c r="D123" s="35" t="s">
        <v>434</v>
      </c>
      <c r="E123" s="40">
        <v>4234</v>
      </c>
      <c r="F123" s="37">
        <v>67.955699999999993</v>
      </c>
      <c r="G123" s="38">
        <v>0.30678269444341499</v>
      </c>
      <c r="H123" s="41"/>
    </row>
    <row r="124" spans="2:8" x14ac:dyDescent="0.2">
      <c r="B124" s="35" t="s">
        <v>768</v>
      </c>
      <c r="C124" s="35" t="s">
        <v>769</v>
      </c>
      <c r="D124" s="35" t="s">
        <v>528</v>
      </c>
      <c r="E124" s="40">
        <v>9085</v>
      </c>
      <c r="F124" s="37">
        <v>65.879877500000006</v>
      </c>
      <c r="G124" s="38">
        <v>0.29741149497469899</v>
      </c>
      <c r="H124" s="41"/>
    </row>
    <row r="125" spans="2:8" x14ac:dyDescent="0.2">
      <c r="B125" s="35" t="s">
        <v>770</v>
      </c>
      <c r="C125" s="35" t="s">
        <v>771</v>
      </c>
      <c r="D125" s="35" t="s">
        <v>463</v>
      </c>
      <c r="E125" s="40">
        <v>4026</v>
      </c>
      <c r="F125" s="37">
        <v>63.638981999999999</v>
      </c>
      <c r="G125" s="38">
        <v>0.287295081495681</v>
      </c>
      <c r="H125" s="41"/>
    </row>
    <row r="126" spans="2:8" x14ac:dyDescent="0.2">
      <c r="B126" s="35" t="s">
        <v>772</v>
      </c>
      <c r="C126" s="35" t="s">
        <v>773</v>
      </c>
      <c r="D126" s="35" t="s">
        <v>456</v>
      </c>
      <c r="E126" s="40">
        <v>554</v>
      </c>
      <c r="F126" s="37">
        <v>62.884540000000001</v>
      </c>
      <c r="G126" s="38">
        <v>0.283889189869794</v>
      </c>
      <c r="H126" s="41"/>
    </row>
    <row r="127" spans="2:8" x14ac:dyDescent="0.2">
      <c r="B127" s="35" t="s">
        <v>774</v>
      </c>
      <c r="C127" s="35" t="s">
        <v>775</v>
      </c>
      <c r="D127" s="35" t="s">
        <v>318</v>
      </c>
      <c r="E127" s="40">
        <v>1429</v>
      </c>
      <c r="F127" s="37">
        <v>62.538755999999999</v>
      </c>
      <c r="G127" s="38">
        <v>0.28232816486062701</v>
      </c>
      <c r="H127" s="41"/>
    </row>
    <row r="128" spans="2:8" x14ac:dyDescent="0.2">
      <c r="B128" s="35" t="s">
        <v>776</v>
      </c>
      <c r="C128" s="35" t="s">
        <v>777</v>
      </c>
      <c r="D128" s="35" t="s">
        <v>325</v>
      </c>
      <c r="E128" s="40">
        <v>2425</v>
      </c>
      <c r="F128" s="37">
        <v>62.3613</v>
      </c>
      <c r="G128" s="38">
        <v>0.28152704840056297</v>
      </c>
      <c r="H128" s="41"/>
    </row>
    <row r="129" spans="2:8" x14ac:dyDescent="0.2">
      <c r="B129" s="35" t="s">
        <v>778</v>
      </c>
      <c r="C129" s="35" t="s">
        <v>779</v>
      </c>
      <c r="D129" s="35" t="s">
        <v>780</v>
      </c>
      <c r="E129" s="40">
        <v>166</v>
      </c>
      <c r="F129" s="37">
        <v>62.258299999999998</v>
      </c>
      <c r="G129" s="38">
        <v>0.28106205992236799</v>
      </c>
      <c r="H129" s="41"/>
    </row>
    <row r="130" spans="2:8" x14ac:dyDescent="0.2">
      <c r="B130" s="35" t="s">
        <v>781</v>
      </c>
      <c r="C130" s="35" t="s">
        <v>782</v>
      </c>
      <c r="D130" s="35" t="s">
        <v>694</v>
      </c>
      <c r="E130" s="40">
        <v>6764</v>
      </c>
      <c r="F130" s="37">
        <v>60.727192000000002</v>
      </c>
      <c r="G130" s="38">
        <v>0.27414994750613397</v>
      </c>
      <c r="H130" s="41"/>
    </row>
    <row r="131" spans="2:8" x14ac:dyDescent="0.2">
      <c r="B131" s="35" t="s">
        <v>783</v>
      </c>
      <c r="C131" s="35" t="s">
        <v>784</v>
      </c>
      <c r="D131" s="35" t="s">
        <v>785</v>
      </c>
      <c r="E131" s="40">
        <v>10060</v>
      </c>
      <c r="F131" s="37">
        <v>58.896270000000001</v>
      </c>
      <c r="G131" s="38">
        <v>0.265884339404449</v>
      </c>
      <c r="H131" s="41"/>
    </row>
    <row r="132" spans="2:8" x14ac:dyDescent="0.2">
      <c r="B132" s="35" t="s">
        <v>786</v>
      </c>
      <c r="C132" s="35" t="s">
        <v>787</v>
      </c>
      <c r="D132" s="35" t="s">
        <v>318</v>
      </c>
      <c r="E132" s="40">
        <v>46638</v>
      </c>
      <c r="F132" s="37">
        <v>57.014955</v>
      </c>
      <c r="G132" s="38">
        <v>0.25739123456119301</v>
      </c>
      <c r="H132" s="41"/>
    </row>
    <row r="133" spans="2:8" x14ac:dyDescent="0.2">
      <c r="B133" s="35" t="s">
        <v>788</v>
      </c>
      <c r="C133" s="35" t="s">
        <v>789</v>
      </c>
      <c r="D133" s="35" t="s">
        <v>345</v>
      </c>
      <c r="E133" s="40">
        <v>3576</v>
      </c>
      <c r="F133" s="37">
        <v>56.944223999999998</v>
      </c>
      <c r="G133" s="38">
        <v>0.25707192291021103</v>
      </c>
      <c r="H133" s="41"/>
    </row>
    <row r="134" spans="2:8" x14ac:dyDescent="0.2">
      <c r="B134" s="35" t="s">
        <v>790</v>
      </c>
      <c r="C134" s="35" t="s">
        <v>791</v>
      </c>
      <c r="D134" s="35" t="s">
        <v>785</v>
      </c>
      <c r="E134" s="40">
        <v>1615</v>
      </c>
      <c r="F134" s="37">
        <v>56.725259999999999</v>
      </c>
      <c r="G134" s="38">
        <v>0.25608342060788603</v>
      </c>
      <c r="H134" s="41"/>
    </row>
    <row r="135" spans="2:8" x14ac:dyDescent="0.2">
      <c r="B135" s="35" t="s">
        <v>792</v>
      </c>
      <c r="C135" s="35" t="s">
        <v>793</v>
      </c>
      <c r="D135" s="35" t="s">
        <v>391</v>
      </c>
      <c r="E135" s="40">
        <v>4963</v>
      </c>
      <c r="F135" s="37">
        <v>56.518644000000002</v>
      </c>
      <c r="G135" s="38">
        <v>0.25515066274952902</v>
      </c>
      <c r="H135" s="41"/>
    </row>
    <row r="136" spans="2:8" x14ac:dyDescent="0.2">
      <c r="B136" s="35" t="s">
        <v>794</v>
      </c>
      <c r="C136" s="35" t="s">
        <v>795</v>
      </c>
      <c r="D136" s="35" t="s">
        <v>441</v>
      </c>
      <c r="E136" s="40">
        <v>2067</v>
      </c>
      <c r="F136" s="37">
        <v>55.017339</v>
      </c>
      <c r="G136" s="38">
        <v>0.24837309452373799</v>
      </c>
      <c r="H136" s="41"/>
    </row>
    <row r="137" spans="2:8" x14ac:dyDescent="0.2">
      <c r="B137" s="35" t="s">
        <v>796</v>
      </c>
      <c r="C137" s="35" t="s">
        <v>797</v>
      </c>
      <c r="D137" s="35" t="s">
        <v>318</v>
      </c>
      <c r="E137" s="40">
        <v>29419</v>
      </c>
      <c r="F137" s="37">
        <v>54.939982499999999</v>
      </c>
      <c r="G137" s="38">
        <v>0.24802387237603499</v>
      </c>
      <c r="H137" s="41"/>
    </row>
    <row r="138" spans="2:8" x14ac:dyDescent="0.2">
      <c r="B138" s="35" t="s">
        <v>798</v>
      </c>
      <c r="C138" s="35" t="s">
        <v>799</v>
      </c>
      <c r="D138" s="35" t="s">
        <v>404</v>
      </c>
      <c r="E138" s="40">
        <v>27295</v>
      </c>
      <c r="F138" s="37">
        <v>51.614845000000003</v>
      </c>
      <c r="G138" s="38">
        <v>0.23301270125065701</v>
      </c>
      <c r="H138" s="41"/>
    </row>
    <row r="139" spans="2:8" x14ac:dyDescent="0.2">
      <c r="B139" s="35" t="s">
        <v>800</v>
      </c>
      <c r="C139" s="35" t="s">
        <v>801</v>
      </c>
      <c r="D139" s="35" t="s">
        <v>802</v>
      </c>
      <c r="E139" s="40">
        <v>2389</v>
      </c>
      <c r="F139" s="37">
        <v>50.536906000000002</v>
      </c>
      <c r="G139" s="38">
        <v>0.22814639819049201</v>
      </c>
      <c r="H139" s="41"/>
    </row>
    <row r="140" spans="2:8" x14ac:dyDescent="0.2">
      <c r="B140" s="35" t="s">
        <v>803</v>
      </c>
      <c r="C140" s="35" t="s">
        <v>804</v>
      </c>
      <c r="D140" s="35" t="s">
        <v>318</v>
      </c>
      <c r="E140" s="40">
        <v>7619</v>
      </c>
      <c r="F140" s="37">
        <v>50.186352999999997</v>
      </c>
      <c r="G140" s="38">
        <v>0.22656384376333999</v>
      </c>
      <c r="H140" s="41"/>
    </row>
    <row r="141" spans="2:8" x14ac:dyDescent="0.2">
      <c r="B141" s="35" t="s">
        <v>805</v>
      </c>
      <c r="C141" s="35" t="s">
        <v>806</v>
      </c>
      <c r="D141" s="35" t="s">
        <v>328</v>
      </c>
      <c r="E141" s="40">
        <v>19123</v>
      </c>
      <c r="F141" s="37">
        <v>49.729361500000003</v>
      </c>
      <c r="G141" s="38">
        <v>0.22450077791738801</v>
      </c>
      <c r="H141" s="41"/>
    </row>
    <row r="142" spans="2:8" x14ac:dyDescent="0.2">
      <c r="B142" s="35" t="s">
        <v>807</v>
      </c>
      <c r="C142" s="35" t="s">
        <v>808</v>
      </c>
      <c r="D142" s="35" t="s">
        <v>453</v>
      </c>
      <c r="E142" s="40">
        <v>6768</v>
      </c>
      <c r="F142" s="37">
        <v>49.474080000000001</v>
      </c>
      <c r="G142" s="38">
        <v>0.22334832203198701</v>
      </c>
      <c r="H142" s="41"/>
    </row>
    <row r="143" spans="2:8" x14ac:dyDescent="0.2">
      <c r="B143" s="35" t="s">
        <v>809</v>
      </c>
      <c r="C143" s="35" t="s">
        <v>810</v>
      </c>
      <c r="D143" s="35" t="s">
        <v>328</v>
      </c>
      <c r="E143" s="40">
        <v>54455</v>
      </c>
      <c r="F143" s="37">
        <v>49.085737000000002</v>
      </c>
      <c r="G143" s="38">
        <v>0.22159516649230099</v>
      </c>
      <c r="H143" s="41"/>
    </row>
    <row r="144" spans="2:8" x14ac:dyDescent="0.2">
      <c r="B144" s="35" t="s">
        <v>811</v>
      </c>
      <c r="C144" s="35" t="s">
        <v>812</v>
      </c>
      <c r="D144" s="35" t="s">
        <v>298</v>
      </c>
      <c r="E144" s="40">
        <v>116294</v>
      </c>
      <c r="F144" s="37">
        <v>48.5062274</v>
      </c>
      <c r="G144" s="38">
        <v>0.21897899865731699</v>
      </c>
      <c r="H144" s="41"/>
    </row>
    <row r="145" spans="2:9" x14ac:dyDescent="0.2">
      <c r="B145" s="35" t="s">
        <v>813</v>
      </c>
      <c r="C145" s="35" t="s">
        <v>814</v>
      </c>
      <c r="D145" s="35" t="s">
        <v>359</v>
      </c>
      <c r="E145" s="40">
        <v>18957</v>
      </c>
      <c r="F145" s="37">
        <v>48.302436</v>
      </c>
      <c r="G145" s="38">
        <v>0.21805899231794601</v>
      </c>
      <c r="H145" s="41"/>
    </row>
    <row r="146" spans="2:9" x14ac:dyDescent="0.2">
      <c r="B146" s="35" t="s">
        <v>815</v>
      </c>
      <c r="C146" s="35" t="s">
        <v>816</v>
      </c>
      <c r="D146" s="35" t="s">
        <v>391</v>
      </c>
      <c r="E146" s="40">
        <v>11122</v>
      </c>
      <c r="F146" s="37">
        <v>46.957084000000002</v>
      </c>
      <c r="G146" s="38">
        <v>0.21198546630710599</v>
      </c>
      <c r="H146" s="41"/>
    </row>
    <row r="147" spans="2:9" x14ac:dyDescent="0.2">
      <c r="B147" s="35" t="s">
        <v>817</v>
      </c>
      <c r="C147" s="35" t="s">
        <v>818</v>
      </c>
      <c r="D147" s="35" t="s">
        <v>303</v>
      </c>
      <c r="E147" s="40">
        <v>8701</v>
      </c>
      <c r="F147" s="37">
        <v>41.199235000000002</v>
      </c>
      <c r="G147" s="38">
        <v>0.185991937722773</v>
      </c>
      <c r="H147" s="41"/>
    </row>
    <row r="148" spans="2:9" x14ac:dyDescent="0.2">
      <c r="B148" s="35" t="s">
        <v>819</v>
      </c>
      <c r="C148" s="35" t="s">
        <v>820</v>
      </c>
      <c r="D148" s="35" t="s">
        <v>468</v>
      </c>
      <c r="E148" s="40">
        <v>10109</v>
      </c>
      <c r="F148" s="37">
        <v>41.184066000000001</v>
      </c>
      <c r="G148" s="38">
        <v>0.18592345801184401</v>
      </c>
      <c r="H148" s="41"/>
    </row>
    <row r="149" spans="2:9" x14ac:dyDescent="0.2">
      <c r="B149" s="35" t="s">
        <v>821</v>
      </c>
      <c r="C149" s="35" t="s">
        <v>822</v>
      </c>
      <c r="D149" s="35" t="s">
        <v>520</v>
      </c>
      <c r="E149" s="40">
        <v>129</v>
      </c>
      <c r="F149" s="37">
        <v>39.957749999999997</v>
      </c>
      <c r="G149" s="38">
        <v>0.180387314219357</v>
      </c>
      <c r="H149" s="41"/>
    </row>
    <row r="150" spans="2:9" x14ac:dyDescent="0.2">
      <c r="B150" s="35" t="s">
        <v>823</v>
      </c>
      <c r="C150" s="35" t="s">
        <v>824</v>
      </c>
      <c r="D150" s="35" t="s">
        <v>287</v>
      </c>
      <c r="E150" s="40">
        <v>32862</v>
      </c>
      <c r="F150" s="37">
        <v>38.123206199999998</v>
      </c>
      <c r="G150" s="38">
        <v>0.17210535567815399</v>
      </c>
      <c r="H150" s="41"/>
    </row>
    <row r="151" spans="2:9" x14ac:dyDescent="0.2">
      <c r="B151" s="35" t="s">
        <v>825</v>
      </c>
      <c r="C151" s="35" t="s">
        <v>826</v>
      </c>
      <c r="D151" s="35" t="s">
        <v>287</v>
      </c>
      <c r="E151" s="40">
        <v>85599</v>
      </c>
      <c r="F151" s="37">
        <v>31.2008355</v>
      </c>
      <c r="G151" s="38">
        <v>0.14085465065587999</v>
      </c>
      <c r="H151" s="41"/>
    </row>
    <row r="152" spans="2:9" x14ac:dyDescent="0.2">
      <c r="B152" s="35" t="s">
        <v>827</v>
      </c>
      <c r="C152" s="35" t="s">
        <v>828</v>
      </c>
      <c r="D152" s="35" t="s">
        <v>328</v>
      </c>
      <c r="E152" s="40">
        <v>41932</v>
      </c>
      <c r="F152" s="37">
        <v>30.622939599999999</v>
      </c>
      <c r="G152" s="38">
        <v>0.138245767790869</v>
      </c>
      <c r="H152" s="41"/>
    </row>
    <row r="153" spans="2:9" x14ac:dyDescent="0.2">
      <c r="B153" s="35" t="s">
        <v>829</v>
      </c>
      <c r="C153" s="35" t="s">
        <v>830</v>
      </c>
      <c r="D153" s="35" t="s">
        <v>600</v>
      </c>
      <c r="E153" s="40">
        <v>3652</v>
      </c>
      <c r="F153" s="37">
        <v>27.150794000000001</v>
      </c>
      <c r="G153" s="38">
        <v>0.12257093576547801</v>
      </c>
      <c r="H153" s="41"/>
    </row>
    <row r="154" spans="2:9" x14ac:dyDescent="0.2">
      <c r="B154" s="35" t="s">
        <v>831</v>
      </c>
      <c r="C154" s="35" t="s">
        <v>832</v>
      </c>
      <c r="D154" s="35" t="s">
        <v>780</v>
      </c>
      <c r="E154" s="40">
        <v>2531</v>
      </c>
      <c r="F154" s="37">
        <v>25.134095500000001</v>
      </c>
      <c r="G154" s="38">
        <v>0.113466648712148</v>
      </c>
      <c r="H154" s="41"/>
    </row>
    <row r="155" spans="2:9" x14ac:dyDescent="0.2">
      <c r="B155" s="35" t="s">
        <v>833</v>
      </c>
      <c r="C155" s="35" t="s">
        <v>834</v>
      </c>
      <c r="D155" s="35" t="s">
        <v>382</v>
      </c>
      <c r="E155" s="40">
        <v>14108</v>
      </c>
      <c r="F155" s="37">
        <v>20.781084</v>
      </c>
      <c r="G155" s="38">
        <v>9.3815190528166906E-2</v>
      </c>
      <c r="H155" s="41"/>
    </row>
    <row r="156" spans="2:9" x14ac:dyDescent="0.2">
      <c r="B156" s="35" t="s">
        <v>835</v>
      </c>
      <c r="C156" s="35" t="s">
        <v>836</v>
      </c>
      <c r="D156" s="35" t="s">
        <v>287</v>
      </c>
      <c r="E156" s="40">
        <v>66702</v>
      </c>
      <c r="F156" s="37">
        <v>19.7571324</v>
      </c>
      <c r="G156" s="38">
        <v>8.9192610953125404E-2</v>
      </c>
      <c r="H156" s="41"/>
    </row>
    <row r="157" spans="2:9" x14ac:dyDescent="0.2">
      <c r="B157" s="34" t="s">
        <v>65</v>
      </c>
      <c r="C157" s="34"/>
      <c r="D157" s="34"/>
      <c r="E157" s="43"/>
      <c r="F157" s="44">
        <f>SUM(F7:F156)</f>
        <v>22192.913927800018</v>
      </c>
      <c r="G157" s="45">
        <f>SUM(G7:G156)</f>
        <v>100.1888279029027</v>
      </c>
      <c r="H157" s="34"/>
      <c r="I157" s="26"/>
    </row>
    <row r="158" spans="2:9" x14ac:dyDescent="0.2">
      <c r="B158" s="34" t="s">
        <v>410</v>
      </c>
      <c r="C158" s="34"/>
      <c r="D158" s="34"/>
      <c r="E158" s="43"/>
      <c r="F158" s="70" t="s">
        <v>411</v>
      </c>
      <c r="G158" s="71" t="s">
        <v>411</v>
      </c>
      <c r="H158" s="34"/>
      <c r="I158" s="26"/>
    </row>
    <row r="159" spans="2:9" x14ac:dyDescent="0.2">
      <c r="B159" s="34" t="s">
        <v>65</v>
      </c>
      <c r="C159" s="34"/>
      <c r="D159" s="34"/>
      <c r="E159" s="43"/>
      <c r="F159" s="66" t="s">
        <v>411</v>
      </c>
      <c r="G159" s="67" t="s">
        <v>411</v>
      </c>
      <c r="H159" s="34"/>
      <c r="I159" s="26"/>
    </row>
    <row r="160" spans="2:9" x14ac:dyDescent="0.2">
      <c r="B160" s="49" t="s">
        <v>105</v>
      </c>
      <c r="C160" s="49"/>
      <c r="D160" s="49"/>
      <c r="E160" s="50"/>
      <c r="F160" s="51">
        <f>F157</f>
        <v>22192.913927800018</v>
      </c>
      <c r="G160" s="52">
        <f>G157</f>
        <v>100.1888279029027</v>
      </c>
      <c r="H160" s="34"/>
      <c r="I160" s="26"/>
    </row>
    <row r="161" spans="2:9" x14ac:dyDescent="0.2">
      <c r="B161" s="34" t="s">
        <v>113</v>
      </c>
      <c r="C161" s="34"/>
      <c r="D161" s="34"/>
      <c r="E161" s="43"/>
      <c r="F161" s="44">
        <v>120.9938183</v>
      </c>
      <c r="G161" s="45">
        <v>0.54622069361467895</v>
      </c>
      <c r="H161" s="41">
        <v>4.9299999999999997E-2</v>
      </c>
      <c r="I161" s="27"/>
    </row>
    <row r="162" spans="2:9" x14ac:dyDescent="0.2">
      <c r="B162" s="35"/>
      <c r="C162" s="35"/>
      <c r="D162" s="35"/>
      <c r="E162" s="36"/>
      <c r="F162" s="37"/>
      <c r="G162" s="38"/>
      <c r="H162" s="35"/>
    </row>
    <row r="163" spans="2:9" x14ac:dyDescent="0.2">
      <c r="B163" s="58" t="s">
        <v>115</v>
      </c>
      <c r="C163" s="58"/>
      <c r="D163" s="58"/>
      <c r="E163" s="59"/>
      <c r="F163" s="44">
        <f>F164-(F157+F161)</f>
        <v>-162.82125040001847</v>
      </c>
      <c r="G163" s="45">
        <f>G164-(G157+G161)</f>
        <v>-0.73504859651738741</v>
      </c>
      <c r="H163" s="34"/>
      <c r="I163" s="26"/>
    </row>
    <row r="164" spans="2:9" x14ac:dyDescent="0.2">
      <c r="B164" s="53" t="s">
        <v>114</v>
      </c>
      <c r="C164" s="53"/>
      <c r="D164" s="53"/>
      <c r="E164" s="54"/>
      <c r="F164" s="55">
        <v>22151.086495700001</v>
      </c>
      <c r="G164" s="56">
        <v>100</v>
      </c>
      <c r="H164" s="72"/>
      <c r="I164" s="26"/>
    </row>
    <row r="168" spans="2:9" x14ac:dyDescent="0.2">
      <c r="B168" s="26" t="s">
        <v>119</v>
      </c>
      <c r="E168" s="8"/>
      <c r="G168" s="83"/>
    </row>
    <row r="169" spans="2:9" x14ac:dyDescent="0.2">
      <c r="E169" s="8"/>
      <c r="G169" s="83"/>
    </row>
    <row r="170" spans="2:9" x14ac:dyDescent="0.2">
      <c r="E170" s="8"/>
      <c r="G170" s="83"/>
    </row>
    <row r="171" spans="2:9" x14ac:dyDescent="0.2">
      <c r="E171" s="8"/>
      <c r="G171" s="83"/>
    </row>
    <row r="172" spans="2:9" x14ac:dyDescent="0.2">
      <c r="E172" s="8"/>
      <c r="G172" s="83"/>
    </row>
    <row r="173" spans="2:9" x14ac:dyDescent="0.2">
      <c r="E173" s="8"/>
      <c r="G173" s="83"/>
    </row>
    <row r="174" spans="2:9" x14ac:dyDescent="0.2">
      <c r="E174" s="8"/>
      <c r="G174" s="83"/>
    </row>
    <row r="175" spans="2:9" x14ac:dyDescent="0.2">
      <c r="E175" s="8"/>
      <c r="G175" s="83"/>
    </row>
    <row r="176" spans="2:9" x14ac:dyDescent="0.2">
      <c r="E176" s="8"/>
      <c r="G176" s="83"/>
    </row>
    <row r="177" spans="2:7" x14ac:dyDescent="0.2">
      <c r="E177" s="8"/>
      <c r="G177" s="83"/>
    </row>
    <row r="178" spans="2:7" x14ac:dyDescent="0.2">
      <c r="E178" s="8"/>
      <c r="G178" s="83"/>
    </row>
    <row r="179" spans="2:7" x14ac:dyDescent="0.2">
      <c r="E179" s="8"/>
      <c r="G179" s="83"/>
    </row>
    <row r="180" spans="2:7" x14ac:dyDescent="0.2">
      <c r="E180" s="8"/>
      <c r="G180" s="83"/>
    </row>
    <row r="181" spans="2:7" x14ac:dyDescent="0.2">
      <c r="E181" s="8"/>
      <c r="G181" s="83"/>
    </row>
    <row r="182" spans="2:7" x14ac:dyDescent="0.2">
      <c r="E182" s="8"/>
      <c r="G182" s="83"/>
    </row>
    <row r="183" spans="2:7" x14ac:dyDescent="0.2">
      <c r="E183" s="8"/>
      <c r="G183" s="83"/>
    </row>
    <row r="184" spans="2:7" x14ac:dyDescent="0.2">
      <c r="E184" s="8"/>
      <c r="G184" s="83"/>
    </row>
    <row r="185" spans="2:7" x14ac:dyDescent="0.2">
      <c r="B185" s="84" t="s">
        <v>1475</v>
      </c>
      <c r="E185" s="8"/>
      <c r="G185" s="83"/>
    </row>
    <row r="186" spans="2:7" x14ac:dyDescent="0.2">
      <c r="B186" s="85" t="s">
        <v>1484</v>
      </c>
      <c r="E186" s="8"/>
      <c r="G186" s="83"/>
    </row>
    <row r="187" spans="2:7" x14ac:dyDescent="0.2">
      <c r="E187" s="8"/>
      <c r="G187" s="83"/>
    </row>
    <row r="188" spans="2:7" x14ac:dyDescent="0.2">
      <c r="E188" s="8"/>
      <c r="G188" s="83"/>
    </row>
    <row r="189" spans="2:7" x14ac:dyDescent="0.2">
      <c r="E189" s="8"/>
      <c r="G189" s="83"/>
    </row>
    <row r="190" spans="2:7" x14ac:dyDescent="0.2">
      <c r="E190" s="8"/>
      <c r="G190" s="83"/>
    </row>
    <row r="191" spans="2:7" x14ac:dyDescent="0.2">
      <c r="E191" s="8"/>
      <c r="G191" s="83"/>
    </row>
    <row r="192" spans="2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  <row r="397" spans="5:7" x14ac:dyDescent="0.2">
      <c r="E397" s="8"/>
      <c r="G397" s="83"/>
    </row>
    <row r="398" spans="5:7" x14ac:dyDescent="0.2">
      <c r="E398" s="8"/>
      <c r="G398" s="83"/>
    </row>
    <row r="399" spans="5:7" x14ac:dyDescent="0.2">
      <c r="E399" s="8"/>
      <c r="G399" s="83"/>
    </row>
    <row r="400" spans="5:7" x14ac:dyDescent="0.2">
      <c r="E400" s="8"/>
      <c r="G400" s="83"/>
    </row>
    <row r="401" spans="5:7" x14ac:dyDescent="0.2">
      <c r="E401" s="8"/>
      <c r="G401" s="83"/>
    </row>
    <row r="402" spans="5:7" x14ac:dyDescent="0.2">
      <c r="E402" s="8"/>
      <c r="G402" s="83"/>
    </row>
    <row r="403" spans="5:7" x14ac:dyDescent="0.2">
      <c r="E403" s="8"/>
      <c r="G403" s="83"/>
    </row>
    <row r="404" spans="5:7" x14ac:dyDescent="0.2">
      <c r="E404" s="8"/>
      <c r="G404" s="83"/>
    </row>
    <row r="405" spans="5:7" x14ac:dyDescent="0.2">
      <c r="E405" s="8"/>
      <c r="G405" s="83"/>
    </row>
    <row r="406" spans="5:7" x14ac:dyDescent="0.2">
      <c r="E406" s="8"/>
      <c r="G406" s="83"/>
    </row>
    <row r="407" spans="5:7" x14ac:dyDescent="0.2">
      <c r="E407" s="8"/>
      <c r="G407" s="83"/>
    </row>
    <row r="408" spans="5:7" x14ac:dyDescent="0.2">
      <c r="E408" s="8"/>
      <c r="G408" s="83"/>
    </row>
    <row r="409" spans="5:7" x14ac:dyDescent="0.2">
      <c r="E409" s="8"/>
      <c r="G409" s="83"/>
    </row>
    <row r="410" spans="5:7" x14ac:dyDescent="0.2">
      <c r="E410" s="8"/>
      <c r="G410" s="83"/>
    </row>
    <row r="411" spans="5:7" x14ac:dyDescent="0.2">
      <c r="E411" s="8"/>
      <c r="G411" s="83"/>
    </row>
    <row r="412" spans="5:7" x14ac:dyDescent="0.2">
      <c r="E412" s="8"/>
      <c r="G412" s="83"/>
    </row>
    <row r="413" spans="5:7" x14ac:dyDescent="0.2">
      <c r="E413" s="8"/>
      <c r="G413" s="83"/>
    </row>
    <row r="414" spans="5:7" x14ac:dyDescent="0.2">
      <c r="E414" s="8"/>
      <c r="G414" s="83"/>
    </row>
    <row r="415" spans="5:7" x14ac:dyDescent="0.2">
      <c r="E415" s="8"/>
      <c r="G415" s="83"/>
    </row>
    <row r="416" spans="5:7" x14ac:dyDescent="0.2">
      <c r="E416" s="8"/>
      <c r="G416" s="83"/>
    </row>
    <row r="417" spans="5:7" x14ac:dyDescent="0.2">
      <c r="E417" s="8"/>
      <c r="G417" s="83"/>
    </row>
    <row r="418" spans="5:7" x14ac:dyDescent="0.2">
      <c r="E418" s="8"/>
      <c r="G418" s="83"/>
    </row>
    <row r="419" spans="5:7" x14ac:dyDescent="0.2">
      <c r="E419" s="8"/>
      <c r="G419" s="83"/>
    </row>
    <row r="420" spans="5:7" x14ac:dyDescent="0.2">
      <c r="E420" s="8"/>
      <c r="G420" s="83"/>
    </row>
    <row r="421" spans="5:7" x14ac:dyDescent="0.2">
      <c r="E421" s="8"/>
      <c r="G421" s="83"/>
    </row>
    <row r="422" spans="5:7" x14ac:dyDescent="0.2">
      <c r="E422" s="8"/>
      <c r="G422" s="83"/>
    </row>
    <row r="423" spans="5:7" x14ac:dyDescent="0.2">
      <c r="E423" s="8"/>
      <c r="G423" s="83"/>
    </row>
    <row r="424" spans="5:7" x14ac:dyDescent="0.2">
      <c r="E424" s="8"/>
      <c r="G424" s="83"/>
    </row>
    <row r="425" spans="5:7" x14ac:dyDescent="0.2">
      <c r="E425" s="8"/>
      <c r="G425" s="83"/>
    </row>
    <row r="426" spans="5:7" x14ac:dyDescent="0.2">
      <c r="E426" s="8"/>
      <c r="G426" s="83"/>
    </row>
    <row r="427" spans="5:7" x14ac:dyDescent="0.2">
      <c r="E427" s="8"/>
      <c r="G427" s="83"/>
    </row>
    <row r="428" spans="5:7" x14ac:dyDescent="0.2">
      <c r="E428" s="8"/>
      <c r="G428" s="83"/>
    </row>
    <row r="429" spans="5:7" x14ac:dyDescent="0.2">
      <c r="E429" s="8"/>
      <c r="G429" s="83"/>
    </row>
    <row r="430" spans="5:7" x14ac:dyDescent="0.2">
      <c r="E430" s="8"/>
      <c r="G430" s="83"/>
    </row>
    <row r="431" spans="5:7" x14ac:dyDescent="0.2">
      <c r="E431" s="8"/>
      <c r="G431" s="83"/>
    </row>
    <row r="432" spans="5:7" x14ac:dyDescent="0.2">
      <c r="E432" s="8"/>
      <c r="G432" s="83"/>
    </row>
    <row r="433" spans="5:7" x14ac:dyDescent="0.2">
      <c r="E433" s="8"/>
      <c r="G433" s="83"/>
    </row>
    <row r="434" spans="5:7" x14ac:dyDescent="0.2">
      <c r="E434" s="8"/>
      <c r="G434" s="83"/>
    </row>
    <row r="435" spans="5:7" x14ac:dyDescent="0.2">
      <c r="E435" s="8"/>
      <c r="G435" s="83"/>
    </row>
    <row r="436" spans="5:7" x14ac:dyDescent="0.2">
      <c r="E436" s="8"/>
      <c r="G436" s="83"/>
    </row>
    <row r="437" spans="5:7" x14ac:dyDescent="0.2">
      <c r="E437" s="8"/>
      <c r="G437" s="83"/>
    </row>
    <row r="438" spans="5:7" x14ac:dyDescent="0.2">
      <c r="E438" s="8"/>
      <c r="G438" s="83"/>
    </row>
    <row r="439" spans="5:7" x14ac:dyDescent="0.2">
      <c r="E439" s="8"/>
      <c r="G439" s="83"/>
    </row>
    <row r="440" spans="5:7" x14ac:dyDescent="0.2">
      <c r="E440" s="8"/>
      <c r="G440" s="83"/>
    </row>
    <row r="441" spans="5:7" x14ac:dyDescent="0.2">
      <c r="E441" s="8"/>
      <c r="G441" s="83"/>
    </row>
    <row r="442" spans="5:7" x14ac:dyDescent="0.2">
      <c r="E442" s="8"/>
      <c r="G442" s="83"/>
    </row>
    <row r="443" spans="5:7" x14ac:dyDescent="0.2">
      <c r="E443" s="8"/>
      <c r="G443" s="83"/>
    </row>
    <row r="444" spans="5:7" x14ac:dyDescent="0.2">
      <c r="E444" s="8"/>
      <c r="G444" s="83"/>
    </row>
    <row r="445" spans="5:7" x14ac:dyDescent="0.2">
      <c r="E445" s="8"/>
      <c r="G445" s="83"/>
    </row>
    <row r="446" spans="5:7" x14ac:dyDescent="0.2">
      <c r="E446" s="8"/>
      <c r="G446" s="83"/>
    </row>
    <row r="447" spans="5:7" x14ac:dyDescent="0.2">
      <c r="E447" s="8"/>
      <c r="G447" s="83"/>
    </row>
    <row r="448" spans="5:7" x14ac:dyDescent="0.2">
      <c r="E448" s="8"/>
      <c r="G448" s="83"/>
    </row>
    <row r="449" spans="5:7" x14ac:dyDescent="0.2">
      <c r="E449" s="8"/>
      <c r="G449" s="83"/>
    </row>
    <row r="450" spans="5:7" x14ac:dyDescent="0.2">
      <c r="E450" s="8"/>
      <c r="G450" s="83"/>
    </row>
    <row r="451" spans="5:7" x14ac:dyDescent="0.2">
      <c r="E451" s="8"/>
      <c r="G451" s="83"/>
    </row>
    <row r="452" spans="5:7" x14ac:dyDescent="0.2">
      <c r="E452" s="8"/>
      <c r="G452" s="83"/>
    </row>
    <row r="453" spans="5:7" x14ac:dyDescent="0.2">
      <c r="E453" s="8"/>
      <c r="G453" s="83"/>
    </row>
    <row r="454" spans="5:7" x14ac:dyDescent="0.2">
      <c r="E454" s="8"/>
      <c r="G454" s="83"/>
    </row>
    <row r="455" spans="5:7" x14ac:dyDescent="0.2">
      <c r="E455" s="8"/>
      <c r="G455" s="83"/>
    </row>
    <row r="456" spans="5:7" x14ac:dyDescent="0.2">
      <c r="E456" s="8"/>
      <c r="G456" s="83"/>
    </row>
    <row r="457" spans="5:7" x14ac:dyDescent="0.2">
      <c r="E457" s="8"/>
      <c r="G457" s="83"/>
    </row>
    <row r="458" spans="5:7" x14ac:dyDescent="0.2">
      <c r="E458" s="8"/>
      <c r="G458" s="83"/>
    </row>
    <row r="459" spans="5:7" x14ac:dyDescent="0.2">
      <c r="E459" s="8"/>
      <c r="G459" s="83"/>
    </row>
    <row r="460" spans="5:7" x14ac:dyDescent="0.2">
      <c r="E460" s="8"/>
      <c r="G460" s="83"/>
    </row>
    <row r="461" spans="5:7" x14ac:dyDescent="0.2">
      <c r="E461" s="8"/>
      <c r="G461" s="83"/>
    </row>
    <row r="462" spans="5:7" x14ac:dyDescent="0.2">
      <c r="E462" s="8"/>
      <c r="G462" s="83"/>
    </row>
    <row r="463" spans="5:7" x14ac:dyDescent="0.2">
      <c r="E463" s="8"/>
      <c r="G463" s="83"/>
    </row>
    <row r="464" spans="5:7" x14ac:dyDescent="0.2">
      <c r="E464" s="8"/>
      <c r="G464" s="83"/>
    </row>
    <row r="465" spans="5:7" x14ac:dyDescent="0.2">
      <c r="E465" s="8"/>
      <c r="G465" s="83"/>
    </row>
    <row r="466" spans="5:7" x14ac:dyDescent="0.2">
      <c r="E466" s="8"/>
      <c r="G466" s="83"/>
    </row>
    <row r="467" spans="5:7" x14ac:dyDescent="0.2">
      <c r="E467" s="8"/>
      <c r="G467" s="83"/>
    </row>
    <row r="468" spans="5:7" x14ac:dyDescent="0.2">
      <c r="E468" s="8"/>
      <c r="G468" s="83"/>
    </row>
    <row r="469" spans="5:7" x14ac:dyDescent="0.2">
      <c r="E469" s="8"/>
      <c r="G469" s="83"/>
    </row>
    <row r="470" spans="5:7" x14ac:dyDescent="0.2">
      <c r="E470" s="8"/>
      <c r="G470" s="83"/>
    </row>
    <row r="471" spans="5:7" x14ac:dyDescent="0.2">
      <c r="E471" s="8"/>
      <c r="G471" s="83"/>
    </row>
    <row r="472" spans="5:7" x14ac:dyDescent="0.2">
      <c r="E472" s="8"/>
      <c r="G472" s="83"/>
    </row>
    <row r="473" spans="5:7" x14ac:dyDescent="0.2">
      <c r="E473" s="8"/>
      <c r="G473" s="83"/>
    </row>
    <row r="474" spans="5:7" x14ac:dyDescent="0.2">
      <c r="E474" s="8"/>
      <c r="G474" s="83"/>
    </row>
    <row r="475" spans="5:7" x14ac:dyDescent="0.2">
      <c r="E475" s="8"/>
      <c r="G475" s="83"/>
    </row>
    <row r="476" spans="5:7" x14ac:dyDescent="0.2">
      <c r="E476" s="8"/>
      <c r="G476" s="83"/>
    </row>
    <row r="477" spans="5:7" x14ac:dyDescent="0.2">
      <c r="E477" s="8"/>
      <c r="G477" s="83"/>
    </row>
    <row r="478" spans="5:7" x14ac:dyDescent="0.2">
      <c r="E478" s="8"/>
      <c r="G478" s="83"/>
    </row>
    <row r="479" spans="5:7" x14ac:dyDescent="0.2">
      <c r="E479" s="8"/>
      <c r="G479" s="83"/>
    </row>
    <row r="480" spans="5:7" x14ac:dyDescent="0.2">
      <c r="E480" s="8"/>
      <c r="G480" s="83"/>
    </row>
    <row r="481" spans="5:7" x14ac:dyDescent="0.2">
      <c r="E481" s="8"/>
      <c r="G481" s="83"/>
    </row>
    <row r="482" spans="5:7" x14ac:dyDescent="0.2">
      <c r="E482" s="8"/>
      <c r="G482" s="83"/>
    </row>
    <row r="483" spans="5:7" x14ac:dyDescent="0.2">
      <c r="E483" s="8"/>
      <c r="G483" s="83"/>
    </row>
    <row r="484" spans="5:7" x14ac:dyDescent="0.2">
      <c r="E484" s="8"/>
      <c r="G484" s="83"/>
    </row>
    <row r="485" spans="5:7" x14ac:dyDescent="0.2">
      <c r="E485" s="8"/>
      <c r="G485" s="83"/>
    </row>
    <row r="486" spans="5:7" x14ac:dyDescent="0.2">
      <c r="E486" s="8"/>
      <c r="G486" s="83"/>
    </row>
    <row r="487" spans="5:7" x14ac:dyDescent="0.2">
      <c r="E487" s="8"/>
      <c r="G487" s="83"/>
    </row>
    <row r="488" spans="5:7" x14ac:dyDescent="0.2">
      <c r="E488" s="8"/>
      <c r="G488" s="83"/>
    </row>
    <row r="489" spans="5:7" x14ac:dyDescent="0.2">
      <c r="E489" s="8"/>
      <c r="G489" s="83"/>
    </row>
    <row r="490" spans="5:7" x14ac:dyDescent="0.2">
      <c r="E490" s="8"/>
      <c r="G490" s="83"/>
    </row>
    <row r="491" spans="5:7" x14ac:dyDescent="0.2">
      <c r="E491" s="8"/>
      <c r="G491" s="83"/>
    </row>
    <row r="492" spans="5:7" x14ac:dyDescent="0.2">
      <c r="E492" s="8"/>
      <c r="G492" s="83"/>
    </row>
    <row r="493" spans="5:7" x14ac:dyDescent="0.2">
      <c r="E493" s="8"/>
      <c r="G493" s="83"/>
    </row>
    <row r="494" spans="5:7" x14ac:dyDescent="0.2">
      <c r="E494" s="8"/>
      <c r="G494" s="83"/>
    </row>
    <row r="495" spans="5:7" x14ac:dyDescent="0.2">
      <c r="E495" s="8"/>
      <c r="G495" s="83"/>
    </row>
    <row r="496" spans="5:7" x14ac:dyDescent="0.2">
      <c r="E496" s="8"/>
      <c r="G496" s="83"/>
    </row>
    <row r="497" spans="5:7" x14ac:dyDescent="0.2">
      <c r="E497" s="8"/>
      <c r="G497" s="83"/>
    </row>
    <row r="498" spans="5:7" x14ac:dyDescent="0.2">
      <c r="E498" s="8"/>
      <c r="G498" s="83"/>
    </row>
    <row r="499" spans="5:7" x14ac:dyDescent="0.2">
      <c r="E499" s="8"/>
      <c r="G499" s="83"/>
    </row>
    <row r="500" spans="5:7" x14ac:dyDescent="0.2">
      <c r="E500" s="8"/>
      <c r="G500" s="83"/>
    </row>
    <row r="501" spans="5:7" x14ac:dyDescent="0.2">
      <c r="E501" s="8"/>
      <c r="G501" s="83"/>
    </row>
    <row r="502" spans="5:7" x14ac:dyDescent="0.2">
      <c r="E502" s="8"/>
      <c r="G502" s="83"/>
    </row>
    <row r="503" spans="5:7" x14ac:dyDescent="0.2">
      <c r="E503" s="8"/>
      <c r="G503" s="83"/>
    </row>
    <row r="504" spans="5:7" x14ac:dyDescent="0.2">
      <c r="E504" s="8"/>
      <c r="G504" s="83"/>
    </row>
    <row r="505" spans="5:7" x14ac:dyDescent="0.2">
      <c r="E505" s="8"/>
      <c r="G505" s="83"/>
    </row>
    <row r="506" spans="5:7" x14ac:dyDescent="0.2">
      <c r="E506" s="8"/>
      <c r="G506" s="83"/>
    </row>
    <row r="507" spans="5:7" x14ac:dyDescent="0.2">
      <c r="E507" s="8"/>
      <c r="G507" s="83"/>
    </row>
    <row r="508" spans="5:7" x14ac:dyDescent="0.2">
      <c r="E508" s="8"/>
      <c r="G508" s="83"/>
    </row>
    <row r="509" spans="5:7" x14ac:dyDescent="0.2">
      <c r="E509" s="8"/>
      <c r="G509" s="83"/>
    </row>
    <row r="510" spans="5:7" x14ac:dyDescent="0.2">
      <c r="E510" s="8"/>
      <c r="G510" s="83"/>
    </row>
    <row r="511" spans="5:7" x14ac:dyDescent="0.2">
      <c r="E511" s="8"/>
      <c r="G511" s="83"/>
    </row>
  </sheetData>
  <mergeCells count="1">
    <mergeCell ref="B1:C1"/>
  </mergeCells>
  <conditionalFormatting sqref="G1:G3 G5:G205">
    <cfRule type="cellIs" dxfId="4" priority="2" stopIfTrue="1" operator="between">
      <formula>0.009</formula>
      <formula>-0.009</formula>
    </cfRule>
  </conditionalFormatting>
  <hyperlinks>
    <hyperlink ref="A2" location="Index!A1" display="-" xr:uid="{E03BFF10-2D4E-447F-934C-571EABE7B30D}"/>
  </hyperlinks>
  <pageMargins left="0.7" right="0.7" top="0.75" bottom="0.75" header="0.3" footer="0.3"/>
  <pageSetup paperSize="9" scale="3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8" max="51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A015-721B-41A6-B1EF-927B53ACF583}">
  <dimension ref="A1:I609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28515625" style="8" bestFit="1" customWidth="1"/>
    <col min="4" max="4" width="32.140625" style="8" bestFit="1" customWidth="1"/>
    <col min="5" max="5" width="13.7109375" style="9" bestFit="1" customWidth="1"/>
    <col min="6" max="6" width="12.7109375" style="11" bestFit="1" customWidth="1"/>
    <col min="7" max="7" width="9.42578125" style="18" customWidth="1"/>
    <col min="8" max="8" width="12.5703125" style="8" customWidth="1"/>
    <col min="9" max="16384" width="9.140625" style="8"/>
  </cols>
  <sheetData>
    <row r="1" spans="1:8" s="1" customFormat="1" ht="16.7" customHeight="1" x14ac:dyDescent="0.2">
      <c r="B1" s="98" t="s">
        <v>19</v>
      </c>
      <c r="C1" s="99"/>
      <c r="D1" s="13"/>
      <c r="E1" s="6"/>
      <c r="F1" s="7"/>
      <c r="G1" s="18"/>
    </row>
    <row r="2" spans="1:8" s="1" customFormat="1" ht="15" x14ac:dyDescent="0.25">
      <c r="A2" s="82" t="s">
        <v>1501</v>
      </c>
      <c r="E2" s="6"/>
      <c r="F2" s="7"/>
      <c r="G2" s="18"/>
    </row>
    <row r="3" spans="1:8" s="1" customFormat="1" ht="12" x14ac:dyDescent="0.2">
      <c r="B3" s="10" t="s">
        <v>9</v>
      </c>
      <c r="C3" s="2"/>
      <c r="D3" s="3"/>
      <c r="E3" s="4"/>
      <c r="F3" s="5"/>
      <c r="G3" s="18"/>
    </row>
    <row r="4" spans="1:8" s="1" customFormat="1" ht="33.75" x14ac:dyDescent="0.2">
      <c r="B4" s="28" t="s">
        <v>7</v>
      </c>
      <c r="C4" s="28" t="s">
        <v>8</v>
      </c>
      <c r="D4" s="29" t="s">
        <v>412</v>
      </c>
      <c r="E4" s="30" t="s">
        <v>0</v>
      </c>
      <c r="F4" s="31" t="s">
        <v>4</v>
      </c>
      <c r="G4" s="32" t="s">
        <v>5</v>
      </c>
      <c r="H4" s="73" t="s">
        <v>6</v>
      </c>
    </row>
    <row r="5" spans="1:8" x14ac:dyDescent="0.2">
      <c r="B5" s="34" t="s">
        <v>284</v>
      </c>
      <c r="C5" s="35"/>
      <c r="D5" s="35"/>
      <c r="E5" s="36"/>
      <c r="F5" s="37"/>
      <c r="G5" s="38"/>
      <c r="H5" s="35"/>
    </row>
    <row r="6" spans="1:8" x14ac:dyDescent="0.2">
      <c r="B6" s="34" t="s">
        <v>239</v>
      </c>
      <c r="C6" s="35"/>
      <c r="D6" s="35"/>
      <c r="E6" s="36"/>
      <c r="F6" s="37"/>
      <c r="G6" s="38"/>
      <c r="H6" s="35"/>
    </row>
    <row r="7" spans="1:8" x14ac:dyDescent="0.2">
      <c r="B7" s="35" t="s">
        <v>837</v>
      </c>
      <c r="C7" s="35" t="s">
        <v>838</v>
      </c>
      <c r="D7" s="35" t="s">
        <v>528</v>
      </c>
      <c r="E7" s="40">
        <v>34819</v>
      </c>
      <c r="F7" s="37">
        <v>850.73262699999998</v>
      </c>
      <c r="G7" s="38">
        <v>3.2588956370113098</v>
      </c>
      <c r="H7" s="41"/>
    </row>
    <row r="8" spans="1:8" x14ac:dyDescent="0.2">
      <c r="B8" s="35" t="s">
        <v>839</v>
      </c>
      <c r="C8" s="35" t="s">
        <v>840</v>
      </c>
      <c r="D8" s="35" t="s">
        <v>325</v>
      </c>
      <c r="E8" s="40">
        <v>53026</v>
      </c>
      <c r="F8" s="37">
        <v>570.45370800000001</v>
      </c>
      <c r="G8" s="38">
        <v>2.18523310511062</v>
      </c>
      <c r="H8" s="41"/>
    </row>
    <row r="9" spans="1:8" x14ac:dyDescent="0.2">
      <c r="B9" s="35" t="s">
        <v>841</v>
      </c>
      <c r="C9" s="35" t="s">
        <v>842</v>
      </c>
      <c r="D9" s="35" t="s">
        <v>287</v>
      </c>
      <c r="E9" s="40">
        <v>128895</v>
      </c>
      <c r="F9" s="37">
        <v>420.45549</v>
      </c>
      <c r="G9" s="38">
        <v>1.61063596061945</v>
      </c>
      <c r="H9" s="41"/>
    </row>
    <row r="10" spans="1:8" x14ac:dyDescent="0.2">
      <c r="B10" s="35" t="s">
        <v>843</v>
      </c>
      <c r="C10" s="35" t="s">
        <v>844</v>
      </c>
      <c r="D10" s="35" t="s">
        <v>366</v>
      </c>
      <c r="E10" s="40">
        <v>74320</v>
      </c>
      <c r="F10" s="37">
        <v>322.10288000000003</v>
      </c>
      <c r="G10" s="38">
        <v>1.2338772923314401</v>
      </c>
      <c r="H10" s="41"/>
    </row>
    <row r="11" spans="1:8" x14ac:dyDescent="0.2">
      <c r="B11" s="35" t="s">
        <v>845</v>
      </c>
      <c r="C11" s="35" t="s">
        <v>846</v>
      </c>
      <c r="D11" s="35" t="s">
        <v>463</v>
      </c>
      <c r="E11" s="40">
        <v>5017</v>
      </c>
      <c r="F11" s="37">
        <v>313.88860499999998</v>
      </c>
      <c r="G11" s="38">
        <v>1.2024109254505699</v>
      </c>
      <c r="H11" s="41"/>
    </row>
    <row r="12" spans="1:8" x14ac:dyDescent="0.2">
      <c r="B12" s="35" t="s">
        <v>847</v>
      </c>
      <c r="C12" s="35" t="s">
        <v>848</v>
      </c>
      <c r="D12" s="35" t="s">
        <v>528</v>
      </c>
      <c r="E12" s="40">
        <v>24312</v>
      </c>
      <c r="F12" s="37">
        <v>309.29726399999998</v>
      </c>
      <c r="G12" s="38">
        <v>1.18482290698501</v>
      </c>
      <c r="H12" s="41"/>
    </row>
    <row r="13" spans="1:8" x14ac:dyDescent="0.2">
      <c r="B13" s="35" t="s">
        <v>849</v>
      </c>
      <c r="C13" s="35" t="s">
        <v>850</v>
      </c>
      <c r="D13" s="35" t="s">
        <v>434</v>
      </c>
      <c r="E13" s="40">
        <v>10685</v>
      </c>
      <c r="F13" s="37">
        <v>283.09907500000003</v>
      </c>
      <c r="G13" s="38">
        <v>1.0844656841396001</v>
      </c>
      <c r="H13" s="41"/>
    </row>
    <row r="14" spans="1:8" x14ac:dyDescent="0.2">
      <c r="B14" s="35" t="s">
        <v>851</v>
      </c>
      <c r="C14" s="35" t="s">
        <v>852</v>
      </c>
      <c r="D14" s="35" t="s">
        <v>287</v>
      </c>
      <c r="E14" s="40">
        <v>98500</v>
      </c>
      <c r="F14" s="37">
        <v>278.80425000000002</v>
      </c>
      <c r="G14" s="38">
        <v>1.0680135274807201</v>
      </c>
      <c r="H14" s="41"/>
    </row>
    <row r="15" spans="1:8" x14ac:dyDescent="0.2">
      <c r="B15" s="35" t="s">
        <v>853</v>
      </c>
      <c r="C15" s="35" t="s">
        <v>854</v>
      </c>
      <c r="D15" s="35" t="s">
        <v>287</v>
      </c>
      <c r="E15" s="40">
        <v>82172</v>
      </c>
      <c r="F15" s="37">
        <v>262.74497000000002</v>
      </c>
      <c r="G15" s="38">
        <v>1.00649535377426</v>
      </c>
      <c r="H15" s="41"/>
    </row>
    <row r="16" spans="1:8" x14ac:dyDescent="0.2">
      <c r="B16" s="35" t="s">
        <v>855</v>
      </c>
      <c r="C16" s="35" t="s">
        <v>856</v>
      </c>
      <c r="D16" s="35" t="s">
        <v>352</v>
      </c>
      <c r="E16" s="40">
        <v>44790</v>
      </c>
      <c r="F16" s="37">
        <v>253.64577</v>
      </c>
      <c r="G16" s="38">
        <v>0.97163911076772802</v>
      </c>
      <c r="H16" s="41"/>
    </row>
    <row r="17" spans="2:8" ht="12.6" customHeight="1" x14ac:dyDescent="0.2">
      <c r="B17" s="35" t="s">
        <v>857</v>
      </c>
      <c r="C17" s="35" t="s">
        <v>858</v>
      </c>
      <c r="D17" s="35" t="s">
        <v>391</v>
      </c>
      <c r="E17" s="40">
        <v>33706</v>
      </c>
      <c r="F17" s="37">
        <v>251.126553</v>
      </c>
      <c r="G17" s="38">
        <v>0.96198876349124496</v>
      </c>
      <c r="H17" s="41"/>
    </row>
    <row r="18" spans="2:8" x14ac:dyDescent="0.2">
      <c r="B18" s="35" t="s">
        <v>859</v>
      </c>
      <c r="C18" s="35" t="s">
        <v>860</v>
      </c>
      <c r="D18" s="35" t="s">
        <v>331</v>
      </c>
      <c r="E18" s="40">
        <v>2972</v>
      </c>
      <c r="F18" s="37">
        <v>236.98728</v>
      </c>
      <c r="G18" s="38">
        <v>0.90782554742569799</v>
      </c>
      <c r="H18" s="41"/>
    </row>
    <row r="19" spans="2:8" x14ac:dyDescent="0.2">
      <c r="B19" s="35" t="s">
        <v>861</v>
      </c>
      <c r="C19" s="35" t="s">
        <v>862</v>
      </c>
      <c r="D19" s="35" t="s">
        <v>325</v>
      </c>
      <c r="E19" s="40">
        <v>11160</v>
      </c>
      <c r="F19" s="37">
        <v>229.17060000000001</v>
      </c>
      <c r="G19" s="38">
        <v>0.87788224498325695</v>
      </c>
      <c r="H19" s="41"/>
    </row>
    <row r="20" spans="2:8" x14ac:dyDescent="0.2">
      <c r="B20" s="35" t="s">
        <v>863</v>
      </c>
      <c r="C20" s="35" t="s">
        <v>864</v>
      </c>
      <c r="D20" s="35" t="s">
        <v>865</v>
      </c>
      <c r="E20" s="40">
        <v>81092</v>
      </c>
      <c r="F20" s="37">
        <v>227.42251400000001</v>
      </c>
      <c r="G20" s="38">
        <v>0.87118586393741604</v>
      </c>
      <c r="H20" s="41"/>
    </row>
    <row r="21" spans="2:8" x14ac:dyDescent="0.2">
      <c r="B21" s="35" t="s">
        <v>866</v>
      </c>
      <c r="C21" s="35" t="s">
        <v>867</v>
      </c>
      <c r="D21" s="35" t="s">
        <v>331</v>
      </c>
      <c r="E21" s="40">
        <v>87697</v>
      </c>
      <c r="F21" s="37">
        <v>226.12671449999999</v>
      </c>
      <c r="G21" s="38">
        <v>0.86622205368379701</v>
      </c>
      <c r="H21" s="41"/>
    </row>
    <row r="22" spans="2:8" x14ac:dyDescent="0.2">
      <c r="B22" s="35" t="s">
        <v>868</v>
      </c>
      <c r="C22" s="35" t="s">
        <v>869</v>
      </c>
      <c r="D22" s="35" t="s">
        <v>528</v>
      </c>
      <c r="E22" s="40">
        <v>32774</v>
      </c>
      <c r="F22" s="37">
        <v>222.07662400000001</v>
      </c>
      <c r="G22" s="38">
        <v>0.85070739979483601</v>
      </c>
      <c r="H22" s="41"/>
    </row>
    <row r="23" spans="2:8" x14ac:dyDescent="0.2">
      <c r="B23" s="35" t="s">
        <v>870</v>
      </c>
      <c r="C23" s="35" t="s">
        <v>871</v>
      </c>
      <c r="D23" s="35" t="s">
        <v>318</v>
      </c>
      <c r="E23" s="40">
        <v>13522</v>
      </c>
      <c r="F23" s="37">
        <v>220.96300199999999</v>
      </c>
      <c r="G23" s="38">
        <v>0.84644145564047002</v>
      </c>
      <c r="H23" s="41"/>
    </row>
    <row r="24" spans="2:8" x14ac:dyDescent="0.2">
      <c r="B24" s="35" t="s">
        <v>872</v>
      </c>
      <c r="C24" s="35" t="s">
        <v>873</v>
      </c>
      <c r="D24" s="35" t="s">
        <v>287</v>
      </c>
      <c r="E24" s="40">
        <v>120415</v>
      </c>
      <c r="F24" s="37">
        <v>219.13121699999999</v>
      </c>
      <c r="G24" s="38">
        <v>0.83942444940962402</v>
      </c>
      <c r="H24" s="41"/>
    </row>
    <row r="25" spans="2:8" x14ac:dyDescent="0.2">
      <c r="B25" s="35" t="s">
        <v>874</v>
      </c>
      <c r="C25" s="35" t="s">
        <v>875</v>
      </c>
      <c r="D25" s="35" t="s">
        <v>318</v>
      </c>
      <c r="E25" s="40">
        <v>74904</v>
      </c>
      <c r="F25" s="37">
        <v>212.16558000000001</v>
      </c>
      <c r="G25" s="38">
        <v>0.812741231547916</v>
      </c>
      <c r="H25" s="41"/>
    </row>
    <row r="26" spans="2:8" x14ac:dyDescent="0.2">
      <c r="B26" s="35" t="s">
        <v>876</v>
      </c>
      <c r="C26" s="35" t="s">
        <v>877</v>
      </c>
      <c r="D26" s="35" t="s">
        <v>318</v>
      </c>
      <c r="E26" s="40">
        <v>25649</v>
      </c>
      <c r="F26" s="37">
        <v>211.54012750000001</v>
      </c>
      <c r="G26" s="38">
        <v>0.81034531494766104</v>
      </c>
      <c r="H26" s="41"/>
    </row>
    <row r="27" spans="2:8" x14ac:dyDescent="0.2">
      <c r="B27" s="35" t="s">
        <v>878</v>
      </c>
      <c r="C27" s="35" t="s">
        <v>879</v>
      </c>
      <c r="D27" s="35" t="s">
        <v>391</v>
      </c>
      <c r="E27" s="40">
        <v>31719</v>
      </c>
      <c r="F27" s="37">
        <v>207.63257400000001</v>
      </c>
      <c r="G27" s="38">
        <v>0.79537667656659405</v>
      </c>
      <c r="H27" s="41"/>
    </row>
    <row r="28" spans="2:8" x14ac:dyDescent="0.2">
      <c r="B28" s="35" t="s">
        <v>880</v>
      </c>
      <c r="C28" s="35" t="s">
        <v>881</v>
      </c>
      <c r="D28" s="35" t="s">
        <v>528</v>
      </c>
      <c r="E28" s="40">
        <v>87964</v>
      </c>
      <c r="F28" s="37">
        <v>205.132048</v>
      </c>
      <c r="G28" s="38">
        <v>0.78579792877556298</v>
      </c>
      <c r="H28" s="41"/>
    </row>
    <row r="29" spans="2:8" x14ac:dyDescent="0.2">
      <c r="B29" s="35" t="s">
        <v>882</v>
      </c>
      <c r="C29" s="35" t="s">
        <v>883</v>
      </c>
      <c r="D29" s="35" t="s">
        <v>325</v>
      </c>
      <c r="E29" s="40">
        <v>10861</v>
      </c>
      <c r="F29" s="37">
        <v>197.909142</v>
      </c>
      <c r="G29" s="38">
        <v>0.75812919232078702</v>
      </c>
      <c r="H29" s="41"/>
    </row>
    <row r="30" spans="2:8" x14ac:dyDescent="0.2">
      <c r="B30" s="35" t="s">
        <v>884</v>
      </c>
      <c r="C30" s="35" t="s">
        <v>885</v>
      </c>
      <c r="D30" s="35" t="s">
        <v>345</v>
      </c>
      <c r="E30" s="40">
        <v>17241</v>
      </c>
      <c r="F30" s="37">
        <v>194.78881799999999</v>
      </c>
      <c r="G30" s="38">
        <v>0.74617618858385404</v>
      </c>
      <c r="H30" s="41"/>
    </row>
    <row r="31" spans="2:8" x14ac:dyDescent="0.2">
      <c r="B31" s="35" t="s">
        <v>886</v>
      </c>
      <c r="C31" s="35" t="s">
        <v>887</v>
      </c>
      <c r="D31" s="35" t="s">
        <v>298</v>
      </c>
      <c r="E31" s="40">
        <v>15497</v>
      </c>
      <c r="F31" s="37">
        <v>192.17829699999999</v>
      </c>
      <c r="G31" s="38">
        <v>0.73617608370104604</v>
      </c>
      <c r="H31" s="41"/>
    </row>
    <row r="32" spans="2:8" x14ac:dyDescent="0.2">
      <c r="B32" s="35" t="s">
        <v>888</v>
      </c>
      <c r="C32" s="35" t="s">
        <v>889</v>
      </c>
      <c r="D32" s="35" t="s">
        <v>325</v>
      </c>
      <c r="E32" s="40">
        <v>18714</v>
      </c>
      <c r="F32" s="37">
        <v>186.81250499999999</v>
      </c>
      <c r="G32" s="38">
        <v>0.71562138110362306</v>
      </c>
      <c r="H32" s="41"/>
    </row>
    <row r="33" spans="2:8" x14ac:dyDescent="0.2">
      <c r="B33" s="35" t="s">
        <v>890</v>
      </c>
      <c r="C33" s="35" t="s">
        <v>891</v>
      </c>
      <c r="D33" s="35" t="s">
        <v>366</v>
      </c>
      <c r="E33" s="40">
        <v>13533</v>
      </c>
      <c r="F33" s="37">
        <v>181.19333700000001</v>
      </c>
      <c r="G33" s="38">
        <v>0.69409607280151897</v>
      </c>
      <c r="H33" s="41"/>
    </row>
    <row r="34" spans="2:8" x14ac:dyDescent="0.2">
      <c r="B34" s="35" t="s">
        <v>892</v>
      </c>
      <c r="C34" s="35" t="s">
        <v>893</v>
      </c>
      <c r="D34" s="35" t="s">
        <v>528</v>
      </c>
      <c r="E34" s="40">
        <v>5812</v>
      </c>
      <c r="F34" s="37">
        <v>178.771308</v>
      </c>
      <c r="G34" s="38">
        <v>0.684818022929788</v>
      </c>
      <c r="H34" s="41"/>
    </row>
    <row r="35" spans="2:8" x14ac:dyDescent="0.2">
      <c r="B35" s="35" t="s">
        <v>894</v>
      </c>
      <c r="C35" s="35" t="s">
        <v>895</v>
      </c>
      <c r="D35" s="35" t="s">
        <v>318</v>
      </c>
      <c r="E35" s="40">
        <v>39251</v>
      </c>
      <c r="F35" s="37">
        <v>178.51354799999999</v>
      </c>
      <c r="G35" s="38">
        <v>0.68383062346638901</v>
      </c>
      <c r="H35" s="41"/>
    </row>
    <row r="36" spans="2:8" x14ac:dyDescent="0.2">
      <c r="B36" s="35" t="s">
        <v>896</v>
      </c>
      <c r="C36" s="35" t="s">
        <v>897</v>
      </c>
      <c r="D36" s="35" t="s">
        <v>318</v>
      </c>
      <c r="E36" s="40">
        <v>36150</v>
      </c>
      <c r="F36" s="37">
        <v>174.18877499999999</v>
      </c>
      <c r="G36" s="38">
        <v>0.66726374520939102</v>
      </c>
      <c r="H36" s="41"/>
    </row>
    <row r="37" spans="2:8" x14ac:dyDescent="0.2">
      <c r="B37" s="35" t="s">
        <v>898</v>
      </c>
      <c r="C37" s="35" t="s">
        <v>899</v>
      </c>
      <c r="D37" s="35" t="s">
        <v>528</v>
      </c>
      <c r="E37" s="40">
        <v>18193</v>
      </c>
      <c r="F37" s="37">
        <v>174.05243100000001</v>
      </c>
      <c r="G37" s="38">
        <v>0.66674145318410605</v>
      </c>
      <c r="H37" s="41"/>
    </row>
    <row r="38" spans="2:8" x14ac:dyDescent="0.2">
      <c r="B38" s="35" t="s">
        <v>900</v>
      </c>
      <c r="C38" s="35" t="s">
        <v>901</v>
      </c>
      <c r="D38" s="35" t="s">
        <v>535</v>
      </c>
      <c r="E38" s="40">
        <v>4901</v>
      </c>
      <c r="F38" s="37">
        <v>170.206829</v>
      </c>
      <c r="G38" s="38">
        <v>0.65201013198901303</v>
      </c>
      <c r="H38" s="41"/>
    </row>
    <row r="39" spans="2:8" x14ac:dyDescent="0.2">
      <c r="B39" s="35" t="s">
        <v>902</v>
      </c>
      <c r="C39" s="35" t="s">
        <v>903</v>
      </c>
      <c r="D39" s="35" t="s">
        <v>391</v>
      </c>
      <c r="E39" s="40">
        <v>9269</v>
      </c>
      <c r="F39" s="37">
        <v>169.706121</v>
      </c>
      <c r="G39" s="38">
        <v>0.650092073288983</v>
      </c>
      <c r="H39" s="41"/>
    </row>
    <row r="40" spans="2:8" x14ac:dyDescent="0.2">
      <c r="B40" s="35" t="s">
        <v>904</v>
      </c>
      <c r="C40" s="35" t="s">
        <v>905</v>
      </c>
      <c r="D40" s="35" t="s">
        <v>520</v>
      </c>
      <c r="E40" s="40">
        <v>4269</v>
      </c>
      <c r="F40" s="37">
        <v>164.633985</v>
      </c>
      <c r="G40" s="38">
        <v>0.63066227671586095</v>
      </c>
      <c r="H40" s="41"/>
    </row>
    <row r="41" spans="2:8" x14ac:dyDescent="0.2">
      <c r="B41" s="35" t="s">
        <v>906</v>
      </c>
      <c r="C41" s="35" t="s">
        <v>907</v>
      </c>
      <c r="D41" s="35" t="s">
        <v>310</v>
      </c>
      <c r="E41" s="40">
        <v>657</v>
      </c>
      <c r="F41" s="37">
        <v>159.92036999999999</v>
      </c>
      <c r="G41" s="38">
        <v>0.61260586407747297</v>
      </c>
      <c r="H41" s="41"/>
    </row>
    <row r="42" spans="2:8" x14ac:dyDescent="0.2">
      <c r="B42" s="35" t="s">
        <v>908</v>
      </c>
      <c r="C42" s="35" t="s">
        <v>909</v>
      </c>
      <c r="D42" s="35" t="s">
        <v>535</v>
      </c>
      <c r="E42" s="40">
        <v>11359</v>
      </c>
      <c r="F42" s="37">
        <v>158.25358800000001</v>
      </c>
      <c r="G42" s="38">
        <v>0.60622093370657204</v>
      </c>
      <c r="H42" s="41"/>
    </row>
    <row r="43" spans="2:8" x14ac:dyDescent="0.2">
      <c r="B43" s="35" t="s">
        <v>910</v>
      </c>
      <c r="C43" s="35" t="s">
        <v>911</v>
      </c>
      <c r="D43" s="35" t="s">
        <v>318</v>
      </c>
      <c r="E43" s="40">
        <v>105348</v>
      </c>
      <c r="F43" s="37">
        <v>157.92718679999999</v>
      </c>
      <c r="G43" s="38">
        <v>0.60497059086930904</v>
      </c>
      <c r="H43" s="41"/>
    </row>
    <row r="44" spans="2:8" x14ac:dyDescent="0.2">
      <c r="B44" s="35" t="s">
        <v>912</v>
      </c>
      <c r="C44" s="35" t="s">
        <v>913</v>
      </c>
      <c r="D44" s="35" t="s">
        <v>318</v>
      </c>
      <c r="E44" s="40">
        <v>31716</v>
      </c>
      <c r="F44" s="37">
        <v>157.37479200000001</v>
      </c>
      <c r="G44" s="38">
        <v>0.60285453589916405</v>
      </c>
      <c r="H44" s="41"/>
    </row>
    <row r="45" spans="2:8" x14ac:dyDescent="0.2">
      <c r="B45" s="35" t="s">
        <v>914</v>
      </c>
      <c r="C45" s="35" t="s">
        <v>915</v>
      </c>
      <c r="D45" s="35" t="s">
        <v>535</v>
      </c>
      <c r="E45" s="40">
        <v>29384</v>
      </c>
      <c r="F45" s="37">
        <v>157.13094000000001</v>
      </c>
      <c r="G45" s="38">
        <v>0.60192041371593696</v>
      </c>
      <c r="H45" s="41"/>
    </row>
    <row r="46" spans="2:8" x14ac:dyDescent="0.2">
      <c r="B46" s="35" t="s">
        <v>916</v>
      </c>
      <c r="C46" s="35" t="s">
        <v>917</v>
      </c>
      <c r="D46" s="35" t="s">
        <v>441</v>
      </c>
      <c r="E46" s="40">
        <v>1031</v>
      </c>
      <c r="F46" s="37">
        <v>156.34083999999999</v>
      </c>
      <c r="G46" s="38">
        <v>0.59889378306714802</v>
      </c>
      <c r="H46" s="41"/>
    </row>
    <row r="47" spans="2:8" x14ac:dyDescent="0.2">
      <c r="B47" s="35" t="s">
        <v>918</v>
      </c>
      <c r="C47" s="35" t="s">
        <v>919</v>
      </c>
      <c r="D47" s="35" t="s">
        <v>463</v>
      </c>
      <c r="E47" s="40">
        <v>32027</v>
      </c>
      <c r="F47" s="37">
        <v>155.28290949999999</v>
      </c>
      <c r="G47" s="38">
        <v>0.59484117595970798</v>
      </c>
      <c r="H47" s="41"/>
    </row>
    <row r="48" spans="2:8" x14ac:dyDescent="0.2">
      <c r="B48" s="35" t="s">
        <v>920</v>
      </c>
      <c r="C48" s="35" t="s">
        <v>921</v>
      </c>
      <c r="D48" s="35" t="s">
        <v>325</v>
      </c>
      <c r="E48" s="40">
        <v>11274</v>
      </c>
      <c r="F48" s="37">
        <v>153.540606</v>
      </c>
      <c r="G48" s="38">
        <v>0.58816694589694196</v>
      </c>
      <c r="H48" s="41"/>
    </row>
    <row r="49" spans="2:8" x14ac:dyDescent="0.2">
      <c r="B49" s="35" t="s">
        <v>922</v>
      </c>
      <c r="C49" s="35" t="s">
        <v>923</v>
      </c>
      <c r="D49" s="35" t="s">
        <v>463</v>
      </c>
      <c r="E49" s="40">
        <v>21354</v>
      </c>
      <c r="F49" s="37">
        <v>153.19359600000001</v>
      </c>
      <c r="G49" s="38">
        <v>0.58683765707092495</v>
      </c>
      <c r="H49" s="41"/>
    </row>
    <row r="50" spans="2:8" x14ac:dyDescent="0.2">
      <c r="B50" s="35" t="s">
        <v>924</v>
      </c>
      <c r="C50" s="35" t="s">
        <v>925</v>
      </c>
      <c r="D50" s="35" t="s">
        <v>325</v>
      </c>
      <c r="E50" s="40">
        <v>1170</v>
      </c>
      <c r="F50" s="37">
        <v>150.05250000000001</v>
      </c>
      <c r="G50" s="38">
        <v>0.57480508217611703</v>
      </c>
      <c r="H50" s="41"/>
    </row>
    <row r="51" spans="2:8" x14ac:dyDescent="0.2">
      <c r="B51" s="35" t="s">
        <v>926</v>
      </c>
      <c r="C51" s="35" t="s">
        <v>927</v>
      </c>
      <c r="D51" s="35" t="s">
        <v>441</v>
      </c>
      <c r="E51" s="40">
        <v>347006</v>
      </c>
      <c r="F51" s="37">
        <v>149.90659199999999</v>
      </c>
      <c r="G51" s="38">
        <v>0.57424615340165397</v>
      </c>
      <c r="H51" s="41"/>
    </row>
    <row r="52" spans="2:8" x14ac:dyDescent="0.2">
      <c r="B52" s="35" t="s">
        <v>928</v>
      </c>
      <c r="C52" s="35" t="s">
        <v>929</v>
      </c>
      <c r="D52" s="35" t="s">
        <v>382</v>
      </c>
      <c r="E52" s="40">
        <v>32029</v>
      </c>
      <c r="F52" s="37">
        <v>149.09499500000001</v>
      </c>
      <c r="G52" s="38">
        <v>0.57113717434246503</v>
      </c>
      <c r="H52" s="41"/>
    </row>
    <row r="53" spans="2:8" x14ac:dyDescent="0.2">
      <c r="B53" s="35" t="s">
        <v>930</v>
      </c>
      <c r="C53" s="35" t="s">
        <v>931</v>
      </c>
      <c r="D53" s="35" t="s">
        <v>441</v>
      </c>
      <c r="E53" s="40">
        <v>16542</v>
      </c>
      <c r="F53" s="37">
        <v>148.99379400000001</v>
      </c>
      <c r="G53" s="38">
        <v>0.57074950436614802</v>
      </c>
      <c r="H53" s="41"/>
    </row>
    <row r="54" spans="2:8" x14ac:dyDescent="0.2">
      <c r="B54" s="35" t="s">
        <v>932</v>
      </c>
      <c r="C54" s="35" t="s">
        <v>933</v>
      </c>
      <c r="D54" s="35" t="s">
        <v>535</v>
      </c>
      <c r="E54" s="40">
        <v>826</v>
      </c>
      <c r="F54" s="37">
        <v>148.15136000000001</v>
      </c>
      <c r="G54" s="38">
        <v>0.56752239822264605</v>
      </c>
      <c r="H54" s="41"/>
    </row>
    <row r="55" spans="2:8" x14ac:dyDescent="0.2">
      <c r="B55" s="35" t="s">
        <v>934</v>
      </c>
      <c r="C55" s="35" t="s">
        <v>935</v>
      </c>
      <c r="D55" s="35" t="s">
        <v>391</v>
      </c>
      <c r="E55" s="40">
        <v>10567</v>
      </c>
      <c r="F55" s="37">
        <v>147.92743300000001</v>
      </c>
      <c r="G55" s="38">
        <v>0.56666460260020401</v>
      </c>
      <c r="H55" s="41"/>
    </row>
    <row r="56" spans="2:8" x14ac:dyDescent="0.2">
      <c r="B56" s="35" t="s">
        <v>936</v>
      </c>
      <c r="C56" s="35" t="s">
        <v>937</v>
      </c>
      <c r="D56" s="35" t="s">
        <v>535</v>
      </c>
      <c r="E56" s="40">
        <v>17843</v>
      </c>
      <c r="F56" s="37">
        <v>147.2493575</v>
      </c>
      <c r="G56" s="38">
        <v>0.56406710343491795</v>
      </c>
      <c r="H56" s="41"/>
    </row>
    <row r="57" spans="2:8" x14ac:dyDescent="0.2">
      <c r="B57" s="35" t="s">
        <v>938</v>
      </c>
      <c r="C57" s="35" t="s">
        <v>939</v>
      </c>
      <c r="D57" s="35" t="s">
        <v>463</v>
      </c>
      <c r="E57" s="40">
        <v>2173</v>
      </c>
      <c r="F57" s="37">
        <v>145.02601999999999</v>
      </c>
      <c r="G57" s="38">
        <v>0.55555017972892995</v>
      </c>
      <c r="H57" s="41"/>
    </row>
    <row r="58" spans="2:8" x14ac:dyDescent="0.2">
      <c r="B58" s="35" t="s">
        <v>940</v>
      </c>
      <c r="C58" s="35" t="s">
        <v>941</v>
      </c>
      <c r="D58" s="35" t="s">
        <v>441</v>
      </c>
      <c r="E58" s="40">
        <v>16718</v>
      </c>
      <c r="F58" s="37">
        <v>141.25874099999999</v>
      </c>
      <c r="G58" s="38">
        <v>0.54111888991252999</v>
      </c>
      <c r="H58" s="41"/>
    </row>
    <row r="59" spans="2:8" x14ac:dyDescent="0.2">
      <c r="B59" s="35" t="s">
        <v>942</v>
      </c>
      <c r="C59" s="35" t="s">
        <v>943</v>
      </c>
      <c r="D59" s="35" t="s">
        <v>310</v>
      </c>
      <c r="E59" s="40">
        <v>19405</v>
      </c>
      <c r="F59" s="37">
        <v>137.95014499999999</v>
      </c>
      <c r="G59" s="38">
        <v>0.528444673917011</v>
      </c>
      <c r="H59" s="41"/>
    </row>
    <row r="60" spans="2:8" x14ac:dyDescent="0.2">
      <c r="B60" s="35" t="s">
        <v>944</v>
      </c>
      <c r="C60" s="35" t="s">
        <v>945</v>
      </c>
      <c r="D60" s="35" t="s">
        <v>331</v>
      </c>
      <c r="E60" s="40">
        <v>21939</v>
      </c>
      <c r="F60" s="37">
        <v>137.75498099999999</v>
      </c>
      <c r="G60" s="38">
        <v>0.52769706052131404</v>
      </c>
      <c r="H60" s="41"/>
    </row>
    <row r="61" spans="2:8" x14ac:dyDescent="0.2">
      <c r="B61" s="35" t="s">
        <v>946</v>
      </c>
      <c r="C61" s="35" t="s">
        <v>947</v>
      </c>
      <c r="D61" s="35" t="s">
        <v>528</v>
      </c>
      <c r="E61" s="40">
        <v>108469</v>
      </c>
      <c r="F61" s="37">
        <v>136.28045159999999</v>
      </c>
      <c r="G61" s="38">
        <v>0.522048590866106</v>
      </c>
      <c r="H61" s="41"/>
    </row>
    <row r="62" spans="2:8" x14ac:dyDescent="0.2">
      <c r="B62" s="35" t="s">
        <v>948</v>
      </c>
      <c r="C62" s="35" t="s">
        <v>949</v>
      </c>
      <c r="D62" s="35" t="s">
        <v>328</v>
      </c>
      <c r="E62" s="40">
        <v>86046</v>
      </c>
      <c r="F62" s="37">
        <v>136.081749</v>
      </c>
      <c r="G62" s="38">
        <v>0.52128742217966895</v>
      </c>
      <c r="H62" s="41"/>
    </row>
    <row r="63" spans="2:8" x14ac:dyDescent="0.2">
      <c r="B63" s="35" t="s">
        <v>950</v>
      </c>
      <c r="C63" s="35" t="s">
        <v>951</v>
      </c>
      <c r="D63" s="35" t="s">
        <v>318</v>
      </c>
      <c r="E63" s="40">
        <v>12312</v>
      </c>
      <c r="F63" s="37">
        <v>133.35127199999999</v>
      </c>
      <c r="G63" s="38">
        <v>0.51082780267073002</v>
      </c>
      <c r="H63" s="41"/>
    </row>
    <row r="64" spans="2:8" x14ac:dyDescent="0.2">
      <c r="B64" s="35" t="s">
        <v>952</v>
      </c>
      <c r="C64" s="35" t="s">
        <v>953</v>
      </c>
      <c r="D64" s="35" t="s">
        <v>325</v>
      </c>
      <c r="E64" s="40">
        <v>84446</v>
      </c>
      <c r="F64" s="37">
        <v>131.84553980000001</v>
      </c>
      <c r="G64" s="38">
        <v>0.50505980466365796</v>
      </c>
      <c r="H64" s="41"/>
    </row>
    <row r="65" spans="2:8" x14ac:dyDescent="0.2">
      <c r="B65" s="35" t="s">
        <v>954</v>
      </c>
      <c r="C65" s="35" t="s">
        <v>955</v>
      </c>
      <c r="D65" s="35" t="s">
        <v>441</v>
      </c>
      <c r="E65" s="40">
        <v>15084</v>
      </c>
      <c r="F65" s="37">
        <v>131.70594600000001</v>
      </c>
      <c r="G65" s="38">
        <v>0.50452506365181005</v>
      </c>
      <c r="H65" s="41"/>
    </row>
    <row r="66" spans="2:8" x14ac:dyDescent="0.2">
      <c r="B66" s="35" t="s">
        <v>956</v>
      </c>
      <c r="C66" s="35" t="s">
        <v>957</v>
      </c>
      <c r="D66" s="35" t="s">
        <v>483</v>
      </c>
      <c r="E66" s="40">
        <v>18957</v>
      </c>
      <c r="F66" s="37">
        <v>131.57105849999999</v>
      </c>
      <c r="G66" s="38">
        <v>0.50400835103108099</v>
      </c>
      <c r="H66" s="41"/>
    </row>
    <row r="67" spans="2:8" x14ac:dyDescent="0.2">
      <c r="B67" s="35" t="s">
        <v>958</v>
      </c>
      <c r="C67" s="35" t="s">
        <v>959</v>
      </c>
      <c r="D67" s="35" t="s">
        <v>298</v>
      </c>
      <c r="E67" s="40">
        <v>141312</v>
      </c>
      <c r="F67" s="37">
        <v>130.95383039999999</v>
      </c>
      <c r="G67" s="38">
        <v>0.50164393958347497</v>
      </c>
      <c r="H67" s="41"/>
    </row>
    <row r="68" spans="2:8" x14ac:dyDescent="0.2">
      <c r="B68" s="35" t="s">
        <v>960</v>
      </c>
      <c r="C68" s="35" t="s">
        <v>961</v>
      </c>
      <c r="D68" s="35" t="s">
        <v>340</v>
      </c>
      <c r="E68" s="40">
        <v>4041</v>
      </c>
      <c r="F68" s="37">
        <v>129.72418200000001</v>
      </c>
      <c r="G68" s="38">
        <v>0.49693353389473399</v>
      </c>
      <c r="H68" s="41"/>
    </row>
    <row r="69" spans="2:8" x14ac:dyDescent="0.2">
      <c r="B69" s="35" t="s">
        <v>962</v>
      </c>
      <c r="C69" s="35" t="s">
        <v>963</v>
      </c>
      <c r="D69" s="35" t="s">
        <v>535</v>
      </c>
      <c r="E69" s="40">
        <v>15748</v>
      </c>
      <c r="F69" s="37">
        <v>129.64541</v>
      </c>
      <c r="G69" s="38">
        <v>0.49663178253482199</v>
      </c>
      <c r="H69" s="41"/>
    </row>
    <row r="70" spans="2:8" x14ac:dyDescent="0.2">
      <c r="B70" s="35" t="s">
        <v>964</v>
      </c>
      <c r="C70" s="35" t="s">
        <v>965</v>
      </c>
      <c r="D70" s="35" t="s">
        <v>528</v>
      </c>
      <c r="E70" s="40">
        <v>10372</v>
      </c>
      <c r="F70" s="37">
        <v>129.121028</v>
      </c>
      <c r="G70" s="38">
        <v>0.49462303600543001</v>
      </c>
      <c r="H70" s="41"/>
    </row>
    <row r="71" spans="2:8" x14ac:dyDescent="0.2">
      <c r="B71" s="35" t="s">
        <v>966</v>
      </c>
      <c r="C71" s="35" t="s">
        <v>967</v>
      </c>
      <c r="D71" s="35" t="s">
        <v>441</v>
      </c>
      <c r="E71" s="40">
        <v>1675</v>
      </c>
      <c r="F71" s="37">
        <v>126.0605</v>
      </c>
      <c r="G71" s="38">
        <v>0.48289909239541101</v>
      </c>
      <c r="H71" s="41"/>
    </row>
    <row r="72" spans="2:8" x14ac:dyDescent="0.2">
      <c r="B72" s="35" t="s">
        <v>968</v>
      </c>
      <c r="C72" s="35" t="s">
        <v>969</v>
      </c>
      <c r="D72" s="35" t="s">
        <v>463</v>
      </c>
      <c r="E72" s="40">
        <v>28029</v>
      </c>
      <c r="F72" s="37">
        <v>125.33167349999999</v>
      </c>
      <c r="G72" s="38">
        <v>0.48010718172264899</v>
      </c>
      <c r="H72" s="41"/>
    </row>
    <row r="73" spans="2:8" x14ac:dyDescent="0.2">
      <c r="B73" s="35" t="s">
        <v>970</v>
      </c>
      <c r="C73" s="35" t="s">
        <v>971</v>
      </c>
      <c r="D73" s="35" t="s">
        <v>456</v>
      </c>
      <c r="E73" s="40">
        <v>26888</v>
      </c>
      <c r="F73" s="37">
        <v>124.383888</v>
      </c>
      <c r="G73" s="38">
        <v>0.476476506310958</v>
      </c>
      <c r="H73" s="41"/>
    </row>
    <row r="74" spans="2:8" x14ac:dyDescent="0.2">
      <c r="B74" s="35" t="s">
        <v>972</v>
      </c>
      <c r="C74" s="35" t="s">
        <v>973</v>
      </c>
      <c r="D74" s="35" t="s">
        <v>292</v>
      </c>
      <c r="E74" s="40">
        <v>65923</v>
      </c>
      <c r="F74" s="37">
        <v>123.2166793</v>
      </c>
      <c r="G74" s="38">
        <v>0.47200528795258201</v>
      </c>
      <c r="H74" s="41"/>
    </row>
    <row r="75" spans="2:8" x14ac:dyDescent="0.2">
      <c r="B75" s="35" t="s">
        <v>974</v>
      </c>
      <c r="C75" s="35" t="s">
        <v>975</v>
      </c>
      <c r="D75" s="35" t="s">
        <v>379</v>
      </c>
      <c r="E75" s="40">
        <v>14038</v>
      </c>
      <c r="F75" s="37">
        <v>121.456776</v>
      </c>
      <c r="G75" s="38">
        <v>0.46526363845671498</v>
      </c>
      <c r="H75" s="41"/>
    </row>
    <row r="76" spans="2:8" x14ac:dyDescent="0.2">
      <c r="B76" s="35" t="s">
        <v>976</v>
      </c>
      <c r="C76" s="35" t="s">
        <v>977</v>
      </c>
      <c r="D76" s="35" t="s">
        <v>453</v>
      </c>
      <c r="E76" s="40">
        <v>131606</v>
      </c>
      <c r="F76" s="37">
        <v>121.2486078</v>
      </c>
      <c r="G76" s="38">
        <v>0.464466209961306</v>
      </c>
      <c r="H76" s="41"/>
    </row>
    <row r="77" spans="2:8" x14ac:dyDescent="0.2">
      <c r="B77" s="35" t="s">
        <v>978</v>
      </c>
      <c r="C77" s="35" t="s">
        <v>979</v>
      </c>
      <c r="D77" s="35" t="s">
        <v>325</v>
      </c>
      <c r="E77" s="40">
        <v>12244</v>
      </c>
      <c r="F77" s="37">
        <v>121.03194000000001</v>
      </c>
      <c r="G77" s="38">
        <v>0.46363622210649502</v>
      </c>
      <c r="H77" s="41"/>
    </row>
    <row r="78" spans="2:8" x14ac:dyDescent="0.2">
      <c r="B78" s="35" t="s">
        <v>980</v>
      </c>
      <c r="C78" s="35" t="s">
        <v>981</v>
      </c>
      <c r="D78" s="35" t="s">
        <v>468</v>
      </c>
      <c r="E78" s="40">
        <v>39293</v>
      </c>
      <c r="F78" s="37">
        <v>119.7454175</v>
      </c>
      <c r="G78" s="38">
        <v>0.45870794919312202</v>
      </c>
      <c r="H78" s="41"/>
    </row>
    <row r="79" spans="2:8" x14ac:dyDescent="0.2">
      <c r="B79" s="35" t="s">
        <v>982</v>
      </c>
      <c r="C79" s="35" t="s">
        <v>983</v>
      </c>
      <c r="D79" s="35" t="s">
        <v>785</v>
      </c>
      <c r="E79" s="40">
        <v>8645</v>
      </c>
      <c r="F79" s="37">
        <v>119.05894000000001</v>
      </c>
      <c r="G79" s="38">
        <v>0.45607826454408601</v>
      </c>
      <c r="H79" s="41"/>
    </row>
    <row r="80" spans="2:8" x14ac:dyDescent="0.2">
      <c r="B80" s="35" t="s">
        <v>984</v>
      </c>
      <c r="C80" s="35" t="s">
        <v>985</v>
      </c>
      <c r="D80" s="35" t="s">
        <v>468</v>
      </c>
      <c r="E80" s="40">
        <v>17144</v>
      </c>
      <c r="F80" s="37">
        <v>118.027868</v>
      </c>
      <c r="G80" s="38">
        <v>0.45212854410830799</v>
      </c>
      <c r="H80" s="41"/>
    </row>
    <row r="81" spans="2:8" x14ac:dyDescent="0.2">
      <c r="B81" s="35" t="s">
        <v>986</v>
      </c>
      <c r="C81" s="35" t="s">
        <v>987</v>
      </c>
      <c r="D81" s="35" t="s">
        <v>318</v>
      </c>
      <c r="E81" s="40">
        <v>48313</v>
      </c>
      <c r="F81" s="37">
        <v>117.88372</v>
      </c>
      <c r="G81" s="38">
        <v>0.451576357353769</v>
      </c>
      <c r="H81" s="41"/>
    </row>
    <row r="82" spans="2:8" x14ac:dyDescent="0.2">
      <c r="B82" s="35" t="s">
        <v>988</v>
      </c>
      <c r="C82" s="35" t="s">
        <v>989</v>
      </c>
      <c r="D82" s="35" t="s">
        <v>325</v>
      </c>
      <c r="E82" s="40">
        <v>19801</v>
      </c>
      <c r="F82" s="37">
        <v>115.29132250000001</v>
      </c>
      <c r="G82" s="38">
        <v>0.44164567803805799</v>
      </c>
      <c r="H82" s="41"/>
    </row>
    <row r="83" spans="2:8" x14ac:dyDescent="0.2">
      <c r="B83" s="35" t="s">
        <v>990</v>
      </c>
      <c r="C83" s="35" t="s">
        <v>991</v>
      </c>
      <c r="D83" s="35" t="s">
        <v>328</v>
      </c>
      <c r="E83" s="40">
        <v>18920</v>
      </c>
      <c r="F83" s="37">
        <v>112.68752000000001</v>
      </c>
      <c r="G83" s="38">
        <v>0.43167130966710199</v>
      </c>
      <c r="H83" s="41"/>
    </row>
    <row r="84" spans="2:8" x14ac:dyDescent="0.2">
      <c r="B84" s="35" t="s">
        <v>992</v>
      </c>
      <c r="C84" s="35" t="s">
        <v>993</v>
      </c>
      <c r="D84" s="35" t="s">
        <v>483</v>
      </c>
      <c r="E84" s="40">
        <v>20859</v>
      </c>
      <c r="F84" s="37">
        <v>110.510982</v>
      </c>
      <c r="G84" s="38">
        <v>0.42333366048465298</v>
      </c>
      <c r="H84" s="41"/>
    </row>
    <row r="85" spans="2:8" x14ac:dyDescent="0.2">
      <c r="B85" s="35" t="s">
        <v>994</v>
      </c>
      <c r="C85" s="35" t="s">
        <v>995</v>
      </c>
      <c r="D85" s="35" t="s">
        <v>382</v>
      </c>
      <c r="E85" s="40">
        <v>32756</v>
      </c>
      <c r="F85" s="37">
        <v>109.97826999999999</v>
      </c>
      <c r="G85" s="38">
        <v>0.42129300428141597</v>
      </c>
      <c r="H85" s="41"/>
    </row>
    <row r="86" spans="2:8" x14ac:dyDescent="0.2">
      <c r="B86" s="35" t="s">
        <v>996</v>
      </c>
      <c r="C86" s="35" t="s">
        <v>997</v>
      </c>
      <c r="D86" s="35" t="s">
        <v>318</v>
      </c>
      <c r="E86" s="40">
        <v>26353</v>
      </c>
      <c r="F86" s="37">
        <v>109.9315395</v>
      </c>
      <c r="G86" s="38">
        <v>0.42111399407570399</v>
      </c>
      <c r="H86" s="41"/>
    </row>
    <row r="87" spans="2:8" x14ac:dyDescent="0.2">
      <c r="B87" s="35" t="s">
        <v>998</v>
      </c>
      <c r="C87" s="35" t="s">
        <v>999</v>
      </c>
      <c r="D87" s="35" t="s">
        <v>1000</v>
      </c>
      <c r="E87" s="40">
        <v>125664</v>
      </c>
      <c r="F87" s="37">
        <v>109.893168</v>
      </c>
      <c r="G87" s="38">
        <v>0.42096700463393699</v>
      </c>
      <c r="H87" s="41"/>
    </row>
    <row r="88" spans="2:8" x14ac:dyDescent="0.2">
      <c r="B88" s="35" t="s">
        <v>1001</v>
      </c>
      <c r="C88" s="35" t="s">
        <v>1002</v>
      </c>
      <c r="D88" s="35" t="s">
        <v>331</v>
      </c>
      <c r="E88" s="40">
        <v>11322</v>
      </c>
      <c r="F88" s="37">
        <v>108.36286200000001</v>
      </c>
      <c r="G88" s="38">
        <v>0.41510487193981599</v>
      </c>
      <c r="H88" s="41"/>
    </row>
    <row r="89" spans="2:8" x14ac:dyDescent="0.2">
      <c r="B89" s="35" t="s">
        <v>1003</v>
      </c>
      <c r="C89" s="35" t="s">
        <v>1004</v>
      </c>
      <c r="D89" s="35" t="s">
        <v>785</v>
      </c>
      <c r="E89" s="40">
        <v>11553</v>
      </c>
      <c r="F89" s="37">
        <v>105.675291</v>
      </c>
      <c r="G89" s="38">
        <v>0.40480961215068101</v>
      </c>
      <c r="H89" s="41"/>
    </row>
    <row r="90" spans="2:8" x14ac:dyDescent="0.2">
      <c r="B90" s="35" t="s">
        <v>1005</v>
      </c>
      <c r="C90" s="35" t="s">
        <v>1006</v>
      </c>
      <c r="D90" s="35" t="s">
        <v>535</v>
      </c>
      <c r="E90" s="40">
        <v>15379</v>
      </c>
      <c r="F90" s="37">
        <v>105.3077025</v>
      </c>
      <c r="G90" s="38">
        <v>0.40340149340591203</v>
      </c>
      <c r="H90" s="41"/>
    </row>
    <row r="91" spans="2:8" x14ac:dyDescent="0.2">
      <c r="B91" s="35" t="s">
        <v>1007</v>
      </c>
      <c r="C91" s="35" t="s">
        <v>1008</v>
      </c>
      <c r="D91" s="35" t="s">
        <v>325</v>
      </c>
      <c r="E91" s="40">
        <v>2070</v>
      </c>
      <c r="F91" s="37">
        <v>104.78754000000001</v>
      </c>
      <c r="G91" s="38">
        <v>0.40140891048621802</v>
      </c>
      <c r="H91" s="41"/>
    </row>
    <row r="92" spans="2:8" x14ac:dyDescent="0.2">
      <c r="B92" s="35" t="s">
        <v>1009</v>
      </c>
      <c r="C92" s="35" t="s">
        <v>1010</v>
      </c>
      <c r="D92" s="35" t="s">
        <v>298</v>
      </c>
      <c r="E92" s="40">
        <v>17711</v>
      </c>
      <c r="F92" s="37">
        <v>103.66248299999999</v>
      </c>
      <c r="G92" s="38">
        <v>0.397099162355811</v>
      </c>
      <c r="H92" s="41"/>
    </row>
    <row r="93" spans="2:8" x14ac:dyDescent="0.2">
      <c r="B93" s="35" t="s">
        <v>1011</v>
      </c>
      <c r="C93" s="35" t="s">
        <v>1012</v>
      </c>
      <c r="D93" s="35" t="s">
        <v>535</v>
      </c>
      <c r="E93" s="40">
        <v>24372</v>
      </c>
      <c r="F93" s="37">
        <v>101.972448</v>
      </c>
      <c r="G93" s="38">
        <v>0.39062515687735899</v>
      </c>
      <c r="H93" s="41"/>
    </row>
    <row r="94" spans="2:8" x14ac:dyDescent="0.2">
      <c r="B94" s="35" t="s">
        <v>1013</v>
      </c>
      <c r="C94" s="35" t="s">
        <v>1014</v>
      </c>
      <c r="D94" s="35" t="s">
        <v>325</v>
      </c>
      <c r="E94" s="40">
        <v>7554</v>
      </c>
      <c r="F94" s="37">
        <v>101.737272</v>
      </c>
      <c r="G94" s="38">
        <v>0.389724269787801</v>
      </c>
      <c r="H94" s="41"/>
    </row>
    <row r="95" spans="2:8" x14ac:dyDescent="0.2">
      <c r="B95" s="35" t="s">
        <v>1015</v>
      </c>
      <c r="C95" s="35" t="s">
        <v>1016</v>
      </c>
      <c r="D95" s="35" t="s">
        <v>328</v>
      </c>
      <c r="E95" s="40">
        <v>664437</v>
      </c>
      <c r="F95" s="37">
        <v>101.32664250000001</v>
      </c>
      <c r="G95" s="38">
        <v>0.388151274179654</v>
      </c>
      <c r="H95" s="41"/>
    </row>
    <row r="96" spans="2:8" x14ac:dyDescent="0.2">
      <c r="B96" s="35" t="s">
        <v>1017</v>
      </c>
      <c r="C96" s="35" t="s">
        <v>1018</v>
      </c>
      <c r="D96" s="35" t="s">
        <v>441</v>
      </c>
      <c r="E96" s="40">
        <v>2865</v>
      </c>
      <c r="F96" s="37">
        <v>101.17461</v>
      </c>
      <c r="G96" s="38">
        <v>0.38756888432506398</v>
      </c>
      <c r="H96" s="41"/>
    </row>
    <row r="97" spans="2:8" x14ac:dyDescent="0.2">
      <c r="B97" s="35" t="s">
        <v>1019</v>
      </c>
      <c r="C97" s="35" t="s">
        <v>1020</v>
      </c>
      <c r="D97" s="35" t="s">
        <v>295</v>
      </c>
      <c r="E97" s="40">
        <v>146244</v>
      </c>
      <c r="F97" s="37">
        <v>100.1917644</v>
      </c>
      <c r="G97" s="38">
        <v>0.38380390442886397</v>
      </c>
      <c r="H97" s="41"/>
    </row>
    <row r="98" spans="2:8" x14ac:dyDescent="0.2">
      <c r="B98" s="35" t="s">
        <v>1021</v>
      </c>
      <c r="C98" s="35" t="s">
        <v>1022</v>
      </c>
      <c r="D98" s="35" t="s">
        <v>325</v>
      </c>
      <c r="E98" s="40">
        <v>7370</v>
      </c>
      <c r="F98" s="37">
        <v>100.10671000000001</v>
      </c>
      <c r="G98" s="38">
        <v>0.38347808712237902</v>
      </c>
      <c r="H98" s="41"/>
    </row>
    <row r="99" spans="2:8" x14ac:dyDescent="0.2">
      <c r="B99" s="35" t="s">
        <v>1023</v>
      </c>
      <c r="C99" s="35" t="s">
        <v>1024</v>
      </c>
      <c r="D99" s="35" t="s">
        <v>1000</v>
      </c>
      <c r="E99" s="40">
        <v>9735</v>
      </c>
      <c r="F99" s="37">
        <v>99.511170000000007</v>
      </c>
      <c r="G99" s="38">
        <v>0.38119675613063198</v>
      </c>
      <c r="H99" s="41"/>
    </row>
    <row r="100" spans="2:8" x14ac:dyDescent="0.2">
      <c r="B100" s="35" t="s">
        <v>1025</v>
      </c>
      <c r="C100" s="35" t="s">
        <v>1026</v>
      </c>
      <c r="D100" s="35" t="s">
        <v>318</v>
      </c>
      <c r="E100" s="40">
        <v>742</v>
      </c>
      <c r="F100" s="37">
        <v>98.381780000000006</v>
      </c>
      <c r="G100" s="38">
        <v>0.37687040960685603</v>
      </c>
      <c r="H100" s="41"/>
    </row>
    <row r="101" spans="2:8" x14ac:dyDescent="0.2">
      <c r="B101" s="35" t="s">
        <v>1027</v>
      </c>
      <c r="C101" s="35" t="s">
        <v>1028</v>
      </c>
      <c r="D101" s="35" t="s">
        <v>404</v>
      </c>
      <c r="E101" s="40">
        <v>9629</v>
      </c>
      <c r="F101" s="37">
        <v>97.729535499999997</v>
      </c>
      <c r="G101" s="38">
        <v>0.37437186107603199</v>
      </c>
      <c r="H101" s="41"/>
    </row>
    <row r="102" spans="2:8" x14ac:dyDescent="0.2">
      <c r="B102" s="35" t="s">
        <v>1029</v>
      </c>
      <c r="C102" s="35" t="s">
        <v>1030</v>
      </c>
      <c r="D102" s="35" t="s">
        <v>340</v>
      </c>
      <c r="E102" s="40">
        <v>3998</v>
      </c>
      <c r="F102" s="37">
        <v>97.315318000000005</v>
      </c>
      <c r="G102" s="38">
        <v>0.37278512094090399</v>
      </c>
      <c r="H102" s="41"/>
    </row>
    <row r="103" spans="2:8" x14ac:dyDescent="0.2">
      <c r="B103" s="35" t="s">
        <v>1031</v>
      </c>
      <c r="C103" s="35" t="s">
        <v>1032</v>
      </c>
      <c r="D103" s="35" t="s">
        <v>318</v>
      </c>
      <c r="E103" s="40">
        <v>11500</v>
      </c>
      <c r="F103" s="37">
        <v>96.991</v>
      </c>
      <c r="G103" s="38">
        <v>0.37154275820358701</v>
      </c>
      <c r="H103" s="41"/>
    </row>
    <row r="104" spans="2:8" x14ac:dyDescent="0.2">
      <c r="B104" s="35" t="s">
        <v>1033</v>
      </c>
      <c r="C104" s="35" t="s">
        <v>1034</v>
      </c>
      <c r="D104" s="35" t="s">
        <v>600</v>
      </c>
      <c r="E104" s="40">
        <v>20704</v>
      </c>
      <c r="F104" s="37">
        <v>95.497200000000007</v>
      </c>
      <c r="G104" s="38">
        <v>0.36582046879318297</v>
      </c>
      <c r="H104" s="41"/>
    </row>
    <row r="105" spans="2:8" x14ac:dyDescent="0.2">
      <c r="B105" s="35" t="s">
        <v>1035</v>
      </c>
      <c r="C105" s="35" t="s">
        <v>1036</v>
      </c>
      <c r="D105" s="35" t="s">
        <v>520</v>
      </c>
      <c r="E105" s="40">
        <v>11632</v>
      </c>
      <c r="F105" s="37">
        <v>95.434743999999995</v>
      </c>
      <c r="G105" s="38">
        <v>0.36558121902252</v>
      </c>
      <c r="H105" s="41"/>
    </row>
    <row r="106" spans="2:8" x14ac:dyDescent="0.2">
      <c r="B106" s="35" t="s">
        <v>1037</v>
      </c>
      <c r="C106" s="35" t="s">
        <v>1038</v>
      </c>
      <c r="D106" s="35" t="s">
        <v>325</v>
      </c>
      <c r="E106" s="40">
        <v>10990</v>
      </c>
      <c r="F106" s="37">
        <v>95.206370000000007</v>
      </c>
      <c r="G106" s="38">
        <v>0.36470638830769098</v>
      </c>
      <c r="H106" s="41"/>
    </row>
    <row r="107" spans="2:8" x14ac:dyDescent="0.2">
      <c r="B107" s="35" t="s">
        <v>1039</v>
      </c>
      <c r="C107" s="35" t="s">
        <v>1040</v>
      </c>
      <c r="D107" s="35" t="s">
        <v>468</v>
      </c>
      <c r="E107" s="40">
        <v>7773</v>
      </c>
      <c r="F107" s="37">
        <v>94.815054000000003</v>
      </c>
      <c r="G107" s="38">
        <v>0.36320737679147602</v>
      </c>
      <c r="H107" s="41"/>
    </row>
    <row r="108" spans="2:8" x14ac:dyDescent="0.2">
      <c r="B108" s="35" t="s">
        <v>1041</v>
      </c>
      <c r="C108" s="35" t="s">
        <v>1042</v>
      </c>
      <c r="D108" s="35" t="s">
        <v>535</v>
      </c>
      <c r="E108" s="40">
        <v>10333</v>
      </c>
      <c r="F108" s="37">
        <v>94.412621000000001</v>
      </c>
      <c r="G108" s="38">
        <v>0.36166577945964001</v>
      </c>
      <c r="H108" s="41"/>
    </row>
    <row r="109" spans="2:8" x14ac:dyDescent="0.2">
      <c r="B109" s="35" t="s">
        <v>1043</v>
      </c>
      <c r="C109" s="35" t="s">
        <v>1044</v>
      </c>
      <c r="D109" s="35" t="s">
        <v>328</v>
      </c>
      <c r="E109" s="40">
        <v>391064</v>
      </c>
      <c r="F109" s="37">
        <v>93.738040799999993</v>
      </c>
      <c r="G109" s="38">
        <v>0.35908166971608102</v>
      </c>
      <c r="H109" s="41"/>
    </row>
    <row r="110" spans="2:8" x14ac:dyDescent="0.2">
      <c r="B110" s="35" t="s">
        <v>1045</v>
      </c>
      <c r="C110" s="35" t="s">
        <v>1046</v>
      </c>
      <c r="D110" s="35" t="s">
        <v>318</v>
      </c>
      <c r="E110" s="40">
        <v>7361</v>
      </c>
      <c r="F110" s="37">
        <v>93.131371999999999</v>
      </c>
      <c r="G110" s="38">
        <v>0.35675770770653298</v>
      </c>
      <c r="H110" s="41"/>
    </row>
    <row r="111" spans="2:8" x14ac:dyDescent="0.2">
      <c r="B111" s="35" t="s">
        <v>1047</v>
      </c>
      <c r="C111" s="35" t="s">
        <v>1048</v>
      </c>
      <c r="D111" s="35" t="s">
        <v>456</v>
      </c>
      <c r="E111" s="40">
        <v>1110</v>
      </c>
      <c r="F111" s="37">
        <v>92.601749999999996</v>
      </c>
      <c r="G111" s="38">
        <v>0.35472888834509397</v>
      </c>
      <c r="H111" s="41"/>
    </row>
    <row r="112" spans="2:8" x14ac:dyDescent="0.2">
      <c r="B112" s="35" t="s">
        <v>1049</v>
      </c>
      <c r="C112" s="35" t="s">
        <v>1050</v>
      </c>
      <c r="D112" s="35" t="s">
        <v>865</v>
      </c>
      <c r="E112" s="40">
        <v>43345</v>
      </c>
      <c r="F112" s="37">
        <v>92.389867499999994</v>
      </c>
      <c r="G112" s="38">
        <v>0.35391723150616</v>
      </c>
      <c r="H112" s="41"/>
    </row>
    <row r="113" spans="2:8" x14ac:dyDescent="0.2">
      <c r="B113" s="35" t="s">
        <v>1051</v>
      </c>
      <c r="C113" s="35" t="s">
        <v>1052</v>
      </c>
      <c r="D113" s="35" t="s">
        <v>865</v>
      </c>
      <c r="E113" s="40">
        <v>2909</v>
      </c>
      <c r="F113" s="37">
        <v>92.285116000000002</v>
      </c>
      <c r="G113" s="38">
        <v>0.35351596065385499</v>
      </c>
      <c r="H113" s="41"/>
    </row>
    <row r="114" spans="2:8" x14ac:dyDescent="0.2">
      <c r="B114" s="35" t="s">
        <v>1053</v>
      </c>
      <c r="C114" s="35" t="s">
        <v>1054</v>
      </c>
      <c r="D114" s="35" t="s">
        <v>1055</v>
      </c>
      <c r="E114" s="40">
        <v>7144</v>
      </c>
      <c r="F114" s="37">
        <v>92.171887999999996</v>
      </c>
      <c r="G114" s="38">
        <v>0.35308221893115999</v>
      </c>
      <c r="H114" s="41"/>
    </row>
    <row r="115" spans="2:8" x14ac:dyDescent="0.2">
      <c r="B115" s="35" t="s">
        <v>1056</v>
      </c>
      <c r="C115" s="35" t="s">
        <v>1057</v>
      </c>
      <c r="D115" s="35" t="s">
        <v>463</v>
      </c>
      <c r="E115" s="40">
        <v>9163</v>
      </c>
      <c r="F115" s="37">
        <v>91.263480000000001</v>
      </c>
      <c r="G115" s="38">
        <v>0.34960238663853299</v>
      </c>
      <c r="H115" s="41"/>
    </row>
    <row r="116" spans="2:8" x14ac:dyDescent="0.2">
      <c r="B116" s="35" t="s">
        <v>1058</v>
      </c>
      <c r="C116" s="35" t="s">
        <v>1059</v>
      </c>
      <c r="D116" s="35" t="s">
        <v>785</v>
      </c>
      <c r="E116" s="40">
        <v>6612</v>
      </c>
      <c r="F116" s="37">
        <v>90.967895999999996</v>
      </c>
      <c r="G116" s="38">
        <v>0.34847009503785997</v>
      </c>
      <c r="H116" s="41"/>
    </row>
    <row r="117" spans="2:8" x14ac:dyDescent="0.2">
      <c r="B117" s="35" t="s">
        <v>1060</v>
      </c>
      <c r="C117" s="35" t="s">
        <v>1061</v>
      </c>
      <c r="D117" s="35" t="s">
        <v>334</v>
      </c>
      <c r="E117" s="40">
        <v>4173</v>
      </c>
      <c r="F117" s="37">
        <v>88.968360000000004</v>
      </c>
      <c r="G117" s="38">
        <v>0.34081048620232501</v>
      </c>
      <c r="H117" s="41"/>
    </row>
    <row r="118" spans="2:8" x14ac:dyDescent="0.2">
      <c r="B118" s="35" t="s">
        <v>1062</v>
      </c>
      <c r="C118" s="35" t="s">
        <v>1063</v>
      </c>
      <c r="D118" s="35" t="s">
        <v>535</v>
      </c>
      <c r="E118" s="40">
        <v>33385</v>
      </c>
      <c r="F118" s="37">
        <v>88.810777000000002</v>
      </c>
      <c r="G118" s="38">
        <v>0.34020683408546898</v>
      </c>
      <c r="H118" s="41"/>
    </row>
    <row r="119" spans="2:8" x14ac:dyDescent="0.2">
      <c r="B119" s="35" t="s">
        <v>1064</v>
      </c>
      <c r="C119" s="35" t="s">
        <v>1065</v>
      </c>
      <c r="D119" s="35" t="s">
        <v>528</v>
      </c>
      <c r="E119" s="40">
        <v>9921</v>
      </c>
      <c r="F119" s="37">
        <v>88.654055999999997</v>
      </c>
      <c r="G119" s="38">
        <v>0.339606484026098</v>
      </c>
      <c r="H119" s="41"/>
    </row>
    <row r="120" spans="2:8" x14ac:dyDescent="0.2">
      <c r="B120" s="35" t="s">
        <v>1066</v>
      </c>
      <c r="C120" s="35" t="s">
        <v>1067</v>
      </c>
      <c r="D120" s="35" t="s">
        <v>303</v>
      </c>
      <c r="E120" s="40">
        <v>15651</v>
      </c>
      <c r="F120" s="37">
        <v>88.389022499999996</v>
      </c>
      <c r="G120" s="38">
        <v>0.33859122201615599</v>
      </c>
      <c r="H120" s="41"/>
    </row>
    <row r="121" spans="2:8" x14ac:dyDescent="0.2">
      <c r="B121" s="35" t="s">
        <v>1068</v>
      </c>
      <c r="C121" s="35" t="s">
        <v>1069</v>
      </c>
      <c r="D121" s="35" t="s">
        <v>303</v>
      </c>
      <c r="E121" s="40">
        <v>22563</v>
      </c>
      <c r="F121" s="37">
        <v>88.018263000000005</v>
      </c>
      <c r="G121" s="38">
        <v>0.337170956143444</v>
      </c>
      <c r="H121" s="41"/>
    </row>
    <row r="122" spans="2:8" x14ac:dyDescent="0.2">
      <c r="B122" s="35" t="s">
        <v>1070</v>
      </c>
      <c r="C122" s="35" t="s">
        <v>1071</v>
      </c>
      <c r="D122" s="35" t="s">
        <v>540</v>
      </c>
      <c r="E122" s="40">
        <v>5219</v>
      </c>
      <c r="F122" s="37">
        <v>87.731390000000005</v>
      </c>
      <c r="G122" s="38">
        <v>0.33607203371070099</v>
      </c>
      <c r="H122" s="41"/>
    </row>
    <row r="123" spans="2:8" x14ac:dyDescent="0.2">
      <c r="B123" s="35" t="s">
        <v>1072</v>
      </c>
      <c r="C123" s="35" t="s">
        <v>1073</v>
      </c>
      <c r="D123" s="35" t="s">
        <v>1000</v>
      </c>
      <c r="E123" s="40">
        <v>13483</v>
      </c>
      <c r="F123" s="37">
        <v>87.322649499999997</v>
      </c>
      <c r="G123" s="38">
        <v>0.334506274281893</v>
      </c>
      <c r="H123" s="41"/>
    </row>
    <row r="124" spans="2:8" x14ac:dyDescent="0.2">
      <c r="B124" s="35" t="s">
        <v>1074</v>
      </c>
      <c r="C124" s="35" t="s">
        <v>1075</v>
      </c>
      <c r="D124" s="35" t="s">
        <v>785</v>
      </c>
      <c r="E124" s="40">
        <v>2249</v>
      </c>
      <c r="F124" s="37">
        <v>86.842885999999993</v>
      </c>
      <c r="G124" s="38">
        <v>0.33266844753430402</v>
      </c>
      <c r="H124" s="41"/>
    </row>
    <row r="125" spans="2:8" x14ac:dyDescent="0.2">
      <c r="B125" s="35" t="s">
        <v>1076</v>
      </c>
      <c r="C125" s="35" t="s">
        <v>1077</v>
      </c>
      <c r="D125" s="35" t="s">
        <v>520</v>
      </c>
      <c r="E125" s="40">
        <v>10430</v>
      </c>
      <c r="F125" s="37">
        <v>85.760675000000006</v>
      </c>
      <c r="G125" s="38">
        <v>0.32852282928211302</v>
      </c>
      <c r="H125" s="41"/>
    </row>
    <row r="126" spans="2:8" x14ac:dyDescent="0.2">
      <c r="B126" s="35" t="s">
        <v>1078</v>
      </c>
      <c r="C126" s="35" t="s">
        <v>1079</v>
      </c>
      <c r="D126" s="35" t="s">
        <v>340</v>
      </c>
      <c r="E126" s="40">
        <v>6291</v>
      </c>
      <c r="F126" s="37">
        <v>85.551309000000003</v>
      </c>
      <c r="G126" s="38">
        <v>0.32772081238246198</v>
      </c>
      <c r="H126" s="41"/>
    </row>
    <row r="127" spans="2:8" x14ac:dyDescent="0.2">
      <c r="B127" s="35" t="s">
        <v>1080</v>
      </c>
      <c r="C127" s="35" t="s">
        <v>1081</v>
      </c>
      <c r="D127" s="35" t="s">
        <v>441</v>
      </c>
      <c r="E127" s="40">
        <v>17070</v>
      </c>
      <c r="F127" s="37">
        <v>85.537769999999995</v>
      </c>
      <c r="G127" s="38">
        <v>0.32766894862805901</v>
      </c>
      <c r="H127" s="41"/>
    </row>
    <row r="128" spans="2:8" x14ac:dyDescent="0.2">
      <c r="B128" s="35" t="s">
        <v>1082</v>
      </c>
      <c r="C128" s="35" t="s">
        <v>1083</v>
      </c>
      <c r="D128" s="35" t="s">
        <v>303</v>
      </c>
      <c r="E128" s="40">
        <v>12218</v>
      </c>
      <c r="F128" s="37">
        <v>85.232767999999993</v>
      </c>
      <c r="G128" s="38">
        <v>0.32650057955940698</v>
      </c>
      <c r="H128" s="41"/>
    </row>
    <row r="129" spans="2:8" x14ac:dyDescent="0.2">
      <c r="B129" s="35" t="s">
        <v>1084</v>
      </c>
      <c r="C129" s="35" t="s">
        <v>1085</v>
      </c>
      <c r="D129" s="35" t="s">
        <v>298</v>
      </c>
      <c r="E129" s="40">
        <v>55826</v>
      </c>
      <c r="F129" s="37">
        <v>85.212806400000005</v>
      </c>
      <c r="G129" s="38">
        <v>0.32642411279525202</v>
      </c>
      <c r="H129" s="41"/>
    </row>
    <row r="130" spans="2:8" x14ac:dyDescent="0.2">
      <c r="B130" s="35" t="s">
        <v>1086</v>
      </c>
      <c r="C130" s="35" t="s">
        <v>1087</v>
      </c>
      <c r="D130" s="35" t="s">
        <v>444</v>
      </c>
      <c r="E130" s="40">
        <v>27059</v>
      </c>
      <c r="F130" s="37">
        <v>84.843494500000006</v>
      </c>
      <c r="G130" s="38">
        <v>0.325009392233928</v>
      </c>
      <c r="H130" s="41"/>
    </row>
    <row r="131" spans="2:8" x14ac:dyDescent="0.2">
      <c r="B131" s="35" t="s">
        <v>1088</v>
      </c>
      <c r="C131" s="35" t="s">
        <v>1089</v>
      </c>
      <c r="D131" s="35" t="s">
        <v>483</v>
      </c>
      <c r="E131" s="40">
        <v>6077</v>
      </c>
      <c r="F131" s="37">
        <v>84.780226999999996</v>
      </c>
      <c r="G131" s="38">
        <v>0.32476703385578298</v>
      </c>
      <c r="H131" s="41"/>
    </row>
    <row r="132" spans="2:8" x14ac:dyDescent="0.2">
      <c r="B132" s="35" t="s">
        <v>1090</v>
      </c>
      <c r="C132" s="35" t="s">
        <v>1091</v>
      </c>
      <c r="D132" s="35" t="s">
        <v>318</v>
      </c>
      <c r="E132" s="40">
        <v>52713</v>
      </c>
      <c r="F132" s="37">
        <v>84.172118400000002</v>
      </c>
      <c r="G132" s="38">
        <v>0.32243755641425398</v>
      </c>
      <c r="H132" s="41"/>
    </row>
    <row r="133" spans="2:8" x14ac:dyDescent="0.2">
      <c r="B133" s="35" t="s">
        <v>1092</v>
      </c>
      <c r="C133" s="35" t="s">
        <v>1093</v>
      </c>
      <c r="D133" s="35" t="s">
        <v>298</v>
      </c>
      <c r="E133" s="40">
        <v>37379</v>
      </c>
      <c r="F133" s="37">
        <v>82.887932500000005</v>
      </c>
      <c r="G133" s="38">
        <v>0.31751823429846898</v>
      </c>
      <c r="H133" s="41"/>
    </row>
    <row r="134" spans="2:8" x14ac:dyDescent="0.2">
      <c r="B134" s="35" t="s">
        <v>1094</v>
      </c>
      <c r="C134" s="35" t="s">
        <v>1095</v>
      </c>
      <c r="D134" s="35" t="s">
        <v>785</v>
      </c>
      <c r="E134" s="40">
        <v>209010</v>
      </c>
      <c r="F134" s="37">
        <v>82.663454999999999</v>
      </c>
      <c r="G134" s="38">
        <v>0.31665832987945403</v>
      </c>
      <c r="H134" s="41"/>
    </row>
    <row r="135" spans="2:8" x14ac:dyDescent="0.2">
      <c r="B135" s="35" t="s">
        <v>1096</v>
      </c>
      <c r="C135" s="35" t="s">
        <v>1097</v>
      </c>
      <c r="D135" s="35" t="s">
        <v>535</v>
      </c>
      <c r="E135" s="40">
        <v>9585</v>
      </c>
      <c r="F135" s="37">
        <v>82.459755000000001</v>
      </c>
      <c r="G135" s="38">
        <v>0.31587801768712598</v>
      </c>
      <c r="H135" s="41"/>
    </row>
    <row r="136" spans="2:8" x14ac:dyDescent="0.2">
      <c r="B136" s="35" t="s">
        <v>1098</v>
      </c>
      <c r="C136" s="35" t="s">
        <v>1099</v>
      </c>
      <c r="D136" s="35" t="s">
        <v>600</v>
      </c>
      <c r="E136" s="40">
        <v>1740</v>
      </c>
      <c r="F136" s="37">
        <v>81.299760000000006</v>
      </c>
      <c r="G136" s="38">
        <v>0.31143443279984401</v>
      </c>
      <c r="H136" s="41"/>
    </row>
    <row r="137" spans="2:8" x14ac:dyDescent="0.2">
      <c r="B137" s="35" t="s">
        <v>1100</v>
      </c>
      <c r="C137" s="35" t="s">
        <v>1101</v>
      </c>
      <c r="D137" s="35" t="s">
        <v>391</v>
      </c>
      <c r="E137" s="40">
        <v>6820</v>
      </c>
      <c r="F137" s="37">
        <v>81.137540000000001</v>
      </c>
      <c r="G137" s="38">
        <v>0.31081301775890402</v>
      </c>
      <c r="H137" s="41"/>
    </row>
    <row r="138" spans="2:8" x14ac:dyDescent="0.2">
      <c r="B138" s="35" t="s">
        <v>1102</v>
      </c>
      <c r="C138" s="35" t="s">
        <v>1103</v>
      </c>
      <c r="D138" s="35" t="s">
        <v>331</v>
      </c>
      <c r="E138" s="40">
        <v>25802</v>
      </c>
      <c r="F138" s="37">
        <v>80.811864</v>
      </c>
      <c r="G138" s="38">
        <v>0.30956545294030602</v>
      </c>
      <c r="H138" s="41"/>
    </row>
    <row r="139" spans="2:8" x14ac:dyDescent="0.2">
      <c r="B139" s="35" t="s">
        <v>1104</v>
      </c>
      <c r="C139" s="35" t="s">
        <v>1105</v>
      </c>
      <c r="D139" s="35" t="s">
        <v>298</v>
      </c>
      <c r="E139" s="40">
        <v>6844</v>
      </c>
      <c r="F139" s="37">
        <v>80.293807999999999</v>
      </c>
      <c r="G139" s="38">
        <v>0.30758093937570802</v>
      </c>
      <c r="H139" s="41"/>
    </row>
    <row r="140" spans="2:8" x14ac:dyDescent="0.2">
      <c r="B140" s="35" t="s">
        <v>1106</v>
      </c>
      <c r="C140" s="35" t="s">
        <v>1107</v>
      </c>
      <c r="D140" s="35" t="s">
        <v>318</v>
      </c>
      <c r="E140" s="40">
        <v>10807</v>
      </c>
      <c r="F140" s="37">
        <v>79.631379499999994</v>
      </c>
      <c r="G140" s="38">
        <v>0.30504337906596102</v>
      </c>
      <c r="H140" s="41"/>
    </row>
    <row r="141" spans="2:8" x14ac:dyDescent="0.2">
      <c r="B141" s="35" t="s">
        <v>1108</v>
      </c>
      <c r="C141" s="35" t="s">
        <v>1109</v>
      </c>
      <c r="D141" s="35" t="s">
        <v>444</v>
      </c>
      <c r="E141" s="40">
        <v>9742</v>
      </c>
      <c r="F141" s="37">
        <v>78.725102000000007</v>
      </c>
      <c r="G141" s="38">
        <v>0.301571708065065</v>
      </c>
      <c r="H141" s="41"/>
    </row>
    <row r="142" spans="2:8" x14ac:dyDescent="0.2">
      <c r="B142" s="35" t="s">
        <v>1110</v>
      </c>
      <c r="C142" s="35" t="s">
        <v>1111</v>
      </c>
      <c r="D142" s="35" t="s">
        <v>331</v>
      </c>
      <c r="E142" s="40">
        <v>8455</v>
      </c>
      <c r="F142" s="37">
        <v>77.942417500000005</v>
      </c>
      <c r="G142" s="38">
        <v>0.298573483921246</v>
      </c>
      <c r="H142" s="41"/>
    </row>
    <row r="143" spans="2:8" x14ac:dyDescent="0.2">
      <c r="B143" s="35" t="s">
        <v>1112</v>
      </c>
      <c r="C143" s="35" t="s">
        <v>1113</v>
      </c>
      <c r="D143" s="35" t="s">
        <v>441</v>
      </c>
      <c r="E143" s="40">
        <v>14040</v>
      </c>
      <c r="F143" s="37">
        <v>77.472719999999995</v>
      </c>
      <c r="G143" s="38">
        <v>0.29677421693078998</v>
      </c>
      <c r="H143" s="41"/>
    </row>
    <row r="144" spans="2:8" x14ac:dyDescent="0.2">
      <c r="B144" s="35" t="s">
        <v>1114</v>
      </c>
      <c r="C144" s="35" t="s">
        <v>1115</v>
      </c>
      <c r="D144" s="35" t="s">
        <v>444</v>
      </c>
      <c r="E144" s="40">
        <v>67824</v>
      </c>
      <c r="F144" s="37">
        <v>77.095540799999995</v>
      </c>
      <c r="G144" s="38">
        <v>0.29532935915733599</v>
      </c>
      <c r="H144" s="41"/>
    </row>
    <row r="145" spans="2:8" x14ac:dyDescent="0.2">
      <c r="B145" s="35" t="s">
        <v>1116</v>
      </c>
      <c r="C145" s="35" t="s">
        <v>1117</v>
      </c>
      <c r="D145" s="35" t="s">
        <v>453</v>
      </c>
      <c r="E145" s="40">
        <v>15738</v>
      </c>
      <c r="F145" s="37">
        <v>76.990296000000001</v>
      </c>
      <c r="G145" s="38">
        <v>0.29492619862410602</v>
      </c>
      <c r="H145" s="41"/>
    </row>
    <row r="146" spans="2:8" x14ac:dyDescent="0.2">
      <c r="B146" s="35" t="s">
        <v>1118</v>
      </c>
      <c r="C146" s="35" t="s">
        <v>1119</v>
      </c>
      <c r="D146" s="35" t="s">
        <v>520</v>
      </c>
      <c r="E146" s="40">
        <v>10934</v>
      </c>
      <c r="F146" s="37">
        <v>76.641873000000004</v>
      </c>
      <c r="G146" s="38">
        <v>0.29359149702868398</v>
      </c>
      <c r="H146" s="41"/>
    </row>
    <row r="147" spans="2:8" x14ac:dyDescent="0.2">
      <c r="B147" s="35" t="s">
        <v>1120</v>
      </c>
      <c r="C147" s="35" t="s">
        <v>1121</v>
      </c>
      <c r="D147" s="35" t="s">
        <v>694</v>
      </c>
      <c r="E147" s="40">
        <v>13988</v>
      </c>
      <c r="F147" s="37">
        <v>75.891893999999994</v>
      </c>
      <c r="G147" s="38">
        <v>0.29071855761930798</v>
      </c>
      <c r="H147" s="41"/>
    </row>
    <row r="148" spans="2:8" x14ac:dyDescent="0.2">
      <c r="B148" s="35" t="s">
        <v>1122</v>
      </c>
      <c r="C148" s="35" t="s">
        <v>1123</v>
      </c>
      <c r="D148" s="35" t="s">
        <v>404</v>
      </c>
      <c r="E148" s="40">
        <v>18763</v>
      </c>
      <c r="F148" s="37">
        <v>75.483548999999996</v>
      </c>
      <c r="G148" s="38">
        <v>0.28915431322963597</v>
      </c>
      <c r="H148" s="41"/>
    </row>
    <row r="149" spans="2:8" x14ac:dyDescent="0.2">
      <c r="B149" s="35" t="s">
        <v>1124</v>
      </c>
      <c r="C149" s="35" t="s">
        <v>1125</v>
      </c>
      <c r="D149" s="35" t="s">
        <v>325</v>
      </c>
      <c r="E149" s="40">
        <v>842</v>
      </c>
      <c r="F149" s="37">
        <v>74.508579999999995</v>
      </c>
      <c r="G149" s="38">
        <v>0.28541950617101203</v>
      </c>
      <c r="H149" s="41"/>
    </row>
    <row r="150" spans="2:8" x14ac:dyDescent="0.2">
      <c r="B150" s="35" t="s">
        <v>1126</v>
      </c>
      <c r="C150" s="35" t="s">
        <v>1127</v>
      </c>
      <c r="D150" s="35" t="s">
        <v>463</v>
      </c>
      <c r="E150" s="40">
        <v>23988</v>
      </c>
      <c r="F150" s="37">
        <v>74.218872000000005</v>
      </c>
      <c r="G150" s="38">
        <v>0.284309723723222</v>
      </c>
      <c r="H150" s="41"/>
    </row>
    <row r="151" spans="2:8" x14ac:dyDescent="0.2">
      <c r="B151" s="35" t="s">
        <v>1128</v>
      </c>
      <c r="C151" s="35" t="s">
        <v>1129</v>
      </c>
      <c r="D151" s="35" t="s">
        <v>287</v>
      </c>
      <c r="E151" s="40">
        <v>60858</v>
      </c>
      <c r="F151" s="37">
        <v>73.875526199999996</v>
      </c>
      <c r="G151" s="38">
        <v>0.28299447132300298</v>
      </c>
      <c r="H151" s="41"/>
    </row>
    <row r="152" spans="2:8" x14ac:dyDescent="0.2">
      <c r="B152" s="35" t="s">
        <v>1130</v>
      </c>
      <c r="C152" s="35" t="s">
        <v>1131</v>
      </c>
      <c r="D152" s="35" t="s">
        <v>404</v>
      </c>
      <c r="E152" s="40">
        <v>15670</v>
      </c>
      <c r="F152" s="37">
        <v>73.743020000000001</v>
      </c>
      <c r="G152" s="38">
        <v>0.28248688073184403</v>
      </c>
      <c r="H152" s="41"/>
    </row>
    <row r="153" spans="2:8" x14ac:dyDescent="0.2">
      <c r="B153" s="35" t="s">
        <v>1132</v>
      </c>
      <c r="C153" s="35" t="s">
        <v>1133</v>
      </c>
      <c r="D153" s="35" t="s">
        <v>463</v>
      </c>
      <c r="E153" s="40">
        <v>19040</v>
      </c>
      <c r="F153" s="37">
        <v>72.808959999999999</v>
      </c>
      <c r="G153" s="38">
        <v>0.27890878349882597</v>
      </c>
      <c r="H153" s="41"/>
    </row>
    <row r="154" spans="2:8" x14ac:dyDescent="0.2">
      <c r="B154" s="35" t="s">
        <v>1134</v>
      </c>
      <c r="C154" s="35" t="s">
        <v>1135</v>
      </c>
      <c r="D154" s="35" t="s">
        <v>453</v>
      </c>
      <c r="E154" s="40">
        <v>7984</v>
      </c>
      <c r="F154" s="37">
        <v>72.370968000000005</v>
      </c>
      <c r="G154" s="38">
        <v>0.27723097054967499</v>
      </c>
      <c r="H154" s="41"/>
    </row>
    <row r="155" spans="2:8" x14ac:dyDescent="0.2">
      <c r="B155" s="35" t="s">
        <v>1136</v>
      </c>
      <c r="C155" s="35" t="s">
        <v>1137</v>
      </c>
      <c r="D155" s="35" t="s">
        <v>303</v>
      </c>
      <c r="E155" s="40">
        <v>26563</v>
      </c>
      <c r="F155" s="37">
        <v>71.241966000000005</v>
      </c>
      <c r="G155" s="38">
        <v>0.27290611033483703</v>
      </c>
      <c r="H155" s="41"/>
    </row>
    <row r="156" spans="2:8" x14ac:dyDescent="0.2">
      <c r="B156" s="35" t="s">
        <v>1138</v>
      </c>
      <c r="C156" s="35" t="s">
        <v>1139</v>
      </c>
      <c r="D156" s="35" t="s">
        <v>535</v>
      </c>
      <c r="E156" s="40">
        <v>38421</v>
      </c>
      <c r="F156" s="37">
        <v>71.174902500000002</v>
      </c>
      <c r="G156" s="38">
        <v>0.27264921064553799</v>
      </c>
      <c r="H156" s="41"/>
    </row>
    <row r="157" spans="2:8" x14ac:dyDescent="0.2">
      <c r="B157" s="35" t="s">
        <v>1140</v>
      </c>
      <c r="C157" s="35" t="s">
        <v>1141</v>
      </c>
      <c r="D157" s="35" t="s">
        <v>444</v>
      </c>
      <c r="E157" s="40">
        <v>54897</v>
      </c>
      <c r="F157" s="37">
        <v>69.960736800000006</v>
      </c>
      <c r="G157" s="38">
        <v>0.26799811442945398</v>
      </c>
      <c r="H157" s="41"/>
    </row>
    <row r="158" spans="2:8" x14ac:dyDescent="0.2">
      <c r="B158" s="35" t="s">
        <v>1142</v>
      </c>
      <c r="C158" s="35" t="s">
        <v>1143</v>
      </c>
      <c r="D158" s="35" t="s">
        <v>318</v>
      </c>
      <c r="E158" s="40">
        <v>5427</v>
      </c>
      <c r="F158" s="37">
        <v>69.769512000000006</v>
      </c>
      <c r="G158" s="38">
        <v>0.26726559090016899</v>
      </c>
      <c r="H158" s="41"/>
    </row>
    <row r="159" spans="2:8" x14ac:dyDescent="0.2">
      <c r="B159" s="35" t="s">
        <v>1144</v>
      </c>
      <c r="C159" s="35" t="s">
        <v>1145</v>
      </c>
      <c r="D159" s="35" t="s">
        <v>633</v>
      </c>
      <c r="E159" s="40">
        <v>4319</v>
      </c>
      <c r="F159" s="37">
        <v>69.665469999999999</v>
      </c>
      <c r="G159" s="38">
        <v>0.266867037924645</v>
      </c>
      <c r="H159" s="41"/>
    </row>
    <row r="160" spans="2:8" x14ac:dyDescent="0.2">
      <c r="B160" s="35" t="s">
        <v>1146</v>
      </c>
      <c r="C160" s="35" t="s">
        <v>1147</v>
      </c>
      <c r="D160" s="35" t="s">
        <v>391</v>
      </c>
      <c r="E160" s="40">
        <v>14031</v>
      </c>
      <c r="F160" s="37">
        <v>69.635852999999997</v>
      </c>
      <c r="G160" s="38">
        <v>0.26675358428596002</v>
      </c>
      <c r="H160" s="41"/>
    </row>
    <row r="161" spans="2:8" x14ac:dyDescent="0.2">
      <c r="B161" s="35" t="s">
        <v>1148</v>
      </c>
      <c r="C161" s="35" t="s">
        <v>1149</v>
      </c>
      <c r="D161" s="35" t="s">
        <v>535</v>
      </c>
      <c r="E161" s="40">
        <v>4447</v>
      </c>
      <c r="F161" s="37">
        <v>69.488821999999999</v>
      </c>
      <c r="G161" s="38">
        <v>0.26619035364310201</v>
      </c>
      <c r="H161" s="41"/>
    </row>
    <row r="162" spans="2:8" x14ac:dyDescent="0.2">
      <c r="B162" s="35" t="s">
        <v>1150</v>
      </c>
      <c r="C162" s="35" t="s">
        <v>1151</v>
      </c>
      <c r="D162" s="35" t="s">
        <v>337</v>
      </c>
      <c r="E162" s="40">
        <v>12546</v>
      </c>
      <c r="F162" s="37">
        <v>69.203736000000006</v>
      </c>
      <c r="G162" s="38">
        <v>0.26509827665899799</v>
      </c>
      <c r="H162" s="41"/>
    </row>
    <row r="163" spans="2:8" x14ac:dyDescent="0.2">
      <c r="B163" s="35" t="s">
        <v>1152</v>
      </c>
      <c r="C163" s="35" t="s">
        <v>1153</v>
      </c>
      <c r="D163" s="35" t="s">
        <v>325</v>
      </c>
      <c r="E163" s="40">
        <v>22190</v>
      </c>
      <c r="F163" s="37">
        <v>68.777905000000004</v>
      </c>
      <c r="G163" s="38">
        <v>0.26346704876910498</v>
      </c>
      <c r="H163" s="41"/>
    </row>
    <row r="164" spans="2:8" x14ac:dyDescent="0.2">
      <c r="B164" s="35" t="s">
        <v>1154</v>
      </c>
      <c r="C164" s="35" t="s">
        <v>1155</v>
      </c>
      <c r="D164" s="35" t="s">
        <v>331</v>
      </c>
      <c r="E164" s="40">
        <v>8710</v>
      </c>
      <c r="F164" s="37">
        <v>68.721900000000005</v>
      </c>
      <c r="G164" s="38">
        <v>0.26325251079987899</v>
      </c>
      <c r="H164" s="41"/>
    </row>
    <row r="165" spans="2:8" x14ac:dyDescent="0.2">
      <c r="B165" s="35" t="s">
        <v>1156</v>
      </c>
      <c r="C165" s="35" t="s">
        <v>1157</v>
      </c>
      <c r="D165" s="35" t="s">
        <v>318</v>
      </c>
      <c r="E165" s="40">
        <v>53137</v>
      </c>
      <c r="F165" s="37">
        <v>67.877203800000004</v>
      </c>
      <c r="G165" s="38">
        <v>0.26001673886235899</v>
      </c>
      <c r="H165" s="41"/>
    </row>
    <row r="166" spans="2:8" x14ac:dyDescent="0.2">
      <c r="B166" s="35" t="s">
        <v>1158</v>
      </c>
      <c r="C166" s="35" t="s">
        <v>1159</v>
      </c>
      <c r="D166" s="35" t="s">
        <v>334</v>
      </c>
      <c r="E166" s="40">
        <v>66246</v>
      </c>
      <c r="F166" s="37">
        <v>67.623916800000003</v>
      </c>
      <c r="G166" s="38">
        <v>0.25904647408936798</v>
      </c>
      <c r="H166" s="41"/>
    </row>
    <row r="167" spans="2:8" x14ac:dyDescent="0.2">
      <c r="B167" s="35" t="s">
        <v>1160</v>
      </c>
      <c r="C167" s="35" t="s">
        <v>1161</v>
      </c>
      <c r="D167" s="35" t="s">
        <v>391</v>
      </c>
      <c r="E167" s="40">
        <v>3549</v>
      </c>
      <c r="F167" s="37">
        <v>67.565861999999996</v>
      </c>
      <c r="G167" s="38">
        <v>0.25882408396534701</v>
      </c>
      <c r="H167" s="41"/>
    </row>
    <row r="168" spans="2:8" x14ac:dyDescent="0.2">
      <c r="B168" s="35" t="s">
        <v>1162</v>
      </c>
      <c r="C168" s="35" t="s">
        <v>1163</v>
      </c>
      <c r="D168" s="35" t="s">
        <v>600</v>
      </c>
      <c r="E168" s="40">
        <v>16796</v>
      </c>
      <c r="F168" s="37">
        <v>67.377154000000004</v>
      </c>
      <c r="G168" s="38">
        <v>0.25810120152455301</v>
      </c>
      <c r="H168" s="41"/>
    </row>
    <row r="169" spans="2:8" x14ac:dyDescent="0.2">
      <c r="B169" s="35" t="s">
        <v>1164</v>
      </c>
      <c r="C169" s="35" t="s">
        <v>1165</v>
      </c>
      <c r="D169" s="35" t="s">
        <v>463</v>
      </c>
      <c r="E169" s="40">
        <v>11478</v>
      </c>
      <c r="F169" s="37">
        <v>67.192211999999998</v>
      </c>
      <c r="G169" s="38">
        <v>0.257392745474118</v>
      </c>
      <c r="H169" s="41"/>
    </row>
    <row r="170" spans="2:8" x14ac:dyDescent="0.2">
      <c r="B170" s="35" t="s">
        <v>1166</v>
      </c>
      <c r="C170" s="35" t="s">
        <v>1167</v>
      </c>
      <c r="D170" s="35" t="s">
        <v>391</v>
      </c>
      <c r="E170" s="40">
        <v>6663</v>
      </c>
      <c r="F170" s="37">
        <v>66.929834999999997</v>
      </c>
      <c r="G170" s="38">
        <v>0.25638765970049798</v>
      </c>
      <c r="H170" s="41"/>
    </row>
    <row r="171" spans="2:8" x14ac:dyDescent="0.2">
      <c r="B171" s="35" t="s">
        <v>1168</v>
      </c>
      <c r="C171" s="35" t="s">
        <v>1169</v>
      </c>
      <c r="D171" s="35" t="s">
        <v>318</v>
      </c>
      <c r="E171" s="40">
        <v>14526</v>
      </c>
      <c r="F171" s="37">
        <v>66.667077000000006</v>
      </c>
      <c r="G171" s="38">
        <v>0.25538111443279199</v>
      </c>
      <c r="H171" s="41"/>
    </row>
    <row r="172" spans="2:8" x14ac:dyDescent="0.2">
      <c r="B172" s="35" t="s">
        <v>1170</v>
      </c>
      <c r="C172" s="35" t="s">
        <v>1171</v>
      </c>
      <c r="D172" s="35" t="s">
        <v>535</v>
      </c>
      <c r="E172" s="40">
        <v>11478</v>
      </c>
      <c r="F172" s="37">
        <v>66.308406000000005</v>
      </c>
      <c r="G172" s="38">
        <v>0.25400715589408601</v>
      </c>
      <c r="H172" s="41"/>
    </row>
    <row r="173" spans="2:8" x14ac:dyDescent="0.2">
      <c r="B173" s="35" t="s">
        <v>1172</v>
      </c>
      <c r="C173" s="35" t="s">
        <v>1173</v>
      </c>
      <c r="D173" s="35" t="s">
        <v>444</v>
      </c>
      <c r="E173" s="40">
        <v>32299</v>
      </c>
      <c r="F173" s="37">
        <v>65.983627100000007</v>
      </c>
      <c r="G173" s="38">
        <v>0.252763027590302</v>
      </c>
      <c r="H173" s="41"/>
    </row>
    <row r="174" spans="2:8" x14ac:dyDescent="0.2">
      <c r="B174" s="35" t="s">
        <v>1174</v>
      </c>
      <c r="C174" s="35" t="s">
        <v>1175</v>
      </c>
      <c r="D174" s="35" t="s">
        <v>334</v>
      </c>
      <c r="E174" s="40">
        <v>30128</v>
      </c>
      <c r="F174" s="37">
        <v>65.498272</v>
      </c>
      <c r="G174" s="38">
        <v>0.250903781138959</v>
      </c>
      <c r="H174" s="41"/>
    </row>
    <row r="175" spans="2:8" x14ac:dyDescent="0.2">
      <c r="B175" s="35" t="s">
        <v>1176</v>
      </c>
      <c r="C175" s="35" t="s">
        <v>1177</v>
      </c>
      <c r="D175" s="35" t="s">
        <v>1178</v>
      </c>
      <c r="E175" s="40">
        <v>5213</v>
      </c>
      <c r="F175" s="37">
        <v>65.480492999999996</v>
      </c>
      <c r="G175" s="38">
        <v>0.25083567524564898</v>
      </c>
      <c r="H175" s="41"/>
    </row>
    <row r="176" spans="2:8" x14ac:dyDescent="0.2">
      <c r="B176" s="35" t="s">
        <v>1179</v>
      </c>
      <c r="C176" s="35" t="s">
        <v>1180</v>
      </c>
      <c r="D176" s="35" t="s">
        <v>535</v>
      </c>
      <c r="E176" s="40">
        <v>9101</v>
      </c>
      <c r="F176" s="37">
        <v>65.354281</v>
      </c>
      <c r="G176" s="38">
        <v>0.25035219580324303</v>
      </c>
      <c r="H176" s="41"/>
    </row>
    <row r="177" spans="2:8" x14ac:dyDescent="0.2">
      <c r="B177" s="35" t="s">
        <v>1181</v>
      </c>
      <c r="C177" s="35" t="s">
        <v>1182</v>
      </c>
      <c r="D177" s="35" t="s">
        <v>633</v>
      </c>
      <c r="E177" s="40">
        <v>11294</v>
      </c>
      <c r="F177" s="37">
        <v>64.308036000000001</v>
      </c>
      <c r="G177" s="38">
        <v>0.24634435226047399</v>
      </c>
      <c r="H177" s="41"/>
    </row>
    <row r="178" spans="2:8" x14ac:dyDescent="0.2">
      <c r="B178" s="35" t="s">
        <v>1183</v>
      </c>
      <c r="C178" s="35" t="s">
        <v>1184</v>
      </c>
      <c r="D178" s="35" t="s">
        <v>298</v>
      </c>
      <c r="E178" s="40">
        <v>44472</v>
      </c>
      <c r="F178" s="37">
        <v>63.866239200000003</v>
      </c>
      <c r="G178" s="38">
        <v>0.244651964290069</v>
      </c>
      <c r="H178" s="41"/>
    </row>
    <row r="179" spans="2:8" x14ac:dyDescent="0.2">
      <c r="B179" s="35" t="s">
        <v>1185</v>
      </c>
      <c r="C179" s="35" t="s">
        <v>1186</v>
      </c>
      <c r="D179" s="35" t="s">
        <v>337</v>
      </c>
      <c r="E179" s="40">
        <v>157236</v>
      </c>
      <c r="F179" s="37">
        <v>63.7906452</v>
      </c>
      <c r="G179" s="38">
        <v>0.244362386872951</v>
      </c>
      <c r="H179" s="41"/>
    </row>
    <row r="180" spans="2:8" x14ac:dyDescent="0.2">
      <c r="B180" s="35" t="s">
        <v>1187</v>
      </c>
      <c r="C180" s="35" t="s">
        <v>1188</v>
      </c>
      <c r="D180" s="35" t="s">
        <v>382</v>
      </c>
      <c r="E180" s="40">
        <v>84255</v>
      </c>
      <c r="F180" s="37">
        <v>63.267079500000001</v>
      </c>
      <c r="G180" s="38">
        <v>0.242356767338368</v>
      </c>
      <c r="H180" s="41"/>
    </row>
    <row r="181" spans="2:8" x14ac:dyDescent="0.2">
      <c r="B181" s="35" t="s">
        <v>1189</v>
      </c>
      <c r="C181" s="35" t="s">
        <v>1190</v>
      </c>
      <c r="D181" s="35" t="s">
        <v>292</v>
      </c>
      <c r="E181" s="40">
        <v>6563</v>
      </c>
      <c r="F181" s="37">
        <v>63.132778500000001</v>
      </c>
      <c r="G181" s="38">
        <v>0.24184230141916399</v>
      </c>
      <c r="H181" s="41"/>
    </row>
    <row r="182" spans="2:8" x14ac:dyDescent="0.2">
      <c r="B182" s="35" t="s">
        <v>1191</v>
      </c>
      <c r="C182" s="35" t="s">
        <v>1192</v>
      </c>
      <c r="D182" s="35" t="s">
        <v>331</v>
      </c>
      <c r="E182" s="40">
        <v>8289</v>
      </c>
      <c r="F182" s="37">
        <v>60.9282945</v>
      </c>
      <c r="G182" s="38">
        <v>0.233397599686264</v>
      </c>
      <c r="H182" s="41"/>
    </row>
    <row r="183" spans="2:8" x14ac:dyDescent="0.2">
      <c r="B183" s="35" t="s">
        <v>1193</v>
      </c>
      <c r="C183" s="35" t="s">
        <v>1194</v>
      </c>
      <c r="D183" s="35" t="s">
        <v>441</v>
      </c>
      <c r="E183" s="40">
        <v>10961</v>
      </c>
      <c r="F183" s="37">
        <v>60.893835500000002</v>
      </c>
      <c r="G183" s="38">
        <v>0.23326559783140199</v>
      </c>
      <c r="H183" s="41"/>
    </row>
    <row r="184" spans="2:8" x14ac:dyDescent="0.2">
      <c r="B184" s="35" t="s">
        <v>1195</v>
      </c>
      <c r="C184" s="35" t="s">
        <v>1196</v>
      </c>
      <c r="D184" s="35" t="s">
        <v>366</v>
      </c>
      <c r="E184" s="40">
        <v>23080</v>
      </c>
      <c r="F184" s="37">
        <v>60.808875999999998</v>
      </c>
      <c r="G184" s="38">
        <v>0.232940144057695</v>
      </c>
      <c r="H184" s="41"/>
    </row>
    <row r="185" spans="2:8" x14ac:dyDescent="0.2">
      <c r="B185" s="35" t="s">
        <v>1197</v>
      </c>
      <c r="C185" s="35" t="s">
        <v>1198</v>
      </c>
      <c r="D185" s="35" t="s">
        <v>310</v>
      </c>
      <c r="E185" s="40">
        <v>239032</v>
      </c>
      <c r="F185" s="37">
        <v>60.283870399999998</v>
      </c>
      <c r="G185" s="38">
        <v>0.23092900870806199</v>
      </c>
      <c r="H185" s="41"/>
    </row>
    <row r="186" spans="2:8" x14ac:dyDescent="0.2">
      <c r="B186" s="35" t="s">
        <v>1199</v>
      </c>
      <c r="C186" s="35" t="s">
        <v>1200</v>
      </c>
      <c r="D186" s="35" t="s">
        <v>298</v>
      </c>
      <c r="E186" s="40">
        <v>20435</v>
      </c>
      <c r="F186" s="37">
        <v>59.700852500000003</v>
      </c>
      <c r="G186" s="38">
        <v>0.228695646038865</v>
      </c>
      <c r="H186" s="41"/>
    </row>
    <row r="187" spans="2:8" x14ac:dyDescent="0.2">
      <c r="B187" s="35" t="s">
        <v>1201</v>
      </c>
      <c r="C187" s="35" t="s">
        <v>1202</v>
      </c>
      <c r="D187" s="35" t="s">
        <v>325</v>
      </c>
      <c r="E187" s="40">
        <v>4059</v>
      </c>
      <c r="F187" s="37">
        <v>59.078744999999998</v>
      </c>
      <c r="G187" s="38">
        <v>0.22631254310715801</v>
      </c>
      <c r="H187" s="41"/>
    </row>
    <row r="188" spans="2:8" x14ac:dyDescent="0.2">
      <c r="B188" s="35" t="s">
        <v>1203</v>
      </c>
      <c r="C188" s="35" t="s">
        <v>1204</v>
      </c>
      <c r="D188" s="35" t="s">
        <v>535</v>
      </c>
      <c r="E188" s="40">
        <v>31724</v>
      </c>
      <c r="F188" s="37">
        <v>58.806778799999996</v>
      </c>
      <c r="G188" s="38">
        <v>0.22527072405089399</v>
      </c>
      <c r="H188" s="41"/>
    </row>
    <row r="189" spans="2:8" x14ac:dyDescent="0.2">
      <c r="B189" s="35" t="s">
        <v>1205</v>
      </c>
      <c r="C189" s="35" t="s">
        <v>1206</v>
      </c>
      <c r="D189" s="35" t="s">
        <v>1207</v>
      </c>
      <c r="E189" s="40">
        <v>2459</v>
      </c>
      <c r="F189" s="37">
        <v>57.343879999999999</v>
      </c>
      <c r="G189" s="38">
        <v>0.219666807655303</v>
      </c>
      <c r="H189" s="41"/>
    </row>
    <row r="190" spans="2:8" x14ac:dyDescent="0.2">
      <c r="B190" s="35" t="s">
        <v>1208</v>
      </c>
      <c r="C190" s="35" t="s">
        <v>1209</v>
      </c>
      <c r="D190" s="35" t="s">
        <v>379</v>
      </c>
      <c r="E190" s="40">
        <v>8935</v>
      </c>
      <c r="F190" s="37">
        <v>57.018702500000003</v>
      </c>
      <c r="G190" s="38">
        <v>0.21842115243723401</v>
      </c>
      <c r="H190" s="41"/>
    </row>
    <row r="191" spans="2:8" x14ac:dyDescent="0.2">
      <c r="B191" s="35" t="s">
        <v>1210</v>
      </c>
      <c r="C191" s="35" t="s">
        <v>1211</v>
      </c>
      <c r="D191" s="35" t="s">
        <v>456</v>
      </c>
      <c r="E191" s="40">
        <v>18802</v>
      </c>
      <c r="F191" s="37">
        <v>56.970059999999997</v>
      </c>
      <c r="G191" s="38">
        <v>0.218234817946241</v>
      </c>
      <c r="H191" s="41"/>
    </row>
    <row r="192" spans="2:8" x14ac:dyDescent="0.2">
      <c r="B192" s="35" t="s">
        <v>1212</v>
      </c>
      <c r="C192" s="35" t="s">
        <v>1213</v>
      </c>
      <c r="D192" s="35" t="s">
        <v>528</v>
      </c>
      <c r="E192" s="40">
        <v>5708</v>
      </c>
      <c r="F192" s="37">
        <v>56.355083999999998</v>
      </c>
      <c r="G192" s="38">
        <v>0.21587903360265201</v>
      </c>
      <c r="H192" s="41"/>
    </row>
    <row r="193" spans="2:8" x14ac:dyDescent="0.2">
      <c r="B193" s="35" t="s">
        <v>1214</v>
      </c>
      <c r="C193" s="35" t="s">
        <v>1215</v>
      </c>
      <c r="D193" s="35" t="s">
        <v>780</v>
      </c>
      <c r="E193" s="40">
        <v>5432</v>
      </c>
      <c r="F193" s="37">
        <v>56.340704000000002</v>
      </c>
      <c r="G193" s="38">
        <v>0.21582394823532</v>
      </c>
      <c r="H193" s="41"/>
    </row>
    <row r="194" spans="2:8" x14ac:dyDescent="0.2">
      <c r="B194" s="35" t="s">
        <v>1216</v>
      </c>
      <c r="C194" s="35" t="s">
        <v>1217</v>
      </c>
      <c r="D194" s="35" t="s">
        <v>444</v>
      </c>
      <c r="E194" s="40">
        <v>4551</v>
      </c>
      <c r="F194" s="37">
        <v>55.786158</v>
      </c>
      <c r="G194" s="38">
        <v>0.21369965267809499</v>
      </c>
      <c r="H194" s="41"/>
    </row>
    <row r="195" spans="2:8" x14ac:dyDescent="0.2">
      <c r="B195" s="35" t="s">
        <v>1218</v>
      </c>
      <c r="C195" s="35" t="s">
        <v>1219</v>
      </c>
      <c r="D195" s="35" t="s">
        <v>310</v>
      </c>
      <c r="E195" s="40">
        <v>5585</v>
      </c>
      <c r="F195" s="37">
        <v>55.688034999999999</v>
      </c>
      <c r="G195" s="38">
        <v>0.213323773575259</v>
      </c>
      <c r="H195" s="41"/>
    </row>
    <row r="196" spans="2:8" x14ac:dyDescent="0.2">
      <c r="B196" s="35" t="s">
        <v>1220</v>
      </c>
      <c r="C196" s="35" t="s">
        <v>1221</v>
      </c>
      <c r="D196" s="35" t="s">
        <v>325</v>
      </c>
      <c r="E196" s="40">
        <v>4516</v>
      </c>
      <c r="F196" s="37">
        <v>55.122295999999999</v>
      </c>
      <c r="G196" s="38">
        <v>0.211156601069734</v>
      </c>
      <c r="H196" s="41"/>
    </row>
    <row r="197" spans="2:8" x14ac:dyDescent="0.2">
      <c r="B197" s="35" t="s">
        <v>1222</v>
      </c>
      <c r="C197" s="35" t="s">
        <v>1223</v>
      </c>
      <c r="D197" s="35" t="s">
        <v>535</v>
      </c>
      <c r="E197" s="40">
        <v>7154</v>
      </c>
      <c r="F197" s="37">
        <v>55.103684999999999</v>
      </c>
      <c r="G197" s="38">
        <v>0.21108530803973199</v>
      </c>
      <c r="H197" s="41"/>
    </row>
    <row r="198" spans="2:8" x14ac:dyDescent="0.2">
      <c r="B198" s="35" t="s">
        <v>1224</v>
      </c>
      <c r="C198" s="35" t="s">
        <v>1225</v>
      </c>
      <c r="D198" s="35" t="s">
        <v>535</v>
      </c>
      <c r="E198" s="40">
        <v>3452</v>
      </c>
      <c r="F198" s="37">
        <v>54.638255999999998</v>
      </c>
      <c r="G198" s="38">
        <v>0.20930239236293799</v>
      </c>
      <c r="H198" s="41"/>
    </row>
    <row r="199" spans="2:8" x14ac:dyDescent="0.2">
      <c r="B199" s="35" t="s">
        <v>1226</v>
      </c>
      <c r="C199" s="35" t="s">
        <v>1227</v>
      </c>
      <c r="D199" s="35" t="s">
        <v>694</v>
      </c>
      <c r="E199" s="40">
        <v>43364</v>
      </c>
      <c r="F199" s="37">
        <v>54.348101200000002</v>
      </c>
      <c r="G199" s="38">
        <v>0.20819089836145299</v>
      </c>
      <c r="H199" s="41"/>
    </row>
    <row r="200" spans="2:8" x14ac:dyDescent="0.2">
      <c r="B200" s="35" t="s">
        <v>1228</v>
      </c>
      <c r="C200" s="35" t="s">
        <v>1229</v>
      </c>
      <c r="D200" s="35" t="s">
        <v>318</v>
      </c>
      <c r="E200" s="40">
        <v>90418</v>
      </c>
      <c r="F200" s="37">
        <v>54.232716400000001</v>
      </c>
      <c r="G200" s="38">
        <v>0.20774889459979701</v>
      </c>
      <c r="H200" s="41"/>
    </row>
    <row r="201" spans="2:8" x14ac:dyDescent="0.2">
      <c r="B201" s="35" t="s">
        <v>1230</v>
      </c>
      <c r="C201" s="35" t="s">
        <v>1231</v>
      </c>
      <c r="D201" s="35" t="s">
        <v>325</v>
      </c>
      <c r="E201" s="40">
        <v>7589</v>
      </c>
      <c r="F201" s="37">
        <v>53.972968000000002</v>
      </c>
      <c r="G201" s="38">
        <v>0.20675387818616101</v>
      </c>
      <c r="H201" s="41"/>
    </row>
    <row r="202" spans="2:8" x14ac:dyDescent="0.2">
      <c r="B202" s="35" t="s">
        <v>1232</v>
      </c>
      <c r="C202" s="35" t="s">
        <v>1233</v>
      </c>
      <c r="D202" s="35" t="s">
        <v>463</v>
      </c>
      <c r="E202" s="40">
        <v>1555</v>
      </c>
      <c r="F202" s="37">
        <v>53.680154999999999</v>
      </c>
      <c r="G202" s="38">
        <v>0.205632201436175</v>
      </c>
      <c r="H202" s="41"/>
    </row>
    <row r="203" spans="2:8" x14ac:dyDescent="0.2">
      <c r="B203" s="35" t="s">
        <v>1234</v>
      </c>
      <c r="C203" s="35" t="s">
        <v>1235</v>
      </c>
      <c r="D203" s="35" t="s">
        <v>520</v>
      </c>
      <c r="E203" s="40">
        <v>16849</v>
      </c>
      <c r="F203" s="37">
        <v>53.571395500000001</v>
      </c>
      <c r="G203" s="38">
        <v>0.20521557716577099</v>
      </c>
      <c r="H203" s="41"/>
    </row>
    <row r="204" spans="2:8" x14ac:dyDescent="0.2">
      <c r="B204" s="35" t="s">
        <v>1236</v>
      </c>
      <c r="C204" s="35" t="s">
        <v>1237</v>
      </c>
      <c r="D204" s="35" t="s">
        <v>331</v>
      </c>
      <c r="E204" s="40">
        <v>1822</v>
      </c>
      <c r="F204" s="37">
        <v>53.481166000000002</v>
      </c>
      <c r="G204" s="38">
        <v>0.20486993563922301</v>
      </c>
      <c r="H204" s="41"/>
    </row>
    <row r="205" spans="2:8" x14ac:dyDescent="0.2">
      <c r="B205" s="35" t="s">
        <v>1238</v>
      </c>
      <c r="C205" s="35" t="s">
        <v>1239</v>
      </c>
      <c r="D205" s="35" t="s">
        <v>287</v>
      </c>
      <c r="E205" s="40">
        <v>132885</v>
      </c>
      <c r="F205" s="37">
        <v>53.2470195</v>
      </c>
      <c r="G205" s="38">
        <v>0.20397299224825199</v>
      </c>
      <c r="H205" s="41"/>
    </row>
    <row r="206" spans="2:8" x14ac:dyDescent="0.2">
      <c r="B206" s="35" t="s">
        <v>1240</v>
      </c>
      <c r="C206" s="35" t="s">
        <v>1241</v>
      </c>
      <c r="D206" s="35" t="s">
        <v>483</v>
      </c>
      <c r="E206" s="40">
        <v>5347</v>
      </c>
      <c r="F206" s="37">
        <v>52.924605999999997</v>
      </c>
      <c r="G206" s="38">
        <v>0.20273792506601801</v>
      </c>
      <c r="H206" s="41"/>
    </row>
    <row r="207" spans="2:8" x14ac:dyDescent="0.2">
      <c r="B207" s="35" t="s">
        <v>1242</v>
      </c>
      <c r="C207" s="35" t="s">
        <v>1243</v>
      </c>
      <c r="D207" s="35" t="s">
        <v>334</v>
      </c>
      <c r="E207" s="40">
        <v>74838</v>
      </c>
      <c r="F207" s="37">
        <v>50.089073399999997</v>
      </c>
      <c r="G207" s="38">
        <v>0.19187586979099</v>
      </c>
      <c r="H207" s="41"/>
    </row>
    <row r="208" spans="2:8" x14ac:dyDescent="0.2">
      <c r="B208" s="35" t="s">
        <v>1244</v>
      </c>
      <c r="C208" s="35" t="s">
        <v>1245</v>
      </c>
      <c r="D208" s="35" t="s">
        <v>453</v>
      </c>
      <c r="E208" s="40">
        <v>12011</v>
      </c>
      <c r="F208" s="37">
        <v>49.947743500000001</v>
      </c>
      <c r="G208" s="38">
        <v>0.19133447831278499</v>
      </c>
      <c r="H208" s="41"/>
    </row>
    <row r="209" spans="2:8" x14ac:dyDescent="0.2">
      <c r="B209" s="35" t="s">
        <v>1246</v>
      </c>
      <c r="C209" s="35" t="s">
        <v>1247</v>
      </c>
      <c r="D209" s="35" t="s">
        <v>444</v>
      </c>
      <c r="E209" s="40">
        <v>11012</v>
      </c>
      <c r="F209" s="37">
        <v>49.944926000000002</v>
      </c>
      <c r="G209" s="38">
        <v>0.19132368533486699</v>
      </c>
      <c r="H209" s="41"/>
    </row>
    <row r="210" spans="2:8" x14ac:dyDescent="0.2">
      <c r="B210" s="35" t="s">
        <v>1248</v>
      </c>
      <c r="C210" s="35" t="s">
        <v>1249</v>
      </c>
      <c r="D210" s="35" t="s">
        <v>540</v>
      </c>
      <c r="E210" s="40">
        <v>5617</v>
      </c>
      <c r="F210" s="37">
        <v>49.693598999999999</v>
      </c>
      <c r="G210" s="38">
        <v>0.19036092872042801</v>
      </c>
      <c r="H210" s="41"/>
    </row>
    <row r="211" spans="2:8" x14ac:dyDescent="0.2">
      <c r="B211" s="35" t="s">
        <v>1250</v>
      </c>
      <c r="C211" s="35" t="s">
        <v>1251</v>
      </c>
      <c r="D211" s="35" t="s">
        <v>318</v>
      </c>
      <c r="E211" s="40">
        <v>53246</v>
      </c>
      <c r="F211" s="37">
        <v>49.566701399999999</v>
      </c>
      <c r="G211" s="38">
        <v>0.18987482295480601</v>
      </c>
      <c r="H211" s="41"/>
    </row>
    <row r="212" spans="2:8" x14ac:dyDescent="0.2">
      <c r="B212" s="35" t="s">
        <v>1252</v>
      </c>
      <c r="C212" s="35" t="s">
        <v>1253</v>
      </c>
      <c r="D212" s="35" t="s">
        <v>520</v>
      </c>
      <c r="E212" s="40">
        <v>18536</v>
      </c>
      <c r="F212" s="37">
        <v>49.528191999999997</v>
      </c>
      <c r="G212" s="38">
        <v>0.189727305260456</v>
      </c>
      <c r="H212" s="41"/>
    </row>
    <row r="213" spans="2:8" x14ac:dyDescent="0.2">
      <c r="B213" s="35" t="s">
        <v>1254</v>
      </c>
      <c r="C213" s="35" t="s">
        <v>1255</v>
      </c>
      <c r="D213" s="35" t="s">
        <v>1256</v>
      </c>
      <c r="E213" s="40">
        <v>11117</v>
      </c>
      <c r="F213" s="37">
        <v>48.453444500000003</v>
      </c>
      <c r="G213" s="38">
        <v>0.18561027738650401</v>
      </c>
      <c r="H213" s="41"/>
    </row>
    <row r="214" spans="2:8" x14ac:dyDescent="0.2">
      <c r="B214" s="35" t="s">
        <v>1257</v>
      </c>
      <c r="C214" s="35" t="s">
        <v>1258</v>
      </c>
      <c r="D214" s="35" t="s">
        <v>463</v>
      </c>
      <c r="E214" s="40">
        <v>6562</v>
      </c>
      <c r="F214" s="37">
        <v>48.240543000000002</v>
      </c>
      <c r="G214" s="38">
        <v>0.18479471707126199</v>
      </c>
      <c r="H214" s="41"/>
    </row>
    <row r="215" spans="2:8" x14ac:dyDescent="0.2">
      <c r="B215" s="35" t="s">
        <v>1259</v>
      </c>
      <c r="C215" s="35" t="s">
        <v>1260</v>
      </c>
      <c r="D215" s="35" t="s">
        <v>292</v>
      </c>
      <c r="E215" s="40">
        <v>24367</v>
      </c>
      <c r="F215" s="37">
        <v>47.917705499999997</v>
      </c>
      <c r="G215" s="38">
        <v>0.18355802567513699</v>
      </c>
      <c r="H215" s="41"/>
    </row>
    <row r="216" spans="2:8" x14ac:dyDescent="0.2">
      <c r="B216" s="35" t="s">
        <v>1261</v>
      </c>
      <c r="C216" s="35" t="s">
        <v>1262</v>
      </c>
      <c r="D216" s="35" t="s">
        <v>391</v>
      </c>
      <c r="E216" s="40">
        <v>10523</v>
      </c>
      <c r="F216" s="37">
        <v>47.532390999999997</v>
      </c>
      <c r="G216" s="38">
        <v>0.18208200406379299</v>
      </c>
      <c r="H216" s="41"/>
    </row>
    <row r="217" spans="2:8" x14ac:dyDescent="0.2">
      <c r="B217" s="35" t="s">
        <v>1263</v>
      </c>
      <c r="C217" s="35" t="s">
        <v>1264</v>
      </c>
      <c r="D217" s="35" t="s">
        <v>1207</v>
      </c>
      <c r="E217" s="40">
        <v>18517</v>
      </c>
      <c r="F217" s="37">
        <v>46.933188199999996</v>
      </c>
      <c r="G217" s="38">
        <v>0.17978664200921801</v>
      </c>
      <c r="H217" s="41"/>
    </row>
    <row r="218" spans="2:8" x14ac:dyDescent="0.2">
      <c r="B218" s="35" t="s">
        <v>1265</v>
      </c>
      <c r="C218" s="35" t="s">
        <v>1266</v>
      </c>
      <c r="D218" s="35" t="s">
        <v>325</v>
      </c>
      <c r="E218" s="40">
        <v>2755</v>
      </c>
      <c r="F218" s="37">
        <v>46.837755000000001</v>
      </c>
      <c r="G218" s="38">
        <v>0.179421066704786</v>
      </c>
      <c r="H218" s="41"/>
    </row>
    <row r="219" spans="2:8" x14ac:dyDescent="0.2">
      <c r="B219" s="35" t="s">
        <v>1267</v>
      </c>
      <c r="C219" s="35" t="s">
        <v>1268</v>
      </c>
      <c r="D219" s="35" t="s">
        <v>444</v>
      </c>
      <c r="E219" s="40">
        <v>16556</v>
      </c>
      <c r="F219" s="37">
        <v>46.141571999999996</v>
      </c>
      <c r="G219" s="38">
        <v>0.176754203263493</v>
      </c>
      <c r="H219" s="41"/>
    </row>
    <row r="220" spans="2:8" x14ac:dyDescent="0.2">
      <c r="B220" s="35" t="s">
        <v>1269</v>
      </c>
      <c r="C220" s="35" t="s">
        <v>1270</v>
      </c>
      <c r="D220" s="35" t="s">
        <v>709</v>
      </c>
      <c r="E220" s="40">
        <v>11671</v>
      </c>
      <c r="F220" s="37">
        <v>46.088779000000002</v>
      </c>
      <c r="G220" s="38">
        <v>0.17655196948062801</v>
      </c>
      <c r="H220" s="41"/>
    </row>
    <row r="221" spans="2:8" x14ac:dyDescent="0.2">
      <c r="B221" s="35" t="s">
        <v>1271</v>
      </c>
      <c r="C221" s="35" t="s">
        <v>1272</v>
      </c>
      <c r="D221" s="35" t="s">
        <v>366</v>
      </c>
      <c r="E221" s="40">
        <v>807</v>
      </c>
      <c r="F221" s="37">
        <v>45.857774999999997</v>
      </c>
      <c r="G221" s="38">
        <v>0.17566706404284399</v>
      </c>
      <c r="H221" s="41"/>
    </row>
    <row r="222" spans="2:8" x14ac:dyDescent="0.2">
      <c r="B222" s="35" t="s">
        <v>1273</v>
      </c>
      <c r="C222" s="35" t="s">
        <v>1274</v>
      </c>
      <c r="D222" s="35" t="s">
        <v>865</v>
      </c>
      <c r="E222" s="40">
        <v>13867</v>
      </c>
      <c r="F222" s="37">
        <v>45.761099999999999</v>
      </c>
      <c r="G222" s="38">
        <v>0.175296731783673</v>
      </c>
      <c r="H222" s="41"/>
    </row>
    <row r="223" spans="2:8" x14ac:dyDescent="0.2">
      <c r="B223" s="35" t="s">
        <v>1275</v>
      </c>
      <c r="C223" s="35" t="s">
        <v>1276</v>
      </c>
      <c r="D223" s="35" t="s">
        <v>453</v>
      </c>
      <c r="E223" s="40">
        <v>14622</v>
      </c>
      <c r="F223" s="37">
        <v>45.348670800000001</v>
      </c>
      <c r="G223" s="38">
        <v>0.17371684207708399</v>
      </c>
      <c r="H223" s="41"/>
    </row>
    <row r="224" spans="2:8" x14ac:dyDescent="0.2">
      <c r="B224" s="35" t="s">
        <v>1277</v>
      </c>
      <c r="C224" s="35" t="s">
        <v>1278</v>
      </c>
      <c r="D224" s="35" t="s">
        <v>345</v>
      </c>
      <c r="E224" s="40">
        <v>13677</v>
      </c>
      <c r="F224" s="37">
        <v>44.881075500000001</v>
      </c>
      <c r="G224" s="38">
        <v>0.171925627969744</v>
      </c>
      <c r="H224" s="41"/>
    </row>
    <row r="225" spans="2:8" x14ac:dyDescent="0.2">
      <c r="B225" s="35" t="s">
        <v>1279</v>
      </c>
      <c r="C225" s="35" t="s">
        <v>1280</v>
      </c>
      <c r="D225" s="35" t="s">
        <v>303</v>
      </c>
      <c r="E225" s="40">
        <v>8708</v>
      </c>
      <c r="F225" s="37">
        <v>44.301949999999998</v>
      </c>
      <c r="G225" s="38">
        <v>0.16970717589052001</v>
      </c>
      <c r="H225" s="41"/>
    </row>
    <row r="226" spans="2:8" x14ac:dyDescent="0.2">
      <c r="B226" s="35" t="s">
        <v>1281</v>
      </c>
      <c r="C226" s="35" t="s">
        <v>1282</v>
      </c>
      <c r="D226" s="35" t="s">
        <v>694</v>
      </c>
      <c r="E226" s="40">
        <v>170491</v>
      </c>
      <c r="F226" s="37">
        <v>43.611597799999998</v>
      </c>
      <c r="G226" s="38">
        <v>0.167062648454779</v>
      </c>
      <c r="H226" s="41"/>
    </row>
    <row r="227" spans="2:8" x14ac:dyDescent="0.2">
      <c r="B227" s="35" t="s">
        <v>1283</v>
      </c>
      <c r="C227" s="35" t="s">
        <v>1284</v>
      </c>
      <c r="D227" s="35" t="s">
        <v>369</v>
      </c>
      <c r="E227" s="40">
        <v>19073</v>
      </c>
      <c r="F227" s="37">
        <v>43.499791100000003</v>
      </c>
      <c r="G227" s="38">
        <v>0.16663435129624299</v>
      </c>
      <c r="H227" s="41"/>
    </row>
    <row r="228" spans="2:8" x14ac:dyDescent="0.2">
      <c r="B228" s="35" t="s">
        <v>1285</v>
      </c>
      <c r="C228" s="35" t="s">
        <v>1286</v>
      </c>
      <c r="D228" s="35" t="s">
        <v>379</v>
      </c>
      <c r="E228" s="40">
        <v>6570</v>
      </c>
      <c r="F228" s="37">
        <v>42.064425</v>
      </c>
      <c r="G228" s="38">
        <v>0.16113590422562901</v>
      </c>
      <c r="H228" s="41"/>
    </row>
    <row r="229" spans="2:8" x14ac:dyDescent="0.2">
      <c r="B229" s="35" t="s">
        <v>1287</v>
      </c>
      <c r="C229" s="35" t="s">
        <v>1288</v>
      </c>
      <c r="D229" s="35" t="s">
        <v>303</v>
      </c>
      <c r="E229" s="40">
        <v>11203</v>
      </c>
      <c r="F229" s="37">
        <v>40.308394</v>
      </c>
      <c r="G229" s="38">
        <v>0.15440908832280201</v>
      </c>
      <c r="H229" s="41"/>
    </row>
    <row r="230" spans="2:8" x14ac:dyDescent="0.2">
      <c r="B230" s="35" t="s">
        <v>1289</v>
      </c>
      <c r="C230" s="35" t="s">
        <v>1290</v>
      </c>
      <c r="D230" s="35" t="s">
        <v>379</v>
      </c>
      <c r="E230" s="40">
        <v>2365</v>
      </c>
      <c r="F230" s="37">
        <v>40.067830000000001</v>
      </c>
      <c r="G230" s="38">
        <v>0.153487561458614</v>
      </c>
      <c r="H230" s="41"/>
    </row>
    <row r="231" spans="2:8" x14ac:dyDescent="0.2">
      <c r="B231" s="35" t="s">
        <v>1291</v>
      </c>
      <c r="C231" s="35" t="s">
        <v>1292</v>
      </c>
      <c r="D231" s="35" t="s">
        <v>298</v>
      </c>
      <c r="E231" s="40">
        <v>18283</v>
      </c>
      <c r="F231" s="37">
        <v>39.109165300000001</v>
      </c>
      <c r="G231" s="38">
        <v>0.149815211170129</v>
      </c>
      <c r="H231" s="41"/>
    </row>
    <row r="232" spans="2:8" x14ac:dyDescent="0.2">
      <c r="B232" s="35" t="s">
        <v>1293</v>
      </c>
      <c r="C232" s="35" t="s">
        <v>1294</v>
      </c>
      <c r="D232" s="35" t="s">
        <v>331</v>
      </c>
      <c r="E232" s="40">
        <v>788</v>
      </c>
      <c r="F232" s="37">
        <v>38.504832</v>
      </c>
      <c r="G232" s="38">
        <v>0.14750019574440701</v>
      </c>
      <c r="H232" s="41"/>
    </row>
    <row r="233" spans="2:8" x14ac:dyDescent="0.2">
      <c r="B233" s="35" t="s">
        <v>1295</v>
      </c>
      <c r="C233" s="35" t="s">
        <v>1296</v>
      </c>
      <c r="D233" s="35" t="s">
        <v>444</v>
      </c>
      <c r="E233" s="40">
        <v>33408</v>
      </c>
      <c r="F233" s="37">
        <v>38.0116224</v>
      </c>
      <c r="G233" s="38">
        <v>0.145610861113807</v>
      </c>
      <c r="H233" s="41"/>
    </row>
    <row r="234" spans="2:8" x14ac:dyDescent="0.2">
      <c r="B234" s="35" t="s">
        <v>1297</v>
      </c>
      <c r="C234" s="35" t="s">
        <v>1298</v>
      </c>
      <c r="D234" s="35" t="s">
        <v>295</v>
      </c>
      <c r="E234" s="40">
        <v>11927</v>
      </c>
      <c r="F234" s="37">
        <v>37.409035500000002</v>
      </c>
      <c r="G234" s="38">
        <v>0.14330253561058201</v>
      </c>
      <c r="H234" s="41"/>
    </row>
    <row r="235" spans="2:8" x14ac:dyDescent="0.2">
      <c r="B235" s="35" t="s">
        <v>1299</v>
      </c>
      <c r="C235" s="35" t="s">
        <v>1300</v>
      </c>
      <c r="D235" s="35" t="s">
        <v>345</v>
      </c>
      <c r="E235" s="40">
        <v>9140</v>
      </c>
      <c r="F235" s="37">
        <v>37.108400000000003</v>
      </c>
      <c r="G235" s="38">
        <v>0.14215089326351901</v>
      </c>
      <c r="H235" s="41"/>
    </row>
    <row r="236" spans="2:8" x14ac:dyDescent="0.2">
      <c r="B236" s="35" t="s">
        <v>1301</v>
      </c>
      <c r="C236" s="35" t="s">
        <v>1302</v>
      </c>
      <c r="D236" s="35" t="s">
        <v>345</v>
      </c>
      <c r="E236" s="40">
        <v>28957</v>
      </c>
      <c r="F236" s="37">
        <v>36.219415599999998</v>
      </c>
      <c r="G236" s="38">
        <v>0.13874546682213901</v>
      </c>
      <c r="H236" s="41"/>
    </row>
    <row r="237" spans="2:8" x14ac:dyDescent="0.2">
      <c r="B237" s="35" t="s">
        <v>1303</v>
      </c>
      <c r="C237" s="35" t="s">
        <v>1304</v>
      </c>
      <c r="D237" s="35" t="s">
        <v>535</v>
      </c>
      <c r="E237" s="40">
        <v>8275</v>
      </c>
      <c r="F237" s="37">
        <v>35.967287499999998</v>
      </c>
      <c r="G237" s="38">
        <v>0.137779641439426</v>
      </c>
      <c r="H237" s="41"/>
    </row>
    <row r="238" spans="2:8" x14ac:dyDescent="0.2">
      <c r="B238" s="35" t="s">
        <v>1305</v>
      </c>
      <c r="C238" s="35" t="s">
        <v>1306</v>
      </c>
      <c r="D238" s="35" t="s">
        <v>535</v>
      </c>
      <c r="E238" s="40">
        <v>3072</v>
      </c>
      <c r="F238" s="37">
        <v>35.727359999999997</v>
      </c>
      <c r="G238" s="38">
        <v>0.13686055281142101</v>
      </c>
      <c r="H238" s="41"/>
    </row>
    <row r="239" spans="2:8" x14ac:dyDescent="0.2">
      <c r="B239" s="35" t="s">
        <v>1307</v>
      </c>
      <c r="C239" s="35" t="s">
        <v>1308</v>
      </c>
      <c r="D239" s="35" t="s">
        <v>1256</v>
      </c>
      <c r="E239" s="40">
        <v>13120</v>
      </c>
      <c r="F239" s="37">
        <v>35.463360000000002</v>
      </c>
      <c r="G239" s="38">
        <v>0.135849249822837</v>
      </c>
      <c r="H239" s="41"/>
    </row>
    <row r="240" spans="2:8" x14ac:dyDescent="0.2">
      <c r="B240" s="35" t="s">
        <v>1309</v>
      </c>
      <c r="C240" s="35" t="s">
        <v>1310</v>
      </c>
      <c r="D240" s="35" t="s">
        <v>328</v>
      </c>
      <c r="E240" s="40">
        <v>39215</v>
      </c>
      <c r="F240" s="37">
        <v>35.442517000000002</v>
      </c>
      <c r="G240" s="38">
        <v>0.13576940668574999</v>
      </c>
      <c r="H240" s="41"/>
    </row>
    <row r="241" spans="2:8" x14ac:dyDescent="0.2">
      <c r="B241" s="35" t="s">
        <v>1311</v>
      </c>
      <c r="C241" s="35" t="s">
        <v>1312</v>
      </c>
      <c r="D241" s="35" t="s">
        <v>1000</v>
      </c>
      <c r="E241" s="40">
        <v>10221</v>
      </c>
      <c r="F241" s="37">
        <v>34.03593</v>
      </c>
      <c r="G241" s="38">
        <v>0.13038120351603999</v>
      </c>
      <c r="H241" s="41"/>
    </row>
    <row r="242" spans="2:8" x14ac:dyDescent="0.2">
      <c r="B242" s="35" t="s">
        <v>1313</v>
      </c>
      <c r="C242" s="35" t="s">
        <v>1314</v>
      </c>
      <c r="D242" s="35" t="s">
        <v>303</v>
      </c>
      <c r="E242" s="40">
        <v>9837</v>
      </c>
      <c r="F242" s="37">
        <v>33.170363999999999</v>
      </c>
      <c r="G242" s="38">
        <v>0.12706548577885601</v>
      </c>
      <c r="H242" s="41"/>
    </row>
    <row r="243" spans="2:8" x14ac:dyDescent="0.2">
      <c r="B243" s="35" t="s">
        <v>1315</v>
      </c>
      <c r="C243" s="35" t="s">
        <v>1316</v>
      </c>
      <c r="D243" s="35" t="s">
        <v>334</v>
      </c>
      <c r="E243" s="40">
        <v>8331</v>
      </c>
      <c r="F243" s="37">
        <v>32.486734499999997</v>
      </c>
      <c r="G243" s="38">
        <v>0.12444671094387801</v>
      </c>
      <c r="H243" s="41"/>
    </row>
    <row r="244" spans="2:8" x14ac:dyDescent="0.2">
      <c r="B244" s="35" t="s">
        <v>1317</v>
      </c>
      <c r="C244" s="35" t="s">
        <v>1318</v>
      </c>
      <c r="D244" s="35" t="s">
        <v>328</v>
      </c>
      <c r="E244" s="40">
        <v>13754</v>
      </c>
      <c r="F244" s="37">
        <v>32.459440000000001</v>
      </c>
      <c r="G244" s="38">
        <v>0.124342154090007</v>
      </c>
      <c r="H244" s="41"/>
    </row>
    <row r="245" spans="2:8" x14ac:dyDescent="0.2">
      <c r="B245" s="35" t="s">
        <v>1319</v>
      </c>
      <c r="C245" s="35" t="s">
        <v>1320</v>
      </c>
      <c r="D245" s="35" t="s">
        <v>535</v>
      </c>
      <c r="E245" s="40">
        <v>5528</v>
      </c>
      <c r="F245" s="37">
        <v>31.067360000000001</v>
      </c>
      <c r="G245" s="38">
        <v>0.119009522785658</v>
      </c>
      <c r="H245" s="41"/>
    </row>
    <row r="246" spans="2:8" x14ac:dyDescent="0.2">
      <c r="B246" s="35" t="s">
        <v>1321</v>
      </c>
      <c r="C246" s="35" t="s">
        <v>1322</v>
      </c>
      <c r="D246" s="35" t="s">
        <v>441</v>
      </c>
      <c r="E246" s="40">
        <v>5503</v>
      </c>
      <c r="F246" s="37">
        <v>30.340790500000001</v>
      </c>
      <c r="G246" s="38">
        <v>0.11622625798731</v>
      </c>
      <c r="H246" s="41"/>
    </row>
    <row r="247" spans="2:8" x14ac:dyDescent="0.2">
      <c r="B247" s="35" t="s">
        <v>1323</v>
      </c>
      <c r="C247" s="35" t="s">
        <v>1324</v>
      </c>
      <c r="D247" s="35" t="s">
        <v>331</v>
      </c>
      <c r="E247" s="40">
        <v>11650</v>
      </c>
      <c r="F247" s="37">
        <v>30.237575</v>
      </c>
      <c r="G247" s="38">
        <v>0.115830871079666</v>
      </c>
      <c r="H247" s="41"/>
    </row>
    <row r="248" spans="2:8" x14ac:dyDescent="0.2">
      <c r="B248" s="35" t="s">
        <v>1325</v>
      </c>
      <c r="C248" s="35" t="s">
        <v>1326</v>
      </c>
      <c r="D248" s="35" t="s">
        <v>295</v>
      </c>
      <c r="E248" s="40">
        <v>68594</v>
      </c>
      <c r="F248" s="37">
        <v>28.528244600000001</v>
      </c>
      <c r="G248" s="38">
        <v>0.109282950844827</v>
      </c>
      <c r="H248" s="41"/>
    </row>
    <row r="249" spans="2:8" x14ac:dyDescent="0.2">
      <c r="B249" s="35" t="s">
        <v>1327</v>
      </c>
      <c r="C249" s="35" t="s">
        <v>1328</v>
      </c>
      <c r="D249" s="35" t="s">
        <v>463</v>
      </c>
      <c r="E249" s="40">
        <v>1891</v>
      </c>
      <c r="F249" s="37">
        <v>28.068113</v>
      </c>
      <c r="G249" s="38">
        <v>0.107520327881865</v>
      </c>
      <c r="H249" s="41"/>
    </row>
    <row r="250" spans="2:8" x14ac:dyDescent="0.2">
      <c r="B250" s="35" t="s">
        <v>1329</v>
      </c>
      <c r="C250" s="35" t="s">
        <v>1330</v>
      </c>
      <c r="D250" s="35" t="s">
        <v>444</v>
      </c>
      <c r="E250" s="40">
        <v>3521</v>
      </c>
      <c r="F250" s="37">
        <v>24.460387000000001</v>
      </c>
      <c r="G250" s="38">
        <v>9.3700236647804205E-2</v>
      </c>
      <c r="H250" s="41"/>
    </row>
    <row r="251" spans="2:8" x14ac:dyDescent="0.2">
      <c r="B251" s="35" t="s">
        <v>1331</v>
      </c>
      <c r="C251" s="35" t="s">
        <v>1332</v>
      </c>
      <c r="D251" s="35" t="s">
        <v>303</v>
      </c>
      <c r="E251" s="40">
        <v>2363</v>
      </c>
      <c r="F251" s="37">
        <v>24.435783000000001</v>
      </c>
      <c r="G251" s="38">
        <v>9.3605986273822606E-2</v>
      </c>
      <c r="H251" s="41"/>
    </row>
    <row r="252" spans="2:8" x14ac:dyDescent="0.2">
      <c r="B252" s="35" t="s">
        <v>1333</v>
      </c>
      <c r="C252" s="35" t="s">
        <v>1334</v>
      </c>
      <c r="D252" s="35" t="s">
        <v>694</v>
      </c>
      <c r="E252" s="40">
        <v>169441</v>
      </c>
      <c r="F252" s="37">
        <v>24.230063000000001</v>
      </c>
      <c r="G252" s="38">
        <v>9.2817936081354899E-2</v>
      </c>
      <c r="H252" s="41"/>
    </row>
    <row r="253" spans="2:8" x14ac:dyDescent="0.2">
      <c r="B253" s="35" t="s">
        <v>1335</v>
      </c>
      <c r="C253" s="35" t="s">
        <v>1336</v>
      </c>
      <c r="D253" s="35" t="s">
        <v>600</v>
      </c>
      <c r="E253" s="40">
        <v>18846</v>
      </c>
      <c r="F253" s="37">
        <v>23.892958799999999</v>
      </c>
      <c r="G253" s="38">
        <v>9.1526593335429798E-2</v>
      </c>
      <c r="H253" s="41"/>
    </row>
    <row r="254" spans="2:8" x14ac:dyDescent="0.2">
      <c r="B254" s="35" t="s">
        <v>1337</v>
      </c>
      <c r="C254" s="35" t="s">
        <v>1338</v>
      </c>
      <c r="D254" s="35" t="s">
        <v>325</v>
      </c>
      <c r="E254" s="40">
        <v>4793</v>
      </c>
      <c r="F254" s="37">
        <v>19.426029</v>
      </c>
      <c r="G254" s="38">
        <v>7.4415156000070898E-2</v>
      </c>
      <c r="H254" s="41"/>
    </row>
    <row r="255" spans="2:8" x14ac:dyDescent="0.2">
      <c r="B255" s="35" t="s">
        <v>1339</v>
      </c>
      <c r="C255" s="35" t="s">
        <v>1340</v>
      </c>
      <c r="D255" s="35" t="s">
        <v>325</v>
      </c>
      <c r="E255" s="40">
        <v>3745</v>
      </c>
      <c r="F255" s="37">
        <v>18.2812175</v>
      </c>
      <c r="G255" s="38">
        <v>7.00297344420584E-2</v>
      </c>
      <c r="H255" s="41"/>
    </row>
    <row r="256" spans="2:8" x14ac:dyDescent="0.2">
      <c r="B256" s="35" t="s">
        <v>1341</v>
      </c>
      <c r="C256" s="35" t="s">
        <v>1342</v>
      </c>
      <c r="D256" s="35" t="s">
        <v>865</v>
      </c>
      <c r="E256" s="40">
        <v>20655</v>
      </c>
      <c r="F256" s="37">
        <v>12.768921000000001</v>
      </c>
      <c r="G256" s="38">
        <v>4.8913818061714097E-2</v>
      </c>
      <c r="H256" s="41"/>
    </row>
    <row r="257" spans="2:9" x14ac:dyDescent="0.2">
      <c r="B257" s="34" t="s">
        <v>65</v>
      </c>
      <c r="C257" s="34"/>
      <c r="D257" s="34"/>
      <c r="E257" s="43"/>
      <c r="F257" s="44">
        <f>SUM(F7:F256)</f>
        <v>26104.598799299987</v>
      </c>
      <c r="G257" s="45">
        <f>SUM(G7:G256)</f>
        <v>99.998707505747817</v>
      </c>
      <c r="H257" s="34"/>
      <c r="I257" s="26"/>
    </row>
    <row r="258" spans="2:9" x14ac:dyDescent="0.2">
      <c r="B258" s="34" t="s">
        <v>410</v>
      </c>
      <c r="C258" s="34"/>
      <c r="D258" s="34"/>
      <c r="E258" s="43"/>
      <c r="F258" s="70" t="s">
        <v>411</v>
      </c>
      <c r="G258" s="71" t="s">
        <v>411</v>
      </c>
      <c r="H258" s="34"/>
      <c r="I258" s="26"/>
    </row>
    <row r="259" spans="2:9" x14ac:dyDescent="0.2">
      <c r="B259" s="34" t="s">
        <v>65</v>
      </c>
      <c r="C259" s="34"/>
      <c r="D259" s="34"/>
      <c r="E259" s="43"/>
      <c r="F259" s="66" t="s">
        <v>411</v>
      </c>
      <c r="G259" s="67" t="s">
        <v>411</v>
      </c>
      <c r="H259" s="34"/>
      <c r="I259" s="26"/>
    </row>
    <row r="260" spans="2:9" x14ac:dyDescent="0.2">
      <c r="B260" s="49" t="s">
        <v>105</v>
      </c>
      <c r="C260" s="49"/>
      <c r="D260" s="49"/>
      <c r="E260" s="50"/>
      <c r="F260" s="51">
        <f>F257</f>
        <v>26104.598799299987</v>
      </c>
      <c r="G260" s="52">
        <f>G257</f>
        <v>99.998707505747817</v>
      </c>
      <c r="H260" s="34"/>
      <c r="I260" s="26"/>
    </row>
    <row r="261" spans="2:9" x14ac:dyDescent="0.2">
      <c r="B261" s="34" t="s">
        <v>113</v>
      </c>
      <c r="C261" s="34"/>
      <c r="D261" s="34"/>
      <c r="E261" s="43"/>
      <c r="F261" s="44">
        <v>156.36212610000001</v>
      </c>
      <c r="G261" s="45">
        <v>0.598975323584365</v>
      </c>
      <c r="H261" s="41">
        <v>4.9299999999999997E-2</v>
      </c>
      <c r="I261" s="27"/>
    </row>
    <row r="262" spans="2:9" x14ac:dyDescent="0.2">
      <c r="B262" s="35"/>
      <c r="C262" s="35"/>
      <c r="D262" s="35"/>
      <c r="E262" s="36"/>
      <c r="F262" s="37"/>
      <c r="G262" s="38"/>
      <c r="H262" s="35"/>
    </row>
    <row r="263" spans="2:9" x14ac:dyDescent="0.2">
      <c r="B263" s="58" t="s">
        <v>115</v>
      </c>
      <c r="C263" s="58"/>
      <c r="D263" s="58"/>
      <c r="E263" s="59"/>
      <c r="F263" s="44">
        <f>F264-(F257+F261)</f>
        <v>-156.02472129998932</v>
      </c>
      <c r="G263" s="45">
        <f>G264-(G257+G261)</f>
        <v>-0.59768282933218586</v>
      </c>
      <c r="H263" s="34"/>
      <c r="I263" s="26"/>
    </row>
    <row r="264" spans="2:9" x14ac:dyDescent="0.2">
      <c r="B264" s="53" t="s">
        <v>114</v>
      </c>
      <c r="C264" s="53"/>
      <c r="D264" s="53"/>
      <c r="E264" s="54"/>
      <c r="F264" s="55">
        <v>26104.936204099999</v>
      </c>
      <c r="G264" s="56">
        <v>100</v>
      </c>
      <c r="H264" s="72"/>
      <c r="I264" s="26"/>
    </row>
    <row r="267" spans="2:9" x14ac:dyDescent="0.2">
      <c r="B267" s="26" t="s">
        <v>119</v>
      </c>
      <c r="E267" s="8"/>
      <c r="G267" s="83"/>
    </row>
    <row r="268" spans="2:9" x14ac:dyDescent="0.2">
      <c r="E268" s="8"/>
      <c r="G268" s="83"/>
    </row>
    <row r="269" spans="2:9" x14ac:dyDescent="0.2">
      <c r="E269" s="8"/>
      <c r="G269" s="83"/>
    </row>
    <row r="270" spans="2:9" x14ac:dyDescent="0.2">
      <c r="E270" s="8"/>
      <c r="G270" s="83"/>
    </row>
    <row r="271" spans="2:9" x14ac:dyDescent="0.2">
      <c r="E271" s="8"/>
      <c r="G271" s="83"/>
    </row>
    <row r="272" spans="2:9" x14ac:dyDescent="0.2">
      <c r="E272" s="8"/>
      <c r="G272" s="83"/>
    </row>
    <row r="273" spans="2:7" x14ac:dyDescent="0.2">
      <c r="E273" s="8"/>
      <c r="G273" s="83"/>
    </row>
    <row r="274" spans="2:7" x14ac:dyDescent="0.2">
      <c r="E274" s="8"/>
      <c r="G274" s="83"/>
    </row>
    <row r="275" spans="2:7" x14ac:dyDescent="0.2">
      <c r="E275" s="8"/>
      <c r="G275" s="83"/>
    </row>
    <row r="276" spans="2:7" x14ac:dyDescent="0.2">
      <c r="E276" s="8"/>
      <c r="G276" s="83"/>
    </row>
    <row r="277" spans="2:7" x14ac:dyDescent="0.2">
      <c r="E277" s="8"/>
      <c r="G277" s="83"/>
    </row>
    <row r="278" spans="2:7" x14ac:dyDescent="0.2">
      <c r="E278" s="8"/>
      <c r="G278" s="83"/>
    </row>
    <row r="279" spans="2:7" x14ac:dyDescent="0.2">
      <c r="E279" s="8"/>
      <c r="G279" s="83"/>
    </row>
    <row r="280" spans="2:7" x14ac:dyDescent="0.2">
      <c r="E280" s="8"/>
      <c r="G280" s="83"/>
    </row>
    <row r="281" spans="2:7" x14ac:dyDescent="0.2">
      <c r="E281" s="8"/>
      <c r="G281" s="83"/>
    </row>
    <row r="282" spans="2:7" x14ac:dyDescent="0.2">
      <c r="E282" s="8"/>
      <c r="G282" s="83"/>
    </row>
    <row r="283" spans="2:7" x14ac:dyDescent="0.2">
      <c r="E283" s="8"/>
      <c r="G283" s="83"/>
    </row>
    <row r="284" spans="2:7" x14ac:dyDescent="0.2">
      <c r="E284" s="8"/>
      <c r="G284" s="83"/>
    </row>
    <row r="285" spans="2:7" x14ac:dyDescent="0.2">
      <c r="B285" s="84" t="s">
        <v>1475</v>
      </c>
      <c r="E285" s="8"/>
      <c r="G285" s="83"/>
    </row>
    <row r="286" spans="2:7" x14ac:dyDescent="0.2">
      <c r="B286" s="85" t="s">
        <v>1485</v>
      </c>
      <c r="E286" s="8"/>
      <c r="G286" s="83"/>
    </row>
    <row r="287" spans="2:7" x14ac:dyDescent="0.2">
      <c r="E287" s="8"/>
      <c r="G287" s="83"/>
    </row>
    <row r="288" spans="2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  <row r="397" spans="5:7" x14ac:dyDescent="0.2">
      <c r="E397" s="8"/>
      <c r="G397" s="83"/>
    </row>
    <row r="398" spans="5:7" x14ac:dyDescent="0.2">
      <c r="E398" s="8"/>
      <c r="G398" s="83"/>
    </row>
    <row r="399" spans="5:7" x14ac:dyDescent="0.2">
      <c r="E399" s="8"/>
      <c r="G399" s="83"/>
    </row>
    <row r="400" spans="5:7" x14ac:dyDescent="0.2">
      <c r="E400" s="8"/>
      <c r="G400" s="83"/>
    </row>
    <row r="401" spans="5:7" x14ac:dyDescent="0.2">
      <c r="E401" s="8"/>
      <c r="G401" s="83"/>
    </row>
    <row r="402" spans="5:7" x14ac:dyDescent="0.2">
      <c r="E402" s="8"/>
      <c r="G402" s="83"/>
    </row>
    <row r="403" spans="5:7" x14ac:dyDescent="0.2">
      <c r="E403" s="8"/>
      <c r="G403" s="83"/>
    </row>
    <row r="404" spans="5:7" x14ac:dyDescent="0.2">
      <c r="E404" s="8"/>
      <c r="G404" s="83"/>
    </row>
    <row r="405" spans="5:7" x14ac:dyDescent="0.2">
      <c r="E405" s="8"/>
      <c r="G405" s="83"/>
    </row>
    <row r="406" spans="5:7" x14ac:dyDescent="0.2">
      <c r="E406" s="8"/>
      <c r="G406" s="83"/>
    </row>
    <row r="407" spans="5:7" x14ac:dyDescent="0.2">
      <c r="E407" s="8"/>
      <c r="G407" s="83"/>
    </row>
    <row r="408" spans="5:7" x14ac:dyDescent="0.2">
      <c r="E408" s="8"/>
      <c r="G408" s="83"/>
    </row>
    <row r="409" spans="5:7" x14ac:dyDescent="0.2">
      <c r="E409" s="8"/>
      <c r="G409" s="83"/>
    </row>
    <row r="410" spans="5:7" x14ac:dyDescent="0.2">
      <c r="E410" s="8"/>
      <c r="G410" s="83"/>
    </row>
    <row r="411" spans="5:7" x14ac:dyDescent="0.2">
      <c r="E411" s="8"/>
      <c r="G411" s="83"/>
    </row>
    <row r="412" spans="5:7" x14ac:dyDescent="0.2">
      <c r="E412" s="8"/>
      <c r="G412" s="83"/>
    </row>
    <row r="413" spans="5:7" x14ac:dyDescent="0.2">
      <c r="E413" s="8"/>
      <c r="G413" s="83"/>
    </row>
    <row r="414" spans="5:7" x14ac:dyDescent="0.2">
      <c r="E414" s="8"/>
      <c r="G414" s="83"/>
    </row>
    <row r="415" spans="5:7" x14ac:dyDescent="0.2">
      <c r="E415" s="8"/>
      <c r="G415" s="83"/>
    </row>
    <row r="416" spans="5:7" x14ac:dyDescent="0.2">
      <c r="E416" s="8"/>
      <c r="G416" s="83"/>
    </row>
    <row r="417" spans="5:7" x14ac:dyDescent="0.2">
      <c r="E417" s="8"/>
      <c r="G417" s="83"/>
    </row>
    <row r="418" spans="5:7" x14ac:dyDescent="0.2">
      <c r="E418" s="8"/>
      <c r="G418" s="83"/>
    </row>
    <row r="419" spans="5:7" x14ac:dyDescent="0.2">
      <c r="E419" s="8"/>
      <c r="G419" s="83"/>
    </row>
    <row r="420" spans="5:7" x14ac:dyDescent="0.2">
      <c r="E420" s="8"/>
      <c r="G420" s="83"/>
    </row>
    <row r="421" spans="5:7" x14ac:dyDescent="0.2">
      <c r="E421" s="8"/>
      <c r="G421" s="83"/>
    </row>
    <row r="422" spans="5:7" x14ac:dyDescent="0.2">
      <c r="E422" s="8"/>
      <c r="G422" s="83"/>
    </row>
    <row r="423" spans="5:7" x14ac:dyDescent="0.2">
      <c r="E423" s="8"/>
      <c r="G423" s="83"/>
    </row>
    <row r="424" spans="5:7" x14ac:dyDescent="0.2">
      <c r="E424" s="8"/>
      <c r="G424" s="83"/>
    </row>
    <row r="425" spans="5:7" x14ac:dyDescent="0.2">
      <c r="E425" s="8"/>
      <c r="G425" s="83"/>
    </row>
    <row r="426" spans="5:7" x14ac:dyDescent="0.2">
      <c r="E426" s="8"/>
      <c r="G426" s="83"/>
    </row>
    <row r="427" spans="5:7" x14ac:dyDescent="0.2">
      <c r="E427" s="8"/>
      <c r="G427" s="83"/>
    </row>
    <row r="428" spans="5:7" x14ac:dyDescent="0.2">
      <c r="E428" s="8"/>
      <c r="G428" s="83"/>
    </row>
    <row r="429" spans="5:7" x14ac:dyDescent="0.2">
      <c r="E429" s="8"/>
      <c r="G429" s="83"/>
    </row>
    <row r="430" spans="5:7" x14ac:dyDescent="0.2">
      <c r="E430" s="8"/>
      <c r="G430" s="83"/>
    </row>
    <row r="431" spans="5:7" x14ac:dyDescent="0.2">
      <c r="E431" s="8"/>
      <c r="G431" s="83"/>
    </row>
    <row r="432" spans="5:7" x14ac:dyDescent="0.2">
      <c r="E432" s="8"/>
      <c r="G432" s="83"/>
    </row>
    <row r="433" spans="5:7" x14ac:dyDescent="0.2">
      <c r="E433" s="8"/>
      <c r="G433" s="83"/>
    </row>
    <row r="434" spans="5:7" x14ac:dyDescent="0.2">
      <c r="E434" s="8"/>
      <c r="G434" s="83"/>
    </row>
    <row r="435" spans="5:7" x14ac:dyDescent="0.2">
      <c r="E435" s="8"/>
      <c r="G435" s="83"/>
    </row>
    <row r="436" spans="5:7" x14ac:dyDescent="0.2">
      <c r="E436" s="8"/>
      <c r="G436" s="83"/>
    </row>
    <row r="437" spans="5:7" x14ac:dyDescent="0.2">
      <c r="E437" s="8"/>
      <c r="G437" s="83"/>
    </row>
    <row r="438" spans="5:7" x14ac:dyDescent="0.2">
      <c r="E438" s="8"/>
      <c r="G438" s="83"/>
    </row>
    <row r="439" spans="5:7" x14ac:dyDescent="0.2">
      <c r="E439" s="8"/>
      <c r="G439" s="83"/>
    </row>
    <row r="440" spans="5:7" x14ac:dyDescent="0.2">
      <c r="E440" s="8"/>
      <c r="G440" s="83"/>
    </row>
    <row r="441" spans="5:7" x14ac:dyDescent="0.2">
      <c r="E441" s="8"/>
      <c r="G441" s="83"/>
    </row>
    <row r="442" spans="5:7" x14ac:dyDescent="0.2">
      <c r="E442" s="8"/>
      <c r="G442" s="83"/>
    </row>
    <row r="443" spans="5:7" x14ac:dyDescent="0.2">
      <c r="E443" s="8"/>
      <c r="G443" s="83"/>
    </row>
    <row r="444" spans="5:7" x14ac:dyDescent="0.2">
      <c r="E444" s="8"/>
      <c r="G444" s="83"/>
    </row>
    <row r="445" spans="5:7" x14ac:dyDescent="0.2">
      <c r="E445" s="8"/>
      <c r="G445" s="83"/>
    </row>
    <row r="446" spans="5:7" x14ac:dyDescent="0.2">
      <c r="E446" s="8"/>
      <c r="G446" s="83"/>
    </row>
    <row r="447" spans="5:7" x14ac:dyDescent="0.2">
      <c r="E447" s="8"/>
      <c r="G447" s="83"/>
    </row>
    <row r="448" spans="5:7" x14ac:dyDescent="0.2">
      <c r="E448" s="8"/>
      <c r="G448" s="83"/>
    </row>
    <row r="449" spans="5:7" x14ac:dyDescent="0.2">
      <c r="E449" s="8"/>
      <c r="G449" s="83"/>
    </row>
    <row r="450" spans="5:7" x14ac:dyDescent="0.2">
      <c r="E450" s="8"/>
      <c r="G450" s="83"/>
    </row>
    <row r="451" spans="5:7" x14ac:dyDescent="0.2">
      <c r="E451" s="8"/>
      <c r="G451" s="83"/>
    </row>
    <row r="452" spans="5:7" x14ac:dyDescent="0.2">
      <c r="E452" s="8"/>
      <c r="G452" s="83"/>
    </row>
    <row r="453" spans="5:7" x14ac:dyDescent="0.2">
      <c r="E453" s="8"/>
      <c r="G453" s="83"/>
    </row>
    <row r="454" spans="5:7" x14ac:dyDescent="0.2">
      <c r="E454" s="8"/>
      <c r="G454" s="83"/>
    </row>
    <row r="455" spans="5:7" x14ac:dyDescent="0.2">
      <c r="E455" s="8"/>
      <c r="G455" s="83"/>
    </row>
    <row r="456" spans="5:7" x14ac:dyDescent="0.2">
      <c r="E456" s="8"/>
      <c r="G456" s="83"/>
    </row>
    <row r="457" spans="5:7" x14ac:dyDescent="0.2">
      <c r="E457" s="8"/>
      <c r="G457" s="83"/>
    </row>
    <row r="458" spans="5:7" x14ac:dyDescent="0.2">
      <c r="E458" s="8"/>
      <c r="G458" s="83"/>
    </row>
    <row r="459" spans="5:7" x14ac:dyDescent="0.2">
      <c r="E459" s="8"/>
      <c r="G459" s="83"/>
    </row>
    <row r="460" spans="5:7" x14ac:dyDescent="0.2">
      <c r="E460" s="8"/>
      <c r="G460" s="83"/>
    </row>
    <row r="461" spans="5:7" x14ac:dyDescent="0.2">
      <c r="E461" s="8"/>
      <c r="G461" s="83"/>
    </row>
    <row r="462" spans="5:7" x14ac:dyDescent="0.2">
      <c r="E462" s="8"/>
      <c r="G462" s="83"/>
    </row>
    <row r="463" spans="5:7" x14ac:dyDescent="0.2">
      <c r="E463" s="8"/>
      <c r="G463" s="83"/>
    </row>
    <row r="464" spans="5:7" x14ac:dyDescent="0.2">
      <c r="E464" s="8"/>
      <c r="G464" s="83"/>
    </row>
    <row r="465" spans="5:7" x14ac:dyDescent="0.2">
      <c r="E465" s="8"/>
      <c r="G465" s="83"/>
    </row>
    <row r="466" spans="5:7" x14ac:dyDescent="0.2">
      <c r="E466" s="8"/>
      <c r="G466" s="83"/>
    </row>
    <row r="467" spans="5:7" x14ac:dyDescent="0.2">
      <c r="E467" s="8"/>
      <c r="G467" s="83"/>
    </row>
    <row r="468" spans="5:7" x14ac:dyDescent="0.2">
      <c r="E468" s="8"/>
      <c r="G468" s="83"/>
    </row>
    <row r="469" spans="5:7" x14ac:dyDescent="0.2">
      <c r="E469" s="8"/>
      <c r="G469" s="83"/>
    </row>
    <row r="470" spans="5:7" x14ac:dyDescent="0.2">
      <c r="E470" s="8"/>
      <c r="G470" s="83"/>
    </row>
    <row r="471" spans="5:7" x14ac:dyDescent="0.2">
      <c r="E471" s="8"/>
      <c r="G471" s="83"/>
    </row>
    <row r="472" spans="5:7" x14ac:dyDescent="0.2">
      <c r="E472" s="8"/>
      <c r="G472" s="83"/>
    </row>
    <row r="473" spans="5:7" x14ac:dyDescent="0.2">
      <c r="E473" s="8"/>
      <c r="G473" s="83"/>
    </row>
    <row r="474" spans="5:7" x14ac:dyDescent="0.2">
      <c r="E474" s="8"/>
      <c r="G474" s="83"/>
    </row>
    <row r="475" spans="5:7" x14ac:dyDescent="0.2">
      <c r="E475" s="8"/>
      <c r="G475" s="83"/>
    </row>
    <row r="476" spans="5:7" x14ac:dyDescent="0.2">
      <c r="E476" s="8"/>
      <c r="G476" s="83"/>
    </row>
    <row r="477" spans="5:7" x14ac:dyDescent="0.2">
      <c r="E477" s="8"/>
      <c r="G477" s="83"/>
    </row>
    <row r="478" spans="5:7" x14ac:dyDescent="0.2">
      <c r="E478" s="8"/>
      <c r="G478" s="83"/>
    </row>
    <row r="479" spans="5:7" x14ac:dyDescent="0.2">
      <c r="E479" s="8"/>
      <c r="G479" s="83"/>
    </row>
    <row r="480" spans="5:7" x14ac:dyDescent="0.2">
      <c r="E480" s="8"/>
      <c r="G480" s="83"/>
    </row>
    <row r="481" spans="5:7" x14ac:dyDescent="0.2">
      <c r="E481" s="8"/>
      <c r="G481" s="83"/>
    </row>
    <row r="482" spans="5:7" x14ac:dyDescent="0.2">
      <c r="E482" s="8"/>
      <c r="G482" s="83"/>
    </row>
    <row r="483" spans="5:7" x14ac:dyDescent="0.2">
      <c r="E483" s="8"/>
      <c r="G483" s="83"/>
    </row>
    <row r="484" spans="5:7" x14ac:dyDescent="0.2">
      <c r="E484" s="8"/>
      <c r="G484" s="83"/>
    </row>
    <row r="485" spans="5:7" x14ac:dyDescent="0.2">
      <c r="E485" s="8"/>
      <c r="G485" s="83"/>
    </row>
    <row r="486" spans="5:7" x14ac:dyDescent="0.2">
      <c r="E486" s="8"/>
      <c r="G486" s="83"/>
    </row>
    <row r="487" spans="5:7" x14ac:dyDescent="0.2">
      <c r="E487" s="8"/>
      <c r="G487" s="83"/>
    </row>
    <row r="488" spans="5:7" x14ac:dyDescent="0.2">
      <c r="E488" s="8"/>
      <c r="G488" s="83"/>
    </row>
    <row r="489" spans="5:7" x14ac:dyDescent="0.2">
      <c r="E489" s="8"/>
      <c r="G489" s="83"/>
    </row>
    <row r="490" spans="5:7" x14ac:dyDescent="0.2">
      <c r="E490" s="8"/>
      <c r="G490" s="83"/>
    </row>
    <row r="491" spans="5:7" x14ac:dyDescent="0.2">
      <c r="E491" s="8"/>
      <c r="G491" s="83"/>
    </row>
    <row r="492" spans="5:7" x14ac:dyDescent="0.2">
      <c r="E492" s="8"/>
      <c r="G492" s="83"/>
    </row>
    <row r="493" spans="5:7" x14ac:dyDescent="0.2">
      <c r="E493" s="8"/>
      <c r="G493" s="83"/>
    </row>
    <row r="494" spans="5:7" x14ac:dyDescent="0.2">
      <c r="E494" s="8"/>
      <c r="G494" s="83"/>
    </row>
    <row r="495" spans="5:7" x14ac:dyDescent="0.2">
      <c r="E495" s="8"/>
      <c r="G495" s="83"/>
    </row>
    <row r="496" spans="5:7" x14ac:dyDescent="0.2">
      <c r="E496" s="8"/>
      <c r="G496" s="83"/>
    </row>
    <row r="497" spans="5:7" x14ac:dyDescent="0.2">
      <c r="E497" s="8"/>
      <c r="G497" s="83"/>
    </row>
    <row r="498" spans="5:7" x14ac:dyDescent="0.2">
      <c r="E498" s="8"/>
      <c r="G498" s="83"/>
    </row>
    <row r="499" spans="5:7" x14ac:dyDescent="0.2">
      <c r="E499" s="8"/>
      <c r="G499" s="83"/>
    </row>
    <row r="500" spans="5:7" x14ac:dyDescent="0.2">
      <c r="E500" s="8"/>
      <c r="G500" s="83"/>
    </row>
    <row r="501" spans="5:7" x14ac:dyDescent="0.2">
      <c r="E501" s="8"/>
      <c r="G501" s="83"/>
    </row>
    <row r="502" spans="5:7" x14ac:dyDescent="0.2">
      <c r="E502" s="8"/>
      <c r="G502" s="83"/>
    </row>
    <row r="503" spans="5:7" x14ac:dyDescent="0.2">
      <c r="E503" s="8"/>
      <c r="G503" s="83"/>
    </row>
    <row r="504" spans="5:7" x14ac:dyDescent="0.2">
      <c r="E504" s="8"/>
      <c r="G504" s="83"/>
    </row>
    <row r="505" spans="5:7" x14ac:dyDescent="0.2">
      <c r="E505" s="8"/>
      <c r="G505" s="83"/>
    </row>
    <row r="506" spans="5:7" x14ac:dyDescent="0.2">
      <c r="E506" s="8"/>
      <c r="G506" s="83"/>
    </row>
    <row r="507" spans="5:7" x14ac:dyDescent="0.2">
      <c r="E507" s="8"/>
      <c r="G507" s="83"/>
    </row>
    <row r="508" spans="5:7" x14ac:dyDescent="0.2">
      <c r="E508" s="8"/>
      <c r="G508" s="83"/>
    </row>
    <row r="509" spans="5:7" x14ac:dyDescent="0.2">
      <c r="E509" s="8"/>
      <c r="G509" s="83"/>
    </row>
    <row r="510" spans="5:7" x14ac:dyDescent="0.2">
      <c r="E510" s="8"/>
      <c r="G510" s="83"/>
    </row>
    <row r="511" spans="5:7" x14ac:dyDescent="0.2">
      <c r="E511" s="8"/>
      <c r="G511" s="83"/>
    </row>
    <row r="512" spans="5:7" x14ac:dyDescent="0.2">
      <c r="E512" s="8"/>
      <c r="G512" s="83"/>
    </row>
    <row r="513" spans="5:7" x14ac:dyDescent="0.2">
      <c r="E513" s="8"/>
      <c r="G513" s="83"/>
    </row>
    <row r="514" spans="5:7" x14ac:dyDescent="0.2">
      <c r="E514" s="8"/>
      <c r="G514" s="83"/>
    </row>
    <row r="515" spans="5:7" x14ac:dyDescent="0.2">
      <c r="E515" s="8"/>
      <c r="G515" s="83"/>
    </row>
    <row r="516" spans="5:7" x14ac:dyDescent="0.2">
      <c r="E516" s="8"/>
      <c r="G516" s="83"/>
    </row>
    <row r="517" spans="5:7" x14ac:dyDescent="0.2">
      <c r="E517" s="8"/>
      <c r="G517" s="83"/>
    </row>
    <row r="518" spans="5:7" x14ac:dyDescent="0.2">
      <c r="E518" s="8"/>
      <c r="G518" s="83"/>
    </row>
    <row r="519" spans="5:7" x14ac:dyDescent="0.2">
      <c r="E519" s="8"/>
      <c r="G519" s="83"/>
    </row>
    <row r="520" spans="5:7" x14ac:dyDescent="0.2">
      <c r="E520" s="8"/>
      <c r="G520" s="83"/>
    </row>
    <row r="521" spans="5:7" x14ac:dyDescent="0.2">
      <c r="E521" s="8"/>
      <c r="G521" s="83"/>
    </row>
    <row r="522" spans="5:7" x14ac:dyDescent="0.2">
      <c r="E522" s="8"/>
      <c r="G522" s="83"/>
    </row>
    <row r="523" spans="5:7" x14ac:dyDescent="0.2">
      <c r="E523" s="8"/>
      <c r="G523" s="83"/>
    </row>
    <row r="524" spans="5:7" x14ac:dyDescent="0.2">
      <c r="E524" s="8"/>
      <c r="G524" s="83"/>
    </row>
    <row r="525" spans="5:7" x14ac:dyDescent="0.2">
      <c r="E525" s="8"/>
      <c r="G525" s="83"/>
    </row>
    <row r="526" spans="5:7" x14ac:dyDescent="0.2">
      <c r="E526" s="8"/>
      <c r="G526" s="83"/>
    </row>
    <row r="527" spans="5:7" x14ac:dyDescent="0.2">
      <c r="E527" s="8"/>
      <c r="G527" s="83"/>
    </row>
    <row r="528" spans="5:7" x14ac:dyDescent="0.2">
      <c r="E528" s="8"/>
      <c r="G528" s="83"/>
    </row>
    <row r="529" spans="5:7" x14ac:dyDescent="0.2">
      <c r="E529" s="8"/>
      <c r="G529" s="83"/>
    </row>
    <row r="530" spans="5:7" x14ac:dyDescent="0.2">
      <c r="E530" s="8"/>
      <c r="G530" s="83"/>
    </row>
    <row r="531" spans="5:7" x14ac:dyDescent="0.2">
      <c r="E531" s="8"/>
      <c r="G531" s="83"/>
    </row>
    <row r="532" spans="5:7" x14ac:dyDescent="0.2">
      <c r="E532" s="8"/>
      <c r="G532" s="83"/>
    </row>
    <row r="533" spans="5:7" x14ac:dyDescent="0.2">
      <c r="E533" s="8"/>
      <c r="G533" s="83"/>
    </row>
    <row r="534" spans="5:7" x14ac:dyDescent="0.2">
      <c r="E534" s="8"/>
      <c r="G534" s="83"/>
    </row>
    <row r="535" spans="5:7" x14ac:dyDescent="0.2">
      <c r="E535" s="8"/>
      <c r="G535" s="83"/>
    </row>
    <row r="536" spans="5:7" x14ac:dyDescent="0.2">
      <c r="E536" s="8"/>
      <c r="G536" s="83"/>
    </row>
    <row r="537" spans="5:7" x14ac:dyDescent="0.2">
      <c r="E537" s="8"/>
      <c r="G537" s="83"/>
    </row>
    <row r="538" spans="5:7" x14ac:dyDescent="0.2">
      <c r="E538" s="8"/>
      <c r="G538" s="83"/>
    </row>
    <row r="539" spans="5:7" x14ac:dyDescent="0.2">
      <c r="E539" s="8"/>
      <c r="G539" s="83"/>
    </row>
    <row r="540" spans="5:7" x14ac:dyDescent="0.2">
      <c r="E540" s="8"/>
      <c r="G540" s="83"/>
    </row>
    <row r="541" spans="5:7" x14ac:dyDescent="0.2">
      <c r="E541" s="8"/>
      <c r="G541" s="83"/>
    </row>
    <row r="542" spans="5:7" x14ac:dyDescent="0.2">
      <c r="E542" s="8"/>
      <c r="G542" s="83"/>
    </row>
    <row r="543" spans="5:7" x14ac:dyDescent="0.2">
      <c r="E543" s="8"/>
      <c r="G543" s="83"/>
    </row>
    <row r="544" spans="5:7" x14ac:dyDescent="0.2">
      <c r="E544" s="8"/>
      <c r="G544" s="83"/>
    </row>
    <row r="545" spans="5:7" x14ac:dyDescent="0.2">
      <c r="E545" s="8"/>
      <c r="G545" s="83"/>
    </row>
    <row r="546" spans="5:7" x14ac:dyDescent="0.2">
      <c r="E546" s="8"/>
      <c r="G546" s="83"/>
    </row>
    <row r="547" spans="5:7" x14ac:dyDescent="0.2">
      <c r="E547" s="8"/>
      <c r="G547" s="83"/>
    </row>
    <row r="548" spans="5:7" x14ac:dyDescent="0.2">
      <c r="E548" s="8"/>
      <c r="G548" s="83"/>
    </row>
    <row r="549" spans="5:7" x14ac:dyDescent="0.2">
      <c r="E549" s="8"/>
      <c r="G549" s="83"/>
    </row>
    <row r="550" spans="5:7" x14ac:dyDescent="0.2">
      <c r="E550" s="8"/>
      <c r="G550" s="83"/>
    </row>
    <row r="551" spans="5:7" x14ac:dyDescent="0.2">
      <c r="E551" s="8"/>
      <c r="G551" s="83"/>
    </row>
    <row r="552" spans="5:7" x14ac:dyDescent="0.2">
      <c r="E552" s="8"/>
      <c r="G552" s="83"/>
    </row>
    <row r="553" spans="5:7" x14ac:dyDescent="0.2">
      <c r="E553" s="8"/>
      <c r="G553" s="83"/>
    </row>
    <row r="554" spans="5:7" x14ac:dyDescent="0.2">
      <c r="E554" s="8"/>
      <c r="G554" s="83"/>
    </row>
    <row r="555" spans="5:7" x14ac:dyDescent="0.2">
      <c r="E555" s="8"/>
      <c r="G555" s="83"/>
    </row>
    <row r="556" spans="5:7" x14ac:dyDescent="0.2">
      <c r="E556" s="8"/>
      <c r="G556" s="83"/>
    </row>
    <row r="557" spans="5:7" x14ac:dyDescent="0.2">
      <c r="E557" s="8"/>
      <c r="G557" s="83"/>
    </row>
    <row r="558" spans="5:7" x14ac:dyDescent="0.2">
      <c r="E558" s="8"/>
      <c r="G558" s="83"/>
    </row>
    <row r="559" spans="5:7" x14ac:dyDescent="0.2">
      <c r="E559" s="8"/>
      <c r="G559" s="83"/>
    </row>
    <row r="560" spans="5:7" x14ac:dyDescent="0.2">
      <c r="E560" s="8"/>
      <c r="G560" s="83"/>
    </row>
    <row r="561" spans="5:7" x14ac:dyDescent="0.2">
      <c r="E561" s="8"/>
      <c r="G561" s="83"/>
    </row>
    <row r="562" spans="5:7" x14ac:dyDescent="0.2">
      <c r="E562" s="8"/>
      <c r="G562" s="83"/>
    </row>
    <row r="563" spans="5:7" x14ac:dyDescent="0.2">
      <c r="E563" s="8"/>
      <c r="G563" s="83"/>
    </row>
    <row r="564" spans="5:7" x14ac:dyDescent="0.2">
      <c r="E564" s="8"/>
      <c r="G564" s="83"/>
    </row>
    <row r="565" spans="5:7" x14ac:dyDescent="0.2">
      <c r="E565" s="8"/>
      <c r="G565" s="83"/>
    </row>
    <row r="566" spans="5:7" x14ac:dyDescent="0.2">
      <c r="E566" s="8"/>
      <c r="G566" s="83"/>
    </row>
    <row r="567" spans="5:7" x14ac:dyDescent="0.2">
      <c r="E567" s="8"/>
      <c r="G567" s="83"/>
    </row>
    <row r="568" spans="5:7" x14ac:dyDescent="0.2">
      <c r="E568" s="8"/>
      <c r="G568" s="83"/>
    </row>
    <row r="569" spans="5:7" x14ac:dyDescent="0.2">
      <c r="E569" s="8"/>
      <c r="G569" s="83"/>
    </row>
    <row r="570" spans="5:7" x14ac:dyDescent="0.2">
      <c r="E570" s="8"/>
      <c r="G570" s="83"/>
    </row>
    <row r="571" spans="5:7" x14ac:dyDescent="0.2">
      <c r="E571" s="8"/>
      <c r="G571" s="83"/>
    </row>
    <row r="572" spans="5:7" x14ac:dyDescent="0.2">
      <c r="E572" s="8"/>
      <c r="G572" s="83"/>
    </row>
    <row r="573" spans="5:7" x14ac:dyDescent="0.2">
      <c r="E573" s="8"/>
      <c r="G573" s="83"/>
    </row>
    <row r="574" spans="5:7" x14ac:dyDescent="0.2">
      <c r="E574" s="8"/>
      <c r="G574" s="83"/>
    </row>
    <row r="575" spans="5:7" x14ac:dyDescent="0.2">
      <c r="E575" s="8"/>
      <c r="G575" s="83"/>
    </row>
    <row r="576" spans="5:7" x14ac:dyDescent="0.2">
      <c r="E576" s="8"/>
      <c r="G576" s="83"/>
    </row>
    <row r="577" spans="5:7" x14ac:dyDescent="0.2">
      <c r="E577" s="8"/>
      <c r="G577" s="83"/>
    </row>
    <row r="578" spans="5:7" x14ac:dyDescent="0.2">
      <c r="E578" s="8"/>
      <c r="G578" s="83"/>
    </row>
    <row r="579" spans="5:7" x14ac:dyDescent="0.2">
      <c r="E579" s="8"/>
      <c r="G579" s="83"/>
    </row>
    <row r="580" spans="5:7" x14ac:dyDescent="0.2">
      <c r="E580" s="8"/>
      <c r="G580" s="83"/>
    </row>
    <row r="581" spans="5:7" x14ac:dyDescent="0.2">
      <c r="E581" s="8"/>
      <c r="G581" s="83"/>
    </row>
    <row r="582" spans="5:7" x14ac:dyDescent="0.2">
      <c r="E582" s="8"/>
      <c r="G582" s="83"/>
    </row>
    <row r="583" spans="5:7" x14ac:dyDescent="0.2">
      <c r="E583" s="8"/>
      <c r="G583" s="83"/>
    </row>
    <row r="584" spans="5:7" x14ac:dyDescent="0.2">
      <c r="E584" s="8"/>
      <c r="G584" s="83"/>
    </row>
    <row r="585" spans="5:7" x14ac:dyDescent="0.2">
      <c r="E585" s="8"/>
      <c r="G585" s="83"/>
    </row>
    <row r="586" spans="5:7" x14ac:dyDescent="0.2">
      <c r="E586" s="8"/>
      <c r="G586" s="83"/>
    </row>
    <row r="587" spans="5:7" x14ac:dyDescent="0.2">
      <c r="E587" s="8"/>
      <c r="G587" s="83"/>
    </row>
    <row r="588" spans="5:7" x14ac:dyDescent="0.2">
      <c r="E588" s="8"/>
      <c r="G588" s="83"/>
    </row>
    <row r="589" spans="5:7" x14ac:dyDescent="0.2">
      <c r="E589" s="8"/>
      <c r="G589" s="83"/>
    </row>
    <row r="590" spans="5:7" x14ac:dyDescent="0.2">
      <c r="E590" s="8"/>
      <c r="G590" s="83"/>
    </row>
    <row r="591" spans="5:7" x14ac:dyDescent="0.2">
      <c r="E591" s="8"/>
      <c r="G591" s="83"/>
    </row>
    <row r="592" spans="5:7" x14ac:dyDescent="0.2">
      <c r="E592" s="8"/>
      <c r="G592" s="83"/>
    </row>
    <row r="593" spans="5:7" x14ac:dyDescent="0.2">
      <c r="E593" s="8"/>
      <c r="G593" s="83"/>
    </row>
    <row r="594" spans="5:7" x14ac:dyDescent="0.2">
      <c r="E594" s="8"/>
      <c r="G594" s="83"/>
    </row>
    <row r="595" spans="5:7" x14ac:dyDescent="0.2">
      <c r="E595" s="8"/>
      <c r="G595" s="83"/>
    </row>
    <row r="596" spans="5:7" x14ac:dyDescent="0.2">
      <c r="E596" s="8"/>
      <c r="G596" s="83"/>
    </row>
    <row r="597" spans="5:7" x14ac:dyDescent="0.2">
      <c r="E597" s="8"/>
      <c r="G597" s="83"/>
    </row>
    <row r="598" spans="5:7" x14ac:dyDescent="0.2">
      <c r="E598" s="8"/>
      <c r="G598" s="83"/>
    </row>
    <row r="599" spans="5:7" x14ac:dyDescent="0.2">
      <c r="E599" s="8"/>
      <c r="G599" s="83"/>
    </row>
    <row r="600" spans="5:7" x14ac:dyDescent="0.2">
      <c r="E600" s="8"/>
      <c r="G600" s="83"/>
    </row>
    <row r="601" spans="5:7" x14ac:dyDescent="0.2">
      <c r="E601" s="8"/>
      <c r="G601" s="83"/>
    </row>
    <row r="602" spans="5:7" x14ac:dyDescent="0.2">
      <c r="E602" s="8"/>
      <c r="G602" s="83"/>
    </row>
    <row r="603" spans="5:7" x14ac:dyDescent="0.2">
      <c r="E603" s="8"/>
      <c r="G603" s="83"/>
    </row>
    <row r="604" spans="5:7" x14ac:dyDescent="0.2">
      <c r="E604" s="8"/>
      <c r="G604" s="83"/>
    </row>
    <row r="605" spans="5:7" x14ac:dyDescent="0.2">
      <c r="E605" s="8"/>
      <c r="G605" s="83"/>
    </row>
    <row r="606" spans="5:7" x14ac:dyDescent="0.2">
      <c r="E606" s="8"/>
      <c r="G606" s="83"/>
    </row>
    <row r="607" spans="5:7" x14ac:dyDescent="0.2">
      <c r="E607" s="8"/>
      <c r="G607" s="83"/>
    </row>
    <row r="608" spans="5:7" x14ac:dyDescent="0.2">
      <c r="E608" s="8"/>
      <c r="G608" s="83"/>
    </row>
    <row r="609" spans="5:7" x14ac:dyDescent="0.2">
      <c r="E609" s="8"/>
      <c r="G609" s="83"/>
    </row>
  </sheetData>
  <mergeCells count="1">
    <mergeCell ref="B1:C1"/>
  </mergeCells>
  <conditionalFormatting sqref="G1:G3 G5:G303">
    <cfRule type="cellIs" dxfId="3" priority="2" stopIfTrue="1" operator="between">
      <formula>0.009</formula>
      <formula>-0.009</formula>
    </cfRule>
  </conditionalFormatting>
  <hyperlinks>
    <hyperlink ref="A2" location="Index!A1" display="-" xr:uid="{DD3F490E-C923-4181-BAF9-C7F35DD1CE8D}"/>
  </hyperlinks>
  <pageMargins left="0.7" right="0.7" top="0.75" bottom="0.75" header="0.3" footer="0.3"/>
  <pageSetup paperSize="9" scale="35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13" min="1" max="7" man="1"/>
  </rowBreaks>
  <colBreaks count="1" manualBreakCount="1">
    <brk id="8" max="614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4542-E1CC-4A9E-A13D-75D96E5FF406}">
  <dimension ref="A1:I485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68.7109375" style="8" bestFit="1" customWidth="1"/>
    <col min="3" max="3" width="13.5703125" style="8" customWidth="1"/>
    <col min="4" max="4" width="32.140625" style="8" bestFit="1" customWidth="1"/>
    <col min="5" max="5" width="13.7109375" style="9" bestFit="1" customWidth="1"/>
    <col min="6" max="6" width="22.85546875" style="11" bestFit="1" customWidth="1"/>
    <col min="7" max="7" width="12.140625" style="18" bestFit="1" customWidth="1"/>
    <col min="8" max="8" width="10.85546875" style="8" customWidth="1"/>
    <col min="9" max="16384" width="9.140625" style="8"/>
  </cols>
  <sheetData>
    <row r="1" spans="1:8" s="1" customFormat="1" ht="16.7" customHeight="1" x14ac:dyDescent="0.2">
      <c r="B1" s="98" t="s">
        <v>20</v>
      </c>
      <c r="C1" s="99"/>
      <c r="D1" s="13"/>
      <c r="E1" s="6"/>
      <c r="F1" s="7"/>
      <c r="G1" s="18"/>
    </row>
    <row r="2" spans="1:8" s="1" customFormat="1" ht="15" x14ac:dyDescent="0.25">
      <c r="A2" s="82" t="s">
        <v>1501</v>
      </c>
      <c r="E2" s="6"/>
      <c r="F2" s="7"/>
      <c r="G2" s="18"/>
    </row>
    <row r="3" spans="1:8" s="1" customFormat="1" ht="12" x14ac:dyDescent="0.2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">
      <c r="B4" s="28" t="s">
        <v>7</v>
      </c>
      <c r="C4" s="28" t="s">
        <v>8</v>
      </c>
      <c r="D4" s="29" t="s">
        <v>412</v>
      </c>
      <c r="E4" s="30" t="s">
        <v>0</v>
      </c>
      <c r="F4" s="31" t="s">
        <v>4</v>
      </c>
      <c r="G4" s="32" t="s">
        <v>5</v>
      </c>
      <c r="H4" s="73" t="s">
        <v>6</v>
      </c>
    </row>
    <row r="5" spans="1:8" x14ac:dyDescent="0.2">
      <c r="B5" s="34" t="s">
        <v>284</v>
      </c>
      <c r="C5" s="35"/>
      <c r="D5" s="35"/>
      <c r="E5" s="36"/>
      <c r="F5" s="37"/>
      <c r="G5" s="38"/>
      <c r="H5" s="35"/>
    </row>
    <row r="6" spans="1:8" x14ac:dyDescent="0.2">
      <c r="B6" s="34" t="s">
        <v>239</v>
      </c>
      <c r="C6" s="35"/>
      <c r="D6" s="35"/>
      <c r="E6" s="36"/>
      <c r="F6" s="37"/>
      <c r="G6" s="38"/>
      <c r="H6" s="35"/>
    </row>
    <row r="7" spans="1:8" x14ac:dyDescent="0.2">
      <c r="B7" s="35" t="s">
        <v>285</v>
      </c>
      <c r="C7" s="35" t="s">
        <v>286</v>
      </c>
      <c r="D7" s="35" t="s">
        <v>287</v>
      </c>
      <c r="E7" s="40">
        <v>2476488</v>
      </c>
      <c r="F7" s="37">
        <v>21985.022219999999</v>
      </c>
      <c r="G7" s="38">
        <v>7.9530346451491001</v>
      </c>
      <c r="H7" s="41"/>
    </row>
    <row r="8" spans="1:8" x14ac:dyDescent="0.2">
      <c r="B8" s="35" t="s">
        <v>288</v>
      </c>
      <c r="C8" s="35" t="s">
        <v>289</v>
      </c>
      <c r="D8" s="35" t="s">
        <v>287</v>
      </c>
      <c r="E8" s="40">
        <v>1190206</v>
      </c>
      <c r="F8" s="37">
        <v>16411.750533999999</v>
      </c>
      <c r="G8" s="38">
        <v>5.9369155636198503</v>
      </c>
      <c r="H8" s="41"/>
    </row>
    <row r="9" spans="1:8" x14ac:dyDescent="0.2">
      <c r="B9" s="35" t="s">
        <v>299</v>
      </c>
      <c r="C9" s="35" t="s">
        <v>300</v>
      </c>
      <c r="D9" s="35" t="s">
        <v>287</v>
      </c>
      <c r="E9" s="40">
        <v>893774</v>
      </c>
      <c r="F9" s="37">
        <v>10740.482158000001</v>
      </c>
      <c r="G9" s="38">
        <v>3.88534638961942</v>
      </c>
      <c r="H9" s="41"/>
    </row>
    <row r="10" spans="1:8" x14ac:dyDescent="0.2">
      <c r="B10" s="35" t="s">
        <v>293</v>
      </c>
      <c r="C10" s="35" t="s">
        <v>294</v>
      </c>
      <c r="D10" s="35" t="s">
        <v>295</v>
      </c>
      <c r="E10" s="40">
        <v>568821</v>
      </c>
      <c r="F10" s="37">
        <v>10689.853053000001</v>
      </c>
      <c r="G10" s="38">
        <v>3.8670314194506998</v>
      </c>
      <c r="H10" s="41"/>
    </row>
    <row r="11" spans="1:8" x14ac:dyDescent="0.2">
      <c r="B11" s="35" t="s">
        <v>296</v>
      </c>
      <c r="C11" s="35" t="s">
        <v>297</v>
      </c>
      <c r="D11" s="35" t="s">
        <v>298</v>
      </c>
      <c r="E11" s="40">
        <v>239761</v>
      </c>
      <c r="F11" s="37">
        <v>10257.694863000001</v>
      </c>
      <c r="G11" s="38">
        <v>3.71069912090391</v>
      </c>
      <c r="H11" s="41"/>
    </row>
    <row r="12" spans="1:8" x14ac:dyDescent="0.2">
      <c r="B12" s="35" t="s">
        <v>290</v>
      </c>
      <c r="C12" s="35" t="s">
        <v>291</v>
      </c>
      <c r="D12" s="35" t="s">
        <v>292</v>
      </c>
      <c r="E12" s="40">
        <v>661028</v>
      </c>
      <c r="F12" s="37">
        <v>9214.0692920000001</v>
      </c>
      <c r="G12" s="38">
        <v>3.3331698084624599</v>
      </c>
      <c r="H12" s="41"/>
    </row>
    <row r="13" spans="1:8" x14ac:dyDescent="0.2">
      <c r="B13" s="35" t="s">
        <v>301</v>
      </c>
      <c r="C13" s="35" t="s">
        <v>302</v>
      </c>
      <c r="D13" s="35" t="s">
        <v>303</v>
      </c>
      <c r="E13" s="40">
        <v>650141</v>
      </c>
      <c r="F13" s="37">
        <v>8452.4831410000006</v>
      </c>
      <c r="G13" s="38">
        <v>3.0576676514230798</v>
      </c>
      <c r="H13" s="41"/>
    </row>
    <row r="14" spans="1:8" x14ac:dyDescent="0.2">
      <c r="B14" s="35" t="s">
        <v>311</v>
      </c>
      <c r="C14" s="35" t="s">
        <v>312</v>
      </c>
      <c r="D14" s="35" t="s">
        <v>313</v>
      </c>
      <c r="E14" s="40">
        <v>2197645</v>
      </c>
      <c r="F14" s="37">
        <v>6891.8147200000003</v>
      </c>
      <c r="G14" s="38">
        <v>2.4930991966997702</v>
      </c>
      <c r="H14" s="41"/>
    </row>
    <row r="15" spans="1:8" x14ac:dyDescent="0.2">
      <c r="B15" s="35" t="s">
        <v>329</v>
      </c>
      <c r="C15" s="35" t="s">
        <v>330</v>
      </c>
      <c r="D15" s="35" t="s">
        <v>331</v>
      </c>
      <c r="E15" s="40">
        <v>140314</v>
      </c>
      <c r="F15" s="37">
        <v>6072.08835</v>
      </c>
      <c r="G15" s="38">
        <v>2.1965649401084</v>
      </c>
      <c r="H15" s="41"/>
    </row>
    <row r="16" spans="1:8" x14ac:dyDescent="0.2">
      <c r="B16" s="35" t="s">
        <v>413</v>
      </c>
      <c r="C16" s="35" t="s">
        <v>414</v>
      </c>
      <c r="D16" s="35" t="s">
        <v>415</v>
      </c>
      <c r="E16" s="40">
        <v>818783</v>
      </c>
      <c r="F16" s="37">
        <v>5882.1370720000004</v>
      </c>
      <c r="G16" s="38">
        <v>2.12785047260834</v>
      </c>
      <c r="H16" s="41"/>
    </row>
    <row r="17" spans="2:8" x14ac:dyDescent="0.2">
      <c r="B17" s="35" t="s">
        <v>416</v>
      </c>
      <c r="C17" s="35" t="s">
        <v>417</v>
      </c>
      <c r="D17" s="35" t="s">
        <v>310</v>
      </c>
      <c r="E17" s="40">
        <v>138484</v>
      </c>
      <c r="F17" s="37">
        <v>5358.9153480000004</v>
      </c>
      <c r="G17" s="38">
        <v>1.9385761359064599</v>
      </c>
      <c r="H17" s="41"/>
    </row>
    <row r="18" spans="2:8" x14ac:dyDescent="0.2">
      <c r="B18" s="35" t="s">
        <v>428</v>
      </c>
      <c r="C18" s="35" t="s">
        <v>429</v>
      </c>
      <c r="D18" s="35" t="s">
        <v>292</v>
      </c>
      <c r="E18" s="40">
        <v>2838806</v>
      </c>
      <c r="F18" s="37">
        <v>5321.9096081999996</v>
      </c>
      <c r="G18" s="38">
        <v>1.9251893888859799</v>
      </c>
      <c r="H18" s="41"/>
    </row>
    <row r="19" spans="2:8" x14ac:dyDescent="0.2">
      <c r="B19" s="35" t="s">
        <v>357</v>
      </c>
      <c r="C19" s="35" t="s">
        <v>358</v>
      </c>
      <c r="D19" s="35" t="s">
        <v>359</v>
      </c>
      <c r="E19" s="40">
        <v>345368</v>
      </c>
      <c r="F19" s="37">
        <v>5253.0472799999998</v>
      </c>
      <c r="G19" s="38">
        <v>1.90027858932254</v>
      </c>
      <c r="H19" s="41"/>
    </row>
    <row r="20" spans="2:8" x14ac:dyDescent="0.2">
      <c r="B20" s="35" t="s">
        <v>562</v>
      </c>
      <c r="C20" s="35" t="s">
        <v>563</v>
      </c>
      <c r="D20" s="35" t="s">
        <v>382</v>
      </c>
      <c r="E20" s="40">
        <v>262057</v>
      </c>
      <c r="F20" s="37">
        <v>4752.1416380000001</v>
      </c>
      <c r="G20" s="38">
        <v>1.7190770474313199</v>
      </c>
      <c r="H20" s="41"/>
    </row>
    <row r="21" spans="2:8" x14ac:dyDescent="0.2">
      <c r="B21" s="35" t="s">
        <v>545</v>
      </c>
      <c r="C21" s="35" t="s">
        <v>546</v>
      </c>
      <c r="D21" s="35" t="s">
        <v>528</v>
      </c>
      <c r="E21" s="40">
        <v>173729</v>
      </c>
      <c r="F21" s="37">
        <v>4688.2507939999996</v>
      </c>
      <c r="G21" s="38">
        <v>1.69596467161677</v>
      </c>
      <c r="H21" s="41"/>
    </row>
    <row r="22" spans="2:8" x14ac:dyDescent="0.2">
      <c r="B22" s="35" t="s">
        <v>420</v>
      </c>
      <c r="C22" s="35" t="s">
        <v>421</v>
      </c>
      <c r="D22" s="35" t="s">
        <v>292</v>
      </c>
      <c r="E22" s="40">
        <v>1214936</v>
      </c>
      <c r="F22" s="37">
        <v>4682.3633440000003</v>
      </c>
      <c r="G22" s="38">
        <v>1.6938348992038501</v>
      </c>
      <c r="H22" s="41"/>
    </row>
    <row r="23" spans="2:8" x14ac:dyDescent="0.2">
      <c r="B23" s="35" t="s">
        <v>566</v>
      </c>
      <c r="C23" s="35" t="s">
        <v>567</v>
      </c>
      <c r="D23" s="35" t="s">
        <v>535</v>
      </c>
      <c r="E23" s="40">
        <v>53179</v>
      </c>
      <c r="F23" s="37">
        <v>4578.9777949999998</v>
      </c>
      <c r="G23" s="38">
        <v>1.6564353985448601</v>
      </c>
      <c r="H23" s="41"/>
    </row>
    <row r="24" spans="2:8" x14ac:dyDescent="0.2">
      <c r="B24" s="35" t="s">
        <v>346</v>
      </c>
      <c r="C24" s="35" t="s">
        <v>347</v>
      </c>
      <c r="D24" s="35" t="s">
        <v>303</v>
      </c>
      <c r="E24" s="40">
        <v>318808</v>
      </c>
      <c r="F24" s="37">
        <v>4428.5619280000001</v>
      </c>
      <c r="G24" s="38">
        <v>1.6020227811974601</v>
      </c>
      <c r="H24" s="41"/>
    </row>
    <row r="25" spans="2:8" x14ac:dyDescent="0.2">
      <c r="B25" s="35" t="s">
        <v>514</v>
      </c>
      <c r="C25" s="35" t="s">
        <v>515</v>
      </c>
      <c r="D25" s="35" t="s">
        <v>382</v>
      </c>
      <c r="E25" s="40">
        <v>506394</v>
      </c>
      <c r="F25" s="37">
        <v>4301.3106360000002</v>
      </c>
      <c r="G25" s="38">
        <v>1.55598989918402</v>
      </c>
      <c r="H25" s="41"/>
    </row>
    <row r="26" spans="2:8" x14ac:dyDescent="0.2">
      <c r="B26" s="35" t="s">
        <v>845</v>
      </c>
      <c r="C26" s="35" t="s">
        <v>846</v>
      </c>
      <c r="D26" s="35" t="s">
        <v>463</v>
      </c>
      <c r="E26" s="40">
        <v>68677</v>
      </c>
      <c r="F26" s="37">
        <v>4296.7765049999998</v>
      </c>
      <c r="G26" s="38">
        <v>1.5543496870174001</v>
      </c>
      <c r="H26" s="41"/>
    </row>
    <row r="27" spans="2:8" x14ac:dyDescent="0.2">
      <c r="B27" s="35" t="s">
        <v>426</v>
      </c>
      <c r="C27" s="35" t="s">
        <v>427</v>
      </c>
      <c r="D27" s="35" t="s">
        <v>379</v>
      </c>
      <c r="E27" s="40">
        <v>69161</v>
      </c>
      <c r="F27" s="37">
        <v>4151.3890250000004</v>
      </c>
      <c r="G27" s="38">
        <v>1.5017560778847701</v>
      </c>
      <c r="H27" s="41"/>
    </row>
    <row r="28" spans="2:8" x14ac:dyDescent="0.2">
      <c r="B28" s="35" t="s">
        <v>308</v>
      </c>
      <c r="C28" s="35" t="s">
        <v>309</v>
      </c>
      <c r="D28" s="35" t="s">
        <v>310</v>
      </c>
      <c r="E28" s="40">
        <v>121507</v>
      </c>
      <c r="F28" s="37">
        <v>4128.078818</v>
      </c>
      <c r="G28" s="38">
        <v>1.4933236604870801</v>
      </c>
      <c r="H28" s="41"/>
    </row>
    <row r="29" spans="2:8" x14ac:dyDescent="0.2">
      <c r="B29" s="35" t="s">
        <v>529</v>
      </c>
      <c r="C29" s="35" t="s">
        <v>530</v>
      </c>
      <c r="D29" s="35" t="s">
        <v>310</v>
      </c>
      <c r="E29" s="40">
        <v>71541</v>
      </c>
      <c r="F29" s="37">
        <v>4084.9911000000002</v>
      </c>
      <c r="G29" s="38">
        <v>1.47773677089446</v>
      </c>
      <c r="H29" s="41"/>
    </row>
    <row r="30" spans="2:8" x14ac:dyDescent="0.2">
      <c r="B30" s="35" t="s">
        <v>335</v>
      </c>
      <c r="C30" s="35" t="s">
        <v>336</v>
      </c>
      <c r="D30" s="35" t="s">
        <v>337</v>
      </c>
      <c r="E30" s="40">
        <v>1857070</v>
      </c>
      <c r="F30" s="37">
        <v>3943.1167310000001</v>
      </c>
      <c r="G30" s="38">
        <v>1.4264140221328401</v>
      </c>
      <c r="H30" s="41"/>
    </row>
    <row r="31" spans="2:8" x14ac:dyDescent="0.2">
      <c r="B31" s="35" t="s">
        <v>364</v>
      </c>
      <c r="C31" s="35" t="s">
        <v>365</v>
      </c>
      <c r="D31" s="35" t="s">
        <v>366</v>
      </c>
      <c r="E31" s="40">
        <v>76386</v>
      </c>
      <c r="F31" s="37">
        <v>3687.3049919999999</v>
      </c>
      <c r="G31" s="38">
        <v>1.33387467409197</v>
      </c>
      <c r="H31" s="41"/>
    </row>
    <row r="32" spans="2:8" x14ac:dyDescent="0.2">
      <c r="B32" s="35" t="s">
        <v>332</v>
      </c>
      <c r="C32" s="35" t="s">
        <v>333</v>
      </c>
      <c r="D32" s="35" t="s">
        <v>334</v>
      </c>
      <c r="E32" s="40">
        <v>1491741</v>
      </c>
      <c r="F32" s="37">
        <v>3674.1580829999998</v>
      </c>
      <c r="G32" s="38">
        <v>1.3291188079524101</v>
      </c>
      <c r="H32" s="41"/>
    </row>
    <row r="33" spans="2:8" x14ac:dyDescent="0.2">
      <c r="B33" s="35" t="s">
        <v>531</v>
      </c>
      <c r="C33" s="35" t="s">
        <v>532</v>
      </c>
      <c r="D33" s="35" t="s">
        <v>287</v>
      </c>
      <c r="E33" s="40">
        <v>1210275</v>
      </c>
      <c r="F33" s="37">
        <v>3629.0095875000002</v>
      </c>
      <c r="G33" s="38">
        <v>1.3127864365181301</v>
      </c>
      <c r="H33" s="41"/>
    </row>
    <row r="34" spans="2:8" x14ac:dyDescent="0.2">
      <c r="B34" s="35" t="s">
        <v>736</v>
      </c>
      <c r="C34" s="35" t="s">
        <v>737</v>
      </c>
      <c r="D34" s="35" t="s">
        <v>441</v>
      </c>
      <c r="E34" s="40">
        <v>772098</v>
      </c>
      <c r="F34" s="37">
        <v>3505.7109690000002</v>
      </c>
      <c r="G34" s="38">
        <v>1.26818342566752</v>
      </c>
      <c r="H34" s="41"/>
    </row>
    <row r="35" spans="2:8" x14ac:dyDescent="0.2">
      <c r="B35" s="35" t="s">
        <v>603</v>
      </c>
      <c r="C35" s="35" t="s">
        <v>604</v>
      </c>
      <c r="D35" s="35" t="s">
        <v>287</v>
      </c>
      <c r="E35" s="40">
        <v>329753</v>
      </c>
      <c r="F35" s="37">
        <v>3266.2034650000001</v>
      </c>
      <c r="G35" s="38">
        <v>1.1815420996763999</v>
      </c>
      <c r="H35" s="41"/>
    </row>
    <row r="36" spans="2:8" x14ac:dyDescent="0.2">
      <c r="B36" s="35" t="s">
        <v>1023</v>
      </c>
      <c r="C36" s="35" t="s">
        <v>1024</v>
      </c>
      <c r="D36" s="35" t="s">
        <v>1000</v>
      </c>
      <c r="E36" s="40">
        <v>315283</v>
      </c>
      <c r="F36" s="37">
        <v>3222.8228260000001</v>
      </c>
      <c r="G36" s="38">
        <v>1.16584924654014</v>
      </c>
      <c r="H36" s="41"/>
    </row>
    <row r="37" spans="2:8" x14ac:dyDescent="0.2">
      <c r="B37" s="35" t="s">
        <v>849</v>
      </c>
      <c r="C37" s="35" t="s">
        <v>850</v>
      </c>
      <c r="D37" s="35" t="s">
        <v>434</v>
      </c>
      <c r="E37" s="40">
        <v>120351</v>
      </c>
      <c r="F37" s="37">
        <v>3188.6997449999999</v>
      </c>
      <c r="G37" s="38">
        <v>1.15350529515922</v>
      </c>
      <c r="H37" s="41"/>
    </row>
    <row r="38" spans="2:8" x14ac:dyDescent="0.2">
      <c r="B38" s="35" t="s">
        <v>323</v>
      </c>
      <c r="C38" s="35" t="s">
        <v>324</v>
      </c>
      <c r="D38" s="35" t="s">
        <v>325</v>
      </c>
      <c r="E38" s="40">
        <v>164899</v>
      </c>
      <c r="F38" s="37">
        <v>2864.2956300000001</v>
      </c>
      <c r="G38" s="38">
        <v>1.03615280218439</v>
      </c>
      <c r="H38" s="41"/>
    </row>
    <row r="39" spans="2:8" x14ac:dyDescent="0.2">
      <c r="B39" s="35" t="s">
        <v>385</v>
      </c>
      <c r="C39" s="35" t="s">
        <v>386</v>
      </c>
      <c r="D39" s="35" t="s">
        <v>303</v>
      </c>
      <c r="E39" s="40">
        <v>207744</v>
      </c>
      <c r="F39" s="37">
        <v>2820.748032</v>
      </c>
      <c r="G39" s="38">
        <v>1.0203995519879001</v>
      </c>
      <c r="H39" s="41"/>
    </row>
    <row r="40" spans="2:8" x14ac:dyDescent="0.2">
      <c r="B40" s="35" t="s">
        <v>837</v>
      </c>
      <c r="C40" s="35" t="s">
        <v>838</v>
      </c>
      <c r="D40" s="35" t="s">
        <v>528</v>
      </c>
      <c r="E40" s="40">
        <v>111731</v>
      </c>
      <c r="F40" s="37">
        <v>2729.9235229999999</v>
      </c>
      <c r="G40" s="38">
        <v>0.98754398061402004</v>
      </c>
      <c r="H40" s="41"/>
    </row>
    <row r="41" spans="2:8" x14ac:dyDescent="0.2">
      <c r="B41" s="35" t="s">
        <v>506</v>
      </c>
      <c r="C41" s="35" t="s">
        <v>507</v>
      </c>
      <c r="D41" s="35" t="s">
        <v>352</v>
      </c>
      <c r="E41" s="40">
        <v>447368</v>
      </c>
      <c r="F41" s="37">
        <v>2701.2079840000001</v>
      </c>
      <c r="G41" s="38">
        <v>0.97715619595609104</v>
      </c>
      <c r="H41" s="41"/>
    </row>
    <row r="42" spans="2:8" x14ac:dyDescent="0.2">
      <c r="B42" s="35" t="s">
        <v>839</v>
      </c>
      <c r="C42" s="35" t="s">
        <v>840</v>
      </c>
      <c r="D42" s="35" t="s">
        <v>325</v>
      </c>
      <c r="E42" s="40">
        <v>250526</v>
      </c>
      <c r="F42" s="37">
        <v>2695.1587079999999</v>
      </c>
      <c r="G42" s="38">
        <v>0.97496788333467899</v>
      </c>
      <c r="H42" s="41"/>
    </row>
    <row r="43" spans="2:8" x14ac:dyDescent="0.2">
      <c r="B43" s="35" t="s">
        <v>314</v>
      </c>
      <c r="C43" s="35" t="s">
        <v>315</v>
      </c>
      <c r="D43" s="35" t="s">
        <v>303</v>
      </c>
      <c r="E43" s="40">
        <v>100651</v>
      </c>
      <c r="F43" s="37">
        <v>2654.5694739999999</v>
      </c>
      <c r="G43" s="38">
        <v>0.96028481497150897</v>
      </c>
      <c r="H43" s="41"/>
    </row>
    <row r="44" spans="2:8" x14ac:dyDescent="0.2">
      <c r="B44" s="35" t="s">
        <v>1343</v>
      </c>
      <c r="C44" s="35" t="s">
        <v>1344</v>
      </c>
      <c r="D44" s="35" t="s">
        <v>1345</v>
      </c>
      <c r="E44" s="40">
        <v>189419</v>
      </c>
      <c r="F44" s="37">
        <v>2394.8244169999998</v>
      </c>
      <c r="G44" s="38">
        <v>0.86632259757843399</v>
      </c>
      <c r="H44" s="41"/>
    </row>
    <row r="45" spans="2:8" x14ac:dyDescent="0.2">
      <c r="B45" s="35" t="s">
        <v>572</v>
      </c>
      <c r="C45" s="35" t="s">
        <v>573</v>
      </c>
      <c r="D45" s="35" t="s">
        <v>292</v>
      </c>
      <c r="E45" s="40">
        <v>542314</v>
      </c>
      <c r="F45" s="37">
        <v>2379.4026749999998</v>
      </c>
      <c r="G45" s="38">
        <v>0.86074381547909296</v>
      </c>
      <c r="H45" s="41"/>
    </row>
    <row r="46" spans="2:8" x14ac:dyDescent="0.2">
      <c r="B46" s="35" t="s">
        <v>841</v>
      </c>
      <c r="C46" s="35" t="s">
        <v>842</v>
      </c>
      <c r="D46" s="35" t="s">
        <v>287</v>
      </c>
      <c r="E46" s="40">
        <v>717522</v>
      </c>
      <c r="F46" s="37">
        <v>2340.5567639999999</v>
      </c>
      <c r="G46" s="38">
        <v>0.84669139047292996</v>
      </c>
      <c r="H46" s="41"/>
    </row>
    <row r="47" spans="2:8" x14ac:dyDescent="0.2">
      <c r="B47" s="35" t="s">
        <v>353</v>
      </c>
      <c r="C47" s="35" t="s">
        <v>354</v>
      </c>
      <c r="D47" s="35" t="s">
        <v>337</v>
      </c>
      <c r="E47" s="40">
        <v>178144</v>
      </c>
      <c r="F47" s="37">
        <v>2252.9871680000001</v>
      </c>
      <c r="G47" s="38">
        <v>0.81501327689721803</v>
      </c>
      <c r="H47" s="41"/>
    </row>
    <row r="48" spans="2:8" x14ac:dyDescent="0.2">
      <c r="B48" s="35" t="s">
        <v>422</v>
      </c>
      <c r="C48" s="35" t="s">
        <v>423</v>
      </c>
      <c r="D48" s="35" t="s">
        <v>340</v>
      </c>
      <c r="E48" s="40">
        <v>57077</v>
      </c>
      <c r="F48" s="37">
        <v>2233.5371639999998</v>
      </c>
      <c r="G48" s="38">
        <v>0.80797727965726196</v>
      </c>
      <c r="H48" s="41"/>
    </row>
    <row r="49" spans="2:8" x14ac:dyDescent="0.2">
      <c r="B49" s="35" t="s">
        <v>574</v>
      </c>
      <c r="C49" s="35" t="s">
        <v>575</v>
      </c>
      <c r="D49" s="35" t="s">
        <v>404</v>
      </c>
      <c r="E49" s="40">
        <v>263521</v>
      </c>
      <c r="F49" s="37">
        <v>2078.2583665000002</v>
      </c>
      <c r="G49" s="38">
        <v>0.75180550762915999</v>
      </c>
      <c r="H49" s="41"/>
    </row>
    <row r="50" spans="2:8" x14ac:dyDescent="0.2">
      <c r="B50" s="35" t="s">
        <v>978</v>
      </c>
      <c r="C50" s="35" t="s">
        <v>979</v>
      </c>
      <c r="D50" s="35" t="s">
        <v>325</v>
      </c>
      <c r="E50" s="40">
        <v>208492</v>
      </c>
      <c r="F50" s="37">
        <v>2060.9434200000001</v>
      </c>
      <c r="G50" s="38">
        <v>0.74554186286158197</v>
      </c>
      <c r="H50" s="41"/>
    </row>
    <row r="51" spans="2:8" x14ac:dyDescent="0.2">
      <c r="B51" s="35" t="s">
        <v>762</v>
      </c>
      <c r="C51" s="35" t="s">
        <v>763</v>
      </c>
      <c r="D51" s="35" t="s">
        <v>540</v>
      </c>
      <c r="E51" s="40">
        <v>58285</v>
      </c>
      <c r="F51" s="37">
        <v>2050.81601</v>
      </c>
      <c r="G51" s="38">
        <v>0.74187829401049499</v>
      </c>
      <c r="H51" s="41"/>
    </row>
    <row r="52" spans="2:8" x14ac:dyDescent="0.2">
      <c r="B52" s="35" t="s">
        <v>890</v>
      </c>
      <c r="C52" s="35" t="s">
        <v>891</v>
      </c>
      <c r="D52" s="35" t="s">
        <v>366</v>
      </c>
      <c r="E52" s="40">
        <v>144628</v>
      </c>
      <c r="F52" s="37">
        <v>1936.4242919999999</v>
      </c>
      <c r="G52" s="38">
        <v>0.70049733531651204</v>
      </c>
      <c r="H52" s="41"/>
    </row>
    <row r="53" spans="2:8" x14ac:dyDescent="0.2">
      <c r="B53" s="35" t="s">
        <v>660</v>
      </c>
      <c r="C53" s="35" t="s">
        <v>661</v>
      </c>
      <c r="D53" s="35" t="s">
        <v>334</v>
      </c>
      <c r="E53" s="40">
        <v>1620979</v>
      </c>
      <c r="F53" s="37">
        <v>1909.1890662000001</v>
      </c>
      <c r="G53" s="38">
        <v>0.69064505078441796</v>
      </c>
      <c r="H53" s="41"/>
    </row>
    <row r="54" spans="2:8" x14ac:dyDescent="0.2">
      <c r="B54" s="35" t="s">
        <v>578</v>
      </c>
      <c r="C54" s="35" t="s">
        <v>579</v>
      </c>
      <c r="D54" s="35" t="s">
        <v>334</v>
      </c>
      <c r="E54" s="40">
        <v>596019</v>
      </c>
      <c r="F54" s="37">
        <v>1798.4873325000001</v>
      </c>
      <c r="G54" s="38">
        <v>0.65059893599844998</v>
      </c>
      <c r="H54" s="41"/>
    </row>
    <row r="55" spans="2:8" x14ac:dyDescent="0.2">
      <c r="B55" s="35" t="s">
        <v>758</v>
      </c>
      <c r="C55" s="35" t="s">
        <v>759</v>
      </c>
      <c r="D55" s="35" t="s">
        <v>468</v>
      </c>
      <c r="E55" s="40">
        <v>998430</v>
      </c>
      <c r="F55" s="37">
        <v>1705.917498</v>
      </c>
      <c r="G55" s="38">
        <v>0.61711199686747797</v>
      </c>
      <c r="H55" s="41"/>
    </row>
    <row r="56" spans="2:8" x14ac:dyDescent="0.2">
      <c r="B56" s="35" t="s">
        <v>974</v>
      </c>
      <c r="C56" s="35" t="s">
        <v>975</v>
      </c>
      <c r="D56" s="35" t="s">
        <v>379</v>
      </c>
      <c r="E56" s="40">
        <v>193369</v>
      </c>
      <c r="F56" s="37">
        <v>1673.0285879999999</v>
      </c>
      <c r="G56" s="38">
        <v>0.60521450419934497</v>
      </c>
      <c r="H56" s="41"/>
    </row>
    <row r="57" spans="2:8" x14ac:dyDescent="0.2">
      <c r="B57" s="35" t="s">
        <v>1080</v>
      </c>
      <c r="C57" s="35" t="s">
        <v>1081</v>
      </c>
      <c r="D57" s="35" t="s">
        <v>441</v>
      </c>
      <c r="E57" s="40">
        <v>309363</v>
      </c>
      <c r="F57" s="37">
        <v>1550.217993</v>
      </c>
      <c r="G57" s="38">
        <v>0.56078803480338302</v>
      </c>
      <c r="H57" s="41"/>
    </row>
    <row r="58" spans="2:8" x14ac:dyDescent="0.2">
      <c r="B58" s="35" t="s">
        <v>948</v>
      </c>
      <c r="C58" s="35" t="s">
        <v>949</v>
      </c>
      <c r="D58" s="35" t="s">
        <v>328</v>
      </c>
      <c r="E58" s="40">
        <v>860228</v>
      </c>
      <c r="F58" s="37">
        <v>1360.4505819999999</v>
      </c>
      <c r="G58" s="38">
        <v>0.49214008079630001</v>
      </c>
      <c r="H58" s="41"/>
    </row>
    <row r="59" spans="2:8" x14ac:dyDescent="0.2">
      <c r="B59" s="35" t="s">
        <v>304</v>
      </c>
      <c r="C59" s="35" t="s">
        <v>305</v>
      </c>
      <c r="D59" s="35" t="s">
        <v>287</v>
      </c>
      <c r="E59" s="40">
        <v>96379</v>
      </c>
      <c r="F59" s="37">
        <v>1333.7889809999999</v>
      </c>
      <c r="G59" s="38">
        <v>0.48249530380556999</v>
      </c>
      <c r="H59" s="41"/>
    </row>
    <row r="60" spans="2:8" x14ac:dyDescent="0.2">
      <c r="B60" s="35" t="s">
        <v>1148</v>
      </c>
      <c r="C60" s="35" t="s">
        <v>1149</v>
      </c>
      <c r="D60" s="35" t="s">
        <v>535</v>
      </c>
      <c r="E60" s="40">
        <v>84882</v>
      </c>
      <c r="F60" s="37">
        <v>1326.3661320000001</v>
      </c>
      <c r="G60" s="38">
        <v>0.47981010409678798</v>
      </c>
      <c r="H60" s="41"/>
    </row>
    <row r="61" spans="2:8" x14ac:dyDescent="0.2">
      <c r="B61" s="35" t="s">
        <v>1346</v>
      </c>
      <c r="C61" s="35" t="s">
        <v>1347</v>
      </c>
      <c r="D61" s="35" t="s">
        <v>328</v>
      </c>
      <c r="E61" s="40">
        <v>768087</v>
      </c>
      <c r="F61" s="37">
        <v>1279.0184724000001</v>
      </c>
      <c r="G61" s="38">
        <v>0.46268218976504999</v>
      </c>
      <c r="H61" s="41"/>
    </row>
    <row r="62" spans="2:8" x14ac:dyDescent="0.2">
      <c r="B62" s="35" t="s">
        <v>714</v>
      </c>
      <c r="C62" s="35" t="s">
        <v>715</v>
      </c>
      <c r="D62" s="35" t="s">
        <v>528</v>
      </c>
      <c r="E62" s="40">
        <v>137235</v>
      </c>
      <c r="F62" s="37">
        <v>1277.9323199999999</v>
      </c>
      <c r="G62" s="38">
        <v>0.462289276463409</v>
      </c>
      <c r="H62" s="41"/>
    </row>
    <row r="63" spans="2:8" x14ac:dyDescent="0.2">
      <c r="B63" s="35" t="s">
        <v>1348</v>
      </c>
      <c r="C63" s="35" t="s">
        <v>1349</v>
      </c>
      <c r="D63" s="35" t="s">
        <v>441</v>
      </c>
      <c r="E63" s="40">
        <v>846396</v>
      </c>
      <c r="F63" s="37">
        <v>1247.8416228000001</v>
      </c>
      <c r="G63" s="38">
        <v>0.45140403127541001</v>
      </c>
      <c r="H63" s="41"/>
    </row>
    <row r="64" spans="2:8" x14ac:dyDescent="0.2">
      <c r="B64" s="35" t="s">
        <v>1007</v>
      </c>
      <c r="C64" s="35" t="s">
        <v>1008</v>
      </c>
      <c r="D64" s="35" t="s">
        <v>325</v>
      </c>
      <c r="E64" s="40">
        <v>23799</v>
      </c>
      <c r="F64" s="37">
        <v>1204.752978</v>
      </c>
      <c r="G64" s="38">
        <v>0.43581680641487902</v>
      </c>
      <c r="H64" s="41"/>
    </row>
    <row r="65" spans="2:8" x14ac:dyDescent="0.2">
      <c r="B65" s="35" t="s">
        <v>1094</v>
      </c>
      <c r="C65" s="35" t="s">
        <v>1095</v>
      </c>
      <c r="D65" s="35" t="s">
        <v>785</v>
      </c>
      <c r="E65" s="40">
        <v>2805074</v>
      </c>
      <c r="F65" s="37">
        <v>1109.4067669999999</v>
      </c>
      <c r="G65" s="38">
        <v>0.40132551903847202</v>
      </c>
      <c r="H65" s="41"/>
    </row>
    <row r="66" spans="2:8" x14ac:dyDescent="0.2">
      <c r="B66" s="35" t="s">
        <v>934</v>
      </c>
      <c r="C66" s="35" t="s">
        <v>935</v>
      </c>
      <c r="D66" s="35" t="s">
        <v>391</v>
      </c>
      <c r="E66" s="40">
        <v>74638</v>
      </c>
      <c r="F66" s="37">
        <v>1044.857362</v>
      </c>
      <c r="G66" s="38">
        <v>0.37797491019434099</v>
      </c>
      <c r="H66" s="41"/>
    </row>
    <row r="67" spans="2:8" x14ac:dyDescent="0.2">
      <c r="B67" s="35" t="s">
        <v>488</v>
      </c>
      <c r="C67" s="35" t="s">
        <v>489</v>
      </c>
      <c r="D67" s="35" t="s">
        <v>345</v>
      </c>
      <c r="E67" s="40">
        <v>3884</v>
      </c>
      <c r="F67" s="37">
        <v>1012.753</v>
      </c>
      <c r="G67" s="38">
        <v>0.36636122608288602</v>
      </c>
      <c r="H67" s="41"/>
    </row>
    <row r="68" spans="2:8" x14ac:dyDescent="0.2">
      <c r="B68" s="35" t="s">
        <v>590</v>
      </c>
      <c r="C68" s="35" t="s">
        <v>591</v>
      </c>
      <c r="D68" s="35" t="s">
        <v>287</v>
      </c>
      <c r="E68" s="40">
        <v>4877842</v>
      </c>
      <c r="F68" s="37">
        <v>1010.6888623999999</v>
      </c>
      <c r="G68" s="38">
        <v>0.36561452873225803</v>
      </c>
      <c r="H68" s="41"/>
    </row>
    <row r="69" spans="2:8" x14ac:dyDescent="0.2">
      <c r="B69" s="35" t="s">
        <v>644</v>
      </c>
      <c r="C69" s="35" t="s">
        <v>645</v>
      </c>
      <c r="D69" s="35" t="s">
        <v>303</v>
      </c>
      <c r="E69" s="40">
        <v>42172</v>
      </c>
      <c r="F69" s="37">
        <v>968.47997999999995</v>
      </c>
      <c r="G69" s="38">
        <v>0.35034555603343398</v>
      </c>
      <c r="H69" s="41"/>
    </row>
    <row r="70" spans="2:8" x14ac:dyDescent="0.2">
      <c r="B70" s="35" t="s">
        <v>851</v>
      </c>
      <c r="C70" s="35" t="s">
        <v>852</v>
      </c>
      <c r="D70" s="35" t="s">
        <v>287</v>
      </c>
      <c r="E70" s="40">
        <v>322697</v>
      </c>
      <c r="F70" s="37">
        <v>913.39385849999996</v>
      </c>
      <c r="G70" s="38">
        <v>0.330418269703114</v>
      </c>
      <c r="H70" s="41"/>
    </row>
    <row r="71" spans="2:8" x14ac:dyDescent="0.2">
      <c r="B71" s="35" t="s">
        <v>543</v>
      </c>
      <c r="C71" s="35" t="s">
        <v>544</v>
      </c>
      <c r="D71" s="35" t="s">
        <v>325</v>
      </c>
      <c r="E71" s="40">
        <v>38249</v>
      </c>
      <c r="F71" s="37">
        <v>880.45373099999995</v>
      </c>
      <c r="G71" s="38">
        <v>0.31850224921418302</v>
      </c>
      <c r="H71" s="41"/>
    </row>
    <row r="72" spans="2:8" x14ac:dyDescent="0.2">
      <c r="B72" s="35" t="s">
        <v>1277</v>
      </c>
      <c r="C72" s="35" t="s">
        <v>1278</v>
      </c>
      <c r="D72" s="35" t="s">
        <v>345</v>
      </c>
      <c r="E72" s="40">
        <v>253294</v>
      </c>
      <c r="F72" s="37">
        <v>831.18426099999999</v>
      </c>
      <c r="G72" s="38">
        <v>0.30067912409122199</v>
      </c>
      <c r="H72" s="41"/>
    </row>
    <row r="73" spans="2:8" x14ac:dyDescent="0.2">
      <c r="B73" s="35" t="s">
        <v>1350</v>
      </c>
      <c r="C73" s="35" t="s">
        <v>1351</v>
      </c>
      <c r="D73" s="35" t="s">
        <v>334</v>
      </c>
      <c r="E73" s="40">
        <v>149587</v>
      </c>
      <c r="F73" s="37">
        <v>828.41280600000005</v>
      </c>
      <c r="G73" s="38">
        <v>0.29967655618785999</v>
      </c>
      <c r="H73" s="41"/>
    </row>
    <row r="74" spans="2:8" x14ac:dyDescent="0.2">
      <c r="B74" s="35" t="s">
        <v>1037</v>
      </c>
      <c r="C74" s="35" t="s">
        <v>1038</v>
      </c>
      <c r="D74" s="35" t="s">
        <v>325</v>
      </c>
      <c r="E74" s="40">
        <v>88244</v>
      </c>
      <c r="F74" s="37">
        <v>764.45777199999998</v>
      </c>
      <c r="G74" s="38">
        <v>0.276540959778456</v>
      </c>
      <c r="H74" s="41"/>
    </row>
    <row r="75" spans="2:8" x14ac:dyDescent="0.2">
      <c r="B75" s="35" t="s">
        <v>1003</v>
      </c>
      <c r="C75" s="35" t="s">
        <v>1004</v>
      </c>
      <c r="D75" s="35" t="s">
        <v>785</v>
      </c>
      <c r="E75" s="40">
        <v>79624</v>
      </c>
      <c r="F75" s="37">
        <v>728.32072800000003</v>
      </c>
      <c r="G75" s="38">
        <v>0.26346846160086401</v>
      </c>
      <c r="H75" s="41"/>
    </row>
    <row r="76" spans="2:8" x14ac:dyDescent="0.2">
      <c r="B76" s="35" t="s">
        <v>1352</v>
      </c>
      <c r="C76" s="35" t="s">
        <v>1353</v>
      </c>
      <c r="D76" s="35" t="s">
        <v>600</v>
      </c>
      <c r="E76" s="40">
        <v>57755</v>
      </c>
      <c r="F76" s="37">
        <v>688.09307000000001</v>
      </c>
      <c r="G76" s="38">
        <v>0.24891619258035899</v>
      </c>
      <c r="H76" s="41"/>
    </row>
    <row r="77" spans="2:8" x14ac:dyDescent="0.2">
      <c r="B77" s="35" t="s">
        <v>613</v>
      </c>
      <c r="C77" s="35" t="s">
        <v>614</v>
      </c>
      <c r="D77" s="35" t="s">
        <v>352</v>
      </c>
      <c r="E77" s="40">
        <v>183647</v>
      </c>
      <c r="F77" s="37">
        <v>651.21226200000001</v>
      </c>
      <c r="G77" s="38">
        <v>0.235574639370636</v>
      </c>
      <c r="H77" s="41"/>
    </row>
    <row r="78" spans="2:8" x14ac:dyDescent="0.2">
      <c r="B78" s="35" t="s">
        <v>1064</v>
      </c>
      <c r="C78" s="35" t="s">
        <v>1065</v>
      </c>
      <c r="D78" s="35" t="s">
        <v>528</v>
      </c>
      <c r="E78" s="40">
        <v>72759</v>
      </c>
      <c r="F78" s="37">
        <v>650.17442400000004</v>
      </c>
      <c r="G78" s="38">
        <v>0.23519920369959299</v>
      </c>
      <c r="H78" s="41"/>
    </row>
    <row r="79" spans="2:8" x14ac:dyDescent="0.2">
      <c r="B79" s="35" t="s">
        <v>1354</v>
      </c>
      <c r="C79" s="35" t="s">
        <v>1355</v>
      </c>
      <c r="D79" s="35" t="s">
        <v>520</v>
      </c>
      <c r="E79" s="40">
        <v>67231</v>
      </c>
      <c r="F79" s="37">
        <v>627.33246099999997</v>
      </c>
      <c r="G79" s="38">
        <v>0.226936172564835</v>
      </c>
      <c r="H79" s="41"/>
    </row>
    <row r="80" spans="2:8" x14ac:dyDescent="0.2">
      <c r="B80" s="35" t="s">
        <v>405</v>
      </c>
      <c r="C80" s="35" t="s">
        <v>406</v>
      </c>
      <c r="D80" s="35" t="s">
        <v>303</v>
      </c>
      <c r="E80" s="40">
        <v>299879</v>
      </c>
      <c r="F80" s="37">
        <v>602.63683839999999</v>
      </c>
      <c r="G80" s="38">
        <v>0.218002584044617</v>
      </c>
      <c r="H80" s="41"/>
    </row>
    <row r="81" spans="2:8" x14ac:dyDescent="0.2">
      <c r="B81" s="35" t="s">
        <v>1356</v>
      </c>
      <c r="C81" s="35" t="s">
        <v>1357</v>
      </c>
      <c r="D81" s="35" t="s">
        <v>298</v>
      </c>
      <c r="E81" s="40">
        <v>77642</v>
      </c>
      <c r="F81" s="37">
        <v>599.93973400000004</v>
      </c>
      <c r="G81" s="38">
        <v>0.217026912311373</v>
      </c>
      <c r="H81" s="41"/>
    </row>
    <row r="82" spans="2:8" x14ac:dyDescent="0.2">
      <c r="B82" s="35" t="s">
        <v>1358</v>
      </c>
      <c r="C82" s="35" t="s">
        <v>1359</v>
      </c>
      <c r="D82" s="35" t="s">
        <v>441</v>
      </c>
      <c r="E82" s="40">
        <v>26416</v>
      </c>
      <c r="F82" s="37">
        <v>574.94424000000004</v>
      </c>
      <c r="G82" s="38">
        <v>0.20798484595522601</v>
      </c>
      <c r="H82" s="41"/>
    </row>
    <row r="83" spans="2:8" x14ac:dyDescent="0.2">
      <c r="B83" s="35" t="s">
        <v>526</v>
      </c>
      <c r="C83" s="35" t="s">
        <v>527</v>
      </c>
      <c r="D83" s="35" t="s">
        <v>528</v>
      </c>
      <c r="E83" s="40">
        <v>20965</v>
      </c>
      <c r="F83" s="37">
        <v>567.54351499999996</v>
      </c>
      <c r="G83" s="38">
        <v>0.205307649556003</v>
      </c>
      <c r="H83" s="41"/>
    </row>
    <row r="84" spans="2:8" x14ac:dyDescent="0.2">
      <c r="B84" s="35" t="s">
        <v>942</v>
      </c>
      <c r="C84" s="35" t="s">
        <v>943</v>
      </c>
      <c r="D84" s="35" t="s">
        <v>310</v>
      </c>
      <c r="E84" s="40">
        <v>79569</v>
      </c>
      <c r="F84" s="37">
        <v>565.65602100000001</v>
      </c>
      <c r="G84" s="38">
        <v>0.20462485264889499</v>
      </c>
      <c r="H84" s="41"/>
    </row>
    <row r="85" spans="2:8" x14ac:dyDescent="0.2">
      <c r="B85" s="35" t="s">
        <v>367</v>
      </c>
      <c r="C85" s="35" t="s">
        <v>368</v>
      </c>
      <c r="D85" s="35" t="s">
        <v>369</v>
      </c>
      <c r="E85" s="40">
        <v>199129</v>
      </c>
      <c r="F85" s="37">
        <v>556.96381299999996</v>
      </c>
      <c r="G85" s="38">
        <v>0.20148046504377601</v>
      </c>
      <c r="H85" s="41"/>
    </row>
    <row r="86" spans="2:8" x14ac:dyDescent="0.2">
      <c r="B86" s="35" t="s">
        <v>1360</v>
      </c>
      <c r="C86" s="35" t="s">
        <v>1361</v>
      </c>
      <c r="D86" s="35" t="s">
        <v>709</v>
      </c>
      <c r="E86" s="40">
        <v>149606</v>
      </c>
      <c r="F86" s="37">
        <v>508.13677899999999</v>
      </c>
      <c r="G86" s="38">
        <v>0.18381739019509</v>
      </c>
      <c r="H86" s="41"/>
    </row>
    <row r="87" spans="2:8" x14ac:dyDescent="0.2">
      <c r="B87" s="35" t="s">
        <v>835</v>
      </c>
      <c r="C87" s="35" t="s">
        <v>836</v>
      </c>
      <c r="D87" s="35" t="s">
        <v>287</v>
      </c>
      <c r="E87" s="40">
        <v>1592123</v>
      </c>
      <c r="F87" s="37">
        <v>471.58683259999998</v>
      </c>
      <c r="G87" s="38">
        <v>0.170595525459693</v>
      </c>
      <c r="H87" s="41"/>
    </row>
    <row r="88" spans="2:8" x14ac:dyDescent="0.2">
      <c r="B88" s="35" t="s">
        <v>605</v>
      </c>
      <c r="C88" s="35" t="s">
        <v>606</v>
      </c>
      <c r="D88" s="35" t="s">
        <v>325</v>
      </c>
      <c r="E88" s="40">
        <v>37992</v>
      </c>
      <c r="F88" s="37">
        <v>463.65436799999998</v>
      </c>
      <c r="G88" s="38">
        <v>0.16772597340039</v>
      </c>
      <c r="H88" s="41"/>
    </row>
    <row r="89" spans="2:8" x14ac:dyDescent="0.2">
      <c r="B89" s="35" t="s">
        <v>338</v>
      </c>
      <c r="C89" s="35" t="s">
        <v>339</v>
      </c>
      <c r="D89" s="35" t="s">
        <v>340</v>
      </c>
      <c r="E89" s="40">
        <v>97887</v>
      </c>
      <c r="F89" s="37">
        <v>435.30348900000001</v>
      </c>
      <c r="G89" s="38">
        <v>0.15747010371551401</v>
      </c>
      <c r="H89" s="41"/>
    </row>
    <row r="90" spans="2:8" x14ac:dyDescent="0.2">
      <c r="B90" s="35" t="s">
        <v>914</v>
      </c>
      <c r="C90" s="35" t="s">
        <v>915</v>
      </c>
      <c r="D90" s="35" t="s">
        <v>535</v>
      </c>
      <c r="E90" s="40">
        <v>79144</v>
      </c>
      <c r="F90" s="37">
        <v>423.22253999999998</v>
      </c>
      <c r="G90" s="38">
        <v>0.153099846320192</v>
      </c>
      <c r="H90" s="41"/>
    </row>
    <row r="91" spans="2:8" x14ac:dyDescent="0.2">
      <c r="B91" s="35" t="s">
        <v>580</v>
      </c>
      <c r="C91" s="35" t="s">
        <v>581</v>
      </c>
      <c r="D91" s="35" t="s">
        <v>303</v>
      </c>
      <c r="E91" s="40">
        <v>35160</v>
      </c>
      <c r="F91" s="37">
        <v>416.92728</v>
      </c>
      <c r="G91" s="38">
        <v>0.15082254951424701</v>
      </c>
      <c r="H91" s="41"/>
    </row>
    <row r="92" spans="2:8" x14ac:dyDescent="0.2">
      <c r="B92" s="35" t="s">
        <v>486</v>
      </c>
      <c r="C92" s="35" t="s">
        <v>487</v>
      </c>
      <c r="D92" s="35" t="s">
        <v>328</v>
      </c>
      <c r="E92" s="40">
        <v>39968</v>
      </c>
      <c r="F92" s="37">
        <v>404.29630400000002</v>
      </c>
      <c r="G92" s="38">
        <v>0.146253321031109</v>
      </c>
      <c r="H92" s="41"/>
    </row>
    <row r="93" spans="2:8" x14ac:dyDescent="0.2">
      <c r="B93" s="35" t="s">
        <v>1210</v>
      </c>
      <c r="C93" s="35" t="s">
        <v>1211</v>
      </c>
      <c r="D93" s="35" t="s">
        <v>456</v>
      </c>
      <c r="E93" s="40">
        <v>127551</v>
      </c>
      <c r="F93" s="37">
        <v>386.47953000000001</v>
      </c>
      <c r="G93" s="38">
        <v>0.139808141241485</v>
      </c>
      <c r="H93" s="41"/>
    </row>
    <row r="94" spans="2:8" x14ac:dyDescent="0.2">
      <c r="B94" s="35" t="s">
        <v>1156</v>
      </c>
      <c r="C94" s="35" t="s">
        <v>1157</v>
      </c>
      <c r="D94" s="35" t="s">
        <v>318</v>
      </c>
      <c r="E94" s="40">
        <v>276286</v>
      </c>
      <c r="F94" s="37">
        <v>352.92773640000001</v>
      </c>
      <c r="G94" s="38">
        <v>0.127670851852487</v>
      </c>
      <c r="H94" s="41"/>
    </row>
    <row r="95" spans="2:8" x14ac:dyDescent="0.2">
      <c r="B95" s="35" t="s">
        <v>1362</v>
      </c>
      <c r="C95" s="35" t="s">
        <v>1363</v>
      </c>
      <c r="D95" s="35" t="s">
        <v>295</v>
      </c>
      <c r="E95" s="40">
        <v>69218</v>
      </c>
      <c r="F95" s="37">
        <v>351.59283099999999</v>
      </c>
      <c r="G95" s="38">
        <v>0.12718795268650199</v>
      </c>
      <c r="H95" s="41"/>
    </row>
    <row r="96" spans="2:8" x14ac:dyDescent="0.2">
      <c r="B96" s="35" t="s">
        <v>1335</v>
      </c>
      <c r="C96" s="35" t="s">
        <v>1336</v>
      </c>
      <c r="D96" s="35" t="s">
        <v>600</v>
      </c>
      <c r="E96" s="40">
        <v>269184</v>
      </c>
      <c r="F96" s="37">
        <v>341.2714752</v>
      </c>
      <c r="G96" s="38">
        <v>0.123454224358148</v>
      </c>
      <c r="H96" s="41"/>
    </row>
    <row r="97" spans="2:8" x14ac:dyDescent="0.2">
      <c r="B97" s="35" t="s">
        <v>1189</v>
      </c>
      <c r="C97" s="35" t="s">
        <v>1190</v>
      </c>
      <c r="D97" s="35" t="s">
        <v>292</v>
      </c>
      <c r="E97" s="40">
        <v>35363</v>
      </c>
      <c r="F97" s="37">
        <v>340.17437849999999</v>
      </c>
      <c r="G97" s="38">
        <v>0.12305735197945</v>
      </c>
      <c r="H97" s="41"/>
    </row>
    <row r="98" spans="2:8" x14ac:dyDescent="0.2">
      <c r="B98" s="35" t="s">
        <v>1027</v>
      </c>
      <c r="C98" s="35" t="s">
        <v>1028</v>
      </c>
      <c r="D98" s="35" t="s">
        <v>404</v>
      </c>
      <c r="E98" s="40">
        <v>33156</v>
      </c>
      <c r="F98" s="37">
        <v>336.51682199999999</v>
      </c>
      <c r="G98" s="38">
        <v>0.121734238758548</v>
      </c>
      <c r="H98" s="41"/>
    </row>
    <row r="99" spans="2:8" x14ac:dyDescent="0.2">
      <c r="B99" s="35" t="s">
        <v>1060</v>
      </c>
      <c r="C99" s="35" t="s">
        <v>1061</v>
      </c>
      <c r="D99" s="35" t="s">
        <v>334</v>
      </c>
      <c r="E99" s="40">
        <v>14703</v>
      </c>
      <c r="F99" s="37">
        <v>313.46796000000001</v>
      </c>
      <c r="G99" s="38">
        <v>0.113396362354198</v>
      </c>
      <c r="H99" s="41"/>
    </row>
    <row r="100" spans="2:8" x14ac:dyDescent="0.2">
      <c r="B100" s="35" t="s">
        <v>510</v>
      </c>
      <c r="C100" s="35" t="s">
        <v>511</v>
      </c>
      <c r="D100" s="35" t="s">
        <v>453</v>
      </c>
      <c r="E100" s="40">
        <v>10681</v>
      </c>
      <c r="F100" s="37">
        <v>313.04942899999998</v>
      </c>
      <c r="G100" s="38">
        <v>0.11324495966241201</v>
      </c>
      <c r="H100" s="41"/>
    </row>
    <row r="101" spans="2:8" x14ac:dyDescent="0.2">
      <c r="B101" s="35" t="s">
        <v>886</v>
      </c>
      <c r="C101" s="35" t="s">
        <v>887</v>
      </c>
      <c r="D101" s="35" t="s">
        <v>298</v>
      </c>
      <c r="E101" s="40">
        <v>24338</v>
      </c>
      <c r="F101" s="37">
        <v>301.815538</v>
      </c>
      <c r="G101" s="38">
        <v>0.109181123682226</v>
      </c>
      <c r="H101" s="41"/>
    </row>
    <row r="102" spans="2:8" x14ac:dyDescent="0.2">
      <c r="B102" s="35" t="s">
        <v>674</v>
      </c>
      <c r="C102" s="35" t="s">
        <v>675</v>
      </c>
      <c r="D102" s="35" t="s">
        <v>345</v>
      </c>
      <c r="E102" s="40">
        <v>4910</v>
      </c>
      <c r="F102" s="37">
        <v>277.70960000000002</v>
      </c>
      <c r="G102" s="38">
        <v>0.100460852301586</v>
      </c>
      <c r="H102" s="41"/>
    </row>
    <row r="103" spans="2:8" x14ac:dyDescent="0.2">
      <c r="B103" s="35" t="s">
        <v>306</v>
      </c>
      <c r="C103" s="35" t="s">
        <v>307</v>
      </c>
      <c r="D103" s="35" t="s">
        <v>287</v>
      </c>
      <c r="E103" s="40">
        <v>65971</v>
      </c>
      <c r="F103" s="37">
        <v>273.91159199999998</v>
      </c>
      <c r="G103" s="38">
        <v>9.9086931051732399E-2</v>
      </c>
      <c r="H103" s="41"/>
    </row>
    <row r="104" spans="2:8" x14ac:dyDescent="0.2">
      <c r="B104" s="35" t="s">
        <v>1339</v>
      </c>
      <c r="C104" s="35" t="s">
        <v>1340</v>
      </c>
      <c r="D104" s="35" t="s">
        <v>325</v>
      </c>
      <c r="E104" s="40">
        <v>52001</v>
      </c>
      <c r="F104" s="37">
        <v>253.8428815</v>
      </c>
      <c r="G104" s="38">
        <v>9.1827118062106597E-2</v>
      </c>
      <c r="H104" s="41"/>
    </row>
    <row r="105" spans="2:8" x14ac:dyDescent="0.2">
      <c r="B105" s="35" t="s">
        <v>1212</v>
      </c>
      <c r="C105" s="35" t="s">
        <v>1213</v>
      </c>
      <c r="D105" s="35" t="s">
        <v>528</v>
      </c>
      <c r="E105" s="40">
        <v>25410</v>
      </c>
      <c r="F105" s="37">
        <v>250.87293</v>
      </c>
      <c r="G105" s="38">
        <v>9.0752744475509697E-2</v>
      </c>
      <c r="H105" s="41"/>
    </row>
    <row r="106" spans="2:8" x14ac:dyDescent="0.2">
      <c r="B106" s="35" t="s">
        <v>972</v>
      </c>
      <c r="C106" s="35" t="s">
        <v>973</v>
      </c>
      <c r="D106" s="35" t="s">
        <v>292</v>
      </c>
      <c r="E106" s="40">
        <v>132466</v>
      </c>
      <c r="F106" s="37">
        <v>247.59220060000001</v>
      </c>
      <c r="G106" s="38">
        <v>8.9565947649995398E-2</v>
      </c>
      <c r="H106" s="41"/>
    </row>
    <row r="107" spans="2:8" x14ac:dyDescent="0.2">
      <c r="B107" s="35" t="s">
        <v>1001</v>
      </c>
      <c r="C107" s="35" t="s">
        <v>1002</v>
      </c>
      <c r="D107" s="35" t="s">
        <v>331</v>
      </c>
      <c r="E107" s="40">
        <v>25150</v>
      </c>
      <c r="F107" s="37">
        <v>240.71064999999999</v>
      </c>
      <c r="G107" s="38">
        <v>8.7076561476695999E-2</v>
      </c>
      <c r="H107" s="41"/>
    </row>
    <row r="108" spans="2:8" x14ac:dyDescent="0.2">
      <c r="B108" s="35" t="s">
        <v>1364</v>
      </c>
      <c r="C108" s="35" t="s">
        <v>1365</v>
      </c>
      <c r="D108" s="35" t="s">
        <v>391</v>
      </c>
      <c r="E108" s="40">
        <v>59158</v>
      </c>
      <c r="F108" s="37">
        <v>232.87546699999999</v>
      </c>
      <c r="G108" s="38">
        <v>8.4242200827590305E-2</v>
      </c>
      <c r="H108" s="41"/>
    </row>
    <row r="109" spans="2:8" x14ac:dyDescent="0.2">
      <c r="B109" s="35" t="s">
        <v>768</v>
      </c>
      <c r="C109" s="35" t="s">
        <v>769</v>
      </c>
      <c r="D109" s="35" t="s">
        <v>528</v>
      </c>
      <c r="E109" s="40">
        <v>31482</v>
      </c>
      <c r="F109" s="37">
        <v>228.29172299999999</v>
      </c>
      <c r="G109" s="38">
        <v>8.2584041264607E-2</v>
      </c>
      <c r="H109" s="41"/>
    </row>
    <row r="110" spans="2:8" x14ac:dyDescent="0.2">
      <c r="B110" s="35" t="s">
        <v>1366</v>
      </c>
      <c r="C110" s="35" t="s">
        <v>1367</v>
      </c>
      <c r="D110" s="35" t="s">
        <v>325</v>
      </c>
      <c r="E110" s="40">
        <v>67881</v>
      </c>
      <c r="F110" s="37">
        <v>203.846643</v>
      </c>
      <c r="G110" s="38">
        <v>7.3741085992695396E-2</v>
      </c>
      <c r="H110" s="41"/>
    </row>
    <row r="111" spans="2:8" x14ac:dyDescent="0.2">
      <c r="B111" s="35" t="s">
        <v>1503</v>
      </c>
      <c r="C111" s="35" t="s">
        <v>1368</v>
      </c>
      <c r="D111" s="35" t="s">
        <v>366</v>
      </c>
      <c r="E111" s="40">
        <v>884320</v>
      </c>
      <c r="F111" s="37">
        <v>203.74732800000001</v>
      </c>
      <c r="G111" s="38">
        <v>7.3705159004408605E-2</v>
      </c>
      <c r="H111" s="41"/>
    </row>
    <row r="112" spans="2:8" x14ac:dyDescent="0.2">
      <c r="B112" s="35" t="s">
        <v>819</v>
      </c>
      <c r="C112" s="35" t="s">
        <v>820</v>
      </c>
      <c r="D112" s="35" t="s">
        <v>468</v>
      </c>
      <c r="E112" s="40">
        <v>40648</v>
      </c>
      <c r="F112" s="37">
        <v>165.599952</v>
      </c>
      <c r="G112" s="38">
        <v>5.9905427536612599E-2</v>
      </c>
      <c r="H112" s="41"/>
    </row>
    <row r="113" spans="2:9" x14ac:dyDescent="0.2">
      <c r="B113" s="35" t="s">
        <v>1285</v>
      </c>
      <c r="C113" s="35" t="s">
        <v>1286</v>
      </c>
      <c r="D113" s="35" t="s">
        <v>379</v>
      </c>
      <c r="E113" s="40">
        <v>25769</v>
      </c>
      <c r="F113" s="37">
        <v>164.98602249999999</v>
      </c>
      <c r="G113" s="38">
        <v>5.9683339856449198E-2</v>
      </c>
      <c r="H113" s="41"/>
    </row>
    <row r="114" spans="2:9" x14ac:dyDescent="0.2">
      <c r="B114" s="35" t="s">
        <v>1369</v>
      </c>
      <c r="C114" s="35" t="s">
        <v>1370</v>
      </c>
      <c r="D114" s="35" t="s">
        <v>366</v>
      </c>
      <c r="E114" s="40">
        <v>136204</v>
      </c>
      <c r="F114" s="37">
        <v>156.59373880000001</v>
      </c>
      <c r="G114" s="38">
        <v>5.6647449223721003E-2</v>
      </c>
      <c r="H114" s="41"/>
    </row>
    <row r="115" spans="2:9" x14ac:dyDescent="0.2">
      <c r="B115" s="35" t="s">
        <v>1066</v>
      </c>
      <c r="C115" s="35" t="s">
        <v>1067</v>
      </c>
      <c r="D115" s="35" t="s">
        <v>303</v>
      </c>
      <c r="E115" s="40">
        <v>25832</v>
      </c>
      <c r="F115" s="37">
        <v>145.88622000000001</v>
      </c>
      <c r="G115" s="38">
        <v>5.2774027258174101E-2</v>
      </c>
      <c r="H115" s="41"/>
    </row>
    <row r="116" spans="2:9" x14ac:dyDescent="0.2">
      <c r="B116" s="35" t="s">
        <v>1051</v>
      </c>
      <c r="C116" s="35" t="s">
        <v>1052</v>
      </c>
      <c r="D116" s="35" t="s">
        <v>865</v>
      </c>
      <c r="E116" s="40">
        <v>4297</v>
      </c>
      <c r="F116" s="37">
        <v>136.318028</v>
      </c>
      <c r="G116" s="38">
        <v>4.93127543194452E-2</v>
      </c>
      <c r="H116" s="41"/>
    </row>
    <row r="117" spans="2:9" x14ac:dyDescent="0.2">
      <c r="B117" s="35" t="s">
        <v>1371</v>
      </c>
      <c r="C117" s="35" t="s">
        <v>1372</v>
      </c>
      <c r="D117" s="35" t="s">
        <v>379</v>
      </c>
      <c r="E117" s="40">
        <v>11640</v>
      </c>
      <c r="F117" s="37">
        <v>135.89699999999999</v>
      </c>
      <c r="G117" s="38">
        <v>4.9160448343264301E-2</v>
      </c>
      <c r="H117" s="41"/>
    </row>
    <row r="118" spans="2:9" x14ac:dyDescent="0.2">
      <c r="B118" s="35" t="s">
        <v>833</v>
      </c>
      <c r="C118" s="35" t="s">
        <v>834</v>
      </c>
      <c r="D118" s="35" t="s">
        <v>382</v>
      </c>
      <c r="E118" s="40">
        <v>90913</v>
      </c>
      <c r="F118" s="37">
        <v>133.914849</v>
      </c>
      <c r="G118" s="38">
        <v>4.8443409469381499E-2</v>
      </c>
      <c r="H118" s="41"/>
    </row>
    <row r="119" spans="2:9" x14ac:dyDescent="0.2">
      <c r="B119" s="35" t="s">
        <v>726</v>
      </c>
      <c r="C119" s="35" t="s">
        <v>727</v>
      </c>
      <c r="D119" s="35" t="s">
        <v>331</v>
      </c>
      <c r="E119" s="40">
        <v>28213</v>
      </c>
      <c r="F119" s="37">
        <v>115.70151300000001</v>
      </c>
      <c r="G119" s="38">
        <v>4.1854774226612899E-2</v>
      </c>
      <c r="H119" s="41"/>
    </row>
    <row r="120" spans="2:9" x14ac:dyDescent="0.2">
      <c r="B120" s="35" t="s">
        <v>457</v>
      </c>
      <c r="C120" s="35" t="s">
        <v>458</v>
      </c>
      <c r="D120" s="35" t="s">
        <v>318</v>
      </c>
      <c r="E120" s="40">
        <v>743</v>
      </c>
      <c r="F120" s="37">
        <v>80.273719999999997</v>
      </c>
      <c r="G120" s="38">
        <v>2.90388460774091E-2</v>
      </c>
      <c r="H120" s="41"/>
    </row>
    <row r="121" spans="2:9" x14ac:dyDescent="0.2">
      <c r="B121" s="35" t="s">
        <v>1373</v>
      </c>
      <c r="C121" s="35" t="s">
        <v>1374</v>
      </c>
      <c r="D121" s="35" t="s">
        <v>366</v>
      </c>
      <c r="E121" s="40">
        <v>884320</v>
      </c>
      <c r="F121" s="37">
        <v>74.636607999999995</v>
      </c>
      <c r="G121" s="38">
        <v>2.69996328991844E-2</v>
      </c>
      <c r="H121" s="41"/>
    </row>
    <row r="122" spans="2:9" x14ac:dyDescent="0.2">
      <c r="B122" s="35" t="s">
        <v>1375</v>
      </c>
      <c r="C122" s="35" t="s">
        <v>1376</v>
      </c>
      <c r="D122" s="35" t="s">
        <v>483</v>
      </c>
      <c r="E122" s="40">
        <v>120020</v>
      </c>
      <c r="F122" s="37">
        <v>72.504081999999997</v>
      </c>
      <c r="G122" s="38">
        <v>2.6228196191503801E-2</v>
      </c>
      <c r="H122" s="41"/>
    </row>
    <row r="123" spans="2:9" x14ac:dyDescent="0.2">
      <c r="B123" s="35" t="s">
        <v>1377</v>
      </c>
      <c r="C123" s="35" t="s">
        <v>1378</v>
      </c>
      <c r="D123" s="35" t="s">
        <v>292</v>
      </c>
      <c r="E123" s="40">
        <v>6301</v>
      </c>
      <c r="F123" s="37">
        <v>69.581942999999995</v>
      </c>
      <c r="G123" s="38">
        <v>2.5171118674256698E-2</v>
      </c>
      <c r="H123" s="41"/>
    </row>
    <row r="124" spans="2:9" x14ac:dyDescent="0.2">
      <c r="B124" s="35" t="s">
        <v>1379</v>
      </c>
      <c r="C124" s="35" t="s">
        <v>1380</v>
      </c>
      <c r="D124" s="35" t="s">
        <v>334</v>
      </c>
      <c r="E124" s="40">
        <v>242118</v>
      </c>
      <c r="F124" s="37">
        <v>69.463654199999993</v>
      </c>
      <c r="G124" s="38">
        <v>2.51283279545058E-2</v>
      </c>
      <c r="H124" s="41"/>
    </row>
    <row r="125" spans="2:9" x14ac:dyDescent="0.2">
      <c r="B125" s="34" t="s">
        <v>65</v>
      </c>
      <c r="C125" s="34"/>
      <c r="D125" s="34"/>
      <c r="E125" s="43"/>
      <c r="F125" s="44">
        <f>SUM(F7:F124)</f>
        <v>274873.86795870017</v>
      </c>
      <c r="G125" s="45">
        <f>SUM(G7:G124)</f>
        <v>99.435032316363831</v>
      </c>
      <c r="H125" s="34"/>
      <c r="I125" s="26"/>
    </row>
    <row r="126" spans="2:9" x14ac:dyDescent="0.2">
      <c r="B126" s="34" t="s">
        <v>410</v>
      </c>
      <c r="C126" s="34"/>
      <c r="D126" s="34"/>
      <c r="E126" s="43"/>
      <c r="F126" s="70" t="s">
        <v>411</v>
      </c>
      <c r="G126" s="71" t="s">
        <v>411</v>
      </c>
      <c r="H126" s="34"/>
      <c r="I126" s="26"/>
    </row>
    <row r="127" spans="2:9" x14ac:dyDescent="0.2">
      <c r="B127" s="34" t="s">
        <v>65</v>
      </c>
      <c r="C127" s="34"/>
      <c r="D127" s="34"/>
      <c r="E127" s="43"/>
      <c r="F127" s="66" t="s">
        <v>411</v>
      </c>
      <c r="G127" s="67" t="s">
        <v>411</v>
      </c>
      <c r="H127" s="34"/>
      <c r="I127" s="26"/>
    </row>
    <row r="128" spans="2:9" x14ac:dyDescent="0.2">
      <c r="B128" s="49" t="s">
        <v>105</v>
      </c>
      <c r="C128" s="49"/>
      <c r="D128" s="49"/>
      <c r="E128" s="50"/>
      <c r="F128" s="51">
        <f>F125</f>
        <v>274873.86795870017</v>
      </c>
      <c r="G128" s="52">
        <f>G125</f>
        <v>99.435032316363831</v>
      </c>
      <c r="H128" s="34"/>
      <c r="I128" s="26"/>
    </row>
    <row r="129" spans="2:9" x14ac:dyDescent="0.2">
      <c r="B129" s="34" t="s">
        <v>113</v>
      </c>
      <c r="C129" s="34"/>
      <c r="D129" s="34"/>
      <c r="E129" s="43"/>
      <c r="F129" s="44">
        <v>1968.7510423000001</v>
      </c>
      <c r="G129" s="45">
        <v>0.71219146791862098</v>
      </c>
      <c r="H129" s="41">
        <v>4.9299999999999997E-2</v>
      </c>
      <c r="I129" s="27"/>
    </row>
    <row r="130" spans="2:9" x14ac:dyDescent="0.2">
      <c r="B130" s="35"/>
      <c r="C130" s="35"/>
      <c r="D130" s="35"/>
      <c r="E130" s="36"/>
      <c r="F130" s="37"/>
      <c r="G130" s="38"/>
      <c r="H130" s="35"/>
    </row>
    <row r="131" spans="2:9" x14ac:dyDescent="0.2">
      <c r="B131" s="34" t="s">
        <v>1381</v>
      </c>
      <c r="C131" s="35"/>
      <c r="D131" s="35"/>
      <c r="E131" s="36"/>
      <c r="F131" s="89">
        <v>150</v>
      </c>
      <c r="G131" s="89">
        <f>F131/F133*100</f>
        <v>5.4262178351910918E-2</v>
      </c>
      <c r="H131" s="35"/>
    </row>
    <row r="132" spans="2:9" x14ac:dyDescent="0.2">
      <c r="B132" s="58" t="s">
        <v>115</v>
      </c>
      <c r="C132" s="58"/>
      <c r="D132" s="58"/>
      <c r="E132" s="59"/>
      <c r="F132" s="44">
        <f>F133-(F125+F129+F131)</f>
        <v>-556.97901030018693</v>
      </c>
      <c r="G132" s="45">
        <f>G133-(G125+G129+G131)</f>
        <v>-0.20148596263435081</v>
      </c>
      <c r="H132" s="34"/>
      <c r="I132" s="26"/>
    </row>
    <row r="133" spans="2:9" x14ac:dyDescent="0.2">
      <c r="B133" s="53" t="s">
        <v>114</v>
      </c>
      <c r="C133" s="53"/>
      <c r="D133" s="53"/>
      <c r="E133" s="54"/>
      <c r="F133" s="55">
        <v>276435.6399907</v>
      </c>
      <c r="G133" s="56">
        <v>100</v>
      </c>
      <c r="H133" s="72"/>
      <c r="I133" s="26"/>
    </row>
    <row r="135" spans="2:9" x14ac:dyDescent="0.2">
      <c r="B135" s="26" t="s">
        <v>1382</v>
      </c>
    </row>
    <row r="137" spans="2:9" ht="22.5" x14ac:dyDescent="0.2">
      <c r="B137" s="105" t="s">
        <v>7</v>
      </c>
      <c r="C137" s="103" t="s">
        <v>1383</v>
      </c>
      <c r="D137" s="103" t="s">
        <v>412</v>
      </c>
      <c r="E137" s="104" t="s">
        <v>0</v>
      </c>
      <c r="F137" s="106" t="s">
        <v>1384</v>
      </c>
      <c r="G137" s="107" t="s">
        <v>1385</v>
      </c>
    </row>
    <row r="138" spans="2:9" x14ac:dyDescent="0.2">
      <c r="B138" s="78" t="s">
        <v>1386</v>
      </c>
      <c r="C138" s="78" t="s">
        <v>1387</v>
      </c>
      <c r="D138" s="78" t="s">
        <v>1388</v>
      </c>
      <c r="E138" s="79">
        <v>3120</v>
      </c>
      <c r="F138" s="80">
        <v>790.56431999999995</v>
      </c>
      <c r="G138" s="81">
        <v>0.28598494753664799</v>
      </c>
    </row>
    <row r="139" spans="2:9" x14ac:dyDescent="0.2">
      <c r="B139" s="74"/>
      <c r="C139" s="74"/>
      <c r="D139" s="74"/>
      <c r="E139" s="75"/>
      <c r="F139" s="76">
        <f>SUM(F138:F138)</f>
        <v>790.56431999999995</v>
      </c>
      <c r="G139" s="77">
        <f>SUM(G138:G138)</f>
        <v>0.28598494753664799</v>
      </c>
    </row>
    <row r="141" spans="2:9" x14ac:dyDescent="0.2">
      <c r="B141" s="26" t="s">
        <v>525</v>
      </c>
    </row>
    <row r="144" spans="2:9" x14ac:dyDescent="0.2">
      <c r="B144" s="26" t="s">
        <v>119</v>
      </c>
      <c r="E144" s="8"/>
      <c r="G144" s="83"/>
    </row>
    <row r="145" spans="5:7" x14ac:dyDescent="0.2">
      <c r="E145" s="8"/>
      <c r="G145" s="83"/>
    </row>
    <row r="146" spans="5:7" x14ac:dyDescent="0.2">
      <c r="E146" s="8"/>
      <c r="G146" s="83"/>
    </row>
    <row r="147" spans="5:7" x14ac:dyDescent="0.2">
      <c r="E147" s="8"/>
      <c r="G147" s="83"/>
    </row>
    <row r="148" spans="5:7" x14ac:dyDescent="0.2">
      <c r="E148" s="8"/>
      <c r="G148" s="83"/>
    </row>
    <row r="149" spans="5:7" x14ac:dyDescent="0.2">
      <c r="E149" s="8"/>
      <c r="G149" s="83"/>
    </row>
    <row r="150" spans="5:7" x14ac:dyDescent="0.2">
      <c r="E150" s="8"/>
      <c r="G150" s="83"/>
    </row>
    <row r="151" spans="5:7" x14ac:dyDescent="0.2">
      <c r="E151" s="8"/>
      <c r="G151" s="83"/>
    </row>
    <row r="152" spans="5:7" x14ac:dyDescent="0.2">
      <c r="E152" s="8"/>
      <c r="G152" s="83"/>
    </row>
    <row r="153" spans="5:7" x14ac:dyDescent="0.2">
      <c r="E153" s="8"/>
      <c r="G153" s="83"/>
    </row>
    <row r="154" spans="5:7" x14ac:dyDescent="0.2">
      <c r="E154" s="8"/>
      <c r="G154" s="83"/>
    </row>
    <row r="155" spans="5:7" x14ac:dyDescent="0.2">
      <c r="E155" s="8"/>
      <c r="G155" s="83"/>
    </row>
    <row r="156" spans="5:7" x14ac:dyDescent="0.2">
      <c r="E156" s="8"/>
      <c r="G156" s="83"/>
    </row>
    <row r="157" spans="5:7" x14ac:dyDescent="0.2">
      <c r="E157" s="8"/>
      <c r="G157" s="83"/>
    </row>
    <row r="158" spans="5:7" x14ac:dyDescent="0.2">
      <c r="E158" s="8"/>
      <c r="G158" s="83"/>
    </row>
    <row r="159" spans="5:7" x14ac:dyDescent="0.2">
      <c r="E159" s="8"/>
      <c r="G159" s="83"/>
    </row>
    <row r="160" spans="5:7" x14ac:dyDescent="0.2">
      <c r="E160" s="8"/>
      <c r="G160" s="83"/>
    </row>
    <row r="161" spans="2:7" x14ac:dyDescent="0.2">
      <c r="B161" s="84" t="s">
        <v>1475</v>
      </c>
      <c r="E161" s="8"/>
      <c r="G161" s="83"/>
    </row>
    <row r="162" spans="2:7" x14ac:dyDescent="0.2">
      <c r="B162" s="85" t="s">
        <v>1486</v>
      </c>
      <c r="E162" s="8"/>
      <c r="G162" s="83"/>
    </row>
    <row r="163" spans="2:7" x14ac:dyDescent="0.2">
      <c r="E163" s="8"/>
      <c r="G163" s="83"/>
    </row>
    <row r="164" spans="2:7" x14ac:dyDescent="0.2">
      <c r="E164" s="8"/>
      <c r="G164" s="83"/>
    </row>
    <row r="165" spans="2:7" x14ac:dyDescent="0.2">
      <c r="E165" s="8"/>
      <c r="G165" s="83"/>
    </row>
    <row r="166" spans="2:7" x14ac:dyDescent="0.2">
      <c r="E166" s="8"/>
      <c r="G166" s="83"/>
    </row>
    <row r="167" spans="2:7" x14ac:dyDescent="0.2">
      <c r="E167" s="8"/>
      <c r="G167" s="83"/>
    </row>
    <row r="168" spans="2:7" x14ac:dyDescent="0.2">
      <c r="E168" s="8"/>
      <c r="G168" s="83"/>
    </row>
    <row r="169" spans="2:7" x14ac:dyDescent="0.2">
      <c r="E169" s="8"/>
      <c r="G169" s="83"/>
    </row>
    <row r="170" spans="2:7" x14ac:dyDescent="0.2">
      <c r="E170" s="8"/>
      <c r="G170" s="83"/>
    </row>
    <row r="171" spans="2:7" x14ac:dyDescent="0.2">
      <c r="E171" s="8"/>
      <c r="G171" s="83"/>
    </row>
    <row r="172" spans="2:7" x14ac:dyDescent="0.2">
      <c r="E172" s="8"/>
      <c r="G172" s="83"/>
    </row>
    <row r="173" spans="2:7" x14ac:dyDescent="0.2">
      <c r="E173" s="8"/>
      <c r="G173" s="83"/>
    </row>
    <row r="174" spans="2:7" x14ac:dyDescent="0.2">
      <c r="E174" s="8"/>
      <c r="G174" s="83"/>
    </row>
    <row r="175" spans="2:7" x14ac:dyDescent="0.2">
      <c r="E175" s="8"/>
      <c r="G175" s="83"/>
    </row>
    <row r="176" spans="2:7" x14ac:dyDescent="0.2">
      <c r="E176" s="8"/>
      <c r="G176" s="83"/>
    </row>
    <row r="177" spans="5:7" x14ac:dyDescent="0.2">
      <c r="E177" s="8"/>
      <c r="G177" s="83"/>
    </row>
    <row r="178" spans="5:7" x14ac:dyDescent="0.2">
      <c r="E178" s="8"/>
      <c r="G178" s="83"/>
    </row>
    <row r="179" spans="5:7" x14ac:dyDescent="0.2">
      <c r="E179" s="8"/>
      <c r="G179" s="83"/>
    </row>
    <row r="180" spans="5:7" x14ac:dyDescent="0.2">
      <c r="E180" s="8"/>
      <c r="G180" s="83"/>
    </row>
    <row r="181" spans="5:7" x14ac:dyDescent="0.2">
      <c r="E181" s="8"/>
      <c r="G181" s="83"/>
    </row>
    <row r="182" spans="5:7" x14ac:dyDescent="0.2">
      <c r="E182" s="8"/>
      <c r="G182" s="83"/>
    </row>
    <row r="183" spans="5:7" x14ac:dyDescent="0.2">
      <c r="E183" s="8"/>
      <c r="G183" s="83"/>
    </row>
    <row r="184" spans="5:7" x14ac:dyDescent="0.2">
      <c r="E184" s="8"/>
      <c r="G184" s="83"/>
    </row>
    <row r="185" spans="5:7" x14ac:dyDescent="0.2">
      <c r="E185" s="8"/>
      <c r="G185" s="83"/>
    </row>
    <row r="186" spans="5:7" x14ac:dyDescent="0.2">
      <c r="E186" s="8"/>
      <c r="G186" s="83"/>
    </row>
    <row r="187" spans="5:7" x14ac:dyDescent="0.2">
      <c r="E187" s="8"/>
      <c r="G187" s="83"/>
    </row>
    <row r="188" spans="5:7" x14ac:dyDescent="0.2">
      <c r="E188" s="8"/>
      <c r="G188" s="83"/>
    </row>
    <row r="189" spans="5:7" x14ac:dyDescent="0.2">
      <c r="E189" s="8"/>
      <c r="G189" s="83"/>
    </row>
    <row r="190" spans="5:7" x14ac:dyDescent="0.2">
      <c r="E190" s="8"/>
      <c r="G190" s="83"/>
    </row>
    <row r="191" spans="5:7" x14ac:dyDescent="0.2">
      <c r="E191" s="8"/>
      <c r="G191" s="83"/>
    </row>
    <row r="192" spans="5:7" x14ac:dyDescent="0.2"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  <row r="397" spans="5:7" x14ac:dyDescent="0.2">
      <c r="E397" s="8"/>
      <c r="G397" s="83"/>
    </row>
    <row r="398" spans="5:7" x14ac:dyDescent="0.2">
      <c r="E398" s="8"/>
      <c r="G398" s="83"/>
    </row>
    <row r="399" spans="5:7" x14ac:dyDescent="0.2">
      <c r="E399" s="8"/>
      <c r="G399" s="83"/>
    </row>
    <row r="400" spans="5:7" x14ac:dyDescent="0.2">
      <c r="E400" s="8"/>
      <c r="G400" s="83"/>
    </row>
    <row r="401" spans="5:7" x14ac:dyDescent="0.2">
      <c r="E401" s="8"/>
      <c r="G401" s="83"/>
    </row>
    <row r="402" spans="5:7" x14ac:dyDescent="0.2">
      <c r="E402" s="8"/>
      <c r="G402" s="83"/>
    </row>
    <row r="403" spans="5:7" x14ac:dyDescent="0.2">
      <c r="E403" s="8"/>
      <c r="G403" s="83"/>
    </row>
    <row r="404" spans="5:7" x14ac:dyDescent="0.2">
      <c r="E404" s="8"/>
      <c r="G404" s="83"/>
    </row>
    <row r="405" spans="5:7" x14ac:dyDescent="0.2">
      <c r="E405" s="8"/>
      <c r="G405" s="83"/>
    </row>
    <row r="406" spans="5:7" x14ac:dyDescent="0.2">
      <c r="E406" s="8"/>
      <c r="G406" s="83"/>
    </row>
    <row r="407" spans="5:7" x14ac:dyDescent="0.2">
      <c r="E407" s="8"/>
      <c r="G407" s="83"/>
    </row>
    <row r="408" spans="5:7" x14ac:dyDescent="0.2">
      <c r="E408" s="8"/>
      <c r="G408" s="83"/>
    </row>
    <row r="409" spans="5:7" x14ac:dyDescent="0.2">
      <c r="E409" s="8"/>
      <c r="G409" s="83"/>
    </row>
    <row r="410" spans="5:7" x14ac:dyDescent="0.2">
      <c r="E410" s="8"/>
      <c r="G410" s="83"/>
    </row>
    <row r="411" spans="5:7" x14ac:dyDescent="0.2">
      <c r="E411" s="8"/>
      <c r="G411" s="83"/>
    </row>
    <row r="412" spans="5:7" x14ac:dyDescent="0.2">
      <c r="E412" s="8"/>
      <c r="G412" s="83"/>
    </row>
    <row r="413" spans="5:7" x14ac:dyDescent="0.2">
      <c r="E413" s="8"/>
      <c r="G413" s="83"/>
    </row>
    <row r="414" spans="5:7" x14ac:dyDescent="0.2">
      <c r="E414" s="8"/>
      <c r="G414" s="83"/>
    </row>
    <row r="415" spans="5:7" x14ac:dyDescent="0.2">
      <c r="E415" s="8"/>
      <c r="G415" s="83"/>
    </row>
    <row r="416" spans="5:7" x14ac:dyDescent="0.2">
      <c r="E416" s="8"/>
      <c r="G416" s="83"/>
    </row>
    <row r="417" spans="5:7" x14ac:dyDescent="0.2">
      <c r="E417" s="8"/>
      <c r="G417" s="83"/>
    </row>
    <row r="418" spans="5:7" x14ac:dyDescent="0.2">
      <c r="E418" s="8"/>
      <c r="G418" s="83"/>
    </row>
    <row r="419" spans="5:7" x14ac:dyDescent="0.2">
      <c r="E419" s="8"/>
      <c r="G419" s="83"/>
    </row>
    <row r="420" spans="5:7" x14ac:dyDescent="0.2">
      <c r="E420" s="8"/>
      <c r="G420" s="83"/>
    </row>
    <row r="421" spans="5:7" x14ac:dyDescent="0.2">
      <c r="E421" s="8"/>
      <c r="G421" s="83"/>
    </row>
    <row r="422" spans="5:7" x14ac:dyDescent="0.2">
      <c r="E422" s="8"/>
      <c r="G422" s="83"/>
    </row>
    <row r="423" spans="5:7" x14ac:dyDescent="0.2">
      <c r="E423" s="8"/>
      <c r="G423" s="83"/>
    </row>
    <row r="424" spans="5:7" x14ac:dyDescent="0.2">
      <c r="E424" s="8"/>
      <c r="G424" s="83"/>
    </row>
    <row r="425" spans="5:7" x14ac:dyDescent="0.2">
      <c r="E425" s="8"/>
      <c r="G425" s="83"/>
    </row>
    <row r="426" spans="5:7" x14ac:dyDescent="0.2">
      <c r="E426" s="8"/>
      <c r="G426" s="83"/>
    </row>
    <row r="427" spans="5:7" x14ac:dyDescent="0.2">
      <c r="E427" s="8"/>
      <c r="G427" s="83"/>
    </row>
    <row r="428" spans="5:7" x14ac:dyDescent="0.2">
      <c r="E428" s="8"/>
      <c r="G428" s="83"/>
    </row>
    <row r="429" spans="5:7" x14ac:dyDescent="0.2">
      <c r="E429" s="8"/>
      <c r="G429" s="83"/>
    </row>
    <row r="430" spans="5:7" x14ac:dyDescent="0.2">
      <c r="E430" s="8"/>
      <c r="G430" s="83"/>
    </row>
    <row r="431" spans="5:7" x14ac:dyDescent="0.2">
      <c r="E431" s="8"/>
      <c r="G431" s="83"/>
    </row>
    <row r="432" spans="5:7" x14ac:dyDescent="0.2">
      <c r="E432" s="8"/>
      <c r="G432" s="83"/>
    </row>
    <row r="433" spans="5:7" x14ac:dyDescent="0.2">
      <c r="E433" s="8"/>
      <c r="G433" s="83"/>
    </row>
    <row r="434" spans="5:7" x14ac:dyDescent="0.2">
      <c r="E434" s="8"/>
      <c r="G434" s="83"/>
    </row>
    <row r="435" spans="5:7" x14ac:dyDescent="0.2">
      <c r="E435" s="8"/>
      <c r="G435" s="83"/>
    </row>
    <row r="436" spans="5:7" x14ac:dyDescent="0.2">
      <c r="E436" s="8"/>
      <c r="G436" s="83"/>
    </row>
    <row r="437" spans="5:7" x14ac:dyDescent="0.2">
      <c r="E437" s="8"/>
      <c r="G437" s="83"/>
    </row>
    <row r="438" spans="5:7" x14ac:dyDescent="0.2">
      <c r="E438" s="8"/>
      <c r="G438" s="83"/>
    </row>
    <row r="439" spans="5:7" x14ac:dyDescent="0.2">
      <c r="E439" s="8"/>
      <c r="G439" s="83"/>
    </row>
    <row r="440" spans="5:7" x14ac:dyDescent="0.2">
      <c r="E440" s="8"/>
      <c r="G440" s="83"/>
    </row>
    <row r="441" spans="5:7" x14ac:dyDescent="0.2">
      <c r="E441" s="8"/>
      <c r="G441" s="83"/>
    </row>
    <row r="442" spans="5:7" x14ac:dyDescent="0.2">
      <c r="E442" s="8"/>
      <c r="G442" s="83"/>
    </row>
    <row r="443" spans="5:7" x14ac:dyDescent="0.2">
      <c r="E443" s="8"/>
      <c r="G443" s="83"/>
    </row>
    <row r="444" spans="5:7" x14ac:dyDescent="0.2">
      <c r="E444" s="8"/>
      <c r="G444" s="83"/>
    </row>
    <row r="445" spans="5:7" x14ac:dyDescent="0.2">
      <c r="E445" s="8"/>
      <c r="G445" s="83"/>
    </row>
    <row r="446" spans="5:7" x14ac:dyDescent="0.2">
      <c r="E446" s="8"/>
      <c r="G446" s="83"/>
    </row>
    <row r="447" spans="5:7" x14ac:dyDescent="0.2">
      <c r="E447" s="8"/>
      <c r="G447" s="83"/>
    </row>
    <row r="448" spans="5:7" x14ac:dyDescent="0.2">
      <c r="E448" s="8"/>
      <c r="G448" s="83"/>
    </row>
    <row r="449" spans="5:7" x14ac:dyDescent="0.2">
      <c r="E449" s="8"/>
      <c r="G449" s="83"/>
    </row>
    <row r="450" spans="5:7" x14ac:dyDescent="0.2">
      <c r="E450" s="8"/>
      <c r="G450" s="83"/>
    </row>
    <row r="451" spans="5:7" x14ac:dyDescent="0.2">
      <c r="E451" s="8"/>
      <c r="G451" s="83"/>
    </row>
    <row r="452" spans="5:7" x14ac:dyDescent="0.2">
      <c r="E452" s="8"/>
      <c r="G452" s="83"/>
    </row>
    <row r="453" spans="5:7" x14ac:dyDescent="0.2">
      <c r="E453" s="8"/>
      <c r="G453" s="83"/>
    </row>
    <row r="454" spans="5:7" x14ac:dyDescent="0.2">
      <c r="E454" s="8"/>
      <c r="G454" s="83"/>
    </row>
    <row r="455" spans="5:7" x14ac:dyDescent="0.2">
      <c r="E455" s="8"/>
      <c r="G455" s="83"/>
    </row>
    <row r="456" spans="5:7" x14ac:dyDescent="0.2">
      <c r="E456" s="8"/>
      <c r="G456" s="83"/>
    </row>
    <row r="457" spans="5:7" x14ac:dyDescent="0.2">
      <c r="E457" s="8"/>
      <c r="G457" s="83"/>
    </row>
    <row r="458" spans="5:7" x14ac:dyDescent="0.2">
      <c r="E458" s="8"/>
      <c r="G458" s="83"/>
    </row>
    <row r="459" spans="5:7" x14ac:dyDescent="0.2">
      <c r="E459" s="8"/>
      <c r="G459" s="83"/>
    </row>
    <row r="460" spans="5:7" x14ac:dyDescent="0.2">
      <c r="E460" s="8"/>
      <c r="G460" s="83"/>
    </row>
    <row r="461" spans="5:7" x14ac:dyDescent="0.2">
      <c r="E461" s="8"/>
      <c r="G461" s="83"/>
    </row>
    <row r="462" spans="5:7" x14ac:dyDescent="0.2">
      <c r="E462" s="8"/>
      <c r="G462" s="83"/>
    </row>
    <row r="463" spans="5:7" x14ac:dyDescent="0.2">
      <c r="E463" s="8"/>
      <c r="G463" s="83"/>
    </row>
    <row r="464" spans="5:7" x14ac:dyDescent="0.2">
      <c r="E464" s="8"/>
      <c r="G464" s="83"/>
    </row>
    <row r="465" spans="5:7" x14ac:dyDescent="0.2">
      <c r="E465" s="8"/>
      <c r="G465" s="83"/>
    </row>
    <row r="466" spans="5:7" x14ac:dyDescent="0.2">
      <c r="E466" s="8"/>
      <c r="G466" s="83"/>
    </row>
    <row r="467" spans="5:7" x14ac:dyDescent="0.2">
      <c r="E467" s="8"/>
      <c r="G467" s="83"/>
    </row>
    <row r="468" spans="5:7" x14ac:dyDescent="0.2">
      <c r="E468" s="8"/>
      <c r="G468" s="83"/>
    </row>
    <row r="469" spans="5:7" x14ac:dyDescent="0.2">
      <c r="E469" s="8"/>
      <c r="G469" s="83"/>
    </row>
    <row r="470" spans="5:7" x14ac:dyDescent="0.2">
      <c r="E470" s="8"/>
      <c r="G470" s="83"/>
    </row>
    <row r="471" spans="5:7" x14ac:dyDescent="0.2">
      <c r="E471" s="8"/>
      <c r="G471" s="83"/>
    </row>
    <row r="472" spans="5:7" x14ac:dyDescent="0.2">
      <c r="E472" s="8"/>
      <c r="G472" s="83"/>
    </row>
    <row r="473" spans="5:7" x14ac:dyDescent="0.2">
      <c r="E473" s="8"/>
      <c r="G473" s="83"/>
    </row>
    <row r="474" spans="5:7" x14ac:dyDescent="0.2">
      <c r="E474" s="8"/>
      <c r="G474" s="83"/>
    </row>
    <row r="475" spans="5:7" x14ac:dyDescent="0.2">
      <c r="E475" s="8"/>
      <c r="G475" s="83"/>
    </row>
    <row r="476" spans="5:7" x14ac:dyDescent="0.2">
      <c r="E476" s="8"/>
      <c r="G476" s="83"/>
    </row>
    <row r="477" spans="5:7" x14ac:dyDescent="0.2">
      <c r="E477" s="8"/>
      <c r="G477" s="83"/>
    </row>
    <row r="478" spans="5:7" x14ac:dyDescent="0.2">
      <c r="E478" s="8"/>
      <c r="G478" s="83"/>
    </row>
    <row r="479" spans="5:7" x14ac:dyDescent="0.2">
      <c r="E479" s="8"/>
      <c r="G479" s="83"/>
    </row>
    <row r="480" spans="5:7" x14ac:dyDescent="0.2">
      <c r="E480" s="8"/>
      <c r="G480" s="83"/>
    </row>
    <row r="481" spans="5:7" x14ac:dyDescent="0.2">
      <c r="E481" s="8"/>
      <c r="G481" s="83"/>
    </row>
    <row r="482" spans="5:7" x14ac:dyDescent="0.2">
      <c r="E482" s="8"/>
      <c r="G482" s="83"/>
    </row>
    <row r="483" spans="5:7" x14ac:dyDescent="0.2">
      <c r="E483" s="8"/>
      <c r="G483" s="83"/>
    </row>
    <row r="484" spans="5:7" x14ac:dyDescent="0.2">
      <c r="E484" s="8"/>
      <c r="G484" s="83"/>
    </row>
    <row r="485" spans="5:7" x14ac:dyDescent="0.2">
      <c r="E485" s="8"/>
      <c r="G485" s="83"/>
    </row>
  </sheetData>
  <mergeCells count="1">
    <mergeCell ref="B1:C1"/>
  </mergeCells>
  <conditionalFormatting sqref="G1:G3 G5:G179">
    <cfRule type="cellIs" dxfId="2" priority="2" stopIfTrue="1" operator="between">
      <formula>0.009</formula>
      <formula>-0.009</formula>
    </cfRule>
  </conditionalFormatting>
  <hyperlinks>
    <hyperlink ref="A2" location="Index!A1" display="-" xr:uid="{3845616B-D2AE-4D1F-A26D-CB02AAE052F5}"/>
  </hyperlinks>
  <pageMargins left="0.7" right="0.7" top="0.75" bottom="0.75" header="0.3" footer="0.3"/>
  <pageSetup paperSize="9" scale="3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79" min="1" max="7" man="1"/>
  </rowBreaks>
  <colBreaks count="1" manualBreakCount="1">
    <brk id="8" max="493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BEF5-2B48-45DB-8F84-FF5D449227CB}">
  <dimension ref="A1:I396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68.7109375" style="8" bestFit="1" customWidth="1"/>
    <col min="3" max="3" width="16.42578125" style="8" customWidth="1"/>
    <col min="4" max="4" width="28.28515625" style="8" customWidth="1"/>
    <col min="5" max="5" width="13.7109375" style="9" bestFit="1" customWidth="1"/>
    <col min="6" max="6" width="22.85546875" style="11" bestFit="1" customWidth="1"/>
    <col min="7" max="7" width="12.140625" style="18" bestFit="1" customWidth="1"/>
    <col min="8" max="8" width="12.5703125" style="8" customWidth="1"/>
    <col min="9" max="16384" width="9.140625" style="8"/>
  </cols>
  <sheetData>
    <row r="1" spans="1:8" s="1" customFormat="1" ht="16.7" customHeight="1" x14ac:dyDescent="0.2">
      <c r="B1" s="98" t="s">
        <v>21</v>
      </c>
      <c r="C1" s="99"/>
      <c r="D1" s="13"/>
      <c r="E1" s="6"/>
      <c r="F1" s="7"/>
      <c r="G1" s="18"/>
    </row>
    <row r="2" spans="1:8" s="1" customFormat="1" ht="15" x14ac:dyDescent="0.25">
      <c r="A2" s="82" t="s">
        <v>1501</v>
      </c>
      <c r="E2" s="6"/>
      <c r="F2" s="7"/>
      <c r="G2" s="18"/>
    </row>
    <row r="3" spans="1:8" s="1" customFormat="1" ht="12" x14ac:dyDescent="0.2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">
      <c r="B4" s="28" t="s">
        <v>7</v>
      </c>
      <c r="C4" s="28" t="s">
        <v>8</v>
      </c>
      <c r="D4" s="101" t="s">
        <v>1473</v>
      </c>
      <c r="E4" s="30" t="s">
        <v>0</v>
      </c>
      <c r="F4" s="31" t="s">
        <v>4</v>
      </c>
      <c r="G4" s="32" t="s">
        <v>5</v>
      </c>
      <c r="H4" s="73" t="s">
        <v>6</v>
      </c>
    </row>
    <row r="5" spans="1:8" x14ac:dyDescent="0.2">
      <c r="B5" s="34" t="s">
        <v>284</v>
      </c>
      <c r="C5" s="35"/>
      <c r="D5" s="35"/>
      <c r="E5" s="36"/>
      <c r="F5" s="37"/>
      <c r="G5" s="38"/>
      <c r="H5" s="35"/>
    </row>
    <row r="6" spans="1:8" x14ac:dyDescent="0.2">
      <c r="B6" s="34" t="s">
        <v>239</v>
      </c>
      <c r="C6" s="35"/>
      <c r="D6" s="35"/>
      <c r="E6" s="36"/>
      <c r="F6" s="37"/>
      <c r="G6" s="38"/>
      <c r="H6" s="35"/>
    </row>
    <row r="7" spans="1:8" x14ac:dyDescent="0.2">
      <c r="B7" s="35" t="s">
        <v>285</v>
      </c>
      <c r="C7" s="35" t="s">
        <v>286</v>
      </c>
      <c r="D7" s="35" t="s">
        <v>287</v>
      </c>
      <c r="E7" s="40">
        <v>331650</v>
      </c>
      <c r="F7" s="37">
        <v>2944.2228749999999</v>
      </c>
      <c r="G7" s="38">
        <v>8.9396278002744705</v>
      </c>
      <c r="H7" s="41"/>
    </row>
    <row r="8" spans="1:8" x14ac:dyDescent="0.2">
      <c r="B8" s="35" t="s">
        <v>290</v>
      </c>
      <c r="C8" s="35" t="s">
        <v>291</v>
      </c>
      <c r="D8" s="35" t="s">
        <v>292</v>
      </c>
      <c r="E8" s="40">
        <v>171000</v>
      </c>
      <c r="F8" s="37">
        <v>2383.569</v>
      </c>
      <c r="G8" s="38">
        <v>7.2372984658209401</v>
      </c>
      <c r="H8" s="41"/>
    </row>
    <row r="9" spans="1:8" x14ac:dyDescent="0.2">
      <c r="B9" s="35" t="s">
        <v>837</v>
      </c>
      <c r="C9" s="35" t="s">
        <v>838</v>
      </c>
      <c r="D9" s="35" t="s">
        <v>528</v>
      </c>
      <c r="E9" s="40">
        <v>58750</v>
      </c>
      <c r="F9" s="37">
        <v>1435.43875</v>
      </c>
      <c r="G9" s="38">
        <v>4.3584635742262696</v>
      </c>
      <c r="H9" s="41"/>
    </row>
    <row r="10" spans="1:8" x14ac:dyDescent="0.2">
      <c r="B10" s="35" t="s">
        <v>676</v>
      </c>
      <c r="C10" s="35" t="s">
        <v>677</v>
      </c>
      <c r="D10" s="35" t="s">
        <v>483</v>
      </c>
      <c r="E10" s="40">
        <v>95400</v>
      </c>
      <c r="F10" s="37">
        <v>1328.922</v>
      </c>
      <c r="G10" s="38">
        <v>4.0350437313942704</v>
      </c>
      <c r="H10" s="41"/>
    </row>
    <row r="11" spans="1:8" x14ac:dyDescent="0.2">
      <c r="B11" s="35" t="s">
        <v>306</v>
      </c>
      <c r="C11" s="35" t="s">
        <v>307</v>
      </c>
      <c r="D11" s="35" t="s">
        <v>287</v>
      </c>
      <c r="E11" s="40">
        <v>284000</v>
      </c>
      <c r="F11" s="37">
        <v>1179.1679999999999</v>
      </c>
      <c r="G11" s="38">
        <v>3.5803413944992402</v>
      </c>
      <c r="H11" s="41"/>
    </row>
    <row r="12" spans="1:8" x14ac:dyDescent="0.2">
      <c r="B12" s="35" t="s">
        <v>288</v>
      </c>
      <c r="C12" s="35" t="s">
        <v>289</v>
      </c>
      <c r="D12" s="35" t="s">
        <v>287</v>
      </c>
      <c r="E12" s="40">
        <v>79800</v>
      </c>
      <c r="F12" s="37">
        <v>1100.3622</v>
      </c>
      <c r="G12" s="38">
        <v>3.3410610986748699</v>
      </c>
      <c r="H12" s="41"/>
    </row>
    <row r="13" spans="1:8" x14ac:dyDescent="0.2">
      <c r="B13" s="35" t="s">
        <v>311</v>
      </c>
      <c r="C13" s="35" t="s">
        <v>312</v>
      </c>
      <c r="D13" s="35" t="s">
        <v>313</v>
      </c>
      <c r="E13" s="40">
        <v>316800</v>
      </c>
      <c r="F13" s="37">
        <v>993.48479999999995</v>
      </c>
      <c r="G13" s="38">
        <v>3.0165462039724602</v>
      </c>
      <c r="H13" s="41"/>
    </row>
    <row r="14" spans="1:8" x14ac:dyDescent="0.2">
      <c r="B14" s="35" t="s">
        <v>293</v>
      </c>
      <c r="C14" s="35" t="s">
        <v>294</v>
      </c>
      <c r="D14" s="35" t="s">
        <v>295</v>
      </c>
      <c r="E14" s="40">
        <v>48925</v>
      </c>
      <c r="F14" s="37">
        <v>919.44752500000004</v>
      </c>
      <c r="G14" s="38">
        <v>2.7917447164673499</v>
      </c>
      <c r="H14" s="41"/>
    </row>
    <row r="15" spans="1:8" x14ac:dyDescent="0.2">
      <c r="B15" s="35" t="s">
        <v>394</v>
      </c>
      <c r="C15" s="35" t="s">
        <v>395</v>
      </c>
      <c r="D15" s="35" t="s">
        <v>310</v>
      </c>
      <c r="E15" s="40">
        <v>232800</v>
      </c>
      <c r="F15" s="37">
        <v>890.80920000000003</v>
      </c>
      <c r="G15" s="38">
        <v>2.7047893543250399</v>
      </c>
      <c r="H15" s="41"/>
    </row>
    <row r="16" spans="1:8" x14ac:dyDescent="0.2">
      <c r="B16" s="35" t="s">
        <v>648</v>
      </c>
      <c r="C16" s="35" t="s">
        <v>649</v>
      </c>
      <c r="D16" s="35" t="s">
        <v>483</v>
      </c>
      <c r="E16" s="40">
        <v>48950</v>
      </c>
      <c r="F16" s="37">
        <v>847.32449999999994</v>
      </c>
      <c r="G16" s="38">
        <v>2.57275552077683</v>
      </c>
      <c r="H16" s="41"/>
    </row>
    <row r="17" spans="2:8" x14ac:dyDescent="0.2">
      <c r="B17" s="35" t="s">
        <v>481</v>
      </c>
      <c r="C17" s="35" t="s">
        <v>482</v>
      </c>
      <c r="D17" s="35" t="s">
        <v>483</v>
      </c>
      <c r="E17" s="40">
        <v>139425</v>
      </c>
      <c r="F17" s="37">
        <v>841.91786249999996</v>
      </c>
      <c r="G17" s="38">
        <v>2.5563391932931201</v>
      </c>
      <c r="H17" s="41"/>
    </row>
    <row r="18" spans="2:8" x14ac:dyDescent="0.2">
      <c r="B18" s="35" t="s">
        <v>437</v>
      </c>
      <c r="C18" s="35" t="s">
        <v>438</v>
      </c>
      <c r="D18" s="35" t="s">
        <v>287</v>
      </c>
      <c r="E18" s="40">
        <v>213525</v>
      </c>
      <c r="F18" s="37">
        <v>687.4437375</v>
      </c>
      <c r="G18" s="38">
        <v>2.0873050063778198</v>
      </c>
      <c r="H18" s="41"/>
    </row>
    <row r="19" spans="2:8" x14ac:dyDescent="0.2">
      <c r="B19" s="35" t="s">
        <v>598</v>
      </c>
      <c r="C19" s="35" t="s">
        <v>599</v>
      </c>
      <c r="D19" s="35" t="s">
        <v>600</v>
      </c>
      <c r="E19" s="40">
        <v>97560</v>
      </c>
      <c r="F19" s="37">
        <v>621.84744000000001</v>
      </c>
      <c r="G19" s="38">
        <v>1.88813309935088</v>
      </c>
      <c r="H19" s="41"/>
    </row>
    <row r="20" spans="2:8" x14ac:dyDescent="0.2">
      <c r="B20" s="35" t="s">
        <v>584</v>
      </c>
      <c r="C20" s="35" t="s">
        <v>585</v>
      </c>
      <c r="D20" s="35" t="s">
        <v>453</v>
      </c>
      <c r="E20" s="40">
        <v>217875</v>
      </c>
      <c r="F20" s="37">
        <v>577.25981249999995</v>
      </c>
      <c r="G20" s="38">
        <v>1.75275041561051</v>
      </c>
      <c r="H20" s="41"/>
    </row>
    <row r="21" spans="2:8" x14ac:dyDescent="0.2">
      <c r="B21" s="35" t="s">
        <v>545</v>
      </c>
      <c r="C21" s="35" t="s">
        <v>546</v>
      </c>
      <c r="D21" s="35" t="s">
        <v>528</v>
      </c>
      <c r="E21" s="40">
        <v>19800</v>
      </c>
      <c r="F21" s="37">
        <v>534.32280000000003</v>
      </c>
      <c r="G21" s="38">
        <v>1.6223795412229101</v>
      </c>
      <c r="H21" s="41"/>
    </row>
    <row r="22" spans="2:8" x14ac:dyDescent="0.2">
      <c r="B22" s="35" t="s">
        <v>364</v>
      </c>
      <c r="C22" s="35" t="s">
        <v>365</v>
      </c>
      <c r="D22" s="35" t="s">
        <v>366</v>
      </c>
      <c r="E22" s="40">
        <v>10950</v>
      </c>
      <c r="F22" s="37">
        <v>528.57839999999999</v>
      </c>
      <c r="G22" s="38">
        <v>1.60493765583715</v>
      </c>
      <c r="H22" s="41"/>
    </row>
    <row r="23" spans="2:8" x14ac:dyDescent="0.2">
      <c r="B23" s="35" t="s">
        <v>428</v>
      </c>
      <c r="C23" s="35" t="s">
        <v>429</v>
      </c>
      <c r="D23" s="35" t="s">
        <v>292</v>
      </c>
      <c r="E23" s="40">
        <v>273000</v>
      </c>
      <c r="F23" s="37">
        <v>511.79309999999998</v>
      </c>
      <c r="G23" s="38">
        <v>1.55397197121113</v>
      </c>
      <c r="H23" s="41"/>
    </row>
    <row r="24" spans="2:8" x14ac:dyDescent="0.2">
      <c r="B24" s="35" t="s">
        <v>430</v>
      </c>
      <c r="C24" s="35" t="s">
        <v>431</v>
      </c>
      <c r="D24" s="35" t="s">
        <v>328</v>
      </c>
      <c r="E24" s="40">
        <v>124700</v>
      </c>
      <c r="F24" s="37">
        <v>470.80484999999999</v>
      </c>
      <c r="G24" s="38">
        <v>1.4295181799251699</v>
      </c>
      <c r="H24" s="41"/>
    </row>
    <row r="25" spans="2:8" x14ac:dyDescent="0.2">
      <c r="B25" s="35" t="s">
        <v>304</v>
      </c>
      <c r="C25" s="35" t="s">
        <v>305</v>
      </c>
      <c r="D25" s="35" t="s">
        <v>287</v>
      </c>
      <c r="E25" s="40">
        <v>33750</v>
      </c>
      <c r="F25" s="37">
        <v>467.06625000000003</v>
      </c>
      <c r="G25" s="38">
        <v>1.41816656222737</v>
      </c>
      <c r="H25" s="41"/>
    </row>
    <row r="26" spans="2:8" x14ac:dyDescent="0.2">
      <c r="B26" s="35" t="s">
        <v>353</v>
      </c>
      <c r="C26" s="35" t="s">
        <v>354</v>
      </c>
      <c r="D26" s="35" t="s">
        <v>337</v>
      </c>
      <c r="E26" s="40">
        <v>35775</v>
      </c>
      <c r="F26" s="37">
        <v>452.44642499999998</v>
      </c>
      <c r="G26" s="38">
        <v>1.3737759710411901</v>
      </c>
      <c r="H26" s="41"/>
    </row>
    <row r="27" spans="2:8" x14ac:dyDescent="0.2">
      <c r="B27" s="35" t="s">
        <v>355</v>
      </c>
      <c r="C27" s="35" t="s">
        <v>356</v>
      </c>
      <c r="D27" s="35" t="s">
        <v>318</v>
      </c>
      <c r="E27" s="40">
        <v>22250</v>
      </c>
      <c r="F27" s="37">
        <v>443.53149999999999</v>
      </c>
      <c r="G27" s="38">
        <v>1.3467073302653501</v>
      </c>
      <c r="H27" s="41"/>
    </row>
    <row r="28" spans="2:8" x14ac:dyDescent="0.2">
      <c r="B28" s="35" t="s">
        <v>316</v>
      </c>
      <c r="C28" s="35" t="s">
        <v>317</v>
      </c>
      <c r="D28" s="35" t="s">
        <v>318</v>
      </c>
      <c r="E28" s="40">
        <v>43500</v>
      </c>
      <c r="F28" s="37">
        <v>433.2165</v>
      </c>
      <c r="G28" s="38">
        <v>1.3153876018769799</v>
      </c>
      <c r="H28" s="41"/>
    </row>
    <row r="29" spans="2:8" x14ac:dyDescent="0.2">
      <c r="B29" s="35" t="s">
        <v>314</v>
      </c>
      <c r="C29" s="35" t="s">
        <v>315</v>
      </c>
      <c r="D29" s="35" t="s">
        <v>303</v>
      </c>
      <c r="E29" s="40">
        <v>16100</v>
      </c>
      <c r="F29" s="37">
        <v>424.62139999999999</v>
      </c>
      <c r="G29" s="38">
        <v>1.2892900548609001</v>
      </c>
      <c r="H29" s="41"/>
    </row>
    <row r="30" spans="2:8" x14ac:dyDescent="0.2">
      <c r="B30" s="35" t="s">
        <v>627</v>
      </c>
      <c r="C30" s="35" t="s">
        <v>628</v>
      </c>
      <c r="D30" s="35" t="s">
        <v>295</v>
      </c>
      <c r="E30" s="40">
        <v>3931125</v>
      </c>
      <c r="F30" s="37">
        <v>416.30613749999998</v>
      </c>
      <c r="G30" s="38">
        <v>1.2640421864190201</v>
      </c>
      <c r="H30" s="41"/>
    </row>
    <row r="31" spans="2:8" x14ac:dyDescent="0.2">
      <c r="B31" s="35" t="s">
        <v>590</v>
      </c>
      <c r="C31" s="35" t="s">
        <v>591</v>
      </c>
      <c r="D31" s="35" t="s">
        <v>287</v>
      </c>
      <c r="E31" s="40">
        <v>1959300</v>
      </c>
      <c r="F31" s="37">
        <v>405.96695999999997</v>
      </c>
      <c r="G31" s="38">
        <v>1.2326490471985501</v>
      </c>
      <c r="H31" s="41"/>
    </row>
    <row r="32" spans="2:8" x14ac:dyDescent="0.2">
      <c r="B32" s="35" t="s">
        <v>562</v>
      </c>
      <c r="C32" s="35" t="s">
        <v>563</v>
      </c>
      <c r="D32" s="35" t="s">
        <v>382</v>
      </c>
      <c r="E32" s="40">
        <v>22000</v>
      </c>
      <c r="F32" s="37">
        <v>398.94799999999998</v>
      </c>
      <c r="G32" s="38">
        <v>1.21133717897083</v>
      </c>
      <c r="H32" s="41"/>
    </row>
    <row r="33" spans="2:8" x14ac:dyDescent="0.2">
      <c r="B33" s="35" t="s">
        <v>720</v>
      </c>
      <c r="C33" s="35" t="s">
        <v>721</v>
      </c>
      <c r="D33" s="35" t="s">
        <v>318</v>
      </c>
      <c r="E33" s="40">
        <v>52000</v>
      </c>
      <c r="F33" s="37">
        <v>279.63</v>
      </c>
      <c r="G33" s="38">
        <v>0.84904853603881802</v>
      </c>
      <c r="H33" s="41"/>
    </row>
    <row r="34" spans="2:8" x14ac:dyDescent="0.2">
      <c r="B34" s="35" t="s">
        <v>839</v>
      </c>
      <c r="C34" s="35" t="s">
        <v>840</v>
      </c>
      <c r="D34" s="35" t="s">
        <v>325</v>
      </c>
      <c r="E34" s="40">
        <v>22950</v>
      </c>
      <c r="F34" s="37">
        <v>246.89609999999999</v>
      </c>
      <c r="G34" s="38">
        <v>0.74965766283551005</v>
      </c>
      <c r="H34" s="41"/>
    </row>
    <row r="35" spans="2:8" x14ac:dyDescent="0.2">
      <c r="B35" s="35" t="s">
        <v>566</v>
      </c>
      <c r="C35" s="35" t="s">
        <v>567</v>
      </c>
      <c r="D35" s="35" t="s">
        <v>535</v>
      </c>
      <c r="E35" s="40">
        <v>2500</v>
      </c>
      <c r="F35" s="37">
        <v>215.26249999999999</v>
      </c>
      <c r="G35" s="38">
        <v>0.65360766187124497</v>
      </c>
      <c r="H35" s="41"/>
    </row>
    <row r="36" spans="2:8" x14ac:dyDescent="0.2">
      <c r="B36" s="35" t="s">
        <v>560</v>
      </c>
      <c r="C36" s="35" t="s">
        <v>561</v>
      </c>
      <c r="D36" s="35" t="s">
        <v>287</v>
      </c>
      <c r="E36" s="40">
        <v>287525</v>
      </c>
      <c r="F36" s="37">
        <v>211.27337</v>
      </c>
      <c r="G36" s="38">
        <v>0.64149535279650804</v>
      </c>
      <c r="H36" s="41"/>
    </row>
    <row r="37" spans="2:8" x14ac:dyDescent="0.2">
      <c r="B37" s="35" t="s">
        <v>308</v>
      </c>
      <c r="C37" s="35" t="s">
        <v>309</v>
      </c>
      <c r="D37" s="35" t="s">
        <v>310</v>
      </c>
      <c r="E37" s="40">
        <v>5200</v>
      </c>
      <c r="F37" s="37">
        <v>176.66480000000001</v>
      </c>
      <c r="G37" s="38">
        <v>0.53641236566030304</v>
      </c>
      <c r="H37" s="41"/>
    </row>
    <row r="38" spans="2:8" x14ac:dyDescent="0.2">
      <c r="B38" s="35" t="s">
        <v>426</v>
      </c>
      <c r="C38" s="35" t="s">
        <v>427</v>
      </c>
      <c r="D38" s="35" t="s">
        <v>379</v>
      </c>
      <c r="E38" s="40">
        <v>2750</v>
      </c>
      <c r="F38" s="37">
        <v>165.06874999999999</v>
      </c>
      <c r="G38" s="38">
        <v>0.50120294865807602</v>
      </c>
      <c r="H38" s="41"/>
    </row>
    <row r="39" spans="2:8" x14ac:dyDescent="0.2">
      <c r="B39" s="35" t="s">
        <v>748</v>
      </c>
      <c r="C39" s="35" t="s">
        <v>749</v>
      </c>
      <c r="D39" s="35" t="s">
        <v>303</v>
      </c>
      <c r="E39" s="40">
        <v>19975</v>
      </c>
      <c r="F39" s="37">
        <v>154.02722499999999</v>
      </c>
      <c r="G39" s="38">
        <v>0.467677251712519</v>
      </c>
      <c r="H39" s="41"/>
    </row>
    <row r="40" spans="2:8" x14ac:dyDescent="0.2">
      <c r="B40" s="35" t="s">
        <v>367</v>
      </c>
      <c r="C40" s="35" t="s">
        <v>368</v>
      </c>
      <c r="D40" s="35" t="s">
        <v>369</v>
      </c>
      <c r="E40" s="40">
        <v>51750</v>
      </c>
      <c r="F40" s="37">
        <v>144.74475000000001</v>
      </c>
      <c r="G40" s="38">
        <v>0.43949260839968801</v>
      </c>
      <c r="H40" s="41"/>
    </row>
    <row r="41" spans="2:8" x14ac:dyDescent="0.2">
      <c r="B41" s="35" t="s">
        <v>323</v>
      </c>
      <c r="C41" s="35" t="s">
        <v>324</v>
      </c>
      <c r="D41" s="35" t="s">
        <v>325</v>
      </c>
      <c r="E41" s="40">
        <v>8050</v>
      </c>
      <c r="F41" s="37">
        <v>139.82849999999999</v>
      </c>
      <c r="G41" s="38">
        <v>0.42456525845404303</v>
      </c>
      <c r="H41" s="41"/>
    </row>
    <row r="42" spans="2:8" x14ac:dyDescent="0.2">
      <c r="B42" s="35" t="s">
        <v>343</v>
      </c>
      <c r="C42" s="35" t="s">
        <v>344</v>
      </c>
      <c r="D42" s="35" t="s">
        <v>345</v>
      </c>
      <c r="E42" s="40">
        <v>1100</v>
      </c>
      <c r="F42" s="37">
        <v>139.447</v>
      </c>
      <c r="G42" s="38">
        <v>0.42340689913458901</v>
      </c>
      <c r="H42" s="41"/>
    </row>
    <row r="43" spans="2:8" x14ac:dyDescent="0.2">
      <c r="B43" s="35" t="s">
        <v>301</v>
      </c>
      <c r="C43" s="35" t="s">
        <v>302</v>
      </c>
      <c r="D43" s="35" t="s">
        <v>303</v>
      </c>
      <c r="E43" s="40">
        <v>8400</v>
      </c>
      <c r="F43" s="37">
        <v>109.2084</v>
      </c>
      <c r="G43" s="38">
        <v>0.33159257641577</v>
      </c>
      <c r="H43" s="41"/>
    </row>
    <row r="44" spans="2:8" x14ac:dyDescent="0.2">
      <c r="B44" s="35" t="s">
        <v>442</v>
      </c>
      <c r="C44" s="35" t="s">
        <v>443</v>
      </c>
      <c r="D44" s="35" t="s">
        <v>444</v>
      </c>
      <c r="E44" s="40">
        <v>16000</v>
      </c>
      <c r="F44" s="37">
        <v>106.72799999999999</v>
      </c>
      <c r="G44" s="38">
        <v>0.32406126722580197</v>
      </c>
      <c r="H44" s="41"/>
    </row>
    <row r="45" spans="2:8" x14ac:dyDescent="0.2">
      <c r="B45" s="35" t="s">
        <v>326</v>
      </c>
      <c r="C45" s="35" t="s">
        <v>327</v>
      </c>
      <c r="D45" s="35" t="s">
        <v>328</v>
      </c>
      <c r="E45" s="40">
        <v>25500</v>
      </c>
      <c r="F45" s="37">
        <v>97.384500000000003</v>
      </c>
      <c r="G45" s="38">
        <v>0.29569133196678599</v>
      </c>
      <c r="H45" s="41"/>
    </row>
    <row r="46" spans="2:8" x14ac:dyDescent="0.2">
      <c r="B46" s="35" t="s">
        <v>471</v>
      </c>
      <c r="C46" s="35" t="s">
        <v>472</v>
      </c>
      <c r="D46" s="35" t="s">
        <v>287</v>
      </c>
      <c r="E46" s="40">
        <v>72000</v>
      </c>
      <c r="F46" s="37">
        <v>93.196799999999996</v>
      </c>
      <c r="G46" s="38">
        <v>0.28297609914352001</v>
      </c>
      <c r="H46" s="41"/>
    </row>
    <row r="47" spans="2:8" x14ac:dyDescent="0.2">
      <c r="B47" s="35" t="s">
        <v>422</v>
      </c>
      <c r="C47" s="35" t="s">
        <v>423</v>
      </c>
      <c r="D47" s="35" t="s">
        <v>340</v>
      </c>
      <c r="E47" s="40">
        <v>2250</v>
      </c>
      <c r="F47" s="37">
        <v>88.046999999999997</v>
      </c>
      <c r="G47" s="38">
        <v>0.26733961467871797</v>
      </c>
      <c r="H47" s="41"/>
    </row>
    <row r="48" spans="2:8" x14ac:dyDescent="0.2">
      <c r="B48" s="35" t="s">
        <v>372</v>
      </c>
      <c r="C48" s="35" t="s">
        <v>373</v>
      </c>
      <c r="D48" s="35" t="s">
        <v>345</v>
      </c>
      <c r="E48" s="40">
        <v>3000</v>
      </c>
      <c r="F48" s="37">
        <v>83.994</v>
      </c>
      <c r="G48" s="38">
        <v>0.255033375303238</v>
      </c>
      <c r="H48" s="41"/>
    </row>
    <row r="49" spans="2:8" x14ac:dyDescent="0.2">
      <c r="B49" s="35" t="s">
        <v>866</v>
      </c>
      <c r="C49" s="35" t="s">
        <v>867</v>
      </c>
      <c r="D49" s="35" t="s">
        <v>331</v>
      </c>
      <c r="E49" s="40">
        <v>30600</v>
      </c>
      <c r="F49" s="37">
        <v>78.902100000000004</v>
      </c>
      <c r="G49" s="38">
        <v>0.239572694258086</v>
      </c>
      <c r="H49" s="41"/>
    </row>
    <row r="50" spans="2:8" x14ac:dyDescent="0.2">
      <c r="B50" s="35" t="s">
        <v>332</v>
      </c>
      <c r="C50" s="35" t="s">
        <v>333</v>
      </c>
      <c r="D50" s="35" t="s">
        <v>334</v>
      </c>
      <c r="E50" s="40">
        <v>26675</v>
      </c>
      <c r="F50" s="37">
        <v>65.700524999999999</v>
      </c>
      <c r="G50" s="38">
        <v>0.19948837595476801</v>
      </c>
      <c r="H50" s="41"/>
    </row>
    <row r="51" spans="2:8" x14ac:dyDescent="0.2">
      <c r="B51" s="35" t="s">
        <v>592</v>
      </c>
      <c r="C51" s="35" t="s">
        <v>593</v>
      </c>
      <c r="D51" s="35" t="s">
        <v>334</v>
      </c>
      <c r="E51" s="40">
        <v>21875</v>
      </c>
      <c r="F51" s="37">
        <v>58.073749999999997</v>
      </c>
      <c r="G51" s="38">
        <v>0.17633098172508099</v>
      </c>
      <c r="H51" s="41"/>
    </row>
    <row r="52" spans="2:8" x14ac:dyDescent="0.2">
      <c r="B52" s="35" t="s">
        <v>370</v>
      </c>
      <c r="C52" s="35" t="s">
        <v>371</v>
      </c>
      <c r="D52" s="35" t="s">
        <v>331</v>
      </c>
      <c r="E52" s="40">
        <v>2000</v>
      </c>
      <c r="F52" s="37">
        <v>47.524000000000001</v>
      </c>
      <c r="G52" s="38">
        <v>0.144298475223362</v>
      </c>
      <c r="H52" s="41"/>
    </row>
    <row r="53" spans="2:8" x14ac:dyDescent="0.2">
      <c r="B53" s="35" t="s">
        <v>350</v>
      </c>
      <c r="C53" s="35" t="s">
        <v>351</v>
      </c>
      <c r="D53" s="35" t="s">
        <v>352</v>
      </c>
      <c r="E53" s="40">
        <v>4900</v>
      </c>
      <c r="F53" s="37">
        <v>45.310299999999998</v>
      </c>
      <c r="G53" s="38">
        <v>0.13757695484203999</v>
      </c>
      <c r="H53" s="41"/>
    </row>
    <row r="54" spans="2:8" x14ac:dyDescent="0.2">
      <c r="B54" s="35" t="s">
        <v>398</v>
      </c>
      <c r="C54" s="35" t="s">
        <v>399</v>
      </c>
      <c r="D54" s="35" t="s">
        <v>382</v>
      </c>
      <c r="E54" s="40">
        <v>5500</v>
      </c>
      <c r="F54" s="37">
        <v>39.341500000000003</v>
      </c>
      <c r="G54" s="38">
        <v>0.119453717342814</v>
      </c>
      <c r="H54" s="41"/>
    </row>
    <row r="55" spans="2:8" x14ac:dyDescent="0.2">
      <c r="B55" s="35" t="s">
        <v>724</v>
      </c>
      <c r="C55" s="35" t="s">
        <v>725</v>
      </c>
      <c r="D55" s="35" t="s">
        <v>345</v>
      </c>
      <c r="E55" s="40">
        <v>1950</v>
      </c>
      <c r="F55" s="37">
        <v>38.863500000000002</v>
      </c>
      <c r="G55" s="38">
        <v>0.118002352323945</v>
      </c>
      <c r="H55" s="41"/>
    </row>
    <row r="56" spans="2:8" x14ac:dyDescent="0.2">
      <c r="B56" s="35" t="s">
        <v>357</v>
      </c>
      <c r="C56" s="35" t="s">
        <v>358</v>
      </c>
      <c r="D56" s="35" t="s">
        <v>359</v>
      </c>
      <c r="E56" s="40">
        <v>1900</v>
      </c>
      <c r="F56" s="37">
        <v>28.899000000000001</v>
      </c>
      <c r="G56" s="38">
        <v>8.7746857071794193E-2</v>
      </c>
      <c r="H56" s="41"/>
    </row>
    <row r="57" spans="2:8" x14ac:dyDescent="0.2">
      <c r="B57" s="35" t="s">
        <v>400</v>
      </c>
      <c r="C57" s="35" t="s">
        <v>401</v>
      </c>
      <c r="D57" s="35" t="s">
        <v>325</v>
      </c>
      <c r="E57" s="40">
        <v>1875</v>
      </c>
      <c r="F57" s="37">
        <v>25.278749999999999</v>
      </c>
      <c r="G57" s="38">
        <v>7.6754588850950503E-2</v>
      </c>
      <c r="H57" s="41"/>
    </row>
    <row r="58" spans="2:8" x14ac:dyDescent="0.2">
      <c r="B58" s="35" t="s">
        <v>402</v>
      </c>
      <c r="C58" s="35" t="s">
        <v>403</v>
      </c>
      <c r="D58" s="35" t="s">
        <v>404</v>
      </c>
      <c r="E58" s="40">
        <v>2200</v>
      </c>
      <c r="F58" s="37">
        <v>25.102</v>
      </c>
      <c r="G58" s="38">
        <v>7.6217917790102702E-2</v>
      </c>
      <c r="H58" s="41"/>
    </row>
    <row r="59" spans="2:8" x14ac:dyDescent="0.2">
      <c r="B59" s="35" t="s">
        <v>558</v>
      </c>
      <c r="C59" s="35" t="s">
        <v>559</v>
      </c>
      <c r="D59" s="35" t="s">
        <v>391</v>
      </c>
      <c r="E59" s="40">
        <v>2325</v>
      </c>
      <c r="F59" s="37">
        <v>21.916612499999999</v>
      </c>
      <c r="G59" s="38">
        <v>6.6546034967832707E-2</v>
      </c>
      <c r="H59" s="41"/>
    </row>
    <row r="60" spans="2:8" x14ac:dyDescent="0.2">
      <c r="B60" s="35" t="s">
        <v>596</v>
      </c>
      <c r="C60" s="35" t="s">
        <v>597</v>
      </c>
      <c r="D60" s="35" t="s">
        <v>359</v>
      </c>
      <c r="E60" s="40">
        <v>20925</v>
      </c>
      <c r="F60" s="37">
        <v>21.056827500000001</v>
      </c>
      <c r="G60" s="38">
        <v>6.3935445275889305E-2</v>
      </c>
      <c r="H60" s="41"/>
    </row>
    <row r="61" spans="2:8" x14ac:dyDescent="0.2">
      <c r="B61" s="35" t="s">
        <v>650</v>
      </c>
      <c r="C61" s="35" t="s">
        <v>651</v>
      </c>
      <c r="D61" s="35" t="s">
        <v>382</v>
      </c>
      <c r="E61" s="40">
        <v>2775</v>
      </c>
      <c r="F61" s="37">
        <v>18.162375000000001</v>
      </c>
      <c r="G61" s="38">
        <v>5.5146936683253003E-2</v>
      </c>
      <c r="H61" s="41"/>
    </row>
    <row r="62" spans="2:8" x14ac:dyDescent="0.2">
      <c r="B62" s="35" t="s">
        <v>466</v>
      </c>
      <c r="C62" s="35" t="s">
        <v>467</v>
      </c>
      <c r="D62" s="35" t="s">
        <v>468</v>
      </c>
      <c r="E62" s="40">
        <v>9450</v>
      </c>
      <c r="F62" s="37">
        <v>16.020585000000001</v>
      </c>
      <c r="G62" s="38">
        <v>4.8643758683744397E-2</v>
      </c>
      <c r="H62" s="41"/>
    </row>
    <row r="63" spans="2:8" x14ac:dyDescent="0.2">
      <c r="B63" s="35" t="s">
        <v>383</v>
      </c>
      <c r="C63" s="35" t="s">
        <v>384</v>
      </c>
      <c r="D63" s="35" t="s">
        <v>334</v>
      </c>
      <c r="E63" s="40">
        <v>400</v>
      </c>
      <c r="F63" s="37">
        <v>15.598000000000001</v>
      </c>
      <c r="G63" s="38">
        <v>4.7360651808223297E-2</v>
      </c>
      <c r="H63" s="41"/>
    </row>
    <row r="64" spans="2:8" x14ac:dyDescent="0.2">
      <c r="B64" s="35" t="s">
        <v>389</v>
      </c>
      <c r="C64" s="35" t="s">
        <v>390</v>
      </c>
      <c r="D64" s="35" t="s">
        <v>391</v>
      </c>
      <c r="E64" s="40">
        <v>525</v>
      </c>
      <c r="F64" s="37">
        <v>5.7327374999999998</v>
      </c>
      <c r="G64" s="38">
        <v>1.74064742047342E-2</v>
      </c>
      <c r="H64" s="41"/>
    </row>
    <row r="65" spans="2:9" x14ac:dyDescent="0.2">
      <c r="B65" s="34" t="s">
        <v>65</v>
      </c>
      <c r="C65" s="34"/>
      <c r="D65" s="34"/>
      <c r="E65" s="43"/>
      <c r="F65" s="44">
        <f>SUM(F7:F64)</f>
        <v>25241.704282499999</v>
      </c>
      <c r="G65" s="45">
        <f>SUM(G7:G64)</f>
        <v>76.64210588342236</v>
      </c>
      <c r="H65" s="34"/>
      <c r="I65" s="26"/>
    </row>
    <row r="66" spans="2:9" x14ac:dyDescent="0.2">
      <c r="B66" s="34" t="s">
        <v>410</v>
      </c>
      <c r="C66" s="34"/>
      <c r="D66" s="34"/>
      <c r="E66" s="43"/>
      <c r="F66" s="70" t="s">
        <v>411</v>
      </c>
      <c r="G66" s="71" t="s">
        <v>411</v>
      </c>
      <c r="H66" s="34"/>
      <c r="I66" s="26"/>
    </row>
    <row r="67" spans="2:9" x14ac:dyDescent="0.2">
      <c r="B67" s="34" t="s">
        <v>65</v>
      </c>
      <c r="C67" s="34"/>
      <c r="D67" s="34"/>
      <c r="E67" s="43"/>
      <c r="F67" s="66" t="s">
        <v>411</v>
      </c>
      <c r="G67" s="67" t="s">
        <v>411</v>
      </c>
      <c r="H67" s="34"/>
      <c r="I67" s="26"/>
    </row>
    <row r="68" spans="2:9" x14ac:dyDescent="0.2">
      <c r="B68" s="49" t="s">
        <v>24</v>
      </c>
      <c r="C68" s="49"/>
      <c r="D68" s="49"/>
      <c r="E68" s="50"/>
      <c r="F68" s="51">
        <f>F65</f>
        <v>25241.704282499999</v>
      </c>
      <c r="G68" s="52">
        <f>G65</f>
        <v>76.64210588342236</v>
      </c>
      <c r="H68" s="34"/>
      <c r="I68" s="26"/>
    </row>
    <row r="69" spans="2:9" x14ac:dyDescent="0.2">
      <c r="B69" s="34" t="s">
        <v>66</v>
      </c>
      <c r="C69" s="35"/>
      <c r="D69" s="35"/>
      <c r="E69" s="36"/>
      <c r="F69" s="37"/>
      <c r="G69" s="38"/>
      <c r="H69" s="35"/>
    </row>
    <row r="70" spans="2:9" x14ac:dyDescent="0.2">
      <c r="B70" s="35" t="s">
        <v>83</v>
      </c>
      <c r="C70" s="35" t="s">
        <v>84</v>
      </c>
      <c r="D70" s="35" t="s">
        <v>36</v>
      </c>
      <c r="E70" s="40">
        <v>100</v>
      </c>
      <c r="F70" s="37">
        <v>498.53399999999999</v>
      </c>
      <c r="G70" s="38">
        <v>1.51371298811135</v>
      </c>
      <c r="H70" s="41">
        <v>5.6491E-2</v>
      </c>
    </row>
    <row r="71" spans="2:9" x14ac:dyDescent="0.2">
      <c r="B71" s="35" t="s">
        <v>65</v>
      </c>
      <c r="C71" s="34"/>
      <c r="D71" s="34"/>
      <c r="E71" s="43"/>
      <c r="F71" s="44">
        <f>SUM(F69:F70)</f>
        <v>498.53399999999999</v>
      </c>
      <c r="G71" s="45">
        <f>SUM(G69:G70)</f>
        <v>1.51371298811135</v>
      </c>
      <c r="H71" s="34"/>
      <c r="I71" s="26"/>
    </row>
    <row r="72" spans="2:9" x14ac:dyDescent="0.2">
      <c r="B72" s="34" t="s">
        <v>96</v>
      </c>
      <c r="C72" s="35"/>
      <c r="D72" s="35"/>
      <c r="E72" s="36"/>
      <c r="F72" s="37"/>
      <c r="G72" s="38"/>
      <c r="H72" s="35"/>
    </row>
    <row r="73" spans="2:9" x14ac:dyDescent="0.2">
      <c r="B73" s="35" t="s">
        <v>222</v>
      </c>
      <c r="C73" s="35" t="s">
        <v>223</v>
      </c>
      <c r="D73" s="35" t="s">
        <v>109</v>
      </c>
      <c r="E73" s="40">
        <v>500000</v>
      </c>
      <c r="F73" s="37">
        <v>495.23649999999998</v>
      </c>
      <c r="G73" s="38">
        <v>1.50370069491109</v>
      </c>
      <c r="H73" s="41">
        <v>5.2400000000000002E-2</v>
      </c>
    </row>
    <row r="74" spans="2:9" x14ac:dyDescent="0.2">
      <c r="B74" s="34" t="s">
        <v>65</v>
      </c>
      <c r="C74" s="34"/>
      <c r="D74" s="34"/>
      <c r="E74" s="43"/>
      <c r="F74" s="47">
        <f>SUM(F72:F73)</f>
        <v>495.23649999999998</v>
      </c>
      <c r="G74" s="48">
        <f>SUM(G72:G73)</f>
        <v>1.50370069491109</v>
      </c>
      <c r="H74" s="34"/>
      <c r="I74" s="26"/>
    </row>
    <row r="75" spans="2:9" x14ac:dyDescent="0.2">
      <c r="B75" s="49" t="s">
        <v>105</v>
      </c>
      <c r="C75" s="49"/>
      <c r="D75" s="49"/>
      <c r="E75" s="50"/>
      <c r="F75" s="51">
        <f>+F71+F74</f>
        <v>993.77049999999997</v>
      </c>
      <c r="G75" s="52">
        <f>+G71+G74</f>
        <v>3.0174136830224398</v>
      </c>
      <c r="H75" s="34"/>
      <c r="I75" s="26"/>
    </row>
    <row r="76" spans="2:9" x14ac:dyDescent="0.2">
      <c r="B76" s="34" t="s">
        <v>1389</v>
      </c>
      <c r="C76" s="35"/>
      <c r="D76" s="35"/>
      <c r="E76" s="36"/>
      <c r="F76" s="37"/>
      <c r="G76" s="38"/>
      <c r="H76" s="35"/>
    </row>
    <row r="77" spans="2:9" x14ac:dyDescent="0.2">
      <c r="B77" s="35" t="s">
        <v>1390</v>
      </c>
      <c r="C77" s="35" t="s">
        <v>1391</v>
      </c>
      <c r="D77" s="35"/>
      <c r="E77" s="40">
        <v>243339.28</v>
      </c>
      <c r="F77" s="37">
        <v>2528.0887674999999</v>
      </c>
      <c r="G77" s="38">
        <v>7.6761079534458201</v>
      </c>
      <c r="H77" s="35"/>
    </row>
    <row r="78" spans="2:9" x14ac:dyDescent="0.2">
      <c r="B78" s="35" t="s">
        <v>1392</v>
      </c>
      <c r="C78" s="35" t="s">
        <v>1393</v>
      </c>
      <c r="D78" s="35"/>
      <c r="E78" s="40">
        <v>146361.65100000001</v>
      </c>
      <c r="F78" s="37">
        <v>1520.9850082</v>
      </c>
      <c r="G78" s="38">
        <v>4.6182101153281101</v>
      </c>
      <c r="H78" s="35"/>
    </row>
    <row r="79" spans="2:9" x14ac:dyDescent="0.2">
      <c r="B79" s="34" t="s">
        <v>65</v>
      </c>
      <c r="C79" s="34"/>
      <c r="D79" s="34"/>
      <c r="E79" s="43"/>
      <c r="F79" s="44">
        <f>SUM(F77:F78)</f>
        <v>4049.0737756999997</v>
      </c>
      <c r="G79" s="45">
        <f>SUM(G77:G78)</f>
        <v>12.294318068773929</v>
      </c>
      <c r="H79" s="34"/>
      <c r="I79" s="26"/>
    </row>
    <row r="80" spans="2:9" x14ac:dyDescent="0.2">
      <c r="B80" s="34"/>
      <c r="C80" s="35"/>
      <c r="D80" s="35"/>
      <c r="E80" s="36"/>
      <c r="F80" s="37"/>
      <c r="G80" s="38"/>
      <c r="H80" s="35"/>
    </row>
    <row r="81" spans="2:9" x14ac:dyDescent="0.2">
      <c r="B81" s="34" t="s">
        <v>113</v>
      </c>
      <c r="C81" s="34"/>
      <c r="D81" s="34"/>
      <c r="E81" s="43"/>
      <c r="F81" s="44">
        <v>2271.7571179000001</v>
      </c>
      <c r="G81" s="45">
        <v>6.8978008625282001</v>
      </c>
      <c r="H81" s="41">
        <v>4.9299999999999997E-2</v>
      </c>
      <c r="I81" s="27"/>
    </row>
    <row r="82" spans="2:9" x14ac:dyDescent="0.2">
      <c r="B82" s="35"/>
      <c r="C82" s="35"/>
      <c r="D82" s="35"/>
      <c r="E82" s="36"/>
      <c r="F82" s="37"/>
      <c r="G82" s="38"/>
      <c r="H82" s="35"/>
    </row>
    <row r="83" spans="2:9" x14ac:dyDescent="0.2">
      <c r="B83" s="58" t="s">
        <v>115</v>
      </c>
      <c r="C83" s="58"/>
      <c r="D83" s="58"/>
      <c r="E83" s="59"/>
      <c r="F83" s="44">
        <f>F84-(F65+F71+F74+F79+F81)</f>
        <v>378.20726760000252</v>
      </c>
      <c r="G83" s="45">
        <f>G84-(G65+G71+G74+G79+G81)</f>
        <v>1.1483615022530671</v>
      </c>
      <c r="H83" s="34"/>
      <c r="I83" s="26"/>
    </row>
    <row r="84" spans="2:9" x14ac:dyDescent="0.2">
      <c r="B84" s="53" t="s">
        <v>114</v>
      </c>
      <c r="C84" s="53"/>
      <c r="D84" s="53"/>
      <c r="E84" s="54"/>
      <c r="F84" s="55">
        <v>32934.5129437</v>
      </c>
      <c r="G84" s="56">
        <v>100</v>
      </c>
      <c r="H84" s="72"/>
      <c r="I84" s="26"/>
    </row>
    <row r="86" spans="2:9" x14ac:dyDescent="0.2">
      <c r="B86" s="26" t="s">
        <v>1382</v>
      </c>
    </row>
    <row r="88" spans="2:9" ht="24" customHeight="1" x14ac:dyDescent="0.2">
      <c r="B88" s="108" t="s">
        <v>7</v>
      </c>
      <c r="C88" s="108" t="s">
        <v>1383</v>
      </c>
      <c r="D88" s="108" t="s">
        <v>412</v>
      </c>
      <c r="E88" s="109" t="s">
        <v>0</v>
      </c>
      <c r="F88" s="106" t="s">
        <v>1384</v>
      </c>
      <c r="G88" s="110" t="s">
        <v>1385</v>
      </c>
    </row>
    <row r="89" spans="2:9" x14ac:dyDescent="0.2">
      <c r="B89" s="78" t="s">
        <v>1394</v>
      </c>
      <c r="C89" s="78" t="s">
        <v>1395</v>
      </c>
      <c r="D89" s="78" t="s">
        <v>391</v>
      </c>
      <c r="E89" s="79">
        <v>-525</v>
      </c>
      <c r="F89" s="80">
        <v>-5.7980999999999998</v>
      </c>
      <c r="G89" s="81">
        <v>-1.7604936225750701E-2</v>
      </c>
    </row>
    <row r="90" spans="2:9" x14ac:dyDescent="0.2">
      <c r="B90" s="78" t="s">
        <v>1396</v>
      </c>
      <c r="C90" s="78" t="s">
        <v>1395</v>
      </c>
      <c r="D90" s="78" t="s">
        <v>444</v>
      </c>
      <c r="E90" s="79">
        <v>-1000</v>
      </c>
      <c r="F90" s="80">
        <v>-6.7084999999999999</v>
      </c>
      <c r="G90" s="81">
        <v>-2.0369209684284299E-2</v>
      </c>
    </row>
    <row r="91" spans="2:9" x14ac:dyDescent="0.2">
      <c r="B91" s="78" t="s">
        <v>1397</v>
      </c>
      <c r="C91" s="78" t="s">
        <v>1395</v>
      </c>
      <c r="D91" s="78" t="s">
        <v>310</v>
      </c>
      <c r="E91" s="79">
        <v>-200</v>
      </c>
      <c r="F91" s="80">
        <v>-6.8297999999999996</v>
      </c>
      <c r="G91" s="81">
        <v>-2.0737516330286199E-2</v>
      </c>
    </row>
    <row r="92" spans="2:9" x14ac:dyDescent="0.2">
      <c r="B92" s="78" t="s">
        <v>1398</v>
      </c>
      <c r="C92" s="78" t="s">
        <v>1395</v>
      </c>
      <c r="D92" s="78" t="s">
        <v>295</v>
      </c>
      <c r="E92" s="79">
        <v>-71475</v>
      </c>
      <c r="F92" s="80">
        <v>-7.6978574999999996</v>
      </c>
      <c r="G92" s="81">
        <v>-2.3373224049674301E-2</v>
      </c>
    </row>
    <row r="93" spans="2:9" x14ac:dyDescent="0.2">
      <c r="B93" s="78" t="s">
        <v>1399</v>
      </c>
      <c r="C93" s="78" t="s">
        <v>1395</v>
      </c>
      <c r="D93" s="78" t="s">
        <v>325</v>
      </c>
      <c r="E93" s="79">
        <v>-700</v>
      </c>
      <c r="F93" s="80">
        <v>-12.315799999999999</v>
      </c>
      <c r="G93" s="81">
        <v>-3.7394814433883601E-2</v>
      </c>
    </row>
    <row r="94" spans="2:9" x14ac:dyDescent="0.2">
      <c r="B94" s="78" t="s">
        <v>1400</v>
      </c>
      <c r="C94" s="78" t="s">
        <v>1395</v>
      </c>
      <c r="D94" s="78" t="s">
        <v>295</v>
      </c>
      <c r="E94" s="79">
        <v>-142950</v>
      </c>
      <c r="F94" s="80">
        <v>-15.195584999999999</v>
      </c>
      <c r="G94" s="81">
        <v>-4.61387876783729E-2</v>
      </c>
    </row>
    <row r="95" spans="2:9" x14ac:dyDescent="0.2">
      <c r="B95" s="78" t="s">
        <v>1401</v>
      </c>
      <c r="C95" s="78" t="s">
        <v>1395</v>
      </c>
      <c r="D95" s="78" t="s">
        <v>334</v>
      </c>
      <c r="E95" s="79">
        <v>-400</v>
      </c>
      <c r="F95" s="80">
        <v>-15.789199999999999</v>
      </c>
      <c r="G95" s="81">
        <v>-4.7941197815771198E-2</v>
      </c>
    </row>
    <row r="96" spans="2:9" x14ac:dyDescent="0.2">
      <c r="B96" s="78" t="s">
        <v>1402</v>
      </c>
      <c r="C96" s="78" t="s">
        <v>1395</v>
      </c>
      <c r="D96" s="78" t="s">
        <v>468</v>
      </c>
      <c r="E96" s="79">
        <v>-9450</v>
      </c>
      <c r="F96" s="80">
        <v>-16.219035000000002</v>
      </c>
      <c r="G96" s="81">
        <v>-4.9246318072854699E-2</v>
      </c>
    </row>
    <row r="97" spans="2:7" x14ac:dyDescent="0.2">
      <c r="B97" s="78" t="s">
        <v>1403</v>
      </c>
      <c r="C97" s="78" t="s">
        <v>1395</v>
      </c>
      <c r="D97" s="78" t="s">
        <v>382</v>
      </c>
      <c r="E97" s="79">
        <v>-2775</v>
      </c>
      <c r="F97" s="80">
        <v>-18.265049999999999</v>
      </c>
      <c r="G97" s="81">
        <v>-5.5458691711103299E-2</v>
      </c>
    </row>
    <row r="98" spans="2:7" x14ac:dyDescent="0.2">
      <c r="B98" s="78" t="s">
        <v>1404</v>
      </c>
      <c r="C98" s="78" t="s">
        <v>1395</v>
      </c>
      <c r="D98" s="78" t="s">
        <v>318</v>
      </c>
      <c r="E98" s="79">
        <v>-1000</v>
      </c>
      <c r="F98" s="80">
        <v>-20.18</v>
      </c>
      <c r="G98" s="81">
        <v>-6.12731089556319E-2</v>
      </c>
    </row>
    <row r="99" spans="2:7" x14ac:dyDescent="0.2">
      <c r="B99" s="78" t="s">
        <v>1405</v>
      </c>
      <c r="C99" s="78" t="s">
        <v>1395</v>
      </c>
      <c r="D99" s="78" t="s">
        <v>359</v>
      </c>
      <c r="E99" s="79">
        <v>-20925</v>
      </c>
      <c r="F99" s="80">
        <v>-21.086122499999998</v>
      </c>
      <c r="G99" s="81">
        <v>-6.4024394519043695E-2</v>
      </c>
    </row>
    <row r="100" spans="2:7" x14ac:dyDescent="0.2">
      <c r="B100" s="78" t="s">
        <v>1406</v>
      </c>
      <c r="C100" s="78" t="s">
        <v>1395</v>
      </c>
      <c r="D100" s="78" t="s">
        <v>391</v>
      </c>
      <c r="E100" s="79">
        <v>-2325</v>
      </c>
      <c r="F100" s="80">
        <v>-22.010774999999999</v>
      </c>
      <c r="G100" s="81">
        <v>-6.6831943249400394E-2</v>
      </c>
    </row>
    <row r="101" spans="2:7" x14ac:dyDescent="0.2">
      <c r="B101" s="78" t="s">
        <v>1407</v>
      </c>
      <c r="C101" s="78" t="s">
        <v>1395</v>
      </c>
      <c r="D101" s="78" t="s">
        <v>331</v>
      </c>
      <c r="E101" s="79">
        <v>-9000</v>
      </c>
      <c r="F101" s="80">
        <v>-23.2713</v>
      </c>
      <c r="G101" s="81">
        <v>-7.0659311220971105E-2</v>
      </c>
    </row>
    <row r="102" spans="2:7" x14ac:dyDescent="0.2">
      <c r="B102" s="78" t="s">
        <v>1408</v>
      </c>
      <c r="C102" s="78" t="s">
        <v>1395</v>
      </c>
      <c r="D102" s="78" t="s">
        <v>404</v>
      </c>
      <c r="E102" s="79">
        <v>-2200</v>
      </c>
      <c r="F102" s="80">
        <v>-25.245000000000001</v>
      </c>
      <c r="G102" s="81">
        <v>-7.6652112764367106E-2</v>
      </c>
    </row>
    <row r="103" spans="2:7" x14ac:dyDescent="0.2">
      <c r="B103" s="78" t="s">
        <v>1409</v>
      </c>
      <c r="C103" s="78" t="s">
        <v>1395</v>
      </c>
      <c r="D103" s="78" t="s">
        <v>325</v>
      </c>
      <c r="E103" s="79">
        <v>-1875</v>
      </c>
      <c r="F103" s="80">
        <v>-25.335000000000001</v>
      </c>
      <c r="G103" s="81">
        <v>-7.6925382328589406E-2</v>
      </c>
    </row>
    <row r="104" spans="2:7" x14ac:dyDescent="0.2">
      <c r="B104" s="78" t="s">
        <v>1410</v>
      </c>
      <c r="C104" s="78" t="s">
        <v>1395</v>
      </c>
      <c r="D104" s="78" t="s">
        <v>359</v>
      </c>
      <c r="E104" s="79">
        <v>-1900</v>
      </c>
      <c r="F104" s="80">
        <v>-29.244800000000001</v>
      </c>
      <c r="G104" s="81">
        <v>-8.8796819464106294E-2</v>
      </c>
    </row>
    <row r="105" spans="2:7" x14ac:dyDescent="0.2">
      <c r="B105" s="78" t="s">
        <v>1411</v>
      </c>
      <c r="C105" s="78" t="s">
        <v>1395</v>
      </c>
      <c r="D105" s="78" t="s">
        <v>287</v>
      </c>
      <c r="E105" s="79">
        <v>-155500</v>
      </c>
      <c r="F105" s="80">
        <v>-32.7483</v>
      </c>
      <c r="G105" s="81">
        <v>-9.94345963335838E-2</v>
      </c>
    </row>
    <row r="106" spans="2:7" x14ac:dyDescent="0.2">
      <c r="B106" s="78" t="s">
        <v>1412</v>
      </c>
      <c r="C106" s="78" t="s">
        <v>1395</v>
      </c>
      <c r="D106" s="78" t="s">
        <v>287</v>
      </c>
      <c r="E106" s="79">
        <v>-3850</v>
      </c>
      <c r="F106" s="80">
        <v>-34.418999999999997</v>
      </c>
      <c r="G106" s="81">
        <v>-0.10450739034409801</v>
      </c>
    </row>
    <row r="107" spans="2:7" x14ac:dyDescent="0.2">
      <c r="B107" s="78" t="s">
        <v>1413</v>
      </c>
      <c r="C107" s="78" t="s">
        <v>1395</v>
      </c>
      <c r="D107" s="78" t="s">
        <v>345</v>
      </c>
      <c r="E107" s="79">
        <v>-1950</v>
      </c>
      <c r="F107" s="80">
        <v>-38.900550000000003</v>
      </c>
      <c r="G107" s="81">
        <v>-0.118114848294549</v>
      </c>
    </row>
    <row r="108" spans="2:7" x14ac:dyDescent="0.2">
      <c r="B108" s="78" t="s">
        <v>1414</v>
      </c>
      <c r="C108" s="78" t="s">
        <v>1395</v>
      </c>
      <c r="D108" s="78" t="s">
        <v>382</v>
      </c>
      <c r="E108" s="79">
        <v>-5500</v>
      </c>
      <c r="F108" s="80">
        <v>-39.83925</v>
      </c>
      <c r="G108" s="81">
        <v>-0.120965049849388</v>
      </c>
    </row>
    <row r="109" spans="2:7" x14ac:dyDescent="0.2">
      <c r="B109" s="78" t="s">
        <v>1415</v>
      </c>
      <c r="C109" s="78" t="s">
        <v>1395</v>
      </c>
      <c r="D109" s="78" t="s">
        <v>352</v>
      </c>
      <c r="E109" s="79">
        <v>-4900</v>
      </c>
      <c r="F109" s="80">
        <v>-45.562649999999998</v>
      </c>
      <c r="G109" s="81">
        <v>-0.13834317233683499</v>
      </c>
    </row>
    <row r="110" spans="2:7" x14ac:dyDescent="0.2">
      <c r="B110" s="78" t="s">
        <v>1416</v>
      </c>
      <c r="C110" s="78" t="s">
        <v>1395</v>
      </c>
      <c r="D110" s="78" t="s">
        <v>331</v>
      </c>
      <c r="E110" s="79">
        <v>-2000</v>
      </c>
      <c r="F110" s="80">
        <v>-47.793999999999997</v>
      </c>
      <c r="G110" s="81">
        <v>-0.14511828391602899</v>
      </c>
    </row>
    <row r="111" spans="2:7" x14ac:dyDescent="0.2">
      <c r="B111" s="78" t="s">
        <v>1417</v>
      </c>
      <c r="C111" s="78" t="s">
        <v>1395</v>
      </c>
      <c r="D111" s="78" t="s">
        <v>287</v>
      </c>
      <c r="E111" s="79">
        <v>-64925</v>
      </c>
      <c r="F111" s="80">
        <v>-47.86271</v>
      </c>
      <c r="G111" s="81">
        <v>-0.145326910046671</v>
      </c>
    </row>
    <row r="112" spans="2:7" x14ac:dyDescent="0.2">
      <c r="B112" s="78" t="s">
        <v>1418</v>
      </c>
      <c r="C112" s="78" t="s">
        <v>1395</v>
      </c>
      <c r="D112" s="78" t="s">
        <v>331</v>
      </c>
      <c r="E112" s="79">
        <v>-21600</v>
      </c>
      <c r="F112" s="80">
        <v>-56.198880000000003</v>
      </c>
      <c r="G112" s="81">
        <v>-0.17063826052648601</v>
      </c>
    </row>
    <row r="113" spans="2:7" x14ac:dyDescent="0.2">
      <c r="B113" s="78" t="s">
        <v>1419</v>
      </c>
      <c r="C113" s="78" t="s">
        <v>1395</v>
      </c>
      <c r="D113" s="78" t="s">
        <v>334</v>
      </c>
      <c r="E113" s="79">
        <v>-21875</v>
      </c>
      <c r="F113" s="80">
        <v>-58.215937500000003</v>
      </c>
      <c r="G113" s="81">
        <v>-0.17676270968244601</v>
      </c>
    </row>
    <row r="114" spans="2:7" x14ac:dyDescent="0.2">
      <c r="B114" s="78" t="s">
        <v>1420</v>
      </c>
      <c r="C114" s="78" t="s">
        <v>1395</v>
      </c>
      <c r="D114" s="78" t="s">
        <v>292</v>
      </c>
      <c r="E114" s="79">
        <v>-4500</v>
      </c>
      <c r="F114" s="80">
        <v>-63.063000000000002</v>
      </c>
      <c r="G114" s="81">
        <v>-0.19147998365059499</v>
      </c>
    </row>
    <row r="115" spans="2:7" x14ac:dyDescent="0.2">
      <c r="B115" s="78" t="s">
        <v>1421</v>
      </c>
      <c r="C115" s="78" t="s">
        <v>1395</v>
      </c>
      <c r="D115" s="78" t="s">
        <v>334</v>
      </c>
      <c r="E115" s="79">
        <v>-26675</v>
      </c>
      <c r="F115" s="80">
        <v>-65.927262499999998</v>
      </c>
      <c r="G115" s="81">
        <v>-0.20017682548607801</v>
      </c>
    </row>
    <row r="116" spans="2:7" x14ac:dyDescent="0.2">
      <c r="B116" s="78" t="s">
        <v>1422</v>
      </c>
      <c r="C116" s="78" t="s">
        <v>1395</v>
      </c>
      <c r="D116" s="78" t="s">
        <v>345</v>
      </c>
      <c r="E116" s="79">
        <v>-3000</v>
      </c>
      <c r="F116" s="80">
        <v>-84.447000000000003</v>
      </c>
      <c r="G116" s="81">
        <v>-0.25640883210982401</v>
      </c>
    </row>
    <row r="117" spans="2:7" x14ac:dyDescent="0.2">
      <c r="B117" s="78" t="s">
        <v>1423</v>
      </c>
      <c r="C117" s="78" t="s">
        <v>1395</v>
      </c>
      <c r="D117" s="78" t="s">
        <v>340</v>
      </c>
      <c r="E117" s="79">
        <v>-2250</v>
      </c>
      <c r="F117" s="80">
        <v>-88.528499999999994</v>
      </c>
      <c r="G117" s="81">
        <v>-0.26880160684730697</v>
      </c>
    </row>
    <row r="118" spans="2:7" x14ac:dyDescent="0.2">
      <c r="B118" s="78" t="s">
        <v>1424</v>
      </c>
      <c r="C118" s="78" t="s">
        <v>1395</v>
      </c>
      <c r="D118" s="78" t="s">
        <v>287</v>
      </c>
      <c r="E118" s="79">
        <v>-72000</v>
      </c>
      <c r="F118" s="80">
        <v>-94.082400000000007</v>
      </c>
      <c r="G118" s="81">
        <v>-0.28566507165546801</v>
      </c>
    </row>
    <row r="119" spans="2:7" x14ac:dyDescent="0.2">
      <c r="B119" s="78" t="s">
        <v>1425</v>
      </c>
      <c r="C119" s="78" t="s">
        <v>1395</v>
      </c>
      <c r="D119" s="78" t="s">
        <v>328</v>
      </c>
      <c r="E119" s="79">
        <v>-25500</v>
      </c>
      <c r="F119" s="80">
        <v>-97.715999999999994</v>
      </c>
      <c r="G119" s="81">
        <v>-0.29669787486167098</v>
      </c>
    </row>
    <row r="120" spans="2:7" x14ac:dyDescent="0.2">
      <c r="B120" s="78" t="s">
        <v>1426</v>
      </c>
      <c r="C120" s="78" t="s">
        <v>1395</v>
      </c>
      <c r="D120" s="78" t="s">
        <v>444</v>
      </c>
      <c r="E120" s="79">
        <v>-15000</v>
      </c>
      <c r="F120" s="80">
        <v>-101.4825</v>
      </c>
      <c r="G120" s="81">
        <v>-0.30813420612437598</v>
      </c>
    </row>
    <row r="121" spans="2:7" x14ac:dyDescent="0.2">
      <c r="B121" s="78" t="s">
        <v>1427</v>
      </c>
      <c r="C121" s="78" t="s">
        <v>1395</v>
      </c>
      <c r="D121" s="78" t="s">
        <v>303</v>
      </c>
      <c r="E121" s="79">
        <v>-8400</v>
      </c>
      <c r="F121" s="80">
        <v>-110.24160000000001</v>
      </c>
      <c r="G121" s="81">
        <v>-0.334729711013042</v>
      </c>
    </row>
    <row r="122" spans="2:7" x14ac:dyDescent="0.2">
      <c r="B122" s="78" t="s">
        <v>1428</v>
      </c>
      <c r="C122" s="78" t="s">
        <v>1395</v>
      </c>
      <c r="D122" s="78" t="s">
        <v>287</v>
      </c>
      <c r="E122" s="79">
        <v>-35100</v>
      </c>
      <c r="F122" s="80">
        <v>-113.9346</v>
      </c>
      <c r="G122" s="81">
        <v>-0.345942872131632</v>
      </c>
    </row>
    <row r="123" spans="2:7" x14ac:dyDescent="0.2">
      <c r="B123" s="78" t="s">
        <v>1429</v>
      </c>
      <c r="C123" s="78" t="s">
        <v>1395</v>
      </c>
      <c r="D123" s="78" t="s">
        <v>325</v>
      </c>
      <c r="E123" s="79">
        <v>-7350</v>
      </c>
      <c r="F123" s="80">
        <v>-128.38980000000001</v>
      </c>
      <c r="G123" s="81">
        <v>-0.38983360773992998</v>
      </c>
    </row>
    <row r="124" spans="2:7" x14ac:dyDescent="0.2">
      <c r="B124" s="78" t="s">
        <v>1430</v>
      </c>
      <c r="C124" s="78" t="s">
        <v>1395</v>
      </c>
      <c r="D124" s="78" t="s">
        <v>318</v>
      </c>
      <c r="E124" s="79">
        <v>-24000</v>
      </c>
      <c r="F124" s="80">
        <v>-129.46799999999999</v>
      </c>
      <c r="G124" s="81">
        <v>-0.39310737711931398</v>
      </c>
    </row>
    <row r="125" spans="2:7" x14ac:dyDescent="0.2">
      <c r="B125" s="78" t="s">
        <v>1431</v>
      </c>
      <c r="C125" s="78" t="s">
        <v>1395</v>
      </c>
      <c r="D125" s="78" t="s">
        <v>345</v>
      </c>
      <c r="E125" s="79">
        <v>-1100</v>
      </c>
      <c r="F125" s="80">
        <v>-140.08500000000001</v>
      </c>
      <c r="G125" s="81">
        <v>-0.42534407671207602</v>
      </c>
    </row>
    <row r="126" spans="2:7" x14ac:dyDescent="0.2">
      <c r="B126" s="78" t="s">
        <v>1432</v>
      </c>
      <c r="C126" s="78" t="s">
        <v>1395</v>
      </c>
      <c r="D126" s="78" t="s">
        <v>369</v>
      </c>
      <c r="E126" s="79">
        <v>-51750</v>
      </c>
      <c r="F126" s="80">
        <v>-146.142</v>
      </c>
      <c r="G126" s="81">
        <v>-0.44373511838424001</v>
      </c>
    </row>
    <row r="127" spans="2:7" x14ac:dyDescent="0.2">
      <c r="B127" s="78" t="s">
        <v>1433</v>
      </c>
      <c r="C127" s="78" t="s">
        <v>1395</v>
      </c>
      <c r="D127" s="78" t="s">
        <v>453</v>
      </c>
      <c r="E127" s="79">
        <v>-55125</v>
      </c>
      <c r="F127" s="80">
        <v>-146.8805625</v>
      </c>
      <c r="G127" s="81">
        <v>-0.44597763674563901</v>
      </c>
    </row>
    <row r="128" spans="2:7" x14ac:dyDescent="0.2">
      <c r="B128" s="78" t="s">
        <v>1434</v>
      </c>
      <c r="C128" s="78" t="s">
        <v>1395</v>
      </c>
      <c r="D128" s="78" t="s">
        <v>318</v>
      </c>
      <c r="E128" s="79">
        <v>-28000</v>
      </c>
      <c r="F128" s="80">
        <v>-151.97</v>
      </c>
      <c r="G128" s="81">
        <v>-0.46143084083188202</v>
      </c>
    </row>
    <row r="129" spans="2:7" x14ac:dyDescent="0.2">
      <c r="B129" s="78" t="s">
        <v>1435</v>
      </c>
      <c r="C129" s="78" t="s">
        <v>1395</v>
      </c>
      <c r="D129" s="78" t="s">
        <v>303</v>
      </c>
      <c r="E129" s="79">
        <v>-19975</v>
      </c>
      <c r="F129" s="80">
        <v>-154.426725</v>
      </c>
      <c r="G129" s="81">
        <v>-0.468890264944817</v>
      </c>
    </row>
    <row r="130" spans="2:7" x14ac:dyDescent="0.2">
      <c r="B130" s="78" t="s">
        <v>1436</v>
      </c>
      <c r="C130" s="78" t="s">
        <v>1395</v>
      </c>
      <c r="D130" s="78" t="s">
        <v>483</v>
      </c>
      <c r="E130" s="79">
        <v>-26400</v>
      </c>
      <c r="F130" s="80">
        <v>-161.06639999999999</v>
      </c>
      <c r="G130" s="81">
        <v>-0.48905049932068401</v>
      </c>
    </row>
    <row r="131" spans="2:7" x14ac:dyDescent="0.2">
      <c r="B131" s="78" t="s">
        <v>1437</v>
      </c>
      <c r="C131" s="78" t="s">
        <v>1395</v>
      </c>
      <c r="D131" s="78" t="s">
        <v>287</v>
      </c>
      <c r="E131" s="79">
        <v>-222600</v>
      </c>
      <c r="F131" s="80">
        <v>-164.96886000000001</v>
      </c>
      <c r="G131" s="81">
        <v>-0.50089964980507395</v>
      </c>
    </row>
    <row r="132" spans="2:7" x14ac:dyDescent="0.2">
      <c r="B132" s="78" t="s">
        <v>1438</v>
      </c>
      <c r="C132" s="78" t="s">
        <v>1395</v>
      </c>
      <c r="D132" s="78" t="s">
        <v>379</v>
      </c>
      <c r="E132" s="79">
        <v>-2750</v>
      </c>
      <c r="F132" s="80">
        <v>-166.01750000000001</v>
      </c>
      <c r="G132" s="81">
        <v>-0.50408366531425297</v>
      </c>
    </row>
    <row r="133" spans="2:7" x14ac:dyDescent="0.2">
      <c r="B133" s="78" t="s">
        <v>1439</v>
      </c>
      <c r="C133" s="78" t="s">
        <v>1395</v>
      </c>
      <c r="D133" s="78" t="s">
        <v>310</v>
      </c>
      <c r="E133" s="79">
        <v>-5000</v>
      </c>
      <c r="F133" s="80">
        <v>-171.99</v>
      </c>
      <c r="G133" s="81">
        <v>-0.52221813722889698</v>
      </c>
    </row>
    <row r="134" spans="2:7" x14ac:dyDescent="0.2">
      <c r="B134" s="78" t="s">
        <v>1440</v>
      </c>
      <c r="C134" s="78" t="s">
        <v>1395</v>
      </c>
      <c r="D134" s="78" t="s">
        <v>318</v>
      </c>
      <c r="E134" s="79">
        <v>-17250</v>
      </c>
      <c r="F134" s="80">
        <v>-173.974875</v>
      </c>
      <c r="G134" s="81">
        <v>-0.52824486974318396</v>
      </c>
    </row>
    <row r="135" spans="2:7" x14ac:dyDescent="0.2">
      <c r="B135" s="78" t="s">
        <v>1441</v>
      </c>
      <c r="C135" s="78" t="s">
        <v>1395</v>
      </c>
      <c r="D135" s="78" t="s">
        <v>303</v>
      </c>
      <c r="E135" s="79">
        <v>-7525</v>
      </c>
      <c r="F135" s="80">
        <v>-198.78039999999999</v>
      </c>
      <c r="G135" s="81">
        <v>-0.60356259204381102</v>
      </c>
    </row>
    <row r="136" spans="2:7" x14ac:dyDescent="0.2">
      <c r="B136" s="78" t="s">
        <v>1442</v>
      </c>
      <c r="C136" s="78" t="s">
        <v>1395</v>
      </c>
      <c r="D136" s="78" t="s">
        <v>535</v>
      </c>
      <c r="E136" s="79">
        <v>-2500</v>
      </c>
      <c r="F136" s="80">
        <v>-215.85</v>
      </c>
      <c r="G136" s="81">
        <v>-0.65539150485991804</v>
      </c>
    </row>
    <row r="137" spans="2:7" x14ac:dyDescent="0.2">
      <c r="B137" s="78" t="s">
        <v>1443</v>
      </c>
      <c r="C137" s="78" t="s">
        <v>1395</v>
      </c>
      <c r="D137" s="78" t="s">
        <v>303</v>
      </c>
      <c r="E137" s="79">
        <v>-8575</v>
      </c>
      <c r="F137" s="80">
        <v>-227.66624999999999</v>
      </c>
      <c r="G137" s="81">
        <v>-0.691269521395943</v>
      </c>
    </row>
    <row r="138" spans="2:7" x14ac:dyDescent="0.2">
      <c r="B138" s="78" t="s">
        <v>1444</v>
      </c>
      <c r="C138" s="78" t="s">
        <v>1395</v>
      </c>
      <c r="D138" s="78" t="s">
        <v>325</v>
      </c>
      <c r="E138" s="79">
        <v>-22950</v>
      </c>
      <c r="F138" s="80">
        <v>-249.5583</v>
      </c>
      <c r="G138" s="81">
        <v>-0.757740976545207</v>
      </c>
    </row>
    <row r="139" spans="2:7" x14ac:dyDescent="0.2">
      <c r="B139" s="78" t="s">
        <v>1445</v>
      </c>
      <c r="C139" s="78" t="s">
        <v>1395</v>
      </c>
      <c r="D139" s="78" t="s">
        <v>295</v>
      </c>
      <c r="E139" s="79">
        <v>-13775</v>
      </c>
      <c r="F139" s="80">
        <v>-260.33372500000002</v>
      </c>
      <c r="G139" s="81">
        <v>-0.79045870647921301</v>
      </c>
    </row>
    <row r="140" spans="2:7" x14ac:dyDescent="0.2">
      <c r="B140" s="78" t="s">
        <v>1446</v>
      </c>
      <c r="C140" s="78" t="s">
        <v>1395</v>
      </c>
      <c r="D140" s="78" t="s">
        <v>318</v>
      </c>
      <c r="E140" s="79">
        <v>-26250</v>
      </c>
      <c r="F140" s="80">
        <v>-262.828125</v>
      </c>
      <c r="G140" s="81">
        <v>-0.79803252426806004</v>
      </c>
    </row>
    <row r="141" spans="2:7" x14ac:dyDescent="0.2">
      <c r="B141" s="78" t="s">
        <v>1447</v>
      </c>
      <c r="C141" s="78" t="s">
        <v>1395</v>
      </c>
      <c r="D141" s="78" t="s">
        <v>600</v>
      </c>
      <c r="E141" s="79">
        <v>-48780</v>
      </c>
      <c r="F141" s="80">
        <v>-311.65541999999999</v>
      </c>
      <c r="G141" s="81">
        <v>-0.946288231232568</v>
      </c>
    </row>
    <row r="142" spans="2:7" x14ac:dyDescent="0.2">
      <c r="B142" s="78" t="s">
        <v>1448</v>
      </c>
      <c r="C142" s="78" t="s">
        <v>1395</v>
      </c>
      <c r="D142" s="78" t="s">
        <v>600</v>
      </c>
      <c r="E142" s="79">
        <v>-48780</v>
      </c>
      <c r="F142" s="80">
        <v>-313.48466999999999</v>
      </c>
      <c r="G142" s="81">
        <v>-0.95184243512538702</v>
      </c>
    </row>
    <row r="143" spans="2:7" x14ac:dyDescent="0.2">
      <c r="B143" s="78" t="s">
        <v>1449</v>
      </c>
      <c r="C143" s="78" t="s">
        <v>1395</v>
      </c>
      <c r="D143" s="78" t="s">
        <v>287</v>
      </c>
      <c r="E143" s="79">
        <v>-24500</v>
      </c>
      <c r="F143" s="80">
        <v>-342.02</v>
      </c>
      <c r="G143" s="81">
        <v>-1.0384850706147299</v>
      </c>
    </row>
    <row r="144" spans="2:7" x14ac:dyDescent="0.2">
      <c r="B144" s="78" t="s">
        <v>1450</v>
      </c>
      <c r="C144" s="78" t="s">
        <v>1395</v>
      </c>
      <c r="D144" s="78" t="s">
        <v>287</v>
      </c>
      <c r="E144" s="79">
        <v>-1803800</v>
      </c>
      <c r="F144" s="80">
        <v>-377.35496000000001</v>
      </c>
      <c r="G144" s="81">
        <v>-1.14577361640377</v>
      </c>
    </row>
    <row r="145" spans="2:7" x14ac:dyDescent="0.2">
      <c r="B145" s="78" t="s">
        <v>1451</v>
      </c>
      <c r="C145" s="78" t="s">
        <v>1395</v>
      </c>
      <c r="D145" s="78" t="s">
        <v>295</v>
      </c>
      <c r="E145" s="79">
        <v>-3716700</v>
      </c>
      <c r="F145" s="80">
        <v>-398.05856999999997</v>
      </c>
      <c r="G145" s="81">
        <v>-1.2086365773207699</v>
      </c>
    </row>
    <row r="146" spans="2:7" x14ac:dyDescent="0.2">
      <c r="B146" s="78" t="s">
        <v>1452</v>
      </c>
      <c r="C146" s="78" t="s">
        <v>1395</v>
      </c>
      <c r="D146" s="78" t="s">
        <v>382</v>
      </c>
      <c r="E146" s="79">
        <v>-22000</v>
      </c>
      <c r="F146" s="80">
        <v>-399.80599999999998</v>
      </c>
      <c r="G146" s="81">
        <v>-1.21394234881642</v>
      </c>
    </row>
    <row r="147" spans="2:7" x14ac:dyDescent="0.2">
      <c r="B147" s="78" t="s">
        <v>1453</v>
      </c>
      <c r="C147" s="78" t="s">
        <v>1395</v>
      </c>
      <c r="D147" s="78" t="s">
        <v>318</v>
      </c>
      <c r="E147" s="79">
        <v>-21250</v>
      </c>
      <c r="F147" s="80">
        <v>-425.53125</v>
      </c>
      <c r="G147" s="81">
        <v>-1.2920526583387599</v>
      </c>
    </row>
    <row r="148" spans="2:7" x14ac:dyDescent="0.2">
      <c r="B148" s="78" t="s">
        <v>1454</v>
      </c>
      <c r="C148" s="78" t="s">
        <v>1395</v>
      </c>
      <c r="D148" s="78" t="s">
        <v>453</v>
      </c>
      <c r="E148" s="79">
        <v>-162750</v>
      </c>
      <c r="F148" s="80">
        <v>-435.763125</v>
      </c>
      <c r="G148" s="81">
        <v>-1.3231199919212899</v>
      </c>
    </row>
    <row r="149" spans="2:7" x14ac:dyDescent="0.2">
      <c r="B149" s="78" t="s">
        <v>1455</v>
      </c>
      <c r="C149" s="78" t="s">
        <v>1395</v>
      </c>
      <c r="D149" s="78" t="s">
        <v>287</v>
      </c>
      <c r="E149" s="79">
        <v>-106000</v>
      </c>
      <c r="F149" s="80">
        <v>-442.65600000000001</v>
      </c>
      <c r="G149" s="81">
        <v>-1.34404902467117</v>
      </c>
    </row>
    <row r="150" spans="2:7" x14ac:dyDescent="0.2">
      <c r="B150" s="78" t="s">
        <v>1456</v>
      </c>
      <c r="C150" s="78" t="s">
        <v>1395</v>
      </c>
      <c r="D150" s="78" t="s">
        <v>337</v>
      </c>
      <c r="E150" s="79">
        <v>-35775</v>
      </c>
      <c r="F150" s="80">
        <v>-454.95067499999999</v>
      </c>
      <c r="G150" s="81">
        <v>-1.38137969666567</v>
      </c>
    </row>
    <row r="151" spans="2:7" x14ac:dyDescent="0.2">
      <c r="B151" s="78" t="s">
        <v>1457</v>
      </c>
      <c r="C151" s="78" t="s">
        <v>1395</v>
      </c>
      <c r="D151" s="78" t="s">
        <v>287</v>
      </c>
      <c r="E151" s="79">
        <v>-33750</v>
      </c>
      <c r="F151" s="80">
        <v>-469.59750000000003</v>
      </c>
      <c r="G151" s="81">
        <v>-1.4258522687211299</v>
      </c>
    </row>
    <row r="152" spans="2:7" x14ac:dyDescent="0.2">
      <c r="B152" s="78" t="s">
        <v>1458</v>
      </c>
      <c r="C152" s="78" t="s">
        <v>1395</v>
      </c>
      <c r="D152" s="78" t="s">
        <v>328</v>
      </c>
      <c r="E152" s="79">
        <v>-124700</v>
      </c>
      <c r="F152" s="80">
        <v>-475.54345000000001</v>
      </c>
      <c r="G152" s="81">
        <v>-1.44390612611433</v>
      </c>
    </row>
    <row r="153" spans="2:7" x14ac:dyDescent="0.2">
      <c r="B153" s="78" t="s">
        <v>1459</v>
      </c>
      <c r="C153" s="78" t="s">
        <v>1395</v>
      </c>
      <c r="D153" s="78" t="s">
        <v>292</v>
      </c>
      <c r="E153" s="79">
        <v>-273000</v>
      </c>
      <c r="F153" s="80">
        <v>-509.30880000000002</v>
      </c>
      <c r="G153" s="81">
        <v>-1.54642882034005</v>
      </c>
    </row>
    <row r="154" spans="2:7" x14ac:dyDescent="0.2">
      <c r="B154" s="78" t="s">
        <v>1460</v>
      </c>
      <c r="C154" s="78" t="s">
        <v>1395</v>
      </c>
      <c r="D154" s="78" t="s">
        <v>366</v>
      </c>
      <c r="E154" s="79">
        <v>-10950</v>
      </c>
      <c r="F154" s="80">
        <v>-530.04570000000001</v>
      </c>
      <c r="G154" s="81">
        <v>-1.6093928606325201</v>
      </c>
    </row>
    <row r="155" spans="2:7" x14ac:dyDescent="0.2">
      <c r="B155" s="78" t="s">
        <v>1461</v>
      </c>
      <c r="C155" s="78" t="s">
        <v>1395</v>
      </c>
      <c r="D155" s="78" t="s">
        <v>528</v>
      </c>
      <c r="E155" s="79">
        <v>-19800</v>
      </c>
      <c r="F155" s="80">
        <v>-537.03539999999998</v>
      </c>
      <c r="G155" s="81">
        <v>-1.63061588588857</v>
      </c>
    </row>
    <row r="156" spans="2:7" x14ac:dyDescent="0.2">
      <c r="B156" s="78" t="s">
        <v>1462</v>
      </c>
      <c r="C156" s="78" t="s">
        <v>1395</v>
      </c>
      <c r="D156" s="78" t="s">
        <v>287</v>
      </c>
      <c r="E156" s="79">
        <v>-178425</v>
      </c>
      <c r="F156" s="80">
        <v>-575.95590000000004</v>
      </c>
      <c r="G156" s="81">
        <v>-1.7487913089365199</v>
      </c>
    </row>
    <row r="157" spans="2:7" x14ac:dyDescent="0.2">
      <c r="B157" s="78" t="s">
        <v>1463</v>
      </c>
      <c r="C157" s="78" t="s">
        <v>1395</v>
      </c>
      <c r="D157" s="78" t="s">
        <v>295</v>
      </c>
      <c r="E157" s="79">
        <v>-35150</v>
      </c>
      <c r="F157" s="80">
        <v>-668.86935000000005</v>
      </c>
      <c r="G157" s="81">
        <v>-2.0309070644020202</v>
      </c>
    </row>
    <row r="158" spans="2:7" x14ac:dyDescent="0.2">
      <c r="B158" s="78" t="s">
        <v>1464</v>
      </c>
      <c r="C158" s="78" t="s">
        <v>1395</v>
      </c>
      <c r="D158" s="78" t="s">
        <v>483</v>
      </c>
      <c r="E158" s="79">
        <v>-113025</v>
      </c>
      <c r="F158" s="80">
        <v>-684.59242500000005</v>
      </c>
      <c r="G158" s="81">
        <v>-2.0786474849963001</v>
      </c>
    </row>
    <row r="159" spans="2:7" x14ac:dyDescent="0.2">
      <c r="B159" s="78" t="s">
        <v>1465</v>
      </c>
      <c r="C159" s="78" t="s">
        <v>1395</v>
      </c>
      <c r="D159" s="78" t="s">
        <v>287</v>
      </c>
      <c r="E159" s="79">
        <v>-178000</v>
      </c>
      <c r="F159" s="80">
        <v>-748.13400000000001</v>
      </c>
      <c r="G159" s="81">
        <v>-2.27158057955464</v>
      </c>
    </row>
    <row r="160" spans="2:7" x14ac:dyDescent="0.2">
      <c r="B160" s="78" t="s">
        <v>1466</v>
      </c>
      <c r="C160" s="78" t="s">
        <v>1395</v>
      </c>
      <c r="D160" s="78" t="s">
        <v>287</v>
      </c>
      <c r="E160" s="79">
        <v>-55300</v>
      </c>
      <c r="F160" s="80">
        <v>-766.95569999999998</v>
      </c>
      <c r="G160" s="81">
        <v>-2.32872944352046</v>
      </c>
    </row>
    <row r="161" spans="2:7" x14ac:dyDescent="0.2">
      <c r="B161" s="78" t="s">
        <v>1467</v>
      </c>
      <c r="C161" s="78" t="s">
        <v>1395</v>
      </c>
      <c r="D161" s="78" t="s">
        <v>483</v>
      </c>
      <c r="E161" s="79">
        <v>-48950</v>
      </c>
      <c r="F161" s="80">
        <v>-851.19155000000001</v>
      </c>
      <c r="G161" s="81">
        <v>-2.5844971548693398</v>
      </c>
    </row>
    <row r="162" spans="2:7" x14ac:dyDescent="0.2">
      <c r="B162" s="78" t="s">
        <v>1468</v>
      </c>
      <c r="C162" s="78" t="s">
        <v>1395</v>
      </c>
      <c r="D162" s="78" t="s">
        <v>310</v>
      </c>
      <c r="E162" s="79">
        <v>-232800</v>
      </c>
      <c r="F162" s="80">
        <v>-895.34879999999998</v>
      </c>
      <c r="G162" s="81">
        <v>-2.7185730711444198</v>
      </c>
    </row>
    <row r="163" spans="2:7" x14ac:dyDescent="0.2">
      <c r="B163" s="78" t="s">
        <v>1469</v>
      </c>
      <c r="C163" s="78" t="s">
        <v>1395</v>
      </c>
      <c r="D163" s="78" t="s">
        <v>313</v>
      </c>
      <c r="E163" s="79">
        <v>-316800</v>
      </c>
      <c r="F163" s="80">
        <v>-1004.8896</v>
      </c>
      <c r="G163" s="81">
        <v>-3.0511749231507101</v>
      </c>
    </row>
    <row r="164" spans="2:7" x14ac:dyDescent="0.2">
      <c r="B164" s="78" t="s">
        <v>1470</v>
      </c>
      <c r="C164" s="78" t="s">
        <v>1395</v>
      </c>
      <c r="D164" s="78" t="s">
        <v>483</v>
      </c>
      <c r="E164" s="79">
        <v>-95400</v>
      </c>
      <c r="F164" s="80">
        <v>-1333.4058</v>
      </c>
      <c r="G164" s="81">
        <v>-4.0486580210838197</v>
      </c>
    </row>
    <row r="165" spans="2:7" x14ac:dyDescent="0.2">
      <c r="B165" s="78" t="s">
        <v>1507</v>
      </c>
      <c r="C165" s="78" t="s">
        <v>1395</v>
      </c>
      <c r="D165" s="78" t="s">
        <v>528</v>
      </c>
      <c r="E165" s="79">
        <v>-58750</v>
      </c>
      <c r="F165" s="80">
        <v>-1439.375</v>
      </c>
      <c r="G165" s="81">
        <v>-4.3704153222503797</v>
      </c>
    </row>
    <row r="166" spans="2:7" x14ac:dyDescent="0.2">
      <c r="B166" s="78" t="s">
        <v>1471</v>
      </c>
      <c r="C166" s="78" t="s">
        <v>1395</v>
      </c>
      <c r="D166" s="78" t="s">
        <v>292</v>
      </c>
      <c r="E166" s="79">
        <v>-166500</v>
      </c>
      <c r="F166" s="80">
        <v>-2349.1484999999998</v>
      </c>
      <c r="G166" s="81">
        <v>-7.1327865209841104</v>
      </c>
    </row>
    <row r="167" spans="2:7" x14ac:dyDescent="0.2">
      <c r="B167" s="78" t="s">
        <v>1472</v>
      </c>
      <c r="C167" s="78" t="s">
        <v>1395</v>
      </c>
      <c r="D167" s="78" t="s">
        <v>287</v>
      </c>
      <c r="E167" s="79">
        <v>-327800</v>
      </c>
      <c r="F167" s="80">
        <v>-2946.7581</v>
      </c>
      <c r="G167" s="81">
        <v>-8.9473255761739807</v>
      </c>
    </row>
    <row r="168" spans="2:7" x14ac:dyDescent="0.2">
      <c r="B168" s="74"/>
      <c r="C168" s="74"/>
      <c r="D168" s="74"/>
      <c r="E168" s="75"/>
      <c r="F168" s="76">
        <f>SUM(F89:F167)</f>
        <v>-25429.988832499999</v>
      </c>
      <c r="G168" s="77">
        <f>SUM(G89:G167)</f>
        <v>-77.213799627070131</v>
      </c>
    </row>
    <row r="173" spans="2:7" x14ac:dyDescent="0.2">
      <c r="B173" s="26" t="s">
        <v>119</v>
      </c>
      <c r="E173" s="8"/>
      <c r="G173" s="83"/>
    </row>
    <row r="174" spans="2:7" x14ac:dyDescent="0.2">
      <c r="E174" s="8"/>
      <c r="G174" s="83"/>
    </row>
    <row r="175" spans="2:7" x14ac:dyDescent="0.2">
      <c r="E175" s="8"/>
      <c r="G175" s="83"/>
    </row>
    <row r="176" spans="2:7" x14ac:dyDescent="0.2">
      <c r="E176" s="8"/>
      <c r="G176" s="83"/>
    </row>
    <row r="177" spans="2:7" x14ac:dyDescent="0.2">
      <c r="E177" s="8"/>
      <c r="G177" s="83"/>
    </row>
    <row r="178" spans="2:7" x14ac:dyDescent="0.2">
      <c r="E178" s="8"/>
      <c r="G178" s="83"/>
    </row>
    <row r="179" spans="2:7" x14ac:dyDescent="0.2">
      <c r="E179" s="8"/>
      <c r="G179" s="83"/>
    </row>
    <row r="180" spans="2:7" x14ac:dyDescent="0.2">
      <c r="E180" s="8"/>
      <c r="G180" s="83"/>
    </row>
    <row r="181" spans="2:7" x14ac:dyDescent="0.2">
      <c r="E181" s="8"/>
      <c r="G181" s="83"/>
    </row>
    <row r="182" spans="2:7" x14ac:dyDescent="0.2">
      <c r="E182" s="8"/>
      <c r="G182" s="83"/>
    </row>
    <row r="183" spans="2:7" x14ac:dyDescent="0.2">
      <c r="E183" s="8"/>
      <c r="G183" s="83"/>
    </row>
    <row r="184" spans="2:7" x14ac:dyDescent="0.2">
      <c r="E184" s="8"/>
      <c r="G184" s="83"/>
    </row>
    <row r="185" spans="2:7" x14ac:dyDescent="0.2">
      <c r="E185" s="8"/>
      <c r="G185" s="83"/>
    </row>
    <row r="186" spans="2:7" x14ac:dyDescent="0.2">
      <c r="E186" s="8"/>
      <c r="G186" s="83"/>
    </row>
    <row r="187" spans="2:7" x14ac:dyDescent="0.2">
      <c r="E187" s="8"/>
      <c r="G187" s="83"/>
    </row>
    <row r="188" spans="2:7" x14ac:dyDescent="0.2">
      <c r="E188" s="8"/>
      <c r="G188" s="83"/>
    </row>
    <row r="189" spans="2:7" x14ac:dyDescent="0.2">
      <c r="E189" s="8"/>
      <c r="G189" s="83"/>
    </row>
    <row r="190" spans="2:7" x14ac:dyDescent="0.2">
      <c r="E190" s="8"/>
      <c r="G190" s="83"/>
    </row>
    <row r="191" spans="2:7" x14ac:dyDescent="0.2">
      <c r="B191" s="86" t="s">
        <v>1475</v>
      </c>
      <c r="E191" s="8"/>
      <c r="G191" s="83"/>
    </row>
    <row r="192" spans="2:7" x14ac:dyDescent="0.2">
      <c r="B192" s="87" t="s">
        <v>1487</v>
      </c>
      <c r="E192" s="8"/>
      <c r="G192" s="83"/>
    </row>
    <row r="193" spans="5:7" x14ac:dyDescent="0.2">
      <c r="E193" s="8"/>
      <c r="G193" s="83"/>
    </row>
    <row r="194" spans="5:7" x14ac:dyDescent="0.2">
      <c r="E194" s="8"/>
      <c r="G194" s="83"/>
    </row>
    <row r="195" spans="5:7" x14ac:dyDescent="0.2">
      <c r="E195" s="8"/>
      <c r="G195" s="83"/>
    </row>
    <row r="196" spans="5:7" x14ac:dyDescent="0.2">
      <c r="E196" s="8"/>
      <c r="G196" s="83"/>
    </row>
    <row r="197" spans="5:7" x14ac:dyDescent="0.2">
      <c r="E197" s="8"/>
      <c r="G197" s="83"/>
    </row>
    <row r="198" spans="5:7" x14ac:dyDescent="0.2">
      <c r="E198" s="8"/>
      <c r="G198" s="83"/>
    </row>
    <row r="199" spans="5:7" x14ac:dyDescent="0.2">
      <c r="E199" s="8"/>
      <c r="G199" s="83"/>
    </row>
    <row r="200" spans="5:7" x14ac:dyDescent="0.2">
      <c r="E200" s="8"/>
      <c r="G200" s="83"/>
    </row>
    <row r="201" spans="5:7" x14ac:dyDescent="0.2">
      <c r="E201" s="8"/>
      <c r="G201" s="83"/>
    </row>
    <row r="202" spans="5:7" x14ac:dyDescent="0.2">
      <c r="E202" s="8"/>
      <c r="G202" s="83"/>
    </row>
    <row r="203" spans="5:7" x14ac:dyDescent="0.2">
      <c r="E203" s="8"/>
      <c r="G203" s="83"/>
    </row>
    <row r="204" spans="5:7" x14ac:dyDescent="0.2">
      <c r="E204" s="8"/>
      <c r="G204" s="83"/>
    </row>
    <row r="205" spans="5:7" x14ac:dyDescent="0.2">
      <c r="E205" s="8"/>
      <c r="G205" s="83"/>
    </row>
    <row r="206" spans="5:7" x14ac:dyDescent="0.2">
      <c r="E206" s="8"/>
      <c r="G206" s="83"/>
    </row>
    <row r="207" spans="5:7" x14ac:dyDescent="0.2">
      <c r="E207" s="8"/>
      <c r="G207" s="83"/>
    </row>
    <row r="208" spans="5:7" x14ac:dyDescent="0.2">
      <c r="E208" s="8"/>
      <c r="G208" s="83"/>
    </row>
    <row r="209" spans="5:7" x14ac:dyDescent="0.2">
      <c r="E209" s="8"/>
      <c r="G209" s="83"/>
    </row>
    <row r="210" spans="5:7" x14ac:dyDescent="0.2">
      <c r="E210" s="8"/>
      <c r="G210" s="83"/>
    </row>
    <row r="211" spans="5:7" x14ac:dyDescent="0.2">
      <c r="E211" s="8"/>
      <c r="G211" s="83"/>
    </row>
    <row r="212" spans="5:7" x14ac:dyDescent="0.2">
      <c r="E212" s="8"/>
      <c r="G212" s="83"/>
    </row>
    <row r="213" spans="5:7" x14ac:dyDescent="0.2">
      <c r="E213" s="8"/>
      <c r="G213" s="83"/>
    </row>
    <row r="214" spans="5:7" x14ac:dyDescent="0.2">
      <c r="E214" s="8"/>
      <c r="G214" s="83"/>
    </row>
    <row r="215" spans="5:7" x14ac:dyDescent="0.2">
      <c r="E215" s="8"/>
      <c r="G215" s="83"/>
    </row>
    <row r="216" spans="5:7" x14ac:dyDescent="0.2">
      <c r="E216" s="8"/>
      <c r="G216" s="83"/>
    </row>
    <row r="217" spans="5:7" x14ac:dyDescent="0.2">
      <c r="E217" s="8"/>
      <c r="G217" s="83"/>
    </row>
    <row r="218" spans="5:7" x14ac:dyDescent="0.2">
      <c r="E218" s="8"/>
      <c r="G218" s="83"/>
    </row>
    <row r="219" spans="5:7" x14ac:dyDescent="0.2">
      <c r="E219" s="8"/>
      <c r="G219" s="83"/>
    </row>
    <row r="220" spans="5:7" x14ac:dyDescent="0.2">
      <c r="E220" s="8"/>
      <c r="G220" s="83"/>
    </row>
    <row r="221" spans="5:7" x14ac:dyDescent="0.2">
      <c r="E221" s="8"/>
      <c r="G221" s="83"/>
    </row>
    <row r="222" spans="5:7" x14ac:dyDescent="0.2">
      <c r="E222" s="8"/>
      <c r="G222" s="83"/>
    </row>
    <row r="223" spans="5:7" x14ac:dyDescent="0.2">
      <c r="E223" s="8"/>
      <c r="G223" s="83"/>
    </row>
    <row r="224" spans="5:7" x14ac:dyDescent="0.2">
      <c r="E224" s="8"/>
      <c r="G224" s="83"/>
    </row>
    <row r="225" spans="5:7" x14ac:dyDescent="0.2">
      <c r="E225" s="8"/>
      <c r="G225" s="83"/>
    </row>
    <row r="226" spans="5:7" x14ac:dyDescent="0.2">
      <c r="E226" s="8"/>
      <c r="G226" s="83"/>
    </row>
    <row r="227" spans="5:7" x14ac:dyDescent="0.2">
      <c r="E227" s="8"/>
      <c r="G227" s="83"/>
    </row>
    <row r="228" spans="5:7" x14ac:dyDescent="0.2">
      <c r="E228" s="8"/>
      <c r="G228" s="83"/>
    </row>
    <row r="229" spans="5:7" x14ac:dyDescent="0.2">
      <c r="E229" s="8"/>
      <c r="G229" s="83"/>
    </row>
    <row r="230" spans="5:7" x14ac:dyDescent="0.2">
      <c r="E230" s="8"/>
      <c r="G230" s="83"/>
    </row>
    <row r="231" spans="5:7" x14ac:dyDescent="0.2">
      <c r="E231" s="8"/>
      <c r="G231" s="83"/>
    </row>
    <row r="232" spans="5:7" x14ac:dyDescent="0.2">
      <c r="E232" s="8"/>
      <c r="G232" s="83"/>
    </row>
    <row r="233" spans="5:7" x14ac:dyDescent="0.2">
      <c r="E233" s="8"/>
      <c r="G233" s="83"/>
    </row>
    <row r="234" spans="5:7" x14ac:dyDescent="0.2">
      <c r="E234" s="8"/>
      <c r="G234" s="83"/>
    </row>
    <row r="235" spans="5:7" x14ac:dyDescent="0.2">
      <c r="E235" s="8"/>
      <c r="G235" s="83"/>
    </row>
    <row r="236" spans="5:7" x14ac:dyDescent="0.2">
      <c r="E236" s="8"/>
      <c r="G236" s="83"/>
    </row>
    <row r="237" spans="5:7" x14ac:dyDescent="0.2">
      <c r="E237" s="8"/>
      <c r="G237" s="83"/>
    </row>
    <row r="238" spans="5:7" x14ac:dyDescent="0.2">
      <c r="E238" s="8"/>
      <c r="G238" s="83"/>
    </row>
    <row r="239" spans="5:7" x14ac:dyDescent="0.2">
      <c r="E239" s="8"/>
      <c r="G239" s="83"/>
    </row>
    <row r="240" spans="5:7" x14ac:dyDescent="0.2">
      <c r="E240" s="8"/>
      <c r="G240" s="83"/>
    </row>
    <row r="241" spans="5:7" x14ac:dyDescent="0.2">
      <c r="E241" s="8"/>
      <c r="G241" s="83"/>
    </row>
    <row r="242" spans="5:7" x14ac:dyDescent="0.2">
      <c r="E242" s="8"/>
      <c r="G242" s="83"/>
    </row>
    <row r="243" spans="5:7" x14ac:dyDescent="0.2">
      <c r="E243" s="8"/>
      <c r="G243" s="83"/>
    </row>
    <row r="244" spans="5:7" x14ac:dyDescent="0.2">
      <c r="E244" s="8"/>
      <c r="G244" s="83"/>
    </row>
    <row r="245" spans="5:7" x14ac:dyDescent="0.2">
      <c r="E245" s="8"/>
      <c r="G245" s="83"/>
    </row>
    <row r="246" spans="5:7" x14ac:dyDescent="0.2">
      <c r="E246" s="8"/>
      <c r="G246" s="83"/>
    </row>
    <row r="247" spans="5:7" x14ac:dyDescent="0.2">
      <c r="E247" s="8"/>
      <c r="G247" s="83"/>
    </row>
    <row r="248" spans="5:7" x14ac:dyDescent="0.2">
      <c r="E248" s="8"/>
      <c r="G248" s="83"/>
    </row>
    <row r="249" spans="5:7" x14ac:dyDescent="0.2">
      <c r="E249" s="8"/>
      <c r="G249" s="83"/>
    </row>
    <row r="250" spans="5:7" x14ac:dyDescent="0.2">
      <c r="E250" s="8"/>
      <c r="G250" s="83"/>
    </row>
    <row r="251" spans="5:7" x14ac:dyDescent="0.2">
      <c r="E251" s="8"/>
      <c r="G251" s="83"/>
    </row>
    <row r="252" spans="5:7" x14ac:dyDescent="0.2">
      <c r="E252" s="8"/>
      <c r="G252" s="83"/>
    </row>
    <row r="253" spans="5:7" x14ac:dyDescent="0.2">
      <c r="E253" s="8"/>
      <c r="G253" s="83"/>
    </row>
    <row r="254" spans="5:7" x14ac:dyDescent="0.2">
      <c r="E254" s="8"/>
      <c r="G254" s="83"/>
    </row>
    <row r="255" spans="5:7" x14ac:dyDescent="0.2">
      <c r="E255" s="8"/>
      <c r="G255" s="83"/>
    </row>
    <row r="256" spans="5:7" x14ac:dyDescent="0.2">
      <c r="E256" s="8"/>
      <c r="G256" s="83"/>
    </row>
    <row r="257" spans="5:7" x14ac:dyDescent="0.2">
      <c r="E257" s="8"/>
      <c r="G257" s="83"/>
    </row>
    <row r="258" spans="5:7" x14ac:dyDescent="0.2">
      <c r="E258" s="8"/>
      <c r="G258" s="83"/>
    </row>
    <row r="259" spans="5:7" x14ac:dyDescent="0.2">
      <c r="E259" s="8"/>
      <c r="G259" s="83"/>
    </row>
    <row r="260" spans="5:7" x14ac:dyDescent="0.2">
      <c r="E260" s="8"/>
      <c r="G260" s="83"/>
    </row>
    <row r="261" spans="5:7" x14ac:dyDescent="0.2">
      <c r="E261" s="8"/>
      <c r="G261" s="83"/>
    </row>
    <row r="262" spans="5:7" x14ac:dyDescent="0.2">
      <c r="E262" s="8"/>
      <c r="G262" s="83"/>
    </row>
    <row r="263" spans="5:7" x14ac:dyDescent="0.2">
      <c r="E263" s="8"/>
      <c r="G263" s="83"/>
    </row>
    <row r="264" spans="5:7" x14ac:dyDescent="0.2">
      <c r="E264" s="8"/>
      <c r="G264" s="83"/>
    </row>
    <row r="265" spans="5:7" x14ac:dyDescent="0.2">
      <c r="E265" s="8"/>
      <c r="G265" s="83"/>
    </row>
    <row r="266" spans="5:7" x14ac:dyDescent="0.2">
      <c r="E266" s="8"/>
      <c r="G266" s="83"/>
    </row>
    <row r="267" spans="5:7" x14ac:dyDescent="0.2">
      <c r="E267" s="8"/>
      <c r="G267" s="83"/>
    </row>
    <row r="268" spans="5:7" x14ac:dyDescent="0.2">
      <c r="E268" s="8"/>
      <c r="G268" s="83"/>
    </row>
    <row r="269" spans="5:7" x14ac:dyDescent="0.2">
      <c r="E269" s="8"/>
      <c r="G269" s="83"/>
    </row>
    <row r="270" spans="5:7" x14ac:dyDescent="0.2">
      <c r="E270" s="8"/>
      <c r="G270" s="83"/>
    </row>
    <row r="271" spans="5:7" x14ac:dyDescent="0.2">
      <c r="E271" s="8"/>
      <c r="G271" s="83"/>
    </row>
    <row r="272" spans="5:7" x14ac:dyDescent="0.2">
      <c r="E272" s="8"/>
      <c r="G272" s="83"/>
    </row>
    <row r="273" spans="5:7" x14ac:dyDescent="0.2">
      <c r="E273" s="8"/>
      <c r="G273" s="83"/>
    </row>
    <row r="274" spans="5:7" x14ac:dyDescent="0.2">
      <c r="E274" s="8"/>
      <c r="G274" s="83"/>
    </row>
    <row r="275" spans="5:7" x14ac:dyDescent="0.2">
      <c r="E275" s="8"/>
      <c r="G275" s="83"/>
    </row>
    <row r="276" spans="5:7" x14ac:dyDescent="0.2">
      <c r="E276" s="8"/>
      <c r="G276" s="83"/>
    </row>
    <row r="277" spans="5:7" x14ac:dyDescent="0.2">
      <c r="E277" s="8"/>
      <c r="G277" s="83"/>
    </row>
    <row r="278" spans="5:7" x14ac:dyDescent="0.2">
      <c r="E278" s="8"/>
      <c r="G278" s="83"/>
    </row>
    <row r="279" spans="5:7" x14ac:dyDescent="0.2">
      <c r="E279" s="8"/>
      <c r="G279" s="83"/>
    </row>
    <row r="280" spans="5:7" x14ac:dyDescent="0.2">
      <c r="E280" s="8"/>
      <c r="G280" s="83"/>
    </row>
    <row r="281" spans="5:7" x14ac:dyDescent="0.2">
      <c r="E281" s="8"/>
      <c r="G281" s="83"/>
    </row>
    <row r="282" spans="5:7" x14ac:dyDescent="0.2">
      <c r="E282" s="8"/>
      <c r="G282" s="83"/>
    </row>
    <row r="283" spans="5:7" x14ac:dyDescent="0.2">
      <c r="E283" s="8"/>
      <c r="G283" s="83"/>
    </row>
    <row r="284" spans="5:7" x14ac:dyDescent="0.2">
      <c r="E284" s="8"/>
      <c r="G284" s="83"/>
    </row>
    <row r="285" spans="5:7" x14ac:dyDescent="0.2">
      <c r="E285" s="8"/>
      <c r="G285" s="83"/>
    </row>
    <row r="286" spans="5:7" x14ac:dyDescent="0.2">
      <c r="E286" s="8"/>
      <c r="G286" s="83"/>
    </row>
    <row r="287" spans="5:7" x14ac:dyDescent="0.2">
      <c r="E287" s="8"/>
      <c r="G287" s="83"/>
    </row>
    <row r="288" spans="5:7" x14ac:dyDescent="0.2">
      <c r="E288" s="8"/>
      <c r="G288" s="83"/>
    </row>
    <row r="289" spans="5:7" x14ac:dyDescent="0.2">
      <c r="E289" s="8"/>
      <c r="G289" s="83"/>
    </row>
    <row r="290" spans="5:7" x14ac:dyDescent="0.2">
      <c r="E290" s="8"/>
      <c r="G290" s="83"/>
    </row>
    <row r="291" spans="5:7" x14ac:dyDescent="0.2">
      <c r="E291" s="8"/>
      <c r="G291" s="83"/>
    </row>
    <row r="292" spans="5:7" x14ac:dyDescent="0.2">
      <c r="E292" s="8"/>
      <c r="G292" s="83"/>
    </row>
    <row r="293" spans="5:7" x14ac:dyDescent="0.2">
      <c r="E293" s="8"/>
      <c r="G293" s="83"/>
    </row>
    <row r="294" spans="5:7" x14ac:dyDescent="0.2">
      <c r="E294" s="8"/>
      <c r="G294" s="83"/>
    </row>
    <row r="295" spans="5:7" x14ac:dyDescent="0.2">
      <c r="E295" s="8"/>
      <c r="G295" s="83"/>
    </row>
    <row r="296" spans="5:7" x14ac:dyDescent="0.2">
      <c r="E296" s="8"/>
      <c r="G296" s="83"/>
    </row>
    <row r="297" spans="5:7" x14ac:dyDescent="0.2">
      <c r="E297" s="8"/>
      <c r="G297" s="83"/>
    </row>
    <row r="298" spans="5:7" x14ac:dyDescent="0.2">
      <c r="E298" s="8"/>
      <c r="G298" s="83"/>
    </row>
    <row r="299" spans="5:7" x14ac:dyDescent="0.2">
      <c r="E299" s="8"/>
      <c r="G299" s="83"/>
    </row>
    <row r="300" spans="5:7" x14ac:dyDescent="0.2">
      <c r="E300" s="8"/>
      <c r="G300" s="83"/>
    </row>
    <row r="301" spans="5:7" x14ac:dyDescent="0.2">
      <c r="E301" s="8"/>
      <c r="G301" s="83"/>
    </row>
    <row r="302" spans="5:7" x14ac:dyDescent="0.2">
      <c r="E302" s="8"/>
      <c r="G302" s="83"/>
    </row>
    <row r="303" spans="5:7" x14ac:dyDescent="0.2">
      <c r="E303" s="8"/>
      <c r="G303" s="83"/>
    </row>
    <row r="304" spans="5:7" x14ac:dyDescent="0.2">
      <c r="E304" s="8"/>
      <c r="G304" s="83"/>
    </row>
    <row r="305" spans="5:7" x14ac:dyDescent="0.2">
      <c r="E305" s="8"/>
      <c r="G305" s="83"/>
    </row>
    <row r="306" spans="5:7" x14ac:dyDescent="0.2">
      <c r="E306" s="8"/>
      <c r="G306" s="83"/>
    </row>
    <row r="307" spans="5:7" x14ac:dyDescent="0.2">
      <c r="E307" s="8"/>
      <c r="G307" s="83"/>
    </row>
    <row r="308" spans="5:7" x14ac:dyDescent="0.2">
      <c r="E308" s="8"/>
      <c r="G308" s="83"/>
    </row>
    <row r="309" spans="5:7" x14ac:dyDescent="0.2">
      <c r="E309" s="8"/>
      <c r="G309" s="83"/>
    </row>
    <row r="310" spans="5:7" x14ac:dyDescent="0.2">
      <c r="E310" s="8"/>
      <c r="G310" s="83"/>
    </row>
    <row r="311" spans="5:7" x14ac:dyDescent="0.2">
      <c r="E311" s="8"/>
      <c r="G311" s="83"/>
    </row>
    <row r="312" spans="5:7" x14ac:dyDescent="0.2">
      <c r="E312" s="8"/>
      <c r="G312" s="83"/>
    </row>
    <row r="313" spans="5:7" x14ac:dyDescent="0.2">
      <c r="E313" s="8"/>
      <c r="G313" s="83"/>
    </row>
    <row r="314" spans="5:7" x14ac:dyDescent="0.2">
      <c r="E314" s="8"/>
      <c r="G314" s="83"/>
    </row>
    <row r="315" spans="5:7" x14ac:dyDescent="0.2">
      <c r="E315" s="8"/>
      <c r="G315" s="83"/>
    </row>
    <row r="316" spans="5:7" x14ac:dyDescent="0.2">
      <c r="E316" s="8"/>
      <c r="G316" s="83"/>
    </row>
    <row r="317" spans="5:7" x14ac:dyDescent="0.2">
      <c r="E317" s="8"/>
      <c r="G317" s="83"/>
    </row>
    <row r="318" spans="5:7" x14ac:dyDescent="0.2">
      <c r="E318" s="8"/>
      <c r="G318" s="83"/>
    </row>
    <row r="319" spans="5:7" x14ac:dyDescent="0.2">
      <c r="E319" s="8"/>
      <c r="G319" s="83"/>
    </row>
    <row r="320" spans="5:7" x14ac:dyDescent="0.2">
      <c r="E320" s="8"/>
      <c r="G320" s="83"/>
    </row>
    <row r="321" spans="5:7" x14ac:dyDescent="0.2">
      <c r="E321" s="8"/>
      <c r="G321" s="83"/>
    </row>
    <row r="322" spans="5:7" x14ac:dyDescent="0.2">
      <c r="E322" s="8"/>
      <c r="G322" s="83"/>
    </row>
    <row r="323" spans="5:7" x14ac:dyDescent="0.2">
      <c r="E323" s="8"/>
      <c r="G323" s="83"/>
    </row>
    <row r="324" spans="5:7" x14ac:dyDescent="0.2">
      <c r="E324" s="8"/>
      <c r="G324" s="83"/>
    </row>
    <row r="325" spans="5:7" x14ac:dyDescent="0.2">
      <c r="E325" s="8"/>
      <c r="G325" s="83"/>
    </row>
    <row r="326" spans="5:7" x14ac:dyDescent="0.2">
      <c r="E326" s="8"/>
      <c r="G326" s="83"/>
    </row>
    <row r="327" spans="5:7" x14ac:dyDescent="0.2">
      <c r="E327" s="8"/>
      <c r="G327" s="83"/>
    </row>
    <row r="328" spans="5:7" x14ac:dyDescent="0.2">
      <c r="E328" s="8"/>
      <c r="G328" s="83"/>
    </row>
    <row r="329" spans="5:7" x14ac:dyDescent="0.2">
      <c r="E329" s="8"/>
      <c r="G329" s="83"/>
    </row>
    <row r="330" spans="5:7" x14ac:dyDescent="0.2">
      <c r="E330" s="8"/>
      <c r="G330" s="83"/>
    </row>
    <row r="331" spans="5:7" x14ac:dyDescent="0.2">
      <c r="E331" s="8"/>
      <c r="G331" s="83"/>
    </row>
    <row r="332" spans="5:7" x14ac:dyDescent="0.2">
      <c r="E332" s="8"/>
      <c r="G332" s="83"/>
    </row>
    <row r="333" spans="5:7" x14ac:dyDescent="0.2">
      <c r="E333" s="8"/>
      <c r="G333" s="83"/>
    </row>
    <row r="334" spans="5:7" x14ac:dyDescent="0.2">
      <c r="E334" s="8"/>
      <c r="G334" s="83"/>
    </row>
    <row r="335" spans="5:7" x14ac:dyDescent="0.2">
      <c r="E335" s="8"/>
      <c r="G335" s="83"/>
    </row>
    <row r="336" spans="5:7" x14ac:dyDescent="0.2">
      <c r="E336" s="8"/>
      <c r="G336" s="83"/>
    </row>
    <row r="337" spans="5:7" x14ac:dyDescent="0.2">
      <c r="E337" s="8"/>
      <c r="G337" s="83"/>
    </row>
    <row r="338" spans="5:7" x14ac:dyDescent="0.2">
      <c r="E338" s="8"/>
      <c r="G338" s="83"/>
    </row>
    <row r="339" spans="5:7" x14ac:dyDescent="0.2">
      <c r="E339" s="8"/>
      <c r="G339" s="83"/>
    </row>
    <row r="340" spans="5:7" x14ac:dyDescent="0.2">
      <c r="E340" s="8"/>
      <c r="G340" s="83"/>
    </row>
    <row r="341" spans="5:7" x14ac:dyDescent="0.2">
      <c r="E341" s="8"/>
      <c r="G341" s="83"/>
    </row>
    <row r="342" spans="5:7" x14ac:dyDescent="0.2">
      <c r="E342" s="8"/>
      <c r="G342" s="83"/>
    </row>
    <row r="343" spans="5:7" x14ac:dyDescent="0.2">
      <c r="E343" s="8"/>
      <c r="G343" s="83"/>
    </row>
    <row r="344" spans="5:7" x14ac:dyDescent="0.2">
      <c r="E344" s="8"/>
      <c r="G344" s="83"/>
    </row>
    <row r="345" spans="5:7" x14ac:dyDescent="0.2">
      <c r="E345" s="8"/>
      <c r="G345" s="83"/>
    </row>
    <row r="346" spans="5:7" x14ac:dyDescent="0.2">
      <c r="E346" s="8"/>
      <c r="G346" s="83"/>
    </row>
    <row r="347" spans="5:7" x14ac:dyDescent="0.2">
      <c r="E347" s="8"/>
      <c r="G347" s="83"/>
    </row>
    <row r="348" spans="5:7" x14ac:dyDescent="0.2">
      <c r="E348" s="8"/>
      <c r="G348" s="83"/>
    </row>
    <row r="349" spans="5:7" x14ac:dyDescent="0.2">
      <c r="E349" s="8"/>
      <c r="G349" s="83"/>
    </row>
    <row r="350" spans="5:7" x14ac:dyDescent="0.2">
      <c r="E350" s="8"/>
      <c r="G350" s="83"/>
    </row>
    <row r="351" spans="5:7" x14ac:dyDescent="0.2">
      <c r="E351" s="8"/>
      <c r="G351" s="83"/>
    </row>
    <row r="352" spans="5:7" x14ac:dyDescent="0.2">
      <c r="E352" s="8"/>
      <c r="G352" s="83"/>
    </row>
    <row r="353" spans="5:7" x14ac:dyDescent="0.2">
      <c r="E353" s="8"/>
      <c r="G353" s="83"/>
    </row>
    <row r="354" spans="5:7" x14ac:dyDescent="0.2">
      <c r="E354" s="8"/>
      <c r="G354" s="83"/>
    </row>
    <row r="355" spans="5:7" x14ac:dyDescent="0.2">
      <c r="E355" s="8"/>
      <c r="G355" s="83"/>
    </row>
    <row r="356" spans="5:7" x14ac:dyDescent="0.2">
      <c r="E356" s="8"/>
      <c r="G356" s="83"/>
    </row>
    <row r="357" spans="5:7" x14ac:dyDescent="0.2">
      <c r="E357" s="8"/>
      <c r="G357" s="83"/>
    </row>
    <row r="358" spans="5:7" x14ac:dyDescent="0.2">
      <c r="E358" s="8"/>
      <c r="G358" s="83"/>
    </row>
    <row r="359" spans="5:7" x14ac:dyDescent="0.2">
      <c r="E359" s="8"/>
      <c r="G359" s="83"/>
    </row>
    <row r="360" spans="5:7" x14ac:dyDescent="0.2">
      <c r="E360" s="8"/>
      <c r="G360" s="83"/>
    </row>
    <row r="361" spans="5:7" x14ac:dyDescent="0.2">
      <c r="E361" s="8"/>
      <c r="G361" s="83"/>
    </row>
    <row r="362" spans="5:7" x14ac:dyDescent="0.2">
      <c r="E362" s="8"/>
      <c r="G362" s="83"/>
    </row>
    <row r="363" spans="5:7" x14ac:dyDescent="0.2">
      <c r="E363" s="8"/>
      <c r="G363" s="83"/>
    </row>
    <row r="364" spans="5:7" x14ac:dyDescent="0.2">
      <c r="E364" s="8"/>
      <c r="G364" s="83"/>
    </row>
    <row r="365" spans="5:7" x14ac:dyDescent="0.2">
      <c r="E365" s="8"/>
      <c r="G365" s="83"/>
    </row>
    <row r="366" spans="5:7" x14ac:dyDescent="0.2">
      <c r="E366" s="8"/>
      <c r="G366" s="83"/>
    </row>
    <row r="367" spans="5:7" x14ac:dyDescent="0.2">
      <c r="E367" s="8"/>
      <c r="G367" s="83"/>
    </row>
    <row r="368" spans="5:7" x14ac:dyDescent="0.2">
      <c r="E368" s="8"/>
      <c r="G368" s="83"/>
    </row>
    <row r="369" spans="5:7" x14ac:dyDescent="0.2">
      <c r="E369" s="8"/>
      <c r="G369" s="83"/>
    </row>
    <row r="370" spans="5:7" x14ac:dyDescent="0.2">
      <c r="E370" s="8"/>
      <c r="G370" s="83"/>
    </row>
    <row r="371" spans="5:7" x14ac:dyDescent="0.2">
      <c r="E371" s="8"/>
      <c r="G371" s="83"/>
    </row>
    <row r="372" spans="5:7" x14ac:dyDescent="0.2">
      <c r="E372" s="8"/>
      <c r="G372" s="83"/>
    </row>
    <row r="373" spans="5:7" x14ac:dyDescent="0.2">
      <c r="E373" s="8"/>
      <c r="G373" s="83"/>
    </row>
    <row r="374" spans="5:7" x14ac:dyDescent="0.2">
      <c r="E374" s="8"/>
      <c r="G374" s="83"/>
    </row>
    <row r="375" spans="5:7" x14ac:dyDescent="0.2">
      <c r="E375" s="8"/>
      <c r="G375" s="83"/>
    </row>
    <row r="376" spans="5:7" x14ac:dyDescent="0.2">
      <c r="E376" s="8"/>
      <c r="G376" s="83"/>
    </row>
    <row r="377" spans="5:7" x14ac:dyDescent="0.2">
      <c r="E377" s="8"/>
      <c r="G377" s="83"/>
    </row>
    <row r="378" spans="5:7" x14ac:dyDescent="0.2">
      <c r="E378" s="8"/>
      <c r="G378" s="83"/>
    </row>
    <row r="379" spans="5:7" x14ac:dyDescent="0.2">
      <c r="E379" s="8"/>
      <c r="G379" s="83"/>
    </row>
    <row r="380" spans="5:7" x14ac:dyDescent="0.2">
      <c r="E380" s="8"/>
      <c r="G380" s="83"/>
    </row>
    <row r="381" spans="5:7" x14ac:dyDescent="0.2">
      <c r="E381" s="8"/>
      <c r="G381" s="83"/>
    </row>
    <row r="382" spans="5:7" x14ac:dyDescent="0.2">
      <c r="E382" s="8"/>
      <c r="G382" s="83"/>
    </row>
    <row r="383" spans="5:7" x14ac:dyDescent="0.2">
      <c r="E383" s="8"/>
      <c r="G383" s="83"/>
    </row>
    <row r="384" spans="5:7" x14ac:dyDescent="0.2">
      <c r="E384" s="8"/>
      <c r="G384" s="83"/>
    </row>
    <row r="385" spans="5:7" x14ac:dyDescent="0.2">
      <c r="E385" s="8"/>
      <c r="G385" s="83"/>
    </row>
    <row r="386" spans="5:7" x14ac:dyDescent="0.2">
      <c r="E386" s="8"/>
      <c r="G386" s="83"/>
    </row>
    <row r="387" spans="5:7" x14ac:dyDescent="0.2">
      <c r="E387" s="8"/>
      <c r="G387" s="83"/>
    </row>
    <row r="388" spans="5:7" x14ac:dyDescent="0.2">
      <c r="E388" s="8"/>
      <c r="G388" s="83"/>
    </row>
    <row r="389" spans="5:7" x14ac:dyDescent="0.2">
      <c r="E389" s="8"/>
      <c r="G389" s="83"/>
    </row>
    <row r="390" spans="5:7" x14ac:dyDescent="0.2">
      <c r="E390" s="8"/>
      <c r="G390" s="83"/>
    </row>
    <row r="391" spans="5:7" x14ac:dyDescent="0.2">
      <c r="E391" s="8"/>
      <c r="G391" s="83"/>
    </row>
    <row r="392" spans="5:7" x14ac:dyDescent="0.2">
      <c r="E392" s="8"/>
      <c r="G392" s="83"/>
    </row>
    <row r="393" spans="5:7" x14ac:dyDescent="0.2">
      <c r="E393" s="8"/>
      <c r="G393" s="83"/>
    </row>
    <row r="394" spans="5:7" x14ac:dyDescent="0.2">
      <c r="E394" s="8"/>
      <c r="G394" s="83"/>
    </row>
    <row r="395" spans="5:7" x14ac:dyDescent="0.2">
      <c r="E395" s="8"/>
      <c r="G395" s="83"/>
    </row>
    <row r="396" spans="5:7" x14ac:dyDescent="0.2">
      <c r="E396" s="8"/>
      <c r="G396" s="83"/>
    </row>
  </sheetData>
  <mergeCells count="1">
    <mergeCell ref="B1:C1"/>
  </mergeCells>
  <conditionalFormatting sqref="G1:G3 G5:G294">
    <cfRule type="cellIs" dxfId="1" priority="2" stopIfTrue="1" operator="between">
      <formula>0.009</formula>
      <formula>-0.009</formula>
    </cfRule>
  </conditionalFormatting>
  <hyperlinks>
    <hyperlink ref="A2" location="Index!A1" display="-" xr:uid="{0227DE09-094B-4347-9074-A4C4899EEAAC}"/>
  </hyperlinks>
  <pageMargins left="0.7" right="0.7" top="0.75" bottom="0.75" header="0.3" footer="0.3"/>
  <pageSetup paperSize="9" scale="50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210" min="1" max="7" man="1"/>
  </rowBreaks>
  <colBreaks count="1" manualBreakCount="1">
    <brk id="8" max="40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7C39-2193-454F-8569-35AE562EEFC7}">
  <dimension ref="A1:I307"/>
  <sheetViews>
    <sheetView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68.7109375" style="8" bestFit="1" customWidth="1"/>
    <col min="3" max="3" width="11" style="8" bestFit="1" customWidth="1"/>
    <col min="4" max="4" width="32.140625" style="8" bestFit="1" customWidth="1"/>
    <col min="5" max="5" width="13.7109375" style="9" bestFit="1" customWidth="1"/>
    <col min="6" max="6" width="22.85546875" style="11" bestFit="1" customWidth="1"/>
    <col min="7" max="7" width="12.140625" style="18" bestFit="1" customWidth="1"/>
    <col min="8" max="8" width="14.5703125" style="8" customWidth="1"/>
    <col min="9" max="16384" width="9.140625" style="8"/>
  </cols>
  <sheetData>
    <row r="1" spans="1:8" s="1" customFormat="1" ht="16.7" customHeight="1" x14ac:dyDescent="0.2">
      <c r="B1" s="98" t="s">
        <v>22</v>
      </c>
      <c r="C1" s="99"/>
      <c r="D1" s="13"/>
      <c r="E1" s="6"/>
      <c r="F1" s="7"/>
      <c r="G1" s="18"/>
    </row>
    <row r="2" spans="1:8" s="1" customFormat="1" ht="15" x14ac:dyDescent="0.25">
      <c r="A2" s="82" t="s">
        <v>1501</v>
      </c>
      <c r="E2" s="6"/>
      <c r="F2" s="7"/>
      <c r="G2" s="18"/>
    </row>
    <row r="3" spans="1:8" s="1" customFormat="1" ht="12" x14ac:dyDescent="0.2">
      <c r="B3" s="10" t="s">
        <v>9</v>
      </c>
      <c r="C3" s="2"/>
      <c r="D3" s="3"/>
      <c r="E3" s="4"/>
      <c r="F3" s="5"/>
      <c r="G3" s="18"/>
    </row>
    <row r="4" spans="1:8" s="1" customFormat="1" ht="25.5" customHeight="1" x14ac:dyDescent="0.2">
      <c r="B4" s="28" t="s">
        <v>7</v>
      </c>
      <c r="C4" s="28" t="s">
        <v>8</v>
      </c>
      <c r="D4" s="29" t="s">
        <v>412</v>
      </c>
      <c r="E4" s="30" t="s">
        <v>0</v>
      </c>
      <c r="F4" s="31" t="s">
        <v>4</v>
      </c>
      <c r="G4" s="32" t="s">
        <v>5</v>
      </c>
      <c r="H4" s="102" t="s">
        <v>6</v>
      </c>
    </row>
    <row r="5" spans="1:8" x14ac:dyDescent="0.2">
      <c r="B5" s="34" t="s">
        <v>284</v>
      </c>
      <c r="C5" s="35"/>
      <c r="D5" s="35"/>
      <c r="E5" s="36"/>
      <c r="F5" s="37"/>
      <c r="G5" s="38"/>
      <c r="H5" s="35"/>
    </row>
    <row r="6" spans="1:8" x14ac:dyDescent="0.2">
      <c r="B6" s="34" t="s">
        <v>239</v>
      </c>
      <c r="C6" s="35"/>
      <c r="D6" s="35"/>
      <c r="E6" s="36"/>
      <c r="F6" s="37"/>
      <c r="G6" s="38"/>
      <c r="H6" s="35"/>
    </row>
    <row r="7" spans="1:8" x14ac:dyDescent="0.2">
      <c r="B7" s="35" t="s">
        <v>285</v>
      </c>
      <c r="C7" s="35" t="s">
        <v>286</v>
      </c>
      <c r="D7" s="35" t="s">
        <v>287</v>
      </c>
      <c r="E7" s="40">
        <v>91203</v>
      </c>
      <c r="F7" s="37">
        <v>809.65463250000005</v>
      </c>
      <c r="G7" s="38">
        <v>7.3259429563048499</v>
      </c>
      <c r="H7" s="41"/>
    </row>
    <row r="8" spans="1:8" x14ac:dyDescent="0.2">
      <c r="B8" s="35" t="s">
        <v>288</v>
      </c>
      <c r="C8" s="35" t="s">
        <v>289</v>
      </c>
      <c r="D8" s="35" t="s">
        <v>287</v>
      </c>
      <c r="E8" s="40">
        <v>42608</v>
      </c>
      <c r="F8" s="37">
        <v>587.52171199999998</v>
      </c>
      <c r="G8" s="38">
        <v>5.3160327563525298</v>
      </c>
      <c r="H8" s="41"/>
    </row>
    <row r="9" spans="1:8" x14ac:dyDescent="0.2">
      <c r="B9" s="35" t="s">
        <v>290</v>
      </c>
      <c r="C9" s="35" t="s">
        <v>291</v>
      </c>
      <c r="D9" s="35" t="s">
        <v>292</v>
      </c>
      <c r="E9" s="40">
        <v>41068</v>
      </c>
      <c r="F9" s="37">
        <v>572.44685200000004</v>
      </c>
      <c r="G9" s="38">
        <v>5.1796319256757704</v>
      </c>
      <c r="H9" s="41"/>
    </row>
    <row r="10" spans="1:8" x14ac:dyDescent="0.2">
      <c r="B10" s="35" t="s">
        <v>293</v>
      </c>
      <c r="C10" s="35" t="s">
        <v>294</v>
      </c>
      <c r="D10" s="35" t="s">
        <v>295</v>
      </c>
      <c r="E10" s="40">
        <v>25012</v>
      </c>
      <c r="F10" s="37">
        <v>470.05051600000002</v>
      </c>
      <c r="G10" s="38">
        <v>4.2531261213992497</v>
      </c>
      <c r="H10" s="41"/>
    </row>
    <row r="11" spans="1:8" x14ac:dyDescent="0.2">
      <c r="B11" s="35" t="s">
        <v>296</v>
      </c>
      <c r="C11" s="35" t="s">
        <v>297</v>
      </c>
      <c r="D11" s="35" t="s">
        <v>298</v>
      </c>
      <c r="E11" s="40">
        <v>7046</v>
      </c>
      <c r="F11" s="37">
        <v>301.44901800000002</v>
      </c>
      <c r="G11" s="38">
        <v>2.7275806516207601</v>
      </c>
      <c r="H11" s="41"/>
    </row>
    <row r="12" spans="1:8" x14ac:dyDescent="0.2">
      <c r="B12" s="35" t="s">
        <v>299</v>
      </c>
      <c r="C12" s="35" t="s">
        <v>300</v>
      </c>
      <c r="D12" s="35" t="s">
        <v>287</v>
      </c>
      <c r="E12" s="40">
        <v>24659</v>
      </c>
      <c r="F12" s="37">
        <v>296.327203</v>
      </c>
      <c r="G12" s="38">
        <v>2.6812372812297398</v>
      </c>
      <c r="H12" s="41"/>
    </row>
    <row r="13" spans="1:8" x14ac:dyDescent="0.2">
      <c r="B13" s="35" t="s">
        <v>311</v>
      </c>
      <c r="C13" s="35" t="s">
        <v>312</v>
      </c>
      <c r="D13" s="35" t="s">
        <v>313</v>
      </c>
      <c r="E13" s="40">
        <v>87938</v>
      </c>
      <c r="F13" s="37">
        <v>275.77356800000001</v>
      </c>
      <c r="G13" s="38">
        <v>2.4952632232665701</v>
      </c>
      <c r="H13" s="41"/>
    </row>
    <row r="14" spans="1:8" x14ac:dyDescent="0.2">
      <c r="B14" s="35" t="s">
        <v>304</v>
      </c>
      <c r="C14" s="35" t="s">
        <v>305</v>
      </c>
      <c r="D14" s="35" t="s">
        <v>287</v>
      </c>
      <c r="E14" s="40">
        <v>16980</v>
      </c>
      <c r="F14" s="37">
        <v>234.98622</v>
      </c>
      <c r="G14" s="38">
        <v>2.12620983581873</v>
      </c>
      <c r="H14" s="41"/>
    </row>
    <row r="15" spans="1:8" x14ac:dyDescent="0.2">
      <c r="B15" s="35" t="s">
        <v>306</v>
      </c>
      <c r="C15" s="35" t="s">
        <v>307</v>
      </c>
      <c r="D15" s="35" t="s">
        <v>287</v>
      </c>
      <c r="E15" s="40">
        <v>43959</v>
      </c>
      <c r="F15" s="37">
        <v>182.51776799999999</v>
      </c>
      <c r="G15" s="38">
        <v>1.65146310934012</v>
      </c>
      <c r="H15" s="41"/>
    </row>
    <row r="16" spans="1:8" x14ac:dyDescent="0.2">
      <c r="B16" s="35" t="s">
        <v>308</v>
      </c>
      <c r="C16" s="35" t="s">
        <v>309</v>
      </c>
      <c r="D16" s="35" t="s">
        <v>310</v>
      </c>
      <c r="E16" s="40">
        <v>4788</v>
      </c>
      <c r="F16" s="37">
        <v>162.66751199999999</v>
      </c>
      <c r="G16" s="38">
        <v>1.4718533877542299</v>
      </c>
      <c r="H16" s="41"/>
    </row>
    <row r="17" spans="2:8" x14ac:dyDescent="0.2">
      <c r="B17" s="35" t="s">
        <v>301</v>
      </c>
      <c r="C17" s="35" t="s">
        <v>302</v>
      </c>
      <c r="D17" s="35" t="s">
        <v>303</v>
      </c>
      <c r="E17" s="40">
        <v>12431</v>
      </c>
      <c r="F17" s="37">
        <v>161.615431</v>
      </c>
      <c r="G17" s="38">
        <v>1.4623339147814001</v>
      </c>
      <c r="H17" s="41"/>
    </row>
    <row r="18" spans="2:8" x14ac:dyDescent="0.2">
      <c r="B18" s="35" t="s">
        <v>323</v>
      </c>
      <c r="C18" s="35" t="s">
        <v>324</v>
      </c>
      <c r="D18" s="35" t="s">
        <v>325</v>
      </c>
      <c r="E18" s="40">
        <v>8625</v>
      </c>
      <c r="F18" s="37">
        <v>149.81625</v>
      </c>
      <c r="G18" s="38">
        <v>1.35557218766053</v>
      </c>
      <c r="H18" s="41"/>
    </row>
    <row r="19" spans="2:8" x14ac:dyDescent="0.2">
      <c r="B19" s="35" t="s">
        <v>357</v>
      </c>
      <c r="C19" s="35" t="s">
        <v>358</v>
      </c>
      <c r="D19" s="35" t="s">
        <v>359</v>
      </c>
      <c r="E19" s="40">
        <v>8960</v>
      </c>
      <c r="F19" s="37">
        <v>136.2816</v>
      </c>
      <c r="G19" s="38">
        <v>1.23310753439548</v>
      </c>
      <c r="H19" s="41"/>
    </row>
    <row r="20" spans="2:8" x14ac:dyDescent="0.2">
      <c r="B20" s="35" t="s">
        <v>364</v>
      </c>
      <c r="C20" s="35" t="s">
        <v>365</v>
      </c>
      <c r="D20" s="35" t="s">
        <v>366</v>
      </c>
      <c r="E20" s="40">
        <v>2796</v>
      </c>
      <c r="F20" s="37">
        <v>134.968512</v>
      </c>
      <c r="G20" s="38">
        <v>1.22122640953252</v>
      </c>
      <c r="H20" s="41"/>
    </row>
    <row r="21" spans="2:8" x14ac:dyDescent="0.2">
      <c r="B21" s="35" t="s">
        <v>316</v>
      </c>
      <c r="C21" s="35" t="s">
        <v>317</v>
      </c>
      <c r="D21" s="35" t="s">
        <v>318</v>
      </c>
      <c r="E21" s="40">
        <v>12650</v>
      </c>
      <c r="F21" s="37">
        <v>125.98135000000001</v>
      </c>
      <c r="G21" s="38">
        <v>1.1399084827175101</v>
      </c>
      <c r="H21" s="41"/>
    </row>
    <row r="22" spans="2:8" x14ac:dyDescent="0.2">
      <c r="B22" s="35" t="s">
        <v>335</v>
      </c>
      <c r="C22" s="35" t="s">
        <v>336</v>
      </c>
      <c r="D22" s="35" t="s">
        <v>337</v>
      </c>
      <c r="E22" s="40">
        <v>54189</v>
      </c>
      <c r="F22" s="37">
        <v>115.05950369999999</v>
      </c>
      <c r="G22" s="38">
        <v>1.04108508350559</v>
      </c>
      <c r="H22" s="41"/>
    </row>
    <row r="23" spans="2:8" x14ac:dyDescent="0.2">
      <c r="B23" s="35" t="s">
        <v>326</v>
      </c>
      <c r="C23" s="35" t="s">
        <v>327</v>
      </c>
      <c r="D23" s="35" t="s">
        <v>328</v>
      </c>
      <c r="E23" s="40">
        <v>27877</v>
      </c>
      <c r="F23" s="37">
        <v>106.46226299999999</v>
      </c>
      <c r="G23" s="38">
        <v>0.96329525507547098</v>
      </c>
      <c r="H23" s="41"/>
    </row>
    <row r="24" spans="2:8" x14ac:dyDescent="0.2">
      <c r="B24" s="35" t="s">
        <v>321</v>
      </c>
      <c r="C24" s="35" t="s">
        <v>322</v>
      </c>
      <c r="D24" s="35" t="s">
        <v>310</v>
      </c>
      <c r="E24" s="40">
        <v>709</v>
      </c>
      <c r="F24" s="37">
        <v>105.33613</v>
      </c>
      <c r="G24" s="38">
        <v>0.95310574242643098</v>
      </c>
      <c r="H24" s="41"/>
    </row>
    <row r="25" spans="2:8" x14ac:dyDescent="0.2">
      <c r="B25" s="35" t="s">
        <v>332</v>
      </c>
      <c r="C25" s="35" t="s">
        <v>333</v>
      </c>
      <c r="D25" s="35" t="s">
        <v>334</v>
      </c>
      <c r="E25" s="40">
        <v>42312</v>
      </c>
      <c r="F25" s="37">
        <v>104.214456</v>
      </c>
      <c r="G25" s="38">
        <v>0.94295657584388803</v>
      </c>
      <c r="H25" s="41"/>
    </row>
    <row r="26" spans="2:8" x14ac:dyDescent="0.2">
      <c r="B26" s="35" t="s">
        <v>343</v>
      </c>
      <c r="C26" s="35" t="s">
        <v>344</v>
      </c>
      <c r="D26" s="35" t="s">
        <v>345</v>
      </c>
      <c r="E26" s="40">
        <v>783</v>
      </c>
      <c r="F26" s="37">
        <v>99.260909999999996</v>
      </c>
      <c r="G26" s="38">
        <v>0.89813574240361005</v>
      </c>
      <c r="H26" s="41"/>
    </row>
    <row r="27" spans="2:8" x14ac:dyDescent="0.2">
      <c r="B27" s="35" t="s">
        <v>314</v>
      </c>
      <c r="C27" s="35" t="s">
        <v>315</v>
      </c>
      <c r="D27" s="35" t="s">
        <v>303</v>
      </c>
      <c r="E27" s="40">
        <v>3675</v>
      </c>
      <c r="F27" s="37">
        <v>96.924449999999993</v>
      </c>
      <c r="G27" s="38">
        <v>0.87699491026035903</v>
      </c>
      <c r="H27" s="41"/>
    </row>
    <row r="28" spans="2:8" x14ac:dyDescent="0.2">
      <c r="B28" s="35" t="s">
        <v>338</v>
      </c>
      <c r="C28" s="35" t="s">
        <v>339</v>
      </c>
      <c r="D28" s="35" t="s">
        <v>340</v>
      </c>
      <c r="E28" s="40">
        <v>21672</v>
      </c>
      <c r="F28" s="37">
        <v>96.375383999999997</v>
      </c>
      <c r="G28" s="38">
        <v>0.87202683370798195</v>
      </c>
      <c r="H28" s="41"/>
    </row>
    <row r="29" spans="2:8" x14ac:dyDescent="0.2">
      <c r="B29" s="35" t="s">
        <v>383</v>
      </c>
      <c r="C29" s="35" t="s">
        <v>384</v>
      </c>
      <c r="D29" s="35" t="s">
        <v>334</v>
      </c>
      <c r="E29" s="40">
        <v>2393</v>
      </c>
      <c r="F29" s="37">
        <v>93.315034999999995</v>
      </c>
      <c r="G29" s="38">
        <v>0.84433608594908005</v>
      </c>
      <c r="H29" s="41"/>
    </row>
    <row r="30" spans="2:8" x14ac:dyDescent="0.2">
      <c r="B30" s="35" t="s">
        <v>350</v>
      </c>
      <c r="C30" s="35" t="s">
        <v>351</v>
      </c>
      <c r="D30" s="35" t="s">
        <v>352</v>
      </c>
      <c r="E30" s="40">
        <v>9492</v>
      </c>
      <c r="F30" s="37">
        <v>87.772524000000004</v>
      </c>
      <c r="G30" s="38">
        <v>0.79418616054777902</v>
      </c>
      <c r="H30" s="41"/>
    </row>
    <row r="31" spans="2:8" x14ac:dyDescent="0.2">
      <c r="B31" s="35" t="s">
        <v>377</v>
      </c>
      <c r="C31" s="35" t="s">
        <v>378</v>
      </c>
      <c r="D31" s="35" t="s">
        <v>379</v>
      </c>
      <c r="E31" s="40">
        <v>6621</v>
      </c>
      <c r="F31" s="37">
        <v>85.523456999999993</v>
      </c>
      <c r="G31" s="38">
        <v>0.77383608054387398</v>
      </c>
      <c r="H31" s="41"/>
    </row>
    <row r="32" spans="2:8" x14ac:dyDescent="0.2">
      <c r="B32" s="35" t="s">
        <v>413</v>
      </c>
      <c r="C32" s="35" t="s">
        <v>414</v>
      </c>
      <c r="D32" s="35" t="s">
        <v>415</v>
      </c>
      <c r="E32" s="40">
        <v>11198</v>
      </c>
      <c r="F32" s="37">
        <v>80.446432000000001</v>
      </c>
      <c r="G32" s="38">
        <v>0.72789798046422804</v>
      </c>
      <c r="H32" s="41"/>
    </row>
    <row r="33" spans="2:8" x14ac:dyDescent="0.2">
      <c r="B33" s="35" t="s">
        <v>348</v>
      </c>
      <c r="C33" s="35" t="s">
        <v>349</v>
      </c>
      <c r="D33" s="35" t="s">
        <v>328</v>
      </c>
      <c r="E33" s="40">
        <v>26769</v>
      </c>
      <c r="F33" s="37">
        <v>79.945618499999995</v>
      </c>
      <c r="G33" s="38">
        <v>0.723366503726525</v>
      </c>
      <c r="H33" s="41"/>
    </row>
    <row r="34" spans="2:8" x14ac:dyDescent="0.2">
      <c r="B34" s="35" t="s">
        <v>353</v>
      </c>
      <c r="C34" s="35" t="s">
        <v>354</v>
      </c>
      <c r="D34" s="35" t="s">
        <v>337</v>
      </c>
      <c r="E34" s="40">
        <v>6214</v>
      </c>
      <c r="F34" s="37">
        <v>78.588458000000003</v>
      </c>
      <c r="G34" s="38">
        <v>0.71108660065865703</v>
      </c>
      <c r="H34" s="41"/>
    </row>
    <row r="35" spans="2:8" x14ac:dyDescent="0.2">
      <c r="B35" s="35" t="s">
        <v>341</v>
      </c>
      <c r="C35" s="35" t="s">
        <v>342</v>
      </c>
      <c r="D35" s="35" t="s">
        <v>318</v>
      </c>
      <c r="E35" s="40">
        <v>6751</v>
      </c>
      <c r="F35" s="37">
        <v>72.870294000000001</v>
      </c>
      <c r="G35" s="38">
        <v>0.65934732616152103</v>
      </c>
      <c r="H35" s="41"/>
    </row>
    <row r="36" spans="2:8" x14ac:dyDescent="0.2">
      <c r="B36" s="35" t="s">
        <v>370</v>
      </c>
      <c r="C36" s="35" t="s">
        <v>371</v>
      </c>
      <c r="D36" s="35" t="s">
        <v>331</v>
      </c>
      <c r="E36" s="40">
        <v>3003</v>
      </c>
      <c r="F36" s="37">
        <v>71.357286000000002</v>
      </c>
      <c r="G36" s="38">
        <v>0.64565727875673096</v>
      </c>
      <c r="H36" s="41"/>
    </row>
    <row r="37" spans="2:8" x14ac:dyDescent="0.2">
      <c r="B37" s="35" t="s">
        <v>372</v>
      </c>
      <c r="C37" s="35" t="s">
        <v>373</v>
      </c>
      <c r="D37" s="35" t="s">
        <v>345</v>
      </c>
      <c r="E37" s="40">
        <v>2543</v>
      </c>
      <c r="F37" s="37">
        <v>71.198914000000002</v>
      </c>
      <c r="G37" s="38">
        <v>0.64422429215811905</v>
      </c>
      <c r="H37" s="41"/>
    </row>
    <row r="38" spans="2:8" x14ac:dyDescent="0.2">
      <c r="B38" s="35" t="s">
        <v>402</v>
      </c>
      <c r="C38" s="35" t="s">
        <v>403</v>
      </c>
      <c r="D38" s="35" t="s">
        <v>404</v>
      </c>
      <c r="E38" s="40">
        <v>6055</v>
      </c>
      <c r="F38" s="37">
        <v>69.087549999999993</v>
      </c>
      <c r="G38" s="38">
        <v>0.62512018084557697</v>
      </c>
      <c r="H38" s="41"/>
    </row>
    <row r="39" spans="2:8" x14ac:dyDescent="0.2">
      <c r="B39" s="35" t="s">
        <v>418</v>
      </c>
      <c r="C39" s="35" t="s">
        <v>419</v>
      </c>
      <c r="D39" s="35" t="s">
        <v>325</v>
      </c>
      <c r="E39" s="40">
        <v>1038</v>
      </c>
      <c r="F39" s="37">
        <v>66.520229999999998</v>
      </c>
      <c r="G39" s="38">
        <v>0.60189047386235806</v>
      </c>
      <c r="H39" s="41"/>
    </row>
    <row r="40" spans="2:8" x14ac:dyDescent="0.2">
      <c r="B40" s="35" t="s">
        <v>426</v>
      </c>
      <c r="C40" s="35" t="s">
        <v>427</v>
      </c>
      <c r="D40" s="35" t="s">
        <v>379</v>
      </c>
      <c r="E40" s="40">
        <v>1087</v>
      </c>
      <c r="F40" s="37">
        <v>65.247174999999999</v>
      </c>
      <c r="G40" s="38">
        <v>0.59037157687112995</v>
      </c>
      <c r="H40" s="41"/>
    </row>
    <row r="41" spans="2:8" x14ac:dyDescent="0.2">
      <c r="B41" s="35" t="s">
        <v>367</v>
      </c>
      <c r="C41" s="35" t="s">
        <v>368</v>
      </c>
      <c r="D41" s="35" t="s">
        <v>369</v>
      </c>
      <c r="E41" s="40">
        <v>23285</v>
      </c>
      <c r="F41" s="37">
        <v>65.128145000000004</v>
      </c>
      <c r="G41" s="38">
        <v>0.58929456581593898</v>
      </c>
      <c r="H41" s="41"/>
    </row>
    <row r="42" spans="2:8" x14ac:dyDescent="0.2">
      <c r="B42" s="35" t="s">
        <v>396</v>
      </c>
      <c r="C42" s="35" t="s">
        <v>397</v>
      </c>
      <c r="D42" s="35" t="s">
        <v>325</v>
      </c>
      <c r="E42" s="40">
        <v>4997</v>
      </c>
      <c r="F42" s="37">
        <v>64.276410999999996</v>
      </c>
      <c r="G42" s="38">
        <v>0.58158787897999897</v>
      </c>
      <c r="H42" s="41"/>
    </row>
    <row r="43" spans="2:8" x14ac:dyDescent="0.2">
      <c r="B43" s="35" t="s">
        <v>400</v>
      </c>
      <c r="C43" s="35" t="s">
        <v>401</v>
      </c>
      <c r="D43" s="35" t="s">
        <v>325</v>
      </c>
      <c r="E43" s="40">
        <v>4552</v>
      </c>
      <c r="F43" s="37">
        <v>61.370063999999999</v>
      </c>
      <c r="G43" s="38">
        <v>0.55529057704585905</v>
      </c>
      <c r="H43" s="41"/>
    </row>
    <row r="44" spans="2:8" x14ac:dyDescent="0.2">
      <c r="B44" s="35" t="s">
        <v>374</v>
      </c>
      <c r="C44" s="35" t="s">
        <v>375</v>
      </c>
      <c r="D44" s="35" t="s">
        <v>376</v>
      </c>
      <c r="E44" s="40">
        <v>14058</v>
      </c>
      <c r="F44" s="37">
        <v>60.540776999999999</v>
      </c>
      <c r="G44" s="38">
        <v>0.54778699587366697</v>
      </c>
      <c r="H44" s="41"/>
    </row>
    <row r="45" spans="2:8" x14ac:dyDescent="0.2">
      <c r="B45" s="35" t="s">
        <v>362</v>
      </c>
      <c r="C45" s="35" t="s">
        <v>363</v>
      </c>
      <c r="D45" s="35" t="s">
        <v>310</v>
      </c>
      <c r="E45" s="40">
        <v>743</v>
      </c>
      <c r="F45" s="37">
        <v>59.518014999999998</v>
      </c>
      <c r="G45" s="38">
        <v>0.538532808014899</v>
      </c>
      <c r="H45" s="41"/>
    </row>
    <row r="46" spans="2:8" x14ac:dyDescent="0.2">
      <c r="B46" s="35" t="s">
        <v>360</v>
      </c>
      <c r="C46" s="35" t="s">
        <v>361</v>
      </c>
      <c r="D46" s="35" t="s">
        <v>310</v>
      </c>
      <c r="E46" s="40">
        <v>591</v>
      </c>
      <c r="F46" s="37">
        <v>58.937474999999999</v>
      </c>
      <c r="G46" s="38">
        <v>0.53327994740849305</v>
      </c>
      <c r="H46" s="41"/>
    </row>
    <row r="47" spans="2:8" x14ac:dyDescent="0.2">
      <c r="B47" s="35" t="s">
        <v>432</v>
      </c>
      <c r="C47" s="35" t="s">
        <v>433</v>
      </c>
      <c r="D47" s="35" t="s">
        <v>434</v>
      </c>
      <c r="E47" s="40">
        <v>12455</v>
      </c>
      <c r="F47" s="37">
        <v>56.221870000000003</v>
      </c>
      <c r="G47" s="38">
        <v>0.50870852334286698</v>
      </c>
      <c r="H47" s="41"/>
    </row>
    <row r="48" spans="2:8" x14ac:dyDescent="0.2">
      <c r="B48" s="35" t="s">
        <v>355</v>
      </c>
      <c r="C48" s="35" t="s">
        <v>356</v>
      </c>
      <c r="D48" s="35" t="s">
        <v>318</v>
      </c>
      <c r="E48" s="40">
        <v>2763</v>
      </c>
      <c r="F48" s="37">
        <v>55.077641999999997</v>
      </c>
      <c r="G48" s="38">
        <v>0.49835528293575199</v>
      </c>
      <c r="H48" s="41"/>
    </row>
    <row r="49" spans="2:8" x14ac:dyDescent="0.2">
      <c r="B49" s="35" t="s">
        <v>526</v>
      </c>
      <c r="C49" s="35" t="s">
        <v>527</v>
      </c>
      <c r="D49" s="35" t="s">
        <v>528</v>
      </c>
      <c r="E49" s="40">
        <v>1989</v>
      </c>
      <c r="F49" s="37">
        <v>53.844219000000002</v>
      </c>
      <c r="G49" s="38">
        <v>0.487194985475225</v>
      </c>
      <c r="H49" s="41"/>
    </row>
    <row r="50" spans="2:8" x14ac:dyDescent="0.2">
      <c r="B50" s="35" t="s">
        <v>541</v>
      </c>
      <c r="C50" s="35" t="s">
        <v>542</v>
      </c>
      <c r="D50" s="35" t="s">
        <v>295</v>
      </c>
      <c r="E50" s="40">
        <v>11553</v>
      </c>
      <c r="F50" s="37">
        <v>52.560373499999997</v>
      </c>
      <c r="G50" s="38">
        <v>0.47557845353657902</v>
      </c>
      <c r="H50" s="41"/>
    </row>
    <row r="51" spans="2:8" x14ac:dyDescent="0.2">
      <c r="B51" s="35" t="s">
        <v>346</v>
      </c>
      <c r="C51" s="35" t="s">
        <v>347</v>
      </c>
      <c r="D51" s="35" t="s">
        <v>303</v>
      </c>
      <c r="E51" s="40">
        <v>3745</v>
      </c>
      <c r="F51" s="37">
        <v>52.021794999999997</v>
      </c>
      <c r="G51" s="38">
        <v>0.47070527031732201</v>
      </c>
      <c r="H51" s="41"/>
    </row>
    <row r="52" spans="2:8" x14ac:dyDescent="0.2">
      <c r="B52" s="35" t="s">
        <v>389</v>
      </c>
      <c r="C52" s="35" t="s">
        <v>390</v>
      </c>
      <c r="D52" s="35" t="s">
        <v>391</v>
      </c>
      <c r="E52" s="40">
        <v>4707</v>
      </c>
      <c r="F52" s="37">
        <v>51.398086499999998</v>
      </c>
      <c r="G52" s="38">
        <v>0.46506181110774097</v>
      </c>
      <c r="H52" s="41"/>
    </row>
    <row r="53" spans="2:8" x14ac:dyDescent="0.2">
      <c r="B53" s="35" t="s">
        <v>392</v>
      </c>
      <c r="C53" s="35" t="s">
        <v>393</v>
      </c>
      <c r="D53" s="35" t="s">
        <v>391</v>
      </c>
      <c r="E53" s="40">
        <v>644</v>
      </c>
      <c r="F53" s="37">
        <v>50.370460000000001</v>
      </c>
      <c r="G53" s="38">
        <v>0.45576360812439998</v>
      </c>
      <c r="H53" s="41"/>
    </row>
    <row r="54" spans="2:8" x14ac:dyDescent="0.2">
      <c r="B54" s="35" t="s">
        <v>416</v>
      </c>
      <c r="C54" s="35" t="s">
        <v>417</v>
      </c>
      <c r="D54" s="35" t="s">
        <v>310</v>
      </c>
      <c r="E54" s="40">
        <v>1259</v>
      </c>
      <c r="F54" s="37">
        <v>48.719523000000002</v>
      </c>
      <c r="G54" s="38">
        <v>0.44082554712781502</v>
      </c>
      <c r="H54" s="41"/>
    </row>
    <row r="55" spans="2:8" x14ac:dyDescent="0.2">
      <c r="B55" s="35" t="s">
        <v>543</v>
      </c>
      <c r="C55" s="35" t="s">
        <v>544</v>
      </c>
      <c r="D55" s="35" t="s">
        <v>325</v>
      </c>
      <c r="E55" s="40">
        <v>1991</v>
      </c>
      <c r="F55" s="37">
        <v>45.830829000000001</v>
      </c>
      <c r="G55" s="38">
        <v>0.41468797363320498</v>
      </c>
      <c r="H55" s="41"/>
    </row>
    <row r="56" spans="2:8" x14ac:dyDescent="0.2">
      <c r="B56" s="35" t="s">
        <v>420</v>
      </c>
      <c r="C56" s="35" t="s">
        <v>421</v>
      </c>
      <c r="D56" s="35" t="s">
        <v>292</v>
      </c>
      <c r="E56" s="40">
        <v>11884</v>
      </c>
      <c r="F56" s="37">
        <v>45.800936</v>
      </c>
      <c r="G56" s="38">
        <v>0.414417494833971</v>
      </c>
      <c r="H56" s="41"/>
    </row>
    <row r="57" spans="2:8" x14ac:dyDescent="0.2">
      <c r="B57" s="35" t="s">
        <v>422</v>
      </c>
      <c r="C57" s="35" t="s">
        <v>423</v>
      </c>
      <c r="D57" s="35" t="s">
        <v>340</v>
      </c>
      <c r="E57" s="40">
        <v>1159</v>
      </c>
      <c r="F57" s="37">
        <v>45.353988000000001</v>
      </c>
      <c r="G57" s="38">
        <v>0.41037340563716801</v>
      </c>
      <c r="H57" s="41"/>
    </row>
    <row r="58" spans="2:8" x14ac:dyDescent="0.2">
      <c r="B58" s="35" t="s">
        <v>531</v>
      </c>
      <c r="C58" s="35" t="s">
        <v>532</v>
      </c>
      <c r="D58" s="35" t="s">
        <v>287</v>
      </c>
      <c r="E58" s="40">
        <v>14642</v>
      </c>
      <c r="F58" s="37">
        <v>43.904037000000002</v>
      </c>
      <c r="G58" s="38">
        <v>0.39725391259772402</v>
      </c>
      <c r="H58" s="41"/>
    </row>
    <row r="59" spans="2:8" x14ac:dyDescent="0.2">
      <c r="B59" s="35" t="s">
        <v>596</v>
      </c>
      <c r="C59" s="35" t="s">
        <v>597</v>
      </c>
      <c r="D59" s="35" t="s">
        <v>359</v>
      </c>
      <c r="E59" s="40">
        <v>43159</v>
      </c>
      <c r="F59" s="37">
        <v>43.4309017</v>
      </c>
      <c r="G59" s="38">
        <v>0.39297287463501701</v>
      </c>
      <c r="H59" s="41"/>
    </row>
    <row r="60" spans="2:8" x14ac:dyDescent="0.2">
      <c r="B60" s="35" t="s">
        <v>394</v>
      </c>
      <c r="C60" s="35" t="s">
        <v>395</v>
      </c>
      <c r="D60" s="35" t="s">
        <v>310</v>
      </c>
      <c r="E60" s="40">
        <v>11292</v>
      </c>
      <c r="F60" s="37">
        <v>43.208838</v>
      </c>
      <c r="G60" s="38">
        <v>0.39096359075820802</v>
      </c>
      <c r="H60" s="41"/>
    </row>
    <row r="61" spans="2:8" x14ac:dyDescent="0.2">
      <c r="B61" s="35" t="s">
        <v>428</v>
      </c>
      <c r="C61" s="35" t="s">
        <v>429</v>
      </c>
      <c r="D61" s="35" t="s">
        <v>292</v>
      </c>
      <c r="E61" s="40">
        <v>22640</v>
      </c>
      <c r="F61" s="37">
        <v>42.443207999999998</v>
      </c>
      <c r="G61" s="38">
        <v>0.384035992890563</v>
      </c>
      <c r="H61" s="41"/>
    </row>
    <row r="62" spans="2:8" x14ac:dyDescent="0.2">
      <c r="B62" s="35" t="s">
        <v>533</v>
      </c>
      <c r="C62" s="35" t="s">
        <v>534</v>
      </c>
      <c r="D62" s="35" t="s">
        <v>535</v>
      </c>
      <c r="E62" s="40">
        <v>830</v>
      </c>
      <c r="F62" s="37">
        <v>40.655889999999999</v>
      </c>
      <c r="G62" s="38">
        <v>0.367863924965321</v>
      </c>
      <c r="H62" s="41"/>
    </row>
    <row r="63" spans="2:8" x14ac:dyDescent="0.2">
      <c r="B63" s="35" t="s">
        <v>479</v>
      </c>
      <c r="C63" s="35" t="s">
        <v>480</v>
      </c>
      <c r="D63" s="35" t="s">
        <v>334</v>
      </c>
      <c r="E63" s="40">
        <v>3926</v>
      </c>
      <c r="F63" s="37">
        <v>40.422096000000003</v>
      </c>
      <c r="G63" s="38">
        <v>0.36574850261266001</v>
      </c>
      <c r="H63" s="41"/>
    </row>
    <row r="64" spans="2:8" x14ac:dyDescent="0.2">
      <c r="B64" s="35" t="s">
        <v>380</v>
      </c>
      <c r="C64" s="35" t="s">
        <v>381</v>
      </c>
      <c r="D64" s="35" t="s">
        <v>382</v>
      </c>
      <c r="E64" s="40">
        <v>1973</v>
      </c>
      <c r="F64" s="37">
        <v>40.193956</v>
      </c>
      <c r="G64" s="38">
        <v>0.36368423896373703</v>
      </c>
      <c r="H64" s="41"/>
    </row>
    <row r="65" spans="2:8" x14ac:dyDescent="0.2">
      <c r="B65" s="35" t="s">
        <v>592</v>
      </c>
      <c r="C65" s="35" t="s">
        <v>593</v>
      </c>
      <c r="D65" s="35" t="s">
        <v>334</v>
      </c>
      <c r="E65" s="40">
        <v>14846</v>
      </c>
      <c r="F65" s="37">
        <v>39.4131608</v>
      </c>
      <c r="G65" s="38">
        <v>0.35661942284813702</v>
      </c>
      <c r="H65" s="41"/>
    </row>
    <row r="66" spans="2:8" x14ac:dyDescent="0.2">
      <c r="B66" s="35" t="s">
        <v>529</v>
      </c>
      <c r="C66" s="35" t="s">
        <v>530</v>
      </c>
      <c r="D66" s="35" t="s">
        <v>310</v>
      </c>
      <c r="E66" s="40">
        <v>686</v>
      </c>
      <c r="F66" s="37">
        <v>39.1706</v>
      </c>
      <c r="G66" s="38">
        <v>0.35442467645516101</v>
      </c>
      <c r="H66" s="41"/>
    </row>
    <row r="67" spans="2:8" x14ac:dyDescent="0.2">
      <c r="B67" s="35" t="s">
        <v>387</v>
      </c>
      <c r="C67" s="35" t="s">
        <v>388</v>
      </c>
      <c r="D67" s="35" t="s">
        <v>318</v>
      </c>
      <c r="E67" s="40">
        <v>15273</v>
      </c>
      <c r="F67" s="37">
        <v>39.007241999999998</v>
      </c>
      <c r="G67" s="38">
        <v>0.35294657537178797</v>
      </c>
      <c r="H67" s="41"/>
    </row>
    <row r="68" spans="2:8" x14ac:dyDescent="0.2">
      <c r="B68" s="35" t="s">
        <v>574</v>
      </c>
      <c r="C68" s="35" t="s">
        <v>575</v>
      </c>
      <c r="D68" s="35" t="s">
        <v>404</v>
      </c>
      <c r="E68" s="40">
        <v>4841</v>
      </c>
      <c r="F68" s="37">
        <v>38.178546500000003</v>
      </c>
      <c r="G68" s="38">
        <v>0.34544834622882498</v>
      </c>
      <c r="H68" s="41"/>
    </row>
    <row r="69" spans="2:8" x14ac:dyDescent="0.2">
      <c r="B69" s="35" t="s">
        <v>477</v>
      </c>
      <c r="C69" s="35" t="s">
        <v>478</v>
      </c>
      <c r="D69" s="35" t="s">
        <v>434</v>
      </c>
      <c r="E69" s="40">
        <v>2698</v>
      </c>
      <c r="F69" s="37">
        <v>37.253984000000003</v>
      </c>
      <c r="G69" s="38">
        <v>0.33708269022853199</v>
      </c>
      <c r="H69" s="41"/>
    </row>
    <row r="70" spans="2:8" x14ac:dyDescent="0.2">
      <c r="B70" s="35" t="s">
        <v>536</v>
      </c>
      <c r="C70" s="35" t="s">
        <v>537</v>
      </c>
      <c r="D70" s="35" t="s">
        <v>287</v>
      </c>
      <c r="E70" s="40">
        <v>3879</v>
      </c>
      <c r="F70" s="37">
        <v>37.112332500000001</v>
      </c>
      <c r="G70" s="38">
        <v>0.33580099459311002</v>
      </c>
      <c r="H70" s="41"/>
    </row>
    <row r="71" spans="2:8" x14ac:dyDescent="0.2">
      <c r="B71" s="35" t="s">
        <v>430</v>
      </c>
      <c r="C71" s="35" t="s">
        <v>431</v>
      </c>
      <c r="D71" s="35" t="s">
        <v>328</v>
      </c>
      <c r="E71" s="40">
        <v>9801</v>
      </c>
      <c r="F71" s="37">
        <v>37.0036755</v>
      </c>
      <c r="G71" s="38">
        <v>0.33481784084847499</v>
      </c>
      <c r="H71" s="41"/>
    </row>
    <row r="72" spans="2:8" x14ac:dyDescent="0.2">
      <c r="B72" s="35" t="s">
        <v>469</v>
      </c>
      <c r="C72" s="35" t="s">
        <v>470</v>
      </c>
      <c r="D72" s="35" t="s">
        <v>325</v>
      </c>
      <c r="E72" s="40">
        <v>849</v>
      </c>
      <c r="F72" s="37">
        <v>36.789717000000003</v>
      </c>
      <c r="G72" s="38">
        <v>0.332881894701688</v>
      </c>
      <c r="H72" s="41"/>
    </row>
    <row r="73" spans="2:8" x14ac:dyDescent="0.2">
      <c r="B73" s="35" t="s">
        <v>437</v>
      </c>
      <c r="C73" s="35" t="s">
        <v>438</v>
      </c>
      <c r="D73" s="35" t="s">
        <v>287</v>
      </c>
      <c r="E73" s="40">
        <v>11229</v>
      </c>
      <c r="F73" s="37">
        <v>36.151765500000003</v>
      </c>
      <c r="G73" s="38">
        <v>0.32710956152370302</v>
      </c>
      <c r="H73" s="41"/>
    </row>
    <row r="74" spans="2:8" x14ac:dyDescent="0.2">
      <c r="B74" s="35" t="s">
        <v>538</v>
      </c>
      <c r="C74" s="35" t="s">
        <v>539</v>
      </c>
      <c r="D74" s="35" t="s">
        <v>540</v>
      </c>
      <c r="E74" s="40">
        <v>16997</v>
      </c>
      <c r="F74" s="37">
        <v>35.880667000000003</v>
      </c>
      <c r="G74" s="38">
        <v>0.32465659940032499</v>
      </c>
      <c r="H74" s="41"/>
    </row>
    <row r="75" spans="2:8" x14ac:dyDescent="0.2">
      <c r="B75" s="35" t="s">
        <v>442</v>
      </c>
      <c r="C75" s="35" t="s">
        <v>443</v>
      </c>
      <c r="D75" s="35" t="s">
        <v>444</v>
      </c>
      <c r="E75" s="40">
        <v>5342</v>
      </c>
      <c r="F75" s="37">
        <v>35.633811000000001</v>
      </c>
      <c r="G75" s="38">
        <v>0.32242298904125399</v>
      </c>
      <c r="H75" s="41"/>
    </row>
    <row r="76" spans="2:8" x14ac:dyDescent="0.2">
      <c r="B76" s="35" t="s">
        <v>398</v>
      </c>
      <c r="C76" s="35" t="s">
        <v>399</v>
      </c>
      <c r="D76" s="35" t="s">
        <v>382</v>
      </c>
      <c r="E76" s="40">
        <v>4847</v>
      </c>
      <c r="F76" s="37">
        <v>34.670591000000002</v>
      </c>
      <c r="G76" s="38">
        <v>0.31370755101234599</v>
      </c>
      <c r="H76" s="41"/>
    </row>
    <row r="77" spans="2:8" x14ac:dyDescent="0.2">
      <c r="B77" s="35" t="s">
        <v>424</v>
      </c>
      <c r="C77" s="35" t="s">
        <v>425</v>
      </c>
      <c r="D77" s="35" t="s">
        <v>318</v>
      </c>
      <c r="E77" s="40">
        <v>1998</v>
      </c>
      <c r="F77" s="37">
        <v>34.581384</v>
      </c>
      <c r="G77" s="38">
        <v>0.31290038538014903</v>
      </c>
      <c r="H77" s="41"/>
    </row>
    <row r="78" spans="2:8" x14ac:dyDescent="0.2">
      <c r="B78" s="35" t="s">
        <v>839</v>
      </c>
      <c r="C78" s="35" t="s">
        <v>840</v>
      </c>
      <c r="D78" s="35" t="s">
        <v>325</v>
      </c>
      <c r="E78" s="40">
        <v>3114</v>
      </c>
      <c r="F78" s="37">
        <v>33.500411999999997</v>
      </c>
      <c r="G78" s="38">
        <v>0.30311949993654902</v>
      </c>
      <c r="H78" s="41"/>
    </row>
    <row r="79" spans="2:8" x14ac:dyDescent="0.2">
      <c r="B79" s="35" t="s">
        <v>547</v>
      </c>
      <c r="C79" s="35" t="s">
        <v>548</v>
      </c>
      <c r="D79" s="35" t="s">
        <v>287</v>
      </c>
      <c r="E79" s="40">
        <v>3402</v>
      </c>
      <c r="F79" s="37">
        <v>32.603067000000003</v>
      </c>
      <c r="G79" s="38">
        <v>0.29500011419076899</v>
      </c>
      <c r="H79" s="41"/>
    </row>
    <row r="80" spans="2:8" x14ac:dyDescent="0.2">
      <c r="B80" s="35" t="s">
        <v>449</v>
      </c>
      <c r="C80" s="35" t="s">
        <v>450</v>
      </c>
      <c r="D80" s="35" t="s">
        <v>287</v>
      </c>
      <c r="E80" s="40">
        <v>20096</v>
      </c>
      <c r="F80" s="37">
        <v>31.625075200000001</v>
      </c>
      <c r="G80" s="38">
        <v>0.28615101748837501</v>
      </c>
      <c r="H80" s="41"/>
    </row>
    <row r="81" spans="2:8" x14ac:dyDescent="0.2">
      <c r="B81" s="35" t="s">
        <v>549</v>
      </c>
      <c r="C81" s="35" t="s">
        <v>550</v>
      </c>
      <c r="D81" s="35" t="s">
        <v>453</v>
      </c>
      <c r="E81" s="40">
        <v>74109</v>
      </c>
      <c r="F81" s="37">
        <v>31.622310299999999</v>
      </c>
      <c r="G81" s="38">
        <v>0.28612600003171301</v>
      </c>
      <c r="H81" s="41"/>
    </row>
    <row r="82" spans="2:8" x14ac:dyDescent="0.2">
      <c r="B82" s="35" t="s">
        <v>445</v>
      </c>
      <c r="C82" s="35" t="s">
        <v>446</v>
      </c>
      <c r="D82" s="35" t="s">
        <v>334</v>
      </c>
      <c r="E82" s="40">
        <v>820</v>
      </c>
      <c r="F82" s="37">
        <v>31.550319999999999</v>
      </c>
      <c r="G82" s="38">
        <v>0.28547461509542299</v>
      </c>
      <c r="H82" s="41"/>
    </row>
    <row r="83" spans="2:8" x14ac:dyDescent="0.2">
      <c r="B83" s="35" t="s">
        <v>439</v>
      </c>
      <c r="C83" s="35" t="s">
        <v>440</v>
      </c>
      <c r="D83" s="35" t="s">
        <v>441</v>
      </c>
      <c r="E83" s="40">
        <v>23588</v>
      </c>
      <c r="F83" s="37">
        <v>31.452239200000001</v>
      </c>
      <c r="G83" s="38">
        <v>0.284587157262088</v>
      </c>
      <c r="H83" s="41"/>
    </row>
    <row r="84" spans="2:8" x14ac:dyDescent="0.2">
      <c r="B84" s="35" t="s">
        <v>385</v>
      </c>
      <c r="C84" s="35" t="s">
        <v>386</v>
      </c>
      <c r="D84" s="35" t="s">
        <v>303</v>
      </c>
      <c r="E84" s="40">
        <v>2310</v>
      </c>
      <c r="F84" s="37">
        <v>31.365179999999999</v>
      </c>
      <c r="G84" s="38">
        <v>0.28379942542258402</v>
      </c>
      <c r="H84" s="41"/>
    </row>
    <row r="85" spans="2:8" x14ac:dyDescent="0.2">
      <c r="B85" s="35" t="s">
        <v>407</v>
      </c>
      <c r="C85" s="35" t="s">
        <v>408</v>
      </c>
      <c r="D85" s="35" t="s">
        <v>409</v>
      </c>
      <c r="E85" s="40">
        <v>1444</v>
      </c>
      <c r="F85" s="37">
        <v>31.216391999999999</v>
      </c>
      <c r="G85" s="38">
        <v>0.28245315707947999</v>
      </c>
      <c r="H85" s="41"/>
    </row>
    <row r="86" spans="2:8" x14ac:dyDescent="0.2">
      <c r="B86" s="35" t="s">
        <v>447</v>
      </c>
      <c r="C86" s="35" t="s">
        <v>448</v>
      </c>
      <c r="D86" s="35" t="s">
        <v>328</v>
      </c>
      <c r="E86" s="40">
        <v>21684</v>
      </c>
      <c r="F86" s="37">
        <v>30.381452400000001</v>
      </c>
      <c r="G86" s="38">
        <v>0.27489842987107399</v>
      </c>
      <c r="H86" s="41"/>
    </row>
    <row r="87" spans="2:8" x14ac:dyDescent="0.2">
      <c r="B87" s="35" t="s">
        <v>459</v>
      </c>
      <c r="C87" s="35" t="s">
        <v>460</v>
      </c>
      <c r="D87" s="35" t="s">
        <v>337</v>
      </c>
      <c r="E87" s="40">
        <v>2441</v>
      </c>
      <c r="F87" s="37">
        <v>30.370922</v>
      </c>
      <c r="G87" s="38">
        <v>0.27480314836879999</v>
      </c>
      <c r="H87" s="41"/>
    </row>
    <row r="88" spans="2:8" x14ac:dyDescent="0.2">
      <c r="B88" s="35" t="s">
        <v>461</v>
      </c>
      <c r="C88" s="35" t="s">
        <v>462</v>
      </c>
      <c r="D88" s="35" t="s">
        <v>463</v>
      </c>
      <c r="E88" s="40">
        <v>2031</v>
      </c>
      <c r="F88" s="37">
        <v>30.302520000000001</v>
      </c>
      <c r="G88" s="38">
        <v>0.27418423120340402</v>
      </c>
      <c r="H88" s="41"/>
    </row>
    <row r="89" spans="2:8" x14ac:dyDescent="0.2">
      <c r="B89" s="35" t="s">
        <v>558</v>
      </c>
      <c r="C89" s="35" t="s">
        <v>559</v>
      </c>
      <c r="D89" s="35" t="s">
        <v>391</v>
      </c>
      <c r="E89" s="40">
        <v>3211</v>
      </c>
      <c r="F89" s="37">
        <v>30.2684915</v>
      </c>
      <c r="G89" s="38">
        <v>0.27387633344072598</v>
      </c>
      <c r="H89" s="41"/>
    </row>
    <row r="90" spans="2:8" x14ac:dyDescent="0.2">
      <c r="B90" s="35" t="s">
        <v>451</v>
      </c>
      <c r="C90" s="35" t="s">
        <v>452</v>
      </c>
      <c r="D90" s="35" t="s">
        <v>453</v>
      </c>
      <c r="E90" s="40">
        <v>4084</v>
      </c>
      <c r="F90" s="37">
        <v>29.617167999999999</v>
      </c>
      <c r="G90" s="38">
        <v>0.26798300730441099</v>
      </c>
      <c r="H90" s="41"/>
    </row>
    <row r="91" spans="2:8" x14ac:dyDescent="0.2">
      <c r="B91" s="35" t="s">
        <v>837</v>
      </c>
      <c r="C91" s="35" t="s">
        <v>838</v>
      </c>
      <c r="D91" s="35" t="s">
        <v>528</v>
      </c>
      <c r="E91" s="40">
        <v>1204</v>
      </c>
      <c r="F91" s="37">
        <v>29.417331999999998</v>
      </c>
      <c r="G91" s="38">
        <v>0.266174844814071</v>
      </c>
      <c r="H91" s="41"/>
    </row>
    <row r="92" spans="2:8" x14ac:dyDescent="0.2">
      <c r="B92" s="35" t="s">
        <v>435</v>
      </c>
      <c r="C92" s="35" t="s">
        <v>436</v>
      </c>
      <c r="D92" s="35" t="s">
        <v>318</v>
      </c>
      <c r="E92" s="40">
        <v>7064</v>
      </c>
      <c r="F92" s="37">
        <v>29.230831999999999</v>
      </c>
      <c r="G92" s="38">
        <v>0.26448734954570902</v>
      </c>
      <c r="H92" s="41"/>
    </row>
    <row r="93" spans="2:8" x14ac:dyDescent="0.2">
      <c r="B93" s="35" t="s">
        <v>843</v>
      </c>
      <c r="C93" s="35" t="s">
        <v>844</v>
      </c>
      <c r="D93" s="35" t="s">
        <v>366</v>
      </c>
      <c r="E93" s="40">
        <v>6739</v>
      </c>
      <c r="F93" s="37">
        <v>29.206826</v>
      </c>
      <c r="G93" s="38">
        <v>0.26427013768827101</v>
      </c>
      <c r="H93" s="41"/>
    </row>
    <row r="94" spans="2:8" x14ac:dyDescent="0.2">
      <c r="B94" s="35" t="s">
        <v>660</v>
      </c>
      <c r="C94" s="35" t="s">
        <v>661</v>
      </c>
      <c r="D94" s="35" t="s">
        <v>334</v>
      </c>
      <c r="E94" s="40">
        <v>24779</v>
      </c>
      <c r="F94" s="37">
        <v>29.184706200000001</v>
      </c>
      <c r="G94" s="38">
        <v>0.26406999260603398</v>
      </c>
      <c r="H94" s="41"/>
    </row>
    <row r="95" spans="2:8" x14ac:dyDescent="0.2">
      <c r="B95" s="35" t="s">
        <v>560</v>
      </c>
      <c r="C95" s="35" t="s">
        <v>561</v>
      </c>
      <c r="D95" s="35" t="s">
        <v>287</v>
      </c>
      <c r="E95" s="40">
        <v>38671</v>
      </c>
      <c r="F95" s="37">
        <v>28.415450799999999</v>
      </c>
      <c r="G95" s="38">
        <v>0.25710959127809002</v>
      </c>
      <c r="H95" s="41"/>
    </row>
    <row r="96" spans="2:8" x14ac:dyDescent="0.2">
      <c r="B96" s="35" t="s">
        <v>564</v>
      </c>
      <c r="C96" s="35" t="s">
        <v>565</v>
      </c>
      <c r="D96" s="35" t="s">
        <v>453</v>
      </c>
      <c r="E96" s="40">
        <v>738</v>
      </c>
      <c r="F96" s="37">
        <v>28.414476000000001</v>
      </c>
      <c r="G96" s="38">
        <v>0.25710077106153401</v>
      </c>
      <c r="H96" s="41"/>
    </row>
    <row r="97" spans="2:8" x14ac:dyDescent="0.2">
      <c r="B97" s="35" t="s">
        <v>566</v>
      </c>
      <c r="C97" s="35" t="s">
        <v>567</v>
      </c>
      <c r="D97" s="35" t="s">
        <v>535</v>
      </c>
      <c r="E97" s="40">
        <v>317</v>
      </c>
      <c r="F97" s="37">
        <v>27.295285</v>
      </c>
      <c r="G97" s="38">
        <v>0.24697407123905199</v>
      </c>
      <c r="H97" s="41"/>
    </row>
    <row r="98" spans="2:8" x14ac:dyDescent="0.2">
      <c r="B98" s="35" t="s">
        <v>466</v>
      </c>
      <c r="C98" s="35" t="s">
        <v>467</v>
      </c>
      <c r="D98" s="35" t="s">
        <v>468</v>
      </c>
      <c r="E98" s="40">
        <v>16061</v>
      </c>
      <c r="F98" s="37">
        <v>27.2282133</v>
      </c>
      <c r="G98" s="38">
        <v>0.24636719093668699</v>
      </c>
      <c r="H98" s="41"/>
    </row>
    <row r="99" spans="2:8" x14ac:dyDescent="0.2">
      <c r="B99" s="35" t="s">
        <v>553</v>
      </c>
      <c r="C99" s="35" t="s">
        <v>554</v>
      </c>
      <c r="D99" s="35" t="s">
        <v>441</v>
      </c>
      <c r="E99" s="40">
        <v>1423</v>
      </c>
      <c r="F99" s="37">
        <v>27.196376000000001</v>
      </c>
      <c r="G99" s="38">
        <v>0.24607911965997201</v>
      </c>
      <c r="H99" s="41"/>
    </row>
    <row r="100" spans="2:8" x14ac:dyDescent="0.2">
      <c r="B100" s="35" t="s">
        <v>607</v>
      </c>
      <c r="C100" s="35" t="s">
        <v>608</v>
      </c>
      <c r="D100" s="35" t="s">
        <v>325</v>
      </c>
      <c r="E100" s="40">
        <v>482</v>
      </c>
      <c r="F100" s="37">
        <v>27.182390000000002</v>
      </c>
      <c r="G100" s="38">
        <v>0.24595257108719301</v>
      </c>
      <c r="H100" s="41"/>
    </row>
    <row r="101" spans="2:8" x14ac:dyDescent="0.2">
      <c r="B101" s="35" t="s">
        <v>576</v>
      </c>
      <c r="C101" s="35" t="s">
        <v>577</v>
      </c>
      <c r="D101" s="35" t="s">
        <v>535</v>
      </c>
      <c r="E101" s="40">
        <v>1175</v>
      </c>
      <c r="F101" s="37">
        <v>26.256550000000001</v>
      </c>
      <c r="G101" s="38">
        <v>0.23757535597051799</v>
      </c>
      <c r="H101" s="41"/>
    </row>
    <row r="102" spans="2:8" x14ac:dyDescent="0.2">
      <c r="B102" s="35" t="s">
        <v>471</v>
      </c>
      <c r="C102" s="35" t="s">
        <v>472</v>
      </c>
      <c r="D102" s="35" t="s">
        <v>287</v>
      </c>
      <c r="E102" s="40">
        <v>20200</v>
      </c>
      <c r="F102" s="37">
        <v>26.146879999999999</v>
      </c>
      <c r="G102" s="38">
        <v>0.23658303636686501</v>
      </c>
      <c r="H102" s="41"/>
    </row>
    <row r="103" spans="2:8" x14ac:dyDescent="0.2">
      <c r="B103" s="35" t="s">
        <v>572</v>
      </c>
      <c r="C103" s="35" t="s">
        <v>573</v>
      </c>
      <c r="D103" s="35" t="s">
        <v>292</v>
      </c>
      <c r="E103" s="40">
        <v>5954</v>
      </c>
      <c r="F103" s="37">
        <v>26.123175</v>
      </c>
      <c r="G103" s="38">
        <v>0.23636854802725901</v>
      </c>
      <c r="H103" s="41"/>
    </row>
    <row r="104" spans="2:8" x14ac:dyDescent="0.2">
      <c r="B104" s="35" t="s">
        <v>545</v>
      </c>
      <c r="C104" s="35" t="s">
        <v>546</v>
      </c>
      <c r="D104" s="35" t="s">
        <v>528</v>
      </c>
      <c r="E104" s="40">
        <v>967</v>
      </c>
      <c r="F104" s="37">
        <v>26.095462000000001</v>
      </c>
      <c r="G104" s="38">
        <v>0.23611779437378899</v>
      </c>
      <c r="H104" s="41"/>
    </row>
    <row r="105" spans="2:8" x14ac:dyDescent="0.2">
      <c r="B105" s="35" t="s">
        <v>627</v>
      </c>
      <c r="C105" s="35" t="s">
        <v>628</v>
      </c>
      <c r="D105" s="35" t="s">
        <v>295</v>
      </c>
      <c r="E105" s="40">
        <v>242996</v>
      </c>
      <c r="F105" s="37">
        <v>25.733276400000001</v>
      </c>
      <c r="G105" s="38">
        <v>0.23284065503722801</v>
      </c>
      <c r="H105" s="41"/>
    </row>
    <row r="106" spans="2:8" x14ac:dyDescent="0.2">
      <c r="B106" s="35" t="s">
        <v>588</v>
      </c>
      <c r="C106" s="35" t="s">
        <v>589</v>
      </c>
      <c r="D106" s="35" t="s">
        <v>463</v>
      </c>
      <c r="E106" s="40">
        <v>970</v>
      </c>
      <c r="F106" s="37">
        <v>24.853339999999999</v>
      </c>
      <c r="G106" s="38">
        <v>0.22487878634307601</v>
      </c>
      <c r="H106" s="41"/>
    </row>
    <row r="107" spans="2:8" x14ac:dyDescent="0.2">
      <c r="B107" s="35" t="s">
        <v>578</v>
      </c>
      <c r="C107" s="35" t="s">
        <v>579</v>
      </c>
      <c r="D107" s="35" t="s">
        <v>334</v>
      </c>
      <c r="E107" s="40">
        <v>7830</v>
      </c>
      <c r="F107" s="37">
        <v>23.627025</v>
      </c>
      <c r="G107" s="38">
        <v>0.213782803715618</v>
      </c>
      <c r="H107" s="41"/>
    </row>
    <row r="108" spans="2:8" x14ac:dyDescent="0.2">
      <c r="B108" s="35" t="s">
        <v>555</v>
      </c>
      <c r="C108" s="35" t="s">
        <v>556</v>
      </c>
      <c r="D108" s="35" t="s">
        <v>557</v>
      </c>
      <c r="E108" s="40">
        <v>1553</v>
      </c>
      <c r="F108" s="37">
        <v>23.009247999999999</v>
      </c>
      <c r="G108" s="38">
        <v>0.208193014094156</v>
      </c>
      <c r="H108" s="41"/>
    </row>
    <row r="109" spans="2:8" x14ac:dyDescent="0.2">
      <c r="B109" s="35" t="s">
        <v>582</v>
      </c>
      <c r="C109" s="35" t="s">
        <v>583</v>
      </c>
      <c r="D109" s="35" t="s">
        <v>287</v>
      </c>
      <c r="E109" s="40">
        <v>11358</v>
      </c>
      <c r="F109" s="37">
        <v>22.973826599999999</v>
      </c>
      <c r="G109" s="38">
        <v>0.20787251304912299</v>
      </c>
      <c r="H109" s="41"/>
    </row>
    <row r="110" spans="2:8" x14ac:dyDescent="0.2">
      <c r="B110" s="35" t="s">
        <v>636</v>
      </c>
      <c r="C110" s="35" t="s">
        <v>637</v>
      </c>
      <c r="D110" s="35" t="s">
        <v>325</v>
      </c>
      <c r="E110" s="40">
        <v>5865</v>
      </c>
      <c r="F110" s="37">
        <v>22.86177</v>
      </c>
      <c r="G110" s="38">
        <v>0.20685859893497399</v>
      </c>
      <c r="H110" s="41"/>
    </row>
    <row r="111" spans="2:8" x14ac:dyDescent="0.2">
      <c r="B111" s="35" t="s">
        <v>584</v>
      </c>
      <c r="C111" s="35" t="s">
        <v>585</v>
      </c>
      <c r="D111" s="35" t="s">
        <v>453</v>
      </c>
      <c r="E111" s="40">
        <v>8626</v>
      </c>
      <c r="F111" s="37">
        <v>22.854586999999999</v>
      </c>
      <c r="G111" s="38">
        <v>0.20679360548450401</v>
      </c>
      <c r="H111" s="41"/>
    </row>
    <row r="112" spans="2:8" x14ac:dyDescent="0.2">
      <c r="B112" s="35" t="s">
        <v>457</v>
      </c>
      <c r="C112" s="35" t="s">
        <v>458</v>
      </c>
      <c r="D112" s="35" t="s">
        <v>318</v>
      </c>
      <c r="E112" s="40">
        <v>211</v>
      </c>
      <c r="F112" s="37">
        <v>22.79644</v>
      </c>
      <c r="G112" s="38">
        <v>0.20626747793828801</v>
      </c>
      <c r="H112" s="41"/>
    </row>
    <row r="113" spans="2:8" x14ac:dyDescent="0.2">
      <c r="B113" s="35" t="s">
        <v>488</v>
      </c>
      <c r="C113" s="35" t="s">
        <v>489</v>
      </c>
      <c r="D113" s="35" t="s">
        <v>345</v>
      </c>
      <c r="E113" s="40">
        <v>87</v>
      </c>
      <c r="F113" s="37">
        <v>22.68525</v>
      </c>
      <c r="G113" s="38">
        <v>0.205261405021992</v>
      </c>
      <c r="H113" s="41"/>
    </row>
    <row r="114" spans="2:8" x14ac:dyDescent="0.2">
      <c r="B114" s="35" t="s">
        <v>710</v>
      </c>
      <c r="C114" s="35" t="s">
        <v>711</v>
      </c>
      <c r="D114" s="35" t="s">
        <v>444</v>
      </c>
      <c r="E114" s="40">
        <v>3920</v>
      </c>
      <c r="F114" s="37">
        <v>22.326360000000001</v>
      </c>
      <c r="G114" s="38">
        <v>0.20201408503881599</v>
      </c>
      <c r="H114" s="41"/>
    </row>
    <row r="115" spans="2:8" x14ac:dyDescent="0.2">
      <c r="B115" s="35" t="s">
        <v>490</v>
      </c>
      <c r="C115" s="35" t="s">
        <v>491</v>
      </c>
      <c r="D115" s="35" t="s">
        <v>463</v>
      </c>
      <c r="E115" s="40">
        <v>162</v>
      </c>
      <c r="F115" s="37">
        <v>21.876480000000001</v>
      </c>
      <c r="G115" s="38">
        <v>0.197943466425784</v>
      </c>
      <c r="H115" s="41"/>
    </row>
    <row r="116" spans="2:8" x14ac:dyDescent="0.2">
      <c r="B116" s="35" t="s">
        <v>590</v>
      </c>
      <c r="C116" s="35" t="s">
        <v>591</v>
      </c>
      <c r="D116" s="35" t="s">
        <v>287</v>
      </c>
      <c r="E116" s="40">
        <v>105400</v>
      </c>
      <c r="F116" s="37">
        <v>21.83888</v>
      </c>
      <c r="G116" s="38">
        <v>0.19760325290251099</v>
      </c>
      <c r="H116" s="41"/>
    </row>
    <row r="117" spans="2:8" x14ac:dyDescent="0.2">
      <c r="B117" s="35" t="s">
        <v>484</v>
      </c>
      <c r="C117" s="35" t="s">
        <v>485</v>
      </c>
      <c r="D117" s="35" t="s">
        <v>331</v>
      </c>
      <c r="E117" s="40">
        <v>1558</v>
      </c>
      <c r="F117" s="37">
        <v>21.766818000000001</v>
      </c>
      <c r="G117" s="38">
        <v>0.196951219207987</v>
      </c>
      <c r="H117" s="41"/>
    </row>
    <row r="118" spans="2:8" x14ac:dyDescent="0.2">
      <c r="B118" s="35" t="s">
        <v>868</v>
      </c>
      <c r="C118" s="35" t="s">
        <v>869</v>
      </c>
      <c r="D118" s="35" t="s">
        <v>528</v>
      </c>
      <c r="E118" s="40">
        <v>3202</v>
      </c>
      <c r="F118" s="37">
        <v>21.696752</v>
      </c>
      <c r="G118" s="38">
        <v>0.19631724578453899</v>
      </c>
      <c r="H118" s="41"/>
    </row>
    <row r="119" spans="2:8" x14ac:dyDescent="0.2">
      <c r="B119" s="35" t="s">
        <v>568</v>
      </c>
      <c r="C119" s="35" t="s">
        <v>569</v>
      </c>
      <c r="D119" s="35" t="s">
        <v>557</v>
      </c>
      <c r="E119" s="40">
        <v>1971</v>
      </c>
      <c r="F119" s="37">
        <v>21.647493000000001</v>
      </c>
      <c r="G119" s="38">
        <v>0.19587153892435599</v>
      </c>
      <c r="H119" s="41"/>
    </row>
    <row r="120" spans="2:8" x14ac:dyDescent="0.2">
      <c r="B120" s="35" t="s">
        <v>562</v>
      </c>
      <c r="C120" s="35" t="s">
        <v>563</v>
      </c>
      <c r="D120" s="35" t="s">
        <v>382</v>
      </c>
      <c r="E120" s="40">
        <v>1189</v>
      </c>
      <c r="F120" s="37">
        <v>21.561326000000001</v>
      </c>
      <c r="G120" s="38">
        <v>0.19509187991744401</v>
      </c>
      <c r="H120" s="41"/>
    </row>
    <row r="121" spans="2:8" x14ac:dyDescent="0.2">
      <c r="B121" s="35" t="s">
        <v>603</v>
      </c>
      <c r="C121" s="35" t="s">
        <v>604</v>
      </c>
      <c r="D121" s="35" t="s">
        <v>287</v>
      </c>
      <c r="E121" s="40">
        <v>2115</v>
      </c>
      <c r="F121" s="37">
        <v>20.949075000000001</v>
      </c>
      <c r="G121" s="38">
        <v>0.189552090826025</v>
      </c>
      <c r="H121" s="41"/>
    </row>
    <row r="122" spans="2:8" x14ac:dyDescent="0.2">
      <c r="B122" s="35" t="s">
        <v>654</v>
      </c>
      <c r="C122" s="35" t="s">
        <v>655</v>
      </c>
      <c r="D122" s="35" t="s">
        <v>325</v>
      </c>
      <c r="E122" s="40">
        <v>925</v>
      </c>
      <c r="F122" s="37">
        <v>20.790299999999998</v>
      </c>
      <c r="G122" s="38">
        <v>0.18811545778991701</v>
      </c>
      <c r="H122" s="41"/>
    </row>
    <row r="123" spans="2:8" x14ac:dyDescent="0.2">
      <c r="B123" s="35" t="s">
        <v>712</v>
      </c>
      <c r="C123" s="35" t="s">
        <v>713</v>
      </c>
      <c r="D123" s="35" t="s">
        <v>366</v>
      </c>
      <c r="E123" s="40">
        <v>4184</v>
      </c>
      <c r="F123" s="37">
        <v>20.737995999999999</v>
      </c>
      <c r="G123" s="38">
        <v>0.187642199063288</v>
      </c>
      <c r="H123" s="41"/>
    </row>
    <row r="124" spans="2:8" x14ac:dyDescent="0.2">
      <c r="B124" s="35" t="s">
        <v>498</v>
      </c>
      <c r="C124" s="35" t="s">
        <v>499</v>
      </c>
      <c r="D124" s="35" t="s">
        <v>345</v>
      </c>
      <c r="E124" s="40">
        <v>4138</v>
      </c>
      <c r="F124" s="37">
        <v>20.706551999999999</v>
      </c>
      <c r="G124" s="38">
        <v>0.187357686456219</v>
      </c>
      <c r="H124" s="41"/>
    </row>
    <row r="125" spans="2:8" x14ac:dyDescent="0.2">
      <c r="B125" s="35" t="s">
        <v>464</v>
      </c>
      <c r="C125" s="35" t="s">
        <v>465</v>
      </c>
      <c r="D125" s="35" t="s">
        <v>382</v>
      </c>
      <c r="E125" s="40">
        <v>1088</v>
      </c>
      <c r="F125" s="37">
        <v>20.688320000000001</v>
      </c>
      <c r="G125" s="38">
        <v>0.18719271909036</v>
      </c>
      <c r="H125" s="41"/>
    </row>
    <row r="126" spans="2:8" x14ac:dyDescent="0.2">
      <c r="B126" s="35" t="s">
        <v>405</v>
      </c>
      <c r="C126" s="35" t="s">
        <v>406</v>
      </c>
      <c r="D126" s="35" t="s">
        <v>303</v>
      </c>
      <c r="E126" s="40">
        <v>10289</v>
      </c>
      <c r="F126" s="37">
        <v>20.676774399999999</v>
      </c>
      <c r="G126" s="38">
        <v>0.18708825182295799</v>
      </c>
      <c r="H126" s="41"/>
    </row>
    <row r="127" spans="2:8" x14ac:dyDescent="0.2">
      <c r="B127" s="35" t="s">
        <v>473</v>
      </c>
      <c r="C127" s="35" t="s">
        <v>474</v>
      </c>
      <c r="D127" s="35" t="s">
        <v>318</v>
      </c>
      <c r="E127" s="40">
        <v>5911</v>
      </c>
      <c r="F127" s="37">
        <v>20.676677999999999</v>
      </c>
      <c r="G127" s="38">
        <v>0.187087379573393</v>
      </c>
      <c r="H127" s="41"/>
    </row>
    <row r="128" spans="2:8" x14ac:dyDescent="0.2">
      <c r="B128" s="35" t="s">
        <v>601</v>
      </c>
      <c r="C128" s="35" t="s">
        <v>602</v>
      </c>
      <c r="D128" s="35" t="s">
        <v>331</v>
      </c>
      <c r="E128" s="40">
        <v>1324</v>
      </c>
      <c r="F128" s="37">
        <v>20.671612</v>
      </c>
      <c r="G128" s="38">
        <v>0.187041541230071</v>
      </c>
      <c r="H128" s="41"/>
    </row>
    <row r="129" spans="2:8" x14ac:dyDescent="0.2">
      <c r="B129" s="35" t="s">
        <v>849</v>
      </c>
      <c r="C129" s="35" t="s">
        <v>850</v>
      </c>
      <c r="D129" s="35" t="s">
        <v>434</v>
      </c>
      <c r="E129" s="40">
        <v>747</v>
      </c>
      <c r="F129" s="37">
        <v>19.791765000000002</v>
      </c>
      <c r="G129" s="38">
        <v>0.17908048144786101</v>
      </c>
      <c r="H129" s="41"/>
    </row>
    <row r="130" spans="2:8" x14ac:dyDescent="0.2">
      <c r="B130" s="35" t="s">
        <v>609</v>
      </c>
      <c r="C130" s="35" t="s">
        <v>610</v>
      </c>
      <c r="D130" s="35" t="s">
        <v>453</v>
      </c>
      <c r="E130" s="40">
        <v>77</v>
      </c>
      <c r="F130" s="37">
        <v>19.682739999999999</v>
      </c>
      <c r="G130" s="38">
        <v>0.178093997953849</v>
      </c>
      <c r="H130" s="41"/>
    </row>
    <row r="131" spans="2:8" x14ac:dyDescent="0.2">
      <c r="B131" s="35" t="s">
        <v>613</v>
      </c>
      <c r="C131" s="35" t="s">
        <v>614</v>
      </c>
      <c r="D131" s="35" t="s">
        <v>352</v>
      </c>
      <c r="E131" s="40">
        <v>5542</v>
      </c>
      <c r="F131" s="37">
        <v>19.651931999999999</v>
      </c>
      <c r="G131" s="38">
        <v>0.17781524002233401</v>
      </c>
      <c r="H131" s="41"/>
    </row>
    <row r="132" spans="2:8" x14ac:dyDescent="0.2">
      <c r="B132" s="35" t="s">
        <v>598</v>
      </c>
      <c r="C132" s="35" t="s">
        <v>599</v>
      </c>
      <c r="D132" s="35" t="s">
        <v>600</v>
      </c>
      <c r="E132" s="40">
        <v>3081</v>
      </c>
      <c r="F132" s="37">
        <v>19.638293999999998</v>
      </c>
      <c r="G132" s="38">
        <v>0.17769184023429099</v>
      </c>
      <c r="H132" s="41"/>
    </row>
    <row r="133" spans="2:8" x14ac:dyDescent="0.2">
      <c r="B133" s="35" t="s">
        <v>492</v>
      </c>
      <c r="C133" s="35" t="s">
        <v>493</v>
      </c>
      <c r="D133" s="35" t="s">
        <v>453</v>
      </c>
      <c r="E133" s="40">
        <v>323</v>
      </c>
      <c r="F133" s="37">
        <v>19.615790000000001</v>
      </c>
      <c r="G133" s="38">
        <v>0.17748821882131999</v>
      </c>
      <c r="H133" s="41"/>
    </row>
    <row r="134" spans="2:8" x14ac:dyDescent="0.2">
      <c r="B134" s="35" t="s">
        <v>486</v>
      </c>
      <c r="C134" s="35" t="s">
        <v>487</v>
      </c>
      <c r="D134" s="35" t="s">
        <v>328</v>
      </c>
      <c r="E134" s="40">
        <v>1914</v>
      </c>
      <c r="F134" s="37">
        <v>19.361066999999998</v>
      </c>
      <c r="G134" s="38">
        <v>0.17518342602108999</v>
      </c>
      <c r="H134" s="41"/>
    </row>
    <row r="135" spans="2:8" x14ac:dyDescent="0.2">
      <c r="B135" s="35" t="s">
        <v>615</v>
      </c>
      <c r="C135" s="35" t="s">
        <v>616</v>
      </c>
      <c r="D135" s="35" t="s">
        <v>535</v>
      </c>
      <c r="E135" s="40">
        <v>370</v>
      </c>
      <c r="F135" s="37">
        <v>18.79748</v>
      </c>
      <c r="G135" s="38">
        <v>0.17008396009181301</v>
      </c>
      <c r="H135" s="41"/>
    </row>
    <row r="136" spans="2:8" x14ac:dyDescent="0.2">
      <c r="B136" s="35" t="s">
        <v>841</v>
      </c>
      <c r="C136" s="35" t="s">
        <v>842</v>
      </c>
      <c r="D136" s="35" t="s">
        <v>287</v>
      </c>
      <c r="E136" s="40">
        <v>5725</v>
      </c>
      <c r="F136" s="37">
        <v>18.674949999999999</v>
      </c>
      <c r="G136" s="38">
        <v>0.168975280224615</v>
      </c>
      <c r="H136" s="41"/>
    </row>
    <row r="137" spans="2:8" x14ac:dyDescent="0.2">
      <c r="B137" s="35" t="s">
        <v>605</v>
      </c>
      <c r="C137" s="35" t="s">
        <v>606</v>
      </c>
      <c r="D137" s="35" t="s">
        <v>325</v>
      </c>
      <c r="E137" s="40">
        <v>1523</v>
      </c>
      <c r="F137" s="37">
        <v>18.586691999999999</v>
      </c>
      <c r="G137" s="38">
        <v>0.16817670136458801</v>
      </c>
      <c r="H137" s="41"/>
    </row>
    <row r="138" spans="2:8" x14ac:dyDescent="0.2">
      <c r="B138" s="35" t="s">
        <v>646</v>
      </c>
      <c r="C138" s="35" t="s">
        <v>647</v>
      </c>
      <c r="D138" s="35" t="s">
        <v>453</v>
      </c>
      <c r="E138" s="40">
        <v>676</v>
      </c>
      <c r="F138" s="37">
        <v>18.314868000000001</v>
      </c>
      <c r="G138" s="38">
        <v>0.165717174748893</v>
      </c>
      <c r="H138" s="41"/>
    </row>
    <row r="139" spans="2:8" x14ac:dyDescent="0.2">
      <c r="B139" s="35" t="s">
        <v>551</v>
      </c>
      <c r="C139" s="35" t="s">
        <v>552</v>
      </c>
      <c r="D139" s="35" t="s">
        <v>303</v>
      </c>
      <c r="E139" s="40">
        <v>385</v>
      </c>
      <c r="F139" s="37">
        <v>18.222049999999999</v>
      </c>
      <c r="G139" s="38">
        <v>0.16487733595093701</v>
      </c>
      <c r="H139" s="41"/>
    </row>
    <row r="140" spans="2:8" x14ac:dyDescent="0.2">
      <c r="B140" s="35" t="s">
        <v>500</v>
      </c>
      <c r="C140" s="35" t="s">
        <v>501</v>
      </c>
      <c r="D140" s="35" t="s">
        <v>453</v>
      </c>
      <c r="E140" s="40">
        <v>530</v>
      </c>
      <c r="F140" s="37">
        <v>18.118580000000001</v>
      </c>
      <c r="G140" s="38">
        <v>0.163941115385696</v>
      </c>
      <c r="H140" s="41"/>
    </row>
    <row r="141" spans="2:8" x14ac:dyDescent="0.2">
      <c r="B141" s="35" t="s">
        <v>512</v>
      </c>
      <c r="C141" s="35" t="s">
        <v>513</v>
      </c>
      <c r="D141" s="35" t="s">
        <v>325</v>
      </c>
      <c r="E141" s="40">
        <v>1931</v>
      </c>
      <c r="F141" s="37">
        <v>17.798027000000001</v>
      </c>
      <c r="G141" s="38">
        <v>0.161040677472779</v>
      </c>
      <c r="H141" s="41"/>
    </row>
    <row r="142" spans="2:8" x14ac:dyDescent="0.2">
      <c r="B142" s="35" t="s">
        <v>586</v>
      </c>
      <c r="C142" s="35" t="s">
        <v>587</v>
      </c>
      <c r="D142" s="35" t="s">
        <v>318</v>
      </c>
      <c r="E142" s="40">
        <v>320</v>
      </c>
      <c r="F142" s="37">
        <v>17.630400000000002</v>
      </c>
      <c r="G142" s="38">
        <v>0.159523949486989</v>
      </c>
      <c r="H142" s="41"/>
    </row>
    <row r="143" spans="2:8" x14ac:dyDescent="0.2">
      <c r="B143" s="35" t="s">
        <v>699</v>
      </c>
      <c r="C143" s="35" t="s">
        <v>700</v>
      </c>
      <c r="D143" s="35" t="s">
        <v>295</v>
      </c>
      <c r="E143" s="40">
        <v>1100</v>
      </c>
      <c r="F143" s="37">
        <v>17.572500000000002</v>
      </c>
      <c r="G143" s="38">
        <v>0.159000056854077</v>
      </c>
      <c r="H143" s="41"/>
    </row>
    <row r="144" spans="2:8" x14ac:dyDescent="0.2">
      <c r="B144" s="35" t="s">
        <v>611</v>
      </c>
      <c r="C144" s="35" t="s">
        <v>612</v>
      </c>
      <c r="D144" s="35" t="s">
        <v>325</v>
      </c>
      <c r="E144" s="40">
        <v>820</v>
      </c>
      <c r="F144" s="37">
        <v>17.52094</v>
      </c>
      <c r="G144" s="38">
        <v>0.158533530012057</v>
      </c>
      <c r="H144" s="41"/>
    </row>
    <row r="145" spans="2:8" x14ac:dyDescent="0.2">
      <c r="B145" s="35" t="s">
        <v>481</v>
      </c>
      <c r="C145" s="35" t="s">
        <v>482</v>
      </c>
      <c r="D145" s="35" t="s">
        <v>483</v>
      </c>
      <c r="E145" s="40">
        <v>2897</v>
      </c>
      <c r="F145" s="37">
        <v>17.493534499999999</v>
      </c>
      <c r="G145" s="38">
        <v>0.158285558689928</v>
      </c>
      <c r="H145" s="41"/>
    </row>
    <row r="146" spans="2:8" x14ac:dyDescent="0.2">
      <c r="B146" s="35" t="s">
        <v>631</v>
      </c>
      <c r="C146" s="35" t="s">
        <v>632</v>
      </c>
      <c r="D146" s="35" t="s">
        <v>633</v>
      </c>
      <c r="E146" s="40">
        <v>21366</v>
      </c>
      <c r="F146" s="37">
        <v>17.464568400000001</v>
      </c>
      <c r="G146" s="38">
        <v>0.15802346669693701</v>
      </c>
      <c r="H146" s="41"/>
    </row>
    <row r="147" spans="2:8" x14ac:dyDescent="0.2">
      <c r="B147" s="35" t="s">
        <v>594</v>
      </c>
      <c r="C147" s="35" t="s">
        <v>595</v>
      </c>
      <c r="D147" s="35" t="s">
        <v>318</v>
      </c>
      <c r="E147" s="40">
        <v>519</v>
      </c>
      <c r="F147" s="37">
        <v>17.404665000000001</v>
      </c>
      <c r="G147" s="38">
        <v>0.15748144683603199</v>
      </c>
      <c r="H147" s="41"/>
    </row>
    <row r="148" spans="2:8" x14ac:dyDescent="0.2">
      <c r="B148" s="35" t="s">
        <v>642</v>
      </c>
      <c r="C148" s="35" t="s">
        <v>643</v>
      </c>
      <c r="D148" s="35" t="s">
        <v>600</v>
      </c>
      <c r="E148" s="40">
        <v>781</v>
      </c>
      <c r="F148" s="37">
        <v>17.338200000000001</v>
      </c>
      <c r="G148" s="38">
        <v>0.15688005609602301</v>
      </c>
      <c r="H148" s="41"/>
    </row>
    <row r="149" spans="2:8" x14ac:dyDescent="0.2">
      <c r="B149" s="35" t="s">
        <v>621</v>
      </c>
      <c r="C149" s="35" t="s">
        <v>622</v>
      </c>
      <c r="D149" s="35" t="s">
        <v>328</v>
      </c>
      <c r="E149" s="40">
        <v>1103</v>
      </c>
      <c r="F149" s="37">
        <v>17.277391999999999</v>
      </c>
      <c r="G149" s="38">
        <v>0.15632985120444901</v>
      </c>
      <c r="H149" s="41"/>
    </row>
    <row r="150" spans="2:8" x14ac:dyDescent="0.2">
      <c r="B150" s="35" t="s">
        <v>496</v>
      </c>
      <c r="C150" s="35" t="s">
        <v>497</v>
      </c>
      <c r="D150" s="35" t="s">
        <v>310</v>
      </c>
      <c r="E150" s="40">
        <v>758</v>
      </c>
      <c r="F150" s="37">
        <v>16.413732</v>
      </c>
      <c r="G150" s="38">
        <v>0.14851525515365399</v>
      </c>
      <c r="H150" s="41"/>
    </row>
    <row r="151" spans="2:8" x14ac:dyDescent="0.2">
      <c r="B151" s="35" t="s">
        <v>686</v>
      </c>
      <c r="C151" s="35" t="s">
        <v>687</v>
      </c>
      <c r="D151" s="35" t="s">
        <v>325</v>
      </c>
      <c r="E151" s="40">
        <v>1072</v>
      </c>
      <c r="F151" s="37">
        <v>16.389807999999999</v>
      </c>
      <c r="G151" s="38">
        <v>0.14829878525123999</v>
      </c>
      <c r="H151" s="41"/>
    </row>
    <row r="152" spans="2:8" x14ac:dyDescent="0.2">
      <c r="B152" s="35" t="s">
        <v>707</v>
      </c>
      <c r="C152" s="35" t="s">
        <v>708</v>
      </c>
      <c r="D152" s="35" t="s">
        <v>709</v>
      </c>
      <c r="E152" s="40">
        <v>3214</v>
      </c>
      <c r="F152" s="37">
        <v>16.327120000000001</v>
      </c>
      <c r="G152" s="38">
        <v>0.14773156968350201</v>
      </c>
      <c r="H152" s="41"/>
    </row>
    <row r="153" spans="2:8" x14ac:dyDescent="0.2">
      <c r="B153" s="35" t="s">
        <v>506</v>
      </c>
      <c r="C153" s="35" t="s">
        <v>507</v>
      </c>
      <c r="D153" s="35" t="s">
        <v>352</v>
      </c>
      <c r="E153" s="40">
        <v>2679</v>
      </c>
      <c r="F153" s="37">
        <v>16.175802000000001</v>
      </c>
      <c r="G153" s="38">
        <v>0.146362409313433</v>
      </c>
      <c r="H153" s="41"/>
    </row>
    <row r="154" spans="2:8" x14ac:dyDescent="0.2">
      <c r="B154" s="35" t="s">
        <v>502</v>
      </c>
      <c r="C154" s="35" t="s">
        <v>503</v>
      </c>
      <c r="D154" s="35" t="s">
        <v>328</v>
      </c>
      <c r="E154" s="40">
        <v>1707</v>
      </c>
      <c r="F154" s="37">
        <v>16.171264499999999</v>
      </c>
      <c r="G154" s="38">
        <v>0.14632135296072399</v>
      </c>
      <c r="H154" s="41"/>
    </row>
    <row r="155" spans="2:8" x14ac:dyDescent="0.2">
      <c r="B155" s="35" t="s">
        <v>494</v>
      </c>
      <c r="C155" s="35" t="s">
        <v>495</v>
      </c>
      <c r="D155" s="35" t="s">
        <v>441</v>
      </c>
      <c r="E155" s="40">
        <v>43</v>
      </c>
      <c r="F155" s="37">
        <v>15.662750000000001</v>
      </c>
      <c r="G155" s="38">
        <v>0.141720195788374</v>
      </c>
      <c r="H155" s="41"/>
    </row>
    <row r="156" spans="2:8" x14ac:dyDescent="0.2">
      <c r="B156" s="35" t="s">
        <v>656</v>
      </c>
      <c r="C156" s="35" t="s">
        <v>657</v>
      </c>
      <c r="D156" s="35" t="s">
        <v>600</v>
      </c>
      <c r="E156" s="40">
        <v>500</v>
      </c>
      <c r="F156" s="37">
        <v>15.586499999999999</v>
      </c>
      <c r="G156" s="38">
        <v>0.141030268098226</v>
      </c>
      <c r="H156" s="41"/>
    </row>
    <row r="157" spans="2:8" x14ac:dyDescent="0.2">
      <c r="B157" s="35" t="s">
        <v>662</v>
      </c>
      <c r="C157" s="35" t="s">
        <v>663</v>
      </c>
      <c r="D157" s="35" t="s">
        <v>337</v>
      </c>
      <c r="E157" s="40">
        <v>1976</v>
      </c>
      <c r="F157" s="37">
        <v>15.340676</v>
      </c>
      <c r="G157" s="38">
        <v>0.138805995514581</v>
      </c>
      <c r="H157" s="41"/>
    </row>
    <row r="158" spans="2:8" x14ac:dyDescent="0.2">
      <c r="B158" s="35" t="s">
        <v>510</v>
      </c>
      <c r="C158" s="35" t="s">
        <v>511</v>
      </c>
      <c r="D158" s="35" t="s">
        <v>453</v>
      </c>
      <c r="E158" s="40">
        <v>522</v>
      </c>
      <c r="F158" s="37">
        <v>15.299298</v>
      </c>
      <c r="G158" s="38">
        <v>0.13843159777080499</v>
      </c>
      <c r="H158" s="41"/>
    </row>
    <row r="159" spans="2:8" x14ac:dyDescent="0.2">
      <c r="B159" s="35" t="s">
        <v>652</v>
      </c>
      <c r="C159" s="35" t="s">
        <v>653</v>
      </c>
      <c r="D159" s="35" t="s">
        <v>535</v>
      </c>
      <c r="E159" s="40">
        <v>383</v>
      </c>
      <c r="F159" s="37">
        <v>15.225016</v>
      </c>
      <c r="G159" s="38">
        <v>0.137759477001237</v>
      </c>
      <c r="H159" s="41"/>
    </row>
    <row r="160" spans="2:8" x14ac:dyDescent="0.2">
      <c r="B160" s="35" t="s">
        <v>508</v>
      </c>
      <c r="C160" s="35" t="s">
        <v>509</v>
      </c>
      <c r="D160" s="35" t="s">
        <v>328</v>
      </c>
      <c r="E160" s="40">
        <v>3121</v>
      </c>
      <c r="F160" s="37">
        <v>15.2226775</v>
      </c>
      <c r="G160" s="38">
        <v>0.1377383177107</v>
      </c>
      <c r="H160" s="41"/>
    </row>
    <row r="161" spans="2:8" x14ac:dyDescent="0.2">
      <c r="B161" s="35" t="s">
        <v>658</v>
      </c>
      <c r="C161" s="35" t="s">
        <v>659</v>
      </c>
      <c r="D161" s="35" t="s">
        <v>331</v>
      </c>
      <c r="E161" s="40">
        <v>783</v>
      </c>
      <c r="F161" s="37">
        <v>15.199596</v>
      </c>
      <c r="G161" s="38">
        <v>0.13752947094374801</v>
      </c>
      <c r="H161" s="41"/>
    </row>
    <row r="162" spans="2:8" x14ac:dyDescent="0.2">
      <c r="B162" s="35" t="s">
        <v>475</v>
      </c>
      <c r="C162" s="35" t="s">
        <v>476</v>
      </c>
      <c r="D162" s="35" t="s">
        <v>303</v>
      </c>
      <c r="E162" s="40">
        <v>338</v>
      </c>
      <c r="F162" s="37">
        <v>15.08156</v>
      </c>
      <c r="G162" s="38">
        <v>0.13646145383116701</v>
      </c>
      <c r="H162" s="41"/>
    </row>
    <row r="163" spans="2:8" x14ac:dyDescent="0.2">
      <c r="B163" s="35" t="s">
        <v>670</v>
      </c>
      <c r="C163" s="35" t="s">
        <v>671</v>
      </c>
      <c r="D163" s="35" t="s">
        <v>337</v>
      </c>
      <c r="E163" s="40">
        <v>8936</v>
      </c>
      <c r="F163" s="37">
        <v>14.8078456</v>
      </c>
      <c r="G163" s="38">
        <v>0.13398482243769499</v>
      </c>
      <c r="H163" s="41"/>
    </row>
    <row r="164" spans="2:8" x14ac:dyDescent="0.2">
      <c r="B164" s="35" t="s">
        <v>674</v>
      </c>
      <c r="C164" s="35" t="s">
        <v>675</v>
      </c>
      <c r="D164" s="35" t="s">
        <v>345</v>
      </c>
      <c r="E164" s="40">
        <v>259</v>
      </c>
      <c r="F164" s="37">
        <v>14.649039999999999</v>
      </c>
      <c r="G164" s="38">
        <v>0.13254791252568801</v>
      </c>
      <c r="H164" s="41"/>
    </row>
    <row r="165" spans="2:8" x14ac:dyDescent="0.2">
      <c r="B165" s="35" t="s">
        <v>625</v>
      </c>
      <c r="C165" s="35" t="s">
        <v>626</v>
      </c>
      <c r="D165" s="35" t="s">
        <v>441</v>
      </c>
      <c r="E165" s="40">
        <v>528</v>
      </c>
      <c r="F165" s="37">
        <v>14.537952000000001</v>
      </c>
      <c r="G165" s="38">
        <v>0.131542762529056</v>
      </c>
      <c r="H165" s="41"/>
    </row>
    <row r="166" spans="2:8" x14ac:dyDescent="0.2">
      <c r="B166" s="35" t="s">
        <v>640</v>
      </c>
      <c r="C166" s="35" t="s">
        <v>641</v>
      </c>
      <c r="D166" s="35" t="s">
        <v>369</v>
      </c>
      <c r="E166" s="40">
        <v>2992</v>
      </c>
      <c r="F166" s="37">
        <v>14.478287999999999</v>
      </c>
      <c r="G166" s="38">
        <v>0.13100290881489299</v>
      </c>
      <c r="H166" s="41"/>
    </row>
    <row r="167" spans="2:8" x14ac:dyDescent="0.2">
      <c r="B167" s="35" t="s">
        <v>845</v>
      </c>
      <c r="C167" s="35" t="s">
        <v>846</v>
      </c>
      <c r="D167" s="35" t="s">
        <v>463</v>
      </c>
      <c r="E167" s="40">
        <v>227</v>
      </c>
      <c r="F167" s="37">
        <v>14.202254999999999</v>
      </c>
      <c r="G167" s="38">
        <v>0.128505298190702</v>
      </c>
      <c r="H167" s="41"/>
    </row>
    <row r="168" spans="2:8" x14ac:dyDescent="0.2">
      <c r="B168" s="35" t="s">
        <v>672</v>
      </c>
      <c r="C168" s="35" t="s">
        <v>673</v>
      </c>
      <c r="D168" s="35" t="s">
        <v>328</v>
      </c>
      <c r="E168" s="40">
        <v>18836</v>
      </c>
      <c r="F168" s="37">
        <v>14.1891588</v>
      </c>
      <c r="G168" s="38">
        <v>0.128386800734758</v>
      </c>
      <c r="H168" s="41"/>
    </row>
    <row r="169" spans="2:8" x14ac:dyDescent="0.2">
      <c r="B169" s="35" t="s">
        <v>861</v>
      </c>
      <c r="C169" s="35" t="s">
        <v>862</v>
      </c>
      <c r="D169" s="35" t="s">
        <v>325</v>
      </c>
      <c r="E169" s="40">
        <v>687</v>
      </c>
      <c r="F169" s="37">
        <v>14.107545</v>
      </c>
      <c r="G169" s="38">
        <v>0.12764834013779799</v>
      </c>
      <c r="H169" s="41"/>
    </row>
    <row r="170" spans="2:8" x14ac:dyDescent="0.2">
      <c r="B170" s="35" t="s">
        <v>629</v>
      </c>
      <c r="C170" s="35" t="s">
        <v>630</v>
      </c>
      <c r="D170" s="35" t="s">
        <v>441</v>
      </c>
      <c r="E170" s="40">
        <v>10</v>
      </c>
      <c r="F170" s="37">
        <v>14.0985</v>
      </c>
      <c r="G170" s="38">
        <v>0.12756649887933999</v>
      </c>
      <c r="H170" s="41"/>
    </row>
    <row r="171" spans="2:8" x14ac:dyDescent="0.2">
      <c r="B171" s="35" t="s">
        <v>580</v>
      </c>
      <c r="C171" s="35" t="s">
        <v>581</v>
      </c>
      <c r="D171" s="35" t="s">
        <v>303</v>
      </c>
      <c r="E171" s="40">
        <v>1176</v>
      </c>
      <c r="F171" s="37">
        <v>13.945008</v>
      </c>
      <c r="G171" s="38">
        <v>0.12617766765289901</v>
      </c>
      <c r="H171" s="41"/>
    </row>
    <row r="172" spans="2:8" x14ac:dyDescent="0.2">
      <c r="B172" s="35" t="s">
        <v>617</v>
      </c>
      <c r="C172" s="35" t="s">
        <v>618</v>
      </c>
      <c r="D172" s="35" t="s">
        <v>483</v>
      </c>
      <c r="E172" s="40">
        <v>838</v>
      </c>
      <c r="F172" s="37">
        <v>13.899068</v>
      </c>
      <c r="G172" s="38">
        <v>0.12576199187473</v>
      </c>
      <c r="H172" s="41"/>
    </row>
    <row r="173" spans="2:8" x14ac:dyDescent="0.2">
      <c r="B173" s="35" t="s">
        <v>666</v>
      </c>
      <c r="C173" s="35" t="s">
        <v>667</v>
      </c>
      <c r="D173" s="35" t="s">
        <v>468</v>
      </c>
      <c r="E173" s="40">
        <v>4113</v>
      </c>
      <c r="F173" s="37">
        <v>13.301442</v>
      </c>
      <c r="G173" s="38">
        <v>0.120354533176339</v>
      </c>
      <c r="H173" s="41"/>
    </row>
    <row r="174" spans="2:8" x14ac:dyDescent="0.2">
      <c r="B174" s="35" t="s">
        <v>684</v>
      </c>
      <c r="C174" s="35" t="s">
        <v>685</v>
      </c>
      <c r="D174" s="35" t="s">
        <v>287</v>
      </c>
      <c r="E174" s="40">
        <v>7461</v>
      </c>
      <c r="F174" s="37">
        <v>13.1350905</v>
      </c>
      <c r="G174" s="38">
        <v>0.118849346210468</v>
      </c>
      <c r="H174" s="41"/>
    </row>
    <row r="175" spans="2:8" x14ac:dyDescent="0.2">
      <c r="B175" s="35" t="s">
        <v>638</v>
      </c>
      <c r="C175" s="35" t="s">
        <v>639</v>
      </c>
      <c r="D175" s="35" t="s">
        <v>318</v>
      </c>
      <c r="E175" s="40">
        <v>3811</v>
      </c>
      <c r="F175" s="37">
        <v>13.126989500000001</v>
      </c>
      <c r="G175" s="38">
        <v>0.11877604648302</v>
      </c>
      <c r="H175" s="41"/>
    </row>
    <row r="176" spans="2:8" x14ac:dyDescent="0.2">
      <c r="B176" s="35" t="s">
        <v>668</v>
      </c>
      <c r="C176" s="35" t="s">
        <v>669</v>
      </c>
      <c r="D176" s="35" t="s">
        <v>441</v>
      </c>
      <c r="E176" s="40">
        <v>2451</v>
      </c>
      <c r="F176" s="37">
        <v>13.100595</v>
      </c>
      <c r="G176" s="38">
        <v>0.118537222923445</v>
      </c>
      <c r="H176" s="41"/>
    </row>
    <row r="177" spans="2:8" x14ac:dyDescent="0.2">
      <c r="B177" s="35" t="s">
        <v>690</v>
      </c>
      <c r="C177" s="35" t="s">
        <v>691</v>
      </c>
      <c r="D177" s="35" t="s">
        <v>444</v>
      </c>
      <c r="E177" s="40">
        <v>2360</v>
      </c>
      <c r="F177" s="37">
        <v>12.269640000000001</v>
      </c>
      <c r="G177" s="38">
        <v>0.11101854930027399</v>
      </c>
      <c r="H177" s="41"/>
    </row>
    <row r="178" spans="2:8" x14ac:dyDescent="0.2">
      <c r="B178" s="35" t="s">
        <v>634</v>
      </c>
      <c r="C178" s="35" t="s">
        <v>635</v>
      </c>
      <c r="D178" s="35" t="s">
        <v>528</v>
      </c>
      <c r="E178" s="40">
        <v>1104</v>
      </c>
      <c r="F178" s="37">
        <v>12.183744000000001</v>
      </c>
      <c r="G178" s="38">
        <v>0.110241342364235</v>
      </c>
      <c r="H178" s="41"/>
    </row>
    <row r="179" spans="2:8" x14ac:dyDescent="0.2">
      <c r="B179" s="35" t="s">
        <v>853</v>
      </c>
      <c r="C179" s="35" t="s">
        <v>854</v>
      </c>
      <c r="D179" s="35" t="s">
        <v>287</v>
      </c>
      <c r="E179" s="40">
        <v>3736</v>
      </c>
      <c r="F179" s="37">
        <v>11.94586</v>
      </c>
      <c r="G179" s="38">
        <v>0.10808891274268601</v>
      </c>
      <c r="H179" s="41"/>
    </row>
    <row r="180" spans="2:8" x14ac:dyDescent="0.2">
      <c r="B180" s="35" t="s">
        <v>650</v>
      </c>
      <c r="C180" s="35" t="s">
        <v>651</v>
      </c>
      <c r="D180" s="35" t="s">
        <v>382</v>
      </c>
      <c r="E180" s="40">
        <v>1823</v>
      </c>
      <c r="F180" s="37">
        <v>11.931535</v>
      </c>
      <c r="G180" s="38">
        <v>0.107959296819258</v>
      </c>
      <c r="H180" s="41"/>
    </row>
    <row r="181" spans="2:8" x14ac:dyDescent="0.2">
      <c r="B181" s="35" t="s">
        <v>504</v>
      </c>
      <c r="C181" s="35" t="s">
        <v>505</v>
      </c>
      <c r="D181" s="35" t="s">
        <v>483</v>
      </c>
      <c r="E181" s="40">
        <v>1206</v>
      </c>
      <c r="F181" s="37">
        <v>11.918295000000001</v>
      </c>
      <c r="G181" s="38">
        <v>0.107839498227552</v>
      </c>
      <c r="H181" s="41"/>
    </row>
    <row r="182" spans="2:8" x14ac:dyDescent="0.2">
      <c r="B182" s="35" t="s">
        <v>682</v>
      </c>
      <c r="C182" s="35" t="s">
        <v>683</v>
      </c>
      <c r="D182" s="35" t="s">
        <v>441</v>
      </c>
      <c r="E182" s="40">
        <v>1000</v>
      </c>
      <c r="F182" s="37">
        <v>11.885</v>
      </c>
      <c r="G182" s="38">
        <v>0.107538237343048</v>
      </c>
      <c r="H182" s="41"/>
    </row>
    <row r="183" spans="2:8" x14ac:dyDescent="0.2">
      <c r="B183" s="35" t="s">
        <v>664</v>
      </c>
      <c r="C183" s="35" t="s">
        <v>665</v>
      </c>
      <c r="D183" s="35" t="s">
        <v>318</v>
      </c>
      <c r="E183" s="40">
        <v>3175</v>
      </c>
      <c r="F183" s="37">
        <v>11.884024999999999</v>
      </c>
      <c r="G183" s="38">
        <v>0.107529415316846</v>
      </c>
      <c r="H183" s="41"/>
    </row>
    <row r="184" spans="2:8" x14ac:dyDescent="0.2">
      <c r="B184" s="35" t="s">
        <v>648</v>
      </c>
      <c r="C184" s="35" t="s">
        <v>649</v>
      </c>
      <c r="D184" s="35" t="s">
        <v>483</v>
      </c>
      <c r="E184" s="40">
        <v>681</v>
      </c>
      <c r="F184" s="37">
        <v>11.78811</v>
      </c>
      <c r="G184" s="38">
        <v>0.10666155414438</v>
      </c>
      <c r="H184" s="41"/>
    </row>
    <row r="185" spans="2:8" x14ac:dyDescent="0.2">
      <c r="B185" s="35" t="s">
        <v>678</v>
      </c>
      <c r="C185" s="35" t="s">
        <v>679</v>
      </c>
      <c r="D185" s="35" t="s">
        <v>318</v>
      </c>
      <c r="E185" s="40">
        <v>4132</v>
      </c>
      <c r="F185" s="37">
        <v>11.732813999999999</v>
      </c>
      <c r="G185" s="38">
        <v>0.106161223107601</v>
      </c>
      <c r="H185" s="41"/>
    </row>
    <row r="186" spans="2:8" x14ac:dyDescent="0.2">
      <c r="B186" s="35" t="s">
        <v>855</v>
      </c>
      <c r="C186" s="35" t="s">
        <v>856</v>
      </c>
      <c r="D186" s="35" t="s">
        <v>352</v>
      </c>
      <c r="E186" s="40">
        <v>2028</v>
      </c>
      <c r="F186" s="37">
        <v>11.484564000000001</v>
      </c>
      <c r="G186" s="38">
        <v>0.103914999513119</v>
      </c>
      <c r="H186" s="41"/>
    </row>
    <row r="187" spans="2:8" x14ac:dyDescent="0.2">
      <c r="B187" s="35" t="s">
        <v>882</v>
      </c>
      <c r="C187" s="35" t="s">
        <v>883</v>
      </c>
      <c r="D187" s="35" t="s">
        <v>325</v>
      </c>
      <c r="E187" s="40">
        <v>614</v>
      </c>
      <c r="F187" s="37">
        <v>11.188307999999999</v>
      </c>
      <c r="G187" s="38">
        <v>0.101234406493153</v>
      </c>
      <c r="H187" s="41"/>
    </row>
    <row r="188" spans="2:8" x14ac:dyDescent="0.2">
      <c r="B188" s="35" t="s">
        <v>851</v>
      </c>
      <c r="C188" s="35" t="s">
        <v>852</v>
      </c>
      <c r="D188" s="35" t="s">
        <v>287</v>
      </c>
      <c r="E188" s="40">
        <v>3932</v>
      </c>
      <c r="F188" s="37">
        <v>11.129526</v>
      </c>
      <c r="G188" s="38">
        <v>0.100702533319615</v>
      </c>
      <c r="H188" s="41"/>
    </row>
    <row r="189" spans="2:8" x14ac:dyDescent="0.2">
      <c r="B189" s="35" t="s">
        <v>688</v>
      </c>
      <c r="C189" s="35" t="s">
        <v>689</v>
      </c>
      <c r="D189" s="35" t="s">
        <v>535</v>
      </c>
      <c r="E189" s="40">
        <v>665</v>
      </c>
      <c r="F189" s="37">
        <v>11.091535</v>
      </c>
      <c r="G189" s="38">
        <v>0.100358781937629</v>
      </c>
      <c r="H189" s="41"/>
    </row>
    <row r="190" spans="2:8" x14ac:dyDescent="0.2">
      <c r="B190" s="35" t="s">
        <v>701</v>
      </c>
      <c r="C190" s="35" t="s">
        <v>702</v>
      </c>
      <c r="D190" s="35" t="s">
        <v>298</v>
      </c>
      <c r="E190" s="40">
        <v>3441</v>
      </c>
      <c r="F190" s="37">
        <v>10.8856035</v>
      </c>
      <c r="G190" s="38">
        <v>9.8495465949121702E-2</v>
      </c>
      <c r="H190" s="41"/>
    </row>
    <row r="191" spans="2:8" x14ac:dyDescent="0.2">
      <c r="B191" s="35" t="s">
        <v>744</v>
      </c>
      <c r="C191" s="35" t="s">
        <v>745</v>
      </c>
      <c r="D191" s="35" t="s">
        <v>325</v>
      </c>
      <c r="E191" s="40">
        <v>41</v>
      </c>
      <c r="F191" s="37">
        <v>10.8773</v>
      </c>
      <c r="G191" s="38">
        <v>9.8420333954693601E-2</v>
      </c>
      <c r="H191" s="41"/>
    </row>
    <row r="192" spans="2:8" x14ac:dyDescent="0.2">
      <c r="B192" s="35" t="s">
        <v>676</v>
      </c>
      <c r="C192" s="35" t="s">
        <v>677</v>
      </c>
      <c r="D192" s="35" t="s">
        <v>483</v>
      </c>
      <c r="E192" s="40">
        <v>780</v>
      </c>
      <c r="F192" s="37">
        <v>10.865399999999999</v>
      </c>
      <c r="G192" s="38">
        <v>9.8312659993870496E-2</v>
      </c>
      <c r="H192" s="41"/>
    </row>
    <row r="193" spans="2:8" x14ac:dyDescent="0.2">
      <c r="B193" s="35" t="s">
        <v>754</v>
      </c>
      <c r="C193" s="35" t="s">
        <v>755</v>
      </c>
      <c r="D193" s="35" t="s">
        <v>295</v>
      </c>
      <c r="E193" s="40">
        <v>672</v>
      </c>
      <c r="F193" s="37">
        <v>10.798368</v>
      </c>
      <c r="G193" s="38">
        <v>9.7706138906316603E-2</v>
      </c>
      <c r="H193" s="41"/>
    </row>
    <row r="194" spans="2:8" x14ac:dyDescent="0.2">
      <c r="B194" s="35" t="s">
        <v>695</v>
      </c>
      <c r="C194" s="35" t="s">
        <v>696</v>
      </c>
      <c r="D194" s="35" t="s">
        <v>441</v>
      </c>
      <c r="E194" s="40">
        <v>451</v>
      </c>
      <c r="F194" s="37">
        <v>10.751389</v>
      </c>
      <c r="G194" s="38">
        <v>9.7281062015097494E-2</v>
      </c>
      <c r="H194" s="41"/>
    </row>
    <row r="195" spans="2:8" x14ac:dyDescent="0.2">
      <c r="B195" s="35" t="s">
        <v>888</v>
      </c>
      <c r="C195" s="35" t="s">
        <v>889</v>
      </c>
      <c r="D195" s="35" t="s">
        <v>325</v>
      </c>
      <c r="E195" s="40">
        <v>1058</v>
      </c>
      <c r="F195" s="37">
        <v>10.561484999999999</v>
      </c>
      <c r="G195" s="38">
        <v>9.5562766565001206E-2</v>
      </c>
      <c r="H195" s="41"/>
    </row>
    <row r="196" spans="2:8" x14ac:dyDescent="0.2">
      <c r="B196" s="35" t="s">
        <v>857</v>
      </c>
      <c r="C196" s="35" t="s">
        <v>858</v>
      </c>
      <c r="D196" s="35" t="s">
        <v>391</v>
      </c>
      <c r="E196" s="40">
        <v>1372</v>
      </c>
      <c r="F196" s="37">
        <v>10.222085999999999</v>
      </c>
      <c r="G196" s="38">
        <v>9.2491805671774993E-2</v>
      </c>
      <c r="H196" s="41"/>
    </row>
    <row r="197" spans="2:8" x14ac:dyDescent="0.2">
      <c r="B197" s="35" t="s">
        <v>697</v>
      </c>
      <c r="C197" s="35" t="s">
        <v>698</v>
      </c>
      <c r="D197" s="35" t="s">
        <v>453</v>
      </c>
      <c r="E197" s="40">
        <v>91</v>
      </c>
      <c r="F197" s="37">
        <v>10.174255</v>
      </c>
      <c r="G197" s="38">
        <v>9.20590196868903E-2</v>
      </c>
      <c r="H197" s="41"/>
    </row>
    <row r="198" spans="2:8" x14ac:dyDescent="0.2">
      <c r="B198" s="35" t="s">
        <v>680</v>
      </c>
      <c r="C198" s="35" t="s">
        <v>681</v>
      </c>
      <c r="D198" s="35" t="s">
        <v>318</v>
      </c>
      <c r="E198" s="40">
        <v>1302</v>
      </c>
      <c r="F198" s="37">
        <v>10.082687999999999</v>
      </c>
      <c r="G198" s="38">
        <v>9.1230500227168707E-2</v>
      </c>
      <c r="H198" s="41"/>
    </row>
    <row r="199" spans="2:8" x14ac:dyDescent="0.2">
      <c r="B199" s="35" t="s">
        <v>878</v>
      </c>
      <c r="C199" s="35" t="s">
        <v>879</v>
      </c>
      <c r="D199" s="35" t="s">
        <v>391</v>
      </c>
      <c r="E199" s="40">
        <v>1528</v>
      </c>
      <c r="F199" s="37">
        <v>10.002288</v>
      </c>
      <c r="G199" s="38">
        <v>9.0503022374212802E-2</v>
      </c>
      <c r="H199" s="41"/>
    </row>
    <row r="200" spans="2:8" x14ac:dyDescent="0.2">
      <c r="B200" s="35" t="s">
        <v>872</v>
      </c>
      <c r="C200" s="35" t="s">
        <v>873</v>
      </c>
      <c r="D200" s="35" t="s">
        <v>287</v>
      </c>
      <c r="E200" s="40">
        <v>5449</v>
      </c>
      <c r="F200" s="37">
        <v>9.9160901999999993</v>
      </c>
      <c r="G200" s="38">
        <v>8.9723084681755993E-2</v>
      </c>
      <c r="H200" s="41"/>
    </row>
    <row r="201" spans="2:8" x14ac:dyDescent="0.2">
      <c r="B201" s="35" t="s">
        <v>722</v>
      </c>
      <c r="C201" s="35" t="s">
        <v>723</v>
      </c>
      <c r="D201" s="35" t="s">
        <v>633</v>
      </c>
      <c r="E201" s="40">
        <v>801</v>
      </c>
      <c r="F201" s="37">
        <v>9.8763299999999994</v>
      </c>
      <c r="G201" s="38">
        <v>8.9363325167712504E-2</v>
      </c>
      <c r="H201" s="41"/>
    </row>
    <row r="202" spans="2:8" x14ac:dyDescent="0.2">
      <c r="B202" s="35" t="s">
        <v>847</v>
      </c>
      <c r="C202" s="35" t="s">
        <v>848</v>
      </c>
      <c r="D202" s="35" t="s">
        <v>528</v>
      </c>
      <c r="E202" s="40">
        <v>774</v>
      </c>
      <c r="F202" s="37">
        <v>9.8468280000000004</v>
      </c>
      <c r="G202" s="38">
        <v>8.9096384227191294E-2</v>
      </c>
      <c r="H202" s="41"/>
    </row>
    <row r="203" spans="2:8" x14ac:dyDescent="0.2">
      <c r="B203" s="35" t="s">
        <v>724</v>
      </c>
      <c r="C203" s="35" t="s">
        <v>725</v>
      </c>
      <c r="D203" s="35" t="s">
        <v>345</v>
      </c>
      <c r="E203" s="40">
        <v>493</v>
      </c>
      <c r="F203" s="37">
        <v>9.8254900000000003</v>
      </c>
      <c r="G203" s="38">
        <v>8.8903313052733898E-2</v>
      </c>
      <c r="H203" s="41"/>
    </row>
    <row r="204" spans="2:8" x14ac:dyDescent="0.2">
      <c r="B204" s="35" t="s">
        <v>705</v>
      </c>
      <c r="C204" s="35" t="s">
        <v>706</v>
      </c>
      <c r="D204" s="35" t="s">
        <v>441</v>
      </c>
      <c r="E204" s="40">
        <v>225</v>
      </c>
      <c r="F204" s="37">
        <v>9.8036999999999992</v>
      </c>
      <c r="G204" s="38">
        <v>8.8706152077411698E-2</v>
      </c>
      <c r="H204" s="41"/>
    </row>
    <row r="205" spans="2:8" x14ac:dyDescent="0.2">
      <c r="B205" s="35" t="s">
        <v>718</v>
      </c>
      <c r="C205" s="35" t="s">
        <v>719</v>
      </c>
      <c r="D205" s="35" t="s">
        <v>444</v>
      </c>
      <c r="E205" s="40">
        <v>5544</v>
      </c>
      <c r="F205" s="37">
        <v>9.7607663999999996</v>
      </c>
      <c r="G205" s="38">
        <v>8.8317678903933203E-2</v>
      </c>
      <c r="H205" s="41"/>
    </row>
    <row r="206" spans="2:8" x14ac:dyDescent="0.2">
      <c r="B206" s="35" t="s">
        <v>644</v>
      </c>
      <c r="C206" s="35" t="s">
        <v>645</v>
      </c>
      <c r="D206" s="35" t="s">
        <v>303</v>
      </c>
      <c r="E206" s="40">
        <v>425</v>
      </c>
      <c r="F206" s="37">
        <v>9.7601250000000004</v>
      </c>
      <c r="G206" s="38">
        <v>8.8311875367927201E-2</v>
      </c>
      <c r="H206" s="41"/>
    </row>
    <row r="207" spans="2:8" x14ac:dyDescent="0.2">
      <c r="B207" s="35" t="s">
        <v>752</v>
      </c>
      <c r="C207" s="35" t="s">
        <v>753</v>
      </c>
      <c r="D207" s="35" t="s">
        <v>325</v>
      </c>
      <c r="E207" s="40">
        <v>325</v>
      </c>
      <c r="F207" s="37">
        <v>9.7301749999999991</v>
      </c>
      <c r="G207" s="38">
        <v>8.8040880819469106E-2</v>
      </c>
      <c r="H207" s="41"/>
    </row>
    <row r="208" spans="2:8" x14ac:dyDescent="0.2">
      <c r="B208" s="35" t="s">
        <v>518</v>
      </c>
      <c r="C208" s="35" t="s">
        <v>519</v>
      </c>
      <c r="D208" s="35" t="s">
        <v>520</v>
      </c>
      <c r="E208" s="40">
        <v>412</v>
      </c>
      <c r="F208" s="37">
        <v>9.1665880000000008</v>
      </c>
      <c r="G208" s="38">
        <v>8.2941414890192203E-2</v>
      </c>
      <c r="H208" s="41"/>
    </row>
    <row r="209" spans="2:8" x14ac:dyDescent="0.2">
      <c r="B209" s="35" t="s">
        <v>738</v>
      </c>
      <c r="C209" s="35" t="s">
        <v>739</v>
      </c>
      <c r="D209" s="35" t="s">
        <v>463</v>
      </c>
      <c r="E209" s="40">
        <v>261</v>
      </c>
      <c r="F209" s="37">
        <v>9.0914129999999993</v>
      </c>
      <c r="G209" s="38">
        <v>8.2261214049446404E-2</v>
      </c>
      <c r="H209" s="41"/>
    </row>
    <row r="210" spans="2:8" x14ac:dyDescent="0.2">
      <c r="B210" s="35" t="s">
        <v>813</v>
      </c>
      <c r="C210" s="35" t="s">
        <v>814</v>
      </c>
      <c r="D210" s="35" t="s">
        <v>359</v>
      </c>
      <c r="E210" s="40">
        <v>3536</v>
      </c>
      <c r="F210" s="37">
        <v>9.0097280000000008</v>
      </c>
      <c r="G210" s="38">
        <v>8.1522109218368E-2</v>
      </c>
      <c r="H210" s="41"/>
    </row>
    <row r="211" spans="2:8" x14ac:dyDescent="0.2">
      <c r="B211" s="35" t="s">
        <v>766</v>
      </c>
      <c r="C211" s="35" t="s">
        <v>767</v>
      </c>
      <c r="D211" s="35" t="s">
        <v>434</v>
      </c>
      <c r="E211" s="40">
        <v>555</v>
      </c>
      <c r="F211" s="37">
        <v>8.9077500000000001</v>
      </c>
      <c r="G211" s="38">
        <v>8.0599388615274201E-2</v>
      </c>
      <c r="H211" s="41"/>
    </row>
    <row r="212" spans="2:8" x14ac:dyDescent="0.2">
      <c r="B212" s="35" t="s">
        <v>884</v>
      </c>
      <c r="C212" s="35" t="s">
        <v>885</v>
      </c>
      <c r="D212" s="35" t="s">
        <v>345</v>
      </c>
      <c r="E212" s="40">
        <v>780</v>
      </c>
      <c r="F212" s="37">
        <v>8.8124400000000005</v>
      </c>
      <c r="G212" s="38">
        <v>7.9737001623169407E-2</v>
      </c>
      <c r="H212" s="41"/>
    </row>
    <row r="213" spans="2:8" x14ac:dyDescent="0.2">
      <c r="B213" s="35" t="s">
        <v>742</v>
      </c>
      <c r="C213" s="35" t="s">
        <v>743</v>
      </c>
      <c r="D213" s="35" t="s">
        <v>463</v>
      </c>
      <c r="E213" s="40">
        <v>130</v>
      </c>
      <c r="F213" s="37">
        <v>8.7490000000000006</v>
      </c>
      <c r="G213" s="38">
        <v>7.9162981784966405E-2</v>
      </c>
      <c r="H213" s="41"/>
    </row>
    <row r="214" spans="2:8" x14ac:dyDescent="0.2">
      <c r="B214" s="35" t="s">
        <v>920</v>
      </c>
      <c r="C214" s="35" t="s">
        <v>921</v>
      </c>
      <c r="D214" s="35" t="s">
        <v>325</v>
      </c>
      <c r="E214" s="40">
        <v>638</v>
      </c>
      <c r="F214" s="37">
        <v>8.6889219999999998</v>
      </c>
      <c r="G214" s="38">
        <v>7.8619382102753793E-2</v>
      </c>
      <c r="H214" s="41"/>
    </row>
    <row r="215" spans="2:8" x14ac:dyDescent="0.2">
      <c r="B215" s="35" t="s">
        <v>514</v>
      </c>
      <c r="C215" s="35" t="s">
        <v>515</v>
      </c>
      <c r="D215" s="35" t="s">
        <v>382</v>
      </c>
      <c r="E215" s="40">
        <v>1022</v>
      </c>
      <c r="F215" s="37">
        <v>8.6808680000000003</v>
      </c>
      <c r="G215" s="38">
        <v>7.8546507642210203E-2</v>
      </c>
      <c r="H215" s="41"/>
    </row>
    <row r="216" spans="2:8" x14ac:dyDescent="0.2">
      <c r="B216" s="35" t="s">
        <v>924</v>
      </c>
      <c r="C216" s="35" t="s">
        <v>925</v>
      </c>
      <c r="D216" s="35" t="s">
        <v>325</v>
      </c>
      <c r="E216" s="40">
        <v>66</v>
      </c>
      <c r="F216" s="37">
        <v>8.4644999999999992</v>
      </c>
      <c r="G216" s="38">
        <v>7.6588759780414697E-2</v>
      </c>
      <c r="H216" s="41"/>
    </row>
    <row r="217" spans="2:8" x14ac:dyDescent="0.2">
      <c r="B217" s="35" t="s">
        <v>730</v>
      </c>
      <c r="C217" s="35" t="s">
        <v>731</v>
      </c>
      <c r="D217" s="35" t="s">
        <v>287</v>
      </c>
      <c r="E217" s="40">
        <v>11092</v>
      </c>
      <c r="F217" s="37">
        <v>8.2923791999999992</v>
      </c>
      <c r="G217" s="38">
        <v>7.5031370849655304E-2</v>
      </c>
      <c r="H217" s="41"/>
    </row>
    <row r="218" spans="2:8" x14ac:dyDescent="0.2">
      <c r="B218" s="35" t="s">
        <v>776</v>
      </c>
      <c r="C218" s="35" t="s">
        <v>777</v>
      </c>
      <c r="D218" s="35" t="s">
        <v>325</v>
      </c>
      <c r="E218" s="40">
        <v>320</v>
      </c>
      <c r="F218" s="37">
        <v>8.22912</v>
      </c>
      <c r="G218" s="38">
        <v>7.4458986931798199E-2</v>
      </c>
      <c r="H218" s="41"/>
    </row>
    <row r="219" spans="2:8" x14ac:dyDescent="0.2">
      <c r="B219" s="35" t="s">
        <v>734</v>
      </c>
      <c r="C219" s="35" t="s">
        <v>735</v>
      </c>
      <c r="D219" s="35" t="s">
        <v>535</v>
      </c>
      <c r="E219" s="40">
        <v>211</v>
      </c>
      <c r="F219" s="37">
        <v>8.1268759999999993</v>
      </c>
      <c r="G219" s="38">
        <v>7.3533859498991896E-2</v>
      </c>
      <c r="H219" s="41"/>
    </row>
    <row r="220" spans="2:8" x14ac:dyDescent="0.2">
      <c r="B220" s="35" t="s">
        <v>516</v>
      </c>
      <c r="C220" s="35" t="s">
        <v>517</v>
      </c>
      <c r="D220" s="35" t="s">
        <v>318</v>
      </c>
      <c r="E220" s="40">
        <v>7762</v>
      </c>
      <c r="F220" s="37">
        <v>8.0375510000000006</v>
      </c>
      <c r="G220" s="38">
        <v>7.2725626175418695E-2</v>
      </c>
      <c r="H220" s="41"/>
    </row>
    <row r="221" spans="2:8" x14ac:dyDescent="0.2">
      <c r="B221" s="35" t="s">
        <v>746</v>
      </c>
      <c r="C221" s="35" t="s">
        <v>747</v>
      </c>
      <c r="D221" s="35" t="s">
        <v>331</v>
      </c>
      <c r="E221" s="40">
        <v>1759</v>
      </c>
      <c r="F221" s="37">
        <v>8.0227989999999991</v>
      </c>
      <c r="G221" s="38">
        <v>7.2592146656926093E-2</v>
      </c>
      <c r="H221" s="41"/>
    </row>
    <row r="222" spans="2:8" x14ac:dyDescent="0.2">
      <c r="B222" s="35" t="s">
        <v>800</v>
      </c>
      <c r="C222" s="35" t="s">
        <v>801</v>
      </c>
      <c r="D222" s="35" t="s">
        <v>802</v>
      </c>
      <c r="E222" s="40">
        <v>369</v>
      </c>
      <c r="F222" s="37">
        <v>7.8058259999999997</v>
      </c>
      <c r="G222" s="38">
        <v>7.0628924614769301E-2</v>
      </c>
      <c r="H222" s="41"/>
    </row>
    <row r="223" spans="2:8" x14ac:dyDescent="0.2">
      <c r="B223" s="35" t="s">
        <v>886</v>
      </c>
      <c r="C223" s="35" t="s">
        <v>887</v>
      </c>
      <c r="D223" s="35" t="s">
        <v>298</v>
      </c>
      <c r="E223" s="40">
        <v>617</v>
      </c>
      <c r="F223" s="37">
        <v>7.6514170000000004</v>
      </c>
      <c r="G223" s="38">
        <v>6.9231796159581901E-2</v>
      </c>
      <c r="H223" s="41"/>
    </row>
    <row r="224" spans="2:8" x14ac:dyDescent="0.2">
      <c r="B224" s="35" t="s">
        <v>740</v>
      </c>
      <c r="C224" s="35" t="s">
        <v>741</v>
      </c>
      <c r="D224" s="35" t="s">
        <v>468</v>
      </c>
      <c r="E224" s="40">
        <v>1489</v>
      </c>
      <c r="F224" s="37">
        <v>7.6236800000000002</v>
      </c>
      <c r="G224" s="38">
        <v>6.8980825348544106E-2</v>
      </c>
      <c r="H224" s="41"/>
    </row>
    <row r="225" spans="2:8" x14ac:dyDescent="0.2">
      <c r="B225" s="35" t="s">
        <v>762</v>
      </c>
      <c r="C225" s="35" t="s">
        <v>763</v>
      </c>
      <c r="D225" s="35" t="s">
        <v>540</v>
      </c>
      <c r="E225" s="40">
        <v>216</v>
      </c>
      <c r="F225" s="37">
        <v>7.6001760000000003</v>
      </c>
      <c r="G225" s="38">
        <v>6.8768155703570505E-2</v>
      </c>
      <c r="H225" s="41"/>
    </row>
    <row r="226" spans="2:8" x14ac:dyDescent="0.2">
      <c r="B226" s="35" t="s">
        <v>906</v>
      </c>
      <c r="C226" s="35" t="s">
        <v>907</v>
      </c>
      <c r="D226" s="35" t="s">
        <v>310</v>
      </c>
      <c r="E226" s="40">
        <v>31</v>
      </c>
      <c r="F226" s="37">
        <v>7.5457099999999997</v>
      </c>
      <c r="G226" s="38">
        <v>6.8275334699352902E-2</v>
      </c>
      <c r="H226" s="41"/>
    </row>
    <row r="227" spans="2:8" x14ac:dyDescent="0.2">
      <c r="B227" s="35" t="s">
        <v>732</v>
      </c>
      <c r="C227" s="35" t="s">
        <v>733</v>
      </c>
      <c r="D227" s="35" t="s">
        <v>441</v>
      </c>
      <c r="E227" s="40">
        <v>2254</v>
      </c>
      <c r="F227" s="37">
        <v>7.5351220000000003</v>
      </c>
      <c r="G227" s="38">
        <v>6.8179532018916397E-2</v>
      </c>
      <c r="H227" s="41"/>
    </row>
    <row r="228" spans="2:8" x14ac:dyDescent="0.2">
      <c r="B228" s="35" t="s">
        <v>952</v>
      </c>
      <c r="C228" s="35" t="s">
        <v>953</v>
      </c>
      <c r="D228" s="35" t="s">
        <v>325</v>
      </c>
      <c r="E228" s="40">
        <v>4775</v>
      </c>
      <c r="F228" s="37">
        <v>7.4552075000000002</v>
      </c>
      <c r="G228" s="38">
        <v>6.7456447082597404E-2</v>
      </c>
      <c r="H228" s="41"/>
    </row>
    <row r="229" spans="2:8" x14ac:dyDescent="0.2">
      <c r="B229" s="35" t="s">
        <v>890</v>
      </c>
      <c r="C229" s="35" t="s">
        <v>891</v>
      </c>
      <c r="D229" s="35" t="s">
        <v>366</v>
      </c>
      <c r="E229" s="40">
        <v>544</v>
      </c>
      <c r="F229" s="37">
        <v>7.2836160000000003</v>
      </c>
      <c r="G229" s="38">
        <v>6.5903847381036607E-2</v>
      </c>
      <c r="H229" s="41"/>
    </row>
    <row r="230" spans="2:8" x14ac:dyDescent="0.2">
      <c r="B230" s="35" t="s">
        <v>736</v>
      </c>
      <c r="C230" s="35" t="s">
        <v>737</v>
      </c>
      <c r="D230" s="35" t="s">
        <v>441</v>
      </c>
      <c r="E230" s="40">
        <v>1602</v>
      </c>
      <c r="F230" s="37">
        <v>7.2738810000000003</v>
      </c>
      <c r="G230" s="38">
        <v>6.5815762842497794E-2</v>
      </c>
      <c r="H230" s="41"/>
    </row>
    <row r="231" spans="2:8" x14ac:dyDescent="0.2">
      <c r="B231" s="35" t="s">
        <v>714</v>
      </c>
      <c r="C231" s="35" t="s">
        <v>715</v>
      </c>
      <c r="D231" s="35" t="s">
        <v>528</v>
      </c>
      <c r="E231" s="40">
        <v>772</v>
      </c>
      <c r="F231" s="37">
        <v>7.1888639999999997</v>
      </c>
      <c r="G231" s="38">
        <v>6.5046509302388894E-2</v>
      </c>
      <c r="H231" s="41"/>
    </row>
    <row r="232" spans="2:8" x14ac:dyDescent="0.2">
      <c r="B232" s="35" t="s">
        <v>918</v>
      </c>
      <c r="C232" s="35" t="s">
        <v>919</v>
      </c>
      <c r="D232" s="35" t="s">
        <v>463</v>
      </c>
      <c r="E232" s="40">
        <v>1451</v>
      </c>
      <c r="F232" s="37">
        <v>7.0351735</v>
      </c>
      <c r="G232" s="38">
        <v>6.3655882001894801E-2</v>
      </c>
      <c r="H232" s="41"/>
    </row>
    <row r="233" spans="2:8" x14ac:dyDescent="0.2">
      <c r="B233" s="35" t="s">
        <v>870</v>
      </c>
      <c r="C233" s="35" t="s">
        <v>871</v>
      </c>
      <c r="D233" s="35" t="s">
        <v>318</v>
      </c>
      <c r="E233" s="40">
        <v>430</v>
      </c>
      <c r="F233" s="37">
        <v>7.0266299999999999</v>
      </c>
      <c r="G233" s="38">
        <v>6.3578578431786298E-2</v>
      </c>
      <c r="H233" s="41"/>
    </row>
    <row r="234" spans="2:8" x14ac:dyDescent="0.2">
      <c r="B234" s="35" t="s">
        <v>720</v>
      </c>
      <c r="C234" s="35" t="s">
        <v>721</v>
      </c>
      <c r="D234" s="35" t="s">
        <v>318</v>
      </c>
      <c r="E234" s="40">
        <v>1306</v>
      </c>
      <c r="F234" s="37">
        <v>7.023015</v>
      </c>
      <c r="G234" s="38">
        <v>6.3545869073099295E-2</v>
      </c>
      <c r="H234" s="41"/>
    </row>
    <row r="235" spans="2:8" x14ac:dyDescent="0.2">
      <c r="B235" s="35" t="s">
        <v>922</v>
      </c>
      <c r="C235" s="35" t="s">
        <v>923</v>
      </c>
      <c r="D235" s="35" t="s">
        <v>463</v>
      </c>
      <c r="E235" s="40">
        <v>967</v>
      </c>
      <c r="F235" s="37">
        <v>6.9372579999999999</v>
      </c>
      <c r="G235" s="38">
        <v>6.2769919841309002E-2</v>
      </c>
      <c r="H235" s="41"/>
    </row>
    <row r="236" spans="2:8" x14ac:dyDescent="0.2">
      <c r="B236" s="35" t="s">
        <v>902</v>
      </c>
      <c r="C236" s="35" t="s">
        <v>903</v>
      </c>
      <c r="D236" s="35" t="s">
        <v>391</v>
      </c>
      <c r="E236" s="40">
        <v>377</v>
      </c>
      <c r="F236" s="37">
        <v>6.9024929999999998</v>
      </c>
      <c r="G236" s="38">
        <v>6.2455358055761599E-2</v>
      </c>
      <c r="H236" s="41"/>
    </row>
    <row r="237" spans="2:8" x14ac:dyDescent="0.2">
      <c r="B237" s="35" t="s">
        <v>978</v>
      </c>
      <c r="C237" s="35" t="s">
        <v>979</v>
      </c>
      <c r="D237" s="35" t="s">
        <v>325</v>
      </c>
      <c r="E237" s="40">
        <v>693</v>
      </c>
      <c r="F237" s="37">
        <v>6.8503049999999996</v>
      </c>
      <c r="G237" s="38">
        <v>6.1983148924044301E-2</v>
      </c>
      <c r="H237" s="41"/>
    </row>
    <row r="238" spans="2:8" x14ac:dyDescent="0.2">
      <c r="B238" s="35" t="s">
        <v>750</v>
      </c>
      <c r="C238" s="35" t="s">
        <v>751</v>
      </c>
      <c r="D238" s="35" t="s">
        <v>520</v>
      </c>
      <c r="E238" s="40">
        <v>459</v>
      </c>
      <c r="F238" s="37">
        <v>6.8469030000000002</v>
      </c>
      <c r="G238" s="38">
        <v>6.1952366838773698E-2</v>
      </c>
      <c r="H238" s="41"/>
    </row>
    <row r="239" spans="2:8" x14ac:dyDescent="0.2">
      <c r="B239" s="35" t="s">
        <v>932</v>
      </c>
      <c r="C239" s="35" t="s">
        <v>933</v>
      </c>
      <c r="D239" s="35" t="s">
        <v>535</v>
      </c>
      <c r="E239" s="40">
        <v>38</v>
      </c>
      <c r="F239" s="37">
        <v>6.8156800000000004</v>
      </c>
      <c r="G239" s="38">
        <v>6.1669853890977198E-2</v>
      </c>
      <c r="H239" s="41"/>
    </row>
    <row r="240" spans="2:8" x14ac:dyDescent="0.2">
      <c r="B240" s="35" t="s">
        <v>900</v>
      </c>
      <c r="C240" s="35" t="s">
        <v>901</v>
      </c>
      <c r="D240" s="35" t="s">
        <v>535</v>
      </c>
      <c r="E240" s="40">
        <v>196</v>
      </c>
      <c r="F240" s="37">
        <v>6.8068840000000002</v>
      </c>
      <c r="G240" s="38">
        <v>6.1590265642288103E-2</v>
      </c>
      <c r="H240" s="41"/>
    </row>
    <row r="241" spans="2:8" x14ac:dyDescent="0.2">
      <c r="B241" s="35" t="s">
        <v>703</v>
      </c>
      <c r="C241" s="35" t="s">
        <v>704</v>
      </c>
      <c r="D241" s="35" t="s">
        <v>483</v>
      </c>
      <c r="E241" s="40">
        <v>446</v>
      </c>
      <c r="F241" s="37">
        <v>6.7916879999999997</v>
      </c>
      <c r="G241" s="38">
        <v>6.1452768708786701E-2</v>
      </c>
      <c r="H241" s="41"/>
    </row>
    <row r="242" spans="2:8" x14ac:dyDescent="0.2">
      <c r="B242" s="35" t="s">
        <v>798</v>
      </c>
      <c r="C242" s="35" t="s">
        <v>799</v>
      </c>
      <c r="D242" s="35" t="s">
        <v>404</v>
      </c>
      <c r="E242" s="40">
        <v>3580</v>
      </c>
      <c r="F242" s="37">
        <v>6.7697799999999999</v>
      </c>
      <c r="G242" s="38">
        <v>6.1254540042088197E-2</v>
      </c>
      <c r="H242" s="41"/>
    </row>
    <row r="243" spans="2:8" x14ac:dyDescent="0.2">
      <c r="B243" s="35" t="s">
        <v>874</v>
      </c>
      <c r="C243" s="35" t="s">
        <v>875</v>
      </c>
      <c r="D243" s="35" t="s">
        <v>318</v>
      </c>
      <c r="E243" s="40">
        <v>2385</v>
      </c>
      <c r="F243" s="37">
        <v>6.7555125</v>
      </c>
      <c r="G243" s="38">
        <v>6.1125444392000503E-2</v>
      </c>
      <c r="H243" s="41"/>
    </row>
    <row r="244" spans="2:8" x14ac:dyDescent="0.2">
      <c r="B244" s="35" t="s">
        <v>876</v>
      </c>
      <c r="C244" s="35" t="s">
        <v>877</v>
      </c>
      <c r="D244" s="35" t="s">
        <v>318</v>
      </c>
      <c r="E244" s="40">
        <v>817</v>
      </c>
      <c r="F244" s="37">
        <v>6.7382074999999997</v>
      </c>
      <c r="G244" s="38">
        <v>6.0968864737207001E-2</v>
      </c>
      <c r="H244" s="41"/>
    </row>
    <row r="245" spans="2:8" x14ac:dyDescent="0.2">
      <c r="B245" s="35" t="s">
        <v>770</v>
      </c>
      <c r="C245" s="35" t="s">
        <v>771</v>
      </c>
      <c r="D245" s="35" t="s">
        <v>463</v>
      </c>
      <c r="E245" s="40">
        <v>424</v>
      </c>
      <c r="F245" s="37">
        <v>6.7021680000000003</v>
      </c>
      <c r="G245" s="38">
        <v>6.0642770979973101E-2</v>
      </c>
      <c r="H245" s="41"/>
    </row>
    <row r="246" spans="2:8" x14ac:dyDescent="0.2">
      <c r="B246" s="35" t="s">
        <v>936</v>
      </c>
      <c r="C246" s="35" t="s">
        <v>937</v>
      </c>
      <c r="D246" s="35" t="s">
        <v>535</v>
      </c>
      <c r="E246" s="40">
        <v>808</v>
      </c>
      <c r="F246" s="37">
        <v>6.6680200000000003</v>
      </c>
      <c r="G246" s="38">
        <v>6.0333791953570901E-2</v>
      </c>
      <c r="H246" s="41"/>
    </row>
    <row r="247" spans="2:8" x14ac:dyDescent="0.2">
      <c r="B247" s="35" t="s">
        <v>1027</v>
      </c>
      <c r="C247" s="35" t="s">
        <v>1028</v>
      </c>
      <c r="D247" s="35" t="s">
        <v>404</v>
      </c>
      <c r="E247" s="40">
        <v>651</v>
      </c>
      <c r="F247" s="37">
        <v>6.6073244999999998</v>
      </c>
      <c r="G247" s="38">
        <v>5.9784604988097102E-2</v>
      </c>
      <c r="H247" s="41"/>
    </row>
    <row r="248" spans="2:8" x14ac:dyDescent="0.2">
      <c r="B248" s="35" t="s">
        <v>756</v>
      </c>
      <c r="C248" s="35" t="s">
        <v>757</v>
      </c>
      <c r="D248" s="35" t="s">
        <v>453</v>
      </c>
      <c r="E248" s="40">
        <v>210</v>
      </c>
      <c r="F248" s="37">
        <v>6.5473800000000004</v>
      </c>
      <c r="G248" s="38">
        <v>5.9242213244856901E-2</v>
      </c>
      <c r="H248" s="41"/>
    </row>
    <row r="249" spans="2:8" x14ac:dyDescent="0.2">
      <c r="B249" s="35" t="s">
        <v>938</v>
      </c>
      <c r="C249" s="35" t="s">
        <v>939</v>
      </c>
      <c r="D249" s="35" t="s">
        <v>463</v>
      </c>
      <c r="E249" s="40">
        <v>98</v>
      </c>
      <c r="F249" s="37">
        <v>6.5405199999999999</v>
      </c>
      <c r="G249" s="38">
        <v>5.9180142373323599E-2</v>
      </c>
      <c r="H249" s="41"/>
    </row>
    <row r="250" spans="2:8" x14ac:dyDescent="0.2">
      <c r="B250" s="35" t="s">
        <v>758</v>
      </c>
      <c r="C250" s="35" t="s">
        <v>759</v>
      </c>
      <c r="D250" s="35" t="s">
        <v>468</v>
      </c>
      <c r="E250" s="40">
        <v>3820</v>
      </c>
      <c r="F250" s="37">
        <v>6.5268519999999999</v>
      </c>
      <c r="G250" s="38">
        <v>5.9056471138321097E-2</v>
      </c>
      <c r="H250" s="41"/>
    </row>
    <row r="251" spans="2:8" x14ac:dyDescent="0.2">
      <c r="B251" s="35" t="s">
        <v>988</v>
      </c>
      <c r="C251" s="35" t="s">
        <v>989</v>
      </c>
      <c r="D251" s="35" t="s">
        <v>325</v>
      </c>
      <c r="E251" s="40">
        <v>1119</v>
      </c>
      <c r="F251" s="37">
        <v>6.5153774999999996</v>
      </c>
      <c r="G251" s="38">
        <v>5.89526472002148E-2</v>
      </c>
      <c r="H251" s="41"/>
    </row>
    <row r="252" spans="2:8" x14ac:dyDescent="0.2">
      <c r="B252" s="35" t="s">
        <v>764</v>
      </c>
      <c r="C252" s="35" t="s">
        <v>765</v>
      </c>
      <c r="D252" s="35" t="s">
        <v>340</v>
      </c>
      <c r="E252" s="40">
        <v>500</v>
      </c>
      <c r="F252" s="37">
        <v>6.3259999999999996</v>
      </c>
      <c r="G252" s="38">
        <v>5.7239115644267598E-2</v>
      </c>
      <c r="H252" s="41"/>
    </row>
    <row r="253" spans="2:8" x14ac:dyDescent="0.2">
      <c r="B253" s="35" t="s">
        <v>908</v>
      </c>
      <c r="C253" s="35" t="s">
        <v>909</v>
      </c>
      <c r="D253" s="35" t="s">
        <v>535</v>
      </c>
      <c r="E253" s="40">
        <v>451</v>
      </c>
      <c r="F253" s="37">
        <v>6.2833319999999997</v>
      </c>
      <c r="G253" s="38">
        <v>5.68530456812089E-2</v>
      </c>
      <c r="H253" s="41"/>
    </row>
    <row r="254" spans="2:8" x14ac:dyDescent="0.2">
      <c r="B254" s="35" t="s">
        <v>914</v>
      </c>
      <c r="C254" s="35" t="s">
        <v>915</v>
      </c>
      <c r="D254" s="35" t="s">
        <v>535</v>
      </c>
      <c r="E254" s="40">
        <v>1168</v>
      </c>
      <c r="F254" s="37">
        <v>6.2458799999999997</v>
      </c>
      <c r="G254" s="38">
        <v>5.6514171296272203E-2</v>
      </c>
      <c r="H254" s="41"/>
    </row>
    <row r="255" spans="2:8" x14ac:dyDescent="0.2">
      <c r="B255" s="35" t="s">
        <v>815</v>
      </c>
      <c r="C255" s="35" t="s">
        <v>816</v>
      </c>
      <c r="D255" s="35" t="s">
        <v>391</v>
      </c>
      <c r="E255" s="40">
        <v>1464</v>
      </c>
      <c r="F255" s="37">
        <v>6.1810080000000003</v>
      </c>
      <c r="G255" s="38">
        <v>5.5927194389842401E-2</v>
      </c>
      <c r="H255" s="41"/>
    </row>
    <row r="256" spans="2:8" x14ac:dyDescent="0.2">
      <c r="B256" s="35" t="s">
        <v>934</v>
      </c>
      <c r="C256" s="35" t="s">
        <v>935</v>
      </c>
      <c r="D256" s="35" t="s">
        <v>391</v>
      </c>
      <c r="E256" s="40">
        <v>430</v>
      </c>
      <c r="F256" s="37">
        <v>6.0195699999999999</v>
      </c>
      <c r="G256" s="38">
        <v>5.4466465911913398E-2</v>
      </c>
      <c r="H256" s="41"/>
    </row>
    <row r="257" spans="2:9" x14ac:dyDescent="0.2">
      <c r="B257" s="35" t="s">
        <v>788</v>
      </c>
      <c r="C257" s="35" t="s">
        <v>789</v>
      </c>
      <c r="D257" s="35" t="s">
        <v>345</v>
      </c>
      <c r="E257" s="40">
        <v>377</v>
      </c>
      <c r="F257" s="37">
        <v>6.0033479999999999</v>
      </c>
      <c r="G257" s="38">
        <v>5.4319685492377902E-2</v>
      </c>
      <c r="H257" s="41"/>
    </row>
    <row r="258" spans="2:9" x14ac:dyDescent="0.2">
      <c r="B258" s="35" t="s">
        <v>1007</v>
      </c>
      <c r="C258" s="35" t="s">
        <v>1008</v>
      </c>
      <c r="D258" s="35" t="s">
        <v>325</v>
      </c>
      <c r="E258" s="40">
        <v>117</v>
      </c>
      <c r="F258" s="37">
        <v>5.9227740000000004</v>
      </c>
      <c r="G258" s="38">
        <v>5.3590633247053703E-2</v>
      </c>
      <c r="H258" s="41"/>
    </row>
    <row r="259" spans="2:9" x14ac:dyDescent="0.2">
      <c r="B259" s="35" t="s">
        <v>962</v>
      </c>
      <c r="C259" s="35" t="s">
        <v>963</v>
      </c>
      <c r="D259" s="35" t="s">
        <v>535</v>
      </c>
      <c r="E259" s="40">
        <v>713</v>
      </c>
      <c r="F259" s="37">
        <v>5.8697724999999998</v>
      </c>
      <c r="G259" s="38">
        <v>5.3111063378602899E-2</v>
      </c>
      <c r="H259" s="41"/>
    </row>
    <row r="260" spans="2:9" x14ac:dyDescent="0.2">
      <c r="B260" s="35" t="s">
        <v>968</v>
      </c>
      <c r="C260" s="35" t="s">
        <v>969</v>
      </c>
      <c r="D260" s="35" t="s">
        <v>463</v>
      </c>
      <c r="E260" s="40">
        <v>1269</v>
      </c>
      <c r="F260" s="37">
        <v>5.6743335000000004</v>
      </c>
      <c r="G260" s="38">
        <v>5.1342685964375898E-2</v>
      </c>
      <c r="H260" s="41"/>
    </row>
    <row r="261" spans="2:9" x14ac:dyDescent="0.2">
      <c r="B261" s="35" t="s">
        <v>1021</v>
      </c>
      <c r="C261" s="35" t="s">
        <v>1022</v>
      </c>
      <c r="D261" s="35" t="s">
        <v>325</v>
      </c>
      <c r="E261" s="40">
        <v>417</v>
      </c>
      <c r="F261" s="37">
        <v>5.6641110000000001</v>
      </c>
      <c r="G261" s="38">
        <v>5.1250190412735999E-2</v>
      </c>
      <c r="H261" s="41"/>
    </row>
    <row r="262" spans="2:9" x14ac:dyDescent="0.2">
      <c r="B262" s="35" t="s">
        <v>916</v>
      </c>
      <c r="C262" s="35" t="s">
        <v>917</v>
      </c>
      <c r="D262" s="35" t="s">
        <v>441</v>
      </c>
      <c r="E262" s="40">
        <v>37</v>
      </c>
      <c r="F262" s="37">
        <v>5.6106800000000003</v>
      </c>
      <c r="G262" s="38">
        <v>5.07667343286404E-2</v>
      </c>
      <c r="H262" s="41"/>
    </row>
    <row r="263" spans="2:9" x14ac:dyDescent="0.2">
      <c r="B263" s="35" t="s">
        <v>926</v>
      </c>
      <c r="C263" s="35" t="s">
        <v>927</v>
      </c>
      <c r="D263" s="35" t="s">
        <v>441</v>
      </c>
      <c r="E263" s="40">
        <v>12603</v>
      </c>
      <c r="F263" s="37">
        <v>5.444496</v>
      </c>
      <c r="G263" s="38">
        <v>4.9263062941630201E-2</v>
      </c>
      <c r="H263" s="41"/>
    </row>
    <row r="264" spans="2:9" x14ac:dyDescent="0.2">
      <c r="B264" s="35" t="s">
        <v>930</v>
      </c>
      <c r="C264" s="35" t="s">
        <v>931</v>
      </c>
      <c r="D264" s="35" t="s">
        <v>441</v>
      </c>
      <c r="E264" s="40">
        <v>600</v>
      </c>
      <c r="F264" s="37">
        <v>5.4042000000000003</v>
      </c>
      <c r="G264" s="38">
        <v>4.8898455384880003E-2</v>
      </c>
      <c r="H264" s="41"/>
    </row>
    <row r="265" spans="2:9" x14ac:dyDescent="0.2">
      <c r="B265" s="35" t="s">
        <v>1013</v>
      </c>
      <c r="C265" s="35" t="s">
        <v>1014</v>
      </c>
      <c r="D265" s="35" t="s">
        <v>325</v>
      </c>
      <c r="E265" s="40">
        <v>308</v>
      </c>
      <c r="F265" s="37">
        <v>4.1481440000000003</v>
      </c>
      <c r="G265" s="38">
        <v>3.7533369289452202E-2</v>
      </c>
      <c r="H265" s="41"/>
    </row>
    <row r="266" spans="2:9" x14ac:dyDescent="0.2">
      <c r="B266" s="35" t="s">
        <v>1019</v>
      </c>
      <c r="C266" s="35" t="s">
        <v>1020</v>
      </c>
      <c r="D266" s="35" t="s">
        <v>295</v>
      </c>
      <c r="E266" s="40">
        <v>5976</v>
      </c>
      <c r="F266" s="37">
        <v>4.0941576</v>
      </c>
      <c r="G266" s="38">
        <v>3.7044887817302703E-2</v>
      </c>
      <c r="H266" s="41"/>
    </row>
    <row r="267" spans="2:9" x14ac:dyDescent="0.2">
      <c r="B267" s="34" t="s">
        <v>65</v>
      </c>
      <c r="C267" s="34"/>
      <c r="D267" s="34"/>
      <c r="E267" s="43"/>
      <c r="F267" s="44">
        <f>SUM(F7:F266)</f>
        <v>10810.263657700012</v>
      </c>
      <c r="G267" s="45">
        <f>SUM(G7:G266)</f>
        <v>97.813773577001811</v>
      </c>
      <c r="H267" s="34"/>
      <c r="I267" s="26"/>
    </row>
    <row r="268" spans="2:9" x14ac:dyDescent="0.2">
      <c r="B268" s="34" t="s">
        <v>410</v>
      </c>
      <c r="C268" s="34"/>
      <c r="D268" s="34"/>
      <c r="E268" s="43"/>
      <c r="F268" s="70" t="s">
        <v>411</v>
      </c>
      <c r="G268" s="71" t="s">
        <v>411</v>
      </c>
      <c r="H268" s="34"/>
      <c r="I268" s="26"/>
    </row>
    <row r="269" spans="2:9" x14ac:dyDescent="0.2">
      <c r="B269" s="34" t="s">
        <v>65</v>
      </c>
      <c r="C269" s="34"/>
      <c r="D269" s="34"/>
      <c r="E269" s="43"/>
      <c r="F269" s="66" t="s">
        <v>411</v>
      </c>
      <c r="G269" s="67" t="s">
        <v>411</v>
      </c>
      <c r="H269" s="34"/>
      <c r="I269" s="26"/>
    </row>
    <row r="270" spans="2:9" x14ac:dyDescent="0.2">
      <c r="B270" s="49" t="s">
        <v>105</v>
      </c>
      <c r="C270" s="49"/>
      <c r="D270" s="49"/>
      <c r="E270" s="50"/>
      <c r="F270" s="51">
        <f>F267</f>
        <v>10810.263657700012</v>
      </c>
      <c r="G270" s="52">
        <f>G267</f>
        <v>97.813773577001811</v>
      </c>
      <c r="H270" s="34"/>
      <c r="I270" s="26"/>
    </row>
    <row r="271" spans="2:9" x14ac:dyDescent="0.2">
      <c r="B271" s="34" t="s">
        <v>113</v>
      </c>
      <c r="C271" s="34"/>
      <c r="D271" s="34"/>
      <c r="E271" s="43"/>
      <c r="F271" s="44">
        <v>1314.5861752000001</v>
      </c>
      <c r="G271" s="45">
        <v>11.8946806997515</v>
      </c>
      <c r="H271" s="41">
        <v>4.9299999999999997E-2</v>
      </c>
      <c r="I271" s="27"/>
    </row>
    <row r="272" spans="2:9" x14ac:dyDescent="0.2">
      <c r="B272" s="35"/>
      <c r="C272" s="35"/>
      <c r="D272" s="35"/>
      <c r="E272" s="36"/>
      <c r="F272" s="37"/>
      <c r="G272" s="38"/>
      <c r="H272" s="35"/>
    </row>
    <row r="273" spans="2:9" x14ac:dyDescent="0.2">
      <c r="B273" s="34" t="s">
        <v>1381</v>
      </c>
      <c r="C273" s="35"/>
      <c r="D273" s="35"/>
      <c r="E273" s="36"/>
      <c r="F273" s="89">
        <v>70</v>
      </c>
      <c r="G273" s="89">
        <f>F273/F275*100</f>
        <v>0.63337624013574634</v>
      </c>
      <c r="H273" s="35"/>
    </row>
    <row r="274" spans="2:9" x14ac:dyDescent="0.2">
      <c r="B274" s="58" t="s">
        <v>115</v>
      </c>
      <c r="C274" s="58"/>
      <c r="D274" s="58"/>
      <c r="E274" s="59"/>
      <c r="F274" s="44">
        <f>F275-(F267+F271+F273)</f>
        <v>-1142.9669923000129</v>
      </c>
      <c r="G274" s="45">
        <f>G275-(G267+G271+G273)</f>
        <v>-10.341830516889061</v>
      </c>
      <c r="H274" s="34"/>
      <c r="I274" s="26"/>
    </row>
    <row r="275" spans="2:9" x14ac:dyDescent="0.2">
      <c r="B275" s="53" t="s">
        <v>114</v>
      </c>
      <c r="C275" s="53"/>
      <c r="D275" s="53"/>
      <c r="E275" s="54"/>
      <c r="F275" s="55">
        <v>11051.882840599999</v>
      </c>
      <c r="G275" s="56">
        <v>100</v>
      </c>
      <c r="H275" s="72"/>
      <c r="I275" s="26"/>
    </row>
    <row r="277" spans="2:9" x14ac:dyDescent="0.2">
      <c r="B277" s="26" t="s">
        <v>1382</v>
      </c>
    </row>
    <row r="279" spans="2:9" ht="22.5" x14ac:dyDescent="0.2">
      <c r="B279" s="111" t="s">
        <v>7</v>
      </c>
      <c r="C279" s="103" t="s">
        <v>1383</v>
      </c>
      <c r="D279" s="103" t="s">
        <v>412</v>
      </c>
      <c r="E279" s="104" t="s">
        <v>0</v>
      </c>
      <c r="F279" s="106" t="s">
        <v>1384</v>
      </c>
      <c r="G279" s="107" t="s">
        <v>1385</v>
      </c>
    </row>
    <row r="280" spans="2:9" x14ac:dyDescent="0.2">
      <c r="B280" s="78" t="s">
        <v>1386</v>
      </c>
      <c r="C280" s="78" t="s">
        <v>1387</v>
      </c>
      <c r="D280" s="78" t="s">
        <v>1388</v>
      </c>
      <c r="E280" s="79">
        <v>520</v>
      </c>
      <c r="F280" s="80">
        <v>131.76071999999999</v>
      </c>
      <c r="G280" s="81">
        <v>1.19220156330255</v>
      </c>
    </row>
    <row r="281" spans="2:9" x14ac:dyDescent="0.2">
      <c r="B281" s="74"/>
      <c r="C281" s="74"/>
      <c r="D281" s="74"/>
      <c r="E281" s="75"/>
      <c r="F281" s="76">
        <f>SUM(F280:F280)</f>
        <v>131.76071999999999</v>
      </c>
      <c r="G281" s="77">
        <f>SUM(G280:G280)</f>
        <v>1.19220156330255</v>
      </c>
    </row>
    <row r="284" spans="2:9" x14ac:dyDescent="0.2">
      <c r="B284" s="26" t="s">
        <v>119</v>
      </c>
    </row>
    <row r="306" spans="2:2" x14ac:dyDescent="0.2">
      <c r="B306" s="86" t="s">
        <v>1475</v>
      </c>
    </row>
    <row r="307" spans="2:2" x14ac:dyDescent="0.2">
      <c r="B307" s="87" t="s">
        <v>1486</v>
      </c>
    </row>
  </sheetData>
  <mergeCells count="1">
    <mergeCell ref="B1:C1"/>
  </mergeCells>
  <conditionalFormatting sqref="G1:G3 G5:G65525">
    <cfRule type="cellIs" dxfId="0" priority="1" stopIfTrue="1" operator="between">
      <formula>0.009</formula>
      <formula>-0.009</formula>
    </cfRule>
  </conditionalFormatting>
  <hyperlinks>
    <hyperlink ref="A2" location="Index!A1" display="-" xr:uid="{C6A009FB-CE6F-4070-A99A-5501798E1207}"/>
  </hyperlinks>
  <pageMargins left="0.7" right="0.7" top="0.75" bottom="0.75" header="0.3" footer="0.3"/>
  <pageSetup paperSize="9" scale="3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46" min="1" max="7" man="1"/>
  </rowBreaks>
  <colBreaks count="1" manualBreakCount="1">
    <brk id="8" max="29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13</vt:i4>
      </vt:variant>
    </vt:vector>
  </HeadingPairs>
  <TitlesOfParts>
    <vt:vector size="27" baseType="lpstr">
      <vt:lpstr>Index</vt:lpstr>
      <vt:lpstr>JBMMF</vt:lpstr>
      <vt:lpstr>JBOF</vt:lpstr>
      <vt:lpstr>JBLF</vt:lpstr>
      <vt:lpstr>JBN8-13</vt:lpstr>
      <vt:lpstr>JBLOW</vt:lpstr>
      <vt:lpstr>JBSHORT</vt:lpstr>
      <vt:lpstr>JBN50</vt:lpstr>
      <vt:lpstr>JBNNX50</vt:lpstr>
      <vt:lpstr>JBNM150</vt:lpstr>
      <vt:lpstr>JBNS250</vt:lpstr>
      <vt:lpstr>JBFLEXI</vt:lpstr>
      <vt:lpstr>JBARB</vt:lpstr>
      <vt:lpstr>JBSECRO</vt:lpstr>
      <vt:lpstr>JBARB!Print_Area</vt:lpstr>
      <vt:lpstr>JBFLEXI!Print_Area</vt:lpstr>
      <vt:lpstr>JBLF!Print_Area</vt:lpstr>
      <vt:lpstr>JBLOW!Print_Area</vt:lpstr>
      <vt:lpstr>JBMMF!Print_Area</vt:lpstr>
      <vt:lpstr>'JBN50'!Print_Area</vt:lpstr>
      <vt:lpstr>'JBN8-13'!Print_Area</vt:lpstr>
      <vt:lpstr>JBNM150!Print_Area</vt:lpstr>
      <vt:lpstr>JBNNX50!Print_Area</vt:lpstr>
      <vt:lpstr>JBNS250!Print_Area</vt:lpstr>
      <vt:lpstr>JBOF!Print_Area</vt:lpstr>
      <vt:lpstr>JBSECRO!Print_Area</vt:lpstr>
      <vt:lpstr>JBSHORT!Print_Area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2026-03-06T06:26:33Z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