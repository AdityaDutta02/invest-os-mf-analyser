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E4D51E71-0055-4783-96FD-0BA371C9F921}" xr6:coauthVersionLast="47" xr6:coauthVersionMax="47" xr10:uidLastSave="{00000000-0000-0000-0000-000000000000}"/>
  <bookViews>
    <workbookView xWindow="390" yWindow="390" windowWidth="21600" windowHeight="11235" xr2:uid="{7291B499-DD8C-4F12-BA28-9EE7F24AB421}"/>
  </bookViews>
  <sheets>
    <sheet name="JBMMF" sheetId="13" r:id="rId1"/>
  </sheets>
  <definedNames>
    <definedName name="_xlnm.Print_Area" localSheetId="0">JBMMF!$B$1:$I$103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3" l="1"/>
  <c r="F50" i="13"/>
  <c r="G46" i="13"/>
  <c r="F46" i="13"/>
  <c r="G40" i="13"/>
  <c r="F40" i="13"/>
  <c r="G24" i="13"/>
  <c r="F24" i="13"/>
  <c r="F54" i="13" s="1"/>
  <c r="A2" i="13"/>
  <c r="G54" i="13" l="1"/>
  <c r="F47" i="13"/>
  <c r="G47" i="13"/>
</calcChain>
</file>

<file path=xl/sharedStrings.xml><?xml version="1.0" encoding="utf-8"?>
<sst xmlns="http://schemas.openxmlformats.org/spreadsheetml/2006/main" count="136" uniqueCount="101">
  <si>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</si>
  <si>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</si>
  <si>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</si>
  <si>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</si>
  <si>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</si>
  <si>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</si>
  <si>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December 31, 2025</t>
  </si>
  <si>
    <t>JioBlackRock Money Market Fund</t>
  </si>
  <si>
    <t>Yield to Call ^</t>
  </si>
  <si>
    <t>Money Market Instruments</t>
  </si>
  <si>
    <t>Certificate of Deposit</t>
  </si>
  <si>
    <t>HDFC Bank Ltd (12-Mar-2026)</t>
  </si>
  <si>
    <t>INE040A16GN6</t>
  </si>
  <si>
    <t>CARE A1+</t>
  </si>
  <si>
    <t>HDFC Bank Ltd (24-Mar-2026)</t>
  </si>
  <si>
    <t>INE040A16GS5</t>
  </si>
  <si>
    <t>Bank of Baroda (11-Mar-2026) **</t>
  </si>
  <si>
    <t>INE028A16HZ3</t>
  </si>
  <si>
    <t>IND A1+</t>
  </si>
  <si>
    <t>Punjab National Bank (09-Mar-2026) **</t>
  </si>
  <si>
    <t>INE160A16TT2</t>
  </si>
  <si>
    <t>National Bank For Agriculture &amp; Rural Development (10-Mar-2026)</t>
  </si>
  <si>
    <t>INE261F16975</t>
  </si>
  <si>
    <t>CRISIL A1+</t>
  </si>
  <si>
    <t>Canara Bank (12-Mar-2026) **</t>
  </si>
  <si>
    <t>INE476A16B23</t>
  </si>
  <si>
    <t>Small Industries Development Bank of India (10-Nov-2026) **</t>
  </si>
  <si>
    <t>INE556F16BR2</t>
  </si>
  <si>
    <t>Punjab National Bank (15-Dec-2026) **</t>
  </si>
  <si>
    <t>INE160A16TZ9</t>
  </si>
  <si>
    <t>Bank of Baroda (13-Mar-2026) **</t>
  </si>
  <si>
    <t>INE028A16IC0</t>
  </si>
  <si>
    <t>Axis Bank Ltd (30-Apr-2026) **</t>
  </si>
  <si>
    <t>INE238AD6BK4</t>
  </si>
  <si>
    <t>Export-Import Bank Of India (28-May-2026)</t>
  </si>
  <si>
    <t>INE514E16CL5</t>
  </si>
  <si>
    <t>Indian Bank (06-Mar-2026) **</t>
  </si>
  <si>
    <t>INE562A16OG7</t>
  </si>
  <si>
    <t>Punjab National Bank (18-Mar-2026)</t>
  </si>
  <si>
    <t>INE160A16RK5</t>
  </si>
  <si>
    <t>Federal Bank Ltd (20-Mar-2026) **</t>
  </si>
  <si>
    <t>INE171A16NE4</t>
  </si>
  <si>
    <t>Axis Bank Ltd (25-Mar-2026) **</t>
  </si>
  <si>
    <t>INE238AD6BT5</t>
  </si>
  <si>
    <t>Small Industries Development Bank of India (04-Dec-2026) **</t>
  </si>
  <si>
    <t>INE556F16BS0</t>
  </si>
  <si>
    <t>Bank of Baroda (15-Dec-2026) **</t>
  </si>
  <si>
    <t>INE028A16KW4</t>
  </si>
  <si>
    <t>Sub Total</t>
  </si>
  <si>
    <t>Commercial Paper</t>
  </si>
  <si>
    <t>NTPC Ltd (10-Mar-2026) **</t>
  </si>
  <si>
    <t>INE733E14BU9</t>
  </si>
  <si>
    <t>Power Finance Corporation Ltd (15-Apr-2026) **</t>
  </si>
  <si>
    <t>INE134E14AX6</t>
  </si>
  <si>
    <t>Kotak Securities Ltd (13-Mar-2026) **</t>
  </si>
  <si>
    <t>INE028E14TK7</t>
  </si>
  <si>
    <t>ICICI Securities Ltd (12-Mar-2026) **</t>
  </si>
  <si>
    <t>INE763G14D60</t>
  </si>
  <si>
    <t>Kotak Securities Ltd (06-Mar-2026) **</t>
  </si>
  <si>
    <t>INE028E14TR2</t>
  </si>
  <si>
    <t>ICICI Securities Ltd (09-Mar-2026) **</t>
  </si>
  <si>
    <t>INE763G14D03</t>
  </si>
  <si>
    <t>Kotak Securities Ltd (12-Mar-2026) **</t>
  </si>
  <si>
    <t>INE028E14TZ5</t>
  </si>
  <si>
    <t>LIC Housing Finance Ltd (18-Mar-2026) **</t>
  </si>
  <si>
    <t>INE115A14FL7</t>
  </si>
  <si>
    <t>Small Industries Development Bank Of India (20-Mar-2026) **</t>
  </si>
  <si>
    <t>INE556F14LX4</t>
  </si>
  <si>
    <t>Kotak Securities Ltd (16-Mar-2026) **</t>
  </si>
  <si>
    <t>INE028E14UA6</t>
  </si>
  <si>
    <t>ICICI Securities Ltd (17-Mar-2026) **</t>
  </si>
  <si>
    <t>INE763G14XS9</t>
  </si>
  <si>
    <t>Bajaj Financial Securities Ltd (18-Mar-2026) **</t>
  </si>
  <si>
    <t>INE01C314DZ6</t>
  </si>
  <si>
    <t>Mahindra &amp; Mahindra Financial Services Ltd (20-Mar-2026) **</t>
  </si>
  <si>
    <t>INE774D14TE1</t>
  </si>
  <si>
    <t>Tata Capital Ltd (23-Mar-2026)</t>
  </si>
  <si>
    <t>INE976I14QR9</t>
  </si>
  <si>
    <t>Treasury Bill</t>
  </si>
  <si>
    <t>182 DTB (26-MAR-2026)</t>
  </si>
  <si>
    <t>IN002025Y263</t>
  </si>
  <si>
    <t>364 DTB (03-DEC-2026)</t>
  </si>
  <si>
    <t>IN002025Z369</t>
  </si>
  <si>
    <t>364 DTB (10-DEC-2026)</t>
  </si>
  <si>
    <t>IN002025Z377</t>
  </si>
  <si>
    <t>364 DTB (16-JUL-2026)</t>
  </si>
  <si>
    <t>IN002025Z161</t>
  </si>
  <si>
    <t>Total</t>
  </si>
  <si>
    <t>Government Securities</t>
  </si>
  <si>
    <t>5.63% GOI 2026 (12-APR-2026)</t>
  </si>
  <si>
    <t>IN0020210012</t>
  </si>
  <si>
    <t>SOVEREIGN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</si>
  <si>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</si>
  <si>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</si>
  <si>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</si>
  <si>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</si>
  <si>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</si>
  <si>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</si>
  <si>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Scheme Risk-O-Meter</t>
  </si>
  <si>
    <t>Benchmark Risk-O-Meter</t>
  </si>
  <si>
    <t>Benchmark Name - NIFTY Money Market Index A-I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</si>
</sst>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/>
    <xf numFmtId="0" fontId="5" fillId="2" borderId="1" xfId="0" applyFont="1" applyFill="1" applyBorder="1"/>
    <xf numFmtId="0" fontId="6" fillId="2" borderId="1" xfId="0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10" fontId="6" fillId="2" borderId="1" xfId="0" applyNumberFormat="1" applyFont="1" applyFill="1" applyBorder="1"/>
    <xf numFmtId="3" fontId="6" fillId="2" borderId="1" xfId="0" applyNumberFormat="1" applyFont="1" applyFill="1" applyBorder="1"/>
    <xf numFmtId="4" fontId="6" fillId="2" borderId="1" xfId="0" applyNumberFormat="1" applyFont="1" applyFill="1" applyBorder="1"/>
    <xf numFmtId="10" fontId="5" fillId="2" borderId="1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164" fontId="6" fillId="2" borderId="1" xfId="0" applyNumberFormat="1" applyFont="1" applyFill="1" applyBorder="1"/>
    <xf numFmtId="0" fontId="5" fillId="2" borderId="3" xfId="0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4" xfId="0" applyNumberFormat="1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39" fontId="5" fillId="0" borderId="3" xfId="0" applyNumberFormat="1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62</xdr:row>
      <xdr:rowOff>9525</xdr:rowOff>
    </xdr:from>
    <xdr:to>
      <xdr:col>4</xdr:col>
      <xdr:colOff>200025</xdr:colOff>
      <xdr:row>79</xdr:row>
      <xdr:rowOff>53975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CA95C9-FD24-4C49-8ED9-601B1F651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077450"/>
          <a:ext cx="4800600" cy="247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85</xdr:row>
      <xdr:rowOff>47625</xdr:rowOff>
    </xdr:from>
    <xdr:to>
      <xdr:col>4</xdr:col>
      <xdr:colOff>400050</xdr:colOff>
      <xdr:row>102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BC5D648D-0483-4B18-A555-B22F19EFE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3401675"/>
          <a:ext cx="49244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DAFE-7CDB-41C0-B8D0-F42C421CCD3D}">
  <dimension ref="A1:K222"/>
  <sheetViews>
    <sheetView tabSelected="1"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6" customWidth="1"/>
    <col min="2" max="2" width="49.28515625" style="6" customWidth="1"/>
    <col min="3" max="3" width="11.85546875" style="6" bestFit="1" customWidth="1"/>
    <col min="4" max="5" width="13.85546875" style="6" bestFit="1" customWidth="1"/>
    <col min="6" max="6" width="12.7109375" style="8" bestFit="1" customWidth="1"/>
    <col min="7" max="7" width="10" style="33" customWidth="1"/>
    <col min="8" max="8" width="11.85546875" style="11" bestFit="1" customWidth="1"/>
    <col min="9" max="9" width="10.140625" style="11" bestFit="1" customWidth="1"/>
    <col min="10" max="10" width="25.85546875" style="6" customWidth="1"/>
    <col min="11" max="16384" width="9.140625" style="6"/>
  </cols>
  <sheetData>
    <row r="1" spans="1:11" s="1" customFormat="1" ht="16.7" customHeight="1" x14ac:dyDescent="0.2">
      <c r="B1" s="40" t="s">
        <v>7</v>
      </c>
      <c r="C1" s="41"/>
      <c r="D1" s="10"/>
      <c r="F1" s="5"/>
      <c r="G1" s="33"/>
      <c r="H1" s="11"/>
      <c r="I1" s="12"/>
    </row>
    <row r="2" spans="1:11" s="1" customFormat="1" ht="15" x14ac:dyDescent="0.25">
      <c r="A2" s="32" t="str">
        <f>HYPERLINK("[Monthly-Portfolio-ISIN-31-Dec-2025.xlsx]index!A1","")</f>
        <v/>
      </c>
      <c r="F2" s="5"/>
      <c r="G2" s="33"/>
      <c r="H2" s="11"/>
      <c r="I2" s="12"/>
    </row>
    <row r="3" spans="1:11" s="1" customFormat="1" ht="12" x14ac:dyDescent="0.2">
      <c r="B3" s="7" t="s">
        <v>6</v>
      </c>
      <c r="C3" s="2"/>
      <c r="D3" s="3"/>
      <c r="E3" s="3"/>
      <c r="F3" s="4"/>
      <c r="G3" s="33"/>
      <c r="H3" s="11"/>
      <c r="I3" s="12"/>
    </row>
    <row r="4" spans="1:11" s="1" customFormat="1" ht="33.75" x14ac:dyDescent="0.2">
      <c r="B4" s="35" t="s">
        <v>4</v>
      </c>
      <c r="C4" s="35" t="s">
        <v>5</v>
      </c>
      <c r="D4" s="36" t="s">
        <v>95</v>
      </c>
      <c r="E4" s="36" t="s">
        <v>0</v>
      </c>
      <c r="F4" s="37" t="s">
        <v>1</v>
      </c>
      <c r="G4" s="38" t="s">
        <v>2</v>
      </c>
      <c r="H4" s="39" t="s">
        <v>3</v>
      </c>
      <c r="I4" s="39" t="s">
        <v>8</v>
      </c>
      <c r="J4" s="13"/>
      <c r="K4" s="9"/>
    </row>
    <row r="5" spans="1:11" x14ac:dyDescent="0.2">
      <c r="B5" s="15" t="s">
        <v>9</v>
      </c>
      <c r="C5" s="16"/>
      <c r="D5" s="16"/>
      <c r="E5" s="16"/>
      <c r="F5" s="17"/>
      <c r="G5" s="18"/>
      <c r="H5" s="19"/>
      <c r="I5" s="19"/>
    </row>
    <row r="6" spans="1:11" x14ac:dyDescent="0.2">
      <c r="B6" s="15" t="s">
        <v>10</v>
      </c>
      <c r="C6" s="16"/>
      <c r="D6" s="16"/>
      <c r="E6" s="16"/>
      <c r="F6" s="17"/>
      <c r="G6" s="18"/>
      <c r="H6" s="19"/>
      <c r="I6" s="19"/>
    </row>
    <row r="7" spans="1:11" x14ac:dyDescent="0.2">
      <c r="B7" s="16" t="s">
        <v>11</v>
      </c>
      <c r="C7" s="16" t="s">
        <v>12</v>
      </c>
      <c r="D7" s="16" t="s">
        <v>13</v>
      </c>
      <c r="E7" s="20">
        <v>4000</v>
      </c>
      <c r="F7" s="17">
        <v>19775.12</v>
      </c>
      <c r="G7" s="18">
        <v>6.4713406388660104</v>
      </c>
      <c r="H7" s="19">
        <v>5.9298999999999998E-2</v>
      </c>
      <c r="I7" s="21"/>
    </row>
    <row r="8" spans="1:11" x14ac:dyDescent="0.2">
      <c r="B8" s="16" t="s">
        <v>14</v>
      </c>
      <c r="C8" s="16" t="s">
        <v>15</v>
      </c>
      <c r="D8" s="16" t="s">
        <v>13</v>
      </c>
      <c r="E8" s="20">
        <v>2880</v>
      </c>
      <c r="F8" s="17">
        <v>14211.316800000001</v>
      </c>
      <c r="G8" s="18">
        <v>4.6506049995974301</v>
      </c>
      <c r="H8" s="19">
        <v>5.9098999999999999E-2</v>
      </c>
      <c r="I8" s="21"/>
    </row>
    <row r="9" spans="1:11" x14ac:dyDescent="0.2">
      <c r="B9" s="16" t="s">
        <v>16</v>
      </c>
      <c r="C9" s="16" t="s">
        <v>17</v>
      </c>
      <c r="D9" s="16" t="s">
        <v>18</v>
      </c>
      <c r="E9" s="20">
        <v>2500</v>
      </c>
      <c r="F9" s="17">
        <v>12361.775</v>
      </c>
      <c r="G9" s="18">
        <v>4.0453487476191201</v>
      </c>
      <c r="H9" s="19">
        <v>5.9149E-2</v>
      </c>
      <c r="I9" s="21"/>
    </row>
    <row r="10" spans="1:11" x14ac:dyDescent="0.2">
      <c r="B10" s="16" t="s">
        <v>19</v>
      </c>
      <c r="C10" s="16" t="s">
        <v>20</v>
      </c>
      <c r="D10" s="16" t="s">
        <v>18</v>
      </c>
      <c r="E10" s="20">
        <v>2000</v>
      </c>
      <c r="F10" s="17">
        <v>9892.6200000000008</v>
      </c>
      <c r="G10" s="18">
        <v>3.2373261871917101</v>
      </c>
      <c r="H10" s="19">
        <v>5.9132999999999998E-2</v>
      </c>
      <c r="I10" s="21"/>
    </row>
    <row r="11" spans="1:11" x14ac:dyDescent="0.2">
      <c r="B11" s="16" t="s">
        <v>21</v>
      </c>
      <c r="C11" s="16" t="s">
        <v>22</v>
      </c>
      <c r="D11" s="16" t="s">
        <v>23</v>
      </c>
      <c r="E11" s="20">
        <v>2000</v>
      </c>
      <c r="F11" s="17">
        <v>9889.64</v>
      </c>
      <c r="G11" s="18">
        <v>3.2363509923456699</v>
      </c>
      <c r="H11" s="19">
        <v>5.9898E-2</v>
      </c>
      <c r="I11" s="21"/>
    </row>
    <row r="12" spans="1:11" x14ac:dyDescent="0.2">
      <c r="B12" s="16" t="s">
        <v>24</v>
      </c>
      <c r="C12" s="16" t="s">
        <v>25</v>
      </c>
      <c r="D12" s="16" t="s">
        <v>23</v>
      </c>
      <c r="E12" s="20">
        <v>2000</v>
      </c>
      <c r="F12" s="17">
        <v>9887.65</v>
      </c>
      <c r="G12" s="18">
        <v>3.23569977162634</v>
      </c>
      <c r="H12" s="19">
        <v>5.9248000000000002E-2</v>
      </c>
      <c r="I12" s="21"/>
    </row>
    <row r="13" spans="1:11" x14ac:dyDescent="0.2">
      <c r="B13" s="16" t="s">
        <v>26</v>
      </c>
      <c r="C13" s="16" t="s">
        <v>27</v>
      </c>
      <c r="D13" s="16" t="s">
        <v>23</v>
      </c>
      <c r="E13" s="20">
        <v>2000</v>
      </c>
      <c r="F13" s="17">
        <v>9458.2000000000007</v>
      </c>
      <c r="G13" s="18">
        <v>3.0951637224210198</v>
      </c>
      <c r="H13" s="19">
        <v>6.6799999999999998E-2</v>
      </c>
      <c r="I13" s="21"/>
    </row>
    <row r="14" spans="1:11" x14ac:dyDescent="0.2">
      <c r="B14" s="16" t="s">
        <v>28</v>
      </c>
      <c r="C14" s="16" t="s">
        <v>29</v>
      </c>
      <c r="D14" s="16" t="s">
        <v>23</v>
      </c>
      <c r="E14" s="20">
        <v>2000</v>
      </c>
      <c r="F14" s="17">
        <v>9407.15</v>
      </c>
      <c r="G14" s="18">
        <v>3.0784577838672198</v>
      </c>
      <c r="H14" s="19">
        <v>6.6100000000000006E-2</v>
      </c>
      <c r="I14" s="21"/>
    </row>
    <row r="15" spans="1:11" x14ac:dyDescent="0.2">
      <c r="B15" s="16" t="s">
        <v>30</v>
      </c>
      <c r="C15" s="16" t="s">
        <v>31</v>
      </c>
      <c r="D15" s="16" t="s">
        <v>18</v>
      </c>
      <c r="E15" s="20">
        <v>1500</v>
      </c>
      <c r="F15" s="17">
        <v>7414.6875</v>
      </c>
      <c r="G15" s="18">
        <v>2.42643121979749</v>
      </c>
      <c r="H15" s="19">
        <v>5.9150000000000001E-2</v>
      </c>
      <c r="I15" s="21"/>
    </row>
    <row r="16" spans="1:11" x14ac:dyDescent="0.2">
      <c r="B16" s="16" t="s">
        <v>32</v>
      </c>
      <c r="C16" s="16" t="s">
        <v>33</v>
      </c>
      <c r="D16" s="16" t="s">
        <v>23</v>
      </c>
      <c r="E16" s="20">
        <v>1500</v>
      </c>
      <c r="F16" s="17">
        <v>7347.5249999999996</v>
      </c>
      <c r="G16" s="18">
        <v>2.4044525205199201</v>
      </c>
      <c r="H16" s="19">
        <v>6.3650999999999999E-2</v>
      </c>
      <c r="I16" s="21"/>
    </row>
    <row r="17" spans="2:9" x14ac:dyDescent="0.2">
      <c r="B17" s="16" t="s">
        <v>34</v>
      </c>
      <c r="C17" s="16" t="s">
        <v>35</v>
      </c>
      <c r="D17" s="16" t="s">
        <v>23</v>
      </c>
      <c r="E17" s="20">
        <v>1500</v>
      </c>
      <c r="F17" s="17">
        <v>7314.1274999999996</v>
      </c>
      <c r="G17" s="18">
        <v>2.3935233024425302</v>
      </c>
      <c r="H17" s="19">
        <v>6.3100000000000003E-2</v>
      </c>
      <c r="I17" s="21"/>
    </row>
    <row r="18" spans="2:9" x14ac:dyDescent="0.2">
      <c r="B18" s="16" t="s">
        <v>36</v>
      </c>
      <c r="C18" s="16" t="s">
        <v>37</v>
      </c>
      <c r="D18" s="16" t="s">
        <v>23</v>
      </c>
      <c r="E18" s="20">
        <v>1000</v>
      </c>
      <c r="F18" s="17">
        <v>4948.7650000000003</v>
      </c>
      <c r="G18" s="18">
        <v>1.61946648398077</v>
      </c>
      <c r="H18" s="19">
        <v>5.9048000000000003E-2</v>
      </c>
      <c r="I18" s="21"/>
    </row>
    <row r="19" spans="2:9" x14ac:dyDescent="0.2">
      <c r="B19" s="16" t="s">
        <v>38</v>
      </c>
      <c r="C19" s="16" t="s">
        <v>39</v>
      </c>
      <c r="D19" s="16" t="s">
        <v>23</v>
      </c>
      <c r="E19" s="20">
        <v>1000</v>
      </c>
      <c r="F19" s="17">
        <v>4939.2049999999999</v>
      </c>
      <c r="G19" s="18">
        <v>1.61633800655522</v>
      </c>
      <c r="H19" s="19">
        <v>5.9114E-2</v>
      </c>
      <c r="I19" s="21"/>
    </row>
    <row r="20" spans="2:9" x14ac:dyDescent="0.2">
      <c r="B20" s="16" t="s">
        <v>40</v>
      </c>
      <c r="C20" s="16" t="s">
        <v>41</v>
      </c>
      <c r="D20" s="16" t="s">
        <v>23</v>
      </c>
      <c r="E20" s="20">
        <v>1000</v>
      </c>
      <c r="F20" s="17">
        <v>4936.3900000000003</v>
      </c>
      <c r="G20" s="18">
        <v>1.6154168073969599</v>
      </c>
      <c r="H20" s="19">
        <v>6.0299999999999999E-2</v>
      </c>
      <c r="I20" s="21"/>
    </row>
    <row r="21" spans="2:9" x14ac:dyDescent="0.2">
      <c r="B21" s="16" t="s">
        <v>42</v>
      </c>
      <c r="C21" s="16" t="s">
        <v>43</v>
      </c>
      <c r="D21" s="16" t="s">
        <v>23</v>
      </c>
      <c r="E21" s="20">
        <v>1000</v>
      </c>
      <c r="F21" s="17">
        <v>4933.6949999999997</v>
      </c>
      <c r="G21" s="18">
        <v>1.6145348778298201</v>
      </c>
      <c r="H21" s="19">
        <v>5.91E-2</v>
      </c>
      <c r="I21" s="21"/>
    </row>
    <row r="22" spans="2:9" x14ac:dyDescent="0.2">
      <c r="B22" s="16" t="s">
        <v>44</v>
      </c>
      <c r="C22" s="16" t="s">
        <v>45</v>
      </c>
      <c r="D22" s="16" t="s">
        <v>23</v>
      </c>
      <c r="E22" s="20">
        <v>1000</v>
      </c>
      <c r="F22" s="17">
        <v>4709.5349999999999</v>
      </c>
      <c r="G22" s="18">
        <v>1.54117928162569</v>
      </c>
      <c r="H22" s="19">
        <v>6.6799999999999998E-2</v>
      </c>
      <c r="I22" s="21"/>
    </row>
    <row r="23" spans="2:9" x14ac:dyDescent="0.2">
      <c r="B23" s="16" t="s">
        <v>46</v>
      </c>
      <c r="C23" s="16" t="s">
        <v>47</v>
      </c>
      <c r="D23" s="16" t="s">
        <v>23</v>
      </c>
      <c r="E23" s="20">
        <v>1000</v>
      </c>
      <c r="F23" s="17">
        <v>4706.1049999999996</v>
      </c>
      <c r="G23" s="18">
        <v>1.5400568258129701</v>
      </c>
      <c r="H23" s="19">
        <v>6.5500000000000003E-2</v>
      </c>
      <c r="I23" s="21"/>
    </row>
    <row r="24" spans="2:9" x14ac:dyDescent="0.2">
      <c r="B24" s="15" t="s">
        <v>48</v>
      </c>
      <c r="C24" s="15"/>
      <c r="D24" s="15"/>
      <c r="E24" s="15"/>
      <c r="F24" s="27">
        <f>SUM(F6:F23)</f>
        <v>146133.5068</v>
      </c>
      <c r="G24" s="28">
        <f>SUM(G6:G23)</f>
        <v>47.821692169495883</v>
      </c>
      <c r="H24" s="22"/>
      <c r="I24" s="22"/>
    </row>
    <row r="25" spans="2:9" x14ac:dyDescent="0.2">
      <c r="B25" s="15" t="s">
        <v>49</v>
      </c>
      <c r="C25" s="16"/>
      <c r="D25" s="16"/>
      <c r="E25" s="16"/>
      <c r="F25" s="17"/>
      <c r="G25" s="18"/>
      <c r="H25" s="19"/>
      <c r="I25" s="19"/>
    </row>
    <row r="26" spans="2:9" x14ac:dyDescent="0.2">
      <c r="B26" s="16" t="s">
        <v>50</v>
      </c>
      <c r="C26" s="16" t="s">
        <v>51</v>
      </c>
      <c r="D26" s="16" t="s">
        <v>13</v>
      </c>
      <c r="E26" s="20">
        <v>5000</v>
      </c>
      <c r="F26" s="17">
        <v>24733.674999999999</v>
      </c>
      <c r="G26" s="18">
        <v>8.0940108669886293</v>
      </c>
      <c r="H26" s="19">
        <v>5.7799999999999997E-2</v>
      </c>
      <c r="I26" s="21"/>
    </row>
    <row r="27" spans="2:9" x14ac:dyDescent="0.2">
      <c r="B27" s="16" t="s">
        <v>52</v>
      </c>
      <c r="C27" s="16" t="s">
        <v>53</v>
      </c>
      <c r="D27" s="16" t="s">
        <v>23</v>
      </c>
      <c r="E27" s="20">
        <v>3000</v>
      </c>
      <c r="F27" s="17">
        <v>14734.05</v>
      </c>
      <c r="G27" s="18">
        <v>4.8216676581524496</v>
      </c>
      <c r="H27" s="19">
        <v>6.3350000000000004E-2</v>
      </c>
      <c r="I27" s="21"/>
    </row>
    <row r="28" spans="2:9" x14ac:dyDescent="0.2">
      <c r="B28" s="16" t="s">
        <v>54</v>
      </c>
      <c r="C28" s="16" t="s">
        <v>55</v>
      </c>
      <c r="D28" s="16" t="s">
        <v>23</v>
      </c>
      <c r="E28" s="20">
        <v>2000</v>
      </c>
      <c r="F28" s="17">
        <v>9875.52</v>
      </c>
      <c r="G28" s="18">
        <v>3.2317302704577302</v>
      </c>
      <c r="H28" s="19">
        <v>6.4799999999999996E-2</v>
      </c>
      <c r="I28" s="21"/>
    </row>
    <row r="29" spans="2:9" x14ac:dyDescent="0.2">
      <c r="B29" s="16" t="s">
        <v>56</v>
      </c>
      <c r="C29" s="16" t="s">
        <v>57</v>
      </c>
      <c r="D29" s="16" t="s">
        <v>23</v>
      </c>
      <c r="E29" s="20">
        <v>1500</v>
      </c>
      <c r="F29" s="17">
        <v>7407.9375</v>
      </c>
      <c r="G29" s="18">
        <v>2.42422230529723</v>
      </c>
      <c r="H29" s="19">
        <v>6.4800999999999997E-2</v>
      </c>
      <c r="I29" s="21"/>
    </row>
    <row r="30" spans="2:9" x14ac:dyDescent="0.2">
      <c r="B30" s="16" t="s">
        <v>58</v>
      </c>
      <c r="C30" s="16" t="s">
        <v>59</v>
      </c>
      <c r="D30" s="16" t="s">
        <v>23</v>
      </c>
      <c r="E30" s="20">
        <v>1000</v>
      </c>
      <c r="F30" s="17">
        <v>4943.8249999999998</v>
      </c>
      <c r="G30" s="18">
        <v>1.61784988581317</v>
      </c>
      <c r="H30" s="19">
        <v>6.4802999999999999E-2</v>
      </c>
      <c r="I30" s="21"/>
    </row>
    <row r="31" spans="2:9" x14ac:dyDescent="0.2">
      <c r="B31" s="16" t="s">
        <v>60</v>
      </c>
      <c r="C31" s="16" t="s">
        <v>61</v>
      </c>
      <c r="D31" s="16" t="s">
        <v>23</v>
      </c>
      <c r="E31" s="20">
        <v>1000</v>
      </c>
      <c r="F31" s="17">
        <v>4941.2250000000004</v>
      </c>
      <c r="G31" s="18">
        <v>1.6169990446723299</v>
      </c>
      <c r="H31" s="19">
        <v>6.4799999999999996E-2</v>
      </c>
      <c r="I31" s="21"/>
    </row>
    <row r="32" spans="2:9" x14ac:dyDescent="0.2">
      <c r="B32" s="16" t="s">
        <v>62</v>
      </c>
      <c r="C32" s="16" t="s">
        <v>63</v>
      </c>
      <c r="D32" s="16" t="s">
        <v>23</v>
      </c>
      <c r="E32" s="20">
        <v>1000</v>
      </c>
      <c r="F32" s="17">
        <v>4938.625</v>
      </c>
      <c r="G32" s="18">
        <v>1.61614820353149</v>
      </c>
      <c r="H32" s="19">
        <v>6.4800999999999997E-2</v>
      </c>
      <c r="I32" s="21"/>
    </row>
    <row r="33" spans="2:9" x14ac:dyDescent="0.2">
      <c r="B33" s="16" t="s">
        <v>64</v>
      </c>
      <c r="C33" s="16" t="s">
        <v>65</v>
      </c>
      <c r="D33" s="16" t="s">
        <v>23</v>
      </c>
      <c r="E33" s="20">
        <v>1000</v>
      </c>
      <c r="F33" s="17">
        <v>4938.3050000000003</v>
      </c>
      <c r="G33" s="18">
        <v>1.6160434846218501</v>
      </c>
      <c r="H33" s="19">
        <v>0.06</v>
      </c>
      <c r="I33" s="21"/>
    </row>
    <row r="34" spans="2:9" x14ac:dyDescent="0.2">
      <c r="B34" s="16" t="s">
        <v>66</v>
      </c>
      <c r="C34" s="16" t="s">
        <v>67</v>
      </c>
      <c r="D34" s="16" t="s">
        <v>23</v>
      </c>
      <c r="E34" s="20">
        <v>1000</v>
      </c>
      <c r="F34" s="17">
        <v>4936.7550000000001</v>
      </c>
      <c r="G34" s="18">
        <v>1.6155362524032699</v>
      </c>
      <c r="H34" s="19">
        <v>5.9949000000000002E-2</v>
      </c>
      <c r="I34" s="21"/>
    </row>
    <row r="35" spans="2:9" x14ac:dyDescent="0.2">
      <c r="B35" s="16" t="s">
        <v>68</v>
      </c>
      <c r="C35" s="16" t="s">
        <v>69</v>
      </c>
      <c r="D35" s="16" t="s">
        <v>23</v>
      </c>
      <c r="E35" s="20">
        <v>1000</v>
      </c>
      <c r="F35" s="17">
        <v>4935.165</v>
      </c>
      <c r="G35" s="18">
        <v>1.6150159303209899</v>
      </c>
      <c r="H35" s="19">
        <v>6.4798999999999995E-2</v>
      </c>
      <c r="I35" s="21"/>
    </row>
    <row r="36" spans="2:9" x14ac:dyDescent="0.2">
      <c r="B36" s="16" t="s">
        <v>70</v>
      </c>
      <c r="C36" s="16" t="s">
        <v>71</v>
      </c>
      <c r="D36" s="16" t="s">
        <v>23</v>
      </c>
      <c r="E36" s="20">
        <v>1000</v>
      </c>
      <c r="F36" s="17">
        <v>4934.3</v>
      </c>
      <c r="G36" s="18">
        <v>1.6147328620183601</v>
      </c>
      <c r="H36" s="19">
        <v>6.4798999999999995E-2</v>
      </c>
      <c r="I36" s="21"/>
    </row>
    <row r="37" spans="2:9" x14ac:dyDescent="0.2">
      <c r="B37" s="16" t="s">
        <v>72</v>
      </c>
      <c r="C37" s="16" t="s">
        <v>73</v>
      </c>
      <c r="D37" s="16" t="s">
        <v>23</v>
      </c>
      <c r="E37" s="20">
        <v>1000</v>
      </c>
      <c r="F37" s="17">
        <v>4933.4849999999997</v>
      </c>
      <c r="G37" s="18">
        <v>1.6144661560453699</v>
      </c>
      <c r="H37" s="19">
        <v>6.4751000000000003E-2</v>
      </c>
      <c r="I37" s="21"/>
    </row>
    <row r="38" spans="2:9" x14ac:dyDescent="0.2">
      <c r="B38" s="16" t="s">
        <v>74</v>
      </c>
      <c r="C38" s="16" t="s">
        <v>75</v>
      </c>
      <c r="D38" s="16" t="s">
        <v>23</v>
      </c>
      <c r="E38" s="20">
        <v>1000</v>
      </c>
      <c r="F38" s="17">
        <v>4932.5950000000003</v>
      </c>
      <c r="G38" s="18">
        <v>1.6141749065779301</v>
      </c>
      <c r="H38" s="19">
        <v>6.3949000000000006E-2</v>
      </c>
      <c r="I38" s="21"/>
    </row>
    <row r="39" spans="2:9" x14ac:dyDescent="0.2">
      <c r="B39" s="16" t="s">
        <v>76</v>
      </c>
      <c r="C39" s="16" t="s">
        <v>77</v>
      </c>
      <c r="D39" s="16" t="s">
        <v>23</v>
      </c>
      <c r="E39" s="20">
        <v>1000</v>
      </c>
      <c r="F39" s="17">
        <v>4929.9799999999996</v>
      </c>
      <c r="G39" s="18">
        <v>1.6133191567381999</v>
      </c>
      <c r="H39" s="19">
        <v>6.4001000000000002E-2</v>
      </c>
      <c r="I39" s="21"/>
    </row>
    <row r="40" spans="2:9" x14ac:dyDescent="0.2">
      <c r="B40" s="15" t="s">
        <v>48</v>
      </c>
      <c r="C40" s="15"/>
      <c r="D40" s="15"/>
      <c r="E40" s="15"/>
      <c r="F40" s="27">
        <f>SUM(F25:F39)</f>
        <v>106115.4425</v>
      </c>
      <c r="G40" s="28">
        <f>SUM(G25:G39)</f>
        <v>34.72591698363901</v>
      </c>
      <c r="H40" s="22"/>
      <c r="I40" s="22"/>
    </row>
    <row r="41" spans="2:9" x14ac:dyDescent="0.2">
      <c r="B41" s="15" t="s">
        <v>78</v>
      </c>
      <c r="C41" s="16"/>
      <c r="D41" s="16"/>
      <c r="E41" s="16"/>
      <c r="F41" s="17"/>
      <c r="G41" s="18"/>
      <c r="H41" s="19"/>
      <c r="I41" s="19"/>
    </row>
    <row r="42" spans="2:9" x14ac:dyDescent="0.2">
      <c r="B42" s="16" t="s">
        <v>79</v>
      </c>
      <c r="C42" s="16" t="s">
        <v>80</v>
      </c>
      <c r="D42" s="16" t="s">
        <v>91</v>
      </c>
      <c r="E42" s="20">
        <v>5000000</v>
      </c>
      <c r="F42" s="17">
        <v>4941.4350000000004</v>
      </c>
      <c r="G42" s="18">
        <v>1.6170677664567801</v>
      </c>
      <c r="H42" s="19">
        <v>5.1499000000000003E-2</v>
      </c>
      <c r="I42" s="21"/>
    </row>
    <row r="43" spans="2:9" x14ac:dyDescent="0.2">
      <c r="B43" s="16" t="s">
        <v>81</v>
      </c>
      <c r="C43" s="16" t="s">
        <v>82</v>
      </c>
      <c r="D43" s="16" t="s">
        <v>91</v>
      </c>
      <c r="E43" s="20">
        <v>5000000</v>
      </c>
      <c r="F43" s="17">
        <v>4758.7349999999997</v>
      </c>
      <c r="G43" s="18">
        <v>1.5572798139831301</v>
      </c>
      <c r="H43" s="19">
        <v>5.5074999999999999E-2</v>
      </c>
      <c r="I43" s="21"/>
    </row>
    <row r="44" spans="2:9" x14ac:dyDescent="0.2">
      <c r="B44" s="16" t="s">
        <v>83</v>
      </c>
      <c r="C44" s="16" t="s">
        <v>84</v>
      </c>
      <c r="D44" s="16" t="s">
        <v>91</v>
      </c>
      <c r="E44" s="20">
        <v>2500000</v>
      </c>
      <c r="F44" s="17">
        <v>2377.09</v>
      </c>
      <c r="G44" s="18">
        <v>0.77789460287684697</v>
      </c>
      <c r="H44" s="19">
        <v>5.5023000000000002E-2</v>
      </c>
      <c r="I44" s="21"/>
    </row>
    <row r="45" spans="2:9" x14ac:dyDescent="0.2">
      <c r="B45" s="16" t="s">
        <v>85</v>
      </c>
      <c r="C45" s="16" t="s">
        <v>86</v>
      </c>
      <c r="D45" s="16" t="s">
        <v>91</v>
      </c>
      <c r="E45" s="20">
        <v>1500000</v>
      </c>
      <c r="F45" s="17">
        <v>1457.4404999999999</v>
      </c>
      <c r="G45" s="18">
        <v>0.47694243758719002</v>
      </c>
      <c r="H45" s="19">
        <v>5.4379999999999998E-2</v>
      </c>
      <c r="I45" s="21"/>
    </row>
    <row r="46" spans="2:9" x14ac:dyDescent="0.2">
      <c r="B46" s="15" t="s">
        <v>48</v>
      </c>
      <c r="C46" s="15"/>
      <c r="D46" s="15"/>
      <c r="E46" s="15"/>
      <c r="F46" s="23">
        <f>SUM(F41:F45)</f>
        <v>13534.700500000001</v>
      </c>
      <c r="G46" s="24">
        <f>SUM(G41:G45)</f>
        <v>4.4291846209039472</v>
      </c>
      <c r="H46" s="22"/>
      <c r="I46" s="22"/>
    </row>
    <row r="47" spans="2:9" x14ac:dyDescent="0.2">
      <c r="B47" s="26" t="s">
        <v>87</v>
      </c>
      <c r="C47" s="26"/>
      <c r="D47" s="26"/>
      <c r="E47" s="26"/>
      <c r="F47" s="27">
        <f>+F24+F40+F46</f>
        <v>265783.64980000001</v>
      </c>
      <c r="G47" s="28">
        <f>+G24+G40+G46</f>
        <v>86.976793774038839</v>
      </c>
      <c r="H47" s="22"/>
      <c r="I47" s="22"/>
    </row>
    <row r="48" spans="2:9" x14ac:dyDescent="0.2">
      <c r="B48" s="15" t="s">
        <v>88</v>
      </c>
      <c r="C48" s="16"/>
      <c r="D48" s="16"/>
      <c r="E48" s="16"/>
      <c r="F48" s="17"/>
      <c r="G48" s="18"/>
      <c r="H48" s="19"/>
      <c r="I48" s="19"/>
    </row>
    <row r="49" spans="1:11" x14ac:dyDescent="0.2">
      <c r="B49" s="16" t="s">
        <v>89</v>
      </c>
      <c r="C49" s="16" t="s">
        <v>90</v>
      </c>
      <c r="D49" s="16" t="s">
        <v>91</v>
      </c>
      <c r="E49" s="20">
        <v>22000000</v>
      </c>
      <c r="F49" s="17">
        <v>22007.106</v>
      </c>
      <c r="G49" s="18">
        <v>7.2017504521657498</v>
      </c>
      <c r="H49" s="19">
        <v>5.5216000000000001E-2</v>
      </c>
      <c r="I49" s="21"/>
    </row>
    <row r="50" spans="1:11" x14ac:dyDescent="0.2">
      <c r="B50" s="15" t="s">
        <v>87</v>
      </c>
      <c r="C50" s="15"/>
      <c r="D50" s="15"/>
      <c r="E50" s="15"/>
      <c r="F50" s="27">
        <f>SUM(F49:F49)</f>
        <v>22007.106</v>
      </c>
      <c r="G50" s="28">
        <f>SUM(G49:G49)</f>
        <v>7.2017504521657498</v>
      </c>
      <c r="H50" s="22"/>
      <c r="I50" s="22"/>
    </row>
    <row r="51" spans="1:11" x14ac:dyDescent="0.2">
      <c r="B51" s="15"/>
      <c r="C51" s="16"/>
      <c r="D51" s="16"/>
      <c r="E51" s="16"/>
      <c r="F51" s="17"/>
      <c r="G51" s="18"/>
      <c r="H51" s="19"/>
      <c r="I51" s="19"/>
    </row>
    <row r="52" spans="1:11" x14ac:dyDescent="0.2">
      <c r="B52" s="15" t="s">
        <v>92</v>
      </c>
      <c r="C52" s="15"/>
      <c r="D52" s="15"/>
      <c r="E52" s="15"/>
      <c r="F52" s="27">
        <v>17946.395779999999</v>
      </c>
      <c r="G52" s="28">
        <v>5.8728968690095096</v>
      </c>
      <c r="H52" s="25">
        <v>5.3636339999999998E-2</v>
      </c>
      <c r="I52" s="25"/>
    </row>
    <row r="53" spans="1:11" x14ac:dyDescent="0.2">
      <c r="B53" s="16"/>
      <c r="C53" s="16"/>
      <c r="D53" s="16"/>
      <c r="E53" s="16"/>
      <c r="F53" s="17"/>
      <c r="G53" s="18"/>
      <c r="H53" s="19"/>
      <c r="I53" s="19"/>
    </row>
    <row r="54" spans="1:11" x14ac:dyDescent="0.2">
      <c r="B54" s="26" t="s">
        <v>94</v>
      </c>
      <c r="C54" s="26"/>
      <c r="D54" s="26"/>
      <c r="E54" s="26"/>
      <c r="F54" s="27">
        <f>F55-(F24+F40+F46+F50+F52)</f>
        <v>-157.1936771000619</v>
      </c>
      <c r="G54" s="28">
        <f>G55-(G24+G40+G46+G50+G52)</f>
        <v>-5.1441095214102006E-2</v>
      </c>
      <c r="H54" s="22"/>
      <c r="I54" s="22"/>
    </row>
    <row r="55" spans="1:11" x14ac:dyDescent="0.2">
      <c r="B55" s="26" t="s">
        <v>93</v>
      </c>
      <c r="C55" s="26"/>
      <c r="D55" s="26"/>
      <c r="E55" s="26"/>
      <c r="F55" s="27">
        <v>305579.9579029</v>
      </c>
      <c r="G55" s="28">
        <v>100</v>
      </c>
      <c r="H55" s="29"/>
      <c r="I55" s="29"/>
    </row>
    <row r="57" spans="1:11" x14ac:dyDescent="0.2">
      <c r="B57" s="14" t="s">
        <v>96</v>
      </c>
    </row>
    <row r="58" spans="1:11" ht="39.950000000000003" customHeight="1" x14ac:dyDescent="0.2">
      <c r="B58" s="42" t="s">
        <v>97</v>
      </c>
      <c r="C58" s="42"/>
      <c r="D58" s="42"/>
      <c r="E58" s="42"/>
      <c r="F58" s="42"/>
      <c r="G58" s="42"/>
      <c r="H58" s="42"/>
      <c r="I58" s="42"/>
    </row>
    <row r="60" spans="1:11" x14ac:dyDescent="0.2">
      <c r="B60" s="14" t="s">
        <v>98</v>
      </c>
      <c r="C60" s="14"/>
      <c r="D60" s="30"/>
      <c r="E60" s="14"/>
    </row>
    <row r="61" spans="1:11" x14ac:dyDescent="0.2">
      <c r="D61" s="31"/>
      <c r="E61" s="31"/>
    </row>
    <row r="63" spans="1:11" s="11" customFormat="1" x14ac:dyDescent="0.2">
      <c r="A63" s="6"/>
      <c r="B63" s="6"/>
      <c r="C63" s="6"/>
      <c r="D63" s="6"/>
      <c r="E63" s="6"/>
      <c r="F63" s="8"/>
      <c r="G63" s="33"/>
      <c r="J63" s="6"/>
      <c r="K63" s="6"/>
    </row>
    <row r="64" spans="1:11" s="11" customFormat="1" x14ac:dyDescent="0.2">
      <c r="A64" s="6"/>
      <c r="B64" s="6"/>
      <c r="C64" s="6"/>
      <c r="D64" s="6"/>
      <c r="E64" s="6"/>
      <c r="F64" s="8"/>
      <c r="G64" s="33"/>
      <c r="J64" s="6"/>
      <c r="K64" s="6"/>
    </row>
    <row r="65" spans="1:11" s="11" customFormat="1" x14ac:dyDescent="0.2">
      <c r="A65" s="6"/>
      <c r="B65" s="14"/>
      <c r="C65" s="6"/>
      <c r="D65" s="6"/>
      <c r="E65" s="6"/>
      <c r="F65" s="8"/>
      <c r="G65" s="33"/>
      <c r="J65" s="6"/>
      <c r="K65" s="6"/>
    </row>
    <row r="66" spans="1:11" s="11" customFormat="1" x14ac:dyDescent="0.2">
      <c r="A66" s="6"/>
      <c r="B66" s="6"/>
      <c r="C66" s="6"/>
      <c r="D66" s="6"/>
      <c r="E66" s="6"/>
      <c r="F66" s="8"/>
      <c r="G66" s="33"/>
      <c r="J66" s="6"/>
      <c r="K66" s="6"/>
    </row>
    <row r="67" spans="1:11" s="11" customFormat="1" x14ac:dyDescent="0.2">
      <c r="A67" s="6"/>
      <c r="B67" s="6"/>
      <c r="C67" s="6"/>
      <c r="D67" s="6"/>
      <c r="E67" s="6"/>
      <c r="F67" s="8"/>
      <c r="G67" s="33"/>
      <c r="J67" s="6"/>
      <c r="K67" s="6"/>
    </row>
    <row r="68" spans="1:11" s="11" customFormat="1" x14ac:dyDescent="0.2">
      <c r="A68" s="6"/>
      <c r="B68" s="6"/>
      <c r="C68" s="6"/>
      <c r="D68" s="6"/>
      <c r="E68" s="6"/>
      <c r="F68" s="8"/>
      <c r="G68" s="33"/>
      <c r="J68" s="6"/>
      <c r="K68" s="6"/>
    </row>
    <row r="69" spans="1:11" s="11" customFormat="1" x14ac:dyDescent="0.2">
      <c r="A69" s="6"/>
      <c r="B69" s="6"/>
      <c r="C69" s="6"/>
      <c r="D69" s="6"/>
      <c r="E69" s="6"/>
      <c r="F69" s="8"/>
      <c r="G69" s="33"/>
      <c r="J69" s="6"/>
      <c r="K69" s="6"/>
    </row>
    <row r="70" spans="1:11" s="11" customFormat="1" x14ac:dyDescent="0.2">
      <c r="A70" s="6"/>
      <c r="B70" s="6"/>
      <c r="C70" s="6"/>
      <c r="D70" s="6"/>
      <c r="E70" s="6"/>
      <c r="F70" s="8"/>
      <c r="G70" s="33"/>
      <c r="J70" s="6"/>
      <c r="K70" s="6"/>
    </row>
    <row r="71" spans="1:11" s="11" customFormat="1" x14ac:dyDescent="0.2">
      <c r="A71" s="6"/>
      <c r="B71" s="6"/>
      <c r="C71" s="6"/>
      <c r="D71" s="6"/>
      <c r="E71" s="6"/>
      <c r="F71" s="8"/>
      <c r="G71" s="33"/>
      <c r="J71" s="6"/>
      <c r="K71" s="6"/>
    </row>
    <row r="72" spans="1:11" s="11" customFormat="1" x14ac:dyDescent="0.2">
      <c r="A72" s="6"/>
      <c r="B72" s="6"/>
      <c r="C72" s="6"/>
      <c r="D72" s="6"/>
      <c r="E72" s="6"/>
      <c r="F72" s="8"/>
      <c r="G72" s="33"/>
      <c r="J72" s="6"/>
      <c r="K72" s="6"/>
    </row>
    <row r="73" spans="1:11" s="11" customFormat="1" x14ac:dyDescent="0.2">
      <c r="A73" s="6"/>
      <c r="B73" s="6"/>
      <c r="C73" s="6"/>
      <c r="D73" s="6"/>
      <c r="E73" s="6"/>
      <c r="F73" s="8"/>
      <c r="G73" s="33"/>
      <c r="J73" s="6"/>
      <c r="K73" s="6"/>
    </row>
    <row r="74" spans="1:11" s="11" customFormat="1" x14ac:dyDescent="0.2">
      <c r="A74" s="6"/>
      <c r="B74" s="6"/>
      <c r="C74" s="6"/>
      <c r="D74" s="6"/>
      <c r="E74" s="6"/>
      <c r="F74" s="8"/>
      <c r="G74" s="33"/>
      <c r="J74" s="6"/>
      <c r="K74" s="6"/>
    </row>
    <row r="75" spans="1:11" s="11" customFormat="1" x14ac:dyDescent="0.2">
      <c r="A75" s="6"/>
      <c r="B75" s="6"/>
      <c r="C75" s="6"/>
      <c r="D75" s="6"/>
      <c r="E75" s="6"/>
      <c r="F75" s="8"/>
      <c r="G75" s="33"/>
      <c r="J75" s="6"/>
      <c r="K75" s="6"/>
    </row>
    <row r="76" spans="1:11" s="11" customFormat="1" x14ac:dyDescent="0.2">
      <c r="A76" s="6"/>
      <c r="B76" s="6"/>
      <c r="C76" s="6"/>
      <c r="D76" s="6"/>
      <c r="E76" s="6"/>
      <c r="F76" s="8"/>
      <c r="G76" s="33"/>
      <c r="J76" s="6"/>
      <c r="K76" s="6"/>
    </row>
    <row r="77" spans="1:11" s="11" customFormat="1" x14ac:dyDescent="0.2">
      <c r="A77" s="6"/>
      <c r="B77" s="6"/>
      <c r="C77" s="6"/>
      <c r="D77" s="6"/>
      <c r="E77" s="6"/>
      <c r="F77" s="8"/>
      <c r="G77" s="33"/>
      <c r="J77" s="6"/>
      <c r="K77" s="6"/>
    </row>
    <row r="78" spans="1:11" s="11" customFormat="1" x14ac:dyDescent="0.2">
      <c r="A78" s="6"/>
      <c r="B78" s="6"/>
      <c r="C78" s="6"/>
      <c r="D78" s="6"/>
      <c r="E78" s="6"/>
      <c r="F78" s="8"/>
      <c r="G78" s="33"/>
      <c r="J78" s="6"/>
      <c r="K78" s="6"/>
    </row>
    <row r="79" spans="1:11" s="11" customFormat="1" x14ac:dyDescent="0.2">
      <c r="A79" s="6"/>
      <c r="B79" s="6"/>
      <c r="C79" s="6"/>
      <c r="D79" s="6"/>
      <c r="E79" s="6"/>
      <c r="F79" s="8"/>
      <c r="G79" s="33"/>
      <c r="J79" s="6"/>
      <c r="K79" s="6"/>
    </row>
    <row r="80" spans="1:11" s="11" customFormat="1" x14ac:dyDescent="0.2">
      <c r="A80" s="6"/>
      <c r="B80" s="6"/>
      <c r="C80" s="6"/>
      <c r="D80" s="6"/>
      <c r="E80" s="6"/>
      <c r="F80" s="8"/>
      <c r="G80" s="33"/>
      <c r="J80" s="6"/>
      <c r="K80" s="6"/>
    </row>
    <row r="81" spans="1:11" s="11" customFormat="1" x14ac:dyDescent="0.2">
      <c r="A81" s="6"/>
      <c r="B81" s="14" t="s">
        <v>99</v>
      </c>
      <c r="C81" s="6"/>
      <c r="D81" s="6"/>
      <c r="E81" s="6"/>
      <c r="F81" s="8"/>
      <c r="G81" s="33"/>
      <c r="J81" s="6"/>
      <c r="K81" s="6"/>
    </row>
    <row r="82" spans="1:11" s="11" customFormat="1" x14ac:dyDescent="0.2">
      <c r="A82" s="6"/>
      <c r="B82" s="34" t="s">
        <v>100</v>
      </c>
      <c r="C82" s="6"/>
      <c r="D82" s="6"/>
      <c r="E82" s="6"/>
      <c r="F82" s="8"/>
      <c r="G82" s="33"/>
      <c r="J82" s="6"/>
      <c r="K82" s="6"/>
    </row>
    <row r="83" spans="1:11" s="11" customFormat="1" x14ac:dyDescent="0.2">
      <c r="A83" s="6"/>
      <c r="B83" s="6"/>
      <c r="C83" s="6"/>
      <c r="D83" s="6"/>
      <c r="E83" s="6"/>
      <c r="F83" s="8"/>
      <c r="G83" s="33"/>
      <c r="J83" s="6"/>
      <c r="K83" s="6"/>
    </row>
    <row r="84" spans="1:11" s="11" customFormat="1" x14ac:dyDescent="0.2">
      <c r="A84" s="6"/>
      <c r="B84" s="6"/>
      <c r="C84" s="6"/>
      <c r="D84" s="6"/>
      <c r="E84" s="6"/>
      <c r="F84" s="8"/>
      <c r="G84" s="33"/>
      <c r="J84" s="6"/>
      <c r="K84" s="6"/>
    </row>
    <row r="85" spans="1:11" s="11" customFormat="1" x14ac:dyDescent="0.2">
      <c r="A85" s="6"/>
      <c r="B85" s="6"/>
      <c r="C85" s="6"/>
      <c r="D85" s="6"/>
      <c r="E85" s="6"/>
      <c r="F85" s="8"/>
      <c r="G85" s="33"/>
      <c r="J85" s="6"/>
      <c r="K85" s="6"/>
    </row>
    <row r="86" spans="1:11" s="11" customFormat="1" x14ac:dyDescent="0.2">
      <c r="A86" s="6"/>
      <c r="B86" s="6"/>
      <c r="C86" s="6"/>
      <c r="D86" s="6"/>
      <c r="E86" s="6"/>
      <c r="F86" s="8"/>
      <c r="G86" s="33"/>
      <c r="J86" s="6"/>
      <c r="K86" s="6"/>
    </row>
    <row r="87" spans="1:11" s="11" customFormat="1" x14ac:dyDescent="0.2">
      <c r="A87" s="6"/>
      <c r="B87" s="6"/>
      <c r="C87" s="6"/>
      <c r="D87" s="6"/>
      <c r="E87" s="6"/>
      <c r="F87" s="8"/>
      <c r="G87" s="33"/>
      <c r="J87" s="6"/>
      <c r="K87" s="6"/>
    </row>
    <row r="88" spans="1:11" s="11" customFormat="1" x14ac:dyDescent="0.2">
      <c r="A88" s="6"/>
      <c r="B88" s="6"/>
      <c r="C88" s="6"/>
      <c r="D88" s="6"/>
      <c r="E88" s="6"/>
      <c r="F88" s="8"/>
      <c r="G88" s="33"/>
      <c r="J88" s="6"/>
      <c r="K88" s="6"/>
    </row>
    <row r="89" spans="1:11" s="11" customFormat="1" x14ac:dyDescent="0.2">
      <c r="A89" s="6"/>
      <c r="B89" s="6"/>
      <c r="C89" s="6"/>
      <c r="D89" s="6"/>
      <c r="E89" s="6"/>
      <c r="F89" s="8"/>
      <c r="G89" s="33"/>
      <c r="J89" s="6"/>
      <c r="K89" s="6"/>
    </row>
    <row r="90" spans="1:11" s="11" customFormat="1" x14ac:dyDescent="0.2">
      <c r="A90" s="6"/>
      <c r="B90" s="6"/>
      <c r="C90" s="6"/>
      <c r="D90" s="6"/>
      <c r="E90" s="6"/>
      <c r="F90" s="8"/>
      <c r="G90" s="33"/>
      <c r="J90" s="6"/>
      <c r="K90" s="6"/>
    </row>
    <row r="91" spans="1:11" s="11" customFormat="1" x14ac:dyDescent="0.2">
      <c r="A91" s="6"/>
      <c r="B91" s="6"/>
      <c r="C91" s="6"/>
      <c r="D91" s="6"/>
      <c r="E91" s="6"/>
      <c r="F91" s="8"/>
      <c r="G91" s="33"/>
      <c r="J91" s="6"/>
      <c r="K91" s="6"/>
    </row>
    <row r="92" spans="1:11" s="11" customFormat="1" x14ac:dyDescent="0.2">
      <c r="A92" s="6"/>
      <c r="B92" s="6"/>
      <c r="C92" s="6"/>
      <c r="D92" s="6"/>
      <c r="E92" s="6"/>
      <c r="F92" s="8"/>
      <c r="G92" s="33"/>
      <c r="J92" s="6"/>
      <c r="K92" s="6"/>
    </row>
    <row r="93" spans="1:11" s="11" customFormat="1" x14ac:dyDescent="0.2">
      <c r="A93" s="6"/>
      <c r="B93" s="6"/>
      <c r="C93" s="6"/>
      <c r="D93" s="6"/>
      <c r="E93" s="6"/>
      <c r="F93" s="8"/>
      <c r="G93" s="33"/>
      <c r="J93" s="6"/>
      <c r="K93" s="6"/>
    </row>
    <row r="94" spans="1:11" s="11" customFormat="1" x14ac:dyDescent="0.2">
      <c r="A94" s="6"/>
      <c r="B94" s="6"/>
      <c r="C94" s="6"/>
      <c r="D94" s="6"/>
      <c r="E94" s="6"/>
      <c r="F94" s="8"/>
      <c r="G94" s="33"/>
      <c r="J94" s="6"/>
      <c r="K94" s="6"/>
    </row>
    <row r="95" spans="1:11" s="11" customFormat="1" x14ac:dyDescent="0.2">
      <c r="A95" s="6"/>
      <c r="B95" s="6"/>
      <c r="C95" s="6"/>
      <c r="D95" s="6"/>
      <c r="E95" s="6"/>
      <c r="F95" s="8"/>
      <c r="G95" s="33"/>
      <c r="J95" s="6"/>
      <c r="K95" s="6"/>
    </row>
    <row r="96" spans="1:11" s="11" customFormat="1" x14ac:dyDescent="0.2">
      <c r="A96" s="6"/>
      <c r="B96" s="6"/>
      <c r="C96" s="6"/>
      <c r="D96" s="6"/>
      <c r="E96" s="6"/>
      <c r="F96" s="8"/>
      <c r="G96" s="33"/>
      <c r="J96" s="6"/>
      <c r="K96" s="6"/>
    </row>
    <row r="97" spans="1:11" s="11" customFormat="1" x14ac:dyDescent="0.2">
      <c r="A97" s="6"/>
      <c r="B97" s="6"/>
      <c r="C97" s="6"/>
      <c r="D97" s="6"/>
      <c r="E97" s="6"/>
      <c r="F97" s="8"/>
      <c r="G97" s="33"/>
      <c r="J97" s="6"/>
      <c r="K97" s="6"/>
    </row>
    <row r="98" spans="1:11" s="11" customFormat="1" x14ac:dyDescent="0.2">
      <c r="A98" s="6"/>
      <c r="B98" s="6"/>
      <c r="C98" s="6"/>
      <c r="D98" s="6"/>
      <c r="E98" s="6"/>
      <c r="F98" s="8"/>
      <c r="G98" s="33"/>
      <c r="J98" s="6"/>
      <c r="K98" s="6"/>
    </row>
    <row r="99" spans="1:11" s="11" customFormat="1" x14ac:dyDescent="0.2">
      <c r="A99" s="6"/>
      <c r="B99" s="6"/>
      <c r="C99" s="6"/>
      <c r="D99" s="6"/>
      <c r="E99" s="6"/>
      <c r="F99" s="8"/>
      <c r="G99" s="33"/>
      <c r="J99" s="6"/>
      <c r="K99" s="6"/>
    </row>
    <row r="100" spans="1:11" s="11" customFormat="1" x14ac:dyDescent="0.2">
      <c r="A100" s="6"/>
      <c r="B100" s="6"/>
      <c r="C100" s="6"/>
      <c r="D100" s="6"/>
      <c r="E100" s="6"/>
      <c r="F100" s="8"/>
      <c r="G100" s="33"/>
      <c r="J100" s="6"/>
      <c r="K100" s="6"/>
    </row>
    <row r="101" spans="1:11" s="11" customFormat="1" x14ac:dyDescent="0.2">
      <c r="A101" s="6"/>
      <c r="B101" s="6"/>
      <c r="C101" s="6"/>
      <c r="D101" s="6"/>
      <c r="E101" s="6"/>
      <c r="F101" s="8"/>
      <c r="G101" s="33"/>
      <c r="J101" s="6"/>
      <c r="K101" s="6"/>
    </row>
    <row r="102" spans="1:11" s="11" customFormat="1" x14ac:dyDescent="0.2">
      <c r="A102" s="6"/>
      <c r="B102" s="6"/>
      <c r="C102" s="6"/>
      <c r="D102" s="6"/>
      <c r="E102" s="6"/>
      <c r="F102" s="8"/>
      <c r="G102" s="33"/>
      <c r="J102" s="6"/>
      <c r="K102" s="6"/>
    </row>
    <row r="103" spans="1:11" s="11" customFormat="1" x14ac:dyDescent="0.2">
      <c r="A103" s="6"/>
      <c r="B103" s="6"/>
      <c r="C103" s="6"/>
      <c r="D103" s="6"/>
      <c r="E103" s="6"/>
      <c r="F103" s="8"/>
      <c r="G103" s="33"/>
      <c r="J103" s="6"/>
      <c r="K103" s="6"/>
    </row>
    <row r="104" spans="1:11" s="11" customFormat="1" x14ac:dyDescent="0.2">
      <c r="A104" s="6"/>
      <c r="B104" s="6"/>
      <c r="C104" s="6"/>
      <c r="D104" s="6"/>
      <c r="E104" s="6"/>
      <c r="F104" s="8"/>
      <c r="G104" s="33"/>
      <c r="J104" s="6"/>
      <c r="K104" s="6"/>
    </row>
    <row r="105" spans="1:11" s="11" customFormat="1" x14ac:dyDescent="0.2">
      <c r="A105" s="6"/>
      <c r="B105" s="6"/>
      <c r="C105" s="6"/>
      <c r="D105" s="6"/>
      <c r="E105" s="6"/>
      <c r="F105" s="8"/>
      <c r="G105" s="33"/>
      <c r="J105" s="6"/>
      <c r="K105" s="6"/>
    </row>
    <row r="106" spans="1:11" s="11" customFormat="1" x14ac:dyDescent="0.2">
      <c r="A106" s="6"/>
      <c r="B106" s="6"/>
      <c r="C106" s="6"/>
      <c r="D106" s="6"/>
      <c r="E106" s="6"/>
      <c r="F106" s="8"/>
      <c r="G106" s="33"/>
      <c r="J106" s="6"/>
      <c r="K106" s="6"/>
    </row>
    <row r="107" spans="1:11" s="11" customFormat="1" x14ac:dyDescent="0.2">
      <c r="A107" s="6"/>
      <c r="B107" s="6"/>
      <c r="C107" s="6"/>
      <c r="D107" s="6"/>
      <c r="E107" s="6"/>
      <c r="F107" s="8"/>
      <c r="G107" s="33"/>
      <c r="J107" s="6"/>
      <c r="K107" s="6"/>
    </row>
    <row r="108" spans="1:11" s="11" customFormat="1" x14ac:dyDescent="0.2">
      <c r="A108" s="6"/>
      <c r="B108" s="6"/>
      <c r="C108" s="6"/>
      <c r="D108" s="6"/>
      <c r="E108" s="6"/>
      <c r="F108" s="8"/>
      <c r="G108" s="33"/>
      <c r="J108" s="6"/>
      <c r="K108" s="6"/>
    </row>
    <row r="109" spans="1:11" s="11" customFormat="1" x14ac:dyDescent="0.2">
      <c r="A109" s="6"/>
      <c r="B109" s="6"/>
      <c r="C109" s="6"/>
      <c r="D109" s="6"/>
      <c r="E109" s="6"/>
      <c r="F109" s="8"/>
      <c r="G109" s="33"/>
      <c r="J109" s="6"/>
      <c r="K109" s="6"/>
    </row>
    <row r="110" spans="1:11" s="11" customFormat="1" x14ac:dyDescent="0.2">
      <c r="A110" s="6"/>
      <c r="B110" s="6"/>
      <c r="C110" s="6"/>
      <c r="D110" s="6"/>
      <c r="E110" s="6"/>
      <c r="F110" s="8"/>
      <c r="G110" s="33"/>
      <c r="J110" s="6"/>
      <c r="K110" s="6"/>
    </row>
    <row r="111" spans="1:11" s="11" customFormat="1" x14ac:dyDescent="0.2">
      <c r="A111" s="6"/>
      <c r="B111" s="6"/>
      <c r="C111" s="6"/>
      <c r="D111" s="6"/>
      <c r="E111" s="6"/>
      <c r="F111" s="8"/>
      <c r="G111" s="33"/>
      <c r="J111" s="6"/>
      <c r="K111" s="6"/>
    </row>
    <row r="112" spans="1:11" s="11" customFormat="1" x14ac:dyDescent="0.2">
      <c r="A112" s="6"/>
      <c r="B112" s="6"/>
      <c r="C112" s="6"/>
      <c r="D112" s="6"/>
      <c r="E112" s="6"/>
      <c r="F112" s="8"/>
      <c r="G112" s="33"/>
      <c r="J112" s="6"/>
      <c r="K112" s="6"/>
    </row>
    <row r="113" spans="1:11" s="11" customFormat="1" x14ac:dyDescent="0.2">
      <c r="A113" s="6"/>
      <c r="B113" s="6"/>
      <c r="C113" s="6"/>
      <c r="D113" s="6"/>
      <c r="E113" s="6"/>
      <c r="F113" s="8"/>
      <c r="G113" s="33"/>
      <c r="J113" s="6"/>
      <c r="K113" s="6"/>
    </row>
    <row r="114" spans="1:11" s="11" customFormat="1" x14ac:dyDescent="0.2">
      <c r="A114" s="6"/>
      <c r="B114" s="6"/>
      <c r="C114" s="6"/>
      <c r="D114" s="6"/>
      <c r="E114" s="6"/>
      <c r="F114" s="8"/>
      <c r="G114" s="33"/>
      <c r="J114" s="6"/>
      <c r="K114" s="6"/>
    </row>
    <row r="115" spans="1:11" s="11" customFormat="1" x14ac:dyDescent="0.2">
      <c r="A115" s="6"/>
      <c r="B115" s="6"/>
      <c r="C115" s="6"/>
      <c r="D115" s="6"/>
      <c r="E115" s="6"/>
      <c r="F115" s="8"/>
      <c r="G115" s="33"/>
      <c r="J115" s="6"/>
      <c r="K115" s="6"/>
    </row>
    <row r="116" spans="1:11" s="11" customFormat="1" x14ac:dyDescent="0.2">
      <c r="A116" s="6"/>
      <c r="B116" s="6"/>
      <c r="C116" s="6"/>
      <c r="D116" s="6"/>
      <c r="E116" s="6"/>
      <c r="F116" s="8"/>
      <c r="G116" s="33"/>
      <c r="J116" s="6"/>
      <c r="K116" s="6"/>
    </row>
    <row r="117" spans="1:11" s="11" customFormat="1" x14ac:dyDescent="0.2">
      <c r="A117" s="6"/>
      <c r="B117" s="6"/>
      <c r="C117" s="6"/>
      <c r="D117" s="6"/>
      <c r="E117" s="6"/>
      <c r="F117" s="8"/>
      <c r="G117" s="33"/>
      <c r="J117" s="6"/>
      <c r="K117" s="6"/>
    </row>
    <row r="118" spans="1:11" s="11" customFormat="1" x14ac:dyDescent="0.2">
      <c r="A118" s="6"/>
      <c r="B118" s="6"/>
      <c r="C118" s="6"/>
      <c r="D118" s="6"/>
      <c r="E118" s="6"/>
      <c r="F118" s="8"/>
      <c r="G118" s="33"/>
      <c r="J118" s="6"/>
      <c r="K118" s="6"/>
    </row>
    <row r="119" spans="1:11" s="11" customFormat="1" x14ac:dyDescent="0.2">
      <c r="A119" s="6"/>
      <c r="B119" s="6"/>
      <c r="C119" s="6"/>
      <c r="D119" s="6"/>
      <c r="E119" s="6"/>
      <c r="F119" s="8"/>
      <c r="G119" s="33"/>
      <c r="J119" s="6"/>
      <c r="K119" s="6"/>
    </row>
    <row r="120" spans="1:11" s="11" customFormat="1" x14ac:dyDescent="0.2">
      <c r="A120" s="6"/>
      <c r="B120" s="6"/>
      <c r="C120" s="6"/>
      <c r="D120" s="6"/>
      <c r="E120" s="6"/>
      <c r="F120" s="8"/>
      <c r="G120" s="33"/>
      <c r="J120" s="6"/>
      <c r="K120" s="6"/>
    </row>
    <row r="121" spans="1:11" s="11" customFormat="1" x14ac:dyDescent="0.2">
      <c r="A121" s="6"/>
      <c r="B121" s="6"/>
      <c r="C121" s="6"/>
      <c r="D121" s="6"/>
      <c r="E121" s="6"/>
      <c r="F121" s="8"/>
      <c r="G121" s="33"/>
      <c r="J121" s="6"/>
      <c r="K121" s="6"/>
    </row>
    <row r="122" spans="1:11" s="11" customFormat="1" x14ac:dyDescent="0.2">
      <c r="A122" s="6"/>
      <c r="B122" s="6"/>
      <c r="C122" s="6"/>
      <c r="D122" s="6"/>
      <c r="E122" s="6"/>
      <c r="F122" s="8"/>
      <c r="G122" s="33"/>
      <c r="J122" s="6"/>
      <c r="K122" s="6"/>
    </row>
    <row r="123" spans="1:11" s="11" customFormat="1" x14ac:dyDescent="0.2">
      <c r="A123" s="6"/>
      <c r="B123" s="6"/>
      <c r="C123" s="6"/>
      <c r="D123" s="6"/>
      <c r="E123" s="6"/>
      <c r="F123" s="8"/>
      <c r="G123" s="33"/>
      <c r="J123" s="6"/>
      <c r="K123" s="6"/>
    </row>
    <row r="124" spans="1:11" s="11" customFormat="1" x14ac:dyDescent="0.2">
      <c r="A124" s="6"/>
      <c r="B124" s="6"/>
      <c r="C124" s="6"/>
      <c r="D124" s="6"/>
      <c r="E124" s="6"/>
      <c r="F124" s="8"/>
      <c r="G124" s="33"/>
      <c r="J124" s="6"/>
      <c r="K124" s="6"/>
    </row>
    <row r="125" spans="1:11" s="11" customFormat="1" x14ac:dyDescent="0.2">
      <c r="A125" s="6"/>
      <c r="B125" s="6"/>
      <c r="C125" s="6"/>
      <c r="D125" s="6"/>
      <c r="E125" s="6"/>
      <c r="F125" s="8"/>
      <c r="G125" s="33"/>
      <c r="J125" s="6"/>
      <c r="K125" s="6"/>
    </row>
    <row r="126" spans="1:11" s="11" customFormat="1" x14ac:dyDescent="0.2">
      <c r="A126" s="6"/>
      <c r="B126" s="6"/>
      <c r="C126" s="6"/>
      <c r="D126" s="6"/>
      <c r="E126" s="6"/>
      <c r="F126" s="8"/>
      <c r="G126" s="33"/>
      <c r="J126" s="6"/>
      <c r="K126" s="6"/>
    </row>
    <row r="127" spans="1:11" s="11" customFormat="1" x14ac:dyDescent="0.2">
      <c r="A127" s="6"/>
      <c r="B127" s="6"/>
      <c r="C127" s="6"/>
      <c r="D127" s="6"/>
      <c r="E127" s="6"/>
      <c r="F127" s="8"/>
      <c r="G127" s="33"/>
      <c r="J127" s="6"/>
      <c r="K127" s="6"/>
    </row>
    <row r="128" spans="1:11" s="11" customFormat="1" x14ac:dyDescent="0.2">
      <c r="A128" s="6"/>
      <c r="B128" s="6"/>
      <c r="C128" s="6"/>
      <c r="D128" s="6"/>
      <c r="E128" s="6"/>
      <c r="F128" s="8"/>
      <c r="G128" s="33"/>
      <c r="J128" s="6"/>
      <c r="K128" s="6"/>
    </row>
    <row r="129" spans="1:11" s="11" customFormat="1" x14ac:dyDescent="0.2">
      <c r="A129" s="6"/>
      <c r="B129" s="6"/>
      <c r="C129" s="6"/>
      <c r="D129" s="6"/>
      <c r="E129" s="6"/>
      <c r="F129" s="8"/>
      <c r="G129" s="33"/>
      <c r="J129" s="6"/>
      <c r="K129" s="6"/>
    </row>
    <row r="130" spans="1:11" s="11" customFormat="1" x14ac:dyDescent="0.2">
      <c r="A130" s="6"/>
      <c r="B130" s="6"/>
      <c r="C130" s="6"/>
      <c r="D130" s="6"/>
      <c r="E130" s="6"/>
      <c r="F130" s="8"/>
      <c r="G130" s="33"/>
      <c r="J130" s="6"/>
      <c r="K130" s="6"/>
    </row>
    <row r="131" spans="1:11" s="11" customFormat="1" x14ac:dyDescent="0.2">
      <c r="A131" s="6"/>
      <c r="B131" s="6"/>
      <c r="C131" s="6"/>
      <c r="D131" s="6"/>
      <c r="E131" s="6"/>
      <c r="F131" s="8"/>
      <c r="G131" s="33"/>
      <c r="J131" s="6"/>
      <c r="K131" s="6"/>
    </row>
    <row r="132" spans="1:11" s="11" customFormat="1" x14ac:dyDescent="0.2">
      <c r="A132" s="6"/>
      <c r="B132" s="6"/>
      <c r="C132" s="6"/>
      <c r="D132" s="6"/>
      <c r="E132" s="6"/>
      <c r="F132" s="8"/>
      <c r="G132" s="33"/>
      <c r="J132" s="6"/>
      <c r="K132" s="6"/>
    </row>
    <row r="133" spans="1:11" s="11" customFormat="1" x14ac:dyDescent="0.2">
      <c r="A133" s="6"/>
      <c r="B133" s="6"/>
      <c r="C133" s="6"/>
      <c r="D133" s="6"/>
      <c r="E133" s="6"/>
      <c r="F133" s="8"/>
      <c r="G133" s="33"/>
      <c r="J133" s="6"/>
      <c r="K133" s="6"/>
    </row>
    <row r="134" spans="1:11" s="11" customFormat="1" x14ac:dyDescent="0.2">
      <c r="A134" s="6"/>
      <c r="B134" s="6"/>
      <c r="C134" s="6"/>
      <c r="D134" s="6"/>
      <c r="E134" s="6"/>
      <c r="F134" s="8"/>
      <c r="G134" s="33"/>
      <c r="J134" s="6"/>
      <c r="K134" s="6"/>
    </row>
    <row r="135" spans="1:11" s="11" customFormat="1" x14ac:dyDescent="0.2">
      <c r="A135" s="6"/>
      <c r="B135" s="6"/>
      <c r="C135" s="6"/>
      <c r="D135" s="6"/>
      <c r="E135" s="6"/>
      <c r="F135" s="8"/>
      <c r="G135" s="33"/>
      <c r="J135" s="6"/>
      <c r="K135" s="6"/>
    </row>
    <row r="136" spans="1:11" s="11" customFormat="1" x14ac:dyDescent="0.2">
      <c r="A136" s="6"/>
      <c r="B136" s="6"/>
      <c r="C136" s="6"/>
      <c r="D136" s="6"/>
      <c r="E136" s="6"/>
      <c r="F136" s="8"/>
      <c r="G136" s="33"/>
      <c r="J136" s="6"/>
      <c r="K136" s="6"/>
    </row>
    <row r="137" spans="1:11" s="11" customFormat="1" x14ac:dyDescent="0.2">
      <c r="A137" s="6"/>
      <c r="B137" s="6"/>
      <c r="C137" s="6"/>
      <c r="D137" s="6"/>
      <c r="E137" s="6"/>
      <c r="F137" s="8"/>
      <c r="G137" s="33"/>
      <c r="J137" s="6"/>
      <c r="K137" s="6"/>
    </row>
    <row r="138" spans="1:11" s="11" customFormat="1" x14ac:dyDescent="0.2">
      <c r="A138" s="6"/>
      <c r="B138" s="6"/>
      <c r="C138" s="6"/>
      <c r="D138" s="6"/>
      <c r="E138" s="6"/>
      <c r="F138" s="8"/>
      <c r="G138" s="33"/>
      <c r="J138" s="6"/>
      <c r="K138" s="6"/>
    </row>
    <row r="139" spans="1:11" s="11" customFormat="1" x14ac:dyDescent="0.2">
      <c r="A139" s="6"/>
      <c r="B139" s="6"/>
      <c r="C139" s="6"/>
      <c r="D139" s="6"/>
      <c r="E139" s="6"/>
      <c r="F139" s="8"/>
      <c r="G139" s="33"/>
      <c r="J139" s="6"/>
      <c r="K139" s="6"/>
    </row>
    <row r="140" spans="1:11" s="11" customFormat="1" x14ac:dyDescent="0.2">
      <c r="A140" s="6"/>
      <c r="B140" s="6"/>
      <c r="C140" s="6"/>
      <c r="D140" s="6"/>
      <c r="E140" s="6"/>
      <c r="F140" s="8"/>
      <c r="G140" s="33"/>
      <c r="J140" s="6"/>
      <c r="K140" s="6"/>
    </row>
    <row r="141" spans="1:11" s="11" customFormat="1" x14ac:dyDescent="0.2">
      <c r="A141" s="6"/>
      <c r="B141" s="6"/>
      <c r="C141" s="6"/>
      <c r="D141" s="6"/>
      <c r="E141" s="6"/>
      <c r="F141" s="8"/>
      <c r="G141" s="33"/>
      <c r="J141" s="6"/>
      <c r="K141" s="6"/>
    </row>
    <row r="142" spans="1:11" s="11" customFormat="1" x14ac:dyDescent="0.2">
      <c r="A142" s="6"/>
      <c r="B142" s="6"/>
      <c r="C142" s="6"/>
      <c r="D142" s="6"/>
      <c r="E142" s="6"/>
      <c r="F142" s="8"/>
      <c r="G142" s="33"/>
      <c r="J142" s="6"/>
      <c r="K142" s="6"/>
    </row>
    <row r="143" spans="1:11" s="11" customFormat="1" x14ac:dyDescent="0.2">
      <c r="A143" s="6"/>
      <c r="B143" s="6"/>
      <c r="C143" s="6"/>
      <c r="D143" s="6"/>
      <c r="E143" s="6"/>
      <c r="F143" s="8"/>
      <c r="G143" s="33"/>
      <c r="J143" s="6"/>
      <c r="K143" s="6"/>
    </row>
    <row r="144" spans="1:11" s="11" customFormat="1" x14ac:dyDescent="0.2">
      <c r="A144" s="6"/>
      <c r="B144" s="6"/>
      <c r="C144" s="6"/>
      <c r="D144" s="6"/>
      <c r="E144" s="6"/>
      <c r="F144" s="8"/>
      <c r="G144" s="33"/>
      <c r="J144" s="6"/>
      <c r="K144" s="6"/>
    </row>
    <row r="145" spans="1:11" s="11" customFormat="1" x14ac:dyDescent="0.2">
      <c r="A145" s="6"/>
      <c r="B145" s="6"/>
      <c r="C145" s="6"/>
      <c r="D145" s="6"/>
      <c r="E145" s="6"/>
      <c r="F145" s="8"/>
      <c r="G145" s="33"/>
      <c r="J145" s="6"/>
      <c r="K145" s="6"/>
    </row>
    <row r="146" spans="1:11" s="11" customFormat="1" x14ac:dyDescent="0.2">
      <c r="A146" s="6"/>
      <c r="B146" s="6"/>
      <c r="C146" s="6"/>
      <c r="D146" s="6"/>
      <c r="E146" s="6"/>
      <c r="F146" s="8"/>
      <c r="G146" s="33"/>
      <c r="J146" s="6"/>
      <c r="K146" s="6"/>
    </row>
    <row r="147" spans="1:11" s="11" customFormat="1" x14ac:dyDescent="0.2">
      <c r="A147" s="6"/>
      <c r="B147" s="6"/>
      <c r="C147" s="6"/>
      <c r="D147" s="6"/>
      <c r="E147" s="6"/>
      <c r="F147" s="8"/>
      <c r="G147" s="33"/>
      <c r="J147" s="6"/>
      <c r="K147" s="6"/>
    </row>
    <row r="148" spans="1:11" s="11" customFormat="1" x14ac:dyDescent="0.2">
      <c r="A148" s="6"/>
      <c r="B148" s="6"/>
      <c r="C148" s="6"/>
      <c r="D148" s="6"/>
      <c r="E148" s="6"/>
      <c r="F148" s="8"/>
      <c r="G148" s="33"/>
      <c r="J148" s="6"/>
      <c r="K148" s="6"/>
    </row>
    <row r="149" spans="1:11" s="11" customFormat="1" x14ac:dyDescent="0.2">
      <c r="A149" s="6"/>
      <c r="B149" s="6"/>
      <c r="C149" s="6"/>
      <c r="D149" s="6"/>
      <c r="E149" s="6"/>
      <c r="F149" s="8"/>
      <c r="G149" s="33"/>
      <c r="J149" s="6"/>
      <c r="K149" s="6"/>
    </row>
    <row r="150" spans="1:11" s="11" customFormat="1" x14ac:dyDescent="0.2">
      <c r="A150" s="6"/>
      <c r="B150" s="6"/>
      <c r="C150" s="6"/>
      <c r="D150" s="6"/>
      <c r="E150" s="6"/>
      <c r="F150" s="8"/>
      <c r="G150" s="33"/>
      <c r="J150" s="6"/>
      <c r="K150" s="6"/>
    </row>
    <row r="151" spans="1:11" s="11" customFormat="1" x14ac:dyDescent="0.2">
      <c r="A151" s="6"/>
      <c r="B151" s="6"/>
      <c r="C151" s="6"/>
      <c r="D151" s="6"/>
      <c r="E151" s="6"/>
      <c r="F151" s="8"/>
      <c r="G151" s="33"/>
      <c r="J151" s="6"/>
      <c r="K151" s="6"/>
    </row>
    <row r="152" spans="1:11" s="11" customFormat="1" x14ac:dyDescent="0.2">
      <c r="A152" s="6"/>
      <c r="B152" s="6"/>
      <c r="C152" s="6"/>
      <c r="D152" s="6"/>
      <c r="E152" s="6"/>
      <c r="F152" s="8"/>
      <c r="G152" s="33"/>
      <c r="J152" s="6"/>
      <c r="K152" s="6"/>
    </row>
    <row r="153" spans="1:11" s="11" customFormat="1" x14ac:dyDescent="0.2">
      <c r="A153" s="6"/>
      <c r="B153" s="6"/>
      <c r="C153" s="6"/>
      <c r="D153" s="6"/>
      <c r="E153" s="6"/>
      <c r="F153" s="8"/>
      <c r="G153" s="33"/>
      <c r="J153" s="6"/>
      <c r="K153" s="6"/>
    </row>
    <row r="154" spans="1:11" s="11" customFormat="1" x14ac:dyDescent="0.2">
      <c r="A154" s="6"/>
      <c r="B154" s="6"/>
      <c r="C154" s="6"/>
      <c r="D154" s="6"/>
      <c r="E154" s="6"/>
      <c r="F154" s="8"/>
      <c r="G154" s="33"/>
      <c r="J154" s="6"/>
      <c r="K154" s="6"/>
    </row>
    <row r="155" spans="1:11" s="11" customFormat="1" x14ac:dyDescent="0.2">
      <c r="A155" s="6"/>
      <c r="B155" s="6"/>
      <c r="C155" s="6"/>
      <c r="D155" s="6"/>
      <c r="E155" s="6"/>
      <c r="F155" s="8"/>
      <c r="G155" s="33"/>
      <c r="J155" s="6"/>
      <c r="K155" s="6"/>
    </row>
    <row r="156" spans="1:11" s="11" customFormat="1" x14ac:dyDescent="0.2">
      <c r="A156" s="6"/>
      <c r="B156" s="6"/>
      <c r="C156" s="6"/>
      <c r="D156" s="6"/>
      <c r="E156" s="6"/>
      <c r="F156" s="8"/>
      <c r="G156" s="33"/>
      <c r="J156" s="6"/>
      <c r="K156" s="6"/>
    </row>
    <row r="157" spans="1:11" s="11" customFormat="1" x14ac:dyDescent="0.2">
      <c r="A157" s="6"/>
      <c r="B157" s="6"/>
      <c r="C157" s="6"/>
      <c r="D157" s="6"/>
      <c r="E157" s="6"/>
      <c r="F157" s="8"/>
      <c r="G157" s="33"/>
      <c r="J157" s="6"/>
      <c r="K157" s="6"/>
    </row>
    <row r="158" spans="1:11" s="11" customFormat="1" x14ac:dyDescent="0.2">
      <c r="A158" s="6"/>
      <c r="B158" s="6"/>
      <c r="C158" s="6"/>
      <c r="D158" s="6"/>
      <c r="E158" s="6"/>
      <c r="F158" s="8"/>
      <c r="G158" s="33"/>
      <c r="J158" s="6"/>
      <c r="K158" s="6"/>
    </row>
    <row r="159" spans="1:11" s="11" customFormat="1" x14ac:dyDescent="0.2">
      <c r="A159" s="6"/>
      <c r="B159" s="6"/>
      <c r="C159" s="6"/>
      <c r="D159" s="6"/>
      <c r="E159" s="6"/>
      <c r="F159" s="8"/>
      <c r="G159" s="33"/>
      <c r="J159" s="6"/>
      <c r="K159" s="6"/>
    </row>
    <row r="160" spans="1:11" s="11" customFormat="1" x14ac:dyDescent="0.2">
      <c r="A160" s="6"/>
      <c r="B160" s="6"/>
      <c r="C160" s="6"/>
      <c r="D160" s="6"/>
      <c r="E160" s="6"/>
      <c r="F160" s="8"/>
      <c r="G160" s="33"/>
      <c r="J160" s="6"/>
      <c r="K160" s="6"/>
    </row>
    <row r="161" spans="1:11" s="11" customFormat="1" x14ac:dyDescent="0.2">
      <c r="A161" s="6"/>
      <c r="B161" s="6"/>
      <c r="C161" s="6"/>
      <c r="D161" s="6"/>
      <c r="E161" s="6"/>
      <c r="F161" s="8"/>
      <c r="G161" s="33"/>
      <c r="J161" s="6"/>
      <c r="K161" s="6"/>
    </row>
    <row r="162" spans="1:11" s="11" customFormat="1" x14ac:dyDescent="0.2">
      <c r="A162" s="6"/>
      <c r="B162" s="6"/>
      <c r="C162" s="6"/>
      <c r="D162" s="6"/>
      <c r="E162" s="6"/>
      <c r="F162" s="8"/>
      <c r="G162" s="33"/>
      <c r="J162" s="6"/>
      <c r="K162" s="6"/>
    </row>
    <row r="163" spans="1:11" s="11" customFormat="1" x14ac:dyDescent="0.2">
      <c r="A163" s="6"/>
      <c r="B163" s="6"/>
      <c r="C163" s="6"/>
      <c r="D163" s="6"/>
      <c r="E163" s="6"/>
      <c r="F163" s="8"/>
      <c r="G163" s="33"/>
      <c r="J163" s="6"/>
      <c r="K163" s="6"/>
    </row>
    <row r="164" spans="1:11" s="11" customFormat="1" x14ac:dyDescent="0.2">
      <c r="A164" s="6"/>
      <c r="B164" s="6"/>
      <c r="C164" s="6"/>
      <c r="D164" s="6"/>
      <c r="E164" s="6"/>
      <c r="F164" s="8"/>
      <c r="G164" s="33"/>
      <c r="J164" s="6"/>
      <c r="K164" s="6"/>
    </row>
    <row r="165" spans="1:11" s="11" customFormat="1" x14ac:dyDescent="0.2">
      <c r="A165" s="6"/>
      <c r="B165" s="6"/>
      <c r="C165" s="6"/>
      <c r="D165" s="6"/>
      <c r="E165" s="6"/>
      <c r="F165" s="8"/>
      <c r="G165" s="33"/>
      <c r="J165" s="6"/>
      <c r="K165" s="6"/>
    </row>
    <row r="166" spans="1:11" s="11" customFormat="1" x14ac:dyDescent="0.2">
      <c r="A166" s="6"/>
      <c r="B166" s="6"/>
      <c r="C166" s="6"/>
      <c r="D166" s="6"/>
      <c r="E166" s="6"/>
      <c r="F166" s="8"/>
      <c r="G166" s="33"/>
      <c r="J166" s="6"/>
      <c r="K166" s="6"/>
    </row>
    <row r="167" spans="1:11" s="11" customFormat="1" x14ac:dyDescent="0.2">
      <c r="A167" s="6"/>
      <c r="B167" s="6"/>
      <c r="C167" s="6"/>
      <c r="D167" s="6"/>
      <c r="E167" s="6"/>
      <c r="F167" s="8"/>
      <c r="G167" s="33"/>
      <c r="J167" s="6"/>
      <c r="K167" s="6"/>
    </row>
    <row r="168" spans="1:11" s="11" customFormat="1" x14ac:dyDescent="0.2">
      <c r="A168" s="6"/>
      <c r="B168" s="6"/>
      <c r="C168" s="6"/>
      <c r="D168" s="6"/>
      <c r="E168" s="6"/>
      <c r="F168" s="8"/>
      <c r="G168" s="33"/>
      <c r="J168" s="6"/>
      <c r="K168" s="6"/>
    </row>
    <row r="169" spans="1:11" s="11" customFormat="1" x14ac:dyDescent="0.2">
      <c r="A169" s="6"/>
      <c r="B169" s="6"/>
      <c r="C169" s="6"/>
      <c r="D169" s="6"/>
      <c r="E169" s="6"/>
      <c r="F169" s="8"/>
      <c r="G169" s="33"/>
      <c r="J169" s="6"/>
      <c r="K169" s="6"/>
    </row>
    <row r="170" spans="1:11" s="11" customFormat="1" x14ac:dyDescent="0.2">
      <c r="A170" s="6"/>
      <c r="B170" s="6"/>
      <c r="C170" s="6"/>
      <c r="D170" s="6"/>
      <c r="E170" s="6"/>
      <c r="F170" s="8"/>
      <c r="G170" s="33"/>
      <c r="J170" s="6"/>
      <c r="K170" s="6"/>
    </row>
    <row r="171" spans="1:11" s="11" customFormat="1" x14ac:dyDescent="0.2">
      <c r="A171" s="6"/>
      <c r="B171" s="6"/>
      <c r="C171" s="6"/>
      <c r="D171" s="6"/>
      <c r="E171" s="6"/>
      <c r="F171" s="8"/>
      <c r="G171" s="33"/>
      <c r="J171" s="6"/>
      <c r="K171" s="6"/>
    </row>
    <row r="172" spans="1:11" s="11" customFormat="1" x14ac:dyDescent="0.2">
      <c r="A172" s="6"/>
      <c r="B172" s="6"/>
      <c r="C172" s="6"/>
      <c r="D172" s="6"/>
      <c r="E172" s="6"/>
      <c r="F172" s="8"/>
      <c r="G172" s="33"/>
      <c r="J172" s="6"/>
      <c r="K172" s="6"/>
    </row>
    <row r="173" spans="1:11" s="11" customFormat="1" x14ac:dyDescent="0.2">
      <c r="A173" s="6"/>
      <c r="B173" s="6"/>
      <c r="C173" s="6"/>
      <c r="D173" s="6"/>
      <c r="E173" s="6"/>
      <c r="F173" s="8"/>
      <c r="G173" s="33"/>
      <c r="J173" s="6"/>
      <c r="K173" s="6"/>
    </row>
    <row r="174" spans="1:11" s="11" customFormat="1" x14ac:dyDescent="0.2">
      <c r="A174" s="6"/>
      <c r="B174" s="6"/>
      <c r="C174" s="6"/>
      <c r="D174" s="6"/>
      <c r="E174" s="6"/>
      <c r="F174" s="8"/>
      <c r="G174" s="33"/>
      <c r="J174" s="6"/>
      <c r="K174" s="6"/>
    </row>
    <row r="175" spans="1:11" s="11" customFormat="1" x14ac:dyDescent="0.2">
      <c r="A175" s="6"/>
      <c r="B175" s="6"/>
      <c r="C175" s="6"/>
      <c r="D175" s="6"/>
      <c r="E175" s="6"/>
      <c r="F175" s="8"/>
      <c r="G175" s="33"/>
      <c r="J175" s="6"/>
      <c r="K175" s="6"/>
    </row>
    <row r="176" spans="1:11" s="11" customFormat="1" x14ac:dyDescent="0.2">
      <c r="A176" s="6"/>
      <c r="B176" s="6"/>
      <c r="C176" s="6"/>
      <c r="D176" s="6"/>
      <c r="E176" s="6"/>
      <c r="F176" s="8"/>
      <c r="G176" s="33"/>
      <c r="J176" s="6"/>
      <c r="K176" s="6"/>
    </row>
    <row r="177" spans="1:11" s="11" customFormat="1" x14ac:dyDescent="0.2">
      <c r="A177" s="6"/>
      <c r="B177" s="6"/>
      <c r="C177" s="6"/>
      <c r="D177" s="6"/>
      <c r="E177" s="6"/>
      <c r="F177" s="8"/>
      <c r="G177" s="33"/>
      <c r="J177" s="6"/>
      <c r="K177" s="6"/>
    </row>
    <row r="178" spans="1:11" s="11" customFormat="1" x14ac:dyDescent="0.2">
      <c r="A178" s="6"/>
      <c r="B178" s="6"/>
      <c r="C178" s="6"/>
      <c r="D178" s="6"/>
      <c r="E178" s="6"/>
      <c r="F178" s="8"/>
      <c r="G178" s="33"/>
      <c r="J178" s="6"/>
      <c r="K178" s="6"/>
    </row>
    <row r="179" spans="1:11" s="11" customFormat="1" x14ac:dyDescent="0.2">
      <c r="A179" s="6"/>
      <c r="B179" s="6"/>
      <c r="C179" s="6"/>
      <c r="D179" s="6"/>
      <c r="E179" s="6"/>
      <c r="F179" s="8"/>
      <c r="G179" s="33"/>
      <c r="J179" s="6"/>
      <c r="K179" s="6"/>
    </row>
    <row r="180" spans="1:11" s="11" customFormat="1" x14ac:dyDescent="0.2">
      <c r="A180" s="6"/>
      <c r="B180" s="6"/>
      <c r="C180" s="6"/>
      <c r="D180" s="6"/>
      <c r="E180" s="6"/>
      <c r="F180" s="8"/>
      <c r="G180" s="33"/>
      <c r="J180" s="6"/>
      <c r="K180" s="6"/>
    </row>
    <row r="181" spans="1:11" s="11" customFormat="1" x14ac:dyDescent="0.2">
      <c r="A181" s="6"/>
      <c r="B181" s="6"/>
      <c r="C181" s="6"/>
      <c r="D181" s="6"/>
      <c r="E181" s="6"/>
      <c r="F181" s="8"/>
      <c r="G181" s="33"/>
      <c r="J181" s="6"/>
      <c r="K181" s="6"/>
    </row>
    <row r="182" spans="1:11" s="11" customFormat="1" x14ac:dyDescent="0.2">
      <c r="A182" s="6"/>
      <c r="B182" s="6"/>
      <c r="C182" s="6"/>
      <c r="D182" s="6"/>
      <c r="E182" s="6"/>
      <c r="F182" s="8"/>
      <c r="G182" s="33"/>
      <c r="J182" s="6"/>
      <c r="K182" s="6"/>
    </row>
    <row r="183" spans="1:11" s="11" customFormat="1" x14ac:dyDescent="0.2">
      <c r="A183" s="6"/>
      <c r="B183" s="6"/>
      <c r="C183" s="6"/>
      <c r="D183" s="6"/>
      <c r="E183" s="6"/>
      <c r="F183" s="8"/>
      <c r="G183" s="33"/>
      <c r="J183" s="6"/>
      <c r="K183" s="6"/>
    </row>
    <row r="184" spans="1:11" s="11" customFormat="1" x14ac:dyDescent="0.2">
      <c r="A184" s="6"/>
      <c r="B184" s="6"/>
      <c r="C184" s="6"/>
      <c r="D184" s="6"/>
      <c r="E184" s="6"/>
      <c r="F184" s="8"/>
      <c r="G184" s="33"/>
      <c r="J184" s="6"/>
      <c r="K184" s="6"/>
    </row>
    <row r="185" spans="1:11" s="11" customFormat="1" x14ac:dyDescent="0.2">
      <c r="A185" s="6"/>
      <c r="B185" s="6"/>
      <c r="C185" s="6"/>
      <c r="D185" s="6"/>
      <c r="E185" s="6"/>
      <c r="F185" s="8"/>
      <c r="G185" s="33"/>
      <c r="J185" s="6"/>
      <c r="K185" s="6"/>
    </row>
    <row r="186" spans="1:11" s="11" customFormat="1" x14ac:dyDescent="0.2">
      <c r="A186" s="6"/>
      <c r="B186" s="6"/>
      <c r="C186" s="6"/>
      <c r="D186" s="6"/>
      <c r="E186" s="6"/>
      <c r="F186" s="8"/>
      <c r="G186" s="33"/>
      <c r="J186" s="6"/>
      <c r="K186" s="6"/>
    </row>
    <row r="187" spans="1:11" s="11" customFormat="1" x14ac:dyDescent="0.2">
      <c r="A187" s="6"/>
      <c r="B187" s="6"/>
      <c r="C187" s="6"/>
      <c r="D187" s="6"/>
      <c r="E187" s="6"/>
      <c r="F187" s="8"/>
      <c r="G187" s="33"/>
      <c r="J187" s="6"/>
      <c r="K187" s="6"/>
    </row>
    <row r="188" spans="1:11" s="11" customFormat="1" x14ac:dyDescent="0.2">
      <c r="A188" s="6"/>
      <c r="B188" s="6"/>
      <c r="C188" s="6"/>
      <c r="D188" s="6"/>
      <c r="E188" s="6"/>
      <c r="F188" s="8"/>
      <c r="G188" s="33"/>
      <c r="J188" s="6"/>
      <c r="K188" s="6"/>
    </row>
    <row r="189" spans="1:11" s="11" customFormat="1" x14ac:dyDescent="0.2">
      <c r="A189" s="6"/>
      <c r="B189" s="6"/>
      <c r="C189" s="6"/>
      <c r="D189" s="6"/>
      <c r="E189" s="6"/>
      <c r="F189" s="8"/>
      <c r="G189" s="33"/>
      <c r="J189" s="6"/>
      <c r="K189" s="6"/>
    </row>
    <row r="190" spans="1:11" s="11" customFormat="1" x14ac:dyDescent="0.2">
      <c r="A190" s="6"/>
      <c r="B190" s="6"/>
      <c r="C190" s="6"/>
      <c r="D190" s="6"/>
      <c r="E190" s="6"/>
      <c r="F190" s="8"/>
      <c r="G190" s="33"/>
      <c r="J190" s="6"/>
      <c r="K190" s="6"/>
    </row>
    <row r="191" spans="1:11" s="11" customFormat="1" x14ac:dyDescent="0.2">
      <c r="A191" s="6"/>
      <c r="B191" s="6"/>
      <c r="C191" s="6"/>
      <c r="D191" s="6"/>
      <c r="E191" s="6"/>
      <c r="F191" s="8"/>
      <c r="G191" s="33"/>
      <c r="J191" s="6"/>
      <c r="K191" s="6"/>
    </row>
    <row r="192" spans="1:11" s="11" customFormat="1" x14ac:dyDescent="0.2">
      <c r="A192" s="6"/>
      <c r="B192" s="6"/>
      <c r="C192" s="6"/>
      <c r="D192" s="6"/>
      <c r="E192" s="6"/>
      <c r="F192" s="8"/>
      <c r="G192" s="33"/>
      <c r="J192" s="6"/>
      <c r="K192" s="6"/>
    </row>
    <row r="193" spans="1:11" s="11" customFormat="1" x14ac:dyDescent="0.2">
      <c r="A193" s="6"/>
      <c r="B193" s="6"/>
      <c r="C193" s="6"/>
      <c r="D193" s="6"/>
      <c r="E193" s="6"/>
      <c r="F193" s="8"/>
      <c r="G193" s="33"/>
      <c r="J193" s="6"/>
      <c r="K193" s="6"/>
    </row>
    <row r="194" spans="1:11" s="11" customFormat="1" x14ac:dyDescent="0.2">
      <c r="A194" s="6"/>
      <c r="B194" s="6"/>
      <c r="C194" s="6"/>
      <c r="D194" s="6"/>
      <c r="E194" s="6"/>
      <c r="F194" s="8"/>
      <c r="G194" s="33"/>
      <c r="J194" s="6"/>
      <c r="K194" s="6"/>
    </row>
    <row r="195" spans="1:11" s="11" customFormat="1" x14ac:dyDescent="0.2">
      <c r="A195" s="6"/>
      <c r="B195" s="6"/>
      <c r="C195" s="6"/>
      <c r="D195" s="6"/>
      <c r="E195" s="6"/>
      <c r="F195" s="8"/>
      <c r="G195" s="33"/>
      <c r="J195" s="6"/>
      <c r="K195" s="6"/>
    </row>
    <row r="196" spans="1:11" s="11" customFormat="1" x14ac:dyDescent="0.2">
      <c r="A196" s="6"/>
      <c r="B196" s="6"/>
      <c r="C196" s="6"/>
      <c r="D196" s="6"/>
      <c r="E196" s="6"/>
      <c r="F196" s="8"/>
      <c r="G196" s="33"/>
      <c r="J196" s="6"/>
      <c r="K196" s="6"/>
    </row>
    <row r="197" spans="1:11" s="11" customFormat="1" x14ac:dyDescent="0.2">
      <c r="A197" s="6"/>
      <c r="B197" s="6"/>
      <c r="C197" s="6"/>
      <c r="D197" s="6"/>
      <c r="E197" s="6"/>
      <c r="F197" s="8"/>
      <c r="G197" s="33"/>
      <c r="J197" s="6"/>
      <c r="K197" s="6"/>
    </row>
    <row r="198" spans="1:11" s="11" customFormat="1" x14ac:dyDescent="0.2">
      <c r="A198" s="6"/>
      <c r="B198" s="6"/>
      <c r="C198" s="6"/>
      <c r="D198" s="6"/>
      <c r="E198" s="6"/>
      <c r="F198" s="8"/>
      <c r="G198" s="33"/>
      <c r="J198" s="6"/>
      <c r="K198" s="6"/>
    </row>
    <row r="199" spans="1:11" s="11" customFormat="1" x14ac:dyDescent="0.2">
      <c r="A199" s="6"/>
      <c r="B199" s="6"/>
      <c r="C199" s="6"/>
      <c r="D199" s="6"/>
      <c r="E199" s="6"/>
      <c r="F199" s="8"/>
      <c r="G199" s="33"/>
      <c r="J199" s="6"/>
      <c r="K199" s="6"/>
    </row>
    <row r="200" spans="1:11" s="11" customFormat="1" x14ac:dyDescent="0.2">
      <c r="A200" s="6"/>
      <c r="B200" s="6"/>
      <c r="C200" s="6"/>
      <c r="D200" s="6"/>
      <c r="E200" s="6"/>
      <c r="F200" s="8"/>
      <c r="G200" s="33"/>
      <c r="J200" s="6"/>
      <c r="K200" s="6"/>
    </row>
    <row r="201" spans="1:11" s="11" customFormat="1" x14ac:dyDescent="0.2">
      <c r="A201" s="6"/>
      <c r="B201" s="6"/>
      <c r="C201" s="6"/>
      <c r="D201" s="6"/>
      <c r="E201" s="6"/>
      <c r="F201" s="8"/>
      <c r="G201" s="33"/>
      <c r="J201" s="6"/>
      <c r="K201" s="6"/>
    </row>
    <row r="202" spans="1:11" s="11" customFormat="1" x14ac:dyDescent="0.2">
      <c r="A202" s="6"/>
      <c r="B202" s="6"/>
      <c r="C202" s="6"/>
      <c r="D202" s="6"/>
      <c r="E202" s="6"/>
      <c r="F202" s="8"/>
      <c r="G202" s="33"/>
      <c r="J202" s="6"/>
      <c r="K202" s="6"/>
    </row>
    <row r="203" spans="1:11" s="11" customFormat="1" x14ac:dyDescent="0.2">
      <c r="A203" s="6"/>
      <c r="B203" s="6"/>
      <c r="C203" s="6"/>
      <c r="D203" s="6"/>
      <c r="E203" s="6"/>
      <c r="F203" s="8"/>
      <c r="G203" s="33"/>
      <c r="J203" s="6"/>
      <c r="K203" s="6"/>
    </row>
    <row r="204" spans="1:11" s="11" customFormat="1" x14ac:dyDescent="0.2">
      <c r="A204" s="6"/>
      <c r="B204" s="6"/>
      <c r="C204" s="6"/>
      <c r="D204" s="6"/>
      <c r="E204" s="6"/>
      <c r="F204" s="8"/>
      <c r="G204" s="33"/>
      <c r="J204" s="6"/>
      <c r="K204" s="6"/>
    </row>
    <row r="205" spans="1:11" s="11" customFormat="1" x14ac:dyDescent="0.2">
      <c r="A205" s="6"/>
      <c r="B205" s="6"/>
      <c r="C205" s="6"/>
      <c r="D205" s="6"/>
      <c r="E205" s="6"/>
      <c r="F205" s="8"/>
      <c r="G205" s="33"/>
      <c r="J205" s="6"/>
      <c r="K205" s="6"/>
    </row>
    <row r="206" spans="1:11" s="11" customFormat="1" x14ac:dyDescent="0.2">
      <c r="A206" s="6"/>
      <c r="B206" s="6"/>
      <c r="C206" s="6"/>
      <c r="D206" s="6"/>
      <c r="E206" s="6"/>
      <c r="F206" s="8"/>
      <c r="G206" s="33"/>
      <c r="J206" s="6"/>
      <c r="K206" s="6"/>
    </row>
    <row r="207" spans="1:11" s="11" customFormat="1" x14ac:dyDescent="0.2">
      <c r="A207" s="6"/>
      <c r="B207" s="6"/>
      <c r="C207" s="6"/>
      <c r="D207" s="6"/>
      <c r="E207" s="6"/>
      <c r="F207" s="8"/>
      <c r="G207" s="33"/>
      <c r="J207" s="6"/>
      <c r="K207" s="6"/>
    </row>
    <row r="208" spans="1:11" s="11" customFormat="1" x14ac:dyDescent="0.2">
      <c r="A208" s="6"/>
      <c r="B208" s="6"/>
      <c r="C208" s="6"/>
      <c r="D208" s="6"/>
      <c r="E208" s="6"/>
      <c r="F208" s="8"/>
      <c r="G208" s="33"/>
      <c r="J208" s="6"/>
      <c r="K208" s="6"/>
    </row>
    <row r="209" spans="1:11" s="11" customFormat="1" x14ac:dyDescent="0.2">
      <c r="A209" s="6"/>
      <c r="B209" s="6"/>
      <c r="C209" s="6"/>
      <c r="D209" s="6"/>
      <c r="E209" s="6"/>
      <c r="F209" s="8"/>
      <c r="G209" s="33"/>
      <c r="J209" s="6"/>
      <c r="K209" s="6"/>
    </row>
    <row r="210" spans="1:11" s="11" customFormat="1" x14ac:dyDescent="0.2">
      <c r="A210" s="6"/>
      <c r="B210" s="6"/>
      <c r="C210" s="6"/>
      <c r="D210" s="6"/>
      <c r="E210" s="6"/>
      <c r="F210" s="8"/>
      <c r="G210" s="33"/>
      <c r="J210" s="6"/>
      <c r="K210" s="6"/>
    </row>
    <row r="211" spans="1:11" s="11" customFormat="1" x14ac:dyDescent="0.2">
      <c r="A211" s="6"/>
      <c r="B211" s="6"/>
      <c r="C211" s="6"/>
      <c r="D211" s="6"/>
      <c r="E211" s="6"/>
      <c r="F211" s="8"/>
      <c r="G211" s="33"/>
      <c r="J211" s="6"/>
      <c r="K211" s="6"/>
    </row>
    <row r="212" spans="1:11" s="11" customFormat="1" x14ac:dyDescent="0.2">
      <c r="A212" s="6"/>
      <c r="B212" s="6"/>
      <c r="C212" s="6"/>
      <c r="D212" s="6"/>
      <c r="E212" s="6"/>
      <c r="F212" s="8"/>
      <c r="G212" s="33"/>
      <c r="J212" s="6"/>
      <c r="K212" s="6"/>
    </row>
    <row r="213" spans="1:11" s="11" customFormat="1" x14ac:dyDescent="0.2">
      <c r="A213" s="6"/>
      <c r="B213" s="6"/>
      <c r="C213" s="6"/>
      <c r="D213" s="6"/>
      <c r="E213" s="6"/>
      <c r="F213" s="8"/>
      <c r="G213" s="33"/>
      <c r="J213" s="6"/>
      <c r="K213" s="6"/>
    </row>
    <row r="214" spans="1:11" s="11" customFormat="1" x14ac:dyDescent="0.2">
      <c r="A214" s="6"/>
      <c r="B214" s="6"/>
      <c r="C214" s="6"/>
      <c r="D214" s="6"/>
      <c r="E214" s="6"/>
      <c r="F214" s="8"/>
      <c r="G214" s="33"/>
      <c r="J214" s="6"/>
      <c r="K214" s="6"/>
    </row>
    <row r="215" spans="1:11" s="11" customFormat="1" x14ac:dyDescent="0.2">
      <c r="A215" s="6"/>
      <c r="B215" s="6"/>
      <c r="C215" s="6"/>
      <c r="D215" s="6"/>
      <c r="E215" s="6"/>
      <c r="F215" s="8"/>
      <c r="G215" s="33"/>
      <c r="J215" s="6"/>
      <c r="K215" s="6"/>
    </row>
    <row r="216" spans="1:11" s="11" customFormat="1" x14ac:dyDescent="0.2">
      <c r="A216" s="6"/>
      <c r="B216" s="6"/>
      <c r="C216" s="6"/>
      <c r="D216" s="6"/>
      <c r="E216" s="6"/>
      <c r="F216" s="8"/>
      <c r="G216" s="33"/>
      <c r="J216" s="6"/>
      <c r="K216" s="6"/>
    </row>
    <row r="217" spans="1:11" s="11" customFormat="1" x14ac:dyDescent="0.2">
      <c r="A217" s="6"/>
      <c r="B217" s="6"/>
      <c r="C217" s="6"/>
      <c r="D217" s="6"/>
      <c r="E217" s="6"/>
      <c r="F217" s="8"/>
      <c r="G217" s="33"/>
      <c r="J217" s="6"/>
      <c r="K217" s="6"/>
    </row>
    <row r="218" spans="1:11" s="11" customFormat="1" x14ac:dyDescent="0.2">
      <c r="A218" s="6"/>
      <c r="B218" s="6"/>
      <c r="C218" s="6"/>
      <c r="D218" s="6"/>
      <c r="E218" s="6"/>
      <c r="F218" s="8"/>
      <c r="G218" s="33"/>
      <c r="J218" s="6"/>
      <c r="K218" s="6"/>
    </row>
    <row r="219" spans="1:11" s="11" customFormat="1" x14ac:dyDescent="0.2">
      <c r="A219" s="6"/>
      <c r="B219" s="6"/>
      <c r="C219" s="6"/>
      <c r="D219" s="6"/>
      <c r="E219" s="6"/>
      <c r="F219" s="8"/>
      <c r="G219" s="33"/>
      <c r="J219" s="6"/>
      <c r="K219" s="6"/>
    </row>
    <row r="220" spans="1:11" s="11" customFormat="1" x14ac:dyDescent="0.2">
      <c r="A220" s="6"/>
      <c r="B220" s="6"/>
      <c r="C220" s="6"/>
      <c r="D220" s="6"/>
      <c r="E220" s="6"/>
      <c r="F220" s="8"/>
      <c r="G220" s="33"/>
      <c r="J220" s="6"/>
      <c r="K220" s="6"/>
    </row>
    <row r="221" spans="1:11" s="11" customFormat="1" x14ac:dyDescent="0.2">
      <c r="A221" s="6"/>
      <c r="B221" s="6"/>
      <c r="C221" s="6"/>
      <c r="D221" s="6"/>
      <c r="E221" s="6"/>
      <c r="F221" s="8"/>
      <c r="G221" s="33"/>
      <c r="J221" s="6"/>
      <c r="K221" s="6"/>
    </row>
    <row r="222" spans="1:11" s="11" customFormat="1" x14ac:dyDescent="0.2">
      <c r="A222" s="6"/>
      <c r="B222" s="6"/>
      <c r="C222" s="6"/>
      <c r="D222" s="6"/>
      <c r="E222" s="6"/>
      <c r="F222" s="8"/>
      <c r="G222" s="33"/>
      <c r="J222" s="6"/>
      <c r="K222" s="6"/>
    </row>
  </sheetData>
  <mergeCells count="2">
    <mergeCell ref="B1:C1"/>
    <mergeCell ref="B58:I58"/>
  </mergeCells>
  <conditionalFormatting sqref="G1:G3 G5:G57 G59:G120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5" min="1" max="8" man="1"/>
  </rowBreaks>
  <colBreaks count="1" manualBreakCount="1">
    <brk id="9" max="2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JBMMF</vt:lpstr>
      <vt:lpstr>JBMMF!Print_Area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2026-01-06T14:16:30Z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2026-01-05T10:44:00Z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b4ccb590-cac6-471e-83f7-f42418f1d7e6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