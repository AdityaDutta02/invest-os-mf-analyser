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24226"/>
  <xr:revisionPtr revIDLastSave="0" documentId="13_ncr:1_{A09F31A2-C3BA-4730-81F1-FE51CE40D391}" xr6:coauthVersionLast="47" xr6:coauthVersionMax="47" xr10:uidLastSave="{00000000-0000-0000-0000-000000000000}"/>
  <bookViews>
    <workbookView xWindow="-120" yWindow="-120" windowWidth="51840" windowHeight="21120" xr2:uid="{7291B499-DD8C-4F12-BA28-9EE7F24AB421}"/>
  </bookViews>
  <sheets>
    <sheet name="JBARB" sheetId="12" r:id="rId1"/>
  </sheets>
  <definedNames>
    <definedName name="_xlnm.Print_Area" localSheetId="0">JBARB!$B$1:$H$170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2" l="1"/>
  <c r="G128" i="12"/>
  <c r="F128" i="12"/>
  <c r="G62" i="12"/>
  <c r="F62" i="12"/>
  <c r="G57" i="12"/>
  <c r="F57" i="12"/>
  <c r="G54" i="12"/>
  <c r="F54" i="12"/>
  <c r="G48" i="12"/>
  <c r="F48" i="12"/>
  <c r="F51" i="12" l="1"/>
  <c r="F66" i="12"/>
  <c r="G51" i="12"/>
  <c r="G66" i="12"/>
  <c r="F58" i="12"/>
  <c r="G58" i="12"/>
</calcChain>
</file>

<file path=xl/sharedStrings.xml><?xml version="1.0" encoding="utf-8"?>
<sst xmlns="http://schemas.openxmlformats.org/spreadsheetml/2006/main" count="341" uniqueCount="202">
  <si>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</si>
  <si>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</si>
  <si>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</si>
  <si>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</si>
  <si>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</si>
  <si>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</si>
  <si>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</si>
  <si>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Arbitrage Fund</t>
  </si>
  <si>
    <t>Money Market Instruments</t>
  </si>
  <si>
    <t>Certificate of Deposit</t>
  </si>
  <si>
    <t>CARE A1+</t>
  </si>
  <si>
    <t>HDFC Bank Ltd (24-Mar-2026)</t>
  </si>
  <si>
    <t>INE040A16GS5</t>
  </si>
  <si>
    <t>CRISIL A1+</t>
  </si>
  <si>
    <t>Sub Total</t>
  </si>
  <si>
    <t>Commercial Paper</t>
  </si>
  <si>
    <t>Small Industries Development Bank Of India (20-Mar-2026) **</t>
  </si>
  <si>
    <t>INE556F14LX4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</si>
  <si>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</si>
  <si>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</si>
  <si>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</si>
  <si>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</si>
  <si>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</si>
  <si>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</si>
  <si>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</si>
  <si>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</si>
  <si>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</si>
  <si>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</si>
  <si>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</si>
  <si>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</si>
  <si>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</si>
  <si>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</si>
  <si>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</si>
  <si>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</si>
  <si>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</si>
  <si>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</si>
  <si>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</si>
  <si>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</si>
  <si>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</si>
  <si>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</si>
  <si>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</si>
  <si>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</si>
  <si>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ITC Ltd</t>
  </si>
  <si>
    <t>INE154A01025</t>
  </si>
  <si>
    <t>Axis Bank Ltd</t>
  </si>
  <si>
    <t>INE238A01034</t>
  </si>
  <si>
    <t>Mahindra &amp; Mahindra Ltd</t>
  </si>
  <si>
    <t>INE101A01026</t>
  </si>
  <si>
    <t>Automobiles</t>
  </si>
  <si>
    <t>Kotak Mahindra Bank Ltd</t>
  </si>
  <si>
    <t>INE237A01028</t>
  </si>
  <si>
    <t>Bajaj Finance Ltd</t>
  </si>
  <si>
    <t>INE296A01032</t>
  </si>
  <si>
    <t>Finance</t>
  </si>
  <si>
    <t>Hindustan Unilever Ltd</t>
  </si>
  <si>
    <t>INE030A01027</t>
  </si>
  <si>
    <t>Retailing</t>
  </si>
  <si>
    <t>Sun Pharmaceutical Industries Ltd</t>
  </si>
  <si>
    <t>INE044A01036</t>
  </si>
  <si>
    <t>Pharmaceuticals &amp; Biotechnology</t>
  </si>
  <si>
    <t>Consumer Durables</t>
  </si>
  <si>
    <t>Power</t>
  </si>
  <si>
    <t>Ferrous Metals</t>
  </si>
  <si>
    <t>Ultratech Cement Ltd</t>
  </si>
  <si>
    <t>INE481G01011</t>
  </si>
  <si>
    <t>Cement &amp; Cement Products</t>
  </si>
  <si>
    <t>Hindalco Industries Ltd</t>
  </si>
  <si>
    <t>INE038A01020</t>
  </si>
  <si>
    <t>Non - Ferrous Metals</t>
  </si>
  <si>
    <t>Bajaj Finserv Ltd</t>
  </si>
  <si>
    <t>INE918I01026</t>
  </si>
  <si>
    <t>Interglobe Aviation Ltd</t>
  </si>
  <si>
    <t>INE646L01027</t>
  </si>
  <si>
    <t>Transport Services</t>
  </si>
  <si>
    <t>JSW Steel Ltd</t>
  </si>
  <si>
    <t>INE019A01038</t>
  </si>
  <si>
    <t>Grasim Industries Ltd</t>
  </si>
  <si>
    <t>INE047A01021</t>
  </si>
  <si>
    <t>Eicher Motors Ltd</t>
  </si>
  <si>
    <t>INE066A01021</t>
  </si>
  <si>
    <t>Trent Ltd</t>
  </si>
  <si>
    <t>INE849A01020</t>
  </si>
  <si>
    <t>Oil &amp; Natural Gas Corporation Ltd</t>
  </si>
  <si>
    <t>INE213A01029</t>
  </si>
  <si>
    <t>Oil</t>
  </si>
  <si>
    <t>Max Healthcare Institute Ltd</t>
  </si>
  <si>
    <t>INE027H01010</t>
  </si>
  <si>
    <t>Healthcare Services</t>
  </si>
  <si>
    <t>Tata Motors Passenger Vehicles Ltd</t>
  </si>
  <si>
    <t>INE155A01022</t>
  </si>
  <si>
    <t xml:space="preserve">(b) Unlisted </t>
  </si>
  <si>
    <t>NIL</t>
  </si>
  <si>
    <t>Industry Classification</t>
  </si>
  <si>
    <t>Tata Power Co Ltd</t>
  </si>
  <si>
    <t>INE245A01021</t>
  </si>
  <si>
    <t>Bank of Baroda</t>
  </si>
  <si>
    <t>INE028A01039</t>
  </si>
  <si>
    <t>Power Finance Corporation Ltd</t>
  </si>
  <si>
    <t>INE134E01011</t>
  </si>
  <si>
    <t>GAIL (India) Ltd</t>
  </si>
  <si>
    <t>INE129A01019</t>
  </si>
  <si>
    <t>Gas</t>
  </si>
  <si>
    <t>DLF Ltd</t>
  </si>
  <si>
    <t>INE271C01023</t>
  </si>
  <si>
    <t>Realty</t>
  </si>
  <si>
    <t>Punjab National Bank</t>
  </si>
  <si>
    <t>INE160A01022</t>
  </si>
  <si>
    <t>** Non- Traded Security</t>
  </si>
  <si>
    <t>Capital Markets</t>
  </si>
  <si>
    <t>Industrial Products</t>
  </si>
  <si>
    <t>IndusInd Bank Ltd</t>
  </si>
  <si>
    <t>INE095A01012</t>
  </si>
  <si>
    <t>HDFC Asset Management Co Ltd</t>
  </si>
  <si>
    <t>INE127D01025</t>
  </si>
  <si>
    <t>Polycab India Ltd</t>
  </si>
  <si>
    <t>INE455K01017</t>
  </si>
  <si>
    <t>Yes Bank Ltd</t>
  </si>
  <si>
    <t>INE528G01035</t>
  </si>
  <si>
    <t>APL Apollo Tubes Ltd</t>
  </si>
  <si>
    <t>INE702C01027</t>
  </si>
  <si>
    <t>Vodafone Idea Ltd</t>
  </si>
  <si>
    <t>INE669E01016</t>
  </si>
  <si>
    <t>Aditya Birla Capital Ltd</t>
  </si>
  <si>
    <t>INE674K01013</t>
  </si>
  <si>
    <t>LIC Housing Finance Ltd</t>
  </si>
  <si>
    <t>INE115A01026</t>
  </si>
  <si>
    <t>Multi Commodity Exchange Of India Ltd</t>
  </si>
  <si>
    <t>INE745G01035</t>
  </si>
  <si>
    <t>Laurus Labs Ltd</t>
  </si>
  <si>
    <t>INE947Q01028</t>
  </si>
  <si>
    <t>Crompton Greaves Consumer Electricals Ltd</t>
  </si>
  <si>
    <t>INE299U01018</t>
  </si>
  <si>
    <t>Derivatives</t>
  </si>
  <si>
    <t>Long / Short</t>
  </si>
  <si>
    <t>Market/Fair Value (Rs. in Lakhs)</t>
  </si>
  <si>
    <t xml:space="preserve">% to Net Assets </t>
  </si>
  <si>
    <t>HINDALCO INDUSTRIES LTD FUT 24-FEB-26</t>
  </si>
  <si>
    <t>INFOSYS LTD FUT 27-JAN-26</t>
  </si>
  <si>
    <t>GAIL INDIA LTD FUT 24-FEB-26</t>
  </si>
  <si>
    <t>PUNJAB NATIONAL BANK FUT 27-JAN-26</t>
  </si>
  <si>
    <t>BAJAJ FINSERV LTD FUT 24-FEB-26</t>
  </si>
  <si>
    <t>INDUSIND BANK LTD FUT 24-FEB-26</t>
  </si>
  <si>
    <t>ULTRA TECH CEMENT LTD FUT 24-FEB-26</t>
  </si>
  <si>
    <t>CROMPT GREA CON ELEC LTD FUT 24-FEB-26</t>
  </si>
  <si>
    <t>HINDUSTAN UNILEVER LTD FUT 24-FEB-26</t>
  </si>
  <si>
    <t>GRASIM INDUSTRIES LTD FUT 27-JAN-26</t>
  </si>
  <si>
    <t>PUNJAB NATIONAL BANK FUT 24-FEB-26</t>
  </si>
  <si>
    <t>STATE BANK OF INDIA FUT 27-JAN-26</t>
  </si>
  <si>
    <t>BAJAJ FINANCE LTD FUT 24-FEB-26</t>
  </si>
  <si>
    <t>M&amp;M LTD FUT 24-FEB-26</t>
  </si>
  <si>
    <t>EICHER MOTORS LTD FUT 24-FEB-26</t>
  </si>
  <si>
    <t>AXIS BANK LTD FUT 24-FEB-26</t>
  </si>
  <si>
    <t>ADITYA BIRLA CAPITAL LTD FUT 24-FEB-26</t>
  </si>
  <si>
    <t>INTERGLOBE AVIATION LTD FUT 27-JAN-26</t>
  </si>
  <si>
    <t>SUN PHARMA IND LTD FUT 27-JAN-26</t>
  </si>
  <si>
    <t>APL APOLLO TUBES LTD FUT 24-FEB-26</t>
  </si>
  <si>
    <t>BANK OF BARODA FUT 24-FEB-26</t>
  </si>
  <si>
    <t>VODAFONE IDEA LTD FUT 24-FEB-26</t>
  </si>
  <si>
    <t>DLF LTD FUT 24-FEB-26</t>
  </si>
  <si>
    <t>INDUSIND BANK LTD FUT 27-JAN-26</t>
  </si>
  <si>
    <t>TATA POWER CO LTD FUT 27-JAN-26</t>
  </si>
  <si>
    <t>JSW STEEL LTD FUT 24-FEB-26</t>
  </si>
  <si>
    <t>JSW STEEL LTD FUT 27-JAN-26</t>
  </si>
  <si>
    <t>HDFC AMC LTD FUT 27-JAN-26</t>
  </si>
  <si>
    <t>ULTRA TECH CEMENT LTD FUT 27-JAN-26</t>
  </si>
  <si>
    <t>LAURUS LABS LTD FUT 24-FEB-26</t>
  </si>
  <si>
    <t>BANK OF BARODA FUT 27-JAN-26</t>
  </si>
  <si>
    <t>BAJAJ FINANCE LTD FUT 27-JAN-26</t>
  </si>
  <si>
    <t>VODAFONE IDEA LTD FUT 27-JAN-26</t>
  </si>
  <si>
    <t>ONGC LTD FUT 27-JAN-26</t>
  </si>
  <si>
    <t>TRENT LTD FUT 27-JAN-26</t>
  </si>
  <si>
    <t>TATA POWER CO LTD FUT 24-FEB-26</t>
  </si>
  <si>
    <t>LARSEN AND TOUBRO LTD FUT 24-FEB-26</t>
  </si>
  <si>
    <t>LIC HOUSING FIN LTD FUT 27-JAN-26</t>
  </si>
  <si>
    <t>POLYCAB INDIA LTD FUT 27-JAN-26</t>
  </si>
  <si>
    <t>PFC LTD FUT 27-JAN-26</t>
  </si>
  <si>
    <t>YES BANK LTD FUT 24-FEB-26</t>
  </si>
  <si>
    <t>INTERGLOBE AVIATION LTD FUT 24-FEB-26</t>
  </si>
  <si>
    <t>ICICI BANK LTD FUT 24-FEB-26</t>
  </si>
  <si>
    <t>LARSEN AND TOUBRO LTD FUT 27-JAN-26</t>
  </si>
  <si>
    <t>MAX HEALTHCARE INSTITUTE FUT 27-JAN-26</t>
  </si>
  <si>
    <t>KOTAK BANK LTD FUT 24-FEB-26</t>
  </si>
  <si>
    <t>KOTAK BANK LTD FUT 27-JAN-26</t>
  </si>
  <si>
    <t>STATE BANK OF INDIA FUT 24-FEB-26</t>
  </si>
  <si>
    <t>HDFC BANK LTD FUT 24-FEB-26</t>
  </si>
  <si>
    <t>RELIANCE INDUSTRIES LTD FUT 27-JAN-26</t>
  </si>
  <si>
    <t>AXIS BANK LTD FUT 27-JAN-26</t>
  </si>
  <si>
    <t>ITC LTD FUT 27-JAN-26</t>
  </si>
  <si>
    <t>TATA MOTORS PASS VEHICLES FUT 24-FEB-26</t>
  </si>
  <si>
    <t>ICICI BANK LTD FUT 27-JAN-26</t>
  </si>
  <si>
    <t>HDFC BANK LTD FUT 27-JAN-26</t>
  </si>
  <si>
    <t>MULTI COMMODITY EXCHANGE OF IND27-JAN-26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</si>
  <si>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</si>
  <si>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</si>
  <si>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</si>
  <si>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</si>
  <si>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</si>
  <si>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Short</t>
  </si>
  <si>
    <t>Industry Classification / Rating</t>
  </si>
  <si>
    <t>Benchmark Risk-O-Meter</t>
  </si>
  <si>
    <t>Diversified FMCG</t>
  </si>
  <si>
    <t>Benchmark Name - Nifty 50 Arbitrage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</si>
</sst>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%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56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" fontId="6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65" fontId="6" fillId="2" borderId="3" xfId="0" applyNumberFormat="1" applyFont="1" applyFill="1" applyBorder="1"/>
    <xf numFmtId="0" fontId="5" fillId="2" borderId="7" xfId="0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4" xfId="0" applyFont="1" applyFill="1" applyBorder="1"/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10" fillId="2" borderId="2" xfId="0" applyFont="1" applyFill="1" applyBorder="1" applyAlignment="1">
      <alignment vertical="center"/>
    </xf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0" fontId="5" fillId="0" borderId="2" xfId="0" applyFont="1" applyBorder="1" applyAlignment="1">
      <alignment horizontal="center" vertical="center" wrapText="1"/>
    </xf>
    <xf numFmtId="39" fontId="5" fillId="2" borderId="1" xfId="0" applyNumberFormat="1" applyFont="1" applyFill="1" applyBorder="1" applyAlignment="1">
      <alignment horizontal="center" wrapText="1"/>
    </xf>
    <xf numFmtId="39" fontId="5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6" fillId="2" borderId="1" xfId="2" applyFont="1" applyFill="1" applyBorder="1"/>
    <xf numFmtId="0" fontId="5" fillId="3" borderId="0" xfId="0" applyFont="1" applyFill="1"/>
    <xf numFmtId="0" fontId="5" fillId="3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3">
    <cellStyle name="Comma" xfId="2" builtinId="3"/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132</xdr:row>
      <xdr:rowOff>47625</xdr:rowOff>
    </xdr:from>
    <xdr:to>
      <xdr:col>3</xdr:col>
      <xdr:colOff>0</xdr:colOff>
      <xdr:row>148</xdr:row>
      <xdr:rowOff>92075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F445EE-6081-4747-BB09-137A9FB4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19497675"/>
          <a:ext cx="4429125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151</xdr:row>
      <xdr:rowOff>85725</xdr:rowOff>
    </xdr:from>
    <xdr:to>
      <xdr:col>3</xdr:col>
      <xdr:colOff>66675</xdr:colOff>
      <xdr:row>168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C5D069-AFC0-42AE-B3C7-BC4322FD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222504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4B4D-B724-43A7-9D60-8D490F6C1037}">
  <dimension ref="A1:I151"/>
  <sheetViews>
    <sheetView tabSelected="1"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69.5703125" style="6" bestFit="1" customWidth="1"/>
    <col min="3" max="3" width="16" style="6" bestFit="1" customWidth="1"/>
    <col min="4" max="4" width="24.28515625" style="6" bestFit="1" customWidth="1"/>
    <col min="5" max="5" width="13.85546875" style="6" bestFit="1" customWidth="1"/>
    <col min="6" max="6" width="22.85546875" style="8" bestFit="1" customWidth="1"/>
    <col min="7" max="7" width="14" style="10" bestFit="1" customWidth="1"/>
    <col min="8" max="8" width="14.42578125" style="6" bestFit="1" customWidth="1"/>
    <col min="9" max="16384" width="9.140625" style="6"/>
  </cols>
  <sheetData>
    <row r="1" spans="1:8" s="1" customFormat="1" ht="16.7" customHeight="1" x14ac:dyDescent="0.2">
      <c r="B1" s="54" t="s">
        <v>7</v>
      </c>
      <c r="C1" s="55"/>
      <c r="D1" s="9"/>
      <c r="F1" s="5"/>
      <c r="G1" s="10"/>
    </row>
    <row r="2" spans="1:8" s="1" customFormat="1" ht="15" x14ac:dyDescent="0.25">
      <c r="A2" s="46" t="str">
        <f>HYPERLINK("[Monthly-Portfolio-ISIN-31-Dec-2025.xlsx]index!A1","")</f>
        <v/>
      </c>
      <c r="F2" s="5"/>
      <c r="G2" s="10"/>
    </row>
    <row r="3" spans="1:8" s="1" customFormat="1" ht="12" x14ac:dyDescent="0.2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">
      <c r="B4" s="13" t="s">
        <v>4</v>
      </c>
      <c r="C4" s="13" t="s">
        <v>5</v>
      </c>
      <c r="D4" s="47" t="s">
        <v>198</v>
      </c>
      <c r="E4" s="14" t="s">
        <v>0</v>
      </c>
      <c r="F4" s="15" t="s">
        <v>1</v>
      </c>
      <c r="G4" s="16" t="s">
        <v>2</v>
      </c>
      <c r="H4" s="39" t="s">
        <v>3</v>
      </c>
    </row>
    <row r="5" spans="1:8" x14ac:dyDescent="0.2">
      <c r="B5" s="17" t="s">
        <v>23</v>
      </c>
      <c r="C5" s="18"/>
      <c r="D5" s="18"/>
      <c r="E5" s="18"/>
      <c r="F5" s="19"/>
      <c r="G5" s="20"/>
      <c r="H5" s="18"/>
    </row>
    <row r="6" spans="1:8" x14ac:dyDescent="0.2">
      <c r="B6" s="17" t="s">
        <v>24</v>
      </c>
      <c r="C6" s="18"/>
      <c r="D6" s="18"/>
      <c r="E6" s="18"/>
      <c r="F6" s="19"/>
      <c r="G6" s="20"/>
      <c r="H6" s="18"/>
    </row>
    <row r="7" spans="1:8" x14ac:dyDescent="0.2">
      <c r="B7" s="18" t="s">
        <v>25</v>
      </c>
      <c r="C7" s="18" t="s">
        <v>26</v>
      </c>
      <c r="D7" s="18" t="s">
        <v>27</v>
      </c>
      <c r="E7" s="21">
        <v>164450</v>
      </c>
      <c r="F7" s="19">
        <v>1630.0283999999999</v>
      </c>
      <c r="G7" s="20">
        <v>7.0275267089960396</v>
      </c>
      <c r="H7" s="18"/>
    </row>
    <row r="8" spans="1:8" x14ac:dyDescent="0.2">
      <c r="B8" s="18" t="s">
        <v>126</v>
      </c>
      <c r="C8" s="18" t="s">
        <v>127</v>
      </c>
      <c r="D8" s="18" t="s">
        <v>108</v>
      </c>
      <c r="E8" s="21">
        <v>14250</v>
      </c>
      <c r="F8" s="19">
        <v>1586.88</v>
      </c>
      <c r="G8" s="20">
        <v>6.8415014020440603</v>
      </c>
      <c r="H8" s="18"/>
    </row>
    <row r="9" spans="1:8" x14ac:dyDescent="0.2">
      <c r="B9" s="18" t="s">
        <v>31</v>
      </c>
      <c r="C9" s="18" t="s">
        <v>32</v>
      </c>
      <c r="D9" s="18" t="s">
        <v>27</v>
      </c>
      <c r="E9" s="21">
        <v>98000</v>
      </c>
      <c r="F9" s="19">
        <v>1316.0419999999999</v>
      </c>
      <c r="G9" s="20">
        <v>5.6738399804325903</v>
      </c>
      <c r="H9" s="18"/>
    </row>
    <row r="10" spans="1:8" x14ac:dyDescent="0.2">
      <c r="B10" s="18" t="s">
        <v>49</v>
      </c>
      <c r="C10" s="18" t="s">
        <v>50</v>
      </c>
      <c r="D10" s="18" t="s">
        <v>27</v>
      </c>
      <c r="E10" s="21">
        <v>55600</v>
      </c>
      <c r="F10" s="19">
        <v>1223.8116</v>
      </c>
      <c r="G10" s="20">
        <v>5.2762078904755096</v>
      </c>
      <c r="H10" s="18"/>
    </row>
    <row r="11" spans="1:8" x14ac:dyDescent="0.2">
      <c r="B11" s="18" t="s">
        <v>88</v>
      </c>
      <c r="C11" s="18" t="s">
        <v>89</v>
      </c>
      <c r="D11" s="18" t="s">
        <v>48</v>
      </c>
      <c r="E11" s="21">
        <v>232800</v>
      </c>
      <c r="F11" s="19">
        <v>855.19079999999997</v>
      </c>
      <c r="G11" s="20">
        <v>3.6869763669686302</v>
      </c>
      <c r="H11" s="18"/>
    </row>
    <row r="12" spans="1:8" x14ac:dyDescent="0.2">
      <c r="B12" s="18" t="s">
        <v>44</v>
      </c>
      <c r="C12" s="18" t="s">
        <v>45</v>
      </c>
      <c r="D12" s="18" t="s">
        <v>27</v>
      </c>
      <c r="E12" s="21">
        <v>65000</v>
      </c>
      <c r="F12" s="19">
        <v>825.11</v>
      </c>
      <c r="G12" s="20">
        <v>3.5572892857938698</v>
      </c>
      <c r="H12" s="18"/>
    </row>
    <row r="13" spans="1:8" x14ac:dyDescent="0.2">
      <c r="B13" s="18" t="s">
        <v>37</v>
      </c>
      <c r="C13" s="18" t="s">
        <v>38</v>
      </c>
      <c r="D13" s="18" t="s">
        <v>39</v>
      </c>
      <c r="E13" s="21">
        <v>19600</v>
      </c>
      <c r="F13" s="19">
        <v>800.36599999999999</v>
      </c>
      <c r="G13" s="20">
        <v>3.4506107022260002</v>
      </c>
      <c r="H13" s="18"/>
    </row>
    <row r="14" spans="1:8" x14ac:dyDescent="0.2">
      <c r="B14" s="18" t="s">
        <v>40</v>
      </c>
      <c r="C14" s="18" t="s">
        <v>41</v>
      </c>
      <c r="D14" s="18" t="s">
        <v>27</v>
      </c>
      <c r="E14" s="21">
        <v>77250</v>
      </c>
      <c r="F14" s="19">
        <v>758.74950000000001</v>
      </c>
      <c r="G14" s="20">
        <v>3.2711898618989599</v>
      </c>
      <c r="H14" s="18"/>
    </row>
    <row r="15" spans="1:8" x14ac:dyDescent="0.2">
      <c r="B15" s="18" t="s">
        <v>42</v>
      </c>
      <c r="C15" s="18" t="s">
        <v>43</v>
      </c>
      <c r="D15" s="18" t="s">
        <v>200</v>
      </c>
      <c r="E15" s="21">
        <v>185600</v>
      </c>
      <c r="F15" s="19">
        <v>747.96799999999996</v>
      </c>
      <c r="G15" s="20">
        <v>3.2247076783903599</v>
      </c>
      <c r="H15" s="18"/>
    </row>
    <row r="16" spans="1:8" x14ac:dyDescent="0.2">
      <c r="B16" s="18" t="s">
        <v>28</v>
      </c>
      <c r="C16" s="18" t="s">
        <v>29</v>
      </c>
      <c r="D16" s="18" t="s">
        <v>30</v>
      </c>
      <c r="E16" s="21">
        <v>45500</v>
      </c>
      <c r="F16" s="19">
        <v>714.53200000000004</v>
      </c>
      <c r="G16" s="20">
        <v>3.0805553537793302</v>
      </c>
      <c r="H16" s="18"/>
    </row>
    <row r="17" spans="2:8" x14ac:dyDescent="0.2">
      <c r="B17" s="18" t="s">
        <v>71</v>
      </c>
      <c r="C17" s="18" t="s">
        <v>72</v>
      </c>
      <c r="D17" s="18" t="s">
        <v>73</v>
      </c>
      <c r="E17" s="21">
        <v>10950</v>
      </c>
      <c r="F17" s="19">
        <v>554.01525000000004</v>
      </c>
      <c r="G17" s="20">
        <v>2.3885209402278602</v>
      </c>
      <c r="H17" s="18"/>
    </row>
    <row r="18" spans="2:8" x14ac:dyDescent="0.2">
      <c r="B18" s="18" t="s">
        <v>85</v>
      </c>
      <c r="C18" s="18" t="s">
        <v>86</v>
      </c>
      <c r="D18" s="18" t="s">
        <v>87</v>
      </c>
      <c r="E18" s="21">
        <v>47775</v>
      </c>
      <c r="F18" s="19">
        <v>499.29652499999997</v>
      </c>
      <c r="G18" s="20">
        <v>2.1526125956740398</v>
      </c>
      <c r="H18" s="18"/>
    </row>
    <row r="19" spans="2:8" x14ac:dyDescent="0.2">
      <c r="B19" s="18" t="s">
        <v>93</v>
      </c>
      <c r="C19" s="18" t="s">
        <v>94</v>
      </c>
      <c r="D19" s="18" t="s">
        <v>61</v>
      </c>
      <c r="E19" s="21">
        <v>124700</v>
      </c>
      <c r="F19" s="19">
        <v>473.3612</v>
      </c>
      <c r="G19" s="20">
        <v>2.04079786340067</v>
      </c>
      <c r="H19" s="18"/>
    </row>
    <row r="20" spans="2:8" x14ac:dyDescent="0.2">
      <c r="B20" s="18" t="s">
        <v>97</v>
      </c>
      <c r="C20" s="18" t="s">
        <v>98</v>
      </c>
      <c r="D20" s="18" t="s">
        <v>53</v>
      </c>
      <c r="E20" s="21">
        <v>119600</v>
      </c>
      <c r="F20" s="19">
        <v>425.05840000000001</v>
      </c>
      <c r="G20" s="20">
        <v>1.8325504383133</v>
      </c>
      <c r="H20" s="18"/>
    </row>
    <row r="21" spans="2:8" x14ac:dyDescent="0.2">
      <c r="B21" s="18" t="s">
        <v>116</v>
      </c>
      <c r="C21" s="18" t="s">
        <v>117</v>
      </c>
      <c r="D21" s="18" t="s">
        <v>27</v>
      </c>
      <c r="E21" s="21">
        <v>1959300</v>
      </c>
      <c r="F21" s="19">
        <v>423.2088</v>
      </c>
      <c r="G21" s="20">
        <v>1.8245762745496701</v>
      </c>
      <c r="H21" s="18"/>
    </row>
    <row r="22" spans="2:8" x14ac:dyDescent="0.2">
      <c r="B22" s="18" t="s">
        <v>120</v>
      </c>
      <c r="C22" s="18" t="s">
        <v>121</v>
      </c>
      <c r="D22" s="18" t="s">
        <v>33</v>
      </c>
      <c r="E22" s="21">
        <v>3931125</v>
      </c>
      <c r="F22" s="19">
        <v>422.98905000000002</v>
      </c>
      <c r="G22" s="20">
        <v>1.82362886836074</v>
      </c>
      <c r="H22" s="18"/>
    </row>
    <row r="23" spans="2:8" x14ac:dyDescent="0.2">
      <c r="B23" s="18" t="s">
        <v>95</v>
      </c>
      <c r="C23" s="18" t="s">
        <v>96</v>
      </c>
      <c r="D23" s="18" t="s">
        <v>27</v>
      </c>
      <c r="E23" s="21">
        <v>137475</v>
      </c>
      <c r="F23" s="19">
        <v>406.78852499999999</v>
      </c>
      <c r="G23" s="20">
        <v>1.75378369134587</v>
      </c>
      <c r="H23" s="18"/>
    </row>
    <row r="24" spans="2:8" x14ac:dyDescent="0.2">
      <c r="B24" s="18" t="s">
        <v>74</v>
      </c>
      <c r="C24" s="18" t="s">
        <v>75</v>
      </c>
      <c r="D24" s="18" t="s">
        <v>62</v>
      </c>
      <c r="E24" s="21">
        <v>34425</v>
      </c>
      <c r="F24" s="19">
        <v>400.98239999999998</v>
      </c>
      <c r="G24" s="20">
        <v>1.7287517971081601</v>
      </c>
      <c r="H24" s="18"/>
    </row>
    <row r="25" spans="2:8" x14ac:dyDescent="0.2">
      <c r="B25" s="18" t="s">
        <v>114</v>
      </c>
      <c r="C25" s="18" t="s">
        <v>115</v>
      </c>
      <c r="D25" s="18" t="s">
        <v>109</v>
      </c>
      <c r="E25" s="21">
        <v>5000</v>
      </c>
      <c r="F25" s="19">
        <v>380.95</v>
      </c>
      <c r="G25" s="20">
        <v>1.64238629203764</v>
      </c>
      <c r="H25" s="18"/>
    </row>
    <row r="26" spans="2:8" x14ac:dyDescent="0.2">
      <c r="B26" s="18" t="s">
        <v>124</v>
      </c>
      <c r="C26" s="18" t="s">
        <v>125</v>
      </c>
      <c r="D26" s="18" t="s">
        <v>53</v>
      </c>
      <c r="E26" s="21">
        <v>65000</v>
      </c>
      <c r="F26" s="19">
        <v>350.70749999999998</v>
      </c>
      <c r="G26" s="20">
        <v>1.51200207511429</v>
      </c>
      <c r="H26" s="18"/>
    </row>
    <row r="27" spans="2:8" x14ac:dyDescent="0.2">
      <c r="B27" s="18" t="s">
        <v>51</v>
      </c>
      <c r="C27" s="18" t="s">
        <v>52</v>
      </c>
      <c r="D27" s="18" t="s">
        <v>53</v>
      </c>
      <c r="E27" s="21">
        <v>34500</v>
      </c>
      <c r="F27" s="19">
        <v>340.44600000000003</v>
      </c>
      <c r="G27" s="20">
        <v>1.46776176290601</v>
      </c>
      <c r="H27" s="18"/>
    </row>
    <row r="28" spans="2:8" x14ac:dyDescent="0.2">
      <c r="B28" s="18" t="s">
        <v>63</v>
      </c>
      <c r="C28" s="18" t="s">
        <v>64</v>
      </c>
      <c r="D28" s="18" t="s">
        <v>65</v>
      </c>
      <c r="E28" s="21">
        <v>2600</v>
      </c>
      <c r="F28" s="19">
        <v>306.38400000000001</v>
      </c>
      <c r="G28" s="20">
        <v>1.32091057015267</v>
      </c>
      <c r="H28" s="18"/>
    </row>
    <row r="29" spans="2:8" x14ac:dyDescent="0.2">
      <c r="B29" s="18" t="s">
        <v>80</v>
      </c>
      <c r="C29" s="18" t="s">
        <v>81</v>
      </c>
      <c r="D29" s="18" t="s">
        <v>56</v>
      </c>
      <c r="E29" s="21">
        <v>6700</v>
      </c>
      <c r="F29" s="19">
        <v>286.69299999999998</v>
      </c>
      <c r="G29" s="20">
        <v>1.2360169398166301</v>
      </c>
      <c r="H29" s="18"/>
    </row>
    <row r="30" spans="2:8" x14ac:dyDescent="0.2">
      <c r="B30" s="18" t="s">
        <v>82</v>
      </c>
      <c r="C30" s="18" t="s">
        <v>83</v>
      </c>
      <c r="D30" s="18" t="s">
        <v>84</v>
      </c>
      <c r="E30" s="21">
        <v>117000</v>
      </c>
      <c r="F30" s="19">
        <v>281.24459999999999</v>
      </c>
      <c r="G30" s="20">
        <v>1.21252730213836</v>
      </c>
      <c r="H30" s="18"/>
    </row>
    <row r="31" spans="2:8" x14ac:dyDescent="0.2">
      <c r="B31" s="18" t="s">
        <v>128</v>
      </c>
      <c r="C31" s="18" t="s">
        <v>129</v>
      </c>
      <c r="D31" s="18" t="s">
        <v>59</v>
      </c>
      <c r="E31" s="21">
        <v>22950</v>
      </c>
      <c r="F31" s="19">
        <v>254.286</v>
      </c>
      <c r="G31" s="20">
        <v>1.0963009336056799</v>
      </c>
      <c r="H31" s="18"/>
    </row>
    <row r="32" spans="2:8" x14ac:dyDescent="0.2">
      <c r="B32" s="18" t="s">
        <v>112</v>
      </c>
      <c r="C32" s="18" t="s">
        <v>113</v>
      </c>
      <c r="D32" s="18" t="s">
        <v>108</v>
      </c>
      <c r="E32" s="21">
        <v>8400</v>
      </c>
      <c r="F32" s="19">
        <v>224.4648</v>
      </c>
      <c r="G32" s="20">
        <v>0.96773306356469202</v>
      </c>
      <c r="H32" s="18"/>
    </row>
    <row r="33" spans="2:9" x14ac:dyDescent="0.2">
      <c r="B33" s="18" t="s">
        <v>110</v>
      </c>
      <c r="C33" s="18" t="s">
        <v>111</v>
      </c>
      <c r="D33" s="18" t="s">
        <v>27</v>
      </c>
      <c r="E33" s="21">
        <v>25900</v>
      </c>
      <c r="F33" s="19">
        <v>223.8278</v>
      </c>
      <c r="G33" s="20">
        <v>0.964986771221791</v>
      </c>
      <c r="H33" s="18"/>
    </row>
    <row r="34" spans="2:9" x14ac:dyDescent="0.2">
      <c r="B34" s="18" t="s">
        <v>102</v>
      </c>
      <c r="C34" s="18" t="s">
        <v>103</v>
      </c>
      <c r="D34" s="18" t="s">
        <v>104</v>
      </c>
      <c r="E34" s="21">
        <v>24750</v>
      </c>
      <c r="F34" s="19">
        <v>170.13149999999999</v>
      </c>
      <c r="G34" s="20">
        <v>0.73348639832996698</v>
      </c>
      <c r="H34" s="18"/>
    </row>
    <row r="35" spans="2:9" x14ac:dyDescent="0.2">
      <c r="B35" s="18" t="s">
        <v>118</v>
      </c>
      <c r="C35" s="18" t="s">
        <v>119</v>
      </c>
      <c r="D35" s="18" t="s">
        <v>109</v>
      </c>
      <c r="E35" s="21">
        <v>7350</v>
      </c>
      <c r="F35" s="19">
        <v>140.679</v>
      </c>
      <c r="G35" s="20">
        <v>0.60650810126673405</v>
      </c>
      <c r="H35" s="18"/>
    </row>
    <row r="36" spans="2:9" x14ac:dyDescent="0.2">
      <c r="B36" s="18" t="s">
        <v>57</v>
      </c>
      <c r="C36" s="18" t="s">
        <v>58</v>
      </c>
      <c r="D36" s="18" t="s">
        <v>59</v>
      </c>
      <c r="E36" s="21">
        <v>8050</v>
      </c>
      <c r="F36" s="19">
        <v>138.43584999999999</v>
      </c>
      <c r="G36" s="20">
        <v>0.59683722894494895</v>
      </c>
      <c r="H36" s="18"/>
    </row>
    <row r="37" spans="2:9" x14ac:dyDescent="0.2">
      <c r="B37" s="18" t="s">
        <v>122</v>
      </c>
      <c r="C37" s="18" t="s">
        <v>123</v>
      </c>
      <c r="D37" s="18" t="s">
        <v>53</v>
      </c>
      <c r="E37" s="21">
        <v>31000</v>
      </c>
      <c r="F37" s="19">
        <v>110.887</v>
      </c>
      <c r="G37" s="20">
        <v>0.47806612092184603</v>
      </c>
      <c r="H37" s="18"/>
    </row>
    <row r="38" spans="2:9" x14ac:dyDescent="0.2">
      <c r="B38" s="18" t="s">
        <v>78</v>
      </c>
      <c r="C38" s="18" t="s">
        <v>79</v>
      </c>
      <c r="D38" s="18" t="s">
        <v>48</v>
      </c>
      <c r="E38" s="21">
        <v>1400</v>
      </c>
      <c r="F38" s="19">
        <v>102.375</v>
      </c>
      <c r="G38" s="20">
        <v>0.44136841225187801</v>
      </c>
      <c r="H38" s="18"/>
    </row>
    <row r="39" spans="2:9" x14ac:dyDescent="0.2">
      <c r="B39" s="18" t="s">
        <v>105</v>
      </c>
      <c r="C39" s="18" t="s">
        <v>106</v>
      </c>
      <c r="D39" s="18" t="s">
        <v>27</v>
      </c>
      <c r="E39" s="21">
        <v>72000</v>
      </c>
      <c r="F39" s="19">
        <v>88.977599999999995</v>
      </c>
      <c r="G39" s="20">
        <v>0.38360832271533801</v>
      </c>
      <c r="H39" s="18"/>
    </row>
    <row r="40" spans="2:9" x14ac:dyDescent="0.2">
      <c r="B40" s="18" t="s">
        <v>46</v>
      </c>
      <c r="C40" s="18" t="s">
        <v>47</v>
      </c>
      <c r="D40" s="18" t="s">
        <v>48</v>
      </c>
      <c r="E40" s="21">
        <v>2000</v>
      </c>
      <c r="F40" s="19">
        <v>74.183999999999997</v>
      </c>
      <c r="G40" s="20">
        <v>0.31982880873741898</v>
      </c>
      <c r="H40" s="18"/>
    </row>
    <row r="41" spans="2:9" x14ac:dyDescent="0.2">
      <c r="B41" s="18" t="s">
        <v>76</v>
      </c>
      <c r="C41" s="18" t="s">
        <v>77</v>
      </c>
      <c r="D41" s="18" t="s">
        <v>65</v>
      </c>
      <c r="E41" s="21">
        <v>2000</v>
      </c>
      <c r="F41" s="19">
        <v>56.58</v>
      </c>
      <c r="G41" s="20">
        <v>0.243932842639426</v>
      </c>
      <c r="H41" s="18"/>
    </row>
    <row r="42" spans="2:9" x14ac:dyDescent="0.2">
      <c r="B42" s="18" t="s">
        <v>54</v>
      </c>
      <c r="C42" s="18" t="s">
        <v>55</v>
      </c>
      <c r="D42" s="18" t="s">
        <v>200</v>
      </c>
      <c r="E42" s="21">
        <v>2400</v>
      </c>
      <c r="F42" s="19">
        <v>55.581600000000002</v>
      </c>
      <c r="G42" s="20">
        <v>0.23962844974279801</v>
      </c>
      <c r="H42" s="18"/>
    </row>
    <row r="43" spans="2:9" x14ac:dyDescent="0.2">
      <c r="B43" s="18" t="s">
        <v>130</v>
      </c>
      <c r="C43" s="18" t="s">
        <v>131</v>
      </c>
      <c r="D43" s="18" t="s">
        <v>60</v>
      </c>
      <c r="E43" s="21">
        <v>21600</v>
      </c>
      <c r="F43" s="19">
        <v>54.485999999999997</v>
      </c>
      <c r="G43" s="20">
        <v>0.23490499936464801</v>
      </c>
      <c r="H43" s="18"/>
    </row>
    <row r="44" spans="2:9" x14ac:dyDescent="0.2">
      <c r="B44" s="18" t="s">
        <v>69</v>
      </c>
      <c r="C44" s="18" t="s">
        <v>70</v>
      </c>
      <c r="D44" s="18" t="s">
        <v>53</v>
      </c>
      <c r="E44" s="21">
        <v>1500</v>
      </c>
      <c r="F44" s="19">
        <v>30.598500000000001</v>
      </c>
      <c r="G44" s="20">
        <v>0.131919036505876</v>
      </c>
      <c r="H44" s="18"/>
    </row>
    <row r="45" spans="2:9" x14ac:dyDescent="0.2">
      <c r="B45" s="18" t="s">
        <v>99</v>
      </c>
      <c r="C45" s="18" t="s">
        <v>100</v>
      </c>
      <c r="D45" s="18" t="s">
        <v>101</v>
      </c>
      <c r="E45" s="21">
        <v>9450</v>
      </c>
      <c r="F45" s="19">
        <v>16.269120000000001</v>
      </c>
      <c r="G45" s="20">
        <v>7.0140910018415395E-2</v>
      </c>
      <c r="H45" s="18"/>
    </row>
    <row r="46" spans="2:9" x14ac:dyDescent="0.2">
      <c r="B46" s="18" t="s">
        <v>34</v>
      </c>
      <c r="C46" s="18" t="s">
        <v>35</v>
      </c>
      <c r="D46" s="18" t="s">
        <v>36</v>
      </c>
      <c r="E46" s="21">
        <v>800</v>
      </c>
      <c r="F46" s="19">
        <v>12.9232</v>
      </c>
      <c r="G46" s="20">
        <v>5.5715675362280503E-2</v>
      </c>
      <c r="H46" s="18"/>
    </row>
    <row r="47" spans="2:9" x14ac:dyDescent="0.2">
      <c r="B47" s="18" t="s">
        <v>66</v>
      </c>
      <c r="C47" s="18" t="s">
        <v>67</v>
      </c>
      <c r="D47" s="18" t="s">
        <v>68</v>
      </c>
      <c r="E47" s="21">
        <v>1400</v>
      </c>
      <c r="F47" s="19">
        <v>12.4138</v>
      </c>
      <c r="G47" s="20">
        <v>5.3519503746152497E-2</v>
      </c>
      <c r="H47" s="18"/>
    </row>
    <row r="48" spans="2:9" x14ac:dyDescent="0.2">
      <c r="B48" s="17" t="s">
        <v>14</v>
      </c>
      <c r="C48" s="17"/>
      <c r="D48" s="17"/>
      <c r="E48" s="17"/>
      <c r="F48" s="22">
        <f>SUM(F7:F47)</f>
        <v>17777.904320000005</v>
      </c>
      <c r="G48" s="23">
        <f>SUM(G7:G47)</f>
        <v>76.645718221091172</v>
      </c>
      <c r="H48" s="17"/>
      <c r="I48" s="11"/>
    </row>
    <row r="49" spans="2:9" x14ac:dyDescent="0.2">
      <c r="B49" s="17" t="s">
        <v>90</v>
      </c>
      <c r="C49" s="17"/>
      <c r="D49" s="17"/>
      <c r="E49" s="17"/>
      <c r="F49" s="34" t="s">
        <v>91</v>
      </c>
      <c r="G49" s="35" t="s">
        <v>91</v>
      </c>
      <c r="H49" s="17"/>
      <c r="I49" s="11"/>
    </row>
    <row r="50" spans="2:9" x14ac:dyDescent="0.2">
      <c r="B50" s="17" t="s">
        <v>14</v>
      </c>
      <c r="C50" s="17"/>
      <c r="D50" s="17"/>
      <c r="E50" s="17"/>
      <c r="F50" s="36" t="s">
        <v>91</v>
      </c>
      <c r="G50" s="37" t="s">
        <v>91</v>
      </c>
      <c r="H50" s="17"/>
      <c r="I50" s="11"/>
    </row>
    <row r="51" spans="2:9" x14ac:dyDescent="0.2">
      <c r="B51" s="26" t="s">
        <v>8</v>
      </c>
      <c r="C51" s="26"/>
      <c r="D51" s="26"/>
      <c r="E51" s="26"/>
      <c r="F51" s="27">
        <f>F48</f>
        <v>17777.904320000005</v>
      </c>
      <c r="G51" s="28">
        <f>G48</f>
        <v>76.645718221091172</v>
      </c>
      <c r="H51" s="17"/>
      <c r="I51" s="11"/>
    </row>
    <row r="52" spans="2:9" x14ac:dyDescent="0.2">
      <c r="B52" s="17" t="s">
        <v>9</v>
      </c>
      <c r="C52" s="18"/>
      <c r="D52" s="18"/>
      <c r="E52" s="18"/>
      <c r="F52" s="19"/>
      <c r="G52" s="20"/>
      <c r="H52" s="18"/>
    </row>
    <row r="53" spans="2:9" x14ac:dyDescent="0.2">
      <c r="B53" s="18" t="s">
        <v>11</v>
      </c>
      <c r="C53" s="18" t="s">
        <v>12</v>
      </c>
      <c r="D53" s="18" t="s">
        <v>10</v>
      </c>
      <c r="E53" s="21">
        <v>120</v>
      </c>
      <c r="F53" s="19">
        <v>592.13819999999998</v>
      </c>
      <c r="G53" s="20">
        <v>2.55288007001402</v>
      </c>
      <c r="H53" s="29">
        <v>5.9098999999999999E-2</v>
      </c>
    </row>
    <row r="54" spans="2:9" x14ac:dyDescent="0.2">
      <c r="B54" s="17" t="s">
        <v>14</v>
      </c>
      <c r="C54" s="17"/>
      <c r="D54" s="17"/>
      <c r="E54" s="17"/>
      <c r="F54" s="22">
        <f>SUM(F52:F53)</f>
        <v>592.13819999999998</v>
      </c>
      <c r="G54" s="23">
        <f>SUM(G52:G53)</f>
        <v>2.55288007001402</v>
      </c>
      <c r="H54" s="29"/>
      <c r="I54" s="11"/>
    </row>
    <row r="55" spans="2:9" x14ac:dyDescent="0.2">
      <c r="B55" s="17" t="s">
        <v>15</v>
      </c>
      <c r="C55" s="18"/>
      <c r="D55" s="18"/>
      <c r="E55" s="18"/>
      <c r="F55" s="19"/>
      <c r="G55" s="20"/>
      <c r="H55" s="29"/>
    </row>
    <row r="56" spans="2:9" x14ac:dyDescent="0.2">
      <c r="B56" s="18" t="s">
        <v>16</v>
      </c>
      <c r="C56" s="18" t="s">
        <v>17</v>
      </c>
      <c r="D56" s="18" t="s">
        <v>13</v>
      </c>
      <c r="E56" s="21">
        <v>100</v>
      </c>
      <c r="F56" s="19">
        <v>493.6755</v>
      </c>
      <c r="G56" s="20">
        <v>2.12837872139343</v>
      </c>
      <c r="H56" s="29">
        <v>5.9949000000000002E-2</v>
      </c>
    </row>
    <row r="57" spans="2:9" x14ac:dyDescent="0.2">
      <c r="B57" s="17" t="s">
        <v>14</v>
      </c>
      <c r="C57" s="17"/>
      <c r="D57" s="17"/>
      <c r="E57" s="17"/>
      <c r="F57" s="24">
        <f>SUM(F55:F56)</f>
        <v>493.6755</v>
      </c>
      <c r="G57" s="25">
        <f>SUM(G55:G56)</f>
        <v>2.12837872139343</v>
      </c>
      <c r="H57" s="17"/>
      <c r="I57" s="11"/>
    </row>
    <row r="58" spans="2:9" x14ac:dyDescent="0.2">
      <c r="B58" s="26" t="s">
        <v>18</v>
      </c>
      <c r="C58" s="26"/>
      <c r="D58" s="26"/>
      <c r="E58" s="26"/>
      <c r="F58" s="27">
        <f>+F54+F57</f>
        <v>1085.8136999999999</v>
      </c>
      <c r="G58" s="28">
        <f>+G54+G57</f>
        <v>4.6812587914074495</v>
      </c>
      <c r="H58" s="17"/>
      <c r="I58" s="11"/>
    </row>
    <row r="59" spans="2:9" x14ac:dyDescent="0.2">
      <c r="B59" s="17" t="s">
        <v>192</v>
      </c>
      <c r="C59" s="18"/>
      <c r="D59" s="18"/>
      <c r="E59" s="18"/>
      <c r="F59" s="19"/>
      <c r="G59" s="20"/>
      <c r="H59" s="18"/>
    </row>
    <row r="60" spans="2:9" x14ac:dyDescent="0.2">
      <c r="B60" s="18" t="s">
        <v>193</v>
      </c>
      <c r="C60" s="18" t="s">
        <v>194</v>
      </c>
      <c r="D60" s="18"/>
      <c r="E60" s="21">
        <v>194865.951</v>
      </c>
      <c r="F60" s="19">
        <v>2006.0091440000001</v>
      </c>
      <c r="G60" s="20">
        <v>8.6484890925521807</v>
      </c>
      <c r="H60" s="18"/>
    </row>
    <row r="61" spans="2:9" x14ac:dyDescent="0.2">
      <c r="B61" s="18" t="s">
        <v>195</v>
      </c>
      <c r="C61" s="18" t="s">
        <v>196</v>
      </c>
      <c r="D61" s="18"/>
      <c r="E61" s="21">
        <v>146361.65100000001</v>
      </c>
      <c r="F61" s="19">
        <v>1506.3592346999999</v>
      </c>
      <c r="G61" s="20">
        <v>6.4943529543393703</v>
      </c>
      <c r="H61" s="18"/>
    </row>
    <row r="62" spans="2:9" x14ac:dyDescent="0.2">
      <c r="B62" s="30" t="s">
        <v>18</v>
      </c>
      <c r="C62" s="30"/>
      <c r="D62" s="30"/>
      <c r="E62" s="30"/>
      <c r="F62" s="22">
        <f>SUM(F60:F61)</f>
        <v>3512.3683787</v>
      </c>
      <c r="G62" s="23">
        <f>SUM(G60:G61)</f>
        <v>15.142842046891552</v>
      </c>
      <c r="H62" s="17"/>
      <c r="I62" s="11"/>
    </row>
    <row r="63" spans="2:9" x14ac:dyDescent="0.2">
      <c r="B63" s="17"/>
      <c r="C63" s="18"/>
      <c r="D63" s="18"/>
      <c r="E63" s="18"/>
      <c r="F63" s="19"/>
      <c r="G63" s="20"/>
      <c r="H63" s="18"/>
    </row>
    <row r="64" spans="2:9" x14ac:dyDescent="0.2">
      <c r="B64" s="17" t="s">
        <v>19</v>
      </c>
      <c r="C64" s="17"/>
      <c r="D64" s="17"/>
      <c r="E64" s="17"/>
      <c r="F64" s="22">
        <v>1045.257028</v>
      </c>
      <c r="G64" s="23">
        <v>4.50640717795826</v>
      </c>
      <c r="H64" s="29">
        <v>5.3636339999999998E-2</v>
      </c>
      <c r="I64" s="12"/>
    </row>
    <row r="65" spans="2:9" x14ac:dyDescent="0.2">
      <c r="B65" s="18"/>
      <c r="C65" s="18"/>
      <c r="D65" s="18"/>
      <c r="E65" s="18"/>
      <c r="F65" s="19"/>
      <c r="G65" s="20"/>
      <c r="H65" s="18"/>
    </row>
    <row r="66" spans="2:9" x14ac:dyDescent="0.2">
      <c r="B66" s="33" t="s">
        <v>21</v>
      </c>
      <c r="C66" s="33"/>
      <c r="D66" s="33"/>
      <c r="E66" s="33"/>
      <c r="F66" s="22">
        <f>F67-(F48+F54+F57+F62+F64)</f>
        <v>-226.43478390000746</v>
      </c>
      <c r="G66" s="23">
        <f>G67-(G48+G54+G57+G62+G64)</f>
        <v>-0.97622623734844183</v>
      </c>
      <c r="H66" s="17"/>
      <c r="I66" s="11"/>
    </row>
    <row r="67" spans="2:9" x14ac:dyDescent="0.2">
      <c r="B67" s="30" t="s">
        <v>20</v>
      </c>
      <c r="C67" s="30"/>
      <c r="D67" s="30"/>
      <c r="E67" s="30"/>
      <c r="F67" s="31">
        <v>23194.908642800001</v>
      </c>
      <c r="G67" s="32">
        <v>100</v>
      </c>
      <c r="H67" s="38"/>
      <c r="I67" s="11"/>
    </row>
    <row r="69" spans="2:9" x14ac:dyDescent="0.2">
      <c r="B69" s="11" t="s">
        <v>132</v>
      </c>
    </row>
    <row r="71" spans="2:9" ht="22.5" x14ac:dyDescent="0.2">
      <c r="B71" s="40" t="s">
        <v>4</v>
      </c>
      <c r="C71" s="50" t="s">
        <v>133</v>
      </c>
      <c r="D71" s="50" t="s">
        <v>92</v>
      </c>
      <c r="E71" s="50" t="s">
        <v>0</v>
      </c>
      <c r="F71" s="48" t="s">
        <v>134</v>
      </c>
      <c r="G71" s="49" t="s">
        <v>135</v>
      </c>
    </row>
    <row r="72" spans="2:9" x14ac:dyDescent="0.2">
      <c r="B72" s="43" t="s">
        <v>136</v>
      </c>
      <c r="C72" s="43" t="s">
        <v>197</v>
      </c>
      <c r="D72" s="43" t="s">
        <v>68</v>
      </c>
      <c r="E72" s="51">
        <v>-1400</v>
      </c>
      <c r="F72" s="44">
        <v>-12.529299999999999</v>
      </c>
      <c r="G72" s="45">
        <v>-5.4017457852282798E-2</v>
      </c>
    </row>
    <row r="73" spans="2:9" x14ac:dyDescent="0.2">
      <c r="B73" s="43" t="s">
        <v>137</v>
      </c>
      <c r="C73" s="43" t="s">
        <v>197</v>
      </c>
      <c r="D73" s="43" t="s">
        <v>36</v>
      </c>
      <c r="E73" s="51">
        <v>-800</v>
      </c>
      <c r="F73" s="44">
        <v>-13.0024</v>
      </c>
      <c r="G73" s="45">
        <v>-5.60571296064842E-2</v>
      </c>
    </row>
    <row r="74" spans="2:9" x14ac:dyDescent="0.2">
      <c r="B74" s="43" t="s">
        <v>138</v>
      </c>
      <c r="C74" s="43" t="s">
        <v>197</v>
      </c>
      <c r="D74" s="43" t="s">
        <v>101</v>
      </c>
      <c r="E74" s="51">
        <v>-9450</v>
      </c>
      <c r="F74" s="44">
        <v>-16.453395</v>
      </c>
      <c r="G74" s="45">
        <v>-7.0935373160468801E-2</v>
      </c>
    </row>
    <row r="75" spans="2:9" x14ac:dyDescent="0.2">
      <c r="B75" s="43" t="s">
        <v>139</v>
      </c>
      <c r="C75" s="43" t="s">
        <v>197</v>
      </c>
      <c r="D75" s="43" t="s">
        <v>27</v>
      </c>
      <c r="E75" s="51">
        <v>-24000</v>
      </c>
      <c r="F75" s="44">
        <v>-29.8584</v>
      </c>
      <c r="G75" s="45">
        <v>-0.12872825006477601</v>
      </c>
    </row>
    <row r="76" spans="2:9" x14ac:dyDescent="0.2">
      <c r="B76" s="43" t="s">
        <v>140</v>
      </c>
      <c r="C76" s="43" t="s">
        <v>197</v>
      </c>
      <c r="D76" s="43" t="s">
        <v>53</v>
      </c>
      <c r="E76" s="51">
        <v>-1500</v>
      </c>
      <c r="F76" s="44">
        <v>-30.883500000000002</v>
      </c>
      <c r="G76" s="45">
        <v>-0.133147754430094</v>
      </c>
    </row>
    <row r="77" spans="2:9" x14ac:dyDescent="0.2">
      <c r="B77" s="43" t="s">
        <v>141</v>
      </c>
      <c r="C77" s="43" t="s">
        <v>197</v>
      </c>
      <c r="D77" s="43" t="s">
        <v>27</v>
      </c>
      <c r="E77" s="51">
        <v>-4900</v>
      </c>
      <c r="F77" s="44">
        <v>-42.779449999999997</v>
      </c>
      <c r="G77" s="45">
        <v>-0.18443465615148799</v>
      </c>
    </row>
    <row r="78" spans="2:9" x14ac:dyDescent="0.2">
      <c r="B78" s="43" t="s">
        <v>142</v>
      </c>
      <c r="C78" s="43" t="s">
        <v>197</v>
      </c>
      <c r="D78" s="43" t="s">
        <v>65</v>
      </c>
      <c r="E78" s="51">
        <v>-450</v>
      </c>
      <c r="F78" s="44">
        <v>-53.671500000000002</v>
      </c>
      <c r="G78" s="45">
        <v>-0.231393452875963</v>
      </c>
    </row>
    <row r="79" spans="2:9" x14ac:dyDescent="0.2">
      <c r="B79" s="43" t="s">
        <v>143</v>
      </c>
      <c r="C79" s="43" t="s">
        <v>197</v>
      </c>
      <c r="D79" s="43" t="s">
        <v>60</v>
      </c>
      <c r="E79" s="51">
        <v>-21600</v>
      </c>
      <c r="F79" s="44">
        <v>-55.252800000000001</v>
      </c>
      <c r="G79" s="45">
        <v>-0.238210897274438</v>
      </c>
    </row>
    <row r="80" spans="2:9" x14ac:dyDescent="0.2">
      <c r="B80" s="43" t="s">
        <v>144</v>
      </c>
      <c r="C80" s="43" t="s">
        <v>197</v>
      </c>
      <c r="D80" s="43" t="s">
        <v>200</v>
      </c>
      <c r="E80" s="51">
        <v>-2400</v>
      </c>
      <c r="F80" s="44">
        <v>-56.136000000000003</v>
      </c>
      <c r="G80" s="45">
        <v>-0.24201862945222399</v>
      </c>
    </row>
    <row r="81" spans="2:7" x14ac:dyDescent="0.2">
      <c r="B81" s="43" t="s">
        <v>145</v>
      </c>
      <c r="C81" s="43" t="s">
        <v>197</v>
      </c>
      <c r="D81" s="43" t="s">
        <v>65</v>
      </c>
      <c r="E81" s="51">
        <v>-2000</v>
      </c>
      <c r="F81" s="44">
        <v>-56.862000000000002</v>
      </c>
      <c r="G81" s="45">
        <v>-0.24514862669075699</v>
      </c>
    </row>
    <row r="82" spans="2:7" x14ac:dyDescent="0.2">
      <c r="B82" s="43" t="s">
        <v>146</v>
      </c>
      <c r="C82" s="43" t="s">
        <v>197</v>
      </c>
      <c r="D82" s="43" t="s">
        <v>27</v>
      </c>
      <c r="E82" s="51">
        <v>-48000</v>
      </c>
      <c r="F82" s="44">
        <v>-60.072000000000003</v>
      </c>
      <c r="G82" s="45">
        <v>-0.258987870679314</v>
      </c>
    </row>
    <row r="83" spans="2:7" x14ac:dyDescent="0.2">
      <c r="B83" s="43" t="s">
        <v>147</v>
      </c>
      <c r="C83" s="43" t="s">
        <v>197</v>
      </c>
      <c r="D83" s="43" t="s">
        <v>27</v>
      </c>
      <c r="E83" s="51">
        <v>-6750</v>
      </c>
      <c r="F83" s="44">
        <v>-66.578625000000002</v>
      </c>
      <c r="G83" s="45">
        <v>-0.28703982423602598</v>
      </c>
    </row>
    <row r="84" spans="2:7" x14ac:dyDescent="0.2">
      <c r="B84" s="43" t="s">
        <v>148</v>
      </c>
      <c r="C84" s="43" t="s">
        <v>197</v>
      </c>
      <c r="D84" s="43" t="s">
        <v>53</v>
      </c>
      <c r="E84" s="51">
        <v>-7500</v>
      </c>
      <c r="F84" s="44">
        <v>-74.902500000000003</v>
      </c>
      <c r="G84" s="45">
        <v>-0.32292647129373703</v>
      </c>
    </row>
    <row r="85" spans="2:7" x14ac:dyDescent="0.2">
      <c r="B85" s="43" t="s">
        <v>149</v>
      </c>
      <c r="C85" s="43" t="s">
        <v>197</v>
      </c>
      <c r="D85" s="43" t="s">
        <v>48</v>
      </c>
      <c r="E85" s="51">
        <v>-2000</v>
      </c>
      <c r="F85" s="44">
        <v>-75.117999999999995</v>
      </c>
      <c r="G85" s="45">
        <v>-0.323855554496084</v>
      </c>
    </row>
    <row r="86" spans="2:7" x14ac:dyDescent="0.2">
      <c r="B86" s="43" t="s">
        <v>150</v>
      </c>
      <c r="C86" s="43" t="s">
        <v>197</v>
      </c>
      <c r="D86" s="43" t="s">
        <v>48</v>
      </c>
      <c r="E86" s="51">
        <v>-1400</v>
      </c>
      <c r="F86" s="44">
        <v>-103.327</v>
      </c>
      <c r="G86" s="45">
        <v>-0.445472761247861</v>
      </c>
    </row>
    <row r="87" spans="2:7" x14ac:dyDescent="0.2">
      <c r="B87" s="43" t="s">
        <v>151</v>
      </c>
      <c r="C87" s="43" t="s">
        <v>197</v>
      </c>
      <c r="D87" s="43" t="s">
        <v>27</v>
      </c>
      <c r="E87" s="51">
        <v>-8125</v>
      </c>
      <c r="F87" s="44">
        <v>-104.05687500000001</v>
      </c>
      <c r="G87" s="45">
        <v>-0.44861946473887299</v>
      </c>
    </row>
    <row r="88" spans="2:7" x14ac:dyDescent="0.2">
      <c r="B88" s="43" t="s">
        <v>152</v>
      </c>
      <c r="C88" s="43" t="s">
        <v>197</v>
      </c>
      <c r="D88" s="43" t="s">
        <v>53</v>
      </c>
      <c r="E88" s="51">
        <v>-31000</v>
      </c>
      <c r="F88" s="44">
        <v>-112.1425</v>
      </c>
      <c r="G88" s="45">
        <v>-0.48347894672484698</v>
      </c>
    </row>
    <row r="89" spans="2:7" x14ac:dyDescent="0.2">
      <c r="B89" s="43" t="s">
        <v>153</v>
      </c>
      <c r="C89" s="43" t="s">
        <v>197</v>
      </c>
      <c r="D89" s="43" t="s">
        <v>73</v>
      </c>
      <c r="E89" s="51">
        <v>-2550</v>
      </c>
      <c r="F89" s="44">
        <v>-129.47624999999999</v>
      </c>
      <c r="G89" s="45">
        <v>-0.55820978644031505</v>
      </c>
    </row>
    <row r="90" spans="2:7" x14ac:dyDescent="0.2">
      <c r="B90" s="43" t="s">
        <v>154</v>
      </c>
      <c r="C90" s="43" t="s">
        <v>197</v>
      </c>
      <c r="D90" s="43" t="s">
        <v>59</v>
      </c>
      <c r="E90" s="51">
        <v>-8050</v>
      </c>
      <c r="F90" s="44">
        <v>-139.17644999999999</v>
      </c>
      <c r="G90" s="45">
        <v>-0.60003017103153</v>
      </c>
    </row>
    <row r="91" spans="2:7" x14ac:dyDescent="0.2">
      <c r="B91" s="43" t="s">
        <v>155</v>
      </c>
      <c r="C91" s="43" t="s">
        <v>197</v>
      </c>
      <c r="D91" s="43" t="s">
        <v>109</v>
      </c>
      <c r="E91" s="51">
        <v>-7350</v>
      </c>
      <c r="F91" s="44">
        <v>-142.47975</v>
      </c>
      <c r="G91" s="45">
        <v>-0.61427165846685705</v>
      </c>
    </row>
    <row r="92" spans="2:7" x14ac:dyDescent="0.2">
      <c r="B92" s="43" t="s">
        <v>156</v>
      </c>
      <c r="C92" s="43" t="s">
        <v>197</v>
      </c>
      <c r="D92" s="43" t="s">
        <v>27</v>
      </c>
      <c r="E92" s="51">
        <v>-49725</v>
      </c>
      <c r="F92" s="44">
        <v>-148.9761</v>
      </c>
      <c r="G92" s="45">
        <v>-0.64227931350893297</v>
      </c>
    </row>
    <row r="93" spans="2:7" x14ac:dyDescent="0.2">
      <c r="B93" s="43" t="s">
        <v>157</v>
      </c>
      <c r="C93" s="43" t="s">
        <v>197</v>
      </c>
      <c r="D93" s="43" t="s">
        <v>33</v>
      </c>
      <c r="E93" s="51">
        <v>-1429500</v>
      </c>
      <c r="F93" s="44">
        <v>-155.95845</v>
      </c>
      <c r="G93" s="45">
        <v>-0.672382255958622</v>
      </c>
    </row>
    <row r="94" spans="2:7" x14ac:dyDescent="0.2">
      <c r="B94" s="43" t="s">
        <v>158</v>
      </c>
      <c r="C94" s="43" t="s">
        <v>197</v>
      </c>
      <c r="D94" s="43" t="s">
        <v>104</v>
      </c>
      <c r="E94" s="51">
        <v>-24750</v>
      </c>
      <c r="F94" s="44">
        <v>-172.161</v>
      </c>
      <c r="G94" s="45">
        <v>-0.74223616333768605</v>
      </c>
    </row>
    <row r="95" spans="2:7" x14ac:dyDescent="0.2">
      <c r="B95" s="43" t="s">
        <v>159</v>
      </c>
      <c r="C95" s="43" t="s">
        <v>197</v>
      </c>
      <c r="D95" s="43" t="s">
        <v>27</v>
      </c>
      <c r="E95" s="51">
        <v>-21000</v>
      </c>
      <c r="F95" s="44">
        <v>-182.1645</v>
      </c>
      <c r="G95" s="45">
        <v>-0.785364162477726</v>
      </c>
    </row>
    <row r="96" spans="2:7" x14ac:dyDescent="0.2">
      <c r="B96" s="43" t="s">
        <v>160</v>
      </c>
      <c r="C96" s="43" t="s">
        <v>197</v>
      </c>
      <c r="D96" s="43" t="s">
        <v>61</v>
      </c>
      <c r="E96" s="51">
        <v>-47850</v>
      </c>
      <c r="F96" s="44">
        <v>-182.810925</v>
      </c>
      <c r="G96" s="45">
        <v>-0.78815108873794504</v>
      </c>
    </row>
    <row r="97" spans="2:7" x14ac:dyDescent="0.2">
      <c r="B97" s="43" t="s">
        <v>161</v>
      </c>
      <c r="C97" s="43" t="s">
        <v>197</v>
      </c>
      <c r="D97" s="43" t="s">
        <v>62</v>
      </c>
      <c r="E97" s="51">
        <v>-16200</v>
      </c>
      <c r="F97" s="44">
        <v>-190.9494</v>
      </c>
      <c r="G97" s="45">
        <v>-0.82323842245126999</v>
      </c>
    </row>
    <row r="98" spans="2:7" x14ac:dyDescent="0.2">
      <c r="B98" s="43" t="s">
        <v>162</v>
      </c>
      <c r="C98" s="43" t="s">
        <v>197</v>
      </c>
      <c r="D98" s="43" t="s">
        <v>62</v>
      </c>
      <c r="E98" s="51">
        <v>-18225</v>
      </c>
      <c r="F98" s="44">
        <v>-213.65167500000001</v>
      </c>
      <c r="G98" s="45">
        <v>-0.92111453547940703</v>
      </c>
    </row>
    <row r="99" spans="2:7" x14ac:dyDescent="0.2">
      <c r="B99" s="43" t="s">
        <v>163</v>
      </c>
      <c r="C99" s="43" t="s">
        <v>197</v>
      </c>
      <c r="D99" s="43" t="s">
        <v>108</v>
      </c>
      <c r="E99" s="51">
        <v>-8400</v>
      </c>
      <c r="F99" s="44">
        <v>-225.72479999999999</v>
      </c>
      <c r="G99" s="45">
        <v>-0.97316529017702302</v>
      </c>
    </row>
    <row r="100" spans="2:7" x14ac:dyDescent="0.2">
      <c r="B100" s="43" t="s">
        <v>164</v>
      </c>
      <c r="C100" s="43" t="s">
        <v>197</v>
      </c>
      <c r="D100" s="43" t="s">
        <v>65</v>
      </c>
      <c r="E100" s="51">
        <v>-2150</v>
      </c>
      <c r="F100" s="44">
        <v>-254.9255</v>
      </c>
      <c r="G100" s="45">
        <v>-1.0990580041759801</v>
      </c>
    </row>
    <row r="101" spans="2:7" x14ac:dyDescent="0.2">
      <c r="B101" s="43" t="s">
        <v>165</v>
      </c>
      <c r="C101" s="43" t="s">
        <v>197</v>
      </c>
      <c r="D101" s="43" t="s">
        <v>59</v>
      </c>
      <c r="E101" s="51">
        <v>-22950</v>
      </c>
      <c r="F101" s="44">
        <v>-257.5908</v>
      </c>
      <c r="G101" s="45">
        <v>-1.1105488879774501</v>
      </c>
    </row>
    <row r="102" spans="2:7" x14ac:dyDescent="0.2">
      <c r="B102" s="43" t="s">
        <v>166</v>
      </c>
      <c r="C102" s="43" t="s">
        <v>197</v>
      </c>
      <c r="D102" s="43" t="s">
        <v>27</v>
      </c>
      <c r="E102" s="51">
        <v>-87750</v>
      </c>
      <c r="F102" s="44">
        <v>-261.36337500000002</v>
      </c>
      <c r="G102" s="45">
        <v>-1.12681355647904</v>
      </c>
    </row>
    <row r="103" spans="2:7" x14ac:dyDescent="0.2">
      <c r="B103" s="43" t="s">
        <v>167</v>
      </c>
      <c r="C103" s="43" t="s">
        <v>197</v>
      </c>
      <c r="D103" s="43" t="s">
        <v>53</v>
      </c>
      <c r="E103" s="51">
        <v>-27000</v>
      </c>
      <c r="F103" s="44">
        <v>-268.137</v>
      </c>
      <c r="G103" s="45">
        <v>-1.15601662472266</v>
      </c>
    </row>
    <row r="104" spans="2:7" x14ac:dyDescent="0.2">
      <c r="B104" s="43" t="s">
        <v>168</v>
      </c>
      <c r="C104" s="43" t="s">
        <v>197</v>
      </c>
      <c r="D104" s="43" t="s">
        <v>33</v>
      </c>
      <c r="E104" s="51">
        <v>-2501625</v>
      </c>
      <c r="F104" s="44">
        <v>-270.92598750000002</v>
      </c>
      <c r="G104" s="45">
        <v>-1.1680407613249999</v>
      </c>
    </row>
    <row r="105" spans="2:7" x14ac:dyDescent="0.2">
      <c r="B105" s="43" t="s">
        <v>169</v>
      </c>
      <c r="C105" s="43" t="s">
        <v>197</v>
      </c>
      <c r="D105" s="43" t="s">
        <v>84</v>
      </c>
      <c r="E105" s="51">
        <v>-117000</v>
      </c>
      <c r="F105" s="44">
        <v>-283.23360000000002</v>
      </c>
      <c r="G105" s="45">
        <v>-1.2211024598621101</v>
      </c>
    </row>
    <row r="106" spans="2:7" x14ac:dyDescent="0.2">
      <c r="B106" s="43" t="s">
        <v>170</v>
      </c>
      <c r="C106" s="43" t="s">
        <v>197</v>
      </c>
      <c r="D106" s="43" t="s">
        <v>56</v>
      </c>
      <c r="E106" s="51">
        <v>-6700</v>
      </c>
      <c r="F106" s="44">
        <v>-287.72480000000002</v>
      </c>
      <c r="G106" s="45">
        <v>-1.2404653298313999</v>
      </c>
    </row>
    <row r="107" spans="2:7" x14ac:dyDescent="0.2">
      <c r="B107" s="43" t="s">
        <v>171</v>
      </c>
      <c r="C107" s="43" t="s">
        <v>197</v>
      </c>
      <c r="D107" s="43" t="s">
        <v>61</v>
      </c>
      <c r="E107" s="51">
        <v>-76850</v>
      </c>
      <c r="F107" s="44">
        <v>-295.41140000000001</v>
      </c>
      <c r="G107" s="45">
        <v>-1.2736044989411901</v>
      </c>
    </row>
    <row r="108" spans="2:7" x14ac:dyDescent="0.2">
      <c r="B108" s="43" t="s">
        <v>172</v>
      </c>
      <c r="C108" s="43" t="s">
        <v>197</v>
      </c>
      <c r="D108" s="43" t="s">
        <v>39</v>
      </c>
      <c r="E108" s="51">
        <v>-7700</v>
      </c>
      <c r="F108" s="44">
        <v>-318.05619999999999</v>
      </c>
      <c r="G108" s="45">
        <v>-1.37123282052128</v>
      </c>
    </row>
    <row r="109" spans="2:7" x14ac:dyDescent="0.2">
      <c r="B109" s="43" t="s">
        <v>173</v>
      </c>
      <c r="C109" s="43" t="s">
        <v>197</v>
      </c>
      <c r="D109" s="43" t="s">
        <v>53</v>
      </c>
      <c r="E109" s="51">
        <v>-65000</v>
      </c>
      <c r="F109" s="44">
        <v>-352.04</v>
      </c>
      <c r="G109" s="45">
        <v>-1.5177468703213799</v>
      </c>
    </row>
    <row r="110" spans="2:7" x14ac:dyDescent="0.2">
      <c r="B110" s="43" t="s">
        <v>174</v>
      </c>
      <c r="C110" s="43" t="s">
        <v>197</v>
      </c>
      <c r="D110" s="43" t="s">
        <v>109</v>
      </c>
      <c r="E110" s="51">
        <v>-5000</v>
      </c>
      <c r="F110" s="44">
        <v>-383.4</v>
      </c>
      <c r="G110" s="45">
        <v>-1.6529489548949501</v>
      </c>
    </row>
    <row r="111" spans="2:7" x14ac:dyDescent="0.2">
      <c r="B111" s="43" t="s">
        <v>175</v>
      </c>
      <c r="C111" s="43" t="s">
        <v>197</v>
      </c>
      <c r="D111" s="43" t="s">
        <v>53</v>
      </c>
      <c r="E111" s="51">
        <v>-119600</v>
      </c>
      <c r="F111" s="44">
        <v>-427.09160000000003</v>
      </c>
      <c r="G111" s="45">
        <v>-1.8413161550975701</v>
      </c>
    </row>
    <row r="112" spans="2:7" x14ac:dyDescent="0.2">
      <c r="B112" s="43" t="s">
        <v>176</v>
      </c>
      <c r="C112" s="43" t="s">
        <v>197</v>
      </c>
      <c r="D112" s="43" t="s">
        <v>27</v>
      </c>
      <c r="E112" s="51">
        <v>-1959300</v>
      </c>
      <c r="F112" s="44">
        <v>-428.10705000000002</v>
      </c>
      <c r="G112" s="45">
        <v>-1.84569405550511</v>
      </c>
    </row>
    <row r="113" spans="2:7" x14ac:dyDescent="0.2">
      <c r="B113" s="43" t="s">
        <v>177</v>
      </c>
      <c r="C113" s="43" t="s">
        <v>197</v>
      </c>
      <c r="D113" s="43" t="s">
        <v>73</v>
      </c>
      <c r="E113" s="51">
        <v>-8400</v>
      </c>
      <c r="F113" s="44">
        <v>-428.988</v>
      </c>
      <c r="G113" s="45">
        <v>-1.8494920872782299</v>
      </c>
    </row>
    <row r="114" spans="2:7" x14ac:dyDescent="0.2">
      <c r="B114" s="43" t="s">
        <v>178</v>
      </c>
      <c r="C114" s="43" t="s">
        <v>197</v>
      </c>
      <c r="D114" s="43" t="s">
        <v>27</v>
      </c>
      <c r="E114" s="51">
        <v>-32900</v>
      </c>
      <c r="F114" s="44">
        <v>-446.88069999999999</v>
      </c>
      <c r="G114" s="45">
        <v>-1.926632723077</v>
      </c>
    </row>
    <row r="115" spans="2:7" x14ac:dyDescent="0.2">
      <c r="B115" s="43" t="s">
        <v>179</v>
      </c>
      <c r="C115" s="43" t="s">
        <v>197</v>
      </c>
      <c r="D115" s="43" t="s">
        <v>39</v>
      </c>
      <c r="E115" s="51">
        <v>-11900</v>
      </c>
      <c r="F115" s="44">
        <v>-488.79250000000002</v>
      </c>
      <c r="G115" s="45">
        <v>-2.10732668762516</v>
      </c>
    </row>
    <row r="116" spans="2:7" x14ac:dyDescent="0.2">
      <c r="B116" s="43" t="s">
        <v>180</v>
      </c>
      <c r="C116" s="43" t="s">
        <v>197</v>
      </c>
      <c r="D116" s="43" t="s">
        <v>87</v>
      </c>
      <c r="E116" s="51">
        <v>-47775</v>
      </c>
      <c r="F116" s="44">
        <v>-501.971925</v>
      </c>
      <c r="G116" s="45">
        <v>-2.1641470235142299</v>
      </c>
    </row>
    <row r="117" spans="2:7" x14ac:dyDescent="0.2">
      <c r="B117" s="43" t="s">
        <v>181</v>
      </c>
      <c r="C117" s="43" t="s">
        <v>197</v>
      </c>
      <c r="D117" s="43" t="s">
        <v>27</v>
      </c>
      <c r="E117" s="51">
        <v>-24800</v>
      </c>
      <c r="F117" s="44">
        <v>-551.30399999999997</v>
      </c>
      <c r="G117" s="45">
        <v>-2.3768319526066799</v>
      </c>
    </row>
    <row r="118" spans="2:7" x14ac:dyDescent="0.2">
      <c r="B118" s="43" t="s">
        <v>182</v>
      </c>
      <c r="C118" s="43" t="s">
        <v>197</v>
      </c>
      <c r="D118" s="43" t="s">
        <v>27</v>
      </c>
      <c r="E118" s="51">
        <v>-30800</v>
      </c>
      <c r="F118" s="44">
        <v>-680.43359999999996</v>
      </c>
      <c r="G118" s="45">
        <v>-2.9335472300349599</v>
      </c>
    </row>
    <row r="119" spans="2:7" x14ac:dyDescent="0.2">
      <c r="B119" s="43" t="s">
        <v>183</v>
      </c>
      <c r="C119" s="43" t="s">
        <v>197</v>
      </c>
      <c r="D119" s="43" t="s">
        <v>27</v>
      </c>
      <c r="E119" s="51">
        <v>-70500</v>
      </c>
      <c r="F119" s="44">
        <v>-699.53625</v>
      </c>
      <c r="G119" s="45">
        <v>-3.0159043123334102</v>
      </c>
    </row>
    <row r="120" spans="2:7" x14ac:dyDescent="0.2">
      <c r="B120" s="43" t="s">
        <v>184</v>
      </c>
      <c r="C120" s="43" t="s">
        <v>197</v>
      </c>
      <c r="D120" s="43" t="s">
        <v>27</v>
      </c>
      <c r="E120" s="51">
        <v>-69850</v>
      </c>
      <c r="F120" s="44">
        <v>-700.94475</v>
      </c>
      <c r="G120" s="45">
        <v>-3.0219767656536201</v>
      </c>
    </row>
    <row r="121" spans="2:7" x14ac:dyDescent="0.2">
      <c r="B121" s="43" t="s">
        <v>185</v>
      </c>
      <c r="C121" s="43" t="s">
        <v>197</v>
      </c>
      <c r="D121" s="43" t="s">
        <v>30</v>
      </c>
      <c r="E121" s="51">
        <v>-45500</v>
      </c>
      <c r="F121" s="44">
        <v>-717.99</v>
      </c>
      <c r="G121" s="45">
        <v>-3.0954637979265001</v>
      </c>
    </row>
    <row r="122" spans="2:7" x14ac:dyDescent="0.2">
      <c r="B122" s="43" t="s">
        <v>186</v>
      </c>
      <c r="C122" s="43" t="s">
        <v>197</v>
      </c>
      <c r="D122" s="43" t="s">
        <v>27</v>
      </c>
      <c r="E122" s="51">
        <v>-56875</v>
      </c>
      <c r="F122" s="44">
        <v>-724.70124999999996</v>
      </c>
      <c r="G122" s="45">
        <v>-3.1243979493963501</v>
      </c>
    </row>
    <row r="123" spans="2:7" x14ac:dyDescent="0.2">
      <c r="B123" s="43" t="s">
        <v>187</v>
      </c>
      <c r="C123" s="43" t="s">
        <v>197</v>
      </c>
      <c r="D123" s="43" t="s">
        <v>200</v>
      </c>
      <c r="E123" s="51">
        <v>-185600</v>
      </c>
      <c r="F123" s="44">
        <v>-752.42240000000004</v>
      </c>
      <c r="G123" s="45">
        <v>-3.2439118928522301</v>
      </c>
    </row>
    <row r="124" spans="2:7" x14ac:dyDescent="0.2">
      <c r="B124" s="43" t="s">
        <v>188</v>
      </c>
      <c r="C124" s="43" t="s">
        <v>197</v>
      </c>
      <c r="D124" s="43" t="s">
        <v>48</v>
      </c>
      <c r="E124" s="51">
        <v>-232800</v>
      </c>
      <c r="F124" s="44">
        <v>-865.55039999999997</v>
      </c>
      <c r="G124" s="45">
        <v>-3.7316396168203001</v>
      </c>
    </row>
    <row r="125" spans="2:7" x14ac:dyDescent="0.2">
      <c r="B125" s="43" t="s">
        <v>189</v>
      </c>
      <c r="C125" s="43" t="s">
        <v>197</v>
      </c>
      <c r="D125" s="43" t="s">
        <v>27</v>
      </c>
      <c r="E125" s="51">
        <v>-65100</v>
      </c>
      <c r="F125" s="44">
        <v>-879.24059999999997</v>
      </c>
      <c r="G125" s="45">
        <v>-3.7906620523505601</v>
      </c>
    </row>
    <row r="126" spans="2:7" x14ac:dyDescent="0.2">
      <c r="B126" s="43" t="s">
        <v>190</v>
      </c>
      <c r="C126" s="43" t="s">
        <v>197</v>
      </c>
      <c r="D126" s="43" t="s">
        <v>27</v>
      </c>
      <c r="E126" s="51">
        <v>-94600</v>
      </c>
      <c r="F126" s="44">
        <v>-943.54039999999998</v>
      </c>
      <c r="G126" s="45">
        <v>-4.0678771989597298</v>
      </c>
    </row>
    <row r="127" spans="2:7" x14ac:dyDescent="0.2">
      <c r="B127" s="43" t="s">
        <v>191</v>
      </c>
      <c r="C127" s="43" t="s">
        <v>197</v>
      </c>
      <c r="D127" s="43" t="s">
        <v>108</v>
      </c>
      <c r="E127" s="51">
        <v>-14250</v>
      </c>
      <c r="F127" s="44">
        <v>-1595.2874999999999</v>
      </c>
      <c r="G127" s="45">
        <v>-6.87774858080848</v>
      </c>
    </row>
    <row r="128" spans="2:7" x14ac:dyDescent="0.2">
      <c r="B128" s="40"/>
      <c r="C128" s="40"/>
      <c r="D128" s="40"/>
      <c r="E128" s="40"/>
      <c r="F128" s="41">
        <f>SUM(F72:F127)</f>
        <v>-17912.747132499997</v>
      </c>
      <c r="G128" s="42">
        <f>SUM(G72:G127)</f>
        <v>-77.227064819935606</v>
      </c>
    </row>
    <row r="130" spans="2:2" x14ac:dyDescent="0.2">
      <c r="B130" s="11" t="s">
        <v>107</v>
      </c>
    </row>
    <row r="132" spans="2:2" x14ac:dyDescent="0.2">
      <c r="B132" s="11" t="s">
        <v>22</v>
      </c>
    </row>
    <row r="150" spans="2:2" x14ac:dyDescent="0.2">
      <c r="B150" s="53" t="s">
        <v>199</v>
      </c>
    </row>
    <row r="151" spans="2:2" x14ac:dyDescent="0.2">
      <c r="B151" s="52" t="s">
        <v>201</v>
      </c>
    </row>
  </sheetData>
  <mergeCells count="1">
    <mergeCell ref="B1:C1"/>
  </mergeCells>
  <conditionalFormatting sqref="G1:G3 G5:G65337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3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JBARB</vt:lpstr>
      <vt:lpstr>JBARB!Print_Area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2026-01-07T07:47:26Z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2026-01-06T14:21:27Z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9138a1cd-962b-4c8b-ac2d-3fec6cc74639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2026-01-07T07:47:26Z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04c531f5-7ce2-4b29-b1c0-ab019ebc49de</vt:lpwstr>
  </property>
  <property fmtid="{D5CDD505-2E9C-101B-9397-08002B2CF9AE}" pid="18" name="MSIP_Label_defa4170-0d19-0005-0004-bc88714345d2_ContentBits">
    <vt:lpwstr>0</vt:lpwstr>
  </property>
</Properties>
</file>