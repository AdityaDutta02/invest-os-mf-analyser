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1A9D4DC1-FD46-495F-BF3F-AD64EE3A9D15}" xr6:coauthVersionLast="47" xr6:coauthVersionMax="47" xr10:uidLastSave="{00000000-0000-0000-0000-000000000000}"/>
  <bookViews>
    <workbookView xWindow="16830" yWindow="10720" windowWidth="2370" windowHeight="560" tabRatio="669" xr2:uid="{7291B499-DD8C-4F12-BA28-9EE7F24AB421}"/>
  </bookViews>
  <sheets>
    <sheet name="JBLF" sheetId="19" r:id="rId1"/>
  </sheets>
  <definedNames>
    <definedName name="_xlnm.Print_Area" localSheetId="0">JBLF!$B$1:$I$148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19" l="1"/>
  <c r="F68" i="19"/>
  <c r="G64" i="19"/>
  <c r="F64" i="19"/>
  <c r="G53" i="19"/>
  <c r="F53" i="19"/>
  <c r="G29" i="19"/>
  <c r="G82" i="19" s="1"/>
  <c r="F29" i="19"/>
  <c r="F82" i="19" s="1"/>
  <c r="G65" i="19" l="1"/>
  <c r="F65" i="19"/>
</calcChain>
</file>

<file path=xl/sharedStrings.xml><?xml version="1.0" encoding="utf-8"?>
<sst xmlns="http://schemas.openxmlformats.org/spreadsheetml/2006/main" count="212" uniqueCount="157">
  <si>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</si>
  <si>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</si>
  <si>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</si>
  <si>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</si>
  <si>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</si>
  <si>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</si>
  <si>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April 30, 2026</t>
  </si>
  <si>
    <t>JioBlackRock Liquid Fund</t>
  </si>
  <si>
    <t>Sub Total</t>
  </si>
  <si>
    <t>Total</t>
  </si>
  <si>
    <t>TREPS</t>
  </si>
  <si>
    <t>Grand Total</t>
  </si>
  <si>
    <t>Net Receivables / (Payables)</t>
  </si>
  <si>
    <t>Notes</t>
  </si>
  <si>
    <t>Yield to Call ^</t>
  </si>
  <si>
    <t>Money Market Instruments</t>
  </si>
  <si>
    <t>Certificate of Deposit</t>
  </si>
  <si>
    <t>ICRA A1+</t>
  </si>
  <si>
    <t>CRISIL A1+</t>
  </si>
  <si>
    <t>CARE A1+</t>
  </si>
  <si>
    <t>Commercial Paper</t>
  </si>
  <si>
    <t>Treasury Bill</t>
  </si>
  <si>
    <t>SOVEREIGN</t>
  </si>
  <si>
    <t>Alternative Investment Fund</t>
  </si>
  <si>
    <t>Corporate Debt Market Development Fund Class A2</t>
  </si>
  <si>
    <t>INF0RQ622028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</si>
  <si>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</si>
  <si>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</si>
  <si>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</si>
  <si>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182 DTB (21-MAY-2026)</t>
  </si>
  <si>
    <t>IN002025Y347</t>
  </si>
  <si>
    <t>Reverse Repo</t>
  </si>
  <si>
    <t>Bank of Baroda (29-Jul-2026) **</t>
  </si>
  <si>
    <t>INE028A16MA6</t>
  </si>
  <si>
    <t>Union Bank of India (23-Jun-2026) **</t>
  </si>
  <si>
    <t>INE692A16LO2</t>
  </si>
  <si>
    <t>Canara Bank (27-May-2026) **</t>
  </si>
  <si>
    <t>INE476A16H19</t>
  </si>
  <si>
    <t>HDFC Bank Ltd (04-Jun-2026) **</t>
  </si>
  <si>
    <t>INE040A16HT1</t>
  </si>
  <si>
    <t>Federal Bank Ltd (17-Jun-2026) **</t>
  </si>
  <si>
    <t>INE171A16NN5</t>
  </si>
  <si>
    <t>Bank of India (25-Jun-2026) **</t>
  </si>
  <si>
    <t>INE084A16FV9</t>
  </si>
  <si>
    <t>Bank of Baroda (04-Jun-2026) **</t>
  </si>
  <si>
    <t>INE028A16LQ4</t>
  </si>
  <si>
    <t>Union Bank of India (23-Jul-2026) **</t>
  </si>
  <si>
    <t>INE692A16LV7</t>
  </si>
  <si>
    <t>Canara Bank (26-May-2026) **</t>
  </si>
  <si>
    <t>INE476A16E87</t>
  </si>
  <si>
    <t>Canara Bank (10-Jun-2026) **</t>
  </si>
  <si>
    <t>INE476A16G77</t>
  </si>
  <si>
    <t>HDFC Bank Ltd (01-Jul-2026) **</t>
  </si>
  <si>
    <t>INE040A16JE9</t>
  </si>
  <si>
    <t>Indian Bank (08-Jun-2026) **</t>
  </si>
  <si>
    <t>INE562A16QR9</t>
  </si>
  <si>
    <t>Canara Bank (01-Jul-2026) **</t>
  </si>
  <si>
    <t>INE476A16I75</t>
  </si>
  <si>
    <t>Bank of Baroda (25-May-2026) **</t>
  </si>
  <si>
    <t>INE028A16JR6</t>
  </si>
  <si>
    <t>HDFC Bank Ltd (24-Jun-2026) **</t>
  </si>
  <si>
    <t>INE040A16HB9</t>
  </si>
  <si>
    <t>Union Bank of India (25-Jun-2026) **</t>
  </si>
  <si>
    <t>INE692A16JQ1</t>
  </si>
  <si>
    <t>ICICI Bank Ltd (29-Jun-2026) **</t>
  </si>
  <si>
    <t>INE090AD6329</t>
  </si>
  <si>
    <t>Canara Bank (29-May-2026)</t>
  </si>
  <si>
    <t>INE476A16F03</t>
  </si>
  <si>
    <t>Union Bank of India (04-Jun-2026) **</t>
  </si>
  <si>
    <t>INE692A16KS5</t>
  </si>
  <si>
    <t>Axis Bank Ltd (24-Jun-2026) **</t>
  </si>
  <si>
    <t>INE238AD6CE5</t>
  </si>
  <si>
    <t>Axis Bank Ltd (25-Jun-2026)</t>
  </si>
  <si>
    <t>INE238AD6AZ4</t>
  </si>
  <si>
    <t>Small Industries Development Bank of India (05-May-2026) **</t>
  </si>
  <si>
    <t>INE556F16BH3</t>
  </si>
  <si>
    <t>Kotak Securities Ltd (05-Jun-2026) **</t>
  </si>
  <si>
    <t>INE028E14VK3</t>
  </si>
  <si>
    <t>HDFC Securities Ltd (27-May-2026) **</t>
  </si>
  <si>
    <t>INE700G14SS1</t>
  </si>
  <si>
    <t>National Bank For Agriculture &amp; Rural Development (04-Jun-2026)</t>
  </si>
  <si>
    <t>INE261F14OV9</t>
  </si>
  <si>
    <t>Export-Import Bank Of India (05-Jun-2026)</t>
  </si>
  <si>
    <t>INE514E14TG4</t>
  </si>
  <si>
    <t>HDFC Securities Ltd (08-Jun-2026) **</t>
  </si>
  <si>
    <t>INE700G14SW3</t>
  </si>
  <si>
    <t>National Bank For Agriculture &amp; Rural Development (16-Jun-2026) **</t>
  </si>
  <si>
    <t>INE261F14PB8</t>
  </si>
  <si>
    <t>Birla Group Holdings Pvt Ltd (19-Jun-2026) **</t>
  </si>
  <si>
    <t>INE09OL14JC8</t>
  </si>
  <si>
    <t>Aditya Birla Capital Ltd (28-Jul-2026) **</t>
  </si>
  <si>
    <t>INE674K14CH7</t>
  </si>
  <si>
    <t>HDFC Securities Ltd (12-May-2026) **</t>
  </si>
  <si>
    <t>INE700G14SA9</t>
  </si>
  <si>
    <t>Export-Import Bank Of India (27-May-2026)</t>
  </si>
  <si>
    <t>INE514E14TF6</t>
  </si>
  <si>
    <t>ICICI Home Finance Co Ltd (17-Jun-2026) **</t>
  </si>
  <si>
    <t>INE071G14HR2</t>
  </si>
  <si>
    <t>Reliance Retail Ventures Ltd (22-Jun-2026) **</t>
  </si>
  <si>
    <t>INE929O14EY8</t>
  </si>
  <si>
    <t>Aditya Birla Housing Finance Ltd (07-May-2026) **</t>
  </si>
  <si>
    <t>INE831R14FU4</t>
  </si>
  <si>
    <t>Tata Steel Ltd (26-May-2026) **</t>
  </si>
  <si>
    <t>INE081A14GV8</t>
  </si>
  <si>
    <t>Tata Capital Housing Finance Ltd (13-Jul-2026) **</t>
  </si>
  <si>
    <t>INE033L14OU2</t>
  </si>
  <si>
    <t>ICICI Securities Ltd (05-Jun-2026) **</t>
  </si>
  <si>
    <t>INE763G14C04</t>
  </si>
  <si>
    <t>Axis Securities Ltd (24-Jun-2026) **</t>
  </si>
  <si>
    <t>INE110O14IB4</t>
  </si>
  <si>
    <t>ICICI Securities Ltd (22-Jun-2026) **</t>
  </si>
  <si>
    <t>INE763G14H66</t>
  </si>
  <si>
    <t>ICICI Securities Ltd (19-May-2026) **</t>
  </si>
  <si>
    <t>INE763G14YL2</t>
  </si>
  <si>
    <t>Can Fin Homes Ltd (20-May-2026) **</t>
  </si>
  <si>
    <t>INE477A14EC3</t>
  </si>
  <si>
    <t>Bajaj Finance Ltd (14-May-2026) **</t>
  </si>
  <si>
    <t>INE296A14A65</t>
  </si>
  <si>
    <t>Aditya Birla Capital Ltd (24-Jun-2026) **</t>
  </si>
  <si>
    <t>INE674K14CB0</t>
  </si>
  <si>
    <t>364 DTB (28-MAY-2026)</t>
  </si>
  <si>
    <t>IN002025Z096</t>
  </si>
  <si>
    <t>364 DTB (09-JUL-2026)</t>
  </si>
  <si>
    <t>IN002025Z153</t>
  </si>
  <si>
    <t>91 DTB (07-MAY-2026)</t>
  </si>
  <si>
    <t>IN002025X448</t>
  </si>
  <si>
    <t>91 DTB (14-MAY-2026)</t>
  </si>
  <si>
    <t>IN002025X455</t>
  </si>
  <si>
    <t>364 DTB (07-MAY-2026)</t>
  </si>
  <si>
    <t>IN002025Z062</t>
  </si>
  <si>
    <t>91 DTB (22-MAY-2026)</t>
  </si>
  <si>
    <t>IN002025X463</t>
  </si>
  <si>
    <t>91 DTB (04-JUN-2026)</t>
  </si>
  <si>
    <t>IN002025X489</t>
  </si>
  <si>
    <t>182 DTB (08-MAY-2026)</t>
  </si>
  <si>
    <t>IN002025Y321</t>
  </si>
  <si>
    <t>Reverse Repo (07-May-2026)</t>
  </si>
  <si>
    <t>Reverse Repo (05-May-2026)</t>
  </si>
  <si>
    <t>Reverse Repo (08-May-2026)</t>
  </si>
  <si>
    <t>Scheme Risk-O-Meter</t>
  </si>
  <si>
    <t>Benchmark Risk-O-Meter</t>
  </si>
  <si>
    <t>Benchmark Name - NIFTY Liquid Index A-I</t>
  </si>
  <si>
    <t>-</t>
  </si>
  <si>
    <t>(1) There is no security which is in default beyond its maturity/ interest payment date.</t>
  </si>
  <si>
    <t>(2) Plan/ Option wise per unit net asset value are as follows:</t>
  </si>
  <si>
    <t>Plan/ Option</t>
  </si>
  <si>
    <t>As on April 30, 2026</t>
  </si>
  <si>
    <t>Direct Plan - Growth Option</t>
  </si>
  <si>
    <t>(4) Total outstanding exposure in derivative instruments as on April 30, 2026 is Rs. Nil.</t>
  </si>
  <si>
    <t>(5) Total market value of investments in foreign securities/ American Depository Receipts/ Global Depository Receipts as at April 30, 2026 is Rs. Nil.</t>
  </si>
  <si>
    <t>(7) Repo transactions in corporate debt securities as on April 30, 2026 is Rs. Nil.</t>
  </si>
  <si>
    <t>TREP_050526</t>
  </si>
  <si>
    <t>TREP_040526</t>
  </si>
  <si>
    <t>Aggregate Investments by other schemes (at NAV) as on April 30, 2026, is Rs.1,539.13 Lakh's.</t>
  </si>
  <si>
    <t>(6) The average maturity period of the portfolio is 0.11 years.</t>
  </si>
  <si>
    <t>As on March 31, 2026</t>
  </si>
  <si>
    <t>(3) There was no distribution (of income and capital) during the month ended April 30,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</si>
</sst>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%"/>
    <numFmt numFmtId="167" formatCode="#,##0.0000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5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4" fontId="4" fillId="2" borderId="0" xfId="0" applyNumberFormat="1" applyFont="1" applyFill="1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39" fontId="6" fillId="3" borderId="0" xfId="0" applyNumberFormat="1" applyFont="1" applyFill="1"/>
    <xf numFmtId="0" fontId="5" fillId="2" borderId="0" xfId="0" applyFont="1" applyFill="1"/>
    <xf numFmtId="0" fontId="5" fillId="2" borderId="1" xfId="0" applyFont="1" applyFill="1" applyBorder="1"/>
    <xf numFmtId="0" fontId="6" fillId="2" borderId="1" xfId="0" applyFont="1" applyFill="1" applyBorder="1"/>
    <xf numFmtId="39" fontId="6" fillId="2" borderId="1" xfId="0" applyNumberFormat="1" applyFont="1" applyFill="1" applyBorder="1"/>
    <xf numFmtId="39" fontId="6" fillId="3" borderId="1" xfId="0" applyNumberFormat="1" applyFont="1" applyFill="1" applyBorder="1"/>
    <xf numFmtId="10" fontId="6" fillId="2" borderId="1" xfId="0" applyNumberFormat="1" applyFont="1" applyFill="1" applyBorder="1"/>
    <xf numFmtId="3" fontId="6" fillId="2" borderId="1" xfId="0" applyNumberFormat="1" applyFont="1" applyFill="1" applyBorder="1"/>
    <xf numFmtId="165" fontId="6" fillId="2" borderId="1" xfId="0" applyNumberFormat="1" applyFont="1" applyFill="1" applyBorder="1"/>
    <xf numFmtId="10" fontId="5" fillId="2" borderId="1" xfId="0" applyNumberFormat="1" applyFont="1" applyFill="1" applyBorder="1"/>
    <xf numFmtId="0" fontId="5" fillId="2" borderId="3" xfId="0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0" fontId="5" fillId="2" borderId="4" xfId="0" applyNumberFormat="1" applyFont="1" applyFill="1" applyBorder="1"/>
    <xf numFmtId="0" fontId="5" fillId="2" borderId="4" xfId="0" applyFont="1" applyFill="1" applyBorder="1"/>
    <xf numFmtId="0" fontId="5" fillId="2" borderId="0" xfId="0" applyFont="1" applyFill="1" applyAlignment="1">
      <alignment horizontal="right"/>
    </xf>
    <xf numFmtId="167" fontId="6" fillId="2" borderId="0" xfId="0" applyNumberFormat="1" applyFont="1" applyFill="1"/>
    <xf numFmtId="4" fontId="6" fillId="2" borderId="1" xfId="0" applyNumberFormat="1" applyFont="1" applyFill="1" applyBorder="1"/>
    <xf numFmtId="39" fontId="5" fillId="2" borderId="2" xfId="0" applyNumberFormat="1" applyFont="1" applyFill="1" applyBorder="1"/>
    <xf numFmtId="39" fontId="5" fillId="3" borderId="2" xfId="0" applyNumberFormat="1" applyFont="1" applyFill="1" applyBorder="1"/>
    <xf numFmtId="0" fontId="9" fillId="2" borderId="0" xfId="1" applyFill="1"/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 wrapText="1"/>
    </xf>
    <xf numFmtId="39" fontId="5" fillId="0" borderId="3" xfId="0" applyNumberFormat="1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3" fillId="0" borderId="0" xfId="0" applyFont="1"/>
    <xf numFmtId="0" fontId="6" fillId="2" borderId="0" xfId="0" applyFont="1" applyFill="1" applyAlignment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39" fontId="5" fillId="2" borderId="1" xfId="0" applyNumberFormat="1" applyFont="1" applyFill="1" applyBorder="1"/>
    <xf numFmtId="39" fontId="5" fillId="3" borderId="1" xfId="0" applyNumberFormat="1" applyFont="1" applyFill="1" applyBorder="1"/>
    <xf numFmtId="0" fontId="5" fillId="2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1">
    <dxf>
      <numFmt numFmtId="172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109</xdr:row>
      <xdr:rowOff>0</xdr:rowOff>
    </xdr:from>
    <xdr:to>
      <xdr:col>3</xdr:col>
      <xdr:colOff>609600</xdr:colOff>
      <xdr:row>126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570049-91A5-4F5F-9C7A-78E18CBA0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075" y="15113000"/>
          <a:ext cx="5000625" cy="215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130</xdr:row>
      <xdr:rowOff>76200</xdr:rowOff>
    </xdr:from>
    <xdr:to>
      <xdr:col>3</xdr:col>
      <xdr:colOff>752475</xdr:colOff>
      <xdr:row>147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7036A8-FB39-4D7C-B86B-816C26F69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868900"/>
          <a:ext cx="5172075" cy="212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033BD-5E52-4FA3-AEF5-CB091235FA05}">
  <dimension ref="A1:J658"/>
  <sheetViews>
    <sheetView tabSelected="1" view="pageBreakPreview" zoomScaleNormal="100" zoomScaleSheetLayoutView="100" workbookViewId="0"/>
  </sheetViews>
  <sheetFormatPr defaultColWidth="9.1796875" defaultRowHeight="10" x14ac:dyDescent="0.2"/>
  <cols>
    <col min="1" max="1" width="7.1796875" style="6" customWidth="1"/>
    <col min="2" max="2" width="52.453125" style="6" bestFit="1" customWidth="1"/>
    <col min="3" max="3" width="15.54296875" style="6" customWidth="1"/>
    <col min="4" max="4" width="14.453125" style="6" customWidth="1"/>
    <col min="5" max="5" width="13.54296875" style="6" bestFit="1" customWidth="1"/>
    <col min="6" max="6" width="12.7265625" style="8" bestFit="1" customWidth="1"/>
    <col min="7" max="7" width="6.7265625" style="13" bestFit="1" customWidth="1"/>
    <col min="8" max="8" width="11.81640625" style="11" bestFit="1" customWidth="1"/>
    <col min="9" max="9" width="10.1796875" style="6" bestFit="1" customWidth="1"/>
    <col min="10" max="10" width="9.1796875" style="6" customWidth="1"/>
    <col min="11" max="16384" width="9.1796875" style="6"/>
  </cols>
  <sheetData>
    <row r="1" spans="1:10" s="1" customFormat="1" ht="16.75" customHeight="1" x14ac:dyDescent="0.35">
      <c r="B1" s="51" t="s">
        <v>7</v>
      </c>
      <c r="C1" s="52"/>
      <c r="D1" s="10"/>
      <c r="F1" s="5"/>
      <c r="G1" s="13"/>
      <c r="H1" s="12"/>
    </row>
    <row r="2" spans="1:10" s="1" customFormat="1" ht="14.5" x14ac:dyDescent="0.35">
      <c r="A2" s="33" t="s">
        <v>142</v>
      </c>
      <c r="F2" s="5"/>
      <c r="G2" s="13"/>
      <c r="H2" s="12"/>
    </row>
    <row r="3" spans="1:10" s="1" customFormat="1" ht="11.5" x14ac:dyDescent="0.25">
      <c r="B3" s="7" t="s">
        <v>6</v>
      </c>
      <c r="C3" s="2"/>
      <c r="D3" s="3"/>
      <c r="E3" s="3"/>
      <c r="F3" s="4"/>
      <c r="G3" s="13"/>
      <c r="H3" s="12"/>
    </row>
    <row r="4" spans="1:10" s="1" customFormat="1" ht="35.5" customHeight="1" x14ac:dyDescent="0.25">
      <c r="B4" s="36" t="s">
        <v>4</v>
      </c>
      <c r="C4" s="36" t="s">
        <v>5</v>
      </c>
      <c r="D4" s="37" t="s">
        <v>26</v>
      </c>
      <c r="E4" s="37" t="s">
        <v>0</v>
      </c>
      <c r="F4" s="38" t="s">
        <v>1</v>
      </c>
      <c r="G4" s="39" t="s">
        <v>2</v>
      </c>
      <c r="H4" s="40" t="s">
        <v>3</v>
      </c>
      <c r="I4" s="38" t="s">
        <v>14</v>
      </c>
      <c r="J4" s="9"/>
    </row>
    <row r="5" spans="1:10" ht="10.5" x14ac:dyDescent="0.25">
      <c r="B5" s="15" t="s">
        <v>15</v>
      </c>
      <c r="C5" s="16"/>
      <c r="D5" s="16"/>
      <c r="E5" s="16"/>
      <c r="F5" s="17"/>
      <c r="G5" s="18"/>
      <c r="H5" s="19"/>
      <c r="I5" s="16"/>
    </row>
    <row r="6" spans="1:10" ht="10.5" x14ac:dyDescent="0.25">
      <c r="B6" s="15" t="s">
        <v>16</v>
      </c>
      <c r="C6" s="16"/>
      <c r="D6" s="16"/>
      <c r="E6" s="16"/>
      <c r="F6" s="17"/>
      <c r="G6" s="18"/>
      <c r="H6" s="19"/>
      <c r="I6" s="16"/>
    </row>
    <row r="7" spans="1:10" x14ac:dyDescent="0.2">
      <c r="B7" s="16" t="s">
        <v>32</v>
      </c>
      <c r="C7" s="16" t="s">
        <v>33</v>
      </c>
      <c r="D7" s="16" t="s">
        <v>19</v>
      </c>
      <c r="E7" s="20">
        <v>8000</v>
      </c>
      <c r="F7" s="17">
        <v>39384.44</v>
      </c>
      <c r="G7" s="18">
        <v>4.8083985052687996</v>
      </c>
      <c r="H7" s="21">
        <v>6.4101000000000005E-2</v>
      </c>
      <c r="I7" s="30"/>
    </row>
    <row r="8" spans="1:10" x14ac:dyDescent="0.2">
      <c r="B8" s="16" t="s">
        <v>34</v>
      </c>
      <c r="C8" s="16" t="s">
        <v>35</v>
      </c>
      <c r="D8" s="16" t="s">
        <v>18</v>
      </c>
      <c r="E8" s="20">
        <v>6000</v>
      </c>
      <c r="F8" s="17">
        <v>29731.919999999998</v>
      </c>
      <c r="G8" s="18">
        <v>3.6299340472219801</v>
      </c>
      <c r="H8" s="21">
        <v>6.2099000000000001E-2</v>
      </c>
      <c r="I8" s="30"/>
    </row>
    <row r="9" spans="1:10" x14ac:dyDescent="0.2">
      <c r="B9" s="16" t="s">
        <v>36</v>
      </c>
      <c r="C9" s="16" t="s">
        <v>37</v>
      </c>
      <c r="D9" s="16" t="s">
        <v>18</v>
      </c>
      <c r="E9" s="20">
        <v>5000</v>
      </c>
      <c r="F9" s="17">
        <v>24891.724999999999</v>
      </c>
      <c r="G9" s="18">
        <v>3.0390005109520901</v>
      </c>
      <c r="H9" s="21">
        <v>6.1065000000000001E-2</v>
      </c>
      <c r="I9" s="30"/>
    </row>
    <row r="10" spans="1:10" x14ac:dyDescent="0.2">
      <c r="B10" s="16" t="s">
        <v>38</v>
      </c>
      <c r="C10" s="16" t="s">
        <v>39</v>
      </c>
      <c r="D10" s="16" t="s">
        <v>18</v>
      </c>
      <c r="E10" s="20">
        <v>5000</v>
      </c>
      <c r="F10" s="17">
        <v>24855.924999999999</v>
      </c>
      <c r="G10" s="18">
        <v>3.0346297323783999</v>
      </c>
      <c r="H10" s="21">
        <v>6.2225999999999997E-2</v>
      </c>
      <c r="I10" s="30"/>
    </row>
    <row r="11" spans="1:10" x14ac:dyDescent="0.2">
      <c r="B11" s="16" t="s">
        <v>40</v>
      </c>
      <c r="C11" s="16" t="s">
        <v>41</v>
      </c>
      <c r="D11" s="16" t="s">
        <v>18</v>
      </c>
      <c r="E11" s="20">
        <v>5000</v>
      </c>
      <c r="F11" s="17">
        <v>24796.45</v>
      </c>
      <c r="G11" s="18">
        <v>3.0273685017731</v>
      </c>
      <c r="H11" s="21">
        <v>6.3749E-2</v>
      </c>
      <c r="I11" s="30"/>
    </row>
    <row r="12" spans="1:10" x14ac:dyDescent="0.2">
      <c r="B12" s="16" t="s">
        <v>42</v>
      </c>
      <c r="C12" s="16" t="s">
        <v>43</v>
      </c>
      <c r="D12" s="16" t="s">
        <v>18</v>
      </c>
      <c r="E12" s="20">
        <v>5000</v>
      </c>
      <c r="F12" s="17">
        <v>24765.65</v>
      </c>
      <c r="G12" s="18">
        <v>3.02360816713428</v>
      </c>
      <c r="H12" s="21">
        <v>6.2800999999999996E-2</v>
      </c>
      <c r="I12" s="30"/>
    </row>
    <row r="13" spans="1:10" x14ac:dyDescent="0.2">
      <c r="B13" s="16" t="s">
        <v>44</v>
      </c>
      <c r="C13" s="16" t="s">
        <v>45</v>
      </c>
      <c r="D13" s="16" t="s">
        <v>18</v>
      </c>
      <c r="E13" s="20">
        <v>4000</v>
      </c>
      <c r="F13" s="17">
        <v>19885.099999999999</v>
      </c>
      <c r="G13" s="18">
        <v>2.4277477378660302</v>
      </c>
      <c r="H13" s="21">
        <v>6.2031000000000003E-2</v>
      </c>
      <c r="I13" s="30"/>
    </row>
    <row r="14" spans="1:10" x14ac:dyDescent="0.2">
      <c r="B14" s="16" t="s">
        <v>46</v>
      </c>
      <c r="C14" s="16" t="s">
        <v>47</v>
      </c>
      <c r="D14" s="16" t="s">
        <v>18</v>
      </c>
      <c r="E14" s="20">
        <v>4000</v>
      </c>
      <c r="F14" s="17">
        <v>19710.900000000001</v>
      </c>
      <c r="G14" s="18">
        <v>2.4064798711750801</v>
      </c>
      <c r="H14" s="21">
        <v>6.4500000000000002E-2</v>
      </c>
      <c r="I14" s="30"/>
    </row>
    <row r="15" spans="1:10" x14ac:dyDescent="0.2">
      <c r="B15" s="16" t="s">
        <v>48</v>
      </c>
      <c r="C15" s="16" t="s">
        <v>49</v>
      </c>
      <c r="D15" s="16" t="s">
        <v>18</v>
      </c>
      <c r="E15" s="20">
        <v>3000</v>
      </c>
      <c r="F15" s="17">
        <v>14937.525</v>
      </c>
      <c r="G15" s="18">
        <v>1.8237043076508199</v>
      </c>
      <c r="H15" s="21">
        <v>6.1062999999999999E-2</v>
      </c>
      <c r="I15" s="30"/>
    </row>
    <row r="16" spans="1:10" x14ac:dyDescent="0.2">
      <c r="B16" s="16" t="s">
        <v>50</v>
      </c>
      <c r="C16" s="16" t="s">
        <v>51</v>
      </c>
      <c r="D16" s="16" t="s">
        <v>18</v>
      </c>
      <c r="E16" s="20">
        <v>3000</v>
      </c>
      <c r="F16" s="17">
        <v>14898.764999999999</v>
      </c>
      <c r="G16" s="18">
        <v>1.81897214626769</v>
      </c>
      <c r="H16" s="21">
        <v>6.2003000000000003E-2</v>
      </c>
      <c r="I16" s="30"/>
    </row>
    <row r="17" spans="2:9" x14ac:dyDescent="0.2">
      <c r="B17" s="16" t="s">
        <v>52</v>
      </c>
      <c r="C17" s="16" t="s">
        <v>53</v>
      </c>
      <c r="D17" s="16" t="s">
        <v>18</v>
      </c>
      <c r="E17" s="20">
        <v>3000</v>
      </c>
      <c r="F17" s="17">
        <v>14839.11</v>
      </c>
      <c r="G17" s="18">
        <v>1.8116889396807301</v>
      </c>
      <c r="H17" s="21">
        <v>6.4876000000000003E-2</v>
      </c>
      <c r="I17" s="30"/>
    </row>
    <row r="18" spans="2:9" x14ac:dyDescent="0.2">
      <c r="B18" s="16" t="s">
        <v>54</v>
      </c>
      <c r="C18" s="16" t="s">
        <v>55</v>
      </c>
      <c r="D18" s="16" t="s">
        <v>18</v>
      </c>
      <c r="E18" s="20">
        <v>2000</v>
      </c>
      <c r="F18" s="17">
        <v>9935.66</v>
      </c>
      <c r="G18" s="18">
        <v>1.21303267719076</v>
      </c>
      <c r="H18" s="21">
        <v>6.2199999999999998E-2</v>
      </c>
      <c r="I18" s="30"/>
    </row>
    <row r="19" spans="2:9" x14ac:dyDescent="0.2">
      <c r="B19" s="16" t="s">
        <v>56</v>
      </c>
      <c r="C19" s="16" t="s">
        <v>57</v>
      </c>
      <c r="D19" s="16" t="s">
        <v>18</v>
      </c>
      <c r="E19" s="20">
        <v>2000</v>
      </c>
      <c r="F19" s="17">
        <v>9894.01</v>
      </c>
      <c r="G19" s="18">
        <v>1.2079476792132799</v>
      </c>
      <c r="H19" s="21">
        <v>6.4100000000000004E-2</v>
      </c>
      <c r="I19" s="30"/>
    </row>
    <row r="20" spans="2:9" x14ac:dyDescent="0.2">
      <c r="B20" s="16" t="s">
        <v>58</v>
      </c>
      <c r="C20" s="16" t="s">
        <v>59</v>
      </c>
      <c r="D20" s="16" t="s">
        <v>18</v>
      </c>
      <c r="E20" s="20">
        <v>1500</v>
      </c>
      <c r="F20" s="17">
        <v>7470</v>
      </c>
      <c r="G20" s="18">
        <v>0.91200323869929101</v>
      </c>
      <c r="H20" s="21">
        <v>6.1085E-2</v>
      </c>
      <c r="I20" s="30"/>
    </row>
    <row r="21" spans="2:9" x14ac:dyDescent="0.2">
      <c r="B21" s="16" t="s">
        <v>60</v>
      </c>
      <c r="C21" s="16" t="s">
        <v>61</v>
      </c>
      <c r="D21" s="16" t="s">
        <v>18</v>
      </c>
      <c r="E21" s="20">
        <v>1500</v>
      </c>
      <c r="F21" s="17">
        <v>7431.5550000000003</v>
      </c>
      <c r="G21" s="18">
        <v>0.907309535284057</v>
      </c>
      <c r="H21" s="21">
        <v>6.2253000000000003E-2</v>
      </c>
      <c r="I21" s="30"/>
    </row>
    <row r="22" spans="2:9" x14ac:dyDescent="0.2">
      <c r="B22" s="16" t="s">
        <v>62</v>
      </c>
      <c r="C22" s="16" t="s">
        <v>63</v>
      </c>
      <c r="D22" s="16" t="s">
        <v>17</v>
      </c>
      <c r="E22" s="20">
        <v>1500</v>
      </c>
      <c r="F22" s="17">
        <v>7430.4674999999997</v>
      </c>
      <c r="G22" s="18">
        <v>0.90717676372822298</v>
      </c>
      <c r="H22" s="21">
        <v>6.2101000000000003E-2</v>
      </c>
      <c r="I22" s="30"/>
    </row>
    <row r="23" spans="2:9" x14ac:dyDescent="0.2">
      <c r="B23" s="16" t="s">
        <v>64</v>
      </c>
      <c r="C23" s="16" t="s">
        <v>65</v>
      </c>
      <c r="D23" s="16" t="s">
        <v>18</v>
      </c>
      <c r="E23" s="20">
        <v>1500</v>
      </c>
      <c r="F23" s="17">
        <v>7425.8249999999998</v>
      </c>
      <c r="G23" s="18">
        <v>0.90660996653469395</v>
      </c>
      <c r="H23" s="21">
        <v>6.1797999999999999E-2</v>
      </c>
      <c r="I23" s="30"/>
    </row>
    <row r="24" spans="2:9" x14ac:dyDescent="0.2">
      <c r="B24" s="16" t="s">
        <v>66</v>
      </c>
      <c r="C24" s="16" t="s">
        <v>67</v>
      </c>
      <c r="D24" s="16" t="s">
        <v>18</v>
      </c>
      <c r="E24" s="20">
        <v>1000</v>
      </c>
      <c r="F24" s="17">
        <v>4976.78</v>
      </c>
      <c r="G24" s="18">
        <v>0.607609033238803</v>
      </c>
      <c r="H24" s="21">
        <v>6.0819999999999999E-2</v>
      </c>
      <c r="I24" s="30"/>
    </row>
    <row r="25" spans="2:9" x14ac:dyDescent="0.2">
      <c r="B25" s="16" t="s">
        <v>68</v>
      </c>
      <c r="C25" s="16" t="s">
        <v>69</v>
      </c>
      <c r="D25" s="16" t="s">
        <v>18</v>
      </c>
      <c r="E25" s="20">
        <v>1000</v>
      </c>
      <c r="F25" s="17">
        <v>4971.29</v>
      </c>
      <c r="G25" s="18">
        <v>0.60693876579831296</v>
      </c>
      <c r="H25" s="21">
        <v>6.1997999999999998E-2</v>
      </c>
      <c r="I25" s="30"/>
    </row>
    <row r="26" spans="2:9" x14ac:dyDescent="0.2">
      <c r="B26" s="16" t="s">
        <v>70</v>
      </c>
      <c r="C26" s="16" t="s">
        <v>71</v>
      </c>
      <c r="D26" s="16" t="s">
        <v>18</v>
      </c>
      <c r="E26" s="20">
        <v>1000</v>
      </c>
      <c r="F26" s="17">
        <v>4953.9399999999996</v>
      </c>
      <c r="G26" s="18">
        <v>0.60482052534430597</v>
      </c>
      <c r="H26" s="21">
        <v>6.2849000000000002E-2</v>
      </c>
      <c r="I26" s="30"/>
    </row>
    <row r="27" spans="2:9" x14ac:dyDescent="0.2">
      <c r="B27" s="16" t="s">
        <v>72</v>
      </c>
      <c r="C27" s="16" t="s">
        <v>73</v>
      </c>
      <c r="D27" s="16" t="s">
        <v>18</v>
      </c>
      <c r="E27" s="20">
        <v>1000</v>
      </c>
      <c r="F27" s="17">
        <v>4952.835</v>
      </c>
      <c r="G27" s="18">
        <v>0.60468561723469905</v>
      </c>
      <c r="H27" s="21">
        <v>6.3197000000000003E-2</v>
      </c>
      <c r="I27" s="30"/>
    </row>
    <row r="28" spans="2:9" x14ac:dyDescent="0.2">
      <c r="B28" s="16" t="s">
        <v>74</v>
      </c>
      <c r="C28" s="16" t="s">
        <v>75</v>
      </c>
      <c r="D28" s="16" t="s">
        <v>18</v>
      </c>
      <c r="E28" s="20">
        <v>500</v>
      </c>
      <c r="F28" s="17">
        <v>2498.3225000000002</v>
      </c>
      <c r="G28" s="18">
        <v>0.30501716349602498</v>
      </c>
      <c r="H28" s="21">
        <v>6.1316000000000002E-2</v>
      </c>
      <c r="I28" s="30"/>
    </row>
    <row r="29" spans="2:9" ht="10.5" x14ac:dyDescent="0.25">
      <c r="B29" s="15" t="s">
        <v>8</v>
      </c>
      <c r="C29" s="15"/>
      <c r="D29" s="15"/>
      <c r="E29" s="15"/>
      <c r="F29" s="24">
        <f>SUM(F6:F28)</f>
        <v>324638.19500000001</v>
      </c>
      <c r="G29" s="25">
        <f>SUM(G6:G28)</f>
        <v>39.634683433131457</v>
      </c>
      <c r="H29" s="22"/>
      <c r="I29" s="15"/>
    </row>
    <row r="30" spans="2:9" ht="10.5" x14ac:dyDescent="0.25">
      <c r="B30" s="15" t="s">
        <v>20</v>
      </c>
      <c r="C30" s="16"/>
      <c r="D30" s="16"/>
      <c r="E30" s="16"/>
      <c r="F30" s="17"/>
      <c r="G30" s="18"/>
      <c r="H30" s="19"/>
      <c r="I30" s="16"/>
    </row>
    <row r="31" spans="2:9" x14ac:dyDescent="0.2">
      <c r="B31" s="16" t="s">
        <v>76</v>
      </c>
      <c r="C31" s="16" t="s">
        <v>77</v>
      </c>
      <c r="D31" s="16" t="s">
        <v>18</v>
      </c>
      <c r="E31" s="20">
        <v>8000</v>
      </c>
      <c r="F31" s="17">
        <v>39745.24</v>
      </c>
      <c r="G31" s="18">
        <v>4.8524481396091801</v>
      </c>
      <c r="H31" s="21">
        <v>6.6850999999999994E-2</v>
      </c>
      <c r="I31" s="30"/>
    </row>
    <row r="32" spans="2:9" x14ac:dyDescent="0.2">
      <c r="B32" s="16" t="s">
        <v>78</v>
      </c>
      <c r="C32" s="16" t="s">
        <v>79</v>
      </c>
      <c r="D32" s="16" t="s">
        <v>19</v>
      </c>
      <c r="E32" s="20">
        <v>6000</v>
      </c>
      <c r="F32" s="17">
        <v>29859.63</v>
      </c>
      <c r="G32" s="18">
        <v>3.6455260062064898</v>
      </c>
      <c r="H32" s="21">
        <v>6.5994999999999998E-2</v>
      </c>
      <c r="I32" s="30"/>
    </row>
    <row r="33" spans="2:9" x14ac:dyDescent="0.2">
      <c r="B33" s="16" t="s">
        <v>80</v>
      </c>
      <c r="C33" s="16" t="s">
        <v>81</v>
      </c>
      <c r="D33" s="16" t="s">
        <v>18</v>
      </c>
      <c r="E33" s="20">
        <v>5000</v>
      </c>
      <c r="F33" s="17">
        <v>24855.3</v>
      </c>
      <c r="G33" s="18">
        <v>3.0345534268865402</v>
      </c>
      <c r="H33" s="21">
        <v>6.2497999999999998E-2</v>
      </c>
      <c r="I33" s="30"/>
    </row>
    <row r="34" spans="2:9" x14ac:dyDescent="0.2">
      <c r="B34" s="16" t="s">
        <v>82</v>
      </c>
      <c r="C34" s="16" t="s">
        <v>83</v>
      </c>
      <c r="D34" s="16" t="s">
        <v>18</v>
      </c>
      <c r="E34" s="20">
        <v>5000</v>
      </c>
      <c r="F34" s="17">
        <v>24851.05</v>
      </c>
      <c r="G34" s="18">
        <v>3.0340345495419001</v>
      </c>
      <c r="H34" s="21">
        <v>6.2506000000000006E-2</v>
      </c>
      <c r="I34" s="30"/>
    </row>
    <row r="35" spans="2:9" x14ac:dyDescent="0.2">
      <c r="B35" s="16" t="s">
        <v>84</v>
      </c>
      <c r="C35" s="16" t="s">
        <v>85</v>
      </c>
      <c r="D35" s="16" t="s">
        <v>18</v>
      </c>
      <c r="E35" s="20">
        <v>5000</v>
      </c>
      <c r="F35" s="17">
        <v>24827.224999999999</v>
      </c>
      <c r="G35" s="18">
        <v>3.0311257841922399</v>
      </c>
      <c r="H35" s="21">
        <v>6.6849000000000006E-2</v>
      </c>
      <c r="I35" s="30"/>
    </row>
    <row r="36" spans="2:9" x14ac:dyDescent="0.2">
      <c r="B36" s="16" t="s">
        <v>86</v>
      </c>
      <c r="C36" s="16" t="s">
        <v>87</v>
      </c>
      <c r="D36" s="16" t="s">
        <v>18</v>
      </c>
      <c r="E36" s="20">
        <v>5000</v>
      </c>
      <c r="F36" s="17">
        <v>24804.174999999999</v>
      </c>
      <c r="G36" s="18">
        <v>3.0283116376524699</v>
      </c>
      <c r="H36" s="21">
        <v>6.2647999999999995E-2</v>
      </c>
      <c r="I36" s="30"/>
    </row>
    <row r="37" spans="2:9" x14ac:dyDescent="0.2">
      <c r="B37" s="16" t="s">
        <v>88</v>
      </c>
      <c r="C37" s="16" t="s">
        <v>89</v>
      </c>
      <c r="D37" s="16" t="s">
        <v>18</v>
      </c>
      <c r="E37" s="20">
        <v>5000</v>
      </c>
      <c r="F37" s="17">
        <v>24771.625</v>
      </c>
      <c r="G37" s="18">
        <v>3.0243376476364601</v>
      </c>
      <c r="H37" s="21">
        <v>6.8673999999999999E-2</v>
      </c>
      <c r="I37" s="30"/>
    </row>
    <row r="38" spans="2:9" x14ac:dyDescent="0.2">
      <c r="B38" s="16" t="s">
        <v>90</v>
      </c>
      <c r="C38" s="16" t="s">
        <v>91</v>
      </c>
      <c r="D38" s="16" t="s">
        <v>17</v>
      </c>
      <c r="E38" s="20">
        <v>5000</v>
      </c>
      <c r="F38" s="17">
        <v>24588</v>
      </c>
      <c r="G38" s="18">
        <v>3.0019190941282701</v>
      </c>
      <c r="H38" s="21">
        <v>6.9500000000000006E-2</v>
      </c>
      <c r="I38" s="30"/>
    </row>
    <row r="39" spans="2:9" x14ac:dyDescent="0.2">
      <c r="B39" s="16" t="s">
        <v>92</v>
      </c>
      <c r="C39" s="16" t="s">
        <v>93</v>
      </c>
      <c r="D39" s="16" t="s">
        <v>18</v>
      </c>
      <c r="E39" s="20">
        <v>4000</v>
      </c>
      <c r="F39" s="17">
        <v>19960.46</v>
      </c>
      <c r="G39" s="18">
        <v>2.4369483488524302</v>
      </c>
      <c r="H39" s="21">
        <v>6.5747E-2</v>
      </c>
      <c r="I39" s="30"/>
    </row>
    <row r="40" spans="2:9" x14ac:dyDescent="0.2">
      <c r="B40" s="16" t="s">
        <v>94</v>
      </c>
      <c r="C40" s="16" t="s">
        <v>95</v>
      </c>
      <c r="D40" s="16" t="s">
        <v>17</v>
      </c>
      <c r="E40" s="20">
        <v>4000</v>
      </c>
      <c r="F40" s="17">
        <v>19913.900000000001</v>
      </c>
      <c r="G40" s="18">
        <v>2.4312638949309</v>
      </c>
      <c r="H40" s="21">
        <v>6.0697000000000001E-2</v>
      </c>
      <c r="I40" s="30"/>
    </row>
    <row r="41" spans="2:9" x14ac:dyDescent="0.2">
      <c r="B41" s="16" t="s">
        <v>96</v>
      </c>
      <c r="C41" s="16" t="s">
        <v>97</v>
      </c>
      <c r="D41" s="16" t="s">
        <v>18</v>
      </c>
      <c r="E41" s="20">
        <v>4000</v>
      </c>
      <c r="F41" s="17">
        <v>19837.16</v>
      </c>
      <c r="G41" s="18">
        <v>2.42189480141848</v>
      </c>
      <c r="H41" s="21">
        <v>6.3749E-2</v>
      </c>
      <c r="I41" s="30"/>
    </row>
    <row r="42" spans="2:9" x14ac:dyDescent="0.2">
      <c r="B42" s="16" t="s">
        <v>98</v>
      </c>
      <c r="C42" s="16" t="s">
        <v>99</v>
      </c>
      <c r="D42" s="16" t="s">
        <v>18</v>
      </c>
      <c r="E42" s="20">
        <v>4000</v>
      </c>
      <c r="F42" s="17">
        <v>19821.54</v>
      </c>
      <c r="G42" s="18">
        <v>2.4199877745659402</v>
      </c>
      <c r="H42" s="21">
        <v>6.3200000000000006E-2</v>
      </c>
      <c r="I42" s="30"/>
    </row>
    <row r="43" spans="2:9" x14ac:dyDescent="0.2">
      <c r="B43" s="16" t="s">
        <v>100</v>
      </c>
      <c r="C43" s="16" t="s">
        <v>101</v>
      </c>
      <c r="D43" s="16" t="s">
        <v>18</v>
      </c>
      <c r="E43" s="20">
        <v>3000</v>
      </c>
      <c r="F43" s="17">
        <v>14984.88</v>
      </c>
      <c r="G43" s="18">
        <v>1.8294858221579999</v>
      </c>
      <c r="H43" s="21">
        <v>6.1412000000000001E-2</v>
      </c>
      <c r="I43" s="30"/>
    </row>
    <row r="44" spans="2:9" x14ac:dyDescent="0.2">
      <c r="B44" s="16" t="s">
        <v>102</v>
      </c>
      <c r="C44" s="16" t="s">
        <v>103</v>
      </c>
      <c r="D44" s="16" t="s">
        <v>18</v>
      </c>
      <c r="E44" s="20">
        <v>3000</v>
      </c>
      <c r="F44" s="17">
        <v>14935.965</v>
      </c>
      <c r="G44" s="18">
        <v>1.82351384914314</v>
      </c>
      <c r="H44" s="21">
        <v>6.2602000000000005E-2</v>
      </c>
      <c r="I44" s="30"/>
    </row>
    <row r="45" spans="2:9" x14ac:dyDescent="0.2">
      <c r="B45" s="16" t="s">
        <v>104</v>
      </c>
      <c r="C45" s="16" t="s">
        <v>105</v>
      </c>
      <c r="D45" s="16" t="s">
        <v>18</v>
      </c>
      <c r="E45" s="20">
        <v>2200</v>
      </c>
      <c r="F45" s="17">
        <v>10857.33</v>
      </c>
      <c r="G45" s="18">
        <v>1.3255582494815199</v>
      </c>
      <c r="H45" s="21">
        <v>6.5701999999999997E-2</v>
      </c>
      <c r="I45" s="30"/>
    </row>
    <row r="46" spans="2:9" x14ac:dyDescent="0.2">
      <c r="B46" s="16" t="s">
        <v>106</v>
      </c>
      <c r="C46" s="16" t="s">
        <v>107</v>
      </c>
      <c r="D46" s="16" t="s">
        <v>18</v>
      </c>
      <c r="E46" s="20">
        <v>2000</v>
      </c>
      <c r="F46" s="17">
        <v>9936.74</v>
      </c>
      <c r="G46" s="18">
        <v>1.2131645330806999</v>
      </c>
      <c r="H46" s="21">
        <v>6.6395999999999997E-2</v>
      </c>
      <c r="I46" s="30"/>
    </row>
    <row r="47" spans="2:9" x14ac:dyDescent="0.2">
      <c r="B47" s="16" t="s">
        <v>108</v>
      </c>
      <c r="C47" s="16" t="s">
        <v>109</v>
      </c>
      <c r="D47" s="16" t="s">
        <v>18</v>
      </c>
      <c r="E47" s="20">
        <v>2000</v>
      </c>
      <c r="F47" s="17">
        <v>9902.2099999999991</v>
      </c>
      <c r="G47" s="18">
        <v>1.20894880726647</v>
      </c>
      <c r="H47" s="21">
        <v>6.6752000000000006E-2</v>
      </c>
      <c r="I47" s="30"/>
    </row>
    <row r="48" spans="2:9" x14ac:dyDescent="0.2">
      <c r="B48" s="16" t="s">
        <v>110</v>
      </c>
      <c r="C48" s="16" t="s">
        <v>111</v>
      </c>
      <c r="D48" s="16" t="s">
        <v>18</v>
      </c>
      <c r="E48" s="20">
        <v>1500</v>
      </c>
      <c r="F48" s="17">
        <v>7429.7250000000004</v>
      </c>
      <c r="G48" s="18">
        <v>0.90708611280389395</v>
      </c>
      <c r="H48" s="21">
        <v>6.6392000000000007E-2</v>
      </c>
      <c r="I48" s="30"/>
    </row>
    <row r="49" spans="2:9" x14ac:dyDescent="0.2">
      <c r="B49" s="16" t="s">
        <v>112</v>
      </c>
      <c r="C49" s="16" t="s">
        <v>113</v>
      </c>
      <c r="D49" s="16" t="s">
        <v>18</v>
      </c>
      <c r="E49" s="20">
        <v>1000</v>
      </c>
      <c r="F49" s="17">
        <v>4983.8549999999996</v>
      </c>
      <c r="G49" s="18">
        <v>0.608472811406647</v>
      </c>
      <c r="H49" s="21">
        <v>6.5698999999999994E-2</v>
      </c>
      <c r="I49" s="30"/>
    </row>
    <row r="50" spans="2:9" x14ac:dyDescent="0.2">
      <c r="B50" s="16" t="s">
        <v>114</v>
      </c>
      <c r="C50" s="16" t="s">
        <v>115</v>
      </c>
      <c r="D50" s="16" t="s">
        <v>18</v>
      </c>
      <c r="E50" s="20">
        <v>1000</v>
      </c>
      <c r="F50" s="17">
        <v>4983.76</v>
      </c>
      <c r="G50" s="18">
        <v>0.60846121297188505</v>
      </c>
      <c r="H50" s="21">
        <v>6.2599000000000002E-2</v>
      </c>
      <c r="I50" s="30"/>
    </row>
    <row r="51" spans="2:9" x14ac:dyDescent="0.2">
      <c r="B51" s="16" t="s">
        <v>116</v>
      </c>
      <c r="C51" s="16" t="s">
        <v>117</v>
      </c>
      <c r="D51" s="16" t="s">
        <v>18</v>
      </c>
      <c r="E51" s="20">
        <v>500</v>
      </c>
      <c r="F51" s="17">
        <v>2494.3375000000001</v>
      </c>
      <c r="G51" s="18">
        <v>0.30453063967993199</v>
      </c>
      <c r="H51" s="21">
        <v>6.3753000000000004E-2</v>
      </c>
      <c r="I51" s="30"/>
    </row>
    <row r="52" spans="2:9" x14ac:dyDescent="0.2">
      <c r="B52" s="16" t="s">
        <v>118</v>
      </c>
      <c r="C52" s="16" t="s">
        <v>119</v>
      </c>
      <c r="D52" s="16" t="s">
        <v>18</v>
      </c>
      <c r="E52" s="20">
        <v>500</v>
      </c>
      <c r="F52" s="17">
        <v>2475.9175</v>
      </c>
      <c r="G52" s="18">
        <v>0.30228176422386199</v>
      </c>
      <c r="H52" s="21">
        <v>6.5749000000000002E-2</v>
      </c>
      <c r="I52" s="30"/>
    </row>
    <row r="53" spans="2:9" ht="10.5" x14ac:dyDescent="0.25">
      <c r="B53" s="15" t="s">
        <v>8</v>
      </c>
      <c r="C53" s="15"/>
      <c r="D53" s="15"/>
      <c r="E53" s="15"/>
      <c r="F53" s="24">
        <f>SUM(F30:F52)</f>
        <v>380820.02499999997</v>
      </c>
      <c r="G53" s="25">
        <f>SUM(G30:G52)</f>
        <v>46.493854907837353</v>
      </c>
      <c r="H53" s="22"/>
      <c r="I53" s="15"/>
    </row>
    <row r="54" spans="2:9" ht="10.5" x14ac:dyDescent="0.25">
      <c r="B54" s="15" t="s">
        <v>21</v>
      </c>
      <c r="C54" s="16"/>
      <c r="D54" s="16"/>
      <c r="E54" s="16"/>
      <c r="F54" s="17"/>
      <c r="G54" s="18"/>
      <c r="H54" s="19"/>
      <c r="I54" s="16"/>
    </row>
    <row r="55" spans="2:9" x14ac:dyDescent="0.2">
      <c r="B55" s="16" t="s">
        <v>120</v>
      </c>
      <c r="C55" s="16" t="s">
        <v>121</v>
      </c>
      <c r="D55" s="16" t="s">
        <v>22</v>
      </c>
      <c r="E55" s="20">
        <v>15000000</v>
      </c>
      <c r="F55" s="17">
        <v>14944.32</v>
      </c>
      <c r="G55" s="18">
        <v>1.8245339009583099</v>
      </c>
      <c r="H55" s="21">
        <v>5.0368000000000003E-2</v>
      </c>
      <c r="I55" s="30"/>
    </row>
    <row r="56" spans="2:9" x14ac:dyDescent="0.2">
      <c r="B56" s="16" t="s">
        <v>122</v>
      </c>
      <c r="C56" s="16" t="s">
        <v>123</v>
      </c>
      <c r="D56" s="16" t="s">
        <v>22</v>
      </c>
      <c r="E56" s="20">
        <v>8500000</v>
      </c>
      <c r="F56" s="17">
        <v>8416.6319999999996</v>
      </c>
      <c r="G56" s="18">
        <v>1.02757639129051</v>
      </c>
      <c r="H56" s="21">
        <v>5.2400000000000002E-2</v>
      </c>
      <c r="I56" s="30"/>
    </row>
    <row r="57" spans="2:9" x14ac:dyDescent="0.2">
      <c r="B57" s="16" t="s">
        <v>124</v>
      </c>
      <c r="C57" s="16" t="s">
        <v>125</v>
      </c>
      <c r="D57" s="16" t="s">
        <v>22</v>
      </c>
      <c r="E57" s="20">
        <v>4500000</v>
      </c>
      <c r="F57" s="17">
        <v>4496.2245000000003</v>
      </c>
      <c r="G57" s="18">
        <v>0.54893859516989296</v>
      </c>
      <c r="H57" s="21">
        <v>5.1111999999999998E-2</v>
      </c>
      <c r="I57" s="30"/>
    </row>
    <row r="58" spans="2:9" x14ac:dyDescent="0.2">
      <c r="B58" s="16" t="s">
        <v>126</v>
      </c>
      <c r="C58" s="16" t="s">
        <v>127</v>
      </c>
      <c r="D58" s="16" t="s">
        <v>22</v>
      </c>
      <c r="E58" s="20">
        <v>3000000</v>
      </c>
      <c r="F58" s="17">
        <v>2994.5070000000001</v>
      </c>
      <c r="G58" s="18">
        <v>0.36559572721655897</v>
      </c>
      <c r="H58" s="21">
        <v>5.1503E-2</v>
      </c>
      <c r="I58" s="30"/>
    </row>
    <row r="59" spans="2:9" x14ac:dyDescent="0.2">
      <c r="B59" s="16" t="s">
        <v>128</v>
      </c>
      <c r="C59" s="16" t="s">
        <v>129</v>
      </c>
      <c r="D59" s="16" t="s">
        <v>22</v>
      </c>
      <c r="E59" s="20">
        <v>1500000</v>
      </c>
      <c r="F59" s="17">
        <v>1498.7415000000001</v>
      </c>
      <c r="G59" s="18">
        <v>0.18297953172329801</v>
      </c>
      <c r="H59" s="21">
        <v>5.1111999999999998E-2</v>
      </c>
      <c r="I59" s="30"/>
    </row>
    <row r="60" spans="2:9" x14ac:dyDescent="0.2">
      <c r="B60" s="16" t="s">
        <v>130</v>
      </c>
      <c r="C60" s="16" t="s">
        <v>131</v>
      </c>
      <c r="D60" s="16" t="s">
        <v>22</v>
      </c>
      <c r="E60" s="20">
        <v>1500000</v>
      </c>
      <c r="F60" s="17">
        <v>1495.6110000000001</v>
      </c>
      <c r="G60" s="18">
        <v>0.182597332775674</v>
      </c>
      <c r="H60" s="21">
        <v>5.1006000000000003E-2</v>
      </c>
      <c r="I60" s="30"/>
    </row>
    <row r="61" spans="2:9" x14ac:dyDescent="0.2">
      <c r="B61" s="16" t="s">
        <v>132</v>
      </c>
      <c r="C61" s="16" t="s">
        <v>133</v>
      </c>
      <c r="D61" s="16" t="s">
        <v>22</v>
      </c>
      <c r="E61" s="20">
        <v>1000000</v>
      </c>
      <c r="F61" s="17">
        <v>995.23599999999999</v>
      </c>
      <c r="G61" s="18">
        <v>0.121507155993324</v>
      </c>
      <c r="H61" s="21">
        <v>5.1393000000000001E-2</v>
      </c>
      <c r="I61" s="30"/>
    </row>
    <row r="62" spans="2:9" x14ac:dyDescent="0.2">
      <c r="B62" s="16" t="s">
        <v>134</v>
      </c>
      <c r="C62" s="16" t="s">
        <v>135</v>
      </c>
      <c r="D62" s="16" t="s">
        <v>22</v>
      </c>
      <c r="E62" s="20">
        <v>500000</v>
      </c>
      <c r="F62" s="17">
        <v>499.51049999999998</v>
      </c>
      <c r="G62" s="18">
        <v>6.0984631026011003E-2</v>
      </c>
      <c r="H62" s="21">
        <v>5.1097999999999998E-2</v>
      </c>
      <c r="I62" s="30"/>
    </row>
    <row r="63" spans="2:9" x14ac:dyDescent="0.2">
      <c r="B63" s="16" t="s">
        <v>29</v>
      </c>
      <c r="C63" s="16" t="s">
        <v>30</v>
      </c>
      <c r="D63" s="16" t="s">
        <v>22</v>
      </c>
      <c r="E63" s="20">
        <v>500000</v>
      </c>
      <c r="F63" s="17">
        <v>498.60649999999998</v>
      </c>
      <c r="G63" s="18">
        <v>6.0874262762586097E-2</v>
      </c>
      <c r="H63" s="21">
        <v>5.1005000000000002E-2</v>
      </c>
      <c r="I63" s="30"/>
    </row>
    <row r="64" spans="2:9" ht="10.5" x14ac:dyDescent="0.25">
      <c r="B64" s="15" t="s">
        <v>8</v>
      </c>
      <c r="C64" s="15"/>
      <c r="D64" s="15"/>
      <c r="E64" s="15"/>
      <c r="F64" s="31">
        <f>SUM(F54:F63)</f>
        <v>35839.388999999996</v>
      </c>
      <c r="G64" s="32">
        <f>SUM(G54:G63)</f>
        <v>4.3755875289161654</v>
      </c>
      <c r="H64" s="22"/>
      <c r="I64" s="15"/>
    </row>
    <row r="65" spans="2:9" ht="10.5" x14ac:dyDescent="0.25">
      <c r="B65" s="23" t="s">
        <v>9</v>
      </c>
      <c r="C65" s="23"/>
      <c r="D65" s="23"/>
      <c r="E65" s="23"/>
      <c r="F65" s="24">
        <f>+F29+F53+F64</f>
        <v>741297.60899999994</v>
      </c>
      <c r="G65" s="25">
        <f>+G29+G53+G64</f>
        <v>90.504125869884987</v>
      </c>
      <c r="H65" s="22"/>
      <c r="I65" s="15"/>
    </row>
    <row r="66" spans="2:9" ht="10.5" x14ac:dyDescent="0.25">
      <c r="B66" s="15" t="s">
        <v>23</v>
      </c>
      <c r="C66" s="16"/>
      <c r="D66" s="16"/>
      <c r="E66" s="16"/>
      <c r="F66" s="17"/>
      <c r="G66" s="18"/>
      <c r="H66" s="19"/>
      <c r="I66" s="16"/>
    </row>
    <row r="67" spans="2:9" x14ac:dyDescent="0.2">
      <c r="B67" s="16" t="s">
        <v>24</v>
      </c>
      <c r="C67" s="16" t="s">
        <v>25</v>
      </c>
      <c r="D67" s="16"/>
      <c r="E67" s="20">
        <v>15348.03</v>
      </c>
      <c r="F67" s="17">
        <v>1803.5991119</v>
      </c>
      <c r="G67" s="18">
        <v>0.22019922776010201</v>
      </c>
      <c r="H67" s="19"/>
      <c r="I67" s="16"/>
    </row>
    <row r="68" spans="2:9" ht="10.5" x14ac:dyDescent="0.25">
      <c r="B68" s="15" t="s">
        <v>8</v>
      </c>
      <c r="C68" s="15"/>
      <c r="D68" s="15"/>
      <c r="E68" s="15"/>
      <c r="F68" s="24">
        <f>SUM(F67:F67)</f>
        <v>1803.5991119</v>
      </c>
      <c r="G68" s="25">
        <f>SUM(G67:G67)</f>
        <v>0.22019922776010201</v>
      </c>
      <c r="H68" s="22"/>
      <c r="I68" s="15"/>
    </row>
    <row r="69" spans="2:9" ht="10.5" x14ac:dyDescent="0.25">
      <c r="B69" s="15"/>
      <c r="C69" s="16"/>
      <c r="D69" s="16"/>
      <c r="E69" s="16"/>
      <c r="F69" s="17"/>
      <c r="G69" s="18"/>
      <c r="H69" s="19"/>
      <c r="I69" s="16"/>
    </row>
    <row r="70" spans="2:9" ht="10.5" x14ac:dyDescent="0.25">
      <c r="B70" s="15" t="s">
        <v>10</v>
      </c>
      <c r="C70" s="15"/>
      <c r="D70" s="15"/>
      <c r="E70" s="15"/>
      <c r="F70" s="47"/>
      <c r="G70" s="48"/>
      <c r="H70" s="21"/>
      <c r="I70" s="21"/>
    </row>
    <row r="71" spans="2:9" ht="10.5" x14ac:dyDescent="0.25">
      <c r="B71" s="16" t="s">
        <v>151</v>
      </c>
      <c r="C71" s="15"/>
      <c r="D71" s="15"/>
      <c r="E71" s="15"/>
      <c r="F71" s="17">
        <v>19988.18</v>
      </c>
      <c r="G71" s="18">
        <v>2.4403326500273601</v>
      </c>
      <c r="H71" s="21">
        <v>5.3999999999999999E-2</v>
      </c>
      <c r="I71" s="21"/>
    </row>
    <row r="72" spans="2:9" ht="10.5" x14ac:dyDescent="0.25">
      <c r="B72" s="16" t="s">
        <v>152</v>
      </c>
      <c r="C72" s="15"/>
      <c r="D72" s="15"/>
      <c r="E72" s="15"/>
      <c r="F72" s="17">
        <v>24989.224999999999</v>
      </c>
      <c r="G72" s="18">
        <v>3.0509041676820998</v>
      </c>
      <c r="H72" s="21">
        <v>5.2499999999999998E-2</v>
      </c>
      <c r="I72" s="21"/>
    </row>
    <row r="73" spans="2:9" ht="10.5" x14ac:dyDescent="0.25">
      <c r="B73" s="16" t="s">
        <v>152</v>
      </c>
      <c r="C73" s="15"/>
      <c r="D73" s="15"/>
      <c r="E73" s="15"/>
      <c r="F73" s="17">
        <v>220.94455760000002</v>
      </c>
      <c r="G73" s="18">
        <v>2.6974853025994901E-2</v>
      </c>
      <c r="H73" s="21">
        <v>5.2499999999999998E-2</v>
      </c>
      <c r="I73" s="21"/>
    </row>
    <row r="74" spans="2:9" ht="10.5" x14ac:dyDescent="0.25">
      <c r="B74" s="15" t="s">
        <v>9</v>
      </c>
      <c r="C74" s="16"/>
      <c r="D74" s="16"/>
      <c r="E74" s="16"/>
      <c r="F74" s="24">
        <v>45198.349557599999</v>
      </c>
      <c r="G74" s="25">
        <v>5.5182116707354547</v>
      </c>
      <c r="H74" s="19"/>
      <c r="I74" s="16"/>
    </row>
    <row r="75" spans="2:9" ht="10.5" x14ac:dyDescent="0.25">
      <c r="B75" s="16"/>
      <c r="C75" s="16"/>
      <c r="D75" s="16"/>
      <c r="E75" s="16"/>
      <c r="F75" s="47"/>
      <c r="G75" s="48"/>
      <c r="H75" s="19"/>
      <c r="I75" s="16"/>
    </row>
    <row r="76" spans="2:9" ht="10.5" x14ac:dyDescent="0.25">
      <c r="B76" s="15" t="s">
        <v>31</v>
      </c>
      <c r="C76" s="16"/>
      <c r="D76" s="16"/>
      <c r="E76" s="16"/>
      <c r="F76" s="17"/>
      <c r="G76" s="18"/>
      <c r="H76" s="19"/>
      <c r="I76" s="16"/>
    </row>
    <row r="77" spans="2:9" x14ac:dyDescent="0.2">
      <c r="B77" s="16" t="s">
        <v>136</v>
      </c>
      <c r="C77" s="16"/>
      <c r="D77" s="16"/>
      <c r="E77" s="16"/>
      <c r="F77" s="17">
        <v>19998.2249643</v>
      </c>
      <c r="G77" s="18">
        <v>2.44155902753395</v>
      </c>
      <c r="H77" s="19">
        <v>5.45E-2</v>
      </c>
      <c r="I77" s="16"/>
    </row>
    <row r="78" spans="2:9" x14ac:dyDescent="0.2">
      <c r="B78" s="16" t="s">
        <v>137</v>
      </c>
      <c r="C78" s="16"/>
      <c r="D78" s="16"/>
      <c r="E78" s="16"/>
      <c r="F78" s="17">
        <v>9999.4491362999997</v>
      </c>
      <c r="G78" s="18">
        <v>1.22082061546378</v>
      </c>
      <c r="H78" s="19">
        <v>5.45E-2</v>
      </c>
      <c r="I78" s="16"/>
    </row>
    <row r="79" spans="2:9" x14ac:dyDescent="0.2">
      <c r="B79" s="16" t="s">
        <v>138</v>
      </c>
      <c r="C79" s="16"/>
      <c r="D79" s="16"/>
      <c r="E79" s="16"/>
      <c r="F79" s="17">
        <v>7499.6874778000001</v>
      </c>
      <c r="G79" s="18">
        <v>0.91562774685222403</v>
      </c>
      <c r="H79" s="19">
        <v>5.45E-2</v>
      </c>
      <c r="I79" s="16"/>
    </row>
    <row r="80" spans="2:9" ht="10.5" x14ac:dyDescent="0.25">
      <c r="B80" s="15" t="s">
        <v>9</v>
      </c>
      <c r="C80" s="15"/>
      <c r="D80" s="15"/>
      <c r="E80" s="15"/>
      <c r="F80" s="24">
        <v>37497.361578399999</v>
      </c>
      <c r="G80" s="25">
        <v>4.5780073898499545</v>
      </c>
      <c r="H80" s="19"/>
      <c r="I80" s="16"/>
    </row>
    <row r="81" spans="2:9" x14ac:dyDescent="0.2">
      <c r="B81" s="16"/>
      <c r="C81" s="16"/>
      <c r="D81" s="16"/>
      <c r="E81" s="16"/>
      <c r="F81" s="17"/>
      <c r="G81" s="18"/>
      <c r="H81" s="19"/>
      <c r="I81" s="16"/>
    </row>
    <row r="82" spans="2:9" ht="10.5" x14ac:dyDescent="0.25">
      <c r="B82" s="23" t="s">
        <v>12</v>
      </c>
      <c r="C82" s="23"/>
      <c r="D82" s="23"/>
      <c r="E82" s="23"/>
      <c r="F82" s="24">
        <f>F83-(F29+F53+F64+F68+F74+F80)</f>
        <v>-6720.8805866999319</v>
      </c>
      <c r="G82" s="25">
        <f>G83-(G29+G53+G64+G68+G74+G80)</f>
        <v>-0.82054415823050419</v>
      </c>
      <c r="H82" s="22"/>
      <c r="I82" s="15"/>
    </row>
    <row r="83" spans="2:9" ht="10.5" x14ac:dyDescent="0.25">
      <c r="B83" s="23" t="s">
        <v>11</v>
      </c>
      <c r="C83" s="23"/>
      <c r="D83" s="23"/>
      <c r="E83" s="23"/>
      <c r="F83" s="24">
        <v>819076.03866119997</v>
      </c>
      <c r="G83" s="25">
        <v>100</v>
      </c>
      <c r="H83" s="26"/>
      <c r="I83" s="27"/>
    </row>
    <row r="85" spans="2:9" ht="10.5" x14ac:dyDescent="0.25">
      <c r="B85" s="14" t="s">
        <v>27</v>
      </c>
    </row>
    <row r="86" spans="2:9" ht="40" customHeight="1" x14ac:dyDescent="0.2">
      <c r="B86" s="53" t="s">
        <v>28</v>
      </c>
      <c r="C86" s="53"/>
      <c r="D86" s="53"/>
      <c r="E86" s="53"/>
      <c r="F86" s="53"/>
      <c r="G86" s="53"/>
      <c r="H86" s="53"/>
      <c r="I86" s="53"/>
    </row>
    <row r="87" spans="2:9" ht="10.5" x14ac:dyDescent="0.25">
      <c r="B87" s="14"/>
    </row>
    <row r="88" spans="2:9" ht="10.5" x14ac:dyDescent="0.25">
      <c r="B88" s="41" t="s">
        <v>153</v>
      </c>
    </row>
    <row r="89" spans="2:9" ht="10.5" x14ac:dyDescent="0.25">
      <c r="B89" s="41"/>
    </row>
    <row r="90" spans="2:9" ht="10.5" x14ac:dyDescent="0.2">
      <c r="B90" s="54"/>
      <c r="C90" s="54"/>
      <c r="D90" s="54"/>
      <c r="E90" s="54"/>
      <c r="F90" s="54"/>
      <c r="G90" s="54"/>
      <c r="H90" s="54"/>
      <c r="I90" s="54"/>
    </row>
    <row r="91" spans="2:9" ht="10.5" x14ac:dyDescent="0.25">
      <c r="B91" s="14"/>
    </row>
    <row r="92" spans="2:9" ht="10.5" x14ac:dyDescent="0.25">
      <c r="B92" s="35" t="s">
        <v>13</v>
      </c>
      <c r="C92" s="34"/>
      <c r="D92" s="34"/>
      <c r="E92" s="14"/>
    </row>
    <row r="93" spans="2:9" ht="10.5" x14ac:dyDescent="0.25">
      <c r="B93" s="35"/>
      <c r="C93" s="34"/>
      <c r="D93" s="34"/>
      <c r="E93" s="14"/>
    </row>
    <row r="94" spans="2:9" ht="10.5" x14ac:dyDescent="0.25">
      <c r="B94" s="42" t="s">
        <v>143</v>
      </c>
      <c r="C94" s="34"/>
      <c r="D94" s="34"/>
      <c r="E94" s="14"/>
    </row>
    <row r="95" spans="2:9" ht="10.5" x14ac:dyDescent="0.25">
      <c r="B95" s="42" t="s">
        <v>144</v>
      </c>
      <c r="C95" s="34"/>
      <c r="D95" s="34"/>
      <c r="E95" s="14"/>
    </row>
    <row r="96" spans="2:9" ht="10.5" x14ac:dyDescent="0.25">
      <c r="B96" s="35"/>
      <c r="C96" s="49"/>
      <c r="D96" s="34"/>
      <c r="E96" s="14"/>
    </row>
    <row r="97" spans="2:9" ht="10.5" x14ac:dyDescent="0.25">
      <c r="B97" s="45" t="s">
        <v>145</v>
      </c>
      <c r="C97" s="43" t="s">
        <v>155</v>
      </c>
      <c r="D97" s="43" t="s">
        <v>146</v>
      </c>
      <c r="E97" s="14"/>
    </row>
    <row r="98" spans="2:9" ht="10.5" x14ac:dyDescent="0.25">
      <c r="B98" s="44" t="s">
        <v>147</v>
      </c>
      <c r="C98" s="46">
        <v>1044.4482</v>
      </c>
      <c r="D98" s="46">
        <v>1051.5916</v>
      </c>
      <c r="E98" s="14"/>
    </row>
    <row r="99" spans="2:9" ht="10.5" x14ac:dyDescent="0.25">
      <c r="B99" s="35"/>
      <c r="C99" s="34"/>
      <c r="D99" s="34"/>
      <c r="E99" s="14"/>
    </row>
    <row r="100" spans="2:9" ht="10.5" x14ac:dyDescent="0.25">
      <c r="B100" s="42" t="s">
        <v>156</v>
      </c>
      <c r="C100" s="34"/>
      <c r="D100" s="34"/>
      <c r="E100" s="14"/>
    </row>
    <row r="101" spans="2:9" ht="10.5" x14ac:dyDescent="0.25">
      <c r="B101" s="42" t="s">
        <v>148</v>
      </c>
      <c r="C101" s="34"/>
      <c r="D101" s="34"/>
      <c r="E101" s="14"/>
    </row>
    <row r="102" spans="2:9" ht="10.5" x14ac:dyDescent="0.25">
      <c r="B102" s="42" t="s">
        <v>149</v>
      </c>
      <c r="C102" s="34"/>
      <c r="D102" s="34"/>
      <c r="E102" s="14"/>
    </row>
    <row r="103" spans="2:9" ht="10.5" x14ac:dyDescent="0.25">
      <c r="B103" s="50" t="s">
        <v>154</v>
      </c>
      <c r="C103" s="34"/>
      <c r="D103" s="34"/>
      <c r="E103" s="14"/>
    </row>
    <row r="104" spans="2:9" ht="10.5" x14ac:dyDescent="0.25">
      <c r="B104" s="42" t="s">
        <v>150</v>
      </c>
      <c r="C104" s="34"/>
      <c r="D104" s="34"/>
      <c r="E104" s="14"/>
    </row>
    <row r="105" spans="2:9" ht="10.5" x14ac:dyDescent="0.25">
      <c r="B105" s="14"/>
    </row>
    <row r="107" spans="2:9" ht="10.5" x14ac:dyDescent="0.25">
      <c r="B107" s="14" t="s">
        <v>139</v>
      </c>
      <c r="I107" s="11"/>
    </row>
    <row r="108" spans="2:9" ht="10.5" x14ac:dyDescent="0.25">
      <c r="B108" s="14"/>
      <c r="C108" s="14"/>
      <c r="D108" s="28"/>
      <c r="E108" s="14"/>
      <c r="I108" s="11"/>
    </row>
    <row r="109" spans="2:9" x14ac:dyDescent="0.2">
      <c r="D109" s="29"/>
      <c r="E109" s="29"/>
      <c r="I109" s="11"/>
    </row>
    <row r="110" spans="2:9" x14ac:dyDescent="0.2">
      <c r="I110" s="11"/>
    </row>
    <row r="111" spans="2:9" x14ac:dyDescent="0.2">
      <c r="I111" s="11"/>
    </row>
    <row r="112" spans="2:9" x14ac:dyDescent="0.2">
      <c r="I112" s="11"/>
    </row>
    <row r="113" spans="2:9" x14ac:dyDescent="0.2">
      <c r="I113" s="11"/>
    </row>
    <row r="114" spans="2:9" x14ac:dyDescent="0.2">
      <c r="I114" s="11"/>
    </row>
    <row r="115" spans="2:9" x14ac:dyDescent="0.2">
      <c r="I115" s="11"/>
    </row>
    <row r="116" spans="2:9" x14ac:dyDescent="0.2">
      <c r="I116" s="11"/>
    </row>
    <row r="117" spans="2:9" x14ac:dyDescent="0.2">
      <c r="I117" s="11"/>
    </row>
    <row r="118" spans="2:9" x14ac:dyDescent="0.2">
      <c r="I118" s="11"/>
    </row>
    <row r="119" spans="2:9" x14ac:dyDescent="0.2">
      <c r="I119" s="11"/>
    </row>
    <row r="120" spans="2:9" x14ac:dyDescent="0.2">
      <c r="I120" s="11"/>
    </row>
    <row r="121" spans="2:9" x14ac:dyDescent="0.2">
      <c r="I121" s="11"/>
    </row>
    <row r="122" spans="2:9" x14ac:dyDescent="0.2">
      <c r="I122" s="11"/>
    </row>
    <row r="123" spans="2:9" x14ac:dyDescent="0.2">
      <c r="I123" s="11"/>
    </row>
    <row r="124" spans="2:9" x14ac:dyDescent="0.2">
      <c r="I124" s="11"/>
    </row>
    <row r="125" spans="2:9" x14ac:dyDescent="0.2">
      <c r="I125" s="11"/>
    </row>
    <row r="126" spans="2:9" x14ac:dyDescent="0.2">
      <c r="I126" s="11"/>
    </row>
    <row r="127" spans="2:9" x14ac:dyDescent="0.2">
      <c r="I127" s="11"/>
    </row>
    <row r="128" spans="2:9" ht="10.5" x14ac:dyDescent="0.25">
      <c r="B128" s="14" t="s">
        <v>140</v>
      </c>
      <c r="I128" s="11"/>
    </row>
    <row r="129" spans="2:9" ht="10.5" x14ac:dyDescent="0.25">
      <c r="B129" s="14" t="s">
        <v>141</v>
      </c>
      <c r="I129" s="11"/>
    </row>
    <row r="130" spans="2:9" x14ac:dyDescent="0.2">
      <c r="I130" s="11"/>
    </row>
    <row r="131" spans="2:9" x14ac:dyDescent="0.2">
      <c r="I131" s="11"/>
    </row>
    <row r="132" spans="2:9" x14ac:dyDescent="0.2">
      <c r="I132" s="11"/>
    </row>
    <row r="133" spans="2:9" x14ac:dyDescent="0.2">
      <c r="I133" s="11"/>
    </row>
    <row r="134" spans="2:9" x14ac:dyDescent="0.2">
      <c r="I134" s="11"/>
    </row>
    <row r="135" spans="2:9" x14ac:dyDescent="0.2">
      <c r="I135" s="11"/>
    </row>
    <row r="136" spans="2:9" x14ac:dyDescent="0.2">
      <c r="I136" s="11"/>
    </row>
    <row r="137" spans="2:9" x14ac:dyDescent="0.2">
      <c r="I137" s="11"/>
    </row>
    <row r="138" spans="2:9" x14ac:dyDescent="0.2">
      <c r="I138" s="11"/>
    </row>
    <row r="139" spans="2:9" x14ac:dyDescent="0.2">
      <c r="I139" s="11"/>
    </row>
    <row r="140" spans="2:9" x14ac:dyDescent="0.2">
      <c r="I140" s="11"/>
    </row>
    <row r="141" spans="2:9" x14ac:dyDescent="0.2">
      <c r="I141" s="11"/>
    </row>
    <row r="142" spans="2:9" x14ac:dyDescent="0.2">
      <c r="I142" s="11"/>
    </row>
    <row r="143" spans="2:9" x14ac:dyDescent="0.2">
      <c r="I143" s="11"/>
    </row>
    <row r="144" spans="2:9" x14ac:dyDescent="0.2">
      <c r="I144" s="11"/>
    </row>
    <row r="145" spans="9:9" x14ac:dyDescent="0.2">
      <c r="I145" s="11"/>
    </row>
    <row r="146" spans="9:9" x14ac:dyDescent="0.2">
      <c r="I146" s="11"/>
    </row>
    <row r="147" spans="9:9" x14ac:dyDescent="0.2">
      <c r="I147" s="11"/>
    </row>
    <row r="148" spans="9:9" x14ac:dyDescent="0.2">
      <c r="I148" s="11"/>
    </row>
    <row r="149" spans="9:9" x14ac:dyDescent="0.2">
      <c r="I149" s="11"/>
    </row>
    <row r="150" spans="9:9" x14ac:dyDescent="0.2">
      <c r="I150" s="11"/>
    </row>
    <row r="151" spans="9:9" x14ac:dyDescent="0.2">
      <c r="I151" s="11"/>
    </row>
    <row r="152" spans="9:9" x14ac:dyDescent="0.2">
      <c r="I152" s="11"/>
    </row>
    <row r="153" spans="9:9" x14ac:dyDescent="0.2">
      <c r="I153" s="11"/>
    </row>
    <row r="154" spans="9:9" x14ac:dyDescent="0.2">
      <c r="I154" s="11"/>
    </row>
    <row r="155" spans="9:9" x14ac:dyDescent="0.2">
      <c r="I155" s="11"/>
    </row>
    <row r="156" spans="9:9" x14ac:dyDescent="0.2">
      <c r="I156" s="11"/>
    </row>
    <row r="157" spans="9:9" x14ac:dyDescent="0.2">
      <c r="I157" s="11"/>
    </row>
    <row r="158" spans="9:9" x14ac:dyDescent="0.2">
      <c r="I158" s="11"/>
    </row>
    <row r="159" spans="9:9" x14ac:dyDescent="0.2">
      <c r="I159" s="11"/>
    </row>
    <row r="160" spans="9:9" x14ac:dyDescent="0.2">
      <c r="I160" s="11"/>
    </row>
    <row r="161" spans="9:9" x14ac:dyDescent="0.2">
      <c r="I161" s="11"/>
    </row>
    <row r="162" spans="9:9" x14ac:dyDescent="0.2">
      <c r="I162" s="11"/>
    </row>
    <row r="163" spans="9:9" x14ac:dyDescent="0.2">
      <c r="I163" s="11"/>
    </row>
    <row r="164" spans="9:9" x14ac:dyDescent="0.2">
      <c r="I164" s="11"/>
    </row>
    <row r="165" spans="9:9" x14ac:dyDescent="0.2">
      <c r="I165" s="11"/>
    </row>
    <row r="166" spans="9:9" x14ac:dyDescent="0.2">
      <c r="I166" s="11"/>
    </row>
    <row r="167" spans="9:9" x14ac:dyDescent="0.2">
      <c r="I167" s="11"/>
    </row>
    <row r="168" spans="9:9" x14ac:dyDescent="0.2">
      <c r="I168" s="11"/>
    </row>
    <row r="169" spans="9:9" x14ac:dyDescent="0.2">
      <c r="I169" s="11"/>
    </row>
    <row r="170" spans="9:9" x14ac:dyDescent="0.2">
      <c r="I170" s="11"/>
    </row>
    <row r="171" spans="9:9" x14ac:dyDescent="0.2">
      <c r="I171" s="11"/>
    </row>
    <row r="172" spans="9:9" x14ac:dyDescent="0.2">
      <c r="I172" s="11"/>
    </row>
    <row r="173" spans="9:9" x14ac:dyDescent="0.2">
      <c r="I173" s="11"/>
    </row>
    <row r="174" spans="9:9" x14ac:dyDescent="0.2">
      <c r="I174" s="11"/>
    </row>
    <row r="175" spans="9:9" x14ac:dyDescent="0.2">
      <c r="I175" s="11"/>
    </row>
    <row r="176" spans="9:9" x14ac:dyDescent="0.2">
      <c r="I176" s="11"/>
    </row>
    <row r="177" spans="9:9" x14ac:dyDescent="0.2">
      <c r="I177" s="11"/>
    </row>
    <row r="178" spans="9:9" x14ac:dyDescent="0.2">
      <c r="I178" s="11"/>
    </row>
    <row r="179" spans="9:9" x14ac:dyDescent="0.2">
      <c r="I179" s="11"/>
    </row>
    <row r="180" spans="9:9" x14ac:dyDescent="0.2">
      <c r="I180" s="11"/>
    </row>
    <row r="181" spans="9:9" x14ac:dyDescent="0.2">
      <c r="I181" s="11"/>
    </row>
    <row r="182" spans="9:9" x14ac:dyDescent="0.2">
      <c r="I182" s="11"/>
    </row>
    <row r="183" spans="9:9" x14ac:dyDescent="0.2">
      <c r="I183" s="11"/>
    </row>
    <row r="184" spans="9:9" x14ac:dyDescent="0.2">
      <c r="I184" s="11"/>
    </row>
    <row r="185" spans="9:9" x14ac:dyDescent="0.2">
      <c r="I185" s="11"/>
    </row>
    <row r="186" spans="9:9" x14ac:dyDescent="0.2">
      <c r="I186" s="11"/>
    </row>
    <row r="187" spans="9:9" x14ac:dyDescent="0.2">
      <c r="I187" s="11"/>
    </row>
    <row r="188" spans="9:9" x14ac:dyDescent="0.2">
      <c r="I188" s="11"/>
    </row>
    <row r="189" spans="9:9" x14ac:dyDescent="0.2">
      <c r="I189" s="11"/>
    </row>
    <row r="190" spans="9:9" x14ac:dyDescent="0.2">
      <c r="I190" s="11"/>
    </row>
    <row r="191" spans="9:9" x14ac:dyDescent="0.2">
      <c r="I191" s="11"/>
    </row>
    <row r="192" spans="9:9" x14ac:dyDescent="0.2">
      <c r="I192" s="11"/>
    </row>
    <row r="193" spans="9:9" x14ac:dyDescent="0.2">
      <c r="I193" s="11"/>
    </row>
    <row r="194" spans="9:9" x14ac:dyDescent="0.2">
      <c r="I194" s="11"/>
    </row>
    <row r="195" spans="9:9" x14ac:dyDescent="0.2">
      <c r="I195" s="11"/>
    </row>
    <row r="196" spans="9:9" x14ac:dyDescent="0.2">
      <c r="I196" s="11"/>
    </row>
    <row r="197" spans="9:9" x14ac:dyDescent="0.2">
      <c r="I197" s="11"/>
    </row>
    <row r="198" spans="9:9" x14ac:dyDescent="0.2">
      <c r="I198" s="11"/>
    </row>
    <row r="199" spans="9:9" x14ac:dyDescent="0.2">
      <c r="I199" s="11"/>
    </row>
    <row r="200" spans="9:9" x14ac:dyDescent="0.2">
      <c r="I200" s="11"/>
    </row>
    <row r="201" spans="9:9" x14ac:dyDescent="0.2">
      <c r="I201" s="11"/>
    </row>
    <row r="202" spans="9:9" x14ac:dyDescent="0.2">
      <c r="I202" s="11"/>
    </row>
    <row r="203" spans="9:9" x14ac:dyDescent="0.2">
      <c r="I203" s="11"/>
    </row>
    <row r="204" spans="9:9" x14ac:dyDescent="0.2">
      <c r="I204" s="11"/>
    </row>
    <row r="205" spans="9:9" x14ac:dyDescent="0.2">
      <c r="I205" s="11"/>
    </row>
    <row r="206" spans="9:9" x14ac:dyDescent="0.2">
      <c r="I206" s="11"/>
    </row>
    <row r="207" spans="9:9" x14ac:dyDescent="0.2">
      <c r="I207" s="11"/>
    </row>
    <row r="208" spans="9:9" x14ac:dyDescent="0.2">
      <c r="I208" s="11"/>
    </row>
    <row r="209" spans="9:9" x14ac:dyDescent="0.2">
      <c r="I209" s="11"/>
    </row>
    <row r="210" spans="9:9" x14ac:dyDescent="0.2">
      <c r="I210" s="11"/>
    </row>
    <row r="211" spans="9:9" x14ac:dyDescent="0.2">
      <c r="I211" s="11"/>
    </row>
    <row r="212" spans="9:9" x14ac:dyDescent="0.2">
      <c r="I212" s="11"/>
    </row>
    <row r="213" spans="9:9" x14ac:dyDescent="0.2">
      <c r="I213" s="11"/>
    </row>
    <row r="214" spans="9:9" x14ac:dyDescent="0.2">
      <c r="I214" s="11"/>
    </row>
    <row r="215" spans="9:9" x14ac:dyDescent="0.2">
      <c r="I215" s="11"/>
    </row>
    <row r="216" spans="9:9" x14ac:dyDescent="0.2">
      <c r="I216" s="11"/>
    </row>
    <row r="217" spans="9:9" x14ac:dyDescent="0.2">
      <c r="I217" s="11"/>
    </row>
    <row r="218" spans="9:9" x14ac:dyDescent="0.2">
      <c r="I218" s="11"/>
    </row>
    <row r="219" spans="9:9" x14ac:dyDescent="0.2">
      <c r="I219" s="11"/>
    </row>
    <row r="220" spans="9:9" x14ac:dyDescent="0.2">
      <c r="I220" s="11"/>
    </row>
    <row r="221" spans="9:9" x14ac:dyDescent="0.2">
      <c r="I221" s="11"/>
    </row>
    <row r="222" spans="9:9" x14ac:dyDescent="0.2">
      <c r="I222" s="11"/>
    </row>
    <row r="223" spans="9:9" x14ac:dyDescent="0.2">
      <c r="I223" s="11"/>
    </row>
    <row r="224" spans="9:9" x14ac:dyDescent="0.2">
      <c r="I224" s="11"/>
    </row>
    <row r="225" spans="9:9" x14ac:dyDescent="0.2">
      <c r="I225" s="11"/>
    </row>
    <row r="226" spans="9:9" x14ac:dyDescent="0.2">
      <c r="I226" s="11"/>
    </row>
    <row r="227" spans="9:9" x14ac:dyDescent="0.2">
      <c r="I227" s="11"/>
    </row>
    <row r="228" spans="9:9" x14ac:dyDescent="0.2">
      <c r="I228" s="11"/>
    </row>
    <row r="229" spans="9:9" x14ac:dyDescent="0.2">
      <c r="I229" s="11"/>
    </row>
    <row r="230" spans="9:9" x14ac:dyDescent="0.2">
      <c r="I230" s="11"/>
    </row>
    <row r="231" spans="9:9" x14ac:dyDescent="0.2">
      <c r="I231" s="11"/>
    </row>
    <row r="232" spans="9:9" x14ac:dyDescent="0.2">
      <c r="I232" s="11"/>
    </row>
    <row r="233" spans="9:9" x14ac:dyDescent="0.2">
      <c r="I233" s="11"/>
    </row>
    <row r="234" spans="9:9" x14ac:dyDescent="0.2">
      <c r="I234" s="11"/>
    </row>
    <row r="235" spans="9:9" x14ac:dyDescent="0.2">
      <c r="I235" s="11"/>
    </row>
    <row r="236" spans="9:9" x14ac:dyDescent="0.2">
      <c r="I236" s="11"/>
    </row>
    <row r="237" spans="9:9" x14ac:dyDescent="0.2">
      <c r="I237" s="11"/>
    </row>
    <row r="238" spans="9:9" x14ac:dyDescent="0.2">
      <c r="I238" s="11"/>
    </row>
    <row r="239" spans="9:9" x14ac:dyDescent="0.2">
      <c r="I239" s="11"/>
    </row>
    <row r="240" spans="9:9" x14ac:dyDescent="0.2">
      <c r="I240" s="11"/>
    </row>
    <row r="241" spans="9:9" x14ac:dyDescent="0.2">
      <c r="I241" s="11"/>
    </row>
    <row r="242" spans="9:9" x14ac:dyDescent="0.2">
      <c r="I242" s="11"/>
    </row>
    <row r="243" spans="9:9" x14ac:dyDescent="0.2">
      <c r="I243" s="11"/>
    </row>
    <row r="244" spans="9:9" x14ac:dyDescent="0.2">
      <c r="I244" s="11"/>
    </row>
    <row r="245" spans="9:9" x14ac:dyDescent="0.2">
      <c r="I245" s="11"/>
    </row>
    <row r="246" spans="9:9" x14ac:dyDescent="0.2">
      <c r="I246" s="11"/>
    </row>
    <row r="247" spans="9:9" x14ac:dyDescent="0.2">
      <c r="I247" s="11"/>
    </row>
    <row r="248" spans="9:9" x14ac:dyDescent="0.2">
      <c r="I248" s="11"/>
    </row>
    <row r="249" spans="9:9" x14ac:dyDescent="0.2">
      <c r="I249" s="11"/>
    </row>
    <row r="250" spans="9:9" x14ac:dyDescent="0.2">
      <c r="I250" s="11"/>
    </row>
    <row r="251" spans="9:9" x14ac:dyDescent="0.2">
      <c r="I251" s="11"/>
    </row>
    <row r="252" spans="9:9" x14ac:dyDescent="0.2">
      <c r="I252" s="11"/>
    </row>
    <row r="253" spans="9:9" x14ac:dyDescent="0.2">
      <c r="I253" s="11"/>
    </row>
    <row r="254" spans="9:9" x14ac:dyDescent="0.2">
      <c r="I254" s="11"/>
    </row>
    <row r="255" spans="9:9" x14ac:dyDescent="0.2">
      <c r="I255" s="11"/>
    </row>
    <row r="256" spans="9:9" x14ac:dyDescent="0.2">
      <c r="I256" s="11"/>
    </row>
    <row r="257" spans="9:9" x14ac:dyDescent="0.2">
      <c r="I257" s="11"/>
    </row>
    <row r="258" spans="9:9" x14ac:dyDescent="0.2">
      <c r="I258" s="11"/>
    </row>
    <row r="259" spans="9:9" x14ac:dyDescent="0.2">
      <c r="I259" s="11"/>
    </row>
    <row r="260" spans="9:9" x14ac:dyDescent="0.2">
      <c r="I260" s="11"/>
    </row>
    <row r="261" spans="9:9" x14ac:dyDescent="0.2">
      <c r="I261" s="11"/>
    </row>
    <row r="262" spans="9:9" x14ac:dyDescent="0.2">
      <c r="I262" s="11"/>
    </row>
    <row r="263" spans="9:9" x14ac:dyDescent="0.2">
      <c r="I263" s="11"/>
    </row>
    <row r="264" spans="9:9" x14ac:dyDescent="0.2">
      <c r="I264" s="11"/>
    </row>
    <row r="265" spans="9:9" x14ac:dyDescent="0.2">
      <c r="I265" s="11"/>
    </row>
    <row r="266" spans="9:9" x14ac:dyDescent="0.2">
      <c r="I266" s="11"/>
    </row>
    <row r="267" spans="9:9" x14ac:dyDescent="0.2">
      <c r="I267" s="11"/>
    </row>
    <row r="268" spans="9:9" x14ac:dyDescent="0.2">
      <c r="I268" s="11"/>
    </row>
    <row r="269" spans="9:9" x14ac:dyDescent="0.2">
      <c r="I269" s="11"/>
    </row>
    <row r="270" spans="9:9" x14ac:dyDescent="0.2">
      <c r="I270" s="11"/>
    </row>
    <row r="271" spans="9:9" x14ac:dyDescent="0.2">
      <c r="I271" s="11"/>
    </row>
    <row r="272" spans="9:9" x14ac:dyDescent="0.2">
      <c r="I272" s="11"/>
    </row>
    <row r="273" spans="9:9" x14ac:dyDescent="0.2">
      <c r="I273" s="11"/>
    </row>
    <row r="274" spans="9:9" x14ac:dyDescent="0.2">
      <c r="I274" s="11"/>
    </row>
    <row r="275" spans="9:9" x14ac:dyDescent="0.2">
      <c r="I275" s="11"/>
    </row>
    <row r="276" spans="9:9" x14ac:dyDescent="0.2">
      <c r="I276" s="11"/>
    </row>
    <row r="277" spans="9:9" x14ac:dyDescent="0.2">
      <c r="I277" s="11"/>
    </row>
    <row r="278" spans="9:9" x14ac:dyDescent="0.2">
      <c r="I278" s="11"/>
    </row>
    <row r="279" spans="9:9" x14ac:dyDescent="0.2">
      <c r="I279" s="11"/>
    </row>
    <row r="280" spans="9:9" x14ac:dyDescent="0.2">
      <c r="I280" s="11"/>
    </row>
    <row r="281" spans="9:9" x14ac:dyDescent="0.2">
      <c r="I281" s="11"/>
    </row>
    <row r="282" spans="9:9" x14ac:dyDescent="0.2">
      <c r="I282" s="11"/>
    </row>
    <row r="283" spans="9:9" x14ac:dyDescent="0.2">
      <c r="I283" s="11"/>
    </row>
    <row r="284" spans="9:9" x14ac:dyDescent="0.2">
      <c r="I284" s="11"/>
    </row>
    <row r="285" spans="9:9" x14ac:dyDescent="0.2">
      <c r="I285" s="11"/>
    </row>
    <row r="286" spans="9:9" x14ac:dyDescent="0.2">
      <c r="I286" s="11"/>
    </row>
    <row r="287" spans="9:9" x14ac:dyDescent="0.2">
      <c r="I287" s="11"/>
    </row>
    <row r="288" spans="9:9" x14ac:dyDescent="0.2">
      <c r="I288" s="11"/>
    </row>
    <row r="289" spans="9:9" x14ac:dyDescent="0.2">
      <c r="I289" s="11"/>
    </row>
    <row r="290" spans="9:9" x14ac:dyDescent="0.2">
      <c r="I290" s="11"/>
    </row>
    <row r="291" spans="9:9" x14ac:dyDescent="0.2">
      <c r="I291" s="11"/>
    </row>
    <row r="292" spans="9:9" x14ac:dyDescent="0.2">
      <c r="I292" s="11"/>
    </row>
    <row r="293" spans="9:9" x14ac:dyDescent="0.2">
      <c r="I293" s="11"/>
    </row>
    <row r="294" spans="9:9" x14ac:dyDescent="0.2">
      <c r="I294" s="11"/>
    </row>
    <row r="295" spans="9:9" x14ac:dyDescent="0.2">
      <c r="I295" s="11"/>
    </row>
    <row r="296" spans="9:9" x14ac:dyDescent="0.2">
      <c r="I296" s="11"/>
    </row>
    <row r="297" spans="9:9" x14ac:dyDescent="0.2">
      <c r="I297" s="11"/>
    </row>
    <row r="298" spans="9:9" x14ac:dyDescent="0.2">
      <c r="I298" s="11"/>
    </row>
    <row r="299" spans="9:9" x14ac:dyDescent="0.2">
      <c r="I299" s="11"/>
    </row>
    <row r="300" spans="9:9" x14ac:dyDescent="0.2">
      <c r="I300" s="11"/>
    </row>
    <row r="301" spans="9:9" x14ac:dyDescent="0.2">
      <c r="I301" s="11"/>
    </row>
    <row r="302" spans="9:9" x14ac:dyDescent="0.2">
      <c r="I302" s="11"/>
    </row>
    <row r="303" spans="9:9" x14ac:dyDescent="0.2">
      <c r="I303" s="11"/>
    </row>
    <row r="304" spans="9:9" x14ac:dyDescent="0.2">
      <c r="I304" s="11"/>
    </row>
    <row r="305" spans="9:9" x14ac:dyDescent="0.2">
      <c r="I305" s="11"/>
    </row>
    <row r="306" spans="9:9" x14ac:dyDescent="0.2">
      <c r="I306" s="11"/>
    </row>
    <row r="307" spans="9:9" x14ac:dyDescent="0.2">
      <c r="I307" s="11"/>
    </row>
    <row r="308" spans="9:9" x14ac:dyDescent="0.2">
      <c r="I308" s="11"/>
    </row>
    <row r="309" spans="9:9" x14ac:dyDescent="0.2">
      <c r="I309" s="11"/>
    </row>
    <row r="310" spans="9:9" x14ac:dyDescent="0.2">
      <c r="I310" s="11"/>
    </row>
    <row r="311" spans="9:9" x14ac:dyDescent="0.2">
      <c r="I311" s="11"/>
    </row>
    <row r="312" spans="9:9" x14ac:dyDescent="0.2">
      <c r="I312" s="11"/>
    </row>
    <row r="313" spans="9:9" x14ac:dyDescent="0.2">
      <c r="I313" s="11"/>
    </row>
    <row r="314" spans="9:9" x14ac:dyDescent="0.2">
      <c r="I314" s="11"/>
    </row>
    <row r="315" spans="9:9" x14ac:dyDescent="0.2">
      <c r="I315" s="11"/>
    </row>
    <row r="316" spans="9:9" x14ac:dyDescent="0.2">
      <c r="I316" s="11"/>
    </row>
    <row r="317" spans="9:9" x14ac:dyDescent="0.2">
      <c r="I317" s="11"/>
    </row>
    <row r="318" spans="9:9" x14ac:dyDescent="0.2">
      <c r="I318" s="11"/>
    </row>
    <row r="319" spans="9:9" x14ac:dyDescent="0.2">
      <c r="I319" s="11"/>
    </row>
    <row r="320" spans="9:9" x14ac:dyDescent="0.2">
      <c r="I320" s="11"/>
    </row>
    <row r="321" spans="9:9" x14ac:dyDescent="0.2">
      <c r="I321" s="11"/>
    </row>
    <row r="322" spans="9:9" x14ac:dyDescent="0.2">
      <c r="I322" s="11"/>
    </row>
    <row r="323" spans="9:9" x14ac:dyDescent="0.2">
      <c r="I323" s="11"/>
    </row>
    <row r="324" spans="9:9" x14ac:dyDescent="0.2">
      <c r="I324" s="11"/>
    </row>
    <row r="325" spans="9:9" x14ac:dyDescent="0.2">
      <c r="I325" s="11"/>
    </row>
    <row r="326" spans="9:9" x14ac:dyDescent="0.2">
      <c r="I326" s="11"/>
    </row>
    <row r="327" spans="9:9" x14ac:dyDescent="0.2">
      <c r="I327" s="11"/>
    </row>
    <row r="328" spans="9:9" x14ac:dyDescent="0.2">
      <c r="I328" s="11"/>
    </row>
    <row r="329" spans="9:9" x14ac:dyDescent="0.2">
      <c r="I329" s="11"/>
    </row>
    <row r="330" spans="9:9" x14ac:dyDescent="0.2">
      <c r="I330" s="11"/>
    </row>
    <row r="331" spans="9:9" x14ac:dyDescent="0.2">
      <c r="I331" s="11"/>
    </row>
    <row r="332" spans="9:9" x14ac:dyDescent="0.2">
      <c r="I332" s="11"/>
    </row>
    <row r="333" spans="9:9" x14ac:dyDescent="0.2">
      <c r="I333" s="11"/>
    </row>
    <row r="334" spans="9:9" x14ac:dyDescent="0.2">
      <c r="I334" s="11"/>
    </row>
    <row r="335" spans="9:9" x14ac:dyDescent="0.2">
      <c r="I335" s="11"/>
    </row>
    <row r="336" spans="9:9" x14ac:dyDescent="0.2">
      <c r="I336" s="11"/>
    </row>
    <row r="337" spans="9:9" x14ac:dyDescent="0.2">
      <c r="I337" s="11"/>
    </row>
    <row r="338" spans="9:9" x14ac:dyDescent="0.2">
      <c r="I338" s="11"/>
    </row>
    <row r="339" spans="9:9" x14ac:dyDescent="0.2">
      <c r="I339" s="11"/>
    </row>
    <row r="340" spans="9:9" x14ac:dyDescent="0.2">
      <c r="I340" s="11"/>
    </row>
    <row r="341" spans="9:9" x14ac:dyDescent="0.2">
      <c r="I341" s="11"/>
    </row>
    <row r="342" spans="9:9" x14ac:dyDescent="0.2">
      <c r="I342" s="11"/>
    </row>
    <row r="343" spans="9:9" x14ac:dyDescent="0.2">
      <c r="I343" s="11"/>
    </row>
    <row r="344" spans="9:9" x14ac:dyDescent="0.2">
      <c r="I344" s="11"/>
    </row>
    <row r="345" spans="9:9" x14ac:dyDescent="0.2">
      <c r="I345" s="11"/>
    </row>
    <row r="346" spans="9:9" x14ac:dyDescent="0.2">
      <c r="I346" s="11"/>
    </row>
    <row r="347" spans="9:9" x14ac:dyDescent="0.2">
      <c r="I347" s="11"/>
    </row>
    <row r="348" spans="9:9" x14ac:dyDescent="0.2">
      <c r="I348" s="11"/>
    </row>
    <row r="349" spans="9:9" x14ac:dyDescent="0.2">
      <c r="I349" s="11"/>
    </row>
    <row r="350" spans="9:9" x14ac:dyDescent="0.2">
      <c r="I350" s="11"/>
    </row>
    <row r="351" spans="9:9" x14ac:dyDescent="0.2">
      <c r="I351" s="11"/>
    </row>
    <row r="352" spans="9:9" x14ac:dyDescent="0.2">
      <c r="I352" s="11"/>
    </row>
    <row r="353" spans="9:9" x14ac:dyDescent="0.2">
      <c r="I353" s="11"/>
    </row>
    <row r="354" spans="9:9" x14ac:dyDescent="0.2">
      <c r="I354" s="11"/>
    </row>
    <row r="355" spans="9:9" x14ac:dyDescent="0.2">
      <c r="I355" s="11"/>
    </row>
    <row r="356" spans="9:9" x14ac:dyDescent="0.2">
      <c r="I356" s="11"/>
    </row>
    <row r="357" spans="9:9" x14ac:dyDescent="0.2">
      <c r="I357" s="11"/>
    </row>
    <row r="358" spans="9:9" x14ac:dyDescent="0.2">
      <c r="I358" s="11"/>
    </row>
    <row r="359" spans="9:9" x14ac:dyDescent="0.2">
      <c r="I359" s="11"/>
    </row>
    <row r="360" spans="9:9" x14ac:dyDescent="0.2">
      <c r="I360" s="11"/>
    </row>
    <row r="361" spans="9:9" x14ac:dyDescent="0.2">
      <c r="I361" s="11"/>
    </row>
    <row r="362" spans="9:9" x14ac:dyDescent="0.2">
      <c r="I362" s="11"/>
    </row>
    <row r="363" spans="9:9" x14ac:dyDescent="0.2">
      <c r="I363" s="11"/>
    </row>
    <row r="364" spans="9:9" x14ac:dyDescent="0.2">
      <c r="I364" s="11"/>
    </row>
    <row r="365" spans="9:9" x14ac:dyDescent="0.2">
      <c r="I365" s="11"/>
    </row>
    <row r="366" spans="9:9" x14ac:dyDescent="0.2">
      <c r="I366" s="11"/>
    </row>
    <row r="367" spans="9:9" x14ac:dyDescent="0.2">
      <c r="I367" s="11"/>
    </row>
    <row r="368" spans="9:9" x14ac:dyDescent="0.2">
      <c r="I368" s="11"/>
    </row>
    <row r="369" spans="9:9" x14ac:dyDescent="0.2">
      <c r="I369" s="11"/>
    </row>
    <row r="370" spans="9:9" x14ac:dyDescent="0.2">
      <c r="I370" s="11"/>
    </row>
    <row r="371" spans="9:9" x14ac:dyDescent="0.2">
      <c r="I371" s="11"/>
    </row>
    <row r="372" spans="9:9" x14ac:dyDescent="0.2">
      <c r="I372" s="11"/>
    </row>
    <row r="373" spans="9:9" x14ac:dyDescent="0.2">
      <c r="I373" s="11"/>
    </row>
    <row r="374" spans="9:9" x14ac:dyDescent="0.2">
      <c r="I374" s="11"/>
    </row>
    <row r="375" spans="9:9" x14ac:dyDescent="0.2">
      <c r="I375" s="11"/>
    </row>
    <row r="376" spans="9:9" x14ac:dyDescent="0.2">
      <c r="I376" s="11"/>
    </row>
    <row r="377" spans="9:9" x14ac:dyDescent="0.2">
      <c r="I377" s="11"/>
    </row>
    <row r="378" spans="9:9" x14ac:dyDescent="0.2">
      <c r="I378" s="11"/>
    </row>
    <row r="379" spans="9:9" x14ac:dyDescent="0.2">
      <c r="I379" s="11"/>
    </row>
    <row r="380" spans="9:9" x14ac:dyDescent="0.2">
      <c r="I380" s="11"/>
    </row>
    <row r="381" spans="9:9" x14ac:dyDescent="0.2">
      <c r="I381" s="11"/>
    </row>
    <row r="382" spans="9:9" x14ac:dyDescent="0.2">
      <c r="I382" s="11"/>
    </row>
    <row r="383" spans="9:9" x14ac:dyDescent="0.2">
      <c r="I383" s="11"/>
    </row>
    <row r="384" spans="9:9" x14ac:dyDescent="0.2">
      <c r="I384" s="11"/>
    </row>
    <row r="385" spans="9:9" x14ac:dyDescent="0.2">
      <c r="I385" s="11"/>
    </row>
    <row r="386" spans="9:9" x14ac:dyDescent="0.2">
      <c r="I386" s="11"/>
    </row>
    <row r="387" spans="9:9" x14ac:dyDescent="0.2">
      <c r="I387" s="11"/>
    </row>
    <row r="388" spans="9:9" x14ac:dyDescent="0.2">
      <c r="I388" s="11"/>
    </row>
    <row r="389" spans="9:9" x14ac:dyDescent="0.2">
      <c r="I389" s="11"/>
    </row>
    <row r="390" spans="9:9" x14ac:dyDescent="0.2">
      <c r="I390" s="11"/>
    </row>
    <row r="391" spans="9:9" x14ac:dyDescent="0.2">
      <c r="I391" s="11"/>
    </row>
    <row r="392" spans="9:9" x14ac:dyDescent="0.2">
      <c r="I392" s="11"/>
    </row>
    <row r="393" spans="9:9" x14ac:dyDescent="0.2">
      <c r="I393" s="11"/>
    </row>
    <row r="394" spans="9:9" x14ac:dyDescent="0.2">
      <c r="I394" s="11"/>
    </row>
    <row r="395" spans="9:9" x14ac:dyDescent="0.2">
      <c r="I395" s="11"/>
    </row>
    <row r="396" spans="9:9" x14ac:dyDescent="0.2">
      <c r="I396" s="11"/>
    </row>
    <row r="397" spans="9:9" x14ac:dyDescent="0.2">
      <c r="I397" s="11"/>
    </row>
    <row r="398" spans="9:9" x14ac:dyDescent="0.2">
      <c r="I398" s="11"/>
    </row>
    <row r="399" spans="9:9" x14ac:dyDescent="0.2">
      <c r="I399" s="11"/>
    </row>
    <row r="400" spans="9:9" x14ac:dyDescent="0.2">
      <c r="I400" s="11"/>
    </row>
    <row r="401" spans="9:9" x14ac:dyDescent="0.2">
      <c r="I401" s="11"/>
    </row>
    <row r="402" spans="9:9" x14ac:dyDescent="0.2">
      <c r="I402" s="11"/>
    </row>
    <row r="403" spans="9:9" x14ac:dyDescent="0.2">
      <c r="I403" s="11"/>
    </row>
    <row r="404" spans="9:9" x14ac:dyDescent="0.2">
      <c r="I404" s="11"/>
    </row>
    <row r="405" spans="9:9" x14ac:dyDescent="0.2">
      <c r="I405" s="11"/>
    </row>
    <row r="406" spans="9:9" x14ac:dyDescent="0.2">
      <c r="I406" s="11"/>
    </row>
    <row r="407" spans="9:9" x14ac:dyDescent="0.2">
      <c r="I407" s="11"/>
    </row>
    <row r="408" spans="9:9" x14ac:dyDescent="0.2">
      <c r="I408" s="11"/>
    </row>
    <row r="409" spans="9:9" x14ac:dyDescent="0.2">
      <c r="I409" s="11"/>
    </row>
    <row r="410" spans="9:9" x14ac:dyDescent="0.2">
      <c r="I410" s="11"/>
    </row>
    <row r="411" spans="9:9" x14ac:dyDescent="0.2">
      <c r="I411" s="11"/>
    </row>
    <row r="412" spans="9:9" x14ac:dyDescent="0.2">
      <c r="I412" s="11"/>
    </row>
    <row r="413" spans="9:9" x14ac:dyDescent="0.2">
      <c r="I413" s="11"/>
    </row>
    <row r="414" spans="9:9" x14ac:dyDescent="0.2">
      <c r="I414" s="11"/>
    </row>
    <row r="415" spans="9:9" x14ac:dyDescent="0.2">
      <c r="I415" s="11"/>
    </row>
    <row r="416" spans="9:9" x14ac:dyDescent="0.2">
      <c r="I416" s="11"/>
    </row>
    <row r="417" spans="9:9" x14ac:dyDescent="0.2">
      <c r="I417" s="11"/>
    </row>
    <row r="418" spans="9:9" x14ac:dyDescent="0.2">
      <c r="I418" s="11"/>
    </row>
    <row r="419" spans="9:9" x14ac:dyDescent="0.2">
      <c r="I419" s="11"/>
    </row>
    <row r="420" spans="9:9" x14ac:dyDescent="0.2">
      <c r="I420" s="11"/>
    </row>
    <row r="421" spans="9:9" x14ac:dyDescent="0.2">
      <c r="I421" s="11"/>
    </row>
    <row r="422" spans="9:9" x14ac:dyDescent="0.2">
      <c r="I422" s="11"/>
    </row>
    <row r="423" spans="9:9" x14ac:dyDescent="0.2">
      <c r="I423" s="11"/>
    </row>
    <row r="424" spans="9:9" x14ac:dyDescent="0.2">
      <c r="I424" s="11"/>
    </row>
    <row r="425" spans="9:9" x14ac:dyDescent="0.2">
      <c r="I425" s="11"/>
    </row>
    <row r="426" spans="9:9" x14ac:dyDescent="0.2">
      <c r="I426" s="11"/>
    </row>
    <row r="427" spans="9:9" x14ac:dyDescent="0.2">
      <c r="I427" s="11"/>
    </row>
    <row r="428" spans="9:9" x14ac:dyDescent="0.2">
      <c r="I428" s="11"/>
    </row>
    <row r="429" spans="9:9" x14ac:dyDescent="0.2">
      <c r="I429" s="11"/>
    </row>
    <row r="430" spans="9:9" x14ac:dyDescent="0.2">
      <c r="I430" s="11"/>
    </row>
    <row r="431" spans="9:9" x14ac:dyDescent="0.2">
      <c r="I431" s="11"/>
    </row>
    <row r="432" spans="9:9" x14ac:dyDescent="0.2">
      <c r="I432" s="11"/>
    </row>
    <row r="433" spans="9:9" x14ac:dyDescent="0.2">
      <c r="I433" s="11"/>
    </row>
    <row r="434" spans="9:9" x14ac:dyDescent="0.2">
      <c r="I434" s="11"/>
    </row>
    <row r="435" spans="9:9" x14ac:dyDescent="0.2">
      <c r="I435" s="11"/>
    </row>
    <row r="436" spans="9:9" x14ac:dyDescent="0.2">
      <c r="I436" s="11"/>
    </row>
    <row r="437" spans="9:9" x14ac:dyDescent="0.2">
      <c r="I437" s="11"/>
    </row>
    <row r="438" spans="9:9" x14ac:dyDescent="0.2">
      <c r="I438" s="11"/>
    </row>
    <row r="439" spans="9:9" x14ac:dyDescent="0.2">
      <c r="I439" s="11"/>
    </row>
    <row r="440" spans="9:9" x14ac:dyDescent="0.2">
      <c r="I440" s="11"/>
    </row>
    <row r="441" spans="9:9" x14ac:dyDescent="0.2">
      <c r="I441" s="11"/>
    </row>
    <row r="442" spans="9:9" x14ac:dyDescent="0.2">
      <c r="I442" s="11"/>
    </row>
    <row r="443" spans="9:9" x14ac:dyDescent="0.2">
      <c r="I443" s="11"/>
    </row>
    <row r="444" spans="9:9" x14ac:dyDescent="0.2">
      <c r="I444" s="11"/>
    </row>
    <row r="445" spans="9:9" x14ac:dyDescent="0.2">
      <c r="I445" s="11"/>
    </row>
    <row r="446" spans="9:9" x14ac:dyDescent="0.2">
      <c r="I446" s="11"/>
    </row>
    <row r="447" spans="9:9" x14ac:dyDescent="0.2">
      <c r="I447" s="11"/>
    </row>
    <row r="448" spans="9:9" x14ac:dyDescent="0.2">
      <c r="I448" s="11"/>
    </row>
    <row r="449" spans="9:9" x14ac:dyDescent="0.2">
      <c r="I449" s="11"/>
    </row>
    <row r="450" spans="9:9" x14ac:dyDescent="0.2">
      <c r="I450" s="11"/>
    </row>
    <row r="451" spans="9:9" x14ac:dyDescent="0.2">
      <c r="I451" s="11"/>
    </row>
    <row r="452" spans="9:9" x14ac:dyDescent="0.2">
      <c r="I452" s="11"/>
    </row>
    <row r="453" spans="9:9" x14ac:dyDescent="0.2">
      <c r="I453" s="11"/>
    </row>
    <row r="454" spans="9:9" x14ac:dyDescent="0.2">
      <c r="I454" s="11"/>
    </row>
    <row r="455" spans="9:9" x14ac:dyDescent="0.2">
      <c r="I455" s="11"/>
    </row>
    <row r="456" spans="9:9" x14ac:dyDescent="0.2">
      <c r="I456" s="11"/>
    </row>
    <row r="457" spans="9:9" x14ac:dyDescent="0.2">
      <c r="I457" s="11"/>
    </row>
    <row r="458" spans="9:9" x14ac:dyDescent="0.2">
      <c r="I458" s="11"/>
    </row>
    <row r="459" spans="9:9" x14ac:dyDescent="0.2">
      <c r="I459" s="11"/>
    </row>
    <row r="460" spans="9:9" x14ac:dyDescent="0.2">
      <c r="I460" s="11"/>
    </row>
    <row r="461" spans="9:9" x14ac:dyDescent="0.2">
      <c r="I461" s="11"/>
    </row>
    <row r="462" spans="9:9" x14ac:dyDescent="0.2">
      <c r="I462" s="11"/>
    </row>
    <row r="463" spans="9:9" x14ac:dyDescent="0.2">
      <c r="I463" s="11"/>
    </row>
    <row r="464" spans="9:9" x14ac:dyDescent="0.2">
      <c r="I464" s="11"/>
    </row>
    <row r="465" spans="9:9" x14ac:dyDescent="0.2">
      <c r="I465" s="11"/>
    </row>
    <row r="466" spans="9:9" x14ac:dyDescent="0.2">
      <c r="I466" s="11"/>
    </row>
    <row r="467" spans="9:9" x14ac:dyDescent="0.2">
      <c r="I467" s="11"/>
    </row>
    <row r="468" spans="9:9" x14ac:dyDescent="0.2">
      <c r="I468" s="11"/>
    </row>
    <row r="469" spans="9:9" x14ac:dyDescent="0.2">
      <c r="I469" s="11"/>
    </row>
    <row r="470" spans="9:9" x14ac:dyDescent="0.2">
      <c r="I470" s="11"/>
    </row>
    <row r="471" spans="9:9" x14ac:dyDescent="0.2">
      <c r="I471" s="11"/>
    </row>
    <row r="472" spans="9:9" x14ac:dyDescent="0.2">
      <c r="I472" s="11"/>
    </row>
    <row r="473" spans="9:9" x14ac:dyDescent="0.2">
      <c r="I473" s="11"/>
    </row>
    <row r="474" spans="9:9" x14ac:dyDescent="0.2">
      <c r="I474" s="11"/>
    </row>
    <row r="475" spans="9:9" x14ac:dyDescent="0.2">
      <c r="I475" s="11"/>
    </row>
    <row r="476" spans="9:9" x14ac:dyDescent="0.2">
      <c r="I476" s="11"/>
    </row>
    <row r="477" spans="9:9" x14ac:dyDescent="0.2">
      <c r="I477" s="11"/>
    </row>
    <row r="478" spans="9:9" x14ac:dyDescent="0.2">
      <c r="I478" s="11"/>
    </row>
    <row r="479" spans="9:9" x14ac:dyDescent="0.2">
      <c r="I479" s="11"/>
    </row>
    <row r="480" spans="9:9" x14ac:dyDescent="0.2">
      <c r="I480" s="11"/>
    </row>
    <row r="481" spans="9:9" x14ac:dyDescent="0.2">
      <c r="I481" s="11"/>
    </row>
    <row r="482" spans="9:9" x14ac:dyDescent="0.2">
      <c r="I482" s="11"/>
    </row>
    <row r="483" spans="9:9" x14ac:dyDescent="0.2">
      <c r="I483" s="11"/>
    </row>
    <row r="484" spans="9:9" x14ac:dyDescent="0.2">
      <c r="I484" s="11"/>
    </row>
    <row r="485" spans="9:9" x14ac:dyDescent="0.2">
      <c r="I485" s="11"/>
    </row>
    <row r="486" spans="9:9" x14ac:dyDescent="0.2">
      <c r="I486" s="11"/>
    </row>
    <row r="487" spans="9:9" x14ac:dyDescent="0.2">
      <c r="I487" s="11"/>
    </row>
    <row r="488" spans="9:9" x14ac:dyDescent="0.2">
      <c r="I488" s="11"/>
    </row>
    <row r="489" spans="9:9" x14ac:dyDescent="0.2">
      <c r="I489" s="11"/>
    </row>
    <row r="490" spans="9:9" x14ac:dyDescent="0.2">
      <c r="I490" s="11"/>
    </row>
    <row r="491" spans="9:9" x14ac:dyDescent="0.2">
      <c r="I491" s="11"/>
    </row>
    <row r="492" spans="9:9" x14ac:dyDescent="0.2">
      <c r="I492" s="11"/>
    </row>
    <row r="493" spans="9:9" x14ac:dyDescent="0.2">
      <c r="I493" s="11"/>
    </row>
    <row r="494" spans="9:9" x14ac:dyDescent="0.2">
      <c r="I494" s="11"/>
    </row>
    <row r="495" spans="9:9" x14ac:dyDescent="0.2">
      <c r="I495" s="11"/>
    </row>
    <row r="496" spans="9:9" x14ac:dyDescent="0.2">
      <c r="I496" s="11"/>
    </row>
    <row r="497" spans="9:9" x14ac:dyDescent="0.2">
      <c r="I497" s="11"/>
    </row>
    <row r="498" spans="9:9" x14ac:dyDescent="0.2">
      <c r="I498" s="11"/>
    </row>
    <row r="499" spans="9:9" x14ac:dyDescent="0.2">
      <c r="I499" s="11"/>
    </row>
    <row r="500" spans="9:9" x14ac:dyDescent="0.2">
      <c r="I500" s="11"/>
    </row>
    <row r="501" spans="9:9" x14ac:dyDescent="0.2">
      <c r="I501" s="11"/>
    </row>
    <row r="502" spans="9:9" x14ac:dyDescent="0.2">
      <c r="I502" s="11"/>
    </row>
    <row r="503" spans="9:9" x14ac:dyDescent="0.2">
      <c r="I503" s="11"/>
    </row>
    <row r="504" spans="9:9" x14ac:dyDescent="0.2">
      <c r="I504" s="11"/>
    </row>
    <row r="505" spans="9:9" x14ac:dyDescent="0.2">
      <c r="I505" s="11"/>
    </row>
    <row r="506" spans="9:9" x14ac:dyDescent="0.2">
      <c r="I506" s="11"/>
    </row>
    <row r="507" spans="9:9" x14ac:dyDescent="0.2">
      <c r="I507" s="11"/>
    </row>
    <row r="508" spans="9:9" x14ac:dyDescent="0.2">
      <c r="I508" s="11"/>
    </row>
    <row r="509" spans="9:9" x14ac:dyDescent="0.2">
      <c r="I509" s="11"/>
    </row>
    <row r="510" spans="9:9" x14ac:dyDescent="0.2">
      <c r="I510" s="11"/>
    </row>
    <row r="511" spans="9:9" x14ac:dyDescent="0.2">
      <c r="I511" s="11"/>
    </row>
    <row r="512" spans="9:9" x14ac:dyDescent="0.2">
      <c r="I512" s="11"/>
    </row>
    <row r="513" spans="9:9" x14ac:dyDescent="0.2">
      <c r="I513" s="11"/>
    </row>
    <row r="514" spans="9:9" x14ac:dyDescent="0.2">
      <c r="I514" s="11"/>
    </row>
    <row r="515" spans="9:9" x14ac:dyDescent="0.2">
      <c r="I515" s="11"/>
    </row>
    <row r="516" spans="9:9" x14ac:dyDescent="0.2">
      <c r="I516" s="11"/>
    </row>
    <row r="517" spans="9:9" x14ac:dyDescent="0.2">
      <c r="I517" s="11"/>
    </row>
    <row r="518" spans="9:9" x14ac:dyDescent="0.2">
      <c r="I518" s="11"/>
    </row>
    <row r="519" spans="9:9" x14ac:dyDescent="0.2">
      <c r="I519" s="11"/>
    </row>
    <row r="520" spans="9:9" x14ac:dyDescent="0.2">
      <c r="I520" s="11"/>
    </row>
    <row r="521" spans="9:9" x14ac:dyDescent="0.2">
      <c r="I521" s="11"/>
    </row>
    <row r="522" spans="9:9" x14ac:dyDescent="0.2">
      <c r="I522" s="11"/>
    </row>
    <row r="523" spans="9:9" x14ac:dyDescent="0.2">
      <c r="I523" s="11"/>
    </row>
    <row r="524" spans="9:9" x14ac:dyDescent="0.2">
      <c r="I524" s="11"/>
    </row>
    <row r="525" spans="9:9" x14ac:dyDescent="0.2">
      <c r="I525" s="11"/>
    </row>
    <row r="526" spans="9:9" x14ac:dyDescent="0.2">
      <c r="I526" s="11"/>
    </row>
    <row r="527" spans="9:9" x14ac:dyDescent="0.2">
      <c r="I527" s="11"/>
    </row>
    <row r="528" spans="9:9" x14ac:dyDescent="0.2">
      <c r="I528" s="11"/>
    </row>
    <row r="529" spans="9:9" x14ac:dyDescent="0.2">
      <c r="I529" s="11"/>
    </row>
    <row r="530" spans="9:9" x14ac:dyDescent="0.2">
      <c r="I530" s="11"/>
    </row>
    <row r="531" spans="9:9" x14ac:dyDescent="0.2">
      <c r="I531" s="11"/>
    </row>
    <row r="532" spans="9:9" x14ac:dyDescent="0.2">
      <c r="I532" s="11"/>
    </row>
    <row r="533" spans="9:9" x14ac:dyDescent="0.2">
      <c r="I533" s="11"/>
    </row>
    <row r="534" spans="9:9" x14ac:dyDescent="0.2">
      <c r="I534" s="11"/>
    </row>
    <row r="535" spans="9:9" x14ac:dyDescent="0.2">
      <c r="I535" s="11"/>
    </row>
    <row r="536" spans="9:9" x14ac:dyDescent="0.2">
      <c r="I536" s="11"/>
    </row>
    <row r="537" spans="9:9" x14ac:dyDescent="0.2">
      <c r="I537" s="11"/>
    </row>
    <row r="538" spans="9:9" x14ac:dyDescent="0.2">
      <c r="I538" s="11"/>
    </row>
    <row r="539" spans="9:9" x14ac:dyDescent="0.2">
      <c r="I539" s="11"/>
    </row>
    <row r="540" spans="9:9" x14ac:dyDescent="0.2">
      <c r="I540" s="11"/>
    </row>
    <row r="541" spans="9:9" x14ac:dyDescent="0.2">
      <c r="I541" s="11"/>
    </row>
    <row r="542" spans="9:9" x14ac:dyDescent="0.2">
      <c r="I542" s="11"/>
    </row>
    <row r="543" spans="9:9" x14ac:dyDescent="0.2">
      <c r="I543" s="11"/>
    </row>
    <row r="544" spans="9:9" x14ac:dyDescent="0.2">
      <c r="I544" s="11"/>
    </row>
    <row r="545" spans="9:9" x14ac:dyDescent="0.2">
      <c r="I545" s="11"/>
    </row>
    <row r="546" spans="9:9" x14ac:dyDescent="0.2">
      <c r="I546" s="11"/>
    </row>
    <row r="547" spans="9:9" x14ac:dyDescent="0.2">
      <c r="I547" s="11"/>
    </row>
    <row r="548" spans="9:9" x14ac:dyDescent="0.2">
      <c r="I548" s="11"/>
    </row>
    <row r="549" spans="9:9" x14ac:dyDescent="0.2">
      <c r="I549" s="11"/>
    </row>
    <row r="550" spans="9:9" x14ac:dyDescent="0.2">
      <c r="I550" s="11"/>
    </row>
    <row r="551" spans="9:9" x14ac:dyDescent="0.2">
      <c r="I551" s="11"/>
    </row>
    <row r="552" spans="9:9" x14ac:dyDescent="0.2">
      <c r="I552" s="11"/>
    </row>
    <row r="553" spans="9:9" x14ac:dyDescent="0.2">
      <c r="I553" s="11"/>
    </row>
    <row r="554" spans="9:9" x14ac:dyDescent="0.2">
      <c r="I554" s="11"/>
    </row>
    <row r="555" spans="9:9" x14ac:dyDescent="0.2">
      <c r="I555" s="11"/>
    </row>
    <row r="556" spans="9:9" x14ac:dyDescent="0.2">
      <c r="I556" s="11"/>
    </row>
    <row r="557" spans="9:9" x14ac:dyDescent="0.2">
      <c r="I557" s="11"/>
    </row>
    <row r="558" spans="9:9" x14ac:dyDescent="0.2">
      <c r="I558" s="11"/>
    </row>
    <row r="559" spans="9:9" x14ac:dyDescent="0.2">
      <c r="I559" s="11"/>
    </row>
    <row r="560" spans="9:9" x14ac:dyDescent="0.2">
      <c r="I560" s="11"/>
    </row>
    <row r="561" spans="9:9" x14ac:dyDescent="0.2">
      <c r="I561" s="11"/>
    </row>
    <row r="562" spans="9:9" x14ac:dyDescent="0.2">
      <c r="I562" s="11"/>
    </row>
    <row r="563" spans="9:9" x14ac:dyDescent="0.2">
      <c r="I563" s="11"/>
    </row>
    <row r="564" spans="9:9" x14ac:dyDescent="0.2">
      <c r="I564" s="11"/>
    </row>
    <row r="565" spans="9:9" x14ac:dyDescent="0.2">
      <c r="I565" s="11"/>
    </row>
    <row r="566" spans="9:9" x14ac:dyDescent="0.2">
      <c r="I566" s="11"/>
    </row>
    <row r="567" spans="9:9" x14ac:dyDescent="0.2">
      <c r="I567" s="11"/>
    </row>
    <row r="568" spans="9:9" x14ac:dyDescent="0.2">
      <c r="I568" s="11"/>
    </row>
    <row r="569" spans="9:9" x14ac:dyDescent="0.2">
      <c r="I569" s="11"/>
    </row>
    <row r="570" spans="9:9" x14ac:dyDescent="0.2">
      <c r="I570" s="11"/>
    </row>
    <row r="571" spans="9:9" x14ac:dyDescent="0.2">
      <c r="I571" s="11"/>
    </row>
    <row r="572" spans="9:9" x14ac:dyDescent="0.2">
      <c r="I572" s="11"/>
    </row>
    <row r="573" spans="9:9" x14ac:dyDescent="0.2">
      <c r="I573" s="11"/>
    </row>
    <row r="574" spans="9:9" x14ac:dyDescent="0.2">
      <c r="I574" s="11"/>
    </row>
    <row r="575" spans="9:9" x14ac:dyDescent="0.2">
      <c r="I575" s="11"/>
    </row>
    <row r="576" spans="9:9" x14ac:dyDescent="0.2">
      <c r="I576" s="11"/>
    </row>
    <row r="577" spans="9:9" x14ac:dyDescent="0.2">
      <c r="I577" s="11"/>
    </row>
    <row r="578" spans="9:9" x14ac:dyDescent="0.2">
      <c r="I578" s="11"/>
    </row>
    <row r="579" spans="9:9" x14ac:dyDescent="0.2">
      <c r="I579" s="11"/>
    </row>
    <row r="580" spans="9:9" x14ac:dyDescent="0.2">
      <c r="I580" s="11"/>
    </row>
    <row r="581" spans="9:9" x14ac:dyDescent="0.2">
      <c r="I581" s="11"/>
    </row>
    <row r="582" spans="9:9" x14ac:dyDescent="0.2">
      <c r="I582" s="11"/>
    </row>
    <row r="583" spans="9:9" x14ac:dyDescent="0.2">
      <c r="I583" s="11"/>
    </row>
    <row r="584" spans="9:9" x14ac:dyDescent="0.2">
      <c r="I584" s="11"/>
    </row>
    <row r="585" spans="9:9" x14ac:dyDescent="0.2">
      <c r="I585" s="11"/>
    </row>
    <row r="586" spans="9:9" x14ac:dyDescent="0.2">
      <c r="I586" s="11"/>
    </row>
    <row r="587" spans="9:9" x14ac:dyDescent="0.2">
      <c r="I587" s="11"/>
    </row>
    <row r="588" spans="9:9" x14ac:dyDescent="0.2">
      <c r="I588" s="11"/>
    </row>
    <row r="589" spans="9:9" x14ac:dyDescent="0.2">
      <c r="I589" s="11"/>
    </row>
    <row r="590" spans="9:9" x14ac:dyDescent="0.2">
      <c r="I590" s="11"/>
    </row>
    <row r="591" spans="9:9" x14ac:dyDescent="0.2">
      <c r="I591" s="11"/>
    </row>
    <row r="592" spans="9:9" x14ac:dyDescent="0.2">
      <c r="I592" s="11"/>
    </row>
    <row r="593" spans="9:9" x14ac:dyDescent="0.2">
      <c r="I593" s="11"/>
    </row>
    <row r="594" spans="9:9" x14ac:dyDescent="0.2">
      <c r="I594" s="11"/>
    </row>
    <row r="595" spans="9:9" x14ac:dyDescent="0.2">
      <c r="I595" s="11"/>
    </row>
    <row r="596" spans="9:9" x14ac:dyDescent="0.2">
      <c r="I596" s="11"/>
    </row>
    <row r="597" spans="9:9" x14ac:dyDescent="0.2">
      <c r="I597" s="11"/>
    </row>
    <row r="598" spans="9:9" x14ac:dyDescent="0.2">
      <c r="I598" s="11"/>
    </row>
    <row r="599" spans="9:9" x14ac:dyDescent="0.2">
      <c r="I599" s="11"/>
    </row>
    <row r="600" spans="9:9" x14ac:dyDescent="0.2">
      <c r="I600" s="11"/>
    </row>
    <row r="601" spans="9:9" x14ac:dyDescent="0.2">
      <c r="I601" s="11"/>
    </row>
    <row r="602" spans="9:9" x14ac:dyDescent="0.2">
      <c r="I602" s="11"/>
    </row>
    <row r="603" spans="9:9" x14ac:dyDescent="0.2">
      <c r="I603" s="11"/>
    </row>
    <row r="604" spans="9:9" x14ac:dyDescent="0.2">
      <c r="I604" s="11"/>
    </row>
    <row r="605" spans="9:9" x14ac:dyDescent="0.2">
      <c r="I605" s="11"/>
    </row>
    <row r="606" spans="9:9" x14ac:dyDescent="0.2">
      <c r="I606" s="11"/>
    </row>
    <row r="607" spans="9:9" x14ac:dyDescent="0.2">
      <c r="I607" s="11"/>
    </row>
    <row r="608" spans="9:9" x14ac:dyDescent="0.2">
      <c r="I608" s="11"/>
    </row>
    <row r="609" spans="9:9" x14ac:dyDescent="0.2">
      <c r="I609" s="11"/>
    </row>
    <row r="610" spans="9:9" x14ac:dyDescent="0.2">
      <c r="I610" s="11"/>
    </row>
    <row r="611" spans="9:9" x14ac:dyDescent="0.2">
      <c r="I611" s="11"/>
    </row>
    <row r="612" spans="9:9" x14ac:dyDescent="0.2">
      <c r="I612" s="11"/>
    </row>
    <row r="613" spans="9:9" x14ac:dyDescent="0.2">
      <c r="I613" s="11"/>
    </row>
    <row r="614" spans="9:9" x14ac:dyDescent="0.2">
      <c r="I614" s="11"/>
    </row>
    <row r="615" spans="9:9" x14ac:dyDescent="0.2">
      <c r="I615" s="11"/>
    </row>
    <row r="616" spans="9:9" x14ac:dyDescent="0.2">
      <c r="I616" s="11"/>
    </row>
    <row r="617" spans="9:9" x14ac:dyDescent="0.2">
      <c r="I617" s="11"/>
    </row>
    <row r="618" spans="9:9" x14ac:dyDescent="0.2">
      <c r="I618" s="11"/>
    </row>
    <row r="619" spans="9:9" x14ac:dyDescent="0.2">
      <c r="I619" s="11"/>
    </row>
    <row r="620" spans="9:9" x14ac:dyDescent="0.2">
      <c r="I620" s="11"/>
    </row>
    <row r="621" spans="9:9" x14ac:dyDescent="0.2">
      <c r="I621" s="11"/>
    </row>
    <row r="622" spans="9:9" x14ac:dyDescent="0.2">
      <c r="I622" s="11"/>
    </row>
    <row r="623" spans="9:9" x14ac:dyDescent="0.2">
      <c r="I623" s="11"/>
    </row>
    <row r="624" spans="9:9" x14ac:dyDescent="0.2">
      <c r="I624" s="11"/>
    </row>
    <row r="625" spans="9:9" x14ac:dyDescent="0.2">
      <c r="I625" s="11"/>
    </row>
    <row r="626" spans="9:9" x14ac:dyDescent="0.2">
      <c r="I626" s="11"/>
    </row>
    <row r="627" spans="9:9" x14ac:dyDescent="0.2">
      <c r="I627" s="11"/>
    </row>
    <row r="628" spans="9:9" x14ac:dyDescent="0.2">
      <c r="I628" s="11"/>
    </row>
    <row r="629" spans="9:9" x14ac:dyDescent="0.2">
      <c r="I629" s="11"/>
    </row>
    <row r="630" spans="9:9" x14ac:dyDescent="0.2">
      <c r="I630" s="11"/>
    </row>
    <row r="631" spans="9:9" x14ac:dyDescent="0.2">
      <c r="I631" s="11"/>
    </row>
    <row r="632" spans="9:9" x14ac:dyDescent="0.2">
      <c r="I632" s="11"/>
    </row>
    <row r="633" spans="9:9" x14ac:dyDescent="0.2">
      <c r="I633" s="11"/>
    </row>
    <row r="634" spans="9:9" x14ac:dyDescent="0.2">
      <c r="I634" s="11"/>
    </row>
    <row r="635" spans="9:9" x14ac:dyDescent="0.2">
      <c r="I635" s="11"/>
    </row>
    <row r="636" spans="9:9" x14ac:dyDescent="0.2">
      <c r="I636" s="11"/>
    </row>
    <row r="637" spans="9:9" x14ac:dyDescent="0.2">
      <c r="I637" s="11"/>
    </row>
    <row r="638" spans="9:9" x14ac:dyDescent="0.2">
      <c r="I638" s="11"/>
    </row>
    <row r="639" spans="9:9" x14ac:dyDescent="0.2">
      <c r="I639" s="11"/>
    </row>
    <row r="640" spans="9:9" x14ac:dyDescent="0.2">
      <c r="I640" s="11"/>
    </row>
    <row r="641" spans="9:9" x14ac:dyDescent="0.2">
      <c r="I641" s="11"/>
    </row>
    <row r="642" spans="9:9" x14ac:dyDescent="0.2">
      <c r="I642" s="11"/>
    </row>
    <row r="643" spans="9:9" x14ac:dyDescent="0.2">
      <c r="I643" s="11"/>
    </row>
    <row r="644" spans="9:9" x14ac:dyDescent="0.2">
      <c r="I644" s="11"/>
    </row>
    <row r="645" spans="9:9" x14ac:dyDescent="0.2">
      <c r="I645" s="11"/>
    </row>
    <row r="646" spans="9:9" x14ac:dyDescent="0.2">
      <c r="I646" s="11"/>
    </row>
    <row r="647" spans="9:9" x14ac:dyDescent="0.2">
      <c r="I647" s="11"/>
    </row>
    <row r="648" spans="9:9" x14ac:dyDescent="0.2">
      <c r="I648" s="11"/>
    </row>
    <row r="649" spans="9:9" x14ac:dyDescent="0.2">
      <c r="I649" s="11"/>
    </row>
    <row r="650" spans="9:9" x14ac:dyDescent="0.2">
      <c r="I650" s="11"/>
    </row>
    <row r="651" spans="9:9" x14ac:dyDescent="0.2">
      <c r="I651" s="11"/>
    </row>
    <row r="652" spans="9:9" x14ac:dyDescent="0.2">
      <c r="I652" s="11"/>
    </row>
    <row r="653" spans="9:9" x14ac:dyDescent="0.2">
      <c r="I653" s="11"/>
    </row>
    <row r="654" spans="9:9" x14ac:dyDescent="0.2">
      <c r="I654" s="11"/>
    </row>
    <row r="655" spans="9:9" x14ac:dyDescent="0.2">
      <c r="I655" s="11"/>
    </row>
    <row r="656" spans="9:9" x14ac:dyDescent="0.2">
      <c r="I656" s="11"/>
    </row>
    <row r="657" spans="9:9" x14ac:dyDescent="0.2">
      <c r="I657" s="11"/>
    </row>
    <row r="658" spans="9:9" x14ac:dyDescent="0.2">
      <c r="I658" s="11"/>
    </row>
  </sheetData>
  <mergeCells count="3">
    <mergeCell ref="B1:C1"/>
    <mergeCell ref="B86:I86"/>
    <mergeCell ref="B90:I90"/>
  </mergeCells>
  <conditionalFormatting sqref="G1:G3 G5:G85 G87:G89 G91:G148">
    <cfRule type="cellIs" dxfId="0" priority="1" stopIfTrue="1" operator="between">
      <formula>0.009</formula>
      <formula>-0.009</formula>
    </cfRule>
  </conditionalFormatting>
  <hyperlinks>
    <hyperlink ref="A2" location="Index!A1" display="-" xr:uid="{C0BEB8EB-AB5F-4C0C-806E-AFB948839AED}"/>
  </hyperlinks>
  <pageMargins left="0.7" right="0.7" top="0.75" bottom="0.75" header="0.3" footer="0.3"/>
  <pageSetup paperSize="9" scale="47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84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JBLF</vt:lpstr>
      <vt:lpstr>JBLF!Print_Area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2026-05-08T09:08:40Z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