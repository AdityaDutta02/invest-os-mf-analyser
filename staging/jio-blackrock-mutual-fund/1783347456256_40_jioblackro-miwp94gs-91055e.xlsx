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DC52DC7D-9AB6-4017-B39A-A453C0CCA202}" xr6:coauthVersionLast="47" xr6:coauthVersionMax="47" xr10:uidLastSave="{00000000-0000-0000-0000-000000000000}"/>
  <bookViews>
    <workbookView xWindow="45" yWindow="15" windowWidth="19125" windowHeight="11235" xr2:uid="{93FBE97D-68C6-454C-8EF4-3016A4BF899F}"/>
  </bookViews>
  <sheets>
    <sheet name="JBLF" sheetId="5" r:id="rId1"/>
  </sheets>
  <definedNames>
    <definedName name="_xlnm.Print_Area" localSheetId="0">JBLF!$B$1:$I$141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5" l="1"/>
  <c r="F83" i="5"/>
  <c r="G73" i="5"/>
  <c r="F73" i="5"/>
  <c r="G65" i="5"/>
  <c r="F65" i="5"/>
  <c r="G46" i="5"/>
  <c r="F46" i="5"/>
  <c r="G91" i="5" l="1"/>
  <c r="F74" i="5"/>
  <c r="G74" i="5"/>
  <c r="F91" i="5"/>
</calcChain>
</file>

<file path=xl/sharedStrings.xml><?xml version="1.0" encoding="utf-8"?>
<sst xmlns="http://schemas.openxmlformats.org/spreadsheetml/2006/main" count="239" uniqueCount="171">
  <si>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</si>
  <si>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</si>
  <si>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</si>
  <si>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</si>
  <si>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</si>
  <si>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</si>
  <si>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November 30, 2025</t>
  </si>
  <si>
    <t>JioBlackRock Liquid Fund</t>
  </si>
  <si>
    <t>Yield to Call ^</t>
  </si>
  <si>
    <t>Money Market Instruments</t>
  </si>
  <si>
    <t>Certificate of Deposit</t>
  </si>
  <si>
    <t>CRISIL A1+</t>
  </si>
  <si>
    <t>ICRA A1+</t>
  </si>
  <si>
    <t>CARE A1+</t>
  </si>
  <si>
    <t>IND A1+</t>
  </si>
  <si>
    <t>Small Industries Development Bank of India (27-Feb-2026)</t>
  </si>
  <si>
    <t>INE556F16BB6</t>
  </si>
  <si>
    <t>Sub Total</t>
  </si>
  <si>
    <t>Commercial Paper</t>
  </si>
  <si>
    <t>Treasury Bill</t>
  </si>
  <si>
    <t>Total</t>
  </si>
  <si>
    <t>Government Securities</t>
  </si>
  <si>
    <t>SOVEREIGN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</si>
  <si>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</si>
  <si>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</si>
  <si>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</si>
  <si>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</si>
  <si>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</si>
  <si>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</si>
  <si>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Reverse Repo</t>
  </si>
  <si>
    <t>Reverse Repo (01-Dec-2025)</t>
  </si>
  <si>
    <t>HDFC Bank Ltd (22-Dec-2025) **</t>
  </si>
  <si>
    <t>INE040A16HQ7</t>
  </si>
  <si>
    <t>Axis Bank Ltd (18-Feb-2026) **</t>
  </si>
  <si>
    <t>INE238AD6BM0</t>
  </si>
  <si>
    <t>Federal Bank Ltd (20-Feb-2026) **</t>
  </si>
  <si>
    <t>INE171A16MU2</t>
  </si>
  <si>
    <t>Axis Bank Ltd (18-Dec-2025) **</t>
  </si>
  <si>
    <t>INE238AD6BH0</t>
  </si>
  <si>
    <t>Canara Bank (18-Dec-2025)</t>
  </si>
  <si>
    <t>INE476A16ZT9</t>
  </si>
  <si>
    <t>Punjab National Bank (03-Feb-2026) **</t>
  </si>
  <si>
    <t>INE160A16TC8</t>
  </si>
  <si>
    <t>Federal Bank Ltd (24-Feb-2026) **</t>
  </si>
  <si>
    <t>INE171A16NA2</t>
  </si>
  <si>
    <t>Bank of Baroda (24-Feb-2026)</t>
  </si>
  <si>
    <t>INE028A16JJ3</t>
  </si>
  <si>
    <t>Bank of Baroda (16-Dec-2025) **</t>
  </si>
  <si>
    <t>INE028A16ID8</t>
  </si>
  <si>
    <t>Canara Bank (17-Dec-2025) **</t>
  </si>
  <si>
    <t>INE476A16E04</t>
  </si>
  <si>
    <t>National Bank For Agriculture &amp; Rural Development (06-Feb-2026) **</t>
  </si>
  <si>
    <t>INE261F16942</t>
  </si>
  <si>
    <t>Small Industries Development Bank of India (06-Feb-2026)</t>
  </si>
  <si>
    <t>INE556F16BA8</t>
  </si>
  <si>
    <t>HDFC Bank Ltd (12-Feb-2026) **</t>
  </si>
  <si>
    <t>INE040A16HV7</t>
  </si>
  <si>
    <t>Indian Bank (17-Feb-2026) **</t>
  </si>
  <si>
    <t>INE562A16PW1</t>
  </si>
  <si>
    <t>Bank of India (18-Feb-2026) **</t>
  </si>
  <si>
    <t>INE084A16ET6</t>
  </si>
  <si>
    <t>Canara Bank (24-Feb-2026) **</t>
  </si>
  <si>
    <t>INE476A16A65</t>
  </si>
  <si>
    <t>Bank of India (25-Feb-2026) **</t>
  </si>
  <si>
    <t>INE084A16FB1</t>
  </si>
  <si>
    <t>HDFC Bank Ltd (18-Dec-2025)</t>
  </si>
  <si>
    <t>INE040A16GA3</t>
  </si>
  <si>
    <t>National Bank For Agriculture &amp; Rural Development (17-Feb-2026) **</t>
  </si>
  <si>
    <t>INE261F16959</t>
  </si>
  <si>
    <t>HDFC Bank Ltd (04-Dec-2025)</t>
  </si>
  <si>
    <t>INE040A16FY5</t>
  </si>
  <si>
    <t>Punjab National Bank (11-Dec-2025) **</t>
  </si>
  <si>
    <t>INE160A16QL5</t>
  </si>
  <si>
    <t>Union Bank of India (05-Dec-2025)</t>
  </si>
  <si>
    <t>INE692A16ID1</t>
  </si>
  <si>
    <t>Canara Bank (05-Dec-2025)</t>
  </si>
  <si>
    <t>INE476A16ZP7</t>
  </si>
  <si>
    <t>Small Industries Development Bank of India (05-Dec-2025)</t>
  </si>
  <si>
    <t>INE556F16AX2</t>
  </si>
  <si>
    <t>Axis Bank Ltd (17-Dec-2025)</t>
  </si>
  <si>
    <t>INE238AD6AY7</t>
  </si>
  <si>
    <t>Union Bank of India (23-Dec-2025) **</t>
  </si>
  <si>
    <t>INE692A16JW9</t>
  </si>
  <si>
    <t>Union Bank of India (27-Jan-2026) **</t>
  </si>
  <si>
    <t>INE692A16IM2</t>
  </si>
  <si>
    <t>Bank of Baroda (06-Feb-2026) **</t>
  </si>
  <si>
    <t>INE028A16JM7</t>
  </si>
  <si>
    <t>Kotak Mahindra Bank Ltd (18-Feb-2026) **</t>
  </si>
  <si>
    <t>INE237A165Z5</t>
  </si>
  <si>
    <t>Bank of India (04-Dec-2025) **</t>
  </si>
  <si>
    <t>INE084A16EF5</t>
  </si>
  <si>
    <t>Union Bank of India (04-Dec-2025) **</t>
  </si>
  <si>
    <t>INE692A16IC3</t>
  </si>
  <si>
    <t>Union Bank of India (18-Dec-2025)</t>
  </si>
  <si>
    <t>INE692A16II0</t>
  </si>
  <si>
    <t>Union Bank of India (03-Feb-2026) **</t>
  </si>
  <si>
    <t>INE692A16IP5</t>
  </si>
  <si>
    <t>National Bank For Agriculture &amp; Rural Development (04-Feb-2026) **</t>
  </si>
  <si>
    <t>INE261F16926</t>
  </si>
  <si>
    <t>Bank of Baroda (09-Feb-2026) **</t>
  </si>
  <si>
    <t>INE028A16JN5</t>
  </si>
  <si>
    <t>Bank of Baroda (23-Feb-2026)</t>
  </si>
  <si>
    <t>INE028A16JO3</t>
  </si>
  <si>
    <t>National Bank For Agriculture &amp; Rural Development (27-Feb-2026)</t>
  </si>
  <si>
    <t>INE261F16967</t>
  </si>
  <si>
    <t>Bank of India (26-Dec-2025) **</t>
  </si>
  <si>
    <t>INE084A16CY0</t>
  </si>
  <si>
    <t>Kotak Securities Ltd (30-Dec-2025) **</t>
  </si>
  <si>
    <t>INE028E14TC4</t>
  </si>
  <si>
    <t>Reliance Retail Ventures Ltd (03-Dec-2025) **</t>
  </si>
  <si>
    <t>INE929O14EA8</t>
  </si>
  <si>
    <t>ICICI Home Finance Co Ltd (11-Feb-2026) **</t>
  </si>
  <si>
    <t>INE071G14HF7</t>
  </si>
  <si>
    <t>Bajaj Financial Securities Ltd (17-Dec-2025) **</t>
  </si>
  <si>
    <t>INE01C314CV7</t>
  </si>
  <si>
    <t>HDFC Securities Ltd (18-Dec-2025) **</t>
  </si>
  <si>
    <t>INE700G14PZ2</t>
  </si>
  <si>
    <t>Grasim Industries Ltd (11-Dec-2025) **</t>
  </si>
  <si>
    <t>INE047A14AM1</t>
  </si>
  <si>
    <t>HDFC Securities Ltd (29-Dec-2025) **</t>
  </si>
  <si>
    <t>INE700G14QJ4</t>
  </si>
  <si>
    <t>ICICI Securities Ltd (16-Dec-2025) **</t>
  </si>
  <si>
    <t>INE763G14B13</t>
  </si>
  <si>
    <t>Kotak Securities Ltd (06-Feb-2026) **</t>
  </si>
  <si>
    <t>INE028E14TL5</t>
  </si>
  <si>
    <t>Godrej Housing Finance Ltd (13-Feb-2026) **</t>
  </si>
  <si>
    <t>INE02JD14591</t>
  </si>
  <si>
    <t>Small Industries Development Bank Of India (18-Feb-2026) **</t>
  </si>
  <si>
    <t>INE556F14LR6</t>
  </si>
  <si>
    <t>Julius Baer Capital (India) Pvt Ltd (13-Feb-2026) **</t>
  </si>
  <si>
    <t>INE824H14SV1</t>
  </si>
  <si>
    <t>ICICI Securities Ltd (10-Dec-2025) **</t>
  </si>
  <si>
    <t>INE763G14A71</t>
  </si>
  <si>
    <t>L&amp;T Finance Ltd (17-Dec-2025) **</t>
  </si>
  <si>
    <t>INE498L14ES2</t>
  </si>
  <si>
    <t>Axis Securities Ltd (27-Feb-2026) **</t>
  </si>
  <si>
    <t>INE110O14GQ6</t>
  </si>
  <si>
    <t>ICICI Securities Ltd (04-Dec-2025) **</t>
  </si>
  <si>
    <t>INE763G14A48</t>
  </si>
  <si>
    <t>Aditya Birla Capital Ltd (06-Feb-2026) **</t>
  </si>
  <si>
    <t>INE860H144V6</t>
  </si>
  <si>
    <t>182 DTB (22-JAN-2026)</t>
  </si>
  <si>
    <t>IN002025Y172</t>
  </si>
  <si>
    <t>91 DTB (02-JAN-2026)</t>
  </si>
  <si>
    <t>IN002025X273</t>
  </si>
  <si>
    <t>91 DTB (23-JAN-2026)</t>
  </si>
  <si>
    <t>IN002025X307</t>
  </si>
  <si>
    <t>91 DTB (15-JAN-2026)</t>
  </si>
  <si>
    <t>IN002025X299</t>
  </si>
  <si>
    <t>182 DTB (25-DEC-2025)</t>
  </si>
  <si>
    <t>IN002025Y131</t>
  </si>
  <si>
    <t>182 DTB (12-FEB-2026)</t>
  </si>
  <si>
    <t>IN002025Y206</t>
  </si>
  <si>
    <t>8.21% MAHARASHTRA SDL 09-DEC-25</t>
  </si>
  <si>
    <t>IN2220150147</t>
  </si>
  <si>
    <t>8.36% MAHARASHTRA SDL 27-JAN-26</t>
  </si>
  <si>
    <t>IN2220150170</t>
  </si>
  <si>
    <t>8.27% TAMIL NADU SDL 23-DEC-25</t>
  </si>
  <si>
    <t>IN3120150161</t>
  </si>
  <si>
    <t>8.39% MADHYA PRADESH SDL 27-JAN-26</t>
  </si>
  <si>
    <t>IN2120150098</t>
  </si>
  <si>
    <t>8.30% MADHYA PRADESH SDL 13-JAN-26</t>
  </si>
  <si>
    <t>IN2120150080</t>
  </si>
  <si>
    <t>8.27% KARNATAKA SDL 23-DEC-25</t>
  </si>
  <si>
    <t>IN1920150068</t>
  </si>
  <si>
    <t>8.22% TAMIL NADU SDL 09-DEC-25</t>
  </si>
  <si>
    <t>IN3120150153</t>
  </si>
  <si>
    <t>Scheme Risk-O-Meter</t>
  </si>
  <si>
    <t>Benchmark Risk-O-Meter</t>
  </si>
  <si>
    <t>Benchmark Name - NIFTY Liquid Index A-I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</si>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</sst>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8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5" fillId="2" borderId="0" xfId="0" applyFont="1" applyFill="1"/>
    <xf numFmtId="0" fontId="5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5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5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5" fillId="3" borderId="0" xfId="0" applyNumberFormat="1" applyFont="1" applyFill="1" applyBorder="1"/>
    <xf numFmtId="0" fontId="9" fillId="2" borderId="0" xfId="0" applyFont="1" applyFill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 wrapText="1"/>
    </xf>
    <xf numFmtId="39" fontId="9" fillId="0" borderId="1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2" borderId="2" xfId="0" applyFont="1" applyFill="1" applyBorder="1"/>
    <xf numFmtId="0" fontId="5" fillId="2" borderId="2" xfId="0" applyFont="1" applyFill="1" applyBorder="1"/>
    <xf numFmtId="0" fontId="5" fillId="2" borderId="2" xfId="0" applyNumberFormat="1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10" fontId="5" fillId="2" borderId="2" xfId="0" applyNumberFormat="1" applyFont="1" applyFill="1" applyBorder="1"/>
    <xf numFmtId="3" fontId="5" fillId="2" borderId="2" xfId="0" applyNumberFormat="1" applyFont="1" applyFill="1" applyBorder="1"/>
    <xf numFmtId="4" fontId="5" fillId="2" borderId="2" xfId="0" applyNumberFormat="1" applyFont="1" applyFill="1" applyBorder="1"/>
    <xf numFmtId="0" fontId="9" fillId="2" borderId="2" xfId="0" applyNumberFormat="1" applyFont="1" applyFill="1" applyBorder="1"/>
    <xf numFmtId="39" fontId="9" fillId="2" borderId="3" xfId="0" applyNumberFormat="1" applyFont="1" applyFill="1" applyBorder="1"/>
    <xf numFmtId="39" fontId="9" fillId="3" borderId="3" xfId="0" applyNumberFormat="1" applyFont="1" applyFill="1" applyBorder="1"/>
    <xf numFmtId="10" fontId="9" fillId="2" borderId="2" xfId="0" applyNumberFormat="1" applyFont="1" applyFill="1" applyBorder="1"/>
    <xf numFmtId="39" fontId="9" fillId="2" borderId="4" xfId="0" applyNumberFormat="1" applyFont="1" applyFill="1" applyBorder="1"/>
    <xf numFmtId="39" fontId="9" fillId="3" borderId="4" xfId="0" applyNumberFormat="1" applyFont="1" applyFill="1" applyBorder="1"/>
    <xf numFmtId="0" fontId="9" fillId="2" borderId="5" xfId="0" applyFont="1" applyFill="1" applyBorder="1"/>
    <xf numFmtId="0" fontId="9" fillId="2" borderId="5" xfId="0" applyNumberFormat="1" applyFont="1" applyFill="1" applyBorder="1"/>
    <xf numFmtId="39" fontId="9" fillId="2" borderId="5" xfId="0" applyNumberFormat="1" applyFont="1" applyFill="1" applyBorder="1"/>
    <xf numFmtId="39" fontId="9" fillId="3" borderId="5" xfId="0" applyNumberFormat="1" applyFont="1" applyFill="1" applyBorder="1"/>
    <xf numFmtId="164" fontId="5" fillId="2" borderId="2" xfId="0" applyNumberFormat="1" applyFont="1" applyFill="1" applyBorder="1"/>
    <xf numFmtId="0" fontId="9" fillId="2" borderId="6" xfId="0" applyFont="1" applyFill="1" applyBorder="1"/>
    <xf numFmtId="0" fontId="9" fillId="2" borderId="6" xfId="0" applyNumberFormat="1" applyFont="1" applyFill="1" applyBorder="1"/>
    <xf numFmtId="39" fontId="9" fillId="2" borderId="6" xfId="0" applyNumberFormat="1" applyFont="1" applyFill="1" applyBorder="1"/>
    <xf numFmtId="39" fontId="9" fillId="3" borderId="6" xfId="0" applyNumberFormat="1" applyFont="1" applyFill="1" applyBorder="1"/>
    <xf numFmtId="10" fontId="9" fillId="2" borderId="7" xfId="0" applyNumberFormat="1" applyFont="1" applyFill="1" applyBorder="1"/>
    <xf numFmtId="0" fontId="9" fillId="2" borderId="3" xfId="0" applyFont="1" applyFill="1" applyBorder="1"/>
    <xf numFmtId="0" fontId="9" fillId="2" borderId="3" xfId="0" applyNumberFormat="1" applyFont="1" applyFill="1" applyBorder="1"/>
    <xf numFmtId="0" fontId="9" fillId="2" borderId="0" xfId="0" applyFont="1" applyFill="1" applyAlignment="1">
      <alignment horizontal="right"/>
    </xf>
    <xf numFmtId="165" fontId="5" fillId="2" borderId="0" xfId="0" applyNumberFormat="1" applyFont="1" applyFill="1"/>
    <xf numFmtId="0" fontId="8" fillId="2" borderId="0" xfId="1" applyFill="1"/>
    <xf numFmtId="39" fontId="5" fillId="3" borderId="0" xfId="0" applyNumberFormat="1" applyFont="1" applyFill="1"/>
    <xf numFmtId="0" fontId="6" fillId="0" borderId="0" xfId="0" applyFont="1" applyAlignment="1">
      <alignment horizontal="left" vertical="top" wrapText="1"/>
    </xf>
    <xf numFmtId="0" fontId="7" fillId="0" borderId="0" xfId="0" applyFont="1" applyAlignment="1"/>
    <xf numFmtId="0" fontId="9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99</xdr:row>
      <xdr:rowOff>0</xdr:rowOff>
    </xdr:from>
    <xdr:to>
      <xdr:col>3</xdr:col>
      <xdr:colOff>876300</xdr:colOff>
      <xdr:row>116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D95959-FA7E-4FC3-9E34-F1D819196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4239875"/>
          <a:ext cx="4800600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120</xdr:row>
      <xdr:rowOff>76200</xdr:rowOff>
    </xdr:from>
    <xdr:to>
      <xdr:col>4</xdr:col>
      <xdr:colOff>47625</xdr:colOff>
      <xdr:row>137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BD5BA3-B961-4466-8834-664E6349C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17316450"/>
          <a:ext cx="492442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488ED-74B0-472F-9CAE-2D038AB0C753}">
  <dimension ref="A1:K138"/>
  <sheetViews>
    <sheetView tabSelected="1"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8" customWidth="1"/>
    <col min="2" max="2" width="52.7109375" style="8" bestFit="1" customWidth="1"/>
    <col min="3" max="3" width="11.42578125" style="8" bestFit="1" customWidth="1"/>
    <col min="4" max="4" width="13.85546875" style="8" bestFit="1" customWidth="1"/>
    <col min="5" max="5" width="13.85546875" style="9" bestFit="1" customWidth="1"/>
    <col min="6" max="6" width="16.140625" style="11" bestFit="1" customWidth="1"/>
    <col min="7" max="7" width="8.28515625" style="17" bestFit="1" customWidth="1"/>
    <col min="8" max="8" width="11.85546875" style="14" bestFit="1" customWidth="1"/>
    <col min="9" max="9" width="10.140625" style="14" bestFit="1" customWidth="1"/>
    <col min="10" max="10" width="25.85546875" style="8" customWidth="1"/>
    <col min="11" max="16384" width="9.140625" style="8"/>
  </cols>
  <sheetData>
    <row r="1" spans="1:11" s="1" customFormat="1" ht="16.7" customHeight="1" x14ac:dyDescent="0.2">
      <c r="B1" s="55" t="s">
        <v>7</v>
      </c>
      <c r="C1" s="56"/>
      <c r="D1" s="13"/>
      <c r="E1" s="6"/>
      <c r="F1" s="7"/>
      <c r="G1" s="17"/>
      <c r="H1" s="14"/>
      <c r="I1" s="15"/>
    </row>
    <row r="2" spans="1:11" s="1" customFormat="1" ht="15" x14ac:dyDescent="0.25">
      <c r="A2" s="53" t="s">
        <v>170</v>
      </c>
      <c r="E2" s="6"/>
      <c r="F2" s="7"/>
      <c r="G2" s="17"/>
      <c r="H2" s="14"/>
      <c r="I2" s="15"/>
    </row>
    <row r="3" spans="1:11" s="1" customFormat="1" ht="12" x14ac:dyDescent="0.2">
      <c r="B3" s="10" t="s">
        <v>6</v>
      </c>
      <c r="C3" s="2"/>
      <c r="D3" s="3"/>
      <c r="E3" s="4"/>
      <c r="F3" s="5"/>
      <c r="G3" s="17"/>
      <c r="H3" s="14"/>
      <c r="I3" s="15"/>
    </row>
    <row r="4" spans="1:11" s="1" customFormat="1" ht="25.5" customHeight="1" x14ac:dyDescent="0.2">
      <c r="B4" s="19" t="s">
        <v>4</v>
      </c>
      <c r="C4" s="19" t="s">
        <v>5</v>
      </c>
      <c r="D4" s="20" t="s">
        <v>26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8</v>
      </c>
      <c r="J4" s="16"/>
      <c r="K4" s="12"/>
    </row>
    <row r="5" spans="1:11" x14ac:dyDescent="0.2">
      <c r="B5" s="25" t="s">
        <v>9</v>
      </c>
      <c r="C5" s="26"/>
      <c r="D5" s="26"/>
      <c r="E5" s="27"/>
      <c r="F5" s="28"/>
      <c r="G5" s="29"/>
      <c r="H5" s="30"/>
      <c r="I5" s="30"/>
    </row>
    <row r="6" spans="1:11" x14ac:dyDescent="0.2">
      <c r="B6" s="25" t="s">
        <v>10</v>
      </c>
      <c r="C6" s="26"/>
      <c r="D6" s="26"/>
      <c r="E6" s="27"/>
      <c r="F6" s="28"/>
      <c r="G6" s="29"/>
      <c r="H6" s="30"/>
      <c r="I6" s="30"/>
    </row>
    <row r="7" spans="1:11" x14ac:dyDescent="0.2">
      <c r="B7" s="26" t="s">
        <v>15</v>
      </c>
      <c r="C7" s="26" t="s">
        <v>16</v>
      </c>
      <c r="D7" s="26" t="s">
        <v>11</v>
      </c>
      <c r="E7" s="31">
        <v>6000</v>
      </c>
      <c r="F7" s="28">
        <v>29578.77</v>
      </c>
      <c r="G7" s="29">
        <v>4.2934906846045404</v>
      </c>
      <c r="H7" s="30">
        <v>5.9068000000000002E-2</v>
      </c>
      <c r="I7" s="32"/>
    </row>
    <row r="8" spans="1:11" x14ac:dyDescent="0.2">
      <c r="B8" s="26" t="s">
        <v>31</v>
      </c>
      <c r="C8" s="26" t="s">
        <v>32</v>
      </c>
      <c r="D8" s="26" t="s">
        <v>11</v>
      </c>
      <c r="E8" s="31">
        <v>4000</v>
      </c>
      <c r="F8" s="28">
        <v>19932.919999999998</v>
      </c>
      <c r="G8" s="29">
        <v>2.8933524395019599</v>
      </c>
      <c r="H8" s="30">
        <v>5.8500999999999997E-2</v>
      </c>
      <c r="I8" s="32"/>
    </row>
    <row r="9" spans="1:11" x14ac:dyDescent="0.2">
      <c r="B9" s="26" t="s">
        <v>33</v>
      </c>
      <c r="C9" s="26" t="s">
        <v>34</v>
      </c>
      <c r="D9" s="26" t="s">
        <v>11</v>
      </c>
      <c r="E9" s="31">
        <v>4000</v>
      </c>
      <c r="F9" s="28">
        <v>19747.54</v>
      </c>
      <c r="G9" s="29">
        <v>2.8664437038408099</v>
      </c>
      <c r="H9" s="30">
        <v>5.9069000000000003E-2</v>
      </c>
      <c r="I9" s="32"/>
    </row>
    <row r="10" spans="1:11" x14ac:dyDescent="0.2">
      <c r="B10" s="26" t="s">
        <v>35</v>
      </c>
      <c r="C10" s="26" t="s">
        <v>36</v>
      </c>
      <c r="D10" s="26" t="s">
        <v>11</v>
      </c>
      <c r="E10" s="31">
        <v>4000</v>
      </c>
      <c r="F10" s="28">
        <v>19737.12</v>
      </c>
      <c r="G10" s="29">
        <v>2.8649311942627</v>
      </c>
      <c r="H10" s="30">
        <v>6.0018000000000002E-2</v>
      </c>
      <c r="I10" s="32"/>
    </row>
    <row r="11" spans="1:11" x14ac:dyDescent="0.2">
      <c r="B11" s="26" t="s">
        <v>37</v>
      </c>
      <c r="C11" s="26" t="s">
        <v>38</v>
      </c>
      <c r="D11" s="26" t="s">
        <v>11</v>
      </c>
      <c r="E11" s="31">
        <v>3000</v>
      </c>
      <c r="F11" s="28">
        <v>14959.365</v>
      </c>
      <c r="G11" s="29">
        <v>2.1714186991243798</v>
      </c>
      <c r="H11" s="30">
        <v>5.8333000000000003E-2</v>
      </c>
      <c r="I11" s="32"/>
    </row>
    <row r="12" spans="1:11" x14ac:dyDescent="0.2">
      <c r="B12" s="26" t="s">
        <v>39</v>
      </c>
      <c r="C12" s="26" t="s">
        <v>40</v>
      </c>
      <c r="D12" s="26" t="s">
        <v>11</v>
      </c>
      <c r="E12" s="31">
        <v>3000</v>
      </c>
      <c r="F12" s="28">
        <v>14959.245000000001</v>
      </c>
      <c r="G12" s="29">
        <v>2.1714012805879701</v>
      </c>
      <c r="H12" s="30">
        <v>5.8494999999999998E-2</v>
      </c>
      <c r="I12" s="32"/>
    </row>
    <row r="13" spans="1:11" x14ac:dyDescent="0.2">
      <c r="B13" s="26" t="s">
        <v>41</v>
      </c>
      <c r="C13" s="26" t="s">
        <v>42</v>
      </c>
      <c r="D13" s="26" t="s">
        <v>11</v>
      </c>
      <c r="E13" s="31">
        <v>3000</v>
      </c>
      <c r="F13" s="28">
        <v>14843.37</v>
      </c>
      <c r="G13" s="29">
        <v>2.1545815063688698</v>
      </c>
      <c r="H13" s="30">
        <v>6.0179999999999997E-2</v>
      </c>
      <c r="I13" s="32"/>
    </row>
    <row r="14" spans="1:11" x14ac:dyDescent="0.2">
      <c r="B14" s="26" t="s">
        <v>43</v>
      </c>
      <c r="C14" s="26" t="s">
        <v>44</v>
      </c>
      <c r="D14" s="26" t="s">
        <v>11</v>
      </c>
      <c r="E14" s="31">
        <v>3000</v>
      </c>
      <c r="F14" s="28">
        <v>14793.24</v>
      </c>
      <c r="G14" s="29">
        <v>2.1473049127843802</v>
      </c>
      <c r="H14" s="30">
        <v>6.0017000000000001E-2</v>
      </c>
      <c r="I14" s="32"/>
    </row>
    <row r="15" spans="1:11" x14ac:dyDescent="0.2">
      <c r="B15" s="26" t="s">
        <v>45</v>
      </c>
      <c r="C15" s="26" t="s">
        <v>46</v>
      </c>
      <c r="D15" s="26" t="s">
        <v>11</v>
      </c>
      <c r="E15" s="31">
        <v>2300</v>
      </c>
      <c r="F15" s="28">
        <v>11344.450999999999</v>
      </c>
      <c r="G15" s="29">
        <v>1.64669777311405</v>
      </c>
      <c r="H15" s="30">
        <v>5.8881000000000003E-2</v>
      </c>
      <c r="I15" s="32"/>
    </row>
    <row r="16" spans="1:11" x14ac:dyDescent="0.2">
      <c r="B16" s="26" t="s">
        <v>47</v>
      </c>
      <c r="C16" s="26" t="s">
        <v>48</v>
      </c>
      <c r="D16" s="26" t="s">
        <v>11</v>
      </c>
      <c r="E16" s="31">
        <v>2000</v>
      </c>
      <c r="F16" s="28">
        <v>9976.02</v>
      </c>
      <c r="G16" s="29">
        <v>1.44806389648483</v>
      </c>
      <c r="H16" s="30">
        <v>5.8492000000000002E-2</v>
      </c>
      <c r="I16" s="32"/>
    </row>
    <row r="17" spans="2:9" x14ac:dyDescent="0.2">
      <c r="B17" s="26" t="s">
        <v>49</v>
      </c>
      <c r="C17" s="26" t="s">
        <v>50</v>
      </c>
      <c r="D17" s="26" t="s">
        <v>11</v>
      </c>
      <c r="E17" s="31">
        <v>2000</v>
      </c>
      <c r="F17" s="28">
        <v>9974.42</v>
      </c>
      <c r="G17" s="29">
        <v>1.4478316493327199</v>
      </c>
      <c r="H17" s="30">
        <v>5.8504E-2</v>
      </c>
      <c r="I17" s="32"/>
    </row>
    <row r="18" spans="2:9" x14ac:dyDescent="0.2">
      <c r="B18" s="26" t="s">
        <v>51</v>
      </c>
      <c r="C18" s="26" t="s">
        <v>52</v>
      </c>
      <c r="D18" s="26" t="s">
        <v>11</v>
      </c>
      <c r="E18" s="31">
        <v>2000</v>
      </c>
      <c r="F18" s="28">
        <v>9890.2099999999991</v>
      </c>
      <c r="G18" s="29">
        <v>1.4356081914083201</v>
      </c>
      <c r="H18" s="30">
        <v>6.0475000000000001E-2</v>
      </c>
      <c r="I18" s="32"/>
    </row>
    <row r="19" spans="2:9" x14ac:dyDescent="0.2">
      <c r="B19" s="26" t="s">
        <v>53</v>
      </c>
      <c r="C19" s="26" t="s">
        <v>54</v>
      </c>
      <c r="D19" s="26" t="s">
        <v>11</v>
      </c>
      <c r="E19" s="31">
        <v>2000</v>
      </c>
      <c r="F19" s="28">
        <v>9890.16</v>
      </c>
      <c r="G19" s="29">
        <v>1.4356009336848199</v>
      </c>
      <c r="H19" s="30">
        <v>6.0503000000000001E-2</v>
      </c>
      <c r="I19" s="32"/>
    </row>
    <row r="20" spans="2:9" x14ac:dyDescent="0.2">
      <c r="B20" s="26" t="s">
        <v>55</v>
      </c>
      <c r="C20" s="26" t="s">
        <v>56</v>
      </c>
      <c r="D20" s="26" t="s">
        <v>11</v>
      </c>
      <c r="E20" s="31">
        <v>2000</v>
      </c>
      <c r="F20" s="28">
        <v>9880.64</v>
      </c>
      <c r="G20" s="29">
        <v>1.43421906312977</v>
      </c>
      <c r="H20" s="30">
        <v>6.0401000000000003E-2</v>
      </c>
      <c r="I20" s="32"/>
    </row>
    <row r="21" spans="2:9" x14ac:dyDescent="0.2">
      <c r="B21" s="26" t="s">
        <v>57</v>
      </c>
      <c r="C21" s="26" t="s">
        <v>58</v>
      </c>
      <c r="D21" s="26" t="s">
        <v>11</v>
      </c>
      <c r="E21" s="31">
        <v>2000</v>
      </c>
      <c r="F21" s="28">
        <v>9875.9699999999993</v>
      </c>
      <c r="G21" s="29">
        <v>1.43354119175455</v>
      </c>
      <c r="H21" s="30">
        <v>5.8770999999999997E-2</v>
      </c>
      <c r="I21" s="32"/>
    </row>
    <row r="22" spans="2:9" x14ac:dyDescent="0.2">
      <c r="B22" s="26" t="s">
        <v>59</v>
      </c>
      <c r="C22" s="26" t="s">
        <v>60</v>
      </c>
      <c r="D22" s="26" t="s">
        <v>11</v>
      </c>
      <c r="E22" s="31">
        <v>2000</v>
      </c>
      <c r="F22" s="28">
        <v>9873.1299999999992</v>
      </c>
      <c r="G22" s="29">
        <v>1.4331289530595599</v>
      </c>
      <c r="H22" s="30">
        <v>5.9369999999999999E-2</v>
      </c>
      <c r="I22" s="32"/>
    </row>
    <row r="23" spans="2:9" x14ac:dyDescent="0.2">
      <c r="B23" s="26" t="s">
        <v>61</v>
      </c>
      <c r="C23" s="26" t="s">
        <v>62</v>
      </c>
      <c r="D23" s="26" t="s">
        <v>11</v>
      </c>
      <c r="E23" s="31">
        <v>2000</v>
      </c>
      <c r="F23" s="28">
        <v>9864.8799999999992</v>
      </c>
      <c r="G23" s="29">
        <v>1.4319314286814999</v>
      </c>
      <c r="H23" s="30">
        <v>5.8819000000000003E-2</v>
      </c>
      <c r="I23" s="32"/>
    </row>
    <row r="24" spans="2:9" x14ac:dyDescent="0.2">
      <c r="B24" s="26" t="s">
        <v>63</v>
      </c>
      <c r="C24" s="26" t="s">
        <v>64</v>
      </c>
      <c r="D24" s="26" t="s">
        <v>11</v>
      </c>
      <c r="E24" s="31">
        <v>2000</v>
      </c>
      <c r="F24" s="28">
        <v>9862.0499999999993</v>
      </c>
      <c r="G24" s="29">
        <v>1.4315206415312101</v>
      </c>
      <c r="H24" s="30">
        <v>5.9369999999999999E-2</v>
      </c>
      <c r="I24" s="32"/>
    </row>
    <row r="25" spans="2:9" x14ac:dyDescent="0.2">
      <c r="B25" s="26" t="s">
        <v>65</v>
      </c>
      <c r="C25" s="26" t="s">
        <v>66</v>
      </c>
      <c r="D25" s="26" t="s">
        <v>13</v>
      </c>
      <c r="E25" s="31">
        <v>1500</v>
      </c>
      <c r="F25" s="28">
        <v>7479.6225000000004</v>
      </c>
      <c r="G25" s="29">
        <v>1.0857006402939799</v>
      </c>
      <c r="H25" s="30">
        <v>5.8494999999999998E-2</v>
      </c>
      <c r="I25" s="32"/>
    </row>
    <row r="26" spans="2:9" x14ac:dyDescent="0.2">
      <c r="B26" s="26" t="s">
        <v>67</v>
      </c>
      <c r="C26" s="26" t="s">
        <v>68</v>
      </c>
      <c r="D26" s="26" t="s">
        <v>11</v>
      </c>
      <c r="E26" s="31">
        <v>1500</v>
      </c>
      <c r="F26" s="28">
        <v>7406.3175000000001</v>
      </c>
      <c r="G26" s="29">
        <v>1.0750600918656701</v>
      </c>
      <c r="H26" s="30">
        <v>5.9193000000000003E-2</v>
      </c>
      <c r="I26" s="32"/>
    </row>
    <row r="27" spans="2:9" x14ac:dyDescent="0.2">
      <c r="B27" s="26" t="s">
        <v>69</v>
      </c>
      <c r="C27" s="26" t="s">
        <v>70</v>
      </c>
      <c r="D27" s="26" t="s">
        <v>11</v>
      </c>
      <c r="E27" s="31">
        <v>1100</v>
      </c>
      <c r="F27" s="28">
        <v>5497.3765000000003</v>
      </c>
      <c r="G27" s="29">
        <v>0.79796877262015597</v>
      </c>
      <c r="H27" s="30">
        <v>5.8062999999999997E-2</v>
      </c>
      <c r="I27" s="32"/>
    </row>
    <row r="28" spans="2:9" x14ac:dyDescent="0.2">
      <c r="B28" s="26" t="s">
        <v>71</v>
      </c>
      <c r="C28" s="26" t="s">
        <v>72</v>
      </c>
      <c r="D28" s="26" t="s">
        <v>11</v>
      </c>
      <c r="E28" s="31">
        <v>1100</v>
      </c>
      <c r="F28" s="28">
        <v>5491.1229999999996</v>
      </c>
      <c r="G28" s="29">
        <v>0.79706104914158704</v>
      </c>
      <c r="H28" s="30">
        <v>5.9006000000000003E-2</v>
      </c>
      <c r="I28" s="32"/>
    </row>
    <row r="29" spans="2:9" x14ac:dyDescent="0.2">
      <c r="B29" s="26" t="s">
        <v>73</v>
      </c>
      <c r="C29" s="26" t="s">
        <v>74</v>
      </c>
      <c r="D29" s="26" t="s">
        <v>11</v>
      </c>
      <c r="E29" s="31">
        <v>1000</v>
      </c>
      <c r="F29" s="28">
        <v>4996.8249999999998</v>
      </c>
      <c r="G29" s="29">
        <v>0.72531148489606101</v>
      </c>
      <c r="H29" s="30">
        <v>5.7980999999999998E-2</v>
      </c>
      <c r="I29" s="32"/>
    </row>
    <row r="30" spans="2:9" x14ac:dyDescent="0.2">
      <c r="B30" s="26" t="s">
        <v>75</v>
      </c>
      <c r="C30" s="26" t="s">
        <v>76</v>
      </c>
      <c r="D30" s="26" t="s">
        <v>11</v>
      </c>
      <c r="E30" s="31">
        <v>1000</v>
      </c>
      <c r="F30" s="28">
        <v>4996.7950000000001</v>
      </c>
      <c r="G30" s="29">
        <v>0.72530713026195903</v>
      </c>
      <c r="H30" s="30">
        <v>5.8528999999999998E-2</v>
      </c>
      <c r="I30" s="32"/>
    </row>
    <row r="31" spans="2:9" x14ac:dyDescent="0.2">
      <c r="B31" s="26" t="s">
        <v>77</v>
      </c>
      <c r="C31" s="26" t="s">
        <v>78</v>
      </c>
      <c r="D31" s="26" t="s">
        <v>11</v>
      </c>
      <c r="E31" s="31">
        <v>1000</v>
      </c>
      <c r="F31" s="28">
        <v>4996.7700000000004</v>
      </c>
      <c r="G31" s="29">
        <v>0.72530350140020705</v>
      </c>
      <c r="H31" s="30">
        <v>5.8985999999999997E-2</v>
      </c>
      <c r="I31" s="32"/>
    </row>
    <row r="32" spans="2:9" x14ac:dyDescent="0.2">
      <c r="B32" s="26" t="s">
        <v>79</v>
      </c>
      <c r="C32" s="26" t="s">
        <v>80</v>
      </c>
      <c r="D32" s="26" t="s">
        <v>11</v>
      </c>
      <c r="E32" s="31">
        <v>1000</v>
      </c>
      <c r="F32" s="28">
        <v>4987.32</v>
      </c>
      <c r="G32" s="29">
        <v>0.72393179165806698</v>
      </c>
      <c r="H32" s="30">
        <v>5.8000000000000003E-2</v>
      </c>
      <c r="I32" s="32"/>
    </row>
    <row r="33" spans="2:9" x14ac:dyDescent="0.2">
      <c r="B33" s="26" t="s">
        <v>81</v>
      </c>
      <c r="C33" s="26" t="s">
        <v>82</v>
      </c>
      <c r="D33" s="26" t="s">
        <v>11</v>
      </c>
      <c r="E33" s="31">
        <v>1000</v>
      </c>
      <c r="F33" s="28">
        <v>4982.43</v>
      </c>
      <c r="G33" s="29">
        <v>0.72322198629943601</v>
      </c>
      <c r="H33" s="30">
        <v>5.8506000000000002E-2</v>
      </c>
      <c r="I33" s="32"/>
    </row>
    <row r="34" spans="2:9" x14ac:dyDescent="0.2">
      <c r="B34" s="26" t="s">
        <v>83</v>
      </c>
      <c r="C34" s="26" t="s">
        <v>84</v>
      </c>
      <c r="D34" s="26" t="s">
        <v>12</v>
      </c>
      <c r="E34" s="31">
        <v>1000</v>
      </c>
      <c r="F34" s="28">
        <v>4952.9750000000004</v>
      </c>
      <c r="G34" s="29">
        <v>0.71894646138359197</v>
      </c>
      <c r="H34" s="30">
        <v>6.0796999999999997E-2</v>
      </c>
      <c r="I34" s="32"/>
    </row>
    <row r="35" spans="2:9" x14ac:dyDescent="0.2">
      <c r="B35" s="26" t="s">
        <v>85</v>
      </c>
      <c r="C35" s="26" t="s">
        <v>86</v>
      </c>
      <c r="D35" s="26" t="s">
        <v>14</v>
      </c>
      <c r="E35" s="31">
        <v>1000</v>
      </c>
      <c r="F35" s="28">
        <v>4945.33</v>
      </c>
      <c r="G35" s="29">
        <v>0.71783675545992398</v>
      </c>
      <c r="H35" s="30">
        <v>6.0224E-2</v>
      </c>
      <c r="I35" s="32"/>
    </row>
    <row r="36" spans="2:9" x14ac:dyDescent="0.2">
      <c r="B36" s="26" t="s">
        <v>87</v>
      </c>
      <c r="C36" s="26" t="s">
        <v>88</v>
      </c>
      <c r="D36" s="26" t="s">
        <v>11</v>
      </c>
      <c r="E36" s="31">
        <v>800</v>
      </c>
      <c r="F36" s="28">
        <v>3949.828</v>
      </c>
      <c r="G36" s="29">
        <v>0.57333519019858403</v>
      </c>
      <c r="H36" s="30">
        <v>5.8689999999999999E-2</v>
      </c>
      <c r="I36" s="32"/>
    </row>
    <row r="37" spans="2:9" x14ac:dyDescent="0.2">
      <c r="B37" s="26" t="s">
        <v>89</v>
      </c>
      <c r="C37" s="26" t="s">
        <v>90</v>
      </c>
      <c r="D37" s="26" t="s">
        <v>11</v>
      </c>
      <c r="E37" s="31">
        <v>600</v>
      </c>
      <c r="F37" s="28">
        <v>2998.56</v>
      </c>
      <c r="G37" s="29">
        <v>0.435254387766218</v>
      </c>
      <c r="H37" s="30">
        <v>5.8488999999999999E-2</v>
      </c>
      <c r="I37" s="32"/>
    </row>
    <row r="38" spans="2:9" x14ac:dyDescent="0.2">
      <c r="B38" s="26" t="s">
        <v>91</v>
      </c>
      <c r="C38" s="26" t="s">
        <v>92</v>
      </c>
      <c r="D38" s="26" t="s">
        <v>11</v>
      </c>
      <c r="E38" s="31">
        <v>500</v>
      </c>
      <c r="F38" s="28">
        <v>2498.81</v>
      </c>
      <c r="G38" s="29">
        <v>0.36271344134988198</v>
      </c>
      <c r="H38" s="30">
        <v>5.7940999999999999E-2</v>
      </c>
      <c r="I38" s="32"/>
    </row>
    <row r="39" spans="2:9" x14ac:dyDescent="0.2">
      <c r="B39" s="26" t="s">
        <v>93</v>
      </c>
      <c r="C39" s="26" t="s">
        <v>94</v>
      </c>
      <c r="D39" s="26" t="s">
        <v>14</v>
      </c>
      <c r="E39" s="31">
        <v>500</v>
      </c>
      <c r="F39" s="28">
        <v>2493.2075</v>
      </c>
      <c r="G39" s="29">
        <v>0.361900213431328</v>
      </c>
      <c r="H39" s="30">
        <v>5.8494999999999998E-2</v>
      </c>
      <c r="I39" s="32"/>
    </row>
    <row r="40" spans="2:9" x14ac:dyDescent="0.2">
      <c r="B40" s="26" t="s">
        <v>95</v>
      </c>
      <c r="C40" s="26" t="s">
        <v>96</v>
      </c>
      <c r="D40" s="26" t="s">
        <v>12</v>
      </c>
      <c r="E40" s="31">
        <v>500</v>
      </c>
      <c r="F40" s="28">
        <v>2473.81</v>
      </c>
      <c r="G40" s="29">
        <v>0.35908457959819001</v>
      </c>
      <c r="H40" s="30">
        <v>6.0380999999999997E-2</v>
      </c>
      <c r="I40" s="32"/>
    </row>
    <row r="41" spans="2:9" x14ac:dyDescent="0.2">
      <c r="B41" s="26" t="s">
        <v>97</v>
      </c>
      <c r="C41" s="26" t="s">
        <v>98</v>
      </c>
      <c r="D41" s="26" t="s">
        <v>11</v>
      </c>
      <c r="E41" s="31">
        <v>500</v>
      </c>
      <c r="F41" s="28">
        <v>2473.3649999999998</v>
      </c>
      <c r="G41" s="29">
        <v>0.35901998585901002</v>
      </c>
      <c r="H41" s="30">
        <v>6.0472999999999999E-2</v>
      </c>
      <c r="I41" s="32"/>
    </row>
    <row r="42" spans="2:9" x14ac:dyDescent="0.2">
      <c r="B42" s="26" t="s">
        <v>99</v>
      </c>
      <c r="C42" s="26" t="s">
        <v>100</v>
      </c>
      <c r="D42" s="26" t="s">
        <v>14</v>
      </c>
      <c r="E42" s="31">
        <v>500</v>
      </c>
      <c r="F42" s="28">
        <v>2471.4575</v>
      </c>
      <c r="G42" s="29">
        <v>0.35874310370735502</v>
      </c>
      <c r="H42" s="30">
        <v>6.0221999999999998E-2</v>
      </c>
      <c r="I42" s="32"/>
    </row>
    <row r="43" spans="2:9" x14ac:dyDescent="0.2">
      <c r="B43" s="26" t="s">
        <v>101</v>
      </c>
      <c r="C43" s="26" t="s">
        <v>102</v>
      </c>
      <c r="D43" s="26" t="s">
        <v>11</v>
      </c>
      <c r="E43" s="31">
        <v>500</v>
      </c>
      <c r="F43" s="28">
        <v>2466.4949999999999</v>
      </c>
      <c r="G43" s="29">
        <v>0.35802277464964399</v>
      </c>
      <c r="H43" s="30">
        <v>5.9026000000000002E-2</v>
      </c>
      <c r="I43" s="32"/>
    </row>
    <row r="44" spans="2:9" x14ac:dyDescent="0.2">
      <c r="B44" s="26" t="s">
        <v>103</v>
      </c>
      <c r="C44" s="26" t="s">
        <v>104</v>
      </c>
      <c r="D44" s="26" t="s">
        <v>11</v>
      </c>
      <c r="E44" s="31">
        <v>500</v>
      </c>
      <c r="F44" s="28">
        <v>2464.8274999999999</v>
      </c>
      <c r="G44" s="29">
        <v>0.35778072957080698</v>
      </c>
      <c r="H44" s="30">
        <v>5.9186999999999997E-2</v>
      </c>
      <c r="I44" s="32"/>
    </row>
    <row r="45" spans="2:9" x14ac:dyDescent="0.2">
      <c r="B45" s="26" t="s">
        <v>105</v>
      </c>
      <c r="C45" s="26" t="s">
        <v>106</v>
      </c>
      <c r="D45" s="26" t="s">
        <v>11</v>
      </c>
      <c r="E45" s="31">
        <v>200</v>
      </c>
      <c r="F45" s="28">
        <v>995.976</v>
      </c>
      <c r="G45" s="29">
        <v>0.14457036848015301</v>
      </c>
      <c r="H45" s="30">
        <v>5.8994999999999999E-2</v>
      </c>
      <c r="I45" s="32"/>
    </row>
    <row r="46" spans="2:9" x14ac:dyDescent="0.2">
      <c r="B46" s="25" t="s">
        <v>17</v>
      </c>
      <c r="C46" s="25"/>
      <c r="D46" s="25"/>
      <c r="E46" s="33"/>
      <c r="F46" s="34">
        <f>SUM(F6:F45)</f>
        <v>335002.72200000007</v>
      </c>
      <c r="G46" s="35">
        <f>SUM(G6:G45)</f>
        <v>48.627142583148746</v>
      </c>
      <c r="H46" s="36"/>
      <c r="I46" s="36"/>
    </row>
    <row r="47" spans="2:9" x14ac:dyDescent="0.2">
      <c r="B47" s="25" t="s">
        <v>18</v>
      </c>
      <c r="C47" s="26"/>
      <c r="D47" s="26"/>
      <c r="E47" s="27"/>
      <c r="F47" s="28"/>
      <c r="G47" s="29"/>
      <c r="H47" s="30"/>
      <c r="I47" s="30"/>
    </row>
    <row r="48" spans="2:9" x14ac:dyDescent="0.2">
      <c r="B48" s="26" t="s">
        <v>107</v>
      </c>
      <c r="C48" s="26" t="s">
        <v>108</v>
      </c>
      <c r="D48" s="26" t="s">
        <v>11</v>
      </c>
      <c r="E48" s="31">
        <v>7000</v>
      </c>
      <c r="F48" s="28">
        <v>34821.01</v>
      </c>
      <c r="G48" s="29">
        <v>5.0544252537722603</v>
      </c>
      <c r="H48" s="30">
        <v>6.4697000000000005E-2</v>
      </c>
      <c r="I48" s="32"/>
    </row>
    <row r="49" spans="2:9" x14ac:dyDescent="0.2">
      <c r="B49" s="26" t="s">
        <v>109</v>
      </c>
      <c r="C49" s="26" t="s">
        <v>110</v>
      </c>
      <c r="D49" s="26" t="s">
        <v>11</v>
      </c>
      <c r="E49" s="31">
        <v>4000</v>
      </c>
      <c r="F49" s="28">
        <v>19993.62</v>
      </c>
      <c r="G49" s="29">
        <v>2.9021633158350699</v>
      </c>
      <c r="H49" s="30">
        <v>5.8236000000000003E-2</v>
      </c>
      <c r="I49" s="32"/>
    </row>
    <row r="50" spans="2:9" x14ac:dyDescent="0.2">
      <c r="B50" s="26" t="s">
        <v>111</v>
      </c>
      <c r="C50" s="26" t="s">
        <v>112</v>
      </c>
      <c r="D50" s="26" t="s">
        <v>11</v>
      </c>
      <c r="E50" s="31">
        <v>4000</v>
      </c>
      <c r="F50" s="28">
        <v>19761.82</v>
      </c>
      <c r="G50" s="29">
        <v>2.86851650967338</v>
      </c>
      <c r="H50" s="30">
        <v>6.1101999999999997E-2</v>
      </c>
      <c r="I50" s="32"/>
    </row>
    <row r="51" spans="2:9" x14ac:dyDescent="0.2">
      <c r="B51" s="26" t="s">
        <v>113</v>
      </c>
      <c r="C51" s="26" t="s">
        <v>114</v>
      </c>
      <c r="D51" s="26" t="s">
        <v>11</v>
      </c>
      <c r="E51" s="31">
        <v>3500</v>
      </c>
      <c r="F51" s="28">
        <v>17450.09</v>
      </c>
      <c r="G51" s="29">
        <v>2.5329585665837602</v>
      </c>
      <c r="H51" s="30">
        <v>6.5246999999999999E-2</v>
      </c>
      <c r="I51" s="32"/>
    </row>
    <row r="52" spans="2:9" x14ac:dyDescent="0.2">
      <c r="B52" s="26" t="s">
        <v>115</v>
      </c>
      <c r="C52" s="26" t="s">
        <v>116</v>
      </c>
      <c r="D52" s="26" t="s">
        <v>11</v>
      </c>
      <c r="E52" s="31">
        <v>3500</v>
      </c>
      <c r="F52" s="28">
        <v>17447.237499999999</v>
      </c>
      <c r="G52" s="29">
        <v>2.5325445134578901</v>
      </c>
      <c r="H52" s="30">
        <v>6.4939999999999998E-2</v>
      </c>
      <c r="I52" s="32"/>
    </row>
    <row r="53" spans="2:9" x14ac:dyDescent="0.2">
      <c r="B53" s="26" t="s">
        <v>117</v>
      </c>
      <c r="C53" s="26" t="s">
        <v>118</v>
      </c>
      <c r="D53" s="26" t="s">
        <v>11</v>
      </c>
      <c r="E53" s="31">
        <v>3000</v>
      </c>
      <c r="F53" s="28">
        <v>14975.865</v>
      </c>
      <c r="G53" s="29">
        <v>2.17381374788049</v>
      </c>
      <c r="H53" s="30">
        <v>5.8840999999999997E-2</v>
      </c>
      <c r="I53" s="32"/>
    </row>
    <row r="54" spans="2:9" x14ac:dyDescent="0.2">
      <c r="B54" s="26" t="s">
        <v>119</v>
      </c>
      <c r="C54" s="26" t="s">
        <v>120</v>
      </c>
      <c r="D54" s="26" t="s">
        <v>11</v>
      </c>
      <c r="E54" s="31">
        <v>2600</v>
      </c>
      <c r="F54" s="28">
        <v>12935.546</v>
      </c>
      <c r="G54" s="29">
        <v>1.8776523246664201</v>
      </c>
      <c r="H54" s="30">
        <v>6.4952999999999997E-2</v>
      </c>
      <c r="I54" s="32"/>
    </row>
    <row r="55" spans="2:9" x14ac:dyDescent="0.2">
      <c r="B55" s="26" t="s">
        <v>121</v>
      </c>
      <c r="C55" s="26" t="s">
        <v>122</v>
      </c>
      <c r="D55" s="26" t="s">
        <v>11</v>
      </c>
      <c r="E55" s="31">
        <v>2000</v>
      </c>
      <c r="F55" s="28">
        <v>9973.2800000000007</v>
      </c>
      <c r="G55" s="29">
        <v>1.4476661732368401</v>
      </c>
      <c r="H55" s="30">
        <v>6.5193000000000001E-2</v>
      </c>
      <c r="I55" s="32"/>
    </row>
    <row r="56" spans="2:9" x14ac:dyDescent="0.2">
      <c r="B56" s="26" t="s">
        <v>123</v>
      </c>
      <c r="C56" s="26" t="s">
        <v>124</v>
      </c>
      <c r="D56" s="26" t="s">
        <v>11</v>
      </c>
      <c r="E56" s="31">
        <v>2000</v>
      </c>
      <c r="F56" s="28">
        <v>9880.39</v>
      </c>
      <c r="G56" s="29">
        <v>1.43418277451225</v>
      </c>
      <c r="H56" s="30">
        <v>6.5948999999999994E-2</v>
      </c>
      <c r="I56" s="32"/>
    </row>
    <row r="57" spans="2:9" x14ac:dyDescent="0.2">
      <c r="B57" s="26" t="s">
        <v>125</v>
      </c>
      <c r="C57" s="26" t="s">
        <v>126</v>
      </c>
      <c r="D57" s="26" t="s">
        <v>12</v>
      </c>
      <c r="E57" s="31">
        <v>2000</v>
      </c>
      <c r="F57" s="28">
        <v>9874.83</v>
      </c>
      <c r="G57" s="29">
        <v>1.4333757156586799</v>
      </c>
      <c r="H57" s="30">
        <v>6.2523999999999996E-2</v>
      </c>
      <c r="I57" s="32"/>
    </row>
    <row r="58" spans="2:9" x14ac:dyDescent="0.2">
      <c r="B58" s="26" t="s">
        <v>127</v>
      </c>
      <c r="C58" s="26" t="s">
        <v>128</v>
      </c>
      <c r="D58" s="26" t="s">
        <v>11</v>
      </c>
      <c r="E58" s="31">
        <v>2000</v>
      </c>
      <c r="F58" s="28">
        <v>9873.4500000000007</v>
      </c>
      <c r="G58" s="29">
        <v>1.4331754024899801</v>
      </c>
      <c r="H58" s="30">
        <v>5.9219000000000001E-2</v>
      </c>
      <c r="I58" s="32"/>
    </row>
    <row r="59" spans="2:9" x14ac:dyDescent="0.2">
      <c r="B59" s="26" t="s">
        <v>129</v>
      </c>
      <c r="C59" s="26" t="s">
        <v>130</v>
      </c>
      <c r="D59" s="26" t="s">
        <v>11</v>
      </c>
      <c r="E59" s="31">
        <v>2000</v>
      </c>
      <c r="F59" s="28">
        <v>9864.2099999999991</v>
      </c>
      <c r="G59" s="29">
        <v>1.43183417518656</v>
      </c>
      <c r="H59" s="30">
        <v>6.7900000000000002E-2</v>
      </c>
      <c r="I59" s="32"/>
    </row>
    <row r="60" spans="2:9" x14ac:dyDescent="0.2">
      <c r="B60" s="26" t="s">
        <v>131</v>
      </c>
      <c r="C60" s="26" t="s">
        <v>132</v>
      </c>
      <c r="D60" s="26" t="s">
        <v>11</v>
      </c>
      <c r="E60" s="31">
        <v>1000</v>
      </c>
      <c r="F60" s="28">
        <v>4992.3549999999996</v>
      </c>
      <c r="G60" s="29">
        <v>0.72466264441485795</v>
      </c>
      <c r="H60" s="30">
        <v>6.2103999999999999E-2</v>
      </c>
      <c r="I60" s="32"/>
    </row>
    <row r="61" spans="2:9" x14ac:dyDescent="0.2">
      <c r="B61" s="26" t="s">
        <v>133</v>
      </c>
      <c r="C61" s="26" t="s">
        <v>134</v>
      </c>
      <c r="D61" s="26" t="s">
        <v>11</v>
      </c>
      <c r="E61" s="31">
        <v>1000</v>
      </c>
      <c r="F61" s="28">
        <v>4986.085</v>
      </c>
      <c r="G61" s="29">
        <v>0.72375252588753403</v>
      </c>
      <c r="H61" s="30">
        <v>6.3663999999999998E-2</v>
      </c>
      <c r="I61" s="32"/>
    </row>
    <row r="62" spans="2:9" x14ac:dyDescent="0.2">
      <c r="B62" s="26" t="s">
        <v>135</v>
      </c>
      <c r="C62" s="26" t="s">
        <v>136</v>
      </c>
      <c r="D62" s="26" t="s">
        <v>11</v>
      </c>
      <c r="E62" s="31">
        <v>1000</v>
      </c>
      <c r="F62" s="28">
        <v>4922.5</v>
      </c>
      <c r="G62" s="29">
        <v>0.71452287890827904</v>
      </c>
      <c r="H62" s="30">
        <v>6.5301999999999999E-2</v>
      </c>
      <c r="I62" s="32"/>
    </row>
    <row r="63" spans="2:9" x14ac:dyDescent="0.2">
      <c r="B63" s="26" t="s">
        <v>137</v>
      </c>
      <c r="C63" s="26" t="s">
        <v>138</v>
      </c>
      <c r="D63" s="26" t="s">
        <v>11</v>
      </c>
      <c r="E63" s="31">
        <v>500</v>
      </c>
      <c r="F63" s="28">
        <v>2498.7249999999999</v>
      </c>
      <c r="G63" s="29">
        <v>0.36270110321992699</v>
      </c>
      <c r="H63" s="30">
        <v>6.2081999999999998E-2</v>
      </c>
      <c r="I63" s="32"/>
    </row>
    <row r="64" spans="2:9" x14ac:dyDescent="0.2">
      <c r="B64" s="26" t="s">
        <v>139</v>
      </c>
      <c r="C64" s="26" t="s">
        <v>140</v>
      </c>
      <c r="D64" s="26" t="s">
        <v>12</v>
      </c>
      <c r="E64" s="31">
        <v>500</v>
      </c>
      <c r="F64" s="28">
        <v>2470.4124999999999</v>
      </c>
      <c r="G64" s="29">
        <v>0.35859141728613497</v>
      </c>
      <c r="H64" s="30">
        <v>6.5249000000000001E-2</v>
      </c>
      <c r="I64" s="32"/>
    </row>
    <row r="65" spans="2:9" x14ac:dyDescent="0.2">
      <c r="B65" s="25" t="s">
        <v>17</v>
      </c>
      <c r="C65" s="25"/>
      <c r="D65" s="25"/>
      <c r="E65" s="33"/>
      <c r="F65" s="34">
        <f>SUM(F47:F64)</f>
        <v>206721.42600000004</v>
      </c>
      <c r="G65" s="35">
        <f>SUM(G47:G64)</f>
        <v>30.006539042670319</v>
      </c>
      <c r="H65" s="36"/>
      <c r="I65" s="36"/>
    </row>
    <row r="66" spans="2:9" x14ac:dyDescent="0.2">
      <c r="B66" s="25" t="s">
        <v>19</v>
      </c>
      <c r="C66" s="26"/>
      <c r="D66" s="26"/>
      <c r="E66" s="27"/>
      <c r="F66" s="28"/>
      <c r="G66" s="29"/>
      <c r="H66" s="30"/>
      <c r="I66" s="30"/>
    </row>
    <row r="67" spans="2:9" x14ac:dyDescent="0.2">
      <c r="B67" s="26" t="s">
        <v>141</v>
      </c>
      <c r="C67" s="26" t="s">
        <v>142</v>
      </c>
      <c r="D67" s="26" t="s">
        <v>22</v>
      </c>
      <c r="E67" s="31">
        <v>59000000</v>
      </c>
      <c r="F67" s="28">
        <v>58551.245999999999</v>
      </c>
      <c r="G67" s="29">
        <v>8.4989750849338392</v>
      </c>
      <c r="H67" s="30">
        <v>5.3796999999999998E-2</v>
      </c>
      <c r="I67" s="32"/>
    </row>
    <row r="68" spans="2:9" x14ac:dyDescent="0.2">
      <c r="B68" s="26" t="s">
        <v>143</v>
      </c>
      <c r="C68" s="26" t="s">
        <v>144</v>
      </c>
      <c r="D68" s="26" t="s">
        <v>22</v>
      </c>
      <c r="E68" s="31">
        <v>32000000</v>
      </c>
      <c r="F68" s="28">
        <v>31850.592000000001</v>
      </c>
      <c r="G68" s="29">
        <v>4.6232558031026896</v>
      </c>
      <c r="H68" s="30">
        <v>5.3505999999999998E-2</v>
      </c>
      <c r="I68" s="32"/>
    </row>
    <row r="69" spans="2:9" x14ac:dyDescent="0.2">
      <c r="B69" s="26" t="s">
        <v>145</v>
      </c>
      <c r="C69" s="26" t="s">
        <v>146</v>
      </c>
      <c r="D69" s="26" t="s">
        <v>22</v>
      </c>
      <c r="E69" s="31">
        <v>16500000</v>
      </c>
      <c r="F69" s="28">
        <v>16372.1085</v>
      </c>
      <c r="G69" s="29">
        <v>2.37648473320847</v>
      </c>
      <c r="H69" s="30">
        <v>5.3796999999999998E-2</v>
      </c>
      <c r="I69" s="32"/>
    </row>
    <row r="70" spans="2:9" x14ac:dyDescent="0.2">
      <c r="B70" s="26" t="s">
        <v>147</v>
      </c>
      <c r="C70" s="26" t="s">
        <v>148</v>
      </c>
      <c r="D70" s="26" t="s">
        <v>22</v>
      </c>
      <c r="E70" s="31">
        <v>7500000</v>
      </c>
      <c r="F70" s="28">
        <v>7450.7624999999998</v>
      </c>
      <c r="G70" s="29">
        <v>1.08151148228783</v>
      </c>
      <c r="H70" s="30">
        <v>5.3601000000000003E-2</v>
      </c>
      <c r="I70" s="32"/>
    </row>
    <row r="71" spans="2:9" x14ac:dyDescent="0.2">
      <c r="B71" s="26" t="s">
        <v>149</v>
      </c>
      <c r="C71" s="26" t="s">
        <v>150</v>
      </c>
      <c r="D71" s="26" t="s">
        <v>22</v>
      </c>
      <c r="E71" s="31">
        <v>5000000</v>
      </c>
      <c r="F71" s="28">
        <v>4982.8649999999998</v>
      </c>
      <c r="G71" s="29">
        <v>0.72328512849391602</v>
      </c>
      <c r="H71" s="30">
        <v>5.2297999999999997E-2</v>
      </c>
      <c r="I71" s="32"/>
    </row>
    <row r="72" spans="2:9" x14ac:dyDescent="0.2">
      <c r="B72" s="26" t="s">
        <v>151</v>
      </c>
      <c r="C72" s="26" t="s">
        <v>152</v>
      </c>
      <c r="D72" s="26" t="s">
        <v>22</v>
      </c>
      <c r="E72" s="31">
        <v>500000</v>
      </c>
      <c r="F72" s="28">
        <v>494.75099999999998</v>
      </c>
      <c r="G72" s="29">
        <v>7.1815319220467203E-2</v>
      </c>
      <c r="H72" s="30">
        <v>5.3046999999999997E-2</v>
      </c>
      <c r="I72" s="32"/>
    </row>
    <row r="73" spans="2:9" x14ac:dyDescent="0.2">
      <c r="B73" s="25" t="s">
        <v>17</v>
      </c>
      <c r="C73" s="25"/>
      <c r="D73" s="25"/>
      <c r="E73" s="33"/>
      <c r="F73" s="37">
        <f>SUM(F66:F72)</f>
        <v>119702.32500000001</v>
      </c>
      <c r="G73" s="38">
        <f>SUM(G66:G72)</f>
        <v>17.37532755124721</v>
      </c>
      <c r="H73" s="36"/>
      <c r="I73" s="36"/>
    </row>
    <row r="74" spans="2:9" x14ac:dyDescent="0.2">
      <c r="B74" s="39" t="s">
        <v>20</v>
      </c>
      <c r="C74" s="39"/>
      <c r="D74" s="39"/>
      <c r="E74" s="40"/>
      <c r="F74" s="41">
        <f>+F46+F65+F73</f>
        <v>661426.473</v>
      </c>
      <c r="G74" s="42">
        <f>+G46+G65+G73</f>
        <v>96.009009177066275</v>
      </c>
      <c r="H74" s="36"/>
      <c r="I74" s="36"/>
    </row>
    <row r="75" spans="2:9" x14ac:dyDescent="0.2">
      <c r="B75" s="25" t="s">
        <v>21</v>
      </c>
      <c r="C75" s="26"/>
      <c r="D75" s="26"/>
      <c r="E75" s="27"/>
      <c r="F75" s="28"/>
      <c r="G75" s="29"/>
      <c r="H75" s="30"/>
      <c r="I75" s="30"/>
    </row>
    <row r="76" spans="2:9" x14ac:dyDescent="0.2">
      <c r="B76" s="26" t="s">
        <v>153</v>
      </c>
      <c r="C76" s="26" t="s">
        <v>154</v>
      </c>
      <c r="D76" s="26" t="s">
        <v>22</v>
      </c>
      <c r="E76" s="31">
        <v>3500000</v>
      </c>
      <c r="F76" s="28">
        <v>3502.0614999999998</v>
      </c>
      <c r="G76" s="29">
        <v>0.50833988117701301</v>
      </c>
      <c r="H76" s="30">
        <v>5.4199999999999998E-2</v>
      </c>
      <c r="I76" s="32"/>
    </row>
    <row r="77" spans="2:9" x14ac:dyDescent="0.2">
      <c r="B77" s="26" t="s">
        <v>155</v>
      </c>
      <c r="C77" s="26" t="s">
        <v>156</v>
      </c>
      <c r="D77" s="26" t="s">
        <v>22</v>
      </c>
      <c r="E77" s="31">
        <v>1522000</v>
      </c>
      <c r="F77" s="28">
        <v>1528.3147779999999</v>
      </c>
      <c r="G77" s="29">
        <v>0.22184172169723201</v>
      </c>
      <c r="H77" s="30">
        <v>5.4899999999999997E-2</v>
      </c>
      <c r="I77" s="32"/>
    </row>
    <row r="78" spans="2:9" x14ac:dyDescent="0.2">
      <c r="B78" s="26" t="s">
        <v>157</v>
      </c>
      <c r="C78" s="26" t="s">
        <v>158</v>
      </c>
      <c r="D78" s="26" t="s">
        <v>22</v>
      </c>
      <c r="E78" s="31">
        <v>650000</v>
      </c>
      <c r="F78" s="28">
        <v>651.08095000000003</v>
      </c>
      <c r="G78" s="29">
        <v>9.4507310268428096E-2</v>
      </c>
      <c r="H78" s="30">
        <v>5.4199999999999998E-2</v>
      </c>
      <c r="I78" s="32"/>
    </row>
    <row r="79" spans="2:9" x14ac:dyDescent="0.2">
      <c r="B79" s="26" t="s">
        <v>159</v>
      </c>
      <c r="C79" s="26" t="s">
        <v>160</v>
      </c>
      <c r="D79" s="26" t="s">
        <v>22</v>
      </c>
      <c r="E79" s="31">
        <v>540000</v>
      </c>
      <c r="F79" s="28">
        <v>542.24585999999999</v>
      </c>
      <c r="G79" s="29">
        <v>7.8709410454707002E-2</v>
      </c>
      <c r="H79" s="30">
        <v>5.5120000000000002E-2</v>
      </c>
      <c r="I79" s="32"/>
    </row>
    <row r="80" spans="2:9" x14ac:dyDescent="0.2">
      <c r="B80" s="26" t="s">
        <v>161</v>
      </c>
      <c r="C80" s="26" t="s">
        <v>162</v>
      </c>
      <c r="D80" s="26" t="s">
        <v>22</v>
      </c>
      <c r="E80" s="31">
        <v>500000</v>
      </c>
      <c r="F80" s="28">
        <v>501.48200000000003</v>
      </c>
      <c r="G80" s="29">
        <v>7.27923539584929E-2</v>
      </c>
      <c r="H80" s="30">
        <v>5.5120000000000002E-2</v>
      </c>
      <c r="I80" s="32"/>
    </row>
    <row r="81" spans="2:9" x14ac:dyDescent="0.2">
      <c r="B81" s="26" t="s">
        <v>163</v>
      </c>
      <c r="C81" s="26" t="s">
        <v>164</v>
      </c>
      <c r="D81" s="26" t="s">
        <v>22</v>
      </c>
      <c r="E81" s="31">
        <v>500000</v>
      </c>
      <c r="F81" s="28">
        <v>500.83150000000001</v>
      </c>
      <c r="G81" s="29">
        <v>7.2697930975713906E-2</v>
      </c>
      <c r="H81" s="30">
        <v>5.4199999999999998E-2</v>
      </c>
      <c r="I81" s="32"/>
    </row>
    <row r="82" spans="2:9" x14ac:dyDescent="0.2">
      <c r="B82" s="26" t="s">
        <v>165</v>
      </c>
      <c r="C82" s="26" t="s">
        <v>166</v>
      </c>
      <c r="D82" s="26" t="s">
        <v>22</v>
      </c>
      <c r="E82" s="31">
        <v>220000</v>
      </c>
      <c r="F82" s="28">
        <v>220.13023999999999</v>
      </c>
      <c r="G82" s="29">
        <v>3.1952888333076801E-2</v>
      </c>
      <c r="H82" s="30">
        <v>5.4199999999999998E-2</v>
      </c>
      <c r="I82" s="32"/>
    </row>
    <row r="83" spans="2:9" x14ac:dyDescent="0.2">
      <c r="B83" s="25" t="s">
        <v>20</v>
      </c>
      <c r="C83" s="25"/>
      <c r="D83" s="25"/>
      <c r="E83" s="33"/>
      <c r="F83" s="34">
        <f>SUM(F76:F82)</f>
        <v>7446.1468279999999</v>
      </c>
      <c r="G83" s="35">
        <f>SUM(G76:G82)</f>
        <v>1.0808414968646638</v>
      </c>
      <c r="H83" s="36"/>
      <c r="I83" s="36"/>
    </row>
    <row r="84" spans="2:9" x14ac:dyDescent="0.2">
      <c r="B84" s="25"/>
      <c r="C84" s="26"/>
      <c r="D84" s="26"/>
      <c r="E84" s="27"/>
      <c r="F84" s="28"/>
      <c r="G84" s="29"/>
      <c r="H84" s="30"/>
      <c r="I84" s="30"/>
    </row>
    <row r="85" spans="2:9" x14ac:dyDescent="0.2">
      <c r="B85" s="25" t="s">
        <v>23</v>
      </c>
      <c r="C85" s="25"/>
      <c r="D85" s="25"/>
      <c r="E85" s="33"/>
      <c r="F85" s="34">
        <v>31075.295393799999</v>
      </c>
      <c r="G85" s="35">
        <v>4.51071803508444</v>
      </c>
      <c r="H85" s="43">
        <v>5.305E-2</v>
      </c>
      <c r="I85" s="43"/>
    </row>
    <row r="86" spans="2:9" x14ac:dyDescent="0.2">
      <c r="B86" s="26"/>
      <c r="C86" s="26"/>
      <c r="D86" s="26"/>
      <c r="E86" s="27"/>
      <c r="F86" s="28"/>
      <c r="G86" s="29"/>
      <c r="H86" s="30"/>
      <c r="I86" s="30"/>
    </row>
    <row r="87" spans="2:9" x14ac:dyDescent="0.2">
      <c r="B87" s="25" t="s">
        <v>29</v>
      </c>
      <c r="C87" s="26"/>
      <c r="D87" s="26"/>
      <c r="E87" s="27"/>
      <c r="F87" s="28"/>
      <c r="G87" s="29"/>
      <c r="H87" s="30"/>
      <c r="I87" s="30"/>
    </row>
    <row r="88" spans="2:9" x14ac:dyDescent="0.2">
      <c r="B88" s="26" t="s">
        <v>30</v>
      </c>
      <c r="C88" s="26"/>
      <c r="D88" s="26"/>
      <c r="E88" s="27"/>
      <c r="F88" s="28">
        <v>9574.1633333000009</v>
      </c>
      <c r="G88" s="29">
        <v>1.3897326049868199</v>
      </c>
      <c r="H88" s="30">
        <v>5.6300000000000003E-2</v>
      </c>
      <c r="I88" s="30"/>
    </row>
    <row r="89" spans="2:9" x14ac:dyDescent="0.2">
      <c r="B89" s="25" t="s">
        <v>20</v>
      </c>
      <c r="C89" s="25"/>
      <c r="D89" s="25"/>
      <c r="E89" s="33"/>
      <c r="F89" s="34">
        <v>9574.1633333000009</v>
      </c>
      <c r="G89" s="35">
        <v>1.3897326049868199</v>
      </c>
      <c r="H89" s="30"/>
      <c r="I89" s="30"/>
    </row>
    <row r="90" spans="2:9" x14ac:dyDescent="0.2">
      <c r="B90" s="26"/>
      <c r="C90" s="26"/>
      <c r="D90" s="26"/>
      <c r="E90" s="27"/>
      <c r="F90" s="28"/>
      <c r="G90" s="29"/>
      <c r="H90" s="30"/>
      <c r="I90" s="30"/>
    </row>
    <row r="91" spans="2:9" x14ac:dyDescent="0.2">
      <c r="B91" s="49" t="s">
        <v>25</v>
      </c>
      <c r="C91" s="49"/>
      <c r="D91" s="49"/>
      <c r="E91" s="50"/>
      <c r="F91" s="34">
        <f>F92-(F46+F65+F73+F83+F85+F89)</f>
        <v>-20600.821405000053</v>
      </c>
      <c r="G91" s="35">
        <f>G92-(G46+G65+G73+G83+G85+G89)</f>
        <v>-2.9903013140021955</v>
      </c>
      <c r="H91" s="36"/>
      <c r="I91" s="36"/>
    </row>
    <row r="92" spans="2:9" x14ac:dyDescent="0.2">
      <c r="B92" s="44" t="s">
        <v>24</v>
      </c>
      <c r="C92" s="44"/>
      <c r="D92" s="44"/>
      <c r="E92" s="45"/>
      <c r="F92" s="46">
        <v>688921.25715009996</v>
      </c>
      <c r="G92" s="47">
        <v>100</v>
      </c>
      <c r="H92" s="48"/>
      <c r="I92" s="48"/>
    </row>
    <row r="94" spans="2:9" x14ac:dyDescent="0.2">
      <c r="B94" s="18" t="s">
        <v>27</v>
      </c>
    </row>
    <row r="95" spans="2:9" ht="39.950000000000003" customHeight="1" x14ac:dyDescent="0.2">
      <c r="B95" s="57" t="s">
        <v>28</v>
      </c>
      <c r="C95" s="57"/>
      <c r="D95" s="57"/>
      <c r="E95" s="57"/>
      <c r="F95" s="57"/>
      <c r="G95" s="57"/>
      <c r="H95" s="57"/>
      <c r="I95" s="57"/>
    </row>
    <row r="97" spans="2:7" x14ac:dyDescent="0.2">
      <c r="B97" s="18" t="s">
        <v>167</v>
      </c>
      <c r="E97" s="8"/>
      <c r="G97" s="54"/>
    </row>
    <row r="98" spans="2:7" x14ac:dyDescent="0.2">
      <c r="B98" s="18"/>
      <c r="C98" s="18"/>
      <c r="D98" s="51"/>
      <c r="E98" s="18"/>
      <c r="G98" s="54"/>
    </row>
    <row r="99" spans="2:7" x14ac:dyDescent="0.2">
      <c r="D99" s="52"/>
      <c r="E99" s="52"/>
      <c r="G99" s="54"/>
    </row>
    <row r="100" spans="2:7" x14ac:dyDescent="0.2">
      <c r="E100" s="8"/>
      <c r="G100" s="54"/>
    </row>
    <row r="101" spans="2:7" x14ac:dyDescent="0.2">
      <c r="E101" s="8"/>
      <c r="G101" s="54"/>
    </row>
    <row r="102" spans="2:7" x14ac:dyDescent="0.2">
      <c r="E102" s="8"/>
      <c r="G102" s="54"/>
    </row>
    <row r="103" spans="2:7" x14ac:dyDescent="0.2">
      <c r="E103" s="8"/>
      <c r="G103" s="54"/>
    </row>
    <row r="104" spans="2:7" x14ac:dyDescent="0.2">
      <c r="E104" s="8"/>
      <c r="G104" s="54"/>
    </row>
    <row r="105" spans="2:7" x14ac:dyDescent="0.2">
      <c r="E105" s="8"/>
      <c r="G105" s="54"/>
    </row>
    <row r="106" spans="2:7" x14ac:dyDescent="0.2">
      <c r="E106" s="8"/>
      <c r="G106" s="54"/>
    </row>
    <row r="107" spans="2:7" x14ac:dyDescent="0.2">
      <c r="E107" s="8"/>
      <c r="G107" s="54"/>
    </row>
    <row r="108" spans="2:7" x14ac:dyDescent="0.2">
      <c r="E108" s="8"/>
      <c r="G108" s="54"/>
    </row>
    <row r="109" spans="2:7" x14ac:dyDescent="0.2">
      <c r="E109" s="8"/>
      <c r="G109" s="54"/>
    </row>
    <row r="110" spans="2:7" x14ac:dyDescent="0.2">
      <c r="E110" s="8"/>
      <c r="G110" s="54"/>
    </row>
    <row r="111" spans="2:7" x14ac:dyDescent="0.2">
      <c r="E111" s="8"/>
      <c r="G111" s="54"/>
    </row>
    <row r="112" spans="2:7" x14ac:dyDescent="0.2">
      <c r="E112" s="8"/>
      <c r="G112" s="54"/>
    </row>
    <row r="113" spans="2:7" x14ac:dyDescent="0.2">
      <c r="E113" s="8"/>
      <c r="G113" s="54"/>
    </row>
    <row r="114" spans="2:7" x14ac:dyDescent="0.2">
      <c r="E114" s="8"/>
      <c r="G114" s="54"/>
    </row>
    <row r="115" spans="2:7" x14ac:dyDescent="0.2">
      <c r="E115" s="8"/>
      <c r="G115" s="54"/>
    </row>
    <row r="116" spans="2:7" x14ac:dyDescent="0.2">
      <c r="E116" s="8"/>
      <c r="G116" s="54"/>
    </row>
    <row r="117" spans="2:7" x14ac:dyDescent="0.2">
      <c r="E117" s="8"/>
      <c r="G117" s="54"/>
    </row>
    <row r="118" spans="2:7" x14ac:dyDescent="0.2">
      <c r="B118" s="18" t="s">
        <v>168</v>
      </c>
      <c r="E118" s="8"/>
      <c r="G118" s="54"/>
    </row>
    <row r="119" spans="2:7" x14ac:dyDescent="0.2">
      <c r="B119" s="18" t="s">
        <v>169</v>
      </c>
      <c r="E119" s="8"/>
      <c r="G119" s="54"/>
    </row>
    <row r="120" spans="2:7" x14ac:dyDescent="0.2">
      <c r="E120" s="8"/>
      <c r="G120" s="54"/>
    </row>
    <row r="121" spans="2:7" x14ac:dyDescent="0.2">
      <c r="E121" s="8"/>
      <c r="G121" s="54"/>
    </row>
    <row r="122" spans="2:7" x14ac:dyDescent="0.2">
      <c r="E122" s="8"/>
      <c r="G122" s="54"/>
    </row>
    <row r="123" spans="2:7" x14ac:dyDescent="0.2">
      <c r="E123" s="8"/>
      <c r="G123" s="54"/>
    </row>
    <row r="124" spans="2:7" x14ac:dyDescent="0.2">
      <c r="E124" s="8"/>
      <c r="G124" s="54"/>
    </row>
    <row r="125" spans="2:7" x14ac:dyDescent="0.2">
      <c r="E125" s="8"/>
      <c r="G125" s="54"/>
    </row>
    <row r="126" spans="2:7" x14ac:dyDescent="0.2">
      <c r="E126" s="8"/>
      <c r="G126" s="54"/>
    </row>
    <row r="127" spans="2:7" x14ac:dyDescent="0.2">
      <c r="E127" s="8"/>
      <c r="G127" s="54"/>
    </row>
    <row r="128" spans="2:7" x14ac:dyDescent="0.2">
      <c r="E128" s="8"/>
      <c r="G128" s="54"/>
    </row>
    <row r="129" spans="5:7" x14ac:dyDescent="0.2">
      <c r="E129" s="8"/>
      <c r="G129" s="54"/>
    </row>
    <row r="130" spans="5:7" x14ac:dyDescent="0.2">
      <c r="E130" s="8"/>
      <c r="G130" s="54"/>
    </row>
    <row r="131" spans="5:7" x14ac:dyDescent="0.2">
      <c r="E131" s="8"/>
      <c r="G131" s="54"/>
    </row>
    <row r="132" spans="5:7" x14ac:dyDescent="0.2">
      <c r="E132" s="8"/>
      <c r="G132" s="54"/>
    </row>
    <row r="133" spans="5:7" x14ac:dyDescent="0.2">
      <c r="E133" s="8"/>
      <c r="G133" s="54"/>
    </row>
    <row r="134" spans="5:7" x14ac:dyDescent="0.2">
      <c r="E134" s="8"/>
      <c r="G134" s="54"/>
    </row>
    <row r="135" spans="5:7" x14ac:dyDescent="0.2">
      <c r="E135" s="8"/>
      <c r="G135" s="54"/>
    </row>
    <row r="136" spans="5:7" x14ac:dyDescent="0.2">
      <c r="E136" s="8"/>
      <c r="G136" s="54"/>
    </row>
    <row r="137" spans="5:7" x14ac:dyDescent="0.2">
      <c r="E137" s="8"/>
      <c r="G137" s="54"/>
    </row>
    <row r="138" spans="5:7" x14ac:dyDescent="0.2">
      <c r="E138" s="8"/>
      <c r="G138" s="54"/>
    </row>
  </sheetData>
  <mergeCells count="2">
    <mergeCell ref="B1:C1"/>
    <mergeCell ref="B95:I95"/>
  </mergeCells>
  <conditionalFormatting sqref="G1:G3 G5:G94 G96:G138">
    <cfRule type="cellIs" dxfId="0" priority="2" stopIfTrue="1" operator="between">
      <formula>0.009</formula>
      <formula>-0.009</formula>
    </cfRule>
  </conditionalFormatting>
  <hyperlinks>
    <hyperlink ref="A2" location="JBLF!A1" display="-" xr:uid="{87E64458-4E6E-4097-8871-075A012D3D85}"/>
  </hyperlinks>
  <pageMargins left="0.7" right="0.7" top="0.75" bottom="0.75" header="0.3" footer="0.3"/>
  <pageSetup paperSize="9" scale="47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53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JBLF</vt:lpstr>
      <vt:lpstr>JBLF!Print_Area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2025-12-05T13:26:27Z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2025-12-02T08:03:00Z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05865c13-5549-4d6a-891f-8facef410b07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