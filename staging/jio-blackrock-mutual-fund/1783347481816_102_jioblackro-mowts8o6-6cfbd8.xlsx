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EF547D1F-83E6-4E0D-8FB6-1AADECA1AA99}" xr6:coauthVersionLast="47" xr6:coauthVersionMax="47" xr10:uidLastSave="{00000000-0000-0000-0000-000000000000}"/>
  <bookViews>
    <workbookView xWindow="16830" yWindow="10720" windowWidth="2370" windowHeight="560" tabRatio="669" xr2:uid="{7291B499-DD8C-4F12-BA28-9EE7F24AB421}"/>
  </bookViews>
  <sheets>
    <sheet name="JBN8-13" sheetId="20" r:id="rId1"/>
  </sheets>
  <definedNames>
    <definedName name="_xlnm.Print_Area" localSheetId="0">'JBN8-13'!$B$1:$I$70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0" l="1"/>
  <c r="G13" i="20" s="1"/>
  <c r="F9" i="20"/>
  <c r="F13" i="20" s="1"/>
</calcChain>
</file>

<file path=xl/sharedStrings.xml><?xml version="1.0" encoding="utf-8"?>
<sst xmlns="http://schemas.openxmlformats.org/spreadsheetml/2006/main" count="42" uniqueCount="40">
  <si>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</si>
  <si>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</si>
  <si>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</si>
  <si>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</si>
  <si>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</si>
  <si>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</si>
  <si>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April 30, 2026</t>
  </si>
  <si>
    <t>JioBlackRock Nifty 8-13 yr G-Sec Index Fund</t>
  </si>
  <si>
    <t>Total</t>
  </si>
  <si>
    <t>TREPS</t>
  </si>
  <si>
    <t>Grand Total</t>
  </si>
  <si>
    <t>Net Receivables / (Payables)</t>
  </si>
  <si>
    <t>Notes</t>
  </si>
  <si>
    <t xml:space="preserve">Scheme Risk-O-Meter </t>
  </si>
  <si>
    <t>Yield to Call ^</t>
  </si>
  <si>
    <t>Government Securities</t>
  </si>
  <si>
    <t>SOVEREIGN</t>
  </si>
  <si>
    <t>Rating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</si>
  <si>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</si>
  <si>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6.48% GOI 2035 (06-OCT-2035)</t>
  </si>
  <si>
    <t>IN0020250091</t>
  </si>
  <si>
    <t>6.79% GOI 2034 (07-OCT-2034)</t>
  </si>
  <si>
    <t>IN0020240126</t>
  </si>
  <si>
    <t>6.33% GOI 2035 (05-MAY-2035)</t>
  </si>
  <si>
    <t>IN0020250026</t>
  </si>
  <si>
    <t>Benchmark Risk-O-Meter</t>
  </si>
  <si>
    <t>Benchmark Name - NIFTY 8-13 yr G-Sec</t>
  </si>
  <si>
    <t>-</t>
  </si>
  <si>
    <t>(1) There is no security which is in default beyond its maturity/ interest payment date.</t>
  </si>
  <si>
    <t>(2) Plan/ Option wise per unit net asset value are as follows:</t>
  </si>
  <si>
    <t>Plan/ Option</t>
  </si>
  <si>
    <t>As on April 30, 2026</t>
  </si>
  <si>
    <t>Direct Plan - Growth Option</t>
  </si>
  <si>
    <t>(4) Total outstanding exposure in derivative instruments as on April 30, 2026 is Rs. Nil.</t>
  </si>
  <si>
    <t>(5) Total market value of investments in foreign securities/ American Depository Receipts/ Global Depository Receipts as at April 30, 2026 is Rs. Nil.</t>
  </si>
  <si>
    <t>(7) Repo transactions in corporate debt securities as on April 30, 2026 is Rs. Nil.</t>
  </si>
  <si>
    <t>(6) The average maturity period of the portfolio is 9.13 years.</t>
  </si>
  <si>
    <t>As on March 31, 2026</t>
  </si>
  <si>
    <t>Debt Index Replication Factor (DIRF) : 98.62%</t>
  </si>
  <si>
    <t>(3) There was no distribution (of income and capital) during the month ended April 30,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</si>
</sst>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%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6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4" fontId="4" fillId="2" borderId="0" xfId="0" applyNumberFormat="1" applyFont="1" applyFill="1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39" fontId="6" fillId="3" borderId="0" xfId="0" applyNumberFormat="1" applyFont="1" applyFill="1"/>
    <xf numFmtId="0" fontId="5" fillId="2" borderId="0" xfId="0" applyFont="1" applyFill="1"/>
    <xf numFmtId="0" fontId="5" fillId="2" borderId="1" xfId="0" applyFont="1" applyFill="1" applyBorder="1"/>
    <xf numFmtId="0" fontId="6" fillId="2" borderId="1" xfId="0" applyFont="1" applyFill="1" applyBorder="1"/>
    <xf numFmtId="39" fontId="6" fillId="2" borderId="1" xfId="0" applyNumberFormat="1" applyFont="1" applyFill="1" applyBorder="1"/>
    <xf numFmtId="39" fontId="6" fillId="3" borderId="1" xfId="0" applyNumberFormat="1" applyFont="1" applyFill="1" applyBorder="1"/>
    <xf numFmtId="10" fontId="6" fillId="2" borderId="1" xfId="0" applyNumberFormat="1" applyFont="1" applyFill="1" applyBorder="1"/>
    <xf numFmtId="3" fontId="6" fillId="2" borderId="1" xfId="0" applyNumberFormat="1" applyFont="1" applyFill="1" applyBorder="1"/>
    <xf numFmtId="165" fontId="6" fillId="2" borderId="1" xfId="0" applyNumberFormat="1" applyFont="1" applyFill="1" applyBorder="1"/>
    <xf numFmtId="10" fontId="5" fillId="2" borderId="1" xfId="0" applyNumberFormat="1" applyFont="1" applyFill="1" applyBorder="1"/>
    <xf numFmtId="0" fontId="5" fillId="2" borderId="2" xfId="0" applyFont="1" applyFill="1" applyBorder="1"/>
    <xf numFmtId="39" fontId="5" fillId="2" borderId="2" xfId="0" applyNumberFormat="1" applyFont="1" applyFill="1" applyBorder="1"/>
    <xf numFmtId="39" fontId="5" fillId="3" borderId="2" xfId="0" applyNumberFormat="1" applyFont="1" applyFill="1" applyBorder="1"/>
    <xf numFmtId="10" fontId="5" fillId="2" borderId="3" xfId="0" applyNumberFormat="1" applyFont="1" applyFill="1" applyBorder="1"/>
    <xf numFmtId="0" fontId="5" fillId="2" borderId="3" xfId="0" applyFont="1" applyFill="1" applyBorder="1"/>
    <xf numFmtId="4" fontId="6" fillId="2" borderId="1" xfId="0" applyNumberFormat="1" applyFont="1" applyFill="1" applyBorder="1"/>
    <xf numFmtId="0" fontId="9" fillId="2" borderId="0" xfId="1" applyFill="1"/>
    <xf numFmtId="0" fontId="5" fillId="2" borderId="0" xfId="0" applyFont="1" applyFill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 wrapText="1"/>
    </xf>
    <xf numFmtId="39" fontId="5" fillId="0" borderId="2" xfId="0" applyNumberFormat="1" applyFont="1" applyBorder="1" applyAlignment="1">
      <alignment horizontal="center" vertical="center" wrapText="1"/>
    </xf>
    <xf numFmtId="10" fontId="5" fillId="0" borderId="2" xfId="0" applyNumberFormat="1" applyFont="1" applyBorder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5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/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1">
    <dxf>
      <numFmt numFmtId="172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638175</xdr:colOff>
      <xdr:row>36</xdr:row>
      <xdr:rowOff>95250</xdr:rowOff>
    </xdr:from>
    <xdr:to>
      <xdr:col>3</xdr:col>
      <xdr:colOff>25400</xdr:colOff>
      <xdr:row>51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8B072E-B593-4D3C-92A8-8785DFD69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9825" y="5499100"/>
          <a:ext cx="4149725" cy="188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533400</xdr:colOff>
      <xdr:row>55</xdr:row>
      <xdr:rowOff>114300</xdr:rowOff>
    </xdr:from>
    <xdr:to>
      <xdr:col>3</xdr:col>
      <xdr:colOff>85725</xdr:colOff>
      <xdr:row>69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63DE91-CD60-43DF-AAEB-0B52C7146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5050" y="7943850"/>
          <a:ext cx="4314825" cy="172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DE741-33FC-4DE2-B591-DB7A1BB4BC40}">
  <dimension ref="A1:J462"/>
  <sheetViews>
    <sheetView tabSelected="1" view="pageBreakPreview" zoomScaleNormal="100" zoomScaleSheetLayoutView="100" workbookViewId="0"/>
  </sheetViews>
  <sheetFormatPr defaultColWidth="9.1796875" defaultRowHeight="10" x14ac:dyDescent="0.2"/>
  <cols>
    <col min="1" max="1" width="7.1796875" style="6" customWidth="1"/>
    <col min="2" max="2" width="52.453125" style="6" bestFit="1" customWidth="1"/>
    <col min="3" max="3" width="15.81640625" style="6" customWidth="1"/>
    <col min="4" max="4" width="16.54296875" style="6" customWidth="1"/>
    <col min="5" max="5" width="13.54296875" style="6" bestFit="1" customWidth="1"/>
    <col min="6" max="6" width="12.7265625" style="8" bestFit="1" customWidth="1"/>
    <col min="7" max="7" width="6.7265625" style="13" bestFit="1" customWidth="1"/>
    <col min="8" max="8" width="11.81640625" style="11" bestFit="1" customWidth="1"/>
    <col min="9" max="9" width="10.1796875" style="6" bestFit="1" customWidth="1"/>
    <col min="10" max="16384" width="9.1796875" style="6"/>
  </cols>
  <sheetData>
    <row r="1" spans="1:10" s="1" customFormat="1" ht="16.75" customHeight="1" x14ac:dyDescent="0.35">
      <c r="B1" s="42" t="s">
        <v>7</v>
      </c>
      <c r="C1" s="43"/>
      <c r="D1" s="10"/>
      <c r="F1" s="5"/>
      <c r="G1" s="13"/>
      <c r="H1" s="12"/>
    </row>
    <row r="2" spans="1:10" s="1" customFormat="1" ht="14.5" x14ac:dyDescent="0.35">
      <c r="A2" s="29" t="s">
        <v>27</v>
      </c>
      <c r="F2" s="5"/>
      <c r="G2" s="13"/>
      <c r="H2" s="12"/>
    </row>
    <row r="3" spans="1:10" s="1" customFormat="1" ht="11.5" x14ac:dyDescent="0.25">
      <c r="B3" s="7" t="s">
        <v>6</v>
      </c>
      <c r="C3" s="2"/>
      <c r="D3" s="3"/>
      <c r="E3" s="3"/>
      <c r="F3" s="4"/>
      <c r="G3" s="13"/>
      <c r="H3" s="12"/>
    </row>
    <row r="4" spans="1:10" s="1" customFormat="1" ht="25.5" customHeight="1" x14ac:dyDescent="0.25">
      <c r="B4" s="31" t="s">
        <v>4</v>
      </c>
      <c r="C4" s="31" t="s">
        <v>5</v>
      </c>
      <c r="D4" s="32" t="s">
        <v>17</v>
      </c>
      <c r="E4" s="32" t="s">
        <v>0</v>
      </c>
      <c r="F4" s="33" t="s">
        <v>1</v>
      </c>
      <c r="G4" s="34" t="s">
        <v>2</v>
      </c>
      <c r="H4" s="35" t="s">
        <v>3</v>
      </c>
      <c r="I4" s="33" t="s">
        <v>14</v>
      </c>
      <c r="J4" s="9"/>
    </row>
    <row r="5" spans="1:10" ht="10.5" x14ac:dyDescent="0.25">
      <c r="B5" s="15" t="s">
        <v>15</v>
      </c>
      <c r="C5" s="16"/>
      <c r="D5" s="16"/>
      <c r="E5" s="16"/>
      <c r="F5" s="17"/>
      <c r="G5" s="18"/>
      <c r="H5" s="19"/>
      <c r="I5" s="16"/>
    </row>
    <row r="6" spans="1:10" x14ac:dyDescent="0.2">
      <c r="B6" s="16" t="s">
        <v>19</v>
      </c>
      <c r="C6" s="16" t="s">
        <v>20</v>
      </c>
      <c r="D6" s="16" t="s">
        <v>16</v>
      </c>
      <c r="E6" s="20">
        <v>1873100</v>
      </c>
      <c r="F6" s="17">
        <v>1803.458142</v>
      </c>
      <c r="G6" s="18">
        <v>61.018182000919801</v>
      </c>
      <c r="H6" s="21">
        <v>7.1481847687999894E-2</v>
      </c>
      <c r="I6" s="28"/>
    </row>
    <row r="7" spans="1:10" x14ac:dyDescent="0.2">
      <c r="B7" s="16" t="s">
        <v>21</v>
      </c>
      <c r="C7" s="16" t="s">
        <v>22</v>
      </c>
      <c r="D7" s="16" t="s">
        <v>16</v>
      </c>
      <c r="E7" s="20">
        <v>568200</v>
      </c>
      <c r="F7" s="17">
        <v>558.79003980000005</v>
      </c>
      <c r="G7" s="18">
        <v>18.906095769434099</v>
      </c>
      <c r="H7" s="21">
        <v>7.1771763625124996E-2</v>
      </c>
      <c r="I7" s="28"/>
    </row>
    <row r="8" spans="1:10" x14ac:dyDescent="0.2">
      <c r="B8" s="16" t="s">
        <v>23</v>
      </c>
      <c r="C8" s="16" t="s">
        <v>24</v>
      </c>
      <c r="D8" s="16" t="s">
        <v>16</v>
      </c>
      <c r="E8" s="20">
        <v>576000</v>
      </c>
      <c r="F8" s="17">
        <v>552.71347200000002</v>
      </c>
      <c r="G8" s="18">
        <v>18.7005012444898</v>
      </c>
      <c r="H8" s="21">
        <v>7.0612183808000106E-2</v>
      </c>
      <c r="I8" s="28"/>
    </row>
    <row r="9" spans="1:10" ht="10.5" x14ac:dyDescent="0.25">
      <c r="B9" s="15" t="s">
        <v>8</v>
      </c>
      <c r="C9" s="15"/>
      <c r="D9" s="15"/>
      <c r="E9" s="15"/>
      <c r="F9" s="24">
        <f>SUM(F6:F8)</f>
        <v>2914.9616538</v>
      </c>
      <c r="G9" s="25">
        <f>SUM(G6:G8)</f>
        <v>98.624779014843696</v>
      </c>
      <c r="H9" s="22"/>
      <c r="I9" s="15"/>
    </row>
    <row r="10" spans="1:10" ht="10.5" x14ac:dyDescent="0.25">
      <c r="B10" s="15"/>
      <c r="C10" s="16"/>
      <c r="D10" s="16"/>
      <c r="E10" s="16"/>
      <c r="F10" s="17"/>
      <c r="G10" s="18"/>
      <c r="H10" s="19"/>
      <c r="I10" s="16"/>
    </row>
    <row r="11" spans="1:10" ht="10.5" x14ac:dyDescent="0.25">
      <c r="B11" s="15" t="s">
        <v>9</v>
      </c>
      <c r="C11" s="15"/>
      <c r="D11" s="15"/>
      <c r="E11" s="15"/>
      <c r="F11" s="24">
        <v>13.574346500000001</v>
      </c>
      <c r="G11" s="25">
        <v>0.45927428310700902</v>
      </c>
      <c r="H11" s="21">
        <v>5.2499999999999998E-2</v>
      </c>
      <c r="I11" s="21"/>
    </row>
    <row r="12" spans="1:10" x14ac:dyDescent="0.2">
      <c r="B12" s="16"/>
      <c r="C12" s="16"/>
      <c r="D12" s="16"/>
      <c r="E12" s="16"/>
      <c r="F12" s="17"/>
      <c r="G12" s="18"/>
      <c r="H12" s="19"/>
      <c r="I12" s="16"/>
    </row>
    <row r="13" spans="1:10" ht="10.5" x14ac:dyDescent="0.25">
      <c r="B13" s="23" t="s">
        <v>11</v>
      </c>
      <c r="C13" s="23"/>
      <c r="D13" s="23"/>
      <c r="E13" s="23"/>
      <c r="F13" s="24">
        <f>F14-(F9+F11)</f>
        <v>27.071792100000039</v>
      </c>
      <c r="G13" s="25">
        <f>G14-(G9+G11)</f>
        <v>0.91594670204929685</v>
      </c>
      <c r="H13" s="22"/>
      <c r="I13" s="15"/>
    </row>
    <row r="14" spans="1:10" ht="10.5" x14ac:dyDescent="0.25">
      <c r="B14" s="23" t="s">
        <v>10</v>
      </c>
      <c r="C14" s="23"/>
      <c r="D14" s="23"/>
      <c r="E14" s="23"/>
      <c r="F14" s="24">
        <v>2955.6077924000001</v>
      </c>
      <c r="G14" s="25">
        <v>100</v>
      </c>
      <c r="H14" s="26"/>
      <c r="I14" s="27"/>
    </row>
    <row r="16" spans="1:10" ht="40" customHeight="1" x14ac:dyDescent="0.2">
      <c r="B16" s="44" t="s">
        <v>18</v>
      </c>
      <c r="C16" s="44"/>
      <c r="D16" s="44"/>
      <c r="E16" s="44"/>
      <c r="F16" s="44"/>
      <c r="G16" s="44"/>
      <c r="H16" s="44"/>
      <c r="I16" s="44"/>
    </row>
    <row r="17" spans="2:9" ht="10.5" x14ac:dyDescent="0.25">
      <c r="B17" s="14"/>
    </row>
    <row r="18" spans="2:9" ht="10.5" x14ac:dyDescent="0.2">
      <c r="B18" s="45" t="s">
        <v>38</v>
      </c>
      <c r="C18" s="45"/>
      <c r="D18" s="45"/>
      <c r="E18" s="45"/>
      <c r="F18" s="45"/>
      <c r="G18" s="45"/>
      <c r="H18" s="45"/>
      <c r="I18" s="45"/>
    </row>
    <row r="19" spans="2:9" ht="10.5" x14ac:dyDescent="0.25">
      <c r="B19" s="14"/>
    </row>
    <row r="20" spans="2:9" ht="10.5" x14ac:dyDescent="0.2">
      <c r="B20" s="30" t="s">
        <v>12</v>
      </c>
    </row>
    <row r="21" spans="2:9" ht="10.5" x14ac:dyDescent="0.2">
      <c r="B21" s="30"/>
    </row>
    <row r="22" spans="2:9" x14ac:dyDescent="0.2">
      <c r="B22" s="36" t="s">
        <v>28</v>
      </c>
    </row>
    <row r="23" spans="2:9" x14ac:dyDescent="0.2">
      <c r="B23" s="36" t="s">
        <v>29</v>
      </c>
    </row>
    <row r="24" spans="2:9" ht="10.5" x14ac:dyDescent="0.2">
      <c r="B24" s="30"/>
    </row>
    <row r="25" spans="2:9" ht="10.5" x14ac:dyDescent="0.2">
      <c r="B25" s="40" t="s">
        <v>30</v>
      </c>
      <c r="C25" s="37" t="s">
        <v>37</v>
      </c>
      <c r="D25" s="37" t="s">
        <v>31</v>
      </c>
    </row>
    <row r="26" spans="2:9" x14ac:dyDescent="0.2">
      <c r="B26" s="38" t="s">
        <v>32</v>
      </c>
      <c r="C26" s="41">
        <v>10.065099999999999</v>
      </c>
      <c r="D26" s="41">
        <v>10.1197</v>
      </c>
    </row>
    <row r="27" spans="2:9" ht="10.5" x14ac:dyDescent="0.2">
      <c r="B27" s="30"/>
    </row>
    <row r="28" spans="2:9" x14ac:dyDescent="0.2">
      <c r="B28" s="36" t="s">
        <v>39</v>
      </c>
    </row>
    <row r="29" spans="2:9" x14ac:dyDescent="0.2">
      <c r="B29" s="36" t="s">
        <v>33</v>
      </c>
    </row>
    <row r="30" spans="2:9" x14ac:dyDescent="0.2">
      <c r="B30" s="36" t="s">
        <v>34</v>
      </c>
    </row>
    <row r="31" spans="2:9" x14ac:dyDescent="0.2">
      <c r="B31" s="39" t="s">
        <v>36</v>
      </c>
    </row>
    <row r="32" spans="2:9" x14ac:dyDescent="0.2">
      <c r="B32" s="36" t="s">
        <v>35</v>
      </c>
    </row>
    <row r="35" spans="2:9" ht="10.5" x14ac:dyDescent="0.25">
      <c r="B35" s="14" t="s">
        <v>13</v>
      </c>
      <c r="I35" s="11"/>
    </row>
    <row r="36" spans="2:9" x14ac:dyDescent="0.2">
      <c r="I36" s="11"/>
    </row>
    <row r="37" spans="2:9" x14ac:dyDescent="0.2">
      <c r="I37" s="11"/>
    </row>
    <row r="38" spans="2:9" x14ac:dyDescent="0.2">
      <c r="I38" s="11"/>
    </row>
    <row r="39" spans="2:9" x14ac:dyDescent="0.2">
      <c r="I39" s="11"/>
    </row>
    <row r="40" spans="2:9" x14ac:dyDescent="0.2">
      <c r="I40" s="11"/>
    </row>
    <row r="41" spans="2:9" x14ac:dyDescent="0.2">
      <c r="I41" s="11"/>
    </row>
    <row r="42" spans="2:9" x14ac:dyDescent="0.2">
      <c r="I42" s="11"/>
    </row>
    <row r="43" spans="2:9" x14ac:dyDescent="0.2">
      <c r="I43" s="11"/>
    </row>
    <row r="44" spans="2:9" x14ac:dyDescent="0.2">
      <c r="I44" s="11"/>
    </row>
    <row r="45" spans="2:9" x14ac:dyDescent="0.2">
      <c r="I45" s="11"/>
    </row>
    <row r="46" spans="2:9" x14ac:dyDescent="0.2">
      <c r="I46" s="11"/>
    </row>
    <row r="47" spans="2:9" x14ac:dyDescent="0.2">
      <c r="I47" s="11"/>
    </row>
    <row r="48" spans="2:9" x14ac:dyDescent="0.2">
      <c r="I48" s="11"/>
    </row>
    <row r="49" spans="2:9" x14ac:dyDescent="0.2">
      <c r="I49" s="11"/>
    </row>
    <row r="50" spans="2:9" x14ac:dyDescent="0.2">
      <c r="I50" s="11"/>
    </row>
    <row r="51" spans="2:9" x14ac:dyDescent="0.2">
      <c r="I51" s="11"/>
    </row>
    <row r="52" spans="2:9" x14ac:dyDescent="0.2">
      <c r="I52" s="11"/>
    </row>
    <row r="53" spans="2:9" ht="10.5" x14ac:dyDescent="0.25">
      <c r="B53" s="14" t="s">
        <v>25</v>
      </c>
      <c r="I53" s="11"/>
    </row>
    <row r="54" spans="2:9" ht="10.5" x14ac:dyDescent="0.25">
      <c r="B54" s="14" t="s">
        <v>26</v>
      </c>
      <c r="I54" s="11"/>
    </row>
    <row r="55" spans="2:9" x14ac:dyDescent="0.2">
      <c r="I55" s="11"/>
    </row>
    <row r="56" spans="2:9" x14ac:dyDescent="0.2">
      <c r="I56" s="11"/>
    </row>
    <row r="57" spans="2:9" x14ac:dyDescent="0.2">
      <c r="I57" s="11"/>
    </row>
    <row r="58" spans="2:9" x14ac:dyDescent="0.2">
      <c r="I58" s="11"/>
    </row>
    <row r="59" spans="2:9" x14ac:dyDescent="0.2">
      <c r="I59" s="11"/>
    </row>
    <row r="60" spans="2:9" x14ac:dyDescent="0.2">
      <c r="I60" s="11"/>
    </row>
    <row r="61" spans="2:9" x14ac:dyDescent="0.2">
      <c r="I61" s="11"/>
    </row>
    <row r="62" spans="2:9" x14ac:dyDescent="0.2">
      <c r="I62" s="11"/>
    </row>
    <row r="63" spans="2:9" x14ac:dyDescent="0.2">
      <c r="I63" s="11"/>
    </row>
    <row r="64" spans="2:9" x14ac:dyDescent="0.2">
      <c r="I64" s="11"/>
    </row>
    <row r="65" spans="9:9" x14ac:dyDescent="0.2">
      <c r="I65" s="11"/>
    </row>
    <row r="66" spans="9:9" x14ac:dyDescent="0.2">
      <c r="I66" s="11"/>
    </row>
    <row r="67" spans="9:9" x14ac:dyDescent="0.2">
      <c r="I67" s="11"/>
    </row>
    <row r="68" spans="9:9" x14ac:dyDescent="0.2">
      <c r="I68" s="11"/>
    </row>
    <row r="69" spans="9:9" x14ac:dyDescent="0.2">
      <c r="I69" s="11"/>
    </row>
    <row r="70" spans="9:9" x14ac:dyDescent="0.2">
      <c r="I70" s="11"/>
    </row>
    <row r="71" spans="9:9" x14ac:dyDescent="0.2">
      <c r="I71" s="11"/>
    </row>
    <row r="72" spans="9:9" x14ac:dyDescent="0.2">
      <c r="I72" s="11"/>
    </row>
    <row r="73" spans="9:9" x14ac:dyDescent="0.2">
      <c r="I73" s="11"/>
    </row>
    <row r="74" spans="9:9" x14ac:dyDescent="0.2">
      <c r="I74" s="11"/>
    </row>
    <row r="75" spans="9:9" x14ac:dyDescent="0.2">
      <c r="I75" s="11"/>
    </row>
    <row r="76" spans="9:9" x14ac:dyDescent="0.2">
      <c r="I76" s="11"/>
    </row>
    <row r="77" spans="9:9" x14ac:dyDescent="0.2">
      <c r="I77" s="11"/>
    </row>
    <row r="78" spans="9:9" x14ac:dyDescent="0.2">
      <c r="I78" s="11"/>
    </row>
    <row r="79" spans="9:9" x14ac:dyDescent="0.2">
      <c r="I79" s="11"/>
    </row>
    <row r="80" spans="9:9" x14ac:dyDescent="0.2">
      <c r="I80" s="11"/>
    </row>
    <row r="81" spans="9:9" x14ac:dyDescent="0.2">
      <c r="I81" s="11"/>
    </row>
    <row r="82" spans="9:9" x14ac:dyDescent="0.2">
      <c r="I82" s="11"/>
    </row>
    <row r="83" spans="9:9" x14ac:dyDescent="0.2">
      <c r="I83" s="11"/>
    </row>
    <row r="84" spans="9:9" x14ac:dyDescent="0.2">
      <c r="I84" s="11"/>
    </row>
    <row r="85" spans="9:9" x14ac:dyDescent="0.2">
      <c r="I85" s="11"/>
    </row>
    <row r="86" spans="9:9" x14ac:dyDescent="0.2">
      <c r="I86" s="11"/>
    </row>
    <row r="87" spans="9:9" x14ac:dyDescent="0.2">
      <c r="I87" s="11"/>
    </row>
    <row r="88" spans="9:9" x14ac:dyDescent="0.2">
      <c r="I88" s="11"/>
    </row>
    <row r="89" spans="9:9" x14ac:dyDescent="0.2">
      <c r="I89" s="11"/>
    </row>
    <row r="90" spans="9:9" x14ac:dyDescent="0.2">
      <c r="I90" s="11"/>
    </row>
    <row r="91" spans="9:9" x14ac:dyDescent="0.2">
      <c r="I91" s="11"/>
    </row>
    <row r="92" spans="9:9" x14ac:dyDescent="0.2">
      <c r="I92" s="11"/>
    </row>
    <row r="93" spans="9:9" x14ac:dyDescent="0.2">
      <c r="I93" s="11"/>
    </row>
    <row r="94" spans="9:9" x14ac:dyDescent="0.2">
      <c r="I94" s="11"/>
    </row>
    <row r="95" spans="9:9" x14ac:dyDescent="0.2">
      <c r="I95" s="11"/>
    </row>
    <row r="96" spans="9:9" x14ac:dyDescent="0.2">
      <c r="I96" s="11"/>
    </row>
    <row r="97" spans="9:9" x14ac:dyDescent="0.2">
      <c r="I97" s="11"/>
    </row>
    <row r="98" spans="9:9" x14ac:dyDescent="0.2">
      <c r="I98" s="11"/>
    </row>
    <row r="99" spans="9:9" x14ac:dyDescent="0.2">
      <c r="I99" s="11"/>
    </row>
    <row r="100" spans="9:9" x14ac:dyDescent="0.2">
      <c r="I100" s="11"/>
    </row>
    <row r="101" spans="9:9" x14ac:dyDescent="0.2">
      <c r="I101" s="11"/>
    </row>
    <row r="102" spans="9:9" x14ac:dyDescent="0.2">
      <c r="I102" s="11"/>
    </row>
    <row r="103" spans="9:9" x14ac:dyDescent="0.2">
      <c r="I103" s="11"/>
    </row>
    <row r="104" spans="9:9" x14ac:dyDescent="0.2">
      <c r="I104" s="11"/>
    </row>
    <row r="105" spans="9:9" x14ac:dyDescent="0.2">
      <c r="I105" s="11"/>
    </row>
    <row r="106" spans="9:9" x14ac:dyDescent="0.2">
      <c r="I106" s="11"/>
    </row>
    <row r="107" spans="9:9" x14ac:dyDescent="0.2">
      <c r="I107" s="11"/>
    </row>
    <row r="108" spans="9:9" x14ac:dyDescent="0.2">
      <c r="I108" s="11"/>
    </row>
    <row r="109" spans="9:9" x14ac:dyDescent="0.2">
      <c r="I109" s="11"/>
    </row>
    <row r="110" spans="9:9" x14ac:dyDescent="0.2">
      <c r="I110" s="11"/>
    </row>
    <row r="111" spans="9:9" x14ac:dyDescent="0.2">
      <c r="I111" s="11"/>
    </row>
    <row r="112" spans="9:9" x14ac:dyDescent="0.2">
      <c r="I112" s="11"/>
    </row>
    <row r="113" spans="9:9" x14ac:dyDescent="0.2">
      <c r="I113" s="11"/>
    </row>
    <row r="114" spans="9:9" x14ac:dyDescent="0.2">
      <c r="I114" s="11"/>
    </row>
    <row r="115" spans="9:9" x14ac:dyDescent="0.2">
      <c r="I115" s="11"/>
    </row>
    <row r="116" spans="9:9" x14ac:dyDescent="0.2">
      <c r="I116" s="11"/>
    </row>
    <row r="117" spans="9:9" x14ac:dyDescent="0.2">
      <c r="I117" s="11"/>
    </row>
    <row r="118" spans="9:9" x14ac:dyDescent="0.2">
      <c r="I118" s="11"/>
    </row>
    <row r="119" spans="9:9" x14ac:dyDescent="0.2">
      <c r="I119" s="11"/>
    </row>
    <row r="120" spans="9:9" x14ac:dyDescent="0.2">
      <c r="I120" s="11"/>
    </row>
    <row r="121" spans="9:9" x14ac:dyDescent="0.2">
      <c r="I121" s="11"/>
    </row>
    <row r="122" spans="9:9" x14ac:dyDescent="0.2">
      <c r="I122" s="11"/>
    </row>
    <row r="123" spans="9:9" x14ac:dyDescent="0.2">
      <c r="I123" s="11"/>
    </row>
    <row r="124" spans="9:9" x14ac:dyDescent="0.2">
      <c r="I124" s="11"/>
    </row>
    <row r="125" spans="9:9" x14ac:dyDescent="0.2">
      <c r="I125" s="11"/>
    </row>
    <row r="126" spans="9:9" x14ac:dyDescent="0.2">
      <c r="I126" s="11"/>
    </row>
    <row r="127" spans="9:9" x14ac:dyDescent="0.2">
      <c r="I127" s="11"/>
    </row>
    <row r="128" spans="9:9" x14ac:dyDescent="0.2">
      <c r="I128" s="11"/>
    </row>
    <row r="129" spans="9:9" x14ac:dyDescent="0.2">
      <c r="I129" s="11"/>
    </row>
    <row r="130" spans="9:9" x14ac:dyDescent="0.2">
      <c r="I130" s="11"/>
    </row>
    <row r="131" spans="9:9" x14ac:dyDescent="0.2">
      <c r="I131" s="11"/>
    </row>
    <row r="132" spans="9:9" x14ac:dyDescent="0.2">
      <c r="I132" s="11"/>
    </row>
    <row r="133" spans="9:9" x14ac:dyDescent="0.2">
      <c r="I133" s="11"/>
    </row>
    <row r="134" spans="9:9" x14ac:dyDescent="0.2">
      <c r="I134" s="11"/>
    </row>
    <row r="135" spans="9:9" x14ac:dyDescent="0.2">
      <c r="I135" s="11"/>
    </row>
    <row r="136" spans="9:9" x14ac:dyDescent="0.2">
      <c r="I136" s="11"/>
    </row>
    <row r="137" spans="9:9" x14ac:dyDescent="0.2">
      <c r="I137" s="11"/>
    </row>
    <row r="138" spans="9:9" x14ac:dyDescent="0.2">
      <c r="I138" s="11"/>
    </row>
    <row r="139" spans="9:9" x14ac:dyDescent="0.2">
      <c r="I139" s="11"/>
    </row>
    <row r="140" spans="9:9" x14ac:dyDescent="0.2">
      <c r="I140" s="11"/>
    </row>
    <row r="141" spans="9:9" x14ac:dyDescent="0.2">
      <c r="I141" s="11"/>
    </row>
    <row r="142" spans="9:9" x14ac:dyDescent="0.2">
      <c r="I142" s="11"/>
    </row>
    <row r="143" spans="9:9" x14ac:dyDescent="0.2">
      <c r="I143" s="11"/>
    </row>
    <row r="144" spans="9:9" x14ac:dyDescent="0.2">
      <c r="I144" s="11"/>
    </row>
    <row r="145" spans="9:9" x14ac:dyDescent="0.2">
      <c r="I145" s="11"/>
    </row>
    <row r="146" spans="9:9" x14ac:dyDescent="0.2">
      <c r="I146" s="11"/>
    </row>
    <row r="147" spans="9:9" x14ac:dyDescent="0.2">
      <c r="I147" s="11"/>
    </row>
    <row r="148" spans="9:9" x14ac:dyDescent="0.2">
      <c r="I148" s="11"/>
    </row>
    <row r="149" spans="9:9" x14ac:dyDescent="0.2">
      <c r="I149" s="11"/>
    </row>
    <row r="150" spans="9:9" x14ac:dyDescent="0.2">
      <c r="I150" s="11"/>
    </row>
    <row r="151" spans="9:9" x14ac:dyDescent="0.2">
      <c r="I151" s="11"/>
    </row>
    <row r="152" spans="9:9" x14ac:dyDescent="0.2">
      <c r="I152" s="11"/>
    </row>
    <row r="153" spans="9:9" x14ac:dyDescent="0.2">
      <c r="I153" s="11"/>
    </row>
    <row r="154" spans="9:9" x14ac:dyDescent="0.2">
      <c r="I154" s="11"/>
    </row>
    <row r="155" spans="9:9" x14ac:dyDescent="0.2">
      <c r="I155" s="11"/>
    </row>
    <row r="156" spans="9:9" x14ac:dyDescent="0.2">
      <c r="I156" s="11"/>
    </row>
    <row r="157" spans="9:9" x14ac:dyDescent="0.2">
      <c r="I157" s="11"/>
    </row>
    <row r="158" spans="9:9" x14ac:dyDescent="0.2">
      <c r="I158" s="11"/>
    </row>
    <row r="159" spans="9:9" x14ac:dyDescent="0.2">
      <c r="I159" s="11"/>
    </row>
    <row r="160" spans="9:9" x14ac:dyDescent="0.2">
      <c r="I160" s="11"/>
    </row>
    <row r="161" spans="9:9" x14ac:dyDescent="0.2">
      <c r="I161" s="11"/>
    </row>
    <row r="162" spans="9:9" x14ac:dyDescent="0.2">
      <c r="I162" s="11"/>
    </row>
    <row r="163" spans="9:9" x14ac:dyDescent="0.2">
      <c r="I163" s="11"/>
    </row>
    <row r="164" spans="9:9" x14ac:dyDescent="0.2">
      <c r="I164" s="11"/>
    </row>
    <row r="165" spans="9:9" x14ac:dyDescent="0.2">
      <c r="I165" s="11"/>
    </row>
    <row r="166" spans="9:9" x14ac:dyDescent="0.2">
      <c r="I166" s="11"/>
    </row>
    <row r="167" spans="9:9" x14ac:dyDescent="0.2">
      <c r="I167" s="11"/>
    </row>
    <row r="168" spans="9:9" x14ac:dyDescent="0.2">
      <c r="I168" s="11"/>
    </row>
    <row r="169" spans="9:9" x14ac:dyDescent="0.2">
      <c r="I169" s="11"/>
    </row>
    <row r="170" spans="9:9" x14ac:dyDescent="0.2">
      <c r="I170" s="11"/>
    </row>
    <row r="171" spans="9:9" x14ac:dyDescent="0.2">
      <c r="I171" s="11"/>
    </row>
    <row r="172" spans="9:9" x14ac:dyDescent="0.2">
      <c r="I172" s="11"/>
    </row>
    <row r="173" spans="9:9" x14ac:dyDescent="0.2">
      <c r="I173" s="11"/>
    </row>
    <row r="174" spans="9:9" x14ac:dyDescent="0.2">
      <c r="I174" s="11"/>
    </row>
    <row r="175" spans="9:9" x14ac:dyDescent="0.2">
      <c r="I175" s="11"/>
    </row>
    <row r="176" spans="9:9" x14ac:dyDescent="0.2">
      <c r="I176" s="11"/>
    </row>
    <row r="177" spans="9:9" x14ac:dyDescent="0.2">
      <c r="I177" s="11"/>
    </row>
    <row r="178" spans="9:9" x14ac:dyDescent="0.2">
      <c r="I178" s="11"/>
    </row>
    <row r="179" spans="9:9" x14ac:dyDescent="0.2">
      <c r="I179" s="11"/>
    </row>
    <row r="180" spans="9:9" x14ac:dyDescent="0.2">
      <c r="I180" s="11"/>
    </row>
    <row r="181" spans="9:9" x14ac:dyDescent="0.2">
      <c r="I181" s="11"/>
    </row>
    <row r="182" spans="9:9" x14ac:dyDescent="0.2">
      <c r="I182" s="11"/>
    </row>
    <row r="183" spans="9:9" x14ac:dyDescent="0.2">
      <c r="I183" s="11"/>
    </row>
    <row r="184" spans="9:9" x14ac:dyDescent="0.2">
      <c r="I184" s="11"/>
    </row>
    <row r="185" spans="9:9" x14ac:dyDescent="0.2">
      <c r="I185" s="11"/>
    </row>
    <row r="186" spans="9:9" x14ac:dyDescent="0.2">
      <c r="I186" s="11"/>
    </row>
    <row r="187" spans="9:9" x14ac:dyDescent="0.2">
      <c r="I187" s="11"/>
    </row>
    <row r="188" spans="9:9" x14ac:dyDescent="0.2">
      <c r="I188" s="11"/>
    </row>
    <row r="189" spans="9:9" x14ac:dyDescent="0.2">
      <c r="I189" s="11"/>
    </row>
    <row r="190" spans="9:9" x14ac:dyDescent="0.2">
      <c r="I190" s="11"/>
    </row>
    <row r="191" spans="9:9" x14ac:dyDescent="0.2">
      <c r="I191" s="11"/>
    </row>
    <row r="192" spans="9:9" x14ac:dyDescent="0.2">
      <c r="I192" s="11"/>
    </row>
    <row r="193" spans="9:9" x14ac:dyDescent="0.2">
      <c r="I193" s="11"/>
    </row>
    <row r="194" spans="9:9" x14ac:dyDescent="0.2">
      <c r="I194" s="11"/>
    </row>
    <row r="195" spans="9:9" x14ac:dyDescent="0.2">
      <c r="I195" s="11"/>
    </row>
    <row r="196" spans="9:9" x14ac:dyDescent="0.2">
      <c r="I196" s="11"/>
    </row>
    <row r="197" spans="9:9" x14ac:dyDescent="0.2">
      <c r="I197" s="11"/>
    </row>
    <row r="198" spans="9:9" x14ac:dyDescent="0.2">
      <c r="I198" s="11"/>
    </row>
    <row r="199" spans="9:9" x14ac:dyDescent="0.2">
      <c r="I199" s="11"/>
    </row>
    <row r="200" spans="9:9" x14ac:dyDescent="0.2">
      <c r="I200" s="11"/>
    </row>
    <row r="201" spans="9:9" x14ac:dyDescent="0.2">
      <c r="I201" s="11"/>
    </row>
    <row r="202" spans="9:9" x14ac:dyDescent="0.2">
      <c r="I202" s="11"/>
    </row>
    <row r="203" spans="9:9" x14ac:dyDescent="0.2">
      <c r="I203" s="11"/>
    </row>
    <row r="204" spans="9:9" x14ac:dyDescent="0.2">
      <c r="I204" s="11"/>
    </row>
    <row r="205" spans="9:9" x14ac:dyDescent="0.2">
      <c r="I205" s="11"/>
    </row>
    <row r="206" spans="9:9" x14ac:dyDescent="0.2">
      <c r="I206" s="11"/>
    </row>
    <row r="207" spans="9:9" x14ac:dyDescent="0.2">
      <c r="I207" s="11"/>
    </row>
    <row r="208" spans="9:9" x14ac:dyDescent="0.2">
      <c r="I208" s="11"/>
    </row>
    <row r="209" spans="9:9" x14ac:dyDescent="0.2">
      <c r="I209" s="11"/>
    </row>
    <row r="210" spans="9:9" x14ac:dyDescent="0.2">
      <c r="I210" s="11"/>
    </row>
    <row r="211" spans="9:9" x14ac:dyDescent="0.2">
      <c r="I211" s="11"/>
    </row>
    <row r="212" spans="9:9" x14ac:dyDescent="0.2">
      <c r="I212" s="11"/>
    </row>
    <row r="213" spans="9:9" x14ac:dyDescent="0.2">
      <c r="I213" s="11"/>
    </row>
    <row r="214" spans="9:9" x14ac:dyDescent="0.2">
      <c r="I214" s="11"/>
    </row>
    <row r="215" spans="9:9" x14ac:dyDescent="0.2">
      <c r="I215" s="11"/>
    </row>
    <row r="216" spans="9:9" x14ac:dyDescent="0.2">
      <c r="I216" s="11"/>
    </row>
    <row r="217" spans="9:9" x14ac:dyDescent="0.2">
      <c r="I217" s="11"/>
    </row>
    <row r="218" spans="9:9" x14ac:dyDescent="0.2">
      <c r="I218" s="11"/>
    </row>
    <row r="219" spans="9:9" x14ac:dyDescent="0.2">
      <c r="I219" s="11"/>
    </row>
    <row r="220" spans="9:9" x14ac:dyDescent="0.2">
      <c r="I220" s="11"/>
    </row>
    <row r="221" spans="9:9" x14ac:dyDescent="0.2">
      <c r="I221" s="11"/>
    </row>
    <row r="222" spans="9:9" x14ac:dyDescent="0.2">
      <c r="I222" s="11"/>
    </row>
    <row r="223" spans="9:9" x14ac:dyDescent="0.2">
      <c r="I223" s="11"/>
    </row>
    <row r="224" spans="9:9" x14ac:dyDescent="0.2">
      <c r="I224" s="11"/>
    </row>
    <row r="225" spans="9:9" x14ac:dyDescent="0.2">
      <c r="I225" s="11"/>
    </row>
    <row r="226" spans="9:9" x14ac:dyDescent="0.2">
      <c r="I226" s="11"/>
    </row>
    <row r="227" spans="9:9" x14ac:dyDescent="0.2">
      <c r="I227" s="11"/>
    </row>
    <row r="228" spans="9:9" x14ac:dyDescent="0.2">
      <c r="I228" s="11"/>
    </row>
    <row r="229" spans="9:9" x14ac:dyDescent="0.2">
      <c r="I229" s="11"/>
    </row>
    <row r="230" spans="9:9" x14ac:dyDescent="0.2">
      <c r="I230" s="11"/>
    </row>
    <row r="231" spans="9:9" x14ac:dyDescent="0.2">
      <c r="I231" s="11"/>
    </row>
    <row r="232" spans="9:9" x14ac:dyDescent="0.2">
      <c r="I232" s="11"/>
    </row>
    <row r="233" spans="9:9" x14ac:dyDescent="0.2">
      <c r="I233" s="11"/>
    </row>
    <row r="234" spans="9:9" x14ac:dyDescent="0.2">
      <c r="I234" s="11"/>
    </row>
    <row r="235" spans="9:9" x14ac:dyDescent="0.2">
      <c r="I235" s="11"/>
    </row>
    <row r="236" spans="9:9" x14ac:dyDescent="0.2">
      <c r="I236" s="11"/>
    </row>
    <row r="237" spans="9:9" x14ac:dyDescent="0.2">
      <c r="I237" s="11"/>
    </row>
    <row r="238" spans="9:9" x14ac:dyDescent="0.2">
      <c r="I238" s="11"/>
    </row>
    <row r="239" spans="9:9" x14ac:dyDescent="0.2">
      <c r="I239" s="11"/>
    </row>
    <row r="240" spans="9:9" x14ac:dyDescent="0.2">
      <c r="I240" s="11"/>
    </row>
    <row r="241" spans="9:9" x14ac:dyDescent="0.2">
      <c r="I241" s="11"/>
    </row>
    <row r="242" spans="9:9" x14ac:dyDescent="0.2">
      <c r="I242" s="11"/>
    </row>
    <row r="243" spans="9:9" x14ac:dyDescent="0.2">
      <c r="I243" s="11"/>
    </row>
    <row r="244" spans="9:9" x14ac:dyDescent="0.2">
      <c r="I244" s="11"/>
    </row>
    <row r="245" spans="9:9" x14ac:dyDescent="0.2">
      <c r="I245" s="11"/>
    </row>
    <row r="246" spans="9:9" x14ac:dyDescent="0.2">
      <c r="I246" s="11"/>
    </row>
    <row r="247" spans="9:9" x14ac:dyDescent="0.2">
      <c r="I247" s="11"/>
    </row>
    <row r="248" spans="9:9" x14ac:dyDescent="0.2">
      <c r="I248" s="11"/>
    </row>
    <row r="249" spans="9:9" x14ac:dyDescent="0.2">
      <c r="I249" s="11"/>
    </row>
    <row r="250" spans="9:9" x14ac:dyDescent="0.2">
      <c r="I250" s="11"/>
    </row>
    <row r="251" spans="9:9" x14ac:dyDescent="0.2">
      <c r="I251" s="11"/>
    </row>
    <row r="252" spans="9:9" x14ac:dyDescent="0.2">
      <c r="I252" s="11"/>
    </row>
    <row r="253" spans="9:9" x14ac:dyDescent="0.2">
      <c r="I253" s="11"/>
    </row>
    <row r="254" spans="9:9" x14ac:dyDescent="0.2">
      <c r="I254" s="11"/>
    </row>
    <row r="255" spans="9:9" x14ac:dyDescent="0.2">
      <c r="I255" s="11"/>
    </row>
    <row r="256" spans="9:9" x14ac:dyDescent="0.2">
      <c r="I256" s="11"/>
    </row>
    <row r="257" spans="9:9" x14ac:dyDescent="0.2">
      <c r="I257" s="11"/>
    </row>
    <row r="258" spans="9:9" x14ac:dyDescent="0.2">
      <c r="I258" s="11"/>
    </row>
    <row r="259" spans="9:9" x14ac:dyDescent="0.2">
      <c r="I259" s="11"/>
    </row>
    <row r="260" spans="9:9" x14ac:dyDescent="0.2">
      <c r="I260" s="11"/>
    </row>
    <row r="261" spans="9:9" x14ac:dyDescent="0.2">
      <c r="I261" s="11"/>
    </row>
    <row r="262" spans="9:9" x14ac:dyDescent="0.2">
      <c r="I262" s="11"/>
    </row>
    <row r="263" spans="9:9" x14ac:dyDescent="0.2">
      <c r="I263" s="11"/>
    </row>
    <row r="264" spans="9:9" x14ac:dyDescent="0.2">
      <c r="I264" s="11"/>
    </row>
    <row r="265" spans="9:9" x14ac:dyDescent="0.2">
      <c r="I265" s="11"/>
    </row>
    <row r="266" spans="9:9" x14ac:dyDescent="0.2">
      <c r="I266" s="11"/>
    </row>
    <row r="267" spans="9:9" x14ac:dyDescent="0.2">
      <c r="I267" s="11"/>
    </row>
    <row r="268" spans="9:9" x14ac:dyDescent="0.2">
      <c r="I268" s="11"/>
    </row>
    <row r="269" spans="9:9" x14ac:dyDescent="0.2">
      <c r="I269" s="11"/>
    </row>
    <row r="270" spans="9:9" x14ac:dyDescent="0.2">
      <c r="I270" s="11"/>
    </row>
    <row r="271" spans="9:9" x14ac:dyDescent="0.2">
      <c r="I271" s="11"/>
    </row>
    <row r="272" spans="9:9" x14ac:dyDescent="0.2">
      <c r="I272" s="11"/>
    </row>
    <row r="273" spans="9:9" x14ac:dyDescent="0.2">
      <c r="I273" s="11"/>
    </row>
    <row r="274" spans="9:9" x14ac:dyDescent="0.2">
      <c r="I274" s="11"/>
    </row>
    <row r="275" spans="9:9" x14ac:dyDescent="0.2">
      <c r="I275" s="11"/>
    </row>
    <row r="276" spans="9:9" x14ac:dyDescent="0.2">
      <c r="I276" s="11"/>
    </row>
    <row r="277" spans="9:9" x14ac:dyDescent="0.2">
      <c r="I277" s="11"/>
    </row>
    <row r="278" spans="9:9" x14ac:dyDescent="0.2">
      <c r="I278" s="11"/>
    </row>
    <row r="279" spans="9:9" x14ac:dyDescent="0.2">
      <c r="I279" s="11"/>
    </row>
    <row r="280" spans="9:9" x14ac:dyDescent="0.2">
      <c r="I280" s="11"/>
    </row>
    <row r="281" spans="9:9" x14ac:dyDescent="0.2">
      <c r="I281" s="11"/>
    </row>
    <row r="282" spans="9:9" x14ac:dyDescent="0.2">
      <c r="I282" s="11"/>
    </row>
    <row r="283" spans="9:9" x14ac:dyDescent="0.2">
      <c r="I283" s="11"/>
    </row>
    <row r="284" spans="9:9" x14ac:dyDescent="0.2">
      <c r="I284" s="11"/>
    </row>
    <row r="285" spans="9:9" x14ac:dyDescent="0.2">
      <c r="I285" s="11"/>
    </row>
    <row r="286" spans="9:9" x14ac:dyDescent="0.2">
      <c r="I286" s="11"/>
    </row>
    <row r="287" spans="9:9" x14ac:dyDescent="0.2">
      <c r="I287" s="11"/>
    </row>
    <row r="288" spans="9:9" x14ac:dyDescent="0.2">
      <c r="I288" s="11"/>
    </row>
    <row r="289" spans="9:9" x14ac:dyDescent="0.2">
      <c r="I289" s="11"/>
    </row>
    <row r="290" spans="9:9" x14ac:dyDescent="0.2">
      <c r="I290" s="11"/>
    </row>
    <row r="291" spans="9:9" x14ac:dyDescent="0.2">
      <c r="I291" s="11"/>
    </row>
    <row r="292" spans="9:9" x14ac:dyDescent="0.2">
      <c r="I292" s="11"/>
    </row>
    <row r="293" spans="9:9" x14ac:dyDescent="0.2">
      <c r="I293" s="11"/>
    </row>
    <row r="294" spans="9:9" x14ac:dyDescent="0.2">
      <c r="I294" s="11"/>
    </row>
    <row r="295" spans="9:9" x14ac:dyDescent="0.2">
      <c r="I295" s="11"/>
    </row>
    <row r="296" spans="9:9" x14ac:dyDescent="0.2">
      <c r="I296" s="11"/>
    </row>
    <row r="297" spans="9:9" x14ac:dyDescent="0.2">
      <c r="I297" s="11"/>
    </row>
    <row r="298" spans="9:9" x14ac:dyDescent="0.2">
      <c r="I298" s="11"/>
    </row>
    <row r="299" spans="9:9" x14ac:dyDescent="0.2">
      <c r="I299" s="11"/>
    </row>
    <row r="300" spans="9:9" x14ac:dyDescent="0.2">
      <c r="I300" s="11"/>
    </row>
    <row r="301" spans="9:9" x14ac:dyDescent="0.2">
      <c r="I301" s="11"/>
    </row>
    <row r="302" spans="9:9" x14ac:dyDescent="0.2">
      <c r="I302" s="11"/>
    </row>
    <row r="303" spans="9:9" x14ac:dyDescent="0.2">
      <c r="I303" s="11"/>
    </row>
    <row r="304" spans="9:9" x14ac:dyDescent="0.2">
      <c r="I304" s="11"/>
    </row>
    <row r="305" spans="9:9" x14ac:dyDescent="0.2">
      <c r="I305" s="11"/>
    </row>
    <row r="306" spans="9:9" x14ac:dyDescent="0.2">
      <c r="I306" s="11"/>
    </row>
    <row r="307" spans="9:9" x14ac:dyDescent="0.2">
      <c r="I307" s="11"/>
    </row>
    <row r="308" spans="9:9" x14ac:dyDescent="0.2">
      <c r="I308" s="11"/>
    </row>
    <row r="309" spans="9:9" x14ac:dyDescent="0.2">
      <c r="I309" s="11"/>
    </row>
    <row r="310" spans="9:9" x14ac:dyDescent="0.2">
      <c r="I310" s="11"/>
    </row>
    <row r="311" spans="9:9" x14ac:dyDescent="0.2">
      <c r="I311" s="11"/>
    </row>
    <row r="312" spans="9:9" x14ac:dyDescent="0.2">
      <c r="I312" s="11"/>
    </row>
    <row r="313" spans="9:9" x14ac:dyDescent="0.2">
      <c r="I313" s="11"/>
    </row>
    <row r="314" spans="9:9" x14ac:dyDescent="0.2">
      <c r="I314" s="11"/>
    </row>
    <row r="315" spans="9:9" x14ac:dyDescent="0.2">
      <c r="I315" s="11"/>
    </row>
    <row r="316" spans="9:9" x14ac:dyDescent="0.2">
      <c r="I316" s="11"/>
    </row>
    <row r="317" spans="9:9" x14ac:dyDescent="0.2">
      <c r="I317" s="11"/>
    </row>
    <row r="318" spans="9:9" x14ac:dyDescent="0.2">
      <c r="I318" s="11"/>
    </row>
    <row r="319" spans="9:9" x14ac:dyDescent="0.2">
      <c r="I319" s="11"/>
    </row>
    <row r="320" spans="9:9" x14ac:dyDescent="0.2">
      <c r="I320" s="11"/>
    </row>
    <row r="321" spans="9:9" x14ac:dyDescent="0.2">
      <c r="I321" s="11"/>
    </row>
    <row r="322" spans="9:9" x14ac:dyDescent="0.2">
      <c r="I322" s="11"/>
    </row>
    <row r="323" spans="9:9" x14ac:dyDescent="0.2">
      <c r="I323" s="11"/>
    </row>
    <row r="324" spans="9:9" x14ac:dyDescent="0.2">
      <c r="I324" s="11"/>
    </row>
    <row r="325" spans="9:9" x14ac:dyDescent="0.2">
      <c r="I325" s="11"/>
    </row>
    <row r="326" spans="9:9" x14ac:dyDescent="0.2">
      <c r="I326" s="11"/>
    </row>
    <row r="327" spans="9:9" x14ac:dyDescent="0.2">
      <c r="I327" s="11"/>
    </row>
    <row r="328" spans="9:9" x14ac:dyDescent="0.2">
      <c r="I328" s="11"/>
    </row>
    <row r="329" spans="9:9" x14ac:dyDescent="0.2">
      <c r="I329" s="11"/>
    </row>
    <row r="330" spans="9:9" x14ac:dyDescent="0.2">
      <c r="I330" s="11"/>
    </row>
    <row r="331" spans="9:9" x14ac:dyDescent="0.2">
      <c r="I331" s="11"/>
    </row>
    <row r="332" spans="9:9" x14ac:dyDescent="0.2">
      <c r="I332" s="11"/>
    </row>
    <row r="333" spans="9:9" x14ac:dyDescent="0.2">
      <c r="I333" s="11"/>
    </row>
    <row r="334" spans="9:9" x14ac:dyDescent="0.2">
      <c r="I334" s="11"/>
    </row>
    <row r="335" spans="9:9" x14ac:dyDescent="0.2">
      <c r="I335" s="11"/>
    </row>
    <row r="336" spans="9:9" x14ac:dyDescent="0.2">
      <c r="I336" s="11"/>
    </row>
    <row r="337" spans="9:9" x14ac:dyDescent="0.2">
      <c r="I337" s="11"/>
    </row>
    <row r="338" spans="9:9" x14ac:dyDescent="0.2">
      <c r="I338" s="11"/>
    </row>
    <row r="339" spans="9:9" x14ac:dyDescent="0.2">
      <c r="I339" s="11"/>
    </row>
    <row r="340" spans="9:9" x14ac:dyDescent="0.2">
      <c r="I340" s="11"/>
    </row>
    <row r="341" spans="9:9" x14ac:dyDescent="0.2">
      <c r="I341" s="11"/>
    </row>
    <row r="342" spans="9:9" x14ac:dyDescent="0.2">
      <c r="I342" s="11"/>
    </row>
    <row r="343" spans="9:9" x14ac:dyDescent="0.2">
      <c r="I343" s="11"/>
    </row>
    <row r="344" spans="9:9" x14ac:dyDescent="0.2">
      <c r="I344" s="11"/>
    </row>
    <row r="345" spans="9:9" x14ac:dyDescent="0.2">
      <c r="I345" s="11"/>
    </row>
    <row r="346" spans="9:9" x14ac:dyDescent="0.2">
      <c r="I346" s="11"/>
    </row>
    <row r="347" spans="9:9" x14ac:dyDescent="0.2">
      <c r="I347" s="11"/>
    </row>
    <row r="348" spans="9:9" x14ac:dyDescent="0.2">
      <c r="I348" s="11"/>
    </row>
    <row r="349" spans="9:9" x14ac:dyDescent="0.2">
      <c r="I349" s="11"/>
    </row>
    <row r="350" spans="9:9" x14ac:dyDescent="0.2">
      <c r="I350" s="11"/>
    </row>
    <row r="351" spans="9:9" x14ac:dyDescent="0.2">
      <c r="I351" s="11"/>
    </row>
    <row r="352" spans="9:9" x14ac:dyDescent="0.2">
      <c r="I352" s="11"/>
    </row>
    <row r="353" spans="9:9" x14ac:dyDescent="0.2">
      <c r="I353" s="11"/>
    </row>
    <row r="354" spans="9:9" x14ac:dyDescent="0.2">
      <c r="I354" s="11"/>
    </row>
    <row r="355" spans="9:9" x14ac:dyDescent="0.2">
      <c r="I355" s="11"/>
    </row>
    <row r="356" spans="9:9" x14ac:dyDescent="0.2">
      <c r="I356" s="11"/>
    </row>
    <row r="357" spans="9:9" x14ac:dyDescent="0.2">
      <c r="I357" s="11"/>
    </row>
    <row r="358" spans="9:9" x14ac:dyDescent="0.2">
      <c r="I358" s="11"/>
    </row>
    <row r="359" spans="9:9" x14ac:dyDescent="0.2">
      <c r="I359" s="11"/>
    </row>
    <row r="360" spans="9:9" x14ac:dyDescent="0.2">
      <c r="I360" s="11"/>
    </row>
    <row r="361" spans="9:9" x14ac:dyDescent="0.2">
      <c r="I361" s="11"/>
    </row>
    <row r="362" spans="9:9" x14ac:dyDescent="0.2">
      <c r="I362" s="11"/>
    </row>
    <row r="363" spans="9:9" x14ac:dyDescent="0.2">
      <c r="I363" s="11"/>
    </row>
    <row r="364" spans="9:9" x14ac:dyDescent="0.2">
      <c r="I364" s="11"/>
    </row>
    <row r="365" spans="9:9" x14ac:dyDescent="0.2">
      <c r="I365" s="11"/>
    </row>
    <row r="366" spans="9:9" x14ac:dyDescent="0.2">
      <c r="I366" s="11"/>
    </row>
    <row r="367" spans="9:9" x14ac:dyDescent="0.2">
      <c r="I367" s="11"/>
    </row>
    <row r="368" spans="9:9" x14ac:dyDescent="0.2">
      <c r="I368" s="11"/>
    </row>
    <row r="369" spans="9:9" x14ac:dyDescent="0.2">
      <c r="I369" s="11"/>
    </row>
    <row r="370" spans="9:9" x14ac:dyDescent="0.2">
      <c r="I370" s="11"/>
    </row>
    <row r="371" spans="9:9" x14ac:dyDescent="0.2">
      <c r="I371" s="11"/>
    </row>
    <row r="372" spans="9:9" x14ac:dyDescent="0.2">
      <c r="I372" s="11"/>
    </row>
    <row r="373" spans="9:9" x14ac:dyDescent="0.2">
      <c r="I373" s="11"/>
    </row>
    <row r="374" spans="9:9" x14ac:dyDescent="0.2">
      <c r="I374" s="11"/>
    </row>
    <row r="375" spans="9:9" x14ac:dyDescent="0.2">
      <c r="I375" s="11"/>
    </row>
    <row r="376" spans="9:9" x14ac:dyDescent="0.2">
      <c r="I376" s="11"/>
    </row>
    <row r="377" spans="9:9" x14ac:dyDescent="0.2">
      <c r="I377" s="11"/>
    </row>
    <row r="378" spans="9:9" x14ac:dyDescent="0.2">
      <c r="I378" s="11"/>
    </row>
    <row r="379" spans="9:9" x14ac:dyDescent="0.2">
      <c r="I379" s="11"/>
    </row>
    <row r="380" spans="9:9" x14ac:dyDescent="0.2">
      <c r="I380" s="11"/>
    </row>
    <row r="381" spans="9:9" x14ac:dyDescent="0.2">
      <c r="I381" s="11"/>
    </row>
    <row r="382" spans="9:9" x14ac:dyDescent="0.2">
      <c r="I382" s="11"/>
    </row>
    <row r="383" spans="9:9" x14ac:dyDescent="0.2">
      <c r="I383" s="11"/>
    </row>
    <row r="384" spans="9:9" x14ac:dyDescent="0.2">
      <c r="I384" s="11"/>
    </row>
    <row r="385" spans="9:9" x14ac:dyDescent="0.2">
      <c r="I385" s="11"/>
    </row>
    <row r="386" spans="9:9" x14ac:dyDescent="0.2">
      <c r="I386" s="11"/>
    </row>
    <row r="387" spans="9:9" x14ac:dyDescent="0.2">
      <c r="I387" s="11"/>
    </row>
    <row r="388" spans="9:9" x14ac:dyDescent="0.2">
      <c r="I388" s="11"/>
    </row>
    <row r="389" spans="9:9" x14ac:dyDescent="0.2">
      <c r="I389" s="11"/>
    </row>
    <row r="390" spans="9:9" x14ac:dyDescent="0.2">
      <c r="I390" s="11"/>
    </row>
    <row r="391" spans="9:9" x14ac:dyDescent="0.2">
      <c r="I391" s="11"/>
    </row>
    <row r="392" spans="9:9" x14ac:dyDescent="0.2">
      <c r="I392" s="11"/>
    </row>
    <row r="393" spans="9:9" x14ac:dyDescent="0.2">
      <c r="I393" s="11"/>
    </row>
    <row r="394" spans="9:9" x14ac:dyDescent="0.2">
      <c r="I394" s="11"/>
    </row>
    <row r="395" spans="9:9" x14ac:dyDescent="0.2">
      <c r="I395" s="11"/>
    </row>
    <row r="396" spans="9:9" x14ac:dyDescent="0.2">
      <c r="I396" s="11"/>
    </row>
    <row r="397" spans="9:9" x14ac:dyDescent="0.2">
      <c r="I397" s="11"/>
    </row>
    <row r="398" spans="9:9" x14ac:dyDescent="0.2">
      <c r="I398" s="11"/>
    </row>
    <row r="399" spans="9:9" x14ac:dyDescent="0.2">
      <c r="I399" s="11"/>
    </row>
    <row r="400" spans="9:9" x14ac:dyDescent="0.2">
      <c r="I400" s="11"/>
    </row>
    <row r="401" spans="9:9" x14ac:dyDescent="0.2">
      <c r="I401" s="11"/>
    </row>
    <row r="402" spans="9:9" x14ac:dyDescent="0.2">
      <c r="I402" s="11"/>
    </row>
    <row r="403" spans="9:9" x14ac:dyDescent="0.2">
      <c r="I403" s="11"/>
    </row>
    <row r="404" spans="9:9" x14ac:dyDescent="0.2">
      <c r="I404" s="11"/>
    </row>
    <row r="405" spans="9:9" x14ac:dyDescent="0.2">
      <c r="I405" s="11"/>
    </row>
    <row r="406" spans="9:9" x14ac:dyDescent="0.2">
      <c r="I406" s="11"/>
    </row>
    <row r="407" spans="9:9" x14ac:dyDescent="0.2">
      <c r="I407" s="11"/>
    </row>
    <row r="408" spans="9:9" x14ac:dyDescent="0.2">
      <c r="I408" s="11"/>
    </row>
    <row r="409" spans="9:9" x14ac:dyDescent="0.2">
      <c r="I409" s="11"/>
    </row>
    <row r="410" spans="9:9" x14ac:dyDescent="0.2">
      <c r="I410" s="11"/>
    </row>
    <row r="411" spans="9:9" x14ac:dyDescent="0.2">
      <c r="I411" s="11"/>
    </row>
    <row r="412" spans="9:9" x14ac:dyDescent="0.2">
      <c r="I412" s="11"/>
    </row>
    <row r="413" spans="9:9" x14ac:dyDescent="0.2">
      <c r="I413" s="11"/>
    </row>
    <row r="414" spans="9:9" x14ac:dyDescent="0.2">
      <c r="I414" s="11"/>
    </row>
    <row r="415" spans="9:9" x14ac:dyDescent="0.2">
      <c r="I415" s="11"/>
    </row>
    <row r="416" spans="9:9" x14ac:dyDescent="0.2">
      <c r="I416" s="11"/>
    </row>
    <row r="417" spans="9:9" x14ac:dyDescent="0.2">
      <c r="I417" s="11"/>
    </row>
    <row r="418" spans="9:9" x14ac:dyDescent="0.2">
      <c r="I418" s="11"/>
    </row>
    <row r="419" spans="9:9" x14ac:dyDescent="0.2">
      <c r="I419" s="11"/>
    </row>
    <row r="420" spans="9:9" x14ac:dyDescent="0.2">
      <c r="I420" s="11"/>
    </row>
    <row r="421" spans="9:9" x14ac:dyDescent="0.2">
      <c r="I421" s="11"/>
    </row>
    <row r="422" spans="9:9" x14ac:dyDescent="0.2">
      <c r="I422" s="11"/>
    </row>
    <row r="423" spans="9:9" x14ac:dyDescent="0.2">
      <c r="I423" s="11"/>
    </row>
    <row r="424" spans="9:9" x14ac:dyDescent="0.2">
      <c r="I424" s="11"/>
    </row>
    <row r="425" spans="9:9" x14ac:dyDescent="0.2">
      <c r="I425" s="11"/>
    </row>
    <row r="426" spans="9:9" x14ac:dyDescent="0.2">
      <c r="I426" s="11"/>
    </row>
    <row r="427" spans="9:9" x14ac:dyDescent="0.2">
      <c r="I427" s="11"/>
    </row>
    <row r="428" spans="9:9" x14ac:dyDescent="0.2">
      <c r="I428" s="11"/>
    </row>
    <row r="429" spans="9:9" x14ac:dyDescent="0.2">
      <c r="I429" s="11"/>
    </row>
    <row r="430" spans="9:9" x14ac:dyDescent="0.2">
      <c r="I430" s="11"/>
    </row>
    <row r="431" spans="9:9" x14ac:dyDescent="0.2">
      <c r="I431" s="11"/>
    </row>
    <row r="432" spans="9:9" x14ac:dyDescent="0.2">
      <c r="I432" s="11"/>
    </row>
    <row r="433" spans="9:9" x14ac:dyDescent="0.2">
      <c r="I433" s="11"/>
    </row>
    <row r="434" spans="9:9" x14ac:dyDescent="0.2">
      <c r="I434" s="11"/>
    </row>
    <row r="435" spans="9:9" x14ac:dyDescent="0.2">
      <c r="I435" s="11"/>
    </row>
    <row r="436" spans="9:9" x14ac:dyDescent="0.2">
      <c r="I436" s="11"/>
    </row>
    <row r="437" spans="9:9" x14ac:dyDescent="0.2">
      <c r="I437" s="11"/>
    </row>
    <row r="438" spans="9:9" x14ac:dyDescent="0.2">
      <c r="I438" s="11"/>
    </row>
    <row r="439" spans="9:9" x14ac:dyDescent="0.2">
      <c r="I439" s="11"/>
    </row>
    <row r="440" spans="9:9" x14ac:dyDescent="0.2">
      <c r="I440" s="11"/>
    </row>
    <row r="441" spans="9:9" x14ac:dyDescent="0.2">
      <c r="I441" s="11"/>
    </row>
    <row r="442" spans="9:9" x14ac:dyDescent="0.2">
      <c r="I442" s="11"/>
    </row>
    <row r="443" spans="9:9" x14ac:dyDescent="0.2">
      <c r="I443" s="11"/>
    </row>
    <row r="444" spans="9:9" x14ac:dyDescent="0.2">
      <c r="I444" s="11"/>
    </row>
    <row r="445" spans="9:9" x14ac:dyDescent="0.2">
      <c r="I445" s="11"/>
    </row>
    <row r="446" spans="9:9" x14ac:dyDescent="0.2">
      <c r="I446" s="11"/>
    </row>
    <row r="447" spans="9:9" x14ac:dyDescent="0.2">
      <c r="I447" s="11"/>
    </row>
    <row r="448" spans="9:9" x14ac:dyDescent="0.2">
      <c r="I448" s="11"/>
    </row>
    <row r="449" spans="9:9" x14ac:dyDescent="0.2">
      <c r="I449" s="11"/>
    </row>
    <row r="450" spans="9:9" x14ac:dyDescent="0.2">
      <c r="I450" s="11"/>
    </row>
    <row r="451" spans="9:9" x14ac:dyDescent="0.2">
      <c r="I451" s="11"/>
    </row>
    <row r="452" spans="9:9" x14ac:dyDescent="0.2">
      <c r="I452" s="11"/>
    </row>
    <row r="453" spans="9:9" x14ac:dyDescent="0.2">
      <c r="I453" s="11"/>
    </row>
    <row r="454" spans="9:9" x14ac:dyDescent="0.2">
      <c r="I454" s="11"/>
    </row>
    <row r="455" spans="9:9" x14ac:dyDescent="0.2">
      <c r="I455" s="11"/>
    </row>
    <row r="456" spans="9:9" x14ac:dyDescent="0.2">
      <c r="I456" s="11"/>
    </row>
    <row r="457" spans="9:9" x14ac:dyDescent="0.2">
      <c r="I457" s="11"/>
    </row>
    <row r="458" spans="9:9" x14ac:dyDescent="0.2">
      <c r="I458" s="11"/>
    </row>
    <row r="459" spans="9:9" x14ac:dyDescent="0.2">
      <c r="I459" s="11"/>
    </row>
    <row r="460" spans="9:9" x14ac:dyDescent="0.2">
      <c r="I460" s="11"/>
    </row>
    <row r="461" spans="9:9" x14ac:dyDescent="0.2">
      <c r="I461" s="11"/>
    </row>
    <row r="462" spans="9:9" x14ac:dyDescent="0.2">
      <c r="I462" s="11"/>
    </row>
  </sheetData>
  <mergeCells count="3">
    <mergeCell ref="B1:C1"/>
    <mergeCell ref="B16:I16"/>
    <mergeCell ref="B18:I18"/>
  </mergeCells>
  <conditionalFormatting sqref="G1:G3 G5:G15 G17 G19:G73">
    <cfRule type="cellIs" dxfId="0" priority="1" stopIfTrue="1" operator="between">
      <formula>0.009</formula>
      <formula>-0.009</formula>
    </cfRule>
  </conditionalFormatting>
  <hyperlinks>
    <hyperlink ref="A2" location="Index!A1" display="-" xr:uid="{3324F3B0-7CA3-4B74-8B97-A3BDDC4C967C}"/>
  </hyperlinks>
  <pageMargins left="0.7" right="0.7" top="0.75" bottom="0.75" header="0.3" footer="0.3"/>
  <pageSetup paperSize="9" scale="62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65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JBN8-13</vt:lpstr>
      <vt:lpstr>'JBN8-13'!Print_Area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2026-05-08T09:08:59Z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