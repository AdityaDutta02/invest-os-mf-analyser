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4B8BC365-2B18-4A60-97CC-AC6384FFA42D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NM150" sheetId="9" r:id="rId1"/>
  </sheets>
  <definedNames>
    <definedName name="_xlnm.Print_Area" localSheetId="0">JBNM150!$B$1:$H$205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G157" i="9" l="1"/>
  <c r="G163" i="9" s="1"/>
  <c r="F157" i="9"/>
  <c r="F163" i="9"/>
  <c r="F160" i="9"/>
  <c r="G160" i="9" l="1"/>
</calcChain>
</file>

<file path=xl/sharedStrings.xml><?xml version="1.0" encoding="utf-8"?>
<sst xmlns="http://schemas.openxmlformats.org/spreadsheetml/2006/main" count="475" uniqueCount="362">
  <si>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</si>
  <si>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</si>
  <si>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</si>
  <si>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</si>
  <si>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</si>
  <si>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</si>
  <si>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</si>
  <si>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</si>
  <si>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</si>
  <si>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</si>
  <si>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</si>
  <si>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</si>
  <si>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</si>
  <si>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</si>
  <si>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</si>
  <si>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</si>
  <si>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</si>
  <si>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IT - Software</t>
  </si>
  <si>
    <t>Telecom - Services</t>
  </si>
  <si>
    <t>Construction</t>
  </si>
  <si>
    <t>Automobiles</t>
  </si>
  <si>
    <t>Finance</t>
  </si>
  <si>
    <t>Retailing</t>
  </si>
  <si>
    <t>Pharmaceuticals &amp; Biotechnology</t>
  </si>
  <si>
    <t>Power</t>
  </si>
  <si>
    <t>Cement &amp; Cement Products</t>
  </si>
  <si>
    <t>Aerospace &amp; Defense</t>
  </si>
  <si>
    <t>Ferrous Metals</t>
  </si>
  <si>
    <t>Consumer Durables</t>
  </si>
  <si>
    <t>Transport Services</t>
  </si>
  <si>
    <t>Non - Ferrous Metals</t>
  </si>
  <si>
    <t>Transport Infrastructure</t>
  </si>
  <si>
    <t>Oil</t>
  </si>
  <si>
    <t>Healthcare Services</t>
  </si>
  <si>
    <t>Insurance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</si>
  <si>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</si>
  <si>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</si>
  <si>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</si>
  <si>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</si>
  <si>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</si>
  <si>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</si>
  <si>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Electrical Equipment</t>
  </si>
  <si>
    <t>Gas</t>
  </si>
  <si>
    <t>Personal Products</t>
  </si>
  <si>
    <t>Auto Components</t>
  </si>
  <si>
    <t>Realty</t>
  </si>
  <si>
    <t>Chemicals &amp; Petrochemicals</t>
  </si>
  <si>
    <t>Industrial Manufacturing</t>
  </si>
  <si>
    <t>BSE Ltd</t>
  </si>
  <si>
    <t>INE118H01025</t>
  </si>
  <si>
    <t>Capital Markets</t>
  </si>
  <si>
    <t>Hero MotoCorp Ltd</t>
  </si>
  <si>
    <t>INE158A01026</t>
  </si>
  <si>
    <t>Dixon Technologies (India) Ltd</t>
  </si>
  <si>
    <t>INE935N01020</t>
  </si>
  <si>
    <t>Suzlon Energy Ltd</t>
  </si>
  <si>
    <t>INE040H01021</t>
  </si>
  <si>
    <t>PB Fintech Ltd</t>
  </si>
  <si>
    <t>INE417T01026</t>
  </si>
  <si>
    <t>Financial Technology (Fintech)</t>
  </si>
  <si>
    <t>HDFC Asset Management Co Ltd</t>
  </si>
  <si>
    <t>INE127D01025</t>
  </si>
  <si>
    <t>Coforge Ltd</t>
  </si>
  <si>
    <t>INE591G01025</t>
  </si>
  <si>
    <t>Cummins India Ltd</t>
  </si>
  <si>
    <t>INE298A01020</t>
  </si>
  <si>
    <t>Industrial Products</t>
  </si>
  <si>
    <t>Persistent Systems Ltd</t>
  </si>
  <si>
    <t>INE262H01021</t>
  </si>
  <si>
    <t>Fortis Healthcare Ltd</t>
  </si>
  <si>
    <t>INE061F01013</t>
  </si>
  <si>
    <t>IndusInd Bank Ltd</t>
  </si>
  <si>
    <t>INE095A01012</t>
  </si>
  <si>
    <t>Federal Bank Ltd</t>
  </si>
  <si>
    <t>INE171A01029</t>
  </si>
  <si>
    <t>Lupin Ltd</t>
  </si>
  <si>
    <t>INE326A01037</t>
  </si>
  <si>
    <t>IDFC First Bank Ltd</t>
  </si>
  <si>
    <t>INE092T01019</t>
  </si>
  <si>
    <t>Indus Towers Ltd</t>
  </si>
  <si>
    <t>INE121J01017</t>
  </si>
  <si>
    <t>Hindustan Petroleum Corporation Ltd</t>
  </si>
  <si>
    <t>INE094A01015</t>
  </si>
  <si>
    <t>Yes Bank Ltd</t>
  </si>
  <si>
    <t>INE528G01035</t>
  </si>
  <si>
    <t>Max Financial Services Ltd</t>
  </si>
  <si>
    <t>INE180A01020</t>
  </si>
  <si>
    <t>One 97 Communications Ltd</t>
  </si>
  <si>
    <t>INE982J01020</t>
  </si>
  <si>
    <t>AU Small Finance Bank Ltd</t>
  </si>
  <si>
    <t>INE949L01017</t>
  </si>
  <si>
    <t>SRF Ltd</t>
  </si>
  <si>
    <t>INE647A01010</t>
  </si>
  <si>
    <t>Ashok Leyland Ltd</t>
  </si>
  <si>
    <t>INE208A01029</t>
  </si>
  <si>
    <t>Agricultural, Commercial &amp; Construction Vehicles</t>
  </si>
  <si>
    <t>UPL Ltd</t>
  </si>
  <si>
    <t>INE628A01036</t>
  </si>
  <si>
    <t>Fertilizers &amp; Agrochemicals</t>
  </si>
  <si>
    <t>Marico Ltd</t>
  </si>
  <si>
    <t>INE196A01026</t>
  </si>
  <si>
    <t>Ge Vernova T&amp;D India Ltd</t>
  </si>
  <si>
    <t>INE200A01026</t>
  </si>
  <si>
    <t>Polycab India Ltd</t>
  </si>
  <si>
    <t>INE455K01017</t>
  </si>
  <si>
    <t>Swiggy Ltd</t>
  </si>
  <si>
    <t>INE00H001014</t>
  </si>
  <si>
    <t>Tube Investments of India Ltd</t>
  </si>
  <si>
    <t>INE974X01010</t>
  </si>
  <si>
    <t>Muthoot Finance Ltd</t>
  </si>
  <si>
    <t>INE414G01012</t>
  </si>
  <si>
    <t>Bharat Forge Ltd</t>
  </si>
  <si>
    <t>INE465A01025</t>
  </si>
  <si>
    <t>FSN E-Commerce Ventures Ltd</t>
  </si>
  <si>
    <t>INE388Y01029</t>
  </si>
  <si>
    <t>Waaree Energies Ltd</t>
  </si>
  <si>
    <t>INE377N01017</t>
  </si>
  <si>
    <t>Vishal Mega Mart Ltd</t>
  </si>
  <si>
    <t>INE01EA01019</t>
  </si>
  <si>
    <t>GMR Airports Ltd</t>
  </si>
  <si>
    <t>INE776C01039</t>
  </si>
  <si>
    <t>Voltas Ltd</t>
  </si>
  <si>
    <t>INE226A01021</t>
  </si>
  <si>
    <t>Bharat Heavy Electricals Ltd</t>
  </si>
  <si>
    <t>INE257A01026</t>
  </si>
  <si>
    <t>APL Apollo Tubes Ltd</t>
  </si>
  <si>
    <t>INE702C01027</t>
  </si>
  <si>
    <t>Alkem Laboratories Ltd</t>
  </si>
  <si>
    <t>INE540L01014</t>
  </si>
  <si>
    <t>Sundaram Finance Ltd</t>
  </si>
  <si>
    <t>INE660A01013</t>
  </si>
  <si>
    <t>Aurobindo Pharma Ltd</t>
  </si>
  <si>
    <t>INE406A01037</t>
  </si>
  <si>
    <t>Mphasis Ltd</t>
  </si>
  <si>
    <t>INE356A01018</t>
  </si>
  <si>
    <t>MRF Ltd</t>
  </si>
  <si>
    <t>INE883A01011</t>
  </si>
  <si>
    <t>Godrej Properties Ltd</t>
  </si>
  <si>
    <t>INE484J01027</t>
  </si>
  <si>
    <t>Glenmark Pharmaceuticals Ltd</t>
  </si>
  <si>
    <t>INE935A01035</t>
  </si>
  <si>
    <t>Colgate Palmolive (India) Ltd</t>
  </si>
  <si>
    <t>INE259A01022</t>
  </si>
  <si>
    <t>Phoenix Mills Ltd</t>
  </si>
  <si>
    <t>INE211B01039</t>
  </si>
  <si>
    <t>Dabur India Ltd</t>
  </si>
  <si>
    <t>INE016A01026</t>
  </si>
  <si>
    <t>PI Industries Ltd</t>
  </si>
  <si>
    <t>INE603J01030</t>
  </si>
  <si>
    <t>Mankind Pharma Ltd</t>
  </si>
  <si>
    <t>INE634S01028</t>
  </si>
  <si>
    <t>NHPC Ltd</t>
  </si>
  <si>
    <t>INE848E01016</t>
  </si>
  <si>
    <t>Supreme Industries Ltd</t>
  </si>
  <si>
    <t>INE195A01028</t>
  </si>
  <si>
    <t>Union Bank Of India</t>
  </si>
  <si>
    <t>INE692A01016</t>
  </si>
  <si>
    <t>Coromandel International Ltd</t>
  </si>
  <si>
    <t>INE169A01031</t>
  </si>
  <si>
    <t>Indian Bank</t>
  </si>
  <si>
    <t>INE562A01011</t>
  </si>
  <si>
    <t>NMDC Ltd</t>
  </si>
  <si>
    <t>INE584A01023</t>
  </si>
  <si>
    <t>Minerals &amp; Mining</t>
  </si>
  <si>
    <t>J.K. Cement Ltd</t>
  </si>
  <si>
    <t>INE823G01014</t>
  </si>
  <si>
    <t>SBI Cards and Payment Services Ltd</t>
  </si>
  <si>
    <t>INE018E01016</t>
  </si>
  <si>
    <t>Page Industries Ltd</t>
  </si>
  <si>
    <t>INE761H01022</t>
  </si>
  <si>
    <t>Textiles &amp; Apparels</t>
  </si>
  <si>
    <t>Prestige Estates Projects Ltd</t>
  </si>
  <si>
    <t>INE811K01011</t>
  </si>
  <si>
    <t>KEI Industries Ltd</t>
  </si>
  <si>
    <t>INE878B01027</t>
  </si>
  <si>
    <t>Blue Star Ltd</t>
  </si>
  <si>
    <t>INE472A01039</t>
  </si>
  <si>
    <t>Jubilant Foodworks Ltd</t>
  </si>
  <si>
    <t>INE797F01020</t>
  </si>
  <si>
    <t>Jindal Stainless Ltd</t>
  </si>
  <si>
    <t>INE220G01021</t>
  </si>
  <si>
    <t>360 One Wam Ltd</t>
  </si>
  <si>
    <t>INE466L01038</t>
  </si>
  <si>
    <t>ICICI Prudential Life Insurance Co Ltd</t>
  </si>
  <si>
    <t>INE726G01019</t>
  </si>
  <si>
    <t>Uno Minda Ltd</t>
  </si>
  <si>
    <t>INE405E01023</t>
  </si>
  <si>
    <t>Torrent Power Ltd</t>
  </si>
  <si>
    <t>INE813H01021</t>
  </si>
  <si>
    <t>Hitachi Energy India Ltd</t>
  </si>
  <si>
    <t>INE07Y701011</t>
  </si>
  <si>
    <t>Oil India Ltd</t>
  </si>
  <si>
    <t>INE274J01014</t>
  </si>
  <si>
    <t>Vodafone Idea Ltd</t>
  </si>
  <si>
    <t>INE669E01016</t>
  </si>
  <si>
    <t>Aditya Birla Capital Ltd</t>
  </si>
  <si>
    <t>INE674K01013</t>
  </si>
  <si>
    <t>ITC Hotels Ltd</t>
  </si>
  <si>
    <t>INE379A01028</t>
  </si>
  <si>
    <t>Indian Railway Catering And Tourism Corporation Ltd</t>
  </si>
  <si>
    <t>INE335Y01020</t>
  </si>
  <si>
    <t>Petronet LNG Ltd</t>
  </si>
  <si>
    <t>INE347G01014</t>
  </si>
  <si>
    <t>Biocon Ltd</t>
  </si>
  <si>
    <t>INE376G01013</t>
  </si>
  <si>
    <t>L&amp;T Finance Ltd</t>
  </si>
  <si>
    <t>INE498L01015</t>
  </si>
  <si>
    <t>Oracle Financial Services Software Ltd</t>
  </si>
  <si>
    <t>INE881D01027</t>
  </si>
  <si>
    <t>Patanjali Foods Ltd</t>
  </si>
  <si>
    <t>INE619A01035</t>
  </si>
  <si>
    <t>Agricultural Food &amp; other Products</t>
  </si>
  <si>
    <t>Steel Authority of India Ltd</t>
  </si>
  <si>
    <t>INE114A01011</t>
  </si>
  <si>
    <t>Rail Vikas Nigam Ltd</t>
  </si>
  <si>
    <t>INE415G01027</t>
  </si>
  <si>
    <t>National Aluminium Co Ltd</t>
  </si>
  <si>
    <t>INE139A01034</t>
  </si>
  <si>
    <t>Tata Communications Ltd</t>
  </si>
  <si>
    <t>INE151A01013</t>
  </si>
  <si>
    <t>Oberoi Realty Ltd</t>
  </si>
  <si>
    <t>INE093I01010</t>
  </si>
  <si>
    <t>IPCA Laboratories Ltd</t>
  </si>
  <si>
    <t>INE571A01038</t>
  </si>
  <si>
    <t>Sona Blw Precision Forgings Ltd</t>
  </si>
  <si>
    <t>INE073K01018</t>
  </si>
  <si>
    <t>Balkrishna Industries Ltd</t>
  </si>
  <si>
    <t>INE787D01026</t>
  </si>
  <si>
    <t>Mahindra &amp; Mahindra Financial Services Ltd</t>
  </si>
  <si>
    <t>INE774D01024</t>
  </si>
  <si>
    <t>Tata Elxsi Ltd</t>
  </si>
  <si>
    <t>INE670A01012</t>
  </si>
  <si>
    <t>Container Corporation Of India Ltd</t>
  </si>
  <si>
    <t>INE111A01025</t>
  </si>
  <si>
    <t>KPIT Technologies Ltd</t>
  </si>
  <si>
    <t>INE04I401011</t>
  </si>
  <si>
    <t>Exide Industries Ltd</t>
  </si>
  <si>
    <t>INE302A01020</t>
  </si>
  <si>
    <t>Dalmia Bharat Ltd</t>
  </si>
  <si>
    <t>INE00R701025</t>
  </si>
  <si>
    <t>Kalyan Jewellers India Ltd</t>
  </si>
  <si>
    <t>INE303R01014</t>
  </si>
  <si>
    <t>Adani Total Gas Ltd</t>
  </si>
  <si>
    <t>INE399L01023</t>
  </si>
  <si>
    <t>LIC Housing Finance Ltd</t>
  </si>
  <si>
    <t>INE115A01026</t>
  </si>
  <si>
    <t>Schaeffler India Ltd</t>
  </si>
  <si>
    <t>INE513A01022</t>
  </si>
  <si>
    <t>Astral Ltd</t>
  </si>
  <si>
    <t>INE006I01046</t>
  </si>
  <si>
    <t>Lloyds Metals And Energy Ltd</t>
  </si>
  <si>
    <t>INE281B01032</t>
  </si>
  <si>
    <t>Nippon Life India Asset Management Ltd</t>
  </si>
  <si>
    <t>INE298J01013</t>
  </si>
  <si>
    <t>Apollo Tyres Ltd</t>
  </si>
  <si>
    <t>INE438A01022</t>
  </si>
  <si>
    <t>Abbott India Ltd</t>
  </si>
  <si>
    <t>INE358A01014</t>
  </si>
  <si>
    <t>Cochin Shipyard Ltd</t>
  </si>
  <si>
    <t>INE704P01025</t>
  </si>
  <si>
    <t>Gujarat Fluorochemicals Ltd</t>
  </si>
  <si>
    <t>INE09N301011</t>
  </si>
  <si>
    <t>Bank of India</t>
  </si>
  <si>
    <t>INE084A01016</t>
  </si>
  <si>
    <t>Berger Paints India Ltd</t>
  </si>
  <si>
    <t>INE463A01038</t>
  </si>
  <si>
    <t>Indraprastha Gas Ltd</t>
  </si>
  <si>
    <t>INE203G01027</t>
  </si>
  <si>
    <t>Apar Industries Ltd</t>
  </si>
  <si>
    <t>INE372A01015</t>
  </si>
  <si>
    <t>Motilal Oswal Financial Services Ltd</t>
  </si>
  <si>
    <t>INE338I01027</t>
  </si>
  <si>
    <t>Godfrey Phillips India Ltd</t>
  </si>
  <si>
    <t>INE260B01028</t>
  </si>
  <si>
    <t>Cigarettes &amp; Tobacco Products</t>
  </si>
  <si>
    <t>Bharat Dynamics Ltd</t>
  </si>
  <si>
    <t>INE171Z01026</t>
  </si>
  <si>
    <t>Tata Investment Corporation Ltd</t>
  </si>
  <si>
    <t>INE672A01018</t>
  </si>
  <si>
    <t>Procter &amp; Gamble Hygiene and Health Care Ltd</t>
  </si>
  <si>
    <t>INE179A01014</t>
  </si>
  <si>
    <t>Linde India Ltd</t>
  </si>
  <si>
    <t>INE473A01011</t>
  </si>
  <si>
    <t>United Breweries Ltd</t>
  </si>
  <si>
    <t>INE686F01025</t>
  </si>
  <si>
    <t>Deepak Nitrite Ltd</t>
  </si>
  <si>
    <t>INE288B01029</t>
  </si>
  <si>
    <t>Bharti Hexacom Ltd</t>
  </si>
  <si>
    <t>INE343G01021</t>
  </si>
  <si>
    <t>Thermax Ltd</t>
  </si>
  <si>
    <t>INE152A01029</t>
  </si>
  <si>
    <t>AIA Engineering Ltd</t>
  </si>
  <si>
    <t>INE212H01026</t>
  </si>
  <si>
    <t>K.P.R. Mill Ltd</t>
  </si>
  <si>
    <t>INE930H01031</t>
  </si>
  <si>
    <t>Indian Renewable Energy Development Agency Ltd</t>
  </si>
  <si>
    <t>INE202E01016</t>
  </si>
  <si>
    <t>Syngene International Ltd</t>
  </si>
  <si>
    <t>INE398R01022</t>
  </si>
  <si>
    <t>Premier Energies Ltd</t>
  </si>
  <si>
    <t>INE0BS701011</t>
  </si>
  <si>
    <t>Tata Technologies Ltd</t>
  </si>
  <si>
    <t>INE142M01025</t>
  </si>
  <si>
    <t>IT - Services</t>
  </si>
  <si>
    <t>Escorts Kubota Ltd</t>
  </si>
  <si>
    <t>INE042A01014</t>
  </si>
  <si>
    <t>ACC Ltd</t>
  </si>
  <si>
    <t>INE012A01025</t>
  </si>
  <si>
    <t>General Insurance Corporation Of India</t>
  </si>
  <si>
    <t>INE481Y01014</t>
  </si>
  <si>
    <t>L&amp;T Technology Services Ltd</t>
  </si>
  <si>
    <t>INE010V01017</t>
  </si>
  <si>
    <t>Housing &amp; Urban Development Corporation Ltd</t>
  </si>
  <si>
    <t>INE031A01017</t>
  </si>
  <si>
    <t>Global Health Ltd</t>
  </si>
  <si>
    <t>INE474Q01031</t>
  </si>
  <si>
    <t>Glaxosmithkline Pharmaceuticals Ltd</t>
  </si>
  <si>
    <t>INE159A01016</t>
  </si>
  <si>
    <t>CRISIL Ltd</t>
  </si>
  <si>
    <t>INE007A01025</t>
  </si>
  <si>
    <t>JSW Infrastructure Ltd</t>
  </si>
  <si>
    <t>INE880J01026</t>
  </si>
  <si>
    <t>Ajanta Pharma Ltd</t>
  </si>
  <si>
    <t>INE031B01049</t>
  </si>
  <si>
    <t>Endurance Technologies Ltd</t>
  </si>
  <si>
    <t>INE913H01037</t>
  </si>
  <si>
    <t>NLC India Ltd</t>
  </si>
  <si>
    <t>INE589A01014</t>
  </si>
  <si>
    <t>NTPC Green Energy Ltd</t>
  </si>
  <si>
    <t>INE0ONG01011</t>
  </si>
  <si>
    <t>Hexaware Technologies Ltd</t>
  </si>
  <si>
    <t>INE093A01041</t>
  </si>
  <si>
    <t>Bank Of Maharashtra</t>
  </si>
  <si>
    <t>INE457A01014</t>
  </si>
  <si>
    <t>Awl Agri Business Ltd</t>
  </si>
  <si>
    <t>INE699H01024</t>
  </si>
  <si>
    <t>3M India Ltd</t>
  </si>
  <si>
    <t>INE470A01017</t>
  </si>
  <si>
    <t>Diversified</t>
  </si>
  <si>
    <t>IRB Infrastructure Developers Ltd</t>
  </si>
  <si>
    <t>INE821I01022</t>
  </si>
  <si>
    <t>Honeywell Automation India Ltd</t>
  </si>
  <si>
    <t>INE671A01010</t>
  </si>
  <si>
    <t>Gujarat Gas Ltd</t>
  </si>
  <si>
    <t>INE844O01030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</si>
  <si>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</si>
  <si>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</si>
  <si>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</si>
  <si>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</si>
  <si>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</si>
  <si>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</si>
  <si>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IDBI Bank Ltd</t>
  </si>
  <si>
    <t>INE008A01015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</si>
  <si>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</si>
  <si>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</si>
  <si>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</si>
  <si>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</si>
  <si>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</si>
  <si>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</si>
  <si>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Benchmark Risk-O-Meter</t>
  </si>
  <si>
    <t>Benchmark Name - NIFTY Midcap 150 Index (TRI)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</si>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</sst>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209550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0BCDF-3212-4234-B860-CEF0824B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3935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114300</xdr:colOff>
      <xdr:row>202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84B04C-688C-427D-955D-D37C5409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6927175"/>
          <a:ext cx="3571875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F546-77CD-442D-8477-BE11E4910B31}">
  <dimension ref="A1:I287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.5703125" style="8" bestFit="1" customWidth="1"/>
    <col min="4" max="4" width="35.42578125" style="8" bestFit="1" customWidth="1"/>
    <col min="5" max="5" width="15.42578125" style="9" bestFit="1" customWidth="1"/>
    <col min="6" max="6" width="14.85546875" style="11" bestFit="1" customWidth="1"/>
    <col min="7" max="7" width="7.28515625" style="14" bestFit="1" customWidth="1"/>
    <col min="8" max="8" width="14" style="8" bestFit="1" customWidth="1"/>
    <col min="9" max="16384" width="9.140625" style="8"/>
  </cols>
  <sheetData>
    <row r="1" spans="1:9" s="1" customFormat="1" ht="16.899999999999999" customHeight="1" x14ac:dyDescent="0.2">
      <c r="B1" s="52" t="s">
        <v>6</v>
      </c>
      <c r="C1" s="53"/>
      <c r="D1" s="13"/>
      <c r="E1" s="6"/>
      <c r="F1" s="7"/>
      <c r="G1" s="14"/>
    </row>
    <row r="2" spans="1:9" s="1" customFormat="1" ht="15" x14ac:dyDescent="0.25">
      <c r="A2" s="48" t="str">
        <f>HYPERLINK("[Monthly-Portfolio-ISIN-30-Sep-2025.xls]index!A1","")</f>
        <v/>
      </c>
      <c r="E2" s="6"/>
      <c r="F2" s="7"/>
      <c r="G2" s="14"/>
    </row>
    <row r="3" spans="1:9" s="1" customFormat="1" ht="12" x14ac:dyDescent="0.2">
      <c r="B3" s="10" t="s">
        <v>361</v>
      </c>
      <c r="C3" s="2"/>
      <c r="D3" s="3"/>
      <c r="E3" s="4"/>
      <c r="F3" s="5"/>
      <c r="G3" s="14"/>
    </row>
    <row r="4" spans="1:9" s="1" customFormat="1" ht="25.5" customHeight="1" x14ac:dyDescent="0.2">
      <c r="B4" s="17" t="s">
        <v>4</v>
      </c>
      <c r="C4" s="17" t="s">
        <v>5</v>
      </c>
      <c r="D4" s="18" t="s">
        <v>38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x14ac:dyDescent="0.2">
      <c r="B5" s="22" t="s">
        <v>14</v>
      </c>
      <c r="C5" s="23"/>
      <c r="D5" s="23"/>
      <c r="E5" s="24"/>
      <c r="F5" s="25"/>
      <c r="G5" s="26"/>
      <c r="H5" s="23"/>
    </row>
    <row r="6" spans="1:9" x14ac:dyDescent="0.2">
      <c r="B6" s="22" t="s">
        <v>13</v>
      </c>
      <c r="C6" s="23"/>
      <c r="D6" s="23"/>
      <c r="E6" s="24"/>
      <c r="F6" s="25"/>
      <c r="G6" s="26"/>
      <c r="H6" s="23"/>
    </row>
    <row r="7" spans="1:9" x14ac:dyDescent="0.2">
      <c r="B7" s="23" t="s">
        <v>48</v>
      </c>
      <c r="C7" s="23" t="s">
        <v>49</v>
      </c>
      <c r="D7" s="23" t="s">
        <v>50</v>
      </c>
      <c r="E7" s="27">
        <v>13001</v>
      </c>
      <c r="F7" s="25">
        <v>265.24640199999999</v>
      </c>
      <c r="G7" s="26">
        <v>2.3282736861319799</v>
      </c>
      <c r="H7" s="23"/>
    </row>
    <row r="8" spans="1:9" x14ac:dyDescent="0.2">
      <c r="B8" s="23" t="s">
        <v>51</v>
      </c>
      <c r="C8" s="23" t="s">
        <v>52</v>
      </c>
      <c r="D8" s="23" t="s">
        <v>20</v>
      </c>
      <c r="E8" s="27">
        <v>4132</v>
      </c>
      <c r="F8" s="25">
        <v>226.12370000000001</v>
      </c>
      <c r="G8" s="26">
        <v>1.98486334423794</v>
      </c>
      <c r="H8" s="23"/>
    </row>
    <row r="9" spans="1:9" x14ac:dyDescent="0.2">
      <c r="B9" s="23" t="s">
        <v>53</v>
      </c>
      <c r="C9" s="23" t="s">
        <v>54</v>
      </c>
      <c r="D9" s="23" t="s">
        <v>28</v>
      </c>
      <c r="E9" s="27">
        <v>1305</v>
      </c>
      <c r="F9" s="25">
        <v>213.00210000000001</v>
      </c>
      <c r="G9" s="26">
        <v>1.86968486954576</v>
      </c>
      <c r="H9" s="23"/>
    </row>
    <row r="10" spans="1:9" x14ac:dyDescent="0.2">
      <c r="B10" s="23" t="s">
        <v>55</v>
      </c>
      <c r="C10" s="23" t="s">
        <v>56</v>
      </c>
      <c r="D10" s="23" t="s">
        <v>41</v>
      </c>
      <c r="E10" s="27">
        <v>386143</v>
      </c>
      <c r="F10" s="25">
        <v>212.5717215</v>
      </c>
      <c r="G10" s="26">
        <v>1.8659071031780701</v>
      </c>
      <c r="H10" s="23"/>
    </row>
    <row r="11" spans="1:9" x14ac:dyDescent="0.2">
      <c r="B11" s="23" t="s">
        <v>57</v>
      </c>
      <c r="C11" s="23" t="s">
        <v>58</v>
      </c>
      <c r="D11" s="23" t="s">
        <v>59</v>
      </c>
      <c r="E11" s="27">
        <v>10736</v>
      </c>
      <c r="F11" s="25">
        <v>182.72672</v>
      </c>
      <c r="G11" s="26">
        <v>1.60393434452395</v>
      </c>
      <c r="H11" s="23"/>
    </row>
    <row r="12" spans="1:9" x14ac:dyDescent="0.2">
      <c r="B12" s="23" t="s">
        <v>60</v>
      </c>
      <c r="C12" s="23" t="s">
        <v>61</v>
      </c>
      <c r="D12" s="23" t="s">
        <v>50</v>
      </c>
      <c r="E12" s="27">
        <v>3236</v>
      </c>
      <c r="F12" s="25">
        <v>179.0317</v>
      </c>
      <c r="G12" s="26">
        <v>1.57150028407727</v>
      </c>
      <c r="H12" s="23"/>
    </row>
    <row r="13" spans="1:9" x14ac:dyDescent="0.2">
      <c r="B13" s="23" t="s">
        <v>62</v>
      </c>
      <c r="C13" s="23" t="s">
        <v>63</v>
      </c>
      <c r="D13" s="23" t="s">
        <v>17</v>
      </c>
      <c r="E13" s="27">
        <v>10642</v>
      </c>
      <c r="F13" s="25">
        <v>169.31422000000001</v>
      </c>
      <c r="G13" s="26">
        <v>1.48620241459095</v>
      </c>
      <c r="H13" s="23"/>
    </row>
    <row r="14" spans="1:9" x14ac:dyDescent="0.2">
      <c r="B14" s="23" t="s">
        <v>64</v>
      </c>
      <c r="C14" s="23" t="s">
        <v>65</v>
      </c>
      <c r="D14" s="23" t="s">
        <v>66</v>
      </c>
      <c r="E14" s="27">
        <v>4302</v>
      </c>
      <c r="F14" s="25">
        <v>168.91802999999999</v>
      </c>
      <c r="G14" s="26">
        <v>1.4827247472418199</v>
      </c>
      <c r="H14" s="23"/>
    </row>
    <row r="15" spans="1:9" x14ac:dyDescent="0.2">
      <c r="B15" s="23" t="s">
        <v>67</v>
      </c>
      <c r="C15" s="23" t="s">
        <v>68</v>
      </c>
      <c r="D15" s="23" t="s">
        <v>17</v>
      </c>
      <c r="E15" s="27">
        <v>3416</v>
      </c>
      <c r="F15" s="25">
        <v>164.73660000000001</v>
      </c>
      <c r="G15" s="26">
        <v>1.44602108843252</v>
      </c>
      <c r="H15" s="23"/>
    </row>
    <row r="16" spans="1:9" x14ac:dyDescent="0.2">
      <c r="B16" s="23" t="s">
        <v>69</v>
      </c>
      <c r="C16" s="23" t="s">
        <v>70</v>
      </c>
      <c r="D16" s="23" t="s">
        <v>33</v>
      </c>
      <c r="E16" s="27">
        <v>16590</v>
      </c>
      <c r="F16" s="25">
        <v>160.88981999999999</v>
      </c>
      <c r="G16" s="26">
        <v>1.4122549125944801</v>
      </c>
      <c r="H16" s="23"/>
    </row>
    <row r="17" spans="2:8" x14ac:dyDescent="0.2">
      <c r="B17" s="23" t="s">
        <v>71</v>
      </c>
      <c r="C17" s="23" t="s">
        <v>72</v>
      </c>
      <c r="D17" s="23" t="s">
        <v>15</v>
      </c>
      <c r="E17" s="27">
        <v>20967</v>
      </c>
      <c r="F17" s="25">
        <v>154.2227685</v>
      </c>
      <c r="G17" s="26">
        <v>1.35373302330779</v>
      </c>
      <c r="H17" s="23"/>
    </row>
    <row r="18" spans="2:8" x14ac:dyDescent="0.2">
      <c r="B18" s="23" t="s">
        <v>73</v>
      </c>
      <c r="C18" s="23" t="s">
        <v>74</v>
      </c>
      <c r="D18" s="23" t="s">
        <v>15</v>
      </c>
      <c r="E18" s="27">
        <v>78253</v>
      </c>
      <c r="F18" s="25">
        <v>150.9735129</v>
      </c>
      <c r="G18" s="26">
        <v>1.3252117832232699</v>
      </c>
      <c r="H18" s="23"/>
    </row>
    <row r="19" spans="2:8" x14ac:dyDescent="0.2">
      <c r="B19" s="23" t="s">
        <v>75</v>
      </c>
      <c r="C19" s="23" t="s">
        <v>76</v>
      </c>
      <c r="D19" s="23" t="s">
        <v>23</v>
      </c>
      <c r="E19" s="27">
        <v>7702</v>
      </c>
      <c r="F19" s="25">
        <v>147.208326</v>
      </c>
      <c r="G19" s="26">
        <v>1.2921618133969599</v>
      </c>
      <c r="H19" s="23"/>
    </row>
    <row r="20" spans="2:8" x14ac:dyDescent="0.2">
      <c r="B20" s="23" t="s">
        <v>77</v>
      </c>
      <c r="C20" s="23" t="s">
        <v>78</v>
      </c>
      <c r="D20" s="23" t="s">
        <v>15</v>
      </c>
      <c r="E20" s="27">
        <v>210536</v>
      </c>
      <c r="F20" s="25">
        <v>146.89096720000001</v>
      </c>
      <c r="G20" s="26">
        <v>1.2893761087180899</v>
      </c>
      <c r="H20" s="23"/>
    </row>
    <row r="21" spans="2:8" x14ac:dyDescent="0.2">
      <c r="B21" s="23" t="s">
        <v>79</v>
      </c>
      <c r="C21" s="23" t="s">
        <v>80</v>
      </c>
      <c r="D21" s="23" t="s">
        <v>18</v>
      </c>
      <c r="E21" s="27">
        <v>42077</v>
      </c>
      <c r="F21" s="25">
        <v>144.28203300000001</v>
      </c>
      <c r="G21" s="26">
        <v>1.2664754668963401</v>
      </c>
      <c r="H21" s="23"/>
    </row>
    <row r="22" spans="2:8" x14ac:dyDescent="0.2">
      <c r="B22" s="23" t="s">
        <v>81</v>
      </c>
      <c r="C22" s="23" t="s">
        <v>82</v>
      </c>
      <c r="D22" s="23" t="s">
        <v>16</v>
      </c>
      <c r="E22" s="27">
        <v>30573</v>
      </c>
      <c r="F22" s="25">
        <v>135.56068200000001</v>
      </c>
      <c r="G22" s="26">
        <v>1.18992139533227</v>
      </c>
      <c r="H22" s="23"/>
    </row>
    <row r="23" spans="2:8" x14ac:dyDescent="0.2">
      <c r="B23" s="23" t="s">
        <v>83</v>
      </c>
      <c r="C23" s="23" t="s">
        <v>84</v>
      </c>
      <c r="D23" s="23" t="s">
        <v>15</v>
      </c>
      <c r="E23" s="27">
        <v>626938</v>
      </c>
      <c r="F23" s="25">
        <v>133.22432499999999</v>
      </c>
      <c r="G23" s="26">
        <v>1.1694133753045</v>
      </c>
      <c r="H23" s="23"/>
    </row>
    <row r="24" spans="2:8" x14ac:dyDescent="0.2">
      <c r="B24" s="23" t="s">
        <v>85</v>
      </c>
      <c r="C24" s="23" t="s">
        <v>86</v>
      </c>
      <c r="D24" s="23" t="s">
        <v>34</v>
      </c>
      <c r="E24" s="27">
        <v>8389</v>
      </c>
      <c r="F24" s="25">
        <v>132.20225099999999</v>
      </c>
      <c r="G24" s="26">
        <v>1.1604418379658701</v>
      </c>
      <c r="H24" s="23"/>
    </row>
    <row r="25" spans="2:8" x14ac:dyDescent="0.2">
      <c r="B25" s="23" t="s">
        <v>87</v>
      </c>
      <c r="C25" s="23" t="s">
        <v>88</v>
      </c>
      <c r="D25" s="23" t="s">
        <v>59</v>
      </c>
      <c r="E25" s="27">
        <v>11696</v>
      </c>
      <c r="F25" s="25">
        <v>131.43964800000001</v>
      </c>
      <c r="G25" s="26">
        <v>1.1537478791242901</v>
      </c>
      <c r="H25" s="23"/>
    </row>
    <row r="26" spans="2:8" x14ac:dyDescent="0.2">
      <c r="B26" s="23" t="s">
        <v>89</v>
      </c>
      <c r="C26" s="23" t="s">
        <v>90</v>
      </c>
      <c r="D26" s="23" t="s">
        <v>15</v>
      </c>
      <c r="E26" s="27">
        <v>17916</v>
      </c>
      <c r="F26" s="25">
        <v>131.03762399999999</v>
      </c>
      <c r="G26" s="26">
        <v>1.15021900222592</v>
      </c>
      <c r="H26" s="23"/>
    </row>
    <row r="27" spans="2:8" x14ac:dyDescent="0.2">
      <c r="B27" s="23" t="s">
        <v>91</v>
      </c>
      <c r="C27" s="23" t="s">
        <v>92</v>
      </c>
      <c r="D27" s="23" t="s">
        <v>46</v>
      </c>
      <c r="E27" s="27">
        <v>4621</v>
      </c>
      <c r="F27" s="25">
        <v>130.478556</v>
      </c>
      <c r="G27" s="26">
        <v>1.14531162816413</v>
      </c>
      <c r="H27" s="23"/>
    </row>
    <row r="28" spans="2:8" x14ac:dyDescent="0.2">
      <c r="B28" s="23" t="s">
        <v>93</v>
      </c>
      <c r="C28" s="23" t="s">
        <v>94</v>
      </c>
      <c r="D28" s="23" t="s">
        <v>95</v>
      </c>
      <c r="E28" s="27">
        <v>91086</v>
      </c>
      <c r="F28" s="25">
        <v>129.95239620000001</v>
      </c>
      <c r="G28" s="26">
        <v>1.1406931149334001</v>
      </c>
      <c r="H28" s="23"/>
    </row>
    <row r="29" spans="2:8" x14ac:dyDescent="0.2">
      <c r="B29" s="23" t="s">
        <v>96</v>
      </c>
      <c r="C29" s="23" t="s">
        <v>97</v>
      </c>
      <c r="D29" s="23" t="s">
        <v>98</v>
      </c>
      <c r="E29" s="27">
        <v>18100</v>
      </c>
      <c r="F29" s="25">
        <v>118.6998</v>
      </c>
      <c r="G29" s="26">
        <v>1.0419203382413</v>
      </c>
      <c r="H29" s="23"/>
    </row>
    <row r="30" spans="2:8" x14ac:dyDescent="0.2">
      <c r="B30" s="23" t="s">
        <v>99</v>
      </c>
      <c r="C30" s="23" t="s">
        <v>100</v>
      </c>
      <c r="D30" s="23" t="s">
        <v>35</v>
      </c>
      <c r="E30" s="27">
        <v>16849</v>
      </c>
      <c r="F30" s="25">
        <v>117.504926</v>
      </c>
      <c r="G30" s="26">
        <v>1.0314320010896301</v>
      </c>
      <c r="H30" s="23"/>
    </row>
    <row r="31" spans="2:8" x14ac:dyDescent="0.2">
      <c r="B31" s="23" t="s">
        <v>101</v>
      </c>
      <c r="C31" s="23" t="s">
        <v>102</v>
      </c>
      <c r="D31" s="23" t="s">
        <v>41</v>
      </c>
      <c r="E31" s="27">
        <v>3947</v>
      </c>
      <c r="F31" s="25">
        <v>116.85093500000001</v>
      </c>
      <c r="G31" s="26">
        <v>1.02569141413054</v>
      </c>
      <c r="H31" s="23"/>
    </row>
    <row r="32" spans="2:8" x14ac:dyDescent="0.2">
      <c r="B32" s="23" t="s">
        <v>103</v>
      </c>
      <c r="C32" s="23" t="s">
        <v>104</v>
      </c>
      <c r="D32" s="23" t="s">
        <v>66</v>
      </c>
      <c r="E32" s="27">
        <v>1600</v>
      </c>
      <c r="F32" s="25">
        <v>116.57599999999999</v>
      </c>
      <c r="G32" s="26">
        <v>1.0232780960946699</v>
      </c>
      <c r="H32" s="23"/>
    </row>
    <row r="33" spans="2:8" x14ac:dyDescent="0.2">
      <c r="B33" s="23" t="s">
        <v>105</v>
      </c>
      <c r="C33" s="23" t="s">
        <v>106</v>
      </c>
      <c r="D33" s="23" t="s">
        <v>22</v>
      </c>
      <c r="E33" s="27">
        <v>27048</v>
      </c>
      <c r="F33" s="25">
        <v>114.39951600000001</v>
      </c>
      <c r="G33" s="26">
        <v>1.00417340556059</v>
      </c>
      <c r="H33" s="23"/>
    </row>
    <row r="34" spans="2:8" x14ac:dyDescent="0.2">
      <c r="B34" s="23" t="s">
        <v>107</v>
      </c>
      <c r="C34" s="23" t="s">
        <v>108</v>
      </c>
      <c r="D34" s="23" t="s">
        <v>44</v>
      </c>
      <c r="E34" s="27">
        <v>3399</v>
      </c>
      <c r="F34" s="25">
        <v>105.256833</v>
      </c>
      <c r="G34" s="26">
        <v>0.92392097578570698</v>
      </c>
      <c r="H34" s="23"/>
    </row>
    <row r="35" spans="2:8" x14ac:dyDescent="0.2">
      <c r="B35" s="23" t="s">
        <v>109</v>
      </c>
      <c r="C35" s="23" t="s">
        <v>110</v>
      </c>
      <c r="D35" s="23" t="s">
        <v>21</v>
      </c>
      <c r="E35" s="27">
        <v>3414</v>
      </c>
      <c r="F35" s="25">
        <v>105.052194</v>
      </c>
      <c r="G35" s="26">
        <v>0.92212470034044602</v>
      </c>
      <c r="H35" s="23"/>
    </row>
    <row r="36" spans="2:8" x14ac:dyDescent="0.2">
      <c r="B36" s="23" t="s">
        <v>111</v>
      </c>
      <c r="C36" s="23" t="s">
        <v>112</v>
      </c>
      <c r="D36" s="23" t="s">
        <v>44</v>
      </c>
      <c r="E36" s="27">
        <v>8488</v>
      </c>
      <c r="F36" s="25">
        <v>102.908512</v>
      </c>
      <c r="G36" s="26">
        <v>0.90330793843754698</v>
      </c>
      <c r="H36" s="23"/>
    </row>
    <row r="37" spans="2:8" x14ac:dyDescent="0.2">
      <c r="B37" s="23" t="s">
        <v>113</v>
      </c>
      <c r="C37" s="23" t="s">
        <v>114</v>
      </c>
      <c r="D37" s="23" t="s">
        <v>22</v>
      </c>
      <c r="E37" s="27">
        <v>43447</v>
      </c>
      <c r="F37" s="25">
        <v>100.9621386</v>
      </c>
      <c r="G37" s="26">
        <v>0.88622310736561705</v>
      </c>
      <c r="H37" s="23"/>
    </row>
    <row r="38" spans="2:8" x14ac:dyDescent="0.2">
      <c r="B38" s="23" t="s">
        <v>115</v>
      </c>
      <c r="C38" s="23" t="s">
        <v>116</v>
      </c>
      <c r="D38" s="23" t="s">
        <v>41</v>
      </c>
      <c r="E38" s="27">
        <v>3017</v>
      </c>
      <c r="F38" s="25">
        <v>100.417828</v>
      </c>
      <c r="G38" s="26">
        <v>0.88144527046563603</v>
      </c>
      <c r="H38" s="23"/>
    </row>
    <row r="39" spans="2:8" x14ac:dyDescent="0.2">
      <c r="B39" s="23" t="s">
        <v>117</v>
      </c>
      <c r="C39" s="23" t="s">
        <v>118</v>
      </c>
      <c r="D39" s="23" t="s">
        <v>22</v>
      </c>
      <c r="E39" s="27">
        <v>66717</v>
      </c>
      <c r="F39" s="25">
        <v>99.415001700000005</v>
      </c>
      <c r="G39" s="26">
        <v>0.87264268513951704</v>
      </c>
      <c r="H39" s="23"/>
    </row>
    <row r="40" spans="2:8" x14ac:dyDescent="0.2">
      <c r="B40" s="23" t="s">
        <v>119</v>
      </c>
      <c r="C40" s="23" t="s">
        <v>120</v>
      </c>
      <c r="D40" s="23" t="s">
        <v>31</v>
      </c>
      <c r="E40" s="27">
        <v>113591</v>
      </c>
      <c r="F40" s="25">
        <v>99.051351999999994</v>
      </c>
      <c r="G40" s="26">
        <v>0.86945064927740601</v>
      </c>
      <c r="H40" s="23"/>
    </row>
    <row r="41" spans="2:8" x14ac:dyDescent="0.2">
      <c r="B41" s="23" t="s">
        <v>121</v>
      </c>
      <c r="C41" s="23" t="s">
        <v>122</v>
      </c>
      <c r="D41" s="23" t="s">
        <v>28</v>
      </c>
      <c r="E41" s="27">
        <v>7248</v>
      </c>
      <c r="F41" s="25">
        <v>98.101680000000002</v>
      </c>
      <c r="G41" s="26">
        <v>0.86111464052711095</v>
      </c>
      <c r="H41" s="23"/>
    </row>
    <row r="42" spans="2:8" x14ac:dyDescent="0.2">
      <c r="B42" s="23" t="s">
        <v>123</v>
      </c>
      <c r="C42" s="23" t="s">
        <v>124</v>
      </c>
      <c r="D42" s="23" t="s">
        <v>41</v>
      </c>
      <c r="E42" s="27">
        <v>40910</v>
      </c>
      <c r="F42" s="25">
        <v>97.549895000000006</v>
      </c>
      <c r="G42" s="26">
        <v>0.85627119501299498</v>
      </c>
      <c r="H42" s="23"/>
    </row>
    <row r="43" spans="2:8" x14ac:dyDescent="0.2">
      <c r="B43" s="23" t="s">
        <v>125</v>
      </c>
      <c r="C43" s="23" t="s">
        <v>126</v>
      </c>
      <c r="D43" s="23" t="s">
        <v>66</v>
      </c>
      <c r="E43" s="27">
        <v>5774</v>
      </c>
      <c r="F43" s="25">
        <v>97.355413999999996</v>
      </c>
      <c r="G43" s="26">
        <v>0.85456408422341101</v>
      </c>
      <c r="H43" s="23"/>
    </row>
    <row r="44" spans="2:8" x14ac:dyDescent="0.2">
      <c r="B44" s="23" t="s">
        <v>127</v>
      </c>
      <c r="C44" s="23" t="s">
        <v>128</v>
      </c>
      <c r="D44" s="23" t="s">
        <v>23</v>
      </c>
      <c r="E44" s="27">
        <v>1793</v>
      </c>
      <c r="F44" s="25">
        <v>97.270250000000004</v>
      </c>
      <c r="G44" s="26">
        <v>0.85381653364888599</v>
      </c>
      <c r="H44" s="23"/>
    </row>
    <row r="45" spans="2:8" x14ac:dyDescent="0.2">
      <c r="B45" s="23" t="s">
        <v>129</v>
      </c>
      <c r="C45" s="23" t="s">
        <v>130</v>
      </c>
      <c r="D45" s="23" t="s">
        <v>21</v>
      </c>
      <c r="E45" s="27">
        <v>2192</v>
      </c>
      <c r="F45" s="25">
        <v>96.70008</v>
      </c>
      <c r="G45" s="26">
        <v>0.84881170871021705</v>
      </c>
      <c r="H45" s="23"/>
    </row>
    <row r="46" spans="2:8" x14ac:dyDescent="0.2">
      <c r="B46" s="23" t="s">
        <v>131</v>
      </c>
      <c r="C46" s="23" t="s">
        <v>132</v>
      </c>
      <c r="D46" s="23" t="s">
        <v>23</v>
      </c>
      <c r="E46" s="27">
        <v>8903</v>
      </c>
      <c r="F46" s="25">
        <v>96.499617000000001</v>
      </c>
      <c r="G46" s="26">
        <v>0.84705208926043796</v>
      </c>
      <c r="H46" s="23"/>
    </row>
    <row r="47" spans="2:8" x14ac:dyDescent="0.2">
      <c r="B47" s="23" t="s">
        <v>133</v>
      </c>
      <c r="C47" s="23" t="s">
        <v>134</v>
      </c>
      <c r="D47" s="23" t="s">
        <v>17</v>
      </c>
      <c r="E47" s="27">
        <v>3625</v>
      </c>
      <c r="F47" s="25">
        <v>96.236500000000007</v>
      </c>
      <c r="G47" s="26">
        <v>0.844742506989558</v>
      </c>
      <c r="H47" s="23"/>
    </row>
    <row r="48" spans="2:8" x14ac:dyDescent="0.2">
      <c r="B48" s="23" t="s">
        <v>135</v>
      </c>
      <c r="C48" s="23" t="s">
        <v>136</v>
      </c>
      <c r="D48" s="23" t="s">
        <v>44</v>
      </c>
      <c r="E48" s="27">
        <v>65</v>
      </c>
      <c r="F48" s="25">
        <v>94.783000000000001</v>
      </c>
      <c r="G48" s="26">
        <v>0.83198400856214905</v>
      </c>
      <c r="H48" s="23"/>
    </row>
    <row r="49" spans="2:8" x14ac:dyDescent="0.2">
      <c r="B49" s="23" t="s">
        <v>137</v>
      </c>
      <c r="C49" s="23" t="s">
        <v>138</v>
      </c>
      <c r="D49" s="23" t="s">
        <v>45</v>
      </c>
      <c r="E49" s="27">
        <v>4783</v>
      </c>
      <c r="F49" s="25">
        <v>94.167704000000001</v>
      </c>
      <c r="G49" s="26">
        <v>0.82658307767230299</v>
      </c>
      <c r="H49" s="23"/>
    </row>
    <row r="50" spans="2:8" x14ac:dyDescent="0.2">
      <c r="B50" s="23" t="s">
        <v>139</v>
      </c>
      <c r="C50" s="23" t="s">
        <v>140</v>
      </c>
      <c r="D50" s="23" t="s">
        <v>23</v>
      </c>
      <c r="E50" s="27">
        <v>4794</v>
      </c>
      <c r="F50" s="25">
        <v>93.612437999999997</v>
      </c>
      <c r="G50" s="26">
        <v>0.82170907671750903</v>
      </c>
      <c r="H50" s="23"/>
    </row>
    <row r="51" spans="2:8" x14ac:dyDescent="0.2">
      <c r="B51" s="23" t="s">
        <v>141</v>
      </c>
      <c r="C51" s="23" t="s">
        <v>142</v>
      </c>
      <c r="D51" s="23" t="s">
        <v>43</v>
      </c>
      <c r="E51" s="27">
        <v>4193</v>
      </c>
      <c r="F51" s="25">
        <v>93.185231999999999</v>
      </c>
      <c r="G51" s="26">
        <v>0.81795915784638396</v>
      </c>
      <c r="H51" s="23"/>
    </row>
    <row r="52" spans="2:8" x14ac:dyDescent="0.2">
      <c r="B52" s="23" t="s">
        <v>143</v>
      </c>
      <c r="C52" s="23" t="s">
        <v>144</v>
      </c>
      <c r="D52" s="23" t="s">
        <v>45</v>
      </c>
      <c r="E52" s="27">
        <v>5939</v>
      </c>
      <c r="F52" s="25">
        <v>92.381145000000004</v>
      </c>
      <c r="G52" s="26">
        <v>0.81090106171635301</v>
      </c>
      <c r="H52" s="23"/>
    </row>
    <row r="53" spans="2:8" x14ac:dyDescent="0.2">
      <c r="B53" s="23" t="s">
        <v>145</v>
      </c>
      <c r="C53" s="23" t="s">
        <v>146</v>
      </c>
      <c r="D53" s="23" t="s">
        <v>43</v>
      </c>
      <c r="E53" s="27">
        <v>18771</v>
      </c>
      <c r="F53" s="25">
        <v>92.221923000000004</v>
      </c>
      <c r="G53" s="26">
        <v>0.80950344655528805</v>
      </c>
      <c r="H53" s="23"/>
    </row>
    <row r="54" spans="2:8" x14ac:dyDescent="0.2">
      <c r="B54" s="23" t="s">
        <v>147</v>
      </c>
      <c r="C54" s="23" t="s">
        <v>148</v>
      </c>
      <c r="D54" s="23" t="s">
        <v>98</v>
      </c>
      <c r="E54" s="27">
        <v>2579</v>
      </c>
      <c r="F54" s="25">
        <v>90.613164999999995</v>
      </c>
      <c r="G54" s="26">
        <v>0.79538212807363595</v>
      </c>
      <c r="H54" s="23"/>
    </row>
    <row r="55" spans="2:8" x14ac:dyDescent="0.2">
      <c r="B55" s="23" t="s">
        <v>149</v>
      </c>
      <c r="C55" s="23" t="s">
        <v>150</v>
      </c>
      <c r="D55" s="23" t="s">
        <v>23</v>
      </c>
      <c r="E55" s="27">
        <v>3600</v>
      </c>
      <c r="F55" s="25">
        <v>87.685199999999995</v>
      </c>
      <c r="G55" s="26">
        <v>0.76968110513039001</v>
      </c>
      <c r="H55" s="23"/>
    </row>
    <row r="56" spans="2:8" x14ac:dyDescent="0.2">
      <c r="B56" s="23" t="s">
        <v>151</v>
      </c>
      <c r="C56" s="23" t="s">
        <v>152</v>
      </c>
      <c r="D56" s="23" t="s">
        <v>24</v>
      </c>
      <c r="E56" s="27">
        <v>100717</v>
      </c>
      <c r="F56" s="25">
        <v>86.938914400000002</v>
      </c>
      <c r="G56" s="26">
        <v>0.76313037678226603</v>
      </c>
      <c r="H56" s="23"/>
    </row>
    <row r="57" spans="2:8" x14ac:dyDescent="0.2">
      <c r="B57" s="23" t="s">
        <v>153</v>
      </c>
      <c r="C57" s="23" t="s">
        <v>154</v>
      </c>
      <c r="D57" s="23" t="s">
        <v>66</v>
      </c>
      <c r="E57" s="27">
        <v>2055</v>
      </c>
      <c r="F57" s="25">
        <v>86.712779999999995</v>
      </c>
      <c r="G57" s="26">
        <v>0.76114541951581705</v>
      </c>
      <c r="H57" s="23"/>
    </row>
    <row r="58" spans="2:8" x14ac:dyDescent="0.2">
      <c r="B58" s="23" t="s">
        <v>155</v>
      </c>
      <c r="C58" s="23" t="s">
        <v>156</v>
      </c>
      <c r="D58" s="23" t="s">
        <v>15</v>
      </c>
      <c r="E58" s="27">
        <v>61514</v>
      </c>
      <c r="F58" s="25">
        <v>85.203041400000004</v>
      </c>
      <c r="G58" s="26">
        <v>0.74789327121592197</v>
      </c>
      <c r="H58" s="23"/>
    </row>
    <row r="59" spans="2:8" x14ac:dyDescent="0.2">
      <c r="B59" s="23" t="s">
        <v>157</v>
      </c>
      <c r="C59" s="23" t="s">
        <v>158</v>
      </c>
      <c r="D59" s="23" t="s">
        <v>98</v>
      </c>
      <c r="E59" s="27">
        <v>3759</v>
      </c>
      <c r="F59" s="25">
        <v>84.517356000000007</v>
      </c>
      <c r="G59" s="26">
        <v>0.74187447789112204</v>
      </c>
      <c r="H59" s="23"/>
    </row>
    <row r="60" spans="2:8" x14ac:dyDescent="0.2">
      <c r="B60" s="23" t="s">
        <v>159</v>
      </c>
      <c r="C60" s="23" t="s">
        <v>160</v>
      </c>
      <c r="D60" s="23" t="s">
        <v>15</v>
      </c>
      <c r="E60" s="27">
        <v>11250</v>
      </c>
      <c r="F60" s="25">
        <v>84.453749999999999</v>
      </c>
      <c r="G60" s="26">
        <v>0.74131615862660605</v>
      </c>
      <c r="H60" s="23"/>
    </row>
    <row r="61" spans="2:8" x14ac:dyDescent="0.2">
      <c r="B61" s="23" t="s">
        <v>161</v>
      </c>
      <c r="C61" s="23" t="s">
        <v>162</v>
      </c>
      <c r="D61" s="23" t="s">
        <v>163</v>
      </c>
      <c r="E61" s="27">
        <v>110031</v>
      </c>
      <c r="F61" s="25">
        <v>84.008668499999999</v>
      </c>
      <c r="G61" s="26">
        <v>0.737409332608155</v>
      </c>
      <c r="H61" s="23"/>
    </row>
    <row r="62" spans="2:8" x14ac:dyDescent="0.2">
      <c r="B62" s="23" t="s">
        <v>164</v>
      </c>
      <c r="C62" s="23" t="s">
        <v>165</v>
      </c>
      <c r="D62" s="23" t="s">
        <v>25</v>
      </c>
      <c r="E62" s="27">
        <v>1332</v>
      </c>
      <c r="F62" s="25">
        <v>83.915999999999997</v>
      </c>
      <c r="G62" s="26">
        <v>0.736595909208416</v>
      </c>
      <c r="H62" s="23"/>
    </row>
    <row r="63" spans="2:8" x14ac:dyDescent="0.2">
      <c r="B63" s="23" t="s">
        <v>166</v>
      </c>
      <c r="C63" s="23" t="s">
        <v>167</v>
      </c>
      <c r="D63" s="23" t="s">
        <v>21</v>
      </c>
      <c r="E63" s="27">
        <v>9542</v>
      </c>
      <c r="F63" s="25">
        <v>83.678568999999996</v>
      </c>
      <c r="G63" s="26">
        <v>0.734511792909745</v>
      </c>
      <c r="H63" s="23"/>
    </row>
    <row r="64" spans="2:8" x14ac:dyDescent="0.2">
      <c r="B64" s="23" t="s">
        <v>168</v>
      </c>
      <c r="C64" s="23" t="s">
        <v>169</v>
      </c>
      <c r="D64" s="23" t="s">
        <v>170</v>
      </c>
      <c r="E64" s="27">
        <v>201</v>
      </c>
      <c r="F64" s="25">
        <v>81.776849999999996</v>
      </c>
      <c r="G64" s="26">
        <v>0.71781892818950199</v>
      </c>
      <c r="H64" s="23"/>
    </row>
    <row r="65" spans="2:8" x14ac:dyDescent="0.2">
      <c r="B65" s="23" t="s">
        <v>171</v>
      </c>
      <c r="C65" s="23" t="s">
        <v>172</v>
      </c>
      <c r="D65" s="23" t="s">
        <v>45</v>
      </c>
      <c r="E65" s="27">
        <v>5370</v>
      </c>
      <c r="F65" s="25">
        <v>81.092370000000003</v>
      </c>
      <c r="G65" s="26">
        <v>0.71181071559673104</v>
      </c>
      <c r="H65" s="23"/>
    </row>
    <row r="66" spans="2:8" x14ac:dyDescent="0.2">
      <c r="B66" s="23" t="s">
        <v>173</v>
      </c>
      <c r="C66" s="23" t="s">
        <v>174</v>
      </c>
      <c r="D66" s="23" t="s">
        <v>66</v>
      </c>
      <c r="E66" s="27">
        <v>1963</v>
      </c>
      <c r="F66" s="25">
        <v>79.742948999999996</v>
      </c>
      <c r="G66" s="26">
        <v>0.69996579939004899</v>
      </c>
      <c r="H66" s="23"/>
    </row>
    <row r="67" spans="2:8" x14ac:dyDescent="0.2">
      <c r="B67" s="23" t="s">
        <v>175</v>
      </c>
      <c r="C67" s="23" t="s">
        <v>176</v>
      </c>
      <c r="D67" s="23" t="s">
        <v>28</v>
      </c>
      <c r="E67" s="27">
        <v>4131</v>
      </c>
      <c r="F67" s="25">
        <v>77.70411</v>
      </c>
      <c r="G67" s="26">
        <v>0.68206932592927205</v>
      </c>
      <c r="H67" s="23"/>
    </row>
    <row r="68" spans="2:8" x14ac:dyDescent="0.2">
      <c r="B68" s="23" t="s">
        <v>177</v>
      </c>
      <c r="C68" s="23" t="s">
        <v>178</v>
      </c>
      <c r="D68" s="23" t="s">
        <v>39</v>
      </c>
      <c r="E68" s="27">
        <v>12465</v>
      </c>
      <c r="F68" s="25">
        <v>76.958910000000003</v>
      </c>
      <c r="G68" s="26">
        <v>0.67552812673552898</v>
      </c>
      <c r="H68" s="23"/>
    </row>
    <row r="69" spans="2:8" x14ac:dyDescent="0.2">
      <c r="B69" s="23" t="s">
        <v>179</v>
      </c>
      <c r="C69" s="23" t="s">
        <v>180</v>
      </c>
      <c r="D69" s="23" t="s">
        <v>27</v>
      </c>
      <c r="E69" s="27">
        <v>10224</v>
      </c>
      <c r="F69" s="25">
        <v>75.42756</v>
      </c>
      <c r="G69" s="26">
        <v>0.66208627839234901</v>
      </c>
      <c r="H69" s="23"/>
    </row>
    <row r="70" spans="2:8" x14ac:dyDescent="0.2">
      <c r="B70" s="23" t="s">
        <v>181</v>
      </c>
      <c r="C70" s="23" t="s">
        <v>182</v>
      </c>
      <c r="D70" s="23" t="s">
        <v>50</v>
      </c>
      <c r="E70" s="27">
        <v>7346</v>
      </c>
      <c r="F70" s="25">
        <v>75.223039999999997</v>
      </c>
      <c r="G70" s="26">
        <v>0.66029104750251499</v>
      </c>
      <c r="H70" s="23"/>
    </row>
    <row r="71" spans="2:8" x14ac:dyDescent="0.2">
      <c r="B71" s="23" t="s">
        <v>183</v>
      </c>
      <c r="C71" s="23" t="s">
        <v>184</v>
      </c>
      <c r="D71" s="23" t="s">
        <v>34</v>
      </c>
      <c r="E71" s="27">
        <v>12488</v>
      </c>
      <c r="F71" s="25">
        <v>74.328575999999998</v>
      </c>
      <c r="G71" s="26">
        <v>0.65243964224804396</v>
      </c>
      <c r="H71" s="23"/>
    </row>
    <row r="72" spans="2:8" x14ac:dyDescent="0.2">
      <c r="B72" s="23" t="s">
        <v>185</v>
      </c>
      <c r="C72" s="23" t="s">
        <v>186</v>
      </c>
      <c r="D72" s="23" t="s">
        <v>44</v>
      </c>
      <c r="E72" s="27">
        <v>5716</v>
      </c>
      <c r="F72" s="25">
        <v>74.239407999999997</v>
      </c>
      <c r="G72" s="26">
        <v>0.65165694545562902</v>
      </c>
      <c r="H72" s="23"/>
    </row>
    <row r="73" spans="2:8" x14ac:dyDescent="0.2">
      <c r="B73" s="23" t="s">
        <v>187</v>
      </c>
      <c r="C73" s="23" t="s">
        <v>188</v>
      </c>
      <c r="D73" s="23" t="s">
        <v>24</v>
      </c>
      <c r="E73" s="27">
        <v>6057</v>
      </c>
      <c r="F73" s="25">
        <v>73.828772999999998</v>
      </c>
      <c r="G73" s="26">
        <v>0.64805248312213104</v>
      </c>
      <c r="H73" s="23"/>
    </row>
    <row r="74" spans="2:8" x14ac:dyDescent="0.2">
      <c r="B74" s="23" t="s">
        <v>189</v>
      </c>
      <c r="C74" s="23" t="s">
        <v>190</v>
      </c>
      <c r="D74" s="23" t="s">
        <v>41</v>
      </c>
      <c r="E74" s="27">
        <v>405</v>
      </c>
      <c r="F74" s="25">
        <v>72.904049999999998</v>
      </c>
      <c r="G74" s="26">
        <v>0.63993547112261995</v>
      </c>
      <c r="H74" s="23"/>
    </row>
    <row r="75" spans="2:8" x14ac:dyDescent="0.2">
      <c r="B75" s="23" t="s">
        <v>191</v>
      </c>
      <c r="C75" s="23" t="s">
        <v>192</v>
      </c>
      <c r="D75" s="23" t="s">
        <v>32</v>
      </c>
      <c r="E75" s="27">
        <v>17363</v>
      </c>
      <c r="F75" s="25">
        <v>71.848094000000003</v>
      </c>
      <c r="G75" s="26">
        <v>0.63066652515398403</v>
      </c>
      <c r="H75" s="23"/>
    </row>
    <row r="76" spans="2:8" x14ac:dyDescent="0.2">
      <c r="B76" s="23" t="s">
        <v>193</v>
      </c>
      <c r="C76" s="23" t="s">
        <v>194</v>
      </c>
      <c r="D76" s="23" t="s">
        <v>18</v>
      </c>
      <c r="E76" s="27">
        <v>878957</v>
      </c>
      <c r="F76" s="25">
        <v>71.459204099999994</v>
      </c>
      <c r="G76" s="26">
        <v>0.62725293645251501</v>
      </c>
      <c r="H76" s="23"/>
    </row>
    <row r="77" spans="2:8" x14ac:dyDescent="0.2">
      <c r="B77" s="23" t="s">
        <v>195</v>
      </c>
      <c r="C77" s="23" t="s">
        <v>196</v>
      </c>
      <c r="D77" s="23" t="s">
        <v>21</v>
      </c>
      <c r="E77" s="27">
        <v>24334</v>
      </c>
      <c r="F77" s="25">
        <v>71.140449000000004</v>
      </c>
      <c r="G77" s="26">
        <v>0.62445497536405403</v>
      </c>
      <c r="H77" s="23"/>
    </row>
    <row r="78" spans="2:8" x14ac:dyDescent="0.2">
      <c r="B78" s="23" t="s">
        <v>197</v>
      </c>
      <c r="C78" s="23" t="s">
        <v>198</v>
      </c>
      <c r="D78" s="23" t="s">
        <v>39</v>
      </c>
      <c r="E78" s="27">
        <v>29661</v>
      </c>
      <c r="F78" s="25">
        <v>67.410554700000006</v>
      </c>
      <c r="G78" s="26">
        <v>0.59171479609955402</v>
      </c>
      <c r="H78" s="23"/>
    </row>
    <row r="79" spans="2:8" x14ac:dyDescent="0.2">
      <c r="B79" s="23" t="s">
        <v>199</v>
      </c>
      <c r="C79" s="23" t="s">
        <v>200</v>
      </c>
      <c r="D79" s="23" t="s">
        <v>39</v>
      </c>
      <c r="E79" s="27">
        <v>9603</v>
      </c>
      <c r="F79" s="25">
        <v>67.259411999999998</v>
      </c>
      <c r="G79" s="26">
        <v>0.590388099229747</v>
      </c>
      <c r="H79" s="23"/>
    </row>
    <row r="80" spans="2:8" x14ac:dyDescent="0.2">
      <c r="B80" s="23" t="s">
        <v>201</v>
      </c>
      <c r="C80" s="23" t="s">
        <v>202</v>
      </c>
      <c r="D80" s="23" t="s">
        <v>42</v>
      </c>
      <c r="E80" s="27">
        <v>23861</v>
      </c>
      <c r="F80" s="25">
        <v>66.524467999999999</v>
      </c>
      <c r="G80" s="26">
        <v>0.58393692491379701</v>
      </c>
      <c r="H80" s="23"/>
    </row>
    <row r="81" spans="2:8" x14ac:dyDescent="0.2">
      <c r="B81" s="23" t="s">
        <v>203</v>
      </c>
      <c r="C81" s="23" t="s">
        <v>204</v>
      </c>
      <c r="D81" s="23" t="s">
        <v>23</v>
      </c>
      <c r="E81" s="27">
        <v>19121</v>
      </c>
      <c r="F81" s="25">
        <v>65.202610000000007</v>
      </c>
      <c r="G81" s="26">
        <v>0.57233395056618197</v>
      </c>
      <c r="H81" s="23"/>
    </row>
    <row r="82" spans="2:8" x14ac:dyDescent="0.2">
      <c r="B82" s="23" t="s">
        <v>205</v>
      </c>
      <c r="C82" s="23" t="s">
        <v>206</v>
      </c>
      <c r="D82" s="23" t="s">
        <v>21</v>
      </c>
      <c r="E82" s="27">
        <v>25955</v>
      </c>
      <c r="F82" s="25">
        <v>64.700624000000005</v>
      </c>
      <c r="G82" s="26">
        <v>0.56792762955374299</v>
      </c>
      <c r="H82" s="23"/>
    </row>
    <row r="83" spans="2:8" x14ac:dyDescent="0.2">
      <c r="B83" s="23" t="s">
        <v>207</v>
      </c>
      <c r="C83" s="23" t="s">
        <v>208</v>
      </c>
      <c r="D83" s="23" t="s">
        <v>17</v>
      </c>
      <c r="E83" s="27">
        <v>756</v>
      </c>
      <c r="F83" s="25">
        <v>63.526679999999999</v>
      </c>
      <c r="G83" s="26">
        <v>0.55762301126831704</v>
      </c>
      <c r="H83" s="23"/>
    </row>
    <row r="84" spans="2:8" x14ac:dyDescent="0.2">
      <c r="B84" s="23" t="s">
        <v>209</v>
      </c>
      <c r="C84" s="23" t="s">
        <v>210</v>
      </c>
      <c r="D84" s="23" t="s">
        <v>211</v>
      </c>
      <c r="E84" s="27">
        <v>10826</v>
      </c>
      <c r="F84" s="25">
        <v>62.336108000000003</v>
      </c>
      <c r="G84" s="26">
        <v>0.54717243611199295</v>
      </c>
      <c r="H84" s="23"/>
    </row>
    <row r="85" spans="2:8" x14ac:dyDescent="0.2">
      <c r="B85" s="23" t="s">
        <v>212</v>
      </c>
      <c r="C85" s="23" t="s">
        <v>213</v>
      </c>
      <c r="D85" s="23" t="s">
        <v>27</v>
      </c>
      <c r="E85" s="27">
        <v>46022</v>
      </c>
      <c r="F85" s="25">
        <v>61.890385600000002</v>
      </c>
      <c r="G85" s="26">
        <v>0.54325998441645795</v>
      </c>
      <c r="H85" s="23"/>
    </row>
    <row r="86" spans="2:8" x14ac:dyDescent="0.2">
      <c r="B86" s="23" t="s">
        <v>214</v>
      </c>
      <c r="C86" s="23" t="s">
        <v>215</v>
      </c>
      <c r="D86" s="23" t="s">
        <v>19</v>
      </c>
      <c r="E86" s="27">
        <v>18071</v>
      </c>
      <c r="F86" s="25">
        <v>61.342009500000003</v>
      </c>
      <c r="G86" s="26">
        <v>0.53844646146532005</v>
      </c>
      <c r="H86" s="23"/>
    </row>
    <row r="87" spans="2:8" x14ac:dyDescent="0.2">
      <c r="B87" s="23" t="s">
        <v>216</v>
      </c>
      <c r="C87" s="23" t="s">
        <v>217</v>
      </c>
      <c r="D87" s="23" t="s">
        <v>30</v>
      </c>
      <c r="E87" s="27">
        <v>28548</v>
      </c>
      <c r="F87" s="25">
        <v>61.055607600000002</v>
      </c>
      <c r="G87" s="26">
        <v>0.53593248954185502</v>
      </c>
      <c r="H87" s="23"/>
    </row>
    <row r="88" spans="2:8" x14ac:dyDescent="0.2">
      <c r="B88" s="23" t="s">
        <v>218</v>
      </c>
      <c r="C88" s="23" t="s">
        <v>219</v>
      </c>
      <c r="D88" s="23" t="s">
        <v>18</v>
      </c>
      <c r="E88" s="27">
        <v>3739</v>
      </c>
      <c r="F88" s="25">
        <v>60.321286999999998</v>
      </c>
      <c r="G88" s="26">
        <v>0.52948678729189702</v>
      </c>
      <c r="H88" s="23"/>
    </row>
    <row r="89" spans="2:8" x14ac:dyDescent="0.2">
      <c r="B89" s="23" t="s">
        <v>220</v>
      </c>
      <c r="C89" s="23" t="s">
        <v>221</v>
      </c>
      <c r="D89" s="23" t="s">
        <v>45</v>
      </c>
      <c r="E89" s="27">
        <v>3747</v>
      </c>
      <c r="F89" s="25">
        <v>59.281286999999999</v>
      </c>
      <c r="G89" s="26">
        <v>0.52035789952821898</v>
      </c>
      <c r="H89" s="23"/>
    </row>
    <row r="90" spans="2:8" x14ac:dyDescent="0.2">
      <c r="B90" s="23" t="s">
        <v>222</v>
      </c>
      <c r="C90" s="23" t="s">
        <v>223</v>
      </c>
      <c r="D90" s="23" t="s">
        <v>23</v>
      </c>
      <c r="E90" s="27">
        <v>4425</v>
      </c>
      <c r="F90" s="25">
        <v>59.250749999999996</v>
      </c>
      <c r="G90" s="26">
        <v>0.52008985256125795</v>
      </c>
      <c r="H90" s="23"/>
    </row>
    <row r="91" spans="2:8" x14ac:dyDescent="0.2">
      <c r="B91" s="23" t="s">
        <v>224</v>
      </c>
      <c r="C91" s="23" t="s">
        <v>225</v>
      </c>
      <c r="D91" s="23" t="s">
        <v>44</v>
      </c>
      <c r="E91" s="27">
        <v>14269</v>
      </c>
      <c r="F91" s="25">
        <v>58.752607500000003</v>
      </c>
      <c r="G91" s="26">
        <v>0.51571726893354897</v>
      </c>
      <c r="H91" s="23"/>
    </row>
    <row r="92" spans="2:8" x14ac:dyDescent="0.2">
      <c r="B92" s="23" t="s">
        <v>226</v>
      </c>
      <c r="C92" s="23" t="s">
        <v>227</v>
      </c>
      <c r="D92" s="23" t="s">
        <v>44</v>
      </c>
      <c r="E92" s="27">
        <v>2549</v>
      </c>
      <c r="F92" s="25">
        <v>58.494452000000003</v>
      </c>
      <c r="G92" s="26">
        <v>0.51345123760174505</v>
      </c>
      <c r="H92" s="23"/>
    </row>
    <row r="93" spans="2:8" x14ac:dyDescent="0.2">
      <c r="B93" s="23" t="s">
        <v>228</v>
      </c>
      <c r="C93" s="23" t="s">
        <v>229</v>
      </c>
      <c r="D93" s="23" t="s">
        <v>21</v>
      </c>
      <c r="E93" s="27">
        <v>21058</v>
      </c>
      <c r="F93" s="25">
        <v>57.972673999999998</v>
      </c>
      <c r="G93" s="26">
        <v>0.50887118683294097</v>
      </c>
      <c r="H93" s="23"/>
    </row>
    <row r="94" spans="2:8" x14ac:dyDescent="0.2">
      <c r="B94" s="23" t="s">
        <v>230</v>
      </c>
      <c r="C94" s="23" t="s">
        <v>231</v>
      </c>
      <c r="D94" s="23" t="s">
        <v>17</v>
      </c>
      <c r="E94" s="27">
        <v>1104</v>
      </c>
      <c r="F94" s="25">
        <v>57.70608</v>
      </c>
      <c r="G94" s="26">
        <v>0.50653108423248905</v>
      </c>
      <c r="H94" s="23"/>
    </row>
    <row r="95" spans="2:8" x14ac:dyDescent="0.2">
      <c r="B95" s="23" t="s">
        <v>232</v>
      </c>
      <c r="C95" s="23" t="s">
        <v>233</v>
      </c>
      <c r="D95" s="23" t="s">
        <v>29</v>
      </c>
      <c r="E95" s="27">
        <v>10970</v>
      </c>
      <c r="F95" s="25">
        <v>57.680259999999997</v>
      </c>
      <c r="G95" s="26">
        <v>0.50630444203820302</v>
      </c>
      <c r="H95" s="23"/>
    </row>
    <row r="96" spans="2:8" x14ac:dyDescent="0.2">
      <c r="B96" s="23" t="s">
        <v>234</v>
      </c>
      <c r="C96" s="23" t="s">
        <v>235</v>
      </c>
      <c r="D96" s="23" t="s">
        <v>17</v>
      </c>
      <c r="E96" s="27">
        <v>5209</v>
      </c>
      <c r="F96" s="25">
        <v>57.179192999999998</v>
      </c>
      <c r="G96" s="26">
        <v>0.50190618780254603</v>
      </c>
      <c r="H96" s="23"/>
    </row>
    <row r="97" spans="2:8" x14ac:dyDescent="0.2">
      <c r="B97" s="23" t="s">
        <v>236</v>
      </c>
      <c r="C97" s="23" t="s">
        <v>237</v>
      </c>
      <c r="D97" s="23" t="s">
        <v>44</v>
      </c>
      <c r="E97" s="27">
        <v>14489</v>
      </c>
      <c r="F97" s="25">
        <v>56.615767499999997</v>
      </c>
      <c r="G97" s="26">
        <v>0.496960564578802</v>
      </c>
      <c r="H97" s="23"/>
    </row>
    <row r="98" spans="2:8" x14ac:dyDescent="0.2">
      <c r="B98" s="23" t="s">
        <v>238</v>
      </c>
      <c r="C98" s="23" t="s">
        <v>239</v>
      </c>
      <c r="D98" s="23" t="s">
        <v>25</v>
      </c>
      <c r="E98" s="27">
        <v>2536</v>
      </c>
      <c r="F98" s="25">
        <v>56.481791999999999</v>
      </c>
      <c r="G98" s="26">
        <v>0.495784557557088</v>
      </c>
      <c r="H98" s="23"/>
    </row>
    <row r="99" spans="2:8" x14ac:dyDescent="0.2">
      <c r="B99" s="23" t="s">
        <v>240</v>
      </c>
      <c r="C99" s="23" t="s">
        <v>241</v>
      </c>
      <c r="D99" s="23" t="s">
        <v>28</v>
      </c>
      <c r="E99" s="27">
        <v>12246</v>
      </c>
      <c r="F99" s="25">
        <v>55.633578</v>
      </c>
      <c r="G99" s="26">
        <v>0.48833912447479999</v>
      </c>
      <c r="H99" s="23"/>
    </row>
    <row r="100" spans="2:8" x14ac:dyDescent="0.2">
      <c r="B100" s="23" t="s">
        <v>242</v>
      </c>
      <c r="C100" s="23" t="s">
        <v>243</v>
      </c>
      <c r="D100" s="23" t="s">
        <v>42</v>
      </c>
      <c r="E100" s="27">
        <v>8831</v>
      </c>
      <c r="F100" s="25">
        <v>55.220243000000004</v>
      </c>
      <c r="G100" s="26">
        <v>0.48471096214422299</v>
      </c>
      <c r="H100" s="23"/>
    </row>
    <row r="101" spans="2:8" x14ac:dyDescent="0.2">
      <c r="B101" s="23" t="s">
        <v>244</v>
      </c>
      <c r="C101" s="23" t="s">
        <v>245</v>
      </c>
      <c r="D101" s="23" t="s">
        <v>21</v>
      </c>
      <c r="E101" s="27">
        <v>9573</v>
      </c>
      <c r="F101" s="25">
        <v>54.087449999999997</v>
      </c>
      <c r="G101" s="26">
        <v>0.47476755814760901</v>
      </c>
      <c r="H101" s="23"/>
    </row>
    <row r="102" spans="2:8" x14ac:dyDescent="0.2">
      <c r="B102" s="23" t="s">
        <v>246</v>
      </c>
      <c r="C102" s="23" t="s">
        <v>247</v>
      </c>
      <c r="D102" s="23" t="s">
        <v>44</v>
      </c>
      <c r="E102" s="27">
        <v>1281</v>
      </c>
      <c r="F102" s="25">
        <v>53.914727999999997</v>
      </c>
      <c r="G102" s="26">
        <v>0.47325144300114902</v>
      </c>
      <c r="H102" s="23"/>
    </row>
    <row r="103" spans="2:8" x14ac:dyDescent="0.2">
      <c r="B103" s="23" t="s">
        <v>248</v>
      </c>
      <c r="C103" s="23" t="s">
        <v>249</v>
      </c>
      <c r="D103" s="23" t="s">
        <v>66</v>
      </c>
      <c r="E103" s="27">
        <v>3919</v>
      </c>
      <c r="F103" s="25">
        <v>53.549216000000001</v>
      </c>
      <c r="G103" s="26">
        <v>0.47004306028549803</v>
      </c>
      <c r="H103" s="23"/>
    </row>
    <row r="104" spans="2:8" x14ac:dyDescent="0.2">
      <c r="B104" s="23" t="s">
        <v>250</v>
      </c>
      <c r="C104" s="23" t="s">
        <v>251</v>
      </c>
      <c r="D104" s="23" t="s">
        <v>163</v>
      </c>
      <c r="E104" s="27">
        <v>4172</v>
      </c>
      <c r="F104" s="25">
        <v>51.106999999999999</v>
      </c>
      <c r="G104" s="26">
        <v>0.44860583359448097</v>
      </c>
      <c r="H104" s="23"/>
    </row>
    <row r="105" spans="2:8" x14ac:dyDescent="0.2">
      <c r="B105" s="23" t="s">
        <v>252</v>
      </c>
      <c r="C105" s="23" t="s">
        <v>253</v>
      </c>
      <c r="D105" s="23" t="s">
        <v>50</v>
      </c>
      <c r="E105" s="27">
        <v>5623</v>
      </c>
      <c r="F105" s="25">
        <v>48.827320499999999</v>
      </c>
      <c r="G105" s="26">
        <v>0.42859531600538903</v>
      </c>
      <c r="H105" s="23"/>
    </row>
    <row r="106" spans="2:8" x14ac:dyDescent="0.2">
      <c r="B106" s="23" t="s">
        <v>254</v>
      </c>
      <c r="C106" s="23" t="s">
        <v>255</v>
      </c>
      <c r="D106" s="23" t="s">
        <v>44</v>
      </c>
      <c r="E106" s="27">
        <v>10306</v>
      </c>
      <c r="F106" s="25">
        <v>48.742227</v>
      </c>
      <c r="G106" s="26">
        <v>0.42784838426412097</v>
      </c>
      <c r="H106" s="23"/>
    </row>
    <row r="107" spans="2:8" x14ac:dyDescent="0.2">
      <c r="B107" s="23" t="s">
        <v>256</v>
      </c>
      <c r="C107" s="23" t="s">
        <v>257</v>
      </c>
      <c r="D107" s="23" t="s">
        <v>23</v>
      </c>
      <c r="E107" s="27">
        <v>166</v>
      </c>
      <c r="F107" s="25">
        <v>48.621400000000001</v>
      </c>
      <c r="G107" s="26">
        <v>0.426787791839293</v>
      </c>
      <c r="H107" s="23"/>
    </row>
    <row r="108" spans="2:8" x14ac:dyDescent="0.2">
      <c r="B108" s="23" t="s">
        <v>258</v>
      </c>
      <c r="C108" s="23" t="s">
        <v>259</v>
      </c>
      <c r="D108" s="23" t="s">
        <v>47</v>
      </c>
      <c r="E108" s="27">
        <v>2695</v>
      </c>
      <c r="F108" s="25">
        <v>48.22972</v>
      </c>
      <c r="G108" s="26">
        <v>0.423349712263065</v>
      </c>
      <c r="H108" s="23"/>
    </row>
    <row r="109" spans="2:8" x14ac:dyDescent="0.2">
      <c r="B109" s="23" t="s">
        <v>260</v>
      </c>
      <c r="C109" s="23" t="s">
        <v>261</v>
      </c>
      <c r="D109" s="23" t="s">
        <v>46</v>
      </c>
      <c r="E109" s="27">
        <v>1300</v>
      </c>
      <c r="F109" s="25">
        <v>48.2014</v>
      </c>
      <c r="G109" s="26">
        <v>0.423101125627038</v>
      </c>
      <c r="H109" s="23"/>
    </row>
    <row r="110" spans="2:8" x14ac:dyDescent="0.2">
      <c r="B110" s="23" t="s">
        <v>262</v>
      </c>
      <c r="C110" s="23" t="s">
        <v>263</v>
      </c>
      <c r="D110" s="23" t="s">
        <v>15</v>
      </c>
      <c r="E110" s="27">
        <v>38685</v>
      </c>
      <c r="F110" s="25">
        <v>47.741158499999997</v>
      </c>
      <c r="G110" s="26">
        <v>0.419061228513878</v>
      </c>
      <c r="H110" s="23"/>
    </row>
    <row r="111" spans="2:8" x14ac:dyDescent="0.2">
      <c r="B111" s="23" t="s">
        <v>264</v>
      </c>
      <c r="C111" s="23" t="s">
        <v>265</v>
      </c>
      <c r="D111" s="23" t="s">
        <v>28</v>
      </c>
      <c r="E111" s="27">
        <v>9066</v>
      </c>
      <c r="F111" s="25">
        <v>46.708032000000003</v>
      </c>
      <c r="G111" s="26">
        <v>0.40999267479832002</v>
      </c>
      <c r="H111" s="23"/>
    </row>
    <row r="112" spans="2:8" x14ac:dyDescent="0.2">
      <c r="B112" s="23" t="s">
        <v>266</v>
      </c>
      <c r="C112" s="23" t="s">
        <v>267</v>
      </c>
      <c r="D112" s="23" t="s">
        <v>42</v>
      </c>
      <c r="E112" s="27">
        <v>22331</v>
      </c>
      <c r="F112" s="25">
        <v>46.569067400000002</v>
      </c>
      <c r="G112" s="26">
        <v>0.40877287457089201</v>
      </c>
      <c r="H112" s="23"/>
    </row>
    <row r="113" spans="2:8" x14ac:dyDescent="0.2">
      <c r="B113" s="23" t="s">
        <v>268</v>
      </c>
      <c r="C113" s="23" t="s">
        <v>269</v>
      </c>
      <c r="D113" s="23" t="s">
        <v>41</v>
      </c>
      <c r="E113" s="27">
        <v>538</v>
      </c>
      <c r="F113" s="25">
        <v>44.040680000000002</v>
      </c>
      <c r="G113" s="26">
        <v>0.38657925457310799</v>
      </c>
      <c r="H113" s="23"/>
    </row>
    <row r="114" spans="2:8" x14ac:dyDescent="0.2">
      <c r="B114" s="23" t="s">
        <v>270</v>
      </c>
      <c r="C114" s="23" t="s">
        <v>271</v>
      </c>
      <c r="D114" s="23" t="s">
        <v>50</v>
      </c>
      <c r="E114" s="27">
        <v>4914</v>
      </c>
      <c r="F114" s="25">
        <v>43.911504000000001</v>
      </c>
      <c r="G114" s="26">
        <v>0.38544537649064498</v>
      </c>
      <c r="H114" s="23"/>
    </row>
    <row r="115" spans="2:8" x14ac:dyDescent="0.2">
      <c r="B115" s="23" t="s">
        <v>272</v>
      </c>
      <c r="C115" s="23" t="s">
        <v>273</v>
      </c>
      <c r="D115" s="23" t="s">
        <v>274</v>
      </c>
      <c r="E115" s="27">
        <v>1296</v>
      </c>
      <c r="F115" s="25">
        <v>43.856639999999999</v>
      </c>
      <c r="G115" s="26">
        <v>0.38496379255000501</v>
      </c>
      <c r="H115" s="23"/>
    </row>
    <row r="116" spans="2:8" x14ac:dyDescent="0.2">
      <c r="B116" s="23" t="s">
        <v>275</v>
      </c>
      <c r="C116" s="23" t="s">
        <v>276</v>
      </c>
      <c r="D116" s="23" t="s">
        <v>26</v>
      </c>
      <c r="E116" s="27">
        <v>2934</v>
      </c>
      <c r="F116" s="25">
        <v>43.810487999999999</v>
      </c>
      <c r="G116" s="26">
        <v>0.38455868059993797</v>
      </c>
      <c r="H116" s="23"/>
    </row>
    <row r="117" spans="2:8" x14ac:dyDescent="0.2">
      <c r="B117" s="23" t="s">
        <v>277</v>
      </c>
      <c r="C117" s="23" t="s">
        <v>278</v>
      </c>
      <c r="D117" s="23" t="s">
        <v>21</v>
      </c>
      <c r="E117" s="27">
        <v>414</v>
      </c>
      <c r="F117" s="25">
        <v>42.768270000000001</v>
      </c>
      <c r="G117" s="26">
        <v>0.37541032372754901</v>
      </c>
      <c r="H117" s="23"/>
    </row>
    <row r="118" spans="2:8" x14ac:dyDescent="0.2">
      <c r="B118" s="23" t="s">
        <v>279</v>
      </c>
      <c r="C118" s="23" t="s">
        <v>280</v>
      </c>
      <c r="D118" s="23" t="s">
        <v>43</v>
      </c>
      <c r="E118" s="27">
        <v>301</v>
      </c>
      <c r="F118" s="25">
        <v>42.576450000000001</v>
      </c>
      <c r="G118" s="26">
        <v>0.37372657060175202</v>
      </c>
      <c r="H118" s="23"/>
    </row>
    <row r="119" spans="2:8" x14ac:dyDescent="0.2">
      <c r="B119" s="23" t="s">
        <v>281</v>
      </c>
      <c r="C119" s="23" t="s">
        <v>282</v>
      </c>
      <c r="D119" s="23" t="s">
        <v>46</v>
      </c>
      <c r="E119" s="27">
        <v>670</v>
      </c>
      <c r="F119" s="25">
        <v>41.844850000000001</v>
      </c>
      <c r="G119" s="26">
        <v>0.36730474917107298</v>
      </c>
      <c r="H119" s="23"/>
    </row>
    <row r="120" spans="2:8" x14ac:dyDescent="0.2">
      <c r="B120" s="23" t="s">
        <v>283</v>
      </c>
      <c r="C120" s="23" t="s">
        <v>284</v>
      </c>
      <c r="D120" s="23" t="s">
        <v>40</v>
      </c>
      <c r="E120" s="27">
        <v>2299</v>
      </c>
      <c r="F120" s="25">
        <v>41.400391999999997</v>
      </c>
      <c r="G120" s="26">
        <v>0.363403396096392</v>
      </c>
      <c r="H120" s="23"/>
    </row>
    <row r="121" spans="2:8" x14ac:dyDescent="0.2">
      <c r="B121" s="23" t="s">
        <v>285</v>
      </c>
      <c r="C121" s="23" t="s">
        <v>286</v>
      </c>
      <c r="D121" s="23" t="s">
        <v>46</v>
      </c>
      <c r="E121" s="27">
        <v>2187</v>
      </c>
      <c r="F121" s="25">
        <v>40.133637</v>
      </c>
      <c r="G121" s="26">
        <v>0.35228410357804901</v>
      </c>
      <c r="H121" s="23"/>
    </row>
    <row r="122" spans="2:8" x14ac:dyDescent="0.2">
      <c r="B122" s="23" t="s">
        <v>287</v>
      </c>
      <c r="C122" s="23" t="s">
        <v>288</v>
      </c>
      <c r="D122" s="23" t="s">
        <v>18</v>
      </c>
      <c r="E122" s="27">
        <v>2394</v>
      </c>
      <c r="F122" s="25">
        <v>39.735612000000003</v>
      </c>
      <c r="G122" s="26">
        <v>0.34879032900868501</v>
      </c>
      <c r="H122" s="23"/>
    </row>
    <row r="123" spans="2:8" x14ac:dyDescent="0.2">
      <c r="B123" s="23" t="s">
        <v>289</v>
      </c>
      <c r="C123" s="23" t="s">
        <v>290</v>
      </c>
      <c r="D123" s="23" t="s">
        <v>41</v>
      </c>
      <c r="E123" s="27">
        <v>1233</v>
      </c>
      <c r="F123" s="25">
        <v>39.089798999999999</v>
      </c>
      <c r="G123" s="26">
        <v>0.34312152670741197</v>
      </c>
      <c r="H123" s="23"/>
    </row>
    <row r="124" spans="2:8" x14ac:dyDescent="0.2">
      <c r="B124" s="23" t="s">
        <v>291</v>
      </c>
      <c r="C124" s="23" t="s">
        <v>292</v>
      </c>
      <c r="D124" s="23" t="s">
        <v>66</v>
      </c>
      <c r="E124" s="27">
        <v>1236</v>
      </c>
      <c r="F124" s="25">
        <v>37.738788</v>
      </c>
      <c r="G124" s="26">
        <v>0.33126265383578402</v>
      </c>
      <c r="H124" s="23"/>
    </row>
    <row r="125" spans="2:8" x14ac:dyDescent="0.2">
      <c r="B125" s="23" t="s">
        <v>293</v>
      </c>
      <c r="C125" s="23" t="s">
        <v>294</v>
      </c>
      <c r="D125" s="23" t="s">
        <v>170</v>
      </c>
      <c r="E125" s="27">
        <v>3541</v>
      </c>
      <c r="F125" s="25">
        <v>37.706338500000001</v>
      </c>
      <c r="G125" s="26">
        <v>0.33097781937089199</v>
      </c>
      <c r="H125" s="23"/>
    </row>
    <row r="126" spans="2:8" x14ac:dyDescent="0.2">
      <c r="B126" s="23" t="s">
        <v>295</v>
      </c>
      <c r="C126" s="23" t="s">
        <v>296</v>
      </c>
      <c r="D126" s="23" t="s">
        <v>21</v>
      </c>
      <c r="E126" s="27">
        <v>25327</v>
      </c>
      <c r="F126" s="25">
        <v>37.661248999999998</v>
      </c>
      <c r="G126" s="26">
        <v>0.33058203380856499</v>
      </c>
      <c r="H126" s="23"/>
    </row>
    <row r="127" spans="2:8" x14ac:dyDescent="0.2">
      <c r="B127" s="23" t="s">
        <v>297</v>
      </c>
      <c r="C127" s="23" t="s">
        <v>298</v>
      </c>
      <c r="D127" s="23" t="s">
        <v>33</v>
      </c>
      <c r="E127" s="27">
        <v>6038</v>
      </c>
      <c r="F127" s="25">
        <v>37.607683000000002</v>
      </c>
      <c r="G127" s="26">
        <v>0.330111843422075</v>
      </c>
      <c r="H127" s="23"/>
    </row>
    <row r="128" spans="2:8" x14ac:dyDescent="0.2">
      <c r="B128" s="23" t="s">
        <v>299</v>
      </c>
      <c r="C128" s="23" t="s">
        <v>300</v>
      </c>
      <c r="D128" s="23" t="s">
        <v>41</v>
      </c>
      <c r="E128" s="27">
        <v>3637</v>
      </c>
      <c r="F128" s="25">
        <v>37.1537735</v>
      </c>
      <c r="G128" s="26">
        <v>0.326127527190953</v>
      </c>
      <c r="H128" s="23"/>
    </row>
    <row r="129" spans="2:8" x14ac:dyDescent="0.2">
      <c r="B129" s="23" t="s">
        <v>301</v>
      </c>
      <c r="C129" s="23" t="s">
        <v>302</v>
      </c>
      <c r="D129" s="23" t="s">
        <v>303</v>
      </c>
      <c r="E129" s="27">
        <v>5463</v>
      </c>
      <c r="F129" s="25">
        <v>36.574784999999999</v>
      </c>
      <c r="G129" s="26">
        <v>0.32104529542849197</v>
      </c>
      <c r="H129" s="23"/>
    </row>
    <row r="130" spans="2:8" x14ac:dyDescent="0.2">
      <c r="B130" s="23" t="s">
        <v>304</v>
      </c>
      <c r="C130" s="23" t="s">
        <v>305</v>
      </c>
      <c r="D130" s="23" t="s">
        <v>95</v>
      </c>
      <c r="E130" s="27">
        <v>1057</v>
      </c>
      <c r="F130" s="25">
        <v>36.430562000000002</v>
      </c>
      <c r="G130" s="26">
        <v>0.31977933814008702</v>
      </c>
      <c r="H130" s="23"/>
    </row>
    <row r="131" spans="2:8" x14ac:dyDescent="0.2">
      <c r="B131" s="23" t="s">
        <v>306</v>
      </c>
      <c r="C131" s="23" t="s">
        <v>307</v>
      </c>
      <c r="D131" s="23" t="s">
        <v>25</v>
      </c>
      <c r="E131" s="27">
        <v>1994</v>
      </c>
      <c r="F131" s="25">
        <v>36.384518</v>
      </c>
      <c r="G131" s="26">
        <v>0.31937517418990402</v>
      </c>
      <c r="H131" s="23"/>
    </row>
    <row r="132" spans="2:8" x14ac:dyDescent="0.2">
      <c r="B132" s="23" t="s">
        <v>308</v>
      </c>
      <c r="C132" s="23" t="s">
        <v>309</v>
      </c>
      <c r="D132" s="23" t="s">
        <v>34</v>
      </c>
      <c r="E132" s="27">
        <v>9844</v>
      </c>
      <c r="F132" s="25">
        <v>36.289906000000002</v>
      </c>
      <c r="G132" s="26">
        <v>0.31854469118115702</v>
      </c>
      <c r="H132" s="23"/>
    </row>
    <row r="133" spans="2:8" x14ac:dyDescent="0.2">
      <c r="B133" s="23" t="s">
        <v>310</v>
      </c>
      <c r="C133" s="23" t="s">
        <v>311</v>
      </c>
      <c r="D133" s="23" t="s">
        <v>303</v>
      </c>
      <c r="E133" s="27">
        <v>877</v>
      </c>
      <c r="F133" s="25">
        <v>36.078902999999997</v>
      </c>
      <c r="G133" s="26">
        <v>0.31669255396500401</v>
      </c>
      <c r="H133" s="23"/>
    </row>
    <row r="134" spans="2:8" x14ac:dyDescent="0.2">
      <c r="B134" s="23" t="s">
        <v>312</v>
      </c>
      <c r="C134" s="23" t="s">
        <v>313</v>
      </c>
      <c r="D134" s="23" t="s">
        <v>21</v>
      </c>
      <c r="E134" s="27">
        <v>15976</v>
      </c>
      <c r="F134" s="25">
        <v>35.727128800000003</v>
      </c>
      <c r="G134" s="26">
        <v>0.313604758590045</v>
      </c>
      <c r="H134" s="23"/>
    </row>
    <row r="135" spans="2:8" x14ac:dyDescent="0.2">
      <c r="B135" s="23" t="s">
        <v>314</v>
      </c>
      <c r="C135" s="23" t="s">
        <v>315</v>
      </c>
      <c r="D135" s="23" t="s">
        <v>33</v>
      </c>
      <c r="E135" s="27">
        <v>2687</v>
      </c>
      <c r="F135" s="25">
        <v>35.307180000000002</v>
      </c>
      <c r="G135" s="26">
        <v>0.30991854179995698</v>
      </c>
      <c r="H135" s="23"/>
    </row>
    <row r="136" spans="2:8" x14ac:dyDescent="0.2">
      <c r="B136" s="23" t="s">
        <v>316</v>
      </c>
      <c r="C136" s="23" t="s">
        <v>317</v>
      </c>
      <c r="D136" s="23" t="s">
        <v>23</v>
      </c>
      <c r="E136" s="27">
        <v>1318</v>
      </c>
      <c r="F136" s="25">
        <v>35.054845999999998</v>
      </c>
      <c r="G136" s="26">
        <v>0.307703610295188</v>
      </c>
      <c r="H136" s="23"/>
    </row>
    <row r="137" spans="2:8" x14ac:dyDescent="0.2">
      <c r="B137" s="23" t="s">
        <v>318</v>
      </c>
      <c r="C137" s="23" t="s">
        <v>319</v>
      </c>
      <c r="D137" s="23" t="s">
        <v>21</v>
      </c>
      <c r="E137" s="27">
        <v>776</v>
      </c>
      <c r="F137" s="25">
        <v>34.428016</v>
      </c>
      <c r="G137" s="26">
        <v>0.302201436528932</v>
      </c>
      <c r="H137" s="23"/>
    </row>
    <row r="138" spans="2:8" x14ac:dyDescent="0.2">
      <c r="B138" s="23" t="s">
        <v>320</v>
      </c>
      <c r="C138" s="23" t="s">
        <v>321</v>
      </c>
      <c r="D138" s="23" t="s">
        <v>31</v>
      </c>
      <c r="E138" s="27">
        <v>10256</v>
      </c>
      <c r="F138" s="25">
        <v>32.332039999999999</v>
      </c>
      <c r="G138" s="26">
        <v>0.28380342724108498</v>
      </c>
      <c r="H138" s="23"/>
    </row>
    <row r="139" spans="2:8" x14ac:dyDescent="0.2">
      <c r="B139" s="23" t="s">
        <v>322</v>
      </c>
      <c r="C139" s="23" t="s">
        <v>323</v>
      </c>
      <c r="D139" s="23" t="s">
        <v>23</v>
      </c>
      <c r="E139" s="27">
        <v>1341</v>
      </c>
      <c r="F139" s="25">
        <v>32.268483000000003</v>
      </c>
      <c r="G139" s="26">
        <v>0.28324553808762698</v>
      </c>
      <c r="H139" s="23"/>
    </row>
    <row r="140" spans="2:8" x14ac:dyDescent="0.2">
      <c r="B140" s="23" t="s">
        <v>324</v>
      </c>
      <c r="C140" s="23" t="s">
        <v>325</v>
      </c>
      <c r="D140" s="23" t="s">
        <v>44</v>
      </c>
      <c r="E140" s="27">
        <v>1123</v>
      </c>
      <c r="F140" s="25">
        <v>30.830842000000001</v>
      </c>
      <c r="G140" s="26">
        <v>0.27062624642083799</v>
      </c>
      <c r="H140" s="23"/>
    </row>
    <row r="141" spans="2:8" x14ac:dyDescent="0.2">
      <c r="B141" s="23" t="s">
        <v>326</v>
      </c>
      <c r="C141" s="23" t="s">
        <v>327</v>
      </c>
      <c r="D141" s="23" t="s">
        <v>24</v>
      </c>
      <c r="E141" s="27">
        <v>10386</v>
      </c>
      <c r="F141" s="25">
        <v>29.633335200000001</v>
      </c>
      <c r="G141" s="26">
        <v>0.26011479913868302</v>
      </c>
      <c r="H141" s="23"/>
    </row>
    <row r="142" spans="2:8" x14ac:dyDescent="0.2">
      <c r="B142" s="23" t="s">
        <v>328</v>
      </c>
      <c r="C142" s="23" t="s">
        <v>329</v>
      </c>
      <c r="D142" s="23" t="s">
        <v>24</v>
      </c>
      <c r="E142" s="27">
        <v>29572</v>
      </c>
      <c r="F142" s="25">
        <v>28.746941199999998</v>
      </c>
      <c r="G142" s="26">
        <v>0.25233423054214799</v>
      </c>
      <c r="H142" s="23"/>
    </row>
    <row r="143" spans="2:8" x14ac:dyDescent="0.2">
      <c r="B143" s="23" t="s">
        <v>330</v>
      </c>
      <c r="C143" s="23" t="s">
        <v>331</v>
      </c>
      <c r="D143" s="23" t="s">
        <v>17</v>
      </c>
      <c r="E143" s="27">
        <v>4225</v>
      </c>
      <c r="F143" s="25">
        <v>28.328624999999999</v>
      </c>
      <c r="G143" s="26">
        <v>0.248662344350294</v>
      </c>
      <c r="H143" s="23"/>
    </row>
    <row r="144" spans="2:8" x14ac:dyDescent="0.2">
      <c r="B144" s="23" t="s">
        <v>332</v>
      </c>
      <c r="C144" s="23" t="s">
        <v>333</v>
      </c>
      <c r="D144" s="23" t="s">
        <v>15</v>
      </c>
      <c r="E144" s="27">
        <v>50086</v>
      </c>
      <c r="F144" s="25">
        <v>28.038142799999999</v>
      </c>
      <c r="G144" s="26">
        <v>0.246112556464576</v>
      </c>
      <c r="H144" s="23"/>
    </row>
    <row r="145" spans="2:9" x14ac:dyDescent="0.2">
      <c r="B145" s="23" t="s">
        <v>334</v>
      </c>
      <c r="C145" s="23" t="s">
        <v>335</v>
      </c>
      <c r="D145" s="23" t="s">
        <v>35</v>
      </c>
      <c r="E145" s="27">
        <v>10498</v>
      </c>
      <c r="F145" s="25">
        <v>27.457519000000001</v>
      </c>
      <c r="G145" s="26">
        <v>0.24101597040388401</v>
      </c>
      <c r="H145" s="23"/>
    </row>
    <row r="146" spans="2:9" x14ac:dyDescent="0.2">
      <c r="B146" s="23" t="s">
        <v>336</v>
      </c>
      <c r="C146" s="23" t="s">
        <v>337</v>
      </c>
      <c r="D146" s="23" t="s">
        <v>338</v>
      </c>
      <c r="E146" s="27">
        <v>90</v>
      </c>
      <c r="F146" s="25">
        <v>26.500499999999999</v>
      </c>
      <c r="G146" s="26">
        <v>0.23261547132820501</v>
      </c>
      <c r="H146" s="23"/>
    </row>
    <row r="147" spans="2:9" x14ac:dyDescent="0.2">
      <c r="B147" s="23" t="s">
        <v>339</v>
      </c>
      <c r="C147" s="23" t="s">
        <v>340</v>
      </c>
      <c r="D147" s="23" t="s">
        <v>19</v>
      </c>
      <c r="E147" s="27">
        <v>63154</v>
      </c>
      <c r="F147" s="25">
        <v>26.013132599999999</v>
      </c>
      <c r="G147" s="26">
        <v>0.22833746912217101</v>
      </c>
      <c r="H147" s="23"/>
    </row>
    <row r="148" spans="2:9" x14ac:dyDescent="0.2">
      <c r="B148" s="23" t="s">
        <v>341</v>
      </c>
      <c r="C148" s="23" t="s">
        <v>342</v>
      </c>
      <c r="D148" s="23" t="s">
        <v>47</v>
      </c>
      <c r="E148" s="27">
        <v>70</v>
      </c>
      <c r="F148" s="25">
        <v>25.266500000000001</v>
      </c>
      <c r="G148" s="26">
        <v>0.22178369488553401</v>
      </c>
      <c r="H148" s="23"/>
    </row>
    <row r="149" spans="2:9" x14ac:dyDescent="0.2">
      <c r="B149" s="23" t="s">
        <v>343</v>
      </c>
      <c r="C149" s="23" t="s">
        <v>344</v>
      </c>
      <c r="D149" s="23" t="s">
        <v>42</v>
      </c>
      <c r="E149" s="27">
        <v>5489</v>
      </c>
      <c r="F149" s="25">
        <v>23.577999500000001</v>
      </c>
      <c r="G149" s="26">
        <v>0.20696241454571301</v>
      </c>
      <c r="H149" s="23"/>
    </row>
    <row r="150" spans="2:9" x14ac:dyDescent="0.2">
      <c r="B150" s="23" t="s">
        <v>345</v>
      </c>
      <c r="C150" s="23" t="s">
        <v>346</v>
      </c>
      <c r="D150" s="23" t="s">
        <v>24</v>
      </c>
      <c r="E150" s="27">
        <v>22771</v>
      </c>
      <c r="F150" s="25">
        <v>20.566767200000001</v>
      </c>
      <c r="G150" s="26">
        <v>0.18053048983700201</v>
      </c>
      <c r="H150" s="23"/>
    </row>
    <row r="151" spans="2:9" x14ac:dyDescent="0.2">
      <c r="B151" s="23" t="s">
        <v>347</v>
      </c>
      <c r="C151" s="23" t="s">
        <v>348</v>
      </c>
      <c r="D151" s="23" t="s">
        <v>98</v>
      </c>
      <c r="E151" s="27">
        <v>1983</v>
      </c>
      <c r="F151" s="25">
        <v>17.706206999999999</v>
      </c>
      <c r="G151" s="26">
        <v>0.15542113117638401</v>
      </c>
      <c r="H151" s="23"/>
    </row>
    <row r="152" spans="2:9" x14ac:dyDescent="0.2">
      <c r="B152" s="23" t="s">
        <v>349</v>
      </c>
      <c r="C152" s="23" t="s">
        <v>350</v>
      </c>
      <c r="D152" s="23" t="s">
        <v>338</v>
      </c>
      <c r="E152" s="27">
        <v>1411</v>
      </c>
      <c r="F152" s="25">
        <v>16.955987</v>
      </c>
      <c r="G152" s="26">
        <v>0.14883586754362799</v>
      </c>
      <c r="H152" s="23"/>
    </row>
    <row r="153" spans="2:9" x14ac:dyDescent="0.2">
      <c r="B153" s="23" t="s">
        <v>351</v>
      </c>
      <c r="C153" s="23" t="s">
        <v>352</v>
      </c>
      <c r="D153" s="23" t="s">
        <v>15</v>
      </c>
      <c r="E153" s="27">
        <v>17845</v>
      </c>
      <c r="F153" s="25">
        <v>16.313898999999999</v>
      </c>
      <c r="G153" s="26">
        <v>0.143199762460547</v>
      </c>
      <c r="H153" s="23"/>
    </row>
    <row r="154" spans="2:9" x14ac:dyDescent="0.2">
      <c r="B154" s="23" t="s">
        <v>353</v>
      </c>
      <c r="C154" s="23" t="s">
        <v>354</v>
      </c>
      <c r="D154" s="23" t="s">
        <v>34</v>
      </c>
      <c r="E154" s="27">
        <v>7662</v>
      </c>
      <c r="F154" s="25">
        <v>14.488842</v>
      </c>
      <c r="G154" s="26">
        <v>0.127179819657361</v>
      </c>
      <c r="H154" s="23"/>
    </row>
    <row r="155" spans="2:9" x14ac:dyDescent="0.2">
      <c r="B155" s="23" t="s">
        <v>355</v>
      </c>
      <c r="C155" s="23" t="s">
        <v>356</v>
      </c>
      <c r="D155" s="23" t="s">
        <v>15</v>
      </c>
      <c r="E155" s="27">
        <v>33145</v>
      </c>
      <c r="F155" s="25">
        <v>13.105532999999999</v>
      </c>
      <c r="G155" s="26">
        <v>0.11503744215401</v>
      </c>
      <c r="H155" s="23"/>
    </row>
    <row r="156" spans="2:9" x14ac:dyDescent="0.2">
      <c r="B156" s="23" t="s">
        <v>357</v>
      </c>
      <c r="C156" s="23" t="s">
        <v>358</v>
      </c>
      <c r="D156" s="23" t="s">
        <v>15</v>
      </c>
      <c r="E156" s="27">
        <v>36222</v>
      </c>
      <c r="F156" s="25">
        <v>11.0440878</v>
      </c>
      <c r="G156" s="26">
        <v>9.6942536517691205E-2</v>
      </c>
      <c r="H156" s="23"/>
    </row>
    <row r="157" spans="2:9" x14ac:dyDescent="0.2">
      <c r="B157" s="22" t="s">
        <v>7</v>
      </c>
      <c r="C157" s="22"/>
      <c r="D157" s="22"/>
      <c r="E157" s="28"/>
      <c r="F157" s="29">
        <f>SUM(F7:F156)</f>
        <v>11473.2203369</v>
      </c>
      <c r="G157" s="30">
        <f>SUM(G7:G156)</f>
        <v>100.70936609952014</v>
      </c>
      <c r="H157" s="22"/>
      <c r="I157" s="15"/>
    </row>
    <row r="158" spans="2:9" x14ac:dyDescent="0.2">
      <c r="B158" s="22" t="s">
        <v>36</v>
      </c>
      <c r="C158" s="22"/>
      <c r="D158" s="22"/>
      <c r="E158" s="28"/>
      <c r="F158" s="44" t="s">
        <v>37</v>
      </c>
      <c r="G158" s="45" t="s">
        <v>37</v>
      </c>
      <c r="H158" s="22"/>
      <c r="I158" s="15"/>
    </row>
    <row r="159" spans="2:9" x14ac:dyDescent="0.2">
      <c r="B159" s="22" t="s">
        <v>7</v>
      </c>
      <c r="C159" s="22"/>
      <c r="D159" s="22"/>
      <c r="E159" s="28"/>
      <c r="F159" s="42" t="s">
        <v>37</v>
      </c>
      <c r="G159" s="43" t="s">
        <v>37</v>
      </c>
      <c r="H159" s="22"/>
      <c r="I159" s="15"/>
    </row>
    <row r="160" spans="2:9" x14ac:dyDescent="0.2">
      <c r="B160" s="31" t="s">
        <v>8</v>
      </c>
      <c r="C160" s="31"/>
      <c r="D160" s="31"/>
      <c r="E160" s="32"/>
      <c r="F160" s="33">
        <f>F157</f>
        <v>11473.2203369</v>
      </c>
      <c r="G160" s="34">
        <f>G157</f>
        <v>100.70936609952014</v>
      </c>
      <c r="H160" s="22"/>
      <c r="I160" s="15"/>
    </row>
    <row r="161" spans="2:9" x14ac:dyDescent="0.2">
      <c r="B161" s="22" t="s">
        <v>9</v>
      </c>
      <c r="C161" s="22"/>
      <c r="D161" s="22"/>
      <c r="E161" s="28"/>
      <c r="F161" s="29">
        <v>188.78065649999999</v>
      </c>
      <c r="G161" s="30">
        <v>1.65707444725177</v>
      </c>
      <c r="H161" s="35">
        <v>5.4942360000000003E-2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x14ac:dyDescent="0.2">
      <c r="B163" s="40" t="s">
        <v>11</v>
      </c>
      <c r="C163" s="40"/>
      <c r="D163" s="40"/>
      <c r="E163" s="41"/>
      <c r="F163" s="29">
        <f>F164-(F157+F161)</f>
        <v>-269.59452589999819</v>
      </c>
      <c r="G163" s="30">
        <f>G164-(G157+G161)</f>
        <v>-2.3664405467719121</v>
      </c>
      <c r="H163" s="22"/>
      <c r="I163" s="15"/>
    </row>
    <row r="164" spans="2:9" x14ac:dyDescent="0.2">
      <c r="B164" s="36" t="s">
        <v>10</v>
      </c>
      <c r="C164" s="36"/>
      <c r="D164" s="36"/>
      <c r="E164" s="37"/>
      <c r="F164" s="38">
        <v>11392.406467500001</v>
      </c>
      <c r="G164" s="39">
        <v>100</v>
      </c>
      <c r="H164" s="46"/>
      <c r="I164" s="15"/>
    </row>
    <row r="167" spans="2:9" x14ac:dyDescent="0.2">
      <c r="B167" s="15" t="s">
        <v>12</v>
      </c>
      <c r="E167" s="8"/>
      <c r="G167" s="49"/>
    </row>
    <row r="168" spans="2:9" x14ac:dyDescent="0.2"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x14ac:dyDescent="0.2">
      <c r="B184" s="50" t="s">
        <v>359</v>
      </c>
      <c r="E184" s="8"/>
      <c r="G184" s="49"/>
    </row>
    <row r="185" spans="2:7" x14ac:dyDescent="0.2">
      <c r="B185" s="51" t="s">
        <v>360</v>
      </c>
      <c r="E185" s="8"/>
      <c r="G185" s="49"/>
    </row>
    <row r="186" spans="2:7" x14ac:dyDescent="0.2"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7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