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124226"/>
  <xr:revisionPtr revIDLastSave="0" documentId="8_{82AF8C3C-343F-4B97-AE7C-9B361D9C0F1B}" xr6:coauthVersionLast="47" xr6:coauthVersionMax="47" xr10:uidLastSave="{00000000-0000-0000-0000-000000000000}"/>
  <bookViews>
    <workbookView xWindow="45" yWindow="15" windowWidth="19125" windowHeight="11235" xr2:uid="{93FBE97D-68C6-454C-8EF4-3016A4BF899F}"/>
  </bookViews>
  <sheets>
    <sheet name="JBNNX50" sheetId="8" r:id="rId1"/>
  </sheets>
  <definedNames>
    <definedName name="_xlnm.Print_Area" localSheetId="0">JBNNX50!$B$1:$H$109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7" i="8" l="1"/>
  <c r="F67" i="8"/>
  <c r="G65" i="8"/>
  <c r="F65" i="8"/>
  <c r="G57" i="8" l="1"/>
  <c r="F57" i="8"/>
  <c r="G60" i="8" l="1"/>
  <c r="G71" i="8"/>
  <c r="F71" i="8"/>
  <c r="F60" i="8"/>
</calcChain>
</file>

<file path=xl/sharedStrings.xml><?xml version="1.0" encoding="utf-8"?>
<sst xmlns="http://schemas.openxmlformats.org/spreadsheetml/2006/main" count="188" uniqueCount="153">
  <si>
    <t>Quantity</t>
  </si>
  <si>
    <t>Market/Fair Value
 (Rs. in Lakhs)</t>
  </si>
  <si>
    <t>% to Net
 Assets</t>
  </si>
  <si>
    <t xml:space="preserve">Yield to Maturity </t>
  </si>
  <si>
    <t xml:space="preserve">Name of the Instrument </t>
  </si>
  <si>
    <t>ISIN</t>
  </si>
  <si>
    <t>Monthly Portfolio Statement as on November 30, 2025</t>
  </si>
  <si>
    <t>JioBlackRock Nifty Next 50 Index Fund</t>
  </si>
  <si>
    <t>CARE A1+</t>
  </si>
  <si>
    <t>Sub Total</t>
  </si>
  <si>
    <t>Total</t>
  </si>
  <si>
    <t>TREPS</t>
  </si>
  <si>
    <t>Grand Total</t>
  </si>
  <si>
    <t>Net Receivables / (Payables)</t>
  </si>
  <si>
    <t xml:space="preserve">Scheme Risk-O-Meter </t>
  </si>
  <si>
    <t>Equity &amp; Equity related</t>
  </si>
  <si>
    <t>(a) Listed / awaiting listing on Stock Exchanges</t>
  </si>
  <si>
    <t>Banks</t>
  </si>
  <si>
    <t>Petroleum Products</t>
  </si>
  <si>
    <t>IT - Software</t>
  </si>
  <si>
    <t>Automobiles</t>
  </si>
  <si>
    <t>Finance</t>
  </si>
  <si>
    <t>Retailing</t>
  </si>
  <si>
    <t>Pharmaceuticals &amp; Biotechnology</t>
  </si>
  <si>
    <t>Consumer Durables</t>
  </si>
  <si>
    <t>Power</t>
  </si>
  <si>
    <t>Aerospace &amp; Defense</t>
  </si>
  <si>
    <t>Ferrous Metals</t>
  </si>
  <si>
    <t>Cement &amp; Cement Products</t>
  </si>
  <si>
    <t>Non - Ferrous Metals</t>
  </si>
  <si>
    <t>Food Products</t>
  </si>
  <si>
    <t>Insurance</t>
  </si>
  <si>
    <t xml:space="preserve">(b) Unlisted </t>
  </si>
  <si>
    <t>NIL</t>
  </si>
  <si>
    <t>Vedanta Ltd</t>
  </si>
  <si>
    <t>INE205A01025</t>
  </si>
  <si>
    <t>Diversified Metals</t>
  </si>
  <si>
    <t>Hindustan Aeronautics Ltd</t>
  </si>
  <si>
    <t>INE066F01020</t>
  </si>
  <si>
    <t>TVS Motor Co Ltd</t>
  </si>
  <si>
    <t>INE494B01023</t>
  </si>
  <si>
    <t>Divi's Laboratories Ltd</t>
  </si>
  <si>
    <t>INE361B01024</t>
  </si>
  <si>
    <t>Cholamandalam Investment and Finance Co Ltd</t>
  </si>
  <si>
    <t>INE121A01024</t>
  </si>
  <si>
    <t>Bharat Petroleum Corporation Ltd</t>
  </si>
  <si>
    <t>INE029A01011</t>
  </si>
  <si>
    <t>Britannia Industries Ltd</t>
  </si>
  <si>
    <t>INE216A01030</t>
  </si>
  <si>
    <t>Tata Power Co Ltd</t>
  </si>
  <si>
    <t>INE245A01021</t>
  </si>
  <si>
    <t>Indian Hotels Co Ltd</t>
  </si>
  <si>
    <t>INE053A01029</t>
  </si>
  <si>
    <t>Leisure Services</t>
  </si>
  <si>
    <t>Varun Beverages Ltd</t>
  </si>
  <si>
    <t>INE200M01039</t>
  </si>
  <si>
    <t>Beverages</t>
  </si>
  <si>
    <t>Indian Oil Corporation Ltd</t>
  </si>
  <si>
    <t>INE242A01010</t>
  </si>
  <si>
    <t>Avenue Supermarts Ltd</t>
  </si>
  <si>
    <t>INE192R01011</t>
  </si>
  <si>
    <t>Adani Power Ltd</t>
  </si>
  <si>
    <t>INE814H01029</t>
  </si>
  <si>
    <t>Ltimindtree Ltd</t>
  </si>
  <si>
    <t>INE214T01019</t>
  </si>
  <si>
    <t>Bank of Baroda</t>
  </si>
  <si>
    <t>INE028A01039</t>
  </si>
  <si>
    <t>Power Finance Corporation Ltd</t>
  </si>
  <si>
    <t>INE134E01011</t>
  </si>
  <si>
    <t>Info Edge (India) Ltd</t>
  </si>
  <si>
    <t>INE663F01032</t>
  </si>
  <si>
    <t>Samvardhana Motherson International Ltd</t>
  </si>
  <si>
    <t>INE775A01035</t>
  </si>
  <si>
    <t>Auto Components</t>
  </si>
  <si>
    <t>Canara Bank</t>
  </si>
  <si>
    <t>INE476A01022</t>
  </si>
  <si>
    <t>Bajaj Holdings &amp; Investment Ltd</t>
  </si>
  <si>
    <t>INE118A01012</t>
  </si>
  <si>
    <t>ICICI Lombard General Insurance Co Ltd</t>
  </si>
  <si>
    <t>INE765G01017</t>
  </si>
  <si>
    <t>GAIL (India) Ltd</t>
  </si>
  <si>
    <t>INE129A01019</t>
  </si>
  <si>
    <t>Gas</t>
  </si>
  <si>
    <t>DLF Ltd</t>
  </si>
  <si>
    <t>INE271C01023</t>
  </si>
  <si>
    <t>Realty</t>
  </si>
  <si>
    <t>CG Power and Industrial Solutions Ltd</t>
  </si>
  <si>
    <t>INE067A01029</t>
  </si>
  <si>
    <t>Electrical Equipment</t>
  </si>
  <si>
    <t>Godrej Consumer Products Ltd</t>
  </si>
  <si>
    <t>INE102D01028</t>
  </si>
  <si>
    <t>Personal Products</t>
  </si>
  <si>
    <t>Pidilite Industries Ltd</t>
  </si>
  <si>
    <t>INE318A01026</t>
  </si>
  <si>
    <t>Chemicals &amp; Petrochemicals</t>
  </si>
  <si>
    <t>REC Ltd</t>
  </si>
  <si>
    <t>INE020B01018</t>
  </si>
  <si>
    <t>Punjab National Bank</t>
  </si>
  <si>
    <t>INE160A01022</t>
  </si>
  <si>
    <t>United Spirits Ltd</t>
  </si>
  <si>
    <t>INE854D01024</t>
  </si>
  <si>
    <t>Jindal Steel Ltd</t>
  </si>
  <si>
    <t>INE749A01030</t>
  </si>
  <si>
    <t>Torrent Pharmaceuticals Ltd</t>
  </si>
  <si>
    <t>INE685A01028</t>
  </si>
  <si>
    <t>Havells India Ltd</t>
  </si>
  <si>
    <t>INE176B01034</t>
  </si>
  <si>
    <t>Shree Cement Ltd</t>
  </si>
  <si>
    <t>INE070A01015</t>
  </si>
  <si>
    <t>Adani Energy Solutions Ltd</t>
  </si>
  <si>
    <t>INE931S01010</t>
  </si>
  <si>
    <t>Ambuja Cements Ltd</t>
  </si>
  <si>
    <t>INE079A01024</t>
  </si>
  <si>
    <t>Hyundai Motor India Ltd</t>
  </si>
  <si>
    <t>INE0V6F01027</t>
  </si>
  <si>
    <t>Solar Industries India Ltd</t>
  </si>
  <si>
    <t>INE343H01029</t>
  </si>
  <si>
    <t>Lodha Developers Ltd</t>
  </si>
  <si>
    <t>INE670K01029</t>
  </si>
  <si>
    <t>Adani Green Energy Ltd</t>
  </si>
  <si>
    <t>INE364U01010</t>
  </si>
  <si>
    <t>Bosch Ltd</t>
  </si>
  <si>
    <t>INE323A01026</t>
  </si>
  <si>
    <t>Siemens Ltd</t>
  </si>
  <si>
    <t>INE003A01024</t>
  </si>
  <si>
    <t>Siemens Energy India ltd</t>
  </si>
  <si>
    <t>INE1NPP01017</t>
  </si>
  <si>
    <t>ABB India Ltd</t>
  </si>
  <si>
    <t>INE117A01022</t>
  </si>
  <si>
    <t>JSW Energy Ltd</t>
  </si>
  <si>
    <t>INE121E01018</t>
  </si>
  <si>
    <t>Zydus Lifesciences Ltd</t>
  </si>
  <si>
    <t>INE010B01027</t>
  </si>
  <si>
    <t>Hindustan Zinc Ltd</t>
  </si>
  <si>
    <t>INE267A01025</t>
  </si>
  <si>
    <t>Indian Railway Finance Corporation Ltd</t>
  </si>
  <si>
    <t>INE053F01010</t>
  </si>
  <si>
    <t>Mazagon Dock Shipbuilders Ltd</t>
  </si>
  <si>
    <t>INE249Z01020</t>
  </si>
  <si>
    <t>Industrial Manufacturing</t>
  </si>
  <si>
    <t>Life Insurance Corporation Of India</t>
  </si>
  <si>
    <t>INE0J1Y01017</t>
  </si>
  <si>
    <t>Bajaj Housing Finance Ltd</t>
  </si>
  <si>
    <t>INE377Y01014</t>
  </si>
  <si>
    <t>6.00% TVS Motor Co Ltd Cumulative NCRPS (01-Sep-2026) **</t>
  </si>
  <si>
    <t>INE494B04019</t>
  </si>
  <si>
    <t>** Non- Traded Security</t>
  </si>
  <si>
    <t>Benchmark Risk-O-Meter</t>
  </si>
  <si>
    <t>Benchmark Name - NIFTY Next 50 Index (TRI)</t>
  </si>
  <si>
    <t>Rating / Industry Classification</t>
  </si>
  <si>
    <t>Debt Instruments</t>
  </si>
  <si>
    <t>Cumulative Non-Convertible Redeemable Preference Shares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</si>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</sst>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0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0"/>
      </left>
      <right/>
      <top/>
      <bottom/>
      <diagonal/>
    </border>
    <border>
      <left style="thin">
        <color indexed="0"/>
      </left>
      <right/>
      <top style="thin">
        <color indexed="64"/>
      </top>
      <bottom style="thin">
        <color indexed="64"/>
      </bottom>
      <diagonal/>
    </border>
    <border>
      <left style="thin">
        <color indexed="0"/>
      </left>
      <right/>
      <top style="thin">
        <color indexed="0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67">
    <xf numFmtId="0" fontId="0" fillId="0" borderId="0" xfId="0"/>
    <xf numFmtId="0" fontId="4" fillId="2" borderId="0" xfId="0" applyFont="1" applyFill="1"/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0" xfId="0" applyNumberFormat="1" applyFont="1" applyFill="1" applyAlignment="1">
      <alignment horizontal="left" vertical="top" wrapText="1"/>
    </xf>
    <xf numFmtId="4" fontId="2" fillId="2" borderId="0" xfId="0" applyNumberFormat="1" applyFont="1" applyFill="1" applyAlignment="1">
      <alignment horizontal="left" vertical="top" wrapText="1"/>
    </xf>
    <xf numFmtId="0" fontId="4" fillId="2" borderId="0" xfId="0" applyNumberFormat="1" applyFont="1" applyFill="1"/>
    <xf numFmtId="4" fontId="4" fillId="2" borderId="0" xfId="0" applyNumberFormat="1" applyFont="1" applyFill="1"/>
    <xf numFmtId="0" fontId="5" fillId="2" borderId="0" xfId="0" applyFont="1" applyFill="1"/>
    <xf numFmtId="0" fontId="5" fillId="2" borderId="0" xfId="0" applyNumberFormat="1" applyFont="1" applyFill="1"/>
    <xf numFmtId="0" fontId="3" fillId="2" borderId="0" xfId="0" applyFont="1" applyFill="1" applyAlignment="1">
      <alignment horizontal="left" vertical="top"/>
    </xf>
    <xf numFmtId="39" fontId="5" fillId="2" borderId="0" xfId="0" applyNumberFormat="1" applyFont="1" applyFill="1"/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wrapText="1"/>
    </xf>
    <xf numFmtId="39" fontId="5" fillId="3" borderId="0" xfId="0" applyNumberFormat="1" applyFont="1" applyFill="1" applyBorder="1"/>
    <xf numFmtId="0" fontId="9" fillId="2" borderId="0" xfId="0" applyFont="1" applyFill="1"/>
    <xf numFmtId="164" fontId="5" fillId="2" borderId="0" xfId="0" applyNumberFormat="1" applyFont="1" applyFill="1"/>
    <xf numFmtId="0" fontId="9" fillId="0" borderId="1" xfId="0" applyFont="1" applyBorder="1" applyAlignment="1">
      <alignment vertical="center"/>
    </xf>
    <xf numFmtId="0" fontId="9" fillId="0" borderId="1" xfId="0" applyNumberFormat="1" applyFont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 wrapText="1"/>
    </xf>
    <xf numFmtId="39" fontId="9" fillId="0" borderId="1" xfId="0" applyNumberFormat="1" applyFont="1" applyBorder="1" applyAlignment="1">
      <alignment horizontal="center" vertical="center" wrapText="1"/>
    </xf>
    <xf numFmtId="0" fontId="9" fillId="2" borderId="2" xfId="0" applyFont="1" applyFill="1" applyBorder="1"/>
    <xf numFmtId="0" fontId="5" fillId="2" borderId="2" xfId="0" applyFont="1" applyFill="1" applyBorder="1"/>
    <xf numFmtId="0" fontId="5" fillId="2" borderId="2" xfId="0" applyNumberFormat="1" applyFont="1" applyFill="1" applyBorder="1"/>
    <xf numFmtId="39" fontId="5" fillId="2" borderId="2" xfId="0" applyNumberFormat="1" applyFont="1" applyFill="1" applyBorder="1"/>
    <xf numFmtId="39" fontId="5" fillId="3" borderId="2" xfId="0" applyNumberFormat="1" applyFont="1" applyFill="1" applyBorder="1"/>
    <xf numFmtId="3" fontId="5" fillId="2" borderId="2" xfId="0" applyNumberFormat="1" applyFont="1" applyFill="1" applyBorder="1"/>
    <xf numFmtId="0" fontId="9" fillId="2" borderId="2" xfId="0" applyNumberFormat="1" applyFont="1" applyFill="1" applyBorder="1"/>
    <xf numFmtId="39" fontId="9" fillId="2" borderId="3" xfId="0" applyNumberFormat="1" applyFont="1" applyFill="1" applyBorder="1"/>
    <xf numFmtId="39" fontId="9" fillId="3" borderId="3" xfId="0" applyNumberFormat="1" applyFont="1" applyFill="1" applyBorder="1"/>
    <xf numFmtId="0" fontId="9" fillId="2" borderId="5" xfId="0" applyFont="1" applyFill="1" applyBorder="1"/>
    <xf numFmtId="0" fontId="9" fillId="2" borderId="5" xfId="0" applyNumberFormat="1" applyFont="1" applyFill="1" applyBorder="1"/>
    <xf numFmtId="39" fontId="9" fillId="2" borderId="5" xfId="0" applyNumberFormat="1" applyFont="1" applyFill="1" applyBorder="1"/>
    <xf numFmtId="39" fontId="9" fillId="3" borderId="5" xfId="0" applyNumberFormat="1" applyFont="1" applyFill="1" applyBorder="1"/>
    <xf numFmtId="164" fontId="5" fillId="2" borderId="2" xfId="0" applyNumberFormat="1" applyFont="1" applyFill="1" applyBorder="1"/>
    <xf numFmtId="0" fontId="9" fillId="2" borderId="6" xfId="0" applyFont="1" applyFill="1" applyBorder="1"/>
    <xf numFmtId="0" fontId="9" fillId="2" borderId="6" xfId="0" applyNumberFormat="1" applyFont="1" applyFill="1" applyBorder="1"/>
    <xf numFmtId="39" fontId="9" fillId="2" borderId="6" xfId="0" applyNumberFormat="1" applyFont="1" applyFill="1" applyBorder="1"/>
    <xf numFmtId="39" fontId="9" fillId="3" borderId="6" xfId="0" applyNumberFormat="1" applyFont="1" applyFill="1" applyBorder="1"/>
    <xf numFmtId="0" fontId="9" fillId="2" borderId="3" xfId="0" applyFont="1" applyFill="1" applyBorder="1"/>
    <xf numFmtId="0" fontId="9" fillId="2" borderId="3" xfId="0" applyNumberFormat="1" applyFont="1" applyFill="1" applyBorder="1"/>
    <xf numFmtId="39" fontId="9" fillId="2" borderId="2" xfId="0" applyNumberFormat="1" applyFont="1" applyFill="1" applyBorder="1" applyAlignment="1">
      <alignment horizontal="right"/>
    </xf>
    <xf numFmtId="39" fontId="9" fillId="3" borderId="2" xfId="0" applyNumberFormat="1" applyFont="1" applyFill="1" applyBorder="1" applyAlignment="1">
      <alignment horizontal="right"/>
    </xf>
    <xf numFmtId="39" fontId="9" fillId="2" borderId="4" xfId="0" applyNumberFormat="1" applyFont="1" applyFill="1" applyBorder="1" applyAlignment="1">
      <alignment horizontal="right"/>
    </xf>
    <xf numFmtId="39" fontId="9" fillId="3" borderId="4" xfId="0" applyNumberFormat="1" applyFont="1" applyFill="1" applyBorder="1" applyAlignment="1">
      <alignment horizontal="right"/>
    </xf>
    <xf numFmtId="0" fontId="9" fillId="2" borderId="7" xfId="0" applyFont="1" applyFill="1" applyBorder="1"/>
    <xf numFmtId="0" fontId="8" fillId="2" borderId="0" xfId="1" applyFill="1"/>
    <xf numFmtId="39" fontId="5" fillId="3" borderId="0" xfId="0" applyNumberFormat="1" applyFont="1" applyFill="1"/>
    <xf numFmtId="0" fontId="9" fillId="2" borderId="0" xfId="0" applyFont="1" applyFill="1" applyAlignment="1">
      <alignment vertical="center"/>
    </xf>
    <xf numFmtId="0" fontId="9" fillId="0" borderId="0" xfId="0" applyFont="1"/>
    <xf numFmtId="0" fontId="9" fillId="2" borderId="0" xfId="0" applyFont="1" applyFill="1" applyBorder="1"/>
    <xf numFmtId="0" fontId="9" fillId="2" borderId="0" xfId="0" applyNumberFormat="1" applyFont="1" applyFill="1" applyBorder="1"/>
    <xf numFmtId="39" fontId="9" fillId="2" borderId="0" xfId="0" applyNumberFormat="1" applyFont="1" applyFill="1" applyBorder="1"/>
    <xf numFmtId="39" fontId="9" fillId="3" borderId="0" xfId="0" applyNumberFormat="1" applyFont="1" applyFill="1" applyBorder="1"/>
    <xf numFmtId="39" fontId="9" fillId="2" borderId="8" xfId="0" applyNumberFormat="1" applyFont="1" applyFill="1" applyBorder="1"/>
    <xf numFmtId="39" fontId="9" fillId="3" borderId="8" xfId="0" applyNumberFormat="1" applyFont="1" applyFill="1" applyBorder="1"/>
    <xf numFmtId="0" fontId="9" fillId="3" borderId="0" xfId="0" applyFont="1" applyFill="1"/>
    <xf numFmtId="0" fontId="5" fillId="3" borderId="9" xfId="0" applyFont="1" applyFill="1" applyBorder="1"/>
    <xf numFmtId="0" fontId="0" fillId="3" borderId="9" xfId="0" applyFill="1" applyBorder="1"/>
    <xf numFmtId="39" fontId="5" fillId="3" borderId="10" xfId="0" applyNumberFormat="1" applyFont="1" applyFill="1" applyBorder="1"/>
    <xf numFmtId="0" fontId="5" fillId="3" borderId="0" xfId="0" applyFont="1" applyFill="1"/>
    <xf numFmtId="39" fontId="9" fillId="3" borderId="11" xfId="0" applyNumberFormat="1" applyFont="1" applyFill="1" applyBorder="1"/>
    <xf numFmtId="39" fontId="9" fillId="3" borderId="10" xfId="0" applyNumberFormat="1" applyFont="1" applyFill="1" applyBorder="1" applyAlignment="1">
      <alignment horizontal="right"/>
    </xf>
    <xf numFmtId="39" fontId="9" fillId="3" borderId="12" xfId="0" applyNumberFormat="1" applyFont="1" applyFill="1" applyBorder="1"/>
    <xf numFmtId="0" fontId="9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/>
  </cellXfs>
  <cellStyles count="2">
    <cellStyle name="Hyperlink" xfId="1" builtinId="8"/>
    <cellStyle name="Normal" xfId="0" builtinId="0"/>
  </cellStyles>
  <dxfs count="2">
    <dxf>
      <numFmt numFmtId="166" formatCode="&quot;0.00*&quot;"/>
    </dxf>
    <dxf>
      <numFmt numFmtId="166" formatCode="&quot;0.00*&quot;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476250</xdr:colOff>
      <xdr:row>76</xdr:row>
      <xdr:rowOff>104775</xdr:rowOff>
    </xdr:from>
    <xdr:to>
      <xdr:col>3</xdr:col>
      <xdr:colOff>57150</xdr:colOff>
      <xdr:row>90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91454A-1C43-4F8B-9630-A68FC59010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025" y="11696700"/>
          <a:ext cx="3838575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762000</xdr:colOff>
      <xdr:row>93</xdr:row>
      <xdr:rowOff>19050</xdr:rowOff>
    </xdr:from>
    <xdr:to>
      <xdr:col>2</xdr:col>
      <xdr:colOff>704850</xdr:colOff>
      <xdr:row>107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5F42D1C-5C6F-4293-99D6-3A9F767FCE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47775" y="14039850"/>
          <a:ext cx="3457575" cy="20859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ECBEC-DB25-438A-935E-4223C5EF065C}">
  <dimension ref="A1:I108"/>
  <sheetViews>
    <sheetView tabSelected="1" view="pageBreakPreview" topLeftCell="A48" zoomScaleNormal="100" zoomScaleSheetLayoutView="100" workbookViewId="0">
      <selection activeCell="B78" sqref="B78"/>
    </sheetView>
  </sheetViews>
  <sheetFormatPr defaultColWidth="9.140625" defaultRowHeight="11.25" x14ac:dyDescent="0.2"/>
  <cols>
    <col min="1" max="1" width="7.140625" style="8" customWidth="1"/>
    <col min="2" max="2" width="52.7109375" style="8" bestFit="1" customWidth="1"/>
    <col min="3" max="3" width="11.140625" style="8" customWidth="1"/>
    <col min="4" max="4" width="22.28515625" style="8" bestFit="1" customWidth="1"/>
    <col min="5" max="5" width="13.85546875" style="9" bestFit="1" customWidth="1"/>
    <col min="6" max="6" width="12.7109375" style="11" bestFit="1" customWidth="1"/>
    <col min="7" max="7" width="9.28515625" style="14" customWidth="1"/>
    <col min="8" max="8" width="11.85546875" style="8" bestFit="1" customWidth="1"/>
    <col min="9" max="16384" width="9.140625" style="8"/>
  </cols>
  <sheetData>
    <row r="1" spans="1:9" s="1" customFormat="1" ht="16.7" customHeight="1" x14ac:dyDescent="0.2">
      <c r="B1" s="65" t="s">
        <v>7</v>
      </c>
      <c r="C1" s="66"/>
      <c r="D1" s="13"/>
      <c r="E1" s="6"/>
      <c r="F1" s="7"/>
      <c r="G1" s="14"/>
    </row>
    <row r="2" spans="1:9" s="1" customFormat="1" ht="15" x14ac:dyDescent="0.25">
      <c r="A2" s="46" t="s">
        <v>152</v>
      </c>
      <c r="E2" s="6"/>
      <c r="F2" s="7"/>
      <c r="G2" s="14"/>
    </row>
    <row r="3" spans="1:9" s="1" customFormat="1" ht="10.5" customHeight="1" x14ac:dyDescent="0.2">
      <c r="B3" s="10" t="s">
        <v>6</v>
      </c>
      <c r="C3" s="2"/>
      <c r="D3" s="3"/>
      <c r="E3" s="4"/>
      <c r="F3" s="5"/>
      <c r="G3" s="14"/>
    </row>
    <row r="4" spans="1:9" s="1" customFormat="1" ht="45.75" customHeight="1" x14ac:dyDescent="0.2">
      <c r="B4" s="17" t="s">
        <v>4</v>
      </c>
      <c r="C4" s="17" t="s">
        <v>5</v>
      </c>
      <c r="D4" s="64" t="s">
        <v>149</v>
      </c>
      <c r="E4" s="18" t="s">
        <v>0</v>
      </c>
      <c r="F4" s="19" t="s">
        <v>1</v>
      </c>
      <c r="G4" s="20" t="s">
        <v>2</v>
      </c>
      <c r="H4" s="19" t="s">
        <v>3</v>
      </c>
      <c r="I4" s="12"/>
    </row>
    <row r="5" spans="1:9" x14ac:dyDescent="0.2">
      <c r="B5" s="21" t="s">
        <v>15</v>
      </c>
      <c r="C5" s="22"/>
      <c r="D5" s="22"/>
      <c r="E5" s="23"/>
      <c r="F5" s="24"/>
      <c r="G5" s="25"/>
      <c r="H5" s="22"/>
    </row>
    <row r="6" spans="1:9" x14ac:dyDescent="0.2">
      <c r="B6" s="21" t="s">
        <v>16</v>
      </c>
      <c r="C6" s="22"/>
      <c r="D6" s="22"/>
      <c r="E6" s="23"/>
      <c r="F6" s="24"/>
      <c r="G6" s="25"/>
      <c r="H6" s="22"/>
    </row>
    <row r="7" spans="1:9" x14ac:dyDescent="0.2">
      <c r="B7" s="22" t="s">
        <v>34</v>
      </c>
      <c r="C7" s="22" t="s">
        <v>35</v>
      </c>
      <c r="D7" s="22" t="s">
        <v>36</v>
      </c>
      <c r="E7" s="26">
        <v>100288</v>
      </c>
      <c r="F7" s="24">
        <v>527.51487999999995</v>
      </c>
      <c r="G7" s="25">
        <v>3.85958977355744</v>
      </c>
      <c r="H7" s="22"/>
    </row>
    <row r="8" spans="1:9" x14ac:dyDescent="0.2">
      <c r="B8" s="22" t="s">
        <v>37</v>
      </c>
      <c r="C8" s="22" t="s">
        <v>38</v>
      </c>
      <c r="D8" s="22" t="s">
        <v>26</v>
      </c>
      <c r="E8" s="26">
        <v>11223</v>
      </c>
      <c r="F8" s="24">
        <v>509.79355199999998</v>
      </c>
      <c r="G8" s="25">
        <v>3.72993076503306</v>
      </c>
      <c r="H8" s="22"/>
    </row>
    <row r="9" spans="1:9" x14ac:dyDescent="0.2">
      <c r="B9" s="22" t="s">
        <v>39</v>
      </c>
      <c r="C9" s="22" t="s">
        <v>40</v>
      </c>
      <c r="D9" s="22" t="s">
        <v>20</v>
      </c>
      <c r="E9" s="26">
        <v>13876</v>
      </c>
      <c r="F9" s="24">
        <v>490.03093999999999</v>
      </c>
      <c r="G9" s="25">
        <v>3.5853365970467799</v>
      </c>
      <c r="H9" s="22"/>
    </row>
    <row r="10" spans="1:9" x14ac:dyDescent="0.2">
      <c r="B10" s="22" t="s">
        <v>41</v>
      </c>
      <c r="C10" s="22" t="s">
        <v>42</v>
      </c>
      <c r="D10" s="22" t="s">
        <v>23</v>
      </c>
      <c r="E10" s="26">
        <v>7509</v>
      </c>
      <c r="F10" s="24">
        <v>486.35793000000001</v>
      </c>
      <c r="G10" s="25">
        <v>3.5584628303121302</v>
      </c>
      <c r="H10" s="22"/>
    </row>
    <row r="11" spans="1:9" x14ac:dyDescent="0.2">
      <c r="B11" s="22" t="s">
        <v>43</v>
      </c>
      <c r="C11" s="22" t="s">
        <v>44</v>
      </c>
      <c r="D11" s="22" t="s">
        <v>21</v>
      </c>
      <c r="E11" s="26">
        <v>24915</v>
      </c>
      <c r="F11" s="24">
        <v>432.52440000000001</v>
      </c>
      <c r="G11" s="25">
        <v>3.1645870369648499</v>
      </c>
      <c r="H11" s="22"/>
    </row>
    <row r="12" spans="1:9" x14ac:dyDescent="0.2">
      <c r="B12" s="22" t="s">
        <v>45</v>
      </c>
      <c r="C12" s="22" t="s">
        <v>46</v>
      </c>
      <c r="D12" s="22" t="s">
        <v>18</v>
      </c>
      <c r="E12" s="26">
        <v>114589</v>
      </c>
      <c r="F12" s="24">
        <v>411.48909900000001</v>
      </c>
      <c r="G12" s="25">
        <v>3.0106811743978898</v>
      </c>
      <c r="H12" s="22"/>
    </row>
    <row r="13" spans="1:9" x14ac:dyDescent="0.2">
      <c r="B13" s="22" t="s">
        <v>47</v>
      </c>
      <c r="C13" s="22" t="s">
        <v>48</v>
      </c>
      <c r="D13" s="22" t="s">
        <v>30</v>
      </c>
      <c r="E13" s="26">
        <v>6972</v>
      </c>
      <c r="F13" s="24">
        <v>407.58312000000001</v>
      </c>
      <c r="G13" s="25">
        <v>2.9821028779825798</v>
      </c>
      <c r="H13" s="22"/>
    </row>
    <row r="14" spans="1:9" x14ac:dyDescent="0.2">
      <c r="B14" s="22" t="s">
        <v>49</v>
      </c>
      <c r="C14" s="22" t="s">
        <v>50</v>
      </c>
      <c r="D14" s="22" t="s">
        <v>25</v>
      </c>
      <c r="E14" s="26">
        <v>99273</v>
      </c>
      <c r="F14" s="24">
        <v>387.26397300000002</v>
      </c>
      <c r="G14" s="25">
        <v>2.8334367930209399</v>
      </c>
      <c r="H14" s="22"/>
    </row>
    <row r="15" spans="1:9" x14ac:dyDescent="0.2">
      <c r="B15" s="22" t="s">
        <v>51</v>
      </c>
      <c r="C15" s="22" t="s">
        <v>52</v>
      </c>
      <c r="D15" s="22" t="s">
        <v>53</v>
      </c>
      <c r="E15" s="26">
        <v>51925</v>
      </c>
      <c r="F15" s="24">
        <v>386.47777500000001</v>
      </c>
      <c r="G15" s="25">
        <v>2.8276845348840798</v>
      </c>
      <c r="H15" s="22"/>
    </row>
    <row r="16" spans="1:9" x14ac:dyDescent="0.2">
      <c r="B16" s="22" t="s">
        <v>54</v>
      </c>
      <c r="C16" s="22" t="s">
        <v>55</v>
      </c>
      <c r="D16" s="22" t="s">
        <v>56</v>
      </c>
      <c r="E16" s="26">
        <v>80094</v>
      </c>
      <c r="F16" s="24">
        <v>385.692657</v>
      </c>
      <c r="G16" s="25">
        <v>2.8219401786228202</v>
      </c>
      <c r="H16" s="22"/>
    </row>
    <row r="17" spans="2:8" x14ac:dyDescent="0.2">
      <c r="B17" s="22" t="s">
        <v>57</v>
      </c>
      <c r="C17" s="22" t="s">
        <v>58</v>
      </c>
      <c r="D17" s="22" t="s">
        <v>18</v>
      </c>
      <c r="E17" s="26">
        <v>220888</v>
      </c>
      <c r="F17" s="24">
        <v>357.28634</v>
      </c>
      <c r="G17" s="25">
        <v>2.6141038980658999</v>
      </c>
      <c r="H17" s="22"/>
    </row>
    <row r="18" spans="2:8" x14ac:dyDescent="0.2">
      <c r="B18" s="22" t="s">
        <v>59</v>
      </c>
      <c r="C18" s="22" t="s">
        <v>60</v>
      </c>
      <c r="D18" s="22" t="s">
        <v>22</v>
      </c>
      <c r="E18" s="26">
        <v>8702</v>
      </c>
      <c r="F18" s="24">
        <v>347.77542999999997</v>
      </c>
      <c r="G18" s="25">
        <v>2.5445168354730399</v>
      </c>
      <c r="H18" s="22"/>
    </row>
    <row r="19" spans="2:8" x14ac:dyDescent="0.2">
      <c r="B19" s="22" t="s">
        <v>61</v>
      </c>
      <c r="C19" s="22" t="s">
        <v>62</v>
      </c>
      <c r="D19" s="22" t="s">
        <v>25</v>
      </c>
      <c r="E19" s="26">
        <v>232680</v>
      </c>
      <c r="F19" s="24">
        <v>343.179732</v>
      </c>
      <c r="G19" s="25">
        <v>2.5108921744906598</v>
      </c>
      <c r="H19" s="22"/>
    </row>
    <row r="20" spans="2:8" x14ac:dyDescent="0.2">
      <c r="B20" s="22" t="s">
        <v>63</v>
      </c>
      <c r="C20" s="22" t="s">
        <v>64</v>
      </c>
      <c r="D20" s="22" t="s">
        <v>19</v>
      </c>
      <c r="E20" s="26">
        <v>5481</v>
      </c>
      <c r="F20" s="24">
        <v>334.14916499999998</v>
      </c>
      <c r="G20" s="25">
        <v>2.44481956618315</v>
      </c>
      <c r="H20" s="22"/>
    </row>
    <row r="21" spans="2:8" x14ac:dyDescent="0.2">
      <c r="B21" s="22" t="s">
        <v>65</v>
      </c>
      <c r="C21" s="22" t="s">
        <v>66</v>
      </c>
      <c r="D21" s="22" t="s">
        <v>17</v>
      </c>
      <c r="E21" s="26">
        <v>109135</v>
      </c>
      <c r="F21" s="24">
        <v>316.27323000000001</v>
      </c>
      <c r="G21" s="25">
        <v>2.3140293675848098</v>
      </c>
      <c r="H21" s="22"/>
    </row>
    <row r="22" spans="2:8" x14ac:dyDescent="0.2">
      <c r="B22" s="22" t="s">
        <v>67</v>
      </c>
      <c r="C22" s="22" t="s">
        <v>68</v>
      </c>
      <c r="D22" s="22" t="s">
        <v>21</v>
      </c>
      <c r="E22" s="26">
        <v>86079</v>
      </c>
      <c r="F22" s="24">
        <v>312.20853299999999</v>
      </c>
      <c r="G22" s="25">
        <v>2.2842898027524301</v>
      </c>
      <c r="H22" s="22"/>
    </row>
    <row r="23" spans="2:8" x14ac:dyDescent="0.2">
      <c r="B23" s="22" t="s">
        <v>69</v>
      </c>
      <c r="C23" s="22" t="s">
        <v>70</v>
      </c>
      <c r="D23" s="22" t="s">
        <v>22</v>
      </c>
      <c r="E23" s="26">
        <v>22979</v>
      </c>
      <c r="F23" s="24">
        <v>305.66665799999998</v>
      </c>
      <c r="G23" s="25">
        <v>2.2364258375693198</v>
      </c>
      <c r="H23" s="22"/>
    </row>
    <row r="24" spans="2:8" x14ac:dyDescent="0.2">
      <c r="B24" s="22" t="s">
        <v>71</v>
      </c>
      <c r="C24" s="22" t="s">
        <v>72</v>
      </c>
      <c r="D24" s="22" t="s">
        <v>73</v>
      </c>
      <c r="E24" s="26">
        <v>262484</v>
      </c>
      <c r="F24" s="24">
        <v>305.29514039999998</v>
      </c>
      <c r="G24" s="25">
        <v>2.2337076099248998</v>
      </c>
      <c r="H24" s="22"/>
    </row>
    <row r="25" spans="2:8" x14ac:dyDescent="0.2">
      <c r="B25" s="22" t="s">
        <v>74</v>
      </c>
      <c r="C25" s="22" t="s">
        <v>75</v>
      </c>
      <c r="D25" s="22" t="s">
        <v>17</v>
      </c>
      <c r="E25" s="26">
        <v>199310</v>
      </c>
      <c r="F25" s="24">
        <v>302.11409800000001</v>
      </c>
      <c r="G25" s="25">
        <v>2.21043334945989</v>
      </c>
      <c r="H25" s="22"/>
    </row>
    <row r="26" spans="2:8" x14ac:dyDescent="0.2">
      <c r="B26" s="22" t="s">
        <v>76</v>
      </c>
      <c r="C26" s="22" t="s">
        <v>77</v>
      </c>
      <c r="D26" s="22" t="s">
        <v>21</v>
      </c>
      <c r="E26" s="26">
        <v>2560</v>
      </c>
      <c r="F26" s="24">
        <v>294.37439999999998</v>
      </c>
      <c r="G26" s="25">
        <v>2.1538054506388602</v>
      </c>
      <c r="H26" s="22"/>
    </row>
    <row r="27" spans="2:8" x14ac:dyDescent="0.2">
      <c r="B27" s="22" t="s">
        <v>78</v>
      </c>
      <c r="C27" s="22" t="s">
        <v>79</v>
      </c>
      <c r="D27" s="22" t="s">
        <v>31</v>
      </c>
      <c r="E27" s="26">
        <v>14269</v>
      </c>
      <c r="F27" s="24">
        <v>281.17064499999998</v>
      </c>
      <c r="G27" s="25">
        <v>2.05719949751284</v>
      </c>
      <c r="H27" s="22"/>
    </row>
    <row r="28" spans="2:8" x14ac:dyDescent="0.2">
      <c r="B28" s="22" t="s">
        <v>80</v>
      </c>
      <c r="C28" s="22" t="s">
        <v>81</v>
      </c>
      <c r="D28" s="22" t="s">
        <v>82</v>
      </c>
      <c r="E28" s="26">
        <v>159463</v>
      </c>
      <c r="F28" s="24">
        <v>280.79839670000001</v>
      </c>
      <c r="G28" s="25">
        <v>2.05447592366427</v>
      </c>
      <c r="H28" s="22"/>
    </row>
    <row r="29" spans="2:8" x14ac:dyDescent="0.2">
      <c r="B29" s="22" t="s">
        <v>83</v>
      </c>
      <c r="C29" s="22" t="s">
        <v>84</v>
      </c>
      <c r="D29" s="22" t="s">
        <v>85</v>
      </c>
      <c r="E29" s="26">
        <v>37923</v>
      </c>
      <c r="F29" s="24">
        <v>274.41082799999998</v>
      </c>
      <c r="G29" s="25">
        <v>2.0077409484680899</v>
      </c>
      <c r="H29" s="22"/>
    </row>
    <row r="30" spans="2:8" x14ac:dyDescent="0.2">
      <c r="B30" s="22" t="s">
        <v>86</v>
      </c>
      <c r="C30" s="22" t="s">
        <v>87</v>
      </c>
      <c r="D30" s="22" t="s">
        <v>88</v>
      </c>
      <c r="E30" s="26">
        <v>40581</v>
      </c>
      <c r="F30" s="24">
        <v>273.06954899999999</v>
      </c>
      <c r="G30" s="25">
        <v>1.9979274116217201</v>
      </c>
      <c r="H30" s="22"/>
    </row>
    <row r="31" spans="2:8" x14ac:dyDescent="0.2">
      <c r="B31" s="22" t="s">
        <v>89</v>
      </c>
      <c r="C31" s="22" t="s">
        <v>90</v>
      </c>
      <c r="D31" s="22" t="s">
        <v>91</v>
      </c>
      <c r="E31" s="26">
        <v>23781</v>
      </c>
      <c r="F31" s="24">
        <v>272.435136</v>
      </c>
      <c r="G31" s="25">
        <v>1.9932856962505601</v>
      </c>
      <c r="H31" s="22"/>
    </row>
    <row r="32" spans="2:8" x14ac:dyDescent="0.2">
      <c r="B32" s="22" t="s">
        <v>92</v>
      </c>
      <c r="C32" s="22" t="s">
        <v>93</v>
      </c>
      <c r="D32" s="22" t="s">
        <v>94</v>
      </c>
      <c r="E32" s="26">
        <v>18351</v>
      </c>
      <c r="F32" s="24">
        <v>269.72299800000002</v>
      </c>
      <c r="G32" s="25">
        <v>1.97344219896518</v>
      </c>
      <c r="H32" s="22"/>
    </row>
    <row r="33" spans="2:8" x14ac:dyDescent="0.2">
      <c r="B33" s="22" t="s">
        <v>95</v>
      </c>
      <c r="C33" s="22" t="s">
        <v>96</v>
      </c>
      <c r="D33" s="22" t="s">
        <v>21</v>
      </c>
      <c r="E33" s="26">
        <v>73839</v>
      </c>
      <c r="F33" s="24">
        <v>266.48495100000002</v>
      </c>
      <c r="G33" s="25">
        <v>1.9497508614099299</v>
      </c>
      <c r="H33" s="22"/>
    </row>
    <row r="34" spans="2:8" x14ac:dyDescent="0.2">
      <c r="B34" s="22" t="s">
        <v>97</v>
      </c>
      <c r="C34" s="22" t="s">
        <v>98</v>
      </c>
      <c r="D34" s="22" t="s">
        <v>17</v>
      </c>
      <c r="E34" s="26">
        <v>203839</v>
      </c>
      <c r="F34" s="24">
        <v>253.77955499999999</v>
      </c>
      <c r="G34" s="25">
        <v>1.85679117756064</v>
      </c>
      <c r="H34" s="22"/>
    </row>
    <row r="35" spans="2:8" x14ac:dyDescent="0.2">
      <c r="B35" s="22" t="s">
        <v>99</v>
      </c>
      <c r="C35" s="22" t="s">
        <v>100</v>
      </c>
      <c r="D35" s="22" t="s">
        <v>56</v>
      </c>
      <c r="E35" s="26">
        <v>17460</v>
      </c>
      <c r="F35" s="24">
        <v>253.44936000000001</v>
      </c>
      <c r="G35" s="25">
        <v>1.8543752888462199</v>
      </c>
      <c r="H35" s="22"/>
    </row>
    <row r="36" spans="2:8" x14ac:dyDescent="0.2">
      <c r="B36" s="22" t="s">
        <v>101</v>
      </c>
      <c r="C36" s="22" t="s">
        <v>102</v>
      </c>
      <c r="D36" s="22" t="s">
        <v>27</v>
      </c>
      <c r="E36" s="26">
        <v>22096</v>
      </c>
      <c r="F36" s="24">
        <v>230.770624</v>
      </c>
      <c r="G36" s="25">
        <v>1.6884451495052999</v>
      </c>
      <c r="H36" s="22"/>
    </row>
    <row r="37" spans="2:8" x14ac:dyDescent="0.2">
      <c r="B37" s="22" t="s">
        <v>103</v>
      </c>
      <c r="C37" s="22" t="s">
        <v>104</v>
      </c>
      <c r="D37" s="22" t="s">
        <v>23</v>
      </c>
      <c r="E37" s="26">
        <v>6183</v>
      </c>
      <c r="F37" s="24">
        <v>230.04469800000001</v>
      </c>
      <c r="G37" s="25">
        <v>1.6831338745589699</v>
      </c>
      <c r="H37" s="22"/>
    </row>
    <row r="38" spans="2:8" x14ac:dyDescent="0.2">
      <c r="B38" s="22" t="s">
        <v>105</v>
      </c>
      <c r="C38" s="22" t="s">
        <v>106</v>
      </c>
      <c r="D38" s="22" t="s">
        <v>24</v>
      </c>
      <c r="E38" s="26">
        <v>14904</v>
      </c>
      <c r="F38" s="24">
        <v>214.90077600000001</v>
      </c>
      <c r="G38" s="25">
        <v>1.5723325897065801</v>
      </c>
      <c r="H38" s="22"/>
    </row>
    <row r="39" spans="2:8" x14ac:dyDescent="0.2">
      <c r="B39" s="22" t="s">
        <v>107</v>
      </c>
      <c r="C39" s="22" t="s">
        <v>108</v>
      </c>
      <c r="D39" s="22" t="s">
        <v>28</v>
      </c>
      <c r="E39" s="26">
        <v>791</v>
      </c>
      <c r="F39" s="24">
        <v>208.82400000000001</v>
      </c>
      <c r="G39" s="25">
        <v>1.52787154529813</v>
      </c>
      <c r="H39" s="22"/>
    </row>
    <row r="40" spans="2:8" x14ac:dyDescent="0.2">
      <c r="B40" s="22" t="s">
        <v>109</v>
      </c>
      <c r="C40" s="22" t="s">
        <v>110</v>
      </c>
      <c r="D40" s="22" t="s">
        <v>25</v>
      </c>
      <c r="E40" s="26">
        <v>20508</v>
      </c>
      <c r="F40" s="24">
        <v>203.96231399999999</v>
      </c>
      <c r="G40" s="25">
        <v>1.4923007694219199</v>
      </c>
      <c r="H40" s="22"/>
    </row>
    <row r="41" spans="2:8" x14ac:dyDescent="0.2">
      <c r="B41" s="22" t="s">
        <v>111</v>
      </c>
      <c r="C41" s="22" t="s">
        <v>112</v>
      </c>
      <c r="D41" s="22" t="s">
        <v>28</v>
      </c>
      <c r="E41" s="26">
        <v>37000</v>
      </c>
      <c r="F41" s="24">
        <v>203.57400000000001</v>
      </c>
      <c r="G41" s="25">
        <v>1.4894596500523001</v>
      </c>
      <c r="H41" s="22"/>
    </row>
    <row r="42" spans="2:8" x14ac:dyDescent="0.2">
      <c r="B42" s="22" t="s">
        <v>113</v>
      </c>
      <c r="C42" s="22" t="s">
        <v>114</v>
      </c>
      <c r="D42" s="22" t="s">
        <v>20</v>
      </c>
      <c r="E42" s="26">
        <v>8430</v>
      </c>
      <c r="F42" s="24">
        <v>196.08179999999999</v>
      </c>
      <c r="G42" s="25">
        <v>1.43464258308834</v>
      </c>
      <c r="H42" s="22"/>
    </row>
    <row r="43" spans="2:8" x14ac:dyDescent="0.2">
      <c r="B43" s="22" t="s">
        <v>115</v>
      </c>
      <c r="C43" s="22" t="s">
        <v>116</v>
      </c>
      <c r="D43" s="22" t="s">
        <v>94</v>
      </c>
      <c r="E43" s="26">
        <v>1440</v>
      </c>
      <c r="F43" s="24">
        <v>191.11680000000001</v>
      </c>
      <c r="G43" s="25">
        <v>1.3983159050130001</v>
      </c>
      <c r="H43" s="22"/>
    </row>
    <row r="44" spans="2:8" x14ac:dyDescent="0.2">
      <c r="B44" s="22" t="s">
        <v>117</v>
      </c>
      <c r="C44" s="22" t="s">
        <v>118</v>
      </c>
      <c r="D44" s="22" t="s">
        <v>85</v>
      </c>
      <c r="E44" s="26">
        <v>16609</v>
      </c>
      <c r="F44" s="24">
        <v>190.70453800000001</v>
      </c>
      <c r="G44" s="25">
        <v>1.39529956886865</v>
      </c>
      <c r="H44" s="22"/>
    </row>
    <row r="45" spans="2:8" x14ac:dyDescent="0.2">
      <c r="B45" s="22" t="s">
        <v>119</v>
      </c>
      <c r="C45" s="22" t="s">
        <v>120</v>
      </c>
      <c r="D45" s="22" t="s">
        <v>25</v>
      </c>
      <c r="E45" s="26">
        <v>18098</v>
      </c>
      <c r="F45" s="24">
        <v>189.703236</v>
      </c>
      <c r="G45" s="25">
        <v>1.38797349124323</v>
      </c>
      <c r="H45" s="22"/>
    </row>
    <row r="46" spans="2:8" x14ac:dyDescent="0.2">
      <c r="B46" s="22" t="s">
        <v>121</v>
      </c>
      <c r="C46" s="22" t="s">
        <v>122</v>
      </c>
      <c r="D46" s="22" t="s">
        <v>73</v>
      </c>
      <c r="E46" s="26">
        <v>513</v>
      </c>
      <c r="F46" s="24">
        <v>185.24430000000001</v>
      </c>
      <c r="G46" s="25">
        <v>1.3553494564737301</v>
      </c>
      <c r="H46" s="22"/>
    </row>
    <row r="47" spans="2:8" x14ac:dyDescent="0.2">
      <c r="B47" s="22" t="s">
        <v>123</v>
      </c>
      <c r="C47" s="22" t="s">
        <v>124</v>
      </c>
      <c r="D47" s="22" t="s">
        <v>88</v>
      </c>
      <c r="E47" s="26">
        <v>5225</v>
      </c>
      <c r="F47" s="24">
        <v>172.26824999999999</v>
      </c>
      <c r="G47" s="25">
        <v>1.2604095187014199</v>
      </c>
      <c r="H47" s="22"/>
    </row>
    <row r="48" spans="2:8" x14ac:dyDescent="0.2">
      <c r="B48" s="22" t="s">
        <v>125</v>
      </c>
      <c r="C48" s="22" t="s">
        <v>126</v>
      </c>
      <c r="D48" s="22" t="s">
        <v>88</v>
      </c>
      <c r="E48" s="26">
        <v>5229</v>
      </c>
      <c r="F48" s="24">
        <v>165.215484</v>
      </c>
      <c r="G48" s="25">
        <v>1.2088075932184901</v>
      </c>
      <c r="H48" s="22"/>
    </row>
    <row r="49" spans="2:9" x14ac:dyDescent="0.2">
      <c r="B49" s="22" t="s">
        <v>127</v>
      </c>
      <c r="C49" s="22" t="s">
        <v>128</v>
      </c>
      <c r="D49" s="22" t="s">
        <v>88</v>
      </c>
      <c r="E49" s="26">
        <v>3101</v>
      </c>
      <c r="F49" s="24">
        <v>160.47675000000001</v>
      </c>
      <c r="G49" s="25">
        <v>1.1741364019792799</v>
      </c>
      <c r="H49" s="22"/>
    </row>
    <row r="50" spans="2:9" x14ac:dyDescent="0.2">
      <c r="B50" s="22" t="s">
        <v>129</v>
      </c>
      <c r="C50" s="22" t="s">
        <v>130</v>
      </c>
      <c r="D50" s="22" t="s">
        <v>25</v>
      </c>
      <c r="E50" s="26">
        <v>31654</v>
      </c>
      <c r="F50" s="24">
        <v>154.67727099999999</v>
      </c>
      <c r="G50" s="25">
        <v>1.1317042153453001</v>
      </c>
      <c r="H50" s="22"/>
    </row>
    <row r="51" spans="2:9" x14ac:dyDescent="0.2">
      <c r="B51" s="22" t="s">
        <v>131</v>
      </c>
      <c r="C51" s="22" t="s">
        <v>132</v>
      </c>
      <c r="D51" s="22" t="s">
        <v>23</v>
      </c>
      <c r="E51" s="26">
        <v>14766</v>
      </c>
      <c r="F51" s="24">
        <v>139.16954999999999</v>
      </c>
      <c r="G51" s="25">
        <v>1.0182411763827199</v>
      </c>
      <c r="H51" s="22"/>
    </row>
    <row r="52" spans="2:9" x14ac:dyDescent="0.2">
      <c r="B52" s="22" t="s">
        <v>133</v>
      </c>
      <c r="C52" s="22" t="s">
        <v>134</v>
      </c>
      <c r="D52" s="22" t="s">
        <v>29</v>
      </c>
      <c r="E52" s="26">
        <v>25628</v>
      </c>
      <c r="F52" s="24">
        <v>124.34705599999999</v>
      </c>
      <c r="G52" s="25">
        <v>0.90979163603797097</v>
      </c>
      <c r="H52" s="22"/>
    </row>
    <row r="53" spans="2:9" x14ac:dyDescent="0.2">
      <c r="B53" s="22" t="s">
        <v>135</v>
      </c>
      <c r="C53" s="22" t="s">
        <v>136</v>
      </c>
      <c r="D53" s="22" t="s">
        <v>21</v>
      </c>
      <c r="E53" s="26">
        <v>105630</v>
      </c>
      <c r="F53" s="24">
        <v>124.18919099999999</v>
      </c>
      <c r="G53" s="25">
        <v>0.90863660863930795</v>
      </c>
      <c r="H53" s="22"/>
    </row>
    <row r="54" spans="2:9" x14ac:dyDescent="0.2">
      <c r="B54" s="22" t="s">
        <v>137</v>
      </c>
      <c r="C54" s="22" t="s">
        <v>138</v>
      </c>
      <c r="D54" s="22" t="s">
        <v>139</v>
      </c>
      <c r="E54" s="26">
        <v>4491</v>
      </c>
      <c r="F54" s="24">
        <v>120.340836</v>
      </c>
      <c r="G54" s="25">
        <v>0.88047992118620899</v>
      </c>
      <c r="H54" s="22"/>
    </row>
    <row r="55" spans="2:9" x14ac:dyDescent="0.2">
      <c r="B55" s="22" t="s">
        <v>140</v>
      </c>
      <c r="C55" s="22" t="s">
        <v>141</v>
      </c>
      <c r="D55" s="22" t="s">
        <v>31</v>
      </c>
      <c r="E55" s="26">
        <v>13123</v>
      </c>
      <c r="F55" s="24">
        <v>117.3786735</v>
      </c>
      <c r="G55" s="25">
        <v>0.85880710677647099</v>
      </c>
      <c r="H55" s="22"/>
    </row>
    <row r="56" spans="2:9" x14ac:dyDescent="0.2">
      <c r="B56" s="22" t="s">
        <v>142</v>
      </c>
      <c r="C56" s="22" t="s">
        <v>143</v>
      </c>
      <c r="D56" s="22" t="s">
        <v>21</v>
      </c>
      <c r="E56" s="26">
        <v>55057</v>
      </c>
      <c r="F56" s="24">
        <v>57.848389900000001</v>
      </c>
      <c r="G56" s="25">
        <v>0.42325072247213802</v>
      </c>
      <c r="H56" s="22"/>
    </row>
    <row r="57" spans="2:9" x14ac:dyDescent="0.2">
      <c r="B57" s="21" t="s">
        <v>9</v>
      </c>
      <c r="C57" s="21"/>
      <c r="D57" s="21"/>
      <c r="E57" s="27"/>
      <c r="F57" s="28">
        <f>SUM(F7:F56)</f>
        <v>13649.211008499997</v>
      </c>
      <c r="G57" s="29">
        <f>SUM(G7:G56)</f>
        <v>99.865154942234398</v>
      </c>
      <c r="H57" s="21"/>
      <c r="I57" s="15"/>
    </row>
    <row r="58" spans="2:9" x14ac:dyDescent="0.2">
      <c r="B58" s="21" t="s">
        <v>32</v>
      </c>
      <c r="C58" s="21"/>
      <c r="D58" s="21"/>
      <c r="E58" s="21"/>
      <c r="F58" s="41" t="s">
        <v>33</v>
      </c>
      <c r="G58" s="42" t="s">
        <v>33</v>
      </c>
      <c r="H58" s="22"/>
    </row>
    <row r="59" spans="2:9" x14ac:dyDescent="0.2">
      <c r="B59" s="21" t="s">
        <v>9</v>
      </c>
      <c r="C59" s="21"/>
      <c r="D59" s="21"/>
      <c r="E59" s="21"/>
      <c r="F59" s="43" t="s">
        <v>33</v>
      </c>
      <c r="G59" s="44" t="s">
        <v>33</v>
      </c>
      <c r="H59" s="21"/>
      <c r="I59" s="15"/>
    </row>
    <row r="60" spans="2:9" x14ac:dyDescent="0.2">
      <c r="B60" s="30" t="s">
        <v>10</v>
      </c>
      <c r="C60" s="30"/>
      <c r="D60" s="30"/>
      <c r="E60" s="31"/>
      <c r="F60" s="32">
        <f>F57</f>
        <v>13649.211008499997</v>
      </c>
      <c r="G60" s="33">
        <f>G57</f>
        <v>99.865154942234398</v>
      </c>
      <c r="H60" s="21"/>
      <c r="I60" s="15"/>
    </row>
    <row r="61" spans="2:9" ht="15" x14ac:dyDescent="0.25">
      <c r="B61" s="56" t="s">
        <v>150</v>
      </c>
      <c r="C61" s="57"/>
      <c r="D61" s="57"/>
      <c r="E61" s="58"/>
      <c r="F61" s="24"/>
      <c r="G61" s="59"/>
      <c r="H61" s="21"/>
      <c r="I61" s="15"/>
    </row>
    <row r="62" spans="2:9" ht="15" x14ac:dyDescent="0.25">
      <c r="B62" s="56" t="s">
        <v>16</v>
      </c>
      <c r="C62" s="57"/>
      <c r="D62" s="57"/>
      <c r="E62" s="58"/>
      <c r="F62" s="24"/>
      <c r="G62" s="59"/>
      <c r="H62" s="21"/>
      <c r="I62" s="15"/>
    </row>
    <row r="63" spans="2:9" ht="15" x14ac:dyDescent="0.25">
      <c r="B63" s="56" t="s">
        <v>151</v>
      </c>
      <c r="C63" s="57"/>
      <c r="D63" s="57"/>
      <c r="E63" s="58"/>
      <c r="F63" s="24"/>
      <c r="G63" s="59"/>
      <c r="H63" s="21"/>
      <c r="I63" s="15"/>
    </row>
    <row r="64" spans="2:9" x14ac:dyDescent="0.2">
      <c r="B64" s="60" t="s">
        <v>144</v>
      </c>
      <c r="C64" s="57" t="s">
        <v>145</v>
      </c>
      <c r="D64" s="57" t="s">
        <v>8</v>
      </c>
      <c r="E64" s="26">
        <v>26520</v>
      </c>
      <c r="F64" s="24">
        <v>2.6892871</v>
      </c>
      <c r="G64" s="25">
        <v>1.9676307499268901E-2</v>
      </c>
      <c r="H64" s="34">
        <v>6.0350000000000001E-2</v>
      </c>
      <c r="I64" s="15"/>
    </row>
    <row r="65" spans="2:9" x14ac:dyDescent="0.2">
      <c r="B65" s="21" t="s">
        <v>9</v>
      </c>
      <c r="C65" s="21"/>
      <c r="D65" s="21"/>
      <c r="E65" s="21"/>
      <c r="F65" s="28">
        <f>F64</f>
        <v>2.6892871</v>
      </c>
      <c r="G65" s="61">
        <f>G64</f>
        <v>1.9676307499268901E-2</v>
      </c>
      <c r="H65" s="21"/>
      <c r="I65" s="15"/>
    </row>
    <row r="66" spans="2:9" x14ac:dyDescent="0.2">
      <c r="B66" s="21" t="s">
        <v>32</v>
      </c>
      <c r="C66" s="21"/>
      <c r="D66" s="21"/>
      <c r="E66" s="21"/>
      <c r="F66" s="41" t="s">
        <v>33</v>
      </c>
      <c r="G66" s="62" t="s">
        <v>33</v>
      </c>
      <c r="H66" s="21"/>
      <c r="I66" s="15"/>
    </row>
    <row r="67" spans="2:9" x14ac:dyDescent="0.2">
      <c r="B67" s="30" t="s">
        <v>10</v>
      </c>
      <c r="C67" s="30"/>
      <c r="D67" s="30"/>
      <c r="E67" s="30"/>
      <c r="F67" s="32">
        <f>F64</f>
        <v>2.6892871</v>
      </c>
      <c r="G67" s="63">
        <f>G64</f>
        <v>1.9676307499268901E-2</v>
      </c>
      <c r="H67" s="21"/>
      <c r="I67" s="15"/>
    </row>
    <row r="68" spans="2:9" x14ac:dyDescent="0.2">
      <c r="B68" s="21"/>
      <c r="C68" s="21"/>
      <c r="D68" s="21"/>
      <c r="E68" s="27"/>
      <c r="F68" s="54"/>
      <c r="G68" s="55"/>
      <c r="H68" s="21"/>
      <c r="I68" s="15"/>
    </row>
    <row r="69" spans="2:9" x14ac:dyDescent="0.2">
      <c r="B69" s="21" t="s">
        <v>11</v>
      </c>
      <c r="C69" s="21"/>
      <c r="D69" s="21"/>
      <c r="E69" s="27"/>
      <c r="F69" s="28">
        <v>96.441523599999996</v>
      </c>
      <c r="G69" s="29">
        <v>0.70561937178503498</v>
      </c>
      <c r="H69" s="34">
        <v>5.305E-2</v>
      </c>
      <c r="I69" s="16"/>
    </row>
    <row r="70" spans="2:9" x14ac:dyDescent="0.2">
      <c r="B70" s="22"/>
      <c r="C70" s="22"/>
      <c r="D70" s="22"/>
      <c r="E70" s="23"/>
      <c r="F70" s="24"/>
      <c r="G70" s="25"/>
      <c r="H70" s="22"/>
    </row>
    <row r="71" spans="2:9" x14ac:dyDescent="0.2">
      <c r="B71" s="39" t="s">
        <v>13</v>
      </c>
      <c r="C71" s="39"/>
      <c r="D71" s="39"/>
      <c r="E71" s="40"/>
      <c r="F71" s="28">
        <f>F72-(F57+F64+F69)</f>
        <v>-80.700672099997973</v>
      </c>
      <c r="G71" s="29">
        <f>G72-(G57+G64+G69)</f>
        <v>-0.59045062151869843</v>
      </c>
      <c r="H71" s="21"/>
      <c r="I71" s="15"/>
    </row>
    <row r="72" spans="2:9" x14ac:dyDescent="0.2">
      <c r="B72" s="35" t="s">
        <v>12</v>
      </c>
      <c r="C72" s="35"/>
      <c r="D72" s="35"/>
      <c r="E72" s="36"/>
      <c r="F72" s="37">
        <v>13667.641147099999</v>
      </c>
      <c r="G72" s="38">
        <v>100</v>
      </c>
      <c r="H72" s="45"/>
      <c r="I72" s="15"/>
    </row>
    <row r="73" spans="2:9" x14ac:dyDescent="0.2">
      <c r="B73" s="50"/>
      <c r="C73" s="50"/>
      <c r="D73" s="50"/>
      <c r="E73" s="51"/>
      <c r="F73" s="52"/>
      <c r="G73" s="53"/>
      <c r="H73" s="50"/>
      <c r="I73" s="15"/>
    </row>
    <row r="74" spans="2:9" x14ac:dyDescent="0.2">
      <c r="B74" s="15" t="s">
        <v>146</v>
      </c>
    </row>
    <row r="76" spans="2:9" x14ac:dyDescent="0.2">
      <c r="B76" s="15" t="s">
        <v>14</v>
      </c>
      <c r="E76" s="8"/>
      <c r="G76" s="47"/>
    </row>
    <row r="77" spans="2:9" x14ac:dyDescent="0.2">
      <c r="E77" s="8"/>
      <c r="G77" s="47"/>
    </row>
    <row r="78" spans="2:9" x14ac:dyDescent="0.2">
      <c r="E78" s="8"/>
      <c r="G78" s="47"/>
    </row>
    <row r="79" spans="2:9" x14ac:dyDescent="0.2">
      <c r="E79" s="8"/>
      <c r="G79" s="47"/>
    </row>
    <row r="80" spans="2:9" x14ac:dyDescent="0.2">
      <c r="E80" s="8"/>
      <c r="G80" s="47"/>
    </row>
    <row r="81" spans="2:7" x14ac:dyDescent="0.2">
      <c r="E81" s="8"/>
      <c r="G81" s="47"/>
    </row>
    <row r="82" spans="2:7" x14ac:dyDescent="0.2">
      <c r="E82" s="8"/>
      <c r="G82" s="47"/>
    </row>
    <row r="83" spans="2:7" x14ac:dyDescent="0.2">
      <c r="E83" s="8"/>
      <c r="G83" s="47"/>
    </row>
    <row r="84" spans="2:7" x14ac:dyDescent="0.2">
      <c r="E84" s="8"/>
      <c r="G84" s="47"/>
    </row>
    <row r="85" spans="2:7" x14ac:dyDescent="0.2">
      <c r="E85" s="8"/>
      <c r="G85" s="47"/>
    </row>
    <row r="86" spans="2:7" x14ac:dyDescent="0.2">
      <c r="E86" s="8"/>
      <c r="G86" s="47"/>
    </row>
    <row r="87" spans="2:7" x14ac:dyDescent="0.2">
      <c r="E87" s="8"/>
      <c r="G87" s="47"/>
    </row>
    <row r="88" spans="2:7" x14ac:dyDescent="0.2">
      <c r="E88" s="8"/>
      <c r="G88" s="47"/>
    </row>
    <row r="89" spans="2:7" x14ac:dyDescent="0.2">
      <c r="E89" s="8"/>
      <c r="G89" s="47"/>
    </row>
    <row r="90" spans="2:7" x14ac:dyDescent="0.2">
      <c r="E90" s="8"/>
      <c r="G90" s="47"/>
    </row>
    <row r="91" spans="2:7" x14ac:dyDescent="0.2">
      <c r="E91" s="8"/>
      <c r="G91" s="47"/>
    </row>
    <row r="92" spans="2:7" x14ac:dyDescent="0.2">
      <c r="B92" s="48" t="s">
        <v>147</v>
      </c>
      <c r="E92" s="8"/>
      <c r="G92" s="47"/>
    </row>
    <row r="93" spans="2:7" x14ac:dyDescent="0.2">
      <c r="B93" s="49" t="s">
        <v>148</v>
      </c>
      <c r="E93" s="8"/>
      <c r="G93" s="47"/>
    </row>
    <row r="94" spans="2:7" x14ac:dyDescent="0.2">
      <c r="E94" s="8"/>
      <c r="G94" s="47"/>
    </row>
    <row r="95" spans="2:7" x14ac:dyDescent="0.2">
      <c r="E95" s="8"/>
      <c r="G95" s="47"/>
    </row>
    <row r="96" spans="2:7" x14ac:dyDescent="0.2">
      <c r="E96" s="8"/>
      <c r="G96" s="47"/>
    </row>
    <row r="97" spans="5:7" x14ac:dyDescent="0.2">
      <c r="E97" s="8"/>
      <c r="G97" s="47"/>
    </row>
    <row r="98" spans="5:7" x14ac:dyDescent="0.2">
      <c r="E98" s="8"/>
      <c r="G98" s="47"/>
    </row>
    <row r="99" spans="5:7" x14ac:dyDescent="0.2">
      <c r="E99" s="8"/>
      <c r="G99" s="47"/>
    </row>
    <row r="100" spans="5:7" x14ac:dyDescent="0.2">
      <c r="E100" s="8"/>
      <c r="G100" s="47"/>
    </row>
    <row r="101" spans="5:7" x14ac:dyDescent="0.2">
      <c r="E101" s="8"/>
      <c r="G101" s="47"/>
    </row>
    <row r="102" spans="5:7" x14ac:dyDescent="0.2">
      <c r="E102" s="8"/>
      <c r="G102" s="47"/>
    </row>
    <row r="103" spans="5:7" x14ac:dyDescent="0.2">
      <c r="E103" s="8"/>
      <c r="G103" s="47"/>
    </row>
    <row r="104" spans="5:7" x14ac:dyDescent="0.2">
      <c r="E104" s="8"/>
      <c r="G104" s="47"/>
    </row>
    <row r="105" spans="5:7" x14ac:dyDescent="0.2">
      <c r="E105" s="8"/>
      <c r="G105" s="47"/>
    </row>
    <row r="106" spans="5:7" x14ac:dyDescent="0.2">
      <c r="E106" s="8"/>
      <c r="G106" s="47"/>
    </row>
    <row r="107" spans="5:7" x14ac:dyDescent="0.2">
      <c r="E107" s="8"/>
      <c r="G107" s="47"/>
    </row>
    <row r="108" spans="5:7" x14ac:dyDescent="0.2">
      <c r="E108" s="8"/>
      <c r="G108" s="47"/>
    </row>
  </sheetData>
  <mergeCells count="1">
    <mergeCell ref="B1:C1"/>
  </mergeCells>
  <conditionalFormatting sqref="G1:G3">
    <cfRule type="cellIs" dxfId="1" priority="4" stopIfTrue="1" operator="between">
      <formula>0.009</formula>
      <formula>-0.009</formula>
    </cfRule>
  </conditionalFormatting>
  <conditionalFormatting sqref="G5:G108">
    <cfRule type="cellIs" dxfId="0" priority="1" stopIfTrue="1" operator="between">
      <formula>0.009</formula>
      <formula>-0.009</formula>
    </cfRule>
  </conditionalFormatting>
  <hyperlinks>
    <hyperlink ref="A2" location="JBNNX50!A1" display="-" xr:uid="{6A0E78B2-6B08-4D2E-821A-98401F79AAE3}"/>
  </hyperlinks>
  <pageMargins left="0.7" right="0.7" top="0.75" bottom="0.75" header="0.3" footer="0.3"/>
  <pageSetup paperSize="9" scale="59" orientation="portrait" r:id="rId1"/>
  <headerFooter>
    <oddFooter>&amp;C&amp;1#&amp;"Calibri"&amp;10&amp;K000000RESTRICTED</oddFooter>
    <evenFooter>&amp;LPUBLIC</evenFooter>
    <firstFooter>&amp;LPUBLIC</firstFooter>
  </headerFooter>
  <colBreaks count="1" manualBreakCount="1">
    <brk id="8" max="39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JBNNX50</vt:lpstr>
      <vt:lpstr>JBNNX50!Print_Area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2025-12-05T13:26:41Z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f851b4f6-a95e-46a7-8457-84c26f440032_Enabled">
    <vt:lpwstr>true</vt:lpwstr>
  </property>
  <property fmtid="{D5CDD505-2E9C-101B-9397-08002B2CF9AE}" pid="5" name="MSIP_Label_f851b4f6-a95e-46a7-8457-84c26f440032_SetDate">
    <vt:lpwstr>2025-12-02T08:03:00Z</vt:lpwstr>
  </property>
  <property fmtid="{D5CDD505-2E9C-101B-9397-08002B2CF9AE}" pid="6" name="MSIP_Label_f851b4f6-a95e-46a7-8457-84c26f440032_Method">
    <vt:lpwstr>Privileged</vt:lpwstr>
  </property>
  <property fmtid="{D5CDD505-2E9C-101B-9397-08002B2CF9AE}" pid="7" name="MSIP_Label_f851b4f6-a95e-46a7-8457-84c26f440032_Name">
    <vt:lpwstr>CLARESTRI</vt:lpwstr>
  </property>
  <property fmtid="{D5CDD505-2E9C-101B-9397-08002B2CF9AE}" pid="8" name="MSIP_Label_f851b4f6-a95e-46a7-8457-84c26f440032_SiteId">
    <vt:lpwstr>e0fd434d-ba64-497b-90d2-859c472e1a92</vt:lpwstr>
  </property>
  <property fmtid="{D5CDD505-2E9C-101B-9397-08002B2CF9AE}" pid="9" name="MSIP_Label_f851b4f6-a95e-46a7-8457-84c26f440032_ActionId">
    <vt:lpwstr>05865c13-5549-4d6a-891f-8facef410b07</vt:lpwstr>
  </property>
  <property fmtid="{D5CDD505-2E9C-101B-9397-08002B2CF9AE}" pid="10" name="MSIP_Label_f851b4f6-a95e-46a7-8457-84c26f440032_ContentBits">
    <vt:lpwstr>2</vt:lpwstr>
  </property>
  <property fmtid="{D5CDD505-2E9C-101B-9397-08002B2CF9AE}" pid="11" name="Classification">
    <vt:lpwstr>RESTRICTED</vt:lpwstr>
  </property>
</Properties>
</file>