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9353B775-D4C9-4559-A53F-F85968A16845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ARB" sheetId="14" r:id="rId1"/>
  </sheets>
  <definedNames>
    <definedName name="_xlnm.Print_Area" localSheetId="0">JBARB!$B$1:$H$210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4" l="1"/>
  <c r="F168" i="14"/>
  <c r="G79" i="14"/>
  <c r="F79" i="14"/>
  <c r="G74" i="14"/>
  <c r="F74" i="14"/>
  <c r="G71" i="14"/>
  <c r="F71" i="14"/>
  <c r="G65" i="14"/>
  <c r="F65" i="14"/>
  <c r="F68" i="14" l="1"/>
  <c r="F83" i="14"/>
  <c r="G68" i="14"/>
  <c r="G83" i="14"/>
  <c r="F75" i="14"/>
  <c r="G75" i="14"/>
</calcChain>
</file>

<file path=xl/sharedStrings.xml><?xml version="1.0" encoding="utf-8"?>
<sst xmlns="http://schemas.openxmlformats.org/spreadsheetml/2006/main" count="461" uniqueCount="266">
  <si>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</si>
  <si>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</si>
  <si>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</si>
  <si>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</si>
  <si>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</si>
  <si>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</si>
  <si>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</si>
  <si>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Arbitrage Fund</t>
  </si>
  <si>
    <t>Money Market Instruments</t>
  </si>
  <si>
    <t>CRISIL A1+</t>
  </si>
  <si>
    <t>Sub Total</t>
  </si>
  <si>
    <t>Commercial Paper</t>
  </si>
  <si>
    <t>Small Industries Development Bank Of India (20-Mar-2026)</t>
  </si>
  <si>
    <t>INE556F14LX4</t>
  </si>
  <si>
    <t>Treasury Bill</t>
  </si>
  <si>
    <t>Total</t>
  </si>
  <si>
    <t>SOVEREIGN</t>
  </si>
  <si>
    <t>TREPS</t>
  </si>
  <si>
    <t>Grand Total</t>
  </si>
  <si>
    <t>Net Receivables / (Payables)</t>
  </si>
  <si>
    <t xml:space="preserve">Scheme Risk-O-Meter </t>
  </si>
  <si>
    <t>91 DTB (07-MAY-2026)</t>
  </si>
  <si>
    <t>IN002025X448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</si>
  <si>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</si>
  <si>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</si>
  <si>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</si>
  <si>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</si>
  <si>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</si>
  <si>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</si>
  <si>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</si>
  <si>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</si>
  <si>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</si>
  <si>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</si>
  <si>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</si>
  <si>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</si>
  <si>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</si>
  <si>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</si>
  <si>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</si>
  <si>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</si>
  <si>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Axis Bank Ltd</t>
  </si>
  <si>
    <t>INE238A01034</t>
  </si>
  <si>
    <t>Kotak Mahindra Bank Ltd</t>
  </si>
  <si>
    <t>INE237A01036</t>
  </si>
  <si>
    <t>Mahindra &amp; Mahindra Ltd</t>
  </si>
  <si>
    <t>INE101A01026</t>
  </si>
  <si>
    <t>Automobiles</t>
  </si>
  <si>
    <t>ITC Ltd</t>
  </si>
  <si>
    <t>INE154A01025</t>
  </si>
  <si>
    <t>Diversified FMCG</t>
  </si>
  <si>
    <t>Tata Consultancy Services Ltd</t>
  </si>
  <si>
    <t>INE467B01029</t>
  </si>
  <si>
    <t>Bajaj Finance Ltd</t>
  </si>
  <si>
    <t>INE296A01032</t>
  </si>
  <si>
    <t>Finance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</si>
  <si>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</si>
  <si>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</si>
  <si>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</si>
  <si>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</si>
  <si>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</si>
  <si>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</si>
  <si>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Consumer Durables</t>
  </si>
  <si>
    <t>Eternal Ltd</t>
  </si>
  <si>
    <t>INE758T01015</t>
  </si>
  <si>
    <t>Retailing</t>
  </si>
  <si>
    <t>Ferrous Metals</t>
  </si>
  <si>
    <t>Aerospace &amp; Defense</t>
  </si>
  <si>
    <t>Ultratech Cement Ltd</t>
  </si>
  <si>
    <t>INE481G01011</t>
  </si>
  <si>
    <t>Cement &amp; Cement Products</t>
  </si>
  <si>
    <t>Hindalco Industries Ltd</t>
  </si>
  <si>
    <t>INE038A01020</t>
  </si>
  <si>
    <t>Non - Ferrous Metals</t>
  </si>
  <si>
    <t>JSW Steel Ltd</t>
  </si>
  <si>
    <t>INE019A01038</t>
  </si>
  <si>
    <t>Bajaj Finserv Ltd</t>
  </si>
  <si>
    <t>INE918I01026</t>
  </si>
  <si>
    <t>Adani Ports and Special Economic Zone Ltd</t>
  </si>
  <si>
    <t>INE742F01042</t>
  </si>
  <si>
    <t>Transport Infrastructure</t>
  </si>
  <si>
    <t>Interglobe Aviation Ltd</t>
  </si>
  <si>
    <t>INE646L01027</t>
  </si>
  <si>
    <t>Transport Services</t>
  </si>
  <si>
    <t>Oil &amp; Natural Gas Corporation Ltd</t>
  </si>
  <si>
    <t>INE213A01029</t>
  </si>
  <si>
    <t>Oil</t>
  </si>
  <si>
    <t>Asian Paints Ltd</t>
  </si>
  <si>
    <t>INE021A01026</t>
  </si>
  <si>
    <t>Grasim Industries Ltd</t>
  </si>
  <si>
    <t>INE047A01021</t>
  </si>
  <si>
    <t>Food Products</t>
  </si>
  <si>
    <t>Insurance</t>
  </si>
  <si>
    <t>Trent Ltd</t>
  </si>
  <si>
    <t>INE849A01020</t>
  </si>
  <si>
    <t>Max Healthcare Institute Ltd</t>
  </si>
  <si>
    <t>INE027H01010</t>
  </si>
  <si>
    <t>Healthcare Services</t>
  </si>
  <si>
    <t>Tata Motors Passenger Vehicles Ltd</t>
  </si>
  <si>
    <t>INE155A01022</t>
  </si>
  <si>
    <t>HDFC Life Insurance Co Ltd</t>
  </si>
  <si>
    <t>INE795G01014</t>
  </si>
  <si>
    <t>Cipla Ltd</t>
  </si>
  <si>
    <t>INE059A01026</t>
  </si>
  <si>
    <t>Tata Consumer Products Ltd</t>
  </si>
  <si>
    <t>INE192A01025</t>
  </si>
  <si>
    <t>Agricultural Food &amp; Other Products</t>
  </si>
  <si>
    <t xml:space="preserve">(b) Unlisted </t>
  </si>
  <si>
    <t>NIL</t>
  </si>
  <si>
    <t>Industry Classification</t>
  </si>
  <si>
    <t>Hindustan Aeronautics Ltd</t>
  </si>
  <si>
    <t>INE066F01020</t>
  </si>
  <si>
    <t>Britannia Industries Ltd</t>
  </si>
  <si>
    <t>INE216A01030</t>
  </si>
  <si>
    <t>Indian Oil Corporation Ltd</t>
  </si>
  <si>
    <t>INE242A01010</t>
  </si>
  <si>
    <t>Tata Power Co Ltd</t>
  </si>
  <si>
    <t>INE245A01021</t>
  </si>
  <si>
    <t>Bank of Baroda</t>
  </si>
  <si>
    <t>INE028A01039</t>
  </si>
  <si>
    <t>Indian Hotels Co Ltd</t>
  </si>
  <si>
    <t>INE053A01029</t>
  </si>
  <si>
    <t>Leisure Services</t>
  </si>
  <si>
    <t>Electrical Equipment</t>
  </si>
  <si>
    <t>GAIL (India) Ltd</t>
  </si>
  <si>
    <t>INE129A01019</t>
  </si>
  <si>
    <t>Gas</t>
  </si>
  <si>
    <t>Punjab National Bank</t>
  </si>
  <si>
    <t>INE160A01022</t>
  </si>
  <si>
    <t>DLF Ltd</t>
  </si>
  <si>
    <t>INE271C01023</t>
  </si>
  <si>
    <t>Realty</t>
  </si>
  <si>
    <t>Capital Markets</t>
  </si>
  <si>
    <t>Industrial Products</t>
  </si>
  <si>
    <t>HDFC Asset Management Co Ltd</t>
  </si>
  <si>
    <t>INE127D01025</t>
  </si>
  <si>
    <t>Fortis Healthcare Ltd</t>
  </si>
  <si>
    <t>INE061F01013</t>
  </si>
  <si>
    <t>IDFC First Bank Ltd</t>
  </si>
  <si>
    <t>INE092T01019</t>
  </si>
  <si>
    <t>Max Financial Services Ltd</t>
  </si>
  <si>
    <t>INE180A01020</t>
  </si>
  <si>
    <t>Polycab India Ltd</t>
  </si>
  <si>
    <t>INE455K01017</t>
  </si>
  <si>
    <t>Bharat Heavy Electricals Ltd</t>
  </si>
  <si>
    <t>INE257A01026</t>
  </si>
  <si>
    <t>Yes Bank Ltd</t>
  </si>
  <si>
    <t>INE528G01035</t>
  </si>
  <si>
    <t>FSN E-Commerce Ventures Ltd</t>
  </si>
  <si>
    <t>INE388Y01029</t>
  </si>
  <si>
    <t>GMR Airports Ltd</t>
  </si>
  <si>
    <t>INE776C01039</t>
  </si>
  <si>
    <t>UPL Ltd</t>
  </si>
  <si>
    <t>INE628A01036</t>
  </si>
  <si>
    <t>Fertilizers &amp; Agrochemicals</t>
  </si>
  <si>
    <t>Vodafone Idea Ltd</t>
  </si>
  <si>
    <t>INE669E01016</t>
  </si>
  <si>
    <t>Godrej Properties Ltd</t>
  </si>
  <si>
    <t>INE484J01027</t>
  </si>
  <si>
    <t>ICICI Prudential Life Insurance Co Ltd</t>
  </si>
  <si>
    <t>INE726G01019</t>
  </si>
  <si>
    <t>Prestige Estates Projects Ltd</t>
  </si>
  <si>
    <t>INE811K01011</t>
  </si>
  <si>
    <t>LIC Housing Finance Ltd</t>
  </si>
  <si>
    <t>INE115A01026</t>
  </si>
  <si>
    <t>Dalmia Bharat Ltd</t>
  </si>
  <si>
    <t>INE00R701025</t>
  </si>
  <si>
    <t>KPIT Technologies Ltd</t>
  </si>
  <si>
    <t>INE04I401011</t>
  </si>
  <si>
    <t>Multi Commodity Exchange Of India Ltd</t>
  </si>
  <si>
    <t>INE745G01043</t>
  </si>
  <si>
    <t>Laurus Labs Ltd</t>
  </si>
  <si>
    <t>INE947Q01028</t>
  </si>
  <si>
    <t>Crompton Greaves Consumer Electricals Ltd</t>
  </si>
  <si>
    <t>INE299U01018</t>
  </si>
  <si>
    <t>Derivatives</t>
  </si>
  <si>
    <t>Long / Short</t>
  </si>
  <si>
    <t>Market/Fair Value (Rs. in Lakhs)</t>
  </si>
  <si>
    <t xml:space="preserve">% to Net Assets 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</si>
  <si>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</si>
  <si>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</si>
  <si>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</si>
  <si>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</si>
  <si>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</si>
  <si>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28-APR-26</t>
  </si>
  <si>
    <t>Short</t>
  </si>
  <si>
    <t>INDIAN HOTELS CO LTD FUT 30-MAR-26</t>
  </si>
  <si>
    <t>M&amp;M LTD FUT 30-MAR-26</t>
  </si>
  <si>
    <t>VODAFONE IDEA LTD FUT 26-MAY-26</t>
  </si>
  <si>
    <t>SUN PHARMA IND LTD FUT 28-APR-26</t>
  </si>
  <si>
    <t>VODAFONE IDEA LTD FUT 30-MAR-26</t>
  </si>
  <si>
    <t>TRENT LTD FUT 28-APR-26</t>
  </si>
  <si>
    <t>GAIL INDIA LTD FUT 28-APR-26</t>
  </si>
  <si>
    <t>ICICI PRU LIFE INS CO LTD FUT 30-MAR-26</t>
  </si>
  <si>
    <t>BAJAJ FINSERV LTD FUT 28-APR-26</t>
  </si>
  <si>
    <t>GMR AIRPORTS LTD FUT 30-MAR-26</t>
  </si>
  <si>
    <t>FORTIS HEALTHCARE LTD  FUT 30-MAR-26</t>
  </si>
  <si>
    <t>CROMPT GREA CON ELEC LTD FUT 30-MAR-26</t>
  </si>
  <si>
    <t>TATA CONSUMER PRODUCTS LTD FUT 30-MAR-26</t>
  </si>
  <si>
    <t>CIPLA LTD FUT 30-MAR-26</t>
  </si>
  <si>
    <t>ADANI PORTS AND SP ECO FUT 28-APR-26</t>
  </si>
  <si>
    <t>YES BANK LTD FUT 26-MAY-26</t>
  </si>
  <si>
    <t>HDFC BANK LTD FUT 30-MAR-26</t>
  </si>
  <si>
    <t>DALMIA BHARAT LTD FUT 30-MAR-26</t>
  </si>
  <si>
    <t>HDFC LIFE INSURANCE COLTD FUT 28-APR-26</t>
  </si>
  <si>
    <t>HINDALCO INDUSTRIES LTD FUT 30-MAR-26</t>
  </si>
  <si>
    <t>ASIAN PAINTS LTD FUT 30-MAR-26</t>
  </si>
  <si>
    <t>IDFC FIRST BANK LTD FUT 30-MAR-26</t>
  </si>
  <si>
    <t>CROMPT GREA CON ELEC LTD FUT 28-APR-26</t>
  </si>
  <si>
    <t>FSN E-COMMERCE VENTURES FUT 30-MAR-26</t>
  </si>
  <si>
    <t>RELIANCE INDUSTRIES LTD FUT 30-MAR-26</t>
  </si>
  <si>
    <t>ETERNAL LTD FUT 30-MAR-26</t>
  </si>
  <si>
    <t>GRASIM INDUSTRIES LTD FUT 30-MAR-26</t>
  </si>
  <si>
    <t>HINDUSTAN AERONAUTICS LTD FUT 30-MAR-26</t>
  </si>
  <si>
    <t>PUNJAB NATIONAL BANK FUT 28-APR-26</t>
  </si>
  <si>
    <t>NTPC LTD FUT 30-MAR-26</t>
  </si>
  <si>
    <t>INDIAN HOTELS CO LTD FUT 28-APR-26</t>
  </si>
  <si>
    <t>INFOSYS LTD FUT 28-APR-26</t>
  </si>
  <si>
    <t>BANK OF BARODA FUT 28-APR-26</t>
  </si>
  <si>
    <t>SUN PHARMA IND LTD FUT 30-MAR-26</t>
  </si>
  <si>
    <t>LIC HOUSING FIN LTD FUT 30-MAR-26</t>
  </si>
  <si>
    <t>ULTRA TECH CEMENT LTD FUT 30-MAR-26</t>
  </si>
  <si>
    <t>ONGC LTD FUT 28-APR-26</t>
  </si>
  <si>
    <t>BHARAT HEAVY ELECT LTD FUT 30-MAR-26</t>
  </si>
  <si>
    <t>LIC HOUSING FIN LTD FUT 28-APR-26</t>
  </si>
  <si>
    <t>KPIT TECHNOLOGIES LTD FUT 30-MAR-26</t>
  </si>
  <si>
    <t>DLF LTD FUT 28-APR-26</t>
  </si>
  <si>
    <t>IDFC FIRST BANK LTD FUT 28-APR-26</t>
  </si>
  <si>
    <t>BRITANNIA INDUSTRIES LTD FUT 30-MAR-26</t>
  </si>
  <si>
    <t>M&amp;M LTD FUT 28-APR-26</t>
  </si>
  <si>
    <t>BAJAJ FINANCE LTD FUT 28-APR-26</t>
  </si>
  <si>
    <t>TCS LTD FUT 30-MAR-26</t>
  </si>
  <si>
    <t>POLYCAB INDIA LTD FUT 30-MAR-26</t>
  </si>
  <si>
    <t>TCS LTD FUT 28-APR-26</t>
  </si>
  <si>
    <t>LAURUS LABS LTD FUT 28-APR-26</t>
  </si>
  <si>
    <t>BHARTI AIRTEL LTD FUT 30-MAR-26</t>
  </si>
  <si>
    <t>BAJAJ FINANCE LTD FUT 30-MAR-26</t>
  </si>
  <si>
    <t>UPL LTD FUT 30-MAR-26</t>
  </si>
  <si>
    <t>UPL LTD FUT 28-APR-26</t>
  </si>
  <si>
    <t>ICICI BANK LTD FUT 28-APR-26</t>
  </si>
  <si>
    <t>YES BANK LTD FUT 28-APR-26</t>
  </si>
  <si>
    <t>VODAFONE IDEA LTD FUT 28-APR-26</t>
  </si>
  <si>
    <t>MAX FINANCIAL SERVICES LTD FUT 30-MAR-26</t>
  </si>
  <si>
    <t>BAJAJ FINSERV LTD FUT 30-MAR-26</t>
  </si>
  <si>
    <t>BHARAT HEAVY ELECT LTD FUT 28-APR-26</t>
  </si>
  <si>
    <t>KOTAK BANK LTD FUT 30-MAR-26</t>
  </si>
  <si>
    <t>JSW STEEL LTD FUT 30-MAR-26</t>
  </si>
  <si>
    <t>AXIS BANK LTD FUT 30-MAR-26</t>
  </si>
  <si>
    <t>TATA POWER CO LTD FUT 28-APR-26</t>
  </si>
  <si>
    <t>INDIAN OIL CORP LTD FUT 30-MAR-26</t>
  </si>
  <si>
    <t>INTERGLOBE AVIATION LTD FUT 30-MAR-26</t>
  </si>
  <si>
    <t>HDFC AMC LTD FUT 30-MAR-26</t>
  </si>
  <si>
    <t>BANK OF BARODA FUT 30-MAR-26</t>
  </si>
  <si>
    <t>BHARTI AIRTEL LTD FUT 28-APR-26</t>
  </si>
  <si>
    <t>DLF LTD FUT 30-MAR-26</t>
  </si>
  <si>
    <t>KOTAK BANK LTD FUT 28-APR-26</t>
  </si>
  <si>
    <t>ICICI BANK LTD FUT 30-MAR-26</t>
  </si>
  <si>
    <t>GODREJ PROPERTIES LTD FUT 30-MAR-26</t>
  </si>
  <si>
    <t>TATA MOTORS PASS VEHICLES FUT 30-MAR-26</t>
  </si>
  <si>
    <t>ITC LTD FUT 28-APR-26</t>
  </si>
  <si>
    <t>PRESTIGE ESTATES PROJECTS FUT 30-MAR-26</t>
  </si>
  <si>
    <t>RELIANCE INDUSTRIES LTD FUT 28-APR-26</t>
  </si>
  <si>
    <t>HDFC BANK LTD FUT 28-APR-26</t>
  </si>
  <si>
    <t>Industry Classification / Rating</t>
  </si>
  <si>
    <t>Benchmark Risk-O-Meter</t>
  </si>
  <si>
    <t>Benchmark Name - Nifty 50 Arbitrage (TRI)</t>
  </si>
  <si>
    <t>-</t>
  </si>
  <si>
    <t>MULTI COMMODITY EXCHANGE OF IND FUT 30-MAR-26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</si>
</sst>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.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5" fillId="0" borderId="2" xfId="0" applyFont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39" fontId="5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173</xdr:row>
      <xdr:rowOff>47625</xdr:rowOff>
    </xdr:from>
    <xdr:to>
      <xdr:col>3</xdr:col>
      <xdr:colOff>44450</xdr:colOff>
      <xdr:row>189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B580B-00C3-44BF-A746-F6A2D6D0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21631275"/>
          <a:ext cx="46990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192</xdr:row>
      <xdr:rowOff>85725</xdr:rowOff>
    </xdr:from>
    <xdr:to>
      <xdr:col>3</xdr:col>
      <xdr:colOff>107950</xdr:colOff>
      <xdr:row>209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05617-34D9-4293-8E67-425719C0C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24095075"/>
          <a:ext cx="511492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BEF5-2B48-45DB-8F84-FF5D449227CB}">
  <dimension ref="A1:I396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68.7265625" style="8" bestFit="1" customWidth="1"/>
    <col min="3" max="3" width="16.453125" style="8" customWidth="1"/>
    <col min="4" max="4" width="28.26953125" style="8" customWidth="1"/>
    <col min="5" max="5" width="13.7265625" style="9" bestFit="1" customWidth="1"/>
    <col min="6" max="6" width="22.81640625" style="11" bestFit="1" customWidth="1"/>
    <col min="7" max="7" width="12.1796875" style="13" bestFit="1" customWidth="1"/>
    <col min="8" max="8" width="12.54296875" style="8" customWidth="1"/>
    <col min="9" max="16384" width="9.1796875" style="8"/>
  </cols>
  <sheetData>
    <row r="1" spans="1:8" s="1" customFormat="1" ht="16.75" customHeight="1" x14ac:dyDescent="0.35">
      <c r="B1" s="65" t="s">
        <v>7</v>
      </c>
      <c r="C1" s="66"/>
      <c r="D1" s="12"/>
      <c r="E1" s="6"/>
      <c r="F1" s="7"/>
      <c r="G1" s="13"/>
    </row>
    <row r="2" spans="1:8" s="1" customFormat="1" ht="14.5" x14ac:dyDescent="0.35">
      <c r="A2" s="56" t="s">
        <v>264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60" t="s">
        <v>261</v>
      </c>
      <c r="E4" s="17" t="s">
        <v>0</v>
      </c>
      <c r="F4" s="18" t="s">
        <v>1</v>
      </c>
      <c r="G4" s="19" t="s">
        <v>2</v>
      </c>
      <c r="H4" s="47" t="s">
        <v>3</v>
      </c>
    </row>
    <row r="5" spans="1:8" ht="10.5" x14ac:dyDescent="0.25">
      <c r="B5" s="20" t="s">
        <v>24</v>
      </c>
      <c r="C5" s="21"/>
      <c r="D5" s="21"/>
      <c r="E5" s="22"/>
      <c r="F5" s="23"/>
      <c r="G5" s="24"/>
      <c r="H5" s="21"/>
    </row>
    <row r="6" spans="1:8" ht="10.5" x14ac:dyDescent="0.25">
      <c r="B6" s="20" t="s">
        <v>23</v>
      </c>
      <c r="C6" s="21"/>
      <c r="D6" s="21"/>
      <c r="E6" s="22"/>
      <c r="F6" s="23"/>
      <c r="G6" s="24"/>
      <c r="H6" s="21"/>
    </row>
    <row r="7" spans="1:8" x14ac:dyDescent="0.2">
      <c r="B7" s="21" t="s">
        <v>25</v>
      </c>
      <c r="C7" s="21" t="s">
        <v>26</v>
      </c>
      <c r="D7" s="21" t="s">
        <v>27</v>
      </c>
      <c r="E7" s="25">
        <v>331650</v>
      </c>
      <c r="F7" s="23">
        <v>2944.2228749999999</v>
      </c>
      <c r="G7" s="24">
        <v>8.9396278002744705</v>
      </c>
      <c r="H7" s="26"/>
    </row>
    <row r="8" spans="1:8" x14ac:dyDescent="0.2">
      <c r="B8" s="21" t="s">
        <v>30</v>
      </c>
      <c r="C8" s="21" t="s">
        <v>31</v>
      </c>
      <c r="D8" s="21" t="s">
        <v>32</v>
      </c>
      <c r="E8" s="25">
        <v>171000</v>
      </c>
      <c r="F8" s="23">
        <v>2383.569</v>
      </c>
      <c r="G8" s="24">
        <v>7.2372984658209401</v>
      </c>
      <c r="H8" s="26"/>
    </row>
    <row r="9" spans="1:8" x14ac:dyDescent="0.2">
      <c r="B9" s="21" t="s">
        <v>167</v>
      </c>
      <c r="C9" s="21" t="s">
        <v>168</v>
      </c>
      <c r="D9" s="21" t="s">
        <v>130</v>
      </c>
      <c r="E9" s="25">
        <v>58750</v>
      </c>
      <c r="F9" s="23">
        <v>1435.43875</v>
      </c>
      <c r="G9" s="24">
        <v>4.3584635742262696</v>
      </c>
      <c r="H9" s="26"/>
    </row>
    <row r="10" spans="1:8" x14ac:dyDescent="0.2">
      <c r="B10" s="21" t="s">
        <v>159</v>
      </c>
      <c r="C10" s="21" t="s">
        <v>160</v>
      </c>
      <c r="D10" s="21" t="s">
        <v>129</v>
      </c>
      <c r="E10" s="25">
        <v>95400</v>
      </c>
      <c r="F10" s="23">
        <v>1328.922</v>
      </c>
      <c r="G10" s="24">
        <v>4.0350437313942704</v>
      </c>
      <c r="H10" s="26"/>
    </row>
    <row r="11" spans="1:8" x14ac:dyDescent="0.2">
      <c r="B11" s="21" t="s">
        <v>41</v>
      </c>
      <c r="C11" s="21" t="s">
        <v>42</v>
      </c>
      <c r="D11" s="21" t="s">
        <v>27</v>
      </c>
      <c r="E11" s="25">
        <v>284000</v>
      </c>
      <c r="F11" s="23">
        <v>1179.1679999999999</v>
      </c>
      <c r="G11" s="24">
        <v>3.5803413944992402</v>
      </c>
      <c r="H11" s="26"/>
    </row>
    <row r="12" spans="1:8" x14ac:dyDescent="0.2">
      <c r="B12" s="21" t="s">
        <v>28</v>
      </c>
      <c r="C12" s="21" t="s">
        <v>29</v>
      </c>
      <c r="D12" s="21" t="s">
        <v>27</v>
      </c>
      <c r="E12" s="25">
        <v>79800</v>
      </c>
      <c r="F12" s="23">
        <v>1100.3622</v>
      </c>
      <c r="G12" s="24">
        <v>3.3410610986748699</v>
      </c>
      <c r="H12" s="26"/>
    </row>
    <row r="13" spans="1:8" x14ac:dyDescent="0.2">
      <c r="B13" s="21" t="s">
        <v>46</v>
      </c>
      <c r="C13" s="21" t="s">
        <v>47</v>
      </c>
      <c r="D13" s="21" t="s">
        <v>48</v>
      </c>
      <c r="E13" s="25">
        <v>316800</v>
      </c>
      <c r="F13" s="23">
        <v>993.48479999999995</v>
      </c>
      <c r="G13" s="24">
        <v>3.0165462039724602</v>
      </c>
      <c r="H13" s="26"/>
    </row>
    <row r="14" spans="1:8" x14ac:dyDescent="0.2">
      <c r="B14" s="21" t="s">
        <v>33</v>
      </c>
      <c r="C14" s="21" t="s">
        <v>34</v>
      </c>
      <c r="D14" s="21" t="s">
        <v>35</v>
      </c>
      <c r="E14" s="25">
        <v>48925</v>
      </c>
      <c r="F14" s="23">
        <v>919.44752500000004</v>
      </c>
      <c r="G14" s="24">
        <v>2.7917447164673499</v>
      </c>
      <c r="H14" s="26"/>
    </row>
    <row r="15" spans="1:8" x14ac:dyDescent="0.2">
      <c r="B15" s="21" t="s">
        <v>96</v>
      </c>
      <c r="C15" s="21" t="s">
        <v>97</v>
      </c>
      <c r="D15" s="21" t="s">
        <v>45</v>
      </c>
      <c r="E15" s="25">
        <v>232800</v>
      </c>
      <c r="F15" s="23">
        <v>890.80920000000003</v>
      </c>
      <c r="G15" s="24">
        <v>2.7047893543250399</v>
      </c>
      <c r="H15" s="26"/>
    </row>
    <row r="16" spans="1:8" x14ac:dyDescent="0.2">
      <c r="B16" s="21" t="s">
        <v>155</v>
      </c>
      <c r="C16" s="21" t="s">
        <v>156</v>
      </c>
      <c r="D16" s="21" t="s">
        <v>129</v>
      </c>
      <c r="E16" s="25">
        <v>48950</v>
      </c>
      <c r="F16" s="23">
        <v>847.32449999999994</v>
      </c>
      <c r="G16" s="24">
        <v>2.57275552077683</v>
      </c>
      <c r="H16" s="26"/>
    </row>
    <row r="17" spans="2:8" x14ac:dyDescent="0.2">
      <c r="B17" s="21" t="s">
        <v>127</v>
      </c>
      <c r="C17" s="21" t="s">
        <v>128</v>
      </c>
      <c r="D17" s="21" t="s">
        <v>129</v>
      </c>
      <c r="E17" s="25">
        <v>139425</v>
      </c>
      <c r="F17" s="23">
        <v>841.91786249999996</v>
      </c>
      <c r="G17" s="24">
        <v>2.5563391932931201</v>
      </c>
      <c r="H17" s="26"/>
    </row>
    <row r="18" spans="2:8" x14ac:dyDescent="0.2">
      <c r="B18" s="21" t="s">
        <v>116</v>
      </c>
      <c r="C18" s="21" t="s">
        <v>117</v>
      </c>
      <c r="D18" s="21" t="s">
        <v>27</v>
      </c>
      <c r="E18" s="25">
        <v>213525</v>
      </c>
      <c r="F18" s="23">
        <v>687.4437375</v>
      </c>
      <c r="G18" s="24">
        <v>2.0873050063778198</v>
      </c>
      <c r="H18" s="26"/>
    </row>
    <row r="19" spans="2:8" x14ac:dyDescent="0.2">
      <c r="B19" s="21" t="s">
        <v>150</v>
      </c>
      <c r="C19" s="21" t="s">
        <v>151</v>
      </c>
      <c r="D19" s="21" t="s">
        <v>152</v>
      </c>
      <c r="E19" s="25">
        <v>97560</v>
      </c>
      <c r="F19" s="23">
        <v>621.84744000000001</v>
      </c>
      <c r="G19" s="24">
        <v>1.88813309935088</v>
      </c>
      <c r="H19" s="26"/>
    </row>
    <row r="20" spans="2:8" x14ac:dyDescent="0.2">
      <c r="B20" s="21" t="s">
        <v>142</v>
      </c>
      <c r="C20" s="21" t="s">
        <v>143</v>
      </c>
      <c r="D20" s="21" t="s">
        <v>121</v>
      </c>
      <c r="E20" s="25">
        <v>217875</v>
      </c>
      <c r="F20" s="23">
        <v>577.25981249999995</v>
      </c>
      <c r="G20" s="24">
        <v>1.75275041561051</v>
      </c>
      <c r="H20" s="26"/>
    </row>
    <row r="21" spans="2:8" x14ac:dyDescent="0.2">
      <c r="B21" s="21" t="s">
        <v>132</v>
      </c>
      <c r="C21" s="21" t="s">
        <v>133</v>
      </c>
      <c r="D21" s="21" t="s">
        <v>130</v>
      </c>
      <c r="E21" s="25">
        <v>19800</v>
      </c>
      <c r="F21" s="23">
        <v>534.32280000000003</v>
      </c>
      <c r="G21" s="24">
        <v>1.6223795412229101</v>
      </c>
      <c r="H21" s="26"/>
    </row>
    <row r="22" spans="2:8" x14ac:dyDescent="0.2">
      <c r="B22" s="21" t="s">
        <v>79</v>
      </c>
      <c r="C22" s="21" t="s">
        <v>80</v>
      </c>
      <c r="D22" s="21" t="s">
        <v>81</v>
      </c>
      <c r="E22" s="25">
        <v>10950</v>
      </c>
      <c r="F22" s="23">
        <v>528.57839999999999</v>
      </c>
      <c r="G22" s="24">
        <v>1.60493765583715</v>
      </c>
      <c r="H22" s="26"/>
    </row>
    <row r="23" spans="2:8" x14ac:dyDescent="0.2">
      <c r="B23" s="21" t="s">
        <v>112</v>
      </c>
      <c r="C23" s="21" t="s">
        <v>113</v>
      </c>
      <c r="D23" s="21" t="s">
        <v>32</v>
      </c>
      <c r="E23" s="25">
        <v>273000</v>
      </c>
      <c r="F23" s="23">
        <v>511.79309999999998</v>
      </c>
      <c r="G23" s="24">
        <v>1.55397197121113</v>
      </c>
      <c r="H23" s="26"/>
    </row>
    <row r="24" spans="2:8" x14ac:dyDescent="0.2">
      <c r="B24" s="21" t="s">
        <v>114</v>
      </c>
      <c r="C24" s="21" t="s">
        <v>115</v>
      </c>
      <c r="D24" s="21" t="s">
        <v>59</v>
      </c>
      <c r="E24" s="25">
        <v>124700</v>
      </c>
      <c r="F24" s="23">
        <v>470.80484999999999</v>
      </c>
      <c r="G24" s="24">
        <v>1.4295181799251699</v>
      </c>
      <c r="H24" s="26"/>
    </row>
    <row r="25" spans="2:8" x14ac:dyDescent="0.2">
      <c r="B25" s="21" t="s">
        <v>39</v>
      </c>
      <c r="C25" s="21" t="s">
        <v>40</v>
      </c>
      <c r="D25" s="21" t="s">
        <v>27</v>
      </c>
      <c r="E25" s="25">
        <v>33750</v>
      </c>
      <c r="F25" s="23">
        <v>467.06625000000003</v>
      </c>
      <c r="G25" s="24">
        <v>1.41816656222737</v>
      </c>
      <c r="H25" s="26"/>
    </row>
    <row r="26" spans="2:8" x14ac:dyDescent="0.2">
      <c r="B26" s="21" t="s">
        <v>72</v>
      </c>
      <c r="C26" s="21" t="s">
        <v>73</v>
      </c>
      <c r="D26" s="21" t="s">
        <v>64</v>
      </c>
      <c r="E26" s="25">
        <v>35775</v>
      </c>
      <c r="F26" s="23">
        <v>452.44642499999998</v>
      </c>
      <c r="G26" s="24">
        <v>1.3737759710411901</v>
      </c>
      <c r="H26" s="26"/>
    </row>
    <row r="27" spans="2:8" x14ac:dyDescent="0.2">
      <c r="B27" s="21" t="s">
        <v>74</v>
      </c>
      <c r="C27" s="21" t="s">
        <v>75</v>
      </c>
      <c r="D27" s="21" t="s">
        <v>53</v>
      </c>
      <c r="E27" s="25">
        <v>22250</v>
      </c>
      <c r="F27" s="23">
        <v>443.53149999999999</v>
      </c>
      <c r="G27" s="24">
        <v>1.3467073302653501</v>
      </c>
      <c r="H27" s="26"/>
    </row>
    <row r="28" spans="2:8" x14ac:dyDescent="0.2">
      <c r="B28" s="21" t="s">
        <v>51</v>
      </c>
      <c r="C28" s="21" t="s">
        <v>52</v>
      </c>
      <c r="D28" s="21" t="s">
        <v>53</v>
      </c>
      <c r="E28" s="25">
        <v>43500</v>
      </c>
      <c r="F28" s="23">
        <v>433.2165</v>
      </c>
      <c r="G28" s="24">
        <v>1.3153876018769799</v>
      </c>
      <c r="H28" s="26"/>
    </row>
    <row r="29" spans="2:8" x14ac:dyDescent="0.2">
      <c r="B29" s="21" t="s">
        <v>49</v>
      </c>
      <c r="C29" s="21" t="s">
        <v>50</v>
      </c>
      <c r="D29" s="21" t="s">
        <v>38</v>
      </c>
      <c r="E29" s="25">
        <v>16100</v>
      </c>
      <c r="F29" s="23">
        <v>424.62139999999999</v>
      </c>
      <c r="G29" s="24">
        <v>1.2892900548609001</v>
      </c>
      <c r="H29" s="26"/>
    </row>
    <row r="30" spans="2:8" x14ac:dyDescent="0.2">
      <c r="B30" s="21" t="s">
        <v>153</v>
      </c>
      <c r="C30" s="21" t="s">
        <v>154</v>
      </c>
      <c r="D30" s="21" t="s">
        <v>35</v>
      </c>
      <c r="E30" s="25">
        <v>3931125</v>
      </c>
      <c r="F30" s="23">
        <v>416.30613749999998</v>
      </c>
      <c r="G30" s="24">
        <v>1.2640421864190201</v>
      </c>
      <c r="H30" s="26"/>
    </row>
    <row r="31" spans="2:8" x14ac:dyDescent="0.2">
      <c r="B31" s="21" t="s">
        <v>144</v>
      </c>
      <c r="C31" s="21" t="s">
        <v>145</v>
      </c>
      <c r="D31" s="21" t="s">
        <v>27</v>
      </c>
      <c r="E31" s="25">
        <v>1959300</v>
      </c>
      <c r="F31" s="23">
        <v>405.96695999999997</v>
      </c>
      <c r="G31" s="24">
        <v>1.2326490471985501</v>
      </c>
      <c r="H31" s="26"/>
    </row>
    <row r="32" spans="2:8" x14ac:dyDescent="0.2">
      <c r="B32" s="21" t="s">
        <v>138</v>
      </c>
      <c r="C32" s="21" t="s">
        <v>139</v>
      </c>
      <c r="D32" s="21" t="s">
        <v>90</v>
      </c>
      <c r="E32" s="25">
        <v>22000</v>
      </c>
      <c r="F32" s="23">
        <v>398.94799999999998</v>
      </c>
      <c r="G32" s="24">
        <v>1.21133717897083</v>
      </c>
      <c r="H32" s="26"/>
    </row>
    <row r="33" spans="2:8" x14ac:dyDescent="0.2">
      <c r="B33" s="21" t="s">
        <v>161</v>
      </c>
      <c r="C33" s="21" t="s">
        <v>162</v>
      </c>
      <c r="D33" s="21" t="s">
        <v>53</v>
      </c>
      <c r="E33" s="25">
        <v>52000</v>
      </c>
      <c r="F33" s="23">
        <v>279.63</v>
      </c>
      <c r="G33" s="24">
        <v>0.84904853603881802</v>
      </c>
      <c r="H33" s="26"/>
    </row>
    <row r="34" spans="2:8" x14ac:dyDescent="0.2">
      <c r="B34" s="21" t="s">
        <v>169</v>
      </c>
      <c r="C34" s="21" t="s">
        <v>170</v>
      </c>
      <c r="D34" s="21" t="s">
        <v>56</v>
      </c>
      <c r="E34" s="25">
        <v>22950</v>
      </c>
      <c r="F34" s="23">
        <v>246.89609999999999</v>
      </c>
      <c r="G34" s="24">
        <v>0.74965766283551005</v>
      </c>
      <c r="H34" s="26"/>
    </row>
    <row r="35" spans="2:8" x14ac:dyDescent="0.2">
      <c r="B35" s="21" t="s">
        <v>140</v>
      </c>
      <c r="C35" s="21" t="s">
        <v>141</v>
      </c>
      <c r="D35" s="21" t="s">
        <v>131</v>
      </c>
      <c r="E35" s="25">
        <v>2500</v>
      </c>
      <c r="F35" s="23">
        <v>215.26249999999999</v>
      </c>
      <c r="G35" s="24">
        <v>0.65360766187124497</v>
      </c>
      <c r="H35" s="26"/>
    </row>
    <row r="36" spans="2:8" x14ac:dyDescent="0.2">
      <c r="B36" s="21" t="s">
        <v>136</v>
      </c>
      <c r="C36" s="21" t="s">
        <v>137</v>
      </c>
      <c r="D36" s="21" t="s">
        <v>27</v>
      </c>
      <c r="E36" s="25">
        <v>287525</v>
      </c>
      <c r="F36" s="23">
        <v>211.27337</v>
      </c>
      <c r="G36" s="24">
        <v>0.64149535279650804</v>
      </c>
      <c r="H36" s="26"/>
    </row>
    <row r="37" spans="2:8" x14ac:dyDescent="0.2">
      <c r="B37" s="21" t="s">
        <v>43</v>
      </c>
      <c r="C37" s="21" t="s">
        <v>44</v>
      </c>
      <c r="D37" s="21" t="s">
        <v>45</v>
      </c>
      <c r="E37" s="25">
        <v>5200</v>
      </c>
      <c r="F37" s="23">
        <v>176.66480000000001</v>
      </c>
      <c r="G37" s="24">
        <v>0.53641236566030304</v>
      </c>
      <c r="H37" s="26"/>
    </row>
    <row r="38" spans="2:8" x14ac:dyDescent="0.2">
      <c r="B38" s="21" t="s">
        <v>110</v>
      </c>
      <c r="C38" s="21" t="s">
        <v>111</v>
      </c>
      <c r="D38" s="21" t="s">
        <v>89</v>
      </c>
      <c r="E38" s="25">
        <v>2750</v>
      </c>
      <c r="F38" s="23">
        <v>165.06874999999999</v>
      </c>
      <c r="G38" s="24">
        <v>0.50120294865807602</v>
      </c>
      <c r="H38" s="26"/>
    </row>
    <row r="39" spans="2:8" x14ac:dyDescent="0.2">
      <c r="B39" s="21" t="s">
        <v>165</v>
      </c>
      <c r="C39" s="21" t="s">
        <v>166</v>
      </c>
      <c r="D39" s="21" t="s">
        <v>38</v>
      </c>
      <c r="E39" s="25">
        <v>19975</v>
      </c>
      <c r="F39" s="23">
        <v>154.02722499999999</v>
      </c>
      <c r="G39" s="24">
        <v>0.467677251712519</v>
      </c>
      <c r="H39" s="26"/>
    </row>
    <row r="40" spans="2:8" x14ac:dyDescent="0.2">
      <c r="B40" s="21" t="s">
        <v>82</v>
      </c>
      <c r="C40" s="21" t="s">
        <v>83</v>
      </c>
      <c r="D40" s="21" t="s">
        <v>84</v>
      </c>
      <c r="E40" s="25">
        <v>51750</v>
      </c>
      <c r="F40" s="23">
        <v>144.74475000000001</v>
      </c>
      <c r="G40" s="24">
        <v>0.43949260839968801</v>
      </c>
      <c r="H40" s="26"/>
    </row>
    <row r="41" spans="2:8" x14ac:dyDescent="0.2">
      <c r="B41" s="21" t="s">
        <v>54</v>
      </c>
      <c r="C41" s="21" t="s">
        <v>55</v>
      </c>
      <c r="D41" s="21" t="s">
        <v>56</v>
      </c>
      <c r="E41" s="25">
        <v>8050</v>
      </c>
      <c r="F41" s="23">
        <v>139.82849999999999</v>
      </c>
      <c r="G41" s="24">
        <v>0.42456525845404303</v>
      </c>
      <c r="H41" s="26"/>
    </row>
    <row r="42" spans="2:8" x14ac:dyDescent="0.2">
      <c r="B42" s="21" t="s">
        <v>66</v>
      </c>
      <c r="C42" s="21" t="s">
        <v>67</v>
      </c>
      <c r="D42" s="21" t="s">
        <v>68</v>
      </c>
      <c r="E42" s="25">
        <v>1100</v>
      </c>
      <c r="F42" s="23">
        <v>139.447</v>
      </c>
      <c r="G42" s="24">
        <v>0.42340689913458901</v>
      </c>
      <c r="H42" s="26"/>
    </row>
    <row r="43" spans="2:8" x14ac:dyDescent="0.2">
      <c r="B43" s="21" t="s">
        <v>36</v>
      </c>
      <c r="C43" s="21" t="s">
        <v>37</v>
      </c>
      <c r="D43" s="21" t="s">
        <v>38</v>
      </c>
      <c r="E43" s="25">
        <v>8400</v>
      </c>
      <c r="F43" s="23">
        <v>109.2084</v>
      </c>
      <c r="G43" s="24">
        <v>0.33159257641577</v>
      </c>
      <c r="H43" s="26"/>
    </row>
    <row r="44" spans="2:8" x14ac:dyDescent="0.2">
      <c r="B44" s="21" t="s">
        <v>118</v>
      </c>
      <c r="C44" s="21" t="s">
        <v>119</v>
      </c>
      <c r="D44" s="21" t="s">
        <v>120</v>
      </c>
      <c r="E44" s="25">
        <v>16000</v>
      </c>
      <c r="F44" s="23">
        <v>106.72799999999999</v>
      </c>
      <c r="G44" s="24">
        <v>0.32406126722580197</v>
      </c>
      <c r="H44" s="26"/>
    </row>
    <row r="45" spans="2:8" x14ac:dyDescent="0.2">
      <c r="B45" s="21" t="s">
        <v>57</v>
      </c>
      <c r="C45" s="21" t="s">
        <v>58</v>
      </c>
      <c r="D45" s="21" t="s">
        <v>59</v>
      </c>
      <c r="E45" s="25">
        <v>25500</v>
      </c>
      <c r="F45" s="23">
        <v>97.384500000000003</v>
      </c>
      <c r="G45" s="24">
        <v>0.29569133196678599</v>
      </c>
      <c r="H45" s="26"/>
    </row>
    <row r="46" spans="2:8" x14ac:dyDescent="0.2">
      <c r="B46" s="21" t="s">
        <v>125</v>
      </c>
      <c r="C46" s="21" t="s">
        <v>126</v>
      </c>
      <c r="D46" s="21" t="s">
        <v>27</v>
      </c>
      <c r="E46" s="25">
        <v>72000</v>
      </c>
      <c r="F46" s="23">
        <v>93.196799999999996</v>
      </c>
      <c r="G46" s="24">
        <v>0.28297609914352001</v>
      </c>
      <c r="H46" s="26"/>
    </row>
    <row r="47" spans="2:8" x14ac:dyDescent="0.2">
      <c r="B47" s="21" t="s">
        <v>108</v>
      </c>
      <c r="C47" s="21" t="s">
        <v>109</v>
      </c>
      <c r="D47" s="21" t="s">
        <v>65</v>
      </c>
      <c r="E47" s="25">
        <v>2250</v>
      </c>
      <c r="F47" s="23">
        <v>88.046999999999997</v>
      </c>
      <c r="G47" s="24">
        <v>0.26733961467871797</v>
      </c>
      <c r="H47" s="26"/>
    </row>
    <row r="48" spans="2:8" x14ac:dyDescent="0.2">
      <c r="B48" s="21" t="s">
        <v>87</v>
      </c>
      <c r="C48" s="21" t="s">
        <v>88</v>
      </c>
      <c r="D48" s="21" t="s">
        <v>68</v>
      </c>
      <c r="E48" s="25">
        <v>3000</v>
      </c>
      <c r="F48" s="23">
        <v>83.994</v>
      </c>
      <c r="G48" s="24">
        <v>0.255033375303238</v>
      </c>
      <c r="H48" s="26"/>
    </row>
    <row r="49" spans="2:8" x14ac:dyDescent="0.2">
      <c r="B49" s="21" t="s">
        <v>171</v>
      </c>
      <c r="C49" s="21" t="s">
        <v>172</v>
      </c>
      <c r="D49" s="21" t="s">
        <v>60</v>
      </c>
      <c r="E49" s="25">
        <v>30600</v>
      </c>
      <c r="F49" s="23">
        <v>78.902100000000004</v>
      </c>
      <c r="G49" s="24">
        <v>0.239572694258086</v>
      </c>
      <c r="H49" s="26"/>
    </row>
    <row r="50" spans="2:8" x14ac:dyDescent="0.2">
      <c r="B50" s="21" t="s">
        <v>61</v>
      </c>
      <c r="C50" s="21" t="s">
        <v>62</v>
      </c>
      <c r="D50" s="21" t="s">
        <v>63</v>
      </c>
      <c r="E50" s="25">
        <v>26675</v>
      </c>
      <c r="F50" s="23">
        <v>65.700524999999999</v>
      </c>
      <c r="G50" s="24">
        <v>0.19948837595476801</v>
      </c>
      <c r="H50" s="26"/>
    </row>
    <row r="51" spans="2:8" x14ac:dyDescent="0.2">
      <c r="B51" s="21" t="s">
        <v>146</v>
      </c>
      <c r="C51" s="21" t="s">
        <v>147</v>
      </c>
      <c r="D51" s="21" t="s">
        <v>63</v>
      </c>
      <c r="E51" s="25">
        <v>21875</v>
      </c>
      <c r="F51" s="23">
        <v>58.073749999999997</v>
      </c>
      <c r="G51" s="24">
        <v>0.17633098172508099</v>
      </c>
      <c r="H51" s="26"/>
    </row>
    <row r="52" spans="2:8" x14ac:dyDescent="0.2">
      <c r="B52" s="21" t="s">
        <v>85</v>
      </c>
      <c r="C52" s="21" t="s">
        <v>86</v>
      </c>
      <c r="D52" s="21" t="s">
        <v>60</v>
      </c>
      <c r="E52" s="25">
        <v>2000</v>
      </c>
      <c r="F52" s="23">
        <v>47.524000000000001</v>
      </c>
      <c r="G52" s="24">
        <v>0.144298475223362</v>
      </c>
      <c r="H52" s="26"/>
    </row>
    <row r="53" spans="2:8" x14ac:dyDescent="0.2">
      <c r="B53" s="21" t="s">
        <v>69</v>
      </c>
      <c r="C53" s="21" t="s">
        <v>70</v>
      </c>
      <c r="D53" s="21" t="s">
        <v>71</v>
      </c>
      <c r="E53" s="25">
        <v>4900</v>
      </c>
      <c r="F53" s="23">
        <v>45.310299999999998</v>
      </c>
      <c r="G53" s="24">
        <v>0.13757695484203999</v>
      </c>
      <c r="H53" s="26"/>
    </row>
    <row r="54" spans="2:8" x14ac:dyDescent="0.2">
      <c r="B54" s="21" t="s">
        <v>98</v>
      </c>
      <c r="C54" s="21" t="s">
        <v>99</v>
      </c>
      <c r="D54" s="21" t="s">
        <v>90</v>
      </c>
      <c r="E54" s="25">
        <v>5500</v>
      </c>
      <c r="F54" s="23">
        <v>39.341500000000003</v>
      </c>
      <c r="G54" s="24">
        <v>0.119453717342814</v>
      </c>
      <c r="H54" s="26"/>
    </row>
    <row r="55" spans="2:8" x14ac:dyDescent="0.2">
      <c r="B55" s="21" t="s">
        <v>163</v>
      </c>
      <c r="C55" s="21" t="s">
        <v>164</v>
      </c>
      <c r="D55" s="21" t="s">
        <v>68</v>
      </c>
      <c r="E55" s="25">
        <v>1950</v>
      </c>
      <c r="F55" s="23">
        <v>38.863500000000002</v>
      </c>
      <c r="G55" s="24">
        <v>0.118002352323945</v>
      </c>
      <c r="H55" s="26"/>
    </row>
    <row r="56" spans="2:8" x14ac:dyDescent="0.2">
      <c r="B56" s="21" t="s">
        <v>76</v>
      </c>
      <c r="C56" s="21" t="s">
        <v>77</v>
      </c>
      <c r="D56" s="21" t="s">
        <v>78</v>
      </c>
      <c r="E56" s="25">
        <v>1900</v>
      </c>
      <c r="F56" s="23">
        <v>28.899000000000001</v>
      </c>
      <c r="G56" s="24">
        <v>8.7746857071794193E-2</v>
      </c>
      <c r="H56" s="26"/>
    </row>
    <row r="57" spans="2:8" x14ac:dyDescent="0.2">
      <c r="B57" s="21" t="s">
        <v>100</v>
      </c>
      <c r="C57" s="21" t="s">
        <v>101</v>
      </c>
      <c r="D57" s="21" t="s">
        <v>56</v>
      </c>
      <c r="E57" s="25">
        <v>1875</v>
      </c>
      <c r="F57" s="23">
        <v>25.278749999999999</v>
      </c>
      <c r="G57" s="24">
        <v>7.6754588850950503E-2</v>
      </c>
      <c r="H57" s="26"/>
    </row>
    <row r="58" spans="2:8" x14ac:dyDescent="0.2">
      <c r="B58" s="21" t="s">
        <v>102</v>
      </c>
      <c r="C58" s="21" t="s">
        <v>103</v>
      </c>
      <c r="D58" s="21" t="s">
        <v>104</v>
      </c>
      <c r="E58" s="25">
        <v>2200</v>
      </c>
      <c r="F58" s="23">
        <v>25.102</v>
      </c>
      <c r="G58" s="24">
        <v>7.6217917790102702E-2</v>
      </c>
      <c r="H58" s="26"/>
    </row>
    <row r="59" spans="2:8" x14ac:dyDescent="0.2">
      <c r="B59" s="21" t="s">
        <v>134</v>
      </c>
      <c r="C59" s="21" t="s">
        <v>135</v>
      </c>
      <c r="D59" s="21" t="s">
        <v>95</v>
      </c>
      <c r="E59" s="25">
        <v>2325</v>
      </c>
      <c r="F59" s="23">
        <v>21.916612499999999</v>
      </c>
      <c r="G59" s="24">
        <v>6.6546034967832707E-2</v>
      </c>
      <c r="H59" s="26"/>
    </row>
    <row r="60" spans="2:8" x14ac:dyDescent="0.2">
      <c r="B60" s="21" t="s">
        <v>148</v>
      </c>
      <c r="C60" s="21" t="s">
        <v>149</v>
      </c>
      <c r="D60" s="21" t="s">
        <v>78</v>
      </c>
      <c r="E60" s="25">
        <v>20925</v>
      </c>
      <c r="F60" s="23">
        <v>21.056827500000001</v>
      </c>
      <c r="G60" s="24">
        <v>6.3935445275889305E-2</v>
      </c>
      <c r="H60" s="26"/>
    </row>
    <row r="61" spans="2:8" x14ac:dyDescent="0.2">
      <c r="B61" s="21" t="s">
        <v>157</v>
      </c>
      <c r="C61" s="21" t="s">
        <v>158</v>
      </c>
      <c r="D61" s="21" t="s">
        <v>90</v>
      </c>
      <c r="E61" s="25">
        <v>2775</v>
      </c>
      <c r="F61" s="23">
        <v>18.162375000000001</v>
      </c>
      <c r="G61" s="24">
        <v>5.5146936683253003E-2</v>
      </c>
      <c r="H61" s="26"/>
    </row>
    <row r="62" spans="2:8" x14ac:dyDescent="0.2">
      <c r="B62" s="21" t="s">
        <v>122</v>
      </c>
      <c r="C62" s="21" t="s">
        <v>123</v>
      </c>
      <c r="D62" s="21" t="s">
        <v>124</v>
      </c>
      <c r="E62" s="25">
        <v>9450</v>
      </c>
      <c r="F62" s="23">
        <v>16.020585000000001</v>
      </c>
      <c r="G62" s="24">
        <v>4.8643758683744397E-2</v>
      </c>
      <c r="H62" s="26"/>
    </row>
    <row r="63" spans="2:8" x14ac:dyDescent="0.2">
      <c r="B63" s="21" t="s">
        <v>91</v>
      </c>
      <c r="C63" s="21" t="s">
        <v>92</v>
      </c>
      <c r="D63" s="21" t="s">
        <v>63</v>
      </c>
      <c r="E63" s="25">
        <v>400</v>
      </c>
      <c r="F63" s="23">
        <v>15.598000000000001</v>
      </c>
      <c r="G63" s="24">
        <v>4.7360651808223297E-2</v>
      </c>
      <c r="H63" s="26"/>
    </row>
    <row r="64" spans="2:8" x14ac:dyDescent="0.2">
      <c r="B64" s="21" t="s">
        <v>93</v>
      </c>
      <c r="C64" s="21" t="s">
        <v>94</v>
      </c>
      <c r="D64" s="21" t="s">
        <v>95</v>
      </c>
      <c r="E64" s="25">
        <v>525</v>
      </c>
      <c r="F64" s="23">
        <v>5.7327374999999998</v>
      </c>
      <c r="G64" s="24">
        <v>1.74064742047342E-2</v>
      </c>
      <c r="H64" s="26"/>
    </row>
    <row r="65" spans="2:9" ht="10.5" x14ac:dyDescent="0.25">
      <c r="B65" s="20" t="s">
        <v>10</v>
      </c>
      <c r="C65" s="20"/>
      <c r="D65" s="20"/>
      <c r="E65" s="27"/>
      <c r="F65" s="28">
        <f>SUM(F7:F64)</f>
        <v>25241.704282499999</v>
      </c>
      <c r="G65" s="29">
        <f>SUM(G7:G64)</f>
        <v>76.64210588342236</v>
      </c>
      <c r="H65" s="20"/>
      <c r="I65" s="14"/>
    </row>
    <row r="66" spans="2:9" ht="10.5" x14ac:dyDescent="0.25">
      <c r="B66" s="20" t="s">
        <v>105</v>
      </c>
      <c r="C66" s="20"/>
      <c r="D66" s="20"/>
      <c r="E66" s="27"/>
      <c r="F66" s="44" t="s">
        <v>106</v>
      </c>
      <c r="G66" s="45" t="s">
        <v>106</v>
      </c>
      <c r="H66" s="20"/>
      <c r="I66" s="14"/>
    </row>
    <row r="67" spans="2:9" ht="10.5" x14ac:dyDescent="0.25">
      <c r="B67" s="20" t="s">
        <v>10</v>
      </c>
      <c r="C67" s="20"/>
      <c r="D67" s="20"/>
      <c r="E67" s="27"/>
      <c r="F67" s="42" t="s">
        <v>106</v>
      </c>
      <c r="G67" s="43" t="s">
        <v>106</v>
      </c>
      <c r="H67" s="20"/>
      <c r="I67" s="14"/>
    </row>
    <row r="68" spans="2:9" ht="10.5" x14ac:dyDescent="0.25">
      <c r="B68" s="32" t="s">
        <v>8</v>
      </c>
      <c r="C68" s="32"/>
      <c r="D68" s="32"/>
      <c r="E68" s="33"/>
      <c r="F68" s="34">
        <f>F65</f>
        <v>25241.704282499999</v>
      </c>
      <c r="G68" s="35">
        <f>G65</f>
        <v>76.64210588342236</v>
      </c>
      <c r="H68" s="20"/>
      <c r="I68" s="14"/>
    </row>
    <row r="69" spans="2:9" ht="10.5" x14ac:dyDescent="0.25">
      <c r="B69" s="20" t="s">
        <v>11</v>
      </c>
      <c r="C69" s="21"/>
      <c r="D69" s="21"/>
      <c r="E69" s="22"/>
      <c r="F69" s="23"/>
      <c r="G69" s="24"/>
      <c r="H69" s="21"/>
    </row>
    <row r="70" spans="2:9" x14ac:dyDescent="0.2">
      <c r="B70" s="21" t="s">
        <v>12</v>
      </c>
      <c r="C70" s="21" t="s">
        <v>13</v>
      </c>
      <c r="D70" s="21" t="s">
        <v>9</v>
      </c>
      <c r="E70" s="25">
        <v>100</v>
      </c>
      <c r="F70" s="23">
        <v>498.53399999999999</v>
      </c>
      <c r="G70" s="24">
        <v>1.51371298811135</v>
      </c>
      <c r="H70" s="26">
        <v>5.6491E-2</v>
      </c>
    </row>
    <row r="71" spans="2:9" ht="10.5" x14ac:dyDescent="0.25">
      <c r="B71" s="21" t="s">
        <v>10</v>
      </c>
      <c r="C71" s="20"/>
      <c r="D71" s="20"/>
      <c r="E71" s="27"/>
      <c r="F71" s="28">
        <f>SUM(F69:F70)</f>
        <v>498.53399999999999</v>
      </c>
      <c r="G71" s="29">
        <f>SUM(G69:G70)</f>
        <v>1.51371298811135</v>
      </c>
      <c r="H71" s="20"/>
      <c r="I71" s="14"/>
    </row>
    <row r="72" spans="2:9" ht="10.5" x14ac:dyDescent="0.25">
      <c r="B72" s="20" t="s">
        <v>14</v>
      </c>
      <c r="C72" s="21"/>
      <c r="D72" s="21"/>
      <c r="E72" s="22"/>
      <c r="F72" s="23"/>
      <c r="G72" s="24"/>
      <c r="H72" s="21"/>
    </row>
    <row r="73" spans="2:9" x14ac:dyDescent="0.2">
      <c r="B73" s="21" t="s">
        <v>21</v>
      </c>
      <c r="C73" s="21" t="s">
        <v>22</v>
      </c>
      <c r="D73" s="21" t="s">
        <v>16</v>
      </c>
      <c r="E73" s="25">
        <v>500000</v>
      </c>
      <c r="F73" s="23">
        <v>495.23649999999998</v>
      </c>
      <c r="G73" s="24">
        <v>1.50370069491109</v>
      </c>
      <c r="H73" s="26">
        <v>5.2400000000000002E-2</v>
      </c>
    </row>
    <row r="74" spans="2:9" ht="10.5" x14ac:dyDescent="0.25">
      <c r="B74" s="20" t="s">
        <v>10</v>
      </c>
      <c r="C74" s="20"/>
      <c r="D74" s="20"/>
      <c r="E74" s="27"/>
      <c r="F74" s="30">
        <f>SUM(F72:F73)</f>
        <v>495.23649999999998</v>
      </c>
      <c r="G74" s="31">
        <f>SUM(G72:G73)</f>
        <v>1.50370069491109</v>
      </c>
      <c r="H74" s="20"/>
      <c r="I74" s="14"/>
    </row>
    <row r="75" spans="2:9" ht="10.5" x14ac:dyDescent="0.25">
      <c r="B75" s="32" t="s">
        <v>15</v>
      </c>
      <c r="C75" s="32"/>
      <c r="D75" s="32"/>
      <c r="E75" s="33"/>
      <c r="F75" s="34">
        <f>+F71+F74</f>
        <v>993.77049999999997</v>
      </c>
      <c r="G75" s="35">
        <f>+G71+G74</f>
        <v>3.0174136830224398</v>
      </c>
      <c r="H75" s="20"/>
      <c r="I75" s="14"/>
    </row>
    <row r="76" spans="2:9" ht="10.5" x14ac:dyDescent="0.25">
      <c r="B76" s="20" t="s">
        <v>177</v>
      </c>
      <c r="C76" s="21"/>
      <c r="D76" s="21"/>
      <c r="E76" s="22"/>
      <c r="F76" s="23"/>
      <c r="G76" s="24"/>
      <c r="H76" s="21"/>
    </row>
    <row r="77" spans="2:9" x14ac:dyDescent="0.2">
      <c r="B77" s="21" t="s">
        <v>178</v>
      </c>
      <c r="C77" s="21" t="s">
        <v>179</v>
      </c>
      <c r="D77" s="21"/>
      <c r="E77" s="25">
        <v>243339.28</v>
      </c>
      <c r="F77" s="23">
        <v>2528.0887674999999</v>
      </c>
      <c r="G77" s="24">
        <v>7.6761079534458201</v>
      </c>
      <c r="H77" s="21"/>
    </row>
    <row r="78" spans="2:9" x14ac:dyDescent="0.2">
      <c r="B78" s="21" t="s">
        <v>180</v>
      </c>
      <c r="C78" s="21" t="s">
        <v>181</v>
      </c>
      <c r="D78" s="21"/>
      <c r="E78" s="25">
        <v>146361.65100000001</v>
      </c>
      <c r="F78" s="23">
        <v>1520.9850082</v>
      </c>
      <c r="G78" s="24">
        <v>4.6182101153281101</v>
      </c>
      <c r="H78" s="21"/>
    </row>
    <row r="79" spans="2:9" ht="10.5" x14ac:dyDescent="0.25">
      <c r="B79" s="20" t="s">
        <v>10</v>
      </c>
      <c r="C79" s="20"/>
      <c r="D79" s="20"/>
      <c r="E79" s="27"/>
      <c r="F79" s="28">
        <f>SUM(F77:F78)</f>
        <v>4049.0737756999997</v>
      </c>
      <c r="G79" s="29">
        <f>SUM(G77:G78)</f>
        <v>12.294318068773929</v>
      </c>
      <c r="H79" s="20"/>
      <c r="I79" s="14"/>
    </row>
    <row r="80" spans="2:9" ht="10.5" x14ac:dyDescent="0.25">
      <c r="B80" s="20"/>
      <c r="C80" s="21"/>
      <c r="D80" s="21"/>
      <c r="E80" s="22"/>
      <c r="F80" s="23"/>
      <c r="G80" s="24"/>
      <c r="H80" s="21"/>
    </row>
    <row r="81" spans="2:9" ht="10.5" x14ac:dyDescent="0.25">
      <c r="B81" s="20" t="s">
        <v>17</v>
      </c>
      <c r="C81" s="20"/>
      <c r="D81" s="20"/>
      <c r="E81" s="27"/>
      <c r="F81" s="28">
        <v>2271.7571179000001</v>
      </c>
      <c r="G81" s="29">
        <v>6.8978008625282001</v>
      </c>
      <c r="H81" s="26">
        <v>4.9299999999999997E-2</v>
      </c>
      <c r="I81" s="15"/>
    </row>
    <row r="82" spans="2:9" x14ac:dyDescent="0.2">
      <c r="B82" s="21"/>
      <c r="C82" s="21"/>
      <c r="D82" s="21"/>
      <c r="E82" s="22"/>
      <c r="F82" s="23"/>
      <c r="G82" s="24"/>
      <c r="H82" s="21"/>
    </row>
    <row r="83" spans="2:9" ht="10.5" x14ac:dyDescent="0.25">
      <c r="B83" s="40" t="s">
        <v>19</v>
      </c>
      <c r="C83" s="40"/>
      <c r="D83" s="40"/>
      <c r="E83" s="41"/>
      <c r="F83" s="28">
        <f>F84-(F65+F71+F74+F79+F81)</f>
        <v>378.20726760000252</v>
      </c>
      <c r="G83" s="29">
        <f>G84-(G65+G71+G74+G79+G81)</f>
        <v>1.1483615022530671</v>
      </c>
      <c r="H83" s="20"/>
      <c r="I83" s="14"/>
    </row>
    <row r="84" spans="2:9" ht="10.5" x14ac:dyDescent="0.25">
      <c r="B84" s="36" t="s">
        <v>18</v>
      </c>
      <c r="C84" s="36"/>
      <c r="D84" s="36"/>
      <c r="E84" s="37"/>
      <c r="F84" s="38">
        <v>32934.5129437</v>
      </c>
      <c r="G84" s="39">
        <v>100</v>
      </c>
      <c r="H84" s="46"/>
      <c r="I84" s="14"/>
    </row>
    <row r="86" spans="2:9" ht="10.5" x14ac:dyDescent="0.25">
      <c r="B86" s="14" t="s">
        <v>173</v>
      </c>
    </row>
    <row r="88" spans="2:9" ht="24" customHeight="1" x14ac:dyDescent="0.2">
      <c r="B88" s="62" t="s">
        <v>4</v>
      </c>
      <c r="C88" s="62" t="s">
        <v>174</v>
      </c>
      <c r="D88" s="62" t="s">
        <v>107</v>
      </c>
      <c r="E88" s="63" t="s">
        <v>0</v>
      </c>
      <c r="F88" s="61" t="s">
        <v>175</v>
      </c>
      <c r="G88" s="64" t="s">
        <v>176</v>
      </c>
    </row>
    <row r="89" spans="2:9" x14ac:dyDescent="0.2">
      <c r="B89" s="52" t="s">
        <v>182</v>
      </c>
      <c r="C89" s="52" t="s">
        <v>183</v>
      </c>
      <c r="D89" s="52" t="s">
        <v>95</v>
      </c>
      <c r="E89" s="53">
        <v>-525</v>
      </c>
      <c r="F89" s="54">
        <v>-5.7980999999999998</v>
      </c>
      <c r="G89" s="55">
        <v>-1.7604936225750701E-2</v>
      </c>
    </row>
    <row r="90" spans="2:9" x14ac:dyDescent="0.2">
      <c r="B90" s="52" t="s">
        <v>184</v>
      </c>
      <c r="C90" s="52" t="s">
        <v>183</v>
      </c>
      <c r="D90" s="52" t="s">
        <v>120</v>
      </c>
      <c r="E90" s="53">
        <v>-1000</v>
      </c>
      <c r="F90" s="54">
        <v>-6.7084999999999999</v>
      </c>
      <c r="G90" s="55">
        <v>-2.0369209684284299E-2</v>
      </c>
    </row>
    <row r="91" spans="2:9" x14ac:dyDescent="0.2">
      <c r="B91" s="52" t="s">
        <v>185</v>
      </c>
      <c r="C91" s="52" t="s">
        <v>183</v>
      </c>
      <c r="D91" s="52" t="s">
        <v>45</v>
      </c>
      <c r="E91" s="53">
        <v>-200</v>
      </c>
      <c r="F91" s="54">
        <v>-6.8297999999999996</v>
      </c>
      <c r="G91" s="55">
        <v>-2.0737516330286199E-2</v>
      </c>
    </row>
    <row r="92" spans="2:9" x14ac:dyDescent="0.2">
      <c r="B92" s="52" t="s">
        <v>186</v>
      </c>
      <c r="C92" s="52" t="s">
        <v>183</v>
      </c>
      <c r="D92" s="52" t="s">
        <v>35</v>
      </c>
      <c r="E92" s="53">
        <v>-71475</v>
      </c>
      <c r="F92" s="54">
        <v>-7.6978574999999996</v>
      </c>
      <c r="G92" s="55">
        <v>-2.3373224049674301E-2</v>
      </c>
    </row>
    <row r="93" spans="2:9" x14ac:dyDescent="0.2">
      <c r="B93" s="52" t="s">
        <v>187</v>
      </c>
      <c r="C93" s="52" t="s">
        <v>183</v>
      </c>
      <c r="D93" s="52" t="s">
        <v>56</v>
      </c>
      <c r="E93" s="53">
        <v>-700</v>
      </c>
      <c r="F93" s="54">
        <v>-12.315799999999999</v>
      </c>
      <c r="G93" s="55">
        <v>-3.7394814433883601E-2</v>
      </c>
    </row>
    <row r="94" spans="2:9" x14ac:dyDescent="0.2">
      <c r="B94" s="52" t="s">
        <v>188</v>
      </c>
      <c r="C94" s="52" t="s">
        <v>183</v>
      </c>
      <c r="D94" s="52" t="s">
        <v>35</v>
      </c>
      <c r="E94" s="53">
        <v>-142950</v>
      </c>
      <c r="F94" s="54">
        <v>-15.195584999999999</v>
      </c>
      <c r="G94" s="55">
        <v>-4.61387876783729E-2</v>
      </c>
    </row>
    <row r="95" spans="2:9" x14ac:dyDescent="0.2">
      <c r="B95" s="52" t="s">
        <v>189</v>
      </c>
      <c r="C95" s="52" t="s">
        <v>183</v>
      </c>
      <c r="D95" s="52" t="s">
        <v>63</v>
      </c>
      <c r="E95" s="53">
        <v>-400</v>
      </c>
      <c r="F95" s="54">
        <v>-15.789199999999999</v>
      </c>
      <c r="G95" s="55">
        <v>-4.7941197815771198E-2</v>
      </c>
    </row>
    <row r="96" spans="2:9" x14ac:dyDescent="0.2">
      <c r="B96" s="52" t="s">
        <v>190</v>
      </c>
      <c r="C96" s="52" t="s">
        <v>183</v>
      </c>
      <c r="D96" s="52" t="s">
        <v>124</v>
      </c>
      <c r="E96" s="53">
        <v>-9450</v>
      </c>
      <c r="F96" s="54">
        <v>-16.219035000000002</v>
      </c>
      <c r="G96" s="55">
        <v>-4.9246318072854699E-2</v>
      </c>
    </row>
    <row r="97" spans="2:7" x14ac:dyDescent="0.2">
      <c r="B97" s="52" t="s">
        <v>191</v>
      </c>
      <c r="C97" s="52" t="s">
        <v>183</v>
      </c>
      <c r="D97" s="52" t="s">
        <v>90</v>
      </c>
      <c r="E97" s="53">
        <v>-2775</v>
      </c>
      <c r="F97" s="54">
        <v>-18.265049999999999</v>
      </c>
      <c r="G97" s="55">
        <v>-5.5458691711103299E-2</v>
      </c>
    </row>
    <row r="98" spans="2:7" x14ac:dyDescent="0.2">
      <c r="B98" s="52" t="s">
        <v>192</v>
      </c>
      <c r="C98" s="52" t="s">
        <v>183</v>
      </c>
      <c r="D98" s="52" t="s">
        <v>53</v>
      </c>
      <c r="E98" s="53">
        <v>-1000</v>
      </c>
      <c r="F98" s="54">
        <v>-20.18</v>
      </c>
      <c r="G98" s="55">
        <v>-6.12731089556319E-2</v>
      </c>
    </row>
    <row r="99" spans="2:7" x14ac:dyDescent="0.2">
      <c r="B99" s="52" t="s">
        <v>193</v>
      </c>
      <c r="C99" s="52" t="s">
        <v>183</v>
      </c>
      <c r="D99" s="52" t="s">
        <v>78</v>
      </c>
      <c r="E99" s="53">
        <v>-20925</v>
      </c>
      <c r="F99" s="54">
        <v>-21.086122499999998</v>
      </c>
      <c r="G99" s="55">
        <v>-6.4024394519043695E-2</v>
      </c>
    </row>
    <row r="100" spans="2:7" x14ac:dyDescent="0.2">
      <c r="B100" s="52" t="s">
        <v>194</v>
      </c>
      <c r="C100" s="52" t="s">
        <v>183</v>
      </c>
      <c r="D100" s="52" t="s">
        <v>95</v>
      </c>
      <c r="E100" s="53">
        <v>-2325</v>
      </c>
      <c r="F100" s="54">
        <v>-22.010774999999999</v>
      </c>
      <c r="G100" s="55">
        <v>-6.6831943249400394E-2</v>
      </c>
    </row>
    <row r="101" spans="2:7" x14ac:dyDescent="0.2">
      <c r="B101" s="52" t="s">
        <v>195</v>
      </c>
      <c r="C101" s="52" t="s">
        <v>183</v>
      </c>
      <c r="D101" s="52" t="s">
        <v>60</v>
      </c>
      <c r="E101" s="53">
        <v>-9000</v>
      </c>
      <c r="F101" s="54">
        <v>-23.2713</v>
      </c>
      <c r="G101" s="55">
        <v>-7.0659311220971105E-2</v>
      </c>
    </row>
    <row r="102" spans="2:7" x14ac:dyDescent="0.2">
      <c r="B102" s="52" t="s">
        <v>196</v>
      </c>
      <c r="C102" s="52" t="s">
        <v>183</v>
      </c>
      <c r="D102" s="52" t="s">
        <v>104</v>
      </c>
      <c r="E102" s="53">
        <v>-2200</v>
      </c>
      <c r="F102" s="54">
        <v>-25.245000000000001</v>
      </c>
      <c r="G102" s="55">
        <v>-7.6652112764367106E-2</v>
      </c>
    </row>
    <row r="103" spans="2:7" x14ac:dyDescent="0.2">
      <c r="B103" s="52" t="s">
        <v>197</v>
      </c>
      <c r="C103" s="52" t="s">
        <v>183</v>
      </c>
      <c r="D103" s="52" t="s">
        <v>56</v>
      </c>
      <c r="E103" s="53">
        <v>-1875</v>
      </c>
      <c r="F103" s="54">
        <v>-25.335000000000001</v>
      </c>
      <c r="G103" s="55">
        <v>-7.6925382328589406E-2</v>
      </c>
    </row>
    <row r="104" spans="2:7" x14ac:dyDescent="0.2">
      <c r="B104" s="52" t="s">
        <v>198</v>
      </c>
      <c r="C104" s="52" t="s">
        <v>183</v>
      </c>
      <c r="D104" s="52" t="s">
        <v>78</v>
      </c>
      <c r="E104" s="53">
        <v>-1900</v>
      </c>
      <c r="F104" s="54">
        <v>-29.244800000000001</v>
      </c>
      <c r="G104" s="55">
        <v>-8.8796819464106294E-2</v>
      </c>
    </row>
    <row r="105" spans="2:7" x14ac:dyDescent="0.2">
      <c r="B105" s="52" t="s">
        <v>199</v>
      </c>
      <c r="C105" s="52" t="s">
        <v>183</v>
      </c>
      <c r="D105" s="52" t="s">
        <v>27</v>
      </c>
      <c r="E105" s="53">
        <v>-155500</v>
      </c>
      <c r="F105" s="54">
        <v>-32.7483</v>
      </c>
      <c r="G105" s="55">
        <v>-9.94345963335838E-2</v>
      </c>
    </row>
    <row r="106" spans="2:7" x14ac:dyDescent="0.2">
      <c r="B106" s="52" t="s">
        <v>200</v>
      </c>
      <c r="C106" s="52" t="s">
        <v>183</v>
      </c>
      <c r="D106" s="52" t="s">
        <v>27</v>
      </c>
      <c r="E106" s="53">
        <v>-3850</v>
      </c>
      <c r="F106" s="54">
        <v>-34.418999999999997</v>
      </c>
      <c r="G106" s="55">
        <v>-0.10450739034409801</v>
      </c>
    </row>
    <row r="107" spans="2:7" x14ac:dyDescent="0.2">
      <c r="B107" s="52" t="s">
        <v>201</v>
      </c>
      <c r="C107" s="52" t="s">
        <v>183</v>
      </c>
      <c r="D107" s="52" t="s">
        <v>68</v>
      </c>
      <c r="E107" s="53">
        <v>-1950</v>
      </c>
      <c r="F107" s="54">
        <v>-38.900550000000003</v>
      </c>
      <c r="G107" s="55">
        <v>-0.118114848294549</v>
      </c>
    </row>
    <row r="108" spans="2:7" x14ac:dyDescent="0.2">
      <c r="B108" s="52" t="s">
        <v>202</v>
      </c>
      <c r="C108" s="52" t="s">
        <v>183</v>
      </c>
      <c r="D108" s="52" t="s">
        <v>90</v>
      </c>
      <c r="E108" s="53">
        <v>-5500</v>
      </c>
      <c r="F108" s="54">
        <v>-39.83925</v>
      </c>
      <c r="G108" s="55">
        <v>-0.120965049849388</v>
      </c>
    </row>
    <row r="109" spans="2:7" x14ac:dyDescent="0.2">
      <c r="B109" s="52" t="s">
        <v>203</v>
      </c>
      <c r="C109" s="52" t="s">
        <v>183</v>
      </c>
      <c r="D109" s="52" t="s">
        <v>71</v>
      </c>
      <c r="E109" s="53">
        <v>-4900</v>
      </c>
      <c r="F109" s="54">
        <v>-45.562649999999998</v>
      </c>
      <c r="G109" s="55">
        <v>-0.13834317233683499</v>
      </c>
    </row>
    <row r="110" spans="2:7" x14ac:dyDescent="0.2">
      <c r="B110" s="52" t="s">
        <v>204</v>
      </c>
      <c r="C110" s="52" t="s">
        <v>183</v>
      </c>
      <c r="D110" s="52" t="s">
        <v>60</v>
      </c>
      <c r="E110" s="53">
        <v>-2000</v>
      </c>
      <c r="F110" s="54">
        <v>-47.793999999999997</v>
      </c>
      <c r="G110" s="55">
        <v>-0.14511828391602899</v>
      </c>
    </row>
    <row r="111" spans="2:7" x14ac:dyDescent="0.2">
      <c r="B111" s="52" t="s">
        <v>205</v>
      </c>
      <c r="C111" s="52" t="s">
        <v>183</v>
      </c>
      <c r="D111" s="52" t="s">
        <v>27</v>
      </c>
      <c r="E111" s="53">
        <v>-64925</v>
      </c>
      <c r="F111" s="54">
        <v>-47.86271</v>
      </c>
      <c r="G111" s="55">
        <v>-0.145326910046671</v>
      </c>
    </row>
    <row r="112" spans="2:7" x14ac:dyDescent="0.2">
      <c r="B112" s="52" t="s">
        <v>206</v>
      </c>
      <c r="C112" s="52" t="s">
        <v>183</v>
      </c>
      <c r="D112" s="52" t="s">
        <v>60</v>
      </c>
      <c r="E112" s="53">
        <v>-21600</v>
      </c>
      <c r="F112" s="54">
        <v>-56.198880000000003</v>
      </c>
      <c r="G112" s="55">
        <v>-0.17063826052648601</v>
      </c>
    </row>
    <row r="113" spans="2:7" x14ac:dyDescent="0.2">
      <c r="B113" s="52" t="s">
        <v>207</v>
      </c>
      <c r="C113" s="52" t="s">
        <v>183</v>
      </c>
      <c r="D113" s="52" t="s">
        <v>63</v>
      </c>
      <c r="E113" s="53">
        <v>-21875</v>
      </c>
      <c r="F113" s="54">
        <v>-58.215937500000003</v>
      </c>
      <c r="G113" s="55">
        <v>-0.17676270968244601</v>
      </c>
    </row>
    <row r="114" spans="2:7" x14ac:dyDescent="0.2">
      <c r="B114" s="52" t="s">
        <v>208</v>
      </c>
      <c r="C114" s="52" t="s">
        <v>183</v>
      </c>
      <c r="D114" s="52" t="s">
        <v>32</v>
      </c>
      <c r="E114" s="53">
        <v>-4500</v>
      </c>
      <c r="F114" s="54">
        <v>-63.063000000000002</v>
      </c>
      <c r="G114" s="55">
        <v>-0.19147998365059499</v>
      </c>
    </row>
    <row r="115" spans="2:7" x14ac:dyDescent="0.2">
      <c r="B115" s="52" t="s">
        <v>209</v>
      </c>
      <c r="C115" s="52" t="s">
        <v>183</v>
      </c>
      <c r="D115" s="52" t="s">
        <v>63</v>
      </c>
      <c r="E115" s="53">
        <v>-26675</v>
      </c>
      <c r="F115" s="54">
        <v>-65.927262499999998</v>
      </c>
      <c r="G115" s="55">
        <v>-0.20017682548607801</v>
      </c>
    </row>
    <row r="116" spans="2:7" x14ac:dyDescent="0.2">
      <c r="B116" s="52" t="s">
        <v>210</v>
      </c>
      <c r="C116" s="52" t="s">
        <v>183</v>
      </c>
      <c r="D116" s="52" t="s">
        <v>68</v>
      </c>
      <c r="E116" s="53">
        <v>-3000</v>
      </c>
      <c r="F116" s="54">
        <v>-84.447000000000003</v>
      </c>
      <c r="G116" s="55">
        <v>-0.25640883210982401</v>
      </c>
    </row>
    <row r="117" spans="2:7" x14ac:dyDescent="0.2">
      <c r="B117" s="52" t="s">
        <v>211</v>
      </c>
      <c r="C117" s="52" t="s">
        <v>183</v>
      </c>
      <c r="D117" s="52" t="s">
        <v>65</v>
      </c>
      <c r="E117" s="53">
        <v>-2250</v>
      </c>
      <c r="F117" s="54">
        <v>-88.528499999999994</v>
      </c>
      <c r="G117" s="55">
        <v>-0.26880160684730697</v>
      </c>
    </row>
    <row r="118" spans="2:7" x14ac:dyDescent="0.2">
      <c r="B118" s="52" t="s">
        <v>212</v>
      </c>
      <c r="C118" s="52" t="s">
        <v>183</v>
      </c>
      <c r="D118" s="52" t="s">
        <v>27</v>
      </c>
      <c r="E118" s="53">
        <v>-72000</v>
      </c>
      <c r="F118" s="54">
        <v>-94.082400000000007</v>
      </c>
      <c r="G118" s="55">
        <v>-0.28566507165546801</v>
      </c>
    </row>
    <row r="119" spans="2:7" x14ac:dyDescent="0.2">
      <c r="B119" s="52" t="s">
        <v>213</v>
      </c>
      <c r="C119" s="52" t="s">
        <v>183</v>
      </c>
      <c r="D119" s="52" t="s">
        <v>59</v>
      </c>
      <c r="E119" s="53">
        <v>-25500</v>
      </c>
      <c r="F119" s="54">
        <v>-97.715999999999994</v>
      </c>
      <c r="G119" s="55">
        <v>-0.29669787486167098</v>
      </c>
    </row>
    <row r="120" spans="2:7" x14ac:dyDescent="0.2">
      <c r="B120" s="52" t="s">
        <v>214</v>
      </c>
      <c r="C120" s="52" t="s">
        <v>183</v>
      </c>
      <c r="D120" s="52" t="s">
        <v>120</v>
      </c>
      <c r="E120" s="53">
        <v>-15000</v>
      </c>
      <c r="F120" s="54">
        <v>-101.4825</v>
      </c>
      <c r="G120" s="55">
        <v>-0.30813420612437598</v>
      </c>
    </row>
    <row r="121" spans="2:7" x14ac:dyDescent="0.2">
      <c r="B121" s="52" t="s">
        <v>215</v>
      </c>
      <c r="C121" s="52" t="s">
        <v>183</v>
      </c>
      <c r="D121" s="52" t="s">
        <v>38</v>
      </c>
      <c r="E121" s="53">
        <v>-8400</v>
      </c>
      <c r="F121" s="54">
        <v>-110.24160000000001</v>
      </c>
      <c r="G121" s="55">
        <v>-0.334729711013042</v>
      </c>
    </row>
    <row r="122" spans="2:7" x14ac:dyDescent="0.2">
      <c r="B122" s="52" t="s">
        <v>216</v>
      </c>
      <c r="C122" s="52" t="s">
        <v>183</v>
      </c>
      <c r="D122" s="52" t="s">
        <v>27</v>
      </c>
      <c r="E122" s="53">
        <v>-35100</v>
      </c>
      <c r="F122" s="54">
        <v>-113.9346</v>
      </c>
      <c r="G122" s="55">
        <v>-0.345942872131632</v>
      </c>
    </row>
    <row r="123" spans="2:7" x14ac:dyDescent="0.2">
      <c r="B123" s="52" t="s">
        <v>217</v>
      </c>
      <c r="C123" s="52" t="s">
        <v>183</v>
      </c>
      <c r="D123" s="52" t="s">
        <v>56</v>
      </c>
      <c r="E123" s="53">
        <v>-7350</v>
      </c>
      <c r="F123" s="54">
        <v>-128.38980000000001</v>
      </c>
      <c r="G123" s="55">
        <v>-0.38983360773992998</v>
      </c>
    </row>
    <row r="124" spans="2:7" x14ac:dyDescent="0.2">
      <c r="B124" s="52" t="s">
        <v>218</v>
      </c>
      <c r="C124" s="52" t="s">
        <v>183</v>
      </c>
      <c r="D124" s="52" t="s">
        <v>53</v>
      </c>
      <c r="E124" s="53">
        <v>-24000</v>
      </c>
      <c r="F124" s="54">
        <v>-129.46799999999999</v>
      </c>
      <c r="G124" s="55">
        <v>-0.39310737711931398</v>
      </c>
    </row>
    <row r="125" spans="2:7" x14ac:dyDescent="0.2">
      <c r="B125" s="52" t="s">
        <v>219</v>
      </c>
      <c r="C125" s="52" t="s">
        <v>183</v>
      </c>
      <c r="D125" s="52" t="s">
        <v>68</v>
      </c>
      <c r="E125" s="53">
        <v>-1100</v>
      </c>
      <c r="F125" s="54">
        <v>-140.08500000000001</v>
      </c>
      <c r="G125" s="55">
        <v>-0.42534407671207602</v>
      </c>
    </row>
    <row r="126" spans="2:7" x14ac:dyDescent="0.2">
      <c r="B126" s="52" t="s">
        <v>220</v>
      </c>
      <c r="C126" s="52" t="s">
        <v>183</v>
      </c>
      <c r="D126" s="52" t="s">
        <v>84</v>
      </c>
      <c r="E126" s="53">
        <v>-51750</v>
      </c>
      <c r="F126" s="54">
        <v>-146.142</v>
      </c>
      <c r="G126" s="55">
        <v>-0.44373511838424001</v>
      </c>
    </row>
    <row r="127" spans="2:7" x14ac:dyDescent="0.2">
      <c r="B127" s="52" t="s">
        <v>221</v>
      </c>
      <c r="C127" s="52" t="s">
        <v>183</v>
      </c>
      <c r="D127" s="52" t="s">
        <v>121</v>
      </c>
      <c r="E127" s="53">
        <v>-55125</v>
      </c>
      <c r="F127" s="54">
        <v>-146.8805625</v>
      </c>
      <c r="G127" s="55">
        <v>-0.44597763674563901</v>
      </c>
    </row>
    <row r="128" spans="2:7" x14ac:dyDescent="0.2">
      <c r="B128" s="52" t="s">
        <v>222</v>
      </c>
      <c r="C128" s="52" t="s">
        <v>183</v>
      </c>
      <c r="D128" s="52" t="s">
        <v>53</v>
      </c>
      <c r="E128" s="53">
        <v>-28000</v>
      </c>
      <c r="F128" s="54">
        <v>-151.97</v>
      </c>
      <c r="G128" s="55">
        <v>-0.46143084083188202</v>
      </c>
    </row>
    <row r="129" spans="2:7" x14ac:dyDescent="0.2">
      <c r="B129" s="52" t="s">
        <v>223</v>
      </c>
      <c r="C129" s="52" t="s">
        <v>183</v>
      </c>
      <c r="D129" s="52" t="s">
        <v>38</v>
      </c>
      <c r="E129" s="53">
        <v>-19975</v>
      </c>
      <c r="F129" s="54">
        <v>-154.426725</v>
      </c>
      <c r="G129" s="55">
        <v>-0.468890264944817</v>
      </c>
    </row>
    <row r="130" spans="2:7" x14ac:dyDescent="0.2">
      <c r="B130" s="52" t="s">
        <v>224</v>
      </c>
      <c r="C130" s="52" t="s">
        <v>183</v>
      </c>
      <c r="D130" s="52" t="s">
        <v>129</v>
      </c>
      <c r="E130" s="53">
        <v>-26400</v>
      </c>
      <c r="F130" s="54">
        <v>-161.06639999999999</v>
      </c>
      <c r="G130" s="55">
        <v>-0.48905049932068401</v>
      </c>
    </row>
    <row r="131" spans="2:7" x14ac:dyDescent="0.2">
      <c r="B131" s="52" t="s">
        <v>225</v>
      </c>
      <c r="C131" s="52" t="s">
        <v>183</v>
      </c>
      <c r="D131" s="52" t="s">
        <v>27</v>
      </c>
      <c r="E131" s="53">
        <v>-222600</v>
      </c>
      <c r="F131" s="54">
        <v>-164.96886000000001</v>
      </c>
      <c r="G131" s="55">
        <v>-0.50089964980507395</v>
      </c>
    </row>
    <row r="132" spans="2:7" x14ac:dyDescent="0.2">
      <c r="B132" s="52" t="s">
        <v>226</v>
      </c>
      <c r="C132" s="52" t="s">
        <v>183</v>
      </c>
      <c r="D132" s="52" t="s">
        <v>89</v>
      </c>
      <c r="E132" s="53">
        <v>-2750</v>
      </c>
      <c r="F132" s="54">
        <v>-166.01750000000001</v>
      </c>
      <c r="G132" s="55">
        <v>-0.50408366531425297</v>
      </c>
    </row>
    <row r="133" spans="2:7" x14ac:dyDescent="0.2">
      <c r="B133" s="52" t="s">
        <v>227</v>
      </c>
      <c r="C133" s="52" t="s">
        <v>183</v>
      </c>
      <c r="D133" s="52" t="s">
        <v>45</v>
      </c>
      <c r="E133" s="53">
        <v>-5000</v>
      </c>
      <c r="F133" s="54">
        <v>-171.99</v>
      </c>
      <c r="G133" s="55">
        <v>-0.52221813722889698</v>
      </c>
    </row>
    <row r="134" spans="2:7" x14ac:dyDescent="0.2">
      <c r="B134" s="52" t="s">
        <v>228</v>
      </c>
      <c r="C134" s="52" t="s">
        <v>183</v>
      </c>
      <c r="D134" s="52" t="s">
        <v>53</v>
      </c>
      <c r="E134" s="53">
        <v>-17250</v>
      </c>
      <c r="F134" s="54">
        <v>-173.974875</v>
      </c>
      <c r="G134" s="55">
        <v>-0.52824486974318396</v>
      </c>
    </row>
    <row r="135" spans="2:7" x14ac:dyDescent="0.2">
      <c r="B135" s="52" t="s">
        <v>229</v>
      </c>
      <c r="C135" s="52" t="s">
        <v>183</v>
      </c>
      <c r="D135" s="52" t="s">
        <v>38</v>
      </c>
      <c r="E135" s="53">
        <v>-7525</v>
      </c>
      <c r="F135" s="54">
        <v>-198.78039999999999</v>
      </c>
      <c r="G135" s="55">
        <v>-0.60356259204381102</v>
      </c>
    </row>
    <row r="136" spans="2:7" x14ac:dyDescent="0.2">
      <c r="B136" s="52" t="s">
        <v>230</v>
      </c>
      <c r="C136" s="52" t="s">
        <v>183</v>
      </c>
      <c r="D136" s="52" t="s">
        <v>131</v>
      </c>
      <c r="E136" s="53">
        <v>-2500</v>
      </c>
      <c r="F136" s="54">
        <v>-215.85</v>
      </c>
      <c r="G136" s="55">
        <v>-0.65539150485991804</v>
      </c>
    </row>
    <row r="137" spans="2:7" x14ac:dyDescent="0.2">
      <c r="B137" s="52" t="s">
        <v>231</v>
      </c>
      <c r="C137" s="52" t="s">
        <v>183</v>
      </c>
      <c r="D137" s="52" t="s">
        <v>38</v>
      </c>
      <c r="E137" s="53">
        <v>-8575</v>
      </c>
      <c r="F137" s="54">
        <v>-227.66624999999999</v>
      </c>
      <c r="G137" s="55">
        <v>-0.691269521395943</v>
      </c>
    </row>
    <row r="138" spans="2:7" x14ac:dyDescent="0.2">
      <c r="B138" s="52" t="s">
        <v>232</v>
      </c>
      <c r="C138" s="52" t="s">
        <v>183</v>
      </c>
      <c r="D138" s="52" t="s">
        <v>56</v>
      </c>
      <c r="E138" s="53">
        <v>-22950</v>
      </c>
      <c r="F138" s="54">
        <v>-249.5583</v>
      </c>
      <c r="G138" s="55">
        <v>-0.757740976545207</v>
      </c>
    </row>
    <row r="139" spans="2:7" x14ac:dyDescent="0.2">
      <c r="B139" s="52" t="s">
        <v>233</v>
      </c>
      <c r="C139" s="52" t="s">
        <v>183</v>
      </c>
      <c r="D139" s="52" t="s">
        <v>35</v>
      </c>
      <c r="E139" s="53">
        <v>-13775</v>
      </c>
      <c r="F139" s="54">
        <v>-260.33372500000002</v>
      </c>
      <c r="G139" s="55">
        <v>-0.79045870647921301</v>
      </c>
    </row>
    <row r="140" spans="2:7" x14ac:dyDescent="0.2">
      <c r="B140" s="52" t="s">
        <v>234</v>
      </c>
      <c r="C140" s="52" t="s">
        <v>183</v>
      </c>
      <c r="D140" s="52" t="s">
        <v>53</v>
      </c>
      <c r="E140" s="53">
        <v>-26250</v>
      </c>
      <c r="F140" s="54">
        <v>-262.828125</v>
      </c>
      <c r="G140" s="55">
        <v>-0.79803252426806004</v>
      </c>
    </row>
    <row r="141" spans="2:7" x14ac:dyDescent="0.2">
      <c r="B141" s="52" t="s">
        <v>235</v>
      </c>
      <c r="C141" s="52" t="s">
        <v>183</v>
      </c>
      <c r="D141" s="52" t="s">
        <v>152</v>
      </c>
      <c r="E141" s="53">
        <v>-48780</v>
      </c>
      <c r="F141" s="54">
        <v>-311.65541999999999</v>
      </c>
      <c r="G141" s="55">
        <v>-0.946288231232568</v>
      </c>
    </row>
    <row r="142" spans="2:7" x14ac:dyDescent="0.2">
      <c r="B142" s="52" t="s">
        <v>236</v>
      </c>
      <c r="C142" s="52" t="s">
        <v>183</v>
      </c>
      <c r="D142" s="52" t="s">
        <v>152</v>
      </c>
      <c r="E142" s="53">
        <v>-48780</v>
      </c>
      <c r="F142" s="54">
        <v>-313.48466999999999</v>
      </c>
      <c r="G142" s="55">
        <v>-0.95184243512538702</v>
      </c>
    </row>
    <row r="143" spans="2:7" x14ac:dyDescent="0.2">
      <c r="B143" s="52" t="s">
        <v>237</v>
      </c>
      <c r="C143" s="52" t="s">
        <v>183</v>
      </c>
      <c r="D143" s="52" t="s">
        <v>27</v>
      </c>
      <c r="E143" s="53">
        <v>-24500</v>
      </c>
      <c r="F143" s="54">
        <v>-342.02</v>
      </c>
      <c r="G143" s="55">
        <v>-1.0384850706147299</v>
      </c>
    </row>
    <row r="144" spans="2:7" x14ac:dyDescent="0.2">
      <c r="B144" s="52" t="s">
        <v>238</v>
      </c>
      <c r="C144" s="52" t="s">
        <v>183</v>
      </c>
      <c r="D144" s="52" t="s">
        <v>27</v>
      </c>
      <c r="E144" s="53">
        <v>-1803800</v>
      </c>
      <c r="F144" s="54">
        <v>-377.35496000000001</v>
      </c>
      <c r="G144" s="55">
        <v>-1.14577361640377</v>
      </c>
    </row>
    <row r="145" spans="2:7" x14ac:dyDescent="0.2">
      <c r="B145" s="52" t="s">
        <v>239</v>
      </c>
      <c r="C145" s="52" t="s">
        <v>183</v>
      </c>
      <c r="D145" s="52" t="s">
        <v>35</v>
      </c>
      <c r="E145" s="53">
        <v>-3716700</v>
      </c>
      <c r="F145" s="54">
        <v>-398.05856999999997</v>
      </c>
      <c r="G145" s="55">
        <v>-1.2086365773207699</v>
      </c>
    </row>
    <row r="146" spans="2:7" x14ac:dyDescent="0.2">
      <c r="B146" s="52" t="s">
        <v>240</v>
      </c>
      <c r="C146" s="52" t="s">
        <v>183</v>
      </c>
      <c r="D146" s="52" t="s">
        <v>90</v>
      </c>
      <c r="E146" s="53">
        <v>-22000</v>
      </c>
      <c r="F146" s="54">
        <v>-399.80599999999998</v>
      </c>
      <c r="G146" s="55">
        <v>-1.21394234881642</v>
      </c>
    </row>
    <row r="147" spans="2:7" x14ac:dyDescent="0.2">
      <c r="B147" s="52" t="s">
        <v>241</v>
      </c>
      <c r="C147" s="52" t="s">
        <v>183</v>
      </c>
      <c r="D147" s="52" t="s">
        <v>53</v>
      </c>
      <c r="E147" s="53">
        <v>-21250</v>
      </c>
      <c r="F147" s="54">
        <v>-425.53125</v>
      </c>
      <c r="G147" s="55">
        <v>-1.2920526583387599</v>
      </c>
    </row>
    <row r="148" spans="2:7" x14ac:dyDescent="0.2">
      <c r="B148" s="52" t="s">
        <v>242</v>
      </c>
      <c r="C148" s="52" t="s">
        <v>183</v>
      </c>
      <c r="D148" s="52" t="s">
        <v>121</v>
      </c>
      <c r="E148" s="53">
        <v>-162750</v>
      </c>
      <c r="F148" s="54">
        <v>-435.763125</v>
      </c>
      <c r="G148" s="55">
        <v>-1.3231199919212899</v>
      </c>
    </row>
    <row r="149" spans="2:7" x14ac:dyDescent="0.2">
      <c r="B149" s="52" t="s">
        <v>243</v>
      </c>
      <c r="C149" s="52" t="s">
        <v>183</v>
      </c>
      <c r="D149" s="52" t="s">
        <v>27</v>
      </c>
      <c r="E149" s="53">
        <v>-106000</v>
      </c>
      <c r="F149" s="54">
        <v>-442.65600000000001</v>
      </c>
      <c r="G149" s="55">
        <v>-1.34404902467117</v>
      </c>
    </row>
    <row r="150" spans="2:7" x14ac:dyDescent="0.2">
      <c r="B150" s="52" t="s">
        <v>244</v>
      </c>
      <c r="C150" s="52" t="s">
        <v>183</v>
      </c>
      <c r="D150" s="52" t="s">
        <v>64</v>
      </c>
      <c r="E150" s="53">
        <v>-35775</v>
      </c>
      <c r="F150" s="54">
        <v>-454.95067499999999</v>
      </c>
      <c r="G150" s="55">
        <v>-1.38137969666567</v>
      </c>
    </row>
    <row r="151" spans="2:7" x14ac:dyDescent="0.2">
      <c r="B151" s="52" t="s">
        <v>245</v>
      </c>
      <c r="C151" s="52" t="s">
        <v>183</v>
      </c>
      <c r="D151" s="52" t="s">
        <v>27</v>
      </c>
      <c r="E151" s="53">
        <v>-33750</v>
      </c>
      <c r="F151" s="54">
        <v>-469.59750000000003</v>
      </c>
      <c r="G151" s="55">
        <v>-1.4258522687211299</v>
      </c>
    </row>
    <row r="152" spans="2:7" x14ac:dyDescent="0.2">
      <c r="B152" s="52" t="s">
        <v>246</v>
      </c>
      <c r="C152" s="52" t="s">
        <v>183</v>
      </c>
      <c r="D152" s="52" t="s">
        <v>59</v>
      </c>
      <c r="E152" s="53">
        <v>-124700</v>
      </c>
      <c r="F152" s="54">
        <v>-475.54345000000001</v>
      </c>
      <c r="G152" s="55">
        <v>-1.44390612611433</v>
      </c>
    </row>
    <row r="153" spans="2:7" x14ac:dyDescent="0.2">
      <c r="B153" s="52" t="s">
        <v>247</v>
      </c>
      <c r="C153" s="52" t="s">
        <v>183</v>
      </c>
      <c r="D153" s="52" t="s">
        <v>32</v>
      </c>
      <c r="E153" s="53">
        <v>-273000</v>
      </c>
      <c r="F153" s="54">
        <v>-509.30880000000002</v>
      </c>
      <c r="G153" s="55">
        <v>-1.54642882034005</v>
      </c>
    </row>
    <row r="154" spans="2:7" x14ac:dyDescent="0.2">
      <c r="B154" s="52" t="s">
        <v>248</v>
      </c>
      <c r="C154" s="52" t="s">
        <v>183</v>
      </c>
      <c r="D154" s="52" t="s">
        <v>81</v>
      </c>
      <c r="E154" s="53">
        <v>-10950</v>
      </c>
      <c r="F154" s="54">
        <v>-530.04570000000001</v>
      </c>
      <c r="G154" s="55">
        <v>-1.6093928606325201</v>
      </c>
    </row>
    <row r="155" spans="2:7" x14ac:dyDescent="0.2">
      <c r="B155" s="52" t="s">
        <v>249</v>
      </c>
      <c r="C155" s="52" t="s">
        <v>183</v>
      </c>
      <c r="D155" s="52" t="s">
        <v>130</v>
      </c>
      <c r="E155" s="53">
        <v>-19800</v>
      </c>
      <c r="F155" s="54">
        <v>-537.03539999999998</v>
      </c>
      <c r="G155" s="55">
        <v>-1.63061588588857</v>
      </c>
    </row>
    <row r="156" spans="2:7" x14ac:dyDescent="0.2">
      <c r="B156" s="52" t="s">
        <v>250</v>
      </c>
      <c r="C156" s="52" t="s">
        <v>183</v>
      </c>
      <c r="D156" s="52" t="s">
        <v>27</v>
      </c>
      <c r="E156" s="53">
        <v>-178425</v>
      </c>
      <c r="F156" s="54">
        <v>-575.95590000000004</v>
      </c>
      <c r="G156" s="55">
        <v>-1.7487913089365199</v>
      </c>
    </row>
    <row r="157" spans="2:7" x14ac:dyDescent="0.2">
      <c r="B157" s="52" t="s">
        <v>251</v>
      </c>
      <c r="C157" s="52" t="s">
        <v>183</v>
      </c>
      <c r="D157" s="52" t="s">
        <v>35</v>
      </c>
      <c r="E157" s="53">
        <v>-35150</v>
      </c>
      <c r="F157" s="54">
        <v>-668.86935000000005</v>
      </c>
      <c r="G157" s="55">
        <v>-2.0309070644020202</v>
      </c>
    </row>
    <row r="158" spans="2:7" x14ac:dyDescent="0.2">
      <c r="B158" s="52" t="s">
        <v>252</v>
      </c>
      <c r="C158" s="52" t="s">
        <v>183</v>
      </c>
      <c r="D158" s="52" t="s">
        <v>129</v>
      </c>
      <c r="E158" s="53">
        <v>-113025</v>
      </c>
      <c r="F158" s="54">
        <v>-684.59242500000005</v>
      </c>
      <c r="G158" s="55">
        <v>-2.0786474849963001</v>
      </c>
    </row>
    <row r="159" spans="2:7" x14ac:dyDescent="0.2">
      <c r="B159" s="52" t="s">
        <v>253</v>
      </c>
      <c r="C159" s="52" t="s">
        <v>183</v>
      </c>
      <c r="D159" s="52" t="s">
        <v>27</v>
      </c>
      <c r="E159" s="53">
        <v>-178000</v>
      </c>
      <c r="F159" s="54">
        <v>-748.13400000000001</v>
      </c>
      <c r="G159" s="55">
        <v>-2.27158057955464</v>
      </c>
    </row>
    <row r="160" spans="2:7" x14ac:dyDescent="0.2">
      <c r="B160" s="52" t="s">
        <v>254</v>
      </c>
      <c r="C160" s="52" t="s">
        <v>183</v>
      </c>
      <c r="D160" s="52" t="s">
        <v>27</v>
      </c>
      <c r="E160" s="53">
        <v>-55300</v>
      </c>
      <c r="F160" s="54">
        <v>-766.95569999999998</v>
      </c>
      <c r="G160" s="55">
        <v>-2.32872944352046</v>
      </c>
    </row>
    <row r="161" spans="2:7" x14ac:dyDescent="0.2">
      <c r="B161" s="52" t="s">
        <v>255</v>
      </c>
      <c r="C161" s="52" t="s">
        <v>183</v>
      </c>
      <c r="D161" s="52" t="s">
        <v>129</v>
      </c>
      <c r="E161" s="53">
        <v>-48950</v>
      </c>
      <c r="F161" s="54">
        <v>-851.19155000000001</v>
      </c>
      <c r="G161" s="55">
        <v>-2.5844971548693398</v>
      </c>
    </row>
    <row r="162" spans="2:7" x14ac:dyDescent="0.2">
      <c r="B162" s="52" t="s">
        <v>256</v>
      </c>
      <c r="C162" s="52" t="s">
        <v>183</v>
      </c>
      <c r="D162" s="52" t="s">
        <v>45</v>
      </c>
      <c r="E162" s="53">
        <v>-232800</v>
      </c>
      <c r="F162" s="54">
        <v>-895.34879999999998</v>
      </c>
      <c r="G162" s="55">
        <v>-2.7185730711444198</v>
      </c>
    </row>
    <row r="163" spans="2:7" x14ac:dyDescent="0.2">
      <c r="B163" s="52" t="s">
        <v>257</v>
      </c>
      <c r="C163" s="52" t="s">
        <v>183</v>
      </c>
      <c r="D163" s="52" t="s">
        <v>48</v>
      </c>
      <c r="E163" s="53">
        <v>-316800</v>
      </c>
      <c r="F163" s="54">
        <v>-1004.8896</v>
      </c>
      <c r="G163" s="55">
        <v>-3.0511749231507101</v>
      </c>
    </row>
    <row r="164" spans="2:7" x14ac:dyDescent="0.2">
      <c r="B164" s="52" t="s">
        <v>258</v>
      </c>
      <c r="C164" s="52" t="s">
        <v>183</v>
      </c>
      <c r="D164" s="52" t="s">
        <v>129</v>
      </c>
      <c r="E164" s="53">
        <v>-95400</v>
      </c>
      <c r="F164" s="54">
        <v>-1333.4058</v>
      </c>
      <c r="G164" s="55">
        <v>-4.0486580210838197</v>
      </c>
    </row>
    <row r="165" spans="2:7" x14ac:dyDescent="0.2">
      <c r="B165" s="52" t="s">
        <v>265</v>
      </c>
      <c r="C165" s="52" t="s">
        <v>183</v>
      </c>
      <c r="D165" s="52" t="s">
        <v>130</v>
      </c>
      <c r="E165" s="53">
        <v>-58750</v>
      </c>
      <c r="F165" s="54">
        <v>-1439.375</v>
      </c>
      <c r="G165" s="55">
        <v>-4.3704153222503797</v>
      </c>
    </row>
    <row r="166" spans="2:7" x14ac:dyDescent="0.2">
      <c r="B166" s="52" t="s">
        <v>259</v>
      </c>
      <c r="C166" s="52" t="s">
        <v>183</v>
      </c>
      <c r="D166" s="52" t="s">
        <v>32</v>
      </c>
      <c r="E166" s="53">
        <v>-166500</v>
      </c>
      <c r="F166" s="54">
        <v>-2349.1484999999998</v>
      </c>
      <c r="G166" s="55">
        <v>-7.1327865209841104</v>
      </c>
    </row>
    <row r="167" spans="2:7" x14ac:dyDescent="0.2">
      <c r="B167" s="52" t="s">
        <v>260</v>
      </c>
      <c r="C167" s="52" t="s">
        <v>183</v>
      </c>
      <c r="D167" s="52" t="s">
        <v>27</v>
      </c>
      <c r="E167" s="53">
        <v>-327800</v>
      </c>
      <c r="F167" s="54">
        <v>-2946.7581</v>
      </c>
      <c r="G167" s="55">
        <v>-8.9473255761739807</v>
      </c>
    </row>
    <row r="168" spans="2:7" ht="10.5" x14ac:dyDescent="0.25">
      <c r="B168" s="48"/>
      <c r="C168" s="48"/>
      <c r="D168" s="48"/>
      <c r="E168" s="49"/>
      <c r="F168" s="50">
        <f>SUM(F89:F167)</f>
        <v>-25429.988832499999</v>
      </c>
      <c r="G168" s="51">
        <f>SUM(G89:G167)</f>
        <v>-77.213799627070131</v>
      </c>
    </row>
    <row r="173" spans="2:7" ht="10.5" x14ac:dyDescent="0.25">
      <c r="B173" s="14" t="s">
        <v>20</v>
      </c>
      <c r="E173" s="8"/>
      <c r="G173" s="57"/>
    </row>
    <row r="174" spans="2:7" x14ac:dyDescent="0.2">
      <c r="E174" s="8"/>
      <c r="G174" s="57"/>
    </row>
    <row r="175" spans="2:7" x14ac:dyDescent="0.2">
      <c r="E175" s="8"/>
      <c r="G175" s="57"/>
    </row>
    <row r="176" spans="2:7" x14ac:dyDescent="0.2">
      <c r="E176" s="8"/>
      <c r="G176" s="57"/>
    </row>
    <row r="177" spans="2:7" x14ac:dyDescent="0.2">
      <c r="E177" s="8"/>
      <c r="G177" s="57"/>
    </row>
    <row r="178" spans="2:7" x14ac:dyDescent="0.2">
      <c r="E178" s="8"/>
      <c r="G178" s="57"/>
    </row>
    <row r="179" spans="2:7" x14ac:dyDescent="0.2">
      <c r="E179" s="8"/>
      <c r="G179" s="57"/>
    </row>
    <row r="180" spans="2:7" x14ac:dyDescent="0.2">
      <c r="E180" s="8"/>
      <c r="G180" s="57"/>
    </row>
    <row r="181" spans="2:7" x14ac:dyDescent="0.2">
      <c r="E181" s="8"/>
      <c r="G181" s="57"/>
    </row>
    <row r="182" spans="2:7" x14ac:dyDescent="0.2">
      <c r="E182" s="8"/>
      <c r="G182" s="57"/>
    </row>
    <row r="183" spans="2:7" x14ac:dyDescent="0.2">
      <c r="E183" s="8"/>
      <c r="G183" s="57"/>
    </row>
    <row r="184" spans="2:7" x14ac:dyDescent="0.2">
      <c r="E184" s="8"/>
      <c r="G184" s="57"/>
    </row>
    <row r="185" spans="2:7" x14ac:dyDescent="0.2">
      <c r="E185" s="8"/>
      <c r="G185" s="57"/>
    </row>
    <row r="186" spans="2:7" x14ac:dyDescent="0.2">
      <c r="E186" s="8"/>
      <c r="G186" s="57"/>
    </row>
    <row r="187" spans="2:7" x14ac:dyDescent="0.2">
      <c r="E187" s="8"/>
      <c r="G187" s="57"/>
    </row>
    <row r="188" spans="2:7" x14ac:dyDescent="0.2">
      <c r="E188" s="8"/>
      <c r="G188" s="57"/>
    </row>
    <row r="189" spans="2:7" x14ac:dyDescent="0.2">
      <c r="E189" s="8"/>
      <c r="G189" s="57"/>
    </row>
    <row r="190" spans="2:7" x14ac:dyDescent="0.2">
      <c r="E190" s="8"/>
      <c r="G190" s="57"/>
    </row>
    <row r="191" spans="2:7" ht="10.5" x14ac:dyDescent="0.2">
      <c r="B191" s="58" t="s">
        <v>262</v>
      </c>
      <c r="E191" s="8"/>
      <c r="G191" s="57"/>
    </row>
    <row r="192" spans="2:7" ht="10.5" x14ac:dyDescent="0.25">
      <c r="B192" s="59" t="s">
        <v>263</v>
      </c>
      <c r="E192" s="8"/>
      <c r="G192" s="57"/>
    </row>
    <row r="193" spans="5:7" x14ac:dyDescent="0.2">
      <c r="E193" s="8"/>
      <c r="G193" s="57"/>
    </row>
    <row r="194" spans="5:7" x14ac:dyDescent="0.2">
      <c r="E194" s="8"/>
      <c r="G194" s="57"/>
    </row>
    <row r="195" spans="5:7" x14ac:dyDescent="0.2">
      <c r="E195" s="8"/>
      <c r="G195" s="57"/>
    </row>
    <row r="196" spans="5:7" x14ac:dyDescent="0.2">
      <c r="E196" s="8"/>
      <c r="G196" s="57"/>
    </row>
    <row r="197" spans="5:7" x14ac:dyDescent="0.2">
      <c r="E197" s="8"/>
      <c r="G197" s="57"/>
    </row>
    <row r="198" spans="5:7" x14ac:dyDescent="0.2">
      <c r="E198" s="8"/>
      <c r="G198" s="57"/>
    </row>
    <row r="199" spans="5:7" x14ac:dyDescent="0.2">
      <c r="E199" s="8"/>
      <c r="G199" s="57"/>
    </row>
    <row r="200" spans="5:7" x14ac:dyDescent="0.2">
      <c r="E200" s="8"/>
      <c r="G200" s="57"/>
    </row>
    <row r="201" spans="5:7" x14ac:dyDescent="0.2">
      <c r="E201" s="8"/>
      <c r="G201" s="57"/>
    </row>
    <row r="202" spans="5:7" x14ac:dyDescent="0.2">
      <c r="E202" s="8"/>
      <c r="G202" s="57"/>
    </row>
    <row r="203" spans="5:7" x14ac:dyDescent="0.2">
      <c r="E203" s="8"/>
      <c r="G203" s="57"/>
    </row>
    <row r="204" spans="5:7" x14ac:dyDescent="0.2">
      <c r="E204" s="8"/>
      <c r="G204" s="57"/>
    </row>
    <row r="205" spans="5:7" x14ac:dyDescent="0.2">
      <c r="E205" s="8"/>
      <c r="G205" s="57"/>
    </row>
    <row r="206" spans="5:7" x14ac:dyDescent="0.2">
      <c r="E206" s="8"/>
      <c r="G206" s="57"/>
    </row>
    <row r="207" spans="5:7" x14ac:dyDescent="0.2">
      <c r="E207" s="8"/>
      <c r="G207" s="57"/>
    </row>
    <row r="208" spans="5:7" x14ac:dyDescent="0.2">
      <c r="E208" s="8"/>
      <c r="G208" s="57"/>
    </row>
    <row r="209" spans="5:7" x14ac:dyDescent="0.2">
      <c r="E209" s="8"/>
      <c r="G209" s="57"/>
    </row>
    <row r="210" spans="5:7" x14ac:dyDescent="0.2">
      <c r="E210" s="8"/>
      <c r="G210" s="57"/>
    </row>
    <row r="211" spans="5:7" x14ac:dyDescent="0.2">
      <c r="E211" s="8"/>
      <c r="G211" s="57"/>
    </row>
    <row r="212" spans="5:7" x14ac:dyDescent="0.2">
      <c r="E212" s="8"/>
      <c r="G212" s="57"/>
    </row>
    <row r="213" spans="5:7" x14ac:dyDescent="0.2">
      <c r="E213" s="8"/>
      <c r="G213" s="57"/>
    </row>
    <row r="214" spans="5:7" x14ac:dyDescent="0.2">
      <c r="E214" s="8"/>
      <c r="G214" s="57"/>
    </row>
    <row r="215" spans="5:7" x14ac:dyDescent="0.2">
      <c r="E215" s="8"/>
      <c r="G215" s="57"/>
    </row>
    <row r="216" spans="5:7" x14ac:dyDescent="0.2">
      <c r="E216" s="8"/>
      <c r="G216" s="57"/>
    </row>
    <row r="217" spans="5:7" x14ac:dyDescent="0.2">
      <c r="E217" s="8"/>
      <c r="G217" s="57"/>
    </row>
    <row r="218" spans="5:7" x14ac:dyDescent="0.2">
      <c r="E218" s="8"/>
      <c r="G218" s="57"/>
    </row>
    <row r="219" spans="5:7" x14ac:dyDescent="0.2">
      <c r="E219" s="8"/>
      <c r="G219" s="57"/>
    </row>
    <row r="220" spans="5:7" x14ac:dyDescent="0.2">
      <c r="E220" s="8"/>
      <c r="G220" s="57"/>
    </row>
    <row r="221" spans="5:7" x14ac:dyDescent="0.2">
      <c r="E221" s="8"/>
      <c r="G221" s="57"/>
    </row>
    <row r="222" spans="5:7" x14ac:dyDescent="0.2">
      <c r="E222" s="8"/>
      <c r="G222" s="57"/>
    </row>
    <row r="223" spans="5:7" x14ac:dyDescent="0.2">
      <c r="E223" s="8"/>
      <c r="G223" s="57"/>
    </row>
    <row r="224" spans="5:7" x14ac:dyDescent="0.2">
      <c r="E224" s="8"/>
      <c r="G224" s="57"/>
    </row>
    <row r="225" spans="5:7" x14ac:dyDescent="0.2">
      <c r="E225" s="8"/>
      <c r="G225" s="57"/>
    </row>
    <row r="226" spans="5:7" x14ac:dyDescent="0.2">
      <c r="E226" s="8"/>
      <c r="G226" s="57"/>
    </row>
    <row r="227" spans="5:7" x14ac:dyDescent="0.2">
      <c r="E227" s="8"/>
      <c r="G227" s="57"/>
    </row>
    <row r="228" spans="5:7" x14ac:dyDescent="0.2">
      <c r="E228" s="8"/>
      <c r="G228" s="57"/>
    </row>
    <row r="229" spans="5:7" x14ac:dyDescent="0.2">
      <c r="E229" s="8"/>
      <c r="G229" s="57"/>
    </row>
    <row r="230" spans="5:7" x14ac:dyDescent="0.2">
      <c r="E230" s="8"/>
      <c r="G230" s="57"/>
    </row>
    <row r="231" spans="5:7" x14ac:dyDescent="0.2">
      <c r="E231" s="8"/>
      <c r="G231" s="57"/>
    </row>
    <row r="232" spans="5:7" x14ac:dyDescent="0.2">
      <c r="E232" s="8"/>
      <c r="G232" s="57"/>
    </row>
    <row r="233" spans="5:7" x14ac:dyDescent="0.2">
      <c r="E233" s="8"/>
      <c r="G233" s="57"/>
    </row>
    <row r="234" spans="5:7" x14ac:dyDescent="0.2">
      <c r="E234" s="8"/>
      <c r="G234" s="57"/>
    </row>
    <row r="235" spans="5:7" x14ac:dyDescent="0.2">
      <c r="E235" s="8"/>
      <c r="G235" s="57"/>
    </row>
    <row r="236" spans="5:7" x14ac:dyDescent="0.2">
      <c r="E236" s="8"/>
      <c r="G236" s="57"/>
    </row>
    <row r="237" spans="5:7" x14ac:dyDescent="0.2">
      <c r="E237" s="8"/>
      <c r="G237" s="57"/>
    </row>
    <row r="238" spans="5:7" x14ac:dyDescent="0.2">
      <c r="E238" s="8"/>
      <c r="G238" s="57"/>
    </row>
    <row r="239" spans="5:7" x14ac:dyDescent="0.2">
      <c r="E239" s="8"/>
      <c r="G239" s="57"/>
    </row>
    <row r="240" spans="5:7" x14ac:dyDescent="0.2">
      <c r="E240" s="8"/>
      <c r="G240" s="57"/>
    </row>
    <row r="241" spans="5:7" x14ac:dyDescent="0.2">
      <c r="E241" s="8"/>
      <c r="G241" s="57"/>
    </row>
    <row r="242" spans="5:7" x14ac:dyDescent="0.2">
      <c r="E242" s="8"/>
      <c r="G242" s="57"/>
    </row>
    <row r="243" spans="5:7" x14ac:dyDescent="0.2">
      <c r="E243" s="8"/>
      <c r="G243" s="57"/>
    </row>
    <row r="244" spans="5:7" x14ac:dyDescent="0.2">
      <c r="E244" s="8"/>
      <c r="G244" s="57"/>
    </row>
    <row r="245" spans="5:7" x14ac:dyDescent="0.2">
      <c r="E245" s="8"/>
      <c r="G245" s="57"/>
    </row>
    <row r="246" spans="5:7" x14ac:dyDescent="0.2">
      <c r="E246" s="8"/>
      <c r="G246" s="57"/>
    </row>
    <row r="247" spans="5:7" x14ac:dyDescent="0.2">
      <c r="E247" s="8"/>
      <c r="G247" s="57"/>
    </row>
    <row r="248" spans="5:7" x14ac:dyDescent="0.2">
      <c r="E248" s="8"/>
      <c r="G248" s="57"/>
    </row>
    <row r="249" spans="5:7" x14ac:dyDescent="0.2">
      <c r="E249" s="8"/>
      <c r="G249" s="57"/>
    </row>
    <row r="250" spans="5:7" x14ac:dyDescent="0.2">
      <c r="E250" s="8"/>
      <c r="G250" s="57"/>
    </row>
    <row r="251" spans="5:7" x14ac:dyDescent="0.2">
      <c r="E251" s="8"/>
      <c r="G251" s="57"/>
    </row>
    <row r="252" spans="5:7" x14ac:dyDescent="0.2">
      <c r="E252" s="8"/>
      <c r="G252" s="57"/>
    </row>
    <row r="253" spans="5:7" x14ac:dyDescent="0.2">
      <c r="E253" s="8"/>
      <c r="G253" s="57"/>
    </row>
    <row r="254" spans="5:7" x14ac:dyDescent="0.2">
      <c r="E254" s="8"/>
      <c r="G254" s="57"/>
    </row>
    <row r="255" spans="5:7" x14ac:dyDescent="0.2">
      <c r="E255" s="8"/>
      <c r="G255" s="57"/>
    </row>
    <row r="256" spans="5:7" x14ac:dyDescent="0.2">
      <c r="E256" s="8"/>
      <c r="G256" s="57"/>
    </row>
    <row r="257" spans="5:7" x14ac:dyDescent="0.2">
      <c r="E257" s="8"/>
      <c r="G257" s="57"/>
    </row>
    <row r="258" spans="5:7" x14ac:dyDescent="0.2">
      <c r="E258" s="8"/>
      <c r="G258" s="57"/>
    </row>
    <row r="259" spans="5:7" x14ac:dyDescent="0.2">
      <c r="E259" s="8"/>
      <c r="G259" s="57"/>
    </row>
    <row r="260" spans="5:7" x14ac:dyDescent="0.2">
      <c r="E260" s="8"/>
      <c r="G260" s="57"/>
    </row>
    <row r="261" spans="5:7" x14ac:dyDescent="0.2">
      <c r="E261" s="8"/>
      <c r="G261" s="57"/>
    </row>
    <row r="262" spans="5:7" x14ac:dyDescent="0.2">
      <c r="E262" s="8"/>
      <c r="G262" s="57"/>
    </row>
    <row r="263" spans="5:7" x14ac:dyDescent="0.2">
      <c r="E263" s="8"/>
      <c r="G263" s="57"/>
    </row>
    <row r="264" spans="5:7" x14ac:dyDescent="0.2">
      <c r="E264" s="8"/>
      <c r="G264" s="57"/>
    </row>
    <row r="265" spans="5:7" x14ac:dyDescent="0.2">
      <c r="E265" s="8"/>
      <c r="G265" s="57"/>
    </row>
    <row r="266" spans="5:7" x14ac:dyDescent="0.2">
      <c r="E266" s="8"/>
      <c r="G266" s="57"/>
    </row>
    <row r="267" spans="5:7" x14ac:dyDescent="0.2">
      <c r="E267" s="8"/>
      <c r="G267" s="57"/>
    </row>
    <row r="268" spans="5:7" x14ac:dyDescent="0.2">
      <c r="E268" s="8"/>
      <c r="G268" s="57"/>
    </row>
    <row r="269" spans="5:7" x14ac:dyDescent="0.2">
      <c r="E269" s="8"/>
      <c r="G269" s="57"/>
    </row>
    <row r="270" spans="5:7" x14ac:dyDescent="0.2">
      <c r="E270" s="8"/>
      <c r="G270" s="57"/>
    </row>
    <row r="271" spans="5:7" x14ac:dyDescent="0.2">
      <c r="E271" s="8"/>
      <c r="G271" s="57"/>
    </row>
    <row r="272" spans="5:7" x14ac:dyDescent="0.2">
      <c r="E272" s="8"/>
      <c r="G272" s="57"/>
    </row>
    <row r="273" spans="5:7" x14ac:dyDescent="0.2">
      <c r="E273" s="8"/>
      <c r="G273" s="57"/>
    </row>
    <row r="274" spans="5:7" x14ac:dyDescent="0.2">
      <c r="E274" s="8"/>
      <c r="G274" s="57"/>
    </row>
    <row r="275" spans="5:7" x14ac:dyDescent="0.2">
      <c r="E275" s="8"/>
      <c r="G275" s="57"/>
    </row>
    <row r="276" spans="5:7" x14ac:dyDescent="0.2">
      <c r="E276" s="8"/>
      <c r="G276" s="57"/>
    </row>
    <row r="277" spans="5:7" x14ac:dyDescent="0.2">
      <c r="E277" s="8"/>
      <c r="G277" s="57"/>
    </row>
    <row r="278" spans="5:7" x14ac:dyDescent="0.2">
      <c r="E278" s="8"/>
      <c r="G278" s="57"/>
    </row>
    <row r="279" spans="5:7" x14ac:dyDescent="0.2">
      <c r="E279" s="8"/>
      <c r="G279" s="57"/>
    </row>
    <row r="280" spans="5:7" x14ac:dyDescent="0.2">
      <c r="E280" s="8"/>
      <c r="G280" s="57"/>
    </row>
    <row r="281" spans="5:7" x14ac:dyDescent="0.2">
      <c r="E281" s="8"/>
      <c r="G281" s="57"/>
    </row>
    <row r="282" spans="5:7" x14ac:dyDescent="0.2">
      <c r="E282" s="8"/>
      <c r="G282" s="57"/>
    </row>
    <row r="283" spans="5:7" x14ac:dyDescent="0.2">
      <c r="E283" s="8"/>
      <c r="G283" s="57"/>
    </row>
    <row r="284" spans="5:7" x14ac:dyDescent="0.2">
      <c r="E284" s="8"/>
      <c r="G284" s="57"/>
    </row>
    <row r="285" spans="5:7" x14ac:dyDescent="0.2">
      <c r="E285" s="8"/>
      <c r="G285" s="57"/>
    </row>
    <row r="286" spans="5:7" x14ac:dyDescent="0.2">
      <c r="E286" s="8"/>
      <c r="G286" s="57"/>
    </row>
    <row r="287" spans="5:7" x14ac:dyDescent="0.2">
      <c r="E287" s="8"/>
      <c r="G287" s="57"/>
    </row>
    <row r="288" spans="5:7" x14ac:dyDescent="0.2">
      <c r="E288" s="8"/>
      <c r="G288" s="57"/>
    </row>
    <row r="289" spans="5:7" x14ac:dyDescent="0.2">
      <c r="E289" s="8"/>
      <c r="G289" s="57"/>
    </row>
    <row r="290" spans="5:7" x14ac:dyDescent="0.2">
      <c r="E290" s="8"/>
      <c r="G290" s="57"/>
    </row>
    <row r="291" spans="5:7" x14ac:dyDescent="0.2">
      <c r="E291" s="8"/>
      <c r="G291" s="57"/>
    </row>
    <row r="292" spans="5:7" x14ac:dyDescent="0.2">
      <c r="E292" s="8"/>
      <c r="G292" s="57"/>
    </row>
    <row r="293" spans="5:7" x14ac:dyDescent="0.2">
      <c r="E293" s="8"/>
      <c r="G293" s="57"/>
    </row>
    <row r="294" spans="5:7" x14ac:dyDescent="0.2">
      <c r="E294" s="8"/>
      <c r="G294" s="57"/>
    </row>
    <row r="295" spans="5:7" x14ac:dyDescent="0.2">
      <c r="E295" s="8"/>
      <c r="G295" s="57"/>
    </row>
    <row r="296" spans="5:7" x14ac:dyDescent="0.2">
      <c r="E296" s="8"/>
      <c r="G296" s="57"/>
    </row>
    <row r="297" spans="5:7" x14ac:dyDescent="0.2">
      <c r="E297" s="8"/>
      <c r="G297" s="57"/>
    </row>
    <row r="298" spans="5:7" x14ac:dyDescent="0.2">
      <c r="E298" s="8"/>
      <c r="G298" s="57"/>
    </row>
    <row r="299" spans="5:7" x14ac:dyDescent="0.2">
      <c r="E299" s="8"/>
      <c r="G299" s="57"/>
    </row>
    <row r="300" spans="5:7" x14ac:dyDescent="0.2">
      <c r="E300" s="8"/>
      <c r="G300" s="57"/>
    </row>
    <row r="301" spans="5:7" x14ac:dyDescent="0.2">
      <c r="E301" s="8"/>
      <c r="G301" s="57"/>
    </row>
    <row r="302" spans="5:7" x14ac:dyDescent="0.2">
      <c r="E302" s="8"/>
      <c r="G302" s="57"/>
    </row>
    <row r="303" spans="5:7" x14ac:dyDescent="0.2">
      <c r="E303" s="8"/>
      <c r="G303" s="57"/>
    </row>
    <row r="304" spans="5:7" x14ac:dyDescent="0.2">
      <c r="E304" s="8"/>
      <c r="G304" s="57"/>
    </row>
    <row r="305" spans="5:7" x14ac:dyDescent="0.2">
      <c r="E305" s="8"/>
      <c r="G305" s="57"/>
    </row>
    <row r="306" spans="5:7" x14ac:dyDescent="0.2">
      <c r="E306" s="8"/>
      <c r="G306" s="57"/>
    </row>
    <row r="307" spans="5:7" x14ac:dyDescent="0.2">
      <c r="E307" s="8"/>
      <c r="G307" s="57"/>
    </row>
    <row r="308" spans="5:7" x14ac:dyDescent="0.2">
      <c r="E308" s="8"/>
      <c r="G308" s="57"/>
    </row>
    <row r="309" spans="5:7" x14ac:dyDescent="0.2">
      <c r="E309" s="8"/>
      <c r="G309" s="57"/>
    </row>
    <row r="310" spans="5:7" x14ac:dyDescent="0.2">
      <c r="E310" s="8"/>
      <c r="G310" s="57"/>
    </row>
    <row r="311" spans="5:7" x14ac:dyDescent="0.2">
      <c r="E311" s="8"/>
      <c r="G311" s="57"/>
    </row>
    <row r="312" spans="5:7" x14ac:dyDescent="0.2">
      <c r="E312" s="8"/>
      <c r="G312" s="57"/>
    </row>
    <row r="313" spans="5:7" x14ac:dyDescent="0.2">
      <c r="E313" s="8"/>
      <c r="G313" s="57"/>
    </row>
    <row r="314" spans="5:7" x14ac:dyDescent="0.2">
      <c r="E314" s="8"/>
      <c r="G314" s="57"/>
    </row>
    <row r="315" spans="5:7" x14ac:dyDescent="0.2">
      <c r="E315" s="8"/>
      <c r="G315" s="57"/>
    </row>
    <row r="316" spans="5:7" x14ac:dyDescent="0.2">
      <c r="E316" s="8"/>
      <c r="G316" s="57"/>
    </row>
    <row r="317" spans="5:7" x14ac:dyDescent="0.2">
      <c r="E317" s="8"/>
      <c r="G317" s="57"/>
    </row>
    <row r="318" spans="5:7" x14ac:dyDescent="0.2">
      <c r="E318" s="8"/>
      <c r="G318" s="57"/>
    </row>
    <row r="319" spans="5:7" x14ac:dyDescent="0.2">
      <c r="E319" s="8"/>
      <c r="G319" s="57"/>
    </row>
    <row r="320" spans="5:7" x14ac:dyDescent="0.2">
      <c r="E320" s="8"/>
      <c r="G320" s="57"/>
    </row>
    <row r="321" spans="5:7" x14ac:dyDescent="0.2">
      <c r="E321" s="8"/>
      <c r="G321" s="57"/>
    </row>
    <row r="322" spans="5:7" x14ac:dyDescent="0.2">
      <c r="E322" s="8"/>
      <c r="G322" s="57"/>
    </row>
    <row r="323" spans="5:7" x14ac:dyDescent="0.2">
      <c r="E323" s="8"/>
      <c r="G323" s="57"/>
    </row>
    <row r="324" spans="5:7" x14ac:dyDescent="0.2">
      <c r="E324" s="8"/>
      <c r="G324" s="57"/>
    </row>
    <row r="325" spans="5:7" x14ac:dyDescent="0.2">
      <c r="E325" s="8"/>
      <c r="G325" s="57"/>
    </row>
    <row r="326" spans="5:7" x14ac:dyDescent="0.2">
      <c r="E326" s="8"/>
      <c r="G326" s="57"/>
    </row>
    <row r="327" spans="5:7" x14ac:dyDescent="0.2">
      <c r="E327" s="8"/>
      <c r="G327" s="57"/>
    </row>
    <row r="328" spans="5:7" x14ac:dyDescent="0.2">
      <c r="E328" s="8"/>
      <c r="G328" s="57"/>
    </row>
    <row r="329" spans="5:7" x14ac:dyDescent="0.2">
      <c r="E329" s="8"/>
      <c r="G329" s="57"/>
    </row>
    <row r="330" spans="5:7" x14ac:dyDescent="0.2">
      <c r="E330" s="8"/>
      <c r="G330" s="57"/>
    </row>
    <row r="331" spans="5:7" x14ac:dyDescent="0.2">
      <c r="E331" s="8"/>
      <c r="G331" s="57"/>
    </row>
    <row r="332" spans="5:7" x14ac:dyDescent="0.2">
      <c r="E332" s="8"/>
      <c r="G332" s="57"/>
    </row>
    <row r="333" spans="5:7" x14ac:dyDescent="0.2">
      <c r="E333" s="8"/>
      <c r="G333" s="57"/>
    </row>
    <row r="334" spans="5:7" x14ac:dyDescent="0.2">
      <c r="E334" s="8"/>
      <c r="G334" s="57"/>
    </row>
    <row r="335" spans="5:7" x14ac:dyDescent="0.2">
      <c r="E335" s="8"/>
      <c r="G335" s="57"/>
    </row>
    <row r="336" spans="5:7" x14ac:dyDescent="0.2">
      <c r="E336" s="8"/>
      <c r="G336" s="57"/>
    </row>
    <row r="337" spans="5:7" x14ac:dyDescent="0.2">
      <c r="E337" s="8"/>
      <c r="G337" s="57"/>
    </row>
    <row r="338" spans="5:7" x14ac:dyDescent="0.2">
      <c r="E338" s="8"/>
      <c r="G338" s="57"/>
    </row>
    <row r="339" spans="5:7" x14ac:dyDescent="0.2">
      <c r="E339" s="8"/>
      <c r="G339" s="57"/>
    </row>
    <row r="340" spans="5:7" x14ac:dyDescent="0.2">
      <c r="E340" s="8"/>
      <c r="G340" s="57"/>
    </row>
    <row r="341" spans="5:7" x14ac:dyDescent="0.2">
      <c r="E341" s="8"/>
      <c r="G341" s="57"/>
    </row>
    <row r="342" spans="5:7" x14ac:dyDescent="0.2">
      <c r="E342" s="8"/>
      <c r="G342" s="57"/>
    </row>
    <row r="343" spans="5:7" x14ac:dyDescent="0.2">
      <c r="E343" s="8"/>
      <c r="G343" s="57"/>
    </row>
    <row r="344" spans="5:7" x14ac:dyDescent="0.2">
      <c r="E344" s="8"/>
      <c r="G344" s="57"/>
    </row>
    <row r="345" spans="5:7" x14ac:dyDescent="0.2">
      <c r="E345" s="8"/>
      <c r="G345" s="57"/>
    </row>
    <row r="346" spans="5:7" x14ac:dyDescent="0.2">
      <c r="E346" s="8"/>
      <c r="G346" s="57"/>
    </row>
    <row r="347" spans="5:7" x14ac:dyDescent="0.2">
      <c r="E347" s="8"/>
      <c r="G347" s="57"/>
    </row>
    <row r="348" spans="5:7" x14ac:dyDescent="0.2">
      <c r="E348" s="8"/>
      <c r="G348" s="57"/>
    </row>
    <row r="349" spans="5:7" x14ac:dyDescent="0.2">
      <c r="E349" s="8"/>
      <c r="G349" s="57"/>
    </row>
    <row r="350" spans="5:7" x14ac:dyDescent="0.2">
      <c r="E350" s="8"/>
      <c r="G350" s="57"/>
    </row>
    <row r="351" spans="5:7" x14ac:dyDescent="0.2">
      <c r="E351" s="8"/>
      <c r="G351" s="57"/>
    </row>
    <row r="352" spans="5:7" x14ac:dyDescent="0.2">
      <c r="E352" s="8"/>
      <c r="G352" s="57"/>
    </row>
    <row r="353" spans="5:7" x14ac:dyDescent="0.2">
      <c r="E353" s="8"/>
      <c r="G353" s="57"/>
    </row>
    <row r="354" spans="5:7" x14ac:dyDescent="0.2">
      <c r="E354" s="8"/>
      <c r="G354" s="57"/>
    </row>
    <row r="355" spans="5:7" x14ac:dyDescent="0.2">
      <c r="E355" s="8"/>
      <c r="G355" s="57"/>
    </row>
    <row r="356" spans="5:7" x14ac:dyDescent="0.2">
      <c r="E356" s="8"/>
      <c r="G356" s="57"/>
    </row>
    <row r="357" spans="5:7" x14ac:dyDescent="0.2">
      <c r="E357" s="8"/>
      <c r="G357" s="57"/>
    </row>
    <row r="358" spans="5:7" x14ac:dyDescent="0.2">
      <c r="E358" s="8"/>
      <c r="G358" s="57"/>
    </row>
    <row r="359" spans="5:7" x14ac:dyDescent="0.2">
      <c r="E359" s="8"/>
      <c r="G359" s="57"/>
    </row>
    <row r="360" spans="5:7" x14ac:dyDescent="0.2">
      <c r="E360" s="8"/>
      <c r="G360" s="57"/>
    </row>
    <row r="361" spans="5:7" x14ac:dyDescent="0.2">
      <c r="E361" s="8"/>
      <c r="G361" s="57"/>
    </row>
    <row r="362" spans="5:7" x14ac:dyDescent="0.2">
      <c r="E362" s="8"/>
      <c r="G362" s="57"/>
    </row>
    <row r="363" spans="5:7" x14ac:dyDescent="0.2">
      <c r="E363" s="8"/>
      <c r="G363" s="57"/>
    </row>
    <row r="364" spans="5:7" x14ac:dyDescent="0.2">
      <c r="E364" s="8"/>
      <c r="G364" s="57"/>
    </row>
    <row r="365" spans="5:7" x14ac:dyDescent="0.2">
      <c r="E365" s="8"/>
      <c r="G365" s="57"/>
    </row>
    <row r="366" spans="5:7" x14ac:dyDescent="0.2">
      <c r="E366" s="8"/>
      <c r="G366" s="57"/>
    </row>
    <row r="367" spans="5:7" x14ac:dyDescent="0.2">
      <c r="E367" s="8"/>
      <c r="G367" s="57"/>
    </row>
    <row r="368" spans="5:7" x14ac:dyDescent="0.2">
      <c r="E368" s="8"/>
      <c r="G368" s="57"/>
    </row>
    <row r="369" spans="5:7" x14ac:dyDescent="0.2">
      <c r="E369" s="8"/>
      <c r="G369" s="57"/>
    </row>
    <row r="370" spans="5:7" x14ac:dyDescent="0.2">
      <c r="E370" s="8"/>
      <c r="G370" s="57"/>
    </row>
    <row r="371" spans="5:7" x14ac:dyDescent="0.2">
      <c r="E371" s="8"/>
      <c r="G371" s="57"/>
    </row>
    <row r="372" spans="5:7" x14ac:dyDescent="0.2">
      <c r="E372" s="8"/>
      <c r="G372" s="57"/>
    </row>
    <row r="373" spans="5:7" x14ac:dyDescent="0.2">
      <c r="E373" s="8"/>
      <c r="G373" s="57"/>
    </row>
    <row r="374" spans="5:7" x14ac:dyDescent="0.2">
      <c r="E374" s="8"/>
      <c r="G374" s="57"/>
    </row>
    <row r="375" spans="5:7" x14ac:dyDescent="0.2">
      <c r="E375" s="8"/>
      <c r="G375" s="57"/>
    </row>
    <row r="376" spans="5:7" x14ac:dyDescent="0.2">
      <c r="E376" s="8"/>
      <c r="G376" s="57"/>
    </row>
    <row r="377" spans="5:7" x14ac:dyDescent="0.2">
      <c r="E377" s="8"/>
      <c r="G377" s="57"/>
    </row>
    <row r="378" spans="5:7" x14ac:dyDescent="0.2">
      <c r="E378" s="8"/>
      <c r="G378" s="57"/>
    </row>
    <row r="379" spans="5:7" x14ac:dyDescent="0.2">
      <c r="E379" s="8"/>
      <c r="G379" s="57"/>
    </row>
    <row r="380" spans="5:7" x14ac:dyDescent="0.2">
      <c r="E380" s="8"/>
      <c r="G380" s="57"/>
    </row>
    <row r="381" spans="5:7" x14ac:dyDescent="0.2">
      <c r="E381" s="8"/>
      <c r="G381" s="57"/>
    </row>
    <row r="382" spans="5:7" x14ac:dyDescent="0.2">
      <c r="E382" s="8"/>
      <c r="G382" s="57"/>
    </row>
    <row r="383" spans="5:7" x14ac:dyDescent="0.2">
      <c r="E383" s="8"/>
      <c r="G383" s="57"/>
    </row>
    <row r="384" spans="5:7" x14ac:dyDescent="0.2">
      <c r="E384" s="8"/>
      <c r="G384" s="57"/>
    </row>
    <row r="385" spans="5:7" x14ac:dyDescent="0.2">
      <c r="E385" s="8"/>
      <c r="G385" s="57"/>
    </row>
    <row r="386" spans="5:7" x14ac:dyDescent="0.2">
      <c r="E386" s="8"/>
      <c r="G386" s="57"/>
    </row>
    <row r="387" spans="5:7" x14ac:dyDescent="0.2">
      <c r="E387" s="8"/>
      <c r="G387" s="57"/>
    </row>
    <row r="388" spans="5:7" x14ac:dyDescent="0.2">
      <c r="E388" s="8"/>
      <c r="G388" s="57"/>
    </row>
    <row r="389" spans="5:7" x14ac:dyDescent="0.2">
      <c r="E389" s="8"/>
      <c r="G389" s="57"/>
    </row>
    <row r="390" spans="5:7" x14ac:dyDescent="0.2">
      <c r="E390" s="8"/>
      <c r="G390" s="57"/>
    </row>
    <row r="391" spans="5:7" x14ac:dyDescent="0.2">
      <c r="E391" s="8"/>
      <c r="G391" s="57"/>
    </row>
    <row r="392" spans="5:7" x14ac:dyDescent="0.2">
      <c r="E392" s="8"/>
      <c r="G392" s="57"/>
    </row>
    <row r="393" spans="5:7" x14ac:dyDescent="0.2">
      <c r="E393" s="8"/>
      <c r="G393" s="57"/>
    </row>
    <row r="394" spans="5:7" x14ac:dyDescent="0.2">
      <c r="E394" s="8"/>
      <c r="G394" s="57"/>
    </row>
    <row r="395" spans="5:7" x14ac:dyDescent="0.2">
      <c r="E395" s="8"/>
      <c r="G395" s="57"/>
    </row>
    <row r="396" spans="5:7" x14ac:dyDescent="0.2">
      <c r="E396" s="8"/>
      <c r="G396" s="57"/>
    </row>
  </sheetData>
  <mergeCells count="1">
    <mergeCell ref="B1:C1"/>
  </mergeCells>
  <conditionalFormatting sqref="G1:G3 G5:G294">
    <cfRule type="cellIs" dxfId="0" priority="2" stopIfTrue="1" operator="between">
      <formula>0.009</formula>
      <formula>-0.009</formula>
    </cfRule>
  </conditionalFormatting>
  <hyperlinks>
    <hyperlink ref="A2" location="Index!A1" display="-" xr:uid="{0227DE09-094B-4347-9074-A4C4899EEAAC}"/>
  </hyperlinks>
  <pageMargins left="0.7" right="0.7" top="0.75" bottom="0.75" header="0.3" footer="0.3"/>
  <pageSetup paperSize="9" scale="50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210" min="1" max="7" man="1"/>
  </rowBreaks>
  <colBreaks count="1" manualBreakCount="1">
    <brk id="8" max="40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JBARB</vt:lpstr>
      <vt:lpstr>JBARB!Print_Area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