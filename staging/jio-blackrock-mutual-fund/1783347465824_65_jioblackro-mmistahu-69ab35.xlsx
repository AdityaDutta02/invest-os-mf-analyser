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0E570848-4676-4569-8E4C-FD0C52F74AC7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FLEXI" sheetId="13" r:id="rId1"/>
  </sheets>
  <definedNames>
    <definedName name="_xlnm.Print_Area" localSheetId="0">JBFLEXI!$B$1:$H$179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3" l="1"/>
  <c r="F132" i="13"/>
  <c r="G131" i="13" l="1"/>
  <c r="G139" i="13" l="1"/>
  <c r="F139" i="13"/>
  <c r="G125" i="13"/>
  <c r="F125" i="13"/>
  <c r="G128" i="13" l="1"/>
  <c r="F128" i="13"/>
</calcChain>
</file>

<file path=xl/sharedStrings.xml><?xml version="1.0" encoding="utf-8"?>
<sst xmlns="http://schemas.openxmlformats.org/spreadsheetml/2006/main" count="392" uniqueCount="308">
  <si>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</si>
  <si>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</si>
  <si>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</si>
  <si>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</si>
  <si>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</si>
  <si>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</si>
  <si>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</si>
  <si>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Flexi Cap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</si>
  <si>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</si>
  <si>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</si>
  <si>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</si>
  <si>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</si>
  <si>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</si>
  <si>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</si>
  <si>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</si>
  <si>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</si>
  <si>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</si>
  <si>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</si>
  <si>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</si>
  <si>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</si>
  <si>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</si>
  <si>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</si>
  <si>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</si>
  <si>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</si>
  <si>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</si>
  <si>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</si>
  <si>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</si>
  <si>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</si>
  <si>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</si>
  <si>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</si>
  <si>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</si>
  <si>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</si>
  <si>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</si>
  <si>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</si>
  <si>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IT - Software</t>
  </si>
  <si>
    <t>Axis Bank Ltd</t>
  </si>
  <si>
    <t>INE238A01034</t>
  </si>
  <si>
    <t>Kotak Mahindra Bank Ltd</t>
  </si>
  <si>
    <t>INE237A01036</t>
  </si>
  <si>
    <t>Mahindra &amp; Mahindra Ltd</t>
  </si>
  <si>
    <t>INE101A01026</t>
  </si>
  <si>
    <t>Automobiles</t>
  </si>
  <si>
    <t>ITC Ltd</t>
  </si>
  <si>
    <t>INE154A01025</t>
  </si>
  <si>
    <t>Diversified FMCG</t>
  </si>
  <si>
    <t>Tata Consultancy Services Ltd</t>
  </si>
  <si>
    <t>INE467B01029</t>
  </si>
  <si>
    <t>Finance</t>
  </si>
  <si>
    <t>Sun Pharmaceutical Industries Ltd</t>
  </si>
  <si>
    <t>INE044A01036</t>
  </si>
  <si>
    <t>Pharmaceuticals &amp; Biotechnology</t>
  </si>
  <si>
    <t>Power</t>
  </si>
  <si>
    <t>Titan Co Ltd</t>
  </si>
  <si>
    <t>INE280A01028</t>
  </si>
  <si>
    <t>Consumer Durables</t>
  </si>
  <si>
    <t>Eternal Ltd</t>
  </si>
  <si>
    <t>INE758T01015</t>
  </si>
  <si>
    <t>Retailing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</si>
  <si>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</si>
  <si>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</si>
  <si>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</si>
  <si>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</si>
  <si>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</si>
  <si>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</si>
  <si>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Cement &amp; Cement Products</t>
  </si>
  <si>
    <t>HCL Technologies Ltd</t>
  </si>
  <si>
    <t>INE860A01027</t>
  </si>
  <si>
    <t>Non - Ferrous Metals</t>
  </si>
  <si>
    <t>JSW Steel Ltd</t>
  </si>
  <si>
    <t>INE019A01038</t>
  </si>
  <si>
    <t>Adani Ports and Special Economic Zone Ltd</t>
  </si>
  <si>
    <t>INE742F01042</t>
  </si>
  <si>
    <t>Transport Infrastructure</t>
  </si>
  <si>
    <t>Interglobe Aviation Ltd</t>
  </si>
  <si>
    <t>INE646L01027</t>
  </si>
  <si>
    <t>Transport Services</t>
  </si>
  <si>
    <t>Oil &amp; Natural Gas Corporation Ltd</t>
  </si>
  <si>
    <t>INE213A01029</t>
  </si>
  <si>
    <t>Oil</t>
  </si>
  <si>
    <t>Food Products</t>
  </si>
  <si>
    <t>Insurance</t>
  </si>
  <si>
    <t>Tech Mahindra Ltd</t>
  </si>
  <si>
    <t>INE669C01036</t>
  </si>
  <si>
    <t>Healthcare Services</t>
  </si>
  <si>
    <t>Agricultural Food &amp; Other Products</t>
  </si>
  <si>
    <t>Wipro Ltd</t>
  </si>
  <si>
    <t>INE075A01022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</si>
  <si>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</si>
  <si>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</si>
  <si>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</si>
  <si>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</si>
  <si>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</si>
  <si>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</si>
  <si>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TVS Motor Co Ltd</t>
  </si>
  <si>
    <t>INE494B01023</t>
  </si>
  <si>
    <t>Bharat Petroleum Corporation Ltd</t>
  </si>
  <si>
    <t>INE029A01011</t>
  </si>
  <si>
    <t>Hindustan Aeronautics Ltd</t>
  </si>
  <si>
    <t>INE066F01020</t>
  </si>
  <si>
    <t>Britannia Industries Ltd</t>
  </si>
  <si>
    <t>INE216A01030</t>
  </si>
  <si>
    <t>Indian Oil Corporation Ltd</t>
  </si>
  <si>
    <t>INE242A01010</t>
  </si>
  <si>
    <t>Beverages</t>
  </si>
  <si>
    <t>Auto Components</t>
  </si>
  <si>
    <t>Electrical Equipment</t>
  </si>
  <si>
    <t>Personal Products</t>
  </si>
  <si>
    <t>Bajaj Holdings &amp; Investment Ltd</t>
  </si>
  <si>
    <t>INE118A01012</t>
  </si>
  <si>
    <t>Chemicals &amp; Petrochemicals</t>
  </si>
  <si>
    <t>Gas</t>
  </si>
  <si>
    <t>Realty</t>
  </si>
  <si>
    <t>Adani Energy Solutions Ltd</t>
  </si>
  <si>
    <t>INE931S01010</t>
  </si>
  <si>
    <t>Shree Cement Ltd</t>
  </si>
  <si>
    <t>INE070A01015</t>
  </si>
  <si>
    <t>Hindustan Zinc Ltd</t>
  </si>
  <si>
    <t>INE267A01025</t>
  </si>
  <si>
    <t>Siemens Energy India ltd</t>
  </si>
  <si>
    <t>INE1NPP01017</t>
  </si>
  <si>
    <t>Life Insurance Corporation Of India</t>
  </si>
  <si>
    <t>INE0J1Y01017</t>
  </si>
  <si>
    <t>Industrial Manufacturing</t>
  </si>
  <si>
    <t>** Non- Traded Security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</si>
  <si>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</si>
  <si>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</si>
  <si>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</si>
  <si>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</si>
  <si>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</si>
  <si>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</si>
  <si>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</si>
  <si>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Industrial Products</t>
  </si>
  <si>
    <t>Agricultural, Commercial &amp; Construction Vehicles</t>
  </si>
  <si>
    <t>Lupin Ltd</t>
  </si>
  <si>
    <t>INE326A01037</t>
  </si>
  <si>
    <t>HDFC Asset Management Co Ltd</t>
  </si>
  <si>
    <t>INE127D01025</t>
  </si>
  <si>
    <t>Max Financial Services Ltd</t>
  </si>
  <si>
    <t>INE180A01020</t>
  </si>
  <si>
    <t>Polycab India Ltd</t>
  </si>
  <si>
    <t>INE455K01017</t>
  </si>
  <si>
    <t>Hindustan Petroleum Corporation Ltd</t>
  </si>
  <si>
    <t>INE094A01015</t>
  </si>
  <si>
    <t>Marico Ltd</t>
  </si>
  <si>
    <t>INE196A01026</t>
  </si>
  <si>
    <t>Swiggy Ltd</t>
  </si>
  <si>
    <t>INE00H001014</t>
  </si>
  <si>
    <t>Coforge Ltd</t>
  </si>
  <si>
    <t>INE591G01025</t>
  </si>
  <si>
    <t>Yes Bank Ltd</t>
  </si>
  <si>
    <t>INE528G01035</t>
  </si>
  <si>
    <t>Fertilizers &amp; Agrochemicals</t>
  </si>
  <si>
    <t>Indian Bank</t>
  </si>
  <si>
    <t>INE562A01011</t>
  </si>
  <si>
    <t>Aurobindo Pharma Ltd</t>
  </si>
  <si>
    <t>INE406A01037</t>
  </si>
  <si>
    <t>National Aluminium Co Ltd</t>
  </si>
  <si>
    <t>INE139A01034</t>
  </si>
  <si>
    <t>Mphasis Ltd</t>
  </si>
  <si>
    <t>INE356A01018</t>
  </si>
  <si>
    <t>Vishal Mega Mart Ltd</t>
  </si>
  <si>
    <t>INE01EA01019</t>
  </si>
  <si>
    <t>J.K. Cement Ltd</t>
  </si>
  <si>
    <t>INE823G01014</t>
  </si>
  <si>
    <t>Agricultural Food &amp; other Products</t>
  </si>
  <si>
    <t>Nippon Life India Asset Management Ltd</t>
  </si>
  <si>
    <t>INE298J01013</t>
  </si>
  <si>
    <t>Kalyan Jewellers India Ltd</t>
  </si>
  <si>
    <t>INE303R01014</t>
  </si>
  <si>
    <t>Apollo Tyres Ltd</t>
  </si>
  <si>
    <t>INE438A01022</t>
  </si>
  <si>
    <t>Indraprastha Gas Ltd</t>
  </si>
  <si>
    <t>INE203G01027</t>
  </si>
  <si>
    <t>Escorts Kubota Ltd</t>
  </si>
  <si>
    <t>INE042A01014</t>
  </si>
  <si>
    <t>Motilal Oswal Financial Services Ltd</t>
  </si>
  <si>
    <t>INE338I01027</t>
  </si>
  <si>
    <t>IT - Services</t>
  </si>
  <si>
    <t>Gujarat Gas Ltd</t>
  </si>
  <si>
    <t>INE844O01030</t>
  </si>
  <si>
    <t>The New India Assurance Co Ltd</t>
  </si>
  <si>
    <t>INE470Y01017</t>
  </si>
  <si>
    <t>UCO Bank</t>
  </si>
  <si>
    <t>INE691A01018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</si>
  <si>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</si>
  <si>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</si>
  <si>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</si>
  <si>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</si>
  <si>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</si>
  <si>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</si>
  <si>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Navin Fluorine International Ltd</t>
  </si>
  <si>
    <t>INE048G01026</t>
  </si>
  <si>
    <t>Radico Khaitan Ltd</t>
  </si>
  <si>
    <t>INE944F01028</t>
  </si>
  <si>
    <t>City Union Bank Ltd</t>
  </si>
  <si>
    <t>INE491A01021</t>
  </si>
  <si>
    <t>Commercial Services &amp; Supplies</t>
  </si>
  <si>
    <t>Kalpataru Projects International Ltd</t>
  </si>
  <si>
    <t>INE220B01022</t>
  </si>
  <si>
    <t>Great Eastern Shipping Co Ltd</t>
  </si>
  <si>
    <t>INE017A01032</t>
  </si>
  <si>
    <t>Elgi Equipments Ltd</t>
  </si>
  <si>
    <t>INE285A01027</t>
  </si>
  <si>
    <t>Dr. Lal Path Labs Ltd</t>
  </si>
  <si>
    <t>INE600L01024</t>
  </si>
  <si>
    <t>Ather Energy Ltd</t>
  </si>
  <si>
    <t>INE0LEZ01016</t>
  </si>
  <si>
    <t>CESC Ltd</t>
  </si>
  <si>
    <t>INE486A01021</t>
  </si>
  <si>
    <t>Castrol India Ltd</t>
  </si>
  <si>
    <t>INE172A01027</t>
  </si>
  <si>
    <t>EID Parry India Ltd</t>
  </si>
  <si>
    <t>INE126A01031</t>
  </si>
  <si>
    <t>Natco Pharma Ltd</t>
  </si>
  <si>
    <t>INE987B01026</t>
  </si>
  <si>
    <t>Entertainment</t>
  </si>
  <si>
    <t>Kajaria Ceramics Ltd</t>
  </si>
  <si>
    <t>INE217B01036</t>
  </si>
  <si>
    <t>Cyient Ltd</t>
  </si>
  <si>
    <t>INE136B01020</t>
  </si>
  <si>
    <t>Pfizer Ltd</t>
  </si>
  <si>
    <t>INE182A01018</t>
  </si>
  <si>
    <t>PVR Inox Ltd</t>
  </si>
  <si>
    <t>INE191H01014</t>
  </si>
  <si>
    <t>CCL Products (India) Ltd</t>
  </si>
  <si>
    <t>INE421D01022</t>
  </si>
  <si>
    <t>Jubilant Pharmova Ltd</t>
  </si>
  <si>
    <t>INE700A01033</t>
  </si>
  <si>
    <t>eClerx Services Ltd</t>
  </si>
  <si>
    <t>INE738I01010</t>
  </si>
  <si>
    <t>Indiamart Intermesh Ltd</t>
  </si>
  <si>
    <t>INE933S01016</t>
  </si>
  <si>
    <t>Aditya Birla Sun Life AMC Ltd</t>
  </si>
  <si>
    <t>INE404A01024</t>
  </si>
  <si>
    <t>Zensar Technologies Ltd</t>
  </si>
  <si>
    <t>INE520A01027</t>
  </si>
  <si>
    <t>JK Tyre &amp; Industries Ltd</t>
  </si>
  <si>
    <t>INE573A01042</t>
  </si>
  <si>
    <t>Sagility Ltd</t>
  </si>
  <si>
    <t>INE0W2G01015</t>
  </si>
  <si>
    <t>R R Kabel Ltd</t>
  </si>
  <si>
    <t>INE777K01022</t>
  </si>
  <si>
    <t>JM Financial Ltd</t>
  </si>
  <si>
    <t>INE780C01023</t>
  </si>
  <si>
    <t>Chennai Petroleum Corporation Ltd</t>
  </si>
  <si>
    <t>INE178A01016</t>
  </si>
  <si>
    <t>Honasa Consumer Ltd</t>
  </si>
  <si>
    <t>INE0J5401028</t>
  </si>
  <si>
    <t>UTI Asset Management Co Ltd</t>
  </si>
  <si>
    <t>INE094J01016</t>
  </si>
  <si>
    <t>Nuvoco Vistas Corporation Ltd</t>
  </si>
  <si>
    <t>INE118D01016</t>
  </si>
  <si>
    <t>Godrej Agrovet Ltd</t>
  </si>
  <si>
    <t>INE850D01014</t>
  </si>
  <si>
    <t>Rashtriya Chemicals and Fertilizers Ltd</t>
  </si>
  <si>
    <t>INE027A01015</t>
  </si>
  <si>
    <t>Akums Drugs And Pharmaceuticals Ltd</t>
  </si>
  <si>
    <t>INE09XN01023</t>
  </si>
  <si>
    <t>VA Tech Wabag Ltd</t>
  </si>
  <si>
    <t>INE956G01038</t>
  </si>
  <si>
    <t>Other Utilities</t>
  </si>
  <si>
    <t>PTC India Ltd</t>
  </si>
  <si>
    <t>INE877F01012</t>
  </si>
  <si>
    <t>Jamna Auto Industries Ltd</t>
  </si>
  <si>
    <t>INE039C01032</t>
  </si>
  <si>
    <t>V-Mart Retail Ltd</t>
  </si>
  <si>
    <t>INE665J01013</t>
  </si>
  <si>
    <t>Sharda Cropchem Ltd</t>
  </si>
  <si>
    <t>INE221J01015</t>
  </si>
  <si>
    <t>GMM Pfaudler Ltd</t>
  </si>
  <si>
    <t>INE541A01023</t>
  </si>
  <si>
    <t>Ahluwalia Contracts (India) Ltd</t>
  </si>
  <si>
    <t>INE758C01029</t>
  </si>
  <si>
    <t>Fiem Industries Ltd</t>
  </si>
  <si>
    <t>INE737H01014</t>
  </si>
  <si>
    <t>KRBL Ltd</t>
  </si>
  <si>
    <t>INE001B01026</t>
  </si>
  <si>
    <t>Route Mobile Ltd</t>
  </si>
  <si>
    <t>INE450U01017</t>
  </si>
  <si>
    <t>Thyrocare Technologies Ltd</t>
  </si>
  <si>
    <t>INE594H01019</t>
  </si>
  <si>
    <t>Advanced Enzyme Technologies Ltd</t>
  </si>
  <si>
    <t>INE837H01020</t>
  </si>
  <si>
    <t>INE1YPB01014</t>
  </si>
  <si>
    <t>TVS Supply Chain Solutions Ltd</t>
  </si>
  <si>
    <t>INE395N01027</t>
  </si>
  <si>
    <t>Dodla Dairy Ltd</t>
  </si>
  <si>
    <t>INE021O01019</t>
  </si>
  <si>
    <t>Allcargo Logistics Ltd</t>
  </si>
  <si>
    <t>INE418H01029</t>
  </si>
  <si>
    <t>Embassy Developments Ltd</t>
  </si>
  <si>
    <t>INE069I01010</t>
  </si>
  <si>
    <t>Gulf Oil Lubricants India Ltd</t>
  </si>
  <si>
    <t>INE635Q01029</t>
  </si>
  <si>
    <t>RattanIndia Enterprises Ltd</t>
  </si>
  <si>
    <t>INE834M01019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</si>
  <si>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</si>
  <si>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</si>
  <si>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</si>
  <si>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</si>
  <si>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</si>
  <si>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30-MAR-26 FUT</t>
  </si>
  <si>
    <t>Long</t>
  </si>
  <si>
    <t>Index</t>
  </si>
  <si>
    <t>Benchmark Risk-O-Meter</t>
  </si>
  <si>
    <t>Benchmark Name - Nifty 500 Index (TRI)</t>
  </si>
  <si>
    <t>-</t>
  </si>
  <si>
    <t>Allcargo Global Ltd**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</si>
</sst>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.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0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39" fontId="6" fillId="0" borderId="3" xfId="0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3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145</xdr:row>
      <xdr:rowOff>0</xdr:rowOff>
    </xdr:from>
    <xdr:to>
      <xdr:col>2</xdr:col>
      <xdr:colOff>174625</xdr:colOff>
      <xdr:row>159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7FBB9-AD4F-45BE-9630-5BC7B8A9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96278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163</xdr:row>
      <xdr:rowOff>47624</xdr:rowOff>
    </xdr:from>
    <xdr:to>
      <xdr:col>2</xdr:col>
      <xdr:colOff>231775</xdr:colOff>
      <xdr:row>178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F5600-1276-4751-A0C0-7CDAAD9B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1974174"/>
          <a:ext cx="4092575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4542-E1CC-4A9E-A13D-75D96E5FF406}">
  <dimension ref="A1:I485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68.7265625" style="8" bestFit="1" customWidth="1"/>
    <col min="3" max="3" width="13.54296875" style="8" customWidth="1"/>
    <col min="4" max="4" width="32.1796875" style="8" bestFit="1" customWidth="1"/>
    <col min="5" max="5" width="13.7265625" style="9" bestFit="1" customWidth="1"/>
    <col min="6" max="6" width="22.81640625" style="11" bestFit="1" customWidth="1"/>
    <col min="7" max="7" width="12.1796875" style="13" bestFit="1" customWidth="1"/>
    <col min="8" max="8" width="10.81640625" style="8" customWidth="1"/>
    <col min="9" max="16384" width="9.1796875" style="8"/>
  </cols>
  <sheetData>
    <row r="1" spans="1:8" s="1" customFormat="1" ht="16.75" customHeight="1" x14ac:dyDescent="0.35">
      <c r="B1" s="65" t="s">
        <v>7</v>
      </c>
      <c r="C1" s="66"/>
      <c r="D1" s="12"/>
      <c r="E1" s="6"/>
      <c r="F1" s="7"/>
      <c r="G1" s="13"/>
    </row>
    <row r="2" spans="1:8" s="1" customFormat="1" ht="14.5" x14ac:dyDescent="0.35">
      <c r="A2" s="55" t="s">
        <v>306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89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15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14</v>
      </c>
      <c r="C6" s="22"/>
      <c r="D6" s="22"/>
      <c r="E6" s="23"/>
      <c r="F6" s="24"/>
      <c r="G6" s="25"/>
      <c r="H6" s="22"/>
    </row>
    <row r="7" spans="1:8" x14ac:dyDescent="0.2">
      <c r="B7" s="22" t="s">
        <v>16</v>
      </c>
      <c r="C7" s="22" t="s">
        <v>17</v>
      </c>
      <c r="D7" s="22" t="s">
        <v>18</v>
      </c>
      <c r="E7" s="26">
        <v>2476488</v>
      </c>
      <c r="F7" s="24">
        <v>21985.022219999999</v>
      </c>
      <c r="G7" s="25">
        <v>7.9530346451491001</v>
      </c>
      <c r="H7" s="27"/>
    </row>
    <row r="8" spans="1:8" x14ac:dyDescent="0.2">
      <c r="B8" s="22" t="s">
        <v>19</v>
      </c>
      <c r="C8" s="22" t="s">
        <v>20</v>
      </c>
      <c r="D8" s="22" t="s">
        <v>18</v>
      </c>
      <c r="E8" s="26">
        <v>1190206</v>
      </c>
      <c r="F8" s="24">
        <v>16411.750533999999</v>
      </c>
      <c r="G8" s="25">
        <v>5.9369155636198503</v>
      </c>
      <c r="H8" s="27"/>
    </row>
    <row r="9" spans="1:8" x14ac:dyDescent="0.2">
      <c r="B9" s="22" t="s">
        <v>30</v>
      </c>
      <c r="C9" s="22" t="s">
        <v>31</v>
      </c>
      <c r="D9" s="22" t="s">
        <v>18</v>
      </c>
      <c r="E9" s="26">
        <v>893774</v>
      </c>
      <c r="F9" s="24">
        <v>10740.482158000001</v>
      </c>
      <c r="G9" s="25">
        <v>3.88534638961942</v>
      </c>
      <c r="H9" s="27"/>
    </row>
    <row r="10" spans="1:8" x14ac:dyDescent="0.2">
      <c r="B10" s="22" t="s">
        <v>24</v>
      </c>
      <c r="C10" s="22" t="s">
        <v>25</v>
      </c>
      <c r="D10" s="22" t="s">
        <v>26</v>
      </c>
      <c r="E10" s="26">
        <v>568821</v>
      </c>
      <c r="F10" s="24">
        <v>10689.853053000001</v>
      </c>
      <c r="G10" s="25">
        <v>3.8670314194506998</v>
      </c>
      <c r="H10" s="27"/>
    </row>
    <row r="11" spans="1:8" x14ac:dyDescent="0.2">
      <c r="B11" s="22" t="s">
        <v>27</v>
      </c>
      <c r="C11" s="22" t="s">
        <v>28</v>
      </c>
      <c r="D11" s="22" t="s">
        <v>29</v>
      </c>
      <c r="E11" s="26">
        <v>239761</v>
      </c>
      <c r="F11" s="24">
        <v>10257.694863000001</v>
      </c>
      <c r="G11" s="25">
        <v>3.71069912090391</v>
      </c>
      <c r="H11" s="27"/>
    </row>
    <row r="12" spans="1:8" x14ac:dyDescent="0.2">
      <c r="B12" s="22" t="s">
        <v>21</v>
      </c>
      <c r="C12" s="22" t="s">
        <v>22</v>
      </c>
      <c r="D12" s="22" t="s">
        <v>23</v>
      </c>
      <c r="E12" s="26">
        <v>661028</v>
      </c>
      <c r="F12" s="24">
        <v>9214.0692920000001</v>
      </c>
      <c r="G12" s="25">
        <v>3.3331698084624599</v>
      </c>
      <c r="H12" s="27"/>
    </row>
    <row r="13" spans="1:8" x14ac:dyDescent="0.2">
      <c r="B13" s="22" t="s">
        <v>32</v>
      </c>
      <c r="C13" s="22" t="s">
        <v>33</v>
      </c>
      <c r="D13" s="22" t="s">
        <v>34</v>
      </c>
      <c r="E13" s="26">
        <v>650141</v>
      </c>
      <c r="F13" s="24">
        <v>8452.4831410000006</v>
      </c>
      <c r="G13" s="25">
        <v>3.0576676514230798</v>
      </c>
      <c r="H13" s="27"/>
    </row>
    <row r="14" spans="1:8" x14ac:dyDescent="0.2">
      <c r="B14" s="22" t="s">
        <v>42</v>
      </c>
      <c r="C14" s="22" t="s">
        <v>43</v>
      </c>
      <c r="D14" s="22" t="s">
        <v>44</v>
      </c>
      <c r="E14" s="26">
        <v>2197645</v>
      </c>
      <c r="F14" s="24">
        <v>6891.8147200000003</v>
      </c>
      <c r="G14" s="25">
        <v>2.4930991966997702</v>
      </c>
      <c r="H14" s="27"/>
    </row>
    <row r="15" spans="1:8" x14ac:dyDescent="0.2">
      <c r="B15" s="22" t="s">
        <v>52</v>
      </c>
      <c r="C15" s="22" t="s">
        <v>53</v>
      </c>
      <c r="D15" s="22" t="s">
        <v>54</v>
      </c>
      <c r="E15" s="26">
        <v>140314</v>
      </c>
      <c r="F15" s="24">
        <v>6072.08835</v>
      </c>
      <c r="G15" s="25">
        <v>2.1965649401084</v>
      </c>
      <c r="H15" s="27"/>
    </row>
    <row r="16" spans="1:8" x14ac:dyDescent="0.2">
      <c r="B16" s="22" t="s">
        <v>90</v>
      </c>
      <c r="C16" s="22" t="s">
        <v>91</v>
      </c>
      <c r="D16" s="22" t="s">
        <v>92</v>
      </c>
      <c r="E16" s="26">
        <v>818783</v>
      </c>
      <c r="F16" s="24">
        <v>5882.1370720000004</v>
      </c>
      <c r="G16" s="25">
        <v>2.12785047260834</v>
      </c>
      <c r="H16" s="27"/>
    </row>
    <row r="17" spans="2:8" x14ac:dyDescent="0.2">
      <c r="B17" s="22" t="s">
        <v>93</v>
      </c>
      <c r="C17" s="22" t="s">
        <v>94</v>
      </c>
      <c r="D17" s="22" t="s">
        <v>41</v>
      </c>
      <c r="E17" s="26">
        <v>138484</v>
      </c>
      <c r="F17" s="24">
        <v>5358.9153480000004</v>
      </c>
      <c r="G17" s="25">
        <v>1.9385761359064599</v>
      </c>
      <c r="H17" s="27"/>
    </row>
    <row r="18" spans="2:8" x14ac:dyDescent="0.2">
      <c r="B18" s="22" t="s">
        <v>101</v>
      </c>
      <c r="C18" s="22" t="s">
        <v>102</v>
      </c>
      <c r="D18" s="22" t="s">
        <v>23</v>
      </c>
      <c r="E18" s="26">
        <v>2838806</v>
      </c>
      <c r="F18" s="24">
        <v>5321.9096081999996</v>
      </c>
      <c r="G18" s="25">
        <v>1.9251893888859799</v>
      </c>
      <c r="H18" s="27"/>
    </row>
    <row r="19" spans="2:8" x14ac:dyDescent="0.2">
      <c r="B19" s="22" t="s">
        <v>70</v>
      </c>
      <c r="C19" s="22" t="s">
        <v>71</v>
      </c>
      <c r="D19" s="22" t="s">
        <v>72</v>
      </c>
      <c r="E19" s="26">
        <v>345368</v>
      </c>
      <c r="F19" s="24">
        <v>5253.0472799999998</v>
      </c>
      <c r="G19" s="25">
        <v>1.90027858932254</v>
      </c>
      <c r="H19" s="27"/>
    </row>
    <row r="20" spans="2:8" x14ac:dyDescent="0.2">
      <c r="B20" s="22" t="s">
        <v>137</v>
      </c>
      <c r="C20" s="22" t="s">
        <v>138</v>
      </c>
      <c r="D20" s="22" t="s">
        <v>80</v>
      </c>
      <c r="E20" s="26">
        <v>262057</v>
      </c>
      <c r="F20" s="24">
        <v>4752.1416380000001</v>
      </c>
      <c r="G20" s="25">
        <v>1.7190770474313199</v>
      </c>
      <c r="H20" s="27"/>
    </row>
    <row r="21" spans="2:8" x14ac:dyDescent="0.2">
      <c r="B21" s="22" t="s">
        <v>135</v>
      </c>
      <c r="C21" s="22" t="s">
        <v>136</v>
      </c>
      <c r="D21" s="22" t="s">
        <v>126</v>
      </c>
      <c r="E21" s="26">
        <v>173729</v>
      </c>
      <c r="F21" s="24">
        <v>4688.2507939999996</v>
      </c>
      <c r="G21" s="25">
        <v>1.69596467161677</v>
      </c>
      <c r="H21" s="27"/>
    </row>
    <row r="22" spans="2:8" x14ac:dyDescent="0.2">
      <c r="B22" s="22" t="s">
        <v>95</v>
      </c>
      <c r="C22" s="22" t="s">
        <v>96</v>
      </c>
      <c r="D22" s="22" t="s">
        <v>23</v>
      </c>
      <c r="E22" s="26">
        <v>1214936</v>
      </c>
      <c r="F22" s="24">
        <v>4682.3633440000003</v>
      </c>
      <c r="G22" s="25">
        <v>1.6938348992038501</v>
      </c>
      <c r="H22" s="27"/>
    </row>
    <row r="23" spans="2:8" x14ac:dyDescent="0.2">
      <c r="B23" s="22" t="s">
        <v>139</v>
      </c>
      <c r="C23" s="22" t="s">
        <v>140</v>
      </c>
      <c r="D23" s="22" t="s">
        <v>131</v>
      </c>
      <c r="E23" s="26">
        <v>53179</v>
      </c>
      <c r="F23" s="24">
        <v>4578.9777949999998</v>
      </c>
      <c r="G23" s="25">
        <v>1.6564353985448601</v>
      </c>
      <c r="H23" s="27"/>
    </row>
    <row r="24" spans="2:8" x14ac:dyDescent="0.2">
      <c r="B24" s="22" t="s">
        <v>65</v>
      </c>
      <c r="C24" s="22" t="s">
        <v>66</v>
      </c>
      <c r="D24" s="22" t="s">
        <v>34</v>
      </c>
      <c r="E24" s="26">
        <v>318808</v>
      </c>
      <c r="F24" s="24">
        <v>4428.5619280000001</v>
      </c>
      <c r="G24" s="25">
        <v>1.6020227811974601</v>
      </c>
      <c r="H24" s="27"/>
    </row>
    <row r="25" spans="2:8" x14ac:dyDescent="0.2">
      <c r="B25" s="22" t="s">
        <v>120</v>
      </c>
      <c r="C25" s="22" t="s">
        <v>121</v>
      </c>
      <c r="D25" s="22" t="s">
        <v>80</v>
      </c>
      <c r="E25" s="26">
        <v>506394</v>
      </c>
      <c r="F25" s="24">
        <v>4301.3106360000002</v>
      </c>
      <c r="G25" s="25">
        <v>1.55598989918402</v>
      </c>
      <c r="H25" s="27"/>
    </row>
    <row r="26" spans="2:8" x14ac:dyDescent="0.2">
      <c r="B26" s="22" t="s">
        <v>190</v>
      </c>
      <c r="C26" s="22" t="s">
        <v>191</v>
      </c>
      <c r="D26" s="22" t="s">
        <v>109</v>
      </c>
      <c r="E26" s="26">
        <v>68677</v>
      </c>
      <c r="F26" s="24">
        <v>4296.7765049999998</v>
      </c>
      <c r="G26" s="25">
        <v>1.5543496870174001</v>
      </c>
      <c r="H26" s="27"/>
    </row>
    <row r="27" spans="2:8" x14ac:dyDescent="0.2">
      <c r="B27" s="22" t="s">
        <v>99</v>
      </c>
      <c r="C27" s="22" t="s">
        <v>100</v>
      </c>
      <c r="D27" s="22" t="s">
        <v>79</v>
      </c>
      <c r="E27" s="26">
        <v>69161</v>
      </c>
      <c r="F27" s="24">
        <v>4151.3890250000004</v>
      </c>
      <c r="G27" s="25">
        <v>1.5017560778847701</v>
      </c>
      <c r="H27" s="27"/>
    </row>
    <row r="28" spans="2:8" x14ac:dyDescent="0.2">
      <c r="B28" s="22" t="s">
        <v>39</v>
      </c>
      <c r="C28" s="22" t="s">
        <v>40</v>
      </c>
      <c r="D28" s="22" t="s">
        <v>41</v>
      </c>
      <c r="E28" s="26">
        <v>121507</v>
      </c>
      <c r="F28" s="24">
        <v>4128.078818</v>
      </c>
      <c r="G28" s="25">
        <v>1.4933236604870801</v>
      </c>
      <c r="H28" s="27"/>
    </row>
    <row r="29" spans="2:8" x14ac:dyDescent="0.2">
      <c r="B29" s="22" t="s">
        <v>127</v>
      </c>
      <c r="C29" s="22" t="s">
        <v>128</v>
      </c>
      <c r="D29" s="22" t="s">
        <v>41</v>
      </c>
      <c r="E29" s="26">
        <v>71541</v>
      </c>
      <c r="F29" s="24">
        <v>4084.9911000000002</v>
      </c>
      <c r="G29" s="25">
        <v>1.47773677089446</v>
      </c>
      <c r="H29" s="27"/>
    </row>
    <row r="30" spans="2:8" x14ac:dyDescent="0.2">
      <c r="B30" s="22" t="s">
        <v>58</v>
      </c>
      <c r="C30" s="22" t="s">
        <v>59</v>
      </c>
      <c r="D30" s="22" t="s">
        <v>60</v>
      </c>
      <c r="E30" s="26">
        <v>1857070</v>
      </c>
      <c r="F30" s="24">
        <v>3943.1167310000001</v>
      </c>
      <c r="G30" s="25">
        <v>1.4264140221328401</v>
      </c>
      <c r="H30" s="27"/>
    </row>
    <row r="31" spans="2:8" x14ac:dyDescent="0.2">
      <c r="B31" s="22" t="s">
        <v>73</v>
      </c>
      <c r="C31" s="22" t="s">
        <v>74</v>
      </c>
      <c r="D31" s="22" t="s">
        <v>75</v>
      </c>
      <c r="E31" s="26">
        <v>76386</v>
      </c>
      <c r="F31" s="24">
        <v>3687.3049919999999</v>
      </c>
      <c r="G31" s="25">
        <v>1.33387467409197</v>
      </c>
      <c r="H31" s="27"/>
    </row>
    <row r="32" spans="2:8" x14ac:dyDescent="0.2">
      <c r="B32" s="22" t="s">
        <v>55</v>
      </c>
      <c r="C32" s="22" t="s">
        <v>56</v>
      </c>
      <c r="D32" s="22" t="s">
        <v>57</v>
      </c>
      <c r="E32" s="26">
        <v>1491741</v>
      </c>
      <c r="F32" s="24">
        <v>3674.1580829999998</v>
      </c>
      <c r="G32" s="25">
        <v>1.3291188079524101</v>
      </c>
      <c r="H32" s="27"/>
    </row>
    <row r="33" spans="2:8" x14ac:dyDescent="0.2">
      <c r="B33" s="22" t="s">
        <v>129</v>
      </c>
      <c r="C33" s="22" t="s">
        <v>130</v>
      </c>
      <c r="D33" s="22" t="s">
        <v>18</v>
      </c>
      <c r="E33" s="26">
        <v>1210275</v>
      </c>
      <c r="F33" s="24">
        <v>3629.0095875000002</v>
      </c>
      <c r="G33" s="25">
        <v>1.3127864365181301</v>
      </c>
      <c r="H33" s="27"/>
    </row>
    <row r="34" spans="2:8" x14ac:dyDescent="0.2">
      <c r="B34" s="22" t="s">
        <v>169</v>
      </c>
      <c r="C34" s="22" t="s">
        <v>170</v>
      </c>
      <c r="D34" s="22" t="s">
        <v>104</v>
      </c>
      <c r="E34" s="26">
        <v>772098</v>
      </c>
      <c r="F34" s="24">
        <v>3505.7109690000002</v>
      </c>
      <c r="G34" s="25">
        <v>1.26818342566752</v>
      </c>
      <c r="H34" s="27"/>
    </row>
    <row r="35" spans="2:8" x14ac:dyDescent="0.2">
      <c r="B35" s="22" t="s">
        <v>152</v>
      </c>
      <c r="C35" s="22" t="s">
        <v>153</v>
      </c>
      <c r="D35" s="22" t="s">
        <v>18</v>
      </c>
      <c r="E35" s="26">
        <v>329753</v>
      </c>
      <c r="F35" s="24">
        <v>3266.2034650000001</v>
      </c>
      <c r="G35" s="25">
        <v>1.1815420996763999</v>
      </c>
      <c r="H35" s="27"/>
    </row>
    <row r="36" spans="2:8" x14ac:dyDescent="0.2">
      <c r="B36" s="22" t="s">
        <v>222</v>
      </c>
      <c r="C36" s="22" t="s">
        <v>223</v>
      </c>
      <c r="D36" s="22" t="s">
        <v>215</v>
      </c>
      <c r="E36" s="26">
        <v>315283</v>
      </c>
      <c r="F36" s="24">
        <v>3222.8228260000001</v>
      </c>
      <c r="G36" s="25">
        <v>1.16584924654014</v>
      </c>
      <c r="H36" s="27"/>
    </row>
    <row r="37" spans="2:8" x14ac:dyDescent="0.2">
      <c r="B37" s="22" t="s">
        <v>192</v>
      </c>
      <c r="C37" s="22" t="s">
        <v>193</v>
      </c>
      <c r="D37" s="22" t="s">
        <v>103</v>
      </c>
      <c r="E37" s="26">
        <v>120351</v>
      </c>
      <c r="F37" s="24">
        <v>3188.6997449999999</v>
      </c>
      <c r="G37" s="25">
        <v>1.15350529515922</v>
      </c>
      <c r="H37" s="27"/>
    </row>
    <row r="38" spans="2:8" x14ac:dyDescent="0.2">
      <c r="B38" s="22" t="s">
        <v>48</v>
      </c>
      <c r="C38" s="22" t="s">
        <v>49</v>
      </c>
      <c r="D38" s="22" t="s">
        <v>50</v>
      </c>
      <c r="E38" s="26">
        <v>164899</v>
      </c>
      <c r="F38" s="24">
        <v>2864.2956300000001</v>
      </c>
      <c r="G38" s="25">
        <v>1.03615280218439</v>
      </c>
      <c r="H38" s="27"/>
    </row>
    <row r="39" spans="2:8" x14ac:dyDescent="0.2">
      <c r="B39" s="22" t="s">
        <v>81</v>
      </c>
      <c r="C39" s="22" t="s">
        <v>82</v>
      </c>
      <c r="D39" s="22" t="s">
        <v>34</v>
      </c>
      <c r="E39" s="26">
        <v>207744</v>
      </c>
      <c r="F39" s="24">
        <v>2820.748032</v>
      </c>
      <c r="G39" s="25">
        <v>1.0203995519879001</v>
      </c>
      <c r="H39" s="27"/>
    </row>
    <row r="40" spans="2:8" x14ac:dyDescent="0.2">
      <c r="B40" s="22" t="s">
        <v>184</v>
      </c>
      <c r="C40" s="22" t="s">
        <v>185</v>
      </c>
      <c r="D40" s="22" t="s">
        <v>126</v>
      </c>
      <c r="E40" s="26">
        <v>111731</v>
      </c>
      <c r="F40" s="24">
        <v>2729.9235229999999</v>
      </c>
      <c r="G40" s="25">
        <v>0.98754398061402004</v>
      </c>
      <c r="H40" s="27"/>
    </row>
    <row r="41" spans="2:8" x14ac:dyDescent="0.2">
      <c r="B41" s="22" t="s">
        <v>116</v>
      </c>
      <c r="C41" s="22" t="s">
        <v>117</v>
      </c>
      <c r="D41" s="22" t="s">
        <v>67</v>
      </c>
      <c r="E41" s="26">
        <v>447368</v>
      </c>
      <c r="F41" s="24">
        <v>2701.2079840000001</v>
      </c>
      <c r="G41" s="25">
        <v>0.97715619595609104</v>
      </c>
      <c r="H41" s="27"/>
    </row>
    <row r="42" spans="2:8" x14ac:dyDescent="0.2">
      <c r="B42" s="22" t="s">
        <v>186</v>
      </c>
      <c r="C42" s="22" t="s">
        <v>187</v>
      </c>
      <c r="D42" s="22" t="s">
        <v>50</v>
      </c>
      <c r="E42" s="26">
        <v>250526</v>
      </c>
      <c r="F42" s="24">
        <v>2695.1587079999999</v>
      </c>
      <c r="G42" s="25">
        <v>0.97496788333467899</v>
      </c>
      <c r="H42" s="27"/>
    </row>
    <row r="43" spans="2:8" x14ac:dyDescent="0.2">
      <c r="B43" s="22" t="s">
        <v>45</v>
      </c>
      <c r="C43" s="22" t="s">
        <v>46</v>
      </c>
      <c r="D43" s="22" t="s">
        <v>34</v>
      </c>
      <c r="E43" s="26">
        <v>100651</v>
      </c>
      <c r="F43" s="24">
        <v>2654.5694739999999</v>
      </c>
      <c r="G43" s="25">
        <v>0.96028481497150897</v>
      </c>
      <c r="H43" s="27"/>
    </row>
    <row r="44" spans="2:8" x14ac:dyDescent="0.2">
      <c r="B44" s="22" t="s">
        <v>258</v>
      </c>
      <c r="C44" s="22" t="s">
        <v>259</v>
      </c>
      <c r="D44" s="22" t="s">
        <v>260</v>
      </c>
      <c r="E44" s="26">
        <v>189419</v>
      </c>
      <c r="F44" s="24">
        <v>2394.8244169999998</v>
      </c>
      <c r="G44" s="25">
        <v>0.86632259757843399</v>
      </c>
      <c r="H44" s="27"/>
    </row>
    <row r="45" spans="2:8" x14ac:dyDescent="0.2">
      <c r="B45" s="22" t="s">
        <v>141</v>
      </c>
      <c r="C45" s="22" t="s">
        <v>142</v>
      </c>
      <c r="D45" s="22" t="s">
        <v>23</v>
      </c>
      <c r="E45" s="26">
        <v>542314</v>
      </c>
      <c r="F45" s="24">
        <v>2379.4026749999998</v>
      </c>
      <c r="G45" s="25">
        <v>0.86074381547909296</v>
      </c>
      <c r="H45" s="27"/>
    </row>
    <row r="46" spans="2:8" x14ac:dyDescent="0.2">
      <c r="B46" s="22" t="s">
        <v>188</v>
      </c>
      <c r="C46" s="22" t="s">
        <v>189</v>
      </c>
      <c r="D46" s="22" t="s">
        <v>18</v>
      </c>
      <c r="E46" s="26">
        <v>717522</v>
      </c>
      <c r="F46" s="24">
        <v>2340.5567639999999</v>
      </c>
      <c r="G46" s="25">
        <v>0.84669139047292996</v>
      </c>
      <c r="H46" s="27"/>
    </row>
    <row r="47" spans="2:8" x14ac:dyDescent="0.2">
      <c r="B47" s="22" t="s">
        <v>68</v>
      </c>
      <c r="C47" s="22" t="s">
        <v>69</v>
      </c>
      <c r="D47" s="22" t="s">
        <v>60</v>
      </c>
      <c r="E47" s="26">
        <v>178144</v>
      </c>
      <c r="F47" s="24">
        <v>2252.9871680000001</v>
      </c>
      <c r="G47" s="25">
        <v>0.81501327689721803</v>
      </c>
      <c r="H47" s="27"/>
    </row>
    <row r="48" spans="2:8" x14ac:dyDescent="0.2">
      <c r="B48" s="22" t="s">
        <v>97</v>
      </c>
      <c r="C48" s="22" t="s">
        <v>98</v>
      </c>
      <c r="D48" s="22" t="s">
        <v>63</v>
      </c>
      <c r="E48" s="26">
        <v>57077</v>
      </c>
      <c r="F48" s="24">
        <v>2233.5371639999998</v>
      </c>
      <c r="G48" s="25">
        <v>0.80797727965726196</v>
      </c>
      <c r="H48" s="27"/>
    </row>
    <row r="49" spans="2:8" x14ac:dyDescent="0.2">
      <c r="B49" s="22" t="s">
        <v>143</v>
      </c>
      <c r="C49" s="22" t="s">
        <v>144</v>
      </c>
      <c r="D49" s="22" t="s">
        <v>84</v>
      </c>
      <c r="E49" s="26">
        <v>263521</v>
      </c>
      <c r="F49" s="24">
        <v>2078.2583665000002</v>
      </c>
      <c r="G49" s="25">
        <v>0.75180550762915999</v>
      </c>
      <c r="H49" s="27"/>
    </row>
    <row r="50" spans="2:8" x14ac:dyDescent="0.2">
      <c r="B50" s="22" t="s">
        <v>213</v>
      </c>
      <c r="C50" s="22" t="s">
        <v>214</v>
      </c>
      <c r="D50" s="22" t="s">
        <v>50</v>
      </c>
      <c r="E50" s="26">
        <v>208492</v>
      </c>
      <c r="F50" s="24">
        <v>2060.9434200000001</v>
      </c>
      <c r="G50" s="25">
        <v>0.74554186286158197</v>
      </c>
      <c r="H50" s="27"/>
    </row>
    <row r="51" spans="2:8" x14ac:dyDescent="0.2">
      <c r="B51" s="22" t="s">
        <v>173</v>
      </c>
      <c r="C51" s="22" t="s">
        <v>174</v>
      </c>
      <c r="D51" s="22" t="s">
        <v>132</v>
      </c>
      <c r="E51" s="26">
        <v>58285</v>
      </c>
      <c r="F51" s="24">
        <v>2050.81601</v>
      </c>
      <c r="G51" s="25">
        <v>0.74187829401049499</v>
      </c>
      <c r="H51" s="27"/>
    </row>
    <row r="52" spans="2:8" x14ac:dyDescent="0.2">
      <c r="B52" s="22" t="s">
        <v>199</v>
      </c>
      <c r="C52" s="22" t="s">
        <v>200</v>
      </c>
      <c r="D52" s="22" t="s">
        <v>75</v>
      </c>
      <c r="E52" s="26">
        <v>144628</v>
      </c>
      <c r="F52" s="24">
        <v>1936.4242919999999</v>
      </c>
      <c r="G52" s="25">
        <v>0.70049733531651204</v>
      </c>
      <c r="H52" s="27"/>
    </row>
    <row r="53" spans="2:8" x14ac:dyDescent="0.2">
      <c r="B53" s="22" t="s">
        <v>160</v>
      </c>
      <c r="C53" s="22" t="s">
        <v>161</v>
      </c>
      <c r="D53" s="22" t="s">
        <v>57</v>
      </c>
      <c r="E53" s="26">
        <v>1620979</v>
      </c>
      <c r="F53" s="24">
        <v>1909.1890662000001</v>
      </c>
      <c r="G53" s="25">
        <v>0.69064505078441796</v>
      </c>
      <c r="H53" s="27"/>
    </row>
    <row r="54" spans="2:8" x14ac:dyDescent="0.2">
      <c r="B54" s="22" t="s">
        <v>145</v>
      </c>
      <c r="C54" s="22" t="s">
        <v>146</v>
      </c>
      <c r="D54" s="22" t="s">
        <v>57</v>
      </c>
      <c r="E54" s="26">
        <v>596019</v>
      </c>
      <c r="F54" s="24">
        <v>1798.4873325000001</v>
      </c>
      <c r="G54" s="25">
        <v>0.65059893599844998</v>
      </c>
      <c r="H54" s="27"/>
    </row>
    <row r="55" spans="2:8" x14ac:dyDescent="0.2">
      <c r="B55" s="22" t="s">
        <v>171</v>
      </c>
      <c r="C55" s="22" t="s">
        <v>172</v>
      </c>
      <c r="D55" s="22" t="s">
        <v>110</v>
      </c>
      <c r="E55" s="26">
        <v>998430</v>
      </c>
      <c r="F55" s="24">
        <v>1705.917498</v>
      </c>
      <c r="G55" s="25">
        <v>0.61711199686747797</v>
      </c>
      <c r="H55" s="27"/>
    </row>
    <row r="56" spans="2:8" x14ac:dyDescent="0.2">
      <c r="B56" s="22" t="s">
        <v>211</v>
      </c>
      <c r="C56" s="22" t="s">
        <v>212</v>
      </c>
      <c r="D56" s="22" t="s">
        <v>79</v>
      </c>
      <c r="E56" s="26">
        <v>193369</v>
      </c>
      <c r="F56" s="24">
        <v>1673.0285879999999</v>
      </c>
      <c r="G56" s="25">
        <v>0.60521450419934497</v>
      </c>
      <c r="H56" s="27"/>
    </row>
    <row r="57" spans="2:8" x14ac:dyDescent="0.2">
      <c r="B57" s="22" t="s">
        <v>236</v>
      </c>
      <c r="C57" s="22" t="s">
        <v>237</v>
      </c>
      <c r="D57" s="22" t="s">
        <v>104</v>
      </c>
      <c r="E57" s="26">
        <v>309363</v>
      </c>
      <c r="F57" s="24">
        <v>1550.217993</v>
      </c>
      <c r="G57" s="25">
        <v>0.56078803480338302</v>
      </c>
      <c r="H57" s="27"/>
    </row>
    <row r="58" spans="2:8" x14ac:dyDescent="0.2">
      <c r="B58" s="22" t="s">
        <v>207</v>
      </c>
      <c r="C58" s="22" t="s">
        <v>208</v>
      </c>
      <c r="D58" s="22" t="s">
        <v>51</v>
      </c>
      <c r="E58" s="26">
        <v>860228</v>
      </c>
      <c r="F58" s="24">
        <v>1360.4505819999999</v>
      </c>
      <c r="G58" s="25">
        <v>0.49214008079630001</v>
      </c>
      <c r="H58" s="27"/>
    </row>
    <row r="59" spans="2:8" x14ac:dyDescent="0.2">
      <c r="B59" s="22" t="s">
        <v>35</v>
      </c>
      <c r="C59" s="22" t="s">
        <v>36</v>
      </c>
      <c r="D59" s="22" t="s">
        <v>18</v>
      </c>
      <c r="E59" s="26">
        <v>96379</v>
      </c>
      <c r="F59" s="24">
        <v>1333.7889809999999</v>
      </c>
      <c r="G59" s="25">
        <v>0.48249530380556999</v>
      </c>
      <c r="H59" s="27"/>
    </row>
    <row r="60" spans="2:8" x14ac:dyDescent="0.2">
      <c r="B60" s="22" t="s">
        <v>240</v>
      </c>
      <c r="C60" s="22" t="s">
        <v>241</v>
      </c>
      <c r="D60" s="22" t="s">
        <v>131</v>
      </c>
      <c r="E60" s="26">
        <v>84882</v>
      </c>
      <c r="F60" s="24">
        <v>1326.3661320000001</v>
      </c>
      <c r="G60" s="25">
        <v>0.47981010409678798</v>
      </c>
      <c r="H60" s="27"/>
    </row>
    <row r="61" spans="2:8" x14ac:dyDescent="0.2">
      <c r="B61" s="22" t="s">
        <v>261</v>
      </c>
      <c r="C61" s="22" t="s">
        <v>262</v>
      </c>
      <c r="D61" s="22" t="s">
        <v>51</v>
      </c>
      <c r="E61" s="26">
        <v>768087</v>
      </c>
      <c r="F61" s="24">
        <v>1279.0184724000001</v>
      </c>
      <c r="G61" s="25">
        <v>0.46268218976504999</v>
      </c>
      <c r="H61" s="27"/>
    </row>
    <row r="62" spans="2:8" x14ac:dyDescent="0.2">
      <c r="B62" s="22" t="s">
        <v>165</v>
      </c>
      <c r="C62" s="22" t="s">
        <v>166</v>
      </c>
      <c r="D62" s="22" t="s">
        <v>126</v>
      </c>
      <c r="E62" s="26">
        <v>137235</v>
      </c>
      <c r="F62" s="24">
        <v>1277.9323199999999</v>
      </c>
      <c r="G62" s="25">
        <v>0.462289276463409</v>
      </c>
      <c r="H62" s="27"/>
    </row>
    <row r="63" spans="2:8" x14ac:dyDescent="0.2">
      <c r="B63" s="22" t="s">
        <v>263</v>
      </c>
      <c r="C63" s="22" t="s">
        <v>264</v>
      </c>
      <c r="D63" s="22" t="s">
        <v>104</v>
      </c>
      <c r="E63" s="26">
        <v>846396</v>
      </c>
      <c r="F63" s="24">
        <v>1247.8416228000001</v>
      </c>
      <c r="G63" s="25">
        <v>0.45140403127541001</v>
      </c>
      <c r="H63" s="27"/>
    </row>
    <row r="64" spans="2:8" x14ac:dyDescent="0.2">
      <c r="B64" s="22" t="s">
        <v>220</v>
      </c>
      <c r="C64" s="22" t="s">
        <v>221</v>
      </c>
      <c r="D64" s="22" t="s">
        <v>50</v>
      </c>
      <c r="E64" s="26">
        <v>23799</v>
      </c>
      <c r="F64" s="24">
        <v>1204.752978</v>
      </c>
      <c r="G64" s="25">
        <v>0.43581680641487902</v>
      </c>
      <c r="H64" s="27"/>
    </row>
    <row r="65" spans="2:8" x14ac:dyDescent="0.2">
      <c r="B65" s="22" t="s">
        <v>238</v>
      </c>
      <c r="C65" s="22" t="s">
        <v>239</v>
      </c>
      <c r="D65" s="22" t="s">
        <v>177</v>
      </c>
      <c r="E65" s="26">
        <v>2805074</v>
      </c>
      <c r="F65" s="24">
        <v>1109.4067669999999</v>
      </c>
      <c r="G65" s="25">
        <v>0.40132551903847202</v>
      </c>
      <c r="H65" s="27"/>
    </row>
    <row r="66" spans="2:8" x14ac:dyDescent="0.2">
      <c r="B66" s="22" t="s">
        <v>203</v>
      </c>
      <c r="C66" s="22" t="s">
        <v>204</v>
      </c>
      <c r="D66" s="22" t="s">
        <v>83</v>
      </c>
      <c r="E66" s="26">
        <v>74638</v>
      </c>
      <c r="F66" s="24">
        <v>1044.857362</v>
      </c>
      <c r="G66" s="25">
        <v>0.37797491019434099</v>
      </c>
      <c r="H66" s="27"/>
    </row>
    <row r="67" spans="2:8" x14ac:dyDescent="0.2">
      <c r="B67" s="22" t="s">
        <v>114</v>
      </c>
      <c r="C67" s="22" t="s">
        <v>115</v>
      </c>
      <c r="D67" s="22" t="s">
        <v>64</v>
      </c>
      <c r="E67" s="26">
        <v>3884</v>
      </c>
      <c r="F67" s="24">
        <v>1012.753</v>
      </c>
      <c r="G67" s="25">
        <v>0.36636122608288602</v>
      </c>
      <c r="H67" s="27"/>
    </row>
    <row r="68" spans="2:8" x14ac:dyDescent="0.2">
      <c r="B68" s="22" t="s">
        <v>149</v>
      </c>
      <c r="C68" s="22" t="s">
        <v>150</v>
      </c>
      <c r="D68" s="22" t="s">
        <v>18</v>
      </c>
      <c r="E68" s="26">
        <v>4877842</v>
      </c>
      <c r="F68" s="24">
        <v>1010.6888623999999</v>
      </c>
      <c r="G68" s="25">
        <v>0.36561452873225803</v>
      </c>
      <c r="H68" s="27"/>
    </row>
    <row r="69" spans="2:8" x14ac:dyDescent="0.2">
      <c r="B69" s="22" t="s">
        <v>158</v>
      </c>
      <c r="C69" s="22" t="s">
        <v>159</v>
      </c>
      <c r="D69" s="22" t="s">
        <v>34</v>
      </c>
      <c r="E69" s="26">
        <v>42172</v>
      </c>
      <c r="F69" s="24">
        <v>968.47997999999995</v>
      </c>
      <c r="G69" s="25">
        <v>0.35034555603343398</v>
      </c>
      <c r="H69" s="27"/>
    </row>
    <row r="70" spans="2:8" x14ac:dyDescent="0.2">
      <c r="B70" s="22" t="s">
        <v>194</v>
      </c>
      <c r="C70" s="22" t="s">
        <v>195</v>
      </c>
      <c r="D70" s="22" t="s">
        <v>18</v>
      </c>
      <c r="E70" s="26">
        <v>322697</v>
      </c>
      <c r="F70" s="24">
        <v>913.39385849999996</v>
      </c>
      <c r="G70" s="25">
        <v>0.330418269703114</v>
      </c>
      <c r="H70" s="27"/>
    </row>
    <row r="71" spans="2:8" x14ac:dyDescent="0.2">
      <c r="B71" s="22" t="s">
        <v>133</v>
      </c>
      <c r="C71" s="22" t="s">
        <v>134</v>
      </c>
      <c r="D71" s="22" t="s">
        <v>50</v>
      </c>
      <c r="E71" s="26">
        <v>38249</v>
      </c>
      <c r="F71" s="24">
        <v>880.45373099999995</v>
      </c>
      <c r="G71" s="25">
        <v>0.31850224921418302</v>
      </c>
      <c r="H71" s="27"/>
    </row>
    <row r="72" spans="2:8" x14ac:dyDescent="0.2">
      <c r="B72" s="22" t="s">
        <v>250</v>
      </c>
      <c r="C72" s="22" t="s">
        <v>251</v>
      </c>
      <c r="D72" s="22" t="s">
        <v>64</v>
      </c>
      <c r="E72" s="26">
        <v>253294</v>
      </c>
      <c r="F72" s="24">
        <v>831.18426099999999</v>
      </c>
      <c r="G72" s="25">
        <v>0.30067912409122199</v>
      </c>
      <c r="H72" s="27"/>
    </row>
    <row r="73" spans="2:8" x14ac:dyDescent="0.2">
      <c r="B73" s="22" t="s">
        <v>265</v>
      </c>
      <c r="C73" s="22" t="s">
        <v>266</v>
      </c>
      <c r="D73" s="22" t="s">
        <v>57</v>
      </c>
      <c r="E73" s="26">
        <v>149587</v>
      </c>
      <c r="F73" s="24">
        <v>828.41280600000005</v>
      </c>
      <c r="G73" s="25">
        <v>0.29967655618785999</v>
      </c>
      <c r="H73" s="27"/>
    </row>
    <row r="74" spans="2:8" x14ac:dyDescent="0.2">
      <c r="B74" s="22" t="s">
        <v>226</v>
      </c>
      <c r="C74" s="22" t="s">
        <v>227</v>
      </c>
      <c r="D74" s="22" t="s">
        <v>50</v>
      </c>
      <c r="E74" s="26">
        <v>88244</v>
      </c>
      <c r="F74" s="24">
        <v>764.45777199999998</v>
      </c>
      <c r="G74" s="25">
        <v>0.276540959778456</v>
      </c>
      <c r="H74" s="27"/>
    </row>
    <row r="75" spans="2:8" x14ac:dyDescent="0.2">
      <c r="B75" s="22" t="s">
        <v>218</v>
      </c>
      <c r="C75" s="22" t="s">
        <v>219</v>
      </c>
      <c r="D75" s="22" t="s">
        <v>177</v>
      </c>
      <c r="E75" s="26">
        <v>79624</v>
      </c>
      <c r="F75" s="24">
        <v>728.32072800000003</v>
      </c>
      <c r="G75" s="25">
        <v>0.26346846160086401</v>
      </c>
      <c r="H75" s="27"/>
    </row>
    <row r="76" spans="2:8" x14ac:dyDescent="0.2">
      <c r="B76" s="22" t="s">
        <v>267</v>
      </c>
      <c r="C76" s="22" t="s">
        <v>268</v>
      </c>
      <c r="D76" s="22" t="s">
        <v>151</v>
      </c>
      <c r="E76" s="26">
        <v>57755</v>
      </c>
      <c r="F76" s="24">
        <v>688.09307000000001</v>
      </c>
      <c r="G76" s="25">
        <v>0.24891619258035899</v>
      </c>
      <c r="H76" s="27"/>
    </row>
    <row r="77" spans="2:8" x14ac:dyDescent="0.2">
      <c r="B77" s="22" t="s">
        <v>156</v>
      </c>
      <c r="C77" s="22" t="s">
        <v>157</v>
      </c>
      <c r="D77" s="22" t="s">
        <v>67</v>
      </c>
      <c r="E77" s="26">
        <v>183647</v>
      </c>
      <c r="F77" s="24">
        <v>651.21226200000001</v>
      </c>
      <c r="G77" s="25">
        <v>0.235574639370636</v>
      </c>
      <c r="H77" s="27"/>
    </row>
    <row r="78" spans="2:8" x14ac:dyDescent="0.2">
      <c r="B78" s="22" t="s">
        <v>232</v>
      </c>
      <c r="C78" s="22" t="s">
        <v>233</v>
      </c>
      <c r="D78" s="22" t="s">
        <v>126</v>
      </c>
      <c r="E78" s="26">
        <v>72759</v>
      </c>
      <c r="F78" s="24">
        <v>650.17442400000004</v>
      </c>
      <c r="G78" s="25">
        <v>0.23519920369959299</v>
      </c>
      <c r="H78" s="27"/>
    </row>
    <row r="79" spans="2:8" x14ac:dyDescent="0.2">
      <c r="B79" s="22" t="s">
        <v>269</v>
      </c>
      <c r="C79" s="22" t="s">
        <v>270</v>
      </c>
      <c r="D79" s="22" t="s">
        <v>122</v>
      </c>
      <c r="E79" s="26">
        <v>67231</v>
      </c>
      <c r="F79" s="24">
        <v>627.33246099999997</v>
      </c>
      <c r="G79" s="25">
        <v>0.226936172564835</v>
      </c>
      <c r="H79" s="27"/>
    </row>
    <row r="80" spans="2:8" x14ac:dyDescent="0.2">
      <c r="B80" s="22" t="s">
        <v>85</v>
      </c>
      <c r="C80" s="22" t="s">
        <v>86</v>
      </c>
      <c r="D80" s="22" t="s">
        <v>34</v>
      </c>
      <c r="E80" s="26">
        <v>299879</v>
      </c>
      <c r="F80" s="24">
        <v>602.63683839999999</v>
      </c>
      <c r="G80" s="25">
        <v>0.218002584044617</v>
      </c>
      <c r="H80" s="27"/>
    </row>
    <row r="81" spans="2:8" x14ac:dyDescent="0.2">
      <c r="B81" s="22" t="s">
        <v>271</v>
      </c>
      <c r="C81" s="22" t="s">
        <v>272</v>
      </c>
      <c r="D81" s="22" t="s">
        <v>29</v>
      </c>
      <c r="E81" s="26">
        <v>77642</v>
      </c>
      <c r="F81" s="24">
        <v>599.93973400000004</v>
      </c>
      <c r="G81" s="25">
        <v>0.217026912311373</v>
      </c>
      <c r="H81" s="27"/>
    </row>
    <row r="82" spans="2:8" x14ac:dyDescent="0.2">
      <c r="B82" s="22" t="s">
        <v>273</v>
      </c>
      <c r="C82" s="22" t="s">
        <v>274</v>
      </c>
      <c r="D82" s="22" t="s">
        <v>104</v>
      </c>
      <c r="E82" s="26">
        <v>26416</v>
      </c>
      <c r="F82" s="24">
        <v>574.94424000000004</v>
      </c>
      <c r="G82" s="25">
        <v>0.20798484595522601</v>
      </c>
      <c r="H82" s="27"/>
    </row>
    <row r="83" spans="2:8" x14ac:dyDescent="0.2">
      <c r="B83" s="22" t="s">
        <v>124</v>
      </c>
      <c r="C83" s="22" t="s">
        <v>125</v>
      </c>
      <c r="D83" s="22" t="s">
        <v>126</v>
      </c>
      <c r="E83" s="26">
        <v>20965</v>
      </c>
      <c r="F83" s="24">
        <v>567.54351499999996</v>
      </c>
      <c r="G83" s="25">
        <v>0.205307649556003</v>
      </c>
      <c r="H83" s="27"/>
    </row>
    <row r="84" spans="2:8" x14ac:dyDescent="0.2">
      <c r="B84" s="22" t="s">
        <v>205</v>
      </c>
      <c r="C84" s="22" t="s">
        <v>206</v>
      </c>
      <c r="D84" s="22" t="s">
        <v>41</v>
      </c>
      <c r="E84" s="26">
        <v>79569</v>
      </c>
      <c r="F84" s="24">
        <v>565.65602100000001</v>
      </c>
      <c r="G84" s="25">
        <v>0.20462485264889499</v>
      </c>
      <c r="H84" s="27"/>
    </row>
    <row r="85" spans="2:8" x14ac:dyDescent="0.2">
      <c r="B85" s="22" t="s">
        <v>76</v>
      </c>
      <c r="C85" s="22" t="s">
        <v>77</v>
      </c>
      <c r="D85" s="22" t="s">
        <v>78</v>
      </c>
      <c r="E85" s="26">
        <v>199129</v>
      </c>
      <c r="F85" s="24">
        <v>556.96381299999996</v>
      </c>
      <c r="G85" s="25">
        <v>0.20148046504377601</v>
      </c>
      <c r="H85" s="27"/>
    </row>
    <row r="86" spans="2:8" x14ac:dyDescent="0.2">
      <c r="B86" s="22" t="s">
        <v>275</v>
      </c>
      <c r="C86" s="22" t="s">
        <v>276</v>
      </c>
      <c r="D86" s="22" t="s">
        <v>164</v>
      </c>
      <c r="E86" s="26">
        <v>149606</v>
      </c>
      <c r="F86" s="24">
        <v>508.13677899999999</v>
      </c>
      <c r="G86" s="25">
        <v>0.18381739019509</v>
      </c>
      <c r="H86" s="27"/>
    </row>
    <row r="87" spans="2:8" x14ac:dyDescent="0.2">
      <c r="B87" s="22" t="s">
        <v>182</v>
      </c>
      <c r="C87" s="22" t="s">
        <v>183</v>
      </c>
      <c r="D87" s="22" t="s">
        <v>18</v>
      </c>
      <c r="E87" s="26">
        <v>1592123</v>
      </c>
      <c r="F87" s="24">
        <v>471.58683259999998</v>
      </c>
      <c r="G87" s="25">
        <v>0.170595525459693</v>
      </c>
      <c r="H87" s="27"/>
    </row>
    <row r="88" spans="2:8" x14ac:dyDescent="0.2">
      <c r="B88" s="22" t="s">
        <v>154</v>
      </c>
      <c r="C88" s="22" t="s">
        <v>155</v>
      </c>
      <c r="D88" s="22" t="s">
        <v>50</v>
      </c>
      <c r="E88" s="26">
        <v>37992</v>
      </c>
      <c r="F88" s="24">
        <v>463.65436799999998</v>
      </c>
      <c r="G88" s="25">
        <v>0.16772597340039</v>
      </c>
      <c r="H88" s="27"/>
    </row>
    <row r="89" spans="2:8" x14ac:dyDescent="0.2">
      <c r="B89" s="22" t="s">
        <v>61</v>
      </c>
      <c r="C89" s="22" t="s">
        <v>62</v>
      </c>
      <c r="D89" s="22" t="s">
        <v>63</v>
      </c>
      <c r="E89" s="26">
        <v>97887</v>
      </c>
      <c r="F89" s="24">
        <v>435.30348900000001</v>
      </c>
      <c r="G89" s="25">
        <v>0.15747010371551401</v>
      </c>
      <c r="H89" s="27"/>
    </row>
    <row r="90" spans="2:8" x14ac:dyDescent="0.2">
      <c r="B90" s="22" t="s">
        <v>201</v>
      </c>
      <c r="C90" s="22" t="s">
        <v>202</v>
      </c>
      <c r="D90" s="22" t="s">
        <v>131</v>
      </c>
      <c r="E90" s="26">
        <v>79144</v>
      </c>
      <c r="F90" s="24">
        <v>423.22253999999998</v>
      </c>
      <c r="G90" s="25">
        <v>0.153099846320192</v>
      </c>
      <c r="H90" s="27"/>
    </row>
    <row r="91" spans="2:8" x14ac:dyDescent="0.2">
      <c r="B91" s="22" t="s">
        <v>147</v>
      </c>
      <c r="C91" s="22" t="s">
        <v>148</v>
      </c>
      <c r="D91" s="22" t="s">
        <v>34</v>
      </c>
      <c r="E91" s="26">
        <v>35160</v>
      </c>
      <c r="F91" s="24">
        <v>416.92728</v>
      </c>
      <c r="G91" s="25">
        <v>0.15082254951424701</v>
      </c>
      <c r="H91" s="27"/>
    </row>
    <row r="92" spans="2:8" x14ac:dyDescent="0.2">
      <c r="B92" s="22" t="s">
        <v>112</v>
      </c>
      <c r="C92" s="22" t="s">
        <v>113</v>
      </c>
      <c r="D92" s="22" t="s">
        <v>51</v>
      </c>
      <c r="E92" s="26">
        <v>39968</v>
      </c>
      <c r="F92" s="24">
        <v>404.29630400000002</v>
      </c>
      <c r="G92" s="25">
        <v>0.146253321031109</v>
      </c>
      <c r="H92" s="27"/>
    </row>
    <row r="93" spans="2:8" x14ac:dyDescent="0.2">
      <c r="B93" s="22" t="s">
        <v>246</v>
      </c>
      <c r="C93" s="22" t="s">
        <v>247</v>
      </c>
      <c r="D93" s="22" t="s">
        <v>106</v>
      </c>
      <c r="E93" s="26">
        <v>127551</v>
      </c>
      <c r="F93" s="24">
        <v>386.47953000000001</v>
      </c>
      <c r="G93" s="25">
        <v>0.139808141241485</v>
      </c>
      <c r="H93" s="27"/>
    </row>
    <row r="94" spans="2:8" x14ac:dyDescent="0.2">
      <c r="B94" s="22" t="s">
        <v>242</v>
      </c>
      <c r="C94" s="22" t="s">
        <v>243</v>
      </c>
      <c r="D94" s="22" t="s">
        <v>47</v>
      </c>
      <c r="E94" s="26">
        <v>276286</v>
      </c>
      <c r="F94" s="24">
        <v>352.92773640000001</v>
      </c>
      <c r="G94" s="25">
        <v>0.127670851852487</v>
      </c>
      <c r="H94" s="27"/>
    </row>
    <row r="95" spans="2:8" x14ac:dyDescent="0.2">
      <c r="B95" s="22" t="s">
        <v>277</v>
      </c>
      <c r="C95" s="22" t="s">
        <v>278</v>
      </c>
      <c r="D95" s="22" t="s">
        <v>26</v>
      </c>
      <c r="E95" s="26">
        <v>69218</v>
      </c>
      <c r="F95" s="24">
        <v>351.59283099999999</v>
      </c>
      <c r="G95" s="25">
        <v>0.12718795268650199</v>
      </c>
      <c r="H95" s="27"/>
    </row>
    <row r="96" spans="2:8" x14ac:dyDescent="0.2">
      <c r="B96" s="22" t="s">
        <v>254</v>
      </c>
      <c r="C96" s="22" t="s">
        <v>255</v>
      </c>
      <c r="D96" s="22" t="s">
        <v>151</v>
      </c>
      <c r="E96" s="26">
        <v>269184</v>
      </c>
      <c r="F96" s="24">
        <v>341.2714752</v>
      </c>
      <c r="G96" s="25">
        <v>0.123454224358148</v>
      </c>
      <c r="H96" s="27"/>
    </row>
    <row r="97" spans="2:8" x14ac:dyDescent="0.2">
      <c r="B97" s="22" t="s">
        <v>244</v>
      </c>
      <c r="C97" s="22" t="s">
        <v>245</v>
      </c>
      <c r="D97" s="22" t="s">
        <v>23</v>
      </c>
      <c r="E97" s="26">
        <v>35363</v>
      </c>
      <c r="F97" s="24">
        <v>340.17437849999999</v>
      </c>
      <c r="G97" s="25">
        <v>0.12305735197945</v>
      </c>
      <c r="H97" s="27"/>
    </row>
    <row r="98" spans="2:8" x14ac:dyDescent="0.2">
      <c r="B98" s="22" t="s">
        <v>224</v>
      </c>
      <c r="C98" s="22" t="s">
        <v>225</v>
      </c>
      <c r="D98" s="22" t="s">
        <v>84</v>
      </c>
      <c r="E98" s="26">
        <v>33156</v>
      </c>
      <c r="F98" s="24">
        <v>336.51682199999999</v>
      </c>
      <c r="G98" s="25">
        <v>0.121734238758548</v>
      </c>
      <c r="H98" s="27"/>
    </row>
    <row r="99" spans="2:8" x14ac:dyDescent="0.2">
      <c r="B99" s="22" t="s">
        <v>230</v>
      </c>
      <c r="C99" s="22" t="s">
        <v>231</v>
      </c>
      <c r="D99" s="22" t="s">
        <v>57</v>
      </c>
      <c r="E99" s="26">
        <v>14703</v>
      </c>
      <c r="F99" s="24">
        <v>313.46796000000001</v>
      </c>
      <c r="G99" s="25">
        <v>0.113396362354198</v>
      </c>
      <c r="H99" s="27"/>
    </row>
    <row r="100" spans="2:8" x14ac:dyDescent="0.2">
      <c r="B100" s="22" t="s">
        <v>118</v>
      </c>
      <c r="C100" s="22" t="s">
        <v>119</v>
      </c>
      <c r="D100" s="22" t="s">
        <v>105</v>
      </c>
      <c r="E100" s="26">
        <v>10681</v>
      </c>
      <c r="F100" s="24">
        <v>313.04942899999998</v>
      </c>
      <c r="G100" s="25">
        <v>0.11324495966241201</v>
      </c>
      <c r="H100" s="27"/>
    </row>
    <row r="101" spans="2:8" x14ac:dyDescent="0.2">
      <c r="B101" s="22" t="s">
        <v>197</v>
      </c>
      <c r="C101" s="22" t="s">
        <v>198</v>
      </c>
      <c r="D101" s="22" t="s">
        <v>29</v>
      </c>
      <c r="E101" s="26">
        <v>24338</v>
      </c>
      <c r="F101" s="24">
        <v>301.815538</v>
      </c>
      <c r="G101" s="25">
        <v>0.109181123682226</v>
      </c>
      <c r="H101" s="27"/>
    </row>
    <row r="102" spans="2:8" x14ac:dyDescent="0.2">
      <c r="B102" s="22" t="s">
        <v>162</v>
      </c>
      <c r="C102" s="22" t="s">
        <v>163</v>
      </c>
      <c r="D102" s="22" t="s">
        <v>64</v>
      </c>
      <c r="E102" s="26">
        <v>4910</v>
      </c>
      <c r="F102" s="24">
        <v>277.70960000000002</v>
      </c>
      <c r="G102" s="25">
        <v>0.100460852301586</v>
      </c>
      <c r="H102" s="27"/>
    </row>
    <row r="103" spans="2:8" x14ac:dyDescent="0.2">
      <c r="B103" s="22" t="s">
        <v>37</v>
      </c>
      <c r="C103" s="22" t="s">
        <v>38</v>
      </c>
      <c r="D103" s="22" t="s">
        <v>18</v>
      </c>
      <c r="E103" s="26">
        <v>65971</v>
      </c>
      <c r="F103" s="24">
        <v>273.91159199999998</v>
      </c>
      <c r="G103" s="25">
        <v>9.9086931051732399E-2</v>
      </c>
      <c r="H103" s="27"/>
    </row>
    <row r="104" spans="2:8" x14ac:dyDescent="0.2">
      <c r="B104" s="22" t="s">
        <v>256</v>
      </c>
      <c r="C104" s="22" t="s">
        <v>257</v>
      </c>
      <c r="D104" s="22" t="s">
        <v>50</v>
      </c>
      <c r="E104" s="26">
        <v>52001</v>
      </c>
      <c r="F104" s="24">
        <v>253.8428815</v>
      </c>
      <c r="G104" s="25">
        <v>9.1827118062106597E-2</v>
      </c>
      <c r="H104" s="27"/>
    </row>
    <row r="105" spans="2:8" x14ac:dyDescent="0.2">
      <c r="B105" s="22" t="s">
        <v>248</v>
      </c>
      <c r="C105" s="22" t="s">
        <v>249</v>
      </c>
      <c r="D105" s="22" t="s">
        <v>126</v>
      </c>
      <c r="E105" s="26">
        <v>25410</v>
      </c>
      <c r="F105" s="24">
        <v>250.87293</v>
      </c>
      <c r="G105" s="25">
        <v>9.0752744475509697E-2</v>
      </c>
      <c r="H105" s="27"/>
    </row>
    <row r="106" spans="2:8" x14ac:dyDescent="0.2">
      <c r="B106" s="22" t="s">
        <v>209</v>
      </c>
      <c r="C106" s="22" t="s">
        <v>210</v>
      </c>
      <c r="D106" s="22" t="s">
        <v>23</v>
      </c>
      <c r="E106" s="26">
        <v>132466</v>
      </c>
      <c r="F106" s="24">
        <v>247.59220060000001</v>
      </c>
      <c r="G106" s="25">
        <v>8.9565947649995398E-2</v>
      </c>
      <c r="H106" s="27"/>
    </row>
    <row r="107" spans="2:8" x14ac:dyDescent="0.2">
      <c r="B107" s="22" t="s">
        <v>216</v>
      </c>
      <c r="C107" s="22" t="s">
        <v>217</v>
      </c>
      <c r="D107" s="22" t="s">
        <v>54</v>
      </c>
      <c r="E107" s="26">
        <v>25150</v>
      </c>
      <c r="F107" s="24">
        <v>240.71064999999999</v>
      </c>
      <c r="G107" s="25">
        <v>8.7076561476695999E-2</v>
      </c>
      <c r="H107" s="27"/>
    </row>
    <row r="108" spans="2:8" x14ac:dyDescent="0.2">
      <c r="B108" s="22" t="s">
        <v>279</v>
      </c>
      <c r="C108" s="22" t="s">
        <v>280</v>
      </c>
      <c r="D108" s="22" t="s">
        <v>83</v>
      </c>
      <c r="E108" s="26">
        <v>59158</v>
      </c>
      <c r="F108" s="24">
        <v>232.87546699999999</v>
      </c>
      <c r="G108" s="25">
        <v>8.4242200827590305E-2</v>
      </c>
      <c r="H108" s="27"/>
    </row>
    <row r="109" spans="2:8" x14ac:dyDescent="0.2">
      <c r="B109" s="22" t="s">
        <v>175</v>
      </c>
      <c r="C109" s="22" t="s">
        <v>176</v>
      </c>
      <c r="D109" s="22" t="s">
        <v>126</v>
      </c>
      <c r="E109" s="26">
        <v>31482</v>
      </c>
      <c r="F109" s="24">
        <v>228.29172299999999</v>
      </c>
      <c r="G109" s="25">
        <v>8.2584041264607E-2</v>
      </c>
      <c r="H109" s="27"/>
    </row>
    <row r="110" spans="2:8" x14ac:dyDescent="0.2">
      <c r="B110" s="22" t="s">
        <v>281</v>
      </c>
      <c r="C110" s="22" t="s">
        <v>282</v>
      </c>
      <c r="D110" s="22" t="s">
        <v>50</v>
      </c>
      <c r="E110" s="26">
        <v>67881</v>
      </c>
      <c r="F110" s="24">
        <v>203.846643</v>
      </c>
      <c r="G110" s="25">
        <v>7.3741085992695396E-2</v>
      </c>
      <c r="H110" s="27"/>
    </row>
    <row r="111" spans="2:8" x14ac:dyDescent="0.2">
      <c r="B111" s="22" t="s">
        <v>307</v>
      </c>
      <c r="C111" s="22" t="s">
        <v>283</v>
      </c>
      <c r="D111" s="22" t="s">
        <v>75</v>
      </c>
      <c r="E111" s="26">
        <v>884320</v>
      </c>
      <c r="F111" s="24">
        <v>203.74732800000001</v>
      </c>
      <c r="G111" s="25">
        <v>7.3705159004408605E-2</v>
      </c>
      <c r="H111" s="27"/>
    </row>
    <row r="112" spans="2:8" x14ac:dyDescent="0.2">
      <c r="B112" s="22" t="s">
        <v>178</v>
      </c>
      <c r="C112" s="22" t="s">
        <v>179</v>
      </c>
      <c r="D112" s="22" t="s">
        <v>110</v>
      </c>
      <c r="E112" s="26">
        <v>40648</v>
      </c>
      <c r="F112" s="24">
        <v>165.599952</v>
      </c>
      <c r="G112" s="25">
        <v>5.9905427536612599E-2</v>
      </c>
      <c r="H112" s="27"/>
    </row>
    <row r="113" spans="2:9" x14ac:dyDescent="0.2">
      <c r="B113" s="22" t="s">
        <v>252</v>
      </c>
      <c r="C113" s="22" t="s">
        <v>253</v>
      </c>
      <c r="D113" s="22" t="s">
        <v>79</v>
      </c>
      <c r="E113" s="26">
        <v>25769</v>
      </c>
      <c r="F113" s="24">
        <v>164.98602249999999</v>
      </c>
      <c r="G113" s="25">
        <v>5.9683339856449198E-2</v>
      </c>
      <c r="H113" s="27"/>
    </row>
    <row r="114" spans="2:9" x14ac:dyDescent="0.2">
      <c r="B114" s="22" t="s">
        <v>284</v>
      </c>
      <c r="C114" s="22" t="s">
        <v>285</v>
      </c>
      <c r="D114" s="22" t="s">
        <v>75</v>
      </c>
      <c r="E114" s="26">
        <v>136204</v>
      </c>
      <c r="F114" s="24">
        <v>156.59373880000001</v>
      </c>
      <c r="G114" s="25">
        <v>5.6647449223721003E-2</v>
      </c>
      <c r="H114" s="27"/>
    </row>
    <row r="115" spans="2:9" x14ac:dyDescent="0.2">
      <c r="B115" s="22" t="s">
        <v>234</v>
      </c>
      <c r="C115" s="22" t="s">
        <v>235</v>
      </c>
      <c r="D115" s="22" t="s">
        <v>34</v>
      </c>
      <c r="E115" s="26">
        <v>25832</v>
      </c>
      <c r="F115" s="24">
        <v>145.88622000000001</v>
      </c>
      <c r="G115" s="25">
        <v>5.2774027258174101E-2</v>
      </c>
      <c r="H115" s="27"/>
    </row>
    <row r="116" spans="2:9" x14ac:dyDescent="0.2">
      <c r="B116" s="22" t="s">
        <v>228</v>
      </c>
      <c r="C116" s="22" t="s">
        <v>229</v>
      </c>
      <c r="D116" s="22" t="s">
        <v>196</v>
      </c>
      <c r="E116" s="26">
        <v>4297</v>
      </c>
      <c r="F116" s="24">
        <v>136.318028</v>
      </c>
      <c r="G116" s="25">
        <v>4.93127543194452E-2</v>
      </c>
      <c r="H116" s="27"/>
    </row>
    <row r="117" spans="2:9" x14ac:dyDescent="0.2">
      <c r="B117" s="22" t="s">
        <v>286</v>
      </c>
      <c r="C117" s="22" t="s">
        <v>287</v>
      </c>
      <c r="D117" s="22" t="s">
        <v>79</v>
      </c>
      <c r="E117" s="26">
        <v>11640</v>
      </c>
      <c r="F117" s="24">
        <v>135.89699999999999</v>
      </c>
      <c r="G117" s="25">
        <v>4.9160448343264301E-2</v>
      </c>
      <c r="H117" s="27"/>
    </row>
    <row r="118" spans="2:9" x14ac:dyDescent="0.2">
      <c r="B118" s="22" t="s">
        <v>180</v>
      </c>
      <c r="C118" s="22" t="s">
        <v>181</v>
      </c>
      <c r="D118" s="22" t="s">
        <v>80</v>
      </c>
      <c r="E118" s="26">
        <v>90913</v>
      </c>
      <c r="F118" s="24">
        <v>133.914849</v>
      </c>
      <c r="G118" s="25">
        <v>4.8443409469381499E-2</v>
      </c>
      <c r="H118" s="27"/>
    </row>
    <row r="119" spans="2:9" x14ac:dyDescent="0.2">
      <c r="B119" s="22" t="s">
        <v>167</v>
      </c>
      <c r="C119" s="22" t="s">
        <v>168</v>
      </c>
      <c r="D119" s="22" t="s">
        <v>54</v>
      </c>
      <c r="E119" s="26">
        <v>28213</v>
      </c>
      <c r="F119" s="24">
        <v>115.70151300000001</v>
      </c>
      <c r="G119" s="25">
        <v>4.1854774226612899E-2</v>
      </c>
      <c r="H119" s="27"/>
    </row>
    <row r="120" spans="2:9" x14ac:dyDescent="0.2">
      <c r="B120" s="22" t="s">
        <v>107</v>
      </c>
      <c r="C120" s="22" t="s">
        <v>108</v>
      </c>
      <c r="D120" s="22" t="s">
        <v>47</v>
      </c>
      <c r="E120" s="26">
        <v>743</v>
      </c>
      <c r="F120" s="24">
        <v>80.273719999999997</v>
      </c>
      <c r="G120" s="25">
        <v>2.90388460774091E-2</v>
      </c>
      <c r="H120" s="27"/>
    </row>
    <row r="121" spans="2:9" x14ac:dyDescent="0.2">
      <c r="B121" s="22" t="s">
        <v>288</v>
      </c>
      <c r="C121" s="22" t="s">
        <v>289</v>
      </c>
      <c r="D121" s="22" t="s">
        <v>75</v>
      </c>
      <c r="E121" s="26">
        <v>884320</v>
      </c>
      <c r="F121" s="24">
        <v>74.636607999999995</v>
      </c>
      <c r="G121" s="25">
        <v>2.69996328991844E-2</v>
      </c>
      <c r="H121" s="27"/>
    </row>
    <row r="122" spans="2:9" x14ac:dyDescent="0.2">
      <c r="B122" s="22" t="s">
        <v>290</v>
      </c>
      <c r="C122" s="22" t="s">
        <v>291</v>
      </c>
      <c r="D122" s="22" t="s">
        <v>111</v>
      </c>
      <c r="E122" s="26">
        <v>120020</v>
      </c>
      <c r="F122" s="24">
        <v>72.504081999999997</v>
      </c>
      <c r="G122" s="25">
        <v>2.6228196191503801E-2</v>
      </c>
      <c r="H122" s="27"/>
    </row>
    <row r="123" spans="2:9" x14ac:dyDescent="0.2">
      <c r="B123" s="22" t="s">
        <v>292</v>
      </c>
      <c r="C123" s="22" t="s">
        <v>293</v>
      </c>
      <c r="D123" s="22" t="s">
        <v>23</v>
      </c>
      <c r="E123" s="26">
        <v>6301</v>
      </c>
      <c r="F123" s="24">
        <v>69.581942999999995</v>
      </c>
      <c r="G123" s="25">
        <v>2.5171118674256698E-2</v>
      </c>
      <c r="H123" s="27"/>
    </row>
    <row r="124" spans="2:9" x14ac:dyDescent="0.2">
      <c r="B124" s="22" t="s">
        <v>294</v>
      </c>
      <c r="C124" s="22" t="s">
        <v>295</v>
      </c>
      <c r="D124" s="22" t="s">
        <v>57</v>
      </c>
      <c r="E124" s="26">
        <v>242118</v>
      </c>
      <c r="F124" s="24">
        <v>69.463654199999993</v>
      </c>
      <c r="G124" s="25">
        <v>2.51283279545058E-2</v>
      </c>
      <c r="H124" s="27"/>
    </row>
    <row r="125" spans="2:9" ht="10.5" x14ac:dyDescent="0.25">
      <c r="B125" s="21" t="s">
        <v>8</v>
      </c>
      <c r="C125" s="21"/>
      <c r="D125" s="21"/>
      <c r="E125" s="28"/>
      <c r="F125" s="29">
        <f>SUM(F7:F124)</f>
        <v>274873.86795870017</v>
      </c>
      <c r="G125" s="30">
        <f>SUM(G7:G124)</f>
        <v>99.435032316363831</v>
      </c>
      <c r="H125" s="21"/>
      <c r="I125" s="14"/>
    </row>
    <row r="126" spans="2:9" ht="10.5" x14ac:dyDescent="0.25">
      <c r="B126" s="21" t="s">
        <v>87</v>
      </c>
      <c r="C126" s="21"/>
      <c r="D126" s="21"/>
      <c r="E126" s="28"/>
      <c r="F126" s="43" t="s">
        <v>88</v>
      </c>
      <c r="G126" s="44" t="s">
        <v>88</v>
      </c>
      <c r="H126" s="21"/>
      <c r="I126" s="14"/>
    </row>
    <row r="127" spans="2:9" ht="10.5" x14ac:dyDescent="0.25">
      <c r="B127" s="21" t="s">
        <v>8</v>
      </c>
      <c r="C127" s="21"/>
      <c r="D127" s="21"/>
      <c r="E127" s="28"/>
      <c r="F127" s="41" t="s">
        <v>88</v>
      </c>
      <c r="G127" s="42" t="s">
        <v>88</v>
      </c>
      <c r="H127" s="21"/>
      <c r="I127" s="14"/>
    </row>
    <row r="128" spans="2:9" ht="10.5" x14ac:dyDescent="0.25">
      <c r="B128" s="31" t="s">
        <v>9</v>
      </c>
      <c r="C128" s="31"/>
      <c r="D128" s="31"/>
      <c r="E128" s="32"/>
      <c r="F128" s="33">
        <f>F125</f>
        <v>274873.86795870017</v>
      </c>
      <c r="G128" s="34">
        <f>G125</f>
        <v>99.435032316363831</v>
      </c>
      <c r="H128" s="21"/>
      <c r="I128" s="14"/>
    </row>
    <row r="129" spans="2:9" ht="10.5" x14ac:dyDescent="0.25">
      <c r="B129" s="21" t="s">
        <v>10</v>
      </c>
      <c r="C129" s="21"/>
      <c r="D129" s="21"/>
      <c r="E129" s="28"/>
      <c r="F129" s="29">
        <v>1968.7510423000001</v>
      </c>
      <c r="G129" s="30">
        <v>0.71219146791862098</v>
      </c>
      <c r="H129" s="27">
        <v>4.9299999999999997E-2</v>
      </c>
      <c r="I129" s="15"/>
    </row>
    <row r="130" spans="2:9" x14ac:dyDescent="0.2">
      <c r="B130" s="22"/>
      <c r="C130" s="22"/>
      <c r="D130" s="22"/>
      <c r="E130" s="23"/>
      <c r="F130" s="24"/>
      <c r="G130" s="25"/>
      <c r="H130" s="22"/>
    </row>
    <row r="131" spans="2:9" ht="10.5" x14ac:dyDescent="0.25">
      <c r="B131" s="21" t="s">
        <v>296</v>
      </c>
      <c r="C131" s="22"/>
      <c r="D131" s="22"/>
      <c r="E131" s="23"/>
      <c r="F131" s="59">
        <v>150</v>
      </c>
      <c r="G131" s="59">
        <f>F131/F133*100</f>
        <v>5.4262178351910918E-2</v>
      </c>
      <c r="H131" s="22"/>
    </row>
    <row r="132" spans="2:9" ht="10.5" x14ac:dyDescent="0.25">
      <c r="B132" s="39" t="s">
        <v>12</v>
      </c>
      <c r="C132" s="39"/>
      <c r="D132" s="39"/>
      <c r="E132" s="40"/>
      <c r="F132" s="29">
        <f>F133-(F125+F129+F131)</f>
        <v>-556.97901030018693</v>
      </c>
      <c r="G132" s="30">
        <f>G133-(G125+G129+G131)</f>
        <v>-0.20148596263435081</v>
      </c>
      <c r="H132" s="21"/>
      <c r="I132" s="14"/>
    </row>
    <row r="133" spans="2:9" ht="10.5" x14ac:dyDescent="0.25">
      <c r="B133" s="35" t="s">
        <v>11</v>
      </c>
      <c r="C133" s="35"/>
      <c r="D133" s="35"/>
      <c r="E133" s="36"/>
      <c r="F133" s="37">
        <v>276435.6399907</v>
      </c>
      <c r="G133" s="38">
        <v>100</v>
      </c>
      <c r="H133" s="45"/>
      <c r="I133" s="14"/>
    </row>
    <row r="135" spans="2:9" ht="10.5" x14ac:dyDescent="0.25">
      <c r="B135" s="14" t="s">
        <v>297</v>
      </c>
    </row>
    <row r="137" spans="2:9" ht="10.5" x14ac:dyDescent="0.2">
      <c r="B137" s="62" t="s">
        <v>4</v>
      </c>
      <c r="C137" s="60" t="s">
        <v>298</v>
      </c>
      <c r="D137" s="60" t="s">
        <v>89</v>
      </c>
      <c r="E137" s="61" t="s">
        <v>0</v>
      </c>
      <c r="F137" s="63" t="s">
        <v>299</v>
      </c>
      <c r="G137" s="64" t="s">
        <v>300</v>
      </c>
    </row>
    <row r="138" spans="2:9" x14ac:dyDescent="0.2">
      <c r="B138" s="51" t="s">
        <v>301</v>
      </c>
      <c r="C138" s="51" t="s">
        <v>302</v>
      </c>
      <c r="D138" s="51" t="s">
        <v>303</v>
      </c>
      <c r="E138" s="52">
        <v>3120</v>
      </c>
      <c r="F138" s="53">
        <v>790.56431999999995</v>
      </c>
      <c r="G138" s="54">
        <v>0.28598494753664799</v>
      </c>
    </row>
    <row r="139" spans="2:9" ht="10.5" x14ac:dyDescent="0.25">
      <c r="B139" s="47"/>
      <c r="C139" s="47"/>
      <c r="D139" s="47"/>
      <c r="E139" s="48"/>
      <c r="F139" s="49">
        <f>SUM(F138:F138)</f>
        <v>790.56431999999995</v>
      </c>
      <c r="G139" s="50">
        <f>SUM(G138:G138)</f>
        <v>0.28598494753664799</v>
      </c>
    </row>
    <row r="141" spans="2:9" ht="10.5" x14ac:dyDescent="0.25">
      <c r="B141" s="14" t="s">
        <v>123</v>
      </c>
    </row>
    <row r="144" spans="2:9" ht="10.5" x14ac:dyDescent="0.25">
      <c r="B144" s="14" t="s">
        <v>13</v>
      </c>
      <c r="E144" s="8"/>
      <c r="G144" s="56"/>
    </row>
    <row r="145" spans="5:7" x14ac:dyDescent="0.2">
      <c r="E145" s="8"/>
      <c r="G145" s="56"/>
    </row>
    <row r="146" spans="5:7" x14ac:dyDescent="0.2">
      <c r="E146" s="8"/>
      <c r="G146" s="56"/>
    </row>
    <row r="147" spans="5:7" x14ac:dyDescent="0.2">
      <c r="E147" s="8"/>
      <c r="G147" s="56"/>
    </row>
    <row r="148" spans="5:7" x14ac:dyDescent="0.2">
      <c r="E148" s="8"/>
      <c r="G148" s="56"/>
    </row>
    <row r="149" spans="5:7" x14ac:dyDescent="0.2">
      <c r="E149" s="8"/>
      <c r="G149" s="56"/>
    </row>
    <row r="150" spans="5:7" x14ac:dyDescent="0.2">
      <c r="E150" s="8"/>
      <c r="G150" s="56"/>
    </row>
    <row r="151" spans="5:7" x14ac:dyDescent="0.2">
      <c r="E151" s="8"/>
      <c r="G151" s="56"/>
    </row>
    <row r="152" spans="5:7" x14ac:dyDescent="0.2">
      <c r="E152" s="8"/>
      <c r="G152" s="56"/>
    </row>
    <row r="153" spans="5:7" x14ac:dyDescent="0.2">
      <c r="E153" s="8"/>
      <c r="G153" s="56"/>
    </row>
    <row r="154" spans="5:7" x14ac:dyDescent="0.2">
      <c r="E154" s="8"/>
      <c r="G154" s="56"/>
    </row>
    <row r="155" spans="5:7" x14ac:dyDescent="0.2">
      <c r="E155" s="8"/>
      <c r="G155" s="56"/>
    </row>
    <row r="156" spans="5:7" x14ac:dyDescent="0.2">
      <c r="E156" s="8"/>
      <c r="G156" s="56"/>
    </row>
    <row r="157" spans="5:7" x14ac:dyDescent="0.2">
      <c r="E157" s="8"/>
      <c r="G157" s="56"/>
    </row>
    <row r="158" spans="5:7" x14ac:dyDescent="0.2">
      <c r="E158" s="8"/>
      <c r="G158" s="56"/>
    </row>
    <row r="159" spans="5:7" x14ac:dyDescent="0.2">
      <c r="E159" s="8"/>
      <c r="G159" s="56"/>
    </row>
    <row r="160" spans="5:7" x14ac:dyDescent="0.2">
      <c r="E160" s="8"/>
      <c r="G160" s="56"/>
    </row>
    <row r="161" spans="2:7" ht="10.5" x14ac:dyDescent="0.2">
      <c r="B161" s="57" t="s">
        <v>304</v>
      </c>
      <c r="E161" s="8"/>
      <c r="G161" s="56"/>
    </row>
    <row r="162" spans="2:7" ht="10.5" x14ac:dyDescent="0.25">
      <c r="B162" s="58" t="s">
        <v>305</v>
      </c>
      <c r="E162" s="8"/>
      <c r="G162" s="56"/>
    </row>
    <row r="163" spans="2:7" x14ac:dyDescent="0.2">
      <c r="E163" s="8"/>
      <c r="G163" s="56"/>
    </row>
    <row r="164" spans="2:7" x14ac:dyDescent="0.2">
      <c r="E164" s="8"/>
      <c r="G164" s="56"/>
    </row>
    <row r="165" spans="2:7" x14ac:dyDescent="0.2">
      <c r="E165" s="8"/>
      <c r="G165" s="56"/>
    </row>
    <row r="166" spans="2:7" x14ac:dyDescent="0.2">
      <c r="E166" s="8"/>
      <c r="G166" s="56"/>
    </row>
    <row r="167" spans="2:7" x14ac:dyDescent="0.2">
      <c r="E167" s="8"/>
      <c r="G167" s="56"/>
    </row>
    <row r="168" spans="2:7" x14ac:dyDescent="0.2">
      <c r="E168" s="8"/>
      <c r="G168" s="56"/>
    </row>
    <row r="169" spans="2:7" x14ac:dyDescent="0.2">
      <c r="E169" s="8"/>
      <c r="G169" s="56"/>
    </row>
    <row r="170" spans="2:7" x14ac:dyDescent="0.2">
      <c r="E170" s="8"/>
      <c r="G170" s="56"/>
    </row>
    <row r="171" spans="2:7" x14ac:dyDescent="0.2">
      <c r="E171" s="8"/>
      <c r="G171" s="56"/>
    </row>
    <row r="172" spans="2:7" x14ac:dyDescent="0.2">
      <c r="E172" s="8"/>
      <c r="G172" s="56"/>
    </row>
    <row r="173" spans="2:7" x14ac:dyDescent="0.2">
      <c r="E173" s="8"/>
      <c r="G173" s="56"/>
    </row>
    <row r="174" spans="2:7" x14ac:dyDescent="0.2">
      <c r="E174" s="8"/>
      <c r="G174" s="56"/>
    </row>
    <row r="175" spans="2:7" x14ac:dyDescent="0.2">
      <c r="E175" s="8"/>
      <c r="G175" s="56"/>
    </row>
    <row r="176" spans="2:7" x14ac:dyDescent="0.2">
      <c r="E176" s="8"/>
      <c r="G176" s="56"/>
    </row>
    <row r="177" spans="5:7" x14ac:dyDescent="0.2">
      <c r="E177" s="8"/>
      <c r="G177" s="56"/>
    </row>
    <row r="178" spans="5:7" x14ac:dyDescent="0.2">
      <c r="E178" s="8"/>
      <c r="G178" s="56"/>
    </row>
    <row r="179" spans="5:7" x14ac:dyDescent="0.2">
      <c r="E179" s="8"/>
      <c r="G179" s="56"/>
    </row>
    <row r="180" spans="5:7" x14ac:dyDescent="0.2">
      <c r="E180" s="8"/>
      <c r="G180" s="56"/>
    </row>
    <row r="181" spans="5:7" x14ac:dyDescent="0.2">
      <c r="E181" s="8"/>
      <c r="G181" s="56"/>
    </row>
    <row r="182" spans="5:7" x14ac:dyDescent="0.2">
      <c r="E182" s="8"/>
      <c r="G182" s="56"/>
    </row>
    <row r="183" spans="5:7" x14ac:dyDescent="0.2">
      <c r="E183" s="8"/>
      <c r="G183" s="56"/>
    </row>
    <row r="184" spans="5:7" x14ac:dyDescent="0.2">
      <c r="E184" s="8"/>
      <c r="G184" s="56"/>
    </row>
    <row r="185" spans="5:7" x14ac:dyDescent="0.2">
      <c r="E185" s="8"/>
      <c r="G185" s="56"/>
    </row>
    <row r="186" spans="5:7" x14ac:dyDescent="0.2">
      <c r="E186" s="8"/>
      <c r="G186" s="56"/>
    </row>
    <row r="187" spans="5:7" x14ac:dyDescent="0.2">
      <c r="E187" s="8"/>
      <c r="G187" s="56"/>
    </row>
    <row r="188" spans="5:7" x14ac:dyDescent="0.2">
      <c r="E188" s="8"/>
      <c r="G188" s="56"/>
    </row>
    <row r="189" spans="5:7" x14ac:dyDescent="0.2">
      <c r="E189" s="8"/>
      <c r="G189" s="56"/>
    </row>
    <row r="190" spans="5:7" x14ac:dyDescent="0.2">
      <c r="E190" s="8"/>
      <c r="G190" s="56"/>
    </row>
    <row r="191" spans="5:7" x14ac:dyDescent="0.2">
      <c r="E191" s="8"/>
      <c r="G191" s="56"/>
    </row>
    <row r="192" spans="5:7" x14ac:dyDescent="0.2">
      <c r="E192" s="8"/>
      <c r="G192" s="56"/>
    </row>
    <row r="193" spans="5:7" x14ac:dyDescent="0.2">
      <c r="E193" s="8"/>
      <c r="G193" s="56"/>
    </row>
    <row r="194" spans="5:7" x14ac:dyDescent="0.2">
      <c r="E194" s="8"/>
      <c r="G194" s="56"/>
    </row>
    <row r="195" spans="5:7" x14ac:dyDescent="0.2">
      <c r="E195" s="8"/>
      <c r="G195" s="56"/>
    </row>
    <row r="196" spans="5:7" x14ac:dyDescent="0.2">
      <c r="E196" s="8"/>
      <c r="G196" s="56"/>
    </row>
    <row r="197" spans="5:7" x14ac:dyDescent="0.2">
      <c r="E197" s="8"/>
      <c r="G197" s="56"/>
    </row>
    <row r="198" spans="5:7" x14ac:dyDescent="0.2">
      <c r="E198" s="8"/>
      <c r="G198" s="56"/>
    </row>
    <row r="199" spans="5:7" x14ac:dyDescent="0.2">
      <c r="E199" s="8"/>
      <c r="G199" s="56"/>
    </row>
    <row r="200" spans="5:7" x14ac:dyDescent="0.2">
      <c r="E200" s="8"/>
      <c r="G200" s="56"/>
    </row>
    <row r="201" spans="5:7" x14ac:dyDescent="0.2">
      <c r="E201" s="8"/>
      <c r="G201" s="56"/>
    </row>
    <row r="202" spans="5:7" x14ac:dyDescent="0.2">
      <c r="E202" s="8"/>
      <c r="G202" s="56"/>
    </row>
    <row r="203" spans="5:7" x14ac:dyDescent="0.2">
      <c r="E203" s="8"/>
      <c r="G203" s="56"/>
    </row>
    <row r="204" spans="5:7" x14ac:dyDescent="0.2">
      <c r="E204" s="8"/>
      <c r="G204" s="56"/>
    </row>
    <row r="205" spans="5:7" x14ac:dyDescent="0.2">
      <c r="E205" s="8"/>
      <c r="G205" s="56"/>
    </row>
    <row r="206" spans="5:7" x14ac:dyDescent="0.2">
      <c r="E206" s="8"/>
      <c r="G206" s="56"/>
    </row>
    <row r="207" spans="5:7" x14ac:dyDescent="0.2">
      <c r="E207" s="8"/>
      <c r="G207" s="56"/>
    </row>
    <row r="208" spans="5:7" x14ac:dyDescent="0.2">
      <c r="E208" s="8"/>
      <c r="G208" s="56"/>
    </row>
    <row r="209" spans="5:7" x14ac:dyDescent="0.2">
      <c r="E209" s="8"/>
      <c r="G209" s="56"/>
    </row>
    <row r="210" spans="5:7" x14ac:dyDescent="0.2">
      <c r="E210" s="8"/>
      <c r="G210" s="56"/>
    </row>
    <row r="211" spans="5:7" x14ac:dyDescent="0.2">
      <c r="E211" s="8"/>
      <c r="G211" s="56"/>
    </row>
    <row r="212" spans="5:7" x14ac:dyDescent="0.2">
      <c r="E212" s="8"/>
      <c r="G212" s="56"/>
    </row>
    <row r="213" spans="5:7" x14ac:dyDescent="0.2">
      <c r="E213" s="8"/>
      <c r="G213" s="56"/>
    </row>
    <row r="214" spans="5:7" x14ac:dyDescent="0.2">
      <c r="E214" s="8"/>
      <c r="G214" s="56"/>
    </row>
    <row r="215" spans="5:7" x14ac:dyDescent="0.2">
      <c r="E215" s="8"/>
      <c r="G215" s="56"/>
    </row>
    <row r="216" spans="5:7" x14ac:dyDescent="0.2">
      <c r="E216" s="8"/>
      <c r="G216" s="56"/>
    </row>
    <row r="217" spans="5:7" x14ac:dyDescent="0.2">
      <c r="E217" s="8"/>
      <c r="G217" s="56"/>
    </row>
    <row r="218" spans="5:7" x14ac:dyDescent="0.2">
      <c r="E218" s="8"/>
      <c r="G218" s="56"/>
    </row>
    <row r="219" spans="5:7" x14ac:dyDescent="0.2">
      <c r="E219" s="8"/>
      <c r="G219" s="56"/>
    </row>
    <row r="220" spans="5:7" x14ac:dyDescent="0.2">
      <c r="E220" s="8"/>
      <c r="G220" s="56"/>
    </row>
    <row r="221" spans="5:7" x14ac:dyDescent="0.2">
      <c r="E221" s="8"/>
      <c r="G221" s="56"/>
    </row>
    <row r="222" spans="5:7" x14ac:dyDescent="0.2">
      <c r="E222" s="8"/>
      <c r="G222" s="56"/>
    </row>
    <row r="223" spans="5:7" x14ac:dyDescent="0.2">
      <c r="E223" s="8"/>
      <c r="G223" s="56"/>
    </row>
    <row r="224" spans="5:7" x14ac:dyDescent="0.2">
      <c r="E224" s="8"/>
      <c r="G224" s="56"/>
    </row>
    <row r="225" spans="5:7" x14ac:dyDescent="0.2">
      <c r="E225" s="8"/>
      <c r="G225" s="56"/>
    </row>
    <row r="226" spans="5:7" x14ac:dyDescent="0.2">
      <c r="E226" s="8"/>
      <c r="G226" s="56"/>
    </row>
    <row r="227" spans="5:7" x14ac:dyDescent="0.2">
      <c r="E227" s="8"/>
      <c r="G227" s="56"/>
    </row>
    <row r="228" spans="5:7" x14ac:dyDescent="0.2">
      <c r="E228" s="8"/>
      <c r="G228" s="56"/>
    </row>
    <row r="229" spans="5:7" x14ac:dyDescent="0.2">
      <c r="E229" s="8"/>
      <c r="G229" s="56"/>
    </row>
    <row r="230" spans="5:7" x14ac:dyDescent="0.2">
      <c r="E230" s="8"/>
      <c r="G230" s="56"/>
    </row>
    <row r="231" spans="5:7" x14ac:dyDescent="0.2">
      <c r="E231" s="8"/>
      <c r="G231" s="56"/>
    </row>
    <row r="232" spans="5:7" x14ac:dyDescent="0.2">
      <c r="E232" s="8"/>
      <c r="G232" s="56"/>
    </row>
    <row r="233" spans="5:7" x14ac:dyDescent="0.2">
      <c r="E233" s="8"/>
      <c r="G233" s="56"/>
    </row>
    <row r="234" spans="5:7" x14ac:dyDescent="0.2">
      <c r="E234" s="8"/>
      <c r="G234" s="56"/>
    </row>
    <row r="235" spans="5:7" x14ac:dyDescent="0.2">
      <c r="E235" s="8"/>
      <c r="G235" s="56"/>
    </row>
    <row r="236" spans="5:7" x14ac:dyDescent="0.2">
      <c r="E236" s="8"/>
      <c r="G236" s="56"/>
    </row>
    <row r="237" spans="5:7" x14ac:dyDescent="0.2">
      <c r="E237" s="8"/>
      <c r="G237" s="56"/>
    </row>
    <row r="238" spans="5:7" x14ac:dyDescent="0.2">
      <c r="E238" s="8"/>
      <c r="G238" s="56"/>
    </row>
    <row r="239" spans="5:7" x14ac:dyDescent="0.2">
      <c r="E239" s="8"/>
      <c r="G239" s="56"/>
    </row>
    <row r="240" spans="5:7" x14ac:dyDescent="0.2">
      <c r="E240" s="8"/>
      <c r="G240" s="56"/>
    </row>
    <row r="241" spans="5:7" x14ac:dyDescent="0.2">
      <c r="E241" s="8"/>
      <c r="G241" s="56"/>
    </row>
    <row r="242" spans="5:7" x14ac:dyDescent="0.2">
      <c r="E242" s="8"/>
      <c r="G242" s="56"/>
    </row>
    <row r="243" spans="5:7" x14ac:dyDescent="0.2">
      <c r="E243" s="8"/>
      <c r="G243" s="56"/>
    </row>
    <row r="244" spans="5:7" x14ac:dyDescent="0.2">
      <c r="E244" s="8"/>
      <c r="G244" s="56"/>
    </row>
    <row r="245" spans="5:7" x14ac:dyDescent="0.2">
      <c r="E245" s="8"/>
      <c r="G245" s="56"/>
    </row>
    <row r="246" spans="5:7" x14ac:dyDescent="0.2">
      <c r="E246" s="8"/>
      <c r="G246" s="56"/>
    </row>
    <row r="247" spans="5:7" x14ac:dyDescent="0.2">
      <c r="E247" s="8"/>
      <c r="G247" s="56"/>
    </row>
    <row r="248" spans="5:7" x14ac:dyDescent="0.2">
      <c r="E248" s="8"/>
      <c r="G248" s="56"/>
    </row>
    <row r="249" spans="5:7" x14ac:dyDescent="0.2">
      <c r="E249" s="8"/>
      <c r="G249" s="56"/>
    </row>
    <row r="250" spans="5:7" x14ac:dyDescent="0.2">
      <c r="E250" s="8"/>
      <c r="G250" s="56"/>
    </row>
    <row r="251" spans="5:7" x14ac:dyDescent="0.2">
      <c r="E251" s="8"/>
      <c r="G251" s="56"/>
    </row>
    <row r="252" spans="5:7" x14ac:dyDescent="0.2">
      <c r="E252" s="8"/>
      <c r="G252" s="56"/>
    </row>
    <row r="253" spans="5:7" x14ac:dyDescent="0.2">
      <c r="E253" s="8"/>
      <c r="G253" s="56"/>
    </row>
    <row r="254" spans="5:7" x14ac:dyDescent="0.2">
      <c r="E254" s="8"/>
      <c r="G254" s="56"/>
    </row>
    <row r="255" spans="5:7" x14ac:dyDescent="0.2">
      <c r="E255" s="8"/>
      <c r="G255" s="56"/>
    </row>
    <row r="256" spans="5:7" x14ac:dyDescent="0.2">
      <c r="E256" s="8"/>
      <c r="G256" s="56"/>
    </row>
    <row r="257" spans="5:7" x14ac:dyDescent="0.2">
      <c r="E257" s="8"/>
      <c r="G257" s="56"/>
    </row>
    <row r="258" spans="5:7" x14ac:dyDescent="0.2">
      <c r="E258" s="8"/>
      <c r="G258" s="56"/>
    </row>
    <row r="259" spans="5:7" x14ac:dyDescent="0.2">
      <c r="E259" s="8"/>
      <c r="G259" s="56"/>
    </row>
    <row r="260" spans="5:7" x14ac:dyDescent="0.2">
      <c r="E260" s="8"/>
      <c r="G260" s="56"/>
    </row>
    <row r="261" spans="5:7" x14ac:dyDescent="0.2">
      <c r="E261" s="8"/>
      <c r="G261" s="56"/>
    </row>
    <row r="262" spans="5:7" x14ac:dyDescent="0.2">
      <c r="E262" s="8"/>
      <c r="G262" s="56"/>
    </row>
    <row r="263" spans="5:7" x14ac:dyDescent="0.2">
      <c r="E263" s="8"/>
      <c r="G263" s="56"/>
    </row>
    <row r="264" spans="5:7" x14ac:dyDescent="0.2">
      <c r="E264" s="8"/>
      <c r="G264" s="56"/>
    </row>
    <row r="265" spans="5:7" x14ac:dyDescent="0.2">
      <c r="E265" s="8"/>
      <c r="G265" s="56"/>
    </row>
    <row r="266" spans="5:7" x14ac:dyDescent="0.2">
      <c r="E266" s="8"/>
      <c r="G266" s="56"/>
    </row>
    <row r="267" spans="5:7" x14ac:dyDescent="0.2">
      <c r="E267" s="8"/>
      <c r="G267" s="56"/>
    </row>
    <row r="268" spans="5:7" x14ac:dyDescent="0.2">
      <c r="E268" s="8"/>
      <c r="G268" s="56"/>
    </row>
    <row r="269" spans="5:7" x14ac:dyDescent="0.2">
      <c r="E269" s="8"/>
      <c r="G269" s="56"/>
    </row>
    <row r="270" spans="5:7" x14ac:dyDescent="0.2">
      <c r="E270" s="8"/>
      <c r="G270" s="56"/>
    </row>
    <row r="271" spans="5:7" x14ac:dyDescent="0.2">
      <c r="E271" s="8"/>
      <c r="G271" s="56"/>
    </row>
    <row r="272" spans="5:7" x14ac:dyDescent="0.2">
      <c r="E272" s="8"/>
      <c r="G272" s="56"/>
    </row>
    <row r="273" spans="5:7" x14ac:dyDescent="0.2">
      <c r="E273" s="8"/>
      <c r="G273" s="56"/>
    </row>
    <row r="274" spans="5:7" x14ac:dyDescent="0.2">
      <c r="E274" s="8"/>
      <c r="G274" s="56"/>
    </row>
    <row r="275" spans="5:7" x14ac:dyDescent="0.2">
      <c r="E275" s="8"/>
      <c r="G275" s="56"/>
    </row>
    <row r="276" spans="5:7" x14ac:dyDescent="0.2">
      <c r="E276" s="8"/>
      <c r="G276" s="56"/>
    </row>
    <row r="277" spans="5:7" x14ac:dyDescent="0.2">
      <c r="E277" s="8"/>
      <c r="G277" s="56"/>
    </row>
    <row r="278" spans="5:7" x14ac:dyDescent="0.2">
      <c r="E278" s="8"/>
      <c r="G278" s="56"/>
    </row>
    <row r="279" spans="5:7" x14ac:dyDescent="0.2">
      <c r="E279" s="8"/>
      <c r="G279" s="56"/>
    </row>
    <row r="280" spans="5:7" x14ac:dyDescent="0.2">
      <c r="E280" s="8"/>
      <c r="G280" s="56"/>
    </row>
    <row r="281" spans="5:7" x14ac:dyDescent="0.2">
      <c r="E281" s="8"/>
      <c r="G281" s="56"/>
    </row>
    <row r="282" spans="5:7" x14ac:dyDescent="0.2">
      <c r="E282" s="8"/>
      <c r="G282" s="56"/>
    </row>
    <row r="283" spans="5:7" x14ac:dyDescent="0.2">
      <c r="E283" s="8"/>
      <c r="G283" s="56"/>
    </row>
    <row r="284" spans="5:7" x14ac:dyDescent="0.2">
      <c r="E284" s="8"/>
      <c r="G284" s="56"/>
    </row>
    <row r="285" spans="5:7" x14ac:dyDescent="0.2">
      <c r="E285" s="8"/>
      <c r="G285" s="56"/>
    </row>
    <row r="286" spans="5:7" x14ac:dyDescent="0.2">
      <c r="E286" s="8"/>
      <c r="G286" s="56"/>
    </row>
    <row r="287" spans="5:7" x14ac:dyDescent="0.2">
      <c r="E287" s="8"/>
      <c r="G287" s="56"/>
    </row>
    <row r="288" spans="5:7" x14ac:dyDescent="0.2">
      <c r="E288" s="8"/>
      <c r="G288" s="56"/>
    </row>
    <row r="289" spans="5:7" x14ac:dyDescent="0.2">
      <c r="E289" s="8"/>
      <c r="G289" s="56"/>
    </row>
    <row r="290" spans="5:7" x14ac:dyDescent="0.2">
      <c r="E290" s="8"/>
      <c r="G290" s="56"/>
    </row>
    <row r="291" spans="5:7" x14ac:dyDescent="0.2">
      <c r="E291" s="8"/>
      <c r="G291" s="56"/>
    </row>
    <row r="292" spans="5:7" x14ac:dyDescent="0.2">
      <c r="E292" s="8"/>
      <c r="G292" s="56"/>
    </row>
    <row r="293" spans="5:7" x14ac:dyDescent="0.2">
      <c r="E293" s="8"/>
      <c r="G293" s="56"/>
    </row>
    <row r="294" spans="5:7" x14ac:dyDescent="0.2">
      <c r="E294" s="8"/>
      <c r="G294" s="56"/>
    </row>
    <row r="295" spans="5:7" x14ac:dyDescent="0.2">
      <c r="E295" s="8"/>
      <c r="G295" s="56"/>
    </row>
    <row r="296" spans="5:7" x14ac:dyDescent="0.2">
      <c r="E296" s="8"/>
      <c r="G296" s="56"/>
    </row>
    <row r="297" spans="5:7" x14ac:dyDescent="0.2">
      <c r="E297" s="8"/>
      <c r="G297" s="56"/>
    </row>
    <row r="298" spans="5:7" x14ac:dyDescent="0.2">
      <c r="E298" s="8"/>
      <c r="G298" s="56"/>
    </row>
    <row r="299" spans="5:7" x14ac:dyDescent="0.2">
      <c r="E299" s="8"/>
      <c r="G299" s="56"/>
    </row>
    <row r="300" spans="5:7" x14ac:dyDescent="0.2">
      <c r="E300" s="8"/>
      <c r="G300" s="56"/>
    </row>
    <row r="301" spans="5:7" x14ac:dyDescent="0.2">
      <c r="E301" s="8"/>
      <c r="G301" s="56"/>
    </row>
    <row r="302" spans="5:7" x14ac:dyDescent="0.2">
      <c r="E302" s="8"/>
      <c r="G302" s="56"/>
    </row>
    <row r="303" spans="5:7" x14ac:dyDescent="0.2">
      <c r="E303" s="8"/>
      <c r="G303" s="56"/>
    </row>
    <row r="304" spans="5:7" x14ac:dyDescent="0.2">
      <c r="E304" s="8"/>
      <c r="G304" s="56"/>
    </row>
    <row r="305" spans="5:7" x14ac:dyDescent="0.2">
      <c r="E305" s="8"/>
      <c r="G305" s="56"/>
    </row>
    <row r="306" spans="5:7" x14ac:dyDescent="0.2">
      <c r="E306" s="8"/>
      <c r="G306" s="56"/>
    </row>
    <row r="307" spans="5:7" x14ac:dyDescent="0.2">
      <c r="E307" s="8"/>
      <c r="G307" s="56"/>
    </row>
    <row r="308" spans="5:7" x14ac:dyDescent="0.2">
      <c r="E308" s="8"/>
      <c r="G308" s="56"/>
    </row>
    <row r="309" spans="5:7" x14ac:dyDescent="0.2">
      <c r="E309" s="8"/>
      <c r="G309" s="56"/>
    </row>
    <row r="310" spans="5:7" x14ac:dyDescent="0.2">
      <c r="E310" s="8"/>
      <c r="G310" s="56"/>
    </row>
    <row r="311" spans="5:7" x14ac:dyDescent="0.2">
      <c r="E311" s="8"/>
      <c r="G311" s="56"/>
    </row>
    <row r="312" spans="5:7" x14ac:dyDescent="0.2">
      <c r="E312" s="8"/>
      <c r="G312" s="56"/>
    </row>
    <row r="313" spans="5:7" x14ac:dyDescent="0.2">
      <c r="E313" s="8"/>
      <c r="G313" s="56"/>
    </row>
    <row r="314" spans="5:7" x14ac:dyDescent="0.2">
      <c r="E314" s="8"/>
      <c r="G314" s="56"/>
    </row>
    <row r="315" spans="5:7" x14ac:dyDescent="0.2">
      <c r="E315" s="8"/>
      <c r="G315" s="56"/>
    </row>
    <row r="316" spans="5:7" x14ac:dyDescent="0.2">
      <c r="E316" s="8"/>
      <c r="G316" s="56"/>
    </row>
    <row r="317" spans="5:7" x14ac:dyDescent="0.2">
      <c r="E317" s="8"/>
      <c r="G317" s="56"/>
    </row>
    <row r="318" spans="5:7" x14ac:dyDescent="0.2">
      <c r="E318" s="8"/>
      <c r="G318" s="56"/>
    </row>
    <row r="319" spans="5:7" x14ac:dyDescent="0.2">
      <c r="E319" s="8"/>
      <c r="G319" s="56"/>
    </row>
    <row r="320" spans="5:7" x14ac:dyDescent="0.2">
      <c r="E320" s="8"/>
      <c r="G320" s="56"/>
    </row>
    <row r="321" spans="5:7" x14ac:dyDescent="0.2">
      <c r="E321" s="8"/>
      <c r="G321" s="56"/>
    </row>
    <row r="322" spans="5:7" x14ac:dyDescent="0.2">
      <c r="E322" s="8"/>
      <c r="G322" s="56"/>
    </row>
    <row r="323" spans="5:7" x14ac:dyDescent="0.2">
      <c r="E323" s="8"/>
      <c r="G323" s="56"/>
    </row>
    <row r="324" spans="5:7" x14ac:dyDescent="0.2">
      <c r="E324" s="8"/>
      <c r="G324" s="56"/>
    </row>
    <row r="325" spans="5:7" x14ac:dyDescent="0.2">
      <c r="E325" s="8"/>
      <c r="G325" s="56"/>
    </row>
    <row r="326" spans="5:7" x14ac:dyDescent="0.2">
      <c r="E326" s="8"/>
      <c r="G326" s="56"/>
    </row>
    <row r="327" spans="5:7" x14ac:dyDescent="0.2">
      <c r="E327" s="8"/>
      <c r="G327" s="56"/>
    </row>
    <row r="328" spans="5:7" x14ac:dyDescent="0.2">
      <c r="E328" s="8"/>
      <c r="G328" s="56"/>
    </row>
    <row r="329" spans="5:7" x14ac:dyDescent="0.2">
      <c r="E329" s="8"/>
      <c r="G329" s="56"/>
    </row>
    <row r="330" spans="5:7" x14ac:dyDescent="0.2">
      <c r="E330" s="8"/>
      <c r="G330" s="56"/>
    </row>
    <row r="331" spans="5:7" x14ac:dyDescent="0.2">
      <c r="E331" s="8"/>
      <c r="G331" s="56"/>
    </row>
    <row r="332" spans="5:7" x14ac:dyDescent="0.2">
      <c r="E332" s="8"/>
      <c r="G332" s="56"/>
    </row>
    <row r="333" spans="5:7" x14ac:dyDescent="0.2">
      <c r="E333" s="8"/>
      <c r="G333" s="56"/>
    </row>
    <row r="334" spans="5:7" x14ac:dyDescent="0.2">
      <c r="E334" s="8"/>
      <c r="G334" s="56"/>
    </row>
    <row r="335" spans="5:7" x14ac:dyDescent="0.2">
      <c r="E335" s="8"/>
      <c r="G335" s="56"/>
    </row>
    <row r="336" spans="5:7" x14ac:dyDescent="0.2">
      <c r="E336" s="8"/>
      <c r="G336" s="56"/>
    </row>
    <row r="337" spans="5:7" x14ac:dyDescent="0.2">
      <c r="E337" s="8"/>
      <c r="G337" s="56"/>
    </row>
    <row r="338" spans="5:7" x14ac:dyDescent="0.2">
      <c r="E338" s="8"/>
      <c r="G338" s="56"/>
    </row>
    <row r="339" spans="5:7" x14ac:dyDescent="0.2">
      <c r="E339" s="8"/>
      <c r="G339" s="56"/>
    </row>
    <row r="340" spans="5:7" x14ac:dyDescent="0.2">
      <c r="E340" s="8"/>
      <c r="G340" s="56"/>
    </row>
    <row r="341" spans="5:7" x14ac:dyDescent="0.2">
      <c r="E341" s="8"/>
      <c r="G341" s="56"/>
    </row>
    <row r="342" spans="5:7" x14ac:dyDescent="0.2">
      <c r="E342" s="8"/>
      <c r="G342" s="56"/>
    </row>
    <row r="343" spans="5:7" x14ac:dyDescent="0.2">
      <c r="E343" s="8"/>
      <c r="G343" s="56"/>
    </row>
    <row r="344" spans="5:7" x14ac:dyDescent="0.2">
      <c r="E344" s="8"/>
      <c r="G344" s="56"/>
    </row>
    <row r="345" spans="5:7" x14ac:dyDescent="0.2">
      <c r="E345" s="8"/>
      <c r="G345" s="56"/>
    </row>
    <row r="346" spans="5:7" x14ac:dyDescent="0.2">
      <c r="E346" s="8"/>
      <c r="G346" s="56"/>
    </row>
    <row r="347" spans="5:7" x14ac:dyDescent="0.2">
      <c r="E347" s="8"/>
      <c r="G347" s="56"/>
    </row>
    <row r="348" spans="5:7" x14ac:dyDescent="0.2">
      <c r="E348" s="8"/>
      <c r="G348" s="56"/>
    </row>
    <row r="349" spans="5:7" x14ac:dyDescent="0.2">
      <c r="E349" s="8"/>
      <c r="G349" s="56"/>
    </row>
    <row r="350" spans="5:7" x14ac:dyDescent="0.2">
      <c r="E350" s="8"/>
      <c r="G350" s="56"/>
    </row>
    <row r="351" spans="5:7" x14ac:dyDescent="0.2">
      <c r="E351" s="8"/>
      <c r="G351" s="56"/>
    </row>
    <row r="352" spans="5:7" x14ac:dyDescent="0.2">
      <c r="E352" s="8"/>
      <c r="G352" s="56"/>
    </row>
    <row r="353" spans="5:7" x14ac:dyDescent="0.2">
      <c r="E353" s="8"/>
      <c r="G353" s="56"/>
    </row>
    <row r="354" spans="5:7" x14ac:dyDescent="0.2">
      <c r="E354" s="8"/>
      <c r="G354" s="56"/>
    </row>
    <row r="355" spans="5:7" x14ac:dyDescent="0.2">
      <c r="E355" s="8"/>
      <c r="G355" s="56"/>
    </row>
    <row r="356" spans="5:7" x14ac:dyDescent="0.2">
      <c r="E356" s="8"/>
      <c r="G356" s="56"/>
    </row>
    <row r="357" spans="5:7" x14ac:dyDescent="0.2">
      <c r="E357" s="8"/>
      <c r="G357" s="56"/>
    </row>
    <row r="358" spans="5:7" x14ac:dyDescent="0.2">
      <c r="E358" s="8"/>
      <c r="G358" s="56"/>
    </row>
    <row r="359" spans="5:7" x14ac:dyDescent="0.2">
      <c r="E359" s="8"/>
      <c r="G359" s="56"/>
    </row>
    <row r="360" spans="5:7" x14ac:dyDescent="0.2">
      <c r="E360" s="8"/>
      <c r="G360" s="56"/>
    </row>
    <row r="361" spans="5:7" x14ac:dyDescent="0.2">
      <c r="E361" s="8"/>
      <c r="G361" s="56"/>
    </row>
    <row r="362" spans="5:7" x14ac:dyDescent="0.2">
      <c r="E362" s="8"/>
      <c r="G362" s="56"/>
    </row>
    <row r="363" spans="5:7" x14ac:dyDescent="0.2">
      <c r="E363" s="8"/>
      <c r="G363" s="56"/>
    </row>
    <row r="364" spans="5:7" x14ac:dyDescent="0.2">
      <c r="E364" s="8"/>
      <c r="G364" s="56"/>
    </row>
    <row r="365" spans="5:7" x14ac:dyDescent="0.2">
      <c r="E365" s="8"/>
      <c r="G365" s="56"/>
    </row>
    <row r="366" spans="5:7" x14ac:dyDescent="0.2">
      <c r="E366" s="8"/>
      <c r="G366" s="56"/>
    </row>
    <row r="367" spans="5:7" x14ac:dyDescent="0.2">
      <c r="E367" s="8"/>
      <c r="G367" s="56"/>
    </row>
    <row r="368" spans="5:7" x14ac:dyDescent="0.2">
      <c r="E368" s="8"/>
      <c r="G368" s="56"/>
    </row>
    <row r="369" spans="5:7" x14ac:dyDescent="0.2">
      <c r="E369" s="8"/>
      <c r="G369" s="56"/>
    </row>
    <row r="370" spans="5:7" x14ac:dyDescent="0.2">
      <c r="E370" s="8"/>
      <c r="G370" s="56"/>
    </row>
    <row r="371" spans="5:7" x14ac:dyDescent="0.2">
      <c r="E371" s="8"/>
      <c r="G371" s="56"/>
    </row>
    <row r="372" spans="5:7" x14ac:dyDescent="0.2">
      <c r="E372" s="8"/>
      <c r="G372" s="56"/>
    </row>
    <row r="373" spans="5:7" x14ac:dyDescent="0.2">
      <c r="E373" s="8"/>
      <c r="G373" s="56"/>
    </row>
    <row r="374" spans="5:7" x14ac:dyDescent="0.2">
      <c r="E374" s="8"/>
      <c r="G374" s="56"/>
    </row>
    <row r="375" spans="5:7" x14ac:dyDescent="0.2">
      <c r="E375" s="8"/>
      <c r="G375" s="56"/>
    </row>
    <row r="376" spans="5:7" x14ac:dyDescent="0.2">
      <c r="E376" s="8"/>
      <c r="G376" s="56"/>
    </row>
    <row r="377" spans="5:7" x14ac:dyDescent="0.2">
      <c r="E377" s="8"/>
      <c r="G377" s="56"/>
    </row>
    <row r="378" spans="5:7" x14ac:dyDescent="0.2">
      <c r="E378" s="8"/>
      <c r="G378" s="56"/>
    </row>
    <row r="379" spans="5:7" x14ac:dyDescent="0.2">
      <c r="E379" s="8"/>
      <c r="G379" s="56"/>
    </row>
    <row r="380" spans="5:7" x14ac:dyDescent="0.2">
      <c r="E380" s="8"/>
      <c r="G380" s="56"/>
    </row>
    <row r="381" spans="5:7" x14ac:dyDescent="0.2">
      <c r="E381" s="8"/>
      <c r="G381" s="56"/>
    </row>
    <row r="382" spans="5:7" x14ac:dyDescent="0.2">
      <c r="E382" s="8"/>
      <c r="G382" s="56"/>
    </row>
    <row r="383" spans="5:7" x14ac:dyDescent="0.2">
      <c r="E383" s="8"/>
      <c r="G383" s="56"/>
    </row>
    <row r="384" spans="5:7" x14ac:dyDescent="0.2">
      <c r="E384" s="8"/>
      <c r="G384" s="56"/>
    </row>
    <row r="385" spans="5:7" x14ac:dyDescent="0.2">
      <c r="E385" s="8"/>
      <c r="G385" s="56"/>
    </row>
    <row r="386" spans="5:7" x14ac:dyDescent="0.2">
      <c r="E386" s="8"/>
      <c r="G386" s="56"/>
    </row>
    <row r="387" spans="5:7" x14ac:dyDescent="0.2">
      <c r="E387" s="8"/>
      <c r="G387" s="56"/>
    </row>
    <row r="388" spans="5:7" x14ac:dyDescent="0.2">
      <c r="E388" s="8"/>
      <c r="G388" s="56"/>
    </row>
    <row r="389" spans="5:7" x14ac:dyDescent="0.2">
      <c r="E389" s="8"/>
      <c r="G389" s="56"/>
    </row>
    <row r="390" spans="5:7" x14ac:dyDescent="0.2">
      <c r="E390" s="8"/>
      <c r="G390" s="56"/>
    </row>
    <row r="391" spans="5:7" x14ac:dyDescent="0.2">
      <c r="E391" s="8"/>
      <c r="G391" s="56"/>
    </row>
    <row r="392" spans="5:7" x14ac:dyDescent="0.2">
      <c r="E392" s="8"/>
      <c r="G392" s="56"/>
    </row>
    <row r="393" spans="5:7" x14ac:dyDescent="0.2">
      <c r="E393" s="8"/>
      <c r="G393" s="56"/>
    </row>
    <row r="394" spans="5:7" x14ac:dyDescent="0.2">
      <c r="E394" s="8"/>
      <c r="G394" s="56"/>
    </row>
    <row r="395" spans="5:7" x14ac:dyDescent="0.2">
      <c r="E395" s="8"/>
      <c r="G395" s="56"/>
    </row>
    <row r="396" spans="5:7" x14ac:dyDescent="0.2">
      <c r="E396" s="8"/>
      <c r="G396" s="56"/>
    </row>
    <row r="397" spans="5:7" x14ac:dyDescent="0.2">
      <c r="E397" s="8"/>
      <c r="G397" s="56"/>
    </row>
    <row r="398" spans="5:7" x14ac:dyDescent="0.2">
      <c r="E398" s="8"/>
      <c r="G398" s="56"/>
    </row>
    <row r="399" spans="5:7" x14ac:dyDescent="0.2">
      <c r="E399" s="8"/>
      <c r="G399" s="56"/>
    </row>
    <row r="400" spans="5:7" x14ac:dyDescent="0.2">
      <c r="E400" s="8"/>
      <c r="G400" s="56"/>
    </row>
    <row r="401" spans="5:7" x14ac:dyDescent="0.2">
      <c r="E401" s="8"/>
      <c r="G401" s="56"/>
    </row>
    <row r="402" spans="5:7" x14ac:dyDescent="0.2">
      <c r="E402" s="8"/>
      <c r="G402" s="56"/>
    </row>
    <row r="403" spans="5:7" x14ac:dyDescent="0.2">
      <c r="E403" s="8"/>
      <c r="G403" s="56"/>
    </row>
    <row r="404" spans="5:7" x14ac:dyDescent="0.2">
      <c r="E404" s="8"/>
      <c r="G404" s="56"/>
    </row>
    <row r="405" spans="5:7" x14ac:dyDescent="0.2">
      <c r="E405" s="8"/>
      <c r="G405" s="56"/>
    </row>
    <row r="406" spans="5:7" x14ac:dyDescent="0.2">
      <c r="E406" s="8"/>
      <c r="G406" s="56"/>
    </row>
    <row r="407" spans="5:7" x14ac:dyDescent="0.2">
      <c r="E407" s="8"/>
      <c r="G407" s="56"/>
    </row>
    <row r="408" spans="5:7" x14ac:dyDescent="0.2">
      <c r="E408" s="8"/>
      <c r="G408" s="56"/>
    </row>
    <row r="409" spans="5:7" x14ac:dyDescent="0.2">
      <c r="E409" s="8"/>
      <c r="G409" s="56"/>
    </row>
    <row r="410" spans="5:7" x14ac:dyDescent="0.2">
      <c r="E410" s="8"/>
      <c r="G410" s="56"/>
    </row>
    <row r="411" spans="5:7" x14ac:dyDescent="0.2">
      <c r="E411" s="8"/>
      <c r="G411" s="56"/>
    </row>
    <row r="412" spans="5:7" x14ac:dyDescent="0.2">
      <c r="E412" s="8"/>
      <c r="G412" s="56"/>
    </row>
    <row r="413" spans="5:7" x14ac:dyDescent="0.2">
      <c r="E413" s="8"/>
      <c r="G413" s="56"/>
    </row>
    <row r="414" spans="5:7" x14ac:dyDescent="0.2">
      <c r="E414" s="8"/>
      <c r="G414" s="56"/>
    </row>
    <row r="415" spans="5:7" x14ac:dyDescent="0.2">
      <c r="E415" s="8"/>
      <c r="G415" s="56"/>
    </row>
    <row r="416" spans="5:7" x14ac:dyDescent="0.2">
      <c r="E416" s="8"/>
      <c r="G416" s="56"/>
    </row>
    <row r="417" spans="5:7" x14ac:dyDescent="0.2">
      <c r="E417" s="8"/>
      <c r="G417" s="56"/>
    </row>
    <row r="418" spans="5:7" x14ac:dyDescent="0.2">
      <c r="E418" s="8"/>
      <c r="G418" s="56"/>
    </row>
    <row r="419" spans="5:7" x14ac:dyDescent="0.2">
      <c r="E419" s="8"/>
      <c r="G419" s="56"/>
    </row>
    <row r="420" spans="5:7" x14ac:dyDescent="0.2">
      <c r="E420" s="8"/>
      <c r="G420" s="56"/>
    </row>
    <row r="421" spans="5:7" x14ac:dyDescent="0.2">
      <c r="E421" s="8"/>
      <c r="G421" s="56"/>
    </row>
    <row r="422" spans="5:7" x14ac:dyDescent="0.2">
      <c r="E422" s="8"/>
      <c r="G422" s="56"/>
    </row>
    <row r="423" spans="5:7" x14ac:dyDescent="0.2">
      <c r="E423" s="8"/>
      <c r="G423" s="56"/>
    </row>
    <row r="424" spans="5:7" x14ac:dyDescent="0.2">
      <c r="E424" s="8"/>
      <c r="G424" s="56"/>
    </row>
    <row r="425" spans="5:7" x14ac:dyDescent="0.2">
      <c r="E425" s="8"/>
      <c r="G425" s="56"/>
    </row>
    <row r="426" spans="5:7" x14ac:dyDescent="0.2">
      <c r="E426" s="8"/>
      <c r="G426" s="56"/>
    </row>
    <row r="427" spans="5:7" x14ac:dyDescent="0.2">
      <c r="E427" s="8"/>
      <c r="G427" s="56"/>
    </row>
    <row r="428" spans="5:7" x14ac:dyDescent="0.2">
      <c r="E428" s="8"/>
      <c r="G428" s="56"/>
    </row>
    <row r="429" spans="5:7" x14ac:dyDescent="0.2">
      <c r="E429" s="8"/>
      <c r="G429" s="56"/>
    </row>
    <row r="430" spans="5:7" x14ac:dyDescent="0.2">
      <c r="E430" s="8"/>
      <c r="G430" s="56"/>
    </row>
    <row r="431" spans="5:7" x14ac:dyDescent="0.2">
      <c r="E431" s="8"/>
      <c r="G431" s="56"/>
    </row>
    <row r="432" spans="5:7" x14ac:dyDescent="0.2">
      <c r="E432" s="8"/>
      <c r="G432" s="56"/>
    </row>
    <row r="433" spans="5:7" x14ac:dyDescent="0.2">
      <c r="E433" s="8"/>
      <c r="G433" s="56"/>
    </row>
    <row r="434" spans="5:7" x14ac:dyDescent="0.2">
      <c r="E434" s="8"/>
      <c r="G434" s="56"/>
    </row>
    <row r="435" spans="5:7" x14ac:dyDescent="0.2">
      <c r="E435" s="8"/>
      <c r="G435" s="56"/>
    </row>
    <row r="436" spans="5:7" x14ac:dyDescent="0.2">
      <c r="E436" s="8"/>
      <c r="G436" s="56"/>
    </row>
    <row r="437" spans="5:7" x14ac:dyDescent="0.2">
      <c r="E437" s="8"/>
      <c r="G437" s="56"/>
    </row>
    <row r="438" spans="5:7" x14ac:dyDescent="0.2">
      <c r="E438" s="8"/>
      <c r="G438" s="56"/>
    </row>
    <row r="439" spans="5:7" x14ac:dyDescent="0.2">
      <c r="E439" s="8"/>
      <c r="G439" s="56"/>
    </row>
    <row r="440" spans="5:7" x14ac:dyDescent="0.2">
      <c r="E440" s="8"/>
      <c r="G440" s="56"/>
    </row>
    <row r="441" spans="5:7" x14ac:dyDescent="0.2">
      <c r="E441" s="8"/>
      <c r="G441" s="56"/>
    </row>
    <row r="442" spans="5:7" x14ac:dyDescent="0.2">
      <c r="E442" s="8"/>
      <c r="G442" s="56"/>
    </row>
    <row r="443" spans="5:7" x14ac:dyDescent="0.2">
      <c r="E443" s="8"/>
      <c r="G443" s="56"/>
    </row>
    <row r="444" spans="5:7" x14ac:dyDescent="0.2">
      <c r="E444" s="8"/>
      <c r="G444" s="56"/>
    </row>
    <row r="445" spans="5:7" x14ac:dyDescent="0.2">
      <c r="E445" s="8"/>
      <c r="G445" s="56"/>
    </row>
    <row r="446" spans="5:7" x14ac:dyDescent="0.2">
      <c r="E446" s="8"/>
      <c r="G446" s="56"/>
    </row>
    <row r="447" spans="5:7" x14ac:dyDescent="0.2">
      <c r="E447" s="8"/>
      <c r="G447" s="56"/>
    </row>
    <row r="448" spans="5:7" x14ac:dyDescent="0.2">
      <c r="E448" s="8"/>
      <c r="G448" s="56"/>
    </row>
    <row r="449" spans="5:7" x14ac:dyDescent="0.2">
      <c r="E449" s="8"/>
      <c r="G449" s="56"/>
    </row>
    <row r="450" spans="5:7" x14ac:dyDescent="0.2">
      <c r="E450" s="8"/>
      <c r="G450" s="56"/>
    </row>
    <row r="451" spans="5:7" x14ac:dyDescent="0.2">
      <c r="E451" s="8"/>
      <c r="G451" s="56"/>
    </row>
    <row r="452" spans="5:7" x14ac:dyDescent="0.2">
      <c r="E452" s="8"/>
      <c r="G452" s="56"/>
    </row>
    <row r="453" spans="5:7" x14ac:dyDescent="0.2">
      <c r="E453" s="8"/>
      <c r="G453" s="56"/>
    </row>
    <row r="454" spans="5:7" x14ac:dyDescent="0.2">
      <c r="E454" s="8"/>
      <c r="G454" s="56"/>
    </row>
    <row r="455" spans="5:7" x14ac:dyDescent="0.2">
      <c r="E455" s="8"/>
      <c r="G455" s="56"/>
    </row>
    <row r="456" spans="5:7" x14ac:dyDescent="0.2">
      <c r="E456" s="8"/>
      <c r="G456" s="56"/>
    </row>
    <row r="457" spans="5:7" x14ac:dyDescent="0.2">
      <c r="E457" s="8"/>
      <c r="G457" s="56"/>
    </row>
    <row r="458" spans="5:7" x14ac:dyDescent="0.2">
      <c r="E458" s="8"/>
      <c r="G458" s="56"/>
    </row>
    <row r="459" spans="5:7" x14ac:dyDescent="0.2">
      <c r="E459" s="8"/>
      <c r="G459" s="56"/>
    </row>
    <row r="460" spans="5:7" x14ac:dyDescent="0.2">
      <c r="E460" s="8"/>
      <c r="G460" s="56"/>
    </row>
    <row r="461" spans="5:7" x14ac:dyDescent="0.2">
      <c r="E461" s="8"/>
      <c r="G461" s="56"/>
    </row>
    <row r="462" spans="5:7" x14ac:dyDescent="0.2">
      <c r="E462" s="8"/>
      <c r="G462" s="56"/>
    </row>
    <row r="463" spans="5:7" x14ac:dyDescent="0.2">
      <c r="E463" s="8"/>
      <c r="G463" s="56"/>
    </row>
    <row r="464" spans="5:7" x14ac:dyDescent="0.2">
      <c r="E464" s="8"/>
      <c r="G464" s="56"/>
    </row>
    <row r="465" spans="5:7" x14ac:dyDescent="0.2">
      <c r="E465" s="8"/>
      <c r="G465" s="56"/>
    </row>
    <row r="466" spans="5:7" x14ac:dyDescent="0.2">
      <c r="E466" s="8"/>
      <c r="G466" s="56"/>
    </row>
    <row r="467" spans="5:7" x14ac:dyDescent="0.2">
      <c r="E467" s="8"/>
      <c r="G467" s="56"/>
    </row>
    <row r="468" spans="5:7" x14ac:dyDescent="0.2">
      <c r="E468" s="8"/>
      <c r="G468" s="56"/>
    </row>
    <row r="469" spans="5:7" x14ac:dyDescent="0.2">
      <c r="E469" s="8"/>
      <c r="G469" s="56"/>
    </row>
    <row r="470" spans="5:7" x14ac:dyDescent="0.2">
      <c r="E470" s="8"/>
      <c r="G470" s="56"/>
    </row>
    <row r="471" spans="5:7" x14ac:dyDescent="0.2">
      <c r="E471" s="8"/>
      <c r="G471" s="56"/>
    </row>
    <row r="472" spans="5:7" x14ac:dyDescent="0.2">
      <c r="E472" s="8"/>
      <c r="G472" s="56"/>
    </row>
    <row r="473" spans="5:7" x14ac:dyDescent="0.2">
      <c r="E473" s="8"/>
      <c r="G473" s="56"/>
    </row>
    <row r="474" spans="5:7" x14ac:dyDescent="0.2">
      <c r="E474" s="8"/>
      <c r="G474" s="56"/>
    </row>
    <row r="475" spans="5:7" x14ac:dyDescent="0.2">
      <c r="E475" s="8"/>
      <c r="G475" s="56"/>
    </row>
    <row r="476" spans="5:7" x14ac:dyDescent="0.2">
      <c r="E476" s="8"/>
      <c r="G476" s="56"/>
    </row>
    <row r="477" spans="5:7" x14ac:dyDescent="0.2">
      <c r="E477" s="8"/>
      <c r="G477" s="56"/>
    </row>
    <row r="478" spans="5:7" x14ac:dyDescent="0.2">
      <c r="E478" s="8"/>
      <c r="G478" s="56"/>
    </row>
    <row r="479" spans="5:7" x14ac:dyDescent="0.2">
      <c r="E479" s="8"/>
      <c r="G479" s="56"/>
    </row>
    <row r="480" spans="5:7" x14ac:dyDescent="0.2">
      <c r="E480" s="8"/>
      <c r="G480" s="56"/>
    </row>
    <row r="481" spans="5:7" x14ac:dyDescent="0.2">
      <c r="E481" s="8"/>
      <c r="G481" s="56"/>
    </row>
    <row r="482" spans="5:7" x14ac:dyDescent="0.2">
      <c r="E482" s="8"/>
      <c r="G482" s="56"/>
    </row>
    <row r="483" spans="5:7" x14ac:dyDescent="0.2">
      <c r="E483" s="8"/>
      <c r="G483" s="56"/>
    </row>
    <row r="484" spans="5:7" x14ac:dyDescent="0.2">
      <c r="E484" s="8"/>
      <c r="G484" s="56"/>
    </row>
    <row r="485" spans="5:7" x14ac:dyDescent="0.2">
      <c r="E485" s="8"/>
      <c r="G485" s="56"/>
    </row>
  </sheetData>
  <mergeCells count="1">
    <mergeCell ref="B1:C1"/>
  </mergeCells>
  <conditionalFormatting sqref="G1:G3 G5:G179">
    <cfRule type="cellIs" dxfId="0" priority="2" stopIfTrue="1" operator="between">
      <formula>0.009</formula>
      <formula>-0.009</formula>
    </cfRule>
  </conditionalFormatting>
  <hyperlinks>
    <hyperlink ref="A2" location="Index!A1" display="-" xr:uid="{3845616B-D2AE-4D1F-A26D-CB02AAE052F5}"/>
  </hyperlinks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79" min="1" max="7" man="1"/>
  </rowBreaks>
  <colBreaks count="1" manualBreakCount="1">
    <brk id="8" max="4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