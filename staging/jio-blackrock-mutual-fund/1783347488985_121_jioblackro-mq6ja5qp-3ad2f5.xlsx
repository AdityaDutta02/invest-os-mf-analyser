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4460C7B4-D62D-4379-9435-F4849A36033A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JBSECRO" sheetId="16" r:id="rId1"/>
  </sheets>
  <definedNames>
    <definedName name="_xlnm.Print_Area" localSheetId="0">JBSECRO!$B$1:$H$424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0" i="16" l="1"/>
  <c r="F310" i="16"/>
  <c r="G302" i="16"/>
  <c r="G296" i="16"/>
  <c r="F296" i="16"/>
  <c r="F303" i="16" s="1"/>
  <c r="G303" i="16" l="1"/>
  <c r="G299" i="16"/>
  <c r="F299" i="16"/>
</calcChain>
</file>

<file path=xl/sharedStrings.xml><?xml version="1.0" encoding="utf-8"?>
<sst xmlns="http://schemas.openxmlformats.org/spreadsheetml/2006/main" count="975" uniqueCount="703">
  <si>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</si>
  <si>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</si>
  <si>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</si>
  <si>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</si>
  <si>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</si>
  <si>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</si>
  <si>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May 31, 2026</t>
  </si>
  <si>
    <t>JioBlackRock Sector Rotation Fund</t>
  </si>
  <si>
    <t>Equity &amp; Equity related</t>
  </si>
  <si>
    <t>(a) Listed / awaiting listing on Stock Exchanges</t>
  </si>
  <si>
    <t>HDFC Bank Ltd</t>
  </si>
  <si>
    <t>INE040A01034</t>
  </si>
  <si>
    <t>Banks</t>
  </si>
  <si>
    <t>ICICI Bank Ltd</t>
  </si>
  <si>
    <t>INE090A01021</t>
  </si>
  <si>
    <t>Bharti Airtel Ltd</t>
  </si>
  <si>
    <t>INE397D01024</t>
  </si>
  <si>
    <t>Telecom - Services</t>
  </si>
  <si>
    <t>Reliance Industries Ltd</t>
  </si>
  <si>
    <t>INE002A01018</t>
  </si>
  <si>
    <t>Petroleum Products</t>
  </si>
  <si>
    <t>Mahindra &amp; Mahindra Ltd</t>
  </si>
  <si>
    <t>INE101A01026</t>
  </si>
  <si>
    <t>Automobiles</t>
  </si>
  <si>
    <t>State Bank of India</t>
  </si>
  <si>
    <t>INE062A01020</t>
  </si>
  <si>
    <t>Infosys Ltd</t>
  </si>
  <si>
    <t>INE009A01021</t>
  </si>
  <si>
    <t>IT - Software</t>
  </si>
  <si>
    <t>Larsen &amp; Toubro Ltd</t>
  </si>
  <si>
    <t>INE018A01030</t>
  </si>
  <si>
    <t>Construction</t>
  </si>
  <si>
    <t>NTPC Ltd</t>
  </si>
  <si>
    <t>INE733E01010</t>
  </si>
  <si>
    <t>Power</t>
  </si>
  <si>
    <t>Indian Oil Corporation Ltd</t>
  </si>
  <si>
    <t>INE242A01010</t>
  </si>
  <si>
    <t>Nestle India Ltd</t>
  </si>
  <si>
    <t>INE239A01024</t>
  </si>
  <si>
    <t>Food Products</t>
  </si>
  <si>
    <t>Britannia Industries Ltd</t>
  </si>
  <si>
    <t>INE216A01030</t>
  </si>
  <si>
    <t>Tata Consultancy Services Ltd</t>
  </si>
  <si>
    <t>INE467B01029</t>
  </si>
  <si>
    <t>Tata Steel Ltd</t>
  </si>
  <si>
    <t>INE081A01020</t>
  </si>
  <si>
    <t>Ferrous Metals</t>
  </si>
  <si>
    <t>Apollo Tyres Ltd</t>
  </si>
  <si>
    <t>INE438A01022</t>
  </si>
  <si>
    <t>Auto Components</t>
  </si>
  <si>
    <t>ITC Ltd</t>
  </si>
  <si>
    <t>INE154A01025</t>
  </si>
  <si>
    <t>Diversified FMCG</t>
  </si>
  <si>
    <t>Interglobe Aviation Ltd</t>
  </si>
  <si>
    <t>INE646L01027</t>
  </si>
  <si>
    <t>Transport Services</t>
  </si>
  <si>
    <t>Ultratech Cement Ltd</t>
  </si>
  <si>
    <t>INE481G01011</t>
  </si>
  <si>
    <t>Cement &amp; Cement Products</t>
  </si>
  <si>
    <t>Axis Bank Ltd</t>
  </si>
  <si>
    <t>INE238A01034</t>
  </si>
  <si>
    <t>Multi Commodity Exchange Of India Ltd</t>
  </si>
  <si>
    <t>INE745G01043</t>
  </si>
  <si>
    <t>Capital Markets</t>
  </si>
  <si>
    <t>Sun Pharmaceutical Industries Ltd</t>
  </si>
  <si>
    <t>INE044A01036</t>
  </si>
  <si>
    <t>Pharmaceuticals &amp; Biotechnology</t>
  </si>
  <si>
    <t>Kotak Mahindra Bank Ltd</t>
  </si>
  <si>
    <t>INE237A01036</t>
  </si>
  <si>
    <t>Federal Bank Ltd</t>
  </si>
  <si>
    <t>INE171A01029</t>
  </si>
  <si>
    <t>JSW Steel Ltd</t>
  </si>
  <si>
    <t>INE019A01038</t>
  </si>
  <si>
    <t>Eternal Ltd</t>
  </si>
  <si>
    <t>INE758T01015</t>
  </si>
  <si>
    <t>Retailing</t>
  </si>
  <si>
    <t>Agricultural, Commercial &amp; Construction Vehicles</t>
  </si>
  <si>
    <t>Consumer Durables</t>
  </si>
  <si>
    <t>Oil &amp; Natural Gas Corporation Ltd</t>
  </si>
  <si>
    <t>INE213A01029</t>
  </si>
  <si>
    <t>Oil</t>
  </si>
  <si>
    <t>Hero MotoCorp Ltd</t>
  </si>
  <si>
    <t>INE158A01026</t>
  </si>
  <si>
    <t>Samvardhana Motherson International Ltd</t>
  </si>
  <si>
    <t>INE775A01035</t>
  </si>
  <si>
    <t>Vedanta Ltd</t>
  </si>
  <si>
    <t>INE205A01025</t>
  </si>
  <si>
    <t>Diversified Metals</t>
  </si>
  <si>
    <t>SBI Life Insurance Co Ltd</t>
  </si>
  <si>
    <t>INE123W01016</t>
  </si>
  <si>
    <t>Insurance</t>
  </si>
  <si>
    <t>Tata Motors Ltd</t>
  </si>
  <si>
    <t>INE1TAE01010</t>
  </si>
  <si>
    <t>Lenskart Solutions Ltd</t>
  </si>
  <si>
    <t>INE956O01016</t>
  </si>
  <si>
    <t>Steel Authority of India Ltd</t>
  </si>
  <si>
    <t>INE114A01011</t>
  </si>
  <si>
    <t>Tech Mahindra Ltd</t>
  </si>
  <si>
    <t>INE669C01036</t>
  </si>
  <si>
    <t>Yes Bank Ltd</t>
  </si>
  <si>
    <t>INE528G01035</t>
  </si>
  <si>
    <t>Lupin Ltd</t>
  </si>
  <si>
    <t>INE326A01037</t>
  </si>
  <si>
    <t>Bajaj Finance Ltd</t>
  </si>
  <si>
    <t>INE296A01032</t>
  </si>
  <si>
    <t>Finance</t>
  </si>
  <si>
    <t>IPCA Laboratories Ltd</t>
  </si>
  <si>
    <t>INE571A01038</t>
  </si>
  <si>
    <t>Bharat Petroleum Corporation Ltd</t>
  </si>
  <si>
    <t>INE029A01011</t>
  </si>
  <si>
    <t>INE1CDF01017</t>
  </si>
  <si>
    <t>Non - Ferrous Metals</t>
  </si>
  <si>
    <t>INE694L01019</t>
  </si>
  <si>
    <t>INE704J01044</t>
  </si>
  <si>
    <t>INE1CLE01013</t>
  </si>
  <si>
    <t>Asian Paints Ltd</t>
  </si>
  <si>
    <t>INE021A01026</t>
  </si>
  <si>
    <t>Radico Khaitan Ltd</t>
  </si>
  <si>
    <t>INE944F01028</t>
  </si>
  <si>
    <t>Beverages</t>
  </si>
  <si>
    <t>Hindustan Petroleum Corporation Ltd</t>
  </si>
  <si>
    <t>INE094A01015</t>
  </si>
  <si>
    <t>Ashok Leyland Ltd</t>
  </si>
  <si>
    <t>INE208A01029</t>
  </si>
  <si>
    <t>Power Grid Corporation of India Ltd</t>
  </si>
  <si>
    <t>INE752E01010</t>
  </si>
  <si>
    <t>Dr. Reddy's Laboratories Ltd</t>
  </si>
  <si>
    <t>INE089A01031</t>
  </si>
  <si>
    <t>Adani Enterprises Ltd</t>
  </si>
  <si>
    <t>INE423A01024</t>
  </si>
  <si>
    <t>Metals &amp; Minerals Trading</t>
  </si>
  <si>
    <t>Schaeffler India Ltd</t>
  </si>
  <si>
    <t>INE513A01022</t>
  </si>
  <si>
    <t>United Spirits Ltd</t>
  </si>
  <si>
    <t>INE854D01024</t>
  </si>
  <si>
    <t>Maruti Suzuki India Ltd</t>
  </si>
  <si>
    <t>INE585B01010</t>
  </si>
  <si>
    <t>Shriram Finance Ltd</t>
  </si>
  <si>
    <t>INE721A01047</t>
  </si>
  <si>
    <t>Ltm Ltd</t>
  </si>
  <si>
    <t>INE214T01019</t>
  </si>
  <si>
    <t>Laurus Labs Ltd</t>
  </si>
  <si>
    <t>INE947Q01028</t>
  </si>
  <si>
    <t>Eicher Motors Ltd</t>
  </si>
  <si>
    <t>INE066A01021</t>
  </si>
  <si>
    <t>Mahindra &amp; Mahindra Financial Services Ltd</t>
  </si>
  <si>
    <t>INE774D01024</t>
  </si>
  <si>
    <t>Nippon Life India Asset Management Ltd</t>
  </si>
  <si>
    <t>INE298J01013</t>
  </si>
  <si>
    <t>Bharat Heavy Electricals Ltd</t>
  </si>
  <si>
    <t>INE257A01026</t>
  </si>
  <si>
    <t>Electrical Equipment</t>
  </si>
  <si>
    <t>Sub Total</t>
  </si>
  <si>
    <t xml:space="preserve">(b) Unlisted </t>
  </si>
  <si>
    <t>NIL</t>
  </si>
  <si>
    <t>Total</t>
  </si>
  <si>
    <t>TREPS</t>
  </si>
  <si>
    <t>Grand Total</t>
  </si>
  <si>
    <t>Margin on Derivatives</t>
  </si>
  <si>
    <t>Net Receivables / (Payables)</t>
  </si>
  <si>
    <t>Derivatives</t>
  </si>
  <si>
    <t>Long / Short</t>
  </si>
  <si>
    <t>Industry Classification</t>
  </si>
  <si>
    <t>Market/Fair Value (Rs. in Lakhs)</t>
  </si>
  <si>
    <t xml:space="preserve">% to Net Assets </t>
  </si>
  <si>
    <t>NIFTY 30-JUN-26 FUT</t>
  </si>
  <si>
    <t>Long</t>
  </si>
  <si>
    <t>Index</t>
  </si>
  <si>
    <t>Notes</t>
  </si>
  <si>
    <t xml:space="preserve">Scheme Risk-O-Meter </t>
  </si>
  <si>
    <t>** Non Traded Security</t>
  </si>
  <si>
    <t>Nil</t>
  </si>
  <si>
    <t>Hindustan Unilever Ltd</t>
  </si>
  <si>
    <t>INE030A01027</t>
  </si>
  <si>
    <t>Hindalco Industries Ltd</t>
  </si>
  <si>
    <t>INE038A01020</t>
  </si>
  <si>
    <t>Bharat Electronics Ltd</t>
  </si>
  <si>
    <t>INE263A01024</t>
  </si>
  <si>
    <t>Aerospace &amp; Defense</t>
  </si>
  <si>
    <t>Adani Ports and Special Economic Zone Ltd</t>
  </si>
  <si>
    <t>INE742F01042</t>
  </si>
  <si>
    <t>Transport Infrastructure</t>
  </si>
  <si>
    <t>HCL Technologies Ltd</t>
  </si>
  <si>
    <t>INE860A01027</t>
  </si>
  <si>
    <t>Grasim Industries Ltd</t>
  </si>
  <si>
    <t>INE047A01021</t>
  </si>
  <si>
    <t>Bajaj Auto Ltd</t>
  </si>
  <si>
    <t>INE917I01010</t>
  </si>
  <si>
    <t>Coal India Ltd</t>
  </si>
  <si>
    <t>INE522F01014</t>
  </si>
  <si>
    <t>Consumable Fuels</t>
  </si>
  <si>
    <t>Bajaj Finserv Ltd</t>
  </si>
  <si>
    <t>INE918I01026</t>
  </si>
  <si>
    <t>Trent Ltd</t>
  </si>
  <si>
    <t>INE849A01020</t>
  </si>
  <si>
    <t>Apollo Hospitals Enterprise Ltd</t>
  </si>
  <si>
    <t>INE437A01024</t>
  </si>
  <si>
    <t>Healthcare Services</t>
  </si>
  <si>
    <t>Tata Motors Passenger Vehicles Ltd</t>
  </si>
  <si>
    <t>INE155A01022</t>
  </si>
  <si>
    <t>Cipla Ltd</t>
  </si>
  <si>
    <t>INE059A01026</t>
  </si>
  <si>
    <t>Jio Financial Services Ltd</t>
  </si>
  <si>
    <t>INE758E01017</t>
  </si>
  <si>
    <t>Tata Consumer Products Ltd</t>
  </si>
  <si>
    <t>INE192A01025</t>
  </si>
  <si>
    <t>Agricultural Food &amp; Other Products</t>
  </si>
  <si>
    <t>Max Healthcare Institute Ltd</t>
  </si>
  <si>
    <t>INE027H01010</t>
  </si>
  <si>
    <t>HDFC Life Insurance Co Ltd</t>
  </si>
  <si>
    <t>INE795G01014</t>
  </si>
  <si>
    <t>Wipro Ltd</t>
  </si>
  <si>
    <t>INE075A01022</t>
  </si>
  <si>
    <t>Adani Power Ltd</t>
  </si>
  <si>
    <t>INE814H01029</t>
  </si>
  <si>
    <t>Divi's Laboratories Ltd</t>
  </si>
  <si>
    <t>INE361B01024</t>
  </si>
  <si>
    <t>Hindustan Aeronautics Ltd</t>
  </si>
  <si>
    <t>INE066F01020</t>
  </si>
  <si>
    <t>Cummins India Ltd</t>
  </si>
  <si>
    <t>INE298A01020</t>
  </si>
  <si>
    <t>Industrial Products</t>
  </si>
  <si>
    <t>TVS Motor Co Ltd</t>
  </si>
  <si>
    <t>INE494B01023</t>
  </si>
  <si>
    <t>Varun Beverages Ltd</t>
  </si>
  <si>
    <t>INE200M01039</t>
  </si>
  <si>
    <t>Tata Power Co Ltd</t>
  </si>
  <si>
    <t>INE245A01021</t>
  </si>
  <si>
    <t>Cholamandalam Investment and Finance Co Ltd</t>
  </si>
  <si>
    <t>INE121A01024</t>
  </si>
  <si>
    <t>CG Power and Industrial Solutions Ltd</t>
  </si>
  <si>
    <t>INE067A01029</t>
  </si>
  <si>
    <t>Power Finance Corporation Ltd</t>
  </si>
  <si>
    <t>INE134E01011</t>
  </si>
  <si>
    <t>Avenue Supermarts Ltd</t>
  </si>
  <si>
    <t>INE192R01011</t>
  </si>
  <si>
    <t>Indian Hotels Co Ltd</t>
  </si>
  <si>
    <t>INE053A01029</t>
  </si>
  <si>
    <t>Leisure Services</t>
  </si>
  <si>
    <t>HDFC Asset Management Co Ltd</t>
  </si>
  <si>
    <t>INE127D01025</t>
  </si>
  <si>
    <t>Adani Energy Solutions Ltd</t>
  </si>
  <si>
    <t>INE931S01010</t>
  </si>
  <si>
    <t>Bank of Baroda</t>
  </si>
  <si>
    <t>INE028A01039</t>
  </si>
  <si>
    <t>Adani Green Energy Ltd</t>
  </si>
  <si>
    <t>INE364U01010</t>
  </si>
  <si>
    <t>Torrent Pharmaceuticals Ltd</t>
  </si>
  <si>
    <t>INE685A01028</t>
  </si>
  <si>
    <t>Pidilite Industries Ltd</t>
  </si>
  <si>
    <t>INE318A01026</t>
  </si>
  <si>
    <t>Chemicals &amp; Petrochemicals</t>
  </si>
  <si>
    <t>Bajaj Holdings &amp; Investment Ltd</t>
  </si>
  <si>
    <t>INE118A01012</t>
  </si>
  <si>
    <t>Jindal Steel Ltd</t>
  </si>
  <si>
    <t>INE749A01030</t>
  </si>
  <si>
    <t>Solar Industries India Ltd</t>
  </si>
  <si>
    <t>INE343H01029</t>
  </si>
  <si>
    <t>GAIL (India) Ltd</t>
  </si>
  <si>
    <t>INE129A01019</t>
  </si>
  <si>
    <t>Gas</t>
  </si>
  <si>
    <t>Canara Bank</t>
  </si>
  <si>
    <t>INE476A01022</t>
  </si>
  <si>
    <t>REC Ltd</t>
  </si>
  <si>
    <t>INE020B01018</t>
  </si>
  <si>
    <t>Godrej Consumer Products Ltd</t>
  </si>
  <si>
    <t>INE102D01028</t>
  </si>
  <si>
    <t>Personal Products</t>
  </si>
  <si>
    <t>ABB India Ltd</t>
  </si>
  <si>
    <t>INE117A01022</t>
  </si>
  <si>
    <t>DLF Ltd</t>
  </si>
  <si>
    <t>INE271C01023</t>
  </si>
  <si>
    <t>Realty</t>
  </si>
  <si>
    <t>Punjab National Bank</t>
  </si>
  <si>
    <t>INE160A01022</t>
  </si>
  <si>
    <t>Muthoot Finance Ltd</t>
  </si>
  <si>
    <t>INE414G01012</t>
  </si>
  <si>
    <t>Siemens Energy India ltd</t>
  </si>
  <si>
    <t>INE1NPP01017</t>
  </si>
  <si>
    <t>Siemens Ltd</t>
  </si>
  <si>
    <t>INE003A01024</t>
  </si>
  <si>
    <t>Shree Cement Ltd</t>
  </si>
  <si>
    <t>INE070A01015</t>
  </si>
  <si>
    <t>Union Bank Of India</t>
  </si>
  <si>
    <t>INE692A01016</t>
  </si>
  <si>
    <t>Bosch Ltd</t>
  </si>
  <si>
    <t>INE323A01026</t>
  </si>
  <si>
    <t>Hindustan Zinc Ltd</t>
  </si>
  <si>
    <t>INE267A01025</t>
  </si>
  <si>
    <t>Hyundai Motor India Ltd</t>
  </si>
  <si>
    <t>INE0V6F01027</t>
  </si>
  <si>
    <t>Ambuja Cements Ltd</t>
  </si>
  <si>
    <t>INE079A01024</t>
  </si>
  <si>
    <t>Zydus Lifesciences Ltd</t>
  </si>
  <si>
    <t>INE010B01027</t>
  </si>
  <si>
    <t>Lodha Developers Ltd</t>
  </si>
  <si>
    <t>INE670K01029</t>
  </si>
  <si>
    <t>Indian Railway Finance Corporation Ltd</t>
  </si>
  <si>
    <t>INE053F01010</t>
  </si>
  <si>
    <t>Mazagon Dock Shipbuilders Ltd</t>
  </si>
  <si>
    <t>INE249Z01020</t>
  </si>
  <si>
    <t>Industrial Manufacturing</t>
  </si>
  <si>
    <t>Tata Capital Ltd</t>
  </si>
  <si>
    <t>INE976I01016</t>
  </si>
  <si>
    <t>BSE Ltd</t>
  </si>
  <si>
    <t>INE118H01025</t>
  </si>
  <si>
    <t>Suzlon Energy Ltd</t>
  </si>
  <si>
    <t>INE040H01021</t>
  </si>
  <si>
    <t>Ge Vernova T&amp;D India Ltd</t>
  </si>
  <si>
    <t>INE200A01026</t>
  </si>
  <si>
    <t>IndusInd Bank Ltd</t>
  </si>
  <si>
    <t>INE095A01012</t>
  </si>
  <si>
    <t>PB Fintech Ltd</t>
  </si>
  <si>
    <t>INE417T01026</t>
  </si>
  <si>
    <t>Financial Technology (Fintech)</t>
  </si>
  <si>
    <t>Indus Towers Ltd</t>
  </si>
  <si>
    <t>INE121J01017</t>
  </si>
  <si>
    <t>Persistent Systems Ltd</t>
  </si>
  <si>
    <t>INE262H01021</t>
  </si>
  <si>
    <t>AU Small Finance Bank Ltd</t>
  </si>
  <si>
    <t>INE949L01017</t>
  </si>
  <si>
    <t>Bharat Forge Ltd</t>
  </si>
  <si>
    <t>INE465A01025</t>
  </si>
  <si>
    <t>Polycab India Ltd</t>
  </si>
  <si>
    <t>INE455K01017</t>
  </si>
  <si>
    <t>Coforge Ltd</t>
  </si>
  <si>
    <t>INE591G01025</t>
  </si>
  <si>
    <t>Hitachi Energy India Ltd</t>
  </si>
  <si>
    <t>INE07Y701011</t>
  </si>
  <si>
    <t>Fortis Healthcare Ltd</t>
  </si>
  <si>
    <t>INE061F01013</t>
  </si>
  <si>
    <t>IDFC First Bank Ltd</t>
  </si>
  <si>
    <t>INE092T01019</t>
  </si>
  <si>
    <t>One 97 Communications Ltd</t>
  </si>
  <si>
    <t>INE982J01020</t>
  </si>
  <si>
    <t>Marico Ltd</t>
  </si>
  <si>
    <t>INE196A01026</t>
  </si>
  <si>
    <t>Aurobindo Pharma Ltd</t>
  </si>
  <si>
    <t>INE406A01037</t>
  </si>
  <si>
    <t>SRF Ltd</t>
  </si>
  <si>
    <t>INE647A01010</t>
  </si>
  <si>
    <t>Vodafone Idea Ltd</t>
  </si>
  <si>
    <t>INE669E01016</t>
  </si>
  <si>
    <t>National Aluminium Co Ltd</t>
  </si>
  <si>
    <t>INE139A01034</t>
  </si>
  <si>
    <t>Info Edge (India) Ltd</t>
  </si>
  <si>
    <t>INE663F01032</t>
  </si>
  <si>
    <t>UPL Ltd</t>
  </si>
  <si>
    <t>INE628A01036</t>
  </si>
  <si>
    <t>Fertilizers &amp; Agrochemicals</t>
  </si>
  <si>
    <t>FSN E-Commerce Ventures Ltd</t>
  </si>
  <si>
    <t>INE388Y01029</t>
  </si>
  <si>
    <t>GMR Airports Ltd</t>
  </si>
  <si>
    <t>INE776C01039</t>
  </si>
  <si>
    <t>Swiggy Ltd</t>
  </si>
  <si>
    <t>INE00H001014</t>
  </si>
  <si>
    <t>Glenmark Pharmaceuticals Ltd</t>
  </si>
  <si>
    <t>INE935A01035</t>
  </si>
  <si>
    <t>Tube Investments of India Ltd</t>
  </si>
  <si>
    <t>INE974X01010</t>
  </si>
  <si>
    <t>APL Apollo Tubes Ltd</t>
  </si>
  <si>
    <t>INE702C01027</t>
  </si>
  <si>
    <t>Phoenix Mills Ltd</t>
  </si>
  <si>
    <t>INE211B01039</t>
  </si>
  <si>
    <t>KEI Industries Ltd</t>
  </si>
  <si>
    <t>INE878B01027</t>
  </si>
  <si>
    <t>Alkem Laboratories Ltd</t>
  </si>
  <si>
    <t>INE540L01014</t>
  </si>
  <si>
    <t>JSW Energy Ltd</t>
  </si>
  <si>
    <t>INE121E01018</t>
  </si>
  <si>
    <t>Biocon Ltd</t>
  </si>
  <si>
    <t>INE376G01013</t>
  </si>
  <si>
    <t>NMDC Ltd</t>
  </si>
  <si>
    <t>INE584A01023</t>
  </si>
  <si>
    <t>Minerals &amp; Mining</t>
  </si>
  <si>
    <t>Waaree Energies Ltd</t>
  </si>
  <si>
    <t>INE377N01017</t>
  </si>
  <si>
    <t>Mphasis Ltd</t>
  </si>
  <si>
    <t>INE356A01018</t>
  </si>
  <si>
    <t>Aditya Birla Capital Ltd</t>
  </si>
  <si>
    <t>INE674K01013</t>
  </si>
  <si>
    <t>Havells India Ltd</t>
  </si>
  <si>
    <t>INE176B01034</t>
  </si>
  <si>
    <t>Indian Bank</t>
  </si>
  <si>
    <t>INE562A01011</t>
  </si>
  <si>
    <t>Sundaram Finance Ltd</t>
  </si>
  <si>
    <t>INE660A01013</t>
  </si>
  <si>
    <t>360 One Wam Ltd</t>
  </si>
  <si>
    <t>INE466L01038</t>
  </si>
  <si>
    <t>Voltas Ltd</t>
  </si>
  <si>
    <t>INE226A01021</t>
  </si>
  <si>
    <t>Colgate Palmolive (India) Ltd</t>
  </si>
  <si>
    <t>INE259A01022</t>
  </si>
  <si>
    <t>Torrent Power Ltd</t>
  </si>
  <si>
    <t>INE813H01021</t>
  </si>
  <si>
    <t>Mankind Pharma Ltd</t>
  </si>
  <si>
    <t>INE634S01028</t>
  </si>
  <si>
    <t>Godrej Properties Ltd</t>
  </si>
  <si>
    <t>INE484J01027</t>
  </si>
  <si>
    <t>Dabur India Ltd</t>
  </si>
  <si>
    <t>INE016A01026</t>
  </si>
  <si>
    <t>Oil India Ltd</t>
  </si>
  <si>
    <t>INE274J01014</t>
  </si>
  <si>
    <t>Vishal Mega Mart Ltd</t>
  </si>
  <si>
    <t>INE01EA01019</t>
  </si>
  <si>
    <t>MRF Ltd</t>
  </si>
  <si>
    <t>INE883A01011</t>
  </si>
  <si>
    <t>NHPC Ltd</t>
  </si>
  <si>
    <t>INE848E01016</t>
  </si>
  <si>
    <t>L&amp;T Finance Ltd</t>
  </si>
  <si>
    <t>INE498L01015</t>
  </si>
  <si>
    <t>Oracle Financial Services Software Ltd</t>
  </si>
  <si>
    <t>INE881D01027</t>
  </si>
  <si>
    <t>Prestige Estates Projects Ltd</t>
  </si>
  <si>
    <t>INE811K01011</t>
  </si>
  <si>
    <t>Tata Communications Ltd</t>
  </si>
  <si>
    <t>INE151A01013</t>
  </si>
  <si>
    <t>Supreme Industries Ltd</t>
  </si>
  <si>
    <t>INE195A01028</t>
  </si>
  <si>
    <t>Lloyds Metals And Energy Ltd</t>
  </si>
  <si>
    <t>INE281B01032</t>
  </si>
  <si>
    <t>PI Industries Ltd</t>
  </si>
  <si>
    <t>INE603J01030</t>
  </si>
  <si>
    <t>Apar Industries Ltd</t>
  </si>
  <si>
    <t>INE372A01015</t>
  </si>
  <si>
    <t>Jindal Stainless Ltd</t>
  </si>
  <si>
    <t>INE220G01021</t>
  </si>
  <si>
    <t>J.K. Cement Ltd</t>
  </si>
  <si>
    <t>INE823G01014</t>
  </si>
  <si>
    <t>Adani Total Gas Ltd</t>
  </si>
  <si>
    <t>INE399L01023</t>
  </si>
  <si>
    <t>Coromandel International Ltd</t>
  </si>
  <si>
    <t>INE169A01031</t>
  </si>
  <si>
    <t>Blue Star Ltd</t>
  </si>
  <si>
    <t>INE472A01039</t>
  </si>
  <si>
    <t>Petronet LNG Ltd</t>
  </si>
  <si>
    <t>INE347G01014</t>
  </si>
  <si>
    <t>Oberoi Realty Ltd</t>
  </si>
  <si>
    <t>INE093I01010</t>
  </si>
  <si>
    <t>Uno Minda Ltd</t>
  </si>
  <si>
    <t>INE405E01023</t>
  </si>
  <si>
    <t>Astral Ltd</t>
  </si>
  <si>
    <t>INE006I01046</t>
  </si>
  <si>
    <t>Thermax Ltd</t>
  </si>
  <si>
    <t>INE152A01029</t>
  </si>
  <si>
    <t>SBI Cards and Payment Services Ltd</t>
  </si>
  <si>
    <t>INE018E01016</t>
  </si>
  <si>
    <t>Balkrishna Industries Ltd</t>
  </si>
  <si>
    <t>INE787D01026</t>
  </si>
  <si>
    <t>Exide Industries Ltd</t>
  </si>
  <si>
    <t>INE302A01020</t>
  </si>
  <si>
    <t>AIA Engineering Ltd</t>
  </si>
  <si>
    <t>INE212H01026</t>
  </si>
  <si>
    <t>ITC Hotels Ltd</t>
  </si>
  <si>
    <t>INE379A01028</t>
  </si>
  <si>
    <t>Bank of India</t>
  </si>
  <si>
    <t>INE084A01016</t>
  </si>
  <si>
    <t>Jubilant Foodworks Ltd</t>
  </si>
  <si>
    <t>INE797F01020</t>
  </si>
  <si>
    <t>Bank Of Maharashtra</t>
  </si>
  <si>
    <t>INE457A01014</t>
  </si>
  <si>
    <t>LIC Housing Finance Ltd</t>
  </si>
  <si>
    <t>INE115A01026</t>
  </si>
  <si>
    <t>Container Corporation Of India Ltd</t>
  </si>
  <si>
    <t>INE111A01025</t>
  </si>
  <si>
    <t>Patanjali Foods Ltd</t>
  </si>
  <si>
    <t>INE619A01035</t>
  </si>
  <si>
    <t>Agricultural Food &amp; other Products</t>
  </si>
  <si>
    <t>Indian Railway Catering And Tourism Corporation Ltd</t>
  </si>
  <si>
    <t>INE335Y01020</t>
  </si>
  <si>
    <t>Gujarat Fluorochemicals Ltd</t>
  </si>
  <si>
    <t>INE09N301011</t>
  </si>
  <si>
    <t>Linde India Ltd</t>
  </si>
  <si>
    <t>INE473A01011</t>
  </si>
  <si>
    <t>Berger Paints India Ltd</t>
  </si>
  <si>
    <t>INE463A01038</t>
  </si>
  <si>
    <t>Abbott India Ltd</t>
  </si>
  <si>
    <t>INE358A01014</t>
  </si>
  <si>
    <t>Rail Vikas Nigam Ltd</t>
  </si>
  <si>
    <t>INE415G01027</t>
  </si>
  <si>
    <t>Dalmia Bharat Ltd</t>
  </si>
  <si>
    <t>INE00R701025</t>
  </si>
  <si>
    <t>Motilal Oswal Financial Services Ltd</t>
  </si>
  <si>
    <t>INE338I01027</t>
  </si>
  <si>
    <t>Authum Investment &amp; Infrastructure Ltd</t>
  </si>
  <si>
    <t>INE206F01022</t>
  </si>
  <si>
    <t>Cochin Shipyard Ltd</t>
  </si>
  <si>
    <t>INE704P01025</t>
  </si>
  <si>
    <t>Premier Energies Ltd</t>
  </si>
  <si>
    <t>INE0BS701011</t>
  </si>
  <si>
    <t>Ajanta Pharma Ltd</t>
  </si>
  <si>
    <t>INE031B01049</t>
  </si>
  <si>
    <t>Bharti Hexacom Ltd</t>
  </si>
  <si>
    <t>INE343G01021</t>
  </si>
  <si>
    <t>Bharat Dynamics Ltd</t>
  </si>
  <si>
    <t>INE171Z01026</t>
  </si>
  <si>
    <t>Awl Agri Business Ltd</t>
  </si>
  <si>
    <t>INE699H01024</t>
  </si>
  <si>
    <t>United Breweries Ltd</t>
  </si>
  <si>
    <t>INE686F01025</t>
  </si>
  <si>
    <t>IT - Services</t>
  </si>
  <si>
    <t>Godfrey Phillips India Ltd</t>
  </si>
  <si>
    <t>INE260B01028</t>
  </si>
  <si>
    <t>Cigarettes &amp; Tobacco Products</t>
  </si>
  <si>
    <t>Glaxosmithkline Pharmaceuticals Ltd</t>
  </si>
  <si>
    <t>INE159A01016</t>
  </si>
  <si>
    <t>JSW Infrastructure Ltd</t>
  </si>
  <si>
    <t>INE880J01026</t>
  </si>
  <si>
    <t>Honeywell Automation India Ltd</t>
  </si>
  <si>
    <t>INE671A01010</t>
  </si>
  <si>
    <t>Karur Vysya Bank Ltd</t>
  </si>
  <si>
    <t>INE036D01028</t>
  </si>
  <si>
    <t>Sona Blw Precision Forgings Ltd</t>
  </si>
  <si>
    <t>INE073K01018</t>
  </si>
  <si>
    <t>Navin Fluorine International Ltd</t>
  </si>
  <si>
    <t>INE048G01026</t>
  </si>
  <si>
    <t>Delhivery Ltd</t>
  </si>
  <si>
    <t>INE148O01028</t>
  </si>
  <si>
    <t>Piramal Finance Ltd</t>
  </si>
  <si>
    <t>INE202B01038</t>
  </si>
  <si>
    <t>Central Depository Services (India) Ltd</t>
  </si>
  <si>
    <t>INE736A01011</t>
  </si>
  <si>
    <t>Angel One Ltd</t>
  </si>
  <si>
    <t>INE732I01021</t>
  </si>
  <si>
    <t>RBL Bank Ltd</t>
  </si>
  <si>
    <t>INE976G01028</t>
  </si>
  <si>
    <t>PNB Housing Finance Ltd</t>
  </si>
  <si>
    <t>INE572E01012</t>
  </si>
  <si>
    <t>Computer Age Management Services Ltd</t>
  </si>
  <si>
    <t>INE596I01020</t>
  </si>
  <si>
    <t>Krishna Institute Of Medical Sciences Ltd</t>
  </si>
  <si>
    <t>INE967H01025</t>
  </si>
  <si>
    <t>Bandhan Bank Ltd</t>
  </si>
  <si>
    <t>INE545U01014</t>
  </si>
  <si>
    <t>City Union Bank Ltd</t>
  </si>
  <si>
    <t>INE491A01021</t>
  </si>
  <si>
    <t>Aster DM Healthcare Ltd</t>
  </si>
  <si>
    <t>INE914M01019</t>
  </si>
  <si>
    <t>HFCL Ltd</t>
  </si>
  <si>
    <t>INE548A01028</t>
  </si>
  <si>
    <t>Ather Energy Ltd</t>
  </si>
  <si>
    <t>INE0LEZ01016</t>
  </si>
  <si>
    <t>Welspun Corp Ltd</t>
  </si>
  <si>
    <t>INE191B01025</t>
  </si>
  <si>
    <t>Gland Pharma Ltd</t>
  </si>
  <si>
    <t>INE068V01023</t>
  </si>
  <si>
    <t>Manappuram Finance Ltd</t>
  </si>
  <si>
    <t>INE522D01027</t>
  </si>
  <si>
    <t>J.B. Chemicals &amp; Pharmaceuticals Ltd</t>
  </si>
  <si>
    <t>INE572A01036</t>
  </si>
  <si>
    <t>Hindustan Copper Ltd</t>
  </si>
  <si>
    <t>INE531E01026</t>
  </si>
  <si>
    <t>Wockhardt Ltd</t>
  </si>
  <si>
    <t>INE049B01025</t>
  </si>
  <si>
    <t>Acutaas Chemicals Ltd</t>
  </si>
  <si>
    <t>INE00FF01025</t>
  </si>
  <si>
    <t>Kirloskar Oil Engines Ltd</t>
  </si>
  <si>
    <t>INE146L01010</t>
  </si>
  <si>
    <t>Sai Life Sciences Ltd</t>
  </si>
  <si>
    <t>INE570L01029</t>
  </si>
  <si>
    <t>Cholamandalam Financial Holdings Ltd</t>
  </si>
  <si>
    <t>INE149A01033</t>
  </si>
  <si>
    <t>Kalpataru Projects International Ltd</t>
  </si>
  <si>
    <t>INE220B01022</t>
  </si>
  <si>
    <t>Neuland Laboratories Ltd</t>
  </si>
  <si>
    <t>INE794A01010</t>
  </si>
  <si>
    <t>Anand Rathi Wealth Ltd</t>
  </si>
  <si>
    <t>INE463V01026</t>
  </si>
  <si>
    <t>Himadri Speciality Chemical Ltd</t>
  </si>
  <si>
    <t>INE019C01026</t>
  </si>
  <si>
    <t>Great Eastern Shipping Co Ltd</t>
  </si>
  <si>
    <t>INE017A01032</t>
  </si>
  <si>
    <t>Poonawalla Fincorp Ltd</t>
  </si>
  <si>
    <t>INE511C01022</t>
  </si>
  <si>
    <t>Sammaan Capital Ltd</t>
  </si>
  <si>
    <t>INE148I01020</t>
  </si>
  <si>
    <t>Redington Ltd</t>
  </si>
  <si>
    <t>INE891D01026</t>
  </si>
  <si>
    <t>Commercial Services &amp; Supplies</t>
  </si>
  <si>
    <t>Narayana Hrudayalaya Ltd</t>
  </si>
  <si>
    <t>INE410P01011</t>
  </si>
  <si>
    <t>Timken India Ltd</t>
  </si>
  <si>
    <t>INE325A01013</t>
  </si>
  <si>
    <t>Dr. Lal Path Labs Ltd</t>
  </si>
  <si>
    <t>INE600L01024</t>
  </si>
  <si>
    <t>Elgi Equipments Ltd</t>
  </si>
  <si>
    <t>INE285A01027</t>
  </si>
  <si>
    <t>Data Patterns India Ltd</t>
  </si>
  <si>
    <t>INE0IX101010</t>
  </si>
  <si>
    <t>Carborundum Universal Ltd</t>
  </si>
  <si>
    <t>INE120A01034</t>
  </si>
  <si>
    <t>Tata Chemicals Ltd</t>
  </si>
  <si>
    <t>INE092A01019</t>
  </si>
  <si>
    <t>Deepak Nitrite Ltd</t>
  </si>
  <si>
    <t>INE288B01029</t>
  </si>
  <si>
    <t>Granules India Ltd</t>
  </si>
  <si>
    <t>INE101D01020</t>
  </si>
  <si>
    <t>Craftsman Automation Ltd</t>
  </si>
  <si>
    <t>INE00LO01017</t>
  </si>
  <si>
    <t>ZF Commercial Vehicle Control Systems India Ltd</t>
  </si>
  <si>
    <t>INE342J01019</t>
  </si>
  <si>
    <t>The Ramco Cements Ltd</t>
  </si>
  <si>
    <t>INE331A01037</t>
  </si>
  <si>
    <t>Atul Ltd</t>
  </si>
  <si>
    <t>INE100A01010</t>
  </si>
  <si>
    <t>Amara Raja Energy And Mobility Ltd</t>
  </si>
  <si>
    <t>INE885A01032</t>
  </si>
  <si>
    <t>Piramal Pharma Ltd</t>
  </si>
  <si>
    <t>INE0DK501011</t>
  </si>
  <si>
    <t>Onesource Specialty Pharma Ltd</t>
  </si>
  <si>
    <t>INE013P01021</t>
  </si>
  <si>
    <t>PTC Industries Ltd</t>
  </si>
  <si>
    <t>INE596F01018</t>
  </si>
  <si>
    <t>Kaynes Technology India Ltd</t>
  </si>
  <si>
    <t>INE918Z01012</t>
  </si>
  <si>
    <t>Aarti Industries Ltd</t>
  </si>
  <si>
    <t>INE769A01020</t>
  </si>
  <si>
    <t>Deepak Fertilizers and Petrochemicals Corporation Ltd</t>
  </si>
  <si>
    <t>INE501A01019</t>
  </si>
  <si>
    <t>Aegis Logistics Ltd</t>
  </si>
  <si>
    <t>INE208C01025</t>
  </si>
  <si>
    <t>Natco Pharma Ltd</t>
  </si>
  <si>
    <t>INE987B01026</t>
  </si>
  <si>
    <t>Brigade Enterprises Ltd</t>
  </si>
  <si>
    <t>INE791I01019</t>
  </si>
  <si>
    <t>Syngene International Ltd</t>
  </si>
  <si>
    <t>INE398R01022</t>
  </si>
  <si>
    <t>Syrma SGS Technology Ltd</t>
  </si>
  <si>
    <t>INE0DYJ01015</t>
  </si>
  <si>
    <t>Jubilant Pharmova Ltd</t>
  </si>
  <si>
    <t>INE700A01033</t>
  </si>
  <si>
    <t>PG Electroplast Ltd</t>
  </si>
  <si>
    <t>INE457L01029</t>
  </si>
  <si>
    <t>Netweb Technologies India Ltd</t>
  </si>
  <si>
    <t>INE0NT901020</t>
  </si>
  <si>
    <t>Eris Lifesciences Ltd</t>
  </si>
  <si>
    <t>INE406M01024</t>
  </si>
  <si>
    <t>CCL Products (India) Ltd</t>
  </si>
  <si>
    <t>INE421D01022</t>
  </si>
  <si>
    <t>CarTrade Tech Ltd</t>
  </si>
  <si>
    <t>INE290S01011</t>
  </si>
  <si>
    <t>Balrampur Chini Mills Ltd</t>
  </si>
  <si>
    <t>INE119A01028</t>
  </si>
  <si>
    <t>Aditya Infotech Ltd</t>
  </si>
  <si>
    <t>INE819V01029</t>
  </si>
  <si>
    <t>Shipping Corporation of India Ltd</t>
  </si>
  <si>
    <t>INE109A01011</t>
  </si>
  <si>
    <t>Tejas Networks Ltd</t>
  </si>
  <si>
    <t>INE010J01012</t>
  </si>
  <si>
    <t>Telecom - Equipment &amp; Accessories</t>
  </si>
  <si>
    <t>Benchmark Risk-O-Meter</t>
  </si>
  <si>
    <t>Benchmark Name - Nifty 500 Index (TRI)</t>
  </si>
  <si>
    <t>-</t>
  </si>
  <si>
    <t>(1) There is no security which is in default beyond its maturity/ interest payment date.</t>
  </si>
  <si>
    <t>Plan/ Option</t>
  </si>
  <si>
    <t>As on April 30, 2026</t>
  </si>
  <si>
    <t>Direct Plan - Growth Option</t>
  </si>
  <si>
    <t>(2) Aggregate value of illiquid equity shares of the fund amounts to Rs. Nil and their percentage to net asset value is Nil.</t>
  </si>
  <si>
    <t>(3) Plan/ Option wise per unit net asset value are as follows:</t>
  </si>
  <si>
    <t>Underlying</t>
  </si>
  <si>
    <t>Long/Short</t>
  </si>
  <si>
    <t>Futures Price When purchased</t>
  </si>
  <si>
    <t>Current price of the contract</t>
  </si>
  <si>
    <t>Margin maintained
in Rs. Lakhs</t>
  </si>
  <si>
    <t>Number of contracts bought</t>
  </si>
  <si>
    <t>Number of contracts Sold</t>
  </si>
  <si>
    <t>Gross Notional Value of contracts where futures were bought  in Rs. Lakhs</t>
  </si>
  <si>
    <t>Gross Notional Value of contracts where futures were  sold in Rs. Lakhs</t>
  </si>
  <si>
    <t>Net Profit/Loss value on all contracts in Rs. Lakhs</t>
  </si>
  <si>
    <t xml:space="preserve">     </t>
  </si>
  <si>
    <t>Number of Contracts</t>
  </si>
  <si>
    <t>Option Price when purchased</t>
  </si>
  <si>
    <t>Current Option Price</t>
  </si>
  <si>
    <t>Total percentage of existing assets hedged through put options: Nil</t>
  </si>
  <si>
    <t>Number of contracts entered</t>
  </si>
  <si>
    <t>Gross Notional Value of contracts in Rs. Lakhs</t>
  </si>
  <si>
    <t>Net profit/ (loss) on all contracts (premium paid treated as (loss))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</si>
  <si>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</si>
  <si>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</si>
  <si>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</si>
  <si>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</si>
  <si>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</si>
  <si>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Total percentage of existing assets hedged through futures:Nil</t>
  </si>
  <si>
    <t>(5) Exposure to Derivative Instruments as on May 31, 2026:</t>
  </si>
  <si>
    <t>a)  Hedging positions through futures as on May 31, 2026 is :</t>
  </si>
  <si>
    <t>For the Month ended May 31, 2026 following were the hedging transactions through futures which have been squared off/expired:</t>
  </si>
  <si>
    <t>b) Other than Hedging Positions through Futures as on May 31, 2026 is :</t>
  </si>
  <si>
    <t>For the Month ended May 31, 2026 following were the non-hedging transactions through futures which have been squared off/expired:</t>
  </si>
  <si>
    <t>c) Hedging positions through Put options as on May 31, 2026</t>
  </si>
  <si>
    <t>For the Month ended May 31, 2026, following details specified for hedging transactions through Put options which have already been exercised/ expired:</t>
  </si>
  <si>
    <t>d) Other than hedging positions through options as on May 31, 2026</t>
  </si>
  <si>
    <t>For the period ended May 31, 2026, following details specified for non-hedging transactions through options which have already been exercised/ expired:</t>
  </si>
  <si>
    <t>e) Hedging positions through Swaps as on May 31, 2026  - Nil</t>
  </si>
  <si>
    <t>(6) Total market value of investments in foreign securities/ American Depository Receipts/ Global Depository Receipts as at May 31, 2026 is Rs. Nil.</t>
  </si>
  <si>
    <t>(8) Repo transactions in corporate debt securities as on May 31, 2026 is Rs. Nil.</t>
  </si>
  <si>
    <t>As on May 29, 2026</t>
  </si>
  <si>
    <t>(4) There was no distribution (of income and capital) during the Month ended May 31, 2026.</t>
  </si>
  <si>
    <t>Total exposure due to futures (non hedging positions) as a percentage of net assets: 0.21%.</t>
  </si>
  <si>
    <t>(7) During the period, the portfolio turnover ratio is 0.42 times.</t>
  </si>
  <si>
    <t>Vedanta Aluminium Metal Ltd **</t>
  </si>
  <si>
    <t>Talwandi Sabo Power Ltd **</t>
  </si>
  <si>
    <t>Malco Energy Ltd **</t>
  </si>
  <si>
    <t>Vedanta Iron And Steel Ltd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</si>
</sst>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0%"/>
    <numFmt numFmtId="165" formatCode="#,##0;\(#,##0.\)"/>
    <numFmt numFmtId="168" formatCode="_(* #,##0.00_);_(* \(#,##0.00\);_(* &quot;-&quot;??_);_(@_)"/>
    <numFmt numFmtId="169" formatCode="#,##0.0000_ ;\-#,##0.0000\ "/>
  </numFmts>
  <fonts count="15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8"/>
      <color rgb="FFFF000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112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 wrapText="1"/>
    </xf>
    <xf numFmtId="39" fontId="5" fillId="0" borderId="5" xfId="0" applyNumberFormat="1" applyFont="1" applyBorder="1" applyAlignment="1">
      <alignment horizontal="center" vertical="center" wrapText="1"/>
    </xf>
    <xf numFmtId="0" fontId="5" fillId="2" borderId="6" xfId="0" applyFont="1" applyFill="1" applyBorder="1"/>
    <xf numFmtId="0" fontId="6" fillId="2" borderId="6" xfId="0" applyFont="1" applyFill="1" applyBorder="1"/>
    <xf numFmtId="0" fontId="6" fillId="2" borderId="6" xfId="0" applyNumberFormat="1" applyFont="1" applyFill="1" applyBorder="1"/>
    <xf numFmtId="39" fontId="6" fillId="2" borderId="6" xfId="0" applyNumberFormat="1" applyFont="1" applyFill="1" applyBorder="1"/>
    <xf numFmtId="39" fontId="6" fillId="3" borderId="6" xfId="0" applyNumberFormat="1" applyFont="1" applyFill="1" applyBorder="1"/>
    <xf numFmtId="3" fontId="6" fillId="2" borderId="6" xfId="0" applyNumberFormat="1" applyFont="1" applyFill="1" applyBorder="1"/>
    <xf numFmtId="164" fontId="6" fillId="2" borderId="6" xfId="0" applyNumberFormat="1" applyFont="1" applyFill="1" applyBorder="1"/>
    <xf numFmtId="0" fontId="5" fillId="2" borderId="6" xfId="0" applyNumberFormat="1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39" fontId="5" fillId="2" borderId="6" xfId="0" applyNumberFormat="1" applyFont="1" applyFill="1" applyBorder="1" applyAlignment="1">
      <alignment horizontal="right"/>
    </xf>
    <xf numFmtId="39" fontId="5" fillId="3" borderId="6" xfId="0" applyNumberFormat="1" applyFont="1" applyFill="1" applyBorder="1" applyAlignment="1">
      <alignment horizontal="right"/>
    </xf>
    <xf numFmtId="39" fontId="5" fillId="2" borderId="8" xfId="0" applyNumberFormat="1" applyFont="1" applyFill="1" applyBorder="1" applyAlignment="1">
      <alignment horizontal="right"/>
    </xf>
    <xf numFmtId="39" fontId="5" fillId="3" borderId="8" xfId="0" applyNumberFormat="1" applyFont="1" applyFill="1" applyBorder="1" applyAlignment="1">
      <alignment horizontal="right"/>
    </xf>
    <xf numFmtId="0" fontId="5" fillId="2" borderId="9" xfId="0" applyFont="1" applyFill="1" applyBorder="1"/>
    <xf numFmtId="0" fontId="5" fillId="2" borderId="9" xfId="0" applyNumberFormat="1" applyFont="1" applyFill="1" applyBorder="1"/>
    <xf numFmtId="39" fontId="5" fillId="2" borderId="9" xfId="0" applyNumberFormat="1" applyFont="1" applyFill="1" applyBorder="1"/>
    <xf numFmtId="39" fontId="5" fillId="3" borderId="9" xfId="0" applyNumberFormat="1" applyFont="1" applyFill="1" applyBorder="1"/>
    <xf numFmtId="0" fontId="5" fillId="2" borderId="10" xfId="0" applyFont="1" applyFill="1" applyBorder="1"/>
    <xf numFmtId="0" fontId="5" fillId="2" borderId="10" xfId="0" applyNumberFormat="1" applyFont="1" applyFill="1" applyBorder="1"/>
    <xf numFmtId="39" fontId="5" fillId="2" borderId="10" xfId="0" applyNumberFormat="1" applyFont="1" applyFill="1" applyBorder="1"/>
    <xf numFmtId="39" fontId="5" fillId="3" borderId="10" xfId="0" applyNumberFormat="1" applyFont="1" applyFill="1" applyBorder="1"/>
    <xf numFmtId="0" fontId="5" fillId="2" borderId="11" xfId="0" applyFont="1" applyFill="1" applyBorder="1"/>
    <xf numFmtId="0" fontId="5" fillId="2" borderId="7" xfId="0" applyFont="1" applyFill="1" applyBorder="1"/>
    <xf numFmtId="0" fontId="5" fillId="2" borderId="7" xfId="0" applyNumberFormat="1" applyFont="1" applyFill="1" applyBorder="1"/>
    <xf numFmtId="0" fontId="5" fillId="2" borderId="1" xfId="0" applyFont="1" applyFill="1" applyBorder="1"/>
    <xf numFmtId="0" fontId="5" fillId="2" borderId="1" xfId="0" applyNumberFormat="1" applyFont="1" applyFill="1" applyBorder="1"/>
    <xf numFmtId="39" fontId="5" fillId="2" borderId="1" xfId="0" applyNumberFormat="1" applyFont="1" applyFill="1" applyBorder="1"/>
    <xf numFmtId="39" fontId="5" fillId="3" borderId="1" xfId="0" applyNumberFormat="1" applyFont="1" applyFill="1" applyBorder="1"/>
    <xf numFmtId="0" fontId="6" fillId="2" borderId="1" xfId="0" applyFont="1" applyFill="1" applyBorder="1"/>
    <xf numFmtId="165" fontId="6" fillId="2" borderId="1" xfId="0" applyNumberFormat="1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0" fontId="10" fillId="2" borderId="5" xfId="0" applyFont="1" applyFill="1" applyBorder="1"/>
    <xf numFmtId="0" fontId="9" fillId="2" borderId="0" xfId="1" applyFill="1"/>
    <xf numFmtId="39" fontId="6" fillId="3" borderId="0" xfId="0" applyNumberFormat="1" applyFont="1" applyFill="1"/>
    <xf numFmtId="0" fontId="5" fillId="3" borderId="0" xfId="0" applyFont="1" applyFill="1" applyAlignment="1">
      <alignment vertical="center"/>
    </xf>
    <xf numFmtId="0" fontId="5" fillId="3" borderId="0" xfId="0" applyFont="1" applyFill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10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5" fillId="2" borderId="10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5" fillId="2" borderId="10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0" fontId="11" fillId="3" borderId="0" xfId="0" applyFont="1" applyFill="1"/>
    <xf numFmtId="0" fontId="11" fillId="3" borderId="0" xfId="0" applyFont="1" applyFill="1" applyAlignment="1">
      <alignment horizontal="left"/>
    </xf>
    <xf numFmtId="43" fontId="11" fillId="3" borderId="0" xfId="2" applyFont="1" applyFill="1" applyAlignment="1">
      <alignment horizontal="justify" vertical="center"/>
    </xf>
    <xf numFmtId="2" fontId="11" fillId="3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justify" vertical="center"/>
    </xf>
    <xf numFmtId="43" fontId="11" fillId="0" borderId="11" xfId="2" applyFont="1" applyFill="1" applyBorder="1" applyAlignment="1">
      <alignment horizontal="left" vertical="center"/>
    </xf>
    <xf numFmtId="0" fontId="6" fillId="3" borderId="0" xfId="0" applyFont="1" applyFill="1"/>
    <xf numFmtId="0" fontId="3" fillId="3" borderId="0" xfId="0" applyFont="1" applyFill="1" applyAlignment="1">
      <alignment vertical="top"/>
    </xf>
    <xf numFmtId="169" fontId="13" fillId="3" borderId="0" xfId="0" applyNumberFormat="1" applyFont="1" applyFill="1" applyAlignment="1">
      <alignment horizontal="center" vertical="top"/>
    </xf>
    <xf numFmtId="0" fontId="13" fillId="3" borderId="0" xfId="0" applyFont="1" applyFill="1" applyAlignment="1">
      <alignment vertical="top"/>
    </xf>
    <xf numFmtId="0" fontId="14" fillId="3" borderId="0" xfId="0" applyFont="1" applyFill="1" applyAlignment="1">
      <alignment vertical="top"/>
    </xf>
    <xf numFmtId="0" fontId="11" fillId="3" borderId="0" xfId="0" applyFont="1" applyFill="1" applyAlignment="1">
      <alignment vertical="top"/>
    </xf>
    <xf numFmtId="169" fontId="11" fillId="3" borderId="0" xfId="0" applyNumberFormat="1" applyFont="1" applyFill="1" applyAlignment="1">
      <alignment horizontal="center" vertical="top"/>
    </xf>
    <xf numFmtId="3" fontId="11" fillId="3" borderId="0" xfId="0" applyNumberFormat="1" applyFont="1" applyFill="1" applyAlignment="1">
      <alignment horizontal="center" vertical="center"/>
    </xf>
    <xf numFmtId="3" fontId="11" fillId="3" borderId="0" xfId="0" applyNumberFormat="1" applyFont="1" applyFill="1" applyAlignment="1">
      <alignment horizontal="left" vertical="center"/>
    </xf>
    <xf numFmtId="3" fontId="3" fillId="3" borderId="0" xfId="0" applyNumberFormat="1" applyFont="1" applyFill="1" applyAlignment="1">
      <alignment horizontal="left" vertical="center"/>
    </xf>
    <xf numFmtId="0" fontId="6" fillId="0" borderId="10" xfId="0" applyFont="1" applyFill="1" applyBorder="1" applyAlignment="1">
      <alignment horizontal="center" vertical="center"/>
    </xf>
    <xf numFmtId="39" fontId="6" fillId="0" borderId="6" xfId="0" applyNumberFormat="1" applyFont="1" applyFill="1" applyBorder="1"/>
    <xf numFmtId="0" fontId="5" fillId="0" borderId="10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justify" vertical="center"/>
    </xf>
    <xf numFmtId="43" fontId="11" fillId="0" borderId="11" xfId="2" applyFont="1" applyFill="1" applyBorder="1" applyAlignment="1">
      <alignment horizontal="justify" vertical="center"/>
    </xf>
    <xf numFmtId="43" fontId="11" fillId="0" borderId="13" xfId="2" applyFont="1" applyFill="1" applyBorder="1" applyAlignment="1">
      <alignment horizontal="center" vertical="center"/>
    </xf>
    <xf numFmtId="43" fontId="11" fillId="0" borderId="11" xfId="2" applyFont="1" applyFill="1" applyBorder="1" applyAlignment="1">
      <alignment horizontal="right" vertical="center"/>
    </xf>
    <xf numFmtId="0" fontId="11" fillId="0" borderId="0" xfId="0" applyFont="1" applyFill="1" applyAlignment="1">
      <alignment horizontal="left"/>
    </xf>
    <xf numFmtId="3" fontId="11" fillId="0" borderId="12" xfId="0" applyNumberFormat="1" applyFont="1" applyFill="1" applyBorder="1" applyAlignment="1">
      <alignment horizontal="center" vertical="center"/>
    </xf>
    <xf numFmtId="4" fontId="11" fillId="0" borderId="12" xfId="0" applyNumberFormat="1" applyFont="1" applyFill="1" applyBorder="1" applyAlignment="1">
      <alignment horizontal="center" vertical="center"/>
    </xf>
    <xf numFmtId="168" fontId="11" fillId="0" borderId="11" xfId="0" applyNumberFormat="1" applyFont="1" applyFill="1" applyBorder="1" applyAlignment="1">
      <alignment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/>
    <xf numFmtId="0" fontId="11" fillId="3" borderId="3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3" fontId="11" fillId="3" borderId="10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</cellXfs>
  <cellStyles count="3">
    <cellStyle name="Comma" xfId="2" builtinId="3"/>
    <cellStyle name="Hyperlink" xfId="1" builtinId="8"/>
    <cellStyle name="Normal" xfId="0" builtinId="0"/>
  </cellStyles>
  <dxfs count="1"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1171575</xdr:colOff>
      <xdr:row>380</xdr:row>
      <xdr:rowOff>9525</xdr:rowOff>
    </xdr:from>
    <xdr:to>
      <xdr:col>3</xdr:col>
      <xdr:colOff>750321</xdr:colOff>
      <xdr:row>398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6A8751-58F8-4A33-AB86-0D476C44E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225" y="49895125"/>
          <a:ext cx="5179446" cy="228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1190625</xdr:colOff>
      <xdr:row>402</xdr:row>
      <xdr:rowOff>15875</xdr:rowOff>
    </xdr:from>
    <xdr:to>
      <xdr:col>3</xdr:col>
      <xdr:colOff>819150</xdr:colOff>
      <xdr:row>422</xdr:row>
      <xdr:rowOff>19051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46A6B6-5451-4097-8F1D-0F9242B4D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2275" y="52708175"/>
          <a:ext cx="5229225" cy="2543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B0CF-07DA-43B9-BC01-6D84F6EE6F96}">
  <dimension ref="A1:I422"/>
  <sheetViews>
    <sheetView tabSelected="1"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65.1796875" style="8" bestFit="1" customWidth="1"/>
    <col min="3" max="3" width="15" style="8" customWidth="1"/>
    <col min="4" max="4" width="32.1796875" style="8" bestFit="1" customWidth="1"/>
    <col min="5" max="5" width="13.90625" style="9" bestFit="1" customWidth="1"/>
    <col min="6" max="6" width="22.81640625" style="11" bestFit="1" customWidth="1"/>
    <col min="7" max="7" width="12.1796875" style="13" bestFit="1" customWidth="1"/>
    <col min="8" max="8" width="17.36328125" style="8" bestFit="1" customWidth="1"/>
    <col min="9" max="16384" width="9.08984375" style="8"/>
  </cols>
  <sheetData>
    <row r="1" spans="1:8" s="1" customFormat="1" ht="16.75" customHeight="1" x14ac:dyDescent="0.35">
      <c r="B1" s="101" t="s">
        <v>7</v>
      </c>
      <c r="C1" s="102"/>
      <c r="D1" s="12"/>
      <c r="E1" s="6"/>
      <c r="F1" s="7"/>
      <c r="G1" s="13"/>
    </row>
    <row r="2" spans="1:8" s="1" customFormat="1" ht="14.5" x14ac:dyDescent="0.35">
      <c r="A2" s="55" t="s">
        <v>652</v>
      </c>
      <c r="E2" s="6"/>
      <c r="F2" s="7"/>
      <c r="G2" s="13"/>
    </row>
    <row r="3" spans="1:8" s="1" customFormat="1" ht="11.5" x14ac:dyDescent="0.25">
      <c r="B3" s="10" t="s">
        <v>6</v>
      </c>
      <c r="C3" s="2"/>
      <c r="D3" s="3"/>
      <c r="E3" s="4"/>
      <c r="F3" s="5"/>
      <c r="G3" s="13"/>
    </row>
    <row r="4" spans="1:8" s="1" customFormat="1" ht="25.5" customHeight="1" x14ac:dyDescent="0.25">
      <c r="B4" s="16" t="s">
        <v>4</v>
      </c>
      <c r="C4" s="16" t="s">
        <v>5</v>
      </c>
      <c r="D4" s="17" t="s">
        <v>162</v>
      </c>
      <c r="E4" s="18" t="s">
        <v>0</v>
      </c>
      <c r="F4" s="19" t="s">
        <v>1</v>
      </c>
      <c r="G4" s="20" t="s">
        <v>2</v>
      </c>
      <c r="H4" s="54" t="s">
        <v>3</v>
      </c>
    </row>
    <row r="5" spans="1:8" ht="10.5" x14ac:dyDescent="0.25">
      <c r="B5" s="21" t="s">
        <v>8</v>
      </c>
      <c r="C5" s="22"/>
      <c r="D5" s="22"/>
      <c r="E5" s="23"/>
      <c r="F5" s="24"/>
      <c r="G5" s="25"/>
      <c r="H5" s="22"/>
    </row>
    <row r="6" spans="1:8" ht="10.5" x14ac:dyDescent="0.25">
      <c r="B6" s="21" t="s">
        <v>9</v>
      </c>
      <c r="C6" s="22"/>
      <c r="D6" s="22"/>
      <c r="E6" s="23"/>
      <c r="F6" s="24"/>
      <c r="G6" s="25"/>
      <c r="H6" s="22"/>
    </row>
    <row r="7" spans="1:8" x14ac:dyDescent="0.2">
      <c r="B7" s="22" t="s">
        <v>10</v>
      </c>
      <c r="C7" s="22" t="s">
        <v>11</v>
      </c>
      <c r="D7" s="22" t="s">
        <v>12</v>
      </c>
      <c r="E7" s="26">
        <v>127349</v>
      </c>
      <c r="F7" s="24">
        <v>948.17697950000002</v>
      </c>
      <c r="G7" s="25">
        <v>6.3088238560894103</v>
      </c>
      <c r="H7" s="27"/>
    </row>
    <row r="8" spans="1:8" x14ac:dyDescent="0.2">
      <c r="B8" s="22" t="s">
        <v>18</v>
      </c>
      <c r="C8" s="22" t="s">
        <v>19</v>
      </c>
      <c r="D8" s="22" t="s">
        <v>20</v>
      </c>
      <c r="E8" s="26">
        <v>57504</v>
      </c>
      <c r="F8" s="24">
        <v>759.74284799999998</v>
      </c>
      <c r="G8" s="25">
        <v>5.0550518601318899</v>
      </c>
      <c r="H8" s="27"/>
    </row>
    <row r="9" spans="1:8" x14ac:dyDescent="0.2">
      <c r="B9" s="22" t="s">
        <v>13</v>
      </c>
      <c r="C9" s="22" t="s">
        <v>14</v>
      </c>
      <c r="D9" s="22" t="s">
        <v>12</v>
      </c>
      <c r="E9" s="26">
        <v>60085</v>
      </c>
      <c r="F9" s="24">
        <v>754.90794000000005</v>
      </c>
      <c r="G9" s="25">
        <v>5.0228821454141999</v>
      </c>
      <c r="H9" s="27"/>
    </row>
    <row r="10" spans="1:8" x14ac:dyDescent="0.2">
      <c r="B10" s="22" t="s">
        <v>15</v>
      </c>
      <c r="C10" s="22" t="s">
        <v>16</v>
      </c>
      <c r="D10" s="22" t="s">
        <v>17</v>
      </c>
      <c r="E10" s="26">
        <v>36083</v>
      </c>
      <c r="F10" s="24">
        <v>659.95807000000002</v>
      </c>
      <c r="G10" s="25">
        <v>4.3911203351828698</v>
      </c>
      <c r="H10" s="27"/>
    </row>
    <row r="11" spans="1:8" x14ac:dyDescent="0.2">
      <c r="B11" s="22" t="s">
        <v>29</v>
      </c>
      <c r="C11" s="22" t="s">
        <v>30</v>
      </c>
      <c r="D11" s="22" t="s">
        <v>31</v>
      </c>
      <c r="E11" s="26">
        <v>9780</v>
      </c>
      <c r="F11" s="24">
        <v>398.68169999999998</v>
      </c>
      <c r="G11" s="25">
        <v>2.6526826471495002</v>
      </c>
      <c r="H11" s="27"/>
    </row>
    <row r="12" spans="1:8" x14ac:dyDescent="0.2">
      <c r="B12" s="22" t="s">
        <v>50</v>
      </c>
      <c r="C12" s="22" t="s">
        <v>51</v>
      </c>
      <c r="D12" s="22" t="s">
        <v>52</v>
      </c>
      <c r="E12" s="26">
        <v>123837</v>
      </c>
      <c r="F12" s="24">
        <v>355.28835299999997</v>
      </c>
      <c r="G12" s="25">
        <v>2.3639591401798201</v>
      </c>
      <c r="H12" s="27"/>
    </row>
    <row r="13" spans="1:8" x14ac:dyDescent="0.2">
      <c r="B13" s="22" t="s">
        <v>24</v>
      </c>
      <c r="C13" s="22" t="s">
        <v>25</v>
      </c>
      <c r="D13" s="22" t="s">
        <v>12</v>
      </c>
      <c r="E13" s="26">
        <v>34861</v>
      </c>
      <c r="F13" s="24">
        <v>336.19948399999998</v>
      </c>
      <c r="G13" s="25">
        <v>2.2369487668669401</v>
      </c>
      <c r="H13" s="27"/>
    </row>
    <row r="14" spans="1:8" x14ac:dyDescent="0.2">
      <c r="B14" s="22" t="s">
        <v>59</v>
      </c>
      <c r="C14" s="22" t="s">
        <v>60</v>
      </c>
      <c r="D14" s="22" t="s">
        <v>12</v>
      </c>
      <c r="E14" s="26">
        <v>24079</v>
      </c>
      <c r="F14" s="24">
        <v>309.80041399999999</v>
      </c>
      <c r="G14" s="25">
        <v>2.0612989818633101</v>
      </c>
      <c r="H14" s="27"/>
    </row>
    <row r="15" spans="1:8" x14ac:dyDescent="0.2">
      <c r="B15" s="22" t="s">
        <v>67</v>
      </c>
      <c r="C15" s="22" t="s">
        <v>68</v>
      </c>
      <c r="D15" s="22" t="s">
        <v>12</v>
      </c>
      <c r="E15" s="26">
        <v>61438</v>
      </c>
      <c r="F15" s="24">
        <v>236.04479599999999</v>
      </c>
      <c r="G15" s="25">
        <v>1.5705559956705899</v>
      </c>
      <c r="H15" s="27"/>
    </row>
    <row r="16" spans="1:8" x14ac:dyDescent="0.2">
      <c r="B16" s="22" t="s">
        <v>64</v>
      </c>
      <c r="C16" s="22" t="s">
        <v>65</v>
      </c>
      <c r="D16" s="22" t="s">
        <v>66</v>
      </c>
      <c r="E16" s="26">
        <v>11865</v>
      </c>
      <c r="F16" s="24">
        <v>213.47507999999999</v>
      </c>
      <c r="G16" s="25">
        <v>1.4203853357574501</v>
      </c>
      <c r="H16" s="27"/>
    </row>
    <row r="17" spans="2:8" x14ac:dyDescent="0.2">
      <c r="B17" s="22" t="s">
        <v>179</v>
      </c>
      <c r="C17" s="22" t="s">
        <v>180</v>
      </c>
      <c r="D17" s="22" t="s">
        <v>181</v>
      </c>
      <c r="E17" s="26">
        <v>11496</v>
      </c>
      <c r="F17" s="24">
        <v>207.456816</v>
      </c>
      <c r="G17" s="25">
        <v>1.3803420017424599</v>
      </c>
      <c r="H17" s="27"/>
    </row>
    <row r="18" spans="2:8" x14ac:dyDescent="0.2">
      <c r="B18" s="22" t="s">
        <v>21</v>
      </c>
      <c r="C18" s="22" t="s">
        <v>22</v>
      </c>
      <c r="D18" s="22" t="s">
        <v>23</v>
      </c>
      <c r="E18" s="26">
        <v>6667</v>
      </c>
      <c r="F18" s="24">
        <v>203.050152</v>
      </c>
      <c r="G18" s="25">
        <v>1.3510216664358301</v>
      </c>
      <c r="H18" s="27"/>
    </row>
    <row r="19" spans="2:8" x14ac:dyDescent="0.2">
      <c r="B19" s="22" t="s">
        <v>26</v>
      </c>
      <c r="C19" s="22" t="s">
        <v>27</v>
      </c>
      <c r="D19" s="22" t="s">
        <v>28</v>
      </c>
      <c r="E19" s="26">
        <v>16034</v>
      </c>
      <c r="F19" s="24">
        <v>186.13870600000001</v>
      </c>
      <c r="G19" s="25">
        <v>1.23849907173834</v>
      </c>
      <c r="H19" s="27"/>
    </row>
    <row r="20" spans="2:8" x14ac:dyDescent="0.2">
      <c r="B20" s="22" t="s">
        <v>103</v>
      </c>
      <c r="C20" s="22" t="s">
        <v>104</v>
      </c>
      <c r="D20" s="22" t="s">
        <v>105</v>
      </c>
      <c r="E20" s="26">
        <v>18701</v>
      </c>
      <c r="F20" s="24">
        <v>169.8518325</v>
      </c>
      <c r="G20" s="25">
        <v>1.1301321546970799</v>
      </c>
      <c r="H20" s="27"/>
    </row>
    <row r="21" spans="2:8" x14ac:dyDescent="0.2">
      <c r="B21" s="22" t="s">
        <v>53</v>
      </c>
      <c r="C21" s="22" t="s">
        <v>54</v>
      </c>
      <c r="D21" s="22" t="s">
        <v>55</v>
      </c>
      <c r="E21" s="26">
        <v>3481</v>
      </c>
      <c r="F21" s="24">
        <v>153.33805000000001</v>
      </c>
      <c r="G21" s="25">
        <v>1.02025546791524</v>
      </c>
      <c r="H21" s="27"/>
    </row>
    <row r="22" spans="2:8" x14ac:dyDescent="0.2">
      <c r="B22" s="22" t="s">
        <v>44</v>
      </c>
      <c r="C22" s="22" t="s">
        <v>45</v>
      </c>
      <c r="D22" s="22" t="s">
        <v>46</v>
      </c>
      <c r="E22" s="26">
        <v>70864</v>
      </c>
      <c r="F22" s="24">
        <v>147.41129280000001</v>
      </c>
      <c r="G22" s="25">
        <v>0.98082098677826102</v>
      </c>
      <c r="H22" s="27"/>
    </row>
    <row r="23" spans="2:8" x14ac:dyDescent="0.2">
      <c r="B23" s="22" t="s">
        <v>174</v>
      </c>
      <c r="C23" s="22" t="s">
        <v>175</v>
      </c>
      <c r="D23" s="22" t="s">
        <v>111</v>
      </c>
      <c r="E23" s="26">
        <v>12686</v>
      </c>
      <c r="F23" s="24">
        <v>142.93316200000001</v>
      </c>
      <c r="G23" s="25">
        <v>0.95102513744575901</v>
      </c>
      <c r="H23" s="27"/>
    </row>
    <row r="24" spans="2:8" x14ac:dyDescent="0.2">
      <c r="B24" s="22" t="s">
        <v>37</v>
      </c>
      <c r="C24" s="22" t="s">
        <v>38</v>
      </c>
      <c r="D24" s="22" t="s">
        <v>39</v>
      </c>
      <c r="E24" s="26">
        <v>9249</v>
      </c>
      <c r="F24" s="24">
        <v>131.474535</v>
      </c>
      <c r="G24" s="25">
        <v>0.874783611930395</v>
      </c>
      <c r="H24" s="27"/>
    </row>
    <row r="25" spans="2:8" x14ac:dyDescent="0.2">
      <c r="B25" s="22" t="s">
        <v>135</v>
      </c>
      <c r="C25" s="22" t="s">
        <v>136</v>
      </c>
      <c r="D25" s="22" t="s">
        <v>23</v>
      </c>
      <c r="E25" s="26">
        <v>987</v>
      </c>
      <c r="F25" s="24">
        <v>129.56349</v>
      </c>
      <c r="G25" s="25">
        <v>0.86206821538868805</v>
      </c>
      <c r="H25" s="27"/>
    </row>
    <row r="26" spans="2:8" x14ac:dyDescent="0.2">
      <c r="B26" s="22" t="s">
        <v>32</v>
      </c>
      <c r="C26" s="22" t="s">
        <v>33</v>
      </c>
      <c r="D26" s="22" t="s">
        <v>34</v>
      </c>
      <c r="E26" s="26">
        <v>32560</v>
      </c>
      <c r="F26" s="24">
        <v>125.97463999999999</v>
      </c>
      <c r="G26" s="25">
        <v>0.83818931621116699</v>
      </c>
      <c r="H26" s="27"/>
    </row>
    <row r="27" spans="2:8" x14ac:dyDescent="0.2">
      <c r="B27" s="22" t="s">
        <v>176</v>
      </c>
      <c r="C27" s="22" t="s">
        <v>177</v>
      </c>
      <c r="D27" s="22" t="s">
        <v>178</v>
      </c>
      <c r="E27" s="26">
        <v>30425</v>
      </c>
      <c r="F27" s="24">
        <v>124.9706875</v>
      </c>
      <c r="G27" s="25">
        <v>0.83150938238096594</v>
      </c>
      <c r="H27" s="27"/>
    </row>
    <row r="28" spans="2:8" x14ac:dyDescent="0.2">
      <c r="B28" s="22" t="s">
        <v>304</v>
      </c>
      <c r="C28" s="22" t="s">
        <v>305</v>
      </c>
      <c r="D28" s="22" t="s">
        <v>63</v>
      </c>
      <c r="E28" s="26">
        <v>2856</v>
      </c>
      <c r="F28" s="24">
        <v>118.412616</v>
      </c>
      <c r="G28" s="25">
        <v>0.78787436610904804</v>
      </c>
      <c r="H28" s="27"/>
    </row>
    <row r="29" spans="2:8" x14ac:dyDescent="0.2">
      <c r="B29" s="22" t="s">
        <v>56</v>
      </c>
      <c r="C29" s="22" t="s">
        <v>57</v>
      </c>
      <c r="D29" s="22" t="s">
        <v>58</v>
      </c>
      <c r="E29" s="26">
        <v>1013</v>
      </c>
      <c r="F29" s="24">
        <v>116.31265999999999</v>
      </c>
      <c r="G29" s="25">
        <v>0.77390202466228097</v>
      </c>
      <c r="H29" s="27"/>
    </row>
    <row r="30" spans="2:8" x14ac:dyDescent="0.2">
      <c r="B30" s="22" t="s">
        <v>73</v>
      </c>
      <c r="C30" s="22" t="s">
        <v>74</v>
      </c>
      <c r="D30" s="22" t="s">
        <v>75</v>
      </c>
      <c r="E30" s="26">
        <v>43293</v>
      </c>
      <c r="F30" s="24">
        <v>108.4835994</v>
      </c>
      <c r="G30" s="25">
        <v>0.72181031040225396</v>
      </c>
      <c r="H30" s="27"/>
    </row>
    <row r="31" spans="2:8" x14ac:dyDescent="0.2">
      <c r="B31" s="22" t="s">
        <v>42</v>
      </c>
      <c r="C31" s="22" t="s">
        <v>43</v>
      </c>
      <c r="D31" s="22" t="s">
        <v>28</v>
      </c>
      <c r="E31" s="26">
        <v>4700</v>
      </c>
      <c r="F31" s="24">
        <v>106.1683</v>
      </c>
      <c r="G31" s="25">
        <v>0.70640515249975799</v>
      </c>
      <c r="H31" s="27"/>
    </row>
    <row r="32" spans="2:8" x14ac:dyDescent="0.2">
      <c r="B32" s="22" t="s">
        <v>193</v>
      </c>
      <c r="C32" s="22" t="s">
        <v>194</v>
      </c>
      <c r="D32" s="22" t="s">
        <v>75</v>
      </c>
      <c r="E32" s="26">
        <v>2458</v>
      </c>
      <c r="F32" s="24">
        <v>103.82592</v>
      </c>
      <c r="G32" s="25">
        <v>0.69081981016016702</v>
      </c>
      <c r="H32" s="27"/>
    </row>
    <row r="33" spans="2:8" x14ac:dyDescent="0.2">
      <c r="B33" s="22" t="s">
        <v>71</v>
      </c>
      <c r="C33" s="22" t="s">
        <v>72</v>
      </c>
      <c r="D33" s="22" t="s">
        <v>46</v>
      </c>
      <c r="E33" s="26">
        <v>8069</v>
      </c>
      <c r="F33" s="24">
        <v>103.12182</v>
      </c>
      <c r="G33" s="25">
        <v>0.68613498551971297</v>
      </c>
      <c r="H33" s="27"/>
    </row>
    <row r="34" spans="2:8" x14ac:dyDescent="0.2">
      <c r="B34" s="22" t="s">
        <v>115</v>
      </c>
      <c r="C34" s="22" t="s">
        <v>116</v>
      </c>
      <c r="D34" s="22" t="s">
        <v>77</v>
      </c>
      <c r="E34" s="26">
        <v>3839</v>
      </c>
      <c r="F34" s="24">
        <v>102.562724</v>
      </c>
      <c r="G34" s="25">
        <v>0.68241496461759799</v>
      </c>
      <c r="H34" s="27"/>
    </row>
    <row r="35" spans="2:8" x14ac:dyDescent="0.2">
      <c r="B35" s="22" t="s">
        <v>184</v>
      </c>
      <c r="C35" s="22" t="s">
        <v>185</v>
      </c>
      <c r="D35" s="22" t="s">
        <v>58</v>
      </c>
      <c r="E35" s="26">
        <v>3276</v>
      </c>
      <c r="F35" s="24">
        <v>102.289824</v>
      </c>
      <c r="G35" s="25">
        <v>0.68059918753425797</v>
      </c>
      <c r="H35" s="27"/>
    </row>
    <row r="36" spans="2:8" x14ac:dyDescent="0.2">
      <c r="B36" s="22" t="s">
        <v>204</v>
      </c>
      <c r="C36" s="22" t="s">
        <v>205</v>
      </c>
      <c r="D36" s="22" t="s">
        <v>206</v>
      </c>
      <c r="E36" s="26">
        <v>8460</v>
      </c>
      <c r="F36" s="24">
        <v>99.692639999999997</v>
      </c>
      <c r="G36" s="25">
        <v>0.66331847229637697</v>
      </c>
      <c r="H36" s="27"/>
    </row>
    <row r="37" spans="2:8" x14ac:dyDescent="0.2">
      <c r="B37" s="22" t="s">
        <v>215</v>
      </c>
      <c r="C37" s="22" t="s">
        <v>216</v>
      </c>
      <c r="D37" s="22" t="s">
        <v>66</v>
      </c>
      <c r="E37" s="26">
        <v>1425</v>
      </c>
      <c r="F37" s="24">
        <v>95.004750000000001</v>
      </c>
      <c r="G37" s="25">
        <v>0.63212696173859195</v>
      </c>
      <c r="H37" s="27"/>
    </row>
    <row r="38" spans="2:8" x14ac:dyDescent="0.2">
      <c r="B38" s="22" t="s">
        <v>224</v>
      </c>
      <c r="C38" s="22" t="s">
        <v>225</v>
      </c>
      <c r="D38" s="22" t="s">
        <v>119</v>
      </c>
      <c r="E38" s="26">
        <v>17856</v>
      </c>
      <c r="F38" s="24">
        <v>94.279679999999999</v>
      </c>
      <c r="G38" s="25">
        <v>0.62730261036513102</v>
      </c>
      <c r="H38" s="27"/>
    </row>
    <row r="39" spans="2:8" x14ac:dyDescent="0.2">
      <c r="B39" s="22" t="s">
        <v>137</v>
      </c>
      <c r="C39" s="22" t="s">
        <v>138</v>
      </c>
      <c r="D39" s="22" t="s">
        <v>105</v>
      </c>
      <c r="E39" s="26">
        <v>9767</v>
      </c>
      <c r="F39" s="24">
        <v>92.508140499999996</v>
      </c>
      <c r="G39" s="25">
        <v>0.615515432547865</v>
      </c>
      <c r="H39" s="27"/>
    </row>
    <row r="40" spans="2:8" x14ac:dyDescent="0.2">
      <c r="B40" s="22" t="s">
        <v>124</v>
      </c>
      <c r="C40" s="22" t="s">
        <v>125</v>
      </c>
      <c r="D40" s="22" t="s">
        <v>34</v>
      </c>
      <c r="E40" s="26">
        <v>31134</v>
      </c>
      <c r="F40" s="24">
        <v>90.459836999999993</v>
      </c>
      <c r="G40" s="25">
        <v>0.60188676800031904</v>
      </c>
      <c r="H40" s="27"/>
    </row>
    <row r="41" spans="2:8" x14ac:dyDescent="0.2">
      <c r="B41" s="22" t="s">
        <v>78</v>
      </c>
      <c r="C41" s="22" t="s">
        <v>79</v>
      </c>
      <c r="D41" s="22" t="s">
        <v>80</v>
      </c>
      <c r="E41" s="26">
        <v>33816</v>
      </c>
      <c r="F41" s="24">
        <v>89.747664</v>
      </c>
      <c r="G41" s="25">
        <v>0.59714822856179295</v>
      </c>
      <c r="H41" s="27"/>
    </row>
    <row r="42" spans="2:8" x14ac:dyDescent="0.2">
      <c r="B42" s="22" t="s">
        <v>126</v>
      </c>
      <c r="C42" s="22" t="s">
        <v>127</v>
      </c>
      <c r="D42" s="22" t="s">
        <v>66</v>
      </c>
      <c r="E42" s="26">
        <v>6850</v>
      </c>
      <c r="F42" s="24">
        <v>89.289749999999998</v>
      </c>
      <c r="G42" s="25">
        <v>0.59410143579029895</v>
      </c>
      <c r="H42" s="27"/>
    </row>
    <row r="43" spans="2:8" x14ac:dyDescent="0.2">
      <c r="B43" s="22" t="s">
        <v>186</v>
      </c>
      <c r="C43" s="22" t="s">
        <v>187</v>
      </c>
      <c r="D43" s="22" t="s">
        <v>23</v>
      </c>
      <c r="E43" s="26">
        <v>850</v>
      </c>
      <c r="F43" s="24">
        <v>88.91</v>
      </c>
      <c r="G43" s="25">
        <v>0.59157471777125004</v>
      </c>
      <c r="H43" s="27"/>
    </row>
    <row r="44" spans="2:8" x14ac:dyDescent="0.2">
      <c r="B44" s="22" t="s">
        <v>188</v>
      </c>
      <c r="C44" s="22" t="s">
        <v>189</v>
      </c>
      <c r="D44" s="22" t="s">
        <v>190</v>
      </c>
      <c r="E44" s="26">
        <v>19265</v>
      </c>
      <c r="F44" s="24">
        <v>88.214434999999995</v>
      </c>
      <c r="G44" s="25">
        <v>0.58694668190839405</v>
      </c>
      <c r="H44" s="27"/>
    </row>
    <row r="45" spans="2:8" x14ac:dyDescent="0.2">
      <c r="B45" s="22" t="s">
        <v>200</v>
      </c>
      <c r="C45" s="22" t="s">
        <v>201</v>
      </c>
      <c r="D45" s="22" t="s">
        <v>66</v>
      </c>
      <c r="E45" s="26">
        <v>6295</v>
      </c>
      <c r="F45" s="24">
        <v>88.192949999999996</v>
      </c>
      <c r="G45" s="25">
        <v>0.58680372855318896</v>
      </c>
      <c r="H45" s="27"/>
    </row>
    <row r="46" spans="2:8" x14ac:dyDescent="0.2">
      <c r="B46" s="22" t="s">
        <v>172</v>
      </c>
      <c r="C46" s="22" t="s">
        <v>173</v>
      </c>
      <c r="D46" s="22" t="s">
        <v>52</v>
      </c>
      <c r="E46" s="26">
        <v>4045</v>
      </c>
      <c r="F46" s="24">
        <v>87.109075000000004</v>
      </c>
      <c r="G46" s="25">
        <v>0.57959201955280304</v>
      </c>
      <c r="H46" s="27"/>
    </row>
    <row r="47" spans="2:8" x14ac:dyDescent="0.2">
      <c r="B47" s="22" t="s">
        <v>40</v>
      </c>
      <c r="C47" s="22" t="s">
        <v>41</v>
      </c>
      <c r="D47" s="22" t="s">
        <v>39</v>
      </c>
      <c r="E47" s="26">
        <v>1526</v>
      </c>
      <c r="F47" s="24">
        <v>79.420670000000001</v>
      </c>
      <c r="G47" s="25">
        <v>0.52843617636321705</v>
      </c>
      <c r="H47" s="27"/>
    </row>
    <row r="48" spans="2:8" x14ac:dyDescent="0.2">
      <c r="B48" s="22" t="s">
        <v>143</v>
      </c>
      <c r="C48" s="22" t="s">
        <v>144</v>
      </c>
      <c r="D48" s="22" t="s">
        <v>23</v>
      </c>
      <c r="E48" s="26">
        <v>997</v>
      </c>
      <c r="F48" s="24">
        <v>71.554689999999994</v>
      </c>
      <c r="G48" s="25">
        <v>0.47609881387874597</v>
      </c>
      <c r="H48" s="27"/>
    </row>
    <row r="49" spans="2:8" x14ac:dyDescent="0.2">
      <c r="B49" s="22" t="s">
        <v>191</v>
      </c>
      <c r="C49" s="22" t="s">
        <v>192</v>
      </c>
      <c r="D49" s="22" t="s">
        <v>105</v>
      </c>
      <c r="E49" s="26">
        <v>3985</v>
      </c>
      <c r="F49" s="24">
        <v>71.076459999999997</v>
      </c>
      <c r="G49" s="25">
        <v>0.47291684585175497</v>
      </c>
      <c r="H49" s="27"/>
    </row>
    <row r="50" spans="2:8" x14ac:dyDescent="0.2">
      <c r="B50" s="22" t="s">
        <v>217</v>
      </c>
      <c r="C50" s="22" t="s">
        <v>218</v>
      </c>
      <c r="D50" s="22" t="s">
        <v>178</v>
      </c>
      <c r="E50" s="26">
        <v>1596</v>
      </c>
      <c r="F50" s="24">
        <v>68.688648000000001</v>
      </c>
      <c r="G50" s="25">
        <v>0.45702921555155501</v>
      </c>
      <c r="H50" s="27"/>
    </row>
    <row r="51" spans="2:8" x14ac:dyDescent="0.2">
      <c r="B51" s="22" t="s">
        <v>219</v>
      </c>
      <c r="C51" s="22" t="s">
        <v>220</v>
      </c>
      <c r="D51" s="22" t="s">
        <v>221</v>
      </c>
      <c r="E51" s="26">
        <v>1148</v>
      </c>
      <c r="F51" s="24">
        <v>67.51388</v>
      </c>
      <c r="G51" s="25">
        <v>0.44921273767452602</v>
      </c>
      <c r="H51" s="27"/>
    </row>
    <row r="52" spans="2:8" x14ac:dyDescent="0.2">
      <c r="B52" s="22" t="s">
        <v>213</v>
      </c>
      <c r="C52" s="22" t="s">
        <v>214</v>
      </c>
      <c r="D52" s="22" t="s">
        <v>34</v>
      </c>
      <c r="E52" s="26">
        <v>27741</v>
      </c>
      <c r="F52" s="24">
        <v>67.513271700000004</v>
      </c>
      <c r="G52" s="25">
        <v>0.44920869026815002</v>
      </c>
      <c r="H52" s="27"/>
    </row>
    <row r="53" spans="2:8" x14ac:dyDescent="0.2">
      <c r="B53" s="22" t="s">
        <v>315</v>
      </c>
      <c r="C53" s="22" t="s">
        <v>316</v>
      </c>
      <c r="D53" s="22" t="s">
        <v>17</v>
      </c>
      <c r="E53" s="26">
        <v>15075</v>
      </c>
      <c r="F53" s="24">
        <v>66.639037500000001</v>
      </c>
      <c r="G53" s="25">
        <v>0.44339185470262399</v>
      </c>
      <c r="H53" s="27"/>
    </row>
    <row r="54" spans="2:8" x14ac:dyDescent="0.2">
      <c r="B54" s="22" t="s">
        <v>91</v>
      </c>
      <c r="C54" s="22" t="s">
        <v>92</v>
      </c>
      <c r="D54" s="22" t="s">
        <v>76</v>
      </c>
      <c r="E54" s="26">
        <v>17185</v>
      </c>
      <c r="F54" s="24">
        <v>65.217074999999994</v>
      </c>
      <c r="G54" s="25">
        <v>0.43393063476539701</v>
      </c>
      <c r="H54" s="27"/>
    </row>
    <row r="55" spans="2:8" x14ac:dyDescent="0.2">
      <c r="B55" s="22" t="s">
        <v>195</v>
      </c>
      <c r="C55" s="22" t="s">
        <v>196</v>
      </c>
      <c r="D55" s="22" t="s">
        <v>197</v>
      </c>
      <c r="E55" s="26">
        <v>793</v>
      </c>
      <c r="F55" s="24">
        <v>64.839645000000004</v>
      </c>
      <c r="G55" s="25">
        <v>0.43141935318032898</v>
      </c>
      <c r="H55" s="27"/>
    </row>
    <row r="56" spans="2:8" x14ac:dyDescent="0.2">
      <c r="B56" s="22" t="s">
        <v>128</v>
      </c>
      <c r="C56" s="22" t="s">
        <v>129</v>
      </c>
      <c r="D56" s="22" t="s">
        <v>130</v>
      </c>
      <c r="E56" s="26">
        <v>2184</v>
      </c>
      <c r="F56" s="24">
        <v>64.152816000000001</v>
      </c>
      <c r="G56" s="25">
        <v>0.42684944347577303</v>
      </c>
      <c r="H56" s="27"/>
    </row>
    <row r="57" spans="2:8" x14ac:dyDescent="0.2">
      <c r="B57" s="22" t="s">
        <v>101</v>
      </c>
      <c r="C57" s="22" t="s">
        <v>102</v>
      </c>
      <c r="D57" s="22" t="s">
        <v>66</v>
      </c>
      <c r="E57" s="26">
        <v>2724</v>
      </c>
      <c r="F57" s="24">
        <v>61.772148000000001</v>
      </c>
      <c r="G57" s="25">
        <v>0.41100934674641698</v>
      </c>
      <c r="H57" s="27"/>
    </row>
    <row r="58" spans="2:8" x14ac:dyDescent="0.2">
      <c r="B58" s="22" t="s">
        <v>198</v>
      </c>
      <c r="C58" s="22" t="s">
        <v>199</v>
      </c>
      <c r="D58" s="22" t="s">
        <v>23</v>
      </c>
      <c r="E58" s="26">
        <v>15611</v>
      </c>
      <c r="F58" s="24">
        <v>61.491728999999999</v>
      </c>
      <c r="G58" s="25">
        <v>0.40914354097898098</v>
      </c>
      <c r="H58" s="27"/>
    </row>
    <row r="59" spans="2:8" x14ac:dyDescent="0.2">
      <c r="B59" s="22" t="s">
        <v>69</v>
      </c>
      <c r="C59" s="22" t="s">
        <v>70</v>
      </c>
      <c r="D59" s="22" t="s">
        <v>12</v>
      </c>
      <c r="E59" s="26">
        <v>20781</v>
      </c>
      <c r="F59" s="24">
        <v>60.046699500000003</v>
      </c>
      <c r="G59" s="25">
        <v>0.399528841635447</v>
      </c>
      <c r="H59" s="27"/>
    </row>
    <row r="60" spans="2:8" x14ac:dyDescent="0.2">
      <c r="B60" s="22" t="s">
        <v>222</v>
      </c>
      <c r="C60" s="22" t="s">
        <v>223</v>
      </c>
      <c r="D60" s="22" t="s">
        <v>23</v>
      </c>
      <c r="E60" s="26">
        <v>1765</v>
      </c>
      <c r="F60" s="24">
        <v>59.228104999999999</v>
      </c>
      <c r="G60" s="25">
        <v>0.39408221234395502</v>
      </c>
      <c r="H60" s="27"/>
    </row>
    <row r="61" spans="2:8" x14ac:dyDescent="0.2">
      <c r="B61" s="22" t="s">
        <v>141</v>
      </c>
      <c r="C61" s="22" t="s">
        <v>142</v>
      </c>
      <c r="D61" s="22" t="s">
        <v>66</v>
      </c>
      <c r="E61" s="26">
        <v>4334</v>
      </c>
      <c r="F61" s="24">
        <v>59.02908</v>
      </c>
      <c r="G61" s="25">
        <v>0.39275797257110101</v>
      </c>
      <c r="H61" s="27"/>
    </row>
    <row r="62" spans="2:8" x14ac:dyDescent="0.2">
      <c r="B62" s="22" t="s">
        <v>306</v>
      </c>
      <c r="C62" s="22" t="s">
        <v>307</v>
      </c>
      <c r="D62" s="22" t="s">
        <v>151</v>
      </c>
      <c r="E62" s="26">
        <v>102229</v>
      </c>
      <c r="F62" s="24">
        <v>58.260307099999999</v>
      </c>
      <c r="G62" s="25">
        <v>0.38764283803789101</v>
      </c>
      <c r="H62" s="27"/>
    </row>
    <row r="63" spans="2:8" x14ac:dyDescent="0.2">
      <c r="B63" s="22" t="s">
        <v>345</v>
      </c>
      <c r="C63" s="22" t="s">
        <v>346</v>
      </c>
      <c r="D63" s="22" t="s">
        <v>75</v>
      </c>
      <c r="E63" s="26">
        <v>5793</v>
      </c>
      <c r="F63" s="24">
        <v>57.640349999999998</v>
      </c>
      <c r="G63" s="25">
        <v>0.38351786957019601</v>
      </c>
      <c r="H63" s="27"/>
    </row>
    <row r="64" spans="2:8" x14ac:dyDescent="0.2">
      <c r="B64" s="22" t="s">
        <v>335</v>
      </c>
      <c r="C64" s="22" t="s">
        <v>336</v>
      </c>
      <c r="D64" s="22" t="s">
        <v>206</v>
      </c>
      <c r="E64" s="26">
        <v>6927</v>
      </c>
      <c r="F64" s="24">
        <v>56.919159000000001</v>
      </c>
      <c r="G64" s="25">
        <v>0.37871932764820498</v>
      </c>
      <c r="H64" s="27"/>
    </row>
    <row r="65" spans="2:8" x14ac:dyDescent="0.2">
      <c r="B65" s="22" t="s">
        <v>182</v>
      </c>
      <c r="C65" s="22" t="s">
        <v>183</v>
      </c>
      <c r="D65" s="22" t="s">
        <v>28</v>
      </c>
      <c r="E65" s="26">
        <v>4797</v>
      </c>
      <c r="F65" s="24">
        <v>56.786886000000003</v>
      </c>
      <c r="G65" s="25">
        <v>0.37783923134133601</v>
      </c>
      <c r="H65" s="27"/>
    </row>
    <row r="66" spans="2:8" x14ac:dyDescent="0.2">
      <c r="B66" s="22" t="s">
        <v>207</v>
      </c>
      <c r="C66" s="22" t="s">
        <v>208</v>
      </c>
      <c r="D66" s="22" t="s">
        <v>197</v>
      </c>
      <c r="E66" s="26">
        <v>5852</v>
      </c>
      <c r="F66" s="24">
        <v>56.477651999999999</v>
      </c>
      <c r="G66" s="25">
        <v>0.37578170107167802</v>
      </c>
      <c r="H66" s="27"/>
    </row>
    <row r="67" spans="2:8" x14ac:dyDescent="0.2">
      <c r="B67" s="22" t="s">
        <v>352</v>
      </c>
      <c r="C67" s="22" t="s">
        <v>353</v>
      </c>
      <c r="D67" s="22" t="s">
        <v>181</v>
      </c>
      <c r="E67" s="26">
        <v>55244</v>
      </c>
      <c r="F67" s="24">
        <v>55.448402799999997</v>
      </c>
      <c r="G67" s="25">
        <v>0.368933452224459</v>
      </c>
      <c r="H67" s="27"/>
    </row>
    <row r="68" spans="2:8" x14ac:dyDescent="0.2">
      <c r="B68" s="22" t="s">
        <v>308</v>
      </c>
      <c r="C68" s="22" t="s">
        <v>309</v>
      </c>
      <c r="D68" s="22" t="s">
        <v>151</v>
      </c>
      <c r="E68" s="26">
        <v>1062</v>
      </c>
      <c r="F68" s="24">
        <v>54.678131999999998</v>
      </c>
      <c r="G68" s="25">
        <v>0.36380835121087801</v>
      </c>
      <c r="H68" s="27"/>
    </row>
    <row r="69" spans="2:8" x14ac:dyDescent="0.2">
      <c r="B69" s="22" t="s">
        <v>202</v>
      </c>
      <c r="C69" s="22" t="s">
        <v>203</v>
      </c>
      <c r="D69" s="22" t="s">
        <v>105</v>
      </c>
      <c r="E69" s="26">
        <v>22691</v>
      </c>
      <c r="F69" s="24">
        <v>54.220144500000004</v>
      </c>
      <c r="G69" s="25">
        <v>0.360761069397187</v>
      </c>
      <c r="H69" s="27"/>
    </row>
    <row r="70" spans="2:8" x14ac:dyDescent="0.2">
      <c r="B70" s="22" t="s">
        <v>230</v>
      </c>
      <c r="C70" s="22" t="s">
        <v>231</v>
      </c>
      <c r="D70" s="22" t="s">
        <v>151</v>
      </c>
      <c r="E70" s="26">
        <v>5801</v>
      </c>
      <c r="F70" s="24">
        <v>53.2212745</v>
      </c>
      <c r="G70" s="25">
        <v>0.35411495266858301</v>
      </c>
      <c r="H70" s="27"/>
    </row>
    <row r="71" spans="2:8" x14ac:dyDescent="0.2">
      <c r="B71" s="22" t="s">
        <v>61</v>
      </c>
      <c r="C71" s="22" t="s">
        <v>62</v>
      </c>
      <c r="D71" s="22" t="s">
        <v>63</v>
      </c>
      <c r="E71" s="26">
        <v>1796</v>
      </c>
      <c r="F71" s="24">
        <v>53.062820000000002</v>
      </c>
      <c r="G71" s="25">
        <v>0.35306065420815103</v>
      </c>
      <c r="H71" s="27"/>
    </row>
    <row r="72" spans="2:8" x14ac:dyDescent="0.2">
      <c r="B72" s="22" t="s">
        <v>85</v>
      </c>
      <c r="C72" s="22" t="s">
        <v>86</v>
      </c>
      <c r="D72" s="22" t="s">
        <v>87</v>
      </c>
      <c r="E72" s="26">
        <v>14567</v>
      </c>
      <c r="F72" s="24">
        <v>51.363242</v>
      </c>
      <c r="G72" s="25">
        <v>0.341752281970155</v>
      </c>
      <c r="H72" s="27"/>
    </row>
    <row r="73" spans="2:8" x14ac:dyDescent="0.2">
      <c r="B73" s="22" t="s">
        <v>149</v>
      </c>
      <c r="C73" s="22" t="s">
        <v>150</v>
      </c>
      <c r="D73" s="22" t="s">
        <v>151</v>
      </c>
      <c r="E73" s="26">
        <v>12301</v>
      </c>
      <c r="F73" s="24">
        <v>51.2644175</v>
      </c>
      <c r="G73" s="25">
        <v>0.34109473978483901</v>
      </c>
      <c r="H73" s="27"/>
    </row>
    <row r="74" spans="2:8" x14ac:dyDescent="0.2">
      <c r="B74" s="22" t="s">
        <v>310</v>
      </c>
      <c r="C74" s="22" t="s">
        <v>311</v>
      </c>
      <c r="D74" s="22" t="s">
        <v>12</v>
      </c>
      <c r="E74" s="26">
        <v>5486</v>
      </c>
      <c r="F74" s="24">
        <v>50.161240999999997</v>
      </c>
      <c r="G74" s="25">
        <v>0.33375460564200499</v>
      </c>
      <c r="H74" s="27"/>
    </row>
    <row r="75" spans="2:8" x14ac:dyDescent="0.2">
      <c r="B75" s="22" t="s">
        <v>247</v>
      </c>
      <c r="C75" s="22" t="s">
        <v>248</v>
      </c>
      <c r="D75" s="22" t="s">
        <v>66</v>
      </c>
      <c r="E75" s="26">
        <v>1126</v>
      </c>
      <c r="F75" s="24">
        <v>49.665607999999999</v>
      </c>
      <c r="G75" s="25">
        <v>0.33045684439925299</v>
      </c>
      <c r="H75" s="27"/>
    </row>
    <row r="76" spans="2:8" x14ac:dyDescent="0.2">
      <c r="B76" s="22" t="s">
        <v>108</v>
      </c>
      <c r="C76" s="22" t="s">
        <v>109</v>
      </c>
      <c r="D76" s="22" t="s">
        <v>20</v>
      </c>
      <c r="E76" s="26">
        <v>16558</v>
      </c>
      <c r="F76" s="24">
        <v>49.359397999999999</v>
      </c>
      <c r="G76" s="25">
        <v>0.32841943472285301</v>
      </c>
      <c r="H76" s="27"/>
    </row>
    <row r="77" spans="2:8" x14ac:dyDescent="0.2">
      <c r="B77" s="22" t="s">
        <v>83</v>
      </c>
      <c r="C77" s="22" t="s">
        <v>84</v>
      </c>
      <c r="D77" s="22" t="s">
        <v>49</v>
      </c>
      <c r="E77" s="26">
        <v>33652</v>
      </c>
      <c r="F77" s="24">
        <v>49.044424800000002</v>
      </c>
      <c r="G77" s="25">
        <v>0.326323717909271</v>
      </c>
      <c r="H77" s="27"/>
    </row>
    <row r="78" spans="2:8" x14ac:dyDescent="0.2">
      <c r="B78" s="22" t="s">
        <v>81</v>
      </c>
      <c r="C78" s="22" t="s">
        <v>82</v>
      </c>
      <c r="D78" s="22" t="s">
        <v>23</v>
      </c>
      <c r="E78" s="26">
        <v>994</v>
      </c>
      <c r="F78" s="24">
        <v>48.735819999999997</v>
      </c>
      <c r="G78" s="25">
        <v>0.32427037410696702</v>
      </c>
      <c r="H78" s="27"/>
    </row>
    <row r="79" spans="2:8" x14ac:dyDescent="0.2">
      <c r="B79" s="22" t="s">
        <v>133</v>
      </c>
      <c r="C79" s="22" t="s">
        <v>134</v>
      </c>
      <c r="D79" s="22" t="s">
        <v>119</v>
      </c>
      <c r="E79" s="26">
        <v>3802</v>
      </c>
      <c r="F79" s="24">
        <v>48.285400000000003</v>
      </c>
      <c r="G79" s="25">
        <v>0.32127344367868599</v>
      </c>
      <c r="H79" s="27"/>
    </row>
    <row r="80" spans="2:8" x14ac:dyDescent="0.2">
      <c r="B80" s="22" t="s">
        <v>226</v>
      </c>
      <c r="C80" s="22" t="s">
        <v>227</v>
      </c>
      <c r="D80" s="22" t="s">
        <v>34</v>
      </c>
      <c r="E80" s="26">
        <v>11381</v>
      </c>
      <c r="F80" s="24">
        <v>47.885557499999997</v>
      </c>
      <c r="G80" s="25">
        <v>0.318613037491638</v>
      </c>
      <c r="H80" s="27"/>
    </row>
    <row r="81" spans="2:8" x14ac:dyDescent="0.2">
      <c r="B81" s="22" t="s">
        <v>234</v>
      </c>
      <c r="C81" s="22" t="s">
        <v>235</v>
      </c>
      <c r="D81" s="22" t="s">
        <v>75</v>
      </c>
      <c r="E81" s="26">
        <v>1149</v>
      </c>
      <c r="F81" s="24">
        <v>46.586205</v>
      </c>
      <c r="G81" s="25">
        <v>0.30996761978302401</v>
      </c>
      <c r="H81" s="27"/>
    </row>
    <row r="82" spans="2:8" x14ac:dyDescent="0.2">
      <c r="B82" s="22" t="s">
        <v>319</v>
      </c>
      <c r="C82" s="22" t="s">
        <v>320</v>
      </c>
      <c r="D82" s="22" t="s">
        <v>12</v>
      </c>
      <c r="E82" s="26">
        <v>4711</v>
      </c>
      <c r="F82" s="24">
        <v>46.389217000000002</v>
      </c>
      <c r="G82" s="25">
        <v>0.30865693346535</v>
      </c>
      <c r="H82" s="27"/>
    </row>
    <row r="83" spans="2:8" x14ac:dyDescent="0.2">
      <c r="B83" s="22" t="s">
        <v>228</v>
      </c>
      <c r="C83" s="22" t="s">
        <v>229</v>
      </c>
      <c r="D83" s="22" t="s">
        <v>105</v>
      </c>
      <c r="E83" s="26">
        <v>2979</v>
      </c>
      <c r="F83" s="24">
        <v>45.808083000000003</v>
      </c>
      <c r="G83" s="25">
        <v>0.30479027974768902</v>
      </c>
      <c r="H83" s="27"/>
    </row>
    <row r="84" spans="2:8" x14ac:dyDescent="0.2">
      <c r="B84" s="22" t="s">
        <v>341</v>
      </c>
      <c r="C84" s="22" t="s">
        <v>342</v>
      </c>
      <c r="D84" s="22" t="s">
        <v>17</v>
      </c>
      <c r="E84" s="26">
        <v>320565</v>
      </c>
      <c r="F84" s="24">
        <v>44.847043499999998</v>
      </c>
      <c r="G84" s="25">
        <v>0.29839587337068402</v>
      </c>
      <c r="H84" s="27"/>
    </row>
    <row r="85" spans="2:8" x14ac:dyDescent="0.2">
      <c r="B85" s="22" t="s">
        <v>35</v>
      </c>
      <c r="C85" s="22" t="s">
        <v>36</v>
      </c>
      <c r="D85" s="22" t="s">
        <v>20</v>
      </c>
      <c r="E85" s="26">
        <v>30560</v>
      </c>
      <c r="F85" s="24">
        <v>42.857343999999998</v>
      </c>
      <c r="G85" s="25">
        <v>0.28515713846840002</v>
      </c>
      <c r="H85" s="27"/>
    </row>
    <row r="86" spans="2:8" x14ac:dyDescent="0.2">
      <c r="B86" s="22" t="s">
        <v>97</v>
      </c>
      <c r="C86" s="22" t="s">
        <v>98</v>
      </c>
      <c r="D86" s="22" t="s">
        <v>28</v>
      </c>
      <c r="E86" s="26">
        <v>2875</v>
      </c>
      <c r="F86" s="24">
        <v>42.662125000000003</v>
      </c>
      <c r="G86" s="25">
        <v>0.283858222431637</v>
      </c>
      <c r="H86" s="27"/>
    </row>
    <row r="87" spans="2:8" x14ac:dyDescent="0.2">
      <c r="B87" s="22" t="s">
        <v>232</v>
      </c>
      <c r="C87" s="22" t="s">
        <v>233</v>
      </c>
      <c r="D87" s="22" t="s">
        <v>105</v>
      </c>
      <c r="E87" s="26">
        <v>9915</v>
      </c>
      <c r="F87" s="24">
        <v>42.495690000000003</v>
      </c>
      <c r="G87" s="25">
        <v>0.28275082463440099</v>
      </c>
      <c r="H87" s="27"/>
    </row>
    <row r="88" spans="2:8" x14ac:dyDescent="0.2">
      <c r="B88" s="22" t="s">
        <v>323</v>
      </c>
      <c r="C88" s="22" t="s">
        <v>324</v>
      </c>
      <c r="D88" s="22" t="s">
        <v>221</v>
      </c>
      <c r="E88" s="26">
        <v>445</v>
      </c>
      <c r="F88" s="24">
        <v>42.174875</v>
      </c>
      <c r="G88" s="25">
        <v>0.28061623861391</v>
      </c>
      <c r="H88" s="27"/>
    </row>
    <row r="89" spans="2:8" x14ac:dyDescent="0.2">
      <c r="B89" s="22" t="s">
        <v>243</v>
      </c>
      <c r="C89" s="22" t="s">
        <v>244</v>
      </c>
      <c r="D89" s="22" t="s">
        <v>12</v>
      </c>
      <c r="E89" s="26">
        <v>15584</v>
      </c>
      <c r="F89" s="24">
        <v>41.843040000000002</v>
      </c>
      <c r="G89" s="25">
        <v>0.278408329532012</v>
      </c>
      <c r="H89" s="27"/>
    </row>
    <row r="90" spans="2:8" x14ac:dyDescent="0.2">
      <c r="B90" s="22" t="s">
        <v>327</v>
      </c>
      <c r="C90" s="22" t="s">
        <v>328</v>
      </c>
      <c r="D90" s="22" t="s">
        <v>151</v>
      </c>
      <c r="E90" s="26">
        <v>108</v>
      </c>
      <c r="F90" s="24">
        <v>41.520600000000002</v>
      </c>
      <c r="G90" s="25">
        <v>0.27626293135409902</v>
      </c>
      <c r="H90" s="27"/>
    </row>
    <row r="91" spans="2:8" x14ac:dyDescent="0.2">
      <c r="B91" s="22" t="s">
        <v>350</v>
      </c>
      <c r="C91" s="22" t="s">
        <v>351</v>
      </c>
      <c r="D91" s="22" t="s">
        <v>75</v>
      </c>
      <c r="E91" s="26">
        <v>15670</v>
      </c>
      <c r="F91" s="24">
        <v>41.102409999999999</v>
      </c>
      <c r="G91" s="25">
        <v>0.273480447592714</v>
      </c>
      <c r="H91" s="27"/>
    </row>
    <row r="92" spans="2:8" x14ac:dyDescent="0.2">
      <c r="B92" s="22" t="s">
        <v>321</v>
      </c>
      <c r="C92" s="22" t="s">
        <v>322</v>
      </c>
      <c r="D92" s="22" t="s">
        <v>49</v>
      </c>
      <c r="E92" s="26">
        <v>2083</v>
      </c>
      <c r="F92" s="24">
        <v>40.768476</v>
      </c>
      <c r="G92" s="25">
        <v>0.27125857253024399</v>
      </c>
      <c r="H92" s="27"/>
    </row>
    <row r="93" spans="2:8" x14ac:dyDescent="0.2">
      <c r="B93" s="22" t="s">
        <v>331</v>
      </c>
      <c r="C93" s="22" t="s">
        <v>332</v>
      </c>
      <c r="D93" s="22" t="s">
        <v>12</v>
      </c>
      <c r="E93" s="26">
        <v>55769</v>
      </c>
      <c r="F93" s="24">
        <v>39.774450799999997</v>
      </c>
      <c r="G93" s="25">
        <v>0.264644691334119</v>
      </c>
      <c r="H93" s="27"/>
    </row>
    <row r="94" spans="2:8" x14ac:dyDescent="0.2">
      <c r="B94" s="22" t="s">
        <v>249</v>
      </c>
      <c r="C94" s="22" t="s">
        <v>250</v>
      </c>
      <c r="D94" s="22" t="s">
        <v>251</v>
      </c>
      <c r="E94" s="26">
        <v>2647</v>
      </c>
      <c r="F94" s="24">
        <v>39.249715999999999</v>
      </c>
      <c r="G94" s="25">
        <v>0.26115329732652898</v>
      </c>
      <c r="H94" s="27"/>
    </row>
    <row r="95" spans="2:8" x14ac:dyDescent="0.2">
      <c r="B95" s="22" t="s">
        <v>516</v>
      </c>
      <c r="C95" s="22" t="s">
        <v>517</v>
      </c>
      <c r="D95" s="22" t="s">
        <v>55</v>
      </c>
      <c r="E95" s="26">
        <v>8583</v>
      </c>
      <c r="F95" s="24">
        <v>38.825200500000001</v>
      </c>
      <c r="G95" s="25">
        <v>0.25832872599482298</v>
      </c>
      <c r="H95" s="27"/>
    </row>
    <row r="96" spans="2:8" x14ac:dyDescent="0.2">
      <c r="B96" s="22" t="s">
        <v>254</v>
      </c>
      <c r="C96" s="22" t="s">
        <v>255</v>
      </c>
      <c r="D96" s="22" t="s">
        <v>46</v>
      </c>
      <c r="E96" s="26">
        <v>3171</v>
      </c>
      <c r="F96" s="24">
        <v>38.280312000000002</v>
      </c>
      <c r="G96" s="25">
        <v>0.25470323661675198</v>
      </c>
      <c r="H96" s="27"/>
    </row>
    <row r="97" spans="2:8" x14ac:dyDescent="0.2">
      <c r="B97" s="22" t="s">
        <v>239</v>
      </c>
      <c r="C97" s="22" t="s">
        <v>240</v>
      </c>
      <c r="D97" s="22" t="s">
        <v>63</v>
      </c>
      <c r="E97" s="26">
        <v>1415</v>
      </c>
      <c r="F97" s="24">
        <v>37.841344999999997</v>
      </c>
      <c r="G97" s="25">
        <v>0.25178251027398002</v>
      </c>
      <c r="H97" s="27"/>
    </row>
    <row r="98" spans="2:8" x14ac:dyDescent="0.2">
      <c r="B98" s="22" t="s">
        <v>256</v>
      </c>
      <c r="C98" s="22" t="s">
        <v>257</v>
      </c>
      <c r="D98" s="22" t="s">
        <v>251</v>
      </c>
      <c r="E98" s="26">
        <v>206</v>
      </c>
      <c r="F98" s="24">
        <v>37.588819999999998</v>
      </c>
      <c r="G98" s="25">
        <v>0.25010230101062098</v>
      </c>
      <c r="H98" s="27"/>
    </row>
    <row r="99" spans="2:8" x14ac:dyDescent="0.2">
      <c r="B99" s="22" t="s">
        <v>329</v>
      </c>
      <c r="C99" s="22" t="s">
        <v>330</v>
      </c>
      <c r="D99" s="22" t="s">
        <v>197</v>
      </c>
      <c r="E99" s="26">
        <v>3982</v>
      </c>
      <c r="F99" s="24">
        <v>36.970878999999996</v>
      </c>
      <c r="G99" s="25">
        <v>0.245990746937128</v>
      </c>
      <c r="H99" s="27"/>
    </row>
    <row r="100" spans="2:8" x14ac:dyDescent="0.2">
      <c r="B100" s="22" t="s">
        <v>270</v>
      </c>
      <c r="C100" s="22" t="s">
        <v>271</v>
      </c>
      <c r="D100" s="22" t="s">
        <v>272</v>
      </c>
      <c r="E100" s="26">
        <v>6188</v>
      </c>
      <c r="F100" s="24">
        <v>36.546328000000003</v>
      </c>
      <c r="G100" s="25">
        <v>0.24316593940136699</v>
      </c>
      <c r="H100" s="27"/>
    </row>
    <row r="101" spans="2:8" x14ac:dyDescent="0.2">
      <c r="B101" s="22" t="s">
        <v>576</v>
      </c>
      <c r="C101" s="22" t="s">
        <v>577</v>
      </c>
      <c r="D101" s="22" t="s">
        <v>578</v>
      </c>
      <c r="E101" s="26">
        <v>16116</v>
      </c>
      <c r="F101" s="24">
        <v>36.153022800000002</v>
      </c>
      <c r="G101" s="25">
        <v>0.24054903002460401</v>
      </c>
      <c r="H101" s="27"/>
    </row>
    <row r="102" spans="2:8" x14ac:dyDescent="0.2">
      <c r="B102" s="22" t="s">
        <v>366</v>
      </c>
      <c r="C102" s="22" t="s">
        <v>367</v>
      </c>
      <c r="D102" s="22" t="s">
        <v>66</v>
      </c>
      <c r="E102" s="26">
        <v>656</v>
      </c>
      <c r="F102" s="24">
        <v>36.066879999999998</v>
      </c>
      <c r="G102" s="25">
        <v>0.23997586724653699</v>
      </c>
      <c r="H102" s="27"/>
    </row>
    <row r="103" spans="2:8" x14ac:dyDescent="0.2">
      <c r="B103" s="22" t="s">
        <v>241</v>
      </c>
      <c r="C103" s="22" t="s">
        <v>242</v>
      </c>
      <c r="D103" s="22" t="s">
        <v>34</v>
      </c>
      <c r="E103" s="26">
        <v>2382</v>
      </c>
      <c r="F103" s="24">
        <v>36.046805999999997</v>
      </c>
      <c r="G103" s="25">
        <v>0.239842302170791</v>
      </c>
      <c r="H103" s="27"/>
    </row>
    <row r="104" spans="2:8" x14ac:dyDescent="0.2">
      <c r="B104" s="22" t="s">
        <v>122</v>
      </c>
      <c r="C104" s="22" t="s">
        <v>123</v>
      </c>
      <c r="D104" s="22" t="s">
        <v>76</v>
      </c>
      <c r="E104" s="26">
        <v>23165</v>
      </c>
      <c r="F104" s="24">
        <v>36.007675999999996</v>
      </c>
      <c r="G104" s="25">
        <v>0.239581945420072</v>
      </c>
      <c r="H104" s="27"/>
    </row>
    <row r="105" spans="2:8" x14ac:dyDescent="0.2">
      <c r="B105" s="22" t="s">
        <v>261</v>
      </c>
      <c r="C105" s="22" t="s">
        <v>262</v>
      </c>
      <c r="D105" s="22" t="s">
        <v>12</v>
      </c>
      <c r="E105" s="26">
        <v>27424</v>
      </c>
      <c r="F105" s="24">
        <v>35.870592000000002</v>
      </c>
      <c r="G105" s="25">
        <v>0.23866983847359899</v>
      </c>
      <c r="H105" s="27"/>
    </row>
    <row r="106" spans="2:8" x14ac:dyDescent="0.2">
      <c r="B106" s="22" t="s">
        <v>117</v>
      </c>
      <c r="C106" s="22" t="s">
        <v>118</v>
      </c>
      <c r="D106" s="22" t="s">
        <v>119</v>
      </c>
      <c r="E106" s="26">
        <v>1013</v>
      </c>
      <c r="F106" s="24">
        <v>35.643417999999997</v>
      </c>
      <c r="G106" s="25">
        <v>0.237158305519657</v>
      </c>
      <c r="H106" s="27"/>
    </row>
    <row r="107" spans="2:8" x14ac:dyDescent="0.2">
      <c r="B107" s="22" t="s">
        <v>528</v>
      </c>
      <c r="C107" s="22" t="s">
        <v>529</v>
      </c>
      <c r="D107" s="22" t="s">
        <v>63</v>
      </c>
      <c r="E107" s="26">
        <v>4491</v>
      </c>
      <c r="F107" s="24">
        <v>35.546264999999998</v>
      </c>
      <c r="G107" s="25">
        <v>0.23651188488580699</v>
      </c>
      <c r="H107" s="27"/>
    </row>
    <row r="108" spans="2:8" x14ac:dyDescent="0.2">
      <c r="B108" s="22" t="s">
        <v>236</v>
      </c>
      <c r="C108" s="22" t="s">
        <v>237</v>
      </c>
      <c r="D108" s="22" t="s">
        <v>238</v>
      </c>
      <c r="E108" s="26">
        <v>5386</v>
      </c>
      <c r="F108" s="24">
        <v>35.237904999999998</v>
      </c>
      <c r="G108" s="25">
        <v>0.23446016989343299</v>
      </c>
      <c r="H108" s="27"/>
    </row>
    <row r="109" spans="2:8" x14ac:dyDescent="0.2">
      <c r="B109" s="22" t="s">
        <v>245</v>
      </c>
      <c r="C109" s="22" t="s">
        <v>246</v>
      </c>
      <c r="D109" s="22" t="s">
        <v>34</v>
      </c>
      <c r="E109" s="26">
        <v>2373</v>
      </c>
      <c r="F109" s="24">
        <v>35.011242000000003</v>
      </c>
      <c r="G109" s="25">
        <v>0.232952036947148</v>
      </c>
      <c r="H109" s="27"/>
    </row>
    <row r="110" spans="2:8" x14ac:dyDescent="0.2">
      <c r="B110" s="22" t="s">
        <v>370</v>
      </c>
      <c r="C110" s="22" t="s">
        <v>371</v>
      </c>
      <c r="D110" s="22" t="s">
        <v>66</v>
      </c>
      <c r="E110" s="26">
        <v>8028</v>
      </c>
      <c r="F110" s="24">
        <v>34.412022</v>
      </c>
      <c r="G110" s="25">
        <v>0.22896504558079001</v>
      </c>
      <c r="H110" s="27"/>
    </row>
    <row r="111" spans="2:8" x14ac:dyDescent="0.2">
      <c r="B111" s="22" t="s">
        <v>99</v>
      </c>
      <c r="C111" s="22" t="s">
        <v>100</v>
      </c>
      <c r="D111" s="22" t="s">
        <v>12</v>
      </c>
      <c r="E111" s="26">
        <v>147331</v>
      </c>
      <c r="F111" s="24">
        <v>34.1071265</v>
      </c>
      <c r="G111" s="25">
        <v>0.22693638210804001</v>
      </c>
      <c r="H111" s="27"/>
    </row>
    <row r="112" spans="2:8" x14ac:dyDescent="0.2">
      <c r="B112" s="22" t="s">
        <v>339</v>
      </c>
      <c r="C112" s="22" t="s">
        <v>340</v>
      </c>
      <c r="D112" s="22" t="s">
        <v>251</v>
      </c>
      <c r="E112" s="26">
        <v>1233</v>
      </c>
      <c r="F112" s="24">
        <v>33.485813999999998</v>
      </c>
      <c r="G112" s="25">
        <v>0.22280239530300999</v>
      </c>
      <c r="H112" s="27"/>
    </row>
    <row r="113" spans="2:8" x14ac:dyDescent="0.2">
      <c r="B113" s="22" t="s">
        <v>343</v>
      </c>
      <c r="C113" s="22" t="s">
        <v>344</v>
      </c>
      <c r="D113" s="22" t="s">
        <v>111</v>
      </c>
      <c r="E113" s="26">
        <v>7876</v>
      </c>
      <c r="F113" s="24">
        <v>33.429682</v>
      </c>
      <c r="G113" s="25">
        <v>0.22242891344429899</v>
      </c>
      <c r="H113" s="27"/>
    </row>
    <row r="114" spans="2:8" x14ac:dyDescent="0.2">
      <c r="B114" s="22" t="s">
        <v>333</v>
      </c>
      <c r="C114" s="22" t="s">
        <v>334</v>
      </c>
      <c r="D114" s="22" t="s">
        <v>314</v>
      </c>
      <c r="E114" s="26">
        <v>2985</v>
      </c>
      <c r="F114" s="24">
        <v>33.396180000000001</v>
      </c>
      <c r="G114" s="25">
        <v>0.22220600335325499</v>
      </c>
      <c r="H114" s="27"/>
    </row>
    <row r="115" spans="2:8" x14ac:dyDescent="0.2">
      <c r="B115" s="22" t="s">
        <v>362</v>
      </c>
      <c r="C115" s="22" t="s">
        <v>363</v>
      </c>
      <c r="D115" s="22" t="s">
        <v>272</v>
      </c>
      <c r="E115" s="26">
        <v>1808</v>
      </c>
      <c r="F115" s="24">
        <v>32.023296000000002</v>
      </c>
      <c r="G115" s="25">
        <v>0.21307133385789201</v>
      </c>
      <c r="H115" s="27"/>
    </row>
    <row r="116" spans="2:8" x14ac:dyDescent="0.2">
      <c r="B116" s="22" t="s">
        <v>268</v>
      </c>
      <c r="C116" s="22" t="s">
        <v>269</v>
      </c>
      <c r="D116" s="22" t="s">
        <v>151</v>
      </c>
      <c r="E116" s="26">
        <v>432</v>
      </c>
      <c r="F116" s="24">
        <v>31.33296</v>
      </c>
      <c r="G116" s="25">
        <v>0.20847808985421101</v>
      </c>
      <c r="H116" s="27"/>
    </row>
    <row r="117" spans="2:8" x14ac:dyDescent="0.2">
      <c r="B117" s="22" t="s">
        <v>252</v>
      </c>
      <c r="C117" s="22" t="s">
        <v>253</v>
      </c>
      <c r="D117" s="22" t="s">
        <v>105</v>
      </c>
      <c r="E117" s="26">
        <v>298</v>
      </c>
      <c r="F117" s="24">
        <v>30.875779999999999</v>
      </c>
      <c r="G117" s="25">
        <v>0.205436180851054</v>
      </c>
      <c r="H117" s="27"/>
    </row>
    <row r="118" spans="2:8" x14ac:dyDescent="0.2">
      <c r="B118" s="22" t="s">
        <v>337</v>
      </c>
      <c r="C118" s="22" t="s">
        <v>338</v>
      </c>
      <c r="D118" s="22" t="s">
        <v>66</v>
      </c>
      <c r="E118" s="26">
        <v>2151</v>
      </c>
      <c r="F118" s="24">
        <v>30.681864000000001</v>
      </c>
      <c r="G118" s="25">
        <v>0.204145934501135</v>
      </c>
      <c r="H118" s="27"/>
    </row>
    <row r="119" spans="2:8" x14ac:dyDescent="0.2">
      <c r="B119" s="22" t="s">
        <v>120</v>
      </c>
      <c r="C119" s="22" t="s">
        <v>121</v>
      </c>
      <c r="D119" s="22" t="s">
        <v>20</v>
      </c>
      <c r="E119" s="26">
        <v>7746</v>
      </c>
      <c r="F119" s="24">
        <v>30.507621</v>
      </c>
      <c r="G119" s="25">
        <v>0.20298658511919099</v>
      </c>
      <c r="H119" s="27"/>
    </row>
    <row r="120" spans="2:8" x14ac:dyDescent="0.2">
      <c r="B120" s="22" t="s">
        <v>273</v>
      </c>
      <c r="C120" s="22" t="s">
        <v>274</v>
      </c>
      <c r="D120" s="22" t="s">
        <v>12</v>
      </c>
      <c r="E120" s="26">
        <v>28753</v>
      </c>
      <c r="F120" s="24">
        <v>30.492556499999999</v>
      </c>
      <c r="G120" s="25">
        <v>0.20288635142966399</v>
      </c>
      <c r="H120" s="27"/>
    </row>
    <row r="121" spans="2:8" x14ac:dyDescent="0.2">
      <c r="B121" s="22" t="s">
        <v>395</v>
      </c>
      <c r="C121" s="22" t="s">
        <v>396</v>
      </c>
      <c r="D121" s="22" t="s">
        <v>66</v>
      </c>
      <c r="E121" s="26">
        <v>1270</v>
      </c>
      <c r="F121" s="24">
        <v>30.170120000000001</v>
      </c>
      <c r="G121" s="25">
        <v>0.20074097653947501</v>
      </c>
      <c r="H121" s="27"/>
    </row>
    <row r="122" spans="2:8" x14ac:dyDescent="0.2">
      <c r="B122" s="22" t="s">
        <v>293</v>
      </c>
      <c r="C122" s="22" t="s">
        <v>294</v>
      </c>
      <c r="D122" s="22" t="s">
        <v>66</v>
      </c>
      <c r="E122" s="26">
        <v>2781</v>
      </c>
      <c r="F122" s="24">
        <v>29.970837</v>
      </c>
      <c r="G122" s="25">
        <v>0.19941502012870499</v>
      </c>
      <c r="H122" s="27"/>
    </row>
    <row r="123" spans="2:8" x14ac:dyDescent="0.2">
      <c r="B123" s="22" t="s">
        <v>277</v>
      </c>
      <c r="C123" s="22" t="s">
        <v>278</v>
      </c>
      <c r="D123" s="22" t="s">
        <v>151</v>
      </c>
      <c r="E123" s="26">
        <v>770</v>
      </c>
      <c r="F123" s="24">
        <v>29.815169999999998</v>
      </c>
      <c r="G123" s="25">
        <v>0.198379268676773</v>
      </c>
      <c r="H123" s="27"/>
    </row>
    <row r="124" spans="2:8" x14ac:dyDescent="0.2">
      <c r="B124" s="22" t="s">
        <v>403</v>
      </c>
      <c r="C124" s="22" t="s">
        <v>404</v>
      </c>
      <c r="D124" s="22" t="s">
        <v>75</v>
      </c>
      <c r="E124" s="26">
        <v>24001</v>
      </c>
      <c r="F124" s="24">
        <v>29.2260177</v>
      </c>
      <c r="G124" s="25">
        <v>0.19445926411489201</v>
      </c>
      <c r="H124" s="27"/>
    </row>
    <row r="125" spans="2:8" x14ac:dyDescent="0.2">
      <c r="B125" s="22" t="s">
        <v>468</v>
      </c>
      <c r="C125" s="22" t="s">
        <v>469</v>
      </c>
      <c r="D125" s="22" t="s">
        <v>238</v>
      </c>
      <c r="E125" s="26">
        <v>5698</v>
      </c>
      <c r="F125" s="24">
        <v>29.051252999999999</v>
      </c>
      <c r="G125" s="25">
        <v>0.193296443531393</v>
      </c>
      <c r="H125" s="27"/>
    </row>
    <row r="126" spans="2:8" x14ac:dyDescent="0.2">
      <c r="B126" s="22" t="s">
        <v>258</v>
      </c>
      <c r="C126" s="22" t="s">
        <v>259</v>
      </c>
      <c r="D126" s="22" t="s">
        <v>260</v>
      </c>
      <c r="E126" s="26">
        <v>17605</v>
      </c>
      <c r="F126" s="24">
        <v>28.961985500000001</v>
      </c>
      <c r="G126" s="25">
        <v>0.19270249013898899</v>
      </c>
      <c r="H126" s="27"/>
    </row>
    <row r="127" spans="2:8" x14ac:dyDescent="0.2">
      <c r="B127" s="22" t="s">
        <v>263</v>
      </c>
      <c r="C127" s="22" t="s">
        <v>264</v>
      </c>
      <c r="D127" s="22" t="s">
        <v>105</v>
      </c>
      <c r="E127" s="26">
        <v>8570</v>
      </c>
      <c r="F127" s="24">
        <v>28.936605</v>
      </c>
      <c r="G127" s="25">
        <v>0.192533617547331</v>
      </c>
      <c r="H127" s="27"/>
    </row>
    <row r="128" spans="2:8" x14ac:dyDescent="0.2">
      <c r="B128" s="22" t="s">
        <v>279</v>
      </c>
      <c r="C128" s="22" t="s">
        <v>280</v>
      </c>
      <c r="D128" s="22" t="s">
        <v>151</v>
      </c>
      <c r="E128" s="26">
        <v>749</v>
      </c>
      <c r="F128" s="24">
        <v>28.79156</v>
      </c>
      <c r="G128" s="25">
        <v>0.191568541009943</v>
      </c>
      <c r="H128" s="27"/>
    </row>
    <row r="129" spans="2:8" x14ac:dyDescent="0.2">
      <c r="B129" s="22" t="s">
        <v>281</v>
      </c>
      <c r="C129" s="22" t="s">
        <v>282</v>
      </c>
      <c r="D129" s="22" t="s">
        <v>58</v>
      </c>
      <c r="E129" s="26">
        <v>113</v>
      </c>
      <c r="F129" s="24">
        <v>28.560749999999999</v>
      </c>
      <c r="G129" s="25">
        <v>0.190032815437918</v>
      </c>
      <c r="H129" s="27"/>
    </row>
    <row r="130" spans="2:8" x14ac:dyDescent="0.2">
      <c r="B130" s="22" t="s">
        <v>364</v>
      </c>
      <c r="C130" s="22" t="s">
        <v>365</v>
      </c>
      <c r="D130" s="22" t="s">
        <v>221</v>
      </c>
      <c r="E130" s="26">
        <v>523</v>
      </c>
      <c r="F130" s="24">
        <v>27.549025</v>
      </c>
      <c r="G130" s="25">
        <v>0.183301166227062</v>
      </c>
      <c r="H130" s="27"/>
    </row>
    <row r="131" spans="2:8" x14ac:dyDescent="0.2">
      <c r="B131" s="22" t="s">
        <v>347</v>
      </c>
      <c r="C131" s="22" t="s">
        <v>348</v>
      </c>
      <c r="D131" s="22" t="s">
        <v>349</v>
      </c>
      <c r="E131" s="26">
        <v>4269</v>
      </c>
      <c r="F131" s="24">
        <v>27.526512</v>
      </c>
      <c r="G131" s="25">
        <v>0.18315137293473099</v>
      </c>
      <c r="H131" s="27"/>
    </row>
    <row r="132" spans="2:8" x14ac:dyDescent="0.2">
      <c r="B132" s="22" t="s">
        <v>360</v>
      </c>
      <c r="C132" s="22" t="s">
        <v>361</v>
      </c>
      <c r="D132" s="22" t="s">
        <v>221</v>
      </c>
      <c r="E132" s="26">
        <v>1481</v>
      </c>
      <c r="F132" s="24">
        <v>27.118590999999999</v>
      </c>
      <c r="G132" s="25">
        <v>0.18043721535461699</v>
      </c>
      <c r="H132" s="27"/>
    </row>
    <row r="133" spans="2:8" x14ac:dyDescent="0.2">
      <c r="B133" s="22" t="s">
        <v>283</v>
      </c>
      <c r="C133" s="22" t="s">
        <v>284</v>
      </c>
      <c r="D133" s="22" t="s">
        <v>12</v>
      </c>
      <c r="E133" s="26">
        <v>15980</v>
      </c>
      <c r="F133" s="24">
        <v>26.827224000000001</v>
      </c>
      <c r="G133" s="25">
        <v>0.17849856558751701</v>
      </c>
      <c r="H133" s="27"/>
    </row>
    <row r="134" spans="2:8" x14ac:dyDescent="0.2">
      <c r="B134" s="22" t="s">
        <v>613</v>
      </c>
      <c r="C134" s="22" t="s">
        <v>614</v>
      </c>
      <c r="D134" s="22" t="s">
        <v>301</v>
      </c>
      <c r="E134" s="26">
        <v>842</v>
      </c>
      <c r="F134" s="24">
        <v>26.384912</v>
      </c>
      <c r="G134" s="25">
        <v>0.17555558283454401</v>
      </c>
      <c r="H134" s="27"/>
    </row>
    <row r="135" spans="2:8" x14ac:dyDescent="0.2">
      <c r="B135" s="22" t="s">
        <v>211</v>
      </c>
      <c r="C135" s="22" t="s">
        <v>212</v>
      </c>
      <c r="D135" s="22" t="s">
        <v>28</v>
      </c>
      <c r="E135" s="26">
        <v>12849</v>
      </c>
      <c r="F135" s="24">
        <v>26.244082500000001</v>
      </c>
      <c r="G135" s="25">
        <v>0.17461855469691701</v>
      </c>
      <c r="H135" s="27"/>
    </row>
    <row r="136" spans="2:8" x14ac:dyDescent="0.2">
      <c r="B136" s="22" t="s">
        <v>415</v>
      </c>
      <c r="C136" s="22" t="s">
        <v>416</v>
      </c>
      <c r="D136" s="22" t="s">
        <v>17</v>
      </c>
      <c r="E136" s="26">
        <v>1330</v>
      </c>
      <c r="F136" s="24">
        <v>26.134499999999999</v>
      </c>
      <c r="G136" s="25">
        <v>0.173889432702652</v>
      </c>
      <c r="H136" s="27"/>
    </row>
    <row r="137" spans="2:8" x14ac:dyDescent="0.2">
      <c r="B137" s="22" t="s">
        <v>358</v>
      </c>
      <c r="C137" s="22" t="s">
        <v>359</v>
      </c>
      <c r="D137" s="22" t="s">
        <v>49</v>
      </c>
      <c r="E137" s="26">
        <v>830</v>
      </c>
      <c r="F137" s="24">
        <v>26.073619999999998</v>
      </c>
      <c r="G137" s="25">
        <v>0.17348435938336301</v>
      </c>
      <c r="H137" s="27"/>
    </row>
    <row r="138" spans="2:8" x14ac:dyDescent="0.2">
      <c r="B138" s="22" t="s">
        <v>95</v>
      </c>
      <c r="C138" s="22" t="s">
        <v>96</v>
      </c>
      <c r="D138" s="22" t="s">
        <v>46</v>
      </c>
      <c r="E138" s="26">
        <v>12656</v>
      </c>
      <c r="F138" s="24">
        <v>25.865067199999999</v>
      </c>
      <c r="G138" s="25">
        <v>0.17209672510374999</v>
      </c>
      <c r="H138" s="27"/>
    </row>
    <row r="139" spans="2:8" x14ac:dyDescent="0.2">
      <c r="B139" s="22" t="s">
        <v>317</v>
      </c>
      <c r="C139" s="22" t="s">
        <v>318</v>
      </c>
      <c r="D139" s="22" t="s">
        <v>28</v>
      </c>
      <c r="E139" s="26">
        <v>490</v>
      </c>
      <c r="F139" s="24">
        <v>25.452069999999999</v>
      </c>
      <c r="G139" s="25">
        <v>0.16934879233994099</v>
      </c>
      <c r="H139" s="27"/>
    </row>
    <row r="140" spans="2:8" x14ac:dyDescent="0.2">
      <c r="B140" s="22" t="s">
        <v>295</v>
      </c>
      <c r="C140" s="22" t="s">
        <v>296</v>
      </c>
      <c r="D140" s="22" t="s">
        <v>272</v>
      </c>
      <c r="E140" s="26">
        <v>2705</v>
      </c>
      <c r="F140" s="24">
        <v>25.375605</v>
      </c>
      <c r="G140" s="25">
        <v>0.16884002211393201</v>
      </c>
      <c r="H140" s="27"/>
    </row>
    <row r="141" spans="2:8" x14ac:dyDescent="0.2">
      <c r="B141" s="22" t="s">
        <v>397</v>
      </c>
      <c r="C141" s="22" t="s">
        <v>398</v>
      </c>
      <c r="D141" s="22" t="s">
        <v>272</v>
      </c>
      <c r="E141" s="26">
        <v>1429</v>
      </c>
      <c r="F141" s="24">
        <v>25.188983</v>
      </c>
      <c r="G141" s="25">
        <v>0.16759830738015799</v>
      </c>
      <c r="H141" s="27"/>
    </row>
    <row r="142" spans="2:8" x14ac:dyDescent="0.2">
      <c r="B142" s="22" t="s">
        <v>381</v>
      </c>
      <c r="C142" s="22" t="s">
        <v>382</v>
      </c>
      <c r="D142" s="22" t="s">
        <v>77</v>
      </c>
      <c r="E142" s="26">
        <v>2134</v>
      </c>
      <c r="F142" s="24">
        <v>25.112912000000001</v>
      </c>
      <c r="G142" s="25">
        <v>0.16709215868647201</v>
      </c>
      <c r="H142" s="27"/>
    </row>
    <row r="143" spans="2:8" x14ac:dyDescent="0.2">
      <c r="B143" s="22" t="s">
        <v>372</v>
      </c>
      <c r="C143" s="22" t="s">
        <v>373</v>
      </c>
      <c r="D143" s="22" t="s">
        <v>374</v>
      </c>
      <c r="E143" s="26">
        <v>28427</v>
      </c>
      <c r="F143" s="24">
        <v>25.012917300000002</v>
      </c>
      <c r="G143" s="25">
        <v>0.166426830417086</v>
      </c>
      <c r="H143" s="27"/>
    </row>
    <row r="144" spans="2:8" x14ac:dyDescent="0.2">
      <c r="B144" s="22" t="s">
        <v>463</v>
      </c>
      <c r="C144" s="22" t="s">
        <v>464</v>
      </c>
      <c r="D144" s="22" t="s">
        <v>55</v>
      </c>
      <c r="E144" s="26">
        <v>5381</v>
      </c>
      <c r="F144" s="24">
        <v>24.949006499999999</v>
      </c>
      <c r="G144" s="25">
        <v>0.16600159125982</v>
      </c>
      <c r="H144" s="27"/>
    </row>
    <row r="145" spans="2:8" x14ac:dyDescent="0.2">
      <c r="B145" s="22" t="s">
        <v>285</v>
      </c>
      <c r="C145" s="22" t="s">
        <v>286</v>
      </c>
      <c r="D145" s="22" t="s">
        <v>49</v>
      </c>
      <c r="E145" s="26">
        <v>67</v>
      </c>
      <c r="F145" s="24">
        <v>24.53875</v>
      </c>
      <c r="G145" s="25">
        <v>0.16327189411437701</v>
      </c>
      <c r="H145" s="27"/>
    </row>
    <row r="146" spans="2:8" x14ac:dyDescent="0.2">
      <c r="B146" s="22" t="s">
        <v>356</v>
      </c>
      <c r="C146" s="22" t="s">
        <v>357</v>
      </c>
      <c r="D146" s="22" t="s">
        <v>66</v>
      </c>
      <c r="E146" s="26">
        <v>1076</v>
      </c>
      <c r="F146" s="24">
        <v>24.477924000000002</v>
      </c>
      <c r="G146" s="25">
        <v>0.162867180091397</v>
      </c>
      <c r="H146" s="27"/>
    </row>
    <row r="147" spans="2:8" x14ac:dyDescent="0.2">
      <c r="B147" s="22" t="s">
        <v>106</v>
      </c>
      <c r="C147" s="22" t="s">
        <v>107</v>
      </c>
      <c r="D147" s="22" t="s">
        <v>66</v>
      </c>
      <c r="E147" s="26">
        <v>1568</v>
      </c>
      <c r="F147" s="24">
        <v>23.902591999999999</v>
      </c>
      <c r="G147" s="25">
        <v>0.15903913076595799</v>
      </c>
      <c r="H147" s="27"/>
    </row>
    <row r="148" spans="2:8" x14ac:dyDescent="0.2">
      <c r="B148" s="22" t="s">
        <v>389</v>
      </c>
      <c r="C148" s="22" t="s">
        <v>390</v>
      </c>
      <c r="D148" s="22" t="s">
        <v>77</v>
      </c>
      <c r="E148" s="26">
        <v>1918</v>
      </c>
      <c r="F148" s="24">
        <v>23.892526</v>
      </c>
      <c r="G148" s="25">
        <v>0.15897215527266101</v>
      </c>
      <c r="H148" s="27"/>
    </row>
    <row r="149" spans="2:8" x14ac:dyDescent="0.2">
      <c r="B149" s="22" t="s">
        <v>275</v>
      </c>
      <c r="C149" s="22" t="s">
        <v>276</v>
      </c>
      <c r="D149" s="22" t="s">
        <v>105</v>
      </c>
      <c r="E149" s="26">
        <v>706</v>
      </c>
      <c r="F149" s="24">
        <v>23.600874000000001</v>
      </c>
      <c r="G149" s="25">
        <v>0.15703160921949</v>
      </c>
      <c r="H149" s="27"/>
    </row>
    <row r="150" spans="2:8" x14ac:dyDescent="0.2">
      <c r="B150" s="22" t="s">
        <v>375</v>
      </c>
      <c r="C150" s="22" t="s">
        <v>376</v>
      </c>
      <c r="D150" s="22" t="s">
        <v>151</v>
      </c>
      <c r="E150" s="26">
        <v>737</v>
      </c>
      <c r="F150" s="24">
        <v>23.147696</v>
      </c>
      <c r="G150" s="25">
        <v>0.15401632806495</v>
      </c>
      <c r="H150" s="27"/>
    </row>
    <row r="151" spans="2:8" x14ac:dyDescent="0.2">
      <c r="B151" s="22" t="s">
        <v>291</v>
      </c>
      <c r="C151" s="22" t="s">
        <v>292</v>
      </c>
      <c r="D151" s="22" t="s">
        <v>58</v>
      </c>
      <c r="E151" s="26">
        <v>5165</v>
      </c>
      <c r="F151" s="24">
        <v>23.131452500000002</v>
      </c>
      <c r="G151" s="25">
        <v>0.15390824973936101</v>
      </c>
      <c r="H151" s="27"/>
    </row>
    <row r="152" spans="2:8" x14ac:dyDescent="0.2">
      <c r="B152" s="22" t="s">
        <v>383</v>
      </c>
      <c r="C152" s="22" t="s">
        <v>384</v>
      </c>
      <c r="D152" s="22" t="s">
        <v>12</v>
      </c>
      <c r="E152" s="26">
        <v>2762</v>
      </c>
      <c r="F152" s="24">
        <v>23.007459999999998</v>
      </c>
      <c r="G152" s="25">
        <v>0.15308324885989599</v>
      </c>
      <c r="H152" s="27"/>
    </row>
    <row r="153" spans="2:8" x14ac:dyDescent="0.2">
      <c r="B153" s="22" t="s">
        <v>510</v>
      </c>
      <c r="C153" s="22" t="s">
        <v>511</v>
      </c>
      <c r="D153" s="22" t="s">
        <v>12</v>
      </c>
      <c r="E153" s="26">
        <v>7920</v>
      </c>
      <c r="F153" s="24">
        <v>22.869</v>
      </c>
      <c r="G153" s="25">
        <v>0.152161986511199</v>
      </c>
      <c r="H153" s="27"/>
    </row>
    <row r="154" spans="2:8" x14ac:dyDescent="0.2">
      <c r="B154" s="22" t="s">
        <v>401</v>
      </c>
      <c r="C154" s="22" t="s">
        <v>402</v>
      </c>
      <c r="D154" s="22" t="s">
        <v>80</v>
      </c>
      <c r="E154" s="26">
        <v>4779</v>
      </c>
      <c r="F154" s="24">
        <v>22.755208499999998</v>
      </c>
      <c r="G154" s="25">
        <v>0.151404859365802</v>
      </c>
      <c r="H154" s="27"/>
    </row>
    <row r="155" spans="2:8" x14ac:dyDescent="0.2">
      <c r="B155" s="22" t="s">
        <v>287</v>
      </c>
      <c r="C155" s="22" t="s">
        <v>288</v>
      </c>
      <c r="D155" s="22" t="s">
        <v>111</v>
      </c>
      <c r="E155" s="26">
        <v>3562</v>
      </c>
      <c r="F155" s="24">
        <v>22.545679</v>
      </c>
      <c r="G155" s="25">
        <v>0.15001072648055599</v>
      </c>
      <c r="H155" s="27"/>
    </row>
    <row r="156" spans="2:8" x14ac:dyDescent="0.2">
      <c r="B156" s="22" t="s">
        <v>325</v>
      </c>
      <c r="C156" s="22" t="s">
        <v>326</v>
      </c>
      <c r="D156" s="22" t="s">
        <v>28</v>
      </c>
      <c r="E156" s="26">
        <v>1576</v>
      </c>
      <c r="F156" s="24">
        <v>22.407568000000001</v>
      </c>
      <c r="G156" s="25">
        <v>0.149091786250592</v>
      </c>
      <c r="H156" s="27"/>
    </row>
    <row r="157" spans="2:8" x14ac:dyDescent="0.2">
      <c r="B157" s="22" t="s">
        <v>627</v>
      </c>
      <c r="C157" s="22" t="s">
        <v>628</v>
      </c>
      <c r="D157" s="22" t="s">
        <v>301</v>
      </c>
      <c r="E157" s="26">
        <v>2056</v>
      </c>
      <c r="F157" s="24">
        <v>22.380587999999999</v>
      </c>
      <c r="G157" s="25">
        <v>0.14891227116921199</v>
      </c>
      <c r="H157" s="27"/>
    </row>
    <row r="158" spans="2:8" x14ac:dyDescent="0.2">
      <c r="B158" s="22" t="s">
        <v>413</v>
      </c>
      <c r="C158" s="22" t="s">
        <v>414</v>
      </c>
      <c r="D158" s="22" t="s">
        <v>272</v>
      </c>
      <c r="E158" s="26">
        <v>1631</v>
      </c>
      <c r="F158" s="24">
        <v>22.331651999999998</v>
      </c>
      <c r="G158" s="25">
        <v>0.14858666887038299</v>
      </c>
      <c r="H158" s="27"/>
    </row>
    <row r="159" spans="2:8" x14ac:dyDescent="0.2">
      <c r="B159" s="22" t="s">
        <v>508</v>
      </c>
      <c r="C159" s="22" t="s">
        <v>509</v>
      </c>
      <c r="D159" s="22" t="s">
        <v>301</v>
      </c>
      <c r="E159" s="26">
        <v>62</v>
      </c>
      <c r="F159" s="24">
        <v>22.022400000000001</v>
      </c>
      <c r="G159" s="25">
        <v>0.14652901883528899</v>
      </c>
      <c r="H159" s="27"/>
    </row>
    <row r="160" spans="2:8" x14ac:dyDescent="0.2">
      <c r="B160" s="22" t="s">
        <v>354</v>
      </c>
      <c r="C160" s="22" t="s">
        <v>355</v>
      </c>
      <c r="D160" s="22" t="s">
        <v>75</v>
      </c>
      <c r="E160" s="26">
        <v>8520</v>
      </c>
      <c r="F160" s="24">
        <v>21.97308</v>
      </c>
      <c r="G160" s="25">
        <v>0.146200861540492</v>
      </c>
      <c r="H160" s="27"/>
    </row>
    <row r="161" spans="2:8" x14ac:dyDescent="0.2">
      <c r="B161" s="22" t="s">
        <v>368</v>
      </c>
      <c r="C161" s="22" t="s">
        <v>369</v>
      </c>
      <c r="D161" s="22" t="s">
        <v>34</v>
      </c>
      <c r="E161" s="26">
        <v>3670</v>
      </c>
      <c r="F161" s="24">
        <v>21.838335000000001</v>
      </c>
      <c r="G161" s="25">
        <v>0.14530431744707001</v>
      </c>
      <c r="H161" s="27"/>
    </row>
    <row r="162" spans="2:8" x14ac:dyDescent="0.2">
      <c r="B162" s="22" t="s">
        <v>289</v>
      </c>
      <c r="C162" s="22" t="s">
        <v>290</v>
      </c>
      <c r="D162" s="22" t="s">
        <v>23</v>
      </c>
      <c r="E162" s="26">
        <v>1116</v>
      </c>
      <c r="F162" s="24">
        <v>21.47184</v>
      </c>
      <c r="G162" s="25">
        <v>0.142865793364407</v>
      </c>
      <c r="H162" s="27"/>
    </row>
    <row r="163" spans="2:8" x14ac:dyDescent="0.2">
      <c r="B163" s="22" t="s">
        <v>514</v>
      </c>
      <c r="C163" s="22" t="s">
        <v>515</v>
      </c>
      <c r="D163" s="22" t="s">
        <v>251</v>
      </c>
      <c r="E163" s="26">
        <v>301</v>
      </c>
      <c r="F163" s="24">
        <v>21.458290000000002</v>
      </c>
      <c r="G163" s="25">
        <v>0.142775636605597</v>
      </c>
      <c r="H163" s="27"/>
    </row>
    <row r="164" spans="2:8" x14ac:dyDescent="0.2">
      <c r="B164" s="22" t="s">
        <v>633</v>
      </c>
      <c r="C164" s="22" t="s">
        <v>634</v>
      </c>
      <c r="D164" s="22" t="s">
        <v>500</v>
      </c>
      <c r="E164" s="26">
        <v>452</v>
      </c>
      <c r="F164" s="24">
        <v>21.111564000000001</v>
      </c>
      <c r="G164" s="25">
        <v>0.14046864823990199</v>
      </c>
      <c r="H164" s="27"/>
    </row>
    <row r="165" spans="2:8" x14ac:dyDescent="0.2">
      <c r="B165" s="22" t="s">
        <v>631</v>
      </c>
      <c r="C165" s="22" t="s">
        <v>632</v>
      </c>
      <c r="D165" s="22" t="s">
        <v>77</v>
      </c>
      <c r="E165" s="26">
        <v>4337</v>
      </c>
      <c r="F165" s="24">
        <v>20.928193499999999</v>
      </c>
      <c r="G165" s="25">
        <v>0.139248567801424</v>
      </c>
      <c r="H165" s="27"/>
    </row>
    <row r="166" spans="2:8" x14ac:dyDescent="0.2">
      <c r="B166" s="22" t="s">
        <v>385</v>
      </c>
      <c r="C166" s="22" t="s">
        <v>386</v>
      </c>
      <c r="D166" s="22" t="s">
        <v>105</v>
      </c>
      <c r="E166" s="26">
        <v>483</v>
      </c>
      <c r="F166" s="24">
        <v>20.232386999999999</v>
      </c>
      <c r="G166" s="25">
        <v>0.134618925085634</v>
      </c>
      <c r="H166" s="27"/>
    </row>
    <row r="167" spans="2:8" x14ac:dyDescent="0.2">
      <c r="B167" s="22" t="s">
        <v>512</v>
      </c>
      <c r="C167" s="22" t="s">
        <v>513</v>
      </c>
      <c r="D167" s="22" t="s">
        <v>49</v>
      </c>
      <c r="E167" s="26">
        <v>3318</v>
      </c>
      <c r="F167" s="24">
        <v>20.155190999999999</v>
      </c>
      <c r="G167" s="25">
        <v>0.13410529105219501</v>
      </c>
      <c r="H167" s="27"/>
    </row>
    <row r="168" spans="2:8" x14ac:dyDescent="0.2">
      <c r="B168" s="22" t="s">
        <v>379</v>
      </c>
      <c r="C168" s="22" t="s">
        <v>380</v>
      </c>
      <c r="D168" s="22" t="s">
        <v>105</v>
      </c>
      <c r="E168" s="26">
        <v>5517</v>
      </c>
      <c r="F168" s="24">
        <v>20.043261000000001</v>
      </c>
      <c r="G168" s="25">
        <v>0.13336054964897701</v>
      </c>
      <c r="H168" s="27"/>
    </row>
    <row r="169" spans="2:8" x14ac:dyDescent="0.2">
      <c r="B169" s="22" t="s">
        <v>88</v>
      </c>
      <c r="C169" s="22" t="s">
        <v>89</v>
      </c>
      <c r="D169" s="22" t="s">
        <v>90</v>
      </c>
      <c r="E169" s="26">
        <v>1095</v>
      </c>
      <c r="F169" s="24">
        <v>20.039594999999998</v>
      </c>
      <c r="G169" s="25">
        <v>0.133336157421833</v>
      </c>
      <c r="H169" s="27"/>
    </row>
    <row r="170" spans="2:8" x14ac:dyDescent="0.2">
      <c r="B170" s="22" t="s">
        <v>544</v>
      </c>
      <c r="C170" s="22" t="s">
        <v>545</v>
      </c>
      <c r="D170" s="22" t="s">
        <v>66</v>
      </c>
      <c r="E170" s="26">
        <v>887</v>
      </c>
      <c r="F170" s="24">
        <v>19.9575</v>
      </c>
      <c r="G170" s="25">
        <v>0.13278992722888</v>
      </c>
      <c r="H170" s="27"/>
    </row>
    <row r="171" spans="2:8" x14ac:dyDescent="0.2">
      <c r="B171" s="22" t="s">
        <v>548</v>
      </c>
      <c r="C171" s="22" t="s">
        <v>549</v>
      </c>
      <c r="D171" s="22" t="s">
        <v>66</v>
      </c>
      <c r="E171" s="26">
        <v>888</v>
      </c>
      <c r="F171" s="24">
        <v>19.246511999999999</v>
      </c>
      <c r="G171" s="25">
        <v>0.128059272348228</v>
      </c>
      <c r="H171" s="27"/>
    </row>
    <row r="172" spans="2:8" x14ac:dyDescent="0.2">
      <c r="B172" s="22" t="s">
        <v>465</v>
      </c>
      <c r="C172" s="22" t="s">
        <v>466</v>
      </c>
      <c r="D172" s="22" t="s">
        <v>467</v>
      </c>
      <c r="E172" s="26">
        <v>4214</v>
      </c>
      <c r="F172" s="24">
        <v>19.224267999999999</v>
      </c>
      <c r="G172" s="25">
        <v>0.127911268883803</v>
      </c>
      <c r="H172" s="27"/>
    </row>
    <row r="173" spans="2:8" x14ac:dyDescent="0.2">
      <c r="B173" s="22" t="s">
        <v>265</v>
      </c>
      <c r="C173" s="22" t="s">
        <v>266</v>
      </c>
      <c r="D173" s="22" t="s">
        <v>267</v>
      </c>
      <c r="E173" s="26">
        <v>1865</v>
      </c>
      <c r="F173" s="24">
        <v>19.196445000000001</v>
      </c>
      <c r="G173" s="25">
        <v>0.12772614478783401</v>
      </c>
      <c r="H173" s="27"/>
    </row>
    <row r="174" spans="2:8" x14ac:dyDescent="0.2">
      <c r="B174" s="22" t="s">
        <v>437</v>
      </c>
      <c r="C174" s="22" t="s">
        <v>438</v>
      </c>
      <c r="D174" s="22" t="s">
        <v>272</v>
      </c>
      <c r="E174" s="26">
        <v>1118</v>
      </c>
      <c r="F174" s="24">
        <v>19.085377999999999</v>
      </c>
      <c r="G174" s="25">
        <v>0.12698714547191101</v>
      </c>
      <c r="H174" s="27"/>
    </row>
    <row r="175" spans="2:8" x14ac:dyDescent="0.2">
      <c r="B175" s="22" t="s">
        <v>427</v>
      </c>
      <c r="C175" s="22" t="s">
        <v>428</v>
      </c>
      <c r="D175" s="22" t="s">
        <v>58</v>
      </c>
      <c r="E175" s="26">
        <v>364</v>
      </c>
      <c r="F175" s="24">
        <v>18.82244</v>
      </c>
      <c r="G175" s="25">
        <v>0.12523765190379399</v>
      </c>
      <c r="H175" s="27"/>
    </row>
    <row r="176" spans="2:8" x14ac:dyDescent="0.2">
      <c r="B176" s="22" t="s">
        <v>387</v>
      </c>
      <c r="C176" s="22" t="s">
        <v>388</v>
      </c>
      <c r="D176" s="22" t="s">
        <v>63</v>
      </c>
      <c r="E176" s="26">
        <v>1700</v>
      </c>
      <c r="F176" s="24">
        <v>18.776499999999999</v>
      </c>
      <c r="G176" s="25">
        <v>0.12493198389643299</v>
      </c>
      <c r="H176" s="27"/>
    </row>
    <row r="177" spans="2:8" x14ac:dyDescent="0.2">
      <c r="B177" s="22" t="s">
        <v>393</v>
      </c>
      <c r="C177" s="22" t="s">
        <v>394</v>
      </c>
      <c r="D177" s="22" t="s">
        <v>34</v>
      </c>
      <c r="E177" s="26">
        <v>1322</v>
      </c>
      <c r="F177" s="24">
        <v>18.776365999999999</v>
      </c>
      <c r="G177" s="25">
        <v>0.124931092309298</v>
      </c>
      <c r="H177" s="27"/>
    </row>
    <row r="178" spans="2:8" x14ac:dyDescent="0.2">
      <c r="B178" s="22" t="s">
        <v>425</v>
      </c>
      <c r="C178" s="22" t="s">
        <v>426</v>
      </c>
      <c r="D178" s="22" t="s">
        <v>46</v>
      </c>
      <c r="E178" s="26">
        <v>2733</v>
      </c>
      <c r="F178" s="24">
        <v>18.723783000000001</v>
      </c>
      <c r="G178" s="25">
        <v>0.12458122420239701</v>
      </c>
      <c r="H178" s="27"/>
    </row>
    <row r="179" spans="2:8" x14ac:dyDescent="0.2">
      <c r="B179" s="22" t="s">
        <v>552</v>
      </c>
      <c r="C179" s="22" t="s">
        <v>553</v>
      </c>
      <c r="D179" s="22" t="s">
        <v>66</v>
      </c>
      <c r="E179" s="26">
        <v>918</v>
      </c>
      <c r="F179" s="24">
        <v>18.648251999999999</v>
      </c>
      <c r="G179" s="25">
        <v>0.124078668471793</v>
      </c>
      <c r="H179" s="27"/>
    </row>
    <row r="180" spans="2:8" x14ac:dyDescent="0.2">
      <c r="B180" s="22" t="s">
        <v>554</v>
      </c>
      <c r="C180" s="22" t="s">
        <v>555</v>
      </c>
      <c r="D180" s="22" t="s">
        <v>66</v>
      </c>
      <c r="E180" s="26">
        <v>594</v>
      </c>
      <c r="F180" s="24">
        <v>18.607050000000001</v>
      </c>
      <c r="G180" s="25">
        <v>0.12380452538865799</v>
      </c>
      <c r="H180" s="27"/>
    </row>
    <row r="181" spans="2:8" x14ac:dyDescent="0.2">
      <c r="B181" s="22" t="s">
        <v>405</v>
      </c>
      <c r="C181" s="22" t="s">
        <v>406</v>
      </c>
      <c r="D181" s="22" t="s">
        <v>49</v>
      </c>
      <c r="E181" s="26">
        <v>15</v>
      </c>
      <c r="F181" s="24">
        <v>18.513000000000002</v>
      </c>
      <c r="G181" s="25">
        <v>0.123178750985257</v>
      </c>
      <c r="H181" s="27"/>
    </row>
    <row r="182" spans="2:8" x14ac:dyDescent="0.2">
      <c r="B182" s="22" t="s">
        <v>417</v>
      </c>
      <c r="C182" s="22" t="s">
        <v>418</v>
      </c>
      <c r="D182" s="22" t="s">
        <v>221</v>
      </c>
      <c r="E182" s="26">
        <v>519</v>
      </c>
      <c r="F182" s="24">
        <v>18.419309999999999</v>
      </c>
      <c r="G182" s="25">
        <v>0.122555371890577</v>
      </c>
      <c r="H182" s="27"/>
    </row>
    <row r="183" spans="2:8" x14ac:dyDescent="0.2">
      <c r="B183" s="22" t="s">
        <v>423</v>
      </c>
      <c r="C183" s="22" t="s">
        <v>424</v>
      </c>
      <c r="D183" s="22" t="s">
        <v>151</v>
      </c>
      <c r="E183" s="26">
        <v>140</v>
      </c>
      <c r="F183" s="24">
        <v>18.365200000000002</v>
      </c>
      <c r="G183" s="25">
        <v>0.122195343682517</v>
      </c>
      <c r="H183" s="27"/>
    </row>
    <row r="184" spans="2:8" x14ac:dyDescent="0.2">
      <c r="B184" s="22" t="s">
        <v>419</v>
      </c>
      <c r="C184" s="22" t="s">
        <v>420</v>
      </c>
      <c r="D184" s="22" t="s">
        <v>374</v>
      </c>
      <c r="E184" s="26">
        <v>1019</v>
      </c>
      <c r="F184" s="24">
        <v>18.363399000000001</v>
      </c>
      <c r="G184" s="25">
        <v>0.122183360485276</v>
      </c>
      <c r="H184" s="27"/>
    </row>
    <row r="185" spans="2:8" x14ac:dyDescent="0.2">
      <c r="B185" s="22" t="s">
        <v>421</v>
      </c>
      <c r="C185" s="22" t="s">
        <v>422</v>
      </c>
      <c r="D185" s="22" t="s">
        <v>349</v>
      </c>
      <c r="E185" s="26">
        <v>650</v>
      </c>
      <c r="F185" s="24">
        <v>18.037500000000001</v>
      </c>
      <c r="G185" s="25">
        <v>0.12001494738273499</v>
      </c>
      <c r="H185" s="27"/>
    </row>
    <row r="186" spans="2:8" x14ac:dyDescent="0.2">
      <c r="B186" s="22" t="s">
        <v>558</v>
      </c>
      <c r="C186" s="22" t="s">
        <v>559</v>
      </c>
      <c r="D186" s="22" t="s">
        <v>66</v>
      </c>
      <c r="E186" s="26">
        <v>1541</v>
      </c>
      <c r="F186" s="24">
        <v>17.875599999999999</v>
      </c>
      <c r="G186" s="25">
        <v>0.11893772382175</v>
      </c>
      <c r="H186" s="27"/>
    </row>
    <row r="187" spans="2:8" x14ac:dyDescent="0.2">
      <c r="B187" s="22" t="s">
        <v>433</v>
      </c>
      <c r="C187" s="22" t="s">
        <v>434</v>
      </c>
      <c r="D187" s="22" t="s">
        <v>77</v>
      </c>
      <c r="E187" s="26">
        <v>1100</v>
      </c>
      <c r="F187" s="24">
        <v>17.478999999999999</v>
      </c>
      <c r="G187" s="25">
        <v>0.11629889204728</v>
      </c>
      <c r="H187" s="27"/>
    </row>
    <row r="188" spans="2:8" x14ac:dyDescent="0.2">
      <c r="B188" s="22" t="s">
        <v>139</v>
      </c>
      <c r="C188" s="22" t="s">
        <v>140</v>
      </c>
      <c r="D188" s="22" t="s">
        <v>28</v>
      </c>
      <c r="E188" s="26">
        <v>428</v>
      </c>
      <c r="F188" s="24">
        <v>17.383648000000001</v>
      </c>
      <c r="G188" s="25">
        <v>0.115664454610671</v>
      </c>
      <c r="H188" s="27"/>
    </row>
    <row r="189" spans="2:8" x14ac:dyDescent="0.2">
      <c r="B189" s="22" t="s">
        <v>524</v>
      </c>
      <c r="C189" s="22" t="s">
        <v>525</v>
      </c>
      <c r="D189" s="22" t="s">
        <v>12</v>
      </c>
      <c r="E189" s="26">
        <v>4982</v>
      </c>
      <c r="F189" s="24">
        <v>17.187899999999999</v>
      </c>
      <c r="G189" s="25">
        <v>0.11436201880081499</v>
      </c>
      <c r="H189" s="27"/>
    </row>
    <row r="190" spans="2:8" x14ac:dyDescent="0.2">
      <c r="B190" s="22" t="s">
        <v>407</v>
      </c>
      <c r="C190" s="22" t="s">
        <v>408</v>
      </c>
      <c r="D190" s="22" t="s">
        <v>34</v>
      </c>
      <c r="E190" s="26">
        <v>21702</v>
      </c>
      <c r="F190" s="24">
        <v>17.116367400000001</v>
      </c>
      <c r="G190" s="25">
        <v>0.113886066965741</v>
      </c>
      <c r="H190" s="27"/>
    </row>
    <row r="191" spans="2:8" x14ac:dyDescent="0.2">
      <c r="B191" s="22" t="s">
        <v>435</v>
      </c>
      <c r="C191" s="22" t="s">
        <v>436</v>
      </c>
      <c r="D191" s="22" t="s">
        <v>260</v>
      </c>
      <c r="E191" s="26">
        <v>6104</v>
      </c>
      <c r="F191" s="24">
        <v>16.544892000000001</v>
      </c>
      <c r="G191" s="25">
        <v>0.110083678050341</v>
      </c>
      <c r="H191" s="27"/>
    </row>
    <row r="192" spans="2:8" x14ac:dyDescent="0.2">
      <c r="B192" s="22" t="s">
        <v>701</v>
      </c>
      <c r="C192" s="22" t="s">
        <v>113</v>
      </c>
      <c r="D192" s="22" t="s">
        <v>80</v>
      </c>
      <c r="E192" s="26">
        <v>13647</v>
      </c>
      <c r="F192" s="24">
        <v>16.516281800000002</v>
      </c>
      <c r="G192" s="25">
        <v>0.109893316212636</v>
      </c>
      <c r="H192" s="27"/>
    </row>
    <row r="193" spans="2:8" x14ac:dyDescent="0.2">
      <c r="B193" s="22" t="s">
        <v>700</v>
      </c>
      <c r="C193" s="22" t="s">
        <v>112</v>
      </c>
      <c r="D193" s="22" t="s">
        <v>34</v>
      </c>
      <c r="E193" s="26">
        <v>13647</v>
      </c>
      <c r="F193" s="24">
        <v>16.516281800000002</v>
      </c>
      <c r="G193" s="25">
        <v>0.109893316212636</v>
      </c>
      <c r="H193" s="27"/>
    </row>
    <row r="194" spans="2:8" x14ac:dyDescent="0.2">
      <c r="B194" s="22" t="s">
        <v>702</v>
      </c>
      <c r="C194" s="22" t="s">
        <v>114</v>
      </c>
      <c r="D194" s="22" t="s">
        <v>46</v>
      </c>
      <c r="E194" s="26">
        <v>13647</v>
      </c>
      <c r="F194" s="24">
        <v>16.516281800000002</v>
      </c>
      <c r="G194" s="25">
        <v>0.109893316212636</v>
      </c>
      <c r="H194" s="27"/>
    </row>
    <row r="195" spans="2:8" x14ac:dyDescent="0.2">
      <c r="B195" s="22" t="s">
        <v>699</v>
      </c>
      <c r="C195" s="22" t="s">
        <v>110</v>
      </c>
      <c r="D195" s="22" t="s">
        <v>111</v>
      </c>
      <c r="E195" s="26">
        <v>13647</v>
      </c>
      <c r="F195" s="24">
        <v>16.516281800000002</v>
      </c>
      <c r="G195" s="25">
        <v>0.109893316212636</v>
      </c>
      <c r="H195" s="27"/>
    </row>
    <row r="196" spans="2:8" x14ac:dyDescent="0.2">
      <c r="B196" s="22" t="s">
        <v>518</v>
      </c>
      <c r="C196" s="22" t="s">
        <v>519</v>
      </c>
      <c r="D196" s="22" t="s">
        <v>105</v>
      </c>
      <c r="E196" s="26">
        <v>854</v>
      </c>
      <c r="F196" s="24">
        <v>16.454872000000002</v>
      </c>
      <c r="G196" s="25">
        <v>0.109484717797346</v>
      </c>
      <c r="H196" s="27"/>
    </row>
    <row r="197" spans="2:8" x14ac:dyDescent="0.2">
      <c r="B197" s="22" t="s">
        <v>93</v>
      </c>
      <c r="C197" s="22" t="s">
        <v>94</v>
      </c>
      <c r="D197" s="22" t="s">
        <v>75</v>
      </c>
      <c r="E197" s="26">
        <v>3137</v>
      </c>
      <c r="F197" s="24">
        <v>16.4331745</v>
      </c>
      <c r="G197" s="25">
        <v>0.109340350544632</v>
      </c>
      <c r="H197" s="27"/>
    </row>
    <row r="198" spans="2:8" x14ac:dyDescent="0.2">
      <c r="B198" s="22" t="s">
        <v>564</v>
      </c>
      <c r="C198" s="22" t="s">
        <v>565</v>
      </c>
      <c r="D198" s="22" t="s">
        <v>66</v>
      </c>
      <c r="E198" s="26">
        <v>96</v>
      </c>
      <c r="F198" s="24">
        <v>16.40448</v>
      </c>
      <c r="G198" s="25">
        <v>0.10914942780546801</v>
      </c>
      <c r="H198" s="27"/>
    </row>
    <row r="199" spans="2:8" x14ac:dyDescent="0.2">
      <c r="B199" s="22" t="s">
        <v>431</v>
      </c>
      <c r="C199" s="22" t="s">
        <v>432</v>
      </c>
      <c r="D199" s="22" t="s">
        <v>349</v>
      </c>
      <c r="E199" s="26">
        <v>933</v>
      </c>
      <c r="F199" s="24">
        <v>16.361087999999999</v>
      </c>
      <c r="G199" s="25">
        <v>0.108860713260945</v>
      </c>
      <c r="H199" s="27"/>
    </row>
    <row r="200" spans="2:8" x14ac:dyDescent="0.2">
      <c r="B200" s="22" t="s">
        <v>409</v>
      </c>
      <c r="C200" s="22" t="s">
        <v>410</v>
      </c>
      <c r="D200" s="22" t="s">
        <v>105</v>
      </c>
      <c r="E200" s="26">
        <v>5643</v>
      </c>
      <c r="F200" s="24">
        <v>16.172837999999999</v>
      </c>
      <c r="G200" s="25">
        <v>0.10760816640884199</v>
      </c>
      <c r="H200" s="27"/>
    </row>
    <row r="201" spans="2:8" x14ac:dyDescent="0.2">
      <c r="B201" s="22" t="s">
        <v>443</v>
      </c>
      <c r="C201" s="22" t="s">
        <v>444</v>
      </c>
      <c r="D201" s="22" t="s">
        <v>151</v>
      </c>
      <c r="E201" s="26">
        <v>321</v>
      </c>
      <c r="F201" s="24">
        <v>15.994467</v>
      </c>
      <c r="G201" s="25">
        <v>0.10642135082022899</v>
      </c>
      <c r="H201" s="27"/>
    </row>
    <row r="202" spans="2:8" x14ac:dyDescent="0.2">
      <c r="B202" s="22" t="s">
        <v>476</v>
      </c>
      <c r="C202" s="22" t="s">
        <v>477</v>
      </c>
      <c r="D202" s="22" t="s">
        <v>66</v>
      </c>
      <c r="E202" s="26">
        <v>59</v>
      </c>
      <c r="F202" s="24">
        <v>15.84445</v>
      </c>
      <c r="G202" s="25">
        <v>0.10542319240794799</v>
      </c>
      <c r="H202" s="27"/>
    </row>
    <row r="203" spans="2:8" x14ac:dyDescent="0.2">
      <c r="B203" s="22" t="s">
        <v>299</v>
      </c>
      <c r="C203" s="22" t="s">
        <v>300</v>
      </c>
      <c r="D203" s="22" t="s">
        <v>301</v>
      </c>
      <c r="E203" s="26">
        <v>644</v>
      </c>
      <c r="F203" s="24">
        <v>15.81986</v>
      </c>
      <c r="G203" s="25">
        <v>0.105259579515023</v>
      </c>
      <c r="H203" s="27"/>
    </row>
    <row r="204" spans="2:8" x14ac:dyDescent="0.2">
      <c r="B204" s="22" t="s">
        <v>209</v>
      </c>
      <c r="C204" s="22" t="s">
        <v>210</v>
      </c>
      <c r="D204" s="22" t="s">
        <v>90</v>
      </c>
      <c r="E204" s="26">
        <v>2633</v>
      </c>
      <c r="F204" s="24">
        <v>15.661084000000001</v>
      </c>
      <c r="G204" s="25">
        <v>0.10420314191082899</v>
      </c>
      <c r="H204" s="27"/>
    </row>
    <row r="205" spans="2:8" x14ac:dyDescent="0.2">
      <c r="B205" s="22" t="s">
        <v>530</v>
      </c>
      <c r="C205" s="22" t="s">
        <v>531</v>
      </c>
      <c r="D205" s="22" t="s">
        <v>197</v>
      </c>
      <c r="E205" s="26">
        <v>2063</v>
      </c>
      <c r="F205" s="24">
        <v>15.655075500000001</v>
      </c>
      <c r="G205" s="25">
        <v>0.10416316354291</v>
      </c>
      <c r="H205" s="27"/>
    </row>
    <row r="206" spans="2:8" x14ac:dyDescent="0.2">
      <c r="B206" s="22" t="s">
        <v>532</v>
      </c>
      <c r="C206" s="22" t="s">
        <v>533</v>
      </c>
      <c r="D206" s="22" t="s">
        <v>12</v>
      </c>
      <c r="E206" s="26">
        <v>7501</v>
      </c>
      <c r="F206" s="24">
        <v>15.624582999999999</v>
      </c>
      <c r="G206" s="25">
        <v>0.103960277567411</v>
      </c>
      <c r="H206" s="27"/>
    </row>
    <row r="207" spans="2:8" x14ac:dyDescent="0.2">
      <c r="B207" s="22" t="s">
        <v>536</v>
      </c>
      <c r="C207" s="22" t="s">
        <v>537</v>
      </c>
      <c r="D207" s="22" t="s">
        <v>197</v>
      </c>
      <c r="E207" s="26">
        <v>2145</v>
      </c>
      <c r="F207" s="24">
        <v>15.6231075</v>
      </c>
      <c r="G207" s="25">
        <v>0.10395046012847201</v>
      </c>
      <c r="H207" s="27"/>
    </row>
    <row r="208" spans="2:8" x14ac:dyDescent="0.2">
      <c r="B208" s="22" t="s">
        <v>429</v>
      </c>
      <c r="C208" s="22" t="s">
        <v>430</v>
      </c>
      <c r="D208" s="22" t="s">
        <v>260</v>
      </c>
      <c r="E208" s="26">
        <v>2012</v>
      </c>
      <c r="F208" s="24">
        <v>15.558795999999999</v>
      </c>
      <c r="G208" s="25">
        <v>0.10352255485952599</v>
      </c>
      <c r="H208" s="27"/>
    </row>
    <row r="209" spans="2:8" x14ac:dyDescent="0.2">
      <c r="B209" s="22" t="s">
        <v>441</v>
      </c>
      <c r="C209" s="22" t="s">
        <v>442</v>
      </c>
      <c r="D209" s="22" t="s">
        <v>221</v>
      </c>
      <c r="E209" s="26">
        <v>984</v>
      </c>
      <c r="F209" s="24">
        <v>15.529488000000001</v>
      </c>
      <c r="G209" s="25">
        <v>0.103327550115083</v>
      </c>
      <c r="H209" s="27"/>
    </row>
    <row r="210" spans="2:8" x14ac:dyDescent="0.2">
      <c r="B210" s="22" t="s">
        <v>550</v>
      </c>
      <c r="C210" s="22" t="s">
        <v>551</v>
      </c>
      <c r="D210" s="22" t="s">
        <v>111</v>
      </c>
      <c r="E210" s="26">
        <v>2802</v>
      </c>
      <c r="F210" s="24">
        <v>15.094374</v>
      </c>
      <c r="G210" s="25">
        <v>0.100432460229262</v>
      </c>
      <c r="H210" s="27"/>
    </row>
    <row r="211" spans="2:8" x14ac:dyDescent="0.2">
      <c r="B211" s="22" t="s">
        <v>643</v>
      </c>
      <c r="C211" s="22" t="s">
        <v>644</v>
      </c>
      <c r="D211" s="22" t="s">
        <v>301</v>
      </c>
      <c r="E211" s="26">
        <v>510</v>
      </c>
      <c r="F211" s="24">
        <v>14.80785</v>
      </c>
      <c r="G211" s="25">
        <v>9.8526034018097106E-2</v>
      </c>
      <c r="H211" s="27"/>
    </row>
    <row r="212" spans="2:8" x14ac:dyDescent="0.2">
      <c r="B212" s="22" t="s">
        <v>522</v>
      </c>
      <c r="C212" s="22" t="s">
        <v>523</v>
      </c>
      <c r="D212" s="22" t="s">
        <v>63</v>
      </c>
      <c r="E212" s="26">
        <v>4371</v>
      </c>
      <c r="F212" s="24">
        <v>14.743383</v>
      </c>
      <c r="G212" s="25">
        <v>9.8097094108856697E-2</v>
      </c>
      <c r="H212" s="27"/>
    </row>
    <row r="213" spans="2:8" x14ac:dyDescent="0.2">
      <c r="B213" s="22" t="s">
        <v>439</v>
      </c>
      <c r="C213" s="22" t="s">
        <v>440</v>
      </c>
      <c r="D213" s="22" t="s">
        <v>49</v>
      </c>
      <c r="E213" s="26">
        <v>1329</v>
      </c>
      <c r="F213" s="24">
        <v>14.641593</v>
      </c>
      <c r="G213" s="25">
        <v>9.7419820567950899E-2</v>
      </c>
      <c r="H213" s="27"/>
    </row>
    <row r="214" spans="2:8" x14ac:dyDescent="0.2">
      <c r="B214" s="22" t="s">
        <v>540</v>
      </c>
      <c r="C214" s="22" t="s">
        <v>541</v>
      </c>
      <c r="D214" s="22" t="s">
        <v>23</v>
      </c>
      <c r="E214" s="26">
        <v>1511</v>
      </c>
      <c r="F214" s="24">
        <v>14.567551</v>
      </c>
      <c r="G214" s="25">
        <v>9.6927172100363307E-2</v>
      </c>
      <c r="H214" s="27"/>
    </row>
    <row r="215" spans="2:8" x14ac:dyDescent="0.2">
      <c r="B215" s="22" t="s">
        <v>520</v>
      </c>
      <c r="C215" s="22" t="s">
        <v>521</v>
      </c>
      <c r="D215" s="22" t="s">
        <v>63</v>
      </c>
      <c r="E215" s="26">
        <v>1165</v>
      </c>
      <c r="F215" s="24">
        <v>14.49959</v>
      </c>
      <c r="G215" s="25">
        <v>9.6474984389257099E-2</v>
      </c>
      <c r="H215" s="27"/>
    </row>
    <row r="216" spans="2:8" x14ac:dyDescent="0.2">
      <c r="B216" s="22" t="s">
        <v>534</v>
      </c>
      <c r="C216" s="22" t="s">
        <v>535</v>
      </c>
      <c r="D216" s="22" t="s">
        <v>12</v>
      </c>
      <c r="E216" s="26">
        <v>5670</v>
      </c>
      <c r="F216" s="24">
        <v>14.484014999999999</v>
      </c>
      <c r="G216" s="25">
        <v>9.6371354018890604E-2</v>
      </c>
      <c r="H216" s="27"/>
    </row>
    <row r="217" spans="2:8" x14ac:dyDescent="0.2">
      <c r="B217" s="22" t="s">
        <v>312</v>
      </c>
      <c r="C217" s="22" t="s">
        <v>313</v>
      </c>
      <c r="D217" s="22" t="s">
        <v>314</v>
      </c>
      <c r="E217" s="26">
        <v>836</v>
      </c>
      <c r="F217" s="24">
        <v>14.232900000000001</v>
      </c>
      <c r="G217" s="25">
        <v>9.47005263813568E-2</v>
      </c>
      <c r="H217" s="27"/>
    </row>
    <row r="218" spans="2:8" x14ac:dyDescent="0.2">
      <c r="B218" s="22" t="s">
        <v>451</v>
      </c>
      <c r="C218" s="22" t="s">
        <v>452</v>
      </c>
      <c r="D218" s="22" t="s">
        <v>221</v>
      </c>
      <c r="E218" s="26">
        <v>316</v>
      </c>
      <c r="F218" s="24">
        <v>14.231375999999999</v>
      </c>
      <c r="G218" s="25">
        <v>9.4690386241103902E-2</v>
      </c>
      <c r="H218" s="27"/>
    </row>
    <row r="219" spans="2:8" x14ac:dyDescent="0.2">
      <c r="B219" s="22" t="s">
        <v>542</v>
      </c>
      <c r="C219" s="22" t="s">
        <v>543</v>
      </c>
      <c r="D219" s="22" t="s">
        <v>221</v>
      </c>
      <c r="E219" s="26">
        <v>1031</v>
      </c>
      <c r="F219" s="24">
        <v>14.195838999999999</v>
      </c>
      <c r="G219" s="25">
        <v>9.4453936002149505E-2</v>
      </c>
      <c r="H219" s="27"/>
    </row>
    <row r="220" spans="2:8" x14ac:dyDescent="0.2">
      <c r="B220" s="22" t="s">
        <v>490</v>
      </c>
      <c r="C220" s="22" t="s">
        <v>491</v>
      </c>
      <c r="D220" s="22" t="s">
        <v>66</v>
      </c>
      <c r="E220" s="26">
        <v>473</v>
      </c>
      <c r="F220" s="24">
        <v>13.853697</v>
      </c>
      <c r="G220" s="25">
        <v>9.2177447900836998E-2</v>
      </c>
      <c r="H220" s="27"/>
    </row>
    <row r="221" spans="2:8" x14ac:dyDescent="0.2">
      <c r="B221" s="22" t="s">
        <v>492</v>
      </c>
      <c r="C221" s="22" t="s">
        <v>493</v>
      </c>
      <c r="D221" s="22" t="s">
        <v>17</v>
      </c>
      <c r="E221" s="26">
        <v>909</v>
      </c>
      <c r="F221" s="24">
        <v>13.594094999999999</v>
      </c>
      <c r="G221" s="25">
        <v>9.0450150860202097E-2</v>
      </c>
      <c r="H221" s="27"/>
    </row>
    <row r="222" spans="2:8" x14ac:dyDescent="0.2">
      <c r="B222" s="22" t="s">
        <v>538</v>
      </c>
      <c r="C222" s="22" t="s">
        <v>539</v>
      </c>
      <c r="D222" s="22" t="s">
        <v>17</v>
      </c>
      <c r="E222" s="26">
        <v>7542</v>
      </c>
      <c r="F222" s="24">
        <v>13.5710748</v>
      </c>
      <c r="G222" s="25">
        <v>9.0296982844027998E-2</v>
      </c>
      <c r="H222" s="27"/>
    </row>
    <row r="223" spans="2:8" x14ac:dyDescent="0.2">
      <c r="B223" s="22" t="s">
        <v>145</v>
      </c>
      <c r="C223" s="22" t="s">
        <v>146</v>
      </c>
      <c r="D223" s="22" t="s">
        <v>105</v>
      </c>
      <c r="E223" s="26">
        <v>4434</v>
      </c>
      <c r="F223" s="24">
        <v>13.463841</v>
      </c>
      <c r="G223" s="25">
        <v>8.95834882430772E-2</v>
      </c>
      <c r="H223" s="27"/>
    </row>
    <row r="224" spans="2:8" x14ac:dyDescent="0.2">
      <c r="B224" s="22" t="s">
        <v>449</v>
      </c>
      <c r="C224" s="22" t="s">
        <v>450</v>
      </c>
      <c r="D224" s="22" t="s">
        <v>49</v>
      </c>
      <c r="E224" s="26">
        <v>3412</v>
      </c>
      <c r="F224" s="24">
        <v>13.187379999999999</v>
      </c>
      <c r="G224" s="25">
        <v>8.7744017564303597E-2</v>
      </c>
      <c r="H224" s="27"/>
    </row>
    <row r="225" spans="2:8" x14ac:dyDescent="0.2">
      <c r="B225" s="22" t="s">
        <v>470</v>
      </c>
      <c r="C225" s="22" t="s">
        <v>471</v>
      </c>
      <c r="D225" s="22" t="s">
        <v>251</v>
      </c>
      <c r="E225" s="26">
        <v>361</v>
      </c>
      <c r="F225" s="24">
        <v>13.10069</v>
      </c>
      <c r="G225" s="25">
        <v>8.71672139169795E-2</v>
      </c>
      <c r="H225" s="27"/>
    </row>
    <row r="226" spans="2:8" x14ac:dyDescent="0.2">
      <c r="B226" s="22" t="s">
        <v>455</v>
      </c>
      <c r="C226" s="22" t="s">
        <v>456</v>
      </c>
      <c r="D226" s="22" t="s">
        <v>12</v>
      </c>
      <c r="E226" s="26">
        <v>9351</v>
      </c>
      <c r="F226" s="24">
        <v>13.082984099999999</v>
      </c>
      <c r="G226" s="25">
        <v>8.7049405315074296E-2</v>
      </c>
      <c r="H226" s="27"/>
    </row>
    <row r="227" spans="2:8" x14ac:dyDescent="0.2">
      <c r="B227" s="22" t="s">
        <v>496</v>
      </c>
      <c r="C227" s="22" t="s">
        <v>497</v>
      </c>
      <c r="D227" s="22" t="s">
        <v>206</v>
      </c>
      <c r="E227" s="26">
        <v>6793</v>
      </c>
      <c r="F227" s="24">
        <v>13.062939</v>
      </c>
      <c r="G227" s="25">
        <v>8.6916032529389994E-2</v>
      </c>
      <c r="H227" s="27"/>
    </row>
    <row r="228" spans="2:8" x14ac:dyDescent="0.2">
      <c r="B228" s="22" t="s">
        <v>447</v>
      </c>
      <c r="C228" s="22" t="s">
        <v>448</v>
      </c>
      <c r="D228" s="22" t="s">
        <v>49</v>
      </c>
      <c r="E228" s="26">
        <v>586</v>
      </c>
      <c r="F228" s="24">
        <v>12.92423</v>
      </c>
      <c r="G228" s="25">
        <v>8.5993113425494594E-2</v>
      </c>
      <c r="H228" s="27"/>
    </row>
    <row r="229" spans="2:8" x14ac:dyDescent="0.2">
      <c r="B229" s="22" t="s">
        <v>506</v>
      </c>
      <c r="C229" s="22" t="s">
        <v>507</v>
      </c>
      <c r="D229" s="22" t="s">
        <v>181</v>
      </c>
      <c r="E229" s="26">
        <v>4644</v>
      </c>
      <c r="F229" s="24">
        <v>12.784932</v>
      </c>
      <c r="G229" s="25">
        <v>8.5066275330386104E-2</v>
      </c>
      <c r="H229" s="27"/>
    </row>
    <row r="230" spans="2:8" x14ac:dyDescent="0.2">
      <c r="B230" s="22" t="s">
        <v>297</v>
      </c>
      <c r="C230" s="22" t="s">
        <v>298</v>
      </c>
      <c r="D230" s="22" t="s">
        <v>105</v>
      </c>
      <c r="E230" s="26">
        <v>13103</v>
      </c>
      <c r="F230" s="24">
        <v>12.7767353</v>
      </c>
      <c r="G230" s="25">
        <v>8.5011737477623195E-2</v>
      </c>
      <c r="H230" s="27"/>
    </row>
    <row r="231" spans="2:8" x14ac:dyDescent="0.2">
      <c r="B231" s="22" t="s">
        <v>391</v>
      </c>
      <c r="C231" s="22" t="s">
        <v>392</v>
      </c>
      <c r="D231" s="22" t="s">
        <v>267</v>
      </c>
      <c r="E231" s="26">
        <v>618</v>
      </c>
      <c r="F231" s="24">
        <v>12.730181999999999</v>
      </c>
      <c r="G231" s="25">
        <v>8.4701988795710906E-2</v>
      </c>
      <c r="H231" s="27"/>
    </row>
    <row r="232" spans="2:8" x14ac:dyDescent="0.2">
      <c r="B232" s="22" t="s">
        <v>147</v>
      </c>
      <c r="C232" s="22" t="s">
        <v>148</v>
      </c>
      <c r="D232" s="22" t="s">
        <v>63</v>
      </c>
      <c r="E232" s="26">
        <v>1155</v>
      </c>
      <c r="F232" s="24">
        <v>12.70731</v>
      </c>
      <c r="G232" s="25">
        <v>8.4549806848293704E-2</v>
      </c>
      <c r="H232" s="27"/>
    </row>
    <row r="233" spans="2:8" x14ac:dyDescent="0.2">
      <c r="B233" s="22" t="s">
        <v>556</v>
      </c>
      <c r="C233" s="22" t="s">
        <v>557</v>
      </c>
      <c r="D233" s="22" t="s">
        <v>221</v>
      </c>
      <c r="E233" s="26">
        <v>655</v>
      </c>
      <c r="F233" s="24">
        <v>12.628399999999999</v>
      </c>
      <c r="G233" s="25">
        <v>8.4024768483887805E-2</v>
      </c>
      <c r="H233" s="27"/>
    </row>
    <row r="234" spans="2:8" x14ac:dyDescent="0.2">
      <c r="B234" s="22" t="s">
        <v>459</v>
      </c>
      <c r="C234" s="22" t="s">
        <v>460</v>
      </c>
      <c r="D234" s="22" t="s">
        <v>12</v>
      </c>
      <c r="E234" s="26">
        <v>15888</v>
      </c>
      <c r="F234" s="24">
        <v>12.5944176</v>
      </c>
      <c r="G234" s="25">
        <v>8.3798661986427506E-2</v>
      </c>
      <c r="H234" s="27"/>
    </row>
    <row r="235" spans="2:8" x14ac:dyDescent="0.2">
      <c r="B235" s="22" t="s">
        <v>377</v>
      </c>
      <c r="C235" s="22" t="s">
        <v>378</v>
      </c>
      <c r="D235" s="22" t="s">
        <v>28</v>
      </c>
      <c r="E235" s="26">
        <v>549</v>
      </c>
      <c r="F235" s="24">
        <v>12.469986</v>
      </c>
      <c r="G235" s="25">
        <v>8.2970739495685994E-2</v>
      </c>
      <c r="H235" s="27"/>
    </row>
    <row r="236" spans="2:8" x14ac:dyDescent="0.2">
      <c r="B236" s="22" t="s">
        <v>472</v>
      </c>
      <c r="C236" s="22" t="s">
        <v>473</v>
      </c>
      <c r="D236" s="22" t="s">
        <v>251</v>
      </c>
      <c r="E236" s="26">
        <v>173</v>
      </c>
      <c r="F236" s="24">
        <v>12.463785</v>
      </c>
      <c r="G236" s="25">
        <v>8.2929480302964195E-2</v>
      </c>
      <c r="H236" s="27"/>
    </row>
    <row r="237" spans="2:8" x14ac:dyDescent="0.2">
      <c r="B237" s="22" t="s">
        <v>595</v>
      </c>
      <c r="C237" s="22" t="s">
        <v>596</v>
      </c>
      <c r="D237" s="22" t="s">
        <v>66</v>
      </c>
      <c r="E237" s="26">
        <v>1610</v>
      </c>
      <c r="F237" s="24">
        <v>12.458985</v>
      </c>
      <c r="G237" s="25">
        <v>8.2897542853348799E-2</v>
      </c>
      <c r="H237" s="27"/>
    </row>
    <row r="238" spans="2:8" x14ac:dyDescent="0.2">
      <c r="B238" s="22" t="s">
        <v>526</v>
      </c>
      <c r="C238" s="22" t="s">
        <v>527</v>
      </c>
      <c r="D238" s="22" t="s">
        <v>105</v>
      </c>
      <c r="E238" s="26">
        <v>1200</v>
      </c>
      <c r="F238" s="24">
        <v>12.366</v>
      </c>
      <c r="G238" s="25">
        <v>8.2278854571581198E-2</v>
      </c>
      <c r="H238" s="27"/>
    </row>
    <row r="239" spans="2:8" x14ac:dyDescent="0.2">
      <c r="B239" s="22" t="s">
        <v>445</v>
      </c>
      <c r="C239" s="22" t="s">
        <v>446</v>
      </c>
      <c r="D239" s="22" t="s">
        <v>105</v>
      </c>
      <c r="E239" s="26">
        <v>1971</v>
      </c>
      <c r="F239" s="24">
        <v>12.306924</v>
      </c>
      <c r="G239" s="25">
        <v>8.1885784410440102E-2</v>
      </c>
      <c r="H239" s="27"/>
    </row>
    <row r="240" spans="2:8" x14ac:dyDescent="0.2">
      <c r="B240" s="22" t="s">
        <v>131</v>
      </c>
      <c r="C240" s="22" t="s">
        <v>132</v>
      </c>
      <c r="D240" s="22" t="s">
        <v>49</v>
      </c>
      <c r="E240" s="26">
        <v>298</v>
      </c>
      <c r="F240" s="24">
        <v>12.303526</v>
      </c>
      <c r="G240" s="25">
        <v>8.1863175357566598E-2</v>
      </c>
      <c r="H240" s="27"/>
    </row>
    <row r="241" spans="2:8" x14ac:dyDescent="0.2">
      <c r="B241" s="22" t="s">
        <v>474</v>
      </c>
      <c r="C241" s="22" t="s">
        <v>475</v>
      </c>
      <c r="D241" s="22" t="s">
        <v>77</v>
      </c>
      <c r="E241" s="26">
        <v>2445</v>
      </c>
      <c r="F241" s="24">
        <v>12.23967</v>
      </c>
      <c r="G241" s="25">
        <v>8.1438300819516807E-2</v>
      </c>
      <c r="H241" s="27"/>
    </row>
    <row r="242" spans="2:8" x14ac:dyDescent="0.2">
      <c r="B242" s="22" t="s">
        <v>568</v>
      </c>
      <c r="C242" s="22" t="s">
        <v>569</v>
      </c>
      <c r="D242" s="22" t="s">
        <v>251</v>
      </c>
      <c r="E242" s="26">
        <v>2016</v>
      </c>
      <c r="F242" s="24">
        <v>12.226032</v>
      </c>
      <c r="G242" s="25">
        <v>8.1347558540797199E-2</v>
      </c>
      <c r="H242" s="27"/>
    </row>
    <row r="243" spans="2:8" x14ac:dyDescent="0.2">
      <c r="B243" s="22" t="s">
        <v>562</v>
      </c>
      <c r="C243" s="22" t="s">
        <v>563</v>
      </c>
      <c r="D243" s="22" t="s">
        <v>31</v>
      </c>
      <c r="E243" s="26">
        <v>926</v>
      </c>
      <c r="F243" s="24">
        <v>12.084300000000001</v>
      </c>
      <c r="G243" s="25">
        <v>8.04045254972795E-2</v>
      </c>
      <c r="H243" s="27"/>
    </row>
    <row r="244" spans="2:8" x14ac:dyDescent="0.2">
      <c r="B244" s="22" t="s">
        <v>501</v>
      </c>
      <c r="C244" s="22" t="s">
        <v>502</v>
      </c>
      <c r="D244" s="22" t="s">
        <v>503</v>
      </c>
      <c r="E244" s="26">
        <v>527</v>
      </c>
      <c r="F244" s="24">
        <v>12.030355999999999</v>
      </c>
      <c r="G244" s="25">
        <v>8.0045601792685495E-2</v>
      </c>
      <c r="H244" s="27"/>
    </row>
    <row r="245" spans="2:8" x14ac:dyDescent="0.2">
      <c r="B245" s="22" t="s">
        <v>399</v>
      </c>
      <c r="C245" s="22" t="s">
        <v>400</v>
      </c>
      <c r="D245" s="22" t="s">
        <v>267</v>
      </c>
      <c r="E245" s="26">
        <v>2702</v>
      </c>
      <c r="F245" s="24">
        <v>11.980668</v>
      </c>
      <c r="G245" s="25">
        <v>7.9714995960083801E-2</v>
      </c>
      <c r="H245" s="27"/>
    </row>
    <row r="246" spans="2:8" x14ac:dyDescent="0.2">
      <c r="B246" s="22" t="s">
        <v>607</v>
      </c>
      <c r="C246" s="22" t="s">
        <v>608</v>
      </c>
      <c r="D246" s="22" t="s">
        <v>66</v>
      </c>
      <c r="E246" s="26">
        <v>6815</v>
      </c>
      <c r="F246" s="24">
        <v>11.775638499999999</v>
      </c>
      <c r="G246" s="25">
        <v>7.8350804433851895E-2</v>
      </c>
      <c r="H246" s="27"/>
    </row>
    <row r="247" spans="2:8" x14ac:dyDescent="0.2">
      <c r="B247" s="22" t="s">
        <v>498</v>
      </c>
      <c r="C247" s="22" t="s">
        <v>499</v>
      </c>
      <c r="D247" s="22" t="s">
        <v>119</v>
      </c>
      <c r="E247" s="26">
        <v>889</v>
      </c>
      <c r="F247" s="24">
        <v>11.7348</v>
      </c>
      <c r="G247" s="25">
        <v>7.8079079947160804E-2</v>
      </c>
      <c r="H247" s="27"/>
    </row>
    <row r="248" spans="2:8" x14ac:dyDescent="0.2">
      <c r="B248" s="22" t="s">
        <v>546</v>
      </c>
      <c r="C248" s="22" t="s">
        <v>547</v>
      </c>
      <c r="D248" s="22" t="s">
        <v>105</v>
      </c>
      <c r="E248" s="26">
        <v>3606</v>
      </c>
      <c r="F248" s="24">
        <v>11.733924</v>
      </c>
      <c r="G248" s="25">
        <v>7.8073251362605997E-2</v>
      </c>
      <c r="H248" s="27"/>
    </row>
    <row r="249" spans="2:8" x14ac:dyDescent="0.2">
      <c r="B249" s="22" t="s">
        <v>570</v>
      </c>
      <c r="C249" s="22" t="s">
        <v>571</v>
      </c>
      <c r="D249" s="22" t="s">
        <v>55</v>
      </c>
      <c r="E249" s="26">
        <v>814</v>
      </c>
      <c r="F249" s="24">
        <v>11.549846000000001</v>
      </c>
      <c r="G249" s="25">
        <v>7.6848463477127496E-2</v>
      </c>
      <c r="H249" s="27"/>
    </row>
    <row r="250" spans="2:8" x14ac:dyDescent="0.2">
      <c r="B250" s="22" t="s">
        <v>480</v>
      </c>
      <c r="C250" s="22" t="s">
        <v>481</v>
      </c>
      <c r="D250" s="22" t="s">
        <v>58</v>
      </c>
      <c r="E250" s="26">
        <v>651</v>
      </c>
      <c r="F250" s="24">
        <v>11.380782</v>
      </c>
      <c r="G250" s="25">
        <v>7.5723573272591702E-2</v>
      </c>
      <c r="H250" s="27"/>
    </row>
    <row r="251" spans="2:8" x14ac:dyDescent="0.2">
      <c r="B251" s="22" t="s">
        <v>647</v>
      </c>
      <c r="C251" s="22" t="s">
        <v>648</v>
      </c>
      <c r="D251" s="22" t="s">
        <v>649</v>
      </c>
      <c r="E251" s="26">
        <v>2178</v>
      </c>
      <c r="F251" s="24">
        <v>11.334312000000001</v>
      </c>
      <c r="G251" s="25">
        <v>7.5414378838502993E-2</v>
      </c>
      <c r="H251" s="27"/>
    </row>
    <row r="252" spans="2:8" x14ac:dyDescent="0.2">
      <c r="B252" s="22" t="s">
        <v>478</v>
      </c>
      <c r="C252" s="22" t="s">
        <v>479</v>
      </c>
      <c r="D252" s="22" t="s">
        <v>31</v>
      </c>
      <c r="E252" s="26">
        <v>4576</v>
      </c>
      <c r="F252" s="24">
        <v>11.231792</v>
      </c>
      <c r="G252" s="25">
        <v>7.47322481438015E-2</v>
      </c>
      <c r="H252" s="27"/>
    </row>
    <row r="253" spans="2:8" x14ac:dyDescent="0.2">
      <c r="B253" s="22" t="s">
        <v>583</v>
      </c>
      <c r="C253" s="22" t="s">
        <v>584</v>
      </c>
      <c r="D253" s="22" t="s">
        <v>197</v>
      </c>
      <c r="E253" s="26">
        <v>671</v>
      </c>
      <c r="F253" s="24">
        <v>10.785653999999999</v>
      </c>
      <c r="G253" s="25">
        <v>7.1763808582030797E-2</v>
      </c>
      <c r="H253" s="27"/>
    </row>
    <row r="254" spans="2:8" x14ac:dyDescent="0.2">
      <c r="B254" s="22" t="s">
        <v>453</v>
      </c>
      <c r="C254" s="22" t="s">
        <v>454</v>
      </c>
      <c r="D254" s="22" t="s">
        <v>238</v>
      </c>
      <c r="E254" s="26">
        <v>6930</v>
      </c>
      <c r="F254" s="24">
        <v>10.731104999999999</v>
      </c>
      <c r="G254" s="25">
        <v>7.1400859428058197E-2</v>
      </c>
      <c r="H254" s="27"/>
    </row>
    <row r="255" spans="2:8" x14ac:dyDescent="0.2">
      <c r="B255" s="22" t="s">
        <v>461</v>
      </c>
      <c r="C255" s="22" t="s">
        <v>462</v>
      </c>
      <c r="D255" s="22" t="s">
        <v>105</v>
      </c>
      <c r="E255" s="26">
        <v>1966</v>
      </c>
      <c r="F255" s="24">
        <v>10.481729</v>
      </c>
      <c r="G255" s="25">
        <v>6.9741602462374694E-2</v>
      </c>
      <c r="H255" s="27"/>
    </row>
    <row r="256" spans="2:8" x14ac:dyDescent="0.2">
      <c r="B256" s="22" t="s">
        <v>585</v>
      </c>
      <c r="C256" s="22" t="s">
        <v>586</v>
      </c>
      <c r="D256" s="22" t="s">
        <v>221</v>
      </c>
      <c r="E256" s="26">
        <v>1814</v>
      </c>
      <c r="F256" s="24">
        <v>10.402383</v>
      </c>
      <c r="G256" s="25">
        <v>6.9213663112961996E-2</v>
      </c>
      <c r="H256" s="27"/>
    </row>
    <row r="257" spans="2:8" x14ac:dyDescent="0.2">
      <c r="B257" s="22" t="s">
        <v>488</v>
      </c>
      <c r="C257" s="22" t="s">
        <v>489</v>
      </c>
      <c r="D257" s="22" t="s">
        <v>151</v>
      </c>
      <c r="E257" s="26">
        <v>974</v>
      </c>
      <c r="F257" s="24">
        <v>10.33414</v>
      </c>
      <c r="G257" s="25">
        <v>6.8759599076690894E-2</v>
      </c>
      <c r="H257" s="27"/>
    </row>
    <row r="258" spans="2:8" x14ac:dyDescent="0.2">
      <c r="B258" s="22" t="s">
        <v>457</v>
      </c>
      <c r="C258" s="22" t="s">
        <v>458</v>
      </c>
      <c r="D258" s="22" t="s">
        <v>238</v>
      </c>
      <c r="E258" s="26">
        <v>2406</v>
      </c>
      <c r="F258" s="24">
        <v>10.28565</v>
      </c>
      <c r="G258" s="25">
        <v>6.84369642992224E-2</v>
      </c>
      <c r="H258" s="27"/>
    </row>
    <row r="259" spans="2:8" x14ac:dyDescent="0.2">
      <c r="B259" s="22" t="s">
        <v>621</v>
      </c>
      <c r="C259" s="22" t="s">
        <v>622</v>
      </c>
      <c r="D259" s="22" t="s">
        <v>66</v>
      </c>
      <c r="E259" s="26">
        <v>1010</v>
      </c>
      <c r="F259" s="24">
        <v>10.260590000000001</v>
      </c>
      <c r="G259" s="25">
        <v>6.8270224197688897E-2</v>
      </c>
      <c r="H259" s="27"/>
    </row>
    <row r="260" spans="2:8" x14ac:dyDescent="0.2">
      <c r="B260" s="22" t="s">
        <v>581</v>
      </c>
      <c r="C260" s="22" t="s">
        <v>582</v>
      </c>
      <c r="D260" s="22" t="s">
        <v>221</v>
      </c>
      <c r="E260" s="26">
        <v>281</v>
      </c>
      <c r="F260" s="24">
        <v>10.201423999999999</v>
      </c>
      <c r="G260" s="25">
        <v>6.7876555209367501E-2</v>
      </c>
      <c r="H260" s="27"/>
    </row>
    <row r="261" spans="2:8" x14ac:dyDescent="0.2">
      <c r="B261" s="22" t="s">
        <v>504</v>
      </c>
      <c r="C261" s="22" t="s">
        <v>505</v>
      </c>
      <c r="D261" s="22" t="s">
        <v>66</v>
      </c>
      <c r="E261" s="26">
        <v>461</v>
      </c>
      <c r="F261" s="24">
        <v>10.189022</v>
      </c>
      <c r="G261" s="25">
        <v>6.7794036823923806E-2</v>
      </c>
      <c r="H261" s="27"/>
    </row>
    <row r="262" spans="2:8" x14ac:dyDescent="0.2">
      <c r="B262" s="22" t="s">
        <v>560</v>
      </c>
      <c r="C262" s="22" t="s">
        <v>561</v>
      </c>
      <c r="D262" s="22" t="s">
        <v>105</v>
      </c>
      <c r="E262" s="26">
        <v>641</v>
      </c>
      <c r="F262" s="24">
        <v>10.14062</v>
      </c>
      <c r="G262" s="25">
        <v>6.7471987566364897E-2</v>
      </c>
      <c r="H262" s="27"/>
    </row>
    <row r="263" spans="2:8" x14ac:dyDescent="0.2">
      <c r="B263" s="22" t="s">
        <v>47</v>
      </c>
      <c r="C263" s="22" t="s">
        <v>48</v>
      </c>
      <c r="D263" s="22" t="s">
        <v>49</v>
      </c>
      <c r="E263" s="26">
        <v>2537</v>
      </c>
      <c r="F263" s="24">
        <v>10.008464999999999</v>
      </c>
      <c r="G263" s="25">
        <v>6.6592676388465194E-2</v>
      </c>
      <c r="H263" s="27"/>
    </row>
    <row r="264" spans="2:8" x14ac:dyDescent="0.2">
      <c r="B264" s="22" t="s">
        <v>486</v>
      </c>
      <c r="C264" s="22" t="s">
        <v>487</v>
      </c>
      <c r="D264" s="22" t="s">
        <v>301</v>
      </c>
      <c r="E264" s="26">
        <v>675</v>
      </c>
      <c r="F264" s="24">
        <v>9.9049499999999995</v>
      </c>
      <c r="G264" s="25">
        <v>6.5903925326603899E-2</v>
      </c>
      <c r="H264" s="27"/>
    </row>
    <row r="265" spans="2:8" x14ac:dyDescent="0.2">
      <c r="B265" s="22" t="s">
        <v>566</v>
      </c>
      <c r="C265" s="22" t="s">
        <v>567</v>
      </c>
      <c r="D265" s="22" t="s">
        <v>63</v>
      </c>
      <c r="E265" s="26">
        <v>282</v>
      </c>
      <c r="F265" s="24">
        <v>9.7309739999999998</v>
      </c>
      <c r="G265" s="25">
        <v>6.4746352465295004E-2</v>
      </c>
      <c r="H265" s="27"/>
    </row>
    <row r="266" spans="2:8" x14ac:dyDescent="0.2">
      <c r="B266" s="22" t="s">
        <v>579</v>
      </c>
      <c r="C266" s="22" t="s">
        <v>580</v>
      </c>
      <c r="D266" s="22" t="s">
        <v>197</v>
      </c>
      <c r="E266" s="26">
        <v>511</v>
      </c>
      <c r="F266" s="24">
        <v>9.6783400000000004</v>
      </c>
      <c r="G266" s="25">
        <v>6.4396145022991805E-2</v>
      </c>
      <c r="H266" s="27"/>
    </row>
    <row r="267" spans="2:8" x14ac:dyDescent="0.2">
      <c r="B267" s="22" t="s">
        <v>411</v>
      </c>
      <c r="C267" s="22" t="s">
        <v>412</v>
      </c>
      <c r="D267" s="22" t="s">
        <v>28</v>
      </c>
      <c r="E267" s="26">
        <v>97</v>
      </c>
      <c r="F267" s="24">
        <v>9.6650799999999997</v>
      </c>
      <c r="G267" s="25">
        <v>6.43079178184294E-2</v>
      </c>
      <c r="H267" s="27"/>
    </row>
    <row r="268" spans="2:8" x14ac:dyDescent="0.2">
      <c r="B268" s="22" t="s">
        <v>637</v>
      </c>
      <c r="C268" s="22" t="s">
        <v>638</v>
      </c>
      <c r="D268" s="22" t="s">
        <v>206</v>
      </c>
      <c r="E268" s="26">
        <v>916</v>
      </c>
      <c r="F268" s="24">
        <v>9.6528080000000003</v>
      </c>
      <c r="G268" s="25">
        <v>6.4226264405579506E-2</v>
      </c>
      <c r="H268" s="27"/>
    </row>
    <row r="269" spans="2:8" x14ac:dyDescent="0.2">
      <c r="B269" s="22" t="s">
        <v>572</v>
      </c>
      <c r="C269" s="22" t="s">
        <v>573</v>
      </c>
      <c r="D269" s="22" t="s">
        <v>105</v>
      </c>
      <c r="E269" s="26">
        <v>2517</v>
      </c>
      <c r="F269" s="24">
        <v>9.6363345000000002</v>
      </c>
      <c r="G269" s="25">
        <v>6.4116655743863105E-2</v>
      </c>
      <c r="H269" s="27"/>
    </row>
    <row r="270" spans="2:8" x14ac:dyDescent="0.2">
      <c r="B270" s="22" t="s">
        <v>589</v>
      </c>
      <c r="C270" s="22" t="s">
        <v>590</v>
      </c>
      <c r="D270" s="22" t="s">
        <v>221</v>
      </c>
      <c r="E270" s="26">
        <v>918</v>
      </c>
      <c r="F270" s="24">
        <v>9.4466789999999996</v>
      </c>
      <c r="G270" s="25">
        <v>6.2854757207294998E-2</v>
      </c>
      <c r="H270" s="27"/>
    </row>
    <row r="271" spans="2:8" x14ac:dyDescent="0.2">
      <c r="B271" s="22" t="s">
        <v>601</v>
      </c>
      <c r="C271" s="22" t="s">
        <v>602</v>
      </c>
      <c r="D271" s="22" t="s">
        <v>58</v>
      </c>
      <c r="E271" s="26">
        <v>1079</v>
      </c>
      <c r="F271" s="24">
        <v>9.4002479999999995</v>
      </c>
      <c r="G271" s="25">
        <v>6.2545822264984396E-2</v>
      </c>
      <c r="H271" s="27"/>
    </row>
    <row r="272" spans="2:8" x14ac:dyDescent="0.2">
      <c r="B272" s="22" t="s">
        <v>574</v>
      </c>
      <c r="C272" s="22" t="s">
        <v>575</v>
      </c>
      <c r="D272" s="22" t="s">
        <v>105</v>
      </c>
      <c r="E272" s="26">
        <v>5309</v>
      </c>
      <c r="F272" s="24">
        <v>9.3974609000000004</v>
      </c>
      <c r="G272" s="25">
        <v>6.2527277917937898E-2</v>
      </c>
      <c r="H272" s="27"/>
    </row>
    <row r="273" spans="2:8" x14ac:dyDescent="0.2">
      <c r="B273" s="22" t="s">
        <v>597</v>
      </c>
      <c r="C273" s="22" t="s">
        <v>598</v>
      </c>
      <c r="D273" s="22" t="s">
        <v>49</v>
      </c>
      <c r="E273" s="26">
        <v>103</v>
      </c>
      <c r="F273" s="24">
        <v>9.3462200000000006</v>
      </c>
      <c r="G273" s="25">
        <v>6.2186339655022099E-2</v>
      </c>
      <c r="H273" s="27"/>
    </row>
    <row r="274" spans="2:8" x14ac:dyDescent="0.2">
      <c r="B274" s="22" t="s">
        <v>629</v>
      </c>
      <c r="C274" s="22" t="s">
        <v>630</v>
      </c>
      <c r="D274" s="22" t="s">
        <v>66</v>
      </c>
      <c r="E274" s="26">
        <v>937</v>
      </c>
      <c r="F274" s="24">
        <v>9.32315</v>
      </c>
      <c r="G274" s="25">
        <v>6.2032840287808297E-2</v>
      </c>
      <c r="H274" s="27"/>
    </row>
    <row r="275" spans="2:8" x14ac:dyDescent="0.2">
      <c r="B275" s="22" t="s">
        <v>625</v>
      </c>
      <c r="C275" s="22" t="s">
        <v>626</v>
      </c>
      <c r="D275" s="22" t="s">
        <v>197</v>
      </c>
      <c r="E275" s="26">
        <v>2108</v>
      </c>
      <c r="F275" s="24">
        <v>9.3173600000000008</v>
      </c>
      <c r="G275" s="25">
        <v>6.1994315739209799E-2</v>
      </c>
      <c r="H275" s="27"/>
    </row>
    <row r="276" spans="2:8" x14ac:dyDescent="0.2">
      <c r="B276" s="22" t="s">
        <v>302</v>
      </c>
      <c r="C276" s="22" t="s">
        <v>303</v>
      </c>
      <c r="D276" s="22" t="s">
        <v>105</v>
      </c>
      <c r="E276" s="26">
        <v>3021</v>
      </c>
      <c r="F276" s="24">
        <v>9.2412390000000002</v>
      </c>
      <c r="G276" s="25">
        <v>6.1487834363757397E-2</v>
      </c>
      <c r="H276" s="27"/>
    </row>
    <row r="277" spans="2:8" x14ac:dyDescent="0.2">
      <c r="B277" s="22" t="s">
        <v>587</v>
      </c>
      <c r="C277" s="22" t="s">
        <v>588</v>
      </c>
      <c r="D277" s="22" t="s">
        <v>178</v>
      </c>
      <c r="E277" s="26">
        <v>228</v>
      </c>
      <c r="F277" s="24">
        <v>9.2182680000000001</v>
      </c>
      <c r="G277" s="25">
        <v>6.1334993706441902E-2</v>
      </c>
      <c r="H277" s="27"/>
    </row>
    <row r="278" spans="2:8" x14ac:dyDescent="0.2">
      <c r="B278" s="22" t="s">
        <v>482</v>
      </c>
      <c r="C278" s="22" t="s">
        <v>483</v>
      </c>
      <c r="D278" s="22" t="s">
        <v>63</v>
      </c>
      <c r="E278" s="26">
        <v>1041</v>
      </c>
      <c r="F278" s="24">
        <v>9.1555949999999999</v>
      </c>
      <c r="G278" s="25">
        <v>6.0917990418995302E-2</v>
      </c>
      <c r="H278" s="27"/>
    </row>
    <row r="279" spans="2:8" x14ac:dyDescent="0.2">
      <c r="B279" s="22" t="s">
        <v>593</v>
      </c>
      <c r="C279" s="22" t="s">
        <v>594</v>
      </c>
      <c r="D279" s="22" t="s">
        <v>251</v>
      </c>
      <c r="E279" s="26">
        <v>539</v>
      </c>
      <c r="F279" s="24">
        <v>9.0659799999999997</v>
      </c>
      <c r="G279" s="25">
        <v>6.0321724888311799E-2</v>
      </c>
      <c r="H279" s="27"/>
    </row>
    <row r="280" spans="2:8" x14ac:dyDescent="0.2">
      <c r="B280" s="22" t="s">
        <v>494</v>
      </c>
      <c r="C280" s="22" t="s">
        <v>495</v>
      </c>
      <c r="D280" s="22" t="s">
        <v>178</v>
      </c>
      <c r="E280" s="26">
        <v>742</v>
      </c>
      <c r="F280" s="24">
        <v>8.9381319999999995</v>
      </c>
      <c r="G280" s="25">
        <v>5.9471070917806602E-2</v>
      </c>
      <c r="H280" s="27"/>
    </row>
    <row r="281" spans="2:8" x14ac:dyDescent="0.2">
      <c r="B281" s="22" t="s">
        <v>623</v>
      </c>
      <c r="C281" s="22" t="s">
        <v>624</v>
      </c>
      <c r="D281" s="22" t="s">
        <v>272</v>
      </c>
      <c r="E281" s="26">
        <v>1349</v>
      </c>
      <c r="F281" s="24">
        <v>8.8002015</v>
      </c>
      <c r="G281" s="25">
        <v>5.8553331669020797E-2</v>
      </c>
      <c r="H281" s="27"/>
    </row>
    <row r="282" spans="2:8" x14ac:dyDescent="0.2">
      <c r="B282" s="22" t="s">
        <v>591</v>
      </c>
      <c r="C282" s="22" t="s">
        <v>592</v>
      </c>
      <c r="D282" s="22" t="s">
        <v>251</v>
      </c>
      <c r="E282" s="26">
        <v>1143</v>
      </c>
      <c r="F282" s="24">
        <v>8.6639400000000002</v>
      </c>
      <c r="G282" s="25">
        <v>5.7646697337611602E-2</v>
      </c>
      <c r="H282" s="27"/>
    </row>
    <row r="283" spans="2:8" x14ac:dyDescent="0.2">
      <c r="B283" s="22" t="s">
        <v>605</v>
      </c>
      <c r="C283" s="22" t="s">
        <v>606</v>
      </c>
      <c r="D283" s="22" t="s">
        <v>49</v>
      </c>
      <c r="E283" s="26">
        <v>977</v>
      </c>
      <c r="F283" s="24">
        <v>8.657197</v>
      </c>
      <c r="G283" s="25">
        <v>5.76018318745374E-2</v>
      </c>
      <c r="H283" s="27"/>
    </row>
    <row r="284" spans="2:8" x14ac:dyDescent="0.2">
      <c r="B284" s="22" t="s">
        <v>635</v>
      </c>
      <c r="C284" s="22" t="s">
        <v>636</v>
      </c>
      <c r="D284" s="22" t="s">
        <v>66</v>
      </c>
      <c r="E284" s="26">
        <v>615</v>
      </c>
      <c r="F284" s="24">
        <v>8.6038499999999996</v>
      </c>
      <c r="G284" s="25">
        <v>5.7246880390239299E-2</v>
      </c>
      <c r="H284" s="27"/>
    </row>
    <row r="285" spans="2:8" x14ac:dyDescent="0.2">
      <c r="B285" s="22" t="s">
        <v>639</v>
      </c>
      <c r="C285" s="22" t="s">
        <v>640</v>
      </c>
      <c r="D285" s="22" t="s">
        <v>75</v>
      </c>
      <c r="E285" s="26">
        <v>495</v>
      </c>
      <c r="F285" s="24">
        <v>8.5892400000000002</v>
      </c>
      <c r="G285" s="25">
        <v>5.7149670777972499E-2</v>
      </c>
      <c r="H285" s="27"/>
    </row>
    <row r="286" spans="2:8" x14ac:dyDescent="0.2">
      <c r="B286" s="22" t="s">
        <v>484</v>
      </c>
      <c r="C286" s="22" t="s">
        <v>485</v>
      </c>
      <c r="D286" s="22" t="s">
        <v>105</v>
      </c>
      <c r="E286" s="26">
        <v>1773</v>
      </c>
      <c r="F286" s="24">
        <v>8.4882375000000003</v>
      </c>
      <c r="G286" s="25">
        <v>5.6477636974894198E-2</v>
      </c>
      <c r="H286" s="27"/>
    </row>
    <row r="287" spans="2:8" x14ac:dyDescent="0.2">
      <c r="B287" s="22" t="s">
        <v>603</v>
      </c>
      <c r="C287" s="22" t="s">
        <v>604</v>
      </c>
      <c r="D287" s="22" t="s">
        <v>251</v>
      </c>
      <c r="E287" s="26">
        <v>122</v>
      </c>
      <c r="F287" s="24">
        <v>8.3637099999999993</v>
      </c>
      <c r="G287" s="25">
        <v>5.5649076400524002E-2</v>
      </c>
      <c r="H287" s="27"/>
    </row>
    <row r="288" spans="2:8" x14ac:dyDescent="0.2">
      <c r="B288" s="22" t="s">
        <v>617</v>
      </c>
      <c r="C288" s="22" t="s">
        <v>618</v>
      </c>
      <c r="D288" s="22" t="s">
        <v>251</v>
      </c>
      <c r="E288" s="26">
        <v>585</v>
      </c>
      <c r="F288" s="24">
        <v>8.2490849999999991</v>
      </c>
      <c r="G288" s="25">
        <v>5.4886403450073701E-2</v>
      </c>
      <c r="H288" s="27"/>
    </row>
    <row r="289" spans="2:9" x14ac:dyDescent="0.2">
      <c r="B289" s="22" t="s">
        <v>611</v>
      </c>
      <c r="C289" s="22" t="s">
        <v>612</v>
      </c>
      <c r="D289" s="22" t="s">
        <v>221</v>
      </c>
      <c r="E289" s="26">
        <v>50</v>
      </c>
      <c r="F289" s="24">
        <v>8.0954999999999995</v>
      </c>
      <c r="G289" s="25">
        <v>5.3864504866912098E-2</v>
      </c>
      <c r="H289" s="27"/>
    </row>
    <row r="290" spans="2:9" x14ac:dyDescent="0.2">
      <c r="B290" s="22" t="s">
        <v>645</v>
      </c>
      <c r="C290" s="22" t="s">
        <v>646</v>
      </c>
      <c r="D290" s="22" t="s">
        <v>55</v>
      </c>
      <c r="E290" s="26">
        <v>2740</v>
      </c>
      <c r="F290" s="24">
        <v>8.0090199999999996</v>
      </c>
      <c r="G290" s="25">
        <v>5.3289098483008703E-2</v>
      </c>
      <c r="H290" s="27"/>
    </row>
    <row r="291" spans="2:9" x14ac:dyDescent="0.2">
      <c r="B291" s="22" t="s">
        <v>619</v>
      </c>
      <c r="C291" s="22" t="s">
        <v>620</v>
      </c>
      <c r="D291" s="22" t="s">
        <v>260</v>
      </c>
      <c r="E291" s="26">
        <v>1041</v>
      </c>
      <c r="F291" s="24">
        <v>7.7913645000000002</v>
      </c>
      <c r="G291" s="25">
        <v>5.1840898157017701E-2</v>
      </c>
      <c r="H291" s="27"/>
    </row>
    <row r="292" spans="2:9" x14ac:dyDescent="0.2">
      <c r="B292" s="22" t="s">
        <v>615</v>
      </c>
      <c r="C292" s="22" t="s">
        <v>616</v>
      </c>
      <c r="D292" s="22" t="s">
        <v>251</v>
      </c>
      <c r="E292" s="26">
        <v>1633</v>
      </c>
      <c r="F292" s="24">
        <v>7.7567500000000003</v>
      </c>
      <c r="G292" s="25">
        <v>5.1610585896661197E-2</v>
      </c>
      <c r="H292" s="27"/>
    </row>
    <row r="293" spans="2:9" x14ac:dyDescent="0.2">
      <c r="B293" s="22" t="s">
        <v>641</v>
      </c>
      <c r="C293" s="22" t="s">
        <v>642</v>
      </c>
      <c r="D293" s="22" t="s">
        <v>206</v>
      </c>
      <c r="E293" s="26">
        <v>1500</v>
      </c>
      <c r="F293" s="24">
        <v>7.7220000000000004</v>
      </c>
      <c r="G293" s="25">
        <v>5.1379372068716601E-2</v>
      </c>
      <c r="H293" s="27"/>
    </row>
    <row r="294" spans="2:9" x14ac:dyDescent="0.2">
      <c r="B294" s="22" t="s">
        <v>599</v>
      </c>
      <c r="C294" s="22" t="s">
        <v>600</v>
      </c>
      <c r="D294" s="22" t="s">
        <v>49</v>
      </c>
      <c r="E294" s="26">
        <v>50</v>
      </c>
      <c r="F294" s="24">
        <v>7.3369999999999997</v>
      </c>
      <c r="G294" s="25">
        <v>4.8817722464151003E-2</v>
      </c>
      <c r="H294" s="27"/>
    </row>
    <row r="295" spans="2:9" x14ac:dyDescent="0.2">
      <c r="B295" s="22" t="s">
        <v>609</v>
      </c>
      <c r="C295" s="22" t="s">
        <v>610</v>
      </c>
      <c r="D295" s="22" t="s">
        <v>66</v>
      </c>
      <c r="E295" s="26">
        <v>394</v>
      </c>
      <c r="F295" s="24">
        <v>7.1889240000000001</v>
      </c>
      <c r="G295" s="25">
        <v>4.7832478758058398E-2</v>
      </c>
      <c r="H295" s="27"/>
    </row>
    <row r="296" spans="2:9" ht="10.5" x14ac:dyDescent="0.25">
      <c r="B296" s="21" t="s">
        <v>152</v>
      </c>
      <c r="C296" s="21"/>
      <c r="D296" s="21"/>
      <c r="E296" s="28"/>
      <c r="F296" s="29">
        <f>SUM(F7:F295)</f>
        <v>14907.754031700017</v>
      </c>
      <c r="G296" s="30">
        <f>SUM(G7:G295)</f>
        <v>99.190759013678516</v>
      </c>
      <c r="H296" s="21"/>
      <c r="I296" s="14"/>
    </row>
    <row r="297" spans="2:9" ht="10.5" x14ac:dyDescent="0.25">
      <c r="B297" s="21" t="s">
        <v>153</v>
      </c>
      <c r="C297" s="21"/>
      <c r="D297" s="21"/>
      <c r="E297" s="28"/>
      <c r="F297" s="31" t="s">
        <v>154</v>
      </c>
      <c r="G297" s="32" t="s">
        <v>154</v>
      </c>
      <c r="H297" s="21"/>
      <c r="I297" s="14"/>
    </row>
    <row r="298" spans="2:9" ht="10.5" x14ac:dyDescent="0.25">
      <c r="B298" s="21" t="s">
        <v>152</v>
      </c>
      <c r="C298" s="21"/>
      <c r="D298" s="21"/>
      <c r="E298" s="28"/>
      <c r="F298" s="33" t="s">
        <v>154</v>
      </c>
      <c r="G298" s="34" t="s">
        <v>154</v>
      </c>
      <c r="H298" s="21"/>
      <c r="I298" s="14"/>
    </row>
    <row r="299" spans="2:9" ht="10.5" x14ac:dyDescent="0.25">
      <c r="B299" s="35" t="s">
        <v>155</v>
      </c>
      <c r="C299" s="35"/>
      <c r="D299" s="35"/>
      <c r="E299" s="36"/>
      <c r="F299" s="37">
        <f>F296</f>
        <v>14907.754031700017</v>
      </c>
      <c r="G299" s="38">
        <f>G296</f>
        <v>99.190759013678516</v>
      </c>
      <c r="H299" s="21"/>
      <c r="I299" s="14"/>
    </row>
    <row r="300" spans="2:9" ht="10.5" x14ac:dyDescent="0.25">
      <c r="B300" s="21" t="s">
        <v>156</v>
      </c>
      <c r="C300" s="21"/>
      <c r="D300" s="21"/>
      <c r="E300" s="28"/>
      <c r="F300" s="29">
        <v>164.53267299999999</v>
      </c>
      <c r="G300" s="30">
        <v>1.09474040708722</v>
      </c>
      <c r="H300" s="27">
        <v>5.3499999999999999E-2</v>
      </c>
      <c r="I300" s="15"/>
    </row>
    <row r="301" spans="2:9" x14ac:dyDescent="0.2">
      <c r="B301" s="22"/>
      <c r="C301" s="22"/>
      <c r="D301" s="22"/>
      <c r="E301" s="23"/>
      <c r="F301" s="24"/>
      <c r="G301" s="25"/>
      <c r="H301" s="22"/>
    </row>
    <row r="302" spans="2:9" ht="10.5" x14ac:dyDescent="0.25">
      <c r="B302" s="21" t="s">
        <v>158</v>
      </c>
      <c r="C302" s="22"/>
      <c r="D302" s="22"/>
      <c r="E302" s="23"/>
      <c r="F302" s="89">
        <v>8.5</v>
      </c>
      <c r="G302" s="89">
        <f>F302/F304*100</f>
        <v>5.6555900360540201E-2</v>
      </c>
      <c r="H302" s="22"/>
    </row>
    <row r="303" spans="2:9" ht="10.5" x14ac:dyDescent="0.25">
      <c r="B303" s="44" t="s">
        <v>159</v>
      </c>
      <c r="C303" s="44"/>
      <c r="D303" s="44"/>
      <c r="E303" s="45"/>
      <c r="F303" s="29">
        <f>F304-(F296+F300+F302)</f>
        <v>-51.408786900015912</v>
      </c>
      <c r="G303" s="30">
        <f>G304-(G296+G300+G302)</f>
        <v>-0.34205532112626713</v>
      </c>
      <c r="H303" s="21"/>
      <c r="I303" s="14"/>
    </row>
    <row r="304" spans="2:9" ht="10.5" x14ac:dyDescent="0.25">
      <c r="B304" s="39" t="s">
        <v>157</v>
      </c>
      <c r="C304" s="39"/>
      <c r="D304" s="39"/>
      <c r="E304" s="40"/>
      <c r="F304" s="41">
        <v>15029.3779178</v>
      </c>
      <c r="G304" s="42">
        <v>100</v>
      </c>
      <c r="H304" s="43"/>
      <c r="I304" s="14"/>
    </row>
    <row r="306" spans="2:7" ht="10.5" x14ac:dyDescent="0.25">
      <c r="B306" s="14" t="s">
        <v>160</v>
      </c>
    </row>
    <row r="308" spans="2:7" ht="10.5" x14ac:dyDescent="0.25">
      <c r="B308" s="46" t="s">
        <v>4</v>
      </c>
      <c r="C308" s="46" t="s">
        <v>161</v>
      </c>
      <c r="D308" s="46" t="s">
        <v>162</v>
      </c>
      <c r="E308" s="47" t="s">
        <v>0</v>
      </c>
      <c r="F308" s="48" t="s">
        <v>163</v>
      </c>
      <c r="G308" s="49" t="s">
        <v>164</v>
      </c>
    </row>
    <row r="309" spans="2:7" x14ac:dyDescent="0.2">
      <c r="B309" s="50" t="s">
        <v>165</v>
      </c>
      <c r="C309" s="50" t="s">
        <v>166</v>
      </c>
      <c r="D309" s="50" t="s">
        <v>167</v>
      </c>
      <c r="E309" s="51">
        <v>130</v>
      </c>
      <c r="F309" s="52">
        <v>30.873439999999999</v>
      </c>
      <c r="G309" s="53">
        <v>0.20542061134436701</v>
      </c>
    </row>
    <row r="310" spans="2:7" ht="10.5" x14ac:dyDescent="0.25">
      <c r="B310" s="46"/>
      <c r="C310" s="46"/>
      <c r="D310" s="46"/>
      <c r="E310" s="47"/>
      <c r="F310" s="48">
        <f>SUM(F309:F309)</f>
        <v>30.873439999999999</v>
      </c>
      <c r="G310" s="49">
        <f>SUM(G309:G309)</f>
        <v>0.20542061134436701</v>
      </c>
    </row>
    <row r="312" spans="2:7" ht="10.5" x14ac:dyDescent="0.25">
      <c r="B312" s="14" t="s">
        <v>170</v>
      </c>
    </row>
    <row r="313" spans="2:7" ht="10.5" x14ac:dyDescent="0.25">
      <c r="B313" s="14"/>
    </row>
    <row r="314" spans="2:7" ht="10.5" x14ac:dyDescent="0.25">
      <c r="B314" s="14" t="s">
        <v>168</v>
      </c>
      <c r="E314" s="8"/>
    </row>
    <row r="315" spans="2:7" ht="10.5" x14ac:dyDescent="0.25">
      <c r="B315" s="14"/>
      <c r="E315" s="8"/>
    </row>
    <row r="316" spans="2:7" x14ac:dyDescent="0.2">
      <c r="B316" s="60" t="s">
        <v>653</v>
      </c>
      <c r="E316" s="8"/>
    </row>
    <row r="317" spans="2:7" x14ac:dyDescent="0.2">
      <c r="B317" s="60" t="s">
        <v>657</v>
      </c>
      <c r="E317" s="8"/>
    </row>
    <row r="318" spans="2:7" x14ac:dyDescent="0.2">
      <c r="B318" s="60" t="s">
        <v>658</v>
      </c>
      <c r="E318" s="8"/>
    </row>
    <row r="319" spans="2:7" ht="10.5" x14ac:dyDescent="0.2">
      <c r="B319" s="59"/>
      <c r="E319" s="8"/>
    </row>
    <row r="320" spans="2:7" ht="10.5" x14ac:dyDescent="0.2">
      <c r="B320" s="63" t="s">
        <v>654</v>
      </c>
      <c r="C320" s="66" t="s">
        <v>655</v>
      </c>
      <c r="D320" s="90" t="s">
        <v>695</v>
      </c>
      <c r="E320" s="8"/>
    </row>
    <row r="321" spans="2:6" x14ac:dyDescent="0.2">
      <c r="B321" s="61" t="s">
        <v>656</v>
      </c>
      <c r="C321" s="64">
        <v>9.6913</v>
      </c>
      <c r="D321" s="88">
        <v>9.6937999999999995</v>
      </c>
      <c r="E321" s="8"/>
    </row>
    <row r="322" spans="2:6" ht="10.5" x14ac:dyDescent="0.2">
      <c r="B322" s="59"/>
      <c r="E322" s="8"/>
    </row>
    <row r="323" spans="2:6" x14ac:dyDescent="0.2">
      <c r="B323" s="60" t="s">
        <v>696</v>
      </c>
      <c r="E323" s="8"/>
    </row>
    <row r="324" spans="2:6" x14ac:dyDescent="0.2">
      <c r="B324" s="60"/>
      <c r="E324" s="8"/>
    </row>
    <row r="325" spans="2:6" ht="10.5" x14ac:dyDescent="0.2">
      <c r="B325" s="67" t="s">
        <v>683</v>
      </c>
      <c r="E325" s="8"/>
    </row>
    <row r="326" spans="2:6" x14ac:dyDescent="0.2">
      <c r="B326" s="62"/>
      <c r="E326" s="8"/>
    </row>
    <row r="327" spans="2:6" ht="10.5" x14ac:dyDescent="0.2">
      <c r="B327" s="67" t="s">
        <v>684</v>
      </c>
      <c r="E327" s="8"/>
    </row>
    <row r="328" spans="2:6" ht="21" x14ac:dyDescent="0.2">
      <c r="B328" s="68" t="s">
        <v>659</v>
      </c>
      <c r="C328" s="69" t="s">
        <v>660</v>
      </c>
      <c r="D328" s="69" t="s">
        <v>661</v>
      </c>
      <c r="E328" s="69" t="s">
        <v>662</v>
      </c>
      <c r="F328" s="69" t="s">
        <v>663</v>
      </c>
    </row>
    <row r="329" spans="2:6" x14ac:dyDescent="0.2">
      <c r="B329" s="103" t="s">
        <v>171</v>
      </c>
      <c r="C329" s="104"/>
      <c r="D329" s="104"/>
      <c r="E329" s="104"/>
      <c r="F329" s="105"/>
    </row>
    <row r="330" spans="2:6" x14ac:dyDescent="0.2">
      <c r="B330" s="62" t="s">
        <v>682</v>
      </c>
      <c r="E330" s="8"/>
    </row>
    <row r="331" spans="2:6" x14ac:dyDescent="0.2">
      <c r="B331" s="62" t="s">
        <v>685</v>
      </c>
      <c r="E331" s="8"/>
    </row>
    <row r="332" spans="2:6" x14ac:dyDescent="0.2">
      <c r="B332" s="62"/>
      <c r="E332" s="8"/>
    </row>
    <row r="333" spans="2:6" x14ac:dyDescent="0.2">
      <c r="B333" s="106" t="s">
        <v>664</v>
      </c>
      <c r="C333" s="106" t="s">
        <v>665</v>
      </c>
      <c r="D333" s="106" t="s">
        <v>666</v>
      </c>
      <c r="E333" s="106" t="s">
        <v>667</v>
      </c>
      <c r="F333" s="106" t="s">
        <v>668</v>
      </c>
    </row>
    <row r="334" spans="2:6" x14ac:dyDescent="0.2">
      <c r="B334" s="107"/>
      <c r="C334" s="107"/>
      <c r="D334" s="107"/>
      <c r="E334" s="107"/>
      <c r="F334" s="107"/>
    </row>
    <row r="335" spans="2:6" x14ac:dyDescent="0.2">
      <c r="B335" s="103" t="s">
        <v>171</v>
      </c>
      <c r="C335" s="104"/>
      <c r="D335" s="104"/>
      <c r="E335" s="104"/>
      <c r="F335" s="105"/>
    </row>
    <row r="336" spans="2:6" x14ac:dyDescent="0.2">
      <c r="B336" s="62"/>
      <c r="E336" s="8"/>
    </row>
    <row r="337" spans="2:6" ht="10.5" x14ac:dyDescent="0.25">
      <c r="B337" s="70" t="s">
        <v>686</v>
      </c>
      <c r="C337" s="71"/>
      <c r="D337" s="71"/>
      <c r="E337" s="71"/>
      <c r="F337" s="71"/>
    </row>
    <row r="338" spans="2:6" x14ac:dyDescent="0.2">
      <c r="B338" s="72"/>
      <c r="C338" s="71"/>
      <c r="D338" s="71"/>
      <c r="E338" s="71"/>
      <c r="F338" s="71"/>
    </row>
    <row r="339" spans="2:6" ht="21" x14ac:dyDescent="0.2">
      <c r="B339" s="68" t="s">
        <v>659</v>
      </c>
      <c r="C339" s="69" t="s">
        <v>660</v>
      </c>
      <c r="D339" s="69" t="s">
        <v>661</v>
      </c>
      <c r="E339" s="69" t="s">
        <v>662</v>
      </c>
      <c r="F339" s="69" t="s">
        <v>663</v>
      </c>
    </row>
    <row r="340" spans="2:6" x14ac:dyDescent="0.2">
      <c r="B340" s="91" t="s">
        <v>165</v>
      </c>
      <c r="C340" s="92" t="s">
        <v>166</v>
      </c>
      <c r="D340" s="93">
        <v>23848.233400000001</v>
      </c>
      <c r="E340" s="94">
        <v>23748.799999999999</v>
      </c>
      <c r="F340" s="94">
        <v>3.4918588000000002</v>
      </c>
    </row>
    <row r="341" spans="2:6" x14ac:dyDescent="0.2">
      <c r="B341" s="72"/>
      <c r="C341" s="71"/>
      <c r="D341" s="71"/>
      <c r="E341" s="71"/>
      <c r="F341" s="71"/>
    </row>
    <row r="342" spans="2:6" x14ac:dyDescent="0.2">
      <c r="B342" s="95" t="s">
        <v>697</v>
      </c>
      <c r="C342" s="71"/>
      <c r="D342" s="71"/>
      <c r="E342" s="71"/>
      <c r="F342" s="71"/>
    </row>
    <row r="343" spans="2:6" ht="10.5" x14ac:dyDescent="0.2">
      <c r="B343" s="71" t="s">
        <v>687</v>
      </c>
      <c r="C343" s="73"/>
      <c r="D343" s="74"/>
      <c r="E343" s="75"/>
      <c r="F343" s="76"/>
    </row>
    <row r="344" spans="2:6" ht="10.5" x14ac:dyDescent="0.2">
      <c r="B344" s="71" t="s">
        <v>669</v>
      </c>
      <c r="C344" s="73"/>
      <c r="D344" s="74"/>
      <c r="E344" s="75"/>
      <c r="F344" s="76"/>
    </row>
    <row r="345" spans="2:6" x14ac:dyDescent="0.2">
      <c r="B345" s="108" t="s">
        <v>664</v>
      </c>
      <c r="C345" s="108" t="s">
        <v>665</v>
      </c>
      <c r="D345" s="108" t="s">
        <v>666</v>
      </c>
      <c r="E345" s="108" t="s">
        <v>667</v>
      </c>
      <c r="F345" s="108" t="s">
        <v>668</v>
      </c>
    </row>
    <row r="346" spans="2:6" x14ac:dyDescent="0.2">
      <c r="B346" s="109"/>
      <c r="C346" s="109"/>
      <c r="D346" s="109"/>
      <c r="E346" s="109"/>
      <c r="F346" s="109"/>
    </row>
    <row r="347" spans="2:6" x14ac:dyDescent="0.2">
      <c r="B347" s="96">
        <v>39</v>
      </c>
      <c r="C347" s="99">
        <v>42</v>
      </c>
      <c r="D347" s="97">
        <v>609.73193660000004</v>
      </c>
      <c r="E347" s="77">
        <v>654.734015</v>
      </c>
      <c r="F347" s="98">
        <v>-2.1256841000000199</v>
      </c>
    </row>
    <row r="348" spans="2:6" x14ac:dyDescent="0.2">
      <c r="B348" s="65"/>
      <c r="C348" s="78"/>
      <c r="D348" s="78"/>
      <c r="E348" s="78"/>
      <c r="F348" s="56"/>
    </row>
    <row r="349" spans="2:6" ht="10.5" x14ac:dyDescent="0.2">
      <c r="B349" s="79" t="s">
        <v>688</v>
      </c>
      <c r="C349" s="80"/>
      <c r="D349" s="80"/>
      <c r="E349" s="81"/>
      <c r="F349" s="56"/>
    </row>
    <row r="350" spans="2:6" ht="10.5" x14ac:dyDescent="0.2">
      <c r="B350" s="82"/>
      <c r="C350" s="80"/>
      <c r="D350" s="80"/>
      <c r="E350" s="81"/>
      <c r="F350" s="56"/>
    </row>
    <row r="351" spans="2:6" ht="21" x14ac:dyDescent="0.2">
      <c r="B351" s="68" t="s">
        <v>659</v>
      </c>
      <c r="C351" s="69" t="s">
        <v>670</v>
      </c>
      <c r="D351" s="69" t="s">
        <v>671</v>
      </c>
      <c r="E351" s="69" t="s">
        <v>672</v>
      </c>
      <c r="F351" s="56"/>
    </row>
    <row r="352" spans="2:6" x14ac:dyDescent="0.2">
      <c r="B352" s="103" t="s">
        <v>171</v>
      </c>
      <c r="C352" s="104"/>
      <c r="D352" s="104"/>
      <c r="E352" s="105"/>
      <c r="F352" s="56"/>
    </row>
    <row r="353" spans="2:6" x14ac:dyDescent="0.2">
      <c r="B353" s="72" t="s">
        <v>673</v>
      </c>
      <c r="C353" s="71"/>
      <c r="D353" s="71"/>
      <c r="E353" s="71"/>
      <c r="F353" s="56"/>
    </row>
    <row r="354" spans="2:6" x14ac:dyDescent="0.2">
      <c r="B354" s="83"/>
      <c r="C354" s="84"/>
      <c r="D354" s="84"/>
      <c r="E354" s="83"/>
      <c r="F354" s="56"/>
    </row>
    <row r="355" spans="2:6" x14ac:dyDescent="0.2">
      <c r="B355" s="83" t="s">
        <v>689</v>
      </c>
      <c r="C355" s="84"/>
      <c r="D355" s="84"/>
      <c r="E355" s="83"/>
      <c r="F355" s="56"/>
    </row>
    <row r="356" spans="2:6" x14ac:dyDescent="0.2">
      <c r="B356" s="83"/>
      <c r="C356" s="84"/>
      <c r="D356" s="84"/>
      <c r="E356" s="83"/>
      <c r="F356" s="56"/>
    </row>
    <row r="357" spans="2:6" x14ac:dyDescent="0.2">
      <c r="B357" s="106" t="s">
        <v>674</v>
      </c>
      <c r="C357" s="106" t="s">
        <v>675</v>
      </c>
      <c r="D357" s="106" t="s">
        <v>676</v>
      </c>
      <c r="E357" s="83"/>
      <c r="F357" s="56"/>
    </row>
    <row r="358" spans="2:6" x14ac:dyDescent="0.2">
      <c r="B358" s="107"/>
      <c r="C358" s="107"/>
      <c r="D358" s="107"/>
      <c r="E358" s="83"/>
      <c r="F358" s="56"/>
    </row>
    <row r="359" spans="2:6" x14ac:dyDescent="0.2">
      <c r="B359" s="110" t="s">
        <v>171</v>
      </c>
      <c r="C359" s="110"/>
      <c r="D359" s="110"/>
      <c r="E359" s="78"/>
      <c r="F359" s="56"/>
    </row>
    <row r="360" spans="2:6" x14ac:dyDescent="0.2">
      <c r="B360" s="85"/>
      <c r="C360" s="85"/>
      <c r="D360" s="85"/>
      <c r="E360" s="78"/>
      <c r="F360" s="56"/>
    </row>
    <row r="361" spans="2:6" ht="10.5" x14ac:dyDescent="0.2">
      <c r="B361" s="79" t="s">
        <v>690</v>
      </c>
      <c r="C361" s="85"/>
      <c r="D361" s="85"/>
      <c r="E361" s="78"/>
      <c r="F361" s="56"/>
    </row>
    <row r="362" spans="2:6" x14ac:dyDescent="0.2">
      <c r="B362" s="85"/>
      <c r="C362" s="85"/>
      <c r="D362" s="85"/>
      <c r="E362" s="78"/>
      <c r="F362" s="56"/>
    </row>
    <row r="363" spans="2:6" ht="21" x14ac:dyDescent="0.2">
      <c r="B363" s="69" t="s">
        <v>659</v>
      </c>
      <c r="C363" s="69" t="s">
        <v>677</v>
      </c>
      <c r="D363" s="69" t="s">
        <v>678</v>
      </c>
      <c r="E363" s="69" t="s">
        <v>679</v>
      </c>
      <c r="F363" s="69" t="s">
        <v>680</v>
      </c>
    </row>
    <row r="364" spans="2:6" x14ac:dyDescent="0.2">
      <c r="B364" s="111" t="s">
        <v>171</v>
      </c>
      <c r="C364" s="111"/>
      <c r="D364" s="111"/>
      <c r="E364" s="111"/>
      <c r="F364" s="111"/>
    </row>
    <row r="365" spans="2:6" x14ac:dyDescent="0.2">
      <c r="B365" s="86" t="s">
        <v>681</v>
      </c>
      <c r="C365" s="85"/>
      <c r="D365" s="85"/>
      <c r="E365" s="78"/>
      <c r="F365" s="56"/>
    </row>
    <row r="366" spans="2:6" x14ac:dyDescent="0.2">
      <c r="B366" s="85"/>
      <c r="C366" s="85"/>
      <c r="D366" s="85"/>
      <c r="E366" s="78"/>
      <c r="F366" s="56"/>
    </row>
    <row r="367" spans="2:6" x14ac:dyDescent="0.2">
      <c r="B367" s="83" t="s">
        <v>691</v>
      </c>
      <c r="C367" s="84"/>
      <c r="D367" s="84"/>
      <c r="E367" s="78"/>
      <c r="F367" s="56"/>
    </row>
    <row r="368" spans="2:6" x14ac:dyDescent="0.2">
      <c r="B368" s="83"/>
      <c r="C368" s="84"/>
      <c r="D368" s="84"/>
      <c r="E368" s="78"/>
      <c r="F368" s="56"/>
    </row>
    <row r="369" spans="2:7" x14ac:dyDescent="0.2">
      <c r="B369" s="106" t="s">
        <v>674</v>
      </c>
      <c r="C369" s="106" t="s">
        <v>675</v>
      </c>
      <c r="D369" s="106" t="s">
        <v>676</v>
      </c>
      <c r="E369" s="78"/>
      <c r="F369" s="56"/>
    </row>
    <row r="370" spans="2:7" x14ac:dyDescent="0.2">
      <c r="B370" s="107"/>
      <c r="C370" s="107"/>
      <c r="D370" s="107"/>
      <c r="E370" s="78"/>
      <c r="F370" s="56"/>
    </row>
    <row r="371" spans="2:7" x14ac:dyDescent="0.2">
      <c r="B371" s="110" t="s">
        <v>171</v>
      </c>
      <c r="C371" s="110"/>
      <c r="D371" s="110"/>
      <c r="E371" s="78"/>
      <c r="F371" s="56"/>
    </row>
    <row r="372" spans="2:7" x14ac:dyDescent="0.2">
      <c r="B372" s="85"/>
      <c r="C372" s="85"/>
      <c r="D372" s="85"/>
      <c r="E372" s="78"/>
      <c r="F372" s="56"/>
    </row>
    <row r="373" spans="2:7" ht="10.5" x14ac:dyDescent="0.2">
      <c r="B373" s="87" t="s">
        <v>692</v>
      </c>
      <c r="C373" s="85"/>
      <c r="D373" s="85"/>
      <c r="E373" s="78"/>
      <c r="F373" s="56"/>
    </row>
    <row r="374" spans="2:7" x14ac:dyDescent="0.2">
      <c r="B374" s="62"/>
      <c r="E374" s="8"/>
    </row>
    <row r="375" spans="2:7" x14ac:dyDescent="0.2">
      <c r="B375" s="60" t="s">
        <v>693</v>
      </c>
      <c r="E375" s="8"/>
    </row>
    <row r="376" spans="2:7" x14ac:dyDescent="0.2">
      <c r="B376" s="100" t="s">
        <v>698</v>
      </c>
      <c r="E376" s="8"/>
    </row>
    <row r="377" spans="2:7" x14ac:dyDescent="0.2">
      <c r="B377" s="60" t="s">
        <v>694</v>
      </c>
      <c r="E377" s="8"/>
    </row>
    <row r="379" spans="2:7" ht="10.5" x14ac:dyDescent="0.25">
      <c r="B379" s="14" t="s">
        <v>169</v>
      </c>
      <c r="E379" s="8"/>
      <c r="G379" s="56"/>
    </row>
    <row r="380" spans="2:7" x14ac:dyDescent="0.2">
      <c r="E380" s="8"/>
      <c r="G380" s="56"/>
    </row>
    <row r="381" spans="2:7" x14ac:dyDescent="0.2">
      <c r="E381" s="8"/>
      <c r="G381" s="56"/>
    </row>
    <row r="382" spans="2:7" x14ac:dyDescent="0.2">
      <c r="E382" s="8"/>
      <c r="G382" s="56"/>
    </row>
    <row r="383" spans="2:7" x14ac:dyDescent="0.2">
      <c r="E383" s="8"/>
      <c r="G383" s="56"/>
    </row>
    <row r="384" spans="2:7" x14ac:dyDescent="0.2">
      <c r="E384" s="8"/>
      <c r="G384" s="56"/>
    </row>
    <row r="385" spans="5:7" x14ac:dyDescent="0.2">
      <c r="E385" s="8"/>
      <c r="G385" s="56"/>
    </row>
    <row r="386" spans="5:7" x14ac:dyDescent="0.2">
      <c r="E386" s="8"/>
      <c r="G386" s="56"/>
    </row>
    <row r="387" spans="5:7" x14ac:dyDescent="0.2">
      <c r="E387" s="8"/>
      <c r="G387" s="56"/>
    </row>
    <row r="388" spans="5:7" x14ac:dyDescent="0.2">
      <c r="E388" s="8"/>
      <c r="G388" s="56"/>
    </row>
    <row r="389" spans="5:7" x14ac:dyDescent="0.2">
      <c r="E389" s="8"/>
      <c r="G389" s="56"/>
    </row>
    <row r="390" spans="5:7" x14ac:dyDescent="0.2">
      <c r="E390" s="8"/>
      <c r="G390" s="56"/>
    </row>
    <row r="391" spans="5:7" x14ac:dyDescent="0.2">
      <c r="E391" s="8"/>
      <c r="G391" s="56"/>
    </row>
    <row r="392" spans="5:7" x14ac:dyDescent="0.2">
      <c r="E392" s="8"/>
      <c r="G392" s="56"/>
    </row>
    <row r="393" spans="5:7" x14ac:dyDescent="0.2">
      <c r="E393" s="8"/>
      <c r="G393" s="56"/>
    </row>
    <row r="394" spans="5:7" x14ac:dyDescent="0.2">
      <c r="E394" s="8"/>
      <c r="G394" s="56"/>
    </row>
    <row r="395" spans="5:7" x14ac:dyDescent="0.2">
      <c r="E395" s="8"/>
      <c r="G395" s="56"/>
    </row>
    <row r="396" spans="5:7" x14ac:dyDescent="0.2">
      <c r="E396" s="8"/>
      <c r="G396" s="56"/>
    </row>
    <row r="397" spans="5:7" x14ac:dyDescent="0.2">
      <c r="E397" s="8"/>
      <c r="G397" s="56"/>
    </row>
    <row r="398" spans="5:7" x14ac:dyDescent="0.2">
      <c r="E398" s="8"/>
      <c r="G398" s="56"/>
    </row>
    <row r="399" spans="5:7" x14ac:dyDescent="0.2">
      <c r="E399" s="8"/>
      <c r="G399" s="56"/>
    </row>
    <row r="400" spans="5:7" x14ac:dyDescent="0.2">
      <c r="E400" s="8"/>
      <c r="G400" s="56"/>
    </row>
    <row r="401" spans="2:7" ht="10.5" x14ac:dyDescent="0.2">
      <c r="B401" s="57" t="s">
        <v>650</v>
      </c>
      <c r="E401" s="8"/>
      <c r="G401" s="56"/>
    </row>
    <row r="402" spans="2:7" ht="10.5" x14ac:dyDescent="0.25">
      <c r="B402" s="58" t="s">
        <v>651</v>
      </c>
      <c r="E402" s="8"/>
      <c r="G402" s="56"/>
    </row>
    <row r="403" spans="2:7" x14ac:dyDescent="0.2">
      <c r="E403" s="8"/>
      <c r="G403" s="56"/>
    </row>
    <row r="404" spans="2:7" x14ac:dyDescent="0.2">
      <c r="E404" s="8"/>
      <c r="G404" s="56"/>
    </row>
    <row r="405" spans="2:7" x14ac:dyDescent="0.2">
      <c r="E405" s="8"/>
      <c r="G405" s="56"/>
    </row>
    <row r="406" spans="2:7" x14ac:dyDescent="0.2">
      <c r="E406" s="8"/>
      <c r="G406" s="56"/>
    </row>
    <row r="407" spans="2:7" x14ac:dyDescent="0.2">
      <c r="E407" s="8"/>
      <c r="G407" s="56"/>
    </row>
    <row r="408" spans="2:7" x14ac:dyDescent="0.2">
      <c r="E408" s="8"/>
      <c r="G408" s="56"/>
    </row>
    <row r="409" spans="2:7" x14ac:dyDescent="0.2">
      <c r="E409" s="8"/>
      <c r="G409" s="56"/>
    </row>
    <row r="410" spans="2:7" x14ac:dyDescent="0.2">
      <c r="E410" s="8"/>
      <c r="G410" s="56"/>
    </row>
    <row r="411" spans="2:7" x14ac:dyDescent="0.2">
      <c r="E411" s="8"/>
      <c r="G411" s="56"/>
    </row>
    <row r="412" spans="2:7" x14ac:dyDescent="0.2">
      <c r="E412" s="8"/>
      <c r="G412" s="56"/>
    </row>
    <row r="413" spans="2:7" x14ac:dyDescent="0.2">
      <c r="E413" s="8"/>
      <c r="G413" s="56"/>
    </row>
    <row r="414" spans="2:7" x14ac:dyDescent="0.2">
      <c r="E414" s="8"/>
      <c r="G414" s="56"/>
    </row>
    <row r="415" spans="2:7" x14ac:dyDescent="0.2">
      <c r="E415" s="8"/>
      <c r="G415" s="56"/>
    </row>
    <row r="416" spans="2:7" x14ac:dyDescent="0.2">
      <c r="E416" s="8"/>
      <c r="G416" s="56"/>
    </row>
    <row r="417" spans="5:7" x14ac:dyDescent="0.2">
      <c r="E417" s="8"/>
      <c r="G417" s="56"/>
    </row>
    <row r="418" spans="5:7" x14ac:dyDescent="0.2">
      <c r="E418" s="8"/>
      <c r="G418" s="56"/>
    </row>
    <row r="419" spans="5:7" x14ac:dyDescent="0.2">
      <c r="E419" s="8"/>
      <c r="G419" s="56"/>
    </row>
    <row r="420" spans="5:7" x14ac:dyDescent="0.2">
      <c r="E420" s="8"/>
      <c r="G420" s="56"/>
    </row>
    <row r="421" spans="5:7" x14ac:dyDescent="0.2">
      <c r="E421" s="8"/>
      <c r="G421" s="56"/>
    </row>
    <row r="422" spans="5:7" x14ac:dyDescent="0.2">
      <c r="E422" s="8"/>
      <c r="G422" s="56"/>
    </row>
  </sheetData>
  <mergeCells count="23">
    <mergeCell ref="B364:F364"/>
    <mergeCell ref="B369:B370"/>
    <mergeCell ref="C369:C370"/>
    <mergeCell ref="D369:D370"/>
    <mergeCell ref="B371:D371"/>
    <mergeCell ref="B352:E352"/>
    <mergeCell ref="B357:B358"/>
    <mergeCell ref="C357:C358"/>
    <mergeCell ref="D357:D358"/>
    <mergeCell ref="B359:D359"/>
    <mergeCell ref="B335:F335"/>
    <mergeCell ref="B345:B346"/>
    <mergeCell ref="C345:C346"/>
    <mergeCell ref="D345:D346"/>
    <mergeCell ref="E345:E346"/>
    <mergeCell ref="F345:F346"/>
    <mergeCell ref="B1:C1"/>
    <mergeCell ref="B329:F329"/>
    <mergeCell ref="B333:B334"/>
    <mergeCell ref="C333:C334"/>
    <mergeCell ref="D333:D334"/>
    <mergeCell ref="E333:E334"/>
    <mergeCell ref="F333:F334"/>
  </mergeCells>
  <conditionalFormatting sqref="G1:G3 G5:G422">
    <cfRule type="cellIs" dxfId="0" priority="2" stopIfTrue="1" operator="between">
      <formula>0.009</formula>
      <formula>-0.009</formula>
    </cfRule>
  </conditionalFormatting>
  <hyperlinks>
    <hyperlink ref="A2" location="Index!A1" display="-" xr:uid="{11078807-C1ED-4478-BE3C-30E2DBDD7FC1}"/>
  </hyperlinks>
  <pageMargins left="0.7" right="0.7" top="0.75" bottom="0.75" header="0.3" footer="0.3"/>
  <pageSetup paperSize="9" scale="50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44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JBSECRO</vt:lpstr>
      <vt:lpstr>JBSECRO!Print_Area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2026-06-09T06:44:53Z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