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A283A2B1-D7EB-4459-8C35-DB5D324BA33B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MMF" sheetId="3" r:id="rId1"/>
  </sheets>
  <definedNames>
    <definedName name="_xlnm.Print_Area" localSheetId="0">JBMMF!$B$1:$I$108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3" l="1"/>
  <c r="F54" i="3"/>
  <c r="G51" i="3"/>
  <c r="F51" i="3"/>
  <c r="G47" i="3"/>
  <c r="F47" i="3"/>
  <c r="G41" i="3"/>
  <c r="F41" i="3"/>
  <c r="G25" i="3"/>
  <c r="F25" i="3"/>
  <c r="G58" i="3" l="1"/>
  <c r="F48" i="3"/>
  <c r="G48" i="3"/>
  <c r="F58" i="3"/>
</calcChain>
</file>

<file path=xl/sharedStrings.xml><?xml version="1.0" encoding="utf-8"?>
<sst xmlns="http://schemas.openxmlformats.org/spreadsheetml/2006/main" count="145" uniqueCount="109">
  <si>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</si>
  <si>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</si>
  <si>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</si>
  <si>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</si>
  <si>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</si>
  <si>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</si>
  <si>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</si>
  <si>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Money Market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</si>
  <si>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</si>
  <si>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</si>
  <si>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</si>
  <si>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</si>
  <si>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</si>
  <si>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</si>
  <si>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Bank of Baroda (11-Mar-2026) **</t>
  </si>
  <si>
    <t>INE028A16HZ3</t>
  </si>
  <si>
    <t>IND A1+</t>
  </si>
  <si>
    <t>Punjab National Bank (09-Mar-2026)</t>
  </si>
  <si>
    <t>INE160A16TT2</t>
  </si>
  <si>
    <t>National Bank For Agriculture &amp; Rural Development (10-Mar-2026) **</t>
  </si>
  <si>
    <t>INE261F16975</t>
  </si>
  <si>
    <t>CRISIL A1+</t>
  </si>
  <si>
    <t>Canara Bank (12-Mar-2026)</t>
  </si>
  <si>
    <t>INE476A16B23</t>
  </si>
  <si>
    <t>HDFC Bank Ltd (24-Feb-2027)</t>
  </si>
  <si>
    <t>INE040A16IO0</t>
  </si>
  <si>
    <t>Small Industries Development Bank of India (26-Feb-2027) **</t>
  </si>
  <si>
    <t>INE556F16CC2</t>
  </si>
  <si>
    <t>Export-Import Bank Of India (28-May-2026)</t>
  </si>
  <si>
    <t>INE514E16CL5</t>
  </si>
  <si>
    <t>Punjab National Bank (05-Feb-2027) **</t>
  </si>
  <si>
    <t>INE160A16UE2</t>
  </si>
  <si>
    <t>National Bank For Agriculture &amp; Rural Development (02-Mar-2027) **</t>
  </si>
  <si>
    <t>INE261F16AM2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</si>
  <si>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</si>
  <si>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</si>
  <si>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</si>
  <si>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</si>
  <si>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</si>
  <si>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</si>
  <si>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Indian Bank (15-Dec-2026) **</t>
  </si>
  <si>
    <t>INE562A16QN8</t>
  </si>
  <si>
    <t>Canara Bank (28-Jan-2027)</t>
  </si>
  <si>
    <t>INE476A16G28</t>
  </si>
  <si>
    <t>Bank of Baroda (03-Feb-2027) **</t>
  </si>
  <si>
    <t>INE028A16LE0</t>
  </si>
  <si>
    <t>Indian Bank (05-Feb-2027) **</t>
  </si>
  <si>
    <t>INE562A16QI8</t>
  </si>
  <si>
    <t>National Bank For Agriculture &amp; Rural Development (04-Feb-2027) **</t>
  </si>
  <si>
    <t>INE261F16AJ8</t>
  </si>
  <si>
    <t>Sub Total</t>
  </si>
  <si>
    <t>Commercial Paper</t>
  </si>
  <si>
    <t>NTPC Ltd (10-Mar-2026) **</t>
  </si>
  <si>
    <t>INE733E14BU9</t>
  </si>
  <si>
    <t>Reliance Retail Ventures Ltd (13-Mar-2026)</t>
  </si>
  <si>
    <t>INE929O14EP6</t>
  </si>
  <si>
    <t>Kotak Securities Ltd (13-Mar-2026) **</t>
  </si>
  <si>
    <t>INE028E14TK7</t>
  </si>
  <si>
    <t>ICICI Securities Ltd (09-Mar-2026) **</t>
  </si>
  <si>
    <t>INE763G14D03</t>
  </si>
  <si>
    <t>Kotak Securities Ltd (12-Mar-2026) **</t>
  </si>
  <si>
    <t>INE028E14TZ5</t>
  </si>
  <si>
    <t>ICICI Securities Ltd (12-Mar-2026) **</t>
  </si>
  <si>
    <t>INE763G14D60</t>
  </si>
  <si>
    <t>Kotak Securities Ltd (16-Mar-2026) **</t>
  </si>
  <si>
    <t>INE028E14UA6</t>
  </si>
  <si>
    <t>ICICI Securities Ltd (17-Mar-2026) **</t>
  </si>
  <si>
    <t>INE763G14XS9</t>
  </si>
  <si>
    <t>Small Industries Development Bank Of India (20-Mar-2026)</t>
  </si>
  <si>
    <t>INE556F14LX4</t>
  </si>
  <si>
    <t>Mahindra &amp; Mahindra Financial Services Ltd (20-Mar-2026) **</t>
  </si>
  <si>
    <t>INE774D14TE1</t>
  </si>
  <si>
    <t>Tata Capital Ltd (23-Mar-2026) **</t>
  </si>
  <si>
    <t>INE976I14QR9</t>
  </si>
  <si>
    <t>Small Industries Development Bank Of India (27-Mar-2026)</t>
  </si>
  <si>
    <t>INE556F14LY2</t>
  </si>
  <si>
    <t>ICICI Securities Ltd (06-Mar-2026)</t>
  </si>
  <si>
    <t>INE763G14XX9</t>
  </si>
  <si>
    <t>ICRA A1+</t>
  </si>
  <si>
    <t>Kotak Securities Ltd (24-Mar-2026) **</t>
  </si>
  <si>
    <t>INE028E14UF5</t>
  </si>
  <si>
    <t>Treasury Bill</t>
  </si>
  <si>
    <t>364 DTB (21-JAN-2027)</t>
  </si>
  <si>
    <t>IN002025Z427</t>
  </si>
  <si>
    <t>364 DTB (03-DEC-2026)</t>
  </si>
  <si>
    <t>IN002025Z369</t>
  </si>
  <si>
    <t>364 DTB (10-DEC-2026)</t>
  </si>
  <si>
    <t>IN002025Z377</t>
  </si>
  <si>
    <t>364 DTB (19-FEB-2027)</t>
  </si>
  <si>
    <t>IN002025Z468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</si>
  <si>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</si>
  <si>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</si>
  <si>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</si>
  <si>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</si>
  <si>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</si>
  <si>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</si>
  <si>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</si>
  <si>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</si>
  <si>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</si>
  <si>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</si>
  <si>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</si>
  <si>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</si>
  <si>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</si>
  <si>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</si>
  <si>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</si>
  <si>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</si>
  <si>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</si>
  <si>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-</t>
  </si>
  <si>
    <t>Aggregate Investments by other schemes (at NAV) as on February 28, 2026, is Rs.2,528.09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</si>
</sst>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2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10" fontId="5" fillId="2" borderId="7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3" fillId="3" borderId="0" xfId="0" applyFont="1" applyFill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68</xdr:row>
      <xdr:rowOff>9525</xdr:rowOff>
    </xdr:from>
    <xdr:to>
      <xdr:col>4</xdr:col>
      <xdr:colOff>28575</xdr:colOff>
      <xdr:row>85</xdr:row>
      <xdr:rowOff>66675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5DA47B0-C710-40D6-92C3-EB059363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9515475"/>
          <a:ext cx="5032375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91</xdr:row>
      <xdr:rowOff>47625</xdr:rowOff>
    </xdr:from>
    <xdr:to>
      <xdr:col>4</xdr:col>
      <xdr:colOff>228600</xdr:colOff>
      <xdr:row>108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795FF02-B16D-4FFB-90BB-6EE734D3F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2493625"/>
          <a:ext cx="51562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E7F3-D956-4C4F-9335-D0254254921E}">
  <dimension ref="A1:K432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1796875" style="8" bestFit="1" customWidth="1"/>
    <col min="4" max="4" width="13.7265625" style="8" bestFit="1" customWidth="1"/>
    <col min="5" max="5" width="13.7265625" style="9" bestFit="1" customWidth="1"/>
    <col min="6" max="6" width="12.7265625" style="11" bestFit="1" customWidth="1"/>
    <col min="7" max="7" width="10.7265625" style="17" customWidth="1"/>
    <col min="8" max="8" width="11.81640625" style="14" bestFit="1" customWidth="1"/>
    <col min="9" max="9" width="12.453125" style="14" customWidth="1"/>
    <col min="10" max="10" width="25.81640625" style="8" customWidth="1"/>
    <col min="11" max="16384" width="9.1796875" style="8"/>
  </cols>
  <sheetData>
    <row r="1" spans="1:11" s="1" customFormat="1" ht="16.75" customHeight="1" x14ac:dyDescent="0.35">
      <c r="B1" s="57" t="s">
        <v>7</v>
      </c>
      <c r="C1" s="58"/>
      <c r="D1" s="13"/>
      <c r="E1" s="6"/>
      <c r="F1" s="7"/>
      <c r="G1" s="17"/>
      <c r="H1" s="14"/>
      <c r="I1" s="15"/>
    </row>
    <row r="2" spans="1:11" s="1" customFormat="1" ht="14.5" x14ac:dyDescent="0.35">
      <c r="A2" s="53" t="s">
        <v>107</v>
      </c>
      <c r="E2" s="6"/>
      <c r="F2" s="7"/>
      <c r="G2" s="17"/>
      <c r="H2" s="14"/>
      <c r="I2" s="15"/>
    </row>
    <row r="3" spans="1:11" s="1" customFormat="1" ht="11.5" x14ac:dyDescent="0.25"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34.5" customHeight="1" x14ac:dyDescent="0.25">
      <c r="B4" s="19" t="s">
        <v>4</v>
      </c>
      <c r="C4" s="19" t="s">
        <v>5</v>
      </c>
      <c r="D4" s="20" t="s">
        <v>101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ht="10.5" x14ac:dyDescent="0.25">
      <c r="B5" s="25" t="s">
        <v>9</v>
      </c>
      <c r="C5" s="26"/>
      <c r="D5" s="26"/>
      <c r="E5" s="27"/>
      <c r="F5" s="28"/>
      <c r="G5" s="29"/>
      <c r="H5" s="30"/>
      <c r="I5" s="30"/>
    </row>
    <row r="6" spans="1:11" ht="10.5" x14ac:dyDescent="0.25">
      <c r="B6" s="25" t="s">
        <v>10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11</v>
      </c>
      <c r="C7" s="26" t="s">
        <v>12</v>
      </c>
      <c r="D7" s="26" t="s">
        <v>13</v>
      </c>
      <c r="E7" s="31">
        <v>3000</v>
      </c>
      <c r="F7" s="28">
        <v>14974.95</v>
      </c>
      <c r="G7" s="29">
        <v>5.4173419316115101</v>
      </c>
      <c r="H7" s="32">
        <v>5.5506E-2</v>
      </c>
      <c r="I7" s="33"/>
    </row>
    <row r="8" spans="1:11" x14ac:dyDescent="0.2">
      <c r="B8" s="26" t="s">
        <v>14</v>
      </c>
      <c r="C8" s="26" t="s">
        <v>15</v>
      </c>
      <c r="D8" s="26" t="s">
        <v>16</v>
      </c>
      <c r="E8" s="31">
        <v>2500</v>
      </c>
      <c r="F8" s="28">
        <v>12481.025</v>
      </c>
      <c r="G8" s="29">
        <v>4.5151389541862601</v>
      </c>
      <c r="H8" s="32">
        <v>5.5490999999999999E-2</v>
      </c>
      <c r="I8" s="33"/>
    </row>
    <row r="9" spans="1:11" x14ac:dyDescent="0.2">
      <c r="B9" s="26" t="s">
        <v>17</v>
      </c>
      <c r="C9" s="26" t="s">
        <v>18</v>
      </c>
      <c r="D9" s="26" t="s">
        <v>16</v>
      </c>
      <c r="E9" s="31">
        <v>2000</v>
      </c>
      <c r="F9" s="28">
        <v>9987.85</v>
      </c>
      <c r="G9" s="29">
        <v>3.6132072969623299</v>
      </c>
      <c r="H9" s="32">
        <v>5.5502000000000003E-2</v>
      </c>
      <c r="I9" s="33"/>
    </row>
    <row r="10" spans="1:11" x14ac:dyDescent="0.2">
      <c r="B10" s="26" t="s">
        <v>19</v>
      </c>
      <c r="C10" s="26" t="s">
        <v>20</v>
      </c>
      <c r="D10" s="26" t="s">
        <v>21</v>
      </c>
      <c r="E10" s="31">
        <v>2000</v>
      </c>
      <c r="F10" s="28">
        <v>9986.2900000000009</v>
      </c>
      <c r="G10" s="29">
        <v>3.6126429509435898</v>
      </c>
      <c r="H10" s="32">
        <v>5.5677999999999998E-2</v>
      </c>
      <c r="I10" s="33"/>
    </row>
    <row r="11" spans="1:11" x14ac:dyDescent="0.2">
      <c r="B11" s="26" t="s">
        <v>22</v>
      </c>
      <c r="C11" s="26" t="s">
        <v>23</v>
      </c>
      <c r="D11" s="26" t="s">
        <v>21</v>
      </c>
      <c r="E11" s="31">
        <v>2000</v>
      </c>
      <c r="F11" s="28">
        <v>9983.32</v>
      </c>
      <c r="G11" s="29">
        <v>3.6115685229463699</v>
      </c>
      <c r="H11" s="32">
        <v>5.5440000000000003E-2</v>
      </c>
      <c r="I11" s="33"/>
    </row>
    <row r="12" spans="1:11" x14ac:dyDescent="0.2">
      <c r="B12" s="26" t="s">
        <v>24</v>
      </c>
      <c r="C12" s="26" t="s">
        <v>25</v>
      </c>
      <c r="D12" s="26" t="s">
        <v>13</v>
      </c>
      <c r="E12" s="31">
        <v>2000</v>
      </c>
      <c r="F12" s="28">
        <v>9365.41</v>
      </c>
      <c r="G12" s="29">
        <v>3.3880332354855098</v>
      </c>
      <c r="H12" s="32">
        <v>6.8699999999999997E-2</v>
      </c>
      <c r="I12" s="33"/>
    </row>
    <row r="13" spans="1:11" x14ac:dyDescent="0.2">
      <c r="B13" s="26" t="s">
        <v>26</v>
      </c>
      <c r="C13" s="26" t="s">
        <v>27</v>
      </c>
      <c r="D13" s="26" t="s">
        <v>13</v>
      </c>
      <c r="E13" s="31">
        <v>2000</v>
      </c>
      <c r="F13" s="28">
        <v>9349.09</v>
      </c>
      <c r="G13" s="29">
        <v>3.3821293079048602</v>
      </c>
      <c r="H13" s="32">
        <v>7.0199999999999999E-2</v>
      </c>
      <c r="I13" s="33"/>
    </row>
    <row r="14" spans="1:11" x14ac:dyDescent="0.2">
      <c r="B14" s="26" t="s">
        <v>28</v>
      </c>
      <c r="C14" s="26" t="s">
        <v>29</v>
      </c>
      <c r="D14" s="26" t="s">
        <v>21</v>
      </c>
      <c r="E14" s="31">
        <v>1500</v>
      </c>
      <c r="F14" s="28">
        <v>7375.1774999999998</v>
      </c>
      <c r="G14" s="29">
        <v>2.6680461920625902</v>
      </c>
      <c r="H14" s="32">
        <v>7.0198999999999998E-2</v>
      </c>
      <c r="I14" s="33"/>
    </row>
    <row r="15" spans="1:11" x14ac:dyDescent="0.2">
      <c r="B15" s="26" t="s">
        <v>30</v>
      </c>
      <c r="C15" s="26" t="s">
        <v>31</v>
      </c>
      <c r="D15" s="26" t="s">
        <v>13</v>
      </c>
      <c r="E15" s="31">
        <v>1500</v>
      </c>
      <c r="F15" s="28">
        <v>7047.6674999999996</v>
      </c>
      <c r="G15" s="29">
        <v>2.5495660865515899</v>
      </c>
      <c r="H15" s="32">
        <v>6.8699999999999997E-2</v>
      </c>
      <c r="I15" s="33"/>
    </row>
    <row r="16" spans="1:11" x14ac:dyDescent="0.2">
      <c r="B16" s="26" t="s">
        <v>32</v>
      </c>
      <c r="C16" s="26" t="s">
        <v>33</v>
      </c>
      <c r="D16" s="26" t="s">
        <v>21</v>
      </c>
      <c r="E16" s="31">
        <v>1500</v>
      </c>
      <c r="F16" s="28">
        <v>7010.0024999999996</v>
      </c>
      <c r="G16" s="29">
        <v>2.5359403860414602</v>
      </c>
      <c r="H16" s="32">
        <v>6.9900000000000004E-2</v>
      </c>
      <c r="I16" s="33"/>
    </row>
    <row r="17" spans="2:9" x14ac:dyDescent="0.2">
      <c r="B17" s="26" t="s">
        <v>34</v>
      </c>
      <c r="C17" s="26" t="s">
        <v>35</v>
      </c>
      <c r="D17" s="26" t="s">
        <v>21</v>
      </c>
      <c r="E17" s="31">
        <v>1000</v>
      </c>
      <c r="F17" s="28">
        <v>4985.2349999999997</v>
      </c>
      <c r="G17" s="29">
        <v>1.8034599517485701</v>
      </c>
      <c r="H17" s="32">
        <v>5.6897000000000003E-2</v>
      </c>
      <c r="I17" s="33"/>
    </row>
    <row r="18" spans="2:9" x14ac:dyDescent="0.2">
      <c r="B18" s="26" t="s">
        <v>36</v>
      </c>
      <c r="C18" s="26" t="s">
        <v>37</v>
      </c>
      <c r="D18" s="26" t="s">
        <v>21</v>
      </c>
      <c r="E18" s="31">
        <v>1000</v>
      </c>
      <c r="F18" s="28">
        <v>4981.87</v>
      </c>
      <c r="G18" s="29">
        <v>1.8022426284453299</v>
      </c>
      <c r="H18" s="32">
        <v>5.5354E-2</v>
      </c>
      <c r="I18" s="33"/>
    </row>
    <row r="19" spans="2:9" x14ac:dyDescent="0.2">
      <c r="B19" s="26" t="s">
        <v>38</v>
      </c>
      <c r="C19" s="26" t="s">
        <v>39</v>
      </c>
      <c r="D19" s="26" t="s">
        <v>21</v>
      </c>
      <c r="E19" s="31">
        <v>1000</v>
      </c>
      <c r="F19" s="28">
        <v>4746.2299999999996</v>
      </c>
      <c r="G19" s="29">
        <v>1.7169974387942899</v>
      </c>
      <c r="H19" s="32">
        <v>7.0199999999999999E-2</v>
      </c>
      <c r="I19" s="33"/>
    </row>
    <row r="20" spans="2:9" x14ac:dyDescent="0.2">
      <c r="B20" s="26" t="s">
        <v>40</v>
      </c>
      <c r="C20" s="26" t="s">
        <v>41</v>
      </c>
      <c r="D20" s="26" t="s">
        <v>21</v>
      </c>
      <c r="E20" s="31">
        <v>1000</v>
      </c>
      <c r="F20" s="28">
        <v>4740.8100000000004</v>
      </c>
      <c r="G20" s="29">
        <v>1.71503669813944</v>
      </c>
      <c r="H20" s="32">
        <v>6.905E-2</v>
      </c>
      <c r="I20" s="33"/>
    </row>
    <row r="21" spans="2:9" x14ac:dyDescent="0.2">
      <c r="B21" s="26" t="s">
        <v>42</v>
      </c>
      <c r="C21" s="26" t="s">
        <v>43</v>
      </c>
      <c r="D21" s="26" t="s">
        <v>21</v>
      </c>
      <c r="E21" s="31">
        <v>1000</v>
      </c>
      <c r="F21" s="28">
        <v>4703.8850000000002</v>
      </c>
      <c r="G21" s="29">
        <v>1.7016787002279401</v>
      </c>
      <c r="H21" s="32">
        <v>6.9001000000000007E-2</v>
      </c>
      <c r="I21" s="33"/>
    </row>
    <row r="22" spans="2:9" x14ac:dyDescent="0.2">
      <c r="B22" s="26" t="s">
        <v>44</v>
      </c>
      <c r="C22" s="26" t="s">
        <v>45</v>
      </c>
      <c r="D22" s="26" t="s">
        <v>13</v>
      </c>
      <c r="E22" s="31">
        <v>1000</v>
      </c>
      <c r="F22" s="28">
        <v>4700.72</v>
      </c>
      <c r="G22" s="29">
        <v>1.70053372897838</v>
      </c>
      <c r="H22" s="32">
        <v>6.855E-2</v>
      </c>
      <c r="I22" s="33"/>
    </row>
    <row r="23" spans="2:9" x14ac:dyDescent="0.2">
      <c r="B23" s="26" t="s">
        <v>46</v>
      </c>
      <c r="C23" s="26" t="s">
        <v>47</v>
      </c>
      <c r="D23" s="26" t="s">
        <v>13</v>
      </c>
      <c r="E23" s="31">
        <v>1000</v>
      </c>
      <c r="F23" s="28">
        <v>4699.0600000000004</v>
      </c>
      <c r="G23" s="29">
        <v>1.6999332069327999</v>
      </c>
      <c r="H23" s="32">
        <v>6.855E-2</v>
      </c>
      <c r="I23" s="33"/>
    </row>
    <row r="24" spans="2:9" x14ac:dyDescent="0.2">
      <c r="B24" s="26" t="s">
        <v>48</v>
      </c>
      <c r="C24" s="26" t="s">
        <v>49</v>
      </c>
      <c r="D24" s="26" t="s">
        <v>21</v>
      </c>
      <c r="E24" s="31">
        <v>1000</v>
      </c>
      <c r="F24" s="28">
        <v>4694.96</v>
      </c>
      <c r="G24" s="29">
        <v>1.69844998983227</v>
      </c>
      <c r="H24" s="32">
        <v>6.9750000000000006E-2</v>
      </c>
      <c r="I24" s="33"/>
    </row>
    <row r="25" spans="2:9" ht="10.5" x14ac:dyDescent="0.25">
      <c r="B25" s="25" t="s">
        <v>50</v>
      </c>
      <c r="C25" s="25"/>
      <c r="D25" s="25"/>
      <c r="E25" s="34"/>
      <c r="F25" s="35">
        <f>SUM(F6:F24)</f>
        <v>135813.55249999999</v>
      </c>
      <c r="G25" s="36">
        <f>SUM(G6:G24)</f>
        <v>49.131947207795086</v>
      </c>
      <c r="H25" s="37"/>
      <c r="I25" s="37"/>
    </row>
    <row r="26" spans="2:9" ht="10.5" x14ac:dyDescent="0.25">
      <c r="B26" s="25" t="s">
        <v>51</v>
      </c>
      <c r="C26" s="26"/>
      <c r="D26" s="26"/>
      <c r="E26" s="27"/>
      <c r="F26" s="28"/>
      <c r="G26" s="29"/>
      <c r="H26" s="30"/>
      <c r="I26" s="30"/>
    </row>
    <row r="27" spans="2:9" x14ac:dyDescent="0.2">
      <c r="B27" s="26" t="s">
        <v>52</v>
      </c>
      <c r="C27" s="26" t="s">
        <v>53</v>
      </c>
      <c r="D27" s="26" t="s">
        <v>13</v>
      </c>
      <c r="E27" s="31">
        <v>4500</v>
      </c>
      <c r="F27" s="28">
        <v>22469.197499999998</v>
      </c>
      <c r="G27" s="29">
        <v>8.1284629188351492</v>
      </c>
      <c r="H27" s="32">
        <v>5.5597000000000001E-2</v>
      </c>
      <c r="I27" s="33"/>
    </row>
    <row r="28" spans="2:9" x14ac:dyDescent="0.2">
      <c r="B28" s="26" t="s">
        <v>54</v>
      </c>
      <c r="C28" s="26" t="s">
        <v>55</v>
      </c>
      <c r="D28" s="26" t="s">
        <v>21</v>
      </c>
      <c r="E28" s="31">
        <v>1500</v>
      </c>
      <c r="F28" s="28">
        <v>7485.7275</v>
      </c>
      <c r="G28" s="29">
        <v>2.70803878973669</v>
      </c>
      <c r="H28" s="32">
        <v>5.7993000000000003E-2</v>
      </c>
      <c r="I28" s="33"/>
    </row>
    <row r="29" spans="2:9" x14ac:dyDescent="0.2">
      <c r="B29" s="26" t="s">
        <v>56</v>
      </c>
      <c r="C29" s="26" t="s">
        <v>57</v>
      </c>
      <c r="D29" s="26" t="s">
        <v>21</v>
      </c>
      <c r="E29" s="31">
        <v>1500</v>
      </c>
      <c r="F29" s="28">
        <v>7484.9324999999999</v>
      </c>
      <c r="G29" s="29">
        <v>2.70775119032329</v>
      </c>
      <c r="H29" s="32">
        <v>6.1245000000000001E-2</v>
      </c>
      <c r="I29" s="33"/>
    </row>
    <row r="30" spans="2:9" x14ac:dyDescent="0.2">
      <c r="B30" s="26" t="s">
        <v>58</v>
      </c>
      <c r="C30" s="26" t="s">
        <v>59</v>
      </c>
      <c r="D30" s="26" t="s">
        <v>21</v>
      </c>
      <c r="E30" s="31">
        <v>1000</v>
      </c>
      <c r="F30" s="28">
        <v>4993.24</v>
      </c>
      <c r="G30" s="29">
        <v>1.8063558426972901</v>
      </c>
      <c r="H30" s="32">
        <v>6.1790999999999999E-2</v>
      </c>
      <c r="I30" s="33"/>
    </row>
    <row r="31" spans="2:9" x14ac:dyDescent="0.2">
      <c r="B31" s="26" t="s">
        <v>60</v>
      </c>
      <c r="C31" s="26" t="s">
        <v>61</v>
      </c>
      <c r="D31" s="26" t="s">
        <v>21</v>
      </c>
      <c r="E31" s="31">
        <v>1000</v>
      </c>
      <c r="F31" s="28">
        <v>4990.79</v>
      </c>
      <c r="G31" s="29">
        <v>1.8054695300396599</v>
      </c>
      <c r="H31" s="32">
        <v>6.1249999999999999E-2</v>
      </c>
      <c r="I31" s="33"/>
    </row>
    <row r="32" spans="2:9" x14ac:dyDescent="0.2">
      <c r="B32" s="26" t="s">
        <v>62</v>
      </c>
      <c r="C32" s="26" t="s">
        <v>63</v>
      </c>
      <c r="D32" s="26" t="s">
        <v>21</v>
      </c>
      <c r="E32" s="31">
        <v>1000</v>
      </c>
      <c r="F32" s="28">
        <v>4990.7049999999999</v>
      </c>
      <c r="G32" s="29">
        <v>1.8054387804168399</v>
      </c>
      <c r="H32" s="32">
        <v>6.1800000000000001E-2</v>
      </c>
      <c r="I32" s="33"/>
    </row>
    <row r="33" spans="2:9" x14ac:dyDescent="0.2">
      <c r="B33" s="26" t="s">
        <v>64</v>
      </c>
      <c r="C33" s="26" t="s">
        <v>65</v>
      </c>
      <c r="D33" s="26" t="s">
        <v>21</v>
      </c>
      <c r="E33" s="31">
        <v>1000</v>
      </c>
      <c r="F33" s="28">
        <v>4987.2650000000003</v>
      </c>
      <c r="G33" s="29">
        <v>1.80419432509347</v>
      </c>
      <c r="H33" s="32">
        <v>6.2147000000000001E-2</v>
      </c>
      <c r="I33" s="33"/>
    </row>
    <row r="34" spans="2:9" x14ac:dyDescent="0.2">
      <c r="B34" s="26" t="s">
        <v>66</v>
      </c>
      <c r="C34" s="26" t="s">
        <v>67</v>
      </c>
      <c r="D34" s="26" t="s">
        <v>21</v>
      </c>
      <c r="E34" s="31">
        <v>1000</v>
      </c>
      <c r="F34" s="28">
        <v>4986.2950000000001</v>
      </c>
      <c r="G34" s="29">
        <v>1.8038434176331</v>
      </c>
      <c r="H34" s="32">
        <v>6.2701000000000007E-2</v>
      </c>
      <c r="I34" s="33"/>
    </row>
    <row r="35" spans="2:9" x14ac:dyDescent="0.2">
      <c r="B35" s="26" t="s">
        <v>68</v>
      </c>
      <c r="C35" s="26" t="s">
        <v>69</v>
      </c>
      <c r="D35" s="26" t="s">
        <v>21</v>
      </c>
      <c r="E35" s="31">
        <v>1000</v>
      </c>
      <c r="F35" s="28">
        <v>4985.34</v>
      </c>
      <c r="G35" s="29">
        <v>1.8034979365767601</v>
      </c>
      <c r="H35" s="32">
        <v>5.6491E-2</v>
      </c>
      <c r="I35" s="33"/>
    </row>
    <row r="36" spans="2:9" x14ac:dyDescent="0.2">
      <c r="B36" s="26" t="s">
        <v>70</v>
      </c>
      <c r="C36" s="26" t="s">
        <v>71</v>
      </c>
      <c r="D36" s="26" t="s">
        <v>21</v>
      </c>
      <c r="E36" s="31">
        <v>1000</v>
      </c>
      <c r="F36" s="28">
        <v>4984.03</v>
      </c>
      <c r="G36" s="29">
        <v>1.80302403062512</v>
      </c>
      <c r="H36" s="32">
        <v>6.1554999999999999E-2</v>
      </c>
      <c r="I36" s="33"/>
    </row>
    <row r="37" spans="2:9" x14ac:dyDescent="0.2">
      <c r="B37" s="26" t="s">
        <v>72</v>
      </c>
      <c r="C37" s="26" t="s">
        <v>73</v>
      </c>
      <c r="D37" s="26" t="s">
        <v>21</v>
      </c>
      <c r="E37" s="31">
        <v>1000</v>
      </c>
      <c r="F37" s="28">
        <v>4981.55</v>
      </c>
      <c r="G37" s="29">
        <v>1.80212686515944</v>
      </c>
      <c r="H37" s="32">
        <v>6.1447000000000002E-2</v>
      </c>
      <c r="I37" s="33"/>
    </row>
    <row r="38" spans="2:9" x14ac:dyDescent="0.2">
      <c r="B38" s="26" t="s">
        <v>74</v>
      </c>
      <c r="C38" s="26" t="s">
        <v>75</v>
      </c>
      <c r="D38" s="26" t="s">
        <v>21</v>
      </c>
      <c r="E38" s="31">
        <v>1000</v>
      </c>
      <c r="F38" s="28">
        <v>4979.9549999999999</v>
      </c>
      <c r="G38" s="29">
        <v>1.8015498575313</v>
      </c>
      <c r="H38" s="32">
        <v>5.6507000000000002E-2</v>
      </c>
      <c r="I38" s="33"/>
    </row>
    <row r="39" spans="2:9" x14ac:dyDescent="0.2">
      <c r="B39" s="26" t="s">
        <v>76</v>
      </c>
      <c r="C39" s="26" t="s">
        <v>77</v>
      </c>
      <c r="D39" s="26" t="s">
        <v>78</v>
      </c>
      <c r="E39" s="31">
        <v>500</v>
      </c>
      <c r="F39" s="28">
        <v>2497.895</v>
      </c>
      <c r="G39" s="29">
        <v>0.90363916569088598</v>
      </c>
      <c r="H39" s="32">
        <v>6.1518000000000003E-2</v>
      </c>
      <c r="I39" s="33"/>
    </row>
    <row r="40" spans="2:9" x14ac:dyDescent="0.2">
      <c r="B40" s="26" t="s">
        <v>79</v>
      </c>
      <c r="C40" s="26" t="s">
        <v>80</v>
      </c>
      <c r="D40" s="26" t="s">
        <v>21</v>
      </c>
      <c r="E40" s="31">
        <v>500</v>
      </c>
      <c r="F40" s="28">
        <v>2490.2249999999999</v>
      </c>
      <c r="G40" s="29">
        <v>0.90086446443208601</v>
      </c>
      <c r="H40" s="32">
        <v>6.2302000000000003E-2</v>
      </c>
      <c r="I40" s="33"/>
    </row>
    <row r="41" spans="2:9" ht="10.5" x14ac:dyDescent="0.25">
      <c r="B41" s="25" t="s">
        <v>50</v>
      </c>
      <c r="C41" s="25"/>
      <c r="D41" s="25"/>
      <c r="E41" s="34"/>
      <c r="F41" s="35">
        <f>SUM(F26:F40)</f>
        <v>87307.147500000006</v>
      </c>
      <c r="G41" s="36">
        <f>SUM(G26:G40)</f>
        <v>31.584257114791082</v>
      </c>
      <c r="H41" s="37"/>
      <c r="I41" s="37"/>
    </row>
    <row r="42" spans="2:9" ht="10.5" x14ac:dyDescent="0.25">
      <c r="B42" s="25" t="s">
        <v>81</v>
      </c>
      <c r="C42" s="26"/>
      <c r="D42" s="26"/>
      <c r="E42" s="27"/>
      <c r="F42" s="28"/>
      <c r="G42" s="29"/>
      <c r="H42" s="30"/>
      <c r="I42" s="30"/>
    </row>
    <row r="43" spans="2:9" x14ac:dyDescent="0.2">
      <c r="B43" s="26" t="s">
        <v>82</v>
      </c>
      <c r="C43" s="26" t="s">
        <v>83</v>
      </c>
      <c r="D43" s="26" t="s">
        <v>94</v>
      </c>
      <c r="E43" s="31">
        <v>15000000</v>
      </c>
      <c r="F43" s="28">
        <v>14295.915000000001</v>
      </c>
      <c r="G43" s="29">
        <v>5.1716940477433297</v>
      </c>
      <c r="H43" s="32">
        <v>5.5142999999999998E-2</v>
      </c>
      <c r="I43" s="33"/>
    </row>
    <row r="44" spans="2:9" x14ac:dyDescent="0.2">
      <c r="B44" s="26" t="s">
        <v>84</v>
      </c>
      <c r="C44" s="26" t="s">
        <v>85</v>
      </c>
      <c r="D44" s="26" t="s">
        <v>94</v>
      </c>
      <c r="E44" s="31">
        <v>5000000</v>
      </c>
      <c r="F44" s="28">
        <v>4800.6149999999998</v>
      </c>
      <c r="G44" s="29">
        <v>1.73667177099244</v>
      </c>
      <c r="H44" s="32">
        <v>5.4729E-2</v>
      </c>
      <c r="I44" s="33"/>
    </row>
    <row r="45" spans="2:9" x14ac:dyDescent="0.2">
      <c r="B45" s="26" t="s">
        <v>86</v>
      </c>
      <c r="C45" s="26" t="s">
        <v>87</v>
      </c>
      <c r="D45" s="26" t="s">
        <v>94</v>
      </c>
      <c r="E45" s="31">
        <v>2500000</v>
      </c>
      <c r="F45" s="28">
        <v>2397.89</v>
      </c>
      <c r="G45" s="29">
        <v>0.86746133004730697</v>
      </c>
      <c r="H45" s="32">
        <v>5.4729E-2</v>
      </c>
      <c r="I45" s="33"/>
    </row>
    <row r="46" spans="2:9" x14ac:dyDescent="0.2">
      <c r="B46" s="26" t="s">
        <v>88</v>
      </c>
      <c r="C46" s="26" t="s">
        <v>89</v>
      </c>
      <c r="D46" s="26" t="s">
        <v>94</v>
      </c>
      <c r="E46" s="31">
        <v>2500000</v>
      </c>
      <c r="F46" s="28">
        <v>2372.2024999999999</v>
      </c>
      <c r="G46" s="29">
        <v>0.85816861315220805</v>
      </c>
      <c r="H46" s="32">
        <v>5.5391000000000003E-2</v>
      </c>
      <c r="I46" s="33"/>
    </row>
    <row r="47" spans="2:9" ht="10.5" x14ac:dyDescent="0.25">
      <c r="B47" s="25" t="s">
        <v>50</v>
      </c>
      <c r="C47" s="25"/>
      <c r="D47" s="25"/>
      <c r="E47" s="34"/>
      <c r="F47" s="38">
        <f>SUM(F42:F46)</f>
        <v>23866.622499999998</v>
      </c>
      <c r="G47" s="39">
        <f>SUM(G42:G46)</f>
        <v>8.6339957619352852</v>
      </c>
      <c r="H47" s="37"/>
      <c r="I47" s="37"/>
    </row>
    <row r="48" spans="2:9" ht="10.5" x14ac:dyDescent="0.25">
      <c r="B48" s="40" t="s">
        <v>90</v>
      </c>
      <c r="C48" s="40"/>
      <c r="D48" s="40"/>
      <c r="E48" s="41"/>
      <c r="F48" s="42">
        <f>+F25+F41+F47</f>
        <v>246987.32250000001</v>
      </c>
      <c r="G48" s="43">
        <f>+G25+G41+G47</f>
        <v>89.350200084521447</v>
      </c>
      <c r="H48" s="37"/>
      <c r="I48" s="37"/>
    </row>
    <row r="49" spans="2:9" ht="10.5" x14ac:dyDescent="0.25">
      <c r="B49" s="25" t="s">
        <v>91</v>
      </c>
      <c r="C49" s="26"/>
      <c r="D49" s="26"/>
      <c r="E49" s="27"/>
      <c r="F49" s="28"/>
      <c r="G49" s="29"/>
      <c r="H49" s="30"/>
      <c r="I49" s="30"/>
    </row>
    <row r="50" spans="2:9" x14ac:dyDescent="0.2">
      <c r="B50" s="26" t="s">
        <v>92</v>
      </c>
      <c r="C50" s="26" t="s">
        <v>93</v>
      </c>
      <c r="D50" s="26" t="s">
        <v>94</v>
      </c>
      <c r="E50" s="31">
        <v>14500000</v>
      </c>
      <c r="F50" s="28">
        <v>14502.7695</v>
      </c>
      <c r="G50" s="29">
        <v>5.2465257871877</v>
      </c>
      <c r="H50" s="32">
        <v>5.2901999999999998E-2</v>
      </c>
      <c r="I50" s="33"/>
    </row>
    <row r="51" spans="2:9" ht="10.5" x14ac:dyDescent="0.25">
      <c r="B51" s="25" t="s">
        <v>90</v>
      </c>
      <c r="C51" s="25"/>
      <c r="D51" s="25"/>
      <c r="E51" s="34"/>
      <c r="F51" s="35">
        <f>SUM(F50:F50)</f>
        <v>14502.7695</v>
      </c>
      <c r="G51" s="36">
        <f>SUM(G50:G50)</f>
        <v>5.2465257871877</v>
      </c>
      <c r="H51" s="37"/>
      <c r="I51" s="37"/>
    </row>
    <row r="52" spans="2:9" ht="10.5" x14ac:dyDescent="0.25">
      <c r="B52" s="25" t="s">
        <v>95</v>
      </c>
      <c r="C52" s="26"/>
      <c r="D52" s="26"/>
      <c r="E52" s="27"/>
      <c r="F52" s="28"/>
      <c r="G52" s="29"/>
      <c r="H52" s="30"/>
      <c r="I52" s="30"/>
    </row>
    <row r="53" spans="2:9" x14ac:dyDescent="0.2">
      <c r="B53" s="26" t="s">
        <v>96</v>
      </c>
      <c r="C53" s="26" t="s">
        <v>97</v>
      </c>
      <c r="D53" s="26"/>
      <c r="E53" s="31">
        <v>6542.44</v>
      </c>
      <c r="F53" s="28">
        <v>763.21926410000003</v>
      </c>
      <c r="G53" s="29">
        <v>0.27610240584593698</v>
      </c>
      <c r="H53" s="30"/>
      <c r="I53" s="30"/>
    </row>
    <row r="54" spans="2:9" ht="10.5" x14ac:dyDescent="0.25">
      <c r="B54" s="25" t="s">
        <v>50</v>
      </c>
      <c r="C54" s="25"/>
      <c r="D54" s="25"/>
      <c r="E54" s="34"/>
      <c r="F54" s="35">
        <f>SUM(F53:F53)</f>
        <v>763.21926410000003</v>
      </c>
      <c r="G54" s="36">
        <f>SUM(G53:G53)</f>
        <v>0.27610240584593698</v>
      </c>
      <c r="H54" s="37"/>
      <c r="I54" s="37"/>
    </row>
    <row r="55" spans="2:9" ht="10.5" x14ac:dyDescent="0.25">
      <c r="B55" s="25"/>
      <c r="C55" s="26"/>
      <c r="D55" s="26"/>
      <c r="E55" s="27"/>
      <c r="F55" s="28"/>
      <c r="G55" s="29"/>
      <c r="H55" s="30"/>
      <c r="I55" s="30"/>
    </row>
    <row r="56" spans="2:9" ht="10.5" x14ac:dyDescent="0.25">
      <c r="B56" s="25" t="s">
        <v>98</v>
      </c>
      <c r="C56" s="25"/>
      <c r="D56" s="25"/>
      <c r="E56" s="34"/>
      <c r="F56" s="35">
        <v>21218.220410800001</v>
      </c>
      <c r="G56" s="36">
        <v>7.6759091112559297</v>
      </c>
      <c r="H56" s="32">
        <v>4.9299999999999997E-2</v>
      </c>
      <c r="I56" s="32"/>
    </row>
    <row r="57" spans="2:9" x14ac:dyDescent="0.2">
      <c r="B57" s="26"/>
      <c r="C57" s="26"/>
      <c r="D57" s="26"/>
      <c r="E57" s="27"/>
      <c r="F57" s="28"/>
      <c r="G57" s="29"/>
      <c r="H57" s="30"/>
      <c r="I57" s="30"/>
    </row>
    <row r="58" spans="2:9" ht="10.5" x14ac:dyDescent="0.25">
      <c r="B58" s="49" t="s">
        <v>100</v>
      </c>
      <c r="C58" s="49"/>
      <c r="D58" s="49"/>
      <c r="E58" s="50"/>
      <c r="F58" s="35">
        <f>F59-(F25+F41+F47+F51+F54+F56)</f>
        <v>-7045.3767627000343</v>
      </c>
      <c r="G58" s="36">
        <f>G59-(G25+G41+G47+G51+G54+G56)</f>
        <v>-2.5487373888110056</v>
      </c>
      <c r="H58" s="37"/>
      <c r="I58" s="37"/>
    </row>
    <row r="59" spans="2:9" ht="10.5" x14ac:dyDescent="0.25">
      <c r="B59" s="44" t="s">
        <v>99</v>
      </c>
      <c r="C59" s="44"/>
      <c r="D59" s="44"/>
      <c r="E59" s="45"/>
      <c r="F59" s="46">
        <v>276426.1549122</v>
      </c>
      <c r="G59" s="47">
        <v>100</v>
      </c>
      <c r="H59" s="48"/>
      <c r="I59" s="48"/>
    </row>
    <row r="61" spans="2:9" ht="10.5" x14ac:dyDescent="0.25">
      <c r="B61" s="18" t="s">
        <v>102</v>
      </c>
    </row>
    <row r="62" spans="2:9" ht="40" customHeight="1" x14ac:dyDescent="0.2">
      <c r="B62" s="59" t="s">
        <v>103</v>
      </c>
      <c r="C62" s="59"/>
      <c r="D62" s="59"/>
      <c r="E62" s="59"/>
      <c r="F62" s="59"/>
      <c r="G62" s="59"/>
      <c r="H62" s="59"/>
      <c r="I62" s="59"/>
    </row>
    <row r="64" spans="2:9" ht="10.5" x14ac:dyDescent="0.25">
      <c r="B64" s="56" t="s">
        <v>108</v>
      </c>
    </row>
    <row r="65" spans="2:7" ht="10.5" x14ac:dyDescent="0.25">
      <c r="B65" s="56"/>
    </row>
    <row r="66" spans="2:7" ht="10.5" x14ac:dyDescent="0.25">
      <c r="B66" s="18" t="s">
        <v>104</v>
      </c>
      <c r="C66" s="18"/>
      <c r="D66" s="51"/>
      <c r="E66" s="18"/>
      <c r="G66" s="54"/>
    </row>
    <row r="67" spans="2:7" x14ac:dyDescent="0.2">
      <c r="D67" s="52"/>
      <c r="E67" s="52"/>
      <c r="G67" s="54"/>
    </row>
    <row r="68" spans="2:7" x14ac:dyDescent="0.2">
      <c r="E68" s="8"/>
      <c r="G68" s="54"/>
    </row>
    <row r="69" spans="2:7" x14ac:dyDescent="0.2">
      <c r="E69" s="8"/>
      <c r="G69" s="54"/>
    </row>
    <row r="70" spans="2:7" x14ac:dyDescent="0.2">
      <c r="E70" s="8"/>
      <c r="G70" s="54"/>
    </row>
    <row r="71" spans="2:7" ht="10.5" x14ac:dyDescent="0.25">
      <c r="B71" s="18"/>
      <c r="E71" s="8"/>
      <c r="G71" s="54"/>
    </row>
    <row r="72" spans="2:7" x14ac:dyDescent="0.2">
      <c r="E72" s="8"/>
      <c r="G72" s="54"/>
    </row>
    <row r="73" spans="2:7" x14ac:dyDescent="0.2">
      <c r="E73" s="8"/>
      <c r="G73" s="54"/>
    </row>
    <row r="74" spans="2:7" x14ac:dyDescent="0.2">
      <c r="E74" s="8"/>
      <c r="G74" s="54"/>
    </row>
    <row r="75" spans="2:7" x14ac:dyDescent="0.2">
      <c r="E75" s="8"/>
      <c r="G75" s="54"/>
    </row>
    <row r="76" spans="2:7" x14ac:dyDescent="0.2">
      <c r="E76" s="8"/>
      <c r="G76" s="54"/>
    </row>
    <row r="77" spans="2:7" x14ac:dyDescent="0.2">
      <c r="E77" s="8"/>
      <c r="G77" s="54"/>
    </row>
    <row r="78" spans="2:7" x14ac:dyDescent="0.2">
      <c r="E78" s="8"/>
      <c r="G78" s="54"/>
    </row>
    <row r="79" spans="2:7" x14ac:dyDescent="0.2">
      <c r="E79" s="8"/>
      <c r="G79" s="54"/>
    </row>
    <row r="80" spans="2:7" x14ac:dyDescent="0.2">
      <c r="E80" s="8"/>
      <c r="G80" s="54"/>
    </row>
    <row r="81" spans="2:7" x14ac:dyDescent="0.2">
      <c r="E81" s="8"/>
      <c r="G81" s="54"/>
    </row>
    <row r="82" spans="2:7" x14ac:dyDescent="0.2">
      <c r="E82" s="8"/>
      <c r="G82" s="54"/>
    </row>
    <row r="83" spans="2:7" x14ac:dyDescent="0.2">
      <c r="E83" s="8"/>
      <c r="G83" s="54"/>
    </row>
    <row r="84" spans="2:7" x14ac:dyDescent="0.2">
      <c r="E84" s="8"/>
      <c r="G84" s="54"/>
    </row>
    <row r="85" spans="2:7" x14ac:dyDescent="0.2">
      <c r="E85" s="8"/>
      <c r="G85" s="54"/>
    </row>
    <row r="86" spans="2:7" x14ac:dyDescent="0.2">
      <c r="E86" s="8"/>
      <c r="G86" s="54"/>
    </row>
    <row r="87" spans="2:7" ht="10.5" x14ac:dyDescent="0.25">
      <c r="B87" s="18" t="s">
        <v>105</v>
      </c>
      <c r="E87" s="8"/>
      <c r="G87" s="54"/>
    </row>
    <row r="88" spans="2:7" ht="10.5" x14ac:dyDescent="0.2">
      <c r="B88" s="55" t="s">
        <v>106</v>
      </c>
      <c r="E88" s="8"/>
      <c r="G88" s="54"/>
    </row>
    <row r="89" spans="2:7" x14ac:dyDescent="0.2">
      <c r="E89" s="8"/>
      <c r="G89" s="54"/>
    </row>
    <row r="90" spans="2:7" x14ac:dyDescent="0.2">
      <c r="E90" s="8"/>
      <c r="G90" s="54"/>
    </row>
    <row r="91" spans="2:7" x14ac:dyDescent="0.2">
      <c r="E91" s="8"/>
      <c r="G91" s="54"/>
    </row>
    <row r="92" spans="2:7" x14ac:dyDescent="0.2">
      <c r="E92" s="8"/>
      <c r="G92" s="54"/>
    </row>
    <row r="93" spans="2:7" x14ac:dyDescent="0.2">
      <c r="E93" s="8"/>
      <c r="G93" s="54"/>
    </row>
    <row r="94" spans="2:7" x14ac:dyDescent="0.2">
      <c r="E94" s="8"/>
      <c r="G94" s="54"/>
    </row>
    <row r="95" spans="2:7" x14ac:dyDescent="0.2">
      <c r="E95" s="8"/>
      <c r="G95" s="54"/>
    </row>
    <row r="96" spans="2:7" x14ac:dyDescent="0.2">
      <c r="E96" s="8"/>
      <c r="G96" s="54"/>
    </row>
    <row r="97" spans="5:7" x14ac:dyDescent="0.2">
      <c r="E97" s="8"/>
      <c r="G97" s="54"/>
    </row>
    <row r="98" spans="5:7" x14ac:dyDescent="0.2">
      <c r="E98" s="8"/>
      <c r="G98" s="54"/>
    </row>
    <row r="99" spans="5:7" x14ac:dyDescent="0.2">
      <c r="E99" s="8"/>
      <c r="G99" s="54"/>
    </row>
    <row r="100" spans="5:7" x14ac:dyDescent="0.2">
      <c r="E100" s="8"/>
      <c r="G100" s="54"/>
    </row>
    <row r="101" spans="5:7" x14ac:dyDescent="0.2">
      <c r="E101" s="8"/>
      <c r="G101" s="54"/>
    </row>
    <row r="102" spans="5:7" x14ac:dyDescent="0.2">
      <c r="E102" s="8"/>
      <c r="G102" s="54"/>
    </row>
    <row r="103" spans="5:7" x14ac:dyDescent="0.2">
      <c r="E103" s="8"/>
      <c r="G103" s="54"/>
    </row>
    <row r="104" spans="5:7" x14ac:dyDescent="0.2">
      <c r="E104" s="8"/>
      <c r="G104" s="54"/>
    </row>
    <row r="105" spans="5:7" x14ac:dyDescent="0.2">
      <c r="E105" s="8"/>
      <c r="G105" s="54"/>
    </row>
    <row r="106" spans="5:7" x14ac:dyDescent="0.2">
      <c r="E106" s="8"/>
      <c r="G106" s="54"/>
    </row>
    <row r="107" spans="5:7" x14ac:dyDescent="0.2">
      <c r="E107" s="8"/>
      <c r="G107" s="54"/>
    </row>
    <row r="108" spans="5:7" x14ac:dyDescent="0.2">
      <c r="E108" s="8"/>
      <c r="G108" s="54"/>
    </row>
    <row r="109" spans="5:7" x14ac:dyDescent="0.2">
      <c r="E109" s="8"/>
      <c r="G109" s="54"/>
    </row>
    <row r="110" spans="5:7" x14ac:dyDescent="0.2">
      <c r="E110" s="8"/>
      <c r="G110" s="54"/>
    </row>
    <row r="111" spans="5:7" x14ac:dyDescent="0.2">
      <c r="E111" s="8"/>
      <c r="G111" s="54"/>
    </row>
    <row r="112" spans="5:7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  <row r="254" spans="5:7" x14ac:dyDescent="0.2">
      <c r="E254" s="8"/>
      <c r="G254" s="54"/>
    </row>
    <row r="255" spans="5:7" x14ac:dyDescent="0.2">
      <c r="E255" s="8"/>
      <c r="G255" s="54"/>
    </row>
    <row r="256" spans="5:7" x14ac:dyDescent="0.2">
      <c r="E256" s="8"/>
      <c r="G256" s="54"/>
    </row>
    <row r="257" spans="5:7" x14ac:dyDescent="0.2">
      <c r="E257" s="8"/>
      <c r="G257" s="54"/>
    </row>
    <row r="258" spans="5:7" x14ac:dyDescent="0.2">
      <c r="E258" s="8"/>
      <c r="G258" s="54"/>
    </row>
    <row r="259" spans="5:7" x14ac:dyDescent="0.2">
      <c r="E259" s="8"/>
      <c r="G259" s="54"/>
    </row>
    <row r="260" spans="5:7" x14ac:dyDescent="0.2">
      <c r="E260" s="8"/>
      <c r="G260" s="54"/>
    </row>
    <row r="261" spans="5:7" x14ac:dyDescent="0.2">
      <c r="E261" s="8"/>
      <c r="G261" s="54"/>
    </row>
    <row r="262" spans="5:7" x14ac:dyDescent="0.2">
      <c r="E262" s="8"/>
      <c r="G262" s="54"/>
    </row>
    <row r="263" spans="5:7" x14ac:dyDescent="0.2">
      <c r="E263" s="8"/>
      <c r="G263" s="54"/>
    </row>
    <row r="264" spans="5:7" x14ac:dyDescent="0.2">
      <c r="E264" s="8"/>
      <c r="G264" s="54"/>
    </row>
    <row r="265" spans="5:7" x14ac:dyDescent="0.2">
      <c r="E265" s="8"/>
      <c r="G265" s="54"/>
    </row>
    <row r="266" spans="5:7" x14ac:dyDescent="0.2">
      <c r="E266" s="8"/>
      <c r="G266" s="54"/>
    </row>
    <row r="267" spans="5:7" x14ac:dyDescent="0.2">
      <c r="E267" s="8"/>
      <c r="G267" s="54"/>
    </row>
    <row r="268" spans="5:7" x14ac:dyDescent="0.2">
      <c r="E268" s="8"/>
      <c r="G268" s="54"/>
    </row>
    <row r="269" spans="5:7" x14ac:dyDescent="0.2">
      <c r="E269" s="8"/>
      <c r="G269" s="54"/>
    </row>
    <row r="270" spans="5:7" x14ac:dyDescent="0.2">
      <c r="E270" s="8"/>
      <c r="G270" s="54"/>
    </row>
    <row r="271" spans="5:7" x14ac:dyDescent="0.2">
      <c r="E271" s="8"/>
      <c r="G271" s="54"/>
    </row>
    <row r="272" spans="5:7" x14ac:dyDescent="0.2">
      <c r="E272" s="8"/>
      <c r="G272" s="54"/>
    </row>
    <row r="273" spans="5:7" x14ac:dyDescent="0.2">
      <c r="E273" s="8"/>
      <c r="G273" s="54"/>
    </row>
    <row r="274" spans="5:7" x14ac:dyDescent="0.2">
      <c r="E274" s="8"/>
      <c r="G274" s="54"/>
    </row>
    <row r="275" spans="5:7" x14ac:dyDescent="0.2">
      <c r="E275" s="8"/>
      <c r="G275" s="54"/>
    </row>
    <row r="276" spans="5:7" x14ac:dyDescent="0.2">
      <c r="E276" s="8"/>
      <c r="G276" s="54"/>
    </row>
    <row r="277" spans="5:7" x14ac:dyDescent="0.2">
      <c r="E277" s="8"/>
      <c r="G277" s="54"/>
    </row>
    <row r="278" spans="5:7" x14ac:dyDescent="0.2">
      <c r="E278" s="8"/>
      <c r="G278" s="54"/>
    </row>
    <row r="279" spans="5:7" x14ac:dyDescent="0.2">
      <c r="E279" s="8"/>
      <c r="G279" s="54"/>
    </row>
    <row r="280" spans="5:7" x14ac:dyDescent="0.2">
      <c r="E280" s="8"/>
      <c r="G280" s="54"/>
    </row>
    <row r="281" spans="5:7" x14ac:dyDescent="0.2">
      <c r="E281" s="8"/>
      <c r="G281" s="54"/>
    </row>
    <row r="282" spans="5:7" x14ac:dyDescent="0.2">
      <c r="E282" s="8"/>
      <c r="G282" s="54"/>
    </row>
    <row r="283" spans="5:7" x14ac:dyDescent="0.2">
      <c r="E283" s="8"/>
      <c r="G283" s="54"/>
    </row>
    <row r="284" spans="5:7" x14ac:dyDescent="0.2">
      <c r="E284" s="8"/>
      <c r="G284" s="54"/>
    </row>
    <row r="285" spans="5:7" x14ac:dyDescent="0.2">
      <c r="E285" s="8"/>
      <c r="G285" s="54"/>
    </row>
    <row r="286" spans="5:7" x14ac:dyDescent="0.2">
      <c r="E286" s="8"/>
      <c r="G286" s="54"/>
    </row>
    <row r="287" spans="5:7" x14ac:dyDescent="0.2">
      <c r="E287" s="8"/>
      <c r="G287" s="54"/>
    </row>
    <row r="288" spans="5:7" x14ac:dyDescent="0.2">
      <c r="E288" s="8"/>
      <c r="G288" s="54"/>
    </row>
    <row r="289" spans="5:7" x14ac:dyDescent="0.2">
      <c r="E289" s="8"/>
      <c r="G289" s="54"/>
    </row>
    <row r="290" spans="5:7" x14ac:dyDescent="0.2">
      <c r="E290" s="8"/>
      <c r="G290" s="54"/>
    </row>
    <row r="291" spans="5:7" x14ac:dyDescent="0.2">
      <c r="E291" s="8"/>
      <c r="G291" s="54"/>
    </row>
    <row r="292" spans="5:7" x14ac:dyDescent="0.2">
      <c r="E292" s="8"/>
      <c r="G292" s="54"/>
    </row>
    <row r="293" spans="5:7" x14ac:dyDescent="0.2">
      <c r="E293" s="8"/>
      <c r="G293" s="54"/>
    </row>
    <row r="294" spans="5:7" x14ac:dyDescent="0.2">
      <c r="E294" s="8"/>
      <c r="G294" s="54"/>
    </row>
    <row r="295" spans="5:7" x14ac:dyDescent="0.2">
      <c r="E295" s="8"/>
      <c r="G295" s="54"/>
    </row>
    <row r="296" spans="5:7" x14ac:dyDescent="0.2">
      <c r="E296" s="8"/>
      <c r="G296" s="54"/>
    </row>
    <row r="297" spans="5:7" x14ac:dyDescent="0.2">
      <c r="E297" s="8"/>
      <c r="G297" s="54"/>
    </row>
    <row r="298" spans="5:7" x14ac:dyDescent="0.2">
      <c r="E298" s="8"/>
      <c r="G298" s="54"/>
    </row>
    <row r="299" spans="5:7" x14ac:dyDescent="0.2">
      <c r="E299" s="8"/>
      <c r="G299" s="54"/>
    </row>
    <row r="300" spans="5:7" x14ac:dyDescent="0.2">
      <c r="E300" s="8"/>
      <c r="G300" s="54"/>
    </row>
    <row r="301" spans="5:7" x14ac:dyDescent="0.2">
      <c r="E301" s="8"/>
      <c r="G301" s="54"/>
    </row>
    <row r="302" spans="5:7" x14ac:dyDescent="0.2">
      <c r="E302" s="8"/>
      <c r="G302" s="54"/>
    </row>
    <row r="303" spans="5:7" x14ac:dyDescent="0.2">
      <c r="E303" s="8"/>
      <c r="G303" s="54"/>
    </row>
    <row r="304" spans="5:7" x14ac:dyDescent="0.2">
      <c r="E304" s="8"/>
      <c r="G304" s="54"/>
    </row>
    <row r="305" spans="5:7" x14ac:dyDescent="0.2">
      <c r="E305" s="8"/>
      <c r="G305" s="54"/>
    </row>
    <row r="306" spans="5:7" x14ac:dyDescent="0.2">
      <c r="E306" s="8"/>
      <c r="G306" s="54"/>
    </row>
    <row r="307" spans="5:7" x14ac:dyDescent="0.2">
      <c r="E307" s="8"/>
      <c r="G307" s="54"/>
    </row>
    <row r="308" spans="5:7" x14ac:dyDescent="0.2">
      <c r="E308" s="8"/>
      <c r="G308" s="54"/>
    </row>
    <row r="309" spans="5:7" x14ac:dyDescent="0.2">
      <c r="E309" s="8"/>
      <c r="G309" s="54"/>
    </row>
    <row r="310" spans="5:7" x14ac:dyDescent="0.2">
      <c r="E310" s="8"/>
      <c r="G310" s="54"/>
    </row>
    <row r="311" spans="5:7" x14ac:dyDescent="0.2">
      <c r="E311" s="8"/>
      <c r="G311" s="54"/>
    </row>
    <row r="312" spans="5:7" x14ac:dyDescent="0.2">
      <c r="E312" s="8"/>
      <c r="G312" s="54"/>
    </row>
    <row r="313" spans="5:7" x14ac:dyDescent="0.2">
      <c r="E313" s="8"/>
      <c r="G313" s="54"/>
    </row>
    <row r="314" spans="5:7" x14ac:dyDescent="0.2">
      <c r="E314" s="8"/>
      <c r="G314" s="54"/>
    </row>
    <row r="315" spans="5:7" x14ac:dyDescent="0.2">
      <c r="E315" s="8"/>
      <c r="G315" s="54"/>
    </row>
    <row r="316" spans="5:7" x14ac:dyDescent="0.2">
      <c r="E316" s="8"/>
      <c r="G316" s="54"/>
    </row>
    <row r="317" spans="5:7" x14ac:dyDescent="0.2">
      <c r="E317" s="8"/>
      <c r="G317" s="54"/>
    </row>
    <row r="318" spans="5:7" x14ac:dyDescent="0.2">
      <c r="E318" s="8"/>
      <c r="G318" s="54"/>
    </row>
    <row r="319" spans="5:7" x14ac:dyDescent="0.2">
      <c r="E319" s="8"/>
      <c r="G319" s="54"/>
    </row>
    <row r="320" spans="5:7" x14ac:dyDescent="0.2">
      <c r="E320" s="8"/>
      <c r="G320" s="54"/>
    </row>
    <row r="321" spans="5:7" x14ac:dyDescent="0.2">
      <c r="E321" s="8"/>
      <c r="G321" s="54"/>
    </row>
    <row r="322" spans="5:7" x14ac:dyDescent="0.2">
      <c r="E322" s="8"/>
      <c r="G322" s="54"/>
    </row>
    <row r="323" spans="5:7" x14ac:dyDescent="0.2">
      <c r="E323" s="8"/>
      <c r="G323" s="54"/>
    </row>
    <row r="324" spans="5:7" x14ac:dyDescent="0.2">
      <c r="E324" s="8"/>
      <c r="G324" s="54"/>
    </row>
    <row r="325" spans="5:7" x14ac:dyDescent="0.2">
      <c r="E325" s="8"/>
      <c r="G325" s="54"/>
    </row>
    <row r="326" spans="5:7" x14ac:dyDescent="0.2">
      <c r="E326" s="8"/>
      <c r="G326" s="54"/>
    </row>
    <row r="327" spans="5:7" x14ac:dyDescent="0.2">
      <c r="E327" s="8"/>
      <c r="G327" s="54"/>
    </row>
    <row r="328" spans="5:7" x14ac:dyDescent="0.2">
      <c r="E328" s="8"/>
      <c r="G328" s="54"/>
    </row>
    <row r="329" spans="5:7" x14ac:dyDescent="0.2">
      <c r="E329" s="8"/>
      <c r="G329" s="54"/>
    </row>
    <row r="330" spans="5:7" x14ac:dyDescent="0.2">
      <c r="E330" s="8"/>
      <c r="G330" s="54"/>
    </row>
    <row r="331" spans="5:7" x14ac:dyDescent="0.2">
      <c r="E331" s="8"/>
      <c r="G331" s="54"/>
    </row>
    <row r="332" spans="5:7" x14ac:dyDescent="0.2">
      <c r="E332" s="8"/>
      <c r="G332" s="54"/>
    </row>
    <row r="333" spans="5:7" x14ac:dyDescent="0.2">
      <c r="E333" s="8"/>
      <c r="G333" s="54"/>
    </row>
    <row r="334" spans="5:7" x14ac:dyDescent="0.2">
      <c r="E334" s="8"/>
      <c r="G334" s="54"/>
    </row>
    <row r="335" spans="5:7" x14ac:dyDescent="0.2">
      <c r="E335" s="8"/>
      <c r="G335" s="54"/>
    </row>
    <row r="336" spans="5:7" x14ac:dyDescent="0.2">
      <c r="E336" s="8"/>
      <c r="G336" s="54"/>
    </row>
    <row r="337" spans="5:7" x14ac:dyDescent="0.2">
      <c r="E337" s="8"/>
      <c r="G337" s="54"/>
    </row>
    <row r="338" spans="5:7" x14ac:dyDescent="0.2">
      <c r="E338" s="8"/>
      <c r="G338" s="54"/>
    </row>
    <row r="339" spans="5:7" x14ac:dyDescent="0.2">
      <c r="E339" s="8"/>
      <c r="G339" s="54"/>
    </row>
    <row r="340" spans="5:7" x14ac:dyDescent="0.2">
      <c r="E340" s="8"/>
      <c r="G340" s="54"/>
    </row>
    <row r="341" spans="5:7" x14ac:dyDescent="0.2">
      <c r="E341" s="8"/>
      <c r="G341" s="54"/>
    </row>
    <row r="342" spans="5:7" x14ac:dyDescent="0.2">
      <c r="E342" s="8"/>
      <c r="G342" s="54"/>
    </row>
    <row r="343" spans="5:7" x14ac:dyDescent="0.2">
      <c r="E343" s="8"/>
      <c r="G343" s="54"/>
    </row>
    <row r="344" spans="5:7" x14ac:dyDescent="0.2">
      <c r="E344" s="8"/>
      <c r="G344" s="54"/>
    </row>
    <row r="345" spans="5:7" x14ac:dyDescent="0.2">
      <c r="E345" s="8"/>
      <c r="G345" s="54"/>
    </row>
    <row r="346" spans="5:7" x14ac:dyDescent="0.2">
      <c r="E346" s="8"/>
      <c r="G346" s="54"/>
    </row>
    <row r="347" spans="5:7" x14ac:dyDescent="0.2">
      <c r="E347" s="8"/>
      <c r="G347" s="54"/>
    </row>
    <row r="348" spans="5:7" x14ac:dyDescent="0.2">
      <c r="E348" s="8"/>
      <c r="G348" s="54"/>
    </row>
    <row r="349" spans="5:7" x14ac:dyDescent="0.2">
      <c r="E349" s="8"/>
      <c r="G349" s="54"/>
    </row>
    <row r="350" spans="5:7" x14ac:dyDescent="0.2">
      <c r="E350" s="8"/>
      <c r="G350" s="54"/>
    </row>
    <row r="351" spans="5:7" x14ac:dyDescent="0.2">
      <c r="E351" s="8"/>
      <c r="G351" s="54"/>
    </row>
    <row r="352" spans="5:7" x14ac:dyDescent="0.2">
      <c r="E352" s="8"/>
      <c r="G352" s="54"/>
    </row>
    <row r="353" spans="5:7" x14ac:dyDescent="0.2">
      <c r="E353" s="8"/>
      <c r="G353" s="54"/>
    </row>
    <row r="354" spans="5:7" x14ac:dyDescent="0.2">
      <c r="E354" s="8"/>
      <c r="G354" s="54"/>
    </row>
    <row r="355" spans="5:7" x14ac:dyDescent="0.2">
      <c r="E355" s="8"/>
      <c r="G355" s="54"/>
    </row>
    <row r="356" spans="5:7" x14ac:dyDescent="0.2">
      <c r="E356" s="8"/>
      <c r="G356" s="54"/>
    </row>
    <row r="357" spans="5:7" x14ac:dyDescent="0.2">
      <c r="E357" s="8"/>
      <c r="G357" s="54"/>
    </row>
    <row r="358" spans="5:7" x14ac:dyDescent="0.2">
      <c r="E358" s="8"/>
      <c r="G358" s="54"/>
    </row>
    <row r="359" spans="5:7" x14ac:dyDescent="0.2">
      <c r="E359" s="8"/>
      <c r="G359" s="54"/>
    </row>
    <row r="360" spans="5:7" x14ac:dyDescent="0.2">
      <c r="E360" s="8"/>
      <c r="G360" s="54"/>
    </row>
    <row r="361" spans="5:7" x14ac:dyDescent="0.2">
      <c r="E361" s="8"/>
      <c r="G361" s="54"/>
    </row>
    <row r="362" spans="5:7" x14ac:dyDescent="0.2">
      <c r="E362" s="8"/>
      <c r="G362" s="54"/>
    </row>
    <row r="363" spans="5:7" x14ac:dyDescent="0.2">
      <c r="E363" s="8"/>
      <c r="G363" s="54"/>
    </row>
    <row r="364" spans="5:7" x14ac:dyDescent="0.2">
      <c r="E364" s="8"/>
      <c r="G364" s="54"/>
    </row>
    <row r="365" spans="5:7" x14ac:dyDescent="0.2">
      <c r="E365" s="8"/>
      <c r="G365" s="54"/>
    </row>
    <row r="366" spans="5:7" x14ac:dyDescent="0.2">
      <c r="E366" s="8"/>
      <c r="G366" s="54"/>
    </row>
    <row r="367" spans="5:7" x14ac:dyDescent="0.2">
      <c r="E367" s="8"/>
      <c r="G367" s="54"/>
    </row>
    <row r="368" spans="5:7" x14ac:dyDescent="0.2">
      <c r="E368" s="8"/>
      <c r="G368" s="54"/>
    </row>
    <row r="369" spans="5:7" x14ac:dyDescent="0.2">
      <c r="E369" s="8"/>
      <c r="G369" s="54"/>
    </row>
    <row r="370" spans="5:7" x14ac:dyDescent="0.2">
      <c r="E370" s="8"/>
      <c r="G370" s="54"/>
    </row>
    <row r="371" spans="5:7" x14ac:dyDescent="0.2">
      <c r="E371" s="8"/>
      <c r="G371" s="54"/>
    </row>
    <row r="372" spans="5:7" x14ac:dyDescent="0.2">
      <c r="E372" s="8"/>
      <c r="G372" s="54"/>
    </row>
    <row r="373" spans="5:7" x14ac:dyDescent="0.2">
      <c r="E373" s="8"/>
      <c r="G373" s="54"/>
    </row>
    <row r="374" spans="5:7" x14ac:dyDescent="0.2">
      <c r="E374" s="8"/>
      <c r="G374" s="54"/>
    </row>
    <row r="375" spans="5:7" x14ac:dyDescent="0.2">
      <c r="E375" s="8"/>
      <c r="G375" s="54"/>
    </row>
    <row r="376" spans="5:7" x14ac:dyDescent="0.2">
      <c r="E376" s="8"/>
      <c r="G376" s="54"/>
    </row>
    <row r="377" spans="5:7" x14ac:dyDescent="0.2">
      <c r="E377" s="8"/>
      <c r="G377" s="54"/>
    </row>
    <row r="378" spans="5:7" x14ac:dyDescent="0.2">
      <c r="E378" s="8"/>
      <c r="G378" s="54"/>
    </row>
    <row r="379" spans="5:7" x14ac:dyDescent="0.2">
      <c r="E379" s="8"/>
      <c r="G379" s="54"/>
    </row>
    <row r="380" spans="5:7" x14ac:dyDescent="0.2">
      <c r="E380" s="8"/>
      <c r="G380" s="54"/>
    </row>
    <row r="381" spans="5:7" x14ac:dyDescent="0.2">
      <c r="E381" s="8"/>
      <c r="G381" s="54"/>
    </row>
    <row r="382" spans="5:7" x14ac:dyDescent="0.2">
      <c r="E382" s="8"/>
      <c r="G382" s="54"/>
    </row>
    <row r="383" spans="5:7" x14ac:dyDescent="0.2">
      <c r="E383" s="8"/>
      <c r="G383" s="54"/>
    </row>
    <row r="384" spans="5:7" x14ac:dyDescent="0.2">
      <c r="E384" s="8"/>
      <c r="G384" s="54"/>
    </row>
    <row r="385" spans="5:7" x14ac:dyDescent="0.2">
      <c r="E385" s="8"/>
      <c r="G385" s="54"/>
    </row>
    <row r="386" spans="5:7" x14ac:dyDescent="0.2">
      <c r="E386" s="8"/>
      <c r="G386" s="54"/>
    </row>
    <row r="387" spans="5:7" x14ac:dyDescent="0.2">
      <c r="E387" s="8"/>
      <c r="G387" s="54"/>
    </row>
    <row r="388" spans="5:7" x14ac:dyDescent="0.2">
      <c r="E388" s="8"/>
      <c r="G388" s="54"/>
    </row>
    <row r="389" spans="5:7" x14ac:dyDescent="0.2">
      <c r="E389" s="8"/>
      <c r="G389" s="54"/>
    </row>
    <row r="390" spans="5:7" x14ac:dyDescent="0.2">
      <c r="E390" s="8"/>
      <c r="G390" s="54"/>
    </row>
    <row r="391" spans="5:7" x14ac:dyDescent="0.2">
      <c r="E391" s="8"/>
      <c r="G391" s="54"/>
    </row>
    <row r="392" spans="5:7" x14ac:dyDescent="0.2">
      <c r="E392" s="8"/>
      <c r="G392" s="54"/>
    </row>
    <row r="393" spans="5:7" x14ac:dyDescent="0.2">
      <c r="E393" s="8"/>
      <c r="G393" s="54"/>
    </row>
    <row r="394" spans="5:7" x14ac:dyDescent="0.2">
      <c r="E394" s="8"/>
      <c r="G394" s="54"/>
    </row>
    <row r="395" spans="5:7" x14ac:dyDescent="0.2">
      <c r="E395" s="8"/>
      <c r="G395" s="54"/>
    </row>
    <row r="396" spans="5:7" x14ac:dyDescent="0.2">
      <c r="E396" s="8"/>
      <c r="G396" s="54"/>
    </row>
    <row r="397" spans="5:7" x14ac:dyDescent="0.2">
      <c r="E397" s="8"/>
      <c r="G397" s="54"/>
    </row>
    <row r="398" spans="5:7" x14ac:dyDescent="0.2">
      <c r="E398" s="8"/>
      <c r="G398" s="54"/>
    </row>
    <row r="399" spans="5:7" x14ac:dyDescent="0.2">
      <c r="E399" s="8"/>
      <c r="G399" s="54"/>
    </row>
    <row r="400" spans="5:7" x14ac:dyDescent="0.2">
      <c r="E400" s="8"/>
      <c r="G400" s="54"/>
    </row>
    <row r="401" spans="5:7" x14ac:dyDescent="0.2">
      <c r="E401" s="8"/>
      <c r="G401" s="54"/>
    </row>
    <row r="402" spans="5:7" x14ac:dyDescent="0.2">
      <c r="E402" s="8"/>
      <c r="G402" s="54"/>
    </row>
    <row r="403" spans="5:7" x14ac:dyDescent="0.2">
      <c r="E403" s="8"/>
      <c r="G403" s="54"/>
    </row>
    <row r="404" spans="5:7" x14ac:dyDescent="0.2">
      <c r="E404" s="8"/>
      <c r="G404" s="54"/>
    </row>
    <row r="405" spans="5:7" x14ac:dyDescent="0.2">
      <c r="E405" s="8"/>
      <c r="G405" s="54"/>
    </row>
    <row r="406" spans="5:7" x14ac:dyDescent="0.2">
      <c r="E406" s="8"/>
      <c r="G406" s="54"/>
    </row>
    <row r="407" spans="5:7" x14ac:dyDescent="0.2">
      <c r="E407" s="8"/>
      <c r="G407" s="54"/>
    </row>
    <row r="408" spans="5:7" x14ac:dyDescent="0.2">
      <c r="E408" s="8"/>
      <c r="G408" s="54"/>
    </row>
    <row r="409" spans="5:7" x14ac:dyDescent="0.2">
      <c r="E409" s="8"/>
      <c r="G409" s="54"/>
    </row>
    <row r="410" spans="5:7" x14ac:dyDescent="0.2">
      <c r="E410" s="8"/>
      <c r="G410" s="54"/>
    </row>
    <row r="411" spans="5:7" x14ac:dyDescent="0.2">
      <c r="E411" s="8"/>
      <c r="G411" s="54"/>
    </row>
    <row r="412" spans="5:7" x14ac:dyDescent="0.2">
      <c r="E412" s="8"/>
      <c r="G412" s="54"/>
    </row>
    <row r="413" spans="5:7" x14ac:dyDescent="0.2">
      <c r="E413" s="8"/>
      <c r="G413" s="54"/>
    </row>
    <row r="414" spans="5:7" x14ac:dyDescent="0.2">
      <c r="E414" s="8"/>
      <c r="G414" s="54"/>
    </row>
    <row r="415" spans="5:7" x14ac:dyDescent="0.2">
      <c r="E415" s="8"/>
      <c r="G415" s="54"/>
    </row>
    <row r="416" spans="5:7" x14ac:dyDescent="0.2">
      <c r="E416" s="8"/>
      <c r="G416" s="54"/>
    </row>
    <row r="417" spans="5:7" x14ac:dyDescent="0.2">
      <c r="E417" s="8"/>
      <c r="G417" s="54"/>
    </row>
    <row r="418" spans="5:7" x14ac:dyDescent="0.2">
      <c r="E418" s="8"/>
      <c r="G418" s="54"/>
    </row>
    <row r="419" spans="5:7" x14ac:dyDescent="0.2">
      <c r="E419" s="8"/>
      <c r="G419" s="54"/>
    </row>
    <row r="420" spans="5:7" x14ac:dyDescent="0.2">
      <c r="E420" s="8"/>
      <c r="G420" s="54"/>
    </row>
    <row r="421" spans="5:7" x14ac:dyDescent="0.2">
      <c r="E421" s="8"/>
      <c r="G421" s="54"/>
    </row>
    <row r="422" spans="5:7" x14ac:dyDescent="0.2">
      <c r="E422" s="8"/>
      <c r="G422" s="54"/>
    </row>
    <row r="423" spans="5:7" x14ac:dyDescent="0.2">
      <c r="E423" s="8"/>
      <c r="G423" s="54"/>
    </row>
    <row r="424" spans="5:7" x14ac:dyDescent="0.2">
      <c r="E424" s="8"/>
      <c r="G424" s="54"/>
    </row>
    <row r="425" spans="5:7" x14ac:dyDescent="0.2">
      <c r="E425" s="8"/>
      <c r="G425" s="54"/>
    </row>
    <row r="426" spans="5:7" x14ac:dyDescent="0.2">
      <c r="E426" s="8"/>
      <c r="G426" s="54"/>
    </row>
    <row r="427" spans="5:7" x14ac:dyDescent="0.2">
      <c r="E427" s="8"/>
      <c r="G427" s="54"/>
    </row>
    <row r="428" spans="5:7" x14ac:dyDescent="0.2">
      <c r="E428" s="8"/>
      <c r="G428" s="54"/>
    </row>
    <row r="429" spans="5:7" x14ac:dyDescent="0.2">
      <c r="E429" s="8"/>
      <c r="G429" s="54"/>
    </row>
    <row r="430" spans="5:7" x14ac:dyDescent="0.2">
      <c r="E430" s="8"/>
      <c r="G430" s="54"/>
    </row>
    <row r="431" spans="5:7" x14ac:dyDescent="0.2">
      <c r="E431" s="8"/>
      <c r="G431" s="54"/>
    </row>
    <row r="432" spans="5:7" x14ac:dyDescent="0.2">
      <c r="E432" s="8"/>
      <c r="G432" s="54"/>
    </row>
  </sheetData>
  <mergeCells count="2">
    <mergeCell ref="B1:C1"/>
    <mergeCell ref="B62:I62"/>
  </mergeCells>
  <conditionalFormatting sqref="G1:G3 G5:G61 G63:G126">
    <cfRule type="cellIs" dxfId="0" priority="2" stopIfTrue="1" operator="between">
      <formula>0.009</formula>
      <formula>-0.009</formula>
    </cfRule>
  </conditionalFormatting>
  <hyperlinks>
    <hyperlink ref="A2" location="Index!A1" display="-" xr:uid="{07F71A22-6F31-4632-8C28-D367C3352FD2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8" min="1" max="8" man="1"/>
  </rowBreaks>
  <colBreaks count="1" manualBreakCount="1">
    <brk id="9" max="4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