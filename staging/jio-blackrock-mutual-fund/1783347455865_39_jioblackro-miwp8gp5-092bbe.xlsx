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93D7FA7A-152D-4BBF-A175-AF6648C4135A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FLEXI" sheetId="11" r:id="rId1"/>
  </sheets>
  <definedNames>
    <definedName name="_xlnm.Print_Area" localSheetId="0">JBFLEXI!$B$1:$H$199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8" i="11" l="1"/>
  <c r="F158" i="11"/>
  <c r="G150" i="11"/>
  <c r="G144" i="11"/>
  <c r="F144" i="11"/>
  <c r="F147" i="11" s="1"/>
  <c r="G151" i="11" l="1"/>
  <c r="G147" i="11"/>
  <c r="F151" i="11"/>
</calcChain>
</file>

<file path=xl/sharedStrings.xml><?xml version="1.0" encoding="utf-8"?>
<sst xmlns="http://schemas.openxmlformats.org/spreadsheetml/2006/main" count="450" uniqueCount="348">
  <si>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</si>
  <si>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</si>
  <si>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</si>
  <si>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</si>
  <si>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</si>
  <si>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</si>
  <si>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</si>
  <si>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Flexi Cap Fund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</si>
  <si>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</si>
  <si>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</si>
  <si>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</si>
  <si>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</si>
  <si>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</si>
  <si>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</si>
  <si>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</si>
  <si>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</si>
  <si>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</si>
  <si>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</si>
  <si>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</si>
  <si>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</si>
  <si>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</si>
  <si>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</si>
  <si>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</si>
  <si>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</si>
  <si>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</si>
  <si>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</si>
  <si>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</si>
  <si>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</si>
  <si>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</si>
  <si>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</si>
  <si>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</si>
  <si>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</si>
  <si>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</si>
  <si>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</si>
  <si>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</si>
  <si>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</si>
  <si>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</si>
  <si>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</si>
  <si>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Diversified Fmcg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</si>
  <si>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</si>
  <si>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</si>
  <si>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</si>
  <si>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</si>
  <si>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</si>
  <si>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</si>
  <si>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</si>
  <si>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</si>
  <si>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</si>
  <si>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Finance</t>
  </si>
  <si>
    <t>Eternal Ltd</t>
  </si>
  <si>
    <t>INE758T01015</t>
  </si>
  <si>
    <t>Retailing</t>
  </si>
  <si>
    <t>Maruti Suzuki India Ltd</t>
  </si>
  <si>
    <t>INE585B01010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</si>
  <si>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</si>
  <si>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</si>
  <si>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</si>
  <si>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</si>
  <si>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</si>
  <si>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</si>
  <si>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Power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</si>
  <si>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</si>
  <si>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</si>
  <si>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</si>
  <si>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</si>
  <si>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</si>
  <si>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</si>
  <si>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Cement &amp; Cement Products</t>
  </si>
  <si>
    <t>Interglobe Aviation Ltd</t>
  </si>
  <si>
    <t>INE646L01027</t>
  </si>
  <si>
    <t>Transport Services</t>
  </si>
  <si>
    <t>Power Grid Corporation of India Ltd</t>
  </si>
  <si>
    <t>INE752E01010</t>
  </si>
  <si>
    <t>Non - Ferrous Metals</t>
  </si>
  <si>
    <t>Adani Ports and Special Economic Zone Ltd</t>
  </si>
  <si>
    <t>INE742F01042</t>
  </si>
  <si>
    <t>Transport Infrastructure</t>
  </si>
  <si>
    <t>Tech Mahindra Ltd</t>
  </si>
  <si>
    <t>INE669C01036</t>
  </si>
  <si>
    <t>Oil &amp; Natural Gas Corporation Ltd</t>
  </si>
  <si>
    <t>INE213A01029</t>
  </si>
  <si>
    <t>Oil</t>
  </si>
  <si>
    <t>Food Products</t>
  </si>
  <si>
    <t>Insurance</t>
  </si>
  <si>
    <t>Healthcare Services</t>
  </si>
  <si>
    <t>Agricultural Food &amp; Other Products</t>
  </si>
  <si>
    <t>Tata Motors Passenger Vehicles Ltd</t>
  </si>
  <si>
    <t>INE155A01022</t>
  </si>
  <si>
    <t>Wipro Ltd</t>
  </si>
  <si>
    <t>INE075A01022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</si>
  <si>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</si>
  <si>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</si>
  <si>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</si>
  <si>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</si>
  <si>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</si>
  <si>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</si>
  <si>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</si>
  <si>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</si>
  <si>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</si>
  <si>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</si>
  <si>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Bharat Petroleum Corporation Ltd</t>
  </si>
  <si>
    <t>INE029A01011</t>
  </si>
  <si>
    <t>Britannia Industries Ltd</t>
  </si>
  <si>
    <t>INE216A01030</t>
  </si>
  <si>
    <t>Leisure Services</t>
  </si>
  <si>
    <t>Beverages</t>
  </si>
  <si>
    <t>Ltimindtree Ltd</t>
  </si>
  <si>
    <t>INE214T01019</t>
  </si>
  <si>
    <t>Auto Components</t>
  </si>
  <si>
    <t>Canara Bank</t>
  </si>
  <si>
    <t>INE476A01022</t>
  </si>
  <si>
    <t>Bajaj Holdings &amp; Investment Ltd</t>
  </si>
  <si>
    <t>INE118A01012</t>
  </si>
  <si>
    <t>GAIL (India) Ltd</t>
  </si>
  <si>
    <t>INE129A01019</t>
  </si>
  <si>
    <t>Gas</t>
  </si>
  <si>
    <t>Realty</t>
  </si>
  <si>
    <t>Electrical Equipment</t>
  </si>
  <si>
    <t>Personal Products</t>
  </si>
  <si>
    <t>Chemicals &amp; Petrochemicals</t>
  </si>
  <si>
    <t>Jindal Steel Ltd</t>
  </si>
  <si>
    <t>INE749A01030</t>
  </si>
  <si>
    <t>Shree Cement Ltd</t>
  </si>
  <si>
    <t>INE070A01015</t>
  </si>
  <si>
    <t>Adani Energy Solutions Ltd</t>
  </si>
  <si>
    <t>INE931S01010</t>
  </si>
  <si>
    <t>Solar Industries India Ltd</t>
  </si>
  <si>
    <t>INE343H01029</t>
  </si>
  <si>
    <t>Lodha Developers Ltd</t>
  </si>
  <si>
    <t>INE670K01029</t>
  </si>
  <si>
    <t>Bosch Ltd</t>
  </si>
  <si>
    <t>INE323A01026</t>
  </si>
  <si>
    <t>Industrial Manufacturing</t>
  </si>
  <si>
    <t>Life Insurance Corporation Of India</t>
  </si>
  <si>
    <t>INE0J1Y01017</t>
  </si>
  <si>
    <t>** Non- Traded Security</t>
  </si>
  <si>
    <t>BSE Ltd</t>
  </si>
  <si>
    <t>INE118H01025</t>
  </si>
  <si>
    <t>Capital Markets</t>
  </si>
  <si>
    <t>Hero MotoCorp Ltd</t>
  </si>
  <si>
    <t>INE158A01026</t>
  </si>
  <si>
    <t>Coforge Ltd</t>
  </si>
  <si>
    <t>INE591G01025</t>
  </si>
  <si>
    <t>Financial Technology (Fintech)</t>
  </si>
  <si>
    <t>Cummins India Ltd</t>
  </si>
  <si>
    <t>INE298A01020</t>
  </si>
  <si>
    <t>Industrial Products</t>
  </si>
  <si>
    <t>Dixon Technologies (India) Ltd</t>
  </si>
  <si>
    <t>INE935N01020</t>
  </si>
  <si>
    <t>HDFC Asset Management Co Ltd</t>
  </si>
  <si>
    <t>INE127D01025</t>
  </si>
  <si>
    <t>Lupin Ltd</t>
  </si>
  <si>
    <t>INE326A01037</t>
  </si>
  <si>
    <t>One 97 Communications Ltd</t>
  </si>
  <si>
    <t>INE982J01020</t>
  </si>
  <si>
    <t>Fortis Healthcare Ltd</t>
  </si>
  <si>
    <t>INE061F01013</t>
  </si>
  <si>
    <t>Agricultural, Commercial &amp; Construction Vehicles</t>
  </si>
  <si>
    <t>Yes Bank Ltd</t>
  </si>
  <si>
    <t>INE528G01035</t>
  </si>
  <si>
    <t>Max Financial Services Ltd</t>
  </si>
  <si>
    <t>INE180A01020</t>
  </si>
  <si>
    <t>Hindustan Petroleum Corporation Ltd</t>
  </si>
  <si>
    <t>INE094A01015</t>
  </si>
  <si>
    <t>UPL Ltd</t>
  </si>
  <si>
    <t>INE628A01036</t>
  </si>
  <si>
    <t>Fertilizers &amp; Agrochemicals</t>
  </si>
  <si>
    <t>Marico Ltd</t>
  </si>
  <si>
    <t>INE196A01026</t>
  </si>
  <si>
    <t>Polycab India Ltd</t>
  </si>
  <si>
    <t>INE455K01017</t>
  </si>
  <si>
    <t>Ge Vernova T&amp;D India Ltd</t>
  </si>
  <si>
    <t>INE200A01026</t>
  </si>
  <si>
    <t>Indian Bank</t>
  </si>
  <si>
    <t>INE562A01011</t>
  </si>
  <si>
    <t>Vishal Mega Mart Ltd</t>
  </si>
  <si>
    <t>INE01EA01019</t>
  </si>
  <si>
    <t>Coromandel International Ltd</t>
  </si>
  <si>
    <t>INE169A01031</t>
  </si>
  <si>
    <t>L&amp;T Finance Ltd</t>
  </si>
  <si>
    <t>INE498L01015</t>
  </si>
  <si>
    <t>Textiles &amp; Apparels</t>
  </si>
  <si>
    <t>J.K. Cement Ltd</t>
  </si>
  <si>
    <t>INE823G01014</t>
  </si>
  <si>
    <t>Uno Minda Ltd</t>
  </si>
  <si>
    <t>INE405E01023</t>
  </si>
  <si>
    <t>National Aluminium Co Ltd</t>
  </si>
  <si>
    <t>INE139A01034</t>
  </si>
  <si>
    <t>Petronet LNG Ltd</t>
  </si>
  <si>
    <t>INE347G01014</t>
  </si>
  <si>
    <t>Steel Authority of India Ltd</t>
  </si>
  <si>
    <t>INE114A01011</t>
  </si>
  <si>
    <t>Agricultural Food &amp; other Products</t>
  </si>
  <si>
    <t>Abbott India Ltd</t>
  </si>
  <si>
    <t>INE358A01014</t>
  </si>
  <si>
    <t>Schaeffler India Ltd</t>
  </si>
  <si>
    <t>INE513A01022</t>
  </si>
  <si>
    <t>Motilal Oswal Financial Services Ltd</t>
  </si>
  <si>
    <t>INE338I01027</t>
  </si>
  <si>
    <t>Indraprastha Gas Ltd</t>
  </si>
  <si>
    <t>INE203G01027</t>
  </si>
  <si>
    <t>Escorts Kubota Ltd</t>
  </si>
  <si>
    <t>INE042A01014</t>
  </si>
  <si>
    <t>Ajanta Pharma Ltd</t>
  </si>
  <si>
    <t>INE031B01049</t>
  </si>
  <si>
    <t>Global Health Ltd</t>
  </si>
  <si>
    <t>INE474Q01031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</si>
  <si>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</si>
  <si>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</si>
  <si>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</si>
  <si>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</si>
  <si>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</si>
  <si>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</si>
  <si>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Radico Khaitan Ltd</t>
  </si>
  <si>
    <t>INE944F01028</t>
  </si>
  <si>
    <t>Karur Vysya Bank Ltd</t>
  </si>
  <si>
    <t>INE036D01028</t>
  </si>
  <si>
    <t>Navin Fluorine International Ltd</t>
  </si>
  <si>
    <t>INE048G01026</t>
  </si>
  <si>
    <t>City Union Bank Ltd</t>
  </si>
  <si>
    <t>INE491A01021</t>
  </si>
  <si>
    <t>Commercial Services &amp; Supplies</t>
  </si>
  <si>
    <t>Kalpataru Projects International Ltd</t>
  </si>
  <si>
    <t>INE220B01022</t>
  </si>
  <si>
    <t>NBCC (India) Ltd</t>
  </si>
  <si>
    <t>INE095N01031</t>
  </si>
  <si>
    <t>Sammaan Capital Ltd</t>
  </si>
  <si>
    <t>INE148I01020</t>
  </si>
  <si>
    <t>Dr. Lal Path Labs Ltd</t>
  </si>
  <si>
    <t>INE600L01024</t>
  </si>
  <si>
    <t>Welspun Corp Ltd</t>
  </si>
  <si>
    <t>INE191B01025</t>
  </si>
  <si>
    <t>Anand Rathi Wealth Ltd</t>
  </si>
  <si>
    <t>INE463V01026</t>
  </si>
  <si>
    <t>CESC Ltd</t>
  </si>
  <si>
    <t>INE486A01021</t>
  </si>
  <si>
    <t>EID Parry India Ltd</t>
  </si>
  <si>
    <t>INE126A01031</t>
  </si>
  <si>
    <t>eClerx Services Ltd</t>
  </si>
  <si>
    <t>INE738I01010</t>
  </si>
  <si>
    <t>Entertainment</t>
  </si>
  <si>
    <t>Kajaria Ceramics Ltd</t>
  </si>
  <si>
    <t>INE217B01036</t>
  </si>
  <si>
    <t>Sai Life Sciences Ltd</t>
  </si>
  <si>
    <t>INE570L01029</t>
  </si>
  <si>
    <t>Jubilant Pharmova Ltd</t>
  </si>
  <si>
    <t>INE700A01033</t>
  </si>
  <si>
    <t>Go Digit General Insurance Ltd</t>
  </si>
  <si>
    <t>INE03JT01014</t>
  </si>
  <si>
    <t>Ather Energy Ltd</t>
  </si>
  <si>
    <t>INE0LEZ01016</t>
  </si>
  <si>
    <t>CEAT Ltd</t>
  </si>
  <si>
    <t>INE482A01020</t>
  </si>
  <si>
    <t>Natco Pharma Ltd</t>
  </si>
  <si>
    <t>INE987B01026</t>
  </si>
  <si>
    <t>PVR Inox Ltd</t>
  </si>
  <si>
    <t>INE191H01014</t>
  </si>
  <si>
    <t>Pfizer Ltd</t>
  </si>
  <si>
    <t>INE182A01018</t>
  </si>
  <si>
    <t>Nava Ltd</t>
  </si>
  <si>
    <t>INE725A01030</t>
  </si>
  <si>
    <t>Gillette India Ltd</t>
  </si>
  <si>
    <t>INE322A01010</t>
  </si>
  <si>
    <t>Indiamart Intermesh Ltd</t>
  </si>
  <si>
    <t>INE933S01016</t>
  </si>
  <si>
    <t>Mahanagar Gas Ltd</t>
  </si>
  <si>
    <t>INE002S01010</t>
  </si>
  <si>
    <t>Syrma SGS Technology Ltd</t>
  </si>
  <si>
    <t>INE0DYJ01015</t>
  </si>
  <si>
    <t>JM Financial Ltd</t>
  </si>
  <si>
    <t>INE780C01023</t>
  </si>
  <si>
    <t>JK Tyre &amp; Industries Ltd</t>
  </si>
  <si>
    <t>INE573A01042</t>
  </si>
  <si>
    <t>Aditya Birla Sun Life AMC Ltd</t>
  </si>
  <si>
    <t>INE404A01024</t>
  </si>
  <si>
    <t>UTI Asset Management Co Ltd</t>
  </si>
  <si>
    <t>INE094J01016</t>
  </si>
  <si>
    <t>Vardhman Textiles Ltd</t>
  </si>
  <si>
    <t>INE825A01020</t>
  </si>
  <si>
    <t>Elecon Engineering Co Ltd</t>
  </si>
  <si>
    <t>INE205B01031</t>
  </si>
  <si>
    <t>Chennai Petroleum Corporation Ltd</t>
  </si>
  <si>
    <t>INE178A01016</t>
  </si>
  <si>
    <t>Signatureglobal (India) Ltd</t>
  </si>
  <si>
    <t>INE903U01023</t>
  </si>
  <si>
    <t>Honasa Consumer Ltd</t>
  </si>
  <si>
    <t>INE0J5401028</t>
  </si>
  <si>
    <t>Nuvoco Vistas Corporation Ltd</t>
  </si>
  <si>
    <t>INE118D01016</t>
  </si>
  <si>
    <t>Trident Ltd</t>
  </si>
  <si>
    <t>INE064C01022</t>
  </si>
  <si>
    <t>Godrej Agrovet Ltd</t>
  </si>
  <si>
    <t>INE850D01014</t>
  </si>
  <si>
    <t>Maharashtra Seamless Ltd</t>
  </si>
  <si>
    <t>INE271B01025</t>
  </si>
  <si>
    <t>Rashtriya Chemicals and Fertilizers Ltd</t>
  </si>
  <si>
    <t>INE027A01015</t>
  </si>
  <si>
    <t>Sharda Cropchem Ltd</t>
  </si>
  <si>
    <t>INE221J01015</t>
  </si>
  <si>
    <t>PTC India Ltd</t>
  </si>
  <si>
    <t>INE877F01012</t>
  </si>
  <si>
    <t>Thyrocare Technologies Ltd</t>
  </si>
  <si>
    <t>INE594H01019</t>
  </si>
  <si>
    <t>KRBL Ltd</t>
  </si>
  <si>
    <t>INE001B01026</t>
  </si>
  <si>
    <t>GMM Pfaudler Ltd</t>
  </si>
  <si>
    <t>INE541A01023</t>
  </si>
  <si>
    <t>Fiem Industries Ltd</t>
  </si>
  <si>
    <t>INE737H01014</t>
  </si>
  <si>
    <t>V-Mart Retail Ltd</t>
  </si>
  <si>
    <t>INE665J01013</t>
  </si>
  <si>
    <t>Thomas Cook (India) Ltd</t>
  </si>
  <si>
    <t>INE332A01027</t>
  </si>
  <si>
    <t>Shriram Pistons &amp; Rings Ltd</t>
  </si>
  <si>
    <t>INE526E01018</t>
  </si>
  <si>
    <t>CarTrade Tech Ltd</t>
  </si>
  <si>
    <t>INE290S01011</t>
  </si>
  <si>
    <t>Patel Engineering Ltd</t>
  </si>
  <si>
    <t>INE244B01030</t>
  </si>
  <si>
    <t>Advanced Enzyme Technologies Ltd</t>
  </si>
  <si>
    <t>INE837H01020</t>
  </si>
  <si>
    <t>INE1YPB01014</t>
  </si>
  <si>
    <t>Dodla Dairy Ltd</t>
  </si>
  <si>
    <t>INE021O01019</t>
  </si>
  <si>
    <t>TVS Supply Chain Solutions Ltd</t>
  </si>
  <si>
    <t>INE395N01027</t>
  </si>
  <si>
    <t>Allcargo Logistics Ltd</t>
  </si>
  <si>
    <t>INE418H01029</t>
  </si>
  <si>
    <t>National Fertilizers Ltd</t>
  </si>
  <si>
    <t>INE870D01012</t>
  </si>
  <si>
    <t>Ahluwalia Contracts (India) Ltd</t>
  </si>
  <si>
    <t>INE758C01029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</si>
  <si>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</si>
  <si>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</si>
  <si>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</si>
  <si>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</si>
  <si>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</si>
  <si>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</si>
  <si>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</si>
  <si>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</si>
  <si>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</si>
  <si>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Long</t>
  </si>
  <si>
    <t>Benchmark Risk-O-Meter</t>
  </si>
  <si>
    <t>Benchmark Name - Nifty 500 Index (TRI)</t>
  </si>
  <si>
    <t>Allcargo Global Ltd **</t>
  </si>
  <si>
    <t>Index</t>
  </si>
  <si>
    <t>Nifty Index 30-Dec-2025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</si>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</sst>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wrapText="1"/>
    </xf>
    <xf numFmtId="39" fontId="5" fillId="3" borderId="0" xfId="0" applyNumberFormat="1" applyFont="1" applyFill="1" applyBorder="1"/>
    <xf numFmtId="0" fontId="9" fillId="2" borderId="0" xfId="0" applyFont="1" applyFill="1"/>
    <xf numFmtId="164" fontId="5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39" fontId="9" fillId="2" borderId="2" xfId="0" applyNumberFormat="1" applyFont="1" applyFill="1" applyBorder="1" applyAlignment="1">
      <alignment horizontal="right"/>
    </xf>
    <xf numFmtId="39" fontId="9" fillId="3" borderId="2" xfId="0" applyNumberFormat="1" applyFont="1" applyFill="1" applyBorder="1" applyAlignment="1">
      <alignment horizontal="right"/>
    </xf>
    <xf numFmtId="39" fontId="9" fillId="2" borderId="4" xfId="0" applyNumberFormat="1" applyFont="1" applyFill="1" applyBorder="1" applyAlignment="1">
      <alignment horizontal="right"/>
    </xf>
    <xf numFmtId="39" fontId="9" fillId="3" borderId="4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8" xfId="0" applyFont="1" applyFill="1" applyBorder="1"/>
    <xf numFmtId="0" fontId="9" fillId="2" borderId="8" xfId="0" applyNumberFormat="1" applyFont="1" applyFill="1" applyBorder="1"/>
    <xf numFmtId="39" fontId="9" fillId="2" borderId="8" xfId="0" applyNumberFormat="1" applyFont="1" applyFill="1" applyBorder="1"/>
    <xf numFmtId="39" fontId="9" fillId="3" borderId="8" xfId="0" applyNumberFormat="1" applyFont="1" applyFill="1" applyBorder="1"/>
    <xf numFmtId="0" fontId="5" fillId="2" borderId="8" xfId="0" applyFont="1" applyFill="1" applyBorder="1"/>
    <xf numFmtId="0" fontId="5" fillId="2" borderId="8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9" fillId="2" borderId="0" xfId="0" applyFont="1" applyFill="1" applyBorder="1"/>
    <xf numFmtId="0" fontId="9" fillId="2" borderId="0" xfId="0" applyNumberFormat="1" applyFont="1" applyFill="1" applyBorder="1"/>
    <xf numFmtId="39" fontId="9" fillId="2" borderId="0" xfId="0" applyNumberFormat="1" applyFont="1" applyFill="1" applyBorder="1"/>
    <xf numFmtId="39" fontId="9" fillId="3" borderId="0" xfId="0" applyNumberFormat="1" applyFont="1" applyFill="1" applyBorder="1"/>
    <xf numFmtId="39" fontId="9" fillId="2" borderId="2" xfId="0" applyNumberFormat="1" applyFont="1" applyFill="1" applyBorder="1"/>
    <xf numFmtId="39" fontId="9" fillId="3" borderId="2" xfId="0" applyNumberFormat="1" applyFont="1" applyFill="1" applyBorder="1"/>
    <xf numFmtId="0" fontId="6" fillId="0" borderId="0" xfId="0" applyFont="1" applyAlignment="1">
      <alignment horizontal="left" vertical="top" wrapText="1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165</xdr:row>
      <xdr:rowOff>0</xdr:rowOff>
    </xdr:from>
    <xdr:to>
      <xdr:col>2</xdr:col>
      <xdr:colOff>114300</xdr:colOff>
      <xdr:row>178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B2B7F-D667-4AD0-B0E1-2EEC7FF7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4555450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183</xdr:row>
      <xdr:rowOff>47625</xdr:rowOff>
    </xdr:from>
    <xdr:to>
      <xdr:col>1</xdr:col>
      <xdr:colOff>4562475</xdr:colOff>
      <xdr:row>198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5AE3C-7942-444B-BE99-B64CBDF6E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5" y="2717482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6298-DA8E-409F-8B7F-66A3702F1A78}">
  <dimension ref="A1:I199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8" customWidth="1"/>
    <col min="2" max="2" width="69.5703125" style="8" bestFit="1" customWidth="1"/>
    <col min="3" max="3" width="10.85546875" style="8" bestFit="1" customWidth="1"/>
    <col min="4" max="4" width="32.140625" style="8" bestFit="1" customWidth="1"/>
    <col min="5" max="5" width="13.85546875" style="9" bestFit="1" customWidth="1"/>
    <col min="6" max="6" width="22.85546875" style="11" bestFit="1" customWidth="1"/>
    <col min="7" max="7" width="14" style="13" bestFit="1" customWidth="1"/>
    <col min="8" max="8" width="14.42578125" style="8" customWidth="1"/>
    <col min="9" max="16384" width="9.140625" style="8"/>
  </cols>
  <sheetData>
    <row r="1" spans="1:8" s="1" customFormat="1" ht="16.7" customHeight="1" x14ac:dyDescent="0.2">
      <c r="B1" s="65" t="s">
        <v>7</v>
      </c>
      <c r="C1" s="66"/>
      <c r="D1" s="12"/>
      <c r="E1" s="6"/>
      <c r="F1" s="7"/>
      <c r="G1" s="13"/>
    </row>
    <row r="2" spans="1:8" s="1" customFormat="1" ht="15" x14ac:dyDescent="0.25">
      <c r="A2" s="55" t="s">
        <v>347</v>
      </c>
      <c r="E2" s="6"/>
      <c r="F2" s="7"/>
      <c r="G2" s="13"/>
    </row>
    <row r="3" spans="1:8" s="1" customFormat="1" ht="12" x14ac:dyDescent="0.2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">
      <c r="B4" s="16" t="s">
        <v>4</v>
      </c>
      <c r="C4" s="16" t="s">
        <v>5</v>
      </c>
      <c r="D4" s="17" t="s">
        <v>92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x14ac:dyDescent="0.2">
      <c r="B5" s="21" t="s">
        <v>15</v>
      </c>
      <c r="C5" s="22"/>
      <c r="D5" s="22"/>
      <c r="E5" s="23"/>
      <c r="F5" s="24"/>
      <c r="G5" s="25"/>
      <c r="H5" s="22"/>
    </row>
    <row r="6" spans="1:8" x14ac:dyDescent="0.2">
      <c r="B6" s="21" t="s">
        <v>16</v>
      </c>
      <c r="C6" s="22"/>
      <c r="D6" s="22"/>
      <c r="E6" s="23"/>
      <c r="F6" s="24"/>
      <c r="G6" s="25"/>
      <c r="H6" s="22"/>
    </row>
    <row r="7" spans="1:8" x14ac:dyDescent="0.2">
      <c r="B7" s="22" t="s">
        <v>17</v>
      </c>
      <c r="C7" s="22" t="s">
        <v>18</v>
      </c>
      <c r="D7" s="22" t="s">
        <v>19</v>
      </c>
      <c r="E7" s="26">
        <v>1995443</v>
      </c>
      <c r="F7" s="24">
        <v>20106.083667999999</v>
      </c>
      <c r="G7" s="25">
        <v>9.0095503228671099</v>
      </c>
      <c r="H7" s="22"/>
    </row>
    <row r="8" spans="1:8" x14ac:dyDescent="0.2">
      <c r="B8" s="22" t="s">
        <v>23</v>
      </c>
      <c r="C8" s="22" t="s">
        <v>24</v>
      </c>
      <c r="D8" s="22" t="s">
        <v>19</v>
      </c>
      <c r="E8" s="26">
        <v>941595</v>
      </c>
      <c r="F8" s="24">
        <v>13076.871359999999</v>
      </c>
      <c r="G8" s="25">
        <v>5.8597553123233004</v>
      </c>
      <c r="H8" s="22"/>
    </row>
    <row r="9" spans="1:8" x14ac:dyDescent="0.2">
      <c r="B9" s="22" t="s">
        <v>20</v>
      </c>
      <c r="C9" s="22" t="s">
        <v>21</v>
      </c>
      <c r="D9" s="22" t="s">
        <v>22</v>
      </c>
      <c r="E9" s="26">
        <v>629173</v>
      </c>
      <c r="F9" s="24">
        <v>9862.2867750000005</v>
      </c>
      <c r="G9" s="25">
        <v>4.4192976844778</v>
      </c>
      <c r="H9" s="22"/>
    </row>
    <row r="10" spans="1:8" x14ac:dyDescent="0.2">
      <c r="B10" s="22" t="s">
        <v>28</v>
      </c>
      <c r="C10" s="22" t="s">
        <v>29</v>
      </c>
      <c r="D10" s="22" t="s">
        <v>30</v>
      </c>
      <c r="E10" s="26">
        <v>586512</v>
      </c>
      <c r="F10" s="24">
        <v>9150.1737119999998</v>
      </c>
      <c r="G10" s="25">
        <v>4.10019931690855</v>
      </c>
      <c r="H10" s="22"/>
    </row>
    <row r="11" spans="1:8" x14ac:dyDescent="0.2">
      <c r="B11" s="22" t="s">
        <v>34</v>
      </c>
      <c r="C11" s="22" t="s">
        <v>35</v>
      </c>
      <c r="D11" s="22" t="s">
        <v>19</v>
      </c>
      <c r="E11" s="26">
        <v>728947</v>
      </c>
      <c r="F11" s="24">
        <v>7136.39113</v>
      </c>
      <c r="G11" s="25">
        <v>3.1978219165439898</v>
      </c>
      <c r="H11" s="22"/>
    </row>
    <row r="12" spans="1:8" x14ac:dyDescent="0.2">
      <c r="B12" s="22" t="s">
        <v>31</v>
      </c>
      <c r="C12" s="22" t="s">
        <v>32</v>
      </c>
      <c r="D12" s="22" t="s">
        <v>33</v>
      </c>
      <c r="E12" s="26">
        <v>146962</v>
      </c>
      <c r="F12" s="24">
        <v>5980.7655519999998</v>
      </c>
      <c r="G12" s="25">
        <v>2.67998527708176</v>
      </c>
      <c r="H12" s="22"/>
    </row>
    <row r="13" spans="1:8" x14ac:dyDescent="0.2">
      <c r="B13" s="22" t="s">
        <v>44</v>
      </c>
      <c r="C13" s="22" t="s">
        <v>45</v>
      </c>
      <c r="D13" s="22" t="s">
        <v>30</v>
      </c>
      <c r="E13" s="26">
        <v>161801</v>
      </c>
      <c r="F13" s="24">
        <v>5076.5063749999999</v>
      </c>
      <c r="G13" s="25">
        <v>2.27478609982666</v>
      </c>
      <c r="H13" s="22"/>
    </row>
    <row r="14" spans="1:8" x14ac:dyDescent="0.2">
      <c r="B14" s="22" t="s">
        <v>25</v>
      </c>
      <c r="C14" s="22" t="s">
        <v>26</v>
      </c>
      <c r="D14" s="22" t="s">
        <v>27</v>
      </c>
      <c r="E14" s="26">
        <v>239843</v>
      </c>
      <c r="F14" s="24">
        <v>5040.5404879999996</v>
      </c>
      <c r="G14" s="25">
        <v>2.2586697604050299</v>
      </c>
      <c r="H14" s="22"/>
    </row>
    <row r="15" spans="1:8" x14ac:dyDescent="0.2">
      <c r="B15" s="22" t="s">
        <v>55</v>
      </c>
      <c r="C15" s="22" t="s">
        <v>56</v>
      </c>
      <c r="D15" s="22" t="s">
        <v>30</v>
      </c>
      <c r="E15" s="26">
        <v>308962</v>
      </c>
      <c r="F15" s="24">
        <v>5018.1608040000001</v>
      </c>
      <c r="G15" s="25">
        <v>2.2486414081641302</v>
      </c>
      <c r="H15" s="22"/>
    </row>
    <row r="16" spans="1:8" x14ac:dyDescent="0.2">
      <c r="B16" s="22" t="s">
        <v>68</v>
      </c>
      <c r="C16" s="22" t="s">
        <v>69</v>
      </c>
      <c r="D16" s="22" t="s">
        <v>70</v>
      </c>
      <c r="E16" s="26">
        <v>80324</v>
      </c>
      <c r="F16" s="24">
        <v>4740.3208599999998</v>
      </c>
      <c r="G16" s="25">
        <v>2.1241411326005402</v>
      </c>
      <c r="H16" s="22"/>
    </row>
    <row r="17" spans="2:8" x14ac:dyDescent="0.2">
      <c r="B17" s="22" t="s">
        <v>57</v>
      </c>
      <c r="C17" s="22" t="s">
        <v>58</v>
      </c>
      <c r="D17" s="22" t="s">
        <v>59</v>
      </c>
      <c r="E17" s="26">
        <v>111960</v>
      </c>
      <c r="F17" s="24">
        <v>4375.0609199999999</v>
      </c>
      <c r="G17" s="25">
        <v>1.96046789495282</v>
      </c>
      <c r="H17" s="22"/>
    </row>
    <row r="18" spans="2:8" x14ac:dyDescent="0.2">
      <c r="B18" s="22" t="s">
        <v>98</v>
      </c>
      <c r="C18" s="22" t="s">
        <v>99</v>
      </c>
      <c r="D18" s="22" t="s">
        <v>43</v>
      </c>
      <c r="E18" s="26">
        <v>119835</v>
      </c>
      <c r="F18" s="24">
        <v>4231.9730250000002</v>
      </c>
      <c r="G18" s="25">
        <v>1.8963501079246401</v>
      </c>
      <c r="H18" s="22"/>
    </row>
    <row r="19" spans="2:8" x14ac:dyDescent="0.2">
      <c r="B19" s="22" t="s">
        <v>74</v>
      </c>
      <c r="C19" s="22" t="s">
        <v>75</v>
      </c>
      <c r="D19" s="22" t="s">
        <v>76</v>
      </c>
      <c r="E19" s="26">
        <v>278082</v>
      </c>
      <c r="F19" s="24">
        <v>4218.2258579999998</v>
      </c>
      <c r="G19" s="25">
        <v>1.8901899926615899</v>
      </c>
      <c r="H19" s="22"/>
    </row>
    <row r="20" spans="2:8" x14ac:dyDescent="0.2">
      <c r="B20" s="22" t="s">
        <v>139</v>
      </c>
      <c r="C20" s="22" t="s">
        <v>140</v>
      </c>
      <c r="D20" s="22" t="s">
        <v>43</v>
      </c>
      <c r="E20" s="26">
        <v>68291</v>
      </c>
      <c r="F20" s="24">
        <v>4216.6277950000003</v>
      </c>
      <c r="G20" s="25">
        <v>1.8894738995001701</v>
      </c>
      <c r="H20" s="22"/>
    </row>
    <row r="21" spans="2:8" x14ac:dyDescent="0.2">
      <c r="B21" s="22" t="s">
        <v>102</v>
      </c>
      <c r="C21" s="22" t="s">
        <v>103</v>
      </c>
      <c r="D21" s="22" t="s">
        <v>82</v>
      </c>
      <c r="E21" s="26">
        <v>69016</v>
      </c>
      <c r="F21" s="24">
        <v>4034.6753600000002</v>
      </c>
      <c r="G21" s="25">
        <v>1.8079408845893801</v>
      </c>
      <c r="H21" s="22"/>
    </row>
    <row r="22" spans="2:8" x14ac:dyDescent="0.2">
      <c r="B22" s="22" t="s">
        <v>100</v>
      </c>
      <c r="C22" s="22" t="s">
        <v>101</v>
      </c>
      <c r="D22" s="22" t="s">
        <v>22</v>
      </c>
      <c r="E22" s="26">
        <v>997678</v>
      </c>
      <c r="F22" s="24">
        <v>3582.6616979999999</v>
      </c>
      <c r="G22" s="25">
        <v>1.60539324270853</v>
      </c>
      <c r="H22" s="22"/>
    </row>
    <row r="23" spans="2:8" x14ac:dyDescent="0.2">
      <c r="B23" s="22" t="s">
        <v>213</v>
      </c>
      <c r="C23" s="22" t="s">
        <v>214</v>
      </c>
      <c r="D23" s="22" t="s">
        <v>105</v>
      </c>
      <c r="E23" s="26">
        <v>106779</v>
      </c>
      <c r="F23" s="24">
        <v>3425.5770990000001</v>
      </c>
      <c r="G23" s="25">
        <v>1.53500352271098</v>
      </c>
      <c r="H23" s="22"/>
    </row>
    <row r="24" spans="2:8" x14ac:dyDescent="0.2">
      <c r="B24" s="22" t="s">
        <v>133</v>
      </c>
      <c r="C24" s="22" t="s">
        <v>134</v>
      </c>
      <c r="D24" s="22" t="s">
        <v>83</v>
      </c>
      <c r="E24" s="26">
        <v>380095</v>
      </c>
      <c r="F24" s="24">
        <v>3399.7597274999998</v>
      </c>
      <c r="G24" s="25">
        <v>1.5234347402681001</v>
      </c>
      <c r="H24" s="22"/>
    </row>
    <row r="25" spans="2:8" x14ac:dyDescent="0.2">
      <c r="B25" s="22" t="s">
        <v>36</v>
      </c>
      <c r="C25" s="22" t="s">
        <v>37</v>
      </c>
      <c r="D25" s="22" t="s">
        <v>38</v>
      </c>
      <c r="E25" s="26">
        <v>813932</v>
      </c>
      <c r="F25" s="24">
        <v>3290.3201100000001</v>
      </c>
      <c r="G25" s="25">
        <v>1.47439477020417</v>
      </c>
      <c r="H25" s="22"/>
    </row>
    <row r="26" spans="2:8" x14ac:dyDescent="0.2">
      <c r="B26" s="22" t="s">
        <v>182</v>
      </c>
      <c r="C26" s="22" t="s">
        <v>183</v>
      </c>
      <c r="D26" s="22" t="s">
        <v>67</v>
      </c>
      <c r="E26" s="26">
        <v>55291</v>
      </c>
      <c r="F26" s="24">
        <v>3183.65578</v>
      </c>
      <c r="G26" s="25">
        <v>1.4265984084333601</v>
      </c>
      <c r="H26" s="22"/>
    </row>
    <row r="27" spans="2:8" x14ac:dyDescent="0.2">
      <c r="B27" s="22" t="s">
        <v>169</v>
      </c>
      <c r="C27" s="22" t="s">
        <v>170</v>
      </c>
      <c r="D27" s="22" t="s">
        <v>146</v>
      </c>
      <c r="E27" s="26">
        <v>42080</v>
      </c>
      <c r="F27" s="24">
        <v>3143.3760000000002</v>
      </c>
      <c r="G27" s="25">
        <v>1.40854901050503</v>
      </c>
      <c r="H27" s="22"/>
    </row>
    <row r="28" spans="2:8" x14ac:dyDescent="0.2">
      <c r="B28" s="22" t="s">
        <v>64</v>
      </c>
      <c r="C28" s="22" t="s">
        <v>65</v>
      </c>
      <c r="D28" s="22" t="s">
        <v>66</v>
      </c>
      <c r="E28" s="26">
        <v>1857070</v>
      </c>
      <c r="F28" s="24">
        <v>3119.1347719999999</v>
      </c>
      <c r="G28" s="25">
        <v>1.3976864990801099</v>
      </c>
      <c r="H28" s="22"/>
    </row>
    <row r="29" spans="2:8" x14ac:dyDescent="0.2">
      <c r="B29" s="22" t="s">
        <v>186</v>
      </c>
      <c r="C29" s="22" t="s">
        <v>187</v>
      </c>
      <c r="D29" s="22" t="s">
        <v>73</v>
      </c>
      <c r="E29" s="26">
        <v>1137928</v>
      </c>
      <c r="F29" s="24">
        <v>2958.3852144000002</v>
      </c>
      <c r="G29" s="25">
        <v>1.3256545085398099</v>
      </c>
      <c r="H29" s="22"/>
    </row>
    <row r="30" spans="2:8" x14ac:dyDescent="0.2">
      <c r="B30" s="22" t="s">
        <v>151</v>
      </c>
      <c r="C30" s="22" t="s">
        <v>152</v>
      </c>
      <c r="D30" s="22" t="s">
        <v>54</v>
      </c>
      <c r="E30" s="26">
        <v>140815</v>
      </c>
      <c r="F30" s="24">
        <v>2932.0499300000001</v>
      </c>
      <c r="G30" s="25">
        <v>1.31385364895986</v>
      </c>
      <c r="H30" s="22"/>
    </row>
    <row r="31" spans="2:8" x14ac:dyDescent="0.2">
      <c r="B31" s="22" t="s">
        <v>109</v>
      </c>
      <c r="C31" s="22" t="s">
        <v>110</v>
      </c>
      <c r="D31" s="22" t="s">
        <v>19</v>
      </c>
      <c r="E31" s="26">
        <v>1760091</v>
      </c>
      <c r="F31" s="24">
        <v>2667.9459378000001</v>
      </c>
      <c r="G31" s="25">
        <v>1.1955084631202599</v>
      </c>
      <c r="H31" s="22"/>
    </row>
    <row r="32" spans="2:8" x14ac:dyDescent="0.2">
      <c r="B32" s="22" t="s">
        <v>155</v>
      </c>
      <c r="C32" s="22" t="s">
        <v>156</v>
      </c>
      <c r="D32" s="22" t="s">
        <v>84</v>
      </c>
      <c r="E32" s="26">
        <v>284921</v>
      </c>
      <c r="F32" s="24">
        <v>2618.7089110000002</v>
      </c>
      <c r="G32" s="25">
        <v>1.1734453165608401</v>
      </c>
      <c r="H32" s="22"/>
    </row>
    <row r="33" spans="2:8" x14ac:dyDescent="0.2">
      <c r="B33" s="22" t="s">
        <v>171</v>
      </c>
      <c r="C33" s="22" t="s">
        <v>172</v>
      </c>
      <c r="D33" s="22" t="s">
        <v>117</v>
      </c>
      <c r="E33" s="26">
        <v>89612</v>
      </c>
      <c r="F33" s="24">
        <v>2582.080168</v>
      </c>
      <c r="G33" s="25">
        <v>1.15703195089644</v>
      </c>
      <c r="H33" s="22"/>
    </row>
    <row r="34" spans="2:8" x14ac:dyDescent="0.2">
      <c r="B34" s="22" t="s">
        <v>160</v>
      </c>
      <c r="C34" s="22" t="s">
        <v>161</v>
      </c>
      <c r="D34" s="22" t="s">
        <v>83</v>
      </c>
      <c r="E34" s="26">
        <v>143483</v>
      </c>
      <c r="F34" s="24">
        <v>2442.2241429999999</v>
      </c>
      <c r="G34" s="25">
        <v>1.0943623671028</v>
      </c>
      <c r="H34" s="22"/>
    </row>
    <row r="35" spans="2:8" x14ac:dyDescent="0.2">
      <c r="B35" s="22" t="s">
        <v>162</v>
      </c>
      <c r="C35" s="22" t="s">
        <v>163</v>
      </c>
      <c r="D35" s="22" t="s">
        <v>22</v>
      </c>
      <c r="E35" s="26">
        <v>498026</v>
      </c>
      <c r="F35" s="24">
        <v>2278.4689499999999</v>
      </c>
      <c r="G35" s="25">
        <v>1.02098354921235</v>
      </c>
      <c r="H35" s="22"/>
    </row>
    <row r="36" spans="2:8" x14ac:dyDescent="0.2">
      <c r="B36" s="22" t="s">
        <v>120</v>
      </c>
      <c r="C36" s="22" t="s">
        <v>121</v>
      </c>
      <c r="D36" s="22" t="s">
        <v>66</v>
      </c>
      <c r="E36" s="26">
        <v>206607</v>
      </c>
      <c r="F36" s="24">
        <v>2157.803508</v>
      </c>
      <c r="G36" s="25">
        <v>0.96691327924425197</v>
      </c>
      <c r="H36" s="22"/>
    </row>
    <row r="37" spans="2:8" x14ac:dyDescent="0.2">
      <c r="B37" s="22" t="s">
        <v>179</v>
      </c>
      <c r="C37" s="22" t="s">
        <v>180</v>
      </c>
      <c r="D37" s="22" t="s">
        <v>48</v>
      </c>
      <c r="E37" s="26">
        <v>672729</v>
      </c>
      <c r="F37" s="24">
        <v>2101.2690315</v>
      </c>
      <c r="G37" s="25">
        <v>0.941580140309077</v>
      </c>
      <c r="H37" s="22"/>
    </row>
    <row r="38" spans="2:8" x14ac:dyDescent="0.2">
      <c r="B38" s="22" t="s">
        <v>41</v>
      </c>
      <c r="C38" s="22" t="s">
        <v>42</v>
      </c>
      <c r="D38" s="22" t="s">
        <v>43</v>
      </c>
      <c r="E38" s="26">
        <v>55126</v>
      </c>
      <c r="F38" s="24">
        <v>2071.249198</v>
      </c>
      <c r="G38" s="25">
        <v>0.92812823166946501</v>
      </c>
      <c r="H38" s="22"/>
    </row>
    <row r="39" spans="2:8" x14ac:dyDescent="0.2">
      <c r="B39" s="22" t="s">
        <v>217</v>
      </c>
      <c r="C39" s="22" t="s">
        <v>218</v>
      </c>
      <c r="D39" s="22" t="s">
        <v>119</v>
      </c>
      <c r="E39" s="26">
        <v>35970</v>
      </c>
      <c r="F39" s="24">
        <v>2063.05935</v>
      </c>
      <c r="G39" s="25">
        <v>0.924458354983829</v>
      </c>
      <c r="H39" s="22"/>
    </row>
    <row r="40" spans="2:8" x14ac:dyDescent="0.2">
      <c r="B40" s="22" t="s">
        <v>122</v>
      </c>
      <c r="C40" s="22" t="s">
        <v>123</v>
      </c>
      <c r="D40" s="22" t="s">
        <v>67</v>
      </c>
      <c r="E40" s="26">
        <v>7684</v>
      </c>
      <c r="F40" s="24">
        <v>2028.576</v>
      </c>
      <c r="G40" s="25">
        <v>0.90900634144125603</v>
      </c>
      <c r="H40" s="22"/>
    </row>
    <row r="41" spans="2:8" x14ac:dyDescent="0.2">
      <c r="B41" s="22" t="s">
        <v>88</v>
      </c>
      <c r="C41" s="22" t="s">
        <v>89</v>
      </c>
      <c r="D41" s="22" t="s">
        <v>30</v>
      </c>
      <c r="E41" s="26">
        <v>786282</v>
      </c>
      <c r="F41" s="24">
        <v>1962.0094746</v>
      </c>
      <c r="G41" s="25">
        <v>0.87917783429323204</v>
      </c>
      <c r="H41" s="22"/>
    </row>
    <row r="42" spans="2:8" x14ac:dyDescent="0.2">
      <c r="B42" s="22" t="s">
        <v>167</v>
      </c>
      <c r="C42" s="22" t="s">
        <v>168</v>
      </c>
      <c r="D42" s="22" t="s">
        <v>85</v>
      </c>
      <c r="E42" s="26">
        <v>263521</v>
      </c>
      <c r="F42" s="24">
        <v>1890.499654</v>
      </c>
      <c r="G42" s="25">
        <v>0.84713423306718605</v>
      </c>
      <c r="H42" s="22"/>
    </row>
    <row r="43" spans="2:8" x14ac:dyDescent="0.2">
      <c r="B43" s="22" t="s">
        <v>175</v>
      </c>
      <c r="C43" s="22" t="s">
        <v>176</v>
      </c>
      <c r="D43" s="22" t="s">
        <v>51</v>
      </c>
      <c r="E43" s="26">
        <v>1383842</v>
      </c>
      <c r="F43" s="24">
        <v>1879.2574360000001</v>
      </c>
      <c r="G43" s="25">
        <v>0.84209658722406</v>
      </c>
      <c r="H43" s="22"/>
    </row>
    <row r="44" spans="2:8" x14ac:dyDescent="0.2">
      <c r="B44" s="22" t="s">
        <v>211</v>
      </c>
      <c r="C44" s="22" t="s">
        <v>212</v>
      </c>
      <c r="D44" s="22" t="s">
        <v>54</v>
      </c>
      <c r="E44" s="26">
        <v>172304</v>
      </c>
      <c r="F44" s="24">
        <v>1777.0573039999999</v>
      </c>
      <c r="G44" s="25">
        <v>0.79630063573684295</v>
      </c>
      <c r="H44" s="22"/>
    </row>
    <row r="45" spans="2:8" x14ac:dyDescent="0.2">
      <c r="B45" s="22" t="s">
        <v>147</v>
      </c>
      <c r="C45" s="22" t="s">
        <v>148</v>
      </c>
      <c r="D45" s="22" t="s">
        <v>59</v>
      </c>
      <c r="E45" s="26">
        <v>10779</v>
      </c>
      <c r="F45" s="24">
        <v>1573.8417899999999</v>
      </c>
      <c r="G45" s="25">
        <v>0.70523962007598295</v>
      </c>
      <c r="H45" s="22"/>
    </row>
    <row r="46" spans="2:8" x14ac:dyDescent="0.2">
      <c r="B46" s="22" t="s">
        <v>144</v>
      </c>
      <c r="C46" s="22" t="s">
        <v>145</v>
      </c>
      <c r="D46" s="22" t="s">
        <v>146</v>
      </c>
      <c r="E46" s="26">
        <v>34604</v>
      </c>
      <c r="F46" s="24">
        <v>1550.0169719999999</v>
      </c>
      <c r="G46" s="25">
        <v>0.69456370226679898</v>
      </c>
      <c r="H46" s="22"/>
    </row>
    <row r="47" spans="2:8" x14ac:dyDescent="0.2">
      <c r="B47" s="22" t="s">
        <v>77</v>
      </c>
      <c r="C47" s="22" t="s">
        <v>78</v>
      </c>
      <c r="D47" s="22" t="s">
        <v>30</v>
      </c>
      <c r="E47" s="26">
        <v>97077</v>
      </c>
      <c r="F47" s="24">
        <v>1472.9493210000001</v>
      </c>
      <c r="G47" s="25">
        <v>0.66002963330463904</v>
      </c>
      <c r="H47" s="22"/>
    </row>
    <row r="48" spans="2:8" x14ac:dyDescent="0.2">
      <c r="B48" s="22" t="s">
        <v>149</v>
      </c>
      <c r="C48" s="22" t="s">
        <v>150</v>
      </c>
      <c r="D48" s="22" t="s">
        <v>138</v>
      </c>
      <c r="E48" s="26">
        <v>54966</v>
      </c>
      <c r="F48" s="24">
        <v>1469.24118</v>
      </c>
      <c r="G48" s="25">
        <v>0.65836801269788903</v>
      </c>
      <c r="H48" s="22"/>
    </row>
    <row r="49" spans="2:8" x14ac:dyDescent="0.2">
      <c r="B49" s="22" t="s">
        <v>271</v>
      </c>
      <c r="C49" s="22" t="s">
        <v>272</v>
      </c>
      <c r="D49" s="22" t="s">
        <v>108</v>
      </c>
      <c r="E49" s="26">
        <v>309363</v>
      </c>
      <c r="F49" s="24">
        <v>1382.8526099999999</v>
      </c>
      <c r="G49" s="25">
        <v>0.61965723333441403</v>
      </c>
      <c r="H49" s="22"/>
    </row>
    <row r="50" spans="2:8" x14ac:dyDescent="0.2">
      <c r="B50" s="22" t="s">
        <v>215</v>
      </c>
      <c r="C50" s="22" t="s">
        <v>216</v>
      </c>
      <c r="D50" s="22" t="s">
        <v>19</v>
      </c>
      <c r="E50" s="26">
        <v>546736</v>
      </c>
      <c r="F50" s="24">
        <v>1355.7412592000001</v>
      </c>
      <c r="G50" s="25">
        <v>0.60750861785131705</v>
      </c>
      <c r="H50" s="22"/>
    </row>
    <row r="51" spans="2:8" x14ac:dyDescent="0.2">
      <c r="B51" s="22" t="s">
        <v>173</v>
      </c>
      <c r="C51" s="22" t="s">
        <v>174</v>
      </c>
      <c r="D51" s="22" t="s">
        <v>19</v>
      </c>
      <c r="E51" s="26">
        <v>152229</v>
      </c>
      <c r="F51" s="24">
        <v>1324.7728724999999</v>
      </c>
      <c r="G51" s="25">
        <v>0.59363166185139205</v>
      </c>
      <c r="H51" s="22"/>
    </row>
    <row r="52" spans="2:8" x14ac:dyDescent="0.2">
      <c r="B52" s="22" t="s">
        <v>209</v>
      </c>
      <c r="C52" s="22" t="s">
        <v>210</v>
      </c>
      <c r="D52" s="22" t="s">
        <v>138</v>
      </c>
      <c r="E52" s="26">
        <v>11956</v>
      </c>
      <c r="F52" s="24">
        <v>1204.3876600000001</v>
      </c>
      <c r="G52" s="25">
        <v>0.53968696292058804</v>
      </c>
      <c r="H52" s="22"/>
    </row>
    <row r="53" spans="2:8" x14ac:dyDescent="0.2">
      <c r="B53" s="22" t="s">
        <v>236</v>
      </c>
      <c r="C53" s="22" t="s">
        <v>237</v>
      </c>
      <c r="D53" s="22" t="s">
        <v>82</v>
      </c>
      <c r="E53" s="26">
        <v>116023</v>
      </c>
      <c r="F53" s="24">
        <v>1196.081107</v>
      </c>
      <c r="G53" s="25">
        <v>0.53596479064184799</v>
      </c>
      <c r="H53" s="22"/>
    </row>
    <row r="54" spans="2:8" x14ac:dyDescent="0.2">
      <c r="B54" s="22" t="s">
        <v>93</v>
      </c>
      <c r="C54" s="22" t="s">
        <v>94</v>
      </c>
      <c r="D54" s="22" t="s">
        <v>95</v>
      </c>
      <c r="E54" s="26">
        <v>226734</v>
      </c>
      <c r="F54" s="24">
        <v>1192.62084</v>
      </c>
      <c r="G54" s="25">
        <v>0.53441424254994496</v>
      </c>
      <c r="H54" s="22"/>
    </row>
    <row r="55" spans="2:8" x14ac:dyDescent="0.2">
      <c r="B55" s="22" t="s">
        <v>228</v>
      </c>
      <c r="C55" s="22" t="s">
        <v>229</v>
      </c>
      <c r="D55" s="22" t="s">
        <v>84</v>
      </c>
      <c r="E55" s="26">
        <v>37319</v>
      </c>
      <c r="F55" s="24">
        <v>1138.9012419999999</v>
      </c>
      <c r="G55" s="25">
        <v>0.51034245266301204</v>
      </c>
      <c r="H55" s="22"/>
    </row>
    <row r="56" spans="2:8" x14ac:dyDescent="0.2">
      <c r="B56" s="22" t="s">
        <v>297</v>
      </c>
      <c r="C56" s="22" t="s">
        <v>298</v>
      </c>
      <c r="D56" s="22" t="s">
        <v>166</v>
      </c>
      <c r="E56" s="26">
        <v>128668</v>
      </c>
      <c r="F56" s="24">
        <v>1109.954502</v>
      </c>
      <c r="G56" s="25">
        <v>0.49737139798029301</v>
      </c>
      <c r="H56" s="22"/>
    </row>
    <row r="57" spans="2:8" x14ac:dyDescent="0.2">
      <c r="B57" s="22" t="s">
        <v>96</v>
      </c>
      <c r="C57" s="22" t="s">
        <v>97</v>
      </c>
      <c r="D57" s="22" t="s">
        <v>63</v>
      </c>
      <c r="E57" s="26">
        <v>24374</v>
      </c>
      <c r="F57" s="24">
        <v>1107.1645759999999</v>
      </c>
      <c r="G57" s="25">
        <v>0.49612123016496301</v>
      </c>
      <c r="H57" s="22"/>
    </row>
    <row r="58" spans="2:8" x14ac:dyDescent="0.2">
      <c r="B58" s="22" t="s">
        <v>249</v>
      </c>
      <c r="C58" s="22" t="s">
        <v>250</v>
      </c>
      <c r="D58" s="22" t="s">
        <v>43</v>
      </c>
      <c r="E58" s="26">
        <v>153202</v>
      </c>
      <c r="F58" s="24">
        <v>1099.913759</v>
      </c>
      <c r="G58" s="25">
        <v>0.49287213393508</v>
      </c>
      <c r="H58" s="22"/>
    </row>
    <row r="59" spans="2:8" x14ac:dyDescent="0.2">
      <c r="B59" s="22" t="s">
        <v>190</v>
      </c>
      <c r="C59" s="22" t="s">
        <v>191</v>
      </c>
      <c r="D59" s="22" t="s">
        <v>66</v>
      </c>
      <c r="E59" s="26">
        <v>814102</v>
      </c>
      <c r="F59" s="24">
        <v>1098.3050082</v>
      </c>
      <c r="G59" s="25">
        <v>0.492151251562914</v>
      </c>
      <c r="H59" s="22"/>
    </row>
    <row r="60" spans="2:8" x14ac:dyDescent="0.2">
      <c r="B60" s="22" t="s">
        <v>111</v>
      </c>
      <c r="C60" s="22" t="s">
        <v>112</v>
      </c>
      <c r="D60" s="22" t="s">
        <v>48</v>
      </c>
      <c r="E60" s="26">
        <v>7988</v>
      </c>
      <c r="F60" s="24">
        <v>918.54012</v>
      </c>
      <c r="G60" s="25">
        <v>0.41159847792156301</v>
      </c>
      <c r="H60" s="22"/>
    </row>
    <row r="61" spans="2:8" x14ac:dyDescent="0.2">
      <c r="B61" s="22" t="s">
        <v>61</v>
      </c>
      <c r="C61" s="22" t="s">
        <v>62</v>
      </c>
      <c r="D61" s="22" t="s">
        <v>63</v>
      </c>
      <c r="E61" s="26">
        <v>214329</v>
      </c>
      <c r="F61" s="24">
        <v>882.49965750000001</v>
      </c>
      <c r="G61" s="25">
        <v>0.39544872116560398</v>
      </c>
      <c r="H61" s="22"/>
    </row>
    <row r="62" spans="2:8" x14ac:dyDescent="0.2">
      <c r="B62" s="22" t="s">
        <v>265</v>
      </c>
      <c r="C62" s="22" t="s">
        <v>266</v>
      </c>
      <c r="D62" s="22" t="s">
        <v>115</v>
      </c>
      <c r="E62" s="26">
        <v>71399</v>
      </c>
      <c r="F62" s="24">
        <v>856.93079799999998</v>
      </c>
      <c r="G62" s="25">
        <v>0.38399129712582403</v>
      </c>
      <c r="H62" s="22"/>
    </row>
    <row r="63" spans="2:8" x14ac:dyDescent="0.2">
      <c r="B63" s="22" t="s">
        <v>255</v>
      </c>
      <c r="C63" s="22" t="s">
        <v>256</v>
      </c>
      <c r="D63" s="22" t="s">
        <v>240</v>
      </c>
      <c r="E63" s="26">
        <v>78564</v>
      </c>
      <c r="F63" s="24">
        <v>838.98495600000001</v>
      </c>
      <c r="G63" s="25">
        <v>0.37594975262342301</v>
      </c>
      <c r="H63" s="22"/>
    </row>
    <row r="64" spans="2:8" x14ac:dyDescent="0.2">
      <c r="B64" s="22" t="s">
        <v>224</v>
      </c>
      <c r="C64" s="22" t="s">
        <v>225</v>
      </c>
      <c r="D64" s="22" t="s">
        <v>33</v>
      </c>
      <c r="E64" s="26">
        <v>661865</v>
      </c>
      <c r="F64" s="24">
        <v>772.33026849999999</v>
      </c>
      <c r="G64" s="25">
        <v>0.34608173997598701</v>
      </c>
      <c r="H64" s="22"/>
    </row>
    <row r="65" spans="2:8" x14ac:dyDescent="0.2">
      <c r="B65" s="22" t="s">
        <v>197</v>
      </c>
      <c r="C65" s="22" t="s">
        <v>198</v>
      </c>
      <c r="D65" s="22" t="s">
        <v>138</v>
      </c>
      <c r="E65" s="26">
        <v>78400</v>
      </c>
      <c r="F65" s="24">
        <v>752.2088</v>
      </c>
      <c r="G65" s="25">
        <v>0.337065295699011</v>
      </c>
      <c r="H65" s="22"/>
    </row>
    <row r="66" spans="2:8" x14ac:dyDescent="0.2">
      <c r="B66" s="22" t="s">
        <v>86</v>
      </c>
      <c r="C66" s="22" t="s">
        <v>87</v>
      </c>
      <c r="D66" s="22" t="s">
        <v>43</v>
      </c>
      <c r="E66" s="26">
        <v>209451</v>
      </c>
      <c r="F66" s="24">
        <v>747.32116799999994</v>
      </c>
      <c r="G66" s="25">
        <v>0.33487514434030902</v>
      </c>
      <c r="H66" s="22"/>
    </row>
    <row r="67" spans="2:8" x14ac:dyDescent="0.2">
      <c r="B67" s="22" t="s">
        <v>106</v>
      </c>
      <c r="C67" s="22" t="s">
        <v>107</v>
      </c>
      <c r="D67" s="22" t="s">
        <v>30</v>
      </c>
      <c r="E67" s="26">
        <v>12105</v>
      </c>
      <c r="F67" s="24">
        <v>737.98132499999997</v>
      </c>
      <c r="G67" s="25">
        <v>0.330689954081198</v>
      </c>
      <c r="H67" s="22"/>
    </row>
    <row r="68" spans="2:8" x14ac:dyDescent="0.2">
      <c r="B68" s="22" t="s">
        <v>39</v>
      </c>
      <c r="C68" s="22" t="s">
        <v>40</v>
      </c>
      <c r="D68" s="22" t="s">
        <v>19</v>
      </c>
      <c r="E68" s="26">
        <v>56094</v>
      </c>
      <c r="F68" s="24">
        <v>717.83491800000002</v>
      </c>
      <c r="G68" s="25">
        <v>0.32166233484472101</v>
      </c>
      <c r="H68" s="22"/>
    </row>
    <row r="69" spans="2:8" x14ac:dyDescent="0.2">
      <c r="B69" s="22" t="s">
        <v>71</v>
      </c>
      <c r="C69" s="22" t="s">
        <v>72</v>
      </c>
      <c r="D69" s="22" t="s">
        <v>60</v>
      </c>
      <c r="E69" s="26">
        <v>257003</v>
      </c>
      <c r="F69" s="24">
        <v>693.77959850000002</v>
      </c>
      <c r="G69" s="25">
        <v>0.31088312915023603</v>
      </c>
      <c r="H69" s="22"/>
    </row>
    <row r="70" spans="2:8" x14ac:dyDescent="0.2">
      <c r="B70" s="22" t="s">
        <v>299</v>
      </c>
      <c r="C70" s="22" t="s">
        <v>300</v>
      </c>
      <c r="D70" s="22" t="s">
        <v>60</v>
      </c>
      <c r="E70" s="26">
        <v>439624</v>
      </c>
      <c r="F70" s="24">
        <v>693.72667200000001</v>
      </c>
      <c r="G70" s="25">
        <v>0.31085941274812401</v>
      </c>
      <c r="H70" s="22"/>
    </row>
    <row r="71" spans="2:8" x14ac:dyDescent="0.2">
      <c r="B71" s="22" t="s">
        <v>141</v>
      </c>
      <c r="C71" s="22" t="s">
        <v>142</v>
      </c>
      <c r="D71" s="22" t="s">
        <v>30</v>
      </c>
      <c r="E71" s="26">
        <v>35160</v>
      </c>
      <c r="F71" s="24">
        <v>671.09892000000002</v>
      </c>
      <c r="G71" s="25">
        <v>0.30071990106083202</v>
      </c>
      <c r="H71" s="22"/>
    </row>
    <row r="72" spans="2:8" x14ac:dyDescent="0.2">
      <c r="B72" s="22" t="s">
        <v>301</v>
      </c>
      <c r="C72" s="22" t="s">
        <v>302</v>
      </c>
      <c r="D72" s="22" t="s">
        <v>84</v>
      </c>
      <c r="E72" s="26">
        <v>129603</v>
      </c>
      <c r="F72" s="24">
        <v>642.44207100000006</v>
      </c>
      <c r="G72" s="25">
        <v>0.28787874674039998</v>
      </c>
      <c r="H72" s="22"/>
    </row>
    <row r="73" spans="2:8" x14ac:dyDescent="0.2">
      <c r="B73" s="22" t="s">
        <v>303</v>
      </c>
      <c r="C73" s="22" t="s">
        <v>304</v>
      </c>
      <c r="D73" s="22" t="s">
        <v>192</v>
      </c>
      <c r="E73" s="26">
        <v>149606</v>
      </c>
      <c r="F73" s="24">
        <v>611.14050999999995</v>
      </c>
      <c r="G73" s="25">
        <v>0.27385249510082099</v>
      </c>
      <c r="H73" s="22"/>
    </row>
    <row r="74" spans="2:8" x14ac:dyDescent="0.2">
      <c r="B74" s="22" t="s">
        <v>136</v>
      </c>
      <c r="C74" s="22" t="s">
        <v>137</v>
      </c>
      <c r="D74" s="22" t="s">
        <v>138</v>
      </c>
      <c r="E74" s="26">
        <v>20965</v>
      </c>
      <c r="F74" s="24">
        <v>608.48815999999999</v>
      </c>
      <c r="G74" s="25">
        <v>0.27266397518846802</v>
      </c>
      <c r="H74" s="22"/>
    </row>
    <row r="75" spans="2:8" x14ac:dyDescent="0.2">
      <c r="B75" s="22" t="s">
        <v>305</v>
      </c>
      <c r="C75" s="22" t="s">
        <v>306</v>
      </c>
      <c r="D75" s="22" t="s">
        <v>132</v>
      </c>
      <c r="E75" s="26">
        <v>54153</v>
      </c>
      <c r="F75" s="24">
        <v>608.08403699999997</v>
      </c>
      <c r="G75" s="25">
        <v>0.27248288738612703</v>
      </c>
      <c r="H75" s="22"/>
    </row>
    <row r="76" spans="2:8" x14ac:dyDescent="0.2">
      <c r="B76" s="22" t="s">
        <v>307</v>
      </c>
      <c r="C76" s="22" t="s">
        <v>308</v>
      </c>
      <c r="D76" s="22" t="s">
        <v>108</v>
      </c>
      <c r="E76" s="26">
        <v>26416</v>
      </c>
      <c r="F76" s="24">
        <v>598.40164800000002</v>
      </c>
      <c r="G76" s="25">
        <v>0.26814420202195899</v>
      </c>
      <c r="H76" s="22"/>
    </row>
    <row r="77" spans="2:8" x14ac:dyDescent="0.2">
      <c r="B77" s="22" t="s">
        <v>195</v>
      </c>
      <c r="C77" s="22" t="s">
        <v>196</v>
      </c>
      <c r="D77" s="22" t="s">
        <v>108</v>
      </c>
      <c r="E77" s="26">
        <v>15337</v>
      </c>
      <c r="F77" s="24">
        <v>598.05097799999999</v>
      </c>
      <c r="G77" s="25">
        <v>0.26798706654675303</v>
      </c>
      <c r="H77" s="22"/>
    </row>
    <row r="78" spans="2:8" x14ac:dyDescent="0.2">
      <c r="B78" s="22" t="s">
        <v>219</v>
      </c>
      <c r="C78" s="22" t="s">
        <v>220</v>
      </c>
      <c r="D78" s="22" t="s">
        <v>19</v>
      </c>
      <c r="E78" s="26">
        <v>212177</v>
      </c>
      <c r="F78" s="24">
        <v>575.16941159999999</v>
      </c>
      <c r="G78" s="25">
        <v>0.25773382044716903</v>
      </c>
      <c r="H78" s="22"/>
    </row>
    <row r="79" spans="2:8" x14ac:dyDescent="0.2">
      <c r="B79" s="22" t="s">
        <v>128</v>
      </c>
      <c r="C79" s="22" t="s">
        <v>129</v>
      </c>
      <c r="D79" s="22" t="s">
        <v>116</v>
      </c>
      <c r="E79" s="26">
        <v>49721</v>
      </c>
      <c r="F79" s="24">
        <v>570.896522</v>
      </c>
      <c r="G79" s="25">
        <v>0.25581913559302599</v>
      </c>
      <c r="H79" s="22"/>
    </row>
    <row r="80" spans="2:8" x14ac:dyDescent="0.2">
      <c r="B80" s="22" t="s">
        <v>283</v>
      </c>
      <c r="C80" s="22" t="s">
        <v>284</v>
      </c>
      <c r="D80" s="22" t="s">
        <v>116</v>
      </c>
      <c r="E80" s="26">
        <v>49814</v>
      </c>
      <c r="F80" s="24">
        <v>554.38000599999998</v>
      </c>
      <c r="G80" s="25">
        <v>0.248418073082912</v>
      </c>
      <c r="H80" s="22"/>
    </row>
    <row r="81" spans="2:8" x14ac:dyDescent="0.2">
      <c r="B81" s="22" t="s">
        <v>309</v>
      </c>
      <c r="C81" s="22" t="s">
        <v>310</v>
      </c>
      <c r="D81" s="22" t="s">
        <v>51</v>
      </c>
      <c r="E81" s="26">
        <v>69386</v>
      </c>
      <c r="F81" s="24">
        <v>543.04952900000001</v>
      </c>
      <c r="G81" s="25">
        <v>0.243340878319416</v>
      </c>
      <c r="H81" s="22"/>
    </row>
    <row r="82" spans="2:8" x14ac:dyDescent="0.2">
      <c r="B82" s="22" t="s">
        <v>273</v>
      </c>
      <c r="C82" s="22" t="s">
        <v>274</v>
      </c>
      <c r="D82" s="22" t="s">
        <v>138</v>
      </c>
      <c r="E82" s="26">
        <v>72759</v>
      </c>
      <c r="F82" s="24">
        <v>535.03330649999998</v>
      </c>
      <c r="G82" s="25">
        <v>0.23974880334322399</v>
      </c>
      <c r="H82" s="22"/>
    </row>
    <row r="83" spans="2:8" x14ac:dyDescent="0.2">
      <c r="B83" s="22" t="s">
        <v>245</v>
      </c>
      <c r="C83" s="22" t="s">
        <v>246</v>
      </c>
      <c r="D83" s="22" t="s">
        <v>54</v>
      </c>
      <c r="E83" s="26">
        <v>48413</v>
      </c>
      <c r="F83" s="24">
        <v>527.55646100000001</v>
      </c>
      <c r="G83" s="25">
        <v>0.23639842358250601</v>
      </c>
      <c r="H83" s="22"/>
    </row>
    <row r="84" spans="2:8" x14ac:dyDescent="0.2">
      <c r="B84" s="22" t="s">
        <v>177</v>
      </c>
      <c r="C84" s="22" t="s">
        <v>178</v>
      </c>
      <c r="D84" s="22" t="s">
        <v>166</v>
      </c>
      <c r="E84" s="26">
        <v>21143</v>
      </c>
      <c r="F84" s="24">
        <v>503.647403</v>
      </c>
      <c r="G84" s="25">
        <v>0.22568475776969699</v>
      </c>
      <c r="H84" s="22"/>
    </row>
    <row r="85" spans="2:8" x14ac:dyDescent="0.2">
      <c r="B85" s="22" t="s">
        <v>275</v>
      </c>
      <c r="C85" s="22" t="s">
        <v>276</v>
      </c>
      <c r="D85" s="22" t="s">
        <v>138</v>
      </c>
      <c r="E85" s="26">
        <v>43272</v>
      </c>
      <c r="F85" s="24">
        <v>493.776792</v>
      </c>
      <c r="G85" s="25">
        <v>0.22126172999410401</v>
      </c>
      <c r="H85" s="22"/>
    </row>
    <row r="86" spans="2:8" x14ac:dyDescent="0.2">
      <c r="B86" s="22" t="s">
        <v>207</v>
      </c>
      <c r="C86" s="22" t="s">
        <v>208</v>
      </c>
      <c r="D86" s="22" t="s">
        <v>19</v>
      </c>
      <c r="E86" s="26">
        <v>1592123</v>
      </c>
      <c r="F86" s="24">
        <v>490.05545940000002</v>
      </c>
      <c r="G86" s="25">
        <v>0.219594198222057</v>
      </c>
      <c r="H86" s="22"/>
    </row>
    <row r="87" spans="2:8" x14ac:dyDescent="0.2">
      <c r="B87" s="22" t="s">
        <v>79</v>
      </c>
      <c r="C87" s="22" t="s">
        <v>80</v>
      </c>
      <c r="D87" s="22" t="s">
        <v>81</v>
      </c>
      <c r="E87" s="26">
        <v>199129</v>
      </c>
      <c r="F87" s="24">
        <v>484.38129249999997</v>
      </c>
      <c r="G87" s="25">
        <v>0.21705160001794899</v>
      </c>
      <c r="H87" s="22"/>
    </row>
    <row r="88" spans="2:8" x14ac:dyDescent="0.2">
      <c r="B88" s="22" t="s">
        <v>311</v>
      </c>
      <c r="C88" s="22" t="s">
        <v>312</v>
      </c>
      <c r="D88" s="22" t="s">
        <v>104</v>
      </c>
      <c r="E88" s="26">
        <v>319817</v>
      </c>
      <c r="F88" s="24">
        <v>474.12870249999997</v>
      </c>
      <c r="G88" s="25">
        <v>0.21245740718209</v>
      </c>
      <c r="H88" s="22"/>
    </row>
    <row r="89" spans="2:8" x14ac:dyDescent="0.2">
      <c r="B89" s="22" t="s">
        <v>247</v>
      </c>
      <c r="C89" s="22" t="s">
        <v>248</v>
      </c>
      <c r="D89" s="22" t="s">
        <v>83</v>
      </c>
      <c r="E89" s="26">
        <v>130011</v>
      </c>
      <c r="F89" s="24">
        <v>465.63439649999998</v>
      </c>
      <c r="G89" s="25">
        <v>0.208651102651156</v>
      </c>
      <c r="H89" s="22"/>
    </row>
    <row r="90" spans="2:8" x14ac:dyDescent="0.2">
      <c r="B90" s="22" t="s">
        <v>126</v>
      </c>
      <c r="C90" s="22" t="s">
        <v>127</v>
      </c>
      <c r="D90" s="22" t="s">
        <v>119</v>
      </c>
      <c r="E90" s="26">
        <v>3437</v>
      </c>
      <c r="F90" s="24">
        <v>456.15863999999999</v>
      </c>
      <c r="G90" s="25">
        <v>0.20440500945649501</v>
      </c>
      <c r="H90" s="22"/>
    </row>
    <row r="91" spans="2:8" x14ac:dyDescent="0.2">
      <c r="B91" s="22" t="s">
        <v>234</v>
      </c>
      <c r="C91" s="22" t="s">
        <v>235</v>
      </c>
      <c r="D91" s="22" t="s">
        <v>60</v>
      </c>
      <c r="E91" s="26">
        <v>265013</v>
      </c>
      <c r="F91" s="24">
        <v>451.7941624</v>
      </c>
      <c r="G91" s="25">
        <v>0.202449283954725</v>
      </c>
      <c r="H91" s="22"/>
    </row>
    <row r="92" spans="2:8" x14ac:dyDescent="0.2">
      <c r="B92" s="22" t="s">
        <v>52</v>
      </c>
      <c r="C92" s="22" t="s">
        <v>53</v>
      </c>
      <c r="D92" s="22" t="s">
        <v>43</v>
      </c>
      <c r="E92" s="26">
        <v>2781</v>
      </c>
      <c r="F92" s="24">
        <v>442.17899999999997</v>
      </c>
      <c r="G92" s="25">
        <v>0.19814072287760101</v>
      </c>
      <c r="H92" s="22"/>
    </row>
    <row r="93" spans="2:8" x14ac:dyDescent="0.2">
      <c r="B93" s="22" t="s">
        <v>164</v>
      </c>
      <c r="C93" s="22" t="s">
        <v>165</v>
      </c>
      <c r="D93" s="22" t="s">
        <v>166</v>
      </c>
      <c r="E93" s="26">
        <v>56577</v>
      </c>
      <c r="F93" s="24">
        <v>429.22141049999999</v>
      </c>
      <c r="G93" s="25">
        <v>0.192334417851173</v>
      </c>
      <c r="H93" s="22"/>
    </row>
    <row r="94" spans="2:8" x14ac:dyDescent="0.2">
      <c r="B94" s="22" t="s">
        <v>193</v>
      </c>
      <c r="C94" s="22" t="s">
        <v>194</v>
      </c>
      <c r="D94" s="22" t="s">
        <v>54</v>
      </c>
      <c r="E94" s="26">
        <v>1393</v>
      </c>
      <c r="F94" s="24">
        <v>418.94475</v>
      </c>
      <c r="G94" s="25">
        <v>0.187729439007226</v>
      </c>
      <c r="H94" s="22"/>
    </row>
    <row r="95" spans="2:8" x14ac:dyDescent="0.2">
      <c r="B95" s="22" t="s">
        <v>313</v>
      </c>
      <c r="C95" s="22" t="s">
        <v>314</v>
      </c>
      <c r="D95" s="22" t="s">
        <v>108</v>
      </c>
      <c r="E95" s="26">
        <v>15790</v>
      </c>
      <c r="F95" s="24">
        <v>412.38742999999999</v>
      </c>
      <c r="G95" s="25">
        <v>0.184791099273905</v>
      </c>
      <c r="H95" s="22"/>
    </row>
    <row r="96" spans="2:8" x14ac:dyDescent="0.2">
      <c r="B96" s="22" t="s">
        <v>130</v>
      </c>
      <c r="C96" s="22" t="s">
        <v>131</v>
      </c>
      <c r="D96" s="22" t="s">
        <v>108</v>
      </c>
      <c r="E96" s="26">
        <v>1131</v>
      </c>
      <c r="F96" s="24">
        <v>408.40410000000003</v>
      </c>
      <c r="G96" s="25">
        <v>0.18300616628147501</v>
      </c>
      <c r="H96" s="22"/>
    </row>
    <row r="97" spans="2:8" x14ac:dyDescent="0.2">
      <c r="B97" s="22" t="s">
        <v>269</v>
      </c>
      <c r="C97" s="22" t="s">
        <v>270</v>
      </c>
      <c r="D97" s="22" t="s">
        <v>48</v>
      </c>
      <c r="E97" s="26">
        <v>276286</v>
      </c>
      <c r="F97" s="24">
        <v>401.58170100000001</v>
      </c>
      <c r="G97" s="25">
        <v>0.17994904446063001</v>
      </c>
      <c r="H97" s="22"/>
    </row>
    <row r="98" spans="2:8" x14ac:dyDescent="0.2">
      <c r="B98" s="22" t="s">
        <v>232</v>
      </c>
      <c r="C98" s="22" t="s">
        <v>233</v>
      </c>
      <c r="D98" s="22" t="s">
        <v>138</v>
      </c>
      <c r="E98" s="26">
        <v>13581</v>
      </c>
      <c r="F98" s="24">
        <v>392.34150899999997</v>
      </c>
      <c r="G98" s="25">
        <v>0.17580850788515301</v>
      </c>
      <c r="H98" s="22"/>
    </row>
    <row r="99" spans="2:8" x14ac:dyDescent="0.2">
      <c r="B99" s="22" t="s">
        <v>279</v>
      </c>
      <c r="C99" s="22" t="s">
        <v>280</v>
      </c>
      <c r="D99" s="22" t="s">
        <v>117</v>
      </c>
      <c r="E99" s="26">
        <v>75510</v>
      </c>
      <c r="F99" s="24">
        <v>380.91019499999999</v>
      </c>
      <c r="G99" s="25">
        <v>0.170686127990583</v>
      </c>
      <c r="H99" s="22"/>
    </row>
    <row r="100" spans="2:8" x14ac:dyDescent="0.2">
      <c r="B100" s="22" t="s">
        <v>295</v>
      </c>
      <c r="C100" s="22" t="s">
        <v>296</v>
      </c>
      <c r="D100" s="22" t="s">
        <v>166</v>
      </c>
      <c r="E100" s="26">
        <v>269184</v>
      </c>
      <c r="F100" s="24">
        <v>380.49158399999999</v>
      </c>
      <c r="G100" s="25">
        <v>0.170498548105187</v>
      </c>
      <c r="H100" s="22"/>
    </row>
    <row r="101" spans="2:8" x14ac:dyDescent="0.2">
      <c r="B101" s="22" t="s">
        <v>241</v>
      </c>
      <c r="C101" s="22" t="s">
        <v>242</v>
      </c>
      <c r="D101" s="22" t="s">
        <v>59</v>
      </c>
      <c r="E101" s="26">
        <v>33831</v>
      </c>
      <c r="F101" s="24">
        <v>361.04443199999997</v>
      </c>
      <c r="G101" s="25">
        <v>0.16178426552914801</v>
      </c>
      <c r="H101" s="22"/>
    </row>
    <row r="102" spans="2:8" x14ac:dyDescent="0.2">
      <c r="B102" s="22" t="s">
        <v>291</v>
      </c>
      <c r="C102" s="22" t="s">
        <v>292</v>
      </c>
      <c r="D102" s="22" t="s">
        <v>82</v>
      </c>
      <c r="E102" s="26">
        <v>58290</v>
      </c>
      <c r="F102" s="24">
        <v>346.56319500000001</v>
      </c>
      <c r="G102" s="25">
        <v>0.15529521297952001</v>
      </c>
      <c r="H102" s="22"/>
    </row>
    <row r="103" spans="2:8" x14ac:dyDescent="0.2">
      <c r="B103" s="22" t="s">
        <v>263</v>
      </c>
      <c r="C103" s="22" t="s">
        <v>264</v>
      </c>
      <c r="D103" s="22" t="s">
        <v>51</v>
      </c>
      <c r="E103" s="26">
        <v>14703</v>
      </c>
      <c r="F103" s="24">
        <v>339.63929999999999</v>
      </c>
      <c r="G103" s="25">
        <v>0.15219261072923501</v>
      </c>
      <c r="H103" s="22"/>
    </row>
    <row r="104" spans="2:8" x14ac:dyDescent="0.2">
      <c r="B104" s="22" t="s">
        <v>253</v>
      </c>
      <c r="C104" s="22" t="s">
        <v>254</v>
      </c>
      <c r="D104" s="22" t="s">
        <v>54</v>
      </c>
      <c r="E104" s="26">
        <v>38558</v>
      </c>
      <c r="F104" s="24">
        <v>338.25005499999997</v>
      </c>
      <c r="G104" s="25">
        <v>0.151570089061417</v>
      </c>
      <c r="H104" s="22"/>
    </row>
    <row r="105" spans="2:8" x14ac:dyDescent="0.2">
      <c r="B105" s="22" t="s">
        <v>257</v>
      </c>
      <c r="C105" s="22" t="s">
        <v>258</v>
      </c>
      <c r="D105" s="22" t="s">
        <v>54</v>
      </c>
      <c r="E105" s="26">
        <v>6692</v>
      </c>
      <c r="F105" s="24">
        <v>332.92700000000002</v>
      </c>
      <c r="G105" s="25">
        <v>0.149184824348219</v>
      </c>
      <c r="H105" s="22"/>
    </row>
    <row r="106" spans="2:8" x14ac:dyDescent="0.2">
      <c r="B106" s="22" t="s">
        <v>153</v>
      </c>
      <c r="C106" s="22" t="s">
        <v>154</v>
      </c>
      <c r="D106" s="22" t="s">
        <v>143</v>
      </c>
      <c r="E106" s="26">
        <v>24811</v>
      </c>
      <c r="F106" s="24">
        <v>327.654066</v>
      </c>
      <c r="G106" s="25">
        <v>0.14682201889059701</v>
      </c>
      <c r="H106" s="22"/>
    </row>
    <row r="107" spans="2:8" x14ac:dyDescent="0.2">
      <c r="B107" s="22" t="s">
        <v>188</v>
      </c>
      <c r="C107" s="22" t="s">
        <v>189</v>
      </c>
      <c r="D107" s="22" t="s">
        <v>115</v>
      </c>
      <c r="E107" s="26">
        <v>113025</v>
      </c>
      <c r="F107" s="24">
        <v>307.25846250000001</v>
      </c>
      <c r="G107" s="25">
        <v>0.13768273452608601</v>
      </c>
      <c r="H107" s="22"/>
    </row>
    <row r="108" spans="2:8" x14ac:dyDescent="0.2">
      <c r="B108" s="22" t="s">
        <v>315</v>
      </c>
      <c r="C108" s="22" t="s">
        <v>316</v>
      </c>
      <c r="D108" s="22" t="s">
        <v>51</v>
      </c>
      <c r="E108" s="26">
        <v>9927</v>
      </c>
      <c r="F108" s="24">
        <v>306.51597900000002</v>
      </c>
      <c r="G108" s="25">
        <v>0.137350027144201</v>
      </c>
      <c r="H108" s="22"/>
    </row>
    <row r="109" spans="2:8" x14ac:dyDescent="0.2">
      <c r="B109" s="22" t="s">
        <v>205</v>
      </c>
      <c r="C109" s="22" t="s">
        <v>206</v>
      </c>
      <c r="D109" s="22" t="s">
        <v>84</v>
      </c>
      <c r="E109" s="26">
        <v>24521</v>
      </c>
      <c r="F109" s="24">
        <v>305.53165999999999</v>
      </c>
      <c r="G109" s="25">
        <v>0.136908953103593</v>
      </c>
      <c r="H109" s="22"/>
    </row>
    <row r="110" spans="2:8" x14ac:dyDescent="0.2">
      <c r="B110" s="22" t="s">
        <v>222</v>
      </c>
      <c r="C110" s="22" t="s">
        <v>223</v>
      </c>
      <c r="D110" s="22" t="s">
        <v>33</v>
      </c>
      <c r="E110" s="26">
        <v>24338</v>
      </c>
      <c r="F110" s="24">
        <v>291.98298599999998</v>
      </c>
      <c r="G110" s="25">
        <v>0.13083778269433999</v>
      </c>
      <c r="H110" s="22"/>
    </row>
    <row r="111" spans="2:8" x14ac:dyDescent="0.2">
      <c r="B111" s="22" t="s">
        <v>317</v>
      </c>
      <c r="C111" s="22" t="s">
        <v>318</v>
      </c>
      <c r="D111" s="22" t="s">
        <v>33</v>
      </c>
      <c r="E111" s="26">
        <v>791867</v>
      </c>
      <c r="F111" s="24">
        <v>287.60609440000002</v>
      </c>
      <c r="G111" s="25">
        <v>0.12887649447038299</v>
      </c>
      <c r="H111" s="22"/>
    </row>
    <row r="112" spans="2:8" x14ac:dyDescent="0.2">
      <c r="B112" s="22" t="s">
        <v>158</v>
      </c>
      <c r="C112" s="22" t="s">
        <v>159</v>
      </c>
      <c r="D112" s="22" t="s">
        <v>19</v>
      </c>
      <c r="E112" s="26">
        <v>1216858</v>
      </c>
      <c r="F112" s="24">
        <v>279.02553940000001</v>
      </c>
      <c r="G112" s="25">
        <v>0.12503154170150199</v>
      </c>
      <c r="H112" s="22"/>
    </row>
    <row r="113" spans="2:8" x14ac:dyDescent="0.2">
      <c r="B113" s="22" t="s">
        <v>243</v>
      </c>
      <c r="C113" s="22" t="s">
        <v>244</v>
      </c>
      <c r="D113" s="22" t="s">
        <v>54</v>
      </c>
      <c r="E113" s="26">
        <v>29664</v>
      </c>
      <c r="F113" s="24">
        <v>262.34841599999999</v>
      </c>
      <c r="G113" s="25">
        <v>0.11755851090177</v>
      </c>
      <c r="H113" s="22"/>
    </row>
    <row r="114" spans="2:8" x14ac:dyDescent="0.2">
      <c r="B114" s="22" t="s">
        <v>201</v>
      </c>
      <c r="C114" s="22" t="s">
        <v>202</v>
      </c>
      <c r="D114" s="22" t="s">
        <v>157</v>
      </c>
      <c r="E114" s="26">
        <v>6579</v>
      </c>
      <c r="F114" s="24">
        <v>251.14674600000001</v>
      </c>
      <c r="G114" s="25">
        <v>0.112539034646144</v>
      </c>
      <c r="H114" s="22"/>
    </row>
    <row r="115" spans="2:8" x14ac:dyDescent="0.2">
      <c r="B115" s="22" t="s">
        <v>261</v>
      </c>
      <c r="C115" s="22" t="s">
        <v>262</v>
      </c>
      <c r="D115" s="22" t="s">
        <v>118</v>
      </c>
      <c r="E115" s="26">
        <v>2528</v>
      </c>
      <c r="F115" s="24">
        <v>219.54416000000001</v>
      </c>
      <c r="G115" s="25">
        <v>9.8377893490997501E-2</v>
      </c>
      <c r="H115" s="22"/>
    </row>
    <row r="116" spans="2:8" x14ac:dyDescent="0.2">
      <c r="B116" s="22" t="s">
        <v>319</v>
      </c>
      <c r="C116" s="22" t="s">
        <v>320</v>
      </c>
      <c r="D116" s="22" t="s">
        <v>54</v>
      </c>
      <c r="E116" s="26">
        <v>67881</v>
      </c>
      <c r="F116" s="24">
        <v>211.58507700000001</v>
      </c>
      <c r="G116" s="25">
        <v>9.4811422765199105E-2</v>
      </c>
      <c r="H116" s="22"/>
    </row>
    <row r="117" spans="2:8" x14ac:dyDescent="0.2">
      <c r="B117" s="22" t="s">
        <v>293</v>
      </c>
      <c r="C117" s="22" t="s">
        <v>294</v>
      </c>
      <c r="D117" s="22" t="s">
        <v>146</v>
      </c>
      <c r="E117" s="26">
        <v>35615</v>
      </c>
      <c r="F117" s="24">
        <v>209.807965</v>
      </c>
      <c r="G117" s="25">
        <v>9.4015097620145899E-2</v>
      </c>
      <c r="H117" s="22"/>
    </row>
    <row r="118" spans="2:8" x14ac:dyDescent="0.2">
      <c r="B118" s="22" t="s">
        <v>344</v>
      </c>
      <c r="C118" s="22" t="s">
        <v>321</v>
      </c>
      <c r="D118" s="22" t="s">
        <v>70</v>
      </c>
      <c r="E118" s="26">
        <v>884320</v>
      </c>
      <c r="F118" s="24">
        <v>205.78126399999999</v>
      </c>
      <c r="G118" s="25">
        <v>9.2210730051916795E-2</v>
      </c>
      <c r="H118" s="22"/>
    </row>
    <row r="119" spans="2:8" x14ac:dyDescent="0.2">
      <c r="B119" s="22" t="s">
        <v>199</v>
      </c>
      <c r="C119" s="22" t="s">
        <v>200</v>
      </c>
      <c r="D119" s="22" t="s">
        <v>115</v>
      </c>
      <c r="E119" s="26">
        <v>102990</v>
      </c>
      <c r="F119" s="24">
        <v>205.34146200000001</v>
      </c>
      <c r="G119" s="25">
        <v>9.2013654464421696E-2</v>
      </c>
      <c r="H119" s="22"/>
    </row>
    <row r="120" spans="2:8" x14ac:dyDescent="0.2">
      <c r="B120" s="22" t="s">
        <v>251</v>
      </c>
      <c r="C120" s="22" t="s">
        <v>252</v>
      </c>
      <c r="D120" s="22" t="s">
        <v>108</v>
      </c>
      <c r="E120" s="26">
        <v>5099</v>
      </c>
      <c r="F120" s="24">
        <v>196.15853000000001</v>
      </c>
      <c r="G120" s="25">
        <v>8.7898776135473797E-2</v>
      </c>
      <c r="H120" s="22"/>
    </row>
    <row r="121" spans="2:8" x14ac:dyDescent="0.2">
      <c r="B121" s="22" t="s">
        <v>238</v>
      </c>
      <c r="C121" s="22" t="s">
        <v>239</v>
      </c>
      <c r="D121" s="22" t="s">
        <v>221</v>
      </c>
      <c r="E121" s="26">
        <v>4297</v>
      </c>
      <c r="F121" s="24">
        <v>195.54357899999999</v>
      </c>
      <c r="G121" s="25">
        <v>8.7623216157106901E-2</v>
      </c>
      <c r="H121" s="22"/>
    </row>
    <row r="122" spans="2:8" x14ac:dyDescent="0.2">
      <c r="B122" s="22" t="s">
        <v>203</v>
      </c>
      <c r="C122" s="22" t="s">
        <v>204</v>
      </c>
      <c r="D122" s="22" t="s">
        <v>54</v>
      </c>
      <c r="E122" s="26">
        <v>7423</v>
      </c>
      <c r="F122" s="24">
        <v>190.08818400000001</v>
      </c>
      <c r="G122" s="25">
        <v>8.5178649796237502E-2</v>
      </c>
      <c r="H122" s="22"/>
    </row>
    <row r="123" spans="2:8" x14ac:dyDescent="0.2">
      <c r="B123" s="22" t="s">
        <v>267</v>
      </c>
      <c r="C123" s="22" t="s">
        <v>268</v>
      </c>
      <c r="D123" s="22" t="s">
        <v>132</v>
      </c>
      <c r="E123" s="26">
        <v>22831</v>
      </c>
      <c r="F123" s="24">
        <v>187.2712775</v>
      </c>
      <c r="G123" s="25">
        <v>8.3916391999760004E-2</v>
      </c>
      <c r="H123" s="22"/>
    </row>
    <row r="124" spans="2:8" x14ac:dyDescent="0.2">
      <c r="B124" s="22" t="s">
        <v>287</v>
      </c>
      <c r="C124" s="22" t="s">
        <v>288</v>
      </c>
      <c r="D124" s="22" t="s">
        <v>67</v>
      </c>
      <c r="E124" s="26">
        <v>51988</v>
      </c>
      <c r="F124" s="24">
        <v>185.311226</v>
      </c>
      <c r="G124" s="25">
        <v>8.3038091535270905E-2</v>
      </c>
      <c r="H124" s="22"/>
    </row>
    <row r="125" spans="2:8" x14ac:dyDescent="0.2">
      <c r="B125" s="22" t="s">
        <v>46</v>
      </c>
      <c r="C125" s="22" t="s">
        <v>47</v>
      </c>
      <c r="D125" s="22" t="s">
        <v>19</v>
      </c>
      <c r="E125" s="26">
        <v>7450</v>
      </c>
      <c r="F125" s="24">
        <v>158.26779999999999</v>
      </c>
      <c r="G125" s="25">
        <v>7.0919913203131901E-2</v>
      </c>
      <c r="H125" s="22"/>
    </row>
    <row r="126" spans="2:8" x14ac:dyDescent="0.2">
      <c r="B126" s="22" t="s">
        <v>322</v>
      </c>
      <c r="C126" s="22" t="s">
        <v>323</v>
      </c>
      <c r="D126" s="22" t="s">
        <v>82</v>
      </c>
      <c r="E126" s="26">
        <v>11640</v>
      </c>
      <c r="F126" s="24">
        <v>148.96871999999999</v>
      </c>
      <c r="G126" s="25">
        <v>6.6752988873173505E-2</v>
      </c>
      <c r="H126" s="22"/>
    </row>
    <row r="127" spans="2:8" x14ac:dyDescent="0.2">
      <c r="B127" s="22" t="s">
        <v>324</v>
      </c>
      <c r="C127" s="22" t="s">
        <v>325</v>
      </c>
      <c r="D127" s="22" t="s">
        <v>70</v>
      </c>
      <c r="E127" s="26">
        <v>136204</v>
      </c>
      <c r="F127" s="24">
        <v>148.46235999999999</v>
      </c>
      <c r="G127" s="25">
        <v>6.6526088598768102E-2</v>
      </c>
      <c r="H127" s="22"/>
    </row>
    <row r="128" spans="2:8" x14ac:dyDescent="0.2">
      <c r="B128" s="22" t="s">
        <v>49</v>
      </c>
      <c r="C128" s="22" t="s">
        <v>50</v>
      </c>
      <c r="D128" s="22" t="s">
        <v>51</v>
      </c>
      <c r="E128" s="26">
        <v>42791</v>
      </c>
      <c r="F128" s="24">
        <v>128.41579100000001</v>
      </c>
      <c r="G128" s="25">
        <v>5.7543206840756797E-2</v>
      </c>
      <c r="H128" s="22"/>
    </row>
    <row r="129" spans="2:9" x14ac:dyDescent="0.2">
      <c r="B129" s="22" t="s">
        <v>326</v>
      </c>
      <c r="C129" s="22" t="s">
        <v>327</v>
      </c>
      <c r="D129" s="22" t="s">
        <v>70</v>
      </c>
      <c r="E129" s="26">
        <v>884320</v>
      </c>
      <c r="F129" s="24">
        <v>114.607872</v>
      </c>
      <c r="G129" s="25">
        <v>5.1355868563508503E-2</v>
      </c>
      <c r="H129" s="22"/>
    </row>
    <row r="130" spans="2:9" x14ac:dyDescent="0.2">
      <c r="B130" s="22" t="s">
        <v>124</v>
      </c>
      <c r="C130" s="22" t="s">
        <v>125</v>
      </c>
      <c r="D130" s="22" t="s">
        <v>60</v>
      </c>
      <c r="E130" s="26">
        <v>11192</v>
      </c>
      <c r="F130" s="24">
        <v>111.310036</v>
      </c>
      <c r="G130" s="25">
        <v>4.9878105917675497E-2</v>
      </c>
      <c r="H130" s="22"/>
    </row>
    <row r="131" spans="2:9" x14ac:dyDescent="0.2">
      <c r="B131" s="22" t="s">
        <v>328</v>
      </c>
      <c r="C131" s="22" t="s">
        <v>329</v>
      </c>
      <c r="D131" s="22" t="s">
        <v>166</v>
      </c>
      <c r="E131" s="26">
        <v>129727</v>
      </c>
      <c r="F131" s="24">
        <v>110.3587589</v>
      </c>
      <c r="G131" s="25">
        <v>4.9451837975844501E-2</v>
      </c>
      <c r="H131" s="22"/>
    </row>
    <row r="132" spans="2:9" x14ac:dyDescent="0.2">
      <c r="B132" s="22" t="s">
        <v>184</v>
      </c>
      <c r="C132" s="22" t="s">
        <v>185</v>
      </c>
      <c r="D132" s="22" t="s">
        <v>108</v>
      </c>
      <c r="E132" s="26">
        <v>7997</v>
      </c>
      <c r="F132" s="24">
        <v>104.504796</v>
      </c>
      <c r="G132" s="25">
        <v>4.6828673056875797E-2</v>
      </c>
      <c r="H132" s="22"/>
    </row>
    <row r="133" spans="2:9" x14ac:dyDescent="0.2">
      <c r="B133" s="22" t="s">
        <v>230</v>
      </c>
      <c r="C133" s="22" t="s">
        <v>231</v>
      </c>
      <c r="D133" s="22" t="s">
        <v>146</v>
      </c>
      <c r="E133" s="26">
        <v>11956</v>
      </c>
      <c r="F133" s="24">
        <v>102.391184</v>
      </c>
      <c r="G133" s="25">
        <v>4.5881562023645399E-2</v>
      </c>
      <c r="H133" s="22"/>
    </row>
    <row r="134" spans="2:9" x14ac:dyDescent="0.2">
      <c r="B134" s="22" t="s">
        <v>330</v>
      </c>
      <c r="C134" s="22" t="s">
        <v>331</v>
      </c>
      <c r="D134" s="22" t="s">
        <v>33</v>
      </c>
      <c r="E134" s="26">
        <v>10082</v>
      </c>
      <c r="F134" s="24">
        <v>100.341105</v>
      </c>
      <c r="G134" s="25">
        <v>4.49629201726841E-2</v>
      </c>
      <c r="H134" s="22"/>
    </row>
    <row r="135" spans="2:9" x14ac:dyDescent="0.2">
      <c r="B135" s="22" t="s">
        <v>113</v>
      </c>
      <c r="C135" s="22" t="s">
        <v>114</v>
      </c>
      <c r="D135" s="22" t="s">
        <v>115</v>
      </c>
      <c r="E135" s="26">
        <v>47180</v>
      </c>
      <c r="F135" s="24">
        <v>83.079262</v>
      </c>
      <c r="G135" s="25">
        <v>3.7227876106322597E-2</v>
      </c>
      <c r="H135" s="22"/>
    </row>
    <row r="136" spans="2:9" x14ac:dyDescent="0.2">
      <c r="B136" s="22" t="s">
        <v>281</v>
      </c>
      <c r="C136" s="22" t="s">
        <v>282</v>
      </c>
      <c r="D136" s="22" t="s">
        <v>22</v>
      </c>
      <c r="E136" s="26">
        <v>8137</v>
      </c>
      <c r="F136" s="24">
        <v>74.547125500000007</v>
      </c>
      <c r="G136" s="25">
        <v>3.34046197015627E-2</v>
      </c>
      <c r="H136" s="22"/>
    </row>
    <row r="137" spans="2:9" x14ac:dyDescent="0.2">
      <c r="B137" s="22" t="s">
        <v>332</v>
      </c>
      <c r="C137" s="22" t="s">
        <v>333</v>
      </c>
      <c r="D137" s="22" t="s">
        <v>22</v>
      </c>
      <c r="E137" s="26">
        <v>6301</v>
      </c>
      <c r="F137" s="24">
        <v>74.465217999999993</v>
      </c>
      <c r="G137" s="25">
        <v>3.3367916892837898E-2</v>
      </c>
      <c r="H137" s="22"/>
    </row>
    <row r="138" spans="2:9" x14ac:dyDescent="0.2">
      <c r="B138" s="22" t="s">
        <v>277</v>
      </c>
      <c r="C138" s="22" t="s">
        <v>278</v>
      </c>
      <c r="D138" s="22" t="s">
        <v>181</v>
      </c>
      <c r="E138" s="26">
        <v>15571</v>
      </c>
      <c r="F138" s="24">
        <v>68.060840999999996</v>
      </c>
      <c r="G138" s="25">
        <v>3.0498111026072E-2</v>
      </c>
      <c r="H138" s="22"/>
    </row>
    <row r="139" spans="2:9" x14ac:dyDescent="0.2">
      <c r="B139" s="22" t="s">
        <v>289</v>
      </c>
      <c r="C139" s="22" t="s">
        <v>290</v>
      </c>
      <c r="D139" s="22" t="s">
        <v>181</v>
      </c>
      <c r="E139" s="26">
        <v>229150</v>
      </c>
      <c r="F139" s="24">
        <v>64.711960000000005</v>
      </c>
      <c r="G139" s="25">
        <v>2.8997475079609002E-2</v>
      </c>
      <c r="H139" s="22"/>
    </row>
    <row r="140" spans="2:9" x14ac:dyDescent="0.2">
      <c r="B140" s="22" t="s">
        <v>285</v>
      </c>
      <c r="C140" s="22" t="s">
        <v>286</v>
      </c>
      <c r="D140" s="22" t="s">
        <v>118</v>
      </c>
      <c r="E140" s="26">
        <v>21181</v>
      </c>
      <c r="F140" s="24">
        <v>61.403719000000002</v>
      </c>
      <c r="G140" s="25">
        <v>2.75150499459113E-2</v>
      </c>
      <c r="H140" s="22"/>
    </row>
    <row r="141" spans="2:9" x14ac:dyDescent="0.2">
      <c r="B141" s="22" t="s">
        <v>226</v>
      </c>
      <c r="C141" s="22" t="s">
        <v>227</v>
      </c>
      <c r="D141" s="22" t="s">
        <v>48</v>
      </c>
      <c r="E141" s="26">
        <v>39229</v>
      </c>
      <c r="F141" s="24">
        <v>60.318510400000001</v>
      </c>
      <c r="G141" s="25">
        <v>2.7028767204132501E-2</v>
      </c>
      <c r="H141" s="22"/>
    </row>
    <row r="142" spans="2:9" x14ac:dyDescent="0.2">
      <c r="B142" s="22" t="s">
        <v>334</v>
      </c>
      <c r="C142" s="22" t="s">
        <v>335</v>
      </c>
      <c r="D142" s="22" t="s">
        <v>108</v>
      </c>
      <c r="E142" s="26">
        <v>49446</v>
      </c>
      <c r="F142" s="24">
        <v>56.650282199999999</v>
      </c>
      <c r="G142" s="25">
        <v>2.5385031551313199E-2</v>
      </c>
      <c r="H142" s="22"/>
    </row>
    <row r="143" spans="2:9" x14ac:dyDescent="0.2">
      <c r="B143" s="22" t="s">
        <v>259</v>
      </c>
      <c r="C143" s="22" t="s">
        <v>260</v>
      </c>
      <c r="D143" s="22" t="s">
        <v>60</v>
      </c>
      <c r="E143" s="26">
        <v>7052</v>
      </c>
      <c r="F143" s="24">
        <v>36.811439999999997</v>
      </c>
      <c r="G143" s="25">
        <v>1.6495232319412401E-2</v>
      </c>
      <c r="H143" s="22"/>
    </row>
    <row r="144" spans="2:9" x14ac:dyDescent="0.2">
      <c r="B144" s="21" t="s">
        <v>8</v>
      </c>
      <c r="C144" s="21"/>
      <c r="D144" s="21"/>
      <c r="E144" s="27"/>
      <c r="F144" s="28">
        <f>SUM(F7:F143)</f>
        <v>216990.10958389996</v>
      </c>
      <c r="G144" s="29">
        <f>SUM(G7:G143)</f>
        <v>97.23342169176712</v>
      </c>
      <c r="H144" s="21"/>
      <c r="I144" s="14"/>
    </row>
    <row r="145" spans="2:9" x14ac:dyDescent="0.2">
      <c r="B145" s="21" t="s">
        <v>90</v>
      </c>
      <c r="C145" s="21"/>
      <c r="D145" s="21"/>
      <c r="E145" s="27"/>
      <c r="F145" s="41" t="s">
        <v>91</v>
      </c>
      <c r="G145" s="42" t="s">
        <v>91</v>
      </c>
      <c r="H145" s="21"/>
      <c r="I145" s="14"/>
    </row>
    <row r="146" spans="2:9" x14ac:dyDescent="0.2">
      <c r="B146" s="21" t="s">
        <v>8</v>
      </c>
      <c r="C146" s="21"/>
      <c r="D146" s="21"/>
      <c r="E146" s="27"/>
      <c r="F146" s="43" t="s">
        <v>91</v>
      </c>
      <c r="G146" s="44" t="s">
        <v>91</v>
      </c>
      <c r="H146" s="21"/>
      <c r="I146" s="14"/>
    </row>
    <row r="147" spans="2:9" x14ac:dyDescent="0.2">
      <c r="B147" s="30" t="s">
        <v>9</v>
      </c>
      <c r="C147" s="30"/>
      <c r="D147" s="30"/>
      <c r="E147" s="31"/>
      <c r="F147" s="32">
        <f>F144</f>
        <v>216990.10958389996</v>
      </c>
      <c r="G147" s="33">
        <f>G144</f>
        <v>97.23342169176712</v>
      </c>
      <c r="H147" s="21"/>
      <c r="I147" s="14"/>
    </row>
    <row r="148" spans="2:9" x14ac:dyDescent="0.2">
      <c r="B148" s="21" t="s">
        <v>10</v>
      </c>
      <c r="C148" s="21"/>
      <c r="D148" s="21"/>
      <c r="E148" s="27"/>
      <c r="F148" s="28">
        <v>5758.6284254000002</v>
      </c>
      <c r="G148" s="29">
        <v>2.5804454734219799</v>
      </c>
      <c r="H148" s="34">
        <v>5.305E-2</v>
      </c>
      <c r="I148" s="15"/>
    </row>
    <row r="149" spans="2:9" x14ac:dyDescent="0.2">
      <c r="B149" s="22"/>
      <c r="C149" s="22"/>
      <c r="D149" s="22"/>
      <c r="E149" s="23"/>
      <c r="F149" s="24"/>
      <c r="G149" s="25"/>
      <c r="H149" s="22"/>
    </row>
    <row r="150" spans="2:9" x14ac:dyDescent="0.2">
      <c r="B150" s="21" t="s">
        <v>336</v>
      </c>
      <c r="C150" s="22"/>
      <c r="D150" s="22"/>
      <c r="E150" s="23"/>
      <c r="F150" s="63">
        <v>800</v>
      </c>
      <c r="G150" s="64">
        <f>F150/F152*100</f>
        <v>0.35848056624597985</v>
      </c>
      <c r="H150" s="22"/>
    </row>
    <row r="151" spans="2:9" x14ac:dyDescent="0.2">
      <c r="B151" s="39" t="s">
        <v>12</v>
      </c>
      <c r="C151" s="39"/>
      <c r="D151" s="39"/>
      <c r="E151" s="40"/>
      <c r="F151" s="28">
        <f>F152-(F144+F148+F150)</f>
        <v>-384.61829769995529</v>
      </c>
      <c r="G151" s="29">
        <f>G152-(G144+G148+G150)</f>
        <v>-0.17234773143506743</v>
      </c>
      <c r="H151" s="21"/>
      <c r="I151" s="14"/>
    </row>
    <row r="152" spans="2:9" x14ac:dyDescent="0.2">
      <c r="B152" s="35" t="s">
        <v>11</v>
      </c>
      <c r="C152" s="35"/>
      <c r="D152" s="35"/>
      <c r="E152" s="36"/>
      <c r="F152" s="37">
        <v>223164.11971160001</v>
      </c>
      <c r="G152" s="38">
        <v>100</v>
      </c>
      <c r="H152" s="45"/>
      <c r="I152" s="14"/>
    </row>
    <row r="154" spans="2:9" x14ac:dyDescent="0.2">
      <c r="B154" s="14" t="s">
        <v>337</v>
      </c>
    </row>
    <row r="156" spans="2:9" ht="22.5" x14ac:dyDescent="0.2">
      <c r="B156" s="16" t="s">
        <v>4</v>
      </c>
      <c r="C156" s="16" t="s">
        <v>338</v>
      </c>
      <c r="D156" s="17" t="s">
        <v>92</v>
      </c>
      <c r="E156" s="18" t="s">
        <v>0</v>
      </c>
      <c r="F156" s="19" t="s">
        <v>339</v>
      </c>
      <c r="G156" s="20" t="s">
        <v>340</v>
      </c>
    </row>
    <row r="157" spans="2:9" x14ac:dyDescent="0.2">
      <c r="B157" s="51" t="s">
        <v>346</v>
      </c>
      <c r="C157" s="51" t="s">
        <v>341</v>
      </c>
      <c r="D157" s="51" t="s">
        <v>345</v>
      </c>
      <c r="E157" s="52">
        <v>17625</v>
      </c>
      <c r="F157" s="53">
        <v>4650.7792499999996</v>
      </c>
      <c r="G157" s="54">
        <v>2.0840174737813202</v>
      </c>
    </row>
    <row r="158" spans="2:9" x14ac:dyDescent="0.2">
      <c r="B158" s="47"/>
      <c r="C158" s="47"/>
      <c r="D158" s="47"/>
      <c r="E158" s="48"/>
      <c r="F158" s="49">
        <f>SUM(F157:F157)</f>
        <v>4650.7792499999996</v>
      </c>
      <c r="G158" s="50">
        <f>SUM(G157:G157)</f>
        <v>2.0840174737813202</v>
      </c>
    </row>
    <row r="159" spans="2:9" x14ac:dyDescent="0.2">
      <c r="B159" s="59"/>
      <c r="C159" s="59"/>
      <c r="D159" s="59"/>
      <c r="E159" s="60"/>
      <c r="F159" s="61"/>
      <c r="G159" s="62"/>
    </row>
    <row r="160" spans="2:9" x14ac:dyDescent="0.2">
      <c r="B160" s="14" t="s">
        <v>135</v>
      </c>
    </row>
    <row r="162" spans="2:7" x14ac:dyDescent="0.2">
      <c r="B162" s="14" t="s">
        <v>13</v>
      </c>
    </row>
    <row r="164" spans="2:7" x14ac:dyDescent="0.2">
      <c r="B164" s="14" t="s">
        <v>14</v>
      </c>
      <c r="E164" s="8"/>
      <c r="G164" s="56"/>
    </row>
    <row r="165" spans="2:7" x14ac:dyDescent="0.2">
      <c r="E165" s="8"/>
      <c r="G165" s="56"/>
    </row>
    <row r="166" spans="2:7" x14ac:dyDescent="0.2">
      <c r="E166" s="8"/>
      <c r="G166" s="56"/>
    </row>
    <row r="167" spans="2:7" x14ac:dyDescent="0.2">
      <c r="E167" s="8"/>
      <c r="G167" s="56"/>
    </row>
    <row r="168" spans="2:7" x14ac:dyDescent="0.2">
      <c r="E168" s="8"/>
      <c r="G168" s="56"/>
    </row>
    <row r="169" spans="2:7" x14ac:dyDescent="0.2">
      <c r="E169" s="8"/>
      <c r="G169" s="56"/>
    </row>
    <row r="170" spans="2:7" x14ac:dyDescent="0.2">
      <c r="E170" s="8"/>
      <c r="G170" s="56"/>
    </row>
    <row r="171" spans="2:7" x14ac:dyDescent="0.2">
      <c r="E171" s="8"/>
      <c r="G171" s="56"/>
    </row>
    <row r="172" spans="2:7" x14ac:dyDescent="0.2">
      <c r="E172" s="8"/>
      <c r="G172" s="56"/>
    </row>
    <row r="173" spans="2:7" x14ac:dyDescent="0.2">
      <c r="E173" s="8"/>
      <c r="G173" s="56"/>
    </row>
    <row r="174" spans="2:7" x14ac:dyDescent="0.2">
      <c r="E174" s="8"/>
      <c r="G174" s="56"/>
    </row>
    <row r="175" spans="2:7" x14ac:dyDescent="0.2">
      <c r="E175" s="8"/>
      <c r="G175" s="56"/>
    </row>
    <row r="176" spans="2:7" x14ac:dyDescent="0.2">
      <c r="E176" s="8"/>
      <c r="G176" s="56"/>
    </row>
    <row r="177" spans="2:7" x14ac:dyDescent="0.2">
      <c r="E177" s="8"/>
      <c r="G177" s="56"/>
    </row>
    <row r="178" spans="2:7" x14ac:dyDescent="0.2">
      <c r="E178" s="8"/>
      <c r="G178" s="56"/>
    </row>
    <row r="179" spans="2:7" x14ac:dyDescent="0.2">
      <c r="E179" s="8"/>
      <c r="G179" s="56"/>
    </row>
    <row r="180" spans="2:7" x14ac:dyDescent="0.2">
      <c r="E180" s="8"/>
      <c r="G180" s="56"/>
    </row>
    <row r="181" spans="2:7" x14ac:dyDescent="0.2">
      <c r="B181" s="57" t="s">
        <v>342</v>
      </c>
      <c r="E181" s="8"/>
      <c r="G181" s="56"/>
    </row>
    <row r="182" spans="2:7" x14ac:dyDescent="0.2">
      <c r="B182" s="58" t="s">
        <v>343</v>
      </c>
      <c r="E182" s="8"/>
      <c r="G182" s="56"/>
    </row>
    <row r="183" spans="2:7" x14ac:dyDescent="0.2">
      <c r="E183" s="8"/>
      <c r="G183" s="56"/>
    </row>
    <row r="184" spans="2:7" x14ac:dyDescent="0.2">
      <c r="E184" s="8"/>
      <c r="G184" s="56"/>
    </row>
    <row r="185" spans="2:7" x14ac:dyDescent="0.2">
      <c r="E185" s="8"/>
      <c r="G185" s="56"/>
    </row>
    <row r="186" spans="2:7" x14ac:dyDescent="0.2">
      <c r="E186" s="8"/>
      <c r="G186" s="56"/>
    </row>
    <row r="187" spans="2:7" x14ac:dyDescent="0.2">
      <c r="E187" s="8"/>
      <c r="G187" s="56"/>
    </row>
    <row r="188" spans="2:7" x14ac:dyDescent="0.2">
      <c r="E188" s="8"/>
      <c r="G188" s="56"/>
    </row>
    <row r="189" spans="2:7" x14ac:dyDescent="0.2">
      <c r="E189" s="8"/>
      <c r="G189" s="56"/>
    </row>
    <row r="190" spans="2:7" x14ac:dyDescent="0.2">
      <c r="E190" s="8"/>
      <c r="G190" s="56"/>
    </row>
    <row r="191" spans="2:7" x14ac:dyDescent="0.2">
      <c r="E191" s="8"/>
      <c r="G191" s="56"/>
    </row>
    <row r="192" spans="2:7" x14ac:dyDescent="0.2">
      <c r="E192" s="8"/>
      <c r="G192" s="56"/>
    </row>
    <row r="193" spans="5:7" x14ac:dyDescent="0.2">
      <c r="E193" s="8"/>
      <c r="G193" s="56"/>
    </row>
    <row r="194" spans="5:7" x14ac:dyDescent="0.2">
      <c r="E194" s="8"/>
      <c r="G194" s="56"/>
    </row>
    <row r="195" spans="5:7" x14ac:dyDescent="0.2">
      <c r="E195" s="8"/>
      <c r="G195" s="56"/>
    </row>
    <row r="196" spans="5:7" x14ac:dyDescent="0.2">
      <c r="E196" s="8"/>
      <c r="G196" s="56"/>
    </row>
    <row r="197" spans="5:7" x14ac:dyDescent="0.2">
      <c r="E197" s="8"/>
      <c r="G197" s="56"/>
    </row>
    <row r="198" spans="5:7" x14ac:dyDescent="0.2">
      <c r="E198" s="8"/>
      <c r="G198" s="56"/>
    </row>
    <row r="199" spans="5:7" x14ac:dyDescent="0.2">
      <c r="E199" s="8"/>
      <c r="G199" s="56"/>
    </row>
  </sheetData>
  <mergeCells count="1">
    <mergeCell ref="B1:C1"/>
  </mergeCells>
  <conditionalFormatting sqref="G1:G3 G157:G199">
    <cfRule type="cellIs" dxfId="1" priority="3" stopIfTrue="1" operator="between">
      <formula>0.009</formula>
      <formula>-0.009</formula>
    </cfRule>
  </conditionalFormatting>
  <conditionalFormatting sqref="G5:G155">
    <cfRule type="cellIs" dxfId="0" priority="1" stopIfTrue="1" operator="between">
      <formula>0.009</formula>
      <formula>-0.009</formula>
    </cfRule>
  </conditionalFormatting>
  <hyperlinks>
    <hyperlink ref="A2" location="JBFLEXI!A1" display="-" xr:uid="{0287FB85-5E30-4F03-A965-71E001107B5F}"/>
  </hyperlinks>
  <pageMargins left="0.7" right="0.7" top="0.75" bottom="0.75" header="0.3" footer="0.3"/>
  <pageSetup paperSize="9" scale="3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