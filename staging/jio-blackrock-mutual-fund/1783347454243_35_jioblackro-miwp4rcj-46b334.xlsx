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57E9910F-F183-4A62-8F4E-C1D27A698CF9}" xr6:coauthVersionLast="47" xr6:coauthVersionMax="47" xr10:uidLastSave="{00000000-0000-0000-0000-000000000000}"/>
  <bookViews>
    <workbookView xWindow="-108" yWindow="-108" windowWidth="23256" windowHeight="13896" xr2:uid="{93FBE97D-68C6-454C-8EF4-3016A4BF899F}"/>
  </bookViews>
  <sheets>
    <sheet name="JBMMF" sheetId="3" r:id="rId1"/>
  </sheets>
  <definedNames>
    <definedName name="_xlnm.Print_Area" localSheetId="0">JBMMF!$B$1:$I$95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3" l="1"/>
  <c r="F41" i="3"/>
  <c r="G37" i="3"/>
  <c r="F37" i="3"/>
  <c r="G32" i="3"/>
  <c r="F32" i="3"/>
  <c r="G22" i="3"/>
  <c r="F22" i="3"/>
  <c r="G38" i="3" l="1"/>
  <c r="F38" i="3"/>
  <c r="F45" i="3"/>
  <c r="G45" i="3"/>
</calcChain>
</file>

<file path=xl/sharedStrings.xml><?xml version="1.0" encoding="utf-8"?>
<sst xmlns="http://schemas.openxmlformats.org/spreadsheetml/2006/main" count="110" uniqueCount="85">
  <si>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</si>
  <si>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</si>
  <si>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</si>
  <si>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</si>
  <si>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</si>
  <si>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</si>
  <si>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</si>
  <si>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Money Market Fund</t>
  </si>
  <si>
    <t>Yield to Call ^</t>
  </si>
  <si>
    <t>Money Market Instruments</t>
  </si>
  <si>
    <t>Certificate of Deposit</t>
  </si>
  <si>
    <t>Bank of India (10-Mar-2026) **</t>
  </si>
  <si>
    <t>INE084A16EK5</t>
  </si>
  <si>
    <t>CRISIL A1+</t>
  </si>
  <si>
    <t>Axis Bank Ltd (04-Mar-2026)</t>
  </si>
  <si>
    <t>INE238AD6AN0</t>
  </si>
  <si>
    <t>ICRA A1+</t>
  </si>
  <si>
    <t>HDFC Bank Ltd (12-Mar-2026) **</t>
  </si>
  <si>
    <t>INE040A16GN6</t>
  </si>
  <si>
    <t>CARE A1+</t>
  </si>
  <si>
    <t>Bank of Baroda (11-Mar-2026) **</t>
  </si>
  <si>
    <t>INE028A16HZ3</t>
  </si>
  <si>
    <t>IND A1+</t>
  </si>
  <si>
    <t>Export-Import Bank Of India (04-Mar-2026) **</t>
  </si>
  <si>
    <t>INE514E16CJ9</t>
  </si>
  <si>
    <t>Small Industries Development Bank of India (27-Feb-2026)</t>
  </si>
  <si>
    <t>INE556F16BB6</t>
  </si>
  <si>
    <t>National Bank For Agriculture &amp; Rural Development (10-Mar-2026) **</t>
  </si>
  <si>
    <t>INE261F16975</t>
  </si>
  <si>
    <t>Canara Bank (12-Mar-2026) **</t>
  </si>
  <si>
    <t>INE476A16B23</t>
  </si>
  <si>
    <t>Bank of Baroda (13-Mar-2026) **</t>
  </si>
  <si>
    <t>INE028A16IC0</t>
  </si>
  <si>
    <t>Canara Bank (18-Mar-2026) **</t>
  </si>
  <si>
    <t>INE476A16B64</t>
  </si>
  <si>
    <t>Export-Import Bank Of India (28-May-2026) **</t>
  </si>
  <si>
    <t>INE514E16CL5</t>
  </si>
  <si>
    <t>Canara Bank (06-Mar-2026) **</t>
  </si>
  <si>
    <t>INE476A16A99</t>
  </si>
  <si>
    <t>Indian Bank (06-Mar-2026) **</t>
  </si>
  <si>
    <t>INE562A16OG7</t>
  </si>
  <si>
    <t>HDFC Bank Ltd (09-Mar-2026) **</t>
  </si>
  <si>
    <t>INE040A16HM6</t>
  </si>
  <si>
    <t>Canara Bank (04-Dec-2025)</t>
  </si>
  <si>
    <t>INE476A16ZO0</t>
  </si>
  <si>
    <t>Sub Total</t>
  </si>
  <si>
    <t>Commercial Paper</t>
  </si>
  <si>
    <t>NTPC Ltd (10-Mar-2026) **</t>
  </si>
  <si>
    <t>INE733E14BU9</t>
  </si>
  <si>
    <t>Small Industries Development Bank Of India (03-Mar-2026) **</t>
  </si>
  <si>
    <t>INE556F14LG9</t>
  </si>
  <si>
    <t>National Bank For Agriculture &amp; Rural Development (02-Mar-2026)</t>
  </si>
  <si>
    <t>INE261F14OD7</t>
  </si>
  <si>
    <t>Kotak Securities Ltd (13-Mar-2026) **</t>
  </si>
  <si>
    <t>INE028E14TK7</t>
  </si>
  <si>
    <t>Power Finance Corporation Ltd (15-Apr-2026) **</t>
  </si>
  <si>
    <t>INE134E14AX6</t>
  </si>
  <si>
    <t>Kotak Securities Ltd (06-Mar-2026) **</t>
  </si>
  <si>
    <t>INE028E14TR2</t>
  </si>
  <si>
    <t>ICICI Securities Ltd (09-Mar-2026) **</t>
  </si>
  <si>
    <t>INE763G14D03</t>
  </si>
  <si>
    <t>LIC Housing Finance Ltd (18-Mar-2026) **</t>
  </si>
  <si>
    <t>INE115A14FL7</t>
  </si>
  <si>
    <t>Treasury Bill</t>
  </si>
  <si>
    <t>182 DTB (19-MAR-2026)</t>
  </si>
  <si>
    <t>IN002025Y255</t>
  </si>
  <si>
    <t>182 DTB (26-MAR-2026)</t>
  </si>
  <si>
    <t>IN002025Y263</t>
  </si>
  <si>
    <t>364 DTB (16-JUL-2026)</t>
  </si>
  <si>
    <t>IN002025Z161</t>
  </si>
  <si>
    <t>Total</t>
  </si>
  <si>
    <t>Government Securities</t>
  </si>
  <si>
    <t>5.63% GOI 2026 (12-APR-2026)</t>
  </si>
  <si>
    <t>IN0020210012</t>
  </si>
  <si>
    <t>SOVEREIGN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</si>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</sst>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5" fillId="2" borderId="0" xfId="0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3" borderId="0" xfId="0" applyNumberFormat="1" applyFont="1" applyFill="1"/>
    <xf numFmtId="0" fontId="9" fillId="2" borderId="0" xfId="0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4" fontId="5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10" fontId="9" fillId="2" borderId="2" xfId="0" applyNumberFormat="1" applyFont="1" applyFill="1" applyBorder="1"/>
    <xf numFmtId="39" fontId="9" fillId="2" borderId="4" xfId="0" applyNumberFormat="1" applyFont="1" applyFill="1" applyBorder="1"/>
    <xf numFmtId="39" fontId="9" fillId="3" borderId="4" xfId="0" applyNumberFormat="1" applyFont="1" applyFill="1" applyBorder="1"/>
    <xf numFmtId="0" fontId="9" fillId="2" borderId="5" xfId="0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9" fillId="2" borderId="0" xfId="0" applyFont="1" applyFill="1" applyAlignment="1">
      <alignment horizontal="right"/>
    </xf>
    <xf numFmtId="165" fontId="5" fillId="2" borderId="0" xfId="0" applyNumberFormat="1" applyFont="1" applyFill="1"/>
    <xf numFmtId="0" fontId="8" fillId="2" borderId="0" xfId="1" applyFill="1"/>
    <xf numFmtId="0" fontId="9" fillId="2" borderId="0" xfId="0" applyFont="1" applyFill="1" applyAlignment="1">
      <alignment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53</xdr:row>
      <xdr:rowOff>9525</xdr:rowOff>
    </xdr:from>
    <xdr:to>
      <xdr:col>4</xdr:col>
      <xdr:colOff>9525</xdr:colOff>
      <xdr:row>70</xdr:row>
      <xdr:rowOff>47625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1F028B88-E892-47D4-B591-77869B10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8391525"/>
          <a:ext cx="480060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76</xdr:row>
      <xdr:rowOff>47625</xdr:rowOff>
    </xdr:from>
    <xdr:to>
      <xdr:col>4</xdr:col>
      <xdr:colOff>209550</xdr:colOff>
      <xdr:row>93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A20BADC-5132-49F5-B425-32CC8961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1715750"/>
          <a:ext cx="4924425" cy="2381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4693-C531-42B5-9539-8D4F146BA38A}">
  <dimension ref="A1:K73"/>
  <sheetViews>
    <sheetView tabSelected="1" view="pageBreakPreview" zoomScaleNormal="100" zoomScaleSheetLayoutView="100" workbookViewId="0">
      <selection activeCell="B1" sqref="B1:C1"/>
    </sheetView>
  </sheetViews>
  <sheetFormatPr defaultColWidth="9.109375" defaultRowHeight="10.199999999999999" x14ac:dyDescent="0.2"/>
  <cols>
    <col min="1" max="1" width="7.109375" style="6" customWidth="1"/>
    <col min="2" max="2" width="52.6640625" style="6" bestFit="1" customWidth="1"/>
    <col min="3" max="3" width="11.33203125" style="6" bestFit="1" customWidth="1"/>
    <col min="4" max="5" width="13.88671875" style="6" bestFit="1" customWidth="1"/>
    <col min="6" max="6" width="12.6640625" style="8" bestFit="1" customWidth="1"/>
    <col min="7" max="7" width="7.6640625" style="14" customWidth="1"/>
    <col min="8" max="8" width="11.88671875" style="11" bestFit="1" customWidth="1"/>
    <col min="9" max="9" width="10.109375" style="11" bestFit="1" customWidth="1"/>
    <col min="10" max="10" width="25.88671875" style="6" customWidth="1"/>
    <col min="11" max="16384" width="9.109375" style="6"/>
  </cols>
  <sheetData>
    <row r="1" spans="1:11" s="1" customFormat="1" ht="16.649999999999999" customHeight="1" x14ac:dyDescent="0.25">
      <c r="B1" s="46" t="s">
        <v>7</v>
      </c>
      <c r="C1" s="47"/>
      <c r="D1" s="10"/>
      <c r="F1" s="5"/>
      <c r="G1" s="14"/>
      <c r="H1" s="11"/>
      <c r="I1" s="12"/>
    </row>
    <row r="2" spans="1:11" s="1" customFormat="1" ht="14.4" x14ac:dyDescent="0.3">
      <c r="A2" s="44" t="s">
        <v>84</v>
      </c>
      <c r="F2" s="5"/>
      <c r="G2" s="14"/>
      <c r="H2" s="11"/>
      <c r="I2" s="12"/>
    </row>
    <row r="3" spans="1:11" s="1" customFormat="1" ht="14.4" x14ac:dyDescent="0.3">
      <c r="A3" s="44"/>
      <c r="B3" s="7" t="s">
        <v>6</v>
      </c>
      <c r="C3" s="2"/>
      <c r="D3" s="3"/>
      <c r="E3" s="3"/>
      <c r="F3" s="4"/>
      <c r="G3" s="14"/>
      <c r="H3" s="11"/>
      <c r="I3" s="12"/>
    </row>
    <row r="4" spans="1:11" s="1" customFormat="1" ht="36.75" customHeight="1" x14ac:dyDescent="0.2">
      <c r="B4" s="16" t="s">
        <v>4</v>
      </c>
      <c r="C4" s="16" t="s">
        <v>5</v>
      </c>
      <c r="D4" s="17" t="s">
        <v>78</v>
      </c>
      <c r="E4" s="17" t="s">
        <v>0</v>
      </c>
      <c r="F4" s="18" t="s">
        <v>1</v>
      </c>
      <c r="G4" s="19" t="s">
        <v>2</v>
      </c>
      <c r="H4" s="20" t="s">
        <v>3</v>
      </c>
      <c r="I4" s="20" t="s">
        <v>8</v>
      </c>
      <c r="J4" s="13"/>
      <c r="K4" s="9"/>
    </row>
    <row r="5" spans="1:11" x14ac:dyDescent="0.2">
      <c r="B5" s="21" t="s">
        <v>9</v>
      </c>
      <c r="C5" s="22"/>
      <c r="D5" s="22"/>
      <c r="E5" s="22"/>
      <c r="F5" s="23"/>
      <c r="G5" s="24"/>
      <c r="H5" s="25"/>
      <c r="I5" s="25"/>
    </row>
    <row r="6" spans="1:11" x14ac:dyDescent="0.2">
      <c r="B6" s="21" t="s">
        <v>10</v>
      </c>
      <c r="C6" s="22"/>
      <c r="D6" s="22"/>
      <c r="E6" s="22"/>
      <c r="F6" s="23"/>
      <c r="G6" s="24"/>
      <c r="H6" s="25"/>
      <c r="I6" s="25"/>
    </row>
    <row r="7" spans="1:11" x14ac:dyDescent="0.2">
      <c r="B7" s="22" t="s">
        <v>11</v>
      </c>
      <c r="C7" s="22" t="s">
        <v>12</v>
      </c>
      <c r="D7" s="22" t="s">
        <v>13</v>
      </c>
      <c r="E7" s="26">
        <v>5500</v>
      </c>
      <c r="F7" s="23">
        <v>27063.244999999999</v>
      </c>
      <c r="G7" s="24">
        <v>8.5665449857316993</v>
      </c>
      <c r="H7" s="25">
        <v>5.9499999999999997E-2</v>
      </c>
      <c r="I7" s="27"/>
    </row>
    <row r="8" spans="1:11" x14ac:dyDescent="0.2">
      <c r="B8" s="22" t="s">
        <v>14</v>
      </c>
      <c r="C8" s="22" t="s">
        <v>15</v>
      </c>
      <c r="D8" s="22" t="s">
        <v>16</v>
      </c>
      <c r="E8" s="26">
        <v>4500</v>
      </c>
      <c r="F8" s="23">
        <v>22167.337500000001</v>
      </c>
      <c r="G8" s="24">
        <v>7.0168043007276903</v>
      </c>
      <c r="H8" s="25">
        <v>5.8897999999999999E-2</v>
      </c>
      <c r="I8" s="27"/>
    </row>
    <row r="9" spans="1:11" x14ac:dyDescent="0.2">
      <c r="B9" s="22" t="s">
        <v>17</v>
      </c>
      <c r="C9" s="22" t="s">
        <v>18</v>
      </c>
      <c r="D9" s="22" t="s">
        <v>19</v>
      </c>
      <c r="E9" s="26">
        <v>4000</v>
      </c>
      <c r="F9" s="23">
        <v>19678.46</v>
      </c>
      <c r="G9" s="24">
        <v>6.2289800369439003</v>
      </c>
      <c r="H9" s="25">
        <v>5.9050999999999999E-2</v>
      </c>
      <c r="I9" s="27"/>
    </row>
    <row r="10" spans="1:11" x14ac:dyDescent="0.2">
      <c r="B10" s="22" t="s">
        <v>20</v>
      </c>
      <c r="C10" s="22" t="s">
        <v>21</v>
      </c>
      <c r="D10" s="22" t="s">
        <v>22</v>
      </c>
      <c r="E10" s="26">
        <v>3500</v>
      </c>
      <c r="F10" s="23">
        <v>17222.0825</v>
      </c>
      <c r="G10" s="24">
        <v>5.4514432576076004</v>
      </c>
      <c r="H10" s="25">
        <v>5.8901000000000002E-2</v>
      </c>
      <c r="I10" s="27"/>
    </row>
    <row r="11" spans="1:11" x14ac:dyDescent="0.2">
      <c r="B11" s="22" t="s">
        <v>23</v>
      </c>
      <c r="C11" s="22" t="s">
        <v>24</v>
      </c>
      <c r="D11" s="22" t="s">
        <v>16</v>
      </c>
      <c r="E11" s="26">
        <v>3000</v>
      </c>
      <c r="F11" s="23">
        <v>14778.405000000001</v>
      </c>
      <c r="G11" s="24">
        <v>4.6779265106554</v>
      </c>
      <c r="H11" s="25">
        <v>5.8851000000000001E-2</v>
      </c>
      <c r="I11" s="27"/>
    </row>
    <row r="12" spans="1:11" x14ac:dyDescent="0.2">
      <c r="B12" s="22" t="s">
        <v>25</v>
      </c>
      <c r="C12" s="22" t="s">
        <v>26</v>
      </c>
      <c r="D12" s="22" t="s">
        <v>13</v>
      </c>
      <c r="E12" s="26">
        <v>2500</v>
      </c>
      <c r="F12" s="23">
        <v>12324.487499999999</v>
      </c>
      <c r="G12" s="24">
        <v>3.9011684147572798</v>
      </c>
      <c r="H12" s="25">
        <v>5.9068000000000002E-2</v>
      </c>
      <c r="I12" s="27"/>
    </row>
    <row r="13" spans="1:11" x14ac:dyDescent="0.2">
      <c r="B13" s="22" t="s">
        <v>27</v>
      </c>
      <c r="C13" s="22" t="s">
        <v>28</v>
      </c>
      <c r="D13" s="22" t="s">
        <v>13</v>
      </c>
      <c r="E13" s="26">
        <v>2500</v>
      </c>
      <c r="F13" s="23">
        <v>12302.137500000001</v>
      </c>
      <c r="G13" s="24">
        <v>3.8940937908372399</v>
      </c>
      <c r="H13" s="25">
        <v>5.9299999999999999E-2</v>
      </c>
      <c r="I13" s="27"/>
    </row>
    <row r="14" spans="1:11" x14ac:dyDescent="0.2">
      <c r="B14" s="22" t="s">
        <v>29</v>
      </c>
      <c r="C14" s="22" t="s">
        <v>30</v>
      </c>
      <c r="D14" s="22" t="s">
        <v>13</v>
      </c>
      <c r="E14" s="26">
        <v>2000</v>
      </c>
      <c r="F14" s="23">
        <v>9839.5</v>
      </c>
      <c r="G14" s="24">
        <v>3.1145754837273598</v>
      </c>
      <c r="H14" s="25">
        <v>5.8950000000000002E-2</v>
      </c>
      <c r="I14" s="27"/>
    </row>
    <row r="15" spans="1:11" x14ac:dyDescent="0.2">
      <c r="B15" s="22" t="s">
        <v>31</v>
      </c>
      <c r="C15" s="22" t="s">
        <v>32</v>
      </c>
      <c r="D15" s="22" t="s">
        <v>22</v>
      </c>
      <c r="E15" s="26">
        <v>1500</v>
      </c>
      <c r="F15" s="23">
        <v>7378.5524999999998</v>
      </c>
      <c r="G15" s="24">
        <v>2.3355921258087502</v>
      </c>
      <c r="H15" s="25">
        <v>5.8899E-2</v>
      </c>
      <c r="I15" s="27"/>
    </row>
    <row r="16" spans="1:11" x14ac:dyDescent="0.2">
      <c r="B16" s="22" t="s">
        <v>33</v>
      </c>
      <c r="C16" s="22" t="s">
        <v>34</v>
      </c>
      <c r="D16" s="22" t="s">
        <v>13</v>
      </c>
      <c r="E16" s="26">
        <v>1500</v>
      </c>
      <c r="F16" s="23">
        <v>7372.59</v>
      </c>
      <c r="G16" s="24">
        <v>2.33370476808512</v>
      </c>
      <c r="H16" s="25">
        <v>5.8951000000000003E-2</v>
      </c>
      <c r="I16" s="27"/>
    </row>
    <row r="17" spans="2:9" x14ac:dyDescent="0.2">
      <c r="B17" s="22" t="s">
        <v>35</v>
      </c>
      <c r="C17" s="22" t="s">
        <v>36</v>
      </c>
      <c r="D17" s="22" t="s">
        <v>13</v>
      </c>
      <c r="E17" s="26">
        <v>1500</v>
      </c>
      <c r="F17" s="23">
        <v>7280.58</v>
      </c>
      <c r="G17" s="24">
        <v>2.3045801082692998</v>
      </c>
      <c r="H17" s="25">
        <v>6.1799E-2</v>
      </c>
      <c r="I17" s="27"/>
    </row>
    <row r="18" spans="2:9" x14ac:dyDescent="0.2">
      <c r="B18" s="22" t="s">
        <v>37</v>
      </c>
      <c r="C18" s="22" t="s">
        <v>38</v>
      </c>
      <c r="D18" s="22" t="s">
        <v>13</v>
      </c>
      <c r="E18" s="26">
        <v>1000</v>
      </c>
      <c r="F18" s="23">
        <v>4924.4449999999997</v>
      </c>
      <c r="G18" s="24">
        <v>1.5587738876938599</v>
      </c>
      <c r="H18" s="25">
        <v>5.8951000000000003E-2</v>
      </c>
      <c r="I18" s="27"/>
    </row>
    <row r="19" spans="2:9" x14ac:dyDescent="0.2">
      <c r="B19" s="22" t="s">
        <v>39</v>
      </c>
      <c r="C19" s="22" t="s">
        <v>40</v>
      </c>
      <c r="D19" s="22" t="s">
        <v>13</v>
      </c>
      <c r="E19" s="26">
        <v>1000</v>
      </c>
      <c r="F19" s="23">
        <v>4924.4449999999997</v>
      </c>
      <c r="G19" s="24">
        <v>1.5587738876938599</v>
      </c>
      <c r="H19" s="25">
        <v>5.8951000000000003E-2</v>
      </c>
      <c r="I19" s="27"/>
    </row>
    <row r="20" spans="2:9" x14ac:dyDescent="0.2">
      <c r="B20" s="22" t="s">
        <v>41</v>
      </c>
      <c r="C20" s="22" t="s">
        <v>42</v>
      </c>
      <c r="D20" s="22" t="s">
        <v>13</v>
      </c>
      <c r="E20" s="26">
        <v>1000</v>
      </c>
      <c r="F20" s="23">
        <v>4921.9650000000001</v>
      </c>
      <c r="G20" s="24">
        <v>1.5579888734960201</v>
      </c>
      <c r="H20" s="25">
        <v>5.9049999999999998E-2</v>
      </c>
      <c r="I20" s="27"/>
    </row>
    <row r="21" spans="2:9" x14ac:dyDescent="0.2">
      <c r="B21" s="22" t="s">
        <v>43</v>
      </c>
      <c r="C21" s="22" t="s">
        <v>44</v>
      </c>
      <c r="D21" s="22" t="s">
        <v>13</v>
      </c>
      <c r="E21" s="26">
        <v>500</v>
      </c>
      <c r="F21" s="23">
        <v>2498.8125</v>
      </c>
      <c r="G21" s="24">
        <v>0.79096906864489802</v>
      </c>
      <c r="H21" s="25">
        <v>5.7819000000000002E-2</v>
      </c>
      <c r="I21" s="27"/>
    </row>
    <row r="22" spans="2:9" x14ac:dyDescent="0.2">
      <c r="B22" s="21" t="s">
        <v>45</v>
      </c>
      <c r="C22" s="21"/>
      <c r="D22" s="21"/>
      <c r="E22" s="21"/>
      <c r="F22" s="28">
        <f>SUM(F6:F21)</f>
        <v>174677.04500000001</v>
      </c>
      <c r="G22" s="29">
        <f>SUM(G6:G21)</f>
        <v>55.291919500679981</v>
      </c>
      <c r="H22" s="30"/>
      <c r="I22" s="30"/>
    </row>
    <row r="23" spans="2:9" x14ac:dyDescent="0.2">
      <c r="B23" s="21" t="s">
        <v>46</v>
      </c>
      <c r="C23" s="22"/>
      <c r="D23" s="22"/>
      <c r="E23" s="22"/>
      <c r="F23" s="23"/>
      <c r="G23" s="24"/>
      <c r="H23" s="25"/>
      <c r="I23" s="25"/>
    </row>
    <row r="24" spans="2:9" x14ac:dyDescent="0.2">
      <c r="B24" s="22" t="s">
        <v>47</v>
      </c>
      <c r="C24" s="22" t="s">
        <v>48</v>
      </c>
      <c r="D24" s="22" t="s">
        <v>19</v>
      </c>
      <c r="E24" s="26">
        <v>5000</v>
      </c>
      <c r="F24" s="23">
        <v>24607.55</v>
      </c>
      <c r="G24" s="24">
        <v>7.7892242435687997</v>
      </c>
      <c r="H24" s="25">
        <v>5.8798999999999997E-2</v>
      </c>
      <c r="I24" s="27"/>
    </row>
    <row r="25" spans="2:9" x14ac:dyDescent="0.2">
      <c r="B25" s="22" t="s">
        <v>49</v>
      </c>
      <c r="C25" s="22" t="s">
        <v>50</v>
      </c>
      <c r="D25" s="22" t="s">
        <v>13</v>
      </c>
      <c r="E25" s="26">
        <v>3000</v>
      </c>
      <c r="F25" s="23">
        <v>14778.375</v>
      </c>
      <c r="G25" s="24">
        <v>4.6779170145159101</v>
      </c>
      <c r="H25" s="25">
        <v>5.9499000000000003E-2</v>
      </c>
      <c r="I25" s="27"/>
    </row>
    <row r="26" spans="2:9" x14ac:dyDescent="0.2">
      <c r="B26" s="22" t="s">
        <v>51</v>
      </c>
      <c r="C26" s="22" t="s">
        <v>52</v>
      </c>
      <c r="D26" s="22" t="s">
        <v>13</v>
      </c>
      <c r="E26" s="26">
        <v>2500</v>
      </c>
      <c r="F26" s="23">
        <v>12317.2875</v>
      </c>
      <c r="G26" s="24">
        <v>3.8988893412796899</v>
      </c>
      <c r="H26" s="25">
        <v>5.9498000000000002E-2</v>
      </c>
      <c r="I26" s="27"/>
    </row>
    <row r="27" spans="2:9" x14ac:dyDescent="0.2">
      <c r="B27" s="22" t="s">
        <v>53</v>
      </c>
      <c r="C27" s="22" t="s">
        <v>54</v>
      </c>
      <c r="D27" s="22" t="s">
        <v>13</v>
      </c>
      <c r="E27" s="26">
        <v>2000</v>
      </c>
      <c r="F27" s="23">
        <v>9819.31</v>
      </c>
      <c r="G27" s="24">
        <v>3.10818458185059</v>
      </c>
      <c r="H27" s="25">
        <v>6.5850000000000006E-2</v>
      </c>
      <c r="I27" s="27"/>
    </row>
    <row r="28" spans="2:9" x14ac:dyDescent="0.2">
      <c r="B28" s="22" t="s">
        <v>55</v>
      </c>
      <c r="C28" s="22" t="s">
        <v>56</v>
      </c>
      <c r="D28" s="22" t="s">
        <v>13</v>
      </c>
      <c r="E28" s="26">
        <v>2000</v>
      </c>
      <c r="F28" s="23">
        <v>9774.85</v>
      </c>
      <c r="G28" s="24">
        <v>3.0941113031264198</v>
      </c>
      <c r="H28" s="25">
        <v>6.2275999999999998E-2</v>
      </c>
      <c r="I28" s="27"/>
    </row>
    <row r="29" spans="2:9" x14ac:dyDescent="0.2">
      <c r="B29" s="22" t="s">
        <v>57</v>
      </c>
      <c r="C29" s="22" t="s">
        <v>58</v>
      </c>
      <c r="D29" s="22" t="s">
        <v>13</v>
      </c>
      <c r="E29" s="26">
        <v>1000</v>
      </c>
      <c r="F29" s="23">
        <v>4915.75</v>
      </c>
      <c r="G29" s="24">
        <v>1.55602158993168</v>
      </c>
      <c r="H29" s="25">
        <v>6.5851000000000007E-2</v>
      </c>
      <c r="I29" s="27"/>
    </row>
    <row r="30" spans="2:9" x14ac:dyDescent="0.2">
      <c r="B30" s="22" t="s">
        <v>59</v>
      </c>
      <c r="C30" s="22" t="s">
        <v>60</v>
      </c>
      <c r="D30" s="22" t="s">
        <v>13</v>
      </c>
      <c r="E30" s="26">
        <v>1000</v>
      </c>
      <c r="F30" s="23">
        <v>4912.875</v>
      </c>
      <c r="G30" s="24">
        <v>1.55511154323056</v>
      </c>
      <c r="H30" s="25">
        <v>6.6049999999999998E-2</v>
      </c>
      <c r="I30" s="27"/>
    </row>
    <row r="31" spans="2:9" x14ac:dyDescent="0.2">
      <c r="B31" s="22" t="s">
        <v>61</v>
      </c>
      <c r="C31" s="22" t="s">
        <v>62</v>
      </c>
      <c r="D31" s="22" t="s">
        <v>13</v>
      </c>
      <c r="E31" s="26">
        <v>500</v>
      </c>
      <c r="F31" s="23">
        <v>2456.7874999999999</v>
      </c>
      <c r="G31" s="24">
        <v>0.77766655990932798</v>
      </c>
      <c r="H31" s="25">
        <v>0.06</v>
      </c>
      <c r="I31" s="27"/>
    </row>
    <row r="32" spans="2:9" x14ac:dyDescent="0.2">
      <c r="B32" s="21" t="s">
        <v>45</v>
      </c>
      <c r="C32" s="21"/>
      <c r="D32" s="21"/>
      <c r="E32" s="21"/>
      <c r="F32" s="28">
        <f>SUM(F23:F31)</f>
        <v>83582.785000000003</v>
      </c>
      <c r="G32" s="29">
        <f>SUM(G23:G31)</f>
        <v>26.457126177412981</v>
      </c>
      <c r="H32" s="30"/>
      <c r="I32" s="30"/>
    </row>
    <row r="33" spans="2:9" x14ac:dyDescent="0.2">
      <c r="B33" s="21" t="s">
        <v>63</v>
      </c>
      <c r="C33" s="22"/>
      <c r="D33" s="22"/>
      <c r="E33" s="22"/>
      <c r="F33" s="23"/>
      <c r="G33" s="24"/>
      <c r="H33" s="25"/>
      <c r="I33" s="25"/>
    </row>
    <row r="34" spans="2:9" x14ac:dyDescent="0.2">
      <c r="B34" s="22" t="s">
        <v>64</v>
      </c>
      <c r="C34" s="22" t="s">
        <v>65</v>
      </c>
      <c r="D34" s="22" t="s">
        <v>74</v>
      </c>
      <c r="E34" s="26">
        <v>14500000</v>
      </c>
      <c r="F34" s="23">
        <v>14273.3215</v>
      </c>
      <c r="G34" s="24">
        <v>4.5180483983188804</v>
      </c>
      <c r="H34" s="25">
        <v>5.3675E-2</v>
      </c>
      <c r="I34" s="27"/>
    </row>
    <row r="35" spans="2:9" x14ac:dyDescent="0.2">
      <c r="B35" s="22" t="s">
        <v>66</v>
      </c>
      <c r="C35" s="22" t="s">
        <v>67</v>
      </c>
      <c r="D35" s="22" t="s">
        <v>74</v>
      </c>
      <c r="E35" s="26">
        <v>5000000</v>
      </c>
      <c r="F35" s="23">
        <v>4916.66</v>
      </c>
      <c r="G35" s="24">
        <v>1.5563096394962099</v>
      </c>
      <c r="H35" s="25">
        <v>5.3800000000000001E-2</v>
      </c>
      <c r="I35" s="27"/>
    </row>
    <row r="36" spans="2:9" x14ac:dyDescent="0.2">
      <c r="B36" s="22" t="s">
        <v>68</v>
      </c>
      <c r="C36" s="22" t="s">
        <v>69</v>
      </c>
      <c r="D36" s="22" t="s">
        <v>74</v>
      </c>
      <c r="E36" s="26">
        <v>2500000</v>
      </c>
      <c r="F36" s="23">
        <v>2417.42</v>
      </c>
      <c r="G36" s="24">
        <v>0.76520525086358004</v>
      </c>
      <c r="H36" s="25">
        <v>5.4926999999999997E-2</v>
      </c>
      <c r="I36" s="27"/>
    </row>
    <row r="37" spans="2:9" x14ac:dyDescent="0.2">
      <c r="B37" s="21" t="s">
        <v>45</v>
      </c>
      <c r="C37" s="21"/>
      <c r="D37" s="21"/>
      <c r="E37" s="21"/>
      <c r="F37" s="31">
        <f>SUM(F33:F36)</f>
        <v>21607.4015</v>
      </c>
      <c r="G37" s="32">
        <f>SUM(G33:G36)</f>
        <v>6.8395632886786704</v>
      </c>
      <c r="H37" s="30"/>
      <c r="I37" s="30"/>
    </row>
    <row r="38" spans="2:9" x14ac:dyDescent="0.2">
      <c r="B38" s="33" t="s">
        <v>70</v>
      </c>
      <c r="C38" s="33"/>
      <c r="D38" s="33"/>
      <c r="E38" s="33"/>
      <c r="F38" s="34">
        <f>+F22+F32+F37</f>
        <v>279867.23149999999</v>
      </c>
      <c r="G38" s="35">
        <f>+G22+G32+G37</f>
        <v>88.588608966771631</v>
      </c>
      <c r="H38" s="30"/>
      <c r="I38" s="30"/>
    </row>
    <row r="39" spans="2:9" x14ac:dyDescent="0.2">
      <c r="B39" s="21" t="s">
        <v>71</v>
      </c>
      <c r="C39" s="22"/>
      <c r="D39" s="22"/>
      <c r="E39" s="22"/>
      <c r="F39" s="23"/>
      <c r="G39" s="24"/>
      <c r="H39" s="25"/>
      <c r="I39" s="25"/>
    </row>
    <row r="40" spans="2:9" x14ac:dyDescent="0.2">
      <c r="B40" s="22" t="s">
        <v>72</v>
      </c>
      <c r="C40" s="22" t="s">
        <v>73</v>
      </c>
      <c r="D40" s="22" t="s">
        <v>74</v>
      </c>
      <c r="E40" s="26">
        <v>25500000</v>
      </c>
      <c r="F40" s="23">
        <v>25505.1</v>
      </c>
      <c r="G40" s="24">
        <v>8.0733329102103397</v>
      </c>
      <c r="H40" s="25">
        <v>5.5659E-2</v>
      </c>
      <c r="I40" s="27"/>
    </row>
    <row r="41" spans="2:9" x14ac:dyDescent="0.2">
      <c r="B41" s="21" t="s">
        <v>70</v>
      </c>
      <c r="C41" s="21"/>
      <c r="D41" s="21"/>
      <c r="E41" s="21"/>
      <c r="F41" s="28">
        <f>SUM(F40:F40)</f>
        <v>25505.1</v>
      </c>
      <c r="G41" s="29">
        <f>SUM(G40:G40)</f>
        <v>8.0733329102103397</v>
      </c>
      <c r="H41" s="30"/>
      <c r="I41" s="30"/>
    </row>
    <row r="42" spans="2:9" x14ac:dyDescent="0.2">
      <c r="B42" s="21"/>
      <c r="C42" s="22"/>
      <c r="D42" s="22"/>
      <c r="E42" s="22"/>
      <c r="F42" s="23"/>
      <c r="G42" s="24"/>
      <c r="H42" s="25"/>
      <c r="I42" s="25"/>
    </row>
    <row r="43" spans="2:9" x14ac:dyDescent="0.2">
      <c r="B43" s="21" t="s">
        <v>75</v>
      </c>
      <c r="C43" s="21"/>
      <c r="D43" s="21"/>
      <c r="E43" s="21"/>
      <c r="F43" s="28">
        <v>26296.617864200001</v>
      </c>
      <c r="G43" s="29">
        <v>8.3238783784525907</v>
      </c>
      <c r="H43" s="36">
        <v>5.305E-2</v>
      </c>
      <c r="I43" s="36"/>
    </row>
    <row r="44" spans="2:9" x14ac:dyDescent="0.2">
      <c r="B44" s="22"/>
      <c r="C44" s="22"/>
      <c r="D44" s="22"/>
      <c r="E44" s="22"/>
      <c r="F44" s="23"/>
      <c r="G44" s="24"/>
      <c r="H44" s="25"/>
      <c r="I44" s="25"/>
    </row>
    <row r="45" spans="2:9" x14ac:dyDescent="0.2">
      <c r="B45" s="41" t="s">
        <v>77</v>
      </c>
      <c r="C45" s="41"/>
      <c r="D45" s="41"/>
      <c r="E45" s="41"/>
      <c r="F45" s="28">
        <f>F46-(F22+F32+F37+F41+F43)</f>
        <v>-15751.09630819998</v>
      </c>
      <c r="G45" s="29">
        <f>G46-(G22+G32+G37+G41+G43)</f>
        <v>-4.985820255434561</v>
      </c>
      <c r="H45" s="30"/>
      <c r="I45" s="30"/>
    </row>
    <row r="46" spans="2:9" x14ac:dyDescent="0.2">
      <c r="B46" s="37" t="s">
        <v>76</v>
      </c>
      <c r="C46" s="37"/>
      <c r="D46" s="37"/>
      <c r="E46" s="37"/>
      <c r="F46" s="38">
        <v>315917.85305600002</v>
      </c>
      <c r="G46" s="39">
        <v>100</v>
      </c>
      <c r="H46" s="40"/>
      <c r="I46" s="40"/>
    </row>
    <row r="48" spans="2:9" x14ac:dyDescent="0.2">
      <c r="B48" s="45" t="s">
        <v>79</v>
      </c>
    </row>
    <row r="49" spans="2:9" ht="39.9" customHeight="1" x14ac:dyDescent="0.2">
      <c r="B49" s="48" t="s">
        <v>80</v>
      </c>
      <c r="C49" s="48"/>
      <c r="D49" s="48"/>
      <c r="E49" s="48"/>
      <c r="F49" s="48"/>
      <c r="G49" s="48"/>
      <c r="H49" s="48"/>
      <c r="I49" s="48"/>
    </row>
    <row r="51" spans="2:9" x14ac:dyDescent="0.2">
      <c r="B51" s="15" t="s">
        <v>81</v>
      </c>
      <c r="C51" s="15"/>
      <c r="D51" s="42"/>
      <c r="E51" s="15"/>
    </row>
    <row r="52" spans="2:9" x14ac:dyDescent="0.2">
      <c r="D52" s="43"/>
      <c r="E52" s="43"/>
    </row>
    <row r="56" spans="2:9" x14ac:dyDescent="0.2">
      <c r="B56" s="15"/>
    </row>
    <row r="72" spans="2:2" x14ac:dyDescent="0.2">
      <c r="B72" s="15" t="s">
        <v>82</v>
      </c>
    </row>
    <row r="73" spans="2:2" x14ac:dyDescent="0.2">
      <c r="B73" s="45" t="s">
        <v>83</v>
      </c>
    </row>
  </sheetData>
  <mergeCells count="2">
    <mergeCell ref="B1:C1"/>
    <mergeCell ref="B49:I49"/>
  </mergeCells>
  <conditionalFormatting sqref="G1:G3 G5:G48 G50:G111">
    <cfRule type="cellIs" dxfId="0" priority="2" stopIfTrue="1" operator="between">
      <formula>0.009</formula>
      <formula>-0.009</formula>
    </cfRule>
  </conditionalFormatting>
  <hyperlinks>
    <hyperlink ref="A2" location="JBMMF!A1" display="-" xr:uid="{33CBEB03-9F39-4C19-90F5-9B1D97B9B7A5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2025-12-06T04:47:25Z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2025-12-06T04:47:25Z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c0116485-0978-4b0a-9f1f-fae6c3d6539a</vt:lpwstr>
  </property>
  <property fmtid="{D5CDD505-2E9C-101B-9397-08002B2CF9AE}" pid="17" name="MSIP_Label_defa4170-0d19-0005-0004-bc88714345d2_ActionId">
    <vt:lpwstr>3bf29e32-5c9a-4e39-8ad7-15016cefbe2a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SIP_Label_defa4170-0d19-0005-0004-bc88714345d2_Tag">
    <vt:lpwstr>10, 3, 0, 1</vt:lpwstr>
  </property>
</Properties>
</file>