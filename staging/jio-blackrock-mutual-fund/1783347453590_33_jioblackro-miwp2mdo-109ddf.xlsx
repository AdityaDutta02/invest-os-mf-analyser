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5781ECEF-EB60-4484-BFEB-740D6F48E7CB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N50" sheetId="7" r:id="rId1"/>
  </sheets>
  <definedNames>
    <definedName name="_xlnm.Print_Area" localSheetId="0">'JBN50'!$B$1:$H$102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7" i="7" l="1"/>
  <c r="G60" i="7" s="1"/>
  <c r="F57" i="7"/>
  <c r="F63" i="7" s="1"/>
  <c r="F60" i="7" l="1"/>
  <c r="G63" i="7"/>
</calcChain>
</file>

<file path=xl/sharedStrings.xml><?xml version="1.0" encoding="utf-8"?>
<sst xmlns="http://schemas.openxmlformats.org/spreadsheetml/2006/main" count="176" uniqueCount="147">
  <si>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</si>
  <si>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</si>
  <si>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</si>
  <si>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</si>
  <si>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</si>
  <si>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</si>
  <si>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</si>
  <si>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Nifty 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</si>
  <si>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</si>
  <si>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</si>
  <si>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</si>
  <si>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</si>
  <si>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</si>
  <si>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</si>
  <si>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</si>
  <si>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</si>
  <si>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HDFC Bank Ltd</t>
  </si>
  <si>
    <t>INE040A01034</t>
  </si>
  <si>
    <t>Banks</t>
  </si>
  <si>
    <t>Reliance Industries Ltd</t>
  </si>
  <si>
    <t>INE002A01018</t>
  </si>
  <si>
    <t>Petroleum Products</t>
  </si>
  <si>
    <t>ICICI Bank Ltd</t>
  </si>
  <si>
    <t>INE090A01021</t>
  </si>
  <si>
    <t>Bharti Airtel Ltd</t>
  </si>
  <si>
    <t>INE397D01024</t>
  </si>
  <si>
    <t>Telecom - Services</t>
  </si>
  <si>
    <t>Infosys Ltd</t>
  </si>
  <si>
    <t>INE009A01021</t>
  </si>
  <si>
    <t>IT - Software</t>
  </si>
  <si>
    <t>Larsen &amp; Toubro Ltd</t>
  </si>
  <si>
    <t>INE018A01030</t>
  </si>
  <si>
    <t>Construction</t>
  </si>
  <si>
    <t>State Bank of India</t>
  </si>
  <si>
    <t>INE062A01020</t>
  </si>
  <si>
    <t>ITC Ltd</t>
  </si>
  <si>
    <t>INE154A01025</t>
  </si>
  <si>
    <t>Diversified Fmcg</t>
  </si>
  <si>
    <t>Axis Bank Ltd</t>
  </si>
  <si>
    <t>INE238A01034</t>
  </si>
  <si>
    <t>Mahindra &amp; Mahindra Ltd</t>
  </si>
  <si>
    <t>INE101A01026</t>
  </si>
  <si>
    <t>Automobiles</t>
  </si>
  <si>
    <t>Tata Consultancy Services Ltd</t>
  </si>
  <si>
    <t>INE467B01029</t>
  </si>
  <si>
    <t>Kotak Mahindra Bank Ltd</t>
  </si>
  <si>
    <t>INE237A01028</t>
  </si>
  <si>
    <t>Bajaj Finance Ltd</t>
  </si>
  <si>
    <t>INE296A01032</t>
  </si>
  <si>
    <t>Finance</t>
  </si>
  <si>
    <t>Hindustan Unilever Ltd</t>
  </si>
  <si>
    <t>INE030A01027</t>
  </si>
  <si>
    <t>Eternal Ltd</t>
  </si>
  <si>
    <t>INE758T01015</t>
  </si>
  <si>
    <t>Retailing</t>
  </si>
  <si>
    <t>Maruti Suzuki India Ltd</t>
  </si>
  <si>
    <t>INE585B01010</t>
  </si>
  <si>
    <t>Sun Pharmaceutical Industries Ltd</t>
  </si>
  <si>
    <t>INE044A01036</t>
  </si>
  <si>
    <t>Pharmaceuticals &amp; Biotechnology</t>
  </si>
  <si>
    <t>HCL Technologies Ltd</t>
  </si>
  <si>
    <t>INE860A01027</t>
  </si>
  <si>
    <t>Titan Co Ltd</t>
  </si>
  <si>
    <t>INE280A01028</t>
  </si>
  <si>
    <t>Consumer Durables</t>
  </si>
  <si>
    <t>NTPC Ltd</t>
  </si>
  <si>
    <t>INE733E01010</t>
  </si>
  <si>
    <t>Power</t>
  </si>
  <si>
    <t>Bharat Electronics Ltd</t>
  </si>
  <si>
    <t>INE263A01024</t>
  </si>
  <si>
    <t>Aerospace &amp; Defense</t>
  </si>
  <si>
    <t>Tata Steel Ltd</t>
  </si>
  <si>
    <t>INE081A01020</t>
  </si>
  <si>
    <t>Ferrous Metals</t>
  </si>
  <si>
    <t>Ultratech Cement Ltd</t>
  </si>
  <si>
    <t>INE481G01011</t>
  </si>
  <si>
    <t>Cement &amp; Cement Products</t>
  </si>
  <si>
    <t>Asian Paints Ltd</t>
  </si>
  <si>
    <t>INE021A01026</t>
  </si>
  <si>
    <t>Interglobe Aviation Ltd</t>
  </si>
  <si>
    <t>INE646L01027</t>
  </si>
  <si>
    <t>Transport Services</t>
  </si>
  <si>
    <t>Power Grid Corporation of India Ltd</t>
  </si>
  <si>
    <t>INE752E01010</t>
  </si>
  <si>
    <t>Bajaj Finserv Ltd</t>
  </si>
  <si>
    <t>INE918I01026</t>
  </si>
  <si>
    <t>Shriram Finance Ltd</t>
  </si>
  <si>
    <t>INE721A01047</t>
  </si>
  <si>
    <t>Hindalco Industries Ltd</t>
  </si>
  <si>
    <t>INE038A01020</t>
  </si>
  <si>
    <t>Non - Ferrous Metals</t>
  </si>
  <si>
    <t>Adani Ports and Special Economic Zone Ltd</t>
  </si>
  <si>
    <t>INE742F01042</t>
  </si>
  <si>
    <t>Transport Infrastructure</t>
  </si>
  <si>
    <t>JSW Steel Ltd</t>
  </si>
  <si>
    <t>INE019A01038</t>
  </si>
  <si>
    <t>Grasim Industries Ltd</t>
  </si>
  <si>
    <t>INE047A01021</t>
  </si>
  <si>
    <t>Bajaj Auto Ltd</t>
  </si>
  <si>
    <t>INE917I01010</t>
  </si>
  <si>
    <t>Jio Financial Services Ltd</t>
  </si>
  <si>
    <t>INE758E01017</t>
  </si>
  <si>
    <t>Eicher Motors Ltd</t>
  </si>
  <si>
    <t>INE066A01021</t>
  </si>
  <si>
    <t>Tech Mahindra Ltd</t>
  </si>
  <si>
    <t>INE669C01036</t>
  </si>
  <si>
    <t>Oil &amp; Natural Gas Corporation Ltd</t>
  </si>
  <si>
    <t>INE213A01029</t>
  </si>
  <si>
    <t>Oil</t>
  </si>
  <si>
    <t>Trent Ltd</t>
  </si>
  <si>
    <t>INE849A01020</t>
  </si>
  <si>
    <t>Nestle India Ltd</t>
  </si>
  <si>
    <t>INE239A01024</t>
  </si>
  <si>
    <t>Food Products</t>
  </si>
  <si>
    <t>SBI Life Insurance Co Ltd</t>
  </si>
  <si>
    <t>INE123W01016</t>
  </si>
  <si>
    <t>Insurance</t>
  </si>
  <si>
    <t>Max Healthcare Institute Ltd</t>
  </si>
  <si>
    <t>INE027H01010</t>
  </si>
  <si>
    <t>Healthcare Services</t>
  </si>
  <si>
    <t>Cipla Ltd</t>
  </si>
  <si>
    <t>INE059A01026</t>
  </si>
  <si>
    <t>Coal India Ltd</t>
  </si>
  <si>
    <t>INE522F01014</t>
  </si>
  <si>
    <t>Consumable Fuels</t>
  </si>
  <si>
    <t>HDFC Life Insurance Co Ltd</t>
  </si>
  <si>
    <t>INE795G01014</t>
  </si>
  <si>
    <t>Dr. Reddy's Laboratories Ltd</t>
  </si>
  <si>
    <t>INE089A01031</t>
  </si>
  <si>
    <t>Tata Consumer Products Ltd</t>
  </si>
  <si>
    <t>INE192A01025</t>
  </si>
  <si>
    <t>Agricultural Food &amp; Other Products</t>
  </si>
  <si>
    <t>Tata Motors Passenger Vehicles Ltd</t>
  </si>
  <si>
    <t>INE155A01022</t>
  </si>
  <si>
    <t>Apollo Hospitals Enterprise Ltd</t>
  </si>
  <si>
    <t>INE437A01024</t>
  </si>
  <si>
    <t>Wipro Ltd</t>
  </si>
  <si>
    <t>INE075A01022</t>
  </si>
  <si>
    <t>Adani Enterprises Ltd</t>
  </si>
  <si>
    <t>INE423A01024</t>
  </si>
  <si>
    <t>Metals &amp; Minerals Trading</t>
  </si>
  <si>
    <t xml:space="preserve">(b) Unlisted </t>
  </si>
  <si>
    <t>NIL</t>
  </si>
  <si>
    <t>Industry Classification</t>
  </si>
  <si>
    <t>Benchmark Risk-O-Meter</t>
  </si>
  <si>
    <t>Benchmark Name - NIFTY 50 Index (TRI)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</si>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</sst>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3" borderId="0" xfId="0" applyNumberFormat="1" applyFont="1" applyFill="1" applyBorder="1"/>
    <xf numFmtId="0" fontId="9" fillId="2" borderId="0" xfId="0" applyFont="1" applyFill="1"/>
    <xf numFmtId="164" fontId="5" fillId="2" borderId="0" xfId="0" applyNumberFormat="1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10" fontId="9" fillId="2" borderId="2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39" fontId="9" fillId="2" borderId="2" xfId="0" applyNumberFormat="1" applyFont="1" applyFill="1" applyBorder="1" applyAlignment="1">
      <alignment horizontal="right"/>
    </xf>
    <xf numFmtId="39" fontId="9" fillId="3" borderId="2" xfId="0" applyNumberFormat="1" applyFont="1" applyFill="1" applyBorder="1" applyAlignment="1">
      <alignment horizontal="right"/>
    </xf>
    <xf numFmtId="39" fontId="9" fillId="2" borderId="4" xfId="0" applyNumberFormat="1" applyFont="1" applyFill="1" applyBorder="1" applyAlignment="1">
      <alignment horizontal="right"/>
    </xf>
    <xf numFmtId="39" fontId="9" fillId="3" borderId="4" xfId="0" applyNumberFormat="1" applyFont="1" applyFill="1" applyBorder="1" applyAlignment="1">
      <alignment horizontal="right"/>
    </xf>
    <xf numFmtId="0" fontId="8" fillId="2" borderId="0" xfId="1" applyFill="1"/>
    <xf numFmtId="39" fontId="5" fillId="3" borderId="0" xfId="0" applyNumberFormat="1" applyFont="1" applyFill="1"/>
    <xf numFmtId="0" fontId="9" fillId="2" borderId="0" xfId="0" applyFont="1" applyFill="1" applyAlignment="1">
      <alignment vertical="center"/>
    </xf>
    <xf numFmtId="0" fontId="9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68</xdr:row>
      <xdr:rowOff>9525</xdr:rowOff>
    </xdr:from>
    <xdr:to>
      <xdr:col>3</xdr:col>
      <xdr:colOff>57150</xdr:colOff>
      <xdr:row>82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2625F9-75EC-4562-958C-E810DE7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10601325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609600</xdr:colOff>
      <xdr:row>85</xdr:row>
      <xdr:rowOff>9525</xdr:rowOff>
    </xdr:from>
    <xdr:to>
      <xdr:col>2</xdr:col>
      <xdr:colOff>552450</xdr:colOff>
      <xdr:row>99</xdr:row>
      <xdr:rowOff>95251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541AE-6C97-4827-9180-F9A26DAF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" y="13030200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0F47-B25D-4BF0-824C-DCB8D254DBBA}">
  <dimension ref="A1:J101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" style="8" bestFit="1" customWidth="1"/>
    <col min="4" max="4" width="23" style="8" bestFit="1" customWidth="1"/>
    <col min="5" max="5" width="13.85546875" style="9" bestFit="1" customWidth="1"/>
    <col min="6" max="6" width="12.7109375" style="11" bestFit="1" customWidth="1"/>
    <col min="7" max="7" width="6.7109375" style="17" bestFit="1" customWidth="1"/>
    <col min="8" max="8" width="11.85546875" style="14" bestFit="1" customWidth="1"/>
    <col min="9" max="9" width="25.85546875" style="8" customWidth="1"/>
    <col min="10" max="16384" width="9.140625" style="8"/>
  </cols>
  <sheetData>
    <row r="1" spans="1:10" s="1" customFormat="1" ht="16.7" customHeight="1" x14ac:dyDescent="0.2">
      <c r="B1" s="57" t="s">
        <v>7</v>
      </c>
      <c r="C1" s="58"/>
      <c r="D1" s="13"/>
      <c r="E1" s="6"/>
      <c r="F1" s="7"/>
      <c r="G1" s="17"/>
      <c r="H1" s="15"/>
    </row>
    <row r="2" spans="1:10" s="1" customFormat="1" ht="15" x14ac:dyDescent="0.25">
      <c r="A2" s="53" t="s">
        <v>146</v>
      </c>
      <c r="E2" s="6"/>
      <c r="F2" s="7"/>
      <c r="G2" s="17"/>
      <c r="H2" s="15"/>
    </row>
    <row r="3" spans="1:10" s="1" customFormat="1" ht="12" x14ac:dyDescent="0.2">
      <c r="B3" s="10" t="s">
        <v>6</v>
      </c>
      <c r="C3" s="2"/>
      <c r="D3" s="3"/>
      <c r="E3" s="4"/>
      <c r="F3" s="5"/>
      <c r="G3" s="17"/>
      <c r="H3" s="15"/>
    </row>
    <row r="4" spans="1:10" s="1" customFormat="1" ht="25.5" customHeight="1" x14ac:dyDescent="0.2">
      <c r="B4" s="20" t="s">
        <v>4</v>
      </c>
      <c r="C4" s="20" t="s">
        <v>5</v>
      </c>
      <c r="D4" s="21" t="s">
        <v>143</v>
      </c>
      <c r="E4" s="22" t="s">
        <v>0</v>
      </c>
      <c r="F4" s="23" t="s">
        <v>1</v>
      </c>
      <c r="G4" s="24" t="s">
        <v>2</v>
      </c>
      <c r="H4" s="25" t="s">
        <v>3</v>
      </c>
      <c r="I4" s="16"/>
      <c r="J4" s="12"/>
    </row>
    <row r="5" spans="1:10" x14ac:dyDescent="0.2">
      <c r="B5" s="26" t="s">
        <v>14</v>
      </c>
      <c r="C5" s="27"/>
      <c r="D5" s="27"/>
      <c r="E5" s="28"/>
      <c r="F5" s="29"/>
      <c r="G5" s="30"/>
      <c r="H5" s="31"/>
    </row>
    <row r="6" spans="1:10" x14ac:dyDescent="0.2">
      <c r="B6" s="26" t="s">
        <v>15</v>
      </c>
      <c r="C6" s="27"/>
      <c r="D6" s="27"/>
      <c r="E6" s="28"/>
      <c r="F6" s="29"/>
      <c r="G6" s="30"/>
      <c r="H6" s="31"/>
    </row>
    <row r="7" spans="1:10" x14ac:dyDescent="0.2">
      <c r="B7" s="27" t="s">
        <v>16</v>
      </c>
      <c r="C7" s="27" t="s">
        <v>17</v>
      </c>
      <c r="D7" s="27" t="s">
        <v>18</v>
      </c>
      <c r="E7" s="32">
        <v>193027</v>
      </c>
      <c r="F7" s="29">
        <v>1944.9400519999999</v>
      </c>
      <c r="G7" s="30">
        <v>12.8611956089605</v>
      </c>
      <c r="H7" s="31"/>
    </row>
    <row r="8" spans="1:10" x14ac:dyDescent="0.2">
      <c r="B8" s="27" t="s">
        <v>19</v>
      </c>
      <c r="C8" s="27" t="s">
        <v>20</v>
      </c>
      <c r="D8" s="27" t="s">
        <v>21</v>
      </c>
      <c r="E8" s="32">
        <v>85558</v>
      </c>
      <c r="F8" s="29">
        <v>1341.12165</v>
      </c>
      <c r="G8" s="30">
        <v>8.86835964857897</v>
      </c>
      <c r="H8" s="31"/>
    </row>
    <row r="9" spans="1:10" x14ac:dyDescent="0.2">
      <c r="B9" s="27" t="s">
        <v>22</v>
      </c>
      <c r="C9" s="27" t="s">
        <v>23</v>
      </c>
      <c r="D9" s="27" t="s">
        <v>18</v>
      </c>
      <c r="E9" s="32">
        <v>90187</v>
      </c>
      <c r="F9" s="29">
        <v>1252.5170559999999</v>
      </c>
      <c r="G9" s="30">
        <v>8.2824490370335404</v>
      </c>
      <c r="H9" s="31"/>
    </row>
    <row r="10" spans="1:10" x14ac:dyDescent="0.2">
      <c r="B10" s="27" t="s">
        <v>24</v>
      </c>
      <c r="C10" s="27" t="s">
        <v>25</v>
      </c>
      <c r="D10" s="27" t="s">
        <v>26</v>
      </c>
      <c r="E10" s="32">
        <v>34446</v>
      </c>
      <c r="F10" s="29">
        <v>723.91713600000003</v>
      </c>
      <c r="G10" s="30">
        <v>4.7870060988257501</v>
      </c>
      <c r="H10" s="31"/>
    </row>
    <row r="11" spans="1:10" x14ac:dyDescent="0.2">
      <c r="B11" s="27" t="s">
        <v>27</v>
      </c>
      <c r="C11" s="27" t="s">
        <v>28</v>
      </c>
      <c r="D11" s="27" t="s">
        <v>29</v>
      </c>
      <c r="E11" s="32">
        <v>45532</v>
      </c>
      <c r="F11" s="29">
        <v>710.34473200000002</v>
      </c>
      <c r="G11" s="30">
        <v>4.6972566268313098</v>
      </c>
      <c r="H11" s="31"/>
    </row>
    <row r="12" spans="1:10" x14ac:dyDescent="0.2">
      <c r="B12" s="27" t="s">
        <v>30</v>
      </c>
      <c r="C12" s="27" t="s">
        <v>31</v>
      </c>
      <c r="D12" s="27" t="s">
        <v>32</v>
      </c>
      <c r="E12" s="32">
        <v>14842</v>
      </c>
      <c r="F12" s="29">
        <v>604.01003200000002</v>
      </c>
      <c r="G12" s="30">
        <v>3.9941031412964598</v>
      </c>
      <c r="H12" s="31"/>
    </row>
    <row r="13" spans="1:10" x14ac:dyDescent="0.2">
      <c r="B13" s="27" t="s">
        <v>33</v>
      </c>
      <c r="C13" s="27" t="s">
        <v>34</v>
      </c>
      <c r="D13" s="27" t="s">
        <v>18</v>
      </c>
      <c r="E13" s="32">
        <v>52437</v>
      </c>
      <c r="F13" s="29">
        <v>513.35823000000005</v>
      </c>
      <c r="G13" s="30">
        <v>3.3946550726385798</v>
      </c>
      <c r="H13" s="31"/>
    </row>
    <row r="14" spans="1:10" x14ac:dyDescent="0.2">
      <c r="B14" s="27" t="s">
        <v>35</v>
      </c>
      <c r="C14" s="27" t="s">
        <v>36</v>
      </c>
      <c r="D14" s="27" t="s">
        <v>37</v>
      </c>
      <c r="E14" s="32">
        <v>121767</v>
      </c>
      <c r="F14" s="29">
        <v>492.24309749999998</v>
      </c>
      <c r="G14" s="30">
        <v>3.2550282244422202</v>
      </c>
      <c r="H14" s="31"/>
    </row>
    <row r="15" spans="1:10" x14ac:dyDescent="0.2">
      <c r="B15" s="27" t="s">
        <v>38</v>
      </c>
      <c r="C15" s="27" t="s">
        <v>39</v>
      </c>
      <c r="D15" s="27" t="s">
        <v>18</v>
      </c>
      <c r="E15" s="32">
        <v>36193</v>
      </c>
      <c r="F15" s="29">
        <v>463.16182099999997</v>
      </c>
      <c r="G15" s="30">
        <v>3.06272410419946</v>
      </c>
      <c r="H15" s="31"/>
    </row>
    <row r="16" spans="1:10" x14ac:dyDescent="0.2">
      <c r="B16" s="27" t="s">
        <v>40</v>
      </c>
      <c r="C16" s="27" t="s">
        <v>41</v>
      </c>
      <c r="D16" s="27" t="s">
        <v>42</v>
      </c>
      <c r="E16" s="32">
        <v>11201</v>
      </c>
      <c r="F16" s="29">
        <v>420.85517299999998</v>
      </c>
      <c r="G16" s="30">
        <v>2.7829653142419399</v>
      </c>
      <c r="H16" s="31"/>
    </row>
    <row r="17" spans="2:8" x14ac:dyDescent="0.2">
      <c r="B17" s="27" t="s">
        <v>43</v>
      </c>
      <c r="C17" s="27" t="s">
        <v>44</v>
      </c>
      <c r="D17" s="27" t="s">
        <v>29</v>
      </c>
      <c r="E17" s="32">
        <v>12908</v>
      </c>
      <c r="F17" s="29">
        <v>404.98849999999999</v>
      </c>
      <c r="G17" s="30">
        <v>2.6780446587664302</v>
      </c>
      <c r="H17" s="31"/>
    </row>
    <row r="18" spans="2:8" x14ac:dyDescent="0.2">
      <c r="B18" s="27" t="s">
        <v>45</v>
      </c>
      <c r="C18" s="27" t="s">
        <v>46</v>
      </c>
      <c r="D18" s="27" t="s">
        <v>18</v>
      </c>
      <c r="E18" s="32">
        <v>18586</v>
      </c>
      <c r="F18" s="29">
        <v>394.84098399999999</v>
      </c>
      <c r="G18" s="30">
        <v>2.6109427508763399</v>
      </c>
      <c r="H18" s="31"/>
    </row>
    <row r="19" spans="2:8" x14ac:dyDescent="0.2">
      <c r="B19" s="27" t="s">
        <v>47</v>
      </c>
      <c r="C19" s="27" t="s">
        <v>48</v>
      </c>
      <c r="D19" s="27" t="s">
        <v>49</v>
      </c>
      <c r="E19" s="32">
        <v>33626</v>
      </c>
      <c r="F19" s="29">
        <v>348.86975000000001</v>
      </c>
      <c r="G19" s="30">
        <v>2.3069513593415101</v>
      </c>
      <c r="H19" s="31"/>
    </row>
    <row r="20" spans="2:8" x14ac:dyDescent="0.2">
      <c r="B20" s="27" t="s">
        <v>50</v>
      </c>
      <c r="C20" s="27" t="s">
        <v>51</v>
      </c>
      <c r="D20" s="27" t="s">
        <v>37</v>
      </c>
      <c r="E20" s="32">
        <v>11216</v>
      </c>
      <c r="F20" s="29">
        <v>276.65385600000002</v>
      </c>
      <c r="G20" s="30">
        <v>1.82941338183168</v>
      </c>
      <c r="H20" s="31"/>
    </row>
    <row r="21" spans="2:8" x14ac:dyDescent="0.2">
      <c r="B21" s="27" t="s">
        <v>52</v>
      </c>
      <c r="C21" s="27" t="s">
        <v>53</v>
      </c>
      <c r="D21" s="27" t="s">
        <v>54</v>
      </c>
      <c r="E21" s="32">
        <v>88003</v>
      </c>
      <c r="F21" s="29">
        <v>264.09700299999997</v>
      </c>
      <c r="G21" s="30">
        <v>1.7463793867736299</v>
      </c>
      <c r="H21" s="31"/>
    </row>
    <row r="22" spans="2:8" x14ac:dyDescent="0.2">
      <c r="B22" s="27" t="s">
        <v>55</v>
      </c>
      <c r="C22" s="27" t="s">
        <v>56</v>
      </c>
      <c r="D22" s="27" t="s">
        <v>42</v>
      </c>
      <c r="E22" s="32">
        <v>1658</v>
      </c>
      <c r="F22" s="29">
        <v>263.62200000000001</v>
      </c>
      <c r="G22" s="30">
        <v>1.7432383611715501</v>
      </c>
      <c r="H22" s="31"/>
    </row>
    <row r="23" spans="2:8" x14ac:dyDescent="0.2">
      <c r="B23" s="27" t="s">
        <v>57</v>
      </c>
      <c r="C23" s="27" t="s">
        <v>58</v>
      </c>
      <c r="D23" s="27" t="s">
        <v>59</v>
      </c>
      <c r="E23" s="32">
        <v>13319</v>
      </c>
      <c r="F23" s="29">
        <v>243.95080400000001</v>
      </c>
      <c r="G23" s="30">
        <v>1.6131597505953299</v>
      </c>
      <c r="H23" s="31"/>
    </row>
    <row r="24" spans="2:8" x14ac:dyDescent="0.2">
      <c r="B24" s="27" t="s">
        <v>60</v>
      </c>
      <c r="C24" s="27" t="s">
        <v>61</v>
      </c>
      <c r="D24" s="27" t="s">
        <v>29</v>
      </c>
      <c r="E24" s="32">
        <v>13390</v>
      </c>
      <c r="F24" s="29">
        <v>217.48038</v>
      </c>
      <c r="G24" s="30">
        <v>1.4381202677248699</v>
      </c>
      <c r="H24" s="31"/>
    </row>
    <row r="25" spans="2:8" x14ac:dyDescent="0.2">
      <c r="B25" s="27" t="s">
        <v>62</v>
      </c>
      <c r="C25" s="27" t="s">
        <v>63</v>
      </c>
      <c r="D25" s="27" t="s">
        <v>64</v>
      </c>
      <c r="E25" s="32">
        <v>5215</v>
      </c>
      <c r="F25" s="29">
        <v>203.78655499999999</v>
      </c>
      <c r="G25" s="30">
        <v>1.3475678819180299</v>
      </c>
      <c r="H25" s="31"/>
    </row>
    <row r="26" spans="2:8" x14ac:dyDescent="0.2">
      <c r="B26" s="27" t="s">
        <v>65</v>
      </c>
      <c r="C26" s="27" t="s">
        <v>66</v>
      </c>
      <c r="D26" s="27" t="s">
        <v>67</v>
      </c>
      <c r="E26" s="32">
        <v>59920</v>
      </c>
      <c r="F26" s="29">
        <v>195.60883999999999</v>
      </c>
      <c r="G26" s="30">
        <v>1.2934915662284201</v>
      </c>
      <c r="H26" s="31"/>
    </row>
    <row r="27" spans="2:8" x14ac:dyDescent="0.2">
      <c r="B27" s="27" t="s">
        <v>68</v>
      </c>
      <c r="C27" s="27" t="s">
        <v>69</v>
      </c>
      <c r="D27" s="27" t="s">
        <v>70</v>
      </c>
      <c r="E27" s="32">
        <v>45267</v>
      </c>
      <c r="F27" s="29">
        <v>186.38687250000001</v>
      </c>
      <c r="G27" s="30">
        <v>1.23250998080885</v>
      </c>
      <c r="H27" s="31"/>
    </row>
    <row r="28" spans="2:8" x14ac:dyDescent="0.2">
      <c r="B28" s="27" t="s">
        <v>71</v>
      </c>
      <c r="C28" s="27" t="s">
        <v>72</v>
      </c>
      <c r="D28" s="27" t="s">
        <v>73</v>
      </c>
      <c r="E28" s="32">
        <v>104514</v>
      </c>
      <c r="F28" s="29">
        <v>175.54171439999999</v>
      </c>
      <c r="G28" s="30">
        <v>1.1607948142715701</v>
      </c>
      <c r="H28" s="31"/>
    </row>
    <row r="29" spans="2:8" x14ac:dyDescent="0.2">
      <c r="B29" s="27" t="s">
        <v>74</v>
      </c>
      <c r="C29" s="27" t="s">
        <v>75</v>
      </c>
      <c r="D29" s="27" t="s">
        <v>76</v>
      </c>
      <c r="E29" s="32">
        <v>1500</v>
      </c>
      <c r="F29" s="29">
        <v>174</v>
      </c>
      <c r="G29" s="30">
        <v>1.1506000062356301</v>
      </c>
      <c r="H29" s="31"/>
    </row>
    <row r="30" spans="2:8" x14ac:dyDescent="0.2">
      <c r="B30" s="27" t="s">
        <v>77</v>
      </c>
      <c r="C30" s="27" t="s">
        <v>78</v>
      </c>
      <c r="D30" s="27" t="s">
        <v>64</v>
      </c>
      <c r="E30" s="32">
        <v>5715</v>
      </c>
      <c r="F30" s="29">
        <v>164.27196000000001</v>
      </c>
      <c r="G30" s="30">
        <v>1.08627194368011</v>
      </c>
      <c r="H30" s="31"/>
    </row>
    <row r="31" spans="2:8" x14ac:dyDescent="0.2">
      <c r="B31" s="27" t="s">
        <v>79</v>
      </c>
      <c r="C31" s="27" t="s">
        <v>80</v>
      </c>
      <c r="D31" s="27" t="s">
        <v>81</v>
      </c>
      <c r="E31" s="32">
        <v>2761</v>
      </c>
      <c r="F31" s="29">
        <v>162.940415</v>
      </c>
      <c r="G31" s="30">
        <v>1.07746691100596</v>
      </c>
      <c r="H31" s="31"/>
    </row>
    <row r="32" spans="2:8" x14ac:dyDescent="0.2">
      <c r="B32" s="27" t="s">
        <v>82</v>
      </c>
      <c r="C32" s="27" t="s">
        <v>83</v>
      </c>
      <c r="D32" s="27" t="s">
        <v>67</v>
      </c>
      <c r="E32" s="32">
        <v>57247</v>
      </c>
      <c r="F32" s="29">
        <v>154.53827649999999</v>
      </c>
      <c r="G32" s="30">
        <v>1.0219065626697901</v>
      </c>
      <c r="H32" s="31"/>
    </row>
    <row r="33" spans="2:8" x14ac:dyDescent="0.2">
      <c r="B33" s="27" t="s">
        <v>84</v>
      </c>
      <c r="C33" s="27" t="s">
        <v>85</v>
      </c>
      <c r="D33" s="27" t="s">
        <v>49</v>
      </c>
      <c r="E33" s="32">
        <v>7214</v>
      </c>
      <c r="F33" s="29">
        <v>151.06116</v>
      </c>
      <c r="G33" s="30">
        <v>0.99891363010322898</v>
      </c>
      <c r="H33" s="31"/>
    </row>
    <row r="34" spans="2:8" x14ac:dyDescent="0.2">
      <c r="B34" s="27" t="s">
        <v>86</v>
      </c>
      <c r="C34" s="27" t="s">
        <v>87</v>
      </c>
      <c r="D34" s="27" t="s">
        <v>49</v>
      </c>
      <c r="E34" s="32">
        <v>17696</v>
      </c>
      <c r="F34" s="29">
        <v>150.70798400000001</v>
      </c>
      <c r="G34" s="30">
        <v>0.99657820304689404</v>
      </c>
      <c r="H34" s="31"/>
    </row>
    <row r="35" spans="2:8" x14ac:dyDescent="0.2">
      <c r="B35" s="27" t="s">
        <v>88</v>
      </c>
      <c r="C35" s="27" t="s">
        <v>89</v>
      </c>
      <c r="D35" s="27" t="s">
        <v>90</v>
      </c>
      <c r="E35" s="32">
        <v>18305</v>
      </c>
      <c r="F35" s="29">
        <v>147.97762</v>
      </c>
      <c r="G35" s="30">
        <v>0.97852327870536704</v>
      </c>
      <c r="H35" s="31"/>
    </row>
    <row r="36" spans="2:8" x14ac:dyDescent="0.2">
      <c r="B36" s="27" t="s">
        <v>91</v>
      </c>
      <c r="C36" s="27" t="s">
        <v>92</v>
      </c>
      <c r="D36" s="27" t="s">
        <v>93</v>
      </c>
      <c r="E36" s="32">
        <v>9327</v>
      </c>
      <c r="F36" s="29">
        <v>141.48126300000001</v>
      </c>
      <c r="G36" s="30">
        <v>0.93556518442543102</v>
      </c>
      <c r="H36" s="31"/>
    </row>
    <row r="37" spans="2:8" x14ac:dyDescent="0.2">
      <c r="B37" s="27" t="s">
        <v>94</v>
      </c>
      <c r="C37" s="27" t="s">
        <v>95</v>
      </c>
      <c r="D37" s="27" t="s">
        <v>73</v>
      </c>
      <c r="E37" s="32">
        <v>11839</v>
      </c>
      <c r="F37" s="29">
        <v>137.36791700000001</v>
      </c>
      <c r="G37" s="30">
        <v>0.90836509285503297</v>
      </c>
      <c r="H37" s="31"/>
    </row>
    <row r="38" spans="2:8" x14ac:dyDescent="0.2">
      <c r="B38" s="27" t="s">
        <v>96</v>
      </c>
      <c r="C38" s="27" t="s">
        <v>97</v>
      </c>
      <c r="D38" s="27" t="s">
        <v>76</v>
      </c>
      <c r="E38" s="32">
        <v>4829</v>
      </c>
      <c r="F38" s="29">
        <v>132.28562600000001</v>
      </c>
      <c r="G38" s="30">
        <v>0.87475771322117502</v>
      </c>
      <c r="H38" s="31"/>
    </row>
    <row r="39" spans="2:8" x14ac:dyDescent="0.2">
      <c r="B39" s="27" t="s">
        <v>98</v>
      </c>
      <c r="C39" s="27" t="s">
        <v>99</v>
      </c>
      <c r="D39" s="27" t="s">
        <v>42</v>
      </c>
      <c r="E39" s="32">
        <v>1401</v>
      </c>
      <c r="F39" s="29">
        <v>127.11973500000001</v>
      </c>
      <c r="G39" s="30">
        <v>0.840597516572827</v>
      </c>
      <c r="H39" s="31"/>
    </row>
    <row r="40" spans="2:8" x14ac:dyDescent="0.2">
      <c r="B40" s="27" t="s">
        <v>100</v>
      </c>
      <c r="C40" s="27" t="s">
        <v>101</v>
      </c>
      <c r="D40" s="27" t="s">
        <v>49</v>
      </c>
      <c r="E40" s="32">
        <v>41419</v>
      </c>
      <c r="F40" s="29">
        <v>126.824978</v>
      </c>
      <c r="G40" s="30">
        <v>0.83864839354961995</v>
      </c>
      <c r="H40" s="31"/>
    </row>
    <row r="41" spans="2:8" x14ac:dyDescent="0.2">
      <c r="B41" s="27" t="s">
        <v>102</v>
      </c>
      <c r="C41" s="27" t="s">
        <v>103</v>
      </c>
      <c r="D41" s="27" t="s">
        <v>42</v>
      </c>
      <c r="E41" s="32">
        <v>1739</v>
      </c>
      <c r="F41" s="29">
        <v>122.660365</v>
      </c>
      <c r="G41" s="30">
        <v>0.81110929157393596</v>
      </c>
      <c r="H41" s="31"/>
    </row>
    <row r="42" spans="2:8" x14ac:dyDescent="0.2">
      <c r="B42" s="27" t="s">
        <v>104</v>
      </c>
      <c r="C42" s="27" t="s">
        <v>105</v>
      </c>
      <c r="D42" s="27" t="s">
        <v>29</v>
      </c>
      <c r="E42" s="32">
        <v>8023</v>
      </c>
      <c r="F42" s="29">
        <v>121.732979</v>
      </c>
      <c r="G42" s="30">
        <v>0.80497681837058599</v>
      </c>
      <c r="H42" s="31"/>
    </row>
    <row r="43" spans="2:8" x14ac:dyDescent="0.2">
      <c r="B43" s="27" t="s">
        <v>106</v>
      </c>
      <c r="C43" s="27" t="s">
        <v>107</v>
      </c>
      <c r="D43" s="27" t="s">
        <v>108</v>
      </c>
      <c r="E43" s="32">
        <v>49093</v>
      </c>
      <c r="F43" s="29">
        <v>119.4187225</v>
      </c>
      <c r="G43" s="30">
        <v>0.78967346467328303</v>
      </c>
      <c r="H43" s="31"/>
    </row>
    <row r="44" spans="2:8" x14ac:dyDescent="0.2">
      <c r="B44" s="27" t="s">
        <v>109</v>
      </c>
      <c r="C44" s="27" t="s">
        <v>110</v>
      </c>
      <c r="D44" s="27" t="s">
        <v>54</v>
      </c>
      <c r="E44" s="32">
        <v>2805</v>
      </c>
      <c r="F44" s="29">
        <v>119.22372</v>
      </c>
      <c r="G44" s="30">
        <v>0.78838398261744402</v>
      </c>
      <c r="H44" s="31"/>
    </row>
    <row r="45" spans="2:8" x14ac:dyDescent="0.2">
      <c r="B45" s="27" t="s">
        <v>111</v>
      </c>
      <c r="C45" s="27" t="s">
        <v>112</v>
      </c>
      <c r="D45" s="27" t="s">
        <v>113</v>
      </c>
      <c r="E45" s="32">
        <v>9062</v>
      </c>
      <c r="F45" s="29">
        <v>114.28088200000001</v>
      </c>
      <c r="G45" s="30">
        <v>0.75569875598743397</v>
      </c>
      <c r="H45" s="31"/>
    </row>
    <row r="46" spans="2:8" x14ac:dyDescent="0.2">
      <c r="B46" s="27" t="s">
        <v>114</v>
      </c>
      <c r="C46" s="27" t="s">
        <v>115</v>
      </c>
      <c r="D46" s="27" t="s">
        <v>116</v>
      </c>
      <c r="E46" s="32">
        <v>5670</v>
      </c>
      <c r="F46" s="29">
        <v>111.4722</v>
      </c>
      <c r="G46" s="30">
        <v>0.73712594261551501</v>
      </c>
      <c r="H46" s="31"/>
    </row>
    <row r="47" spans="2:8" x14ac:dyDescent="0.2">
      <c r="B47" s="27" t="s">
        <v>117</v>
      </c>
      <c r="C47" s="27" t="s">
        <v>118</v>
      </c>
      <c r="D47" s="27" t="s">
        <v>119</v>
      </c>
      <c r="E47" s="32">
        <v>9394</v>
      </c>
      <c r="F47" s="29">
        <v>109.23343199999999</v>
      </c>
      <c r="G47" s="30">
        <v>0.72232176747321497</v>
      </c>
      <c r="H47" s="31"/>
    </row>
    <row r="48" spans="2:8" x14ac:dyDescent="0.2">
      <c r="B48" s="27" t="s">
        <v>120</v>
      </c>
      <c r="C48" s="27" t="s">
        <v>121</v>
      </c>
      <c r="D48" s="27" t="s">
        <v>59</v>
      </c>
      <c r="E48" s="32">
        <v>7109</v>
      </c>
      <c r="F48" s="29">
        <v>108.860117</v>
      </c>
      <c r="G48" s="30">
        <v>0.71985316838512403</v>
      </c>
      <c r="H48" s="31"/>
    </row>
    <row r="49" spans="2:9" x14ac:dyDescent="0.2">
      <c r="B49" s="27" t="s">
        <v>122</v>
      </c>
      <c r="C49" s="27" t="s">
        <v>123</v>
      </c>
      <c r="D49" s="27" t="s">
        <v>124</v>
      </c>
      <c r="E49" s="32">
        <v>28701</v>
      </c>
      <c r="F49" s="29">
        <v>107.9588115</v>
      </c>
      <c r="G49" s="30">
        <v>0.71389315623615701</v>
      </c>
      <c r="H49" s="31"/>
    </row>
    <row r="50" spans="2:9" x14ac:dyDescent="0.2">
      <c r="B50" s="27" t="s">
        <v>125</v>
      </c>
      <c r="C50" s="27" t="s">
        <v>126</v>
      </c>
      <c r="D50" s="27" t="s">
        <v>116</v>
      </c>
      <c r="E50" s="32">
        <v>13562</v>
      </c>
      <c r="F50" s="29">
        <v>103.654366</v>
      </c>
      <c r="G50" s="30">
        <v>0.68542939175833595</v>
      </c>
      <c r="H50" s="31"/>
    </row>
    <row r="51" spans="2:9" x14ac:dyDescent="0.2">
      <c r="B51" s="27" t="s">
        <v>127</v>
      </c>
      <c r="C51" s="27" t="s">
        <v>128</v>
      </c>
      <c r="D51" s="27" t="s">
        <v>59</v>
      </c>
      <c r="E51" s="32">
        <v>7700</v>
      </c>
      <c r="F51" s="29">
        <v>96.927599999999998</v>
      </c>
      <c r="G51" s="30">
        <v>0.64094768485290099</v>
      </c>
      <c r="H51" s="31"/>
    </row>
    <row r="52" spans="2:9" x14ac:dyDescent="0.2">
      <c r="B52" s="27" t="s">
        <v>129</v>
      </c>
      <c r="C52" s="27" t="s">
        <v>130</v>
      </c>
      <c r="D52" s="27" t="s">
        <v>131</v>
      </c>
      <c r="E52" s="32">
        <v>8231</v>
      </c>
      <c r="F52" s="29">
        <v>96.500243999999995</v>
      </c>
      <c r="G52" s="30">
        <v>0.63812173188586196</v>
      </c>
      <c r="H52" s="31"/>
    </row>
    <row r="53" spans="2:9" x14ac:dyDescent="0.2">
      <c r="B53" s="27" t="s">
        <v>132</v>
      </c>
      <c r="C53" s="27" t="s">
        <v>133</v>
      </c>
      <c r="D53" s="27" t="s">
        <v>42</v>
      </c>
      <c r="E53" s="32">
        <v>26400</v>
      </c>
      <c r="F53" s="29">
        <v>94.1952</v>
      </c>
      <c r="G53" s="30">
        <v>0.62287929716877299</v>
      </c>
      <c r="H53" s="31"/>
    </row>
    <row r="54" spans="2:9" x14ac:dyDescent="0.2">
      <c r="B54" s="27" t="s">
        <v>134</v>
      </c>
      <c r="C54" s="27" t="s">
        <v>135</v>
      </c>
      <c r="D54" s="27" t="s">
        <v>119</v>
      </c>
      <c r="E54" s="32">
        <v>1277</v>
      </c>
      <c r="F54" s="29">
        <v>93.674334999999999</v>
      </c>
      <c r="G54" s="30">
        <v>0.61943500250068195</v>
      </c>
      <c r="H54" s="31"/>
    </row>
    <row r="55" spans="2:9" x14ac:dyDescent="0.2">
      <c r="B55" s="27" t="s">
        <v>136</v>
      </c>
      <c r="C55" s="27" t="s">
        <v>137</v>
      </c>
      <c r="D55" s="27" t="s">
        <v>29</v>
      </c>
      <c r="E55" s="32">
        <v>36060</v>
      </c>
      <c r="F55" s="29">
        <v>89.980518000000004</v>
      </c>
      <c r="G55" s="30">
        <v>0.59500910673497298</v>
      </c>
      <c r="H55" s="31"/>
    </row>
    <row r="56" spans="2:9" x14ac:dyDescent="0.2">
      <c r="B56" s="27" t="s">
        <v>138</v>
      </c>
      <c r="C56" s="27" t="s">
        <v>139</v>
      </c>
      <c r="D56" s="27" t="s">
        <v>140</v>
      </c>
      <c r="E56" s="32">
        <v>3292</v>
      </c>
      <c r="F56" s="29">
        <v>75.064183999999997</v>
      </c>
      <c r="G56" s="30">
        <v>0.49637270447398102</v>
      </c>
      <c r="H56" s="31"/>
    </row>
    <row r="57" spans="2:9" x14ac:dyDescent="0.2">
      <c r="B57" s="26" t="s">
        <v>8</v>
      </c>
      <c r="C57" s="26"/>
      <c r="D57" s="26"/>
      <c r="E57" s="33"/>
      <c r="F57" s="34">
        <f>SUM(F7:F56)</f>
        <v>15097.710848900004</v>
      </c>
      <c r="G57" s="35">
        <f>SUM(G7:G56)</f>
        <v>99.835782740736235</v>
      </c>
      <c r="H57" s="36"/>
      <c r="I57" s="18"/>
    </row>
    <row r="58" spans="2:9" x14ac:dyDescent="0.2">
      <c r="B58" s="26" t="s">
        <v>141</v>
      </c>
      <c r="C58" s="26"/>
      <c r="D58" s="26"/>
      <c r="E58" s="33"/>
      <c r="F58" s="49" t="s">
        <v>142</v>
      </c>
      <c r="G58" s="50" t="s">
        <v>142</v>
      </c>
      <c r="H58" s="36"/>
      <c r="I58" s="18"/>
    </row>
    <row r="59" spans="2:9" x14ac:dyDescent="0.2">
      <c r="B59" s="26" t="s">
        <v>8</v>
      </c>
      <c r="C59" s="26"/>
      <c r="D59" s="26"/>
      <c r="E59" s="33"/>
      <c r="F59" s="51" t="s">
        <v>142</v>
      </c>
      <c r="G59" s="52" t="s">
        <v>142</v>
      </c>
      <c r="H59" s="36"/>
      <c r="I59" s="18"/>
    </row>
    <row r="60" spans="2:9" x14ac:dyDescent="0.2">
      <c r="B60" s="37" t="s">
        <v>9</v>
      </c>
      <c r="C60" s="37"/>
      <c r="D60" s="37"/>
      <c r="E60" s="38"/>
      <c r="F60" s="39">
        <f>F57</f>
        <v>15097.710848900004</v>
      </c>
      <c r="G60" s="40">
        <f>G57</f>
        <v>99.835782740736235</v>
      </c>
      <c r="H60" s="36"/>
      <c r="I60" s="18"/>
    </row>
    <row r="61" spans="2:9" x14ac:dyDescent="0.2">
      <c r="B61" s="26" t="s">
        <v>10</v>
      </c>
      <c r="C61" s="26"/>
      <c r="D61" s="26"/>
      <c r="E61" s="33"/>
      <c r="F61" s="34">
        <v>155.5723175</v>
      </c>
      <c r="G61" s="35">
        <v>1.0287443073884599</v>
      </c>
      <c r="H61" s="41">
        <v>5.305E-2</v>
      </c>
      <c r="I61" s="19"/>
    </row>
    <row r="62" spans="2:9" x14ac:dyDescent="0.2">
      <c r="B62" s="27"/>
      <c r="C62" s="27"/>
      <c r="D62" s="27"/>
      <c r="E62" s="28"/>
      <c r="F62" s="29"/>
      <c r="G62" s="30"/>
      <c r="H62" s="31"/>
    </row>
    <row r="63" spans="2:9" x14ac:dyDescent="0.2">
      <c r="B63" s="47" t="s">
        <v>12</v>
      </c>
      <c r="C63" s="47"/>
      <c r="D63" s="47"/>
      <c r="E63" s="48"/>
      <c r="F63" s="34">
        <f>F64-(F57+F61)</f>
        <v>-130.73848910000379</v>
      </c>
      <c r="G63" s="35">
        <f>G64-(G57+G61)</f>
        <v>-0.8645270481246996</v>
      </c>
      <c r="H63" s="36"/>
      <c r="I63" s="18"/>
    </row>
    <row r="64" spans="2:9" x14ac:dyDescent="0.2">
      <c r="B64" s="42" t="s">
        <v>11</v>
      </c>
      <c r="C64" s="42"/>
      <c r="D64" s="42"/>
      <c r="E64" s="43"/>
      <c r="F64" s="44">
        <v>15122.5446773</v>
      </c>
      <c r="G64" s="45">
        <v>100</v>
      </c>
      <c r="H64" s="46"/>
      <c r="I64" s="18"/>
    </row>
    <row r="67" spans="2:8" x14ac:dyDescent="0.2">
      <c r="B67" s="18" t="s">
        <v>13</v>
      </c>
      <c r="E67" s="8"/>
      <c r="G67" s="54"/>
      <c r="H67" s="8"/>
    </row>
    <row r="68" spans="2:8" x14ac:dyDescent="0.2">
      <c r="E68" s="8"/>
      <c r="G68" s="54"/>
      <c r="H68" s="8"/>
    </row>
    <row r="69" spans="2:8" x14ac:dyDescent="0.2">
      <c r="E69" s="8"/>
      <c r="G69" s="54"/>
      <c r="H69" s="8"/>
    </row>
    <row r="70" spans="2:8" x14ac:dyDescent="0.2">
      <c r="E70" s="8"/>
      <c r="G70" s="54"/>
      <c r="H70" s="8"/>
    </row>
    <row r="71" spans="2:8" x14ac:dyDescent="0.2">
      <c r="E71" s="8"/>
      <c r="G71" s="54"/>
      <c r="H71" s="8"/>
    </row>
    <row r="72" spans="2:8" x14ac:dyDescent="0.2">
      <c r="E72" s="8"/>
      <c r="G72" s="54"/>
      <c r="H72" s="8"/>
    </row>
    <row r="73" spans="2:8" x14ac:dyDescent="0.2">
      <c r="E73" s="8"/>
      <c r="G73" s="54"/>
      <c r="H73" s="8"/>
    </row>
    <row r="74" spans="2:8" x14ac:dyDescent="0.2">
      <c r="E74" s="8"/>
      <c r="G74" s="54"/>
      <c r="H74" s="8"/>
    </row>
    <row r="75" spans="2:8" x14ac:dyDescent="0.2">
      <c r="E75" s="8"/>
      <c r="G75" s="54"/>
      <c r="H75" s="8"/>
    </row>
    <row r="76" spans="2:8" x14ac:dyDescent="0.2">
      <c r="E76" s="8"/>
      <c r="G76" s="54"/>
      <c r="H76" s="8"/>
    </row>
    <row r="77" spans="2:8" x14ac:dyDescent="0.2">
      <c r="E77" s="8"/>
      <c r="G77" s="54"/>
      <c r="H77" s="8"/>
    </row>
    <row r="78" spans="2:8" x14ac:dyDescent="0.2">
      <c r="E78" s="8"/>
      <c r="G78" s="54"/>
      <c r="H78" s="8"/>
    </row>
    <row r="79" spans="2:8" x14ac:dyDescent="0.2">
      <c r="E79" s="8"/>
      <c r="G79" s="54"/>
      <c r="H79" s="8"/>
    </row>
    <row r="80" spans="2:8" x14ac:dyDescent="0.2">
      <c r="E80" s="8"/>
      <c r="G80" s="54"/>
      <c r="H80" s="8"/>
    </row>
    <row r="81" spans="2:8" x14ac:dyDescent="0.2">
      <c r="E81" s="8"/>
      <c r="G81" s="54"/>
      <c r="H81" s="8"/>
    </row>
    <row r="82" spans="2:8" x14ac:dyDescent="0.2">
      <c r="E82" s="8"/>
      <c r="G82" s="54"/>
      <c r="H82" s="8"/>
    </row>
    <row r="83" spans="2:8" x14ac:dyDescent="0.2">
      <c r="E83" s="8"/>
      <c r="G83" s="54"/>
      <c r="H83" s="8"/>
    </row>
    <row r="84" spans="2:8" x14ac:dyDescent="0.2">
      <c r="B84" s="55" t="s">
        <v>144</v>
      </c>
      <c r="E84" s="8"/>
      <c r="G84" s="54"/>
      <c r="H84" s="8"/>
    </row>
    <row r="85" spans="2:8" x14ac:dyDescent="0.2">
      <c r="B85" s="56" t="s">
        <v>145</v>
      </c>
      <c r="E85" s="8"/>
      <c r="G85" s="54"/>
      <c r="H85" s="8"/>
    </row>
    <row r="86" spans="2:8" x14ac:dyDescent="0.2">
      <c r="E86" s="8"/>
      <c r="G86" s="54"/>
      <c r="H86" s="8"/>
    </row>
    <row r="87" spans="2:8" x14ac:dyDescent="0.2">
      <c r="E87" s="8"/>
      <c r="G87" s="54"/>
      <c r="H87" s="8"/>
    </row>
    <row r="88" spans="2:8" x14ac:dyDescent="0.2">
      <c r="E88" s="8"/>
      <c r="G88" s="54"/>
      <c r="H88" s="8"/>
    </row>
    <row r="89" spans="2:8" x14ac:dyDescent="0.2">
      <c r="E89" s="8"/>
      <c r="G89" s="54"/>
      <c r="H89" s="8"/>
    </row>
    <row r="90" spans="2:8" x14ac:dyDescent="0.2">
      <c r="E90" s="8"/>
      <c r="G90" s="54"/>
      <c r="H90" s="8"/>
    </row>
    <row r="91" spans="2:8" x14ac:dyDescent="0.2">
      <c r="E91" s="8"/>
      <c r="G91" s="54"/>
      <c r="H91" s="8"/>
    </row>
    <row r="92" spans="2:8" x14ac:dyDescent="0.2">
      <c r="E92" s="8"/>
      <c r="G92" s="54"/>
      <c r="H92" s="8"/>
    </row>
    <row r="93" spans="2:8" x14ac:dyDescent="0.2">
      <c r="E93" s="8"/>
      <c r="G93" s="54"/>
      <c r="H93" s="8"/>
    </row>
    <row r="94" spans="2:8" x14ac:dyDescent="0.2">
      <c r="E94" s="8"/>
      <c r="G94" s="54"/>
      <c r="H94" s="8"/>
    </row>
    <row r="95" spans="2:8" x14ac:dyDescent="0.2">
      <c r="E95" s="8"/>
      <c r="G95" s="54"/>
      <c r="H95" s="8"/>
    </row>
    <row r="96" spans="2:8" x14ac:dyDescent="0.2">
      <c r="E96" s="8"/>
      <c r="G96" s="54"/>
      <c r="H96" s="8"/>
    </row>
    <row r="97" spans="5:8" x14ac:dyDescent="0.2">
      <c r="E97" s="8"/>
      <c r="G97" s="54"/>
      <c r="H97" s="8"/>
    </row>
    <row r="98" spans="5:8" x14ac:dyDescent="0.2">
      <c r="E98" s="8"/>
      <c r="G98" s="54"/>
      <c r="H98" s="8"/>
    </row>
    <row r="99" spans="5:8" x14ac:dyDescent="0.2">
      <c r="E99" s="8"/>
      <c r="G99" s="54"/>
      <c r="H99" s="8"/>
    </row>
    <row r="100" spans="5:8" x14ac:dyDescent="0.2">
      <c r="E100" s="8"/>
      <c r="G100" s="54"/>
      <c r="H100" s="8"/>
    </row>
    <row r="101" spans="5:8" x14ac:dyDescent="0.2">
      <c r="E101" s="8"/>
      <c r="G101" s="54"/>
      <c r="H101" s="8"/>
    </row>
  </sheetData>
  <mergeCells count="1">
    <mergeCell ref="B1:C1"/>
  </mergeCells>
  <conditionalFormatting sqref="G1:G3 G5:G101">
    <cfRule type="cellIs" dxfId="0" priority="2" stopIfTrue="1" operator="between">
      <formula>0.009</formula>
      <formula>-0.009</formula>
    </cfRule>
  </conditionalFormatting>
  <hyperlinks>
    <hyperlink ref="A2" location="'JBN50'!A1" display="-" xr:uid="{27445EBE-66F4-4D34-B70E-F6AB420D7F7C}"/>
  </hyperlinks>
  <pageMargins left="0.7" right="0.7" top="0.75" bottom="0.75" header="0.3" footer="0.3"/>
  <pageSetup paperSize="9" scale="65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JBN50</vt:lpstr>
      <vt:lpstr>'JBN50'!Print_Area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