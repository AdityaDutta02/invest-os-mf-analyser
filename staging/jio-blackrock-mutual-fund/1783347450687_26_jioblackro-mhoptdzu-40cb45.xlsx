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13_ncr:1_{92535A15-A281-4B7E-B2CF-080AD7E625FF}" xr6:coauthVersionLast="47" xr6:coauthVersionMax="47" xr10:uidLastSave="{00000000-0000-0000-0000-000000000000}"/>
  <bookViews>
    <workbookView xWindow="-120" yWindow="-120" windowWidth="51840" windowHeight="21120" xr2:uid="{89728DBC-F07D-4157-8807-01DBF0F4A3D6}"/>
  </bookViews>
  <sheets>
    <sheet name="JBN8-13" sheetId="6" r:id="rId1"/>
  </sheets>
  <definedNames>
    <definedName name="_xlnm.Print_Area" localSheetId="0">'JBN8-13'!$B$1:$I$56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G9" i="6"/>
  <c r="G13" i="6" s="1"/>
  <c r="F9" i="6"/>
  <c r="F13" i="6"/>
</calcChain>
</file>

<file path=xl/sharedStrings.xml><?xml version="1.0" encoding="utf-8"?>
<sst xmlns="http://schemas.openxmlformats.org/spreadsheetml/2006/main" count="29" uniqueCount="27">
  <si>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</si>
  <si>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</si>
  <si>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</si>
  <si>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</si>
  <si>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</si>
  <si>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</si>
  <si>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8-13 yr G-Sec Index Fund</t>
  </si>
  <si>
    <t>Yield to Call ^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</si>
  <si>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</si>
  <si>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</si>
  <si>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</si>
  <si>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</si>
  <si>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</si>
  <si>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</si>
  <si>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</si>
  <si>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</si>
  <si>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</si>
  <si>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6.33% GOI 2035 (05-MAY-2035)</t>
  </si>
  <si>
    <t>IN0020250026</t>
  </si>
  <si>
    <t>6.79% GOI 2034 (07-OCT-2034)</t>
  </si>
  <si>
    <t>IN0020240126</t>
  </si>
  <si>
    <t>6.48% GOI 2035 (06-OCT-2035)</t>
  </si>
  <si>
    <t>IN0020250091</t>
  </si>
  <si>
    <t>Benchmark Risk-O-Meter</t>
  </si>
  <si>
    <t>Benchmark Name - NIFTY 8-13 yr G-Sec</t>
  </si>
  <si>
    <t>Monthly Portfolio Statement as on October 31, 2025</t>
  </si>
  <si>
    <t>Debt Index Replication Factor (DIRF) : 97.40%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</si>
</sst>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164" fontId="6" fillId="2" borderId="2" xfId="0" applyNumberFormat="1" applyFont="1" applyFill="1" applyBorder="1"/>
    <xf numFmtId="0" fontId="7" fillId="2" borderId="4" xfId="0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10" fontId="7" fillId="2" borderId="5" xfId="0" applyNumberFormat="1" applyFont="1" applyFill="1" applyBorder="1"/>
    <xf numFmtId="0" fontId="7" fillId="2" borderId="3" xfId="0" applyFont="1" applyFill="1" applyBorder="1"/>
    <xf numFmtId="0" fontId="4" fillId="2" borderId="0" xfId="1" applyFill="1"/>
    <xf numFmtId="0" fontId="7" fillId="2" borderId="0" xfId="0" applyFont="1" applyFill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5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2</xdr:col>
      <xdr:colOff>628650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1F61F-2A00-4254-937E-FC4AE61C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762375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2</xdr:col>
      <xdr:colOff>676275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50E319-B8DD-47BE-A8A5-8B5D3BE6E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496050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5470-9721-486E-A0F9-43F7FE9E53E2}">
  <dimension ref="A1:K39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6" customWidth="1"/>
    <col min="2" max="2" width="59.5703125" style="6" bestFit="1" customWidth="1"/>
    <col min="3" max="3" width="10.85546875" style="6" bestFit="1" customWidth="1"/>
    <col min="4" max="5" width="15" style="6" bestFit="1" customWidth="1"/>
    <col min="6" max="6" width="14.85546875" style="8" bestFit="1" customWidth="1"/>
    <col min="7" max="7" width="7.28515625" style="14" bestFit="1" customWidth="1"/>
    <col min="8" max="8" width="7.42578125" style="11" bestFit="1" customWidth="1"/>
    <col min="9" max="9" width="11.42578125" style="11" bestFit="1" customWidth="1"/>
    <col min="10" max="10" width="25.7109375" style="6" customWidth="1"/>
    <col min="11" max="16384" width="9.140625" style="6"/>
  </cols>
  <sheetData>
    <row r="1" spans="1:11" s="1" customFormat="1" ht="16.899999999999999" customHeight="1" x14ac:dyDescent="0.2">
      <c r="B1" s="39" t="s">
        <v>6</v>
      </c>
      <c r="C1" s="40"/>
      <c r="D1" s="10"/>
      <c r="F1" s="5"/>
      <c r="G1" s="14"/>
      <c r="H1" s="11"/>
      <c r="I1" s="12"/>
    </row>
    <row r="2" spans="1:11" s="1" customFormat="1" ht="15" x14ac:dyDescent="0.25">
      <c r="A2" s="37" t="str">
        <f>HYPERLINK("[Fortnightly-Portfolio-ISIN-31-Oct-2025.xls]index!A1","")</f>
        <v/>
      </c>
      <c r="F2" s="5"/>
      <c r="G2" s="14"/>
      <c r="H2" s="11"/>
      <c r="I2" s="12"/>
    </row>
    <row r="3" spans="1:11" s="1" customFormat="1" ht="12" x14ac:dyDescent="0.2">
      <c r="B3" s="7" t="s">
        <v>25</v>
      </c>
      <c r="C3" s="2"/>
      <c r="D3" s="3"/>
      <c r="E3" s="3"/>
      <c r="F3" s="4"/>
      <c r="G3" s="14"/>
      <c r="H3" s="11"/>
      <c r="I3" s="12"/>
    </row>
    <row r="4" spans="1:11" s="1" customFormat="1" ht="25.5" customHeight="1" x14ac:dyDescent="0.2">
      <c r="B4" s="16" t="s">
        <v>4</v>
      </c>
      <c r="C4" s="16" t="s">
        <v>5</v>
      </c>
      <c r="D4" s="17" t="s">
        <v>14</v>
      </c>
      <c r="E4" s="17" t="s">
        <v>0</v>
      </c>
      <c r="F4" s="18" t="s">
        <v>1</v>
      </c>
      <c r="G4" s="19" t="s">
        <v>2</v>
      </c>
      <c r="H4" s="20" t="s">
        <v>3</v>
      </c>
      <c r="I4" s="20" t="s">
        <v>7</v>
      </c>
      <c r="J4" s="13"/>
      <c r="K4" s="9"/>
    </row>
    <row r="5" spans="1:11" x14ac:dyDescent="0.2">
      <c r="B5" s="21" t="s">
        <v>9</v>
      </c>
      <c r="C5" s="22"/>
      <c r="D5" s="22"/>
      <c r="E5" s="22"/>
      <c r="F5" s="23"/>
      <c r="G5" s="24"/>
      <c r="H5" s="25"/>
      <c r="I5" s="25"/>
    </row>
    <row r="6" spans="1:11" x14ac:dyDescent="0.2">
      <c r="B6" s="22" t="s">
        <v>17</v>
      </c>
      <c r="C6" s="22" t="s">
        <v>18</v>
      </c>
      <c r="D6" s="22" t="s">
        <v>10</v>
      </c>
      <c r="E6" s="26">
        <v>2162000</v>
      </c>
      <c r="F6" s="23">
        <v>2131.2650079999999</v>
      </c>
      <c r="G6" s="24">
        <v>55.498502586690698</v>
      </c>
      <c r="H6" s="25">
        <v>6.6395984780125206E-2</v>
      </c>
      <c r="I6" s="27"/>
    </row>
    <row r="7" spans="1:11" x14ac:dyDescent="0.2">
      <c r="B7" s="22" t="s">
        <v>19</v>
      </c>
      <c r="C7" s="22" t="s">
        <v>20</v>
      </c>
      <c r="D7" s="22" t="s">
        <v>10</v>
      </c>
      <c r="E7" s="26">
        <v>1175000</v>
      </c>
      <c r="F7" s="23">
        <v>1190.9506249999999</v>
      </c>
      <c r="G7" s="24">
        <v>31.0125564367092</v>
      </c>
      <c r="H7" s="25">
        <v>6.6940126592000104E-2</v>
      </c>
      <c r="I7" s="27"/>
    </row>
    <row r="8" spans="1:11" x14ac:dyDescent="0.2">
      <c r="B8" s="22" t="s">
        <v>21</v>
      </c>
      <c r="C8" s="22" t="s">
        <v>22</v>
      </c>
      <c r="D8" s="22" t="s">
        <v>10</v>
      </c>
      <c r="E8" s="26">
        <v>418000</v>
      </c>
      <c r="F8" s="23">
        <v>418.329384</v>
      </c>
      <c r="G8" s="24">
        <v>10.8933681700144</v>
      </c>
      <c r="H8" s="25">
        <v>6.5728986311125004E-2</v>
      </c>
      <c r="I8" s="27"/>
    </row>
    <row r="9" spans="1:11" x14ac:dyDescent="0.2">
      <c r="B9" s="21" t="s">
        <v>8</v>
      </c>
      <c r="C9" s="21"/>
      <c r="D9" s="21"/>
      <c r="E9" s="21"/>
      <c r="F9" s="28">
        <f>SUM(F6:F8)</f>
        <v>3740.5450169999999</v>
      </c>
      <c r="G9" s="29">
        <f>SUM(G6:G8)</f>
        <v>97.404427193414293</v>
      </c>
      <c r="H9" s="30"/>
      <c r="I9" s="30"/>
    </row>
    <row r="10" spans="1:11" x14ac:dyDescent="0.2">
      <c r="B10" s="21"/>
      <c r="C10" s="22"/>
      <c r="D10" s="22"/>
      <c r="E10" s="22"/>
      <c r="F10" s="23"/>
      <c r="G10" s="24"/>
      <c r="H10" s="25"/>
      <c r="I10" s="25"/>
    </row>
    <row r="11" spans="1:11" x14ac:dyDescent="0.2">
      <c r="B11" s="21" t="s">
        <v>11</v>
      </c>
      <c r="C11" s="21"/>
      <c r="D11" s="21"/>
      <c r="E11" s="21"/>
      <c r="F11" s="28">
        <v>52.057492199999999</v>
      </c>
      <c r="G11" s="29">
        <v>1.3555859335529099</v>
      </c>
      <c r="H11" s="31">
        <v>5.4149999999999997E-2</v>
      </c>
      <c r="I11" s="31"/>
    </row>
    <row r="12" spans="1:11" x14ac:dyDescent="0.2">
      <c r="B12" s="22"/>
      <c r="C12" s="22"/>
      <c r="D12" s="22"/>
      <c r="E12" s="22"/>
      <c r="F12" s="23"/>
      <c r="G12" s="24"/>
      <c r="H12" s="25"/>
      <c r="I12" s="25"/>
    </row>
    <row r="13" spans="1:11" x14ac:dyDescent="0.2">
      <c r="B13" s="36" t="s">
        <v>13</v>
      </c>
      <c r="C13" s="36"/>
      <c r="D13" s="36"/>
      <c r="E13" s="36"/>
      <c r="F13" s="28">
        <f>F14-(F9+F11)</f>
        <v>47.618233099999998</v>
      </c>
      <c r="G13" s="29">
        <f>G14-(G9+G11)</f>
        <v>1.239986873032791</v>
      </c>
      <c r="H13" s="30"/>
      <c r="I13" s="30"/>
    </row>
    <row r="14" spans="1:11" x14ac:dyDescent="0.2">
      <c r="B14" s="32" t="s">
        <v>12</v>
      </c>
      <c r="C14" s="32"/>
      <c r="D14" s="32"/>
      <c r="E14" s="32"/>
      <c r="F14" s="33">
        <v>3840.2207423</v>
      </c>
      <c r="G14" s="34">
        <v>100</v>
      </c>
      <c r="H14" s="35"/>
      <c r="I14" s="35"/>
    </row>
    <row r="16" spans="1:11" ht="39.950000000000003" customHeight="1" x14ac:dyDescent="0.2">
      <c r="B16" s="41" t="s">
        <v>15</v>
      </c>
      <c r="C16" s="41"/>
      <c r="D16" s="41"/>
      <c r="E16" s="41"/>
      <c r="F16" s="41"/>
      <c r="G16" s="41"/>
      <c r="H16" s="41"/>
      <c r="I16" s="41"/>
    </row>
    <row r="17" spans="2:9" x14ac:dyDescent="0.2">
      <c r="B17" s="38"/>
      <c r="C17" s="38"/>
      <c r="D17" s="38"/>
      <c r="E17" s="38"/>
      <c r="F17" s="38"/>
      <c r="G17" s="38"/>
      <c r="H17" s="38"/>
      <c r="I17" s="38"/>
    </row>
    <row r="18" spans="2:9" x14ac:dyDescent="0.2">
      <c r="B18" s="38" t="s">
        <v>26</v>
      </c>
      <c r="C18" s="38"/>
      <c r="D18" s="38"/>
      <c r="E18" s="38"/>
      <c r="F18" s="38"/>
      <c r="G18" s="38"/>
      <c r="H18" s="38"/>
      <c r="I18" s="38"/>
    </row>
    <row r="20" spans="2:9" x14ac:dyDescent="0.2">
      <c r="B20" s="15" t="s">
        <v>16</v>
      </c>
    </row>
    <row r="38" spans="2:2" x14ac:dyDescent="0.2">
      <c r="B38" s="15" t="s">
        <v>23</v>
      </c>
    </row>
    <row r="39" spans="2:2" x14ac:dyDescent="0.2">
      <c r="B39" s="15" t="s">
        <v>24</v>
      </c>
    </row>
  </sheetData>
  <mergeCells count="2">
    <mergeCell ref="B1:C1"/>
    <mergeCell ref="B16:I16"/>
  </mergeCells>
  <conditionalFormatting sqref="G1:G3 G5:G15 G19:G65537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2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2025-11-07T07:03:04Z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2025-11-07T07:02:58Z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929d57e7-1784-4baf-9cab-de3b98175159</vt:lpwstr>
  </property>
  <property fmtid="{D5CDD505-2E9C-101B-9397-08002B2CF9AE}" pid="18" name="MSIP_Label_defa4170-0d19-0005-0004-bc88714345d2_ContentBits">
    <vt:lpwstr>0</vt:lpwstr>
  </property>
</Properties>
</file>