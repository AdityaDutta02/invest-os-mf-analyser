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E7BDCD6A-7E25-44EF-B9A4-58CF99AB2C51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ARB" sheetId="14" r:id="rId1"/>
  </sheets>
  <definedNames>
    <definedName name="_xlnm.Print_Area" localSheetId="0">JBARB!$B$1:$H$203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9" i="14" l="1"/>
  <c r="F159" i="14"/>
  <c r="G77" i="14"/>
  <c r="F77" i="14"/>
  <c r="G72" i="14"/>
  <c r="F72" i="14"/>
  <c r="G68" i="14"/>
  <c r="F68" i="14"/>
  <c r="G61" i="14"/>
  <c r="G64" i="14" s="1"/>
  <c r="F61" i="14"/>
  <c r="F64" i="14" s="1"/>
  <c r="G81" i="14" l="1"/>
  <c r="F81" i="14"/>
  <c r="F73" i="14"/>
  <c r="G73" i="14"/>
</calcChain>
</file>

<file path=xl/sharedStrings.xml><?xml version="1.0" encoding="utf-8"?>
<sst xmlns="http://schemas.openxmlformats.org/spreadsheetml/2006/main" count="435" uniqueCount="253">
  <si>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</si>
  <si>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</si>
  <si>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</si>
  <si>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</si>
  <si>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</si>
  <si>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</si>
  <si>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</si>
  <si>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Arbitrage Fund</t>
  </si>
  <si>
    <t>Money Market Instruments</t>
  </si>
  <si>
    <t>Certificate of Deposit</t>
  </si>
  <si>
    <t>CARE A1+</t>
  </si>
  <si>
    <t>HDFC Bank Ltd (24-Mar-2026)</t>
  </si>
  <si>
    <t>INE040A16GS5</t>
  </si>
  <si>
    <t>CRISIL A1+</t>
  </si>
  <si>
    <t>Sub Total</t>
  </si>
  <si>
    <t>Commercial Paper</t>
  </si>
  <si>
    <t>Small Industries Development Bank Of India (20-Mar-2026) **</t>
  </si>
  <si>
    <t>INE556F14LX4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</si>
  <si>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</si>
  <si>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</si>
  <si>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</si>
  <si>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</si>
  <si>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</si>
  <si>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</si>
  <si>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</si>
  <si>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</si>
  <si>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</si>
  <si>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</si>
  <si>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</si>
  <si>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</si>
  <si>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</si>
  <si>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</si>
  <si>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</si>
  <si>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</si>
  <si>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</si>
  <si>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</si>
  <si>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</si>
  <si>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</si>
  <si>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</si>
  <si>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</si>
  <si>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</si>
  <si>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</si>
  <si>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</si>
  <si>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</si>
  <si>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</si>
  <si>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</si>
  <si>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</si>
  <si>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</si>
  <si>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ITC Ltd</t>
  </si>
  <si>
    <t>INE154A01025</t>
  </si>
  <si>
    <t>Diversified FMCG</t>
  </si>
  <si>
    <t>Mahindra &amp; Mahindra Ltd</t>
  </si>
  <si>
    <t>INE101A01026</t>
  </si>
  <si>
    <t>Automobiles</t>
  </si>
  <si>
    <t>Kotak Mahindra Bank Ltd</t>
  </si>
  <si>
    <t>INE237A01036</t>
  </si>
  <si>
    <t>Bajaj Finance Ltd</t>
  </si>
  <si>
    <t>INE296A01032</t>
  </si>
  <si>
    <t>Finance</t>
  </si>
  <si>
    <t>Hindustan Unilever Ltd</t>
  </si>
  <si>
    <t>INE030A01027</t>
  </si>
  <si>
    <t>Eternal Ltd</t>
  </si>
  <si>
    <t>INE758T01015</t>
  </si>
  <si>
    <t>Retailing</t>
  </si>
  <si>
    <t>Sun Pharmaceutical Industries Ltd</t>
  </si>
  <si>
    <t>INE044A01036</t>
  </si>
  <si>
    <t>Pharmaceuticals &amp; Biotechnology</t>
  </si>
  <si>
    <t>Power</t>
  </si>
  <si>
    <t>Consumer Durables</t>
  </si>
  <si>
    <t>Ferrous Metals</t>
  </si>
  <si>
    <t>Ultratech Cement Ltd</t>
  </si>
  <si>
    <t>INE481G01011</t>
  </si>
  <si>
    <t>Cement &amp; Cement Products</t>
  </si>
  <si>
    <t>JSW Steel Ltd</t>
  </si>
  <si>
    <t>INE019A01038</t>
  </si>
  <si>
    <t>Bajaj Finserv Ltd</t>
  </si>
  <si>
    <t>INE918I01026</t>
  </si>
  <si>
    <t>Grasim Industries Ltd</t>
  </si>
  <si>
    <t>INE047A01021</t>
  </si>
  <si>
    <t>Adani Ports and Special Economic Zone Ltd</t>
  </si>
  <si>
    <t>INE742F01042</t>
  </si>
  <si>
    <t>Transport Infrastructure</t>
  </si>
  <si>
    <t>Interglobe Aviation Ltd</t>
  </si>
  <si>
    <t>INE646L01027</t>
  </si>
  <si>
    <t>Transport Services</t>
  </si>
  <si>
    <t>Food Products</t>
  </si>
  <si>
    <t>Insurance</t>
  </si>
  <si>
    <t>Trent Ltd</t>
  </si>
  <si>
    <t>INE849A01020</t>
  </si>
  <si>
    <t>Tata Motors Passenger Vehicles Ltd</t>
  </si>
  <si>
    <t>INE155A01022</t>
  </si>
  <si>
    <t>Healthcare Services</t>
  </si>
  <si>
    <t>Max Healthcare Institute Ltd</t>
  </si>
  <si>
    <t>INE027H01010</t>
  </si>
  <si>
    <t xml:space="preserve">(b) Unlisted </t>
  </si>
  <si>
    <t>NIL</t>
  </si>
  <si>
    <t>Industry Classification</t>
  </si>
  <si>
    <t>Britannia Industries Ltd</t>
  </si>
  <si>
    <t>INE216A01030</t>
  </si>
  <si>
    <t>Tata Power Co Ltd</t>
  </si>
  <si>
    <t>INE245A01021</t>
  </si>
  <si>
    <t>Indian Hotels Co Ltd</t>
  </si>
  <si>
    <t>INE053A01029</t>
  </si>
  <si>
    <t>Leisure Services</t>
  </si>
  <si>
    <t>Bank of Baroda</t>
  </si>
  <si>
    <t>INE028A01039</t>
  </si>
  <si>
    <t>GAIL (India) Ltd</t>
  </si>
  <si>
    <t>INE129A01019</t>
  </si>
  <si>
    <t>Gas</t>
  </si>
  <si>
    <t>Punjab National Bank</t>
  </si>
  <si>
    <t>INE160A01022</t>
  </si>
  <si>
    <t>DLF Ltd</t>
  </si>
  <si>
    <t>INE271C01023</t>
  </si>
  <si>
    <t>Realty</t>
  </si>
  <si>
    <t>Electrical Equipment</t>
  </si>
  <si>
    <t>** Non- Traded Security</t>
  </si>
  <si>
    <t>BSE Ltd</t>
  </si>
  <si>
    <t>INE118H01025</t>
  </si>
  <si>
    <t>Capital Markets</t>
  </si>
  <si>
    <t>IndusInd Bank Ltd</t>
  </si>
  <si>
    <t>INE095A01012</t>
  </si>
  <si>
    <t>Industrial Products</t>
  </si>
  <si>
    <t>AU Small Finance Bank Ltd</t>
  </si>
  <si>
    <t>INE949L01017</t>
  </si>
  <si>
    <t>IDFC First Bank Ltd</t>
  </si>
  <si>
    <t>INE092T01019</t>
  </si>
  <si>
    <t>HDFC Asset Management Co Ltd</t>
  </si>
  <si>
    <t>INE127D01025</t>
  </si>
  <si>
    <t>Fortis Healthcare Ltd</t>
  </si>
  <si>
    <t>INE061F01013</t>
  </si>
  <si>
    <t>Max Financial Services Ltd</t>
  </si>
  <si>
    <t>INE180A01020</t>
  </si>
  <si>
    <t>UPL Ltd</t>
  </si>
  <si>
    <t>INE628A01036</t>
  </si>
  <si>
    <t>Fertilizers &amp; Agrochemicals</t>
  </si>
  <si>
    <t>Yes Bank Ltd</t>
  </si>
  <si>
    <t>INE528G01035</t>
  </si>
  <si>
    <t>APL Apollo Tubes Ltd</t>
  </si>
  <si>
    <t>INE702C01027</t>
  </si>
  <si>
    <t>Polycab India Ltd</t>
  </si>
  <si>
    <t>INE455K01017</t>
  </si>
  <si>
    <t>Bharat Heavy Electricals Ltd</t>
  </si>
  <si>
    <t>INE257A01026</t>
  </si>
  <si>
    <t>GMR Airports Ltd</t>
  </si>
  <si>
    <t>INE776C01039</t>
  </si>
  <si>
    <t>Vodafone Idea Ltd</t>
  </si>
  <si>
    <t>INE669E01016</t>
  </si>
  <si>
    <t>Aditya Birla Capital Ltd</t>
  </si>
  <si>
    <t>INE674K01013</t>
  </si>
  <si>
    <t>Godrej Properties Ltd</t>
  </si>
  <si>
    <t>INE484J01027</t>
  </si>
  <si>
    <t>Steel Authority of India Ltd</t>
  </si>
  <si>
    <t>INE114A01011</t>
  </si>
  <si>
    <t>Dalmia Bharat Ltd</t>
  </si>
  <si>
    <t>INE00R701025</t>
  </si>
  <si>
    <t>LIC Housing Finance Ltd</t>
  </si>
  <si>
    <t>INE115A01026</t>
  </si>
  <si>
    <t>Multi Commodity Exchange Of India Ltd</t>
  </si>
  <si>
    <t>INE745G01043</t>
  </si>
  <si>
    <t>Laurus Labs Ltd</t>
  </si>
  <si>
    <t>INE947Q01028</t>
  </si>
  <si>
    <t>Crompton Greaves Consumer Electricals Ltd</t>
  </si>
  <si>
    <t>INE299U01018</t>
  </si>
  <si>
    <t>Derivatives</t>
  </si>
  <si>
    <t>Long / Short</t>
  </si>
  <si>
    <t>Market/Fair Value (Rs. in Lakhs)</t>
  </si>
  <si>
    <t xml:space="preserve">% to Net Assets </t>
  </si>
  <si>
    <t>Punjab National Bank (24-Mar-2026) **</t>
  </si>
  <si>
    <t>INE160A16TW6</t>
  </si>
  <si>
    <t>HDFC Securities Ltd (25-Feb-2026) **</t>
  </si>
  <si>
    <t>INE700G14RD5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</si>
  <si>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</si>
  <si>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</si>
  <si>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</si>
  <si>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</si>
  <si>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</si>
  <si>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TCS LTD FUT 30-MAR-26</t>
  </si>
  <si>
    <t>Short</t>
  </si>
  <si>
    <t>INDIAN HOTELS CO LTD FUT 30-MAR-26</t>
  </si>
  <si>
    <t>M&amp;M LTD FUT 30-MAR-26</t>
  </si>
  <si>
    <t>ICICI BANK LTD FUT 30-MAR-26</t>
  </si>
  <si>
    <t>AU SMALL FINANCE BANK LTD FUT 24-FEB-26</t>
  </si>
  <si>
    <t>TRENT LTD FUT 24-FEB-26</t>
  </si>
  <si>
    <t>GAIL INDIA LTD FUT 24-FEB-26</t>
  </si>
  <si>
    <t>GMR AIRPORTS LTD FUT 24-FEB-26</t>
  </si>
  <si>
    <t>FORTIS HEALTHCARE LTD  FUT 24-FEB-26</t>
  </si>
  <si>
    <t>ETERNAL LTD FUT 30-MAR-26</t>
  </si>
  <si>
    <t>CROMPT GREA CON ELEC LTD FUT 30-MAR-26</t>
  </si>
  <si>
    <t>BAJAJ FINANCE LTD FUT 30-MAR-26</t>
  </si>
  <si>
    <t>VODAFONE IDEA LTD FUT 30-MAR-26</t>
  </si>
  <si>
    <t>KOTAK BANK LTD FUT 28-APR-26</t>
  </si>
  <si>
    <t>ADANI PORTS AND SP ECO LTD FUT 24-FEB-26</t>
  </si>
  <si>
    <t>M&amp;M LTD FUT 28-APR-26</t>
  </si>
  <si>
    <t>YES BANK LTD FUT 30-MAR-26</t>
  </si>
  <si>
    <t>HDFC BANK LTD FUT 30-MAR-26</t>
  </si>
  <si>
    <t>DALMIA BHARAT LTD FUT 24-FEB-26</t>
  </si>
  <si>
    <t>MULTI COMMODITY EXCHANGE OF IND30-MAR-26</t>
  </si>
  <si>
    <t>CROMPT GREA CON ELEC LTD FUT 24-FEB-26</t>
  </si>
  <si>
    <t>VODAFONE IDEA LTD FUT 28-APR-26</t>
  </si>
  <si>
    <t>HINDUSTAN UNILEVER LTD FUT 24-FEB-26</t>
  </si>
  <si>
    <t>INFOSYS LTD FUT 28-APR-26</t>
  </si>
  <si>
    <t>RELIANCE INDUSTRIES LTD FUT 30-MAR-26</t>
  </si>
  <si>
    <t>HDFC BANK LTD FUT 28-APR-26</t>
  </si>
  <si>
    <t>INDIAN HOTELS CO LTD FUT 24-FEB-26</t>
  </si>
  <si>
    <t>GRASIM INDUSTRIES LTD FUT 24-FEB-26</t>
  </si>
  <si>
    <t>TCS LTD FUT 28-APR-26</t>
  </si>
  <si>
    <t>PUNJAB NATIONAL BANK FUT 24-FEB-26</t>
  </si>
  <si>
    <t>MAX HEALTHCARE INSTITUTE FUT 24-FEB-26</t>
  </si>
  <si>
    <t>INFOSYS LTD FUT 24-FEB-26</t>
  </si>
  <si>
    <t>BSE LTD FUT 24-FEB-26</t>
  </si>
  <si>
    <t>TCS LTD FUT 24-FEB-26</t>
  </si>
  <si>
    <t>ADITYA BIRLA CAPITAL LTD FUT 24-FEB-26</t>
  </si>
  <si>
    <t>INDUSIND BANK LTD FUT 24-FEB-26</t>
  </si>
  <si>
    <t>SUN PHARMA IND LTD FUT 24-FEB-26</t>
  </si>
  <si>
    <t>STEEL AUTHOR OF IND LTD FUT 24-FEB-26</t>
  </si>
  <si>
    <t>ULTRA TECH CEMENT LTD FUT 24-FEB-26</t>
  </si>
  <si>
    <t>M&amp;M LTD FUT 24-FEB-26</t>
  </si>
  <si>
    <t>APL APOLLO TUBES LTD FUT 24-FEB-26</t>
  </si>
  <si>
    <t>BRITANNIA INDUSTRIES LTD FUT 24-FEB-26</t>
  </si>
  <si>
    <t>IDFC FIRST BANK LTD FUT 24-FEB-26</t>
  </si>
  <si>
    <t>HDFC AMC LTD FUT 24-FEB-26</t>
  </si>
  <si>
    <t>BHARAT HEAVY ELECT LTD FUT 24-FEB-26</t>
  </si>
  <si>
    <t>LAURUS LABS LTD FUT 24-FEB-26</t>
  </si>
  <si>
    <t>POLYCAB INDIA LTD FUT 24-FEB-26</t>
  </si>
  <si>
    <t>LIC HOUSING FIN LTD FUT 24-FEB-26</t>
  </si>
  <si>
    <t>MAX FINANCIAL SERVICES LTD FUT 24-FEB-26</t>
  </si>
  <si>
    <t>VODAFONE IDEA LTD FUT 24-FEB-26</t>
  </si>
  <si>
    <t>YES BANK LTD FUT 24-FEB-26</t>
  </si>
  <si>
    <t>BANK OF BARODA FUT 24-FEB-26</t>
  </si>
  <si>
    <t>BAJAJ FINSERV LTD FUT 24-FEB-26</t>
  </si>
  <si>
    <t>JSW STEEL LTD FUT 24-FEB-26</t>
  </si>
  <si>
    <t>ITC LTD FUT 28-APR-26</t>
  </si>
  <si>
    <t>TATA POWER CO LTD FUT 24-FEB-26</t>
  </si>
  <si>
    <t>INTERGLOBE AVIATION LTD FUT 24-FEB-26</t>
  </si>
  <si>
    <t>ITC LTD FUT 24-FEB-26</t>
  </si>
  <si>
    <t>BAJAJ FINANCE LTD FUT 24-FEB-26</t>
  </si>
  <si>
    <t>UPL LTD FUT 24-FEB-26</t>
  </si>
  <si>
    <t>BHARTI AIRTEL LTD FUT 24-FEB-26</t>
  </si>
  <si>
    <t>STATE BANK OF INDIA FUT 24-FEB-26</t>
  </si>
  <si>
    <t>LARSEN AND TOUBRO LTD FUT 24-FEB-26</t>
  </si>
  <si>
    <t>GODREJ PROPERTIES LTD FUT 24-FEB-26</t>
  </si>
  <si>
    <t>TATA MOTORS PASS VEHICLES FUT 24-FEB-26</t>
  </si>
  <si>
    <t>AXIS BANK LTD FUT 24-FEB-26</t>
  </si>
  <si>
    <t>DLF LTD FUT 24-FEB-26</t>
  </si>
  <si>
    <t>KOTAK BANK LTD FUT 24-FEB-26</t>
  </si>
  <si>
    <t>ICICI BANK LTD FUT 24-FEB-26</t>
  </si>
  <si>
    <t>MULTI COMMODITY EXCHANGE OF IND24-FEB-26</t>
  </si>
  <si>
    <t>RELIANCE INDUSTRIES LTD FUT 24-FEB-26</t>
  </si>
  <si>
    <t>HDFC BANK LTD FUT 24-FEB-26</t>
  </si>
  <si>
    <t>Industry Classification / Rating</t>
  </si>
  <si>
    <t>Benchmark Risk-O-Meter</t>
  </si>
  <si>
    <t>Benchmark Name - Nifty 50 Arbitrage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</si>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</sst>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;\(#,##0\)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0" fontId="6" fillId="2" borderId="3" xfId="0" applyNumberFormat="1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3" fontId="6" fillId="2" borderId="3" xfId="0" applyNumberFormat="1" applyFont="1" applyFill="1" applyBorder="1"/>
    <xf numFmtId="164" fontId="6" fillId="2" borderId="3" xfId="0" applyNumberFormat="1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5" fillId="2" borderId="8" xfId="0" applyFont="1" applyFill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/>
    <xf numFmtId="39" fontId="6" fillId="0" borderId="3" xfId="0" applyNumberFormat="1" applyFont="1" applyFill="1" applyBorder="1"/>
    <xf numFmtId="0" fontId="5" fillId="0" borderId="2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166</xdr:row>
      <xdr:rowOff>47625</xdr:rowOff>
    </xdr:from>
    <xdr:to>
      <xdr:col>3</xdr:col>
      <xdr:colOff>438150</xdr:colOff>
      <xdr:row>182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CC45E7-0942-4A4A-AF97-D5728EB55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17306925"/>
          <a:ext cx="46990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185</xdr:row>
      <xdr:rowOff>85725</xdr:rowOff>
    </xdr:from>
    <xdr:to>
      <xdr:col>3</xdr:col>
      <xdr:colOff>501650</xdr:colOff>
      <xdr:row>202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32D7CB-5634-4294-9542-10676688D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19770725"/>
          <a:ext cx="511810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17D8-8F14-455B-850F-8894964F4A4A}">
  <dimension ref="A1:I287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68.08984375" style="8" bestFit="1" customWidth="1"/>
    <col min="3" max="3" width="11.1796875" style="8" bestFit="1" customWidth="1"/>
    <col min="4" max="4" width="25.26953125" style="8" customWidth="1"/>
    <col min="5" max="5" width="13.6328125" style="9" bestFit="1" customWidth="1"/>
    <col min="6" max="6" width="22.81640625" style="11" bestFit="1" customWidth="1"/>
    <col min="7" max="7" width="12.1796875" style="13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62" t="s">
        <v>7</v>
      </c>
      <c r="C1" s="63"/>
      <c r="D1" s="12"/>
      <c r="E1" s="6"/>
      <c r="F1" s="7"/>
      <c r="G1" s="13"/>
    </row>
    <row r="2" spans="1:8" s="1" customFormat="1" ht="14.5" x14ac:dyDescent="0.35">
      <c r="A2" s="55" t="s">
        <v>252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60" t="s">
        <v>249</v>
      </c>
      <c r="E4" s="17" t="s">
        <v>0</v>
      </c>
      <c r="F4" s="18" t="s">
        <v>1</v>
      </c>
      <c r="G4" s="19" t="s">
        <v>2</v>
      </c>
      <c r="H4" s="61" t="s">
        <v>3</v>
      </c>
    </row>
    <row r="5" spans="1:8" ht="10.5" x14ac:dyDescent="0.25">
      <c r="B5" s="20" t="s">
        <v>24</v>
      </c>
      <c r="C5" s="21"/>
      <c r="D5" s="21"/>
      <c r="E5" s="22"/>
      <c r="F5" s="23"/>
      <c r="G5" s="24"/>
      <c r="H5" s="21"/>
    </row>
    <row r="6" spans="1:8" ht="10.5" x14ac:dyDescent="0.25">
      <c r="B6" s="20" t="s">
        <v>23</v>
      </c>
      <c r="C6" s="21"/>
      <c r="D6" s="21"/>
      <c r="E6" s="22"/>
      <c r="F6" s="23"/>
      <c r="G6" s="24"/>
      <c r="H6" s="21"/>
    </row>
    <row r="7" spans="1:8" x14ac:dyDescent="0.2">
      <c r="B7" s="21" t="s">
        <v>25</v>
      </c>
      <c r="C7" s="21" t="s">
        <v>26</v>
      </c>
      <c r="D7" s="21" t="s">
        <v>27</v>
      </c>
      <c r="E7" s="25">
        <v>290400</v>
      </c>
      <c r="F7" s="23">
        <v>2698.5419999999999</v>
      </c>
      <c r="G7" s="24">
        <v>7.9834539395591904</v>
      </c>
      <c r="H7" s="26"/>
    </row>
    <row r="8" spans="1:8" x14ac:dyDescent="0.2">
      <c r="B8" s="21" t="s">
        <v>30</v>
      </c>
      <c r="C8" s="21" t="s">
        <v>31</v>
      </c>
      <c r="D8" s="21" t="s">
        <v>32</v>
      </c>
      <c r="E8" s="25">
        <v>171000</v>
      </c>
      <c r="F8" s="23">
        <v>2386.134</v>
      </c>
      <c r="G8" s="24">
        <v>7.0592160072424699</v>
      </c>
      <c r="H8" s="26"/>
    </row>
    <row r="9" spans="1:8" x14ac:dyDescent="0.2">
      <c r="B9" s="21" t="s">
        <v>157</v>
      </c>
      <c r="C9" s="21" t="s">
        <v>158</v>
      </c>
      <c r="D9" s="21" t="s">
        <v>118</v>
      </c>
      <c r="E9" s="25">
        <v>58750</v>
      </c>
      <c r="F9" s="23">
        <v>1485.2</v>
      </c>
      <c r="G9" s="24">
        <v>4.3938637201249104</v>
      </c>
      <c r="H9" s="26"/>
    </row>
    <row r="10" spans="1:8" x14ac:dyDescent="0.2">
      <c r="B10" s="21" t="s">
        <v>28</v>
      </c>
      <c r="C10" s="21" t="s">
        <v>29</v>
      </c>
      <c r="D10" s="21" t="s">
        <v>27</v>
      </c>
      <c r="E10" s="25">
        <v>98700</v>
      </c>
      <c r="F10" s="23">
        <v>1337.385</v>
      </c>
      <c r="G10" s="24">
        <v>3.9565630429162701</v>
      </c>
      <c r="H10" s="26"/>
    </row>
    <row r="11" spans="1:8" x14ac:dyDescent="0.2">
      <c r="B11" s="21" t="s">
        <v>54</v>
      </c>
      <c r="C11" s="21" t="s">
        <v>55</v>
      </c>
      <c r="D11" s="21" t="s">
        <v>27</v>
      </c>
      <c r="E11" s="25">
        <v>278000</v>
      </c>
      <c r="F11" s="23">
        <v>1134.24</v>
      </c>
      <c r="G11" s="24">
        <v>3.3555723040092098</v>
      </c>
      <c r="H11" s="26"/>
    </row>
    <row r="12" spans="1:8" x14ac:dyDescent="0.2">
      <c r="B12" s="21" t="s">
        <v>48</v>
      </c>
      <c r="C12" s="21" t="s">
        <v>49</v>
      </c>
      <c r="D12" s="21" t="s">
        <v>50</v>
      </c>
      <c r="E12" s="25">
        <v>316800</v>
      </c>
      <c r="F12" s="23">
        <v>1020.5712</v>
      </c>
      <c r="G12" s="24">
        <v>3.0192908493700101</v>
      </c>
      <c r="H12" s="26"/>
    </row>
    <row r="13" spans="1:8" x14ac:dyDescent="0.2">
      <c r="B13" s="21" t="s">
        <v>111</v>
      </c>
      <c r="C13" s="21" t="s">
        <v>112</v>
      </c>
      <c r="D13" s="21" t="s">
        <v>113</v>
      </c>
      <c r="E13" s="25">
        <v>139425</v>
      </c>
      <c r="F13" s="23">
        <v>886.39443749999998</v>
      </c>
      <c r="G13" s="24">
        <v>2.6223379751223899</v>
      </c>
      <c r="H13" s="26"/>
    </row>
    <row r="14" spans="1:8" x14ac:dyDescent="0.2">
      <c r="B14" s="21" t="s">
        <v>44</v>
      </c>
      <c r="C14" s="21" t="s">
        <v>45</v>
      </c>
      <c r="D14" s="21" t="s">
        <v>27</v>
      </c>
      <c r="E14" s="25">
        <v>63125</v>
      </c>
      <c r="F14" s="23">
        <v>865.06500000000005</v>
      </c>
      <c r="G14" s="24">
        <v>2.5592362773026198</v>
      </c>
      <c r="H14" s="26"/>
    </row>
    <row r="15" spans="1:8" x14ac:dyDescent="0.2">
      <c r="B15" s="21" t="s">
        <v>89</v>
      </c>
      <c r="C15" s="21" t="s">
        <v>90</v>
      </c>
      <c r="D15" s="21" t="s">
        <v>53</v>
      </c>
      <c r="E15" s="25">
        <v>232800</v>
      </c>
      <c r="F15" s="23">
        <v>814.91639999999995</v>
      </c>
      <c r="G15" s="24">
        <v>2.41087503696121</v>
      </c>
      <c r="H15" s="26"/>
    </row>
    <row r="16" spans="1:8" x14ac:dyDescent="0.2">
      <c r="B16" s="21" t="s">
        <v>149</v>
      </c>
      <c r="C16" s="21" t="s">
        <v>150</v>
      </c>
      <c r="D16" s="21" t="s">
        <v>113</v>
      </c>
      <c r="E16" s="25">
        <v>48950</v>
      </c>
      <c r="F16" s="23">
        <v>771.84360000000004</v>
      </c>
      <c r="G16" s="24">
        <v>2.2834470722128999</v>
      </c>
      <c r="H16" s="26"/>
    </row>
    <row r="17" spans="2:8" x14ac:dyDescent="0.2">
      <c r="B17" s="21" t="s">
        <v>39</v>
      </c>
      <c r="C17" s="21" t="s">
        <v>40</v>
      </c>
      <c r="D17" s="21" t="s">
        <v>41</v>
      </c>
      <c r="E17" s="25">
        <v>19600</v>
      </c>
      <c r="F17" s="23">
        <v>770.73080000000004</v>
      </c>
      <c r="G17" s="24">
        <v>2.2801549286983902</v>
      </c>
      <c r="H17" s="26"/>
    </row>
    <row r="18" spans="2:8" x14ac:dyDescent="0.2">
      <c r="B18" s="21" t="s">
        <v>42</v>
      </c>
      <c r="C18" s="21" t="s">
        <v>43</v>
      </c>
      <c r="D18" s="21" t="s">
        <v>27</v>
      </c>
      <c r="E18" s="25">
        <v>70500</v>
      </c>
      <c r="F18" s="23">
        <v>759.39075000000003</v>
      </c>
      <c r="G18" s="24">
        <v>2.24660615797431</v>
      </c>
      <c r="H18" s="26"/>
    </row>
    <row r="19" spans="2:8" x14ac:dyDescent="0.2">
      <c r="B19" s="21" t="s">
        <v>36</v>
      </c>
      <c r="C19" s="21" t="s">
        <v>37</v>
      </c>
      <c r="D19" s="21" t="s">
        <v>38</v>
      </c>
      <c r="E19" s="25">
        <v>35150</v>
      </c>
      <c r="F19" s="23">
        <v>691.99805000000003</v>
      </c>
      <c r="G19" s="24">
        <v>2.04722941441704</v>
      </c>
      <c r="H19" s="26"/>
    </row>
    <row r="20" spans="2:8" x14ac:dyDescent="0.2">
      <c r="B20" s="21" t="s">
        <v>132</v>
      </c>
      <c r="C20" s="21" t="s">
        <v>133</v>
      </c>
      <c r="D20" s="21" t="s">
        <v>134</v>
      </c>
      <c r="E20" s="25">
        <v>97560</v>
      </c>
      <c r="F20" s="23">
        <v>686.77362000000005</v>
      </c>
      <c r="G20" s="24">
        <v>2.0317732917161599</v>
      </c>
      <c r="H20" s="26"/>
    </row>
    <row r="21" spans="2:8" x14ac:dyDescent="0.2">
      <c r="B21" s="21" t="s">
        <v>56</v>
      </c>
      <c r="C21" s="21" t="s">
        <v>57</v>
      </c>
      <c r="D21" s="21" t="s">
        <v>58</v>
      </c>
      <c r="E21" s="25">
        <v>66750</v>
      </c>
      <c r="F21" s="23">
        <v>620.67487500000004</v>
      </c>
      <c r="G21" s="24">
        <v>1.8362246264850299</v>
      </c>
      <c r="H21" s="26"/>
    </row>
    <row r="22" spans="2:8" x14ac:dyDescent="0.2">
      <c r="B22" s="21" t="s">
        <v>82</v>
      </c>
      <c r="C22" s="21" t="s">
        <v>83</v>
      </c>
      <c r="D22" s="21" t="s">
        <v>84</v>
      </c>
      <c r="E22" s="25">
        <v>10950</v>
      </c>
      <c r="F22" s="23">
        <v>503.31675000000001</v>
      </c>
      <c r="G22" s="24">
        <v>1.4890285534313099</v>
      </c>
      <c r="H22" s="26"/>
    </row>
    <row r="23" spans="2:8" x14ac:dyDescent="0.2">
      <c r="B23" s="21" t="s">
        <v>99</v>
      </c>
      <c r="C23" s="21" t="s">
        <v>100</v>
      </c>
      <c r="D23" s="21" t="s">
        <v>67</v>
      </c>
      <c r="E23" s="25">
        <v>124700</v>
      </c>
      <c r="F23" s="23">
        <v>456.77609999999999</v>
      </c>
      <c r="G23" s="24">
        <v>1.35134118907228</v>
      </c>
      <c r="H23" s="26"/>
    </row>
    <row r="24" spans="2:8" x14ac:dyDescent="0.2">
      <c r="B24" s="21" t="s">
        <v>145</v>
      </c>
      <c r="C24" s="21" t="s">
        <v>146</v>
      </c>
      <c r="D24" s="21" t="s">
        <v>38</v>
      </c>
      <c r="E24" s="25">
        <v>3931125</v>
      </c>
      <c r="F24" s="23">
        <v>439.10666250000003</v>
      </c>
      <c r="G24" s="24">
        <v>1.29906735363849</v>
      </c>
      <c r="H24" s="26"/>
    </row>
    <row r="25" spans="2:8" x14ac:dyDescent="0.2">
      <c r="B25" s="21" t="s">
        <v>75</v>
      </c>
      <c r="C25" s="21" t="s">
        <v>76</v>
      </c>
      <c r="D25" s="21" t="s">
        <v>58</v>
      </c>
      <c r="E25" s="25">
        <v>22250</v>
      </c>
      <c r="F25" s="23">
        <v>434.45350000000002</v>
      </c>
      <c r="G25" s="24">
        <v>1.28530128718778</v>
      </c>
      <c r="H25" s="26"/>
    </row>
    <row r="26" spans="2:8" x14ac:dyDescent="0.2">
      <c r="B26" s="21" t="s">
        <v>73</v>
      </c>
      <c r="C26" s="21" t="s">
        <v>74</v>
      </c>
      <c r="D26" s="21" t="s">
        <v>69</v>
      </c>
      <c r="E26" s="25">
        <v>35775</v>
      </c>
      <c r="F26" s="23">
        <v>434.45159999999998</v>
      </c>
      <c r="G26" s="24">
        <v>1.28529566616632</v>
      </c>
      <c r="H26" s="26"/>
    </row>
    <row r="27" spans="2:8" x14ac:dyDescent="0.2">
      <c r="B27" s="21" t="s">
        <v>135</v>
      </c>
      <c r="C27" s="21" t="s">
        <v>136</v>
      </c>
      <c r="D27" s="21" t="s">
        <v>27</v>
      </c>
      <c r="E27" s="25">
        <v>1959300</v>
      </c>
      <c r="F27" s="23">
        <v>419.48613</v>
      </c>
      <c r="G27" s="24">
        <v>1.2410213356467801</v>
      </c>
      <c r="H27" s="26"/>
    </row>
    <row r="28" spans="2:8" x14ac:dyDescent="0.2">
      <c r="B28" s="21" t="s">
        <v>104</v>
      </c>
      <c r="C28" s="21" t="s">
        <v>105</v>
      </c>
      <c r="D28" s="21" t="s">
        <v>27</v>
      </c>
      <c r="E28" s="25">
        <v>137475</v>
      </c>
      <c r="F28" s="23">
        <v>411.60014999999999</v>
      </c>
      <c r="G28" s="24">
        <v>1.2176911973356901</v>
      </c>
      <c r="H28" s="26"/>
    </row>
    <row r="29" spans="2:8" x14ac:dyDescent="0.2">
      <c r="B29" s="21" t="s">
        <v>130</v>
      </c>
      <c r="C29" s="21" t="s">
        <v>131</v>
      </c>
      <c r="D29" s="21" t="s">
        <v>86</v>
      </c>
      <c r="E29" s="25">
        <v>22000</v>
      </c>
      <c r="F29" s="23">
        <v>354.99200000000002</v>
      </c>
      <c r="G29" s="24">
        <v>1.05021981533435</v>
      </c>
      <c r="H29" s="26"/>
    </row>
    <row r="30" spans="2:8" x14ac:dyDescent="0.2">
      <c r="B30" s="21" t="s">
        <v>155</v>
      </c>
      <c r="C30" s="21" t="s">
        <v>156</v>
      </c>
      <c r="D30" s="21" t="s">
        <v>58</v>
      </c>
      <c r="E30" s="25">
        <v>52000</v>
      </c>
      <c r="F30" s="23">
        <v>273.67599999999999</v>
      </c>
      <c r="G30" s="24">
        <v>0.80965193069546404</v>
      </c>
      <c r="H30" s="26"/>
    </row>
    <row r="31" spans="2:8" x14ac:dyDescent="0.2">
      <c r="B31" s="21" t="s">
        <v>139</v>
      </c>
      <c r="C31" s="21" t="s">
        <v>140</v>
      </c>
      <c r="D31" s="21" t="s">
        <v>121</v>
      </c>
      <c r="E31" s="25">
        <v>3750</v>
      </c>
      <c r="F31" s="23">
        <v>263.00625000000002</v>
      </c>
      <c r="G31" s="24">
        <v>0.778086197172839</v>
      </c>
      <c r="H31" s="26"/>
    </row>
    <row r="32" spans="2:8" x14ac:dyDescent="0.2">
      <c r="B32" s="21" t="s">
        <v>159</v>
      </c>
      <c r="C32" s="21" t="s">
        <v>160</v>
      </c>
      <c r="D32" s="21" t="s">
        <v>66</v>
      </c>
      <c r="E32" s="25">
        <v>22950</v>
      </c>
      <c r="F32" s="23">
        <v>221.4675</v>
      </c>
      <c r="G32" s="24">
        <v>0.65519661556474695</v>
      </c>
      <c r="H32" s="26"/>
    </row>
    <row r="33" spans="2:8" x14ac:dyDescent="0.2">
      <c r="B33" s="21" t="s">
        <v>141</v>
      </c>
      <c r="C33" s="21" t="s">
        <v>142</v>
      </c>
      <c r="D33" s="21" t="s">
        <v>114</v>
      </c>
      <c r="E33" s="25">
        <v>76125</v>
      </c>
      <c r="F33" s="23">
        <v>199.98037500000001</v>
      </c>
      <c r="G33" s="24">
        <v>0.591628409944434</v>
      </c>
      <c r="H33" s="26"/>
    </row>
    <row r="34" spans="2:8" x14ac:dyDescent="0.2">
      <c r="B34" s="21" t="s">
        <v>46</v>
      </c>
      <c r="C34" s="21" t="s">
        <v>47</v>
      </c>
      <c r="D34" s="21" t="s">
        <v>35</v>
      </c>
      <c r="E34" s="25">
        <v>6125</v>
      </c>
      <c r="F34" s="23">
        <v>191.338875</v>
      </c>
      <c r="G34" s="24">
        <v>0.56606311682737298</v>
      </c>
      <c r="H34" s="26"/>
    </row>
    <row r="35" spans="2:8" x14ac:dyDescent="0.2">
      <c r="B35" s="21" t="s">
        <v>126</v>
      </c>
      <c r="C35" s="21" t="s">
        <v>127</v>
      </c>
      <c r="D35" s="21" t="s">
        <v>118</v>
      </c>
      <c r="E35" s="25">
        <v>7500</v>
      </c>
      <c r="F35" s="23">
        <v>188.67750000000001</v>
      </c>
      <c r="G35" s="24">
        <v>0.55818961894281405</v>
      </c>
      <c r="H35" s="26"/>
    </row>
    <row r="36" spans="2:8" x14ac:dyDescent="0.2">
      <c r="B36" s="21" t="s">
        <v>124</v>
      </c>
      <c r="C36" s="21" t="s">
        <v>125</v>
      </c>
      <c r="D36" s="21" t="s">
        <v>27</v>
      </c>
      <c r="E36" s="25">
        <v>222600</v>
      </c>
      <c r="F36" s="23">
        <v>186.04908</v>
      </c>
      <c r="G36" s="24">
        <v>0.55041361619621298</v>
      </c>
      <c r="H36" s="26"/>
    </row>
    <row r="37" spans="2:8" x14ac:dyDescent="0.2">
      <c r="B37" s="21" t="s">
        <v>51</v>
      </c>
      <c r="C37" s="21" t="s">
        <v>52</v>
      </c>
      <c r="D37" s="21" t="s">
        <v>53</v>
      </c>
      <c r="E37" s="25">
        <v>5200</v>
      </c>
      <c r="F37" s="23">
        <v>178.45359999999999</v>
      </c>
      <c r="G37" s="24">
        <v>0.52794290248160602</v>
      </c>
      <c r="H37" s="26"/>
    </row>
    <row r="38" spans="2:8" x14ac:dyDescent="0.2">
      <c r="B38" s="21" t="s">
        <v>97</v>
      </c>
      <c r="C38" s="21" t="s">
        <v>98</v>
      </c>
      <c r="D38" s="21" t="s">
        <v>85</v>
      </c>
      <c r="E38" s="25">
        <v>2750</v>
      </c>
      <c r="F38" s="23">
        <v>161.16374999999999</v>
      </c>
      <c r="G38" s="24">
        <v>0.47679205098591498</v>
      </c>
      <c r="H38" s="26"/>
    </row>
    <row r="39" spans="2:8" x14ac:dyDescent="0.2">
      <c r="B39" s="21" t="s">
        <v>33</v>
      </c>
      <c r="C39" s="21" t="s">
        <v>34</v>
      </c>
      <c r="D39" s="21" t="s">
        <v>35</v>
      </c>
      <c r="E39" s="25">
        <v>9200</v>
      </c>
      <c r="F39" s="23">
        <v>150.97200000000001</v>
      </c>
      <c r="G39" s="24">
        <v>0.446640448124628</v>
      </c>
      <c r="H39" s="26"/>
    </row>
    <row r="40" spans="2:8" x14ac:dyDescent="0.2">
      <c r="B40" s="21" t="s">
        <v>137</v>
      </c>
      <c r="C40" s="21" t="s">
        <v>138</v>
      </c>
      <c r="D40" s="21" t="s">
        <v>121</v>
      </c>
      <c r="E40" s="25">
        <v>7350</v>
      </c>
      <c r="F40" s="23">
        <v>150.35894999999999</v>
      </c>
      <c r="G40" s="24">
        <v>0.44482678117497598</v>
      </c>
      <c r="H40" s="26"/>
    </row>
    <row r="41" spans="2:8" x14ac:dyDescent="0.2">
      <c r="B41" s="21" t="s">
        <v>70</v>
      </c>
      <c r="C41" s="21" t="s">
        <v>71</v>
      </c>
      <c r="D41" s="21" t="s">
        <v>72</v>
      </c>
      <c r="E41" s="25">
        <v>1100</v>
      </c>
      <c r="F41" s="23">
        <v>139.63399999999999</v>
      </c>
      <c r="G41" s="24">
        <v>0.41309774218685802</v>
      </c>
      <c r="H41" s="26"/>
    </row>
    <row r="42" spans="2:8" x14ac:dyDescent="0.2">
      <c r="B42" s="21" t="s">
        <v>64</v>
      </c>
      <c r="C42" s="21" t="s">
        <v>65</v>
      </c>
      <c r="D42" s="21" t="s">
        <v>66</v>
      </c>
      <c r="E42" s="25">
        <v>8050</v>
      </c>
      <c r="F42" s="23">
        <v>128.42165</v>
      </c>
      <c r="G42" s="24">
        <v>0.37992676327334901</v>
      </c>
      <c r="H42" s="26"/>
    </row>
    <row r="43" spans="2:8" x14ac:dyDescent="0.2">
      <c r="B43" s="21" t="s">
        <v>151</v>
      </c>
      <c r="C43" s="21" t="s">
        <v>152</v>
      </c>
      <c r="D43" s="21" t="s">
        <v>69</v>
      </c>
      <c r="E43" s="25">
        <v>84600</v>
      </c>
      <c r="F43" s="23">
        <v>127.85598</v>
      </c>
      <c r="G43" s="24">
        <v>0.37825326684824601</v>
      </c>
      <c r="H43" s="26"/>
    </row>
    <row r="44" spans="2:8" x14ac:dyDescent="0.2">
      <c r="B44" s="21" t="s">
        <v>119</v>
      </c>
      <c r="C44" s="21" t="s">
        <v>120</v>
      </c>
      <c r="D44" s="21" t="s">
        <v>27</v>
      </c>
      <c r="E44" s="25">
        <v>11900</v>
      </c>
      <c r="F44" s="23">
        <v>106.63590000000001</v>
      </c>
      <c r="G44" s="24">
        <v>0.315475095793743</v>
      </c>
      <c r="H44" s="26"/>
    </row>
    <row r="45" spans="2:8" x14ac:dyDescent="0.2">
      <c r="B45" s="21" t="s">
        <v>147</v>
      </c>
      <c r="C45" s="21" t="s">
        <v>148</v>
      </c>
      <c r="D45" s="21" t="s">
        <v>58</v>
      </c>
      <c r="E45" s="25">
        <v>31000</v>
      </c>
      <c r="F45" s="23">
        <v>105.33799999999999</v>
      </c>
      <c r="G45" s="24">
        <v>0.31163534645200502</v>
      </c>
      <c r="H45" s="26"/>
    </row>
    <row r="46" spans="2:8" x14ac:dyDescent="0.2">
      <c r="B46" s="21" t="s">
        <v>116</v>
      </c>
      <c r="C46" s="21" t="s">
        <v>117</v>
      </c>
      <c r="D46" s="21" t="s">
        <v>118</v>
      </c>
      <c r="E46" s="25">
        <v>3375</v>
      </c>
      <c r="F46" s="23">
        <v>94.398750000000007</v>
      </c>
      <c r="G46" s="24">
        <v>0.27927231541216102</v>
      </c>
      <c r="H46" s="26"/>
    </row>
    <row r="47" spans="2:8" x14ac:dyDescent="0.2">
      <c r="B47" s="21" t="s">
        <v>92</v>
      </c>
      <c r="C47" s="21" t="s">
        <v>93</v>
      </c>
      <c r="D47" s="21" t="s">
        <v>91</v>
      </c>
      <c r="E47" s="25">
        <v>9450</v>
      </c>
      <c r="F47" s="23">
        <v>90.417599999999993</v>
      </c>
      <c r="G47" s="24">
        <v>0.267494352478296</v>
      </c>
      <c r="H47" s="26"/>
    </row>
    <row r="48" spans="2:8" x14ac:dyDescent="0.2">
      <c r="B48" s="21" t="s">
        <v>109</v>
      </c>
      <c r="C48" s="21" t="s">
        <v>110</v>
      </c>
      <c r="D48" s="21" t="s">
        <v>27</v>
      </c>
      <c r="E48" s="25">
        <v>72000</v>
      </c>
      <c r="F48" s="23">
        <v>90.136799999999994</v>
      </c>
      <c r="G48" s="24">
        <v>0.26666362467556898</v>
      </c>
      <c r="H48" s="26"/>
    </row>
    <row r="49" spans="2:9" x14ac:dyDescent="0.2">
      <c r="B49" s="21" t="s">
        <v>101</v>
      </c>
      <c r="C49" s="21" t="s">
        <v>102</v>
      </c>
      <c r="D49" s="21" t="s">
        <v>103</v>
      </c>
      <c r="E49" s="25">
        <v>13000</v>
      </c>
      <c r="F49" s="23">
        <v>87.639499999999998</v>
      </c>
      <c r="G49" s="24">
        <v>0.25927553157816202</v>
      </c>
      <c r="H49" s="26"/>
    </row>
    <row r="50" spans="2:9" x14ac:dyDescent="0.2">
      <c r="B50" s="21" t="s">
        <v>77</v>
      </c>
      <c r="C50" s="21" t="s">
        <v>78</v>
      </c>
      <c r="D50" s="21" t="s">
        <v>72</v>
      </c>
      <c r="E50" s="25">
        <v>3000</v>
      </c>
      <c r="F50" s="23">
        <v>84.57</v>
      </c>
      <c r="G50" s="24">
        <v>0.25019462349243399</v>
      </c>
      <c r="H50" s="26"/>
    </row>
    <row r="51" spans="2:9" x14ac:dyDescent="0.2">
      <c r="B51" s="21" t="s">
        <v>161</v>
      </c>
      <c r="C51" s="21" t="s">
        <v>162</v>
      </c>
      <c r="D51" s="21" t="s">
        <v>68</v>
      </c>
      <c r="E51" s="25">
        <v>30600</v>
      </c>
      <c r="F51" s="23">
        <v>67.7637</v>
      </c>
      <c r="G51" s="24">
        <v>0.20047432195760001</v>
      </c>
      <c r="H51" s="26"/>
    </row>
    <row r="52" spans="2:9" x14ac:dyDescent="0.2">
      <c r="B52" s="21" t="s">
        <v>59</v>
      </c>
      <c r="C52" s="21" t="s">
        <v>60</v>
      </c>
      <c r="D52" s="21" t="s">
        <v>50</v>
      </c>
      <c r="E52" s="25">
        <v>2400</v>
      </c>
      <c r="F52" s="23">
        <v>56.951999999999998</v>
      </c>
      <c r="G52" s="24">
        <v>0.16848863896347499</v>
      </c>
      <c r="H52" s="26"/>
    </row>
    <row r="53" spans="2:9" x14ac:dyDescent="0.2">
      <c r="B53" s="21" t="s">
        <v>153</v>
      </c>
      <c r="C53" s="21" t="s">
        <v>154</v>
      </c>
      <c r="D53" s="21" t="s">
        <v>72</v>
      </c>
      <c r="E53" s="25">
        <v>1950</v>
      </c>
      <c r="F53" s="23">
        <v>40.277250000000002</v>
      </c>
      <c r="G53" s="24">
        <v>0.119157519203744</v>
      </c>
      <c r="H53" s="26"/>
    </row>
    <row r="54" spans="2:9" x14ac:dyDescent="0.2">
      <c r="B54" s="21" t="s">
        <v>79</v>
      </c>
      <c r="C54" s="21" t="s">
        <v>80</v>
      </c>
      <c r="D54" s="21" t="s">
        <v>81</v>
      </c>
      <c r="E54" s="25">
        <v>1900</v>
      </c>
      <c r="F54" s="23">
        <v>26.976199999999999</v>
      </c>
      <c r="G54" s="24">
        <v>7.9807262649362706E-2</v>
      </c>
      <c r="H54" s="26"/>
    </row>
    <row r="55" spans="2:9" x14ac:dyDescent="0.2">
      <c r="B55" s="21" t="s">
        <v>61</v>
      </c>
      <c r="C55" s="21" t="s">
        <v>62</v>
      </c>
      <c r="D55" s="21" t="s">
        <v>63</v>
      </c>
      <c r="E55" s="25">
        <v>7275</v>
      </c>
      <c r="F55" s="23">
        <v>19.904399999999999</v>
      </c>
      <c r="G55" s="24">
        <v>5.8885820785654602E-2</v>
      </c>
      <c r="H55" s="26"/>
    </row>
    <row r="56" spans="2:9" x14ac:dyDescent="0.2">
      <c r="B56" s="21" t="s">
        <v>128</v>
      </c>
      <c r="C56" s="21" t="s">
        <v>129</v>
      </c>
      <c r="D56" s="21" t="s">
        <v>91</v>
      </c>
      <c r="E56" s="25">
        <v>2325</v>
      </c>
      <c r="F56" s="23">
        <v>19.797374999999999</v>
      </c>
      <c r="G56" s="24">
        <v>5.8569194563834998E-2</v>
      </c>
      <c r="H56" s="26"/>
    </row>
    <row r="57" spans="2:9" x14ac:dyDescent="0.2">
      <c r="B57" s="21" t="s">
        <v>143</v>
      </c>
      <c r="C57" s="21" t="s">
        <v>144</v>
      </c>
      <c r="D57" s="21" t="s">
        <v>81</v>
      </c>
      <c r="E57" s="25">
        <v>20925</v>
      </c>
      <c r="F57" s="23">
        <v>19.646482500000001</v>
      </c>
      <c r="G57" s="24">
        <v>5.8122789311081897E-2</v>
      </c>
      <c r="H57" s="26"/>
    </row>
    <row r="58" spans="2:9" x14ac:dyDescent="0.2">
      <c r="B58" s="21" t="s">
        <v>106</v>
      </c>
      <c r="C58" s="21" t="s">
        <v>107</v>
      </c>
      <c r="D58" s="21" t="s">
        <v>108</v>
      </c>
      <c r="E58" s="25">
        <v>9450</v>
      </c>
      <c r="F58" s="23">
        <v>15.808904999999999</v>
      </c>
      <c r="G58" s="24">
        <v>4.6769575905198799E-2</v>
      </c>
      <c r="H58" s="26"/>
    </row>
    <row r="59" spans="2:9" x14ac:dyDescent="0.2">
      <c r="B59" s="21" t="s">
        <v>87</v>
      </c>
      <c r="C59" s="21" t="s">
        <v>88</v>
      </c>
      <c r="D59" s="21" t="s">
        <v>63</v>
      </c>
      <c r="E59" s="25">
        <v>400</v>
      </c>
      <c r="F59" s="23">
        <v>15.141999999999999</v>
      </c>
      <c r="G59" s="24">
        <v>4.47965825815589E-2</v>
      </c>
      <c r="H59" s="26"/>
    </row>
    <row r="60" spans="2:9" x14ac:dyDescent="0.2">
      <c r="B60" s="21" t="s">
        <v>122</v>
      </c>
      <c r="C60" s="21" t="s">
        <v>123</v>
      </c>
      <c r="D60" s="21" t="s">
        <v>27</v>
      </c>
      <c r="E60" s="25">
        <v>1000</v>
      </c>
      <c r="F60" s="23">
        <v>9.8234999999999992</v>
      </c>
      <c r="G60" s="24">
        <v>2.9062160149910501E-2</v>
      </c>
      <c r="H60" s="26"/>
    </row>
    <row r="61" spans="2:9" ht="10.5" x14ac:dyDescent="0.25">
      <c r="B61" s="20" t="s">
        <v>14</v>
      </c>
      <c r="C61" s="20"/>
      <c r="D61" s="20"/>
      <c r="E61" s="27"/>
      <c r="F61" s="28">
        <f>SUM(F7:F60)</f>
        <v>23896.326497500002</v>
      </c>
      <c r="G61" s="29">
        <f>SUM(G7:G60)</f>
        <v>70.695665258298376</v>
      </c>
      <c r="H61" s="20"/>
      <c r="I61" s="14"/>
    </row>
    <row r="62" spans="2:9" ht="10.5" x14ac:dyDescent="0.25">
      <c r="B62" s="20" t="s">
        <v>94</v>
      </c>
      <c r="C62" s="20"/>
      <c r="D62" s="20"/>
      <c r="E62" s="27"/>
      <c r="F62" s="44" t="s">
        <v>95</v>
      </c>
      <c r="G62" s="45" t="s">
        <v>95</v>
      </c>
      <c r="H62" s="20"/>
      <c r="I62" s="14"/>
    </row>
    <row r="63" spans="2:9" ht="10.5" x14ac:dyDescent="0.25">
      <c r="B63" s="20" t="s">
        <v>14</v>
      </c>
      <c r="C63" s="20"/>
      <c r="D63" s="20"/>
      <c r="E63" s="27"/>
      <c r="F63" s="42" t="s">
        <v>95</v>
      </c>
      <c r="G63" s="43" t="s">
        <v>95</v>
      </c>
      <c r="H63" s="20"/>
      <c r="I63" s="14"/>
    </row>
    <row r="64" spans="2:9" ht="10.5" x14ac:dyDescent="0.25">
      <c r="B64" s="32" t="s">
        <v>8</v>
      </c>
      <c r="C64" s="32"/>
      <c r="D64" s="32"/>
      <c r="E64" s="33"/>
      <c r="F64" s="34">
        <f>F61</f>
        <v>23896.326497500002</v>
      </c>
      <c r="G64" s="35">
        <f>G61</f>
        <v>70.695665258298376</v>
      </c>
      <c r="H64" s="20"/>
      <c r="I64" s="14"/>
    </row>
    <row r="65" spans="2:9" ht="10.5" x14ac:dyDescent="0.25">
      <c r="B65" s="20" t="s">
        <v>9</v>
      </c>
      <c r="C65" s="21"/>
      <c r="D65" s="21"/>
      <c r="E65" s="22"/>
      <c r="F65" s="23"/>
      <c r="G65" s="24"/>
      <c r="H65" s="21"/>
    </row>
    <row r="66" spans="2:9" x14ac:dyDescent="0.2">
      <c r="B66" s="21" t="s">
        <v>167</v>
      </c>
      <c r="C66" s="21" t="s">
        <v>168</v>
      </c>
      <c r="D66" s="21" t="s">
        <v>13</v>
      </c>
      <c r="E66" s="25">
        <v>500</v>
      </c>
      <c r="F66" s="23">
        <v>2476.915</v>
      </c>
      <c r="G66" s="24">
        <v>7.3277854540352703</v>
      </c>
      <c r="H66" s="26">
        <v>6.6701999999999997E-2</v>
      </c>
    </row>
    <row r="67" spans="2:9" x14ac:dyDescent="0.2">
      <c r="B67" s="21" t="s">
        <v>11</v>
      </c>
      <c r="C67" s="21" t="s">
        <v>12</v>
      </c>
      <c r="D67" s="21" t="s">
        <v>10</v>
      </c>
      <c r="E67" s="25">
        <v>120</v>
      </c>
      <c r="F67" s="23">
        <v>594.43499999999995</v>
      </c>
      <c r="G67" s="24">
        <v>1.7585957315327601</v>
      </c>
      <c r="H67" s="26">
        <v>6.7001000000000005E-2</v>
      </c>
    </row>
    <row r="68" spans="2:9" ht="10.5" x14ac:dyDescent="0.25">
      <c r="B68" s="20" t="s">
        <v>14</v>
      </c>
      <c r="C68" s="20"/>
      <c r="D68" s="20"/>
      <c r="E68" s="27"/>
      <c r="F68" s="28">
        <f>SUM(F65:F67)</f>
        <v>3071.35</v>
      </c>
      <c r="G68" s="29">
        <f>SUM(G65:G67)</f>
        <v>9.0863811855680297</v>
      </c>
      <c r="H68" s="20"/>
      <c r="I68" s="14"/>
    </row>
    <row r="69" spans="2:9" ht="10.5" x14ac:dyDescent="0.25">
      <c r="B69" s="20" t="s">
        <v>15</v>
      </c>
      <c r="C69" s="21"/>
      <c r="D69" s="21"/>
      <c r="E69" s="22"/>
      <c r="F69" s="23"/>
      <c r="G69" s="24"/>
      <c r="H69" s="21"/>
    </row>
    <row r="70" spans="2:9" x14ac:dyDescent="0.2">
      <c r="B70" s="21" t="s">
        <v>169</v>
      </c>
      <c r="C70" s="21" t="s">
        <v>170</v>
      </c>
      <c r="D70" s="21" t="s">
        <v>10</v>
      </c>
      <c r="E70" s="25">
        <v>200</v>
      </c>
      <c r="F70" s="23">
        <v>995.31799999999998</v>
      </c>
      <c r="G70" s="24">
        <v>2.9445809656526301</v>
      </c>
      <c r="H70" s="26">
        <v>7.1548E-2</v>
      </c>
    </row>
    <row r="71" spans="2:9" x14ac:dyDescent="0.2">
      <c r="B71" s="21" t="s">
        <v>16</v>
      </c>
      <c r="C71" s="21" t="s">
        <v>17</v>
      </c>
      <c r="D71" s="21" t="s">
        <v>13</v>
      </c>
      <c r="E71" s="25">
        <v>100</v>
      </c>
      <c r="F71" s="23">
        <v>495.68549999999999</v>
      </c>
      <c r="G71" s="24">
        <v>1.4664520165916901</v>
      </c>
      <c r="H71" s="26">
        <v>6.7599999999999993E-2</v>
      </c>
    </row>
    <row r="72" spans="2:9" ht="10.5" x14ac:dyDescent="0.25">
      <c r="B72" s="20" t="s">
        <v>14</v>
      </c>
      <c r="C72" s="20"/>
      <c r="D72" s="20"/>
      <c r="E72" s="27"/>
      <c r="F72" s="30">
        <f>SUM(F69:F71)</f>
        <v>1491.0035</v>
      </c>
      <c r="G72" s="31">
        <f>SUM(G69:G71)</f>
        <v>4.4110329822443202</v>
      </c>
      <c r="H72" s="20"/>
      <c r="I72" s="14"/>
    </row>
    <row r="73" spans="2:9" ht="10.5" x14ac:dyDescent="0.25">
      <c r="B73" s="32" t="s">
        <v>18</v>
      </c>
      <c r="C73" s="32"/>
      <c r="D73" s="32"/>
      <c r="E73" s="33"/>
      <c r="F73" s="34">
        <f>+F68+F72</f>
        <v>4562.3535000000002</v>
      </c>
      <c r="G73" s="35">
        <f>+G68+G72</f>
        <v>13.49741416781235</v>
      </c>
      <c r="H73" s="20"/>
      <c r="I73" s="14"/>
    </row>
    <row r="74" spans="2:9" ht="10.5" x14ac:dyDescent="0.25">
      <c r="B74" s="20" t="s">
        <v>171</v>
      </c>
      <c r="C74" s="21"/>
      <c r="D74" s="21"/>
      <c r="E74" s="22"/>
      <c r="F74" s="23"/>
      <c r="G74" s="24"/>
      <c r="H74" s="21"/>
    </row>
    <row r="75" spans="2:9" x14ac:dyDescent="0.2">
      <c r="B75" s="21" t="s">
        <v>172</v>
      </c>
      <c r="C75" s="21" t="s">
        <v>173</v>
      </c>
      <c r="D75" s="21"/>
      <c r="E75" s="25">
        <v>243339.28</v>
      </c>
      <c r="F75" s="23">
        <v>2514.0196203</v>
      </c>
      <c r="G75" s="24">
        <v>7.4375569629129803</v>
      </c>
      <c r="H75" s="21"/>
    </row>
    <row r="76" spans="2:9" x14ac:dyDescent="0.2">
      <c r="B76" s="21" t="s">
        <v>174</v>
      </c>
      <c r="C76" s="21" t="s">
        <v>175</v>
      </c>
      <c r="D76" s="21"/>
      <c r="E76" s="25">
        <v>146361.65100000001</v>
      </c>
      <c r="F76" s="23">
        <v>1513.1810049000001</v>
      </c>
      <c r="G76" s="24">
        <v>4.4766436300917398</v>
      </c>
      <c r="H76" s="21"/>
    </row>
    <row r="77" spans="2:9" ht="10.5" x14ac:dyDescent="0.25">
      <c r="B77" s="20" t="s">
        <v>14</v>
      </c>
      <c r="C77" s="20"/>
      <c r="D77" s="20"/>
      <c r="E77" s="27"/>
      <c r="F77" s="28">
        <f>SUM(F75:F76)</f>
        <v>4027.2006252000001</v>
      </c>
      <c r="G77" s="29">
        <f>SUM(G75:G76)</f>
        <v>11.91420059300472</v>
      </c>
      <c r="H77" s="20"/>
      <c r="I77" s="14"/>
    </row>
    <row r="78" spans="2:9" ht="10.5" x14ac:dyDescent="0.25">
      <c r="B78" s="20"/>
      <c r="C78" s="21"/>
      <c r="D78" s="21"/>
      <c r="E78" s="22"/>
      <c r="F78" s="23"/>
      <c r="G78" s="24"/>
      <c r="H78" s="21"/>
    </row>
    <row r="79" spans="2:9" ht="10.5" x14ac:dyDescent="0.25">
      <c r="B79" s="20" t="s">
        <v>19</v>
      </c>
      <c r="C79" s="20"/>
      <c r="D79" s="20"/>
      <c r="E79" s="27"/>
      <c r="F79" s="28">
        <v>4161.1486894999998</v>
      </c>
      <c r="G79" s="29">
        <v>12.310476879099999</v>
      </c>
      <c r="H79" s="26">
        <v>5.04819029E-2</v>
      </c>
      <c r="I79" s="15"/>
    </row>
    <row r="80" spans="2:9" ht="10.5" x14ac:dyDescent="0.25">
      <c r="B80" s="20"/>
      <c r="C80" s="21"/>
      <c r="D80" s="21"/>
      <c r="E80" s="22"/>
      <c r="F80" s="59"/>
      <c r="G80" s="59"/>
      <c r="H80" s="21"/>
    </row>
    <row r="81" spans="2:9" ht="10.5" x14ac:dyDescent="0.25">
      <c r="B81" s="40" t="s">
        <v>21</v>
      </c>
      <c r="C81" s="40"/>
      <c r="D81" s="40"/>
      <c r="E81" s="41"/>
      <c r="F81" s="28">
        <f>F82-(F61+F68+F72+F77+F79+F80)</f>
        <v>-2845.3437206000017</v>
      </c>
      <c r="G81" s="29">
        <f>G82-(G61+G68+G72+G77+G79+G80)</f>
        <v>-8.417756898215444</v>
      </c>
      <c r="H81" s="20"/>
      <c r="I81" s="14"/>
    </row>
    <row r="82" spans="2:9" ht="10.5" x14ac:dyDescent="0.25">
      <c r="B82" s="36" t="s">
        <v>20</v>
      </c>
      <c r="C82" s="36"/>
      <c r="D82" s="36"/>
      <c r="E82" s="37"/>
      <c r="F82" s="38">
        <v>33801.685591599999</v>
      </c>
      <c r="G82" s="39">
        <v>100</v>
      </c>
      <c r="H82" s="46"/>
      <c r="I82" s="14"/>
    </row>
    <row r="84" spans="2:9" ht="10.5" x14ac:dyDescent="0.25">
      <c r="B84" s="14" t="s">
        <v>163</v>
      </c>
    </row>
    <row r="86" spans="2:9" ht="10.5" x14ac:dyDescent="0.25">
      <c r="B86" s="47" t="s">
        <v>4</v>
      </c>
      <c r="C86" s="47" t="s">
        <v>164</v>
      </c>
      <c r="D86" s="47" t="s">
        <v>96</v>
      </c>
      <c r="E86" s="48" t="s">
        <v>0</v>
      </c>
      <c r="F86" s="49" t="s">
        <v>165</v>
      </c>
      <c r="G86" s="50" t="s">
        <v>166</v>
      </c>
    </row>
    <row r="87" spans="2:9" x14ac:dyDescent="0.2">
      <c r="B87" s="51" t="s">
        <v>176</v>
      </c>
      <c r="C87" s="51" t="s">
        <v>177</v>
      </c>
      <c r="D87" s="51" t="s">
        <v>35</v>
      </c>
      <c r="E87" s="52">
        <v>-175</v>
      </c>
      <c r="F87" s="53">
        <v>-5.5296500000000002</v>
      </c>
      <c r="G87" s="54">
        <v>-1.63590954214844E-2</v>
      </c>
    </row>
    <row r="88" spans="2:9" x14ac:dyDescent="0.2">
      <c r="B88" s="51" t="s">
        <v>178</v>
      </c>
      <c r="C88" s="51" t="s">
        <v>177</v>
      </c>
      <c r="D88" s="51" t="s">
        <v>103</v>
      </c>
      <c r="E88" s="52">
        <v>-1000</v>
      </c>
      <c r="F88" s="53">
        <v>-6.7960000000000003</v>
      </c>
      <c r="G88" s="54">
        <v>-2.0105506222709998E-2</v>
      </c>
    </row>
    <row r="89" spans="2:9" x14ac:dyDescent="0.2">
      <c r="B89" s="51" t="s">
        <v>179</v>
      </c>
      <c r="C89" s="51" t="s">
        <v>177</v>
      </c>
      <c r="D89" s="51" t="s">
        <v>53</v>
      </c>
      <c r="E89" s="52">
        <v>-200</v>
      </c>
      <c r="F89" s="53">
        <v>-6.94</v>
      </c>
      <c r="G89" s="54">
        <v>-2.0531520480519001E-2</v>
      </c>
    </row>
    <row r="90" spans="2:9" x14ac:dyDescent="0.2">
      <c r="B90" s="51" t="s">
        <v>180</v>
      </c>
      <c r="C90" s="51" t="s">
        <v>177</v>
      </c>
      <c r="D90" s="51" t="s">
        <v>27</v>
      </c>
      <c r="E90" s="52">
        <v>-700</v>
      </c>
      <c r="F90" s="53">
        <v>-9.5942000000000007</v>
      </c>
      <c r="G90" s="54">
        <v>-2.8383791612996499E-2</v>
      </c>
    </row>
    <row r="91" spans="2:9" x14ac:dyDescent="0.2">
      <c r="B91" s="51" t="s">
        <v>181</v>
      </c>
      <c r="C91" s="51" t="s">
        <v>177</v>
      </c>
      <c r="D91" s="51" t="s">
        <v>27</v>
      </c>
      <c r="E91" s="52">
        <v>-1000</v>
      </c>
      <c r="F91" s="53">
        <v>-9.8465000000000007</v>
      </c>
      <c r="G91" s="54">
        <v>-2.9130204093866099E-2</v>
      </c>
    </row>
    <row r="92" spans="2:9" x14ac:dyDescent="0.2">
      <c r="B92" s="51" t="s">
        <v>182</v>
      </c>
      <c r="C92" s="51" t="s">
        <v>177</v>
      </c>
      <c r="D92" s="51" t="s">
        <v>63</v>
      </c>
      <c r="E92" s="52">
        <v>-400</v>
      </c>
      <c r="F92" s="53">
        <v>-15.156000000000001</v>
      </c>
      <c r="G92" s="54">
        <v>-4.4838000634401499E-2</v>
      </c>
    </row>
    <row r="93" spans="2:9" x14ac:dyDescent="0.2">
      <c r="B93" s="51" t="s">
        <v>183</v>
      </c>
      <c r="C93" s="51" t="s">
        <v>177</v>
      </c>
      <c r="D93" s="51" t="s">
        <v>108</v>
      </c>
      <c r="E93" s="52">
        <v>-9450</v>
      </c>
      <c r="F93" s="53">
        <v>-15.86655</v>
      </c>
      <c r="G93" s="54">
        <v>-4.6940114737778003E-2</v>
      </c>
    </row>
    <row r="94" spans="2:9" x14ac:dyDescent="0.2">
      <c r="B94" s="51" t="s">
        <v>184</v>
      </c>
      <c r="C94" s="51" t="s">
        <v>177</v>
      </c>
      <c r="D94" s="51" t="s">
        <v>81</v>
      </c>
      <c r="E94" s="52">
        <v>-20925</v>
      </c>
      <c r="F94" s="53">
        <v>-19.698795</v>
      </c>
      <c r="G94" s="54">
        <v>-5.8277552303176598E-2</v>
      </c>
    </row>
    <row r="95" spans="2:9" x14ac:dyDescent="0.2">
      <c r="B95" s="51" t="s">
        <v>185</v>
      </c>
      <c r="C95" s="51" t="s">
        <v>177</v>
      </c>
      <c r="D95" s="51" t="s">
        <v>91</v>
      </c>
      <c r="E95" s="52">
        <v>-2325</v>
      </c>
      <c r="F95" s="53">
        <v>-19.8450375</v>
      </c>
      <c r="G95" s="54">
        <v>-5.8710200845521303E-2</v>
      </c>
    </row>
    <row r="96" spans="2:9" x14ac:dyDescent="0.2">
      <c r="B96" s="51" t="s">
        <v>186</v>
      </c>
      <c r="C96" s="51" t="s">
        <v>177</v>
      </c>
      <c r="D96" s="51" t="s">
        <v>63</v>
      </c>
      <c r="E96" s="52">
        <v>-7275</v>
      </c>
      <c r="F96" s="53">
        <v>-20.046262500000001</v>
      </c>
      <c r="G96" s="54">
        <v>-5.9305511394324301E-2</v>
      </c>
    </row>
    <row r="97" spans="2:7" x14ac:dyDescent="0.2">
      <c r="B97" s="51" t="s">
        <v>187</v>
      </c>
      <c r="C97" s="51" t="s">
        <v>177</v>
      </c>
      <c r="D97" s="51" t="s">
        <v>68</v>
      </c>
      <c r="E97" s="52">
        <v>-9000</v>
      </c>
      <c r="F97" s="53">
        <v>-20.173500000000001</v>
      </c>
      <c r="G97" s="54">
        <v>-5.9681934929935197E-2</v>
      </c>
    </row>
    <row r="98" spans="2:7" x14ac:dyDescent="0.2">
      <c r="B98" s="51" t="s">
        <v>188</v>
      </c>
      <c r="C98" s="51" t="s">
        <v>177</v>
      </c>
      <c r="D98" s="51" t="s">
        <v>58</v>
      </c>
      <c r="E98" s="52">
        <v>-2250</v>
      </c>
      <c r="F98" s="53">
        <v>-21.130875</v>
      </c>
      <c r="G98" s="54">
        <v>-6.2514264097087505E-2</v>
      </c>
    </row>
    <row r="99" spans="2:7" x14ac:dyDescent="0.2">
      <c r="B99" s="51" t="s">
        <v>189</v>
      </c>
      <c r="C99" s="51" t="s">
        <v>177</v>
      </c>
      <c r="D99" s="51" t="s">
        <v>38</v>
      </c>
      <c r="E99" s="52">
        <v>-214425</v>
      </c>
      <c r="F99" s="53">
        <v>-24.208582499999999</v>
      </c>
      <c r="G99" s="54">
        <v>-7.1619453516294604E-2</v>
      </c>
    </row>
    <row r="100" spans="2:7" x14ac:dyDescent="0.2">
      <c r="B100" s="51" t="s">
        <v>190</v>
      </c>
      <c r="C100" s="51" t="s">
        <v>177</v>
      </c>
      <c r="D100" s="51" t="s">
        <v>27</v>
      </c>
      <c r="E100" s="52">
        <v>-6000</v>
      </c>
      <c r="F100" s="53">
        <v>-24.96</v>
      </c>
      <c r="G100" s="54">
        <v>-7.3842471353567002E-2</v>
      </c>
    </row>
    <row r="101" spans="2:7" x14ac:dyDescent="0.2">
      <c r="B101" s="51" t="s">
        <v>191</v>
      </c>
      <c r="C101" s="51" t="s">
        <v>177</v>
      </c>
      <c r="D101" s="51" t="s">
        <v>81</v>
      </c>
      <c r="E101" s="52">
        <v>-1900</v>
      </c>
      <c r="F101" s="53">
        <v>-27.033200000000001</v>
      </c>
      <c r="G101" s="54">
        <v>-7.9975893293078804E-2</v>
      </c>
    </row>
    <row r="102" spans="2:7" x14ac:dyDescent="0.2">
      <c r="B102" s="51" t="s">
        <v>192</v>
      </c>
      <c r="C102" s="51" t="s">
        <v>177</v>
      </c>
      <c r="D102" s="51" t="s">
        <v>53</v>
      </c>
      <c r="E102" s="52">
        <v>-800</v>
      </c>
      <c r="F102" s="53">
        <v>-27.862400000000001</v>
      </c>
      <c r="G102" s="54">
        <v>-8.2429025394295793E-2</v>
      </c>
    </row>
    <row r="103" spans="2:7" x14ac:dyDescent="0.2">
      <c r="B103" s="51" t="s">
        <v>193</v>
      </c>
      <c r="C103" s="51" t="s">
        <v>177</v>
      </c>
      <c r="D103" s="51" t="s">
        <v>27</v>
      </c>
      <c r="E103" s="52">
        <v>-155500</v>
      </c>
      <c r="F103" s="53">
        <v>-33.634650000000001</v>
      </c>
      <c r="G103" s="54">
        <v>-9.9505836502894698E-2</v>
      </c>
    </row>
    <row r="104" spans="2:7" x14ac:dyDescent="0.2">
      <c r="B104" s="51" t="s">
        <v>194</v>
      </c>
      <c r="C104" s="51" t="s">
        <v>177</v>
      </c>
      <c r="D104" s="51" t="s">
        <v>27</v>
      </c>
      <c r="E104" s="52">
        <v>-3850</v>
      </c>
      <c r="F104" s="53">
        <v>-36.186149999999998</v>
      </c>
      <c r="G104" s="54">
        <v>-0.10705427663344901</v>
      </c>
    </row>
    <row r="105" spans="2:7" x14ac:dyDescent="0.2">
      <c r="B105" s="51" t="s">
        <v>195</v>
      </c>
      <c r="C105" s="51" t="s">
        <v>177</v>
      </c>
      <c r="D105" s="51" t="s">
        <v>72</v>
      </c>
      <c r="E105" s="52">
        <v>-1950</v>
      </c>
      <c r="F105" s="53">
        <v>-40.404000000000003</v>
      </c>
      <c r="G105" s="54">
        <v>-0.11953250050358701</v>
      </c>
    </row>
    <row r="106" spans="2:7" x14ac:dyDescent="0.2">
      <c r="B106" s="51" t="s">
        <v>196</v>
      </c>
      <c r="C106" s="51" t="s">
        <v>177</v>
      </c>
      <c r="D106" s="51" t="s">
        <v>118</v>
      </c>
      <c r="E106" s="52">
        <v>-1875</v>
      </c>
      <c r="F106" s="53">
        <v>-47.625</v>
      </c>
      <c r="G106" s="54">
        <v>-0.14089534047330199</v>
      </c>
    </row>
    <row r="107" spans="2:7" x14ac:dyDescent="0.2">
      <c r="B107" s="51" t="s">
        <v>197</v>
      </c>
      <c r="C107" s="51" t="s">
        <v>177</v>
      </c>
      <c r="D107" s="51" t="s">
        <v>68</v>
      </c>
      <c r="E107" s="52">
        <v>-21600</v>
      </c>
      <c r="F107" s="53">
        <v>-48.092399999999998</v>
      </c>
      <c r="G107" s="54">
        <v>-0.14227811175177399</v>
      </c>
    </row>
    <row r="108" spans="2:7" x14ac:dyDescent="0.2">
      <c r="B108" s="51" t="s">
        <v>198</v>
      </c>
      <c r="C108" s="51" t="s">
        <v>177</v>
      </c>
      <c r="D108" s="51" t="s">
        <v>38</v>
      </c>
      <c r="E108" s="52">
        <v>-428850</v>
      </c>
      <c r="F108" s="53">
        <v>-48.803130000000003</v>
      </c>
      <c r="G108" s="54">
        <v>-0.14438075837297301</v>
      </c>
    </row>
    <row r="109" spans="2:7" x14ac:dyDescent="0.2">
      <c r="B109" s="51" t="s">
        <v>199</v>
      </c>
      <c r="C109" s="51" t="s">
        <v>177</v>
      </c>
      <c r="D109" s="51" t="s">
        <v>50</v>
      </c>
      <c r="E109" s="52">
        <v>-2400</v>
      </c>
      <c r="F109" s="53">
        <v>-57.002400000000002</v>
      </c>
      <c r="G109" s="54">
        <v>-0.16863774395370901</v>
      </c>
    </row>
    <row r="110" spans="2:7" x14ac:dyDescent="0.2">
      <c r="B110" s="51" t="s">
        <v>200</v>
      </c>
      <c r="C110" s="51" t="s">
        <v>177</v>
      </c>
      <c r="D110" s="51" t="s">
        <v>35</v>
      </c>
      <c r="E110" s="52">
        <v>-3600</v>
      </c>
      <c r="F110" s="53">
        <v>-59.965200000000003</v>
      </c>
      <c r="G110" s="54">
        <v>-0.17740298730813001</v>
      </c>
    </row>
    <row r="111" spans="2:7" x14ac:dyDescent="0.2">
      <c r="B111" s="51" t="s">
        <v>201</v>
      </c>
      <c r="C111" s="51" t="s">
        <v>177</v>
      </c>
      <c r="D111" s="51" t="s">
        <v>32</v>
      </c>
      <c r="E111" s="52">
        <v>-4500</v>
      </c>
      <c r="F111" s="53">
        <v>-63.396000000000001</v>
      </c>
      <c r="G111" s="54">
        <v>-0.18755277700042999</v>
      </c>
    </row>
    <row r="112" spans="2:7" x14ac:dyDescent="0.2">
      <c r="B112" s="51" t="s">
        <v>202</v>
      </c>
      <c r="C112" s="51" t="s">
        <v>177</v>
      </c>
      <c r="D112" s="51" t="s">
        <v>27</v>
      </c>
      <c r="E112" s="52">
        <v>-7150</v>
      </c>
      <c r="F112" s="53">
        <v>-67.603250000000003</v>
      </c>
      <c r="G112" s="54">
        <v>-0.199999641487701</v>
      </c>
    </row>
    <row r="113" spans="2:7" x14ac:dyDescent="0.2">
      <c r="B113" s="51" t="s">
        <v>203</v>
      </c>
      <c r="C113" s="51" t="s">
        <v>177</v>
      </c>
      <c r="D113" s="51" t="s">
        <v>103</v>
      </c>
      <c r="E113" s="52">
        <v>-12000</v>
      </c>
      <c r="F113" s="53">
        <v>-81.066000000000003</v>
      </c>
      <c r="G113" s="54">
        <v>-0.23982827655241401</v>
      </c>
    </row>
    <row r="114" spans="2:7" x14ac:dyDescent="0.2">
      <c r="B114" s="51" t="s">
        <v>204</v>
      </c>
      <c r="C114" s="51" t="s">
        <v>177</v>
      </c>
      <c r="D114" s="51" t="s">
        <v>72</v>
      </c>
      <c r="E114" s="52">
        <v>-3000</v>
      </c>
      <c r="F114" s="53">
        <v>-84.956999999999994</v>
      </c>
      <c r="G114" s="54">
        <v>-0.25133953681029603</v>
      </c>
    </row>
    <row r="115" spans="2:7" x14ac:dyDescent="0.2">
      <c r="B115" s="51" t="s">
        <v>205</v>
      </c>
      <c r="C115" s="51" t="s">
        <v>177</v>
      </c>
      <c r="D115" s="51" t="s">
        <v>35</v>
      </c>
      <c r="E115" s="52">
        <v>-2800</v>
      </c>
      <c r="F115" s="53">
        <v>-89.017600000000002</v>
      </c>
      <c r="G115" s="54">
        <v>-0.263352547194042</v>
      </c>
    </row>
    <row r="116" spans="2:7" x14ac:dyDescent="0.2">
      <c r="B116" s="51" t="s">
        <v>206</v>
      </c>
      <c r="C116" s="51" t="s">
        <v>177</v>
      </c>
      <c r="D116" s="51" t="s">
        <v>27</v>
      </c>
      <c r="E116" s="52">
        <v>-72000</v>
      </c>
      <c r="F116" s="53">
        <v>-90.547200000000004</v>
      </c>
      <c r="G116" s="54">
        <v>-0.26787776531032398</v>
      </c>
    </row>
    <row r="117" spans="2:7" x14ac:dyDescent="0.2">
      <c r="B117" s="51" t="s">
        <v>207</v>
      </c>
      <c r="C117" s="51" t="s">
        <v>177</v>
      </c>
      <c r="D117" s="51" t="s">
        <v>91</v>
      </c>
      <c r="E117" s="52">
        <v>-9450</v>
      </c>
      <c r="F117" s="53">
        <v>-90.871200000000002</v>
      </c>
      <c r="G117" s="54">
        <v>-0.268836297390395</v>
      </c>
    </row>
    <row r="118" spans="2:7" x14ac:dyDescent="0.2">
      <c r="B118" s="51" t="s">
        <v>208</v>
      </c>
      <c r="C118" s="51" t="s">
        <v>177</v>
      </c>
      <c r="D118" s="51" t="s">
        <v>35</v>
      </c>
      <c r="E118" s="52">
        <v>-5600</v>
      </c>
      <c r="F118" s="53">
        <v>-92.114400000000003</v>
      </c>
      <c r="G118" s="54">
        <v>-0.27251422048281299</v>
      </c>
    </row>
    <row r="119" spans="2:7" x14ac:dyDescent="0.2">
      <c r="B119" s="51" t="s">
        <v>209</v>
      </c>
      <c r="C119" s="51" t="s">
        <v>177</v>
      </c>
      <c r="D119" s="51" t="s">
        <v>118</v>
      </c>
      <c r="E119" s="52">
        <v>-3375</v>
      </c>
      <c r="F119" s="53">
        <v>-94.449375000000003</v>
      </c>
      <c r="G119" s="54">
        <v>-0.279422086049672</v>
      </c>
    </row>
    <row r="120" spans="2:7" x14ac:dyDescent="0.2">
      <c r="B120" s="51" t="s">
        <v>210</v>
      </c>
      <c r="C120" s="51" t="s">
        <v>177</v>
      </c>
      <c r="D120" s="51" t="s">
        <v>35</v>
      </c>
      <c r="E120" s="52">
        <v>-3150</v>
      </c>
      <c r="F120" s="53">
        <v>-98.887950000000004</v>
      </c>
      <c r="G120" s="54">
        <v>-0.29255330989935702</v>
      </c>
    </row>
    <row r="121" spans="2:7" x14ac:dyDescent="0.2">
      <c r="B121" s="51" t="s">
        <v>211</v>
      </c>
      <c r="C121" s="51" t="s">
        <v>177</v>
      </c>
      <c r="D121" s="51" t="s">
        <v>58</v>
      </c>
      <c r="E121" s="52">
        <v>-31000</v>
      </c>
      <c r="F121" s="53">
        <v>-105.55500000000001</v>
      </c>
      <c r="G121" s="54">
        <v>-0.31227732627106403</v>
      </c>
    </row>
    <row r="122" spans="2:7" x14ac:dyDescent="0.2">
      <c r="B122" s="51" t="s">
        <v>212</v>
      </c>
      <c r="C122" s="51" t="s">
        <v>177</v>
      </c>
      <c r="D122" s="51" t="s">
        <v>27</v>
      </c>
      <c r="E122" s="52">
        <v>-11900</v>
      </c>
      <c r="F122" s="53">
        <v>-106.65375</v>
      </c>
      <c r="G122" s="54">
        <v>-0.315527903811118</v>
      </c>
    </row>
    <row r="123" spans="2:7" x14ac:dyDescent="0.2">
      <c r="B123" s="51" t="s">
        <v>213</v>
      </c>
      <c r="C123" s="51" t="s">
        <v>177</v>
      </c>
      <c r="D123" s="51" t="s">
        <v>66</v>
      </c>
      <c r="E123" s="52">
        <v>-8050</v>
      </c>
      <c r="F123" s="53">
        <v>-128.23650000000001</v>
      </c>
      <c r="G123" s="54">
        <v>-0.37937900952450698</v>
      </c>
    </row>
    <row r="124" spans="2:7" x14ac:dyDescent="0.2">
      <c r="B124" s="51" t="s">
        <v>214</v>
      </c>
      <c r="C124" s="51" t="s">
        <v>177</v>
      </c>
      <c r="D124" s="51" t="s">
        <v>69</v>
      </c>
      <c r="E124" s="52">
        <v>-84600</v>
      </c>
      <c r="F124" s="53">
        <v>-128.6343</v>
      </c>
      <c r="G124" s="54">
        <v>-0.38055587391170398</v>
      </c>
    </row>
    <row r="125" spans="2:7" x14ac:dyDescent="0.2">
      <c r="B125" s="51" t="s">
        <v>215</v>
      </c>
      <c r="C125" s="51" t="s">
        <v>177</v>
      </c>
      <c r="D125" s="51" t="s">
        <v>72</v>
      </c>
      <c r="E125" s="52">
        <v>-1100</v>
      </c>
      <c r="F125" s="53">
        <v>-139.97499999999999</v>
      </c>
      <c r="G125" s="54">
        <v>-0.41410656761680797</v>
      </c>
    </row>
    <row r="126" spans="2:7" x14ac:dyDescent="0.2">
      <c r="B126" s="51" t="s">
        <v>216</v>
      </c>
      <c r="C126" s="51" t="s">
        <v>177</v>
      </c>
      <c r="D126" s="51" t="s">
        <v>53</v>
      </c>
      <c r="E126" s="52">
        <v>-4200</v>
      </c>
      <c r="F126" s="53">
        <v>-144.8202</v>
      </c>
      <c r="G126" s="54">
        <v>-0.42844076401914399</v>
      </c>
    </row>
    <row r="127" spans="2:7" x14ac:dyDescent="0.2">
      <c r="B127" s="51" t="s">
        <v>217</v>
      </c>
      <c r="C127" s="51" t="s">
        <v>177</v>
      </c>
      <c r="D127" s="51" t="s">
        <v>121</v>
      </c>
      <c r="E127" s="52">
        <v>-7350</v>
      </c>
      <c r="F127" s="53">
        <v>-151.06455</v>
      </c>
      <c r="G127" s="54">
        <v>-0.44691425103824101</v>
      </c>
    </row>
    <row r="128" spans="2:7" x14ac:dyDescent="0.2">
      <c r="B128" s="51" t="s">
        <v>218</v>
      </c>
      <c r="C128" s="51" t="s">
        <v>177</v>
      </c>
      <c r="D128" s="51" t="s">
        <v>85</v>
      </c>
      <c r="E128" s="52">
        <v>-2750</v>
      </c>
      <c r="F128" s="53">
        <v>-161.535</v>
      </c>
      <c r="G128" s="54">
        <v>-0.47789036899432902</v>
      </c>
    </row>
    <row r="129" spans="2:7" x14ac:dyDescent="0.2">
      <c r="B129" s="51" t="s">
        <v>219</v>
      </c>
      <c r="C129" s="51" t="s">
        <v>177</v>
      </c>
      <c r="D129" s="51" t="s">
        <v>27</v>
      </c>
      <c r="E129" s="52">
        <v>-222600</v>
      </c>
      <c r="F129" s="53">
        <v>-186.40523999999999</v>
      </c>
      <c r="G129" s="54">
        <v>-0.55146729146052798</v>
      </c>
    </row>
    <row r="130" spans="2:7" x14ac:dyDescent="0.2">
      <c r="B130" s="51" t="s">
        <v>220</v>
      </c>
      <c r="C130" s="51" t="s">
        <v>177</v>
      </c>
      <c r="D130" s="51" t="s">
        <v>118</v>
      </c>
      <c r="E130" s="52">
        <v>-7500</v>
      </c>
      <c r="F130" s="53">
        <v>-189.39750000000001</v>
      </c>
      <c r="G130" s="54">
        <v>-0.56031969023185901</v>
      </c>
    </row>
    <row r="131" spans="2:7" x14ac:dyDescent="0.2">
      <c r="B131" s="51" t="s">
        <v>221</v>
      </c>
      <c r="C131" s="51" t="s">
        <v>177</v>
      </c>
      <c r="D131" s="51" t="s">
        <v>114</v>
      </c>
      <c r="E131" s="52">
        <v>-76125</v>
      </c>
      <c r="F131" s="53">
        <v>-200.4751875</v>
      </c>
      <c r="G131" s="54">
        <v>-0.59309227924958796</v>
      </c>
    </row>
    <row r="132" spans="2:7" x14ac:dyDescent="0.2">
      <c r="B132" s="51" t="s">
        <v>222</v>
      </c>
      <c r="C132" s="51" t="s">
        <v>177</v>
      </c>
      <c r="D132" s="51" t="s">
        <v>66</v>
      </c>
      <c r="E132" s="52">
        <v>-22950</v>
      </c>
      <c r="F132" s="53">
        <v>-222.31665000000001</v>
      </c>
      <c r="G132" s="54">
        <v>-0.65770876839126502</v>
      </c>
    </row>
    <row r="133" spans="2:7" x14ac:dyDescent="0.2">
      <c r="B133" s="51" t="s">
        <v>223</v>
      </c>
      <c r="C133" s="51" t="s">
        <v>177</v>
      </c>
      <c r="D133" s="51" t="s">
        <v>121</v>
      </c>
      <c r="E133" s="52">
        <v>-3750</v>
      </c>
      <c r="F133" s="53">
        <v>-263.56875000000002</v>
      </c>
      <c r="G133" s="54">
        <v>-0.77975031536740602</v>
      </c>
    </row>
    <row r="134" spans="2:7" x14ac:dyDescent="0.2">
      <c r="B134" s="51" t="s">
        <v>224</v>
      </c>
      <c r="C134" s="51" t="s">
        <v>177</v>
      </c>
      <c r="D134" s="51" t="s">
        <v>58</v>
      </c>
      <c r="E134" s="52">
        <v>-52000</v>
      </c>
      <c r="F134" s="53">
        <v>-274.76799999999997</v>
      </c>
      <c r="G134" s="54">
        <v>-0.81288253881718298</v>
      </c>
    </row>
    <row r="135" spans="2:7" x14ac:dyDescent="0.2">
      <c r="B135" s="51" t="s">
        <v>225</v>
      </c>
      <c r="C135" s="51" t="s">
        <v>177</v>
      </c>
      <c r="D135" s="51" t="s">
        <v>86</v>
      </c>
      <c r="E135" s="52">
        <v>-22000</v>
      </c>
      <c r="F135" s="53">
        <v>-355.82799999999997</v>
      </c>
      <c r="G135" s="54">
        <v>-1.0526930647755199</v>
      </c>
    </row>
    <row r="136" spans="2:7" x14ac:dyDescent="0.2">
      <c r="B136" s="51" t="s">
        <v>226</v>
      </c>
      <c r="C136" s="51" t="s">
        <v>177</v>
      </c>
      <c r="D136" s="51" t="s">
        <v>38</v>
      </c>
      <c r="E136" s="52">
        <v>-3287850</v>
      </c>
      <c r="F136" s="53">
        <v>-368.56798500000002</v>
      </c>
      <c r="G136" s="54">
        <v>-1.09038344848575</v>
      </c>
    </row>
    <row r="137" spans="2:7" x14ac:dyDescent="0.2">
      <c r="B137" s="51" t="s">
        <v>227</v>
      </c>
      <c r="C137" s="51" t="s">
        <v>177</v>
      </c>
      <c r="D137" s="51" t="s">
        <v>27</v>
      </c>
      <c r="E137" s="52">
        <v>-1803800</v>
      </c>
      <c r="F137" s="53">
        <v>-387.45623999999998</v>
      </c>
      <c r="G137" s="54">
        <v>-1.1462630730352901</v>
      </c>
    </row>
    <row r="138" spans="2:7" x14ac:dyDescent="0.2">
      <c r="B138" s="51" t="s">
        <v>228</v>
      </c>
      <c r="C138" s="51" t="s">
        <v>177</v>
      </c>
      <c r="D138" s="51" t="s">
        <v>27</v>
      </c>
      <c r="E138" s="52">
        <v>-137475</v>
      </c>
      <c r="F138" s="53">
        <v>-413.04363749999999</v>
      </c>
      <c r="G138" s="54">
        <v>-1.2219616574465899</v>
      </c>
    </row>
    <row r="139" spans="2:7" x14ac:dyDescent="0.2">
      <c r="B139" s="51" t="s">
        <v>229</v>
      </c>
      <c r="C139" s="51" t="s">
        <v>177</v>
      </c>
      <c r="D139" s="51" t="s">
        <v>58</v>
      </c>
      <c r="E139" s="52">
        <v>-22250</v>
      </c>
      <c r="F139" s="53">
        <v>-435.34350000000001</v>
      </c>
      <c r="G139" s="54">
        <v>-1.28793429197562</v>
      </c>
    </row>
    <row r="140" spans="2:7" x14ac:dyDescent="0.2">
      <c r="B140" s="51" t="s">
        <v>230</v>
      </c>
      <c r="C140" s="51" t="s">
        <v>177</v>
      </c>
      <c r="D140" s="51" t="s">
        <v>69</v>
      </c>
      <c r="E140" s="52">
        <v>-35775</v>
      </c>
      <c r="F140" s="53">
        <v>-436.09724999999997</v>
      </c>
      <c r="G140" s="54">
        <v>-1.29016421035634</v>
      </c>
    </row>
    <row r="141" spans="2:7" x14ac:dyDescent="0.2">
      <c r="B141" s="51" t="s">
        <v>231</v>
      </c>
      <c r="C141" s="51" t="s">
        <v>177</v>
      </c>
      <c r="D141" s="51" t="s">
        <v>50</v>
      </c>
      <c r="E141" s="52">
        <v>-134400</v>
      </c>
      <c r="F141" s="53">
        <v>-440.69760000000002</v>
      </c>
      <c r="G141" s="54">
        <v>-1.30377403459879</v>
      </c>
    </row>
    <row r="142" spans="2:7" x14ac:dyDescent="0.2">
      <c r="B142" s="51" t="s">
        <v>232</v>
      </c>
      <c r="C142" s="51" t="s">
        <v>177</v>
      </c>
      <c r="D142" s="51" t="s">
        <v>67</v>
      </c>
      <c r="E142" s="52">
        <v>-124700</v>
      </c>
      <c r="F142" s="53">
        <v>-457.649</v>
      </c>
      <c r="G142" s="54">
        <v>-1.35392360466701</v>
      </c>
    </row>
    <row r="143" spans="2:7" x14ac:dyDescent="0.2">
      <c r="B143" s="51" t="s">
        <v>233</v>
      </c>
      <c r="C143" s="51" t="s">
        <v>177</v>
      </c>
      <c r="D143" s="51" t="s">
        <v>84</v>
      </c>
      <c r="E143" s="52">
        <v>-10950</v>
      </c>
      <c r="F143" s="53">
        <v>-505.94475</v>
      </c>
      <c r="G143" s="54">
        <v>-1.4968033136363199</v>
      </c>
    </row>
    <row r="144" spans="2:7" x14ac:dyDescent="0.2">
      <c r="B144" s="51" t="s">
        <v>234</v>
      </c>
      <c r="C144" s="51" t="s">
        <v>177</v>
      </c>
      <c r="D144" s="51" t="s">
        <v>50</v>
      </c>
      <c r="E144" s="52">
        <v>-182400</v>
      </c>
      <c r="F144" s="53">
        <v>-590.70240000000001</v>
      </c>
      <c r="G144" s="54">
        <v>-1.7475530869584599</v>
      </c>
    </row>
    <row r="145" spans="2:7" x14ac:dyDescent="0.2">
      <c r="B145" s="51" t="s">
        <v>235</v>
      </c>
      <c r="C145" s="51" t="s">
        <v>177</v>
      </c>
      <c r="D145" s="51" t="s">
        <v>58</v>
      </c>
      <c r="E145" s="52">
        <v>-64500</v>
      </c>
      <c r="F145" s="53">
        <v>-601.68825000000004</v>
      </c>
      <c r="G145" s="54">
        <v>-1.7800539809456299</v>
      </c>
    </row>
    <row r="146" spans="2:7" x14ac:dyDescent="0.2">
      <c r="B146" s="51" t="s">
        <v>236</v>
      </c>
      <c r="C146" s="51" t="s">
        <v>177</v>
      </c>
      <c r="D146" s="51" t="s">
        <v>134</v>
      </c>
      <c r="E146" s="52">
        <v>-97560</v>
      </c>
      <c r="F146" s="53">
        <v>-689.31017999999995</v>
      </c>
      <c r="G146" s="54">
        <v>-2.0392775328674699</v>
      </c>
    </row>
    <row r="147" spans="2:7" x14ac:dyDescent="0.2">
      <c r="B147" s="51" t="s">
        <v>237</v>
      </c>
      <c r="C147" s="51" t="s">
        <v>177</v>
      </c>
      <c r="D147" s="51" t="s">
        <v>38</v>
      </c>
      <c r="E147" s="52">
        <v>-35150</v>
      </c>
      <c r="F147" s="53">
        <v>-694.00160000000005</v>
      </c>
      <c r="G147" s="54">
        <v>-2.05315678154366</v>
      </c>
    </row>
    <row r="148" spans="2:7" x14ac:dyDescent="0.2">
      <c r="B148" s="51" t="s">
        <v>238</v>
      </c>
      <c r="C148" s="51" t="s">
        <v>177</v>
      </c>
      <c r="D148" s="51" t="s">
        <v>27</v>
      </c>
      <c r="E148" s="52">
        <v>-70500</v>
      </c>
      <c r="F148" s="53">
        <v>-763.09199999999998</v>
      </c>
      <c r="G148" s="54">
        <v>-2.2575560556945602</v>
      </c>
    </row>
    <row r="149" spans="2:7" x14ac:dyDescent="0.2">
      <c r="B149" s="51" t="s">
        <v>239</v>
      </c>
      <c r="C149" s="51" t="s">
        <v>177</v>
      </c>
      <c r="D149" s="51" t="s">
        <v>41</v>
      </c>
      <c r="E149" s="52">
        <v>-19600</v>
      </c>
      <c r="F149" s="53">
        <v>-772.65160000000003</v>
      </c>
      <c r="G149" s="54">
        <v>-2.2858374855483801</v>
      </c>
    </row>
    <row r="150" spans="2:7" x14ac:dyDescent="0.2">
      <c r="B150" s="51" t="s">
        <v>240</v>
      </c>
      <c r="C150" s="51" t="s">
        <v>177</v>
      </c>
      <c r="D150" s="51" t="s">
        <v>113</v>
      </c>
      <c r="E150" s="52">
        <v>-48950</v>
      </c>
      <c r="F150" s="53">
        <v>-773.50789999999995</v>
      </c>
      <c r="G150" s="54">
        <v>-2.2883707911661801</v>
      </c>
    </row>
    <row r="151" spans="2:7" x14ac:dyDescent="0.2">
      <c r="B151" s="51" t="s">
        <v>241</v>
      </c>
      <c r="C151" s="51" t="s">
        <v>177</v>
      </c>
      <c r="D151" s="51" t="s">
        <v>53</v>
      </c>
      <c r="E151" s="52">
        <v>-232800</v>
      </c>
      <c r="F151" s="53">
        <v>-816.66240000000005</v>
      </c>
      <c r="G151" s="54">
        <v>-2.4160404598371499</v>
      </c>
    </row>
    <row r="152" spans="2:7" x14ac:dyDescent="0.2">
      <c r="B152" s="51" t="s">
        <v>242</v>
      </c>
      <c r="C152" s="51" t="s">
        <v>177</v>
      </c>
      <c r="D152" s="51" t="s">
        <v>27</v>
      </c>
      <c r="E152" s="52">
        <v>-63125</v>
      </c>
      <c r="F152" s="53">
        <v>-866.83249999999998</v>
      </c>
      <c r="G152" s="54">
        <v>-2.56446530647399</v>
      </c>
    </row>
    <row r="153" spans="2:7" x14ac:dyDescent="0.2">
      <c r="B153" s="51" t="s">
        <v>243</v>
      </c>
      <c r="C153" s="51" t="s">
        <v>177</v>
      </c>
      <c r="D153" s="51" t="s">
        <v>113</v>
      </c>
      <c r="E153" s="52">
        <v>-139425</v>
      </c>
      <c r="F153" s="53">
        <v>-888.06753749999996</v>
      </c>
      <c r="G153" s="54">
        <v>-2.6272877282803102</v>
      </c>
    </row>
    <row r="154" spans="2:7" x14ac:dyDescent="0.2">
      <c r="B154" s="51" t="s">
        <v>244</v>
      </c>
      <c r="C154" s="51" t="s">
        <v>177</v>
      </c>
      <c r="D154" s="51" t="s">
        <v>27</v>
      </c>
      <c r="E154" s="52">
        <v>-272000</v>
      </c>
      <c r="F154" s="53">
        <v>-1115.2</v>
      </c>
      <c r="G154" s="54">
        <v>-3.2992437521433402</v>
      </c>
    </row>
    <row r="155" spans="2:7" x14ac:dyDescent="0.2">
      <c r="B155" s="51" t="s">
        <v>245</v>
      </c>
      <c r="C155" s="51" t="s">
        <v>177</v>
      </c>
      <c r="D155" s="51" t="s">
        <v>27</v>
      </c>
      <c r="E155" s="52">
        <v>-98000</v>
      </c>
      <c r="F155" s="53">
        <v>-1334.4659999999999</v>
      </c>
      <c r="G155" s="54">
        <v>-3.9479273788986</v>
      </c>
    </row>
    <row r="156" spans="2:7" x14ac:dyDescent="0.2">
      <c r="B156" s="51" t="s">
        <v>246</v>
      </c>
      <c r="C156" s="51" t="s">
        <v>177</v>
      </c>
      <c r="D156" s="51" t="s">
        <v>118</v>
      </c>
      <c r="E156" s="52">
        <v>-56875</v>
      </c>
      <c r="F156" s="53">
        <v>-1438.9375</v>
      </c>
      <c r="G156" s="54">
        <v>-4.2569992437228903</v>
      </c>
    </row>
    <row r="157" spans="2:7" x14ac:dyDescent="0.2">
      <c r="B157" s="51" t="s">
        <v>247</v>
      </c>
      <c r="C157" s="51" t="s">
        <v>177</v>
      </c>
      <c r="D157" s="51" t="s">
        <v>32</v>
      </c>
      <c r="E157" s="52">
        <v>-166500</v>
      </c>
      <c r="F157" s="53">
        <v>-2330.1675</v>
      </c>
      <c r="G157" s="54">
        <v>-6.8936429033558797</v>
      </c>
    </row>
    <row r="158" spans="2:7" x14ac:dyDescent="0.2">
      <c r="B158" s="51" t="s">
        <v>248</v>
      </c>
      <c r="C158" s="51" t="s">
        <v>177</v>
      </c>
      <c r="D158" s="51" t="s">
        <v>27</v>
      </c>
      <c r="E158" s="52">
        <v>-279400</v>
      </c>
      <c r="F158" s="53">
        <v>-2609.1768999999999</v>
      </c>
      <c r="G158" s="54">
        <v>-7.71907333712495</v>
      </c>
    </row>
    <row r="159" spans="2:7" ht="10.5" x14ac:dyDescent="0.25">
      <c r="B159" s="47"/>
      <c r="C159" s="47"/>
      <c r="D159" s="47"/>
      <c r="E159" s="48"/>
      <c r="F159" s="49">
        <f>SUM(F87:F158)</f>
        <v>-23987.808314999995</v>
      </c>
      <c r="G159" s="50">
        <f>SUM(G87:G158)</f>
        <v>-70.96630802625171</v>
      </c>
    </row>
    <row r="161" spans="2:7" ht="10.5" x14ac:dyDescent="0.25">
      <c r="B161" s="14" t="s">
        <v>115</v>
      </c>
    </row>
    <row r="166" spans="2:7" ht="10.5" x14ac:dyDescent="0.25">
      <c r="B166" s="14" t="s">
        <v>22</v>
      </c>
      <c r="E166" s="8"/>
      <c r="G166" s="56"/>
    </row>
    <row r="167" spans="2:7" x14ac:dyDescent="0.2">
      <c r="E167" s="8"/>
      <c r="G167" s="56"/>
    </row>
    <row r="168" spans="2:7" x14ac:dyDescent="0.2">
      <c r="E168" s="8"/>
      <c r="G168" s="56"/>
    </row>
    <row r="169" spans="2:7" x14ac:dyDescent="0.2">
      <c r="E169" s="8"/>
      <c r="G169" s="56"/>
    </row>
    <row r="170" spans="2:7" x14ac:dyDescent="0.2">
      <c r="E170" s="8"/>
      <c r="G170" s="56"/>
    </row>
    <row r="171" spans="2:7" x14ac:dyDescent="0.2">
      <c r="E171" s="8"/>
      <c r="G171" s="56"/>
    </row>
    <row r="172" spans="2:7" x14ac:dyDescent="0.2">
      <c r="E172" s="8"/>
      <c r="G172" s="56"/>
    </row>
    <row r="173" spans="2:7" x14ac:dyDescent="0.2">
      <c r="E173" s="8"/>
      <c r="G173" s="56"/>
    </row>
    <row r="174" spans="2:7" x14ac:dyDescent="0.2">
      <c r="E174" s="8"/>
      <c r="G174" s="56"/>
    </row>
    <row r="175" spans="2:7" x14ac:dyDescent="0.2">
      <c r="E175" s="8"/>
      <c r="G175" s="56"/>
    </row>
    <row r="176" spans="2:7" x14ac:dyDescent="0.2">
      <c r="E176" s="8"/>
      <c r="G176" s="56"/>
    </row>
    <row r="177" spans="2:7" x14ac:dyDescent="0.2">
      <c r="E177" s="8"/>
      <c r="G177" s="56"/>
    </row>
    <row r="178" spans="2:7" x14ac:dyDescent="0.2">
      <c r="E178" s="8"/>
      <c r="G178" s="56"/>
    </row>
    <row r="179" spans="2:7" x14ac:dyDescent="0.2">
      <c r="E179" s="8"/>
      <c r="G179" s="56"/>
    </row>
    <row r="180" spans="2:7" x14ac:dyDescent="0.2">
      <c r="E180" s="8"/>
      <c r="G180" s="56"/>
    </row>
    <row r="181" spans="2:7" x14ac:dyDescent="0.2">
      <c r="E181" s="8"/>
      <c r="G181" s="56"/>
    </row>
    <row r="182" spans="2:7" x14ac:dyDescent="0.2">
      <c r="E182" s="8"/>
      <c r="G182" s="56"/>
    </row>
    <row r="183" spans="2:7" x14ac:dyDescent="0.2">
      <c r="E183" s="8"/>
      <c r="G183" s="56"/>
    </row>
    <row r="184" spans="2:7" ht="10.5" x14ac:dyDescent="0.2">
      <c r="B184" s="57" t="s">
        <v>250</v>
      </c>
      <c r="E184" s="8"/>
      <c r="G184" s="56"/>
    </row>
    <row r="185" spans="2:7" ht="10.5" x14ac:dyDescent="0.25">
      <c r="B185" s="58" t="s">
        <v>251</v>
      </c>
      <c r="E185" s="8"/>
      <c r="G185" s="56"/>
    </row>
    <row r="186" spans="2:7" x14ac:dyDescent="0.2">
      <c r="E186" s="8"/>
      <c r="G186" s="56"/>
    </row>
    <row r="187" spans="2:7" x14ac:dyDescent="0.2">
      <c r="E187" s="8"/>
      <c r="G187" s="56"/>
    </row>
    <row r="188" spans="2:7" x14ac:dyDescent="0.2">
      <c r="E188" s="8"/>
      <c r="G188" s="56"/>
    </row>
    <row r="189" spans="2:7" x14ac:dyDescent="0.2">
      <c r="E189" s="8"/>
      <c r="G189" s="56"/>
    </row>
    <row r="190" spans="2:7" x14ac:dyDescent="0.2">
      <c r="E190" s="8"/>
      <c r="G190" s="56"/>
    </row>
    <row r="191" spans="2:7" x14ac:dyDescent="0.2">
      <c r="E191" s="8"/>
      <c r="G191" s="56"/>
    </row>
    <row r="192" spans="2:7" x14ac:dyDescent="0.2">
      <c r="E192" s="8"/>
      <c r="G192" s="56"/>
    </row>
    <row r="193" spans="5:7" x14ac:dyDescent="0.2">
      <c r="E193" s="8"/>
      <c r="G193" s="56"/>
    </row>
    <row r="194" spans="5:7" x14ac:dyDescent="0.2">
      <c r="E194" s="8"/>
      <c r="G194" s="56"/>
    </row>
    <row r="195" spans="5:7" x14ac:dyDescent="0.2">
      <c r="E195" s="8"/>
      <c r="G195" s="56"/>
    </row>
    <row r="196" spans="5:7" x14ac:dyDescent="0.2">
      <c r="E196" s="8"/>
      <c r="G196" s="56"/>
    </row>
    <row r="197" spans="5:7" x14ac:dyDescent="0.2">
      <c r="E197" s="8"/>
      <c r="G197" s="56"/>
    </row>
    <row r="198" spans="5:7" x14ac:dyDescent="0.2">
      <c r="E198" s="8"/>
      <c r="G198" s="56"/>
    </row>
    <row r="199" spans="5:7" x14ac:dyDescent="0.2">
      <c r="E199" s="8"/>
      <c r="G199" s="56"/>
    </row>
    <row r="200" spans="5:7" x14ac:dyDescent="0.2">
      <c r="E200" s="8"/>
      <c r="G200" s="56"/>
    </row>
    <row r="201" spans="5:7" x14ac:dyDescent="0.2">
      <c r="E201" s="8"/>
      <c r="G201" s="56"/>
    </row>
    <row r="202" spans="5:7" x14ac:dyDescent="0.2">
      <c r="E202" s="8"/>
      <c r="G202" s="56"/>
    </row>
    <row r="203" spans="5:7" x14ac:dyDescent="0.2">
      <c r="E203" s="8"/>
      <c r="G203" s="56"/>
    </row>
    <row r="204" spans="5:7" x14ac:dyDescent="0.2">
      <c r="E204" s="8"/>
      <c r="G204" s="56"/>
    </row>
    <row r="205" spans="5:7" x14ac:dyDescent="0.2">
      <c r="E205" s="8"/>
      <c r="G205" s="56"/>
    </row>
    <row r="206" spans="5:7" x14ac:dyDescent="0.2">
      <c r="E206" s="8"/>
      <c r="G206" s="56"/>
    </row>
    <row r="207" spans="5:7" x14ac:dyDescent="0.2">
      <c r="E207" s="8"/>
      <c r="G207" s="56"/>
    </row>
    <row r="208" spans="5:7" x14ac:dyDescent="0.2">
      <c r="E208" s="8"/>
      <c r="G208" s="56"/>
    </row>
    <row r="209" spans="5:7" x14ac:dyDescent="0.2">
      <c r="E209" s="8"/>
      <c r="G209" s="56"/>
    </row>
    <row r="210" spans="5:7" x14ac:dyDescent="0.2">
      <c r="E210" s="8"/>
      <c r="G210" s="56"/>
    </row>
    <row r="211" spans="5:7" x14ac:dyDescent="0.2">
      <c r="E211" s="8"/>
      <c r="G211" s="56"/>
    </row>
    <row r="212" spans="5:7" x14ac:dyDescent="0.2">
      <c r="E212" s="8"/>
      <c r="G212" s="56"/>
    </row>
    <row r="213" spans="5:7" x14ac:dyDescent="0.2">
      <c r="E213" s="8"/>
      <c r="G213" s="56"/>
    </row>
    <row r="214" spans="5:7" x14ac:dyDescent="0.2">
      <c r="E214" s="8"/>
      <c r="G214" s="56"/>
    </row>
    <row r="215" spans="5:7" x14ac:dyDescent="0.2">
      <c r="E215" s="8"/>
      <c r="G215" s="56"/>
    </row>
    <row r="216" spans="5:7" x14ac:dyDescent="0.2">
      <c r="E216" s="8"/>
      <c r="G216" s="56"/>
    </row>
    <row r="217" spans="5:7" x14ac:dyDescent="0.2">
      <c r="E217" s="8"/>
      <c r="G217" s="56"/>
    </row>
    <row r="218" spans="5:7" x14ac:dyDescent="0.2">
      <c r="E218" s="8"/>
      <c r="G218" s="56"/>
    </row>
    <row r="219" spans="5:7" x14ac:dyDescent="0.2">
      <c r="E219" s="8"/>
      <c r="G219" s="56"/>
    </row>
    <row r="220" spans="5:7" x14ac:dyDescent="0.2">
      <c r="E220" s="8"/>
      <c r="G220" s="56"/>
    </row>
    <row r="221" spans="5:7" x14ac:dyDescent="0.2">
      <c r="E221" s="8"/>
      <c r="G221" s="56"/>
    </row>
    <row r="222" spans="5:7" x14ac:dyDescent="0.2">
      <c r="E222" s="8"/>
      <c r="G222" s="56"/>
    </row>
    <row r="223" spans="5:7" x14ac:dyDescent="0.2">
      <c r="E223" s="8"/>
      <c r="G223" s="56"/>
    </row>
    <row r="224" spans="5:7" x14ac:dyDescent="0.2">
      <c r="E224" s="8"/>
      <c r="G224" s="56"/>
    </row>
    <row r="225" spans="5:7" x14ac:dyDescent="0.2">
      <c r="E225" s="8"/>
      <c r="G225" s="56"/>
    </row>
    <row r="226" spans="5:7" x14ac:dyDescent="0.2">
      <c r="E226" s="8"/>
      <c r="G226" s="56"/>
    </row>
    <row r="227" spans="5:7" x14ac:dyDescent="0.2">
      <c r="E227" s="8"/>
      <c r="G227" s="56"/>
    </row>
    <row r="228" spans="5:7" x14ac:dyDescent="0.2">
      <c r="E228" s="8"/>
      <c r="G228" s="56"/>
    </row>
    <row r="229" spans="5:7" x14ac:dyDescent="0.2">
      <c r="E229" s="8"/>
      <c r="G229" s="56"/>
    </row>
    <row r="230" spans="5:7" x14ac:dyDescent="0.2">
      <c r="E230" s="8"/>
      <c r="G230" s="56"/>
    </row>
    <row r="231" spans="5:7" x14ac:dyDescent="0.2">
      <c r="E231" s="8"/>
      <c r="G231" s="56"/>
    </row>
    <row r="232" spans="5:7" x14ac:dyDescent="0.2">
      <c r="E232" s="8"/>
      <c r="G232" s="56"/>
    </row>
    <row r="233" spans="5:7" x14ac:dyDescent="0.2">
      <c r="E233" s="8"/>
      <c r="G233" s="56"/>
    </row>
    <row r="234" spans="5:7" x14ac:dyDescent="0.2">
      <c r="E234" s="8"/>
      <c r="G234" s="56"/>
    </row>
    <row r="235" spans="5:7" x14ac:dyDescent="0.2">
      <c r="E235" s="8"/>
      <c r="G235" s="56"/>
    </row>
    <row r="236" spans="5:7" x14ac:dyDescent="0.2">
      <c r="E236" s="8"/>
      <c r="G236" s="56"/>
    </row>
    <row r="237" spans="5:7" x14ac:dyDescent="0.2">
      <c r="E237" s="8"/>
      <c r="G237" s="56"/>
    </row>
    <row r="238" spans="5:7" x14ac:dyDescent="0.2">
      <c r="E238" s="8"/>
      <c r="G238" s="56"/>
    </row>
    <row r="239" spans="5:7" x14ac:dyDescent="0.2">
      <c r="E239" s="8"/>
      <c r="G239" s="56"/>
    </row>
    <row r="240" spans="5:7" x14ac:dyDescent="0.2">
      <c r="E240" s="8"/>
      <c r="G240" s="56"/>
    </row>
    <row r="241" spans="5:7" x14ac:dyDescent="0.2">
      <c r="E241" s="8"/>
      <c r="G241" s="56"/>
    </row>
    <row r="242" spans="5:7" x14ac:dyDescent="0.2">
      <c r="E242" s="8"/>
      <c r="G242" s="56"/>
    </row>
    <row r="243" spans="5:7" x14ac:dyDescent="0.2">
      <c r="E243" s="8"/>
      <c r="G243" s="56"/>
    </row>
    <row r="244" spans="5:7" x14ac:dyDescent="0.2">
      <c r="E244" s="8"/>
      <c r="G244" s="56"/>
    </row>
    <row r="245" spans="5:7" x14ac:dyDescent="0.2">
      <c r="E245" s="8"/>
      <c r="G245" s="56"/>
    </row>
    <row r="246" spans="5:7" x14ac:dyDescent="0.2">
      <c r="E246" s="8"/>
      <c r="G246" s="56"/>
    </row>
    <row r="247" spans="5:7" x14ac:dyDescent="0.2">
      <c r="E247" s="8"/>
      <c r="G247" s="56"/>
    </row>
    <row r="248" spans="5:7" x14ac:dyDescent="0.2">
      <c r="E248" s="8"/>
      <c r="G248" s="56"/>
    </row>
    <row r="249" spans="5:7" x14ac:dyDescent="0.2">
      <c r="E249" s="8"/>
      <c r="G249" s="56"/>
    </row>
    <row r="250" spans="5:7" x14ac:dyDescent="0.2">
      <c r="E250" s="8"/>
      <c r="G250" s="56"/>
    </row>
    <row r="251" spans="5:7" x14ac:dyDescent="0.2">
      <c r="E251" s="8"/>
      <c r="G251" s="56"/>
    </row>
    <row r="252" spans="5:7" x14ac:dyDescent="0.2">
      <c r="E252" s="8"/>
      <c r="G252" s="56"/>
    </row>
    <row r="253" spans="5:7" x14ac:dyDescent="0.2">
      <c r="E253" s="8"/>
      <c r="G253" s="56"/>
    </row>
    <row r="254" spans="5:7" x14ac:dyDescent="0.2">
      <c r="E254" s="8"/>
      <c r="G254" s="56"/>
    </row>
    <row r="255" spans="5:7" x14ac:dyDescent="0.2">
      <c r="E255" s="8"/>
      <c r="G255" s="56"/>
    </row>
    <row r="256" spans="5:7" x14ac:dyDescent="0.2">
      <c r="E256" s="8"/>
      <c r="G256" s="56"/>
    </row>
    <row r="257" spans="5:7" x14ac:dyDescent="0.2">
      <c r="E257" s="8"/>
      <c r="G257" s="56"/>
    </row>
    <row r="258" spans="5:7" x14ac:dyDescent="0.2">
      <c r="E258" s="8"/>
      <c r="G258" s="56"/>
    </row>
    <row r="259" spans="5:7" x14ac:dyDescent="0.2">
      <c r="E259" s="8"/>
      <c r="G259" s="56"/>
    </row>
    <row r="260" spans="5:7" x14ac:dyDescent="0.2">
      <c r="E260" s="8"/>
      <c r="G260" s="56"/>
    </row>
    <row r="261" spans="5:7" x14ac:dyDescent="0.2">
      <c r="E261" s="8"/>
      <c r="G261" s="56"/>
    </row>
    <row r="262" spans="5:7" x14ac:dyDescent="0.2">
      <c r="E262" s="8"/>
      <c r="G262" s="56"/>
    </row>
    <row r="263" spans="5:7" x14ac:dyDescent="0.2">
      <c r="E263" s="8"/>
      <c r="G263" s="56"/>
    </row>
    <row r="264" spans="5:7" x14ac:dyDescent="0.2">
      <c r="E264" s="8"/>
      <c r="G264" s="56"/>
    </row>
    <row r="265" spans="5:7" x14ac:dyDescent="0.2">
      <c r="E265" s="8"/>
      <c r="G265" s="56"/>
    </row>
    <row r="266" spans="5:7" x14ac:dyDescent="0.2">
      <c r="E266" s="8"/>
      <c r="G266" s="56"/>
    </row>
    <row r="267" spans="5:7" x14ac:dyDescent="0.2">
      <c r="E267" s="8"/>
      <c r="G267" s="56"/>
    </row>
    <row r="268" spans="5:7" x14ac:dyDescent="0.2">
      <c r="E268" s="8"/>
      <c r="G268" s="56"/>
    </row>
    <row r="269" spans="5:7" x14ac:dyDescent="0.2">
      <c r="E269" s="8"/>
      <c r="G269" s="56"/>
    </row>
    <row r="270" spans="5:7" x14ac:dyDescent="0.2">
      <c r="E270" s="8"/>
      <c r="G270" s="56"/>
    </row>
    <row r="271" spans="5:7" x14ac:dyDescent="0.2">
      <c r="E271" s="8"/>
      <c r="G271" s="56"/>
    </row>
    <row r="272" spans="5:7" x14ac:dyDescent="0.2">
      <c r="E272" s="8"/>
      <c r="G272" s="56"/>
    </row>
    <row r="273" spans="5:7" x14ac:dyDescent="0.2">
      <c r="E273" s="8"/>
      <c r="G273" s="56"/>
    </row>
    <row r="274" spans="5:7" x14ac:dyDescent="0.2">
      <c r="E274" s="8"/>
      <c r="G274" s="56"/>
    </row>
    <row r="275" spans="5:7" x14ac:dyDescent="0.2">
      <c r="E275" s="8"/>
      <c r="G275" s="56"/>
    </row>
    <row r="276" spans="5:7" x14ac:dyDescent="0.2">
      <c r="E276" s="8"/>
      <c r="G276" s="56"/>
    </row>
    <row r="277" spans="5:7" x14ac:dyDescent="0.2">
      <c r="E277" s="8"/>
      <c r="G277" s="56"/>
    </row>
    <row r="278" spans="5:7" x14ac:dyDescent="0.2">
      <c r="E278" s="8"/>
      <c r="G278" s="56"/>
    </row>
    <row r="279" spans="5:7" x14ac:dyDescent="0.2">
      <c r="E279" s="8"/>
      <c r="G279" s="56"/>
    </row>
    <row r="280" spans="5:7" x14ac:dyDescent="0.2">
      <c r="E280" s="8"/>
      <c r="G280" s="56"/>
    </row>
    <row r="281" spans="5:7" x14ac:dyDescent="0.2">
      <c r="E281" s="8"/>
      <c r="G281" s="56"/>
    </row>
    <row r="282" spans="5:7" x14ac:dyDescent="0.2">
      <c r="E282" s="8"/>
      <c r="G282" s="56"/>
    </row>
    <row r="283" spans="5:7" x14ac:dyDescent="0.2">
      <c r="E283" s="8"/>
      <c r="G283" s="56"/>
    </row>
    <row r="284" spans="5:7" x14ac:dyDescent="0.2">
      <c r="E284" s="8"/>
      <c r="G284" s="56"/>
    </row>
    <row r="285" spans="5:7" x14ac:dyDescent="0.2">
      <c r="E285" s="8"/>
      <c r="G285" s="56"/>
    </row>
    <row r="286" spans="5:7" x14ac:dyDescent="0.2">
      <c r="E286" s="8"/>
      <c r="G286" s="56"/>
    </row>
    <row r="287" spans="5:7" x14ac:dyDescent="0.2">
      <c r="E287" s="8"/>
      <c r="G287" s="56"/>
    </row>
  </sheetData>
  <mergeCells count="1">
    <mergeCell ref="B1:C1"/>
  </mergeCells>
  <conditionalFormatting sqref="G1:G3 G5:G287">
    <cfRule type="cellIs" dxfId="0" priority="2" stopIfTrue="1" operator="between">
      <formula>0.009</formula>
      <formula>-0.009</formula>
    </cfRule>
  </conditionalFormatting>
  <hyperlinks>
    <hyperlink ref="A2" location="Index!A1" display="-" xr:uid="{366E31B4-F866-4498-B162-B723FF3CFE37}"/>
  </hyperlinks>
  <pageMargins left="0.7" right="0.7" top="0.75" bottom="0.75" header="0.3" footer="0.3"/>
  <pageSetup paperSize="9" scale="3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9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JBARB</vt:lpstr>
      <vt:lpstr>JBARB!Print_Area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