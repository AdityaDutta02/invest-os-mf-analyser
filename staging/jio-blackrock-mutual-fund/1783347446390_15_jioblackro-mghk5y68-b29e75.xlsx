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124226"/>
  <xr:revisionPtr revIDLastSave="0" documentId="13_ncr:1_{0B1635C2-8716-4FD5-B84D-3A407AC19927}" xr6:coauthVersionLast="47" xr6:coauthVersionMax="47" xr10:uidLastSave="{00000000-0000-0000-0000-000000000000}"/>
  <bookViews>
    <workbookView xWindow="-120" yWindow="-120" windowWidth="51840" windowHeight="21120" xr2:uid="{E7CC9A71-ED11-4FE5-B485-F7EF42DA4106}"/>
  </bookViews>
  <sheets>
    <sheet name="JBNNX50" sheetId="8" r:id="rId1"/>
  </sheets>
  <definedNames>
    <definedName name="_xlnm.Print_Area" localSheetId="0">JBNNX50!$B$1:$H$109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8" l="1"/>
  <c r="G67" i="8" l="1"/>
  <c r="G71" i="8" s="1"/>
  <c r="F67" i="8"/>
  <c r="F71" i="8" s="1"/>
  <c r="G65" i="8"/>
  <c r="F65" i="8"/>
  <c r="G57" i="8"/>
  <c r="F57" i="8"/>
  <c r="F60" i="8" s="1"/>
  <c r="G60" i="8"/>
</calcChain>
</file>

<file path=xl/sharedStrings.xml><?xml version="1.0" encoding="utf-8"?>
<sst xmlns="http://schemas.openxmlformats.org/spreadsheetml/2006/main" count="187" uniqueCount="152">
  <si>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</si>
  <si>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</si>
  <si>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</si>
  <si>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</si>
  <si>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</si>
  <si>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</si>
  <si>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Nifty Next 50 Index Fund</t>
  </si>
  <si>
    <t>CARE A1+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</si>
  <si>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</si>
  <si>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</si>
  <si>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</si>
  <si>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</si>
  <si>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</si>
  <si>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</si>
  <si>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Debt Instruments</t>
  </si>
  <si>
    <t>(a) Listed / awaiting listing on Stock Exchanges</t>
  </si>
  <si>
    <t>Equity &amp; Equity related</t>
  </si>
  <si>
    <t>Banks</t>
  </si>
  <si>
    <t>Petroleum Products</t>
  </si>
  <si>
    <t>IT - Software</t>
  </si>
  <si>
    <t>Automobiles</t>
  </si>
  <si>
    <t>Finance</t>
  </si>
  <si>
    <t>Retailing</t>
  </si>
  <si>
    <t>Pharmaceuticals &amp; Biotechnology</t>
  </si>
  <si>
    <t>Power</t>
  </si>
  <si>
    <t>Cement &amp; Cement Products</t>
  </si>
  <si>
    <t>Aerospace &amp; Defense</t>
  </si>
  <si>
    <t>Ferrous Metals</t>
  </si>
  <si>
    <t>Consumer Durables</t>
  </si>
  <si>
    <t>Non - Ferrous Metals</t>
  </si>
  <si>
    <t>Food Products</t>
  </si>
  <si>
    <t>Insurance</t>
  </si>
  <si>
    <t xml:space="preserve">(b) Unlisted </t>
  </si>
  <si>
    <t>NIL</t>
  </si>
  <si>
    <t>Hindustan Aeronautics Ltd</t>
  </si>
  <si>
    <t>INE066F01020</t>
  </si>
  <si>
    <t>TVS Motor Co Ltd</t>
  </si>
  <si>
    <t>INE494B01023</t>
  </si>
  <si>
    <t>Vedanta Ltd</t>
  </si>
  <si>
    <t>INE205A01025</t>
  </si>
  <si>
    <t>Diversified Metals</t>
  </si>
  <si>
    <t>Divi's Laboratories Ltd</t>
  </si>
  <si>
    <t>INE361B01024</t>
  </si>
  <si>
    <t>Britannia Industries Ltd</t>
  </si>
  <si>
    <t>INE216A01030</t>
  </si>
  <si>
    <t>Cholamandalam Investment and Finance Co Ltd</t>
  </si>
  <si>
    <t>INE121A01024</t>
  </si>
  <si>
    <t>Avenue Supermarts Ltd</t>
  </si>
  <si>
    <t>INE192R01011</t>
  </si>
  <si>
    <t>Bharat Petroleum Corporation Ltd</t>
  </si>
  <si>
    <t>INE029A01011</t>
  </si>
  <si>
    <t>Tata Power Co Ltd</t>
  </si>
  <si>
    <t>INE245A01021</t>
  </si>
  <si>
    <t>Indian Hotels Co Ltd</t>
  </si>
  <si>
    <t>INE053A01029</t>
  </si>
  <si>
    <t>Leisure Services</t>
  </si>
  <si>
    <t>Varun Beverages Ltd</t>
  </si>
  <si>
    <t>INE200M01039</t>
  </si>
  <si>
    <t>Beverages</t>
  </si>
  <si>
    <t>Power Finance Corporation Ltd</t>
  </si>
  <si>
    <t>INE134E01011</t>
  </si>
  <si>
    <t>Adani Power Ltd</t>
  </si>
  <si>
    <t>INE814H01029</t>
  </si>
  <si>
    <t>Indian Oil Corporation Ltd</t>
  </si>
  <si>
    <t>INE242A01010</t>
  </si>
  <si>
    <t>Bajaj Holdings &amp; Investment Ltd</t>
  </si>
  <si>
    <t>INE118A01012</t>
  </si>
  <si>
    <t>Info Edge (India) Ltd</t>
  </si>
  <si>
    <t>INE663F01032</t>
  </si>
  <si>
    <t>CG Power and Industrial Solutions Ltd</t>
  </si>
  <si>
    <t>INE067A01029</t>
  </si>
  <si>
    <t>Electrical Equipment</t>
  </si>
  <si>
    <t>Ltimindtree Ltd</t>
  </si>
  <si>
    <t>INE214T01019</t>
  </si>
  <si>
    <t>Bank of Baroda</t>
  </si>
  <si>
    <t>INE028A01039</t>
  </si>
  <si>
    <t>GAIL (India) Ltd</t>
  </si>
  <si>
    <t>INE129A01019</t>
  </si>
  <si>
    <t>Gas</t>
  </si>
  <si>
    <t>Godrej Consumer Products Ltd</t>
  </si>
  <si>
    <t>INE102D01028</t>
  </si>
  <si>
    <t>Personal Products</t>
  </si>
  <si>
    <t>Samvardhana Motherson International Ltd</t>
  </si>
  <si>
    <t>INE775A01035</t>
  </si>
  <si>
    <t>Auto Components</t>
  </si>
  <si>
    <t>REC Ltd</t>
  </si>
  <si>
    <t>INE020B01018</t>
  </si>
  <si>
    <t>DLF Ltd</t>
  </si>
  <si>
    <t>INE271C01023</t>
  </si>
  <si>
    <t>Realty</t>
  </si>
  <si>
    <t>ICICI Lombard General Insurance Co Ltd</t>
  </si>
  <si>
    <t>INE765G01017</t>
  </si>
  <si>
    <t>Pidilite Industries Ltd</t>
  </si>
  <si>
    <t>INE318A01026</t>
  </si>
  <si>
    <t>Chemicals &amp; Petrochemicals</t>
  </si>
  <si>
    <t>Canara Bank</t>
  </si>
  <si>
    <t>INE476A01022</t>
  </si>
  <si>
    <t>Jindal Steel Ltd</t>
  </si>
  <si>
    <t>INE749A01030</t>
  </si>
  <si>
    <t>Shree Cement Ltd</t>
  </si>
  <si>
    <t>INE070A01015</t>
  </si>
  <si>
    <t>United Spirits Ltd</t>
  </si>
  <si>
    <t>INE854D01024</t>
  </si>
  <si>
    <t>Punjab National Bank</t>
  </si>
  <si>
    <t>INE160A01022</t>
  </si>
  <si>
    <t>Havells India Ltd</t>
  </si>
  <si>
    <t>INE176B01034</t>
  </si>
  <si>
    <t>Torrent Pharmaceuticals Ltd</t>
  </si>
  <si>
    <t>INE685A01028</t>
  </si>
  <si>
    <t>Hyundai Motor India Ltd</t>
  </si>
  <si>
    <t>INE0V6F01027</t>
  </si>
  <si>
    <t>Ambuja Cements Ltd</t>
  </si>
  <si>
    <t>INE079A01024</t>
  </si>
  <si>
    <t>Bosch Ltd</t>
  </si>
  <si>
    <t>INE323A01026</t>
  </si>
  <si>
    <t>Solar Industries India Ltd</t>
  </si>
  <si>
    <t>INE343H01029</t>
  </si>
  <si>
    <t>Lodha Developers Ltd</t>
  </si>
  <si>
    <t>INE670K01029</t>
  </si>
  <si>
    <t>Adani Green Energy Ltd</t>
  </si>
  <si>
    <t>INE364U01010</t>
  </si>
  <si>
    <t>Siemens Energy India ltd</t>
  </si>
  <si>
    <t>INE1NPP01017</t>
  </si>
  <si>
    <t>Adani Energy Solutions Ltd</t>
  </si>
  <si>
    <t>INE931S01010</t>
  </si>
  <si>
    <t>JSW Energy Ltd</t>
  </si>
  <si>
    <t>INE121E01018</t>
  </si>
  <si>
    <t>Siemens Ltd</t>
  </si>
  <si>
    <t>INE003A01024</t>
  </si>
  <si>
    <t>ABB India Ltd</t>
  </si>
  <si>
    <t>INE117A01022</t>
  </si>
  <si>
    <t>Zydus Lifesciences Ltd</t>
  </si>
  <si>
    <t>INE010B01027</t>
  </si>
  <si>
    <t>Indian Railway Finance Corporation Ltd</t>
  </si>
  <si>
    <t>INE053F01010</t>
  </si>
  <si>
    <t>Mazagon Dock Shipbuilders Ltd</t>
  </si>
  <si>
    <t>INE249Z01020</t>
  </si>
  <si>
    <t>Industrial Manufacturing</t>
  </si>
  <si>
    <t>Hindustan Zinc Ltd</t>
  </si>
  <si>
    <t>INE267A01025</t>
  </si>
  <si>
    <t>Life Insurance Corporation Of India</t>
  </si>
  <si>
    <t>INE0J1Y01017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</si>
  <si>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</si>
  <si>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</si>
  <si>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</si>
  <si>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</si>
  <si>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</si>
  <si>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Rating / Industry Classification</t>
  </si>
  <si>
    <t>Cumulative Non-Convertible Redeemable Preference Shares</t>
  </si>
  <si>
    <t>Benchmark Risk-O-Meter</t>
  </si>
  <si>
    <t>Benchmark Name - NIFTY Next 50 Index (TRI)</t>
  </si>
  <si>
    <t>Monthly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</si>
</sst>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39" fontId="6" fillId="3" borderId="0" xfId="0" applyNumberFormat="1" applyFont="1" applyFill="1"/>
    <xf numFmtId="0" fontId="7" fillId="2" borderId="0" xfId="0" applyFont="1" applyFill="1"/>
    <xf numFmtId="164" fontId="6" fillId="2" borderId="0" xfId="0" applyNumberFormat="1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0" fontId="7" fillId="2" borderId="5" xfId="0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0" fontId="7" fillId="2" borderId="3" xfId="0" applyFont="1" applyFill="1" applyBorder="1"/>
    <xf numFmtId="39" fontId="7" fillId="2" borderId="4" xfId="0" applyNumberFormat="1" applyFont="1" applyFill="1" applyBorder="1" applyAlignment="1">
      <alignment horizontal="right"/>
    </xf>
    <xf numFmtId="39" fontId="7" fillId="3" borderId="4" xfId="0" applyNumberFormat="1" applyFont="1" applyFill="1" applyBorder="1" applyAlignment="1">
      <alignment horizontal="right"/>
    </xf>
    <xf numFmtId="39" fontId="7" fillId="2" borderId="2" xfId="0" applyNumberFormat="1" applyFont="1" applyFill="1" applyBorder="1" applyAlignment="1">
      <alignment horizontal="right"/>
    </xf>
    <xf numFmtId="39" fontId="7" fillId="3" borderId="2" xfId="0" applyNumberFormat="1" applyFont="1" applyFill="1" applyBorder="1" applyAlignment="1">
      <alignment horizontal="right"/>
    </xf>
    <xf numFmtId="0" fontId="7" fillId="2" borderId="7" xfId="0" applyFont="1" applyFill="1" applyBorder="1"/>
    <xf numFmtId="0" fontId="4" fillId="2" borderId="0" xfId="1" applyFill="1"/>
    <xf numFmtId="39" fontId="7" fillId="2" borderId="8" xfId="0" applyNumberFormat="1" applyFont="1" applyFill="1" applyBorder="1"/>
    <xf numFmtId="39" fontId="7" fillId="3" borderId="8" xfId="0" applyNumberFormat="1" applyFont="1" applyFill="1" applyBorder="1"/>
    <xf numFmtId="39" fontId="6" fillId="3" borderId="9" xfId="0" applyNumberFormat="1" applyFont="1" applyFill="1" applyBorder="1"/>
    <xf numFmtId="39" fontId="7" fillId="3" borderId="10" xfId="0" applyNumberFormat="1" applyFont="1" applyFill="1" applyBorder="1"/>
    <xf numFmtId="39" fontId="7" fillId="3" borderId="9" xfId="0" applyNumberFormat="1" applyFont="1" applyFill="1" applyBorder="1" applyAlignment="1">
      <alignment horizontal="right"/>
    </xf>
    <xf numFmtId="39" fontId="7" fillId="3" borderId="11" xfId="0" applyNumberFormat="1" applyFont="1" applyFill="1" applyBorder="1"/>
    <xf numFmtId="0" fontId="7" fillId="2" borderId="0" xfId="0" applyFont="1" applyFill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0" applyFont="1"/>
  </cellXfs>
  <cellStyles count="2">
    <cellStyle name="Hyperlink" xfId="1" builtinId="8"/>
    <cellStyle name="Normal" xfId="0" builtinId="0"/>
  </cellStyles>
  <dxfs count="2">
    <dxf>
      <numFmt numFmtId="165" formatCode="&quot;0.00*&quot;"/>
    </dxf>
    <dxf>
      <numFmt numFmtId="165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76</xdr:row>
      <xdr:rowOff>104775</xdr:rowOff>
    </xdr:from>
    <xdr:to>
      <xdr:col>2</xdr:col>
      <xdr:colOff>314325</xdr:colOff>
      <xdr:row>90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9EA63-3DE4-420E-AF9D-12334B667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1410950"/>
          <a:ext cx="383857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93</xdr:row>
      <xdr:rowOff>19050</xdr:rowOff>
    </xdr:from>
    <xdr:to>
      <xdr:col>2</xdr:col>
      <xdr:colOff>219075</xdr:colOff>
      <xdr:row>107</xdr:row>
      <xdr:rowOff>104776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228576-9DE5-47EB-8A71-1F5C317E7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13611225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A033-678A-4CF6-99CC-21FF6B1FB10D}">
  <dimension ref="A1:I93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60" style="6" bestFit="1" customWidth="1"/>
    <col min="3" max="3" width="11.140625" style="6" bestFit="1" customWidth="1"/>
    <col min="4" max="4" width="24.28515625" style="6" bestFit="1" customWidth="1"/>
    <col min="5" max="5" width="15.42578125" style="6" bestFit="1" customWidth="1"/>
    <col min="6" max="6" width="14.85546875" style="8" bestFit="1" customWidth="1"/>
    <col min="7" max="7" width="7.28515625" style="11" bestFit="1" customWidth="1"/>
    <col min="8" max="8" width="7.42578125" style="6" bestFit="1" customWidth="1"/>
    <col min="9" max="16384" width="9.140625" style="6"/>
  </cols>
  <sheetData>
    <row r="1" spans="1:9" s="1" customFormat="1" ht="16.899999999999999" customHeight="1" x14ac:dyDescent="0.2">
      <c r="B1" s="47" t="s">
        <v>6</v>
      </c>
      <c r="C1" s="48"/>
      <c r="D1" s="10"/>
      <c r="F1" s="5"/>
      <c r="G1" s="11"/>
    </row>
    <row r="2" spans="1:9" s="1" customFormat="1" ht="15" x14ac:dyDescent="0.25">
      <c r="A2" s="38" t="str">
        <f>HYPERLINK("[Monthly-Portfolio-ISIN-30-Sep-2025.xls]index!A1","")</f>
        <v/>
      </c>
      <c r="F2" s="5"/>
      <c r="G2" s="11"/>
    </row>
    <row r="3" spans="1:9" s="1" customFormat="1" ht="12" x14ac:dyDescent="0.2">
      <c r="B3" s="7" t="s">
        <v>151</v>
      </c>
      <c r="C3" s="2"/>
      <c r="D3" s="3"/>
      <c r="E3" s="3"/>
      <c r="F3" s="4"/>
      <c r="G3" s="11"/>
    </row>
    <row r="4" spans="1:9" s="1" customFormat="1" ht="25.5" customHeight="1" x14ac:dyDescent="0.2">
      <c r="B4" s="14" t="s">
        <v>4</v>
      </c>
      <c r="C4" s="14" t="s">
        <v>5</v>
      </c>
      <c r="D4" s="15" t="s">
        <v>147</v>
      </c>
      <c r="E4" s="15" t="s">
        <v>0</v>
      </c>
      <c r="F4" s="16" t="s">
        <v>1</v>
      </c>
      <c r="G4" s="17" t="s">
        <v>2</v>
      </c>
      <c r="H4" s="16" t="s">
        <v>3</v>
      </c>
      <c r="I4" s="9"/>
    </row>
    <row r="5" spans="1:9" x14ac:dyDescent="0.2">
      <c r="B5" s="18" t="s">
        <v>16</v>
      </c>
      <c r="C5" s="19"/>
      <c r="D5" s="19"/>
      <c r="E5" s="19"/>
      <c r="F5" s="20"/>
      <c r="G5" s="21"/>
      <c r="H5" s="19"/>
    </row>
    <row r="6" spans="1:9" x14ac:dyDescent="0.2">
      <c r="B6" s="18" t="s">
        <v>15</v>
      </c>
      <c r="C6" s="19"/>
      <c r="D6" s="19"/>
      <c r="E6" s="19"/>
      <c r="F6" s="20"/>
      <c r="G6" s="21"/>
      <c r="H6" s="19"/>
    </row>
    <row r="7" spans="1:9" x14ac:dyDescent="0.2">
      <c r="B7" s="19" t="s">
        <v>34</v>
      </c>
      <c r="C7" s="19" t="s">
        <v>35</v>
      </c>
      <c r="D7" s="19" t="s">
        <v>26</v>
      </c>
      <c r="E7" s="22">
        <v>7547</v>
      </c>
      <c r="F7" s="20">
        <v>358.21835499999997</v>
      </c>
      <c r="G7" s="21">
        <v>4.0214228334965503</v>
      </c>
      <c r="H7" s="19"/>
    </row>
    <row r="8" spans="1:9" x14ac:dyDescent="0.2">
      <c r="B8" s="19" t="s">
        <v>36</v>
      </c>
      <c r="C8" s="19" t="s">
        <v>37</v>
      </c>
      <c r="D8" s="19" t="s">
        <v>20</v>
      </c>
      <c r="E8" s="22">
        <v>9331</v>
      </c>
      <c r="F8" s="20">
        <v>320.86509699999999</v>
      </c>
      <c r="G8" s="21">
        <v>3.6020885293493299</v>
      </c>
      <c r="H8" s="19"/>
    </row>
    <row r="9" spans="1:9" x14ac:dyDescent="0.2">
      <c r="B9" s="19" t="s">
        <v>38</v>
      </c>
      <c r="C9" s="19" t="s">
        <v>39</v>
      </c>
      <c r="D9" s="19" t="s">
        <v>40</v>
      </c>
      <c r="E9" s="22">
        <v>67437</v>
      </c>
      <c r="F9" s="20">
        <v>314.12154600000002</v>
      </c>
      <c r="G9" s="21">
        <v>3.5263842289087601</v>
      </c>
      <c r="H9" s="19"/>
    </row>
    <row r="10" spans="1:9" x14ac:dyDescent="0.2">
      <c r="B10" s="19" t="s">
        <v>41</v>
      </c>
      <c r="C10" s="19" t="s">
        <v>42</v>
      </c>
      <c r="D10" s="19" t="s">
        <v>23</v>
      </c>
      <c r="E10" s="22">
        <v>5049</v>
      </c>
      <c r="F10" s="20">
        <v>287.262855</v>
      </c>
      <c r="G10" s="21">
        <v>3.2248637965868898</v>
      </c>
      <c r="H10" s="19"/>
    </row>
    <row r="11" spans="1:9" x14ac:dyDescent="0.2">
      <c r="B11" s="19" t="s">
        <v>43</v>
      </c>
      <c r="C11" s="19" t="s">
        <v>44</v>
      </c>
      <c r="D11" s="19" t="s">
        <v>30</v>
      </c>
      <c r="E11" s="22">
        <v>4688</v>
      </c>
      <c r="F11" s="20">
        <v>280.85807999999997</v>
      </c>
      <c r="G11" s="21">
        <v>3.1529626556517498</v>
      </c>
      <c r="H11" s="19"/>
    </row>
    <row r="12" spans="1:9" x14ac:dyDescent="0.2">
      <c r="B12" s="19" t="s">
        <v>45</v>
      </c>
      <c r="C12" s="19" t="s">
        <v>46</v>
      </c>
      <c r="D12" s="19" t="s">
        <v>21</v>
      </c>
      <c r="E12" s="22">
        <v>16754</v>
      </c>
      <c r="F12" s="20">
        <v>269.87343199999998</v>
      </c>
      <c r="G12" s="21">
        <v>3.0296470475357999</v>
      </c>
      <c r="H12" s="19"/>
    </row>
    <row r="13" spans="1:9" x14ac:dyDescent="0.2">
      <c r="B13" s="19" t="s">
        <v>47</v>
      </c>
      <c r="C13" s="19" t="s">
        <v>48</v>
      </c>
      <c r="D13" s="19" t="s">
        <v>22</v>
      </c>
      <c r="E13" s="22">
        <v>5851</v>
      </c>
      <c r="F13" s="20">
        <v>261.85565400000002</v>
      </c>
      <c r="G13" s="21">
        <v>2.9396380486303499</v>
      </c>
      <c r="H13" s="19"/>
    </row>
    <row r="14" spans="1:9" x14ac:dyDescent="0.2">
      <c r="B14" s="19" t="s">
        <v>49</v>
      </c>
      <c r="C14" s="19" t="s">
        <v>50</v>
      </c>
      <c r="D14" s="19" t="s">
        <v>18</v>
      </c>
      <c r="E14" s="22">
        <v>77054</v>
      </c>
      <c r="F14" s="20">
        <v>261.713911</v>
      </c>
      <c r="G14" s="21">
        <v>2.9380468165543498</v>
      </c>
      <c r="H14" s="19"/>
    </row>
    <row r="15" spans="1:9" x14ac:dyDescent="0.2">
      <c r="B15" s="19" t="s">
        <v>51</v>
      </c>
      <c r="C15" s="19" t="s">
        <v>52</v>
      </c>
      <c r="D15" s="19" t="s">
        <v>24</v>
      </c>
      <c r="E15" s="22">
        <v>66755</v>
      </c>
      <c r="F15" s="20">
        <v>259.4433075</v>
      </c>
      <c r="G15" s="21">
        <v>2.91255661865336</v>
      </c>
      <c r="H15" s="19"/>
    </row>
    <row r="16" spans="1:9" x14ac:dyDescent="0.2">
      <c r="B16" s="19" t="s">
        <v>53</v>
      </c>
      <c r="C16" s="19" t="s">
        <v>54</v>
      </c>
      <c r="D16" s="19" t="s">
        <v>55</v>
      </c>
      <c r="E16" s="22">
        <v>34916</v>
      </c>
      <c r="F16" s="20">
        <v>251.49994799999999</v>
      </c>
      <c r="G16" s="21">
        <v>2.8233830550374699</v>
      </c>
      <c r="H16" s="19"/>
    </row>
    <row r="17" spans="2:8" x14ac:dyDescent="0.2">
      <c r="B17" s="19" t="s">
        <v>56</v>
      </c>
      <c r="C17" s="19" t="s">
        <v>57</v>
      </c>
      <c r="D17" s="19" t="s">
        <v>58</v>
      </c>
      <c r="E17" s="22">
        <v>53858</v>
      </c>
      <c r="F17" s="20">
        <v>238.96794600000001</v>
      </c>
      <c r="G17" s="21">
        <v>2.6826965762772601</v>
      </c>
      <c r="H17" s="19"/>
    </row>
    <row r="18" spans="2:8" x14ac:dyDescent="0.2">
      <c r="B18" s="19" t="s">
        <v>59</v>
      </c>
      <c r="C18" s="19" t="s">
        <v>60</v>
      </c>
      <c r="D18" s="19" t="s">
        <v>21</v>
      </c>
      <c r="E18" s="22">
        <v>57883</v>
      </c>
      <c r="F18" s="20">
        <v>237.46500750000001</v>
      </c>
      <c r="G18" s="21">
        <v>2.6658243219193198</v>
      </c>
      <c r="H18" s="19"/>
    </row>
    <row r="19" spans="2:8" x14ac:dyDescent="0.2">
      <c r="B19" s="19" t="s">
        <v>61</v>
      </c>
      <c r="C19" s="19" t="s">
        <v>62</v>
      </c>
      <c r="D19" s="19" t="s">
        <v>24</v>
      </c>
      <c r="E19" s="22">
        <v>156462</v>
      </c>
      <c r="F19" s="20">
        <v>226.322283</v>
      </c>
      <c r="G19" s="21">
        <v>2.5407341189573298</v>
      </c>
      <c r="H19" s="19"/>
    </row>
    <row r="20" spans="2:8" x14ac:dyDescent="0.2">
      <c r="B20" s="19" t="s">
        <v>63</v>
      </c>
      <c r="C20" s="19" t="s">
        <v>64</v>
      </c>
      <c r="D20" s="19" t="s">
        <v>18</v>
      </c>
      <c r="E20" s="22">
        <v>148533</v>
      </c>
      <c r="F20" s="20">
        <v>222.4875807</v>
      </c>
      <c r="G20" s="21">
        <v>2.4976850703152502</v>
      </c>
      <c r="H20" s="19"/>
    </row>
    <row r="21" spans="2:8" x14ac:dyDescent="0.2">
      <c r="B21" s="19" t="s">
        <v>65</v>
      </c>
      <c r="C21" s="19" t="s">
        <v>66</v>
      </c>
      <c r="D21" s="19" t="s">
        <v>21</v>
      </c>
      <c r="E21" s="22">
        <v>1721</v>
      </c>
      <c r="F21" s="20">
        <v>210.77087</v>
      </c>
      <c r="G21" s="21">
        <v>2.3661511963951001</v>
      </c>
      <c r="H21" s="19"/>
    </row>
    <row r="22" spans="2:8" x14ac:dyDescent="0.2">
      <c r="B22" s="19" t="s">
        <v>67</v>
      </c>
      <c r="C22" s="19" t="s">
        <v>68</v>
      </c>
      <c r="D22" s="19" t="s">
        <v>22</v>
      </c>
      <c r="E22" s="22">
        <v>15452</v>
      </c>
      <c r="F22" s="20">
        <v>202.31303600000001</v>
      </c>
      <c r="G22" s="21">
        <v>2.2712020507280002</v>
      </c>
      <c r="H22" s="19"/>
    </row>
    <row r="23" spans="2:8" x14ac:dyDescent="0.2">
      <c r="B23" s="19" t="s">
        <v>69</v>
      </c>
      <c r="C23" s="19" t="s">
        <v>70</v>
      </c>
      <c r="D23" s="19" t="s">
        <v>71</v>
      </c>
      <c r="E23" s="22">
        <v>27288</v>
      </c>
      <c r="F23" s="20">
        <v>202.19043600000001</v>
      </c>
      <c r="G23" s="21">
        <v>2.26982572136769</v>
      </c>
      <c r="H23" s="19"/>
    </row>
    <row r="24" spans="2:8" x14ac:dyDescent="0.2">
      <c r="B24" s="19" t="s">
        <v>72</v>
      </c>
      <c r="C24" s="19" t="s">
        <v>73</v>
      </c>
      <c r="D24" s="19" t="s">
        <v>19</v>
      </c>
      <c r="E24" s="22">
        <v>3686</v>
      </c>
      <c r="F24" s="20">
        <v>190.10544999999999</v>
      </c>
      <c r="G24" s="21">
        <v>2.1341575235644701</v>
      </c>
      <c r="H24" s="19"/>
    </row>
    <row r="25" spans="2:8" x14ac:dyDescent="0.2">
      <c r="B25" s="19" t="s">
        <v>74</v>
      </c>
      <c r="C25" s="19" t="s">
        <v>75</v>
      </c>
      <c r="D25" s="19" t="s">
        <v>17</v>
      </c>
      <c r="E25" s="22">
        <v>73386</v>
      </c>
      <c r="F25" s="20">
        <v>189.73216439999999</v>
      </c>
      <c r="G25" s="21">
        <v>2.1299669531643102</v>
      </c>
      <c r="H25" s="19"/>
    </row>
    <row r="26" spans="2:8" x14ac:dyDescent="0.2">
      <c r="B26" s="19" t="s">
        <v>76</v>
      </c>
      <c r="C26" s="19" t="s">
        <v>77</v>
      </c>
      <c r="D26" s="19" t="s">
        <v>78</v>
      </c>
      <c r="E26" s="22">
        <v>107229</v>
      </c>
      <c r="F26" s="20">
        <v>189.0340041</v>
      </c>
      <c r="G26" s="21">
        <v>2.12212928171986</v>
      </c>
      <c r="H26" s="19"/>
    </row>
    <row r="27" spans="2:8" x14ac:dyDescent="0.2">
      <c r="B27" s="19" t="s">
        <v>79</v>
      </c>
      <c r="C27" s="19" t="s">
        <v>80</v>
      </c>
      <c r="D27" s="19" t="s">
        <v>81</v>
      </c>
      <c r="E27" s="22">
        <v>15991</v>
      </c>
      <c r="F27" s="20">
        <v>186.59897900000001</v>
      </c>
      <c r="G27" s="21">
        <v>2.09479325775404</v>
      </c>
      <c r="H27" s="19"/>
    </row>
    <row r="28" spans="2:8" x14ac:dyDescent="0.2">
      <c r="B28" s="19" t="s">
        <v>82</v>
      </c>
      <c r="C28" s="19" t="s">
        <v>83</v>
      </c>
      <c r="D28" s="19" t="s">
        <v>84</v>
      </c>
      <c r="E28" s="22">
        <v>176504</v>
      </c>
      <c r="F28" s="20">
        <v>186.47647599999999</v>
      </c>
      <c r="G28" s="21">
        <v>2.09341801733295</v>
      </c>
      <c r="H28" s="19"/>
    </row>
    <row r="29" spans="2:8" x14ac:dyDescent="0.2">
      <c r="B29" s="19" t="s">
        <v>85</v>
      </c>
      <c r="C29" s="19" t="s">
        <v>86</v>
      </c>
      <c r="D29" s="19" t="s">
        <v>21</v>
      </c>
      <c r="E29" s="22">
        <v>49652</v>
      </c>
      <c r="F29" s="20">
        <v>185.12748199999999</v>
      </c>
      <c r="G29" s="21">
        <v>2.0782739712556699</v>
      </c>
      <c r="H29" s="19"/>
    </row>
    <row r="30" spans="2:8" x14ac:dyDescent="0.2">
      <c r="B30" s="19" t="s">
        <v>87</v>
      </c>
      <c r="C30" s="19" t="s">
        <v>88</v>
      </c>
      <c r="D30" s="19" t="s">
        <v>89</v>
      </c>
      <c r="E30" s="22">
        <v>25501</v>
      </c>
      <c r="F30" s="20">
        <v>181.82212999999999</v>
      </c>
      <c r="G30" s="21">
        <v>2.0411675030359002</v>
      </c>
      <c r="H30" s="19"/>
    </row>
    <row r="31" spans="2:8" x14ac:dyDescent="0.2">
      <c r="B31" s="19" t="s">
        <v>90</v>
      </c>
      <c r="C31" s="19" t="s">
        <v>91</v>
      </c>
      <c r="D31" s="19" t="s">
        <v>31</v>
      </c>
      <c r="E31" s="22">
        <v>9595</v>
      </c>
      <c r="F31" s="20">
        <v>181.32631000000001</v>
      </c>
      <c r="G31" s="21">
        <v>2.0356013397126902</v>
      </c>
      <c r="H31" s="19"/>
    </row>
    <row r="32" spans="2:8" x14ac:dyDescent="0.2">
      <c r="B32" s="19" t="s">
        <v>92</v>
      </c>
      <c r="C32" s="19" t="s">
        <v>93</v>
      </c>
      <c r="D32" s="19" t="s">
        <v>94</v>
      </c>
      <c r="E32" s="22">
        <v>12340</v>
      </c>
      <c r="F32" s="20">
        <v>181.15119999999999</v>
      </c>
      <c r="G32" s="21">
        <v>2.0336355237723698</v>
      </c>
      <c r="H32" s="19"/>
    </row>
    <row r="33" spans="2:8" x14ac:dyDescent="0.2">
      <c r="B33" s="19" t="s">
        <v>95</v>
      </c>
      <c r="C33" s="19" t="s">
        <v>96</v>
      </c>
      <c r="D33" s="19" t="s">
        <v>17</v>
      </c>
      <c r="E33" s="22">
        <v>134023</v>
      </c>
      <c r="F33" s="20">
        <v>165.7998533</v>
      </c>
      <c r="G33" s="21">
        <v>1.8612985810037499</v>
      </c>
      <c r="H33" s="19"/>
    </row>
    <row r="34" spans="2:8" x14ac:dyDescent="0.2">
      <c r="B34" s="19" t="s">
        <v>97</v>
      </c>
      <c r="C34" s="19" t="s">
        <v>98</v>
      </c>
      <c r="D34" s="19" t="s">
        <v>27</v>
      </c>
      <c r="E34" s="22">
        <v>14858</v>
      </c>
      <c r="F34" s="20">
        <v>158.051975</v>
      </c>
      <c r="G34" s="21">
        <v>1.77431952403507</v>
      </c>
      <c r="H34" s="19"/>
    </row>
    <row r="35" spans="2:8" x14ac:dyDescent="0.2">
      <c r="B35" s="19" t="s">
        <v>99</v>
      </c>
      <c r="C35" s="19" t="s">
        <v>100</v>
      </c>
      <c r="D35" s="19" t="s">
        <v>25</v>
      </c>
      <c r="E35" s="22">
        <v>532</v>
      </c>
      <c r="F35" s="20">
        <v>155.68979999999999</v>
      </c>
      <c r="G35" s="21">
        <v>1.7478013282220299</v>
      </c>
      <c r="H35" s="19"/>
    </row>
    <row r="36" spans="2:8" x14ac:dyDescent="0.2">
      <c r="B36" s="19" t="s">
        <v>101</v>
      </c>
      <c r="C36" s="19" t="s">
        <v>102</v>
      </c>
      <c r="D36" s="19" t="s">
        <v>58</v>
      </c>
      <c r="E36" s="22">
        <v>11741</v>
      </c>
      <c r="F36" s="20">
        <v>155.486063</v>
      </c>
      <c r="G36" s="21">
        <v>1.7455141404987</v>
      </c>
      <c r="H36" s="19"/>
    </row>
    <row r="37" spans="2:8" x14ac:dyDescent="0.2">
      <c r="B37" s="19" t="s">
        <v>103</v>
      </c>
      <c r="C37" s="19" t="s">
        <v>104</v>
      </c>
      <c r="D37" s="19" t="s">
        <v>17</v>
      </c>
      <c r="E37" s="22">
        <v>137068</v>
      </c>
      <c r="F37" s="20">
        <v>154.65382439999999</v>
      </c>
      <c r="G37" s="21">
        <v>1.7361712822608599</v>
      </c>
      <c r="H37" s="19"/>
    </row>
    <row r="38" spans="2:8" x14ac:dyDescent="0.2">
      <c r="B38" s="19" t="s">
        <v>105</v>
      </c>
      <c r="C38" s="19" t="s">
        <v>106</v>
      </c>
      <c r="D38" s="19" t="s">
        <v>28</v>
      </c>
      <c r="E38" s="22">
        <v>10022</v>
      </c>
      <c r="F38" s="20">
        <v>150.53044</v>
      </c>
      <c r="G38" s="21">
        <v>1.6898814371259201</v>
      </c>
      <c r="H38" s="19"/>
    </row>
    <row r="39" spans="2:8" x14ac:dyDescent="0.2">
      <c r="B39" s="19" t="s">
        <v>107</v>
      </c>
      <c r="C39" s="19" t="s">
        <v>108</v>
      </c>
      <c r="D39" s="19" t="s">
        <v>23</v>
      </c>
      <c r="E39" s="22">
        <v>4158</v>
      </c>
      <c r="F39" s="20">
        <v>149.821056</v>
      </c>
      <c r="G39" s="21">
        <v>1.6819177664331699</v>
      </c>
      <c r="H39" s="19"/>
    </row>
    <row r="40" spans="2:8" x14ac:dyDescent="0.2">
      <c r="B40" s="19" t="s">
        <v>109</v>
      </c>
      <c r="C40" s="19" t="s">
        <v>110</v>
      </c>
      <c r="D40" s="19" t="s">
        <v>20</v>
      </c>
      <c r="E40" s="22">
        <v>5668</v>
      </c>
      <c r="F40" s="20">
        <v>146.48379199999999</v>
      </c>
      <c r="G40" s="21">
        <v>1.6444530484373401</v>
      </c>
      <c r="H40" s="19"/>
    </row>
    <row r="41" spans="2:8" x14ac:dyDescent="0.2">
      <c r="B41" s="19" t="s">
        <v>111</v>
      </c>
      <c r="C41" s="19" t="s">
        <v>112</v>
      </c>
      <c r="D41" s="19" t="s">
        <v>25</v>
      </c>
      <c r="E41" s="22">
        <v>24880</v>
      </c>
      <c r="F41" s="20">
        <v>141.80356</v>
      </c>
      <c r="G41" s="21">
        <v>1.59191193330978</v>
      </c>
      <c r="H41" s="19"/>
    </row>
    <row r="42" spans="2:8" x14ac:dyDescent="0.2">
      <c r="B42" s="19" t="s">
        <v>113</v>
      </c>
      <c r="C42" s="19" t="s">
        <v>114</v>
      </c>
      <c r="D42" s="19" t="s">
        <v>84</v>
      </c>
      <c r="E42" s="22">
        <v>345</v>
      </c>
      <c r="F42" s="20">
        <v>131.60024999999999</v>
      </c>
      <c r="G42" s="21">
        <v>1.4773677642617</v>
      </c>
      <c r="H42" s="19"/>
    </row>
    <row r="43" spans="2:8" x14ac:dyDescent="0.2">
      <c r="B43" s="19" t="s">
        <v>115</v>
      </c>
      <c r="C43" s="19" t="s">
        <v>116</v>
      </c>
      <c r="D43" s="19" t="s">
        <v>94</v>
      </c>
      <c r="E43" s="22">
        <v>968</v>
      </c>
      <c r="F43" s="20">
        <v>128.99567999999999</v>
      </c>
      <c r="G43" s="21">
        <v>1.44812839915591</v>
      </c>
      <c r="H43" s="19"/>
    </row>
    <row r="44" spans="2:8" x14ac:dyDescent="0.2">
      <c r="B44" s="19" t="s">
        <v>117</v>
      </c>
      <c r="C44" s="19" t="s">
        <v>118</v>
      </c>
      <c r="D44" s="19" t="s">
        <v>89</v>
      </c>
      <c r="E44" s="22">
        <v>11169</v>
      </c>
      <c r="F44" s="20">
        <v>126.857502</v>
      </c>
      <c r="G44" s="21">
        <v>1.4241248334221599</v>
      </c>
      <c r="H44" s="19"/>
    </row>
    <row r="45" spans="2:8" x14ac:dyDescent="0.2">
      <c r="B45" s="19" t="s">
        <v>119</v>
      </c>
      <c r="C45" s="19" t="s">
        <v>120</v>
      </c>
      <c r="D45" s="19" t="s">
        <v>24</v>
      </c>
      <c r="E45" s="22">
        <v>12170</v>
      </c>
      <c r="F45" s="20">
        <v>124.967645</v>
      </c>
      <c r="G45" s="21">
        <v>1.40290896330896</v>
      </c>
      <c r="H45" s="19"/>
    </row>
    <row r="46" spans="2:8" x14ac:dyDescent="0.2">
      <c r="B46" s="19" t="s">
        <v>121</v>
      </c>
      <c r="C46" s="19" t="s">
        <v>122</v>
      </c>
      <c r="D46" s="19" t="s">
        <v>71</v>
      </c>
      <c r="E46" s="22">
        <v>3516</v>
      </c>
      <c r="F46" s="20">
        <v>120.697248</v>
      </c>
      <c r="G46" s="21">
        <v>1.35496872863312</v>
      </c>
      <c r="H46" s="19"/>
    </row>
    <row r="47" spans="2:8" x14ac:dyDescent="0.2">
      <c r="B47" s="19" t="s">
        <v>123</v>
      </c>
      <c r="C47" s="19" t="s">
        <v>124</v>
      </c>
      <c r="D47" s="19" t="s">
        <v>24</v>
      </c>
      <c r="E47" s="22">
        <v>13790</v>
      </c>
      <c r="F47" s="20">
        <v>120.283275</v>
      </c>
      <c r="G47" s="21">
        <v>1.35032139425894</v>
      </c>
      <c r="H47" s="19"/>
    </row>
    <row r="48" spans="2:8" x14ac:dyDescent="0.2">
      <c r="B48" s="19" t="s">
        <v>125</v>
      </c>
      <c r="C48" s="19" t="s">
        <v>126</v>
      </c>
      <c r="D48" s="19" t="s">
        <v>24</v>
      </c>
      <c r="E48" s="22">
        <v>21286</v>
      </c>
      <c r="F48" s="20">
        <v>112.996731</v>
      </c>
      <c r="G48" s="21">
        <v>1.2685213580243999</v>
      </c>
      <c r="H48" s="19"/>
    </row>
    <row r="49" spans="2:9" x14ac:dyDescent="0.2">
      <c r="B49" s="19" t="s">
        <v>127</v>
      </c>
      <c r="C49" s="19" t="s">
        <v>128</v>
      </c>
      <c r="D49" s="19" t="s">
        <v>71</v>
      </c>
      <c r="E49" s="22">
        <v>3513</v>
      </c>
      <c r="F49" s="20">
        <v>109.92879600000001</v>
      </c>
      <c r="G49" s="21">
        <v>1.2340801751858399</v>
      </c>
      <c r="H49" s="19"/>
    </row>
    <row r="50" spans="2:9" x14ac:dyDescent="0.2">
      <c r="B50" s="19" t="s">
        <v>129</v>
      </c>
      <c r="C50" s="19" t="s">
        <v>130</v>
      </c>
      <c r="D50" s="19" t="s">
        <v>71</v>
      </c>
      <c r="E50" s="22">
        <v>2085</v>
      </c>
      <c r="F50" s="20">
        <v>108.071805</v>
      </c>
      <c r="G50" s="21">
        <v>1.2132332646220401</v>
      </c>
      <c r="H50" s="19"/>
    </row>
    <row r="51" spans="2:9" x14ac:dyDescent="0.2">
      <c r="B51" s="19" t="s">
        <v>131</v>
      </c>
      <c r="C51" s="19" t="s">
        <v>132</v>
      </c>
      <c r="D51" s="19" t="s">
        <v>23</v>
      </c>
      <c r="E51" s="22">
        <v>9929</v>
      </c>
      <c r="F51" s="20">
        <v>97.492851000000002</v>
      </c>
      <c r="G51" s="21">
        <v>1.0944720493568201</v>
      </c>
      <c r="H51" s="19"/>
    </row>
    <row r="52" spans="2:9" x14ac:dyDescent="0.2">
      <c r="B52" s="19" t="s">
        <v>133</v>
      </c>
      <c r="C52" s="19" t="s">
        <v>134</v>
      </c>
      <c r="D52" s="19" t="s">
        <v>21</v>
      </c>
      <c r="E52" s="22">
        <v>71029</v>
      </c>
      <c r="F52" s="20">
        <v>87.727917899999994</v>
      </c>
      <c r="G52" s="21">
        <v>0.98484917719576703</v>
      </c>
      <c r="H52" s="19"/>
    </row>
    <row r="53" spans="2:9" x14ac:dyDescent="0.2">
      <c r="B53" s="19" t="s">
        <v>135</v>
      </c>
      <c r="C53" s="19" t="s">
        <v>136</v>
      </c>
      <c r="D53" s="19" t="s">
        <v>137</v>
      </c>
      <c r="E53" s="22">
        <v>3020</v>
      </c>
      <c r="F53" s="20">
        <v>83.397300000000001</v>
      </c>
      <c r="G53" s="21">
        <v>0.93623289200789905</v>
      </c>
      <c r="H53" s="19"/>
    </row>
    <row r="54" spans="2:9" x14ac:dyDescent="0.2">
      <c r="B54" s="19" t="s">
        <v>138</v>
      </c>
      <c r="C54" s="19" t="s">
        <v>139</v>
      </c>
      <c r="D54" s="19" t="s">
        <v>29</v>
      </c>
      <c r="E54" s="22">
        <v>17233</v>
      </c>
      <c r="F54" s="20">
        <v>83.140608499999999</v>
      </c>
      <c r="G54" s="21">
        <v>0.93335122766865897</v>
      </c>
      <c r="H54" s="19"/>
    </row>
    <row r="55" spans="2:9" x14ac:dyDescent="0.2">
      <c r="B55" s="19" t="s">
        <v>140</v>
      </c>
      <c r="C55" s="19" t="s">
        <v>141</v>
      </c>
      <c r="D55" s="19" t="s">
        <v>31</v>
      </c>
      <c r="E55" s="22">
        <v>8825</v>
      </c>
      <c r="F55" s="20">
        <v>79.455887500000003</v>
      </c>
      <c r="G55" s="21">
        <v>0.89198589572059594</v>
      </c>
      <c r="H55" s="19"/>
    </row>
    <row r="56" spans="2:9" x14ac:dyDescent="0.2">
      <c r="B56" s="19" t="s">
        <v>142</v>
      </c>
      <c r="C56" s="19" t="s">
        <v>143</v>
      </c>
      <c r="D56" s="19" t="s">
        <v>21</v>
      </c>
      <c r="E56" s="22">
        <v>37022</v>
      </c>
      <c r="F56" s="20">
        <v>40.727902200000003</v>
      </c>
      <c r="G56" s="21">
        <v>0.457218658902877</v>
      </c>
      <c r="H56" s="19"/>
    </row>
    <row r="57" spans="2:9" x14ac:dyDescent="0.2">
      <c r="B57" s="18" t="s">
        <v>8</v>
      </c>
      <c r="C57" s="18"/>
      <c r="D57" s="18"/>
      <c r="E57" s="18"/>
      <c r="F57" s="23">
        <f>SUM(F7:F56)</f>
        <v>9012.2653030000038</v>
      </c>
      <c r="G57" s="24">
        <f>SUM(G7:G56)</f>
        <v>101.17328988072909</v>
      </c>
      <c r="H57" s="18"/>
      <c r="I57" s="12"/>
    </row>
    <row r="58" spans="2:9" x14ac:dyDescent="0.2">
      <c r="B58" s="18" t="s">
        <v>32</v>
      </c>
      <c r="C58" s="18"/>
      <c r="D58" s="18"/>
      <c r="E58" s="18"/>
      <c r="F58" s="35" t="s">
        <v>33</v>
      </c>
      <c r="G58" s="36" t="s">
        <v>33</v>
      </c>
      <c r="H58" s="19"/>
    </row>
    <row r="59" spans="2:9" x14ac:dyDescent="0.2">
      <c r="B59" s="18" t="s">
        <v>8</v>
      </c>
      <c r="C59" s="18"/>
      <c r="D59" s="18"/>
      <c r="E59" s="18"/>
      <c r="F59" s="33" t="s">
        <v>33</v>
      </c>
      <c r="G59" s="34" t="s">
        <v>33</v>
      </c>
      <c r="H59" s="18"/>
      <c r="I59" s="12"/>
    </row>
    <row r="60" spans="2:9" x14ac:dyDescent="0.2">
      <c r="B60" s="25" t="s">
        <v>9</v>
      </c>
      <c r="C60" s="25"/>
      <c r="D60" s="25"/>
      <c r="E60" s="25"/>
      <c r="F60" s="26">
        <f>F57</f>
        <v>9012.2653030000038</v>
      </c>
      <c r="G60" s="27">
        <f>G57</f>
        <v>101.17328988072909</v>
      </c>
      <c r="H60" s="18"/>
      <c r="I60" s="12"/>
    </row>
    <row r="61" spans="2:9" x14ac:dyDescent="0.2">
      <c r="B61" s="18" t="s">
        <v>14</v>
      </c>
      <c r="C61" s="19"/>
      <c r="D61" s="19"/>
      <c r="E61" s="22"/>
      <c r="F61" s="20"/>
      <c r="G61" s="41"/>
      <c r="H61" s="18"/>
      <c r="I61" s="12"/>
    </row>
    <row r="62" spans="2:9" x14ac:dyDescent="0.2">
      <c r="B62" s="18" t="s">
        <v>15</v>
      </c>
      <c r="C62" s="19"/>
      <c r="D62" s="19"/>
      <c r="E62" s="22"/>
      <c r="F62" s="20"/>
      <c r="G62" s="41"/>
      <c r="H62" s="18"/>
      <c r="I62" s="12"/>
    </row>
    <row r="63" spans="2:9" x14ac:dyDescent="0.2">
      <c r="B63" s="18" t="s">
        <v>148</v>
      </c>
      <c r="C63" s="19"/>
      <c r="D63" s="19"/>
      <c r="E63" s="22"/>
      <c r="F63" s="20"/>
      <c r="G63" s="41"/>
      <c r="H63" s="18"/>
      <c r="I63" s="12"/>
    </row>
    <row r="64" spans="2:9" x14ac:dyDescent="0.2">
      <c r="B64" s="19" t="s">
        <v>144</v>
      </c>
      <c r="C64" s="19" t="s">
        <v>145</v>
      </c>
      <c r="D64" s="19" t="s">
        <v>7</v>
      </c>
      <c r="E64" s="22">
        <v>26520</v>
      </c>
      <c r="F64" s="20">
        <v>2.6632444999999998</v>
      </c>
      <c r="G64" s="41">
        <v>2.9898055456940801E-2</v>
      </c>
      <c r="H64" s="28">
        <v>6.0499999999999998E-2</v>
      </c>
      <c r="I64" s="12"/>
    </row>
    <row r="65" spans="2:9" x14ac:dyDescent="0.2">
      <c r="B65" s="18" t="s">
        <v>8</v>
      </c>
      <c r="C65" s="18"/>
      <c r="D65" s="18"/>
      <c r="E65" s="18"/>
      <c r="F65" s="23">
        <f>F64</f>
        <v>2.6632444999999998</v>
      </c>
      <c r="G65" s="42">
        <f>G64</f>
        <v>2.9898055456940801E-2</v>
      </c>
      <c r="H65" s="18"/>
      <c r="I65" s="12"/>
    </row>
    <row r="66" spans="2:9" x14ac:dyDescent="0.2">
      <c r="B66" s="18" t="s">
        <v>32</v>
      </c>
      <c r="C66" s="18"/>
      <c r="D66" s="18"/>
      <c r="E66" s="18"/>
      <c r="F66" s="35" t="s">
        <v>33</v>
      </c>
      <c r="G66" s="43" t="s">
        <v>33</v>
      </c>
      <c r="H66" s="18"/>
      <c r="I66" s="12"/>
    </row>
    <row r="67" spans="2:9" x14ac:dyDescent="0.2">
      <c r="B67" s="25" t="s">
        <v>9</v>
      </c>
      <c r="C67" s="25"/>
      <c r="D67" s="25"/>
      <c r="E67" s="25"/>
      <c r="F67" s="26">
        <f>F64</f>
        <v>2.6632444999999998</v>
      </c>
      <c r="G67" s="44">
        <f>G64</f>
        <v>2.9898055456940801E-2</v>
      </c>
      <c r="H67" s="18"/>
      <c r="I67" s="12"/>
    </row>
    <row r="68" spans="2:9" x14ac:dyDescent="0.2">
      <c r="B68" s="18"/>
      <c r="C68" s="18"/>
      <c r="D68" s="18"/>
      <c r="E68" s="18"/>
      <c r="F68" s="39"/>
      <c r="G68" s="40"/>
      <c r="H68" s="18"/>
      <c r="I68" s="12"/>
    </row>
    <row r="69" spans="2:9" x14ac:dyDescent="0.2">
      <c r="B69" s="18" t="s">
        <v>10</v>
      </c>
      <c r="C69" s="18"/>
      <c r="D69" s="18"/>
      <c r="E69" s="18"/>
      <c r="F69" s="23">
        <v>163.1802993</v>
      </c>
      <c r="G69" s="24">
        <v>1.8318910028544499</v>
      </c>
      <c r="H69" s="28">
        <v>5.4942360000000003E-2</v>
      </c>
      <c r="I69" s="13"/>
    </row>
    <row r="70" spans="2:9" x14ac:dyDescent="0.2">
      <c r="B70" s="19"/>
      <c r="C70" s="19"/>
      <c r="D70" s="19"/>
      <c r="E70" s="19"/>
      <c r="F70" s="20"/>
      <c r="G70" s="21"/>
      <c r="H70" s="19"/>
    </row>
    <row r="71" spans="2:9" x14ac:dyDescent="0.2">
      <c r="B71" s="32" t="s">
        <v>12</v>
      </c>
      <c r="C71" s="32"/>
      <c r="D71" s="32"/>
      <c r="E71" s="32"/>
      <c r="F71" s="23">
        <f>F72-(F57+F67+F69)</f>
        <v>-270.35729140000331</v>
      </c>
      <c r="G71" s="24">
        <f>G72-(G57+G67+G69)</f>
        <v>-3.0350789390404742</v>
      </c>
      <c r="H71" s="18"/>
      <c r="I71" s="12"/>
    </row>
    <row r="72" spans="2:9" x14ac:dyDescent="0.2">
      <c r="B72" s="29" t="s">
        <v>11</v>
      </c>
      <c r="C72" s="29"/>
      <c r="D72" s="29"/>
      <c r="E72" s="29"/>
      <c r="F72" s="30">
        <v>8907.7515554000001</v>
      </c>
      <c r="G72" s="31">
        <v>100</v>
      </c>
      <c r="H72" s="37"/>
      <c r="I72" s="12"/>
    </row>
    <row r="73" spans="2:9" x14ac:dyDescent="0.2">
      <c r="B73" s="12" t="s">
        <v>146</v>
      </c>
    </row>
    <row r="76" spans="2:9" x14ac:dyDescent="0.2">
      <c r="B76" s="12" t="s">
        <v>13</v>
      </c>
    </row>
    <row r="92" spans="2:2" x14ac:dyDescent="0.2">
      <c r="B92" s="45" t="s">
        <v>149</v>
      </c>
    </row>
    <row r="93" spans="2:2" x14ac:dyDescent="0.2">
      <c r="B93" s="46" t="s">
        <v>150</v>
      </c>
    </row>
  </sheetData>
  <mergeCells count="1">
    <mergeCell ref="B1:C1"/>
  </mergeCells>
  <conditionalFormatting sqref="G1:G3">
    <cfRule type="cellIs" dxfId="1" priority="7" stopIfTrue="1" operator="between">
      <formula>0.009</formula>
      <formula>-0.009</formula>
    </cfRule>
  </conditionalFormatting>
  <conditionalFormatting sqref="G5:G65536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0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9" min="1" max="7" man="1"/>
  </rowBreaks>
  <colBreaks count="1" manualBreakCount="1">
    <brk id="8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JBNNX50</vt:lpstr>
      <vt:lpstr>JBNNX50!Print_Area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2025-10-07T11:06:50Z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2025-10-07T10:30:58Z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ad0e34c3-d81c-4ac2-ba35-88b58716f515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2025-10-07T11:06:49Z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c0116485-0978-4b0a-9f1f-fae6c3d6539a</vt:lpwstr>
  </property>
  <property fmtid="{D5CDD505-2E9C-101B-9397-08002B2CF9AE}" pid="17" name="MSIP_Label_defa4170-0d19-0005-0004-bc88714345d2_ActionId">
    <vt:lpwstr>2b566abf-cff6-48ff-841f-3fb37db5bbfa</vt:lpwstr>
  </property>
  <property fmtid="{D5CDD505-2E9C-101B-9397-08002B2CF9AE}" pid="18" name="MSIP_Label_defa4170-0d19-0005-0004-bc88714345d2_ContentBits">
    <vt:lpwstr>0</vt:lpwstr>
  </property>
</Properties>
</file>