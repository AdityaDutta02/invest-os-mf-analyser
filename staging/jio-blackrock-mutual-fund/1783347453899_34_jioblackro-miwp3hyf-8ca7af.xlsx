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DD6C7C1C-448C-4D8D-9604-ACC3B16D0DC9}" xr6:coauthVersionLast="47" xr6:coauthVersionMax="47" xr10:uidLastSave="{00000000-0000-0000-0000-000000000000}"/>
  <bookViews>
    <workbookView xWindow="45" yWindow="15" windowWidth="19125" windowHeight="11235" xr2:uid="{93FBE97D-68C6-454C-8EF4-3016A4BF899F}"/>
  </bookViews>
  <sheets>
    <sheet name="JBOF" sheetId="4" r:id="rId1"/>
  </sheets>
  <definedNames>
    <definedName name="_xlnm.Print_Area" localSheetId="0">JBOF!$B$1:$I$86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4" l="1"/>
  <c r="G13" i="4" s="1"/>
  <c r="G36" i="4"/>
  <c r="F12" i="4"/>
  <c r="F36" i="4" s="1"/>
  <c r="F13" i="4"/>
</calcChain>
</file>

<file path=xl/sharedStrings.xml><?xml version="1.0" encoding="utf-8"?>
<sst xmlns="http://schemas.openxmlformats.org/spreadsheetml/2006/main" count="55" uniqueCount="35">
  <si>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</si>
  <si>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</si>
  <si>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</si>
  <si>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</si>
  <si>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</si>
  <si>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</si>
  <si>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November 30, 2025</t>
  </si>
  <si>
    <t>JioBlackRock Overnight Fund</t>
  </si>
  <si>
    <t>Yield to Call ^</t>
  </si>
  <si>
    <t>Money Market Instruments</t>
  </si>
  <si>
    <t>Sub Total</t>
  </si>
  <si>
    <t>Treasury Bill</t>
  </si>
  <si>
    <t>Total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</si>
  <si>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</si>
  <si>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</si>
  <si>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</si>
  <si>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</si>
  <si>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</si>
  <si>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</si>
  <si>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91 DTB (11-DEC-2025)</t>
  </si>
  <si>
    <t>IN002025X240</t>
  </si>
  <si>
    <t>182 DTB (18-DEC-2025)</t>
  </si>
  <si>
    <t>IN002025Y123</t>
  </si>
  <si>
    <t>182 DTB (11-DEC-2025)</t>
  </si>
  <si>
    <t>IN002025Y115</t>
  </si>
  <si>
    <t>91 DTB (18-DEC-2025)</t>
  </si>
  <si>
    <t>IN002025X257</t>
  </si>
  <si>
    <t>364 DTB (26-DEC-2025)</t>
  </si>
  <si>
    <t>IN002024Z370</t>
  </si>
  <si>
    <t>Reverse Repo</t>
  </si>
  <si>
    <t>Reverse Repo (01-Dec-2025)</t>
  </si>
  <si>
    <t>Scheme Risk-O-Meter</t>
  </si>
  <si>
    <t>Benchmark Risk-O-Meter</t>
  </si>
  <si>
    <t>Benchmark Name - NIFTY 1D Rate Index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</si>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</sst>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%"/>
    <numFmt numFmtId="165" formatCode="#,##0.0000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59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5" fillId="2" borderId="0" xfId="0" applyFont="1" applyFill="1"/>
    <xf numFmtId="0" fontId="5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5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5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5" fillId="3" borderId="0" xfId="0" applyNumberFormat="1" applyFont="1" applyFill="1" applyBorder="1"/>
    <xf numFmtId="0" fontId="9" fillId="2" borderId="0" xfId="0" applyFont="1" applyFill="1"/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NumberFormat="1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 wrapText="1"/>
    </xf>
    <xf numFmtId="39" fontId="9" fillId="0" borderId="1" xfId="0" applyNumberFormat="1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2" borderId="2" xfId="0" applyFont="1" applyFill="1" applyBorder="1"/>
    <xf numFmtId="0" fontId="5" fillId="2" borderId="2" xfId="0" applyFont="1" applyFill="1" applyBorder="1"/>
    <xf numFmtId="0" fontId="5" fillId="2" borderId="2" xfId="0" applyNumberFormat="1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2" xfId="0" applyNumberFormat="1" applyFont="1" applyFill="1" applyBorder="1"/>
    <xf numFmtId="3" fontId="5" fillId="2" borderId="2" xfId="0" applyNumberFormat="1" applyFont="1" applyFill="1" applyBorder="1"/>
    <xf numFmtId="4" fontId="5" fillId="2" borderId="2" xfId="0" applyNumberFormat="1" applyFont="1" applyFill="1" applyBorder="1"/>
    <xf numFmtId="0" fontId="9" fillId="2" borderId="2" xfId="0" applyNumberFormat="1" applyFont="1" applyFill="1" applyBorder="1"/>
    <xf numFmtId="39" fontId="9" fillId="2" borderId="3" xfId="0" applyNumberFormat="1" applyFont="1" applyFill="1" applyBorder="1"/>
    <xf numFmtId="39" fontId="9" fillId="3" borderId="3" xfId="0" applyNumberFormat="1" applyFont="1" applyFill="1" applyBorder="1"/>
    <xf numFmtId="10" fontId="9" fillId="2" borderId="2" xfId="0" applyNumberFormat="1" applyFont="1" applyFill="1" applyBorder="1"/>
    <xf numFmtId="39" fontId="9" fillId="2" borderId="4" xfId="0" applyNumberFormat="1" applyFont="1" applyFill="1" applyBorder="1"/>
    <xf numFmtId="39" fontId="9" fillId="3" borderId="4" xfId="0" applyNumberFormat="1" applyFont="1" applyFill="1" applyBorder="1"/>
    <xf numFmtId="0" fontId="9" fillId="2" borderId="5" xfId="0" applyFont="1" applyFill="1" applyBorder="1"/>
    <xf numFmtId="0" fontId="9" fillId="2" borderId="5" xfId="0" applyNumberFormat="1" applyFont="1" applyFill="1" applyBorder="1"/>
    <xf numFmtId="39" fontId="9" fillId="2" borderId="5" xfId="0" applyNumberFormat="1" applyFont="1" applyFill="1" applyBorder="1"/>
    <xf numFmtId="39" fontId="9" fillId="3" borderId="5" xfId="0" applyNumberFormat="1" applyFont="1" applyFill="1" applyBorder="1"/>
    <xf numFmtId="164" fontId="5" fillId="2" borderId="2" xfId="0" applyNumberFormat="1" applyFont="1" applyFill="1" applyBorder="1"/>
    <xf numFmtId="0" fontId="9" fillId="2" borderId="6" xfId="0" applyFont="1" applyFill="1" applyBorder="1"/>
    <xf numFmtId="0" fontId="9" fillId="2" borderId="6" xfId="0" applyNumberFormat="1" applyFont="1" applyFill="1" applyBorder="1"/>
    <xf numFmtId="39" fontId="9" fillId="2" borderId="6" xfId="0" applyNumberFormat="1" applyFont="1" applyFill="1" applyBorder="1"/>
    <xf numFmtId="39" fontId="9" fillId="3" borderId="6" xfId="0" applyNumberFormat="1" applyFont="1" applyFill="1" applyBorder="1"/>
    <xf numFmtId="10" fontId="9" fillId="2" borderId="7" xfId="0" applyNumberFormat="1" applyFont="1" applyFill="1" applyBorder="1"/>
    <xf numFmtId="0" fontId="9" fillId="2" borderId="3" xfId="0" applyFont="1" applyFill="1" applyBorder="1"/>
    <xf numFmtId="0" fontId="9" fillId="2" borderId="3" xfId="0" applyNumberFormat="1" applyFont="1" applyFill="1" applyBorder="1"/>
    <xf numFmtId="0" fontId="9" fillId="2" borderId="0" xfId="0" applyFont="1" applyFill="1" applyAlignment="1">
      <alignment horizontal="right"/>
    </xf>
    <xf numFmtId="165" fontId="5" fillId="2" borderId="0" xfId="0" applyNumberFormat="1" applyFont="1" applyFill="1"/>
    <xf numFmtId="0" fontId="8" fillId="2" borderId="0" xfId="1" applyFill="1"/>
    <xf numFmtId="39" fontId="5" fillId="3" borderId="0" xfId="0" applyNumberFormat="1" applyFont="1" applyFill="1"/>
    <xf numFmtId="0" fontId="9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/>
    <xf numFmtId="0" fontId="9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42</xdr:row>
      <xdr:rowOff>104775</xdr:rowOff>
    </xdr:from>
    <xdr:to>
      <xdr:col>3</xdr:col>
      <xdr:colOff>733425</xdr:colOff>
      <xdr:row>59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E0B2F8-886B-4624-A566-ACFAC316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" y="4914900"/>
          <a:ext cx="4429125" cy="2324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238125</xdr:colOff>
      <xdr:row>66</xdr:row>
      <xdr:rowOff>28575</xdr:rowOff>
    </xdr:from>
    <xdr:to>
      <xdr:col>3</xdr:col>
      <xdr:colOff>828675</xdr:colOff>
      <xdr:row>83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42C8C2-7D85-415B-88A7-4E86D523D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267700"/>
          <a:ext cx="4848225" cy="2428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FA04A-1701-4CEA-AC96-3323AE23CE7B}">
  <dimension ref="A1:K86"/>
  <sheetViews>
    <sheetView tabSelected="1" view="pageBreakPreview" zoomScaleNormal="100" zoomScaleSheetLayoutView="100" workbookViewId="0"/>
  </sheetViews>
  <sheetFormatPr defaultColWidth="9.140625" defaultRowHeight="11.25" x14ac:dyDescent="0.2"/>
  <cols>
    <col min="1" max="1" width="7.140625" style="8" customWidth="1"/>
    <col min="2" max="2" width="52.7109375" style="8" bestFit="1" customWidth="1"/>
    <col min="3" max="3" width="11.140625" style="8" bestFit="1" customWidth="1"/>
    <col min="4" max="4" width="13.85546875" style="8" bestFit="1" customWidth="1"/>
    <col min="5" max="5" width="13.85546875" style="9" bestFit="1" customWidth="1"/>
    <col min="6" max="6" width="12.7109375" style="11" bestFit="1" customWidth="1"/>
    <col min="7" max="7" width="6.7109375" style="17" bestFit="1" customWidth="1"/>
    <col min="8" max="8" width="11.85546875" style="14" bestFit="1" customWidth="1"/>
    <col min="9" max="9" width="15.85546875" style="14" customWidth="1"/>
    <col min="10" max="10" width="25.85546875" style="8" customWidth="1"/>
    <col min="11" max="16384" width="9.140625" style="8"/>
  </cols>
  <sheetData>
    <row r="1" spans="1:11" s="1" customFormat="1" ht="16.7" customHeight="1" x14ac:dyDescent="0.2">
      <c r="B1" s="56" t="s">
        <v>7</v>
      </c>
      <c r="C1" s="57"/>
      <c r="D1" s="13"/>
      <c r="E1" s="6"/>
      <c r="F1" s="7"/>
      <c r="G1" s="17"/>
      <c r="H1" s="14"/>
      <c r="I1" s="15"/>
    </row>
    <row r="2" spans="1:11" s="1" customFormat="1" ht="15" x14ac:dyDescent="0.25">
      <c r="A2" s="53" t="s">
        <v>34</v>
      </c>
      <c r="E2" s="6"/>
      <c r="F2" s="7"/>
      <c r="G2" s="17"/>
      <c r="H2" s="14"/>
      <c r="I2" s="15"/>
    </row>
    <row r="3" spans="1:11" s="1" customFormat="1" ht="15" x14ac:dyDescent="0.25">
      <c r="A3" s="53"/>
      <c r="B3" s="10" t="s">
        <v>6</v>
      </c>
      <c r="C3" s="2"/>
      <c r="D3" s="3"/>
      <c r="E3" s="4"/>
      <c r="F3" s="5"/>
      <c r="G3" s="17"/>
      <c r="H3" s="14"/>
      <c r="I3" s="15"/>
    </row>
    <row r="4" spans="1:11" s="1" customFormat="1" ht="45" x14ac:dyDescent="0.2">
      <c r="B4" s="19" t="s">
        <v>4</v>
      </c>
      <c r="C4" s="19" t="s">
        <v>5</v>
      </c>
      <c r="D4" s="20" t="s">
        <v>17</v>
      </c>
      <c r="E4" s="21" t="s">
        <v>0</v>
      </c>
      <c r="F4" s="22" t="s">
        <v>1</v>
      </c>
      <c r="G4" s="23" t="s">
        <v>2</v>
      </c>
      <c r="H4" s="24" t="s">
        <v>3</v>
      </c>
      <c r="I4" s="24" t="s">
        <v>8</v>
      </c>
      <c r="J4" s="16"/>
      <c r="K4" s="12"/>
    </row>
    <row r="5" spans="1:11" x14ac:dyDescent="0.2">
      <c r="B5" s="25" t="s">
        <v>9</v>
      </c>
      <c r="C5" s="26"/>
      <c r="D5" s="26"/>
      <c r="E5" s="27"/>
      <c r="F5" s="28"/>
      <c r="G5" s="29"/>
      <c r="H5" s="30"/>
      <c r="I5" s="30"/>
    </row>
    <row r="6" spans="1:11" x14ac:dyDescent="0.2">
      <c r="B6" s="25" t="s">
        <v>11</v>
      </c>
      <c r="C6" s="26"/>
      <c r="D6" s="26"/>
      <c r="E6" s="27"/>
      <c r="F6" s="28"/>
      <c r="G6" s="29"/>
      <c r="H6" s="30"/>
      <c r="I6" s="30"/>
    </row>
    <row r="7" spans="1:11" x14ac:dyDescent="0.2">
      <c r="B7" s="26" t="s">
        <v>19</v>
      </c>
      <c r="C7" s="26" t="s">
        <v>20</v>
      </c>
      <c r="D7" s="26" t="s">
        <v>13</v>
      </c>
      <c r="E7" s="31">
        <v>1500000</v>
      </c>
      <c r="F7" s="28">
        <v>1497.846</v>
      </c>
      <c r="G7" s="29">
        <v>1.3608284606876899</v>
      </c>
      <c r="H7" s="30">
        <v>5.2507999999999999E-2</v>
      </c>
      <c r="I7" s="32"/>
    </row>
    <row r="8" spans="1:11" x14ac:dyDescent="0.2">
      <c r="B8" s="26" t="s">
        <v>21</v>
      </c>
      <c r="C8" s="26" t="s">
        <v>22</v>
      </c>
      <c r="D8" s="26" t="s">
        <v>13</v>
      </c>
      <c r="E8" s="31">
        <v>1500000</v>
      </c>
      <c r="F8" s="28">
        <v>1496.3205</v>
      </c>
      <c r="G8" s="29">
        <v>1.3594425079149901</v>
      </c>
      <c r="H8" s="30">
        <v>5.2796999999999997E-2</v>
      </c>
      <c r="I8" s="32"/>
    </row>
    <row r="9" spans="1:11" x14ac:dyDescent="0.2">
      <c r="B9" s="26" t="s">
        <v>23</v>
      </c>
      <c r="C9" s="26" t="s">
        <v>24</v>
      </c>
      <c r="D9" s="26" t="s">
        <v>13</v>
      </c>
      <c r="E9" s="31">
        <v>1000000</v>
      </c>
      <c r="F9" s="28">
        <v>998.56399999999996</v>
      </c>
      <c r="G9" s="29">
        <v>0.90721897379179095</v>
      </c>
      <c r="H9" s="30">
        <v>5.2507999999999999E-2</v>
      </c>
      <c r="I9" s="32"/>
    </row>
    <row r="10" spans="1:11" x14ac:dyDescent="0.2">
      <c r="B10" s="26" t="s">
        <v>25</v>
      </c>
      <c r="C10" s="26" t="s">
        <v>26</v>
      </c>
      <c r="D10" s="26" t="s">
        <v>13</v>
      </c>
      <c r="E10" s="31">
        <v>1000000</v>
      </c>
      <c r="F10" s="28">
        <v>997.54700000000003</v>
      </c>
      <c r="G10" s="29">
        <v>0.90629500527665696</v>
      </c>
      <c r="H10" s="30">
        <v>5.2796999999999997E-2</v>
      </c>
      <c r="I10" s="32"/>
    </row>
    <row r="11" spans="1:11" x14ac:dyDescent="0.2">
      <c r="B11" s="26" t="s">
        <v>27</v>
      </c>
      <c r="C11" s="26" t="s">
        <v>28</v>
      </c>
      <c r="D11" s="26" t="s">
        <v>13</v>
      </c>
      <c r="E11" s="31">
        <v>500000</v>
      </c>
      <c r="F11" s="28">
        <v>498.19850000000002</v>
      </c>
      <c r="G11" s="29">
        <v>0.45262510156044999</v>
      </c>
      <c r="H11" s="30">
        <v>5.2794000000000001E-2</v>
      </c>
      <c r="I11" s="32"/>
    </row>
    <row r="12" spans="1:11" x14ac:dyDescent="0.2">
      <c r="B12" s="25" t="s">
        <v>10</v>
      </c>
      <c r="C12" s="25"/>
      <c r="D12" s="25"/>
      <c r="E12" s="33"/>
      <c r="F12" s="37">
        <f>SUM(F6:F11)</f>
        <v>5488.4760000000006</v>
      </c>
      <c r="G12" s="38">
        <f>SUM(G6:G11)</f>
        <v>4.9864100492315782</v>
      </c>
      <c r="H12" s="36"/>
      <c r="I12" s="36"/>
    </row>
    <row r="13" spans="1:11" x14ac:dyDescent="0.2">
      <c r="B13" s="39" t="s">
        <v>12</v>
      </c>
      <c r="C13" s="39"/>
      <c r="D13" s="39"/>
      <c r="E13" s="40"/>
      <c r="F13" s="41">
        <f>+F12</f>
        <v>5488.4760000000006</v>
      </c>
      <c r="G13" s="42">
        <f>+G12</f>
        <v>4.9864100492315782</v>
      </c>
      <c r="H13" s="36"/>
      <c r="I13" s="36"/>
    </row>
    <row r="14" spans="1:11" x14ac:dyDescent="0.2">
      <c r="B14" s="25"/>
      <c r="C14" s="26"/>
      <c r="D14" s="26"/>
      <c r="E14" s="27"/>
      <c r="F14" s="28"/>
      <c r="G14" s="29"/>
      <c r="H14" s="30"/>
      <c r="I14" s="30"/>
    </row>
    <row r="15" spans="1:11" x14ac:dyDescent="0.2">
      <c r="B15" s="25" t="s">
        <v>14</v>
      </c>
      <c r="C15" s="25"/>
      <c r="D15" s="25"/>
      <c r="E15" s="33"/>
      <c r="F15" s="34">
        <v>29620.754203699998</v>
      </c>
      <c r="G15" s="35">
        <v>26.911154649696599</v>
      </c>
      <c r="H15" s="43">
        <v>5.305E-2</v>
      </c>
      <c r="I15" s="43"/>
    </row>
    <row r="16" spans="1:11" x14ac:dyDescent="0.2">
      <c r="B16" s="26"/>
      <c r="C16" s="26"/>
      <c r="D16" s="26"/>
      <c r="E16" s="27"/>
      <c r="F16" s="28"/>
      <c r="G16" s="29"/>
      <c r="H16" s="30"/>
      <c r="I16" s="30"/>
    </row>
    <row r="17" spans="2:9" x14ac:dyDescent="0.2">
      <c r="B17" s="25" t="s">
        <v>29</v>
      </c>
      <c r="C17" s="26"/>
      <c r="D17" s="26"/>
      <c r="E17" s="27"/>
      <c r="F17" s="28"/>
      <c r="G17" s="29"/>
      <c r="H17" s="30"/>
      <c r="I17" s="30"/>
    </row>
    <row r="18" spans="2:9" x14ac:dyDescent="0.2">
      <c r="B18" s="26" t="s">
        <v>30</v>
      </c>
      <c r="C18" s="26"/>
      <c r="D18" s="26"/>
      <c r="E18" s="27"/>
      <c r="F18" s="28">
        <v>15367.145833299999</v>
      </c>
      <c r="G18" s="29">
        <v>13.961414864741</v>
      </c>
      <c r="H18" s="30">
        <v>5.6000000000000001E-2</v>
      </c>
      <c r="I18" s="30"/>
    </row>
    <row r="19" spans="2:9" x14ac:dyDescent="0.2">
      <c r="B19" s="26" t="s">
        <v>30</v>
      </c>
      <c r="C19" s="26"/>
      <c r="D19" s="26"/>
      <c r="E19" s="27"/>
      <c r="F19" s="28">
        <v>13193.0986667</v>
      </c>
      <c r="G19" s="29">
        <v>11.986241676584999</v>
      </c>
      <c r="H19" s="30">
        <v>5.6000000000000001E-2</v>
      </c>
      <c r="I19" s="30"/>
    </row>
    <row r="20" spans="2:9" x14ac:dyDescent="0.2">
      <c r="B20" s="26" t="s">
        <v>30</v>
      </c>
      <c r="C20" s="26"/>
      <c r="D20" s="26"/>
      <c r="E20" s="27"/>
      <c r="F20" s="28">
        <v>10408.3222222</v>
      </c>
      <c r="G20" s="29">
        <v>9.4562065178782504</v>
      </c>
      <c r="H20" s="30">
        <v>5.6000000000000001E-2</v>
      </c>
      <c r="I20" s="30"/>
    </row>
    <row r="21" spans="2:9" x14ac:dyDescent="0.2">
      <c r="B21" s="26" t="s">
        <v>30</v>
      </c>
      <c r="C21" s="26"/>
      <c r="D21" s="26"/>
      <c r="E21" s="27"/>
      <c r="F21" s="28">
        <v>6278.0572499999998</v>
      </c>
      <c r="G21" s="29">
        <v>5.7037632597921704</v>
      </c>
      <c r="H21" s="30">
        <v>5.6300000000000003E-2</v>
      </c>
      <c r="I21" s="30"/>
    </row>
    <row r="22" spans="2:9" x14ac:dyDescent="0.2">
      <c r="B22" s="26" t="s">
        <v>30</v>
      </c>
      <c r="C22" s="26"/>
      <c r="D22" s="26"/>
      <c r="E22" s="27"/>
      <c r="F22" s="28">
        <v>5550.0225</v>
      </c>
      <c r="G22" s="29">
        <v>5.04232649782222</v>
      </c>
      <c r="H22" s="30">
        <v>5.6500000000000002E-2</v>
      </c>
      <c r="I22" s="30"/>
    </row>
    <row r="23" spans="2:9" x14ac:dyDescent="0.2">
      <c r="B23" s="26" t="s">
        <v>30</v>
      </c>
      <c r="C23" s="26"/>
      <c r="D23" s="26"/>
      <c r="E23" s="27"/>
      <c r="F23" s="28">
        <v>5399.4504755999997</v>
      </c>
      <c r="G23" s="29">
        <v>4.9055282580920503</v>
      </c>
      <c r="H23" s="30">
        <v>5.6500000000000002E-2</v>
      </c>
      <c r="I23" s="30"/>
    </row>
    <row r="24" spans="2:9" x14ac:dyDescent="0.2">
      <c r="B24" s="26" t="s">
        <v>30</v>
      </c>
      <c r="C24" s="26"/>
      <c r="D24" s="26"/>
      <c r="E24" s="27"/>
      <c r="F24" s="28">
        <v>4131.9488889000004</v>
      </c>
      <c r="G24" s="29">
        <v>3.7539731361715298</v>
      </c>
      <c r="H24" s="30">
        <v>5.62E-2</v>
      </c>
      <c r="I24" s="30"/>
    </row>
    <row r="25" spans="2:9" x14ac:dyDescent="0.2">
      <c r="B25" s="26" t="s">
        <v>30</v>
      </c>
      <c r="C25" s="26"/>
      <c r="D25" s="26"/>
      <c r="E25" s="27"/>
      <c r="F25" s="28">
        <v>2999.5735574999999</v>
      </c>
      <c r="G25" s="29">
        <v>2.72518340802206</v>
      </c>
      <c r="H25" s="30">
        <v>5.5800000000000002E-2</v>
      </c>
      <c r="I25" s="30"/>
    </row>
    <row r="26" spans="2:9" x14ac:dyDescent="0.2">
      <c r="B26" s="26" t="s">
        <v>30</v>
      </c>
      <c r="C26" s="26"/>
      <c r="D26" s="26"/>
      <c r="E26" s="27"/>
      <c r="F26" s="28">
        <v>2799.9612667000001</v>
      </c>
      <c r="G26" s="29">
        <v>2.5438309282453</v>
      </c>
      <c r="H26" s="30">
        <v>5.5800000000000002E-2</v>
      </c>
      <c r="I26" s="30"/>
    </row>
    <row r="27" spans="2:9" x14ac:dyDescent="0.2">
      <c r="B27" s="26" t="s">
        <v>30</v>
      </c>
      <c r="C27" s="26"/>
      <c r="D27" s="26"/>
      <c r="E27" s="27"/>
      <c r="F27" s="28">
        <v>2699.28125</v>
      </c>
      <c r="G27" s="29">
        <v>2.4523607556455298</v>
      </c>
      <c r="H27" s="30">
        <v>5.6500000000000002E-2</v>
      </c>
      <c r="I27" s="30"/>
    </row>
    <row r="28" spans="2:9" x14ac:dyDescent="0.2">
      <c r="B28" s="26" t="s">
        <v>30</v>
      </c>
      <c r="C28" s="26"/>
      <c r="D28" s="26"/>
      <c r="E28" s="27"/>
      <c r="F28" s="28">
        <v>2399.3511278000001</v>
      </c>
      <c r="G28" s="29">
        <v>2.17986715716658</v>
      </c>
      <c r="H28" s="30">
        <v>5.6000000000000001E-2</v>
      </c>
      <c r="I28" s="30"/>
    </row>
    <row r="29" spans="2:9" x14ac:dyDescent="0.2">
      <c r="B29" s="26" t="s">
        <v>30</v>
      </c>
      <c r="C29" s="26"/>
      <c r="D29" s="26"/>
      <c r="E29" s="27"/>
      <c r="F29" s="28">
        <v>1068.9694443999999</v>
      </c>
      <c r="G29" s="29">
        <v>0.97118398256230798</v>
      </c>
      <c r="H29" s="30">
        <v>5.6399999999999999E-2</v>
      </c>
      <c r="I29" s="30"/>
    </row>
    <row r="30" spans="2:9" x14ac:dyDescent="0.2">
      <c r="B30" s="26" t="s">
        <v>30</v>
      </c>
      <c r="C30" s="26"/>
      <c r="D30" s="26"/>
      <c r="E30" s="27"/>
      <c r="F30" s="28">
        <v>1060.4405555999999</v>
      </c>
      <c r="G30" s="29">
        <v>0.96343528568887804</v>
      </c>
      <c r="H30" s="30">
        <v>5.6399999999999999E-2</v>
      </c>
      <c r="I30" s="30"/>
    </row>
    <row r="31" spans="2:9" x14ac:dyDescent="0.2">
      <c r="B31" s="26" t="s">
        <v>30</v>
      </c>
      <c r="C31" s="26"/>
      <c r="D31" s="26"/>
      <c r="E31" s="27"/>
      <c r="F31" s="28">
        <v>1041.1263888999999</v>
      </c>
      <c r="G31" s="29">
        <v>0.94588790916296905</v>
      </c>
      <c r="H31" s="30">
        <v>5.6500000000000002E-2</v>
      </c>
      <c r="I31" s="30"/>
    </row>
    <row r="32" spans="2:9" x14ac:dyDescent="0.2">
      <c r="B32" s="26" t="s">
        <v>30</v>
      </c>
      <c r="C32" s="26"/>
      <c r="D32" s="26"/>
      <c r="E32" s="27"/>
      <c r="F32" s="28">
        <v>1034.2972222000001</v>
      </c>
      <c r="G32" s="29">
        <v>0.93968344995411801</v>
      </c>
      <c r="H32" s="30">
        <v>5.6500000000000002E-2</v>
      </c>
      <c r="I32" s="30"/>
    </row>
    <row r="33" spans="2:9" x14ac:dyDescent="0.2">
      <c r="B33" s="26" t="s">
        <v>30</v>
      </c>
      <c r="C33" s="26"/>
      <c r="D33" s="26"/>
      <c r="E33" s="27"/>
      <c r="F33" s="28">
        <v>1031.325</v>
      </c>
      <c r="G33" s="29">
        <v>0.93698311590025196</v>
      </c>
      <c r="H33" s="30">
        <v>5.6300000000000003E-2</v>
      </c>
      <c r="I33" s="30"/>
    </row>
    <row r="34" spans="2:9" x14ac:dyDescent="0.2">
      <c r="B34" s="25" t="s">
        <v>12</v>
      </c>
      <c r="C34" s="25"/>
      <c r="D34" s="25"/>
      <c r="E34" s="33"/>
      <c r="F34" s="34">
        <v>76462.371649799985</v>
      </c>
      <c r="G34" s="35">
        <v>69.467870203430195</v>
      </c>
      <c r="H34" s="30"/>
      <c r="I34" s="30"/>
    </row>
    <row r="35" spans="2:9" x14ac:dyDescent="0.2">
      <c r="B35" s="26"/>
      <c r="C35" s="26"/>
      <c r="D35" s="26"/>
      <c r="E35" s="27"/>
      <c r="F35" s="28"/>
      <c r="G35" s="29"/>
      <c r="H35" s="30"/>
      <c r="I35" s="30"/>
    </row>
    <row r="36" spans="2:9" x14ac:dyDescent="0.2">
      <c r="B36" s="49" t="s">
        <v>16</v>
      </c>
      <c r="C36" s="49"/>
      <c r="D36" s="49"/>
      <c r="E36" s="50"/>
      <c r="F36" s="34">
        <f>F37-(F12+F15+F34)</f>
        <v>-1502.9162497999787</v>
      </c>
      <c r="G36" s="35">
        <f>G37-(G12+G15+G34)</f>
        <v>-1.3654349023583734</v>
      </c>
      <c r="H36" s="36"/>
      <c r="I36" s="36"/>
    </row>
    <row r="37" spans="2:9" x14ac:dyDescent="0.2">
      <c r="B37" s="44" t="s">
        <v>15</v>
      </c>
      <c r="C37" s="44"/>
      <c r="D37" s="44"/>
      <c r="E37" s="45"/>
      <c r="F37" s="46">
        <v>110068.6856037</v>
      </c>
      <c r="G37" s="47">
        <v>100</v>
      </c>
      <c r="H37" s="48"/>
      <c r="I37" s="48"/>
    </row>
    <row r="39" spans="2:9" ht="39.950000000000003" customHeight="1" x14ac:dyDescent="0.2">
      <c r="B39" s="58" t="s">
        <v>18</v>
      </c>
      <c r="C39" s="58"/>
      <c r="D39" s="58"/>
      <c r="E39" s="58"/>
      <c r="F39" s="58"/>
      <c r="G39" s="58"/>
      <c r="H39" s="58"/>
      <c r="I39" s="58"/>
    </row>
    <row r="41" spans="2:9" x14ac:dyDescent="0.2">
      <c r="B41" s="18" t="s">
        <v>31</v>
      </c>
      <c r="E41" s="8"/>
      <c r="G41" s="54"/>
    </row>
    <row r="42" spans="2:9" x14ac:dyDescent="0.2">
      <c r="B42" s="18"/>
      <c r="C42" s="18"/>
      <c r="D42" s="51"/>
      <c r="E42" s="18"/>
      <c r="G42" s="54"/>
    </row>
    <row r="43" spans="2:9" x14ac:dyDescent="0.2">
      <c r="D43" s="52"/>
      <c r="E43" s="52"/>
      <c r="G43" s="54"/>
    </row>
    <row r="44" spans="2:9" x14ac:dyDescent="0.2">
      <c r="E44" s="8"/>
      <c r="G44" s="54"/>
    </row>
    <row r="45" spans="2:9" x14ac:dyDescent="0.2">
      <c r="E45" s="8"/>
      <c r="G45" s="54"/>
    </row>
    <row r="46" spans="2:9" x14ac:dyDescent="0.2">
      <c r="E46" s="8"/>
      <c r="G46" s="54"/>
    </row>
    <row r="47" spans="2:9" x14ac:dyDescent="0.2">
      <c r="B47" s="18"/>
      <c r="E47" s="8"/>
      <c r="G47" s="54"/>
    </row>
    <row r="48" spans="2:9" x14ac:dyDescent="0.2">
      <c r="E48" s="8"/>
      <c r="G48" s="54"/>
    </row>
    <row r="49" spans="2:7" x14ac:dyDescent="0.2">
      <c r="E49" s="8"/>
      <c r="G49" s="54"/>
    </row>
    <row r="50" spans="2:7" x14ac:dyDescent="0.2">
      <c r="E50" s="8"/>
      <c r="G50" s="54"/>
    </row>
    <row r="51" spans="2:7" x14ac:dyDescent="0.2">
      <c r="E51" s="8"/>
      <c r="G51" s="54"/>
    </row>
    <row r="52" spans="2:7" x14ac:dyDescent="0.2">
      <c r="E52" s="8"/>
      <c r="G52" s="54"/>
    </row>
    <row r="53" spans="2:7" x14ac:dyDescent="0.2">
      <c r="E53" s="8"/>
      <c r="G53" s="54"/>
    </row>
    <row r="54" spans="2:7" x14ac:dyDescent="0.2">
      <c r="E54" s="8"/>
      <c r="G54" s="54"/>
    </row>
    <row r="55" spans="2:7" x14ac:dyDescent="0.2">
      <c r="E55" s="8"/>
      <c r="G55" s="54"/>
    </row>
    <row r="56" spans="2:7" x14ac:dyDescent="0.2">
      <c r="E56" s="8"/>
      <c r="G56" s="54"/>
    </row>
    <row r="57" spans="2:7" x14ac:dyDescent="0.2">
      <c r="E57" s="8"/>
      <c r="G57" s="54"/>
    </row>
    <row r="58" spans="2:7" x14ac:dyDescent="0.2">
      <c r="E58" s="8"/>
      <c r="G58" s="54"/>
    </row>
    <row r="59" spans="2:7" x14ac:dyDescent="0.2">
      <c r="E59" s="8"/>
      <c r="G59" s="54"/>
    </row>
    <row r="60" spans="2:7" x14ac:dyDescent="0.2">
      <c r="E60" s="8"/>
      <c r="G60" s="54"/>
    </row>
    <row r="61" spans="2:7" x14ac:dyDescent="0.2">
      <c r="E61" s="8"/>
      <c r="G61" s="54"/>
    </row>
    <row r="62" spans="2:7" x14ac:dyDescent="0.2">
      <c r="B62" s="18" t="s">
        <v>32</v>
      </c>
      <c r="E62" s="8"/>
      <c r="G62" s="54"/>
    </row>
    <row r="63" spans="2:7" x14ac:dyDescent="0.2">
      <c r="B63" s="55" t="s">
        <v>33</v>
      </c>
      <c r="E63" s="8"/>
      <c r="G63" s="54"/>
    </row>
    <row r="64" spans="2:7" x14ac:dyDescent="0.2">
      <c r="E64" s="8"/>
      <c r="G64" s="54"/>
    </row>
    <row r="65" spans="5:7" x14ac:dyDescent="0.2">
      <c r="E65" s="8"/>
      <c r="G65" s="54"/>
    </row>
    <row r="66" spans="5:7" x14ac:dyDescent="0.2">
      <c r="E66" s="8"/>
      <c r="G66" s="54"/>
    </row>
    <row r="67" spans="5:7" x14ac:dyDescent="0.2">
      <c r="E67" s="8"/>
      <c r="G67" s="54"/>
    </row>
    <row r="68" spans="5:7" x14ac:dyDescent="0.2">
      <c r="E68" s="8"/>
      <c r="G68" s="54"/>
    </row>
    <row r="69" spans="5:7" x14ac:dyDescent="0.2">
      <c r="E69" s="8"/>
      <c r="G69" s="54"/>
    </row>
    <row r="70" spans="5:7" x14ac:dyDescent="0.2">
      <c r="E70" s="8"/>
      <c r="G70" s="54"/>
    </row>
    <row r="71" spans="5:7" x14ac:dyDescent="0.2">
      <c r="E71" s="8"/>
      <c r="G71" s="54"/>
    </row>
    <row r="72" spans="5:7" x14ac:dyDescent="0.2">
      <c r="E72" s="8"/>
      <c r="G72" s="54"/>
    </row>
    <row r="73" spans="5:7" x14ac:dyDescent="0.2">
      <c r="E73" s="8"/>
      <c r="G73" s="54"/>
    </row>
    <row r="74" spans="5:7" x14ac:dyDescent="0.2">
      <c r="E74" s="8"/>
      <c r="G74" s="54"/>
    </row>
    <row r="75" spans="5:7" x14ac:dyDescent="0.2">
      <c r="E75" s="8"/>
      <c r="G75" s="54"/>
    </row>
    <row r="76" spans="5:7" x14ac:dyDescent="0.2">
      <c r="E76" s="8"/>
      <c r="G76" s="54"/>
    </row>
    <row r="77" spans="5:7" x14ac:dyDescent="0.2">
      <c r="E77" s="8"/>
      <c r="G77" s="54"/>
    </row>
    <row r="78" spans="5:7" x14ac:dyDescent="0.2">
      <c r="E78" s="8"/>
      <c r="G78" s="54"/>
    </row>
    <row r="79" spans="5:7" x14ac:dyDescent="0.2">
      <c r="E79" s="8"/>
      <c r="G79" s="54"/>
    </row>
    <row r="80" spans="5:7" x14ac:dyDescent="0.2">
      <c r="E80" s="8"/>
      <c r="G80" s="54"/>
    </row>
    <row r="81" spans="5:7" x14ac:dyDescent="0.2">
      <c r="E81" s="8"/>
      <c r="G81" s="54"/>
    </row>
    <row r="82" spans="5:7" x14ac:dyDescent="0.2">
      <c r="E82" s="8"/>
      <c r="G82" s="54"/>
    </row>
    <row r="83" spans="5:7" x14ac:dyDescent="0.2">
      <c r="E83" s="8"/>
      <c r="G83" s="54"/>
    </row>
    <row r="84" spans="5:7" x14ac:dyDescent="0.2">
      <c r="E84" s="8"/>
      <c r="G84" s="54"/>
    </row>
    <row r="85" spans="5:7" x14ac:dyDescent="0.2">
      <c r="E85" s="8"/>
      <c r="G85" s="54"/>
    </row>
    <row r="86" spans="5:7" x14ac:dyDescent="0.2">
      <c r="E86" s="8"/>
      <c r="G86" s="54"/>
    </row>
  </sheetData>
  <mergeCells count="2">
    <mergeCell ref="B1:C1"/>
    <mergeCell ref="B39:I39"/>
  </mergeCells>
  <conditionalFormatting sqref="G1:G3 G5:G38 G40:G65105">
    <cfRule type="cellIs" dxfId="0" priority="2" stopIfTrue="1" operator="between">
      <formula>0.009</formula>
      <formula>-0.009</formula>
    </cfRule>
  </conditionalFormatting>
  <hyperlinks>
    <hyperlink ref="A2" location="JBOF!A1" display="-" xr:uid="{8ACB7A6D-1DAC-46C3-80FE-BE81D48B1CFE}"/>
  </hyperlinks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JBOF</vt:lpstr>
      <vt:lpstr>JBOF!Print_Area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2025-12-05T13:26:22Z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2025-12-02T08:03:00Z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05865c13-5549-4d6a-891f-8facef410b07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