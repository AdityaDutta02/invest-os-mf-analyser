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8_{BB3632A9-DAD2-4A6E-A2C3-09030BDA8576}" xr6:coauthVersionLast="47" xr6:coauthVersionMax="47" xr10:uidLastSave="{00000000-0000-0000-0000-000000000000}"/>
  <bookViews>
    <workbookView xWindow="-110" yWindow="-110" windowWidth="19420" windowHeight="11500" xr2:uid="{7291B499-DD8C-4F12-BA28-9EE7F24AB421}"/>
  </bookViews>
  <sheets>
    <sheet name="JBLOW" sheetId="8" r:id="rId1"/>
  </sheets>
  <definedNames>
    <definedName name="_xlnm.Print_Area" localSheetId="0">JBLOW!$B$1:$I$116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2" i="8" l="1"/>
  <c r="F42" i="8"/>
  <c r="G37" i="8"/>
  <c r="F37" i="8"/>
  <c r="G32" i="8"/>
  <c r="F32" i="8"/>
  <c r="G29" i="8"/>
  <c r="F29" i="8"/>
  <c r="F38" i="8" s="1"/>
  <c r="G12" i="8"/>
  <c r="F12" i="8"/>
  <c r="G38" i="8" l="1"/>
  <c r="F46" i="8"/>
  <c r="G46" i="8"/>
  <c r="F15" i="8"/>
  <c r="G15" i="8"/>
</calcChain>
</file>

<file path=xl/sharedStrings.xml><?xml version="1.0" encoding="utf-8"?>
<sst xmlns="http://schemas.openxmlformats.org/spreadsheetml/2006/main" count="115" uniqueCount="92">
  <si>
    <t>Quantity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</si>
  <si>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</si>
  <si>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</si>
  <si>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</si>
  <si>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</si>
  <si>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</si>
  <si>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Monthly Portfolio Statement as on May 31, 2026</t>
  </si>
  <si>
    <t>JioBlackRock Low Duration Fund</t>
  </si>
  <si>
    <t>(a) Listed / awaiting listing on Stock Exchanges</t>
  </si>
  <si>
    <t>Sub Total</t>
  </si>
  <si>
    <t>Total</t>
  </si>
  <si>
    <t>TREPS</t>
  </si>
  <si>
    <t>Grand Total</t>
  </si>
  <si>
    <t>Net Receivables / (Payables)</t>
  </si>
  <si>
    <t>Notes</t>
  </si>
  <si>
    <t xml:space="preserve">Scheme Risk-O-Meter </t>
  </si>
  <si>
    <t>Yield to Call ^</t>
  </si>
  <si>
    <t>Money Market Instruments</t>
  </si>
  <si>
    <t>Certificate of Deposit</t>
  </si>
  <si>
    <t>CARE A1+</t>
  </si>
  <si>
    <t>ICRA A1+</t>
  </si>
  <si>
    <t>Bank of Baroda (05-Mar-2027) **</t>
  </si>
  <si>
    <t>INE028A16LR2</t>
  </si>
  <si>
    <t>CRISIL A1+</t>
  </si>
  <si>
    <t>Punjab National Bank (09-Mar-2027)</t>
  </si>
  <si>
    <t>INE160A16UQ6</t>
  </si>
  <si>
    <t>Canara Bank (11-Mar-2027) **</t>
  </si>
  <si>
    <t>INE476A16H84</t>
  </si>
  <si>
    <t>HDFC Bank Ltd (12-Mar-2027) **</t>
  </si>
  <si>
    <t>INE040A16IZ6</t>
  </si>
  <si>
    <t>National Bank For Agriculture &amp; Rural Development (10-Mar-2027) **</t>
  </si>
  <si>
    <t>INE261F16AO8</t>
  </si>
  <si>
    <t>Commercial Paper</t>
  </si>
  <si>
    <t>Government Securities</t>
  </si>
  <si>
    <t>SOVEREIGN</t>
  </si>
  <si>
    <t>Rating</t>
  </si>
  <si>
    <t>** Non Traded Security</t>
  </si>
  <si>
    <t>^ It is disclosed for Perpetual Bond issued by Banks (i.e. AT-1 Bond / Tier 1 Bond / Tier 2 Bond), as per AMFI Best Practices Guidelines Circular no. 91/2020-21 dated March 24, 2021 on Valuation of AT-1 Bonds and Tier 2 Bonds. 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</si>
  <si>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Treasury Bill</t>
  </si>
  <si>
    <t xml:space="preserve"> SOVEREIGN</t>
  </si>
  <si>
    <t>Axis Bank Ltd (10-Aug-2026) **</t>
  </si>
  <si>
    <t>INE238AD6BC1</t>
  </si>
  <si>
    <t>Debt Instruments</t>
  </si>
  <si>
    <t>7.89% Tata Capital Ltd (26-Jul-2027)</t>
  </si>
  <si>
    <t>INE306N07MX0</t>
  </si>
  <si>
    <t>CRISIL AAA</t>
  </si>
  <si>
    <t>7.123% Tata Capital Housing Finance Ltd (21-Jul-2027) **</t>
  </si>
  <si>
    <t>INE033L07IO1</t>
  </si>
  <si>
    <t>9% Power Finance Corporation Ltd (11-Mar-2028) **</t>
  </si>
  <si>
    <t>INE134E08FL2</t>
  </si>
  <si>
    <t>8.12% Kotak Mahindra Prime Ltd (21-Jun-2027) **</t>
  </si>
  <si>
    <t>INE916DA7SU4</t>
  </si>
  <si>
    <t>7.3763% Bajaj Finance Ltd (26-Jun-2028)</t>
  </si>
  <si>
    <t>INE296A07TJ4</t>
  </si>
  <si>
    <t>(b) Privately Placed / Unlisted</t>
  </si>
  <si>
    <t>Nil</t>
  </si>
  <si>
    <t>Canara Bank (04-Mar-2027)</t>
  </si>
  <si>
    <t>INE476A16H43</t>
  </si>
  <si>
    <t>Union Bank of India (12-Mar-2027)</t>
  </si>
  <si>
    <t>INE692A16LU9</t>
  </si>
  <si>
    <t>Axis Bank Ltd (17-Dec-2026)</t>
  </si>
  <si>
    <t>INE238AD6CB1</t>
  </si>
  <si>
    <t>Small Industries Development Bank of India (29-Jan-2027) **</t>
  </si>
  <si>
    <t>INE556F16BX0</t>
  </si>
  <si>
    <t>HDFC Bank Ltd (24-Feb-2027)</t>
  </si>
  <si>
    <t>INE040A16IO0</t>
  </si>
  <si>
    <t>Sundaram Finance Ltd (12-Mar-2027) **</t>
  </si>
  <si>
    <t>INE660A14YW0</t>
  </si>
  <si>
    <t>182 DTB (17-JUL-2026)</t>
  </si>
  <si>
    <t>IN002025Y412</t>
  </si>
  <si>
    <t>364 DTB (02-JUL-2026)</t>
  </si>
  <si>
    <t>IN002025Z146</t>
  </si>
  <si>
    <t>364 DTB (23-JUL-2026)</t>
  </si>
  <si>
    <t>IN002025Z179</t>
  </si>
  <si>
    <t>8.72% TAMIL NADU SDL 19-SEP-26</t>
  </si>
  <si>
    <t>IN3120180127</t>
  </si>
  <si>
    <t>7.62% TELANGANA SDL 09-AUG-26</t>
  </si>
  <si>
    <t>IN4520160081</t>
  </si>
  <si>
    <t>Benchmark Risk-O-Meter</t>
  </si>
  <si>
    <t>Benchmark Name - NIFTY Low Duration Debt Index A-I</t>
  </si>
  <si>
    <t>-</t>
  </si>
  <si>
    <t>(1) There is no security which is in default beyond its maturity/ interest payment date.</t>
  </si>
  <si>
    <t>(2) Plan/ Option wise per unit net asset value are as follows:</t>
  </si>
  <si>
    <t>Plan/ Option</t>
  </si>
  <si>
    <t>As on April 30, 2026</t>
  </si>
  <si>
    <t>Direct Plan - Growth Option</t>
  </si>
  <si>
    <t>As on May 29, 2026</t>
  </si>
  <si>
    <t>(4) Total outstanding exposure in derivative instruments as on May 31, 2026 is Rs. Nil.</t>
  </si>
  <si>
    <t>(5) Total market value of investments in foreign securities/ American Depository Receipts/ Global Depository Receipts as at May 31, 2026 is Rs. Nil.</t>
  </si>
  <si>
    <t>(7) Repo transactions in corporate debt securities as on May 31, 2026 is Rs. Nil.</t>
  </si>
  <si>
    <t>(6) The average maturity period of the portfolio is 0.80 years.</t>
  </si>
  <si>
    <t>(3) There was no distribution (of income and capital) during the month ended May 31,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</si>
</sst>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73">
    <xf numFmtId="0" fontId="0" fillId="0" borderId="0" xfId="0"/>
    <xf numFmtId="0" fontId="4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0" xfId="0" applyNumberFormat="1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0" fontId="4" fillId="2" borderId="0" xfId="0" applyNumberFormat="1" applyFont="1" applyFill="1"/>
    <xf numFmtId="4" fontId="4" fillId="2" borderId="0" xfId="0" applyNumberFormat="1" applyFont="1" applyFill="1"/>
    <xf numFmtId="0" fontId="6" fillId="2" borderId="0" xfId="0" applyFont="1" applyFill="1"/>
    <xf numFmtId="0" fontId="6" fillId="2" borderId="0" xfId="0" applyNumberFormat="1" applyFont="1" applyFill="1"/>
    <xf numFmtId="0" fontId="3" fillId="2" borderId="0" xfId="0" applyFont="1" applyFill="1" applyAlignment="1">
      <alignment horizontal="left" vertical="top"/>
    </xf>
    <xf numFmtId="39" fontId="6" fillId="2" borderId="0" xfId="0" applyNumberFormat="1" applyFont="1" applyFill="1"/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wrapText="1"/>
    </xf>
    <xf numFmtId="10" fontId="6" fillId="2" borderId="0" xfId="0" applyNumberFormat="1" applyFont="1" applyFill="1"/>
    <xf numFmtId="10" fontId="4" fillId="2" borderId="0" xfId="0" applyNumberFormat="1" applyFont="1" applyFill="1"/>
    <xf numFmtId="39" fontId="6" fillId="3" borderId="0" xfId="0" applyNumberFormat="1" applyFont="1" applyFill="1" applyBorder="1"/>
    <xf numFmtId="0" fontId="5" fillId="2" borderId="0" xfId="0" applyFont="1" applyFill="1"/>
    <xf numFmtId="0" fontId="5" fillId="2" borderId="0" xfId="0" applyNumberFormat="1" applyFont="1" applyFill="1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 wrapText="1"/>
    </xf>
    <xf numFmtId="39" fontId="5" fillId="0" borderId="1" xfId="0" applyNumberFormat="1" applyFont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0" fontId="5" fillId="2" borderId="2" xfId="0" applyFont="1" applyFill="1" applyBorder="1"/>
    <xf numFmtId="0" fontId="6" fillId="2" borderId="2" xfId="0" applyFont="1" applyFill="1" applyBorder="1"/>
    <xf numFmtId="0" fontId="6" fillId="2" borderId="2" xfId="0" applyNumberFormat="1" applyFont="1" applyFill="1" applyBorder="1"/>
    <xf numFmtId="39" fontId="6" fillId="2" borderId="2" xfId="0" applyNumberFormat="1" applyFont="1" applyFill="1" applyBorder="1"/>
    <xf numFmtId="39" fontId="6" fillId="3" borderId="2" xfId="0" applyNumberFormat="1" applyFont="1" applyFill="1" applyBorder="1"/>
    <xf numFmtId="10" fontId="6" fillId="2" borderId="2" xfId="0" applyNumberFormat="1" applyFont="1" applyFill="1" applyBorder="1"/>
    <xf numFmtId="3" fontId="6" fillId="2" borderId="2" xfId="0" applyNumberFormat="1" applyFont="1" applyFill="1" applyBorder="1"/>
    <xf numFmtId="164" fontId="6" fillId="2" borderId="2" xfId="0" applyNumberFormat="1" applyFont="1" applyFill="1" applyBorder="1"/>
    <xf numFmtId="0" fontId="5" fillId="2" borderId="2" xfId="0" applyNumberFormat="1" applyFont="1" applyFill="1" applyBorder="1"/>
    <xf numFmtId="39" fontId="5" fillId="2" borderId="3" xfId="0" applyNumberFormat="1" applyFont="1" applyFill="1" applyBorder="1"/>
    <xf numFmtId="39" fontId="5" fillId="3" borderId="3" xfId="0" applyNumberFormat="1" applyFont="1" applyFill="1" applyBorder="1"/>
    <xf numFmtId="10" fontId="5" fillId="2" borderId="2" xfId="0" applyNumberFormat="1" applyFont="1" applyFill="1" applyBorder="1"/>
    <xf numFmtId="39" fontId="5" fillId="2" borderId="4" xfId="0" applyNumberFormat="1" applyFont="1" applyFill="1" applyBorder="1" applyAlignment="1">
      <alignment horizontal="right"/>
    </xf>
    <xf numFmtId="39" fontId="5" fillId="3" borderId="4" xfId="0" applyNumberFormat="1" applyFont="1" applyFill="1" applyBorder="1" applyAlignment="1">
      <alignment horizontal="right"/>
    </xf>
    <xf numFmtId="0" fontId="5" fillId="2" borderId="5" xfId="0" applyFont="1" applyFill="1" applyBorder="1"/>
    <xf numFmtId="0" fontId="5" fillId="2" borderId="5" xfId="0" applyNumberFormat="1" applyFont="1" applyFill="1" applyBorder="1"/>
    <xf numFmtId="39" fontId="5" fillId="2" borderId="5" xfId="0" applyNumberFormat="1" applyFont="1" applyFill="1" applyBorder="1"/>
    <xf numFmtId="39" fontId="5" fillId="3" borderId="5" xfId="0" applyNumberFormat="1" applyFont="1" applyFill="1" applyBorder="1"/>
    <xf numFmtId="0" fontId="5" fillId="2" borderId="6" xfId="0" applyFont="1" applyFill="1" applyBorder="1"/>
    <xf numFmtId="0" fontId="5" fillId="2" borderId="6" xfId="0" applyNumberFormat="1" applyFont="1" applyFill="1" applyBorder="1"/>
    <xf numFmtId="39" fontId="5" fillId="2" borderId="6" xfId="0" applyNumberFormat="1" applyFont="1" applyFill="1" applyBorder="1"/>
    <xf numFmtId="39" fontId="5" fillId="3" borderId="6" xfId="0" applyNumberFormat="1" applyFont="1" applyFill="1" applyBorder="1"/>
    <xf numFmtId="10" fontId="5" fillId="2" borderId="7" xfId="0" applyNumberFormat="1" applyFont="1" applyFill="1" applyBorder="1"/>
    <xf numFmtId="0" fontId="5" fillId="2" borderId="7" xfId="0" applyFont="1" applyFill="1" applyBorder="1"/>
    <xf numFmtId="0" fontId="5" fillId="2" borderId="3" xfId="0" applyFont="1" applyFill="1" applyBorder="1"/>
    <xf numFmtId="0" fontId="5" fillId="2" borderId="3" xfId="0" applyNumberFormat="1" applyFont="1" applyFill="1" applyBorder="1"/>
    <xf numFmtId="0" fontId="5" fillId="2" borderId="0" xfId="0" applyFont="1" applyFill="1" applyAlignment="1">
      <alignment horizontal="right"/>
    </xf>
    <xf numFmtId="4" fontId="6" fillId="2" borderId="2" xfId="0" applyNumberFormat="1" applyFont="1" applyFill="1" applyBorder="1"/>
    <xf numFmtId="39" fontId="5" fillId="2" borderId="4" xfId="0" applyNumberFormat="1" applyFont="1" applyFill="1" applyBorder="1"/>
    <xf numFmtId="39" fontId="5" fillId="3" borderId="4" xfId="0" applyNumberFormat="1" applyFont="1" applyFill="1" applyBorder="1"/>
    <xf numFmtId="0" fontId="6" fillId="2" borderId="5" xfId="0" applyFont="1" applyFill="1" applyBorder="1"/>
    <xf numFmtId="0" fontId="6" fillId="2" borderId="5" xfId="0" applyNumberFormat="1" applyFont="1" applyFill="1" applyBorder="1"/>
    <xf numFmtId="39" fontId="6" fillId="2" borderId="5" xfId="0" applyNumberFormat="1" applyFont="1" applyFill="1" applyBorder="1"/>
    <xf numFmtId="39" fontId="6" fillId="3" borderId="5" xfId="0" applyNumberFormat="1" applyFont="1" applyFill="1" applyBorder="1"/>
    <xf numFmtId="39" fontId="5" fillId="2" borderId="5" xfId="0" applyNumberFormat="1" applyFont="1" applyFill="1" applyBorder="1" applyAlignment="1">
      <alignment horizontal="right"/>
    </xf>
    <xf numFmtId="39" fontId="5" fillId="3" borderId="5" xfId="0" applyNumberFormat="1" applyFont="1" applyFill="1" applyBorder="1" applyAlignment="1">
      <alignment horizontal="right"/>
    </xf>
    <xf numFmtId="0" fontId="9" fillId="2" borderId="0" xfId="1" applyFill="1"/>
    <xf numFmtId="39" fontId="6" fillId="3" borderId="0" xfId="0" applyNumberFormat="1" applyFont="1" applyFill="1"/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6" fillId="2" borderId="6" xfId="0" applyFont="1" applyFill="1" applyBorder="1" applyAlignment="1">
      <alignment vertical="center"/>
    </xf>
    <xf numFmtId="0" fontId="10" fillId="2" borderId="0" xfId="0" applyFont="1" applyFill="1" applyAlignment="1">
      <alignment vertical="center"/>
    </xf>
    <xf numFmtId="0" fontId="5" fillId="2" borderId="6" xfId="0" applyFont="1" applyFill="1" applyBorder="1" applyAlignment="1">
      <alignment vertical="center"/>
    </xf>
    <xf numFmtId="0" fontId="6" fillId="2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/>
    <xf numFmtId="0" fontId="5" fillId="2" borderId="0" xfId="0" applyFont="1" applyFill="1" applyAlignment="1">
      <alignment vertical="center" wrapText="1"/>
    </xf>
  </cellXfs>
  <cellStyles count="2">
    <cellStyle name="Hyperlink" xfId="1" builtinId="8"/>
    <cellStyle name="Normal" xfId="0" builtinId="0"/>
  </cellStyles>
  <dxfs count="1">
    <dxf>
      <numFmt numFmtId="172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920750</xdr:colOff>
      <xdr:row>71</xdr:row>
      <xdr:rowOff>74084</xdr:rowOff>
    </xdr:from>
    <xdr:to>
      <xdr:col>4</xdr:col>
      <xdr:colOff>219075</xdr:colOff>
      <xdr:row>89</xdr:row>
      <xdr:rowOff>11643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7F602F4E-2DE4-43D2-9069-D5AFED4878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7184"/>
          <a:ext cx="5038725" cy="22235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1123950</xdr:colOff>
      <xdr:row>97</xdr:row>
      <xdr:rowOff>69850</xdr:rowOff>
    </xdr:from>
    <xdr:to>
      <xdr:col>4</xdr:col>
      <xdr:colOff>546100</xdr:colOff>
      <xdr:row>114</xdr:row>
      <xdr:rowOff>25400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576D00-F6FE-4110-B0DA-3E48AB3B4D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5600" y="12947650"/>
          <a:ext cx="5162550" cy="2114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982B6-6851-4280-BEA0-F25731C8D6D5}">
  <dimension ref="A1:J116"/>
  <sheetViews>
    <sheetView tabSelected="1" view="pageBreakPreview" zoomScaleNormal="100" zoomScaleSheetLayoutView="100" workbookViewId="0"/>
  </sheetViews>
  <sheetFormatPr defaultColWidth="9.08984375" defaultRowHeight="10" x14ac:dyDescent="0.2"/>
  <cols>
    <col min="1" max="1" width="7.1796875" style="8" customWidth="1"/>
    <col min="2" max="2" width="52.7265625" style="8" bestFit="1" customWidth="1"/>
    <col min="3" max="3" width="15.54296875" style="8" bestFit="1" customWidth="1"/>
    <col min="4" max="4" width="13.90625" style="8" bestFit="1" customWidth="1"/>
    <col min="5" max="5" width="13.90625" style="9" bestFit="1" customWidth="1"/>
    <col min="6" max="6" width="12.7265625" style="11" bestFit="1" customWidth="1"/>
    <col min="7" max="7" width="6.7265625" style="16" bestFit="1" customWidth="1"/>
    <col min="8" max="8" width="11.81640625" style="14" bestFit="1" customWidth="1"/>
    <col min="9" max="9" width="10.08984375" style="8" bestFit="1" customWidth="1"/>
    <col min="10" max="16384" width="9.08984375" style="8"/>
  </cols>
  <sheetData>
    <row r="1" spans="1:10" s="1" customFormat="1" ht="16.75" customHeight="1" x14ac:dyDescent="0.35">
      <c r="B1" s="70" t="s">
        <v>7</v>
      </c>
      <c r="C1" s="71"/>
      <c r="D1" s="13"/>
      <c r="E1" s="6"/>
      <c r="F1" s="7"/>
      <c r="G1" s="16"/>
      <c r="H1" s="15"/>
    </row>
    <row r="2" spans="1:10" s="1" customFormat="1" ht="14.5" x14ac:dyDescent="0.35">
      <c r="A2" s="61" t="s">
        <v>80</v>
      </c>
      <c r="E2" s="6"/>
      <c r="F2" s="7"/>
      <c r="G2" s="16"/>
      <c r="H2" s="15"/>
    </row>
    <row r="3" spans="1:10" s="1" customFormat="1" ht="11.5" x14ac:dyDescent="0.25">
      <c r="B3" s="10" t="s">
        <v>6</v>
      </c>
      <c r="C3" s="2"/>
      <c r="D3" s="3"/>
      <c r="E3" s="4"/>
      <c r="F3" s="5"/>
      <c r="G3" s="16"/>
      <c r="H3" s="15"/>
    </row>
    <row r="4" spans="1:10" s="1" customFormat="1" ht="25.5" customHeight="1" x14ac:dyDescent="0.25">
      <c r="B4" s="19" t="s">
        <v>4</v>
      </c>
      <c r="C4" s="19" t="s">
        <v>5</v>
      </c>
      <c r="D4" s="20" t="s">
        <v>35</v>
      </c>
      <c r="E4" s="21" t="s">
        <v>0</v>
      </c>
      <c r="F4" s="22" t="s">
        <v>1</v>
      </c>
      <c r="G4" s="23" t="s">
        <v>2</v>
      </c>
      <c r="H4" s="24" t="s">
        <v>3</v>
      </c>
      <c r="I4" s="22" t="s">
        <v>16</v>
      </c>
      <c r="J4" s="12"/>
    </row>
    <row r="5" spans="1:10" ht="10.5" x14ac:dyDescent="0.25">
      <c r="B5" s="25" t="s">
        <v>42</v>
      </c>
      <c r="C5" s="26"/>
      <c r="D5" s="26"/>
      <c r="E5" s="27"/>
      <c r="F5" s="28"/>
      <c r="G5" s="29"/>
      <c r="H5" s="30"/>
      <c r="I5" s="26"/>
    </row>
    <row r="6" spans="1:10" ht="10.5" x14ac:dyDescent="0.25">
      <c r="B6" s="25" t="s">
        <v>8</v>
      </c>
      <c r="C6" s="26"/>
      <c r="D6" s="26"/>
      <c r="E6" s="27"/>
      <c r="F6" s="28"/>
      <c r="G6" s="29"/>
      <c r="H6" s="30"/>
      <c r="I6" s="26"/>
    </row>
    <row r="7" spans="1:10" x14ac:dyDescent="0.2">
      <c r="B7" s="26" t="s">
        <v>43</v>
      </c>
      <c r="C7" s="26" t="s">
        <v>44</v>
      </c>
      <c r="D7" s="26" t="s">
        <v>45</v>
      </c>
      <c r="E7" s="31">
        <v>500</v>
      </c>
      <c r="F7" s="28">
        <v>4985.41</v>
      </c>
      <c r="G7" s="29">
        <v>7.26840528553294</v>
      </c>
      <c r="H7" s="32">
        <v>8.1281999999999993E-2</v>
      </c>
      <c r="I7" s="52"/>
    </row>
    <row r="8" spans="1:10" x14ac:dyDescent="0.2">
      <c r="B8" s="26" t="s">
        <v>46</v>
      </c>
      <c r="C8" s="26" t="s">
        <v>47</v>
      </c>
      <c r="D8" s="26" t="s">
        <v>45</v>
      </c>
      <c r="E8" s="31">
        <v>5000</v>
      </c>
      <c r="F8" s="28">
        <v>4951.66</v>
      </c>
      <c r="G8" s="29">
        <v>7.2191999687411998</v>
      </c>
      <c r="H8" s="32">
        <v>8.0149999999999999E-2</v>
      </c>
      <c r="I8" s="52"/>
    </row>
    <row r="9" spans="1:10" x14ac:dyDescent="0.2">
      <c r="B9" s="26" t="s">
        <v>48</v>
      </c>
      <c r="C9" s="26" t="s">
        <v>49</v>
      </c>
      <c r="D9" s="26" t="s">
        <v>45</v>
      </c>
      <c r="E9" s="31">
        <v>250</v>
      </c>
      <c r="F9" s="28">
        <v>2548.5925000000002</v>
      </c>
      <c r="G9" s="29">
        <v>3.7156830025353198</v>
      </c>
      <c r="H9" s="32">
        <v>7.7499999999999999E-2</v>
      </c>
      <c r="I9" s="52"/>
    </row>
    <row r="10" spans="1:10" x14ac:dyDescent="0.2">
      <c r="B10" s="26" t="s">
        <v>50</v>
      </c>
      <c r="C10" s="26" t="s">
        <v>51</v>
      </c>
      <c r="D10" s="26" t="s">
        <v>45</v>
      </c>
      <c r="E10" s="31">
        <v>2500</v>
      </c>
      <c r="F10" s="28">
        <v>2500.9274999999998</v>
      </c>
      <c r="G10" s="29">
        <v>3.6461905158722501</v>
      </c>
      <c r="H10" s="32">
        <v>8.0649999999999999E-2</v>
      </c>
      <c r="I10" s="52"/>
    </row>
    <row r="11" spans="1:10" x14ac:dyDescent="0.2">
      <c r="B11" s="26" t="s">
        <v>52</v>
      </c>
      <c r="C11" s="26" t="s">
        <v>53</v>
      </c>
      <c r="D11" s="26" t="s">
        <v>45</v>
      </c>
      <c r="E11" s="31">
        <v>2500</v>
      </c>
      <c r="F11" s="28">
        <v>2466.1125000000002</v>
      </c>
      <c r="G11" s="29">
        <v>3.59543249797286</v>
      </c>
      <c r="H11" s="32">
        <v>8.1000000000000003E-2</v>
      </c>
      <c r="I11" s="52"/>
    </row>
    <row r="12" spans="1:10" ht="10.5" x14ac:dyDescent="0.25">
      <c r="B12" s="25" t="s">
        <v>9</v>
      </c>
      <c r="C12" s="25"/>
      <c r="D12" s="25"/>
      <c r="E12" s="33"/>
      <c r="F12" s="53">
        <f>SUM(F6:F11)</f>
        <v>17452.702499999999</v>
      </c>
      <c r="G12" s="54">
        <f>SUM(G6:G11)</f>
        <v>25.444911270654565</v>
      </c>
      <c r="H12" s="36"/>
      <c r="I12" s="25"/>
    </row>
    <row r="13" spans="1:10" ht="10.5" x14ac:dyDescent="0.25">
      <c r="B13" s="39" t="s">
        <v>54</v>
      </c>
      <c r="C13" s="55"/>
      <c r="D13" s="55"/>
      <c r="E13" s="56"/>
      <c r="F13" s="57"/>
      <c r="G13" s="58"/>
      <c r="H13" s="30"/>
      <c r="I13" s="26"/>
    </row>
    <row r="14" spans="1:10" ht="10.5" x14ac:dyDescent="0.25">
      <c r="B14" s="25" t="s">
        <v>9</v>
      </c>
      <c r="C14" s="25"/>
      <c r="D14" s="25"/>
      <c r="E14" s="33"/>
      <c r="F14" s="37" t="s">
        <v>55</v>
      </c>
      <c r="G14" s="38" t="s">
        <v>55</v>
      </c>
      <c r="H14" s="36"/>
      <c r="I14" s="25"/>
    </row>
    <row r="15" spans="1:10" ht="10.5" x14ac:dyDescent="0.25">
      <c r="B15" s="39" t="s">
        <v>10</v>
      </c>
      <c r="C15" s="39"/>
      <c r="D15" s="39"/>
      <c r="E15" s="40"/>
      <c r="F15" s="59">
        <f>F12</f>
        <v>17452.702499999999</v>
      </c>
      <c r="G15" s="60">
        <f>G12</f>
        <v>25.444911270654565</v>
      </c>
      <c r="H15" s="36"/>
      <c r="I15" s="25"/>
    </row>
    <row r="16" spans="1:10" ht="10.5" x14ac:dyDescent="0.25">
      <c r="B16" s="25" t="s">
        <v>17</v>
      </c>
      <c r="C16" s="26"/>
      <c r="D16" s="26"/>
      <c r="E16" s="27"/>
      <c r="F16" s="28"/>
      <c r="G16" s="29"/>
      <c r="H16" s="30"/>
      <c r="I16" s="26"/>
    </row>
    <row r="17" spans="2:9" ht="10.5" x14ac:dyDescent="0.25">
      <c r="B17" s="25" t="s">
        <v>18</v>
      </c>
      <c r="C17" s="26"/>
      <c r="D17" s="26"/>
      <c r="E17" s="27"/>
      <c r="F17" s="28"/>
      <c r="G17" s="29"/>
      <c r="H17" s="30"/>
      <c r="I17" s="26"/>
    </row>
    <row r="18" spans="2:9" x14ac:dyDescent="0.2">
      <c r="B18" s="26" t="s">
        <v>30</v>
      </c>
      <c r="C18" s="26" t="s">
        <v>31</v>
      </c>
      <c r="D18" s="26" t="s">
        <v>23</v>
      </c>
      <c r="E18" s="31">
        <v>1500</v>
      </c>
      <c r="F18" s="28">
        <v>7071.1424999999999</v>
      </c>
      <c r="G18" s="29">
        <v>10.3092683493949</v>
      </c>
      <c r="H18" s="32">
        <v>7.85E-2</v>
      </c>
      <c r="I18" s="52"/>
    </row>
    <row r="19" spans="2:9" x14ac:dyDescent="0.2">
      <c r="B19" s="26" t="s">
        <v>56</v>
      </c>
      <c r="C19" s="26" t="s">
        <v>57</v>
      </c>
      <c r="D19" s="26" t="s">
        <v>23</v>
      </c>
      <c r="E19" s="31">
        <v>1000</v>
      </c>
      <c r="F19" s="28">
        <v>4722.1000000000004</v>
      </c>
      <c r="G19" s="29">
        <v>6.8845163384385799</v>
      </c>
      <c r="H19" s="32">
        <v>7.7828999999999995E-2</v>
      </c>
      <c r="I19" s="52"/>
    </row>
    <row r="20" spans="2:9" x14ac:dyDescent="0.2">
      <c r="B20" s="26" t="s">
        <v>58</v>
      </c>
      <c r="C20" s="26" t="s">
        <v>59</v>
      </c>
      <c r="D20" s="26" t="s">
        <v>20</v>
      </c>
      <c r="E20" s="31">
        <v>1000</v>
      </c>
      <c r="F20" s="28">
        <v>4714.95</v>
      </c>
      <c r="G20" s="29">
        <v>6.8740921009552904</v>
      </c>
      <c r="H20" s="32">
        <v>7.7700000000000005E-2</v>
      </c>
      <c r="I20" s="52"/>
    </row>
    <row r="21" spans="2:9" x14ac:dyDescent="0.2">
      <c r="B21" s="26" t="s">
        <v>28</v>
      </c>
      <c r="C21" s="26" t="s">
        <v>29</v>
      </c>
      <c r="D21" s="26" t="s">
        <v>23</v>
      </c>
      <c r="E21" s="31">
        <v>1000</v>
      </c>
      <c r="F21" s="28">
        <v>4711.32</v>
      </c>
      <c r="G21" s="29">
        <v>6.8687997957714702</v>
      </c>
      <c r="H21" s="32">
        <v>7.8750000000000001E-2</v>
      </c>
      <c r="I21" s="52"/>
    </row>
    <row r="22" spans="2:9" x14ac:dyDescent="0.2">
      <c r="B22" s="26" t="s">
        <v>40</v>
      </c>
      <c r="C22" s="26" t="s">
        <v>41</v>
      </c>
      <c r="D22" s="26" t="s">
        <v>23</v>
      </c>
      <c r="E22" s="31">
        <v>500</v>
      </c>
      <c r="F22" s="28">
        <v>2465.6475</v>
      </c>
      <c r="G22" s="29">
        <v>3.5947545580526099</v>
      </c>
      <c r="H22" s="32">
        <v>7.2650000000000006E-2</v>
      </c>
      <c r="I22" s="52"/>
    </row>
    <row r="23" spans="2:9" x14ac:dyDescent="0.2">
      <c r="B23" s="26" t="s">
        <v>60</v>
      </c>
      <c r="C23" s="26" t="s">
        <v>61</v>
      </c>
      <c r="D23" s="26" t="s">
        <v>23</v>
      </c>
      <c r="E23" s="31">
        <v>500</v>
      </c>
      <c r="F23" s="28">
        <v>2398.65</v>
      </c>
      <c r="G23" s="29">
        <v>3.4970765369635801</v>
      </c>
      <c r="H23" s="32">
        <v>7.7498999999999998E-2</v>
      </c>
      <c r="I23" s="52"/>
    </row>
    <row r="24" spans="2:9" x14ac:dyDescent="0.2">
      <c r="B24" s="26" t="s">
        <v>62</v>
      </c>
      <c r="C24" s="26" t="s">
        <v>63</v>
      </c>
      <c r="D24" s="26" t="s">
        <v>23</v>
      </c>
      <c r="E24" s="31">
        <v>500</v>
      </c>
      <c r="F24" s="28">
        <v>2374.8249999999998</v>
      </c>
      <c r="G24" s="29">
        <v>3.4623412281468902</v>
      </c>
      <c r="H24" s="32">
        <v>7.9499E-2</v>
      </c>
      <c r="I24" s="52"/>
    </row>
    <row r="25" spans="2:9" x14ac:dyDescent="0.2">
      <c r="B25" s="26" t="s">
        <v>64</v>
      </c>
      <c r="C25" s="26" t="s">
        <v>65</v>
      </c>
      <c r="D25" s="26" t="s">
        <v>19</v>
      </c>
      <c r="E25" s="31">
        <v>500</v>
      </c>
      <c r="F25" s="28">
        <v>2362.7725</v>
      </c>
      <c r="G25" s="29">
        <v>3.44476946279481</v>
      </c>
      <c r="H25" s="32">
        <v>7.9100000000000004E-2</v>
      </c>
      <c r="I25" s="52"/>
    </row>
    <row r="26" spans="2:9" x14ac:dyDescent="0.2">
      <c r="B26" s="26" t="s">
        <v>21</v>
      </c>
      <c r="C26" s="26" t="s">
        <v>22</v>
      </c>
      <c r="D26" s="26" t="s">
        <v>23</v>
      </c>
      <c r="E26" s="31">
        <v>500</v>
      </c>
      <c r="F26" s="28">
        <v>2360.4549999999999</v>
      </c>
      <c r="G26" s="29">
        <v>3.4413906977084499</v>
      </c>
      <c r="H26" s="32">
        <v>7.7899999999999997E-2</v>
      </c>
      <c r="I26" s="52"/>
    </row>
    <row r="27" spans="2:9" x14ac:dyDescent="0.2">
      <c r="B27" s="26" t="s">
        <v>24</v>
      </c>
      <c r="C27" s="26" t="s">
        <v>25</v>
      </c>
      <c r="D27" s="26" t="s">
        <v>23</v>
      </c>
      <c r="E27" s="31">
        <v>500</v>
      </c>
      <c r="F27" s="28">
        <v>2358.5524999999998</v>
      </c>
      <c r="G27" s="29">
        <v>3.4386169757767</v>
      </c>
      <c r="H27" s="32">
        <v>7.7899999999999997E-2</v>
      </c>
      <c r="I27" s="52"/>
    </row>
    <row r="28" spans="2:9" x14ac:dyDescent="0.2">
      <c r="B28" s="26" t="s">
        <v>26</v>
      </c>
      <c r="C28" s="26" t="s">
        <v>27</v>
      </c>
      <c r="D28" s="26" t="s">
        <v>20</v>
      </c>
      <c r="E28" s="31">
        <v>500</v>
      </c>
      <c r="F28" s="28">
        <v>2357.4924999999998</v>
      </c>
      <c r="G28" s="29">
        <v>3.4370715643456098</v>
      </c>
      <c r="H28" s="32">
        <v>7.7965000000000007E-2</v>
      </c>
      <c r="I28" s="52"/>
    </row>
    <row r="29" spans="2:9" ht="10.5" x14ac:dyDescent="0.25">
      <c r="B29" s="25" t="s">
        <v>9</v>
      </c>
      <c r="C29" s="25"/>
      <c r="D29" s="25"/>
      <c r="E29" s="33"/>
      <c r="F29" s="34">
        <f>SUM(F17:F28)</f>
        <v>37897.907500000001</v>
      </c>
      <c r="G29" s="35">
        <f>SUM(G17:G28)</f>
        <v>55.252697608348889</v>
      </c>
      <c r="H29" s="36"/>
      <c r="I29" s="25"/>
    </row>
    <row r="30" spans="2:9" ht="10.5" x14ac:dyDescent="0.25">
      <c r="B30" s="25" t="s">
        <v>32</v>
      </c>
      <c r="C30" s="26"/>
      <c r="D30" s="26"/>
      <c r="E30" s="27"/>
      <c r="F30" s="28"/>
      <c r="G30" s="29"/>
      <c r="H30" s="30"/>
      <c r="I30" s="26"/>
    </row>
    <row r="31" spans="2:9" x14ac:dyDescent="0.2">
      <c r="B31" s="26" t="s">
        <v>66</v>
      </c>
      <c r="C31" s="26" t="s">
        <v>67</v>
      </c>
      <c r="D31" s="26" t="s">
        <v>23</v>
      </c>
      <c r="E31" s="31">
        <v>500</v>
      </c>
      <c r="F31" s="28">
        <v>2350.6624999999999</v>
      </c>
      <c r="G31" s="29">
        <v>3.42711386616228</v>
      </c>
      <c r="H31" s="32">
        <v>8.165E-2</v>
      </c>
      <c r="I31" s="52"/>
    </row>
    <row r="32" spans="2:9" ht="10.5" x14ac:dyDescent="0.25">
      <c r="B32" s="25" t="s">
        <v>9</v>
      </c>
      <c r="C32" s="25"/>
      <c r="D32" s="25"/>
      <c r="E32" s="33"/>
      <c r="F32" s="34">
        <f>SUM(F30:F31)</f>
        <v>2350.6624999999999</v>
      </c>
      <c r="G32" s="35">
        <f>SUM(G30:G31)</f>
        <v>3.42711386616228</v>
      </c>
      <c r="H32" s="36"/>
      <c r="I32" s="25"/>
    </row>
    <row r="33" spans="2:9" ht="10.5" x14ac:dyDescent="0.25">
      <c r="B33" s="25" t="s">
        <v>38</v>
      </c>
      <c r="C33" s="26"/>
      <c r="D33" s="26"/>
      <c r="E33" s="27"/>
      <c r="F33" s="28"/>
      <c r="G33" s="29"/>
      <c r="H33" s="30"/>
      <c r="I33" s="26"/>
    </row>
    <row r="34" spans="2:9" x14ac:dyDescent="0.2">
      <c r="B34" s="26" t="s">
        <v>68</v>
      </c>
      <c r="C34" s="26" t="s">
        <v>69</v>
      </c>
      <c r="D34" s="26" t="s">
        <v>39</v>
      </c>
      <c r="E34" s="31">
        <v>3000000</v>
      </c>
      <c r="F34" s="28">
        <v>2979.4229999999998</v>
      </c>
      <c r="G34" s="29">
        <v>4.3438060021218696</v>
      </c>
      <c r="H34" s="32">
        <v>5.4801000000000002E-2</v>
      </c>
      <c r="I34" s="52"/>
    </row>
    <row r="35" spans="2:9" x14ac:dyDescent="0.2">
      <c r="B35" s="26" t="s">
        <v>70</v>
      </c>
      <c r="C35" s="26" t="s">
        <v>71</v>
      </c>
      <c r="D35" s="26" t="s">
        <v>39</v>
      </c>
      <c r="E35" s="31">
        <v>2000000</v>
      </c>
      <c r="F35" s="28">
        <v>1990.8119999999999</v>
      </c>
      <c r="G35" s="29">
        <v>2.9024751150461898</v>
      </c>
      <c r="H35" s="32">
        <v>5.4345999999999998E-2</v>
      </c>
      <c r="I35" s="52"/>
    </row>
    <row r="36" spans="2:9" x14ac:dyDescent="0.2">
      <c r="B36" s="26" t="s">
        <v>72</v>
      </c>
      <c r="C36" s="26" t="s">
        <v>73</v>
      </c>
      <c r="D36" s="26" t="s">
        <v>39</v>
      </c>
      <c r="E36" s="31">
        <v>1500000</v>
      </c>
      <c r="F36" s="28">
        <v>1488.3585</v>
      </c>
      <c r="G36" s="29">
        <v>2.1699304145833298</v>
      </c>
      <c r="H36" s="32">
        <v>5.4901999999999999E-2</v>
      </c>
      <c r="I36" s="52"/>
    </row>
    <row r="37" spans="2:9" ht="10.5" x14ac:dyDescent="0.25">
      <c r="B37" s="25" t="s">
        <v>9</v>
      </c>
      <c r="C37" s="25"/>
      <c r="D37" s="25"/>
      <c r="E37" s="33"/>
      <c r="F37" s="53">
        <f>SUM(F33:F36)</f>
        <v>6458.5934999999999</v>
      </c>
      <c r="G37" s="54">
        <f>SUM(G33:G36)</f>
        <v>9.4162115317513901</v>
      </c>
      <c r="H37" s="36"/>
      <c r="I37" s="25"/>
    </row>
    <row r="38" spans="2:9" ht="10.5" x14ac:dyDescent="0.25">
      <c r="B38" s="39" t="s">
        <v>10</v>
      </c>
      <c r="C38" s="39"/>
      <c r="D38" s="39"/>
      <c r="E38" s="40"/>
      <c r="F38" s="41">
        <f>+F29+F32+F37</f>
        <v>46707.163500000002</v>
      </c>
      <c r="G38" s="42">
        <f>+G29+G32+G37</f>
        <v>68.096023006262556</v>
      </c>
      <c r="H38" s="36"/>
      <c r="I38" s="25"/>
    </row>
    <row r="39" spans="2:9" ht="10.5" x14ac:dyDescent="0.25">
      <c r="B39" s="25" t="s">
        <v>33</v>
      </c>
      <c r="C39" s="26"/>
      <c r="D39" s="26"/>
      <c r="E39" s="27"/>
      <c r="F39" s="28"/>
      <c r="G39" s="29"/>
      <c r="H39" s="30"/>
      <c r="I39" s="26"/>
    </row>
    <row r="40" spans="2:9" x14ac:dyDescent="0.2">
      <c r="B40" s="26" t="s">
        <v>74</v>
      </c>
      <c r="C40" s="26" t="s">
        <v>75</v>
      </c>
      <c r="D40" s="26" t="s">
        <v>34</v>
      </c>
      <c r="E40" s="31">
        <v>500000</v>
      </c>
      <c r="F40" s="28">
        <v>504.12400000000002</v>
      </c>
      <c r="G40" s="29">
        <v>0.73498018140213295</v>
      </c>
      <c r="H40" s="32">
        <v>5.79485E-2</v>
      </c>
      <c r="I40" s="52"/>
    </row>
    <row r="41" spans="2:9" x14ac:dyDescent="0.2">
      <c r="B41" s="26" t="s">
        <v>76</v>
      </c>
      <c r="C41" s="26" t="s">
        <v>77</v>
      </c>
      <c r="D41" s="26" t="s">
        <v>34</v>
      </c>
      <c r="E41" s="31">
        <v>500000</v>
      </c>
      <c r="F41" s="28">
        <v>501.62</v>
      </c>
      <c r="G41" s="29">
        <v>0.73132951138001401</v>
      </c>
      <c r="H41" s="32">
        <v>5.7451500000000003E-2</v>
      </c>
      <c r="I41" s="52"/>
    </row>
    <row r="42" spans="2:9" ht="10.5" x14ac:dyDescent="0.25">
      <c r="B42" s="25" t="s">
        <v>10</v>
      </c>
      <c r="C42" s="25"/>
      <c r="D42" s="25"/>
      <c r="E42" s="33"/>
      <c r="F42" s="34">
        <f>SUM(F40:F41)</f>
        <v>1005.744</v>
      </c>
      <c r="G42" s="35">
        <f>SUM(G40:G41)</f>
        <v>1.4663096927821471</v>
      </c>
      <c r="H42" s="36"/>
      <c r="I42" s="25"/>
    </row>
    <row r="43" spans="2:9" ht="10.5" x14ac:dyDescent="0.25">
      <c r="B43" s="25"/>
      <c r="C43" s="26"/>
      <c r="D43" s="26"/>
      <c r="E43" s="27"/>
      <c r="F43" s="28"/>
      <c r="G43" s="29"/>
      <c r="H43" s="30"/>
      <c r="I43" s="26"/>
    </row>
    <row r="44" spans="2:9" ht="10.5" x14ac:dyDescent="0.25">
      <c r="B44" s="25" t="s">
        <v>11</v>
      </c>
      <c r="C44" s="25"/>
      <c r="D44" s="25"/>
      <c r="E44" s="33"/>
      <c r="F44" s="34">
        <v>2331.9432044999999</v>
      </c>
      <c r="G44" s="35">
        <v>3.3998223442305502</v>
      </c>
      <c r="H44" s="32">
        <v>5.3499999999999999E-2</v>
      </c>
      <c r="I44" s="32"/>
    </row>
    <row r="45" spans="2:9" x14ac:dyDescent="0.2">
      <c r="B45" s="26"/>
      <c r="C45" s="26"/>
      <c r="D45" s="26"/>
      <c r="E45" s="27"/>
      <c r="F45" s="28"/>
      <c r="G45" s="29"/>
      <c r="H45" s="30"/>
      <c r="I45" s="26"/>
    </row>
    <row r="46" spans="2:9" ht="10.5" x14ac:dyDescent="0.25">
      <c r="B46" s="49" t="s">
        <v>13</v>
      </c>
      <c r="C46" s="49"/>
      <c r="D46" s="49"/>
      <c r="E46" s="50"/>
      <c r="F46" s="34">
        <f>F47-(F12+F29+F32+F37+F42+F44)</f>
        <v>1092.5955854000058</v>
      </c>
      <c r="G46" s="35">
        <f>G47-(G12+G29+G32+G37+G42+G44)</f>
        <v>1.5929336860701824</v>
      </c>
      <c r="H46" s="36"/>
      <c r="I46" s="25"/>
    </row>
    <row r="47" spans="2:9" ht="10.5" x14ac:dyDescent="0.25">
      <c r="B47" s="43" t="s">
        <v>12</v>
      </c>
      <c r="C47" s="43"/>
      <c r="D47" s="43"/>
      <c r="E47" s="44"/>
      <c r="F47" s="45">
        <v>68590.148789900006</v>
      </c>
      <c r="G47" s="46">
        <v>100</v>
      </c>
      <c r="H47" s="47"/>
      <c r="I47" s="48"/>
    </row>
    <row r="49" spans="2:9" ht="10.5" x14ac:dyDescent="0.25">
      <c r="B49" s="17" t="s">
        <v>36</v>
      </c>
    </row>
    <row r="50" spans="2:9" ht="40" customHeight="1" x14ac:dyDescent="0.2">
      <c r="B50" s="72" t="s">
        <v>37</v>
      </c>
      <c r="C50" s="72"/>
      <c r="D50" s="72"/>
      <c r="E50" s="72"/>
      <c r="F50" s="72"/>
      <c r="G50" s="72"/>
      <c r="H50" s="72"/>
      <c r="I50" s="72"/>
    </row>
    <row r="51" spans="2:9" ht="10.5" x14ac:dyDescent="0.25">
      <c r="B51" s="17"/>
    </row>
    <row r="52" spans="2:9" ht="10.5" x14ac:dyDescent="0.2">
      <c r="B52" s="63" t="s">
        <v>14</v>
      </c>
    </row>
    <row r="53" spans="2:9" ht="10.5" x14ac:dyDescent="0.2">
      <c r="B53" s="63"/>
    </row>
    <row r="54" spans="2:9" x14ac:dyDescent="0.2">
      <c r="B54" s="64" t="s">
        <v>81</v>
      </c>
    </row>
    <row r="55" spans="2:9" x14ac:dyDescent="0.2">
      <c r="B55" s="64" t="s">
        <v>82</v>
      </c>
    </row>
    <row r="56" spans="2:9" ht="10.5" x14ac:dyDescent="0.2">
      <c r="B56" s="63"/>
    </row>
    <row r="57" spans="2:9" ht="21" x14ac:dyDescent="0.2">
      <c r="B57" s="67" t="s">
        <v>83</v>
      </c>
      <c r="C57" s="69" t="s">
        <v>84</v>
      </c>
      <c r="D57" s="69" t="s">
        <v>86</v>
      </c>
    </row>
    <row r="58" spans="2:9" x14ac:dyDescent="0.2">
      <c r="B58" s="65" t="s">
        <v>85</v>
      </c>
      <c r="C58" s="68">
        <v>1017.3943</v>
      </c>
      <c r="D58" s="68">
        <v>1018.8849</v>
      </c>
    </row>
    <row r="59" spans="2:9" ht="10.5" x14ac:dyDescent="0.2">
      <c r="B59" s="63"/>
    </row>
    <row r="60" spans="2:9" ht="10.5" x14ac:dyDescent="0.2">
      <c r="B60" s="63"/>
    </row>
    <row r="61" spans="2:9" x14ac:dyDescent="0.2">
      <c r="B61" s="64" t="s">
        <v>91</v>
      </c>
    </row>
    <row r="62" spans="2:9" x14ac:dyDescent="0.2">
      <c r="B62" s="64" t="s">
        <v>87</v>
      </c>
    </row>
    <row r="63" spans="2:9" x14ac:dyDescent="0.2">
      <c r="B63" s="64" t="s">
        <v>88</v>
      </c>
    </row>
    <row r="64" spans="2:9" x14ac:dyDescent="0.2">
      <c r="B64" s="66" t="s">
        <v>90</v>
      </c>
    </row>
    <row r="65" spans="2:9" x14ac:dyDescent="0.2">
      <c r="B65" s="64" t="s">
        <v>89</v>
      </c>
    </row>
    <row r="66" spans="2:9" ht="10.5" x14ac:dyDescent="0.25">
      <c r="B66" s="17"/>
      <c r="C66" s="17"/>
      <c r="D66" s="51"/>
      <c r="E66" s="18"/>
    </row>
    <row r="69" spans="2:9" ht="10.5" x14ac:dyDescent="0.25">
      <c r="B69" s="17" t="s">
        <v>15</v>
      </c>
      <c r="E69" s="8"/>
      <c r="G69" s="62"/>
      <c r="I69" s="14"/>
    </row>
    <row r="70" spans="2:9" x14ac:dyDescent="0.2">
      <c r="E70" s="8"/>
      <c r="G70" s="62"/>
      <c r="I70" s="14"/>
    </row>
    <row r="71" spans="2:9" x14ac:dyDescent="0.2">
      <c r="E71" s="8"/>
      <c r="G71" s="62"/>
      <c r="I71" s="14"/>
    </row>
    <row r="72" spans="2:9" x14ac:dyDescent="0.2">
      <c r="E72" s="8"/>
      <c r="G72" s="62"/>
      <c r="I72" s="14"/>
    </row>
    <row r="73" spans="2:9" x14ac:dyDescent="0.2">
      <c r="E73" s="8"/>
      <c r="G73" s="62"/>
      <c r="I73" s="14"/>
    </row>
    <row r="74" spans="2:9" x14ac:dyDescent="0.2">
      <c r="E74" s="8"/>
      <c r="G74" s="62"/>
      <c r="I74" s="14"/>
    </row>
    <row r="75" spans="2:9" x14ac:dyDescent="0.2">
      <c r="E75" s="8"/>
      <c r="G75" s="62"/>
      <c r="I75" s="14"/>
    </row>
    <row r="76" spans="2:9" x14ac:dyDescent="0.2">
      <c r="E76" s="8"/>
      <c r="G76" s="62"/>
      <c r="I76" s="14"/>
    </row>
    <row r="77" spans="2:9" x14ac:dyDescent="0.2">
      <c r="E77" s="8"/>
      <c r="G77" s="62"/>
      <c r="I77" s="14"/>
    </row>
    <row r="78" spans="2:9" x14ac:dyDescent="0.2">
      <c r="E78" s="8"/>
      <c r="G78" s="62"/>
      <c r="I78" s="14"/>
    </row>
    <row r="79" spans="2:9" x14ac:dyDescent="0.2">
      <c r="E79" s="8"/>
      <c r="G79" s="62"/>
      <c r="I79" s="14"/>
    </row>
    <row r="80" spans="2:9" x14ac:dyDescent="0.2">
      <c r="E80" s="8"/>
      <c r="G80" s="62"/>
      <c r="I80" s="14"/>
    </row>
    <row r="81" spans="2:9" x14ac:dyDescent="0.2">
      <c r="E81" s="8"/>
      <c r="G81" s="62"/>
      <c r="I81" s="14"/>
    </row>
    <row r="82" spans="2:9" x14ac:dyDescent="0.2">
      <c r="E82" s="8"/>
      <c r="G82" s="62"/>
      <c r="I82" s="14"/>
    </row>
    <row r="83" spans="2:9" x14ac:dyDescent="0.2">
      <c r="E83" s="8"/>
      <c r="G83" s="62"/>
      <c r="I83" s="14"/>
    </row>
    <row r="84" spans="2:9" x14ac:dyDescent="0.2">
      <c r="E84" s="8"/>
      <c r="G84" s="62"/>
      <c r="I84" s="14"/>
    </row>
    <row r="85" spans="2:9" x14ac:dyDescent="0.2">
      <c r="E85" s="8"/>
      <c r="G85" s="62"/>
      <c r="I85" s="14"/>
    </row>
    <row r="86" spans="2:9" x14ac:dyDescent="0.2">
      <c r="E86" s="8"/>
      <c r="G86" s="62"/>
      <c r="I86" s="14"/>
    </row>
    <row r="87" spans="2:9" x14ac:dyDescent="0.2">
      <c r="E87" s="8"/>
      <c r="G87" s="62"/>
      <c r="I87" s="14"/>
    </row>
    <row r="88" spans="2:9" x14ac:dyDescent="0.2">
      <c r="E88" s="8"/>
      <c r="G88" s="62"/>
      <c r="I88" s="14"/>
    </row>
    <row r="89" spans="2:9" x14ac:dyDescent="0.2">
      <c r="E89" s="8"/>
      <c r="G89" s="62"/>
      <c r="I89" s="14"/>
    </row>
    <row r="90" spans="2:9" x14ac:dyDescent="0.2">
      <c r="E90" s="8"/>
      <c r="G90" s="62"/>
      <c r="I90" s="14"/>
    </row>
    <row r="91" spans="2:9" ht="10.5" x14ac:dyDescent="0.25">
      <c r="B91" s="17" t="s">
        <v>78</v>
      </c>
      <c r="E91" s="8"/>
      <c r="G91" s="62"/>
      <c r="I91" s="14"/>
    </row>
    <row r="92" spans="2:9" ht="10.5" x14ac:dyDescent="0.25">
      <c r="B92" s="17" t="s">
        <v>79</v>
      </c>
      <c r="E92" s="8"/>
      <c r="G92" s="62"/>
      <c r="I92" s="14"/>
    </row>
    <row r="93" spans="2:9" x14ac:dyDescent="0.2">
      <c r="E93" s="8"/>
      <c r="G93" s="62"/>
      <c r="I93" s="14"/>
    </row>
    <row r="94" spans="2:9" x14ac:dyDescent="0.2">
      <c r="E94" s="8"/>
      <c r="G94" s="62"/>
      <c r="I94" s="14"/>
    </row>
    <row r="95" spans="2:9" x14ac:dyDescent="0.2">
      <c r="E95" s="8"/>
      <c r="G95" s="62"/>
      <c r="I95" s="14"/>
    </row>
    <row r="96" spans="2:9" x14ac:dyDescent="0.2">
      <c r="E96" s="8"/>
      <c r="G96" s="62"/>
      <c r="I96" s="14"/>
    </row>
    <row r="97" spans="5:9" x14ac:dyDescent="0.2">
      <c r="E97" s="8"/>
      <c r="G97" s="62"/>
      <c r="I97" s="14"/>
    </row>
    <row r="98" spans="5:9" x14ac:dyDescent="0.2">
      <c r="E98" s="8"/>
      <c r="G98" s="62"/>
      <c r="I98" s="14"/>
    </row>
    <row r="99" spans="5:9" x14ac:dyDescent="0.2">
      <c r="E99" s="8"/>
      <c r="G99" s="62"/>
      <c r="I99" s="14"/>
    </row>
    <row r="100" spans="5:9" x14ac:dyDescent="0.2">
      <c r="E100" s="8"/>
      <c r="G100" s="62"/>
      <c r="I100" s="14"/>
    </row>
    <row r="101" spans="5:9" x14ac:dyDescent="0.2">
      <c r="E101" s="8"/>
      <c r="G101" s="62"/>
      <c r="I101" s="14"/>
    </row>
    <row r="102" spans="5:9" x14ac:dyDescent="0.2">
      <c r="E102" s="8"/>
      <c r="G102" s="62"/>
      <c r="I102" s="14"/>
    </row>
    <row r="103" spans="5:9" x14ac:dyDescent="0.2">
      <c r="E103" s="8"/>
      <c r="G103" s="62"/>
      <c r="I103" s="14"/>
    </row>
    <row r="104" spans="5:9" x14ac:dyDescent="0.2">
      <c r="E104" s="8"/>
      <c r="G104" s="62"/>
      <c r="I104" s="14"/>
    </row>
    <row r="105" spans="5:9" x14ac:dyDescent="0.2">
      <c r="E105" s="8"/>
      <c r="G105" s="62"/>
      <c r="I105" s="14"/>
    </row>
    <row r="106" spans="5:9" x14ac:dyDescent="0.2">
      <c r="E106" s="8"/>
      <c r="G106" s="62"/>
      <c r="I106" s="14"/>
    </row>
    <row r="107" spans="5:9" x14ac:dyDescent="0.2">
      <c r="E107" s="8"/>
      <c r="G107" s="62"/>
      <c r="I107" s="14"/>
    </row>
    <row r="108" spans="5:9" x14ac:dyDescent="0.2">
      <c r="E108" s="8"/>
      <c r="G108" s="62"/>
      <c r="I108" s="14"/>
    </row>
    <row r="109" spans="5:9" x14ac:dyDescent="0.2">
      <c r="E109" s="8"/>
      <c r="G109" s="62"/>
      <c r="I109" s="14"/>
    </row>
    <row r="110" spans="5:9" x14ac:dyDescent="0.2">
      <c r="E110" s="8"/>
      <c r="G110" s="62"/>
      <c r="I110" s="14"/>
    </row>
    <row r="111" spans="5:9" x14ac:dyDescent="0.2">
      <c r="E111" s="8"/>
      <c r="G111" s="62"/>
      <c r="I111" s="14"/>
    </row>
    <row r="112" spans="5:9" x14ac:dyDescent="0.2">
      <c r="E112" s="8"/>
      <c r="G112" s="62"/>
      <c r="I112" s="14"/>
    </row>
    <row r="113" spans="5:9" x14ac:dyDescent="0.2">
      <c r="E113" s="8"/>
      <c r="G113" s="62"/>
      <c r="I113" s="14"/>
    </row>
    <row r="114" spans="5:9" x14ac:dyDescent="0.2">
      <c r="E114" s="8"/>
      <c r="G114" s="62"/>
      <c r="I114" s="14"/>
    </row>
    <row r="115" spans="5:9" x14ac:dyDescent="0.2">
      <c r="E115" s="8"/>
      <c r="G115" s="62"/>
      <c r="I115" s="14"/>
    </row>
    <row r="116" spans="5:9" x14ac:dyDescent="0.2">
      <c r="E116" s="8"/>
      <c r="G116" s="62"/>
      <c r="I116" s="14"/>
    </row>
  </sheetData>
  <mergeCells count="2">
    <mergeCell ref="B1:C1"/>
    <mergeCell ref="B50:I50"/>
  </mergeCells>
  <conditionalFormatting sqref="G1:G3 G5:G49 G51:G116">
    <cfRule type="cellIs" dxfId="0" priority="2" stopIfTrue="1" operator="between">
      <formula>0.009</formula>
      <formula>-0.009</formula>
    </cfRule>
  </conditionalFormatting>
  <hyperlinks>
    <hyperlink ref="A2" location="Index!A1" display="-" xr:uid="{548805F0-395C-4C51-B6E5-FE397D7E6155}"/>
  </hyperlinks>
  <pageMargins left="0.7" right="0.7" top="0.75" bottom="0.75" header="0.3" footer="0.3"/>
  <pageSetup paperSize="9" scale="65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9" max="48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JBLOW</vt:lpstr>
      <vt:lpstr>JBLOW!Print_Area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2026-06-09T06:42:10Z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2025-12-04T08:50:42Z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49350c0e-e69c-418e-b18a-2209837d064f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</Properties>
</file>