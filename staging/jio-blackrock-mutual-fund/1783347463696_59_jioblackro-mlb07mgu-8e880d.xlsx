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41FAF626-77FD-4B09-A1B2-29683EDBE324}" xr6:coauthVersionLast="47" xr6:coauthVersionMax="47" xr10:uidLastSave="{00000000-0000-0000-0000-000000000000}"/>
  <bookViews>
    <workbookView xWindow="-108" yWindow="-108" windowWidth="23256" windowHeight="13896" xr2:uid="{7291B499-DD8C-4F12-BA28-9EE7F24AB421}"/>
  </bookViews>
  <sheets>
    <sheet name="Index" sheetId="2" r:id="rId1"/>
    <sheet name="JBMMF" sheetId="3" r:id="rId2"/>
    <sheet name="JBOF" sheetId="4" r:id="rId3"/>
    <sheet name="JBLF" sheetId="5" r:id="rId4"/>
    <sheet name="JBN8-13" sheetId="6" r:id="rId5"/>
    <sheet name="JBLOW" sheetId="7" r:id="rId6"/>
    <sheet name="JBSHORT" sheetId="8" r:id="rId7"/>
    <sheet name="JBN50" sheetId="9" r:id="rId8"/>
    <sheet name="JBNNX50" sheetId="10" r:id="rId9"/>
    <sheet name="JBNM150" sheetId="11" r:id="rId10"/>
    <sheet name="JBNS250" sheetId="12" r:id="rId11"/>
    <sheet name="JBFLEXI" sheetId="13" r:id="rId12"/>
    <sheet name="JBARB" sheetId="14" r:id="rId13"/>
  </sheets>
  <definedNames>
    <definedName name="_xlnm.Print_Area" localSheetId="12">JBARB!$B$1:$H$203</definedName>
    <definedName name="_xlnm.Print_Area" localSheetId="11">JBFLEXI!$B$1:$H$187</definedName>
    <definedName name="_xlnm.Print_Area" localSheetId="3">JBLF!$B$1:$I$152</definedName>
    <definedName name="_xlnm.Print_Area" localSheetId="5">JBLOW!$B$1:$I$92</definedName>
    <definedName name="_xlnm.Print_Area" localSheetId="1">JBMMF!$B$1:$I$110</definedName>
    <definedName name="_xlnm.Print_Area" localSheetId="7">'JBN50'!$B$1:$H$107</definedName>
    <definedName name="_xlnm.Print_Area" localSheetId="4">'JBN8-13'!$B$1:$I$55</definedName>
    <definedName name="_xlnm.Print_Area" localSheetId="9">JBNM150!$B$1:$H$203</definedName>
    <definedName name="_xlnm.Print_Area" localSheetId="8">JBNNX50!$B$1:$H$108</definedName>
    <definedName name="_xlnm.Print_Area" localSheetId="10">JBNS250!$B$1:$H$305</definedName>
    <definedName name="_xlnm.Print_Area" localSheetId="2">JBOF!$B$1:$I$76</definedName>
    <definedName name="_xlnm.Print_Area" localSheetId="6">JBSHORT!$B$1:$I$82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10" l="1"/>
  <c r="G67" i="10" s="1"/>
  <c r="F65" i="10"/>
  <c r="F67" i="10" s="1"/>
  <c r="G159" i="14" l="1"/>
  <c r="F159" i="14"/>
  <c r="G77" i="14"/>
  <c r="F77" i="14"/>
  <c r="G72" i="14"/>
  <c r="F72" i="14"/>
  <c r="G68" i="14"/>
  <c r="F68" i="14"/>
  <c r="G61" i="14"/>
  <c r="G64" i="14" s="1"/>
  <c r="F61" i="14"/>
  <c r="F64" i="14" s="1"/>
  <c r="G146" i="13"/>
  <c r="F146" i="13"/>
  <c r="G138" i="13"/>
  <c r="G132" i="13"/>
  <c r="F132" i="13"/>
  <c r="F139" i="13" s="1"/>
  <c r="G257" i="12"/>
  <c r="G263" i="12" s="1"/>
  <c r="F257" i="12"/>
  <c r="F260" i="12" s="1"/>
  <c r="G157" i="11"/>
  <c r="G163" i="11" s="1"/>
  <c r="F157" i="11"/>
  <c r="F163" i="11" s="1"/>
  <c r="G57" i="10"/>
  <c r="G70" i="10" s="1"/>
  <c r="F57" i="10"/>
  <c r="F70" i="10" s="1"/>
  <c r="G58" i="9"/>
  <c r="G64" i="9" s="1"/>
  <c r="F58" i="9"/>
  <c r="F64" i="9" s="1"/>
  <c r="G23" i="8"/>
  <c r="F23" i="8"/>
  <c r="G19" i="8"/>
  <c r="G24" i="8" s="1"/>
  <c r="F19" i="8"/>
  <c r="F24" i="8" s="1"/>
  <c r="G8" i="8"/>
  <c r="G11" i="8" s="1"/>
  <c r="F8" i="8"/>
  <c r="F28" i="8" s="1"/>
  <c r="G30" i="7"/>
  <c r="F30" i="7"/>
  <c r="G26" i="7"/>
  <c r="F26" i="7"/>
  <c r="G23" i="7"/>
  <c r="G31" i="7" s="1"/>
  <c r="F23" i="7"/>
  <c r="F31" i="7" s="1"/>
  <c r="G10" i="7"/>
  <c r="G13" i="7" s="1"/>
  <c r="F10" i="7"/>
  <c r="F13" i="7" s="1"/>
  <c r="G9" i="6"/>
  <c r="G13" i="6" s="1"/>
  <c r="F9" i="6"/>
  <c r="F13" i="6" s="1"/>
  <c r="G83" i="5"/>
  <c r="F83" i="5"/>
  <c r="G79" i="5"/>
  <c r="F79" i="5"/>
  <c r="G73" i="5"/>
  <c r="F73" i="5"/>
  <c r="G44" i="5"/>
  <c r="F44" i="5"/>
  <c r="G10" i="4"/>
  <c r="G26" i="4" s="1"/>
  <c r="F10" i="4"/>
  <c r="F26" i="4" s="1"/>
  <c r="G52" i="3"/>
  <c r="F52" i="3"/>
  <c r="G49" i="3"/>
  <c r="F49" i="3"/>
  <c r="G45" i="3"/>
  <c r="F45" i="3"/>
  <c r="G40" i="3"/>
  <c r="F40" i="3"/>
  <c r="G22" i="3"/>
  <c r="F22" i="3"/>
  <c r="F60" i="10" l="1"/>
  <c r="G60" i="10"/>
  <c r="G81" i="14"/>
  <c r="F81" i="14"/>
  <c r="F73" i="14"/>
  <c r="G73" i="14"/>
  <c r="G139" i="13"/>
  <c r="F135" i="13"/>
  <c r="G135" i="13"/>
  <c r="G260" i="12"/>
  <c r="F263" i="12"/>
  <c r="F160" i="11"/>
  <c r="G160" i="11"/>
  <c r="F61" i="9"/>
  <c r="G61" i="9"/>
  <c r="G28" i="8"/>
  <c r="F11" i="8"/>
  <c r="F35" i="7"/>
  <c r="G35" i="7"/>
  <c r="F101" i="5"/>
  <c r="G80" i="5"/>
  <c r="G101" i="5"/>
  <c r="F80" i="5"/>
  <c r="F11" i="4"/>
  <c r="G11" i="4"/>
  <c r="G56" i="3"/>
  <c r="F56" i="3"/>
  <c r="G46" i="3"/>
  <c r="F46" i="3"/>
</calcChain>
</file>

<file path=xl/sharedStrings.xml><?xml version="1.0" encoding="utf-8"?>
<sst xmlns="http://schemas.openxmlformats.org/spreadsheetml/2006/main" count="3086" uniqueCount="1502">
  <si>
    <t>Quantity</t>
  </si>
  <si>
    <t>Sr No.</t>
  </si>
  <si>
    <t>Short Name</t>
  </si>
  <si>
    <t>Scheme Name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</si>
  <si>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</si>
  <si>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</si>
  <si>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</si>
  <si>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</si>
  <si>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</si>
  <si>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</si>
  <si>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Money Market Fund</t>
  </si>
  <si>
    <t>JioBlackRock Overnight Fund</t>
  </si>
  <si>
    <t>JioBlackRock Liquid Fund</t>
  </si>
  <si>
    <t>JioBlackRock Nifty 8-13 yr G-Sec Index Fund</t>
  </si>
  <si>
    <t>JioBlackRock Low Duration Fund</t>
  </si>
  <si>
    <t>JioBlackRock Short Duration Fund</t>
  </si>
  <si>
    <t>JioBlackRock Nifty 50 Index Fund</t>
  </si>
  <si>
    <t>JioBlackRock Nifty Next 50 Index Fund</t>
  </si>
  <si>
    <t>JioBlackRock Nifty Midcap 150 Index Fund</t>
  </si>
  <si>
    <t>JioBlackRock Nifty Smallcap 250 Index Fund</t>
  </si>
  <si>
    <t>JioBlackRock Flexi Cap Fund</t>
  </si>
  <si>
    <t>JioBlackRock Arbitrage Fund</t>
  </si>
  <si>
    <t>Yield to Call ^</t>
  </si>
  <si>
    <t>Money Market Instruments</t>
  </si>
  <si>
    <t>Certificate of Deposit</t>
  </si>
  <si>
    <t>HDFC Bank Ltd (12-Mar-2026)</t>
  </si>
  <si>
    <t>INE040A16GN6</t>
  </si>
  <si>
    <t>CARE A1+</t>
  </si>
  <si>
    <t>Bank of Baroda (11-Mar-2026) **</t>
  </si>
  <si>
    <t>INE028A16HZ3</t>
  </si>
  <si>
    <t>IND A1+</t>
  </si>
  <si>
    <t>HDFC Bank Ltd (24-Mar-2026)</t>
  </si>
  <si>
    <t>INE040A16GS5</t>
  </si>
  <si>
    <t>Punjab National Bank (09-Mar-2026) **</t>
  </si>
  <si>
    <t>INE160A16TT2</t>
  </si>
  <si>
    <t>National Bank For Agriculture &amp; Rural Development (10-Mar-2026)</t>
  </si>
  <si>
    <t>INE261F16975</t>
  </si>
  <si>
    <t>CRISIL A1+</t>
  </si>
  <si>
    <t>Canara Bank (12-Mar-2026)</t>
  </si>
  <si>
    <t>INE476A16B23</t>
  </si>
  <si>
    <t>Punjab National Bank (15-Dec-2026) **</t>
  </si>
  <si>
    <t>INE160A16TZ9</t>
  </si>
  <si>
    <t>Axis Bank Ltd (30-Apr-2026)</t>
  </si>
  <si>
    <t>INE238AD6BK4</t>
  </si>
  <si>
    <t>Export-Import Bank Of India (28-May-2026)</t>
  </si>
  <si>
    <t>INE514E16CL5</t>
  </si>
  <si>
    <t>Punjab National Bank (18-Mar-2026)</t>
  </si>
  <si>
    <t>INE160A16RK5</t>
  </si>
  <si>
    <t>Federal Bank Ltd (20-Mar-2026) **</t>
  </si>
  <si>
    <t>INE171A16NE4</t>
  </si>
  <si>
    <t>Axis Bank Ltd (25-Mar-2026) **</t>
  </si>
  <si>
    <t>INE238AD6BT5</t>
  </si>
  <si>
    <t>Small Industries Development Bank of India (04-Dec-2026) **</t>
  </si>
  <si>
    <t>INE556F16BS0</t>
  </si>
  <si>
    <t>Canara Bank (28-Jan-2027) **</t>
  </si>
  <si>
    <t>INE476A16G28</t>
  </si>
  <si>
    <t>Indian Bank (06-Mar-2026) **</t>
  </si>
  <si>
    <t>INE562A16OG7</t>
  </si>
  <si>
    <t>Sub Total</t>
  </si>
  <si>
    <t>Commercial Paper</t>
  </si>
  <si>
    <t>NTPC Ltd (10-Mar-2026) **</t>
  </si>
  <si>
    <t>INE733E14BU9</t>
  </si>
  <si>
    <t>LIC Housing Finance Ltd (18-Mar-2026) **</t>
  </si>
  <si>
    <t>INE115A14FL7</t>
  </si>
  <si>
    <t>Power Finance Corporation Ltd (15-Apr-2026) **</t>
  </si>
  <si>
    <t>INE134E14AX6</t>
  </si>
  <si>
    <t>Kotak Securities Ltd (13-Mar-2026) **</t>
  </si>
  <si>
    <t>INE028E14TK7</t>
  </si>
  <si>
    <t>Kotak Securities Ltd (06-Mar-2026) **</t>
  </si>
  <si>
    <t>INE028E14TR2</t>
  </si>
  <si>
    <t>ICICI Securities Ltd (09-Mar-2026) **</t>
  </si>
  <si>
    <t>INE763G14D03</t>
  </si>
  <si>
    <t>ICICI Securities Ltd (12-Mar-2026) **</t>
  </si>
  <si>
    <t>INE763G14D60</t>
  </si>
  <si>
    <t>Kotak Securities Ltd (12-Mar-2026) **</t>
  </si>
  <si>
    <t>INE028E14TZ5</t>
  </si>
  <si>
    <t>Kotak Securities Ltd (16-Mar-2026) **</t>
  </si>
  <si>
    <t>INE028E14UA6</t>
  </si>
  <si>
    <t>ICICI Securities Ltd (17-Mar-2026) **</t>
  </si>
  <si>
    <t>INE763G14XS9</t>
  </si>
  <si>
    <t>Small Industries Development Bank Of India (20-Mar-2026) **</t>
  </si>
  <si>
    <t>INE556F14LX4</t>
  </si>
  <si>
    <t>Bajaj Financial Securities Ltd (18-Mar-2026) **</t>
  </si>
  <si>
    <t>INE01C314DZ6</t>
  </si>
  <si>
    <t>Mahindra &amp; Mahindra Financial Services Ltd (20-Mar-2026) **</t>
  </si>
  <si>
    <t>INE774D14TE1</t>
  </si>
  <si>
    <t>Tata Capital Ltd (23-Mar-2026) **</t>
  </si>
  <si>
    <t>INE976I14QR9</t>
  </si>
  <si>
    <t>ICICI Securities Ltd (06-Mar-2026) **</t>
  </si>
  <si>
    <t>INE763G14XX9</t>
  </si>
  <si>
    <t>ICRA A1+</t>
  </si>
  <si>
    <t>Kotak Securities Ltd (24-Mar-2026) **</t>
  </si>
  <si>
    <t>INE028E14UF5</t>
  </si>
  <si>
    <t>Treasury Bill</t>
  </si>
  <si>
    <t>364 DTB (21-JAN-2027)</t>
  </si>
  <si>
    <t>IN002025Z427</t>
  </si>
  <si>
    <t>364 DTB (03-DEC-2026)</t>
  </si>
  <si>
    <t>IN002025Z369</t>
  </si>
  <si>
    <t>364 DTB (10-DEC-2026)</t>
  </si>
  <si>
    <t>IN002025Z377</t>
  </si>
  <si>
    <t>Total</t>
  </si>
  <si>
    <t>Government Securities</t>
  </si>
  <si>
    <t>5.63% GOI 2026 (12-APR-2026)</t>
  </si>
  <si>
    <t>IN0020210012</t>
  </si>
  <si>
    <t>SOVEREIGN</t>
  </si>
  <si>
    <t>Alternative Investment Fund</t>
  </si>
  <si>
    <t>Corporate Debt Market Development Fund Class A2</t>
  </si>
  <si>
    <t>INF0RQ622028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</si>
  <si>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</si>
  <si>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</si>
  <si>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</si>
  <si>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</si>
  <si>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</si>
  <si>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</si>
  <si>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</si>
  <si>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91 DTB (06-FEB-2026)</t>
  </si>
  <si>
    <t>IN002025X323</t>
  </si>
  <si>
    <t>182 DTB (12-FEB-2026)</t>
  </si>
  <si>
    <t>IN002025Y206</t>
  </si>
  <si>
    <t>91 DTB (26-FEB-2026)</t>
  </si>
  <si>
    <t>IN002025X356</t>
  </si>
  <si>
    <t>Reverse Repo</t>
  </si>
  <si>
    <t>Reverse Repo (02-Feb-2026)</t>
  </si>
  <si>
    <t>Canara Bank (24-Feb-2026)</t>
  </si>
  <si>
    <t>INE476A16A65</t>
  </si>
  <si>
    <t>Bank of Baroda (24-Feb-2026) **</t>
  </si>
  <si>
    <t>INE028A16JJ3</t>
  </si>
  <si>
    <t>Axis Bank Ltd (18-Feb-2026) **</t>
  </si>
  <si>
    <t>INE238AD6BM0</t>
  </si>
  <si>
    <t>Federal Bank Ltd (20-Feb-2026) **</t>
  </si>
  <si>
    <t>INE171A16MU2</t>
  </si>
  <si>
    <t>Union Bank of India (06-Mar-2026) **</t>
  </si>
  <si>
    <t>INE692A16JB3</t>
  </si>
  <si>
    <t>Indian Bank (13-Mar-2026) **</t>
  </si>
  <si>
    <t>INE562A16QB3</t>
  </si>
  <si>
    <t>Federal Bank Ltd (24-Feb-2026) **</t>
  </si>
  <si>
    <t>INE171A16NA2</t>
  </si>
  <si>
    <t>Bank of India (26-Mar-2026) **</t>
  </si>
  <si>
    <t>INE084A16DJ9</t>
  </si>
  <si>
    <t>Union Bank of India (02-Apr-2026)</t>
  </si>
  <si>
    <t>INE692A16KR7</t>
  </si>
  <si>
    <t>Axis Bank Ltd (04-Mar-2026)</t>
  </si>
  <si>
    <t>INE238AD6AN0</t>
  </si>
  <si>
    <t>HDFC Bank Ltd (12-Feb-2026)</t>
  </si>
  <si>
    <t>INE040A16HV7</t>
  </si>
  <si>
    <t>Indian Bank (17-Feb-2026) **</t>
  </si>
  <si>
    <t>INE562A16PW1</t>
  </si>
  <si>
    <t>Bank of India (18-Feb-2026)</t>
  </si>
  <si>
    <t>INE084A16ET6</t>
  </si>
  <si>
    <t>Punjab National Bank (05-Mar-2026) **</t>
  </si>
  <si>
    <t>INE160A16TS4</t>
  </si>
  <si>
    <t>National Bank For Agriculture &amp; Rural Development (13-Mar-2026) **</t>
  </si>
  <si>
    <t>INE261F16983</t>
  </si>
  <si>
    <t>Punjab National Bank (25-Mar-2026)</t>
  </si>
  <si>
    <t>INE160A16RP4</t>
  </si>
  <si>
    <t>HDFC Bank Ltd (02-Apr-2026) **</t>
  </si>
  <si>
    <t>INE040A16HC7</t>
  </si>
  <si>
    <t>National Bank For Agriculture &amp; Rural Development (17-Feb-2026)</t>
  </si>
  <si>
    <t>INE261F16959</t>
  </si>
  <si>
    <t>HDFC Bank Ltd (25-Feb-2026) **</t>
  </si>
  <si>
    <t>INE040A16GJ4</t>
  </si>
  <si>
    <t>HDFC Bank Ltd (09-Mar-2026)</t>
  </si>
  <si>
    <t>INE040A16HM6</t>
  </si>
  <si>
    <t>Kotak Mahindra Bank Ltd (18-Feb-2026)</t>
  </si>
  <si>
    <t>INE237A165Z5</t>
  </si>
  <si>
    <t>Small Industries Development Bank of India (27-Feb-2026)</t>
  </si>
  <si>
    <t>INE556F16BB6</t>
  </si>
  <si>
    <t>Canara Bank (04-Mar-2026) **</t>
  </si>
  <si>
    <t>INE476A16A73</t>
  </si>
  <si>
    <t>Union Bank of India (12-Mar-2026) **</t>
  </si>
  <si>
    <t>INE692A16KM8</t>
  </si>
  <si>
    <t>HDFC Bank Ltd (18-Mar-2026) **</t>
  </si>
  <si>
    <t>INE040A16IC5</t>
  </si>
  <si>
    <t>Canara Bank (20-Mar-2026)</t>
  </si>
  <si>
    <t>INE476A16F86</t>
  </si>
  <si>
    <t>National Bank For Agriculture &amp; Rural Development (04-Feb-2026) **</t>
  </si>
  <si>
    <t>INE261F16926</t>
  </si>
  <si>
    <t>Bank of Baroda (09-Feb-2026) **</t>
  </si>
  <si>
    <t>INE028A16JN5</t>
  </si>
  <si>
    <t>Bank of Baroda (23-Feb-2026) **</t>
  </si>
  <si>
    <t>INE028A16JO3</t>
  </si>
  <si>
    <t>National Bank For Agriculture &amp; Rural Development (27-Feb-2026) **</t>
  </si>
  <si>
    <t>INE261F16967</t>
  </si>
  <si>
    <t>Union Bank of India (05-Mar-2026)</t>
  </si>
  <si>
    <t>INE692A16IY7</t>
  </si>
  <si>
    <t>Axis Bank Ltd (05-Mar-2026)</t>
  </si>
  <si>
    <t>INE238AD6AO8</t>
  </si>
  <si>
    <t>Bank of Baroda (05-Mar-2026)</t>
  </si>
  <si>
    <t>INE028A16KP8</t>
  </si>
  <si>
    <t>Bajaj Finance Ltd (16-Mar-2026) **</t>
  </si>
  <si>
    <t>INE296A14E12</t>
  </si>
  <si>
    <t>ICICI Home Finance Co Ltd (11-Feb-2026) **</t>
  </si>
  <si>
    <t>INE071G14HF7</t>
  </si>
  <si>
    <t>Godrej Housing Finance Ltd (13-Feb-2026)</t>
  </si>
  <si>
    <t>INE02JD14591</t>
  </si>
  <si>
    <t>LIC Housing Finance Ltd (11-Mar-2026) **</t>
  </si>
  <si>
    <t>INE115A14FK9</t>
  </si>
  <si>
    <t>HDFC Securities Ltd (09-Mar-2026) **</t>
  </si>
  <si>
    <t>INE700G14RF0</t>
  </si>
  <si>
    <t>Kotak Securities Ltd (06-Feb-2026) **</t>
  </si>
  <si>
    <t>INE028E14TL5</t>
  </si>
  <si>
    <t>Julius Baer Capital (India) Pvt Ltd (13-Feb-2026) **</t>
  </si>
  <si>
    <t>INE824H14SV1</t>
  </si>
  <si>
    <t>Small Industries Development Bank Of India (18-Feb-2026) **</t>
  </si>
  <si>
    <t>INE556F14LR6</t>
  </si>
  <si>
    <t>Kotak Securities Ltd (18-Feb-2026) **</t>
  </si>
  <si>
    <t>INE028E14TS0</t>
  </si>
  <si>
    <t>Small Industries Development Bank Of India (24-Feb-2026) **</t>
  </si>
  <si>
    <t>INE556F14LS4</t>
  </si>
  <si>
    <t>Kotak Securities Ltd (02-Mar-2026) **</t>
  </si>
  <si>
    <t>INE028E14TV4</t>
  </si>
  <si>
    <t>ICICI Securities Ltd (10-Mar-2026) **</t>
  </si>
  <si>
    <t>INE763G14A63</t>
  </si>
  <si>
    <t>ICICI Securities Ltd (18-Mar-2026) **</t>
  </si>
  <si>
    <t>INE763G14D94</t>
  </si>
  <si>
    <t>ICICI Securities Ltd (20-Apr-2026) **</t>
  </si>
  <si>
    <t>INE763G14B54</t>
  </si>
  <si>
    <t>LIC Housing Finance Ltd (18-Feb-2026) **</t>
  </si>
  <si>
    <t>INE115A14FJ1</t>
  </si>
  <si>
    <t>Axis Securities Ltd (27-Feb-2026)</t>
  </si>
  <si>
    <t>INE110O14GQ6</t>
  </si>
  <si>
    <t>Small Industries Development Bank Of India (06-Mar-2026)</t>
  </si>
  <si>
    <t>INE556F14LU0</t>
  </si>
  <si>
    <t>Aditya Birla Capital Ltd (06-Feb-2026) **</t>
  </si>
  <si>
    <t>INE860H144V6</t>
  </si>
  <si>
    <t>ICICI Securities Ltd (27-Feb-2026) **</t>
  </si>
  <si>
    <t>INE763G14XI0</t>
  </si>
  <si>
    <t>91 DTB (30-APR-2026)</t>
  </si>
  <si>
    <t>IN002025X430</t>
  </si>
  <si>
    <t>91 DTB (23-APR-2026)</t>
  </si>
  <si>
    <t>IN002025X422</t>
  </si>
  <si>
    <t>364 DTB (12-MAR-2026)</t>
  </si>
  <si>
    <t>IN002024Z487</t>
  </si>
  <si>
    <t>91 DTB (17-APR-2026)</t>
  </si>
  <si>
    <t>IN002025X414</t>
  </si>
  <si>
    <t>Reverse Repo (16-Feb-2026)</t>
  </si>
  <si>
    <t>Reverse Repo (20-Feb-2026)</t>
  </si>
  <si>
    <t>6.48% GOI 2035 (06-OCT-2035)</t>
  </si>
  <si>
    <t>IN0020250091</t>
  </si>
  <si>
    <t>6.33% GOI 2035 (05-MAY-2035)</t>
  </si>
  <si>
    <t>IN0020250026</t>
  </si>
  <si>
    <t>6.79% GOI 2034 (07-OCT-2034)</t>
  </si>
  <si>
    <t>IN0020240126</t>
  </si>
  <si>
    <t>Debt Instruments</t>
  </si>
  <si>
    <t>(a) Listed / awaiting listing on Stock Exchanges</t>
  </si>
  <si>
    <t>7.8% National Bank For Agriculture &amp; Rural Development (15-Mar-2027) **</t>
  </si>
  <si>
    <t>INE261F08EF5</t>
  </si>
  <si>
    <t>CRISIL AAA</t>
  </si>
  <si>
    <t>7.37% Power Finance Corporation Ltd (22-May-2026) **</t>
  </si>
  <si>
    <t>INE134E08MO2</t>
  </si>
  <si>
    <t>6.65% LIC Housing Finance Ltd (15-Feb-2027) **</t>
  </si>
  <si>
    <t>INE115A07PR7</t>
  </si>
  <si>
    <t>(b) Privately Placed / Unlisted</t>
  </si>
  <si>
    <t>Nil</t>
  </si>
  <si>
    <t>Kotak Mahindra Bank Ltd (27-Feb-2026)</t>
  </si>
  <si>
    <t>INE237A166Z3</t>
  </si>
  <si>
    <t>Union Bank of India (19-Jan-2027) **</t>
  </si>
  <si>
    <t>INE692A16KU1</t>
  </si>
  <si>
    <t>Indian Bank (22-Jan-2027) **</t>
  </si>
  <si>
    <t>INE562A16QG2</t>
  </si>
  <si>
    <t>Bank of Baroda (25-Jan-2027) **</t>
  </si>
  <si>
    <t>INE028A16LD2</t>
  </si>
  <si>
    <t>ICICI Bank Ltd (27-Jan-2027) **</t>
  </si>
  <si>
    <t>INE090AD6279</t>
  </si>
  <si>
    <t>Small Industries Development Bank of India (29-Jan-2027)</t>
  </si>
  <si>
    <t>INE556F16BX0</t>
  </si>
  <si>
    <t>182 DTB (08-MAY-2026)</t>
  </si>
  <si>
    <t>IN002025Y321</t>
  </si>
  <si>
    <t>7.64% REC Ltd (30-Apr-2027) **</t>
  </si>
  <si>
    <t>INE020B08EX7</t>
  </si>
  <si>
    <t>Bajaj Finance Ltd (25-Mar-2026) **</t>
  </si>
  <si>
    <t>INE296A14E38</t>
  </si>
  <si>
    <t>Equity &amp; Equity related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</si>
  <si>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</si>
  <si>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</si>
  <si>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</si>
  <si>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</si>
  <si>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</si>
  <si>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</si>
  <si>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</si>
  <si>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</si>
  <si>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</si>
  <si>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</si>
  <si>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</si>
  <si>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</si>
  <si>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</si>
  <si>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</si>
  <si>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</si>
  <si>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</si>
  <si>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</si>
  <si>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</si>
  <si>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</si>
  <si>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Axis Bank Ltd</t>
  </si>
  <si>
    <t>INE238A01034</t>
  </si>
  <si>
    <t>Tata Consultancy Services Ltd</t>
  </si>
  <si>
    <t>INE467B01029</t>
  </si>
  <si>
    <t>ITC Ltd</t>
  </si>
  <si>
    <t>INE154A01025</t>
  </si>
  <si>
    <t>Diversified FMCG</t>
  </si>
  <si>
    <t>Mahindra &amp; Mahindra Ltd</t>
  </si>
  <si>
    <t>INE101A01026</t>
  </si>
  <si>
    <t>Automobiles</t>
  </si>
  <si>
    <t>Kotak Mahindra Bank Ltd</t>
  </si>
  <si>
    <t>INE237A01036</t>
  </si>
  <si>
    <t>Bajaj Finance Ltd</t>
  </si>
  <si>
    <t>INE296A01032</t>
  </si>
  <si>
    <t>Finance</t>
  </si>
  <si>
    <t>Hindustan Unilever Ltd</t>
  </si>
  <si>
    <t>INE030A01027</t>
  </si>
  <si>
    <t>Eternal Ltd</t>
  </si>
  <si>
    <t>INE758T01015</t>
  </si>
  <si>
    <t>Retailing</t>
  </si>
  <si>
    <t>Maruti Suzuki India Ltd</t>
  </si>
  <si>
    <t>INE585B01010</t>
  </si>
  <si>
    <t>HCL Technologies Ltd</t>
  </si>
  <si>
    <t>INE860A01027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</si>
  <si>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</si>
  <si>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</si>
  <si>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</si>
  <si>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</si>
  <si>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</si>
  <si>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</si>
  <si>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Titan Co Ltd</t>
  </si>
  <si>
    <t>INE280A01028</t>
  </si>
  <si>
    <t>Consumer Durables</t>
  </si>
  <si>
    <t>Bharat Electronics Ltd</t>
  </si>
  <si>
    <t>INE263A01024</t>
  </si>
  <si>
    <t>Aerospace &amp; Defense</t>
  </si>
  <si>
    <t>Tata Steel Ltd</t>
  </si>
  <si>
    <t>INE081A01020</t>
  </si>
  <si>
    <t>Ferrous Metals</t>
  </si>
  <si>
    <t>Ultratech Cement Ltd</t>
  </si>
  <si>
    <t>INE481G01011</t>
  </si>
  <si>
    <t>Cement &amp; Cement Products</t>
  </si>
  <si>
    <t>Shriram Finance Ltd</t>
  </si>
  <si>
    <t>INE721A01047</t>
  </si>
  <si>
    <t>Hindalco Industries Ltd</t>
  </si>
  <si>
    <t>INE038A01020</t>
  </si>
  <si>
    <t>Non - Ferrous Metals</t>
  </si>
  <si>
    <t>Power Grid Corporation of India Ltd</t>
  </si>
  <si>
    <t>INE752E01010</t>
  </si>
  <si>
    <t>JSW Steel Ltd</t>
  </si>
  <si>
    <t>INE019A01038</t>
  </si>
  <si>
    <t>Bajaj Finserv Ltd</t>
  </si>
  <si>
    <t>INE918I01026</t>
  </si>
  <si>
    <t>Tech Mahindra Ltd</t>
  </si>
  <si>
    <t>INE669C01036</t>
  </si>
  <si>
    <t>Asian Paints Ltd</t>
  </si>
  <si>
    <t>INE021A01026</t>
  </si>
  <si>
    <t>Grasim Industries Ltd</t>
  </si>
  <si>
    <t>INE047A01021</t>
  </si>
  <si>
    <t>Bajaj Auto Ltd</t>
  </si>
  <si>
    <t>INE917I01010</t>
  </si>
  <si>
    <t>Adani Ports and Special Economic Zone Ltd</t>
  </si>
  <si>
    <t>INE742F01042</t>
  </si>
  <si>
    <t>Transport Infrastructure</t>
  </si>
  <si>
    <t>Oil &amp; Natural Gas Corporation Ltd</t>
  </si>
  <si>
    <t>INE213A01029</t>
  </si>
  <si>
    <t>Oil</t>
  </si>
  <si>
    <t>Interglobe Aviation Ltd</t>
  </si>
  <si>
    <t>INE646L01027</t>
  </si>
  <si>
    <t>Transport Services</t>
  </si>
  <si>
    <t>Coal India Ltd</t>
  </si>
  <si>
    <t>INE522F01014</t>
  </si>
  <si>
    <t>Consumable Fuels</t>
  </si>
  <si>
    <t>Eicher Motors Ltd</t>
  </si>
  <si>
    <t>INE066A01021</t>
  </si>
  <si>
    <t>Nestle India Ltd</t>
  </si>
  <si>
    <t>INE239A01024</t>
  </si>
  <si>
    <t>Food Products</t>
  </si>
  <si>
    <t>SBI Life Insurance Co Ltd</t>
  </si>
  <si>
    <t>INE123W01016</t>
  </si>
  <si>
    <t>Insurance</t>
  </si>
  <si>
    <t>Trent Ltd</t>
  </si>
  <si>
    <t>INE849A01020</t>
  </si>
  <si>
    <t>Jio Financial Services Ltd</t>
  </si>
  <si>
    <t>INE758E01017</t>
  </si>
  <si>
    <t>HDFC Life Insurance Co Ltd</t>
  </si>
  <si>
    <t>INE795G01014</t>
  </si>
  <si>
    <t>Cipla Ltd</t>
  </si>
  <si>
    <t>INE059A01026</t>
  </si>
  <si>
    <t>Dr. Reddy's Laboratories Ltd</t>
  </si>
  <si>
    <t>INE089A01031</t>
  </si>
  <si>
    <t>Tata Consumer Products Ltd</t>
  </si>
  <si>
    <t>INE192A01025</t>
  </si>
  <si>
    <t>Agricultural Food &amp; Other Products</t>
  </si>
  <si>
    <t>Tata Motors Passenger Vehicles Ltd</t>
  </si>
  <si>
    <t>INE155A01022</t>
  </si>
  <si>
    <t>Apollo Hospitals Enterprise Ltd</t>
  </si>
  <si>
    <t>INE437A01024</t>
  </si>
  <si>
    <t>Healthcare Services</t>
  </si>
  <si>
    <t>Max Healthcare Institute Ltd</t>
  </si>
  <si>
    <t>INE027H01010</t>
  </si>
  <si>
    <t>Wipro Ltd</t>
  </si>
  <si>
    <t>INE075A01022</t>
  </si>
  <si>
    <t>Adani Enterprises Ltd</t>
  </si>
  <si>
    <t>INE423A01024</t>
  </si>
  <si>
    <t>Metals &amp; Minerals Trading</t>
  </si>
  <si>
    <t>INE2KCE01013</t>
  </si>
  <si>
    <t xml:space="preserve">(b) Unlisted </t>
  </si>
  <si>
    <t>NIL</t>
  </si>
  <si>
    <t>Industry Classification</t>
  </si>
  <si>
    <t>Vedanta Ltd</t>
  </si>
  <si>
    <t>INE205A01025</t>
  </si>
  <si>
    <t>Diversified Metals</t>
  </si>
  <si>
    <t>Hindustan Aeronautics Ltd</t>
  </si>
  <si>
    <t>INE066F01020</t>
  </si>
  <si>
    <t>TVS Motor Co Ltd</t>
  </si>
  <si>
    <t>INE494B01023</t>
  </si>
  <si>
    <t>Divi's Laboratories Ltd</t>
  </si>
  <si>
    <t>INE361B01024</t>
  </si>
  <si>
    <t>Bharat Petroleum Corporation Ltd</t>
  </si>
  <si>
    <t>INE029A01011</t>
  </si>
  <si>
    <t>Britannia Industries Ltd</t>
  </si>
  <si>
    <t>INE216A01030</t>
  </si>
  <si>
    <t>Cholamandalam Investment and Finance Co Ltd</t>
  </si>
  <si>
    <t>INE121A01024</t>
  </si>
  <si>
    <t>Varun Beverages Ltd</t>
  </si>
  <si>
    <t>INE200M01039</t>
  </si>
  <si>
    <t>Beverages</t>
  </si>
  <si>
    <t>Tata Power Co Ltd</t>
  </si>
  <si>
    <t>INE245A01021</t>
  </si>
  <si>
    <t>Indian Oil Corporation Ltd</t>
  </si>
  <si>
    <t>INE242A01010</t>
  </si>
  <si>
    <t>Indian Hotels Co Ltd</t>
  </si>
  <si>
    <t>INE053A01029</t>
  </si>
  <si>
    <t>Leisure Services</t>
  </si>
  <si>
    <t>Bank of Baroda</t>
  </si>
  <si>
    <t>INE028A01039</t>
  </si>
  <si>
    <t>Ltimindtree Ltd</t>
  </si>
  <si>
    <t>INE214T01019</t>
  </si>
  <si>
    <t>Power Finance Corporation Ltd</t>
  </si>
  <si>
    <t>INE134E01011</t>
  </si>
  <si>
    <t>Avenue Supermarts Ltd</t>
  </si>
  <si>
    <t>INE192R01011</t>
  </si>
  <si>
    <t>Adani Power Ltd</t>
  </si>
  <si>
    <t>INE814H01029</t>
  </si>
  <si>
    <t>Samvardhana Motherson International Ltd</t>
  </si>
  <si>
    <t>INE775A01035</t>
  </si>
  <si>
    <t>Auto Components</t>
  </si>
  <si>
    <t>Canara Bank</t>
  </si>
  <si>
    <t>INE476A01022</t>
  </si>
  <si>
    <t>Info Edge (India) Ltd</t>
  </si>
  <si>
    <t>INE663F01032</t>
  </si>
  <si>
    <t>Bajaj Holdings &amp; Investment Ltd</t>
  </si>
  <si>
    <t>INE118A01012</t>
  </si>
  <si>
    <t>Godrej Consumer Products Ltd</t>
  </si>
  <si>
    <t>INE102D01028</t>
  </si>
  <si>
    <t>Personal Products</t>
  </si>
  <si>
    <t>REC Ltd</t>
  </si>
  <si>
    <t>INE020B01018</t>
  </si>
  <si>
    <t>GAIL (India) Ltd</t>
  </si>
  <si>
    <t>INE129A01019</t>
  </si>
  <si>
    <t>Gas</t>
  </si>
  <si>
    <t>Pidilite Industries Ltd</t>
  </si>
  <si>
    <t>INE318A01026</t>
  </si>
  <si>
    <t>Chemicals &amp; Petrochemicals</t>
  </si>
  <si>
    <t>ICICI Lombard General Insurance Co Ltd</t>
  </si>
  <si>
    <t>INE765G01017</t>
  </si>
  <si>
    <t>Punjab National Bank</t>
  </si>
  <si>
    <t>INE160A01022</t>
  </si>
  <si>
    <t>Jindal Steel Ltd</t>
  </si>
  <si>
    <t>INE749A01030</t>
  </si>
  <si>
    <t>Torrent Pharmaceuticals Ltd</t>
  </si>
  <si>
    <t>INE685A01028</t>
  </si>
  <si>
    <t>DLF Ltd</t>
  </si>
  <si>
    <t>INE271C01023</t>
  </si>
  <si>
    <t>Realty</t>
  </si>
  <si>
    <t>United Spirits Ltd</t>
  </si>
  <si>
    <t>INE854D01024</t>
  </si>
  <si>
    <t>CG Power and Industrial Solutions Ltd</t>
  </si>
  <si>
    <t>INE067A01029</t>
  </si>
  <si>
    <t>Electrical Equipment</t>
  </si>
  <si>
    <t>Shree Cement Ltd</t>
  </si>
  <si>
    <t>INE070A01015</t>
  </si>
  <si>
    <t>Solar Industries India Ltd</t>
  </si>
  <si>
    <t>INE343H01029</t>
  </si>
  <si>
    <t>Havells India Ltd</t>
  </si>
  <si>
    <t>INE176B01034</t>
  </si>
  <si>
    <t>Bosch Ltd</t>
  </si>
  <si>
    <t>INE323A01026</t>
  </si>
  <si>
    <t>Hyundai Motor India Ltd</t>
  </si>
  <si>
    <t>INE0V6F01027</t>
  </si>
  <si>
    <t>Ambuja Cements Ltd</t>
  </si>
  <si>
    <t>INE079A01024</t>
  </si>
  <si>
    <t>Adani Energy Solutions Ltd</t>
  </si>
  <si>
    <t>INE931S01010</t>
  </si>
  <si>
    <t>ABB India Ltd</t>
  </si>
  <si>
    <t>INE117A01022</t>
  </si>
  <si>
    <t>Siemens Ltd</t>
  </si>
  <si>
    <t>INE003A01024</t>
  </si>
  <si>
    <t>Lodha Developers Ltd</t>
  </si>
  <si>
    <t>INE670K01029</t>
  </si>
  <si>
    <t>Hindustan Zinc Ltd</t>
  </si>
  <si>
    <t>INE267A01025</t>
  </si>
  <si>
    <t>Adani Green Energy Ltd</t>
  </si>
  <si>
    <t>INE364U01010</t>
  </si>
  <si>
    <t>JSW Energy Ltd</t>
  </si>
  <si>
    <t>INE121E01018</t>
  </si>
  <si>
    <t>Zydus Lifesciences Ltd</t>
  </si>
  <si>
    <t>INE010B01027</t>
  </si>
  <si>
    <t>Siemens Energy India ltd</t>
  </si>
  <si>
    <t>INE1NPP01017</t>
  </si>
  <si>
    <t>Indian Railway Finance Corporation Ltd</t>
  </si>
  <si>
    <t>INE053F01010</t>
  </si>
  <si>
    <t>Mazagon Dock Shipbuilders Ltd</t>
  </si>
  <si>
    <t>INE249Z01020</t>
  </si>
  <si>
    <t>Industrial Manufacturing</t>
  </si>
  <si>
    <t>Life Insurance Corporation Of India</t>
  </si>
  <si>
    <t>INE0J1Y01017</t>
  </si>
  <si>
    <t>Bajaj Housing Finance Ltd</t>
  </si>
  <si>
    <t>INE377Y01014</t>
  </si>
  <si>
    <t>6.00% TVS Motor Co Ltd Cumulative NCRPS (01-Sep-2026) **</t>
  </si>
  <si>
    <t>INE494B04019</t>
  </si>
  <si>
    <t>** Non- Traded Security</t>
  </si>
  <si>
    <t>BSE Ltd</t>
  </si>
  <si>
    <t>INE118H01025</t>
  </si>
  <si>
    <t>Capital Markets</t>
  </si>
  <si>
    <t>Hero MotoCorp Ltd</t>
  </si>
  <si>
    <t>INE158A01026</t>
  </si>
  <si>
    <t>Federal Bank Ltd</t>
  </si>
  <si>
    <t>INE171A01029</t>
  </si>
  <si>
    <t>Persistent Systems Ltd</t>
  </si>
  <si>
    <t>INE262H01021</t>
  </si>
  <si>
    <t>IndusInd Bank Ltd</t>
  </si>
  <si>
    <t>INE095A01012</t>
  </si>
  <si>
    <t>Suzlon Energy Ltd</t>
  </si>
  <si>
    <t>INE040H01021</t>
  </si>
  <si>
    <t>Indus Towers Ltd</t>
  </si>
  <si>
    <t>INE121J01017</t>
  </si>
  <si>
    <t>PB Fintech Ltd</t>
  </si>
  <si>
    <t>INE417T01026</t>
  </si>
  <si>
    <t>Financial Technology (Fintech)</t>
  </si>
  <si>
    <t>Ashok Leyland Ltd</t>
  </si>
  <si>
    <t>INE208A01029</t>
  </si>
  <si>
    <t>Agricultural, Commercial &amp; Construction Vehicles</t>
  </si>
  <si>
    <t>Cummins India Ltd</t>
  </si>
  <si>
    <t>INE298A01020</t>
  </si>
  <si>
    <t>Industrial Products</t>
  </si>
  <si>
    <t>AU Small Finance Bank Ltd</t>
  </si>
  <si>
    <t>INE949L01017</t>
  </si>
  <si>
    <t>Coforge Ltd</t>
  </si>
  <si>
    <t>INE591G01025</t>
  </si>
  <si>
    <t>IDFC First Bank Ltd</t>
  </si>
  <si>
    <t>INE092T01019</t>
  </si>
  <si>
    <t>Lupin Ltd</t>
  </si>
  <si>
    <t>INE326A01037</t>
  </si>
  <si>
    <t>HDFC Asset Management Co Ltd</t>
  </si>
  <si>
    <t>INE127D01025</t>
  </si>
  <si>
    <t>One 97 Communications Ltd</t>
  </si>
  <si>
    <t>INE982J01020</t>
  </si>
  <si>
    <t>Fortis Healthcare Ltd</t>
  </si>
  <si>
    <t>INE061F01013</t>
  </si>
  <si>
    <t>Dixon Technologies (India) Ltd</t>
  </si>
  <si>
    <t>INE935N01020</t>
  </si>
  <si>
    <t>Max Financial Services Ltd</t>
  </si>
  <si>
    <t>INE180A01020</t>
  </si>
  <si>
    <t>Swiggy Ltd</t>
  </si>
  <si>
    <t>INE00H001014</t>
  </si>
  <si>
    <t>Muthoot Finance Ltd</t>
  </si>
  <si>
    <t>INE414G01012</t>
  </si>
  <si>
    <t>Hindustan Petroleum Corporation Ltd</t>
  </si>
  <si>
    <t>INE094A01015</t>
  </si>
  <si>
    <t>SRF Ltd</t>
  </si>
  <si>
    <t>INE647A01010</t>
  </si>
  <si>
    <t>Ge Vernova T&amp;D India Ltd</t>
  </si>
  <si>
    <t>INE200A01026</t>
  </si>
  <si>
    <t>UPL Ltd</t>
  </si>
  <si>
    <t>INE628A01036</t>
  </si>
  <si>
    <t>Fertilizers &amp; Agrochemicals</t>
  </si>
  <si>
    <t>Marico Ltd</t>
  </si>
  <si>
    <t>INE196A01026</t>
  </si>
  <si>
    <t>Bharat Forge Ltd</t>
  </si>
  <si>
    <t>INE465A01025</t>
  </si>
  <si>
    <t>Yes Bank Ltd</t>
  </si>
  <si>
    <t>INE528G01035</t>
  </si>
  <si>
    <t>APL Apollo Tubes Ltd</t>
  </si>
  <si>
    <t>INE702C01027</t>
  </si>
  <si>
    <t>Polycab India Ltd</t>
  </si>
  <si>
    <t>INE455K01017</t>
  </si>
  <si>
    <t>Sundaram Finance Ltd</t>
  </si>
  <si>
    <t>INE660A01013</t>
  </si>
  <si>
    <t>Union Bank Of India</t>
  </si>
  <si>
    <t>INE692A01016</t>
  </si>
  <si>
    <t>National Aluminium Co Ltd</t>
  </si>
  <si>
    <t>INE139A01034</t>
  </si>
  <si>
    <t>Aurobindo Pharma Ltd</t>
  </si>
  <si>
    <t>INE406A01037</t>
  </si>
  <si>
    <t>Bharat Heavy Electricals Ltd</t>
  </si>
  <si>
    <t>INE257A01026</t>
  </si>
  <si>
    <t>GMR Airports Ltd</t>
  </si>
  <si>
    <t>INE776C01039</t>
  </si>
  <si>
    <t>Alkem Laboratories Ltd</t>
  </si>
  <si>
    <t>INE540L01014</t>
  </si>
  <si>
    <t>FSN E-Commerce Ventures Ltd</t>
  </si>
  <si>
    <t>INE388Y01029</t>
  </si>
  <si>
    <t>Indian Bank</t>
  </si>
  <si>
    <t>INE562A01011</t>
  </si>
  <si>
    <t>Mphasis Ltd</t>
  </si>
  <si>
    <t>INE356A01018</t>
  </si>
  <si>
    <t>Phoenix Mills Ltd</t>
  </si>
  <si>
    <t>INE211B01039</t>
  </si>
  <si>
    <t>Vodafone Idea Ltd</t>
  </si>
  <si>
    <t>INE669E01016</t>
  </si>
  <si>
    <t>Glenmark Pharmaceuticals Ltd</t>
  </si>
  <si>
    <t>INE935A01035</t>
  </si>
  <si>
    <t>Voltas Ltd</t>
  </si>
  <si>
    <t>INE226A01021</t>
  </si>
  <si>
    <t>Dabur India Ltd</t>
  </si>
  <si>
    <t>INE016A01026</t>
  </si>
  <si>
    <t>360 One Wam Ltd</t>
  </si>
  <si>
    <t>INE466L01038</t>
  </si>
  <si>
    <t>NMDC Ltd</t>
  </si>
  <si>
    <t>INE584A01023</t>
  </si>
  <si>
    <t>Minerals &amp; Mining</t>
  </si>
  <si>
    <t>Colgate Palmolive (India) Ltd</t>
  </si>
  <si>
    <t>INE259A01022</t>
  </si>
  <si>
    <t>Oil India Ltd</t>
  </si>
  <si>
    <t>INE274J01014</t>
  </si>
  <si>
    <t>Coromandel International Ltd</t>
  </si>
  <si>
    <t>INE169A01031</t>
  </si>
  <si>
    <t>MRF Ltd</t>
  </si>
  <si>
    <t>INE883A01011</t>
  </si>
  <si>
    <t>Vishal Mega Mart Ltd</t>
  </si>
  <si>
    <t>INE01EA01019</t>
  </si>
  <si>
    <t>Waaree Energies Ltd</t>
  </si>
  <si>
    <t>INE377N01017</t>
  </si>
  <si>
    <t>Torrent Power Ltd</t>
  </si>
  <si>
    <t>INE813H01021</t>
  </si>
  <si>
    <t>Jindal Stainless Ltd</t>
  </si>
  <si>
    <t>INE220G01021</t>
  </si>
  <si>
    <t>Biocon Ltd</t>
  </si>
  <si>
    <t>INE376G01013</t>
  </si>
  <si>
    <t>Aditya Birla Capital Ltd</t>
  </si>
  <si>
    <t>INE674K01013</t>
  </si>
  <si>
    <t>PI Industries Ltd</t>
  </si>
  <si>
    <t>INE603J01030</t>
  </si>
  <si>
    <t>ICICI Prudential Life Insurance Co Ltd</t>
  </si>
  <si>
    <t>INE726G01019</t>
  </si>
  <si>
    <t>Tube Investments of India Ltd</t>
  </si>
  <si>
    <t>INE974X01010</t>
  </si>
  <si>
    <t>Mahindra &amp; Mahindra Financial Services Ltd</t>
  </si>
  <si>
    <t>INE774D01024</t>
  </si>
  <si>
    <t>KEI Industries Ltd</t>
  </si>
  <si>
    <t>INE878B01027</t>
  </si>
  <si>
    <t>NHPC Ltd</t>
  </si>
  <si>
    <t>INE848E01016</t>
  </si>
  <si>
    <t>Prestige Estates Projects Ltd</t>
  </si>
  <si>
    <t>INE811K01011</t>
  </si>
  <si>
    <t>Mankind Pharma Ltd</t>
  </si>
  <si>
    <t>INE634S01028</t>
  </si>
  <si>
    <t>Hitachi Energy India Ltd</t>
  </si>
  <si>
    <t>INE07Y701011</t>
  </si>
  <si>
    <t>Blue Star Ltd</t>
  </si>
  <si>
    <t>INE472A01039</t>
  </si>
  <si>
    <t>Godrej Properties Ltd</t>
  </si>
  <si>
    <t>INE484J01027</t>
  </si>
  <si>
    <t>L&amp;T Finance Ltd</t>
  </si>
  <si>
    <t>INE498L01015</t>
  </si>
  <si>
    <t>J.K. Cement Ltd</t>
  </si>
  <si>
    <t>INE823G01014</t>
  </si>
  <si>
    <t>Supreme Industries Ltd</t>
  </si>
  <si>
    <t>INE195A01028</t>
  </si>
  <si>
    <t>SBI Cards and Payment Services Ltd</t>
  </si>
  <si>
    <t>INE018E01016</t>
  </si>
  <si>
    <t>Sona Blw Precision Forgings Ltd</t>
  </si>
  <si>
    <t>INE073K01018</t>
  </si>
  <si>
    <t>Steel Authority of India Ltd</t>
  </si>
  <si>
    <t>INE114A01011</t>
  </si>
  <si>
    <t>Petronet LNG Ltd</t>
  </si>
  <si>
    <t>INE347G01014</t>
  </si>
  <si>
    <t>Uno Minda Ltd</t>
  </si>
  <si>
    <t>INE405E01023</t>
  </si>
  <si>
    <t>Page Industries Ltd</t>
  </si>
  <si>
    <t>INE761H01022</t>
  </si>
  <si>
    <t>Textiles &amp; Apparels</t>
  </si>
  <si>
    <t>IPCA Laboratories Ltd</t>
  </si>
  <si>
    <t>INE571A01038</t>
  </si>
  <si>
    <t>Bank of India</t>
  </si>
  <si>
    <t>INE084A01016</t>
  </si>
  <si>
    <t>Rail Vikas Nigam Ltd</t>
  </si>
  <si>
    <t>INE415G01027</t>
  </si>
  <si>
    <t>Jubilant Foodworks Ltd</t>
  </si>
  <si>
    <t>INE797F01020</t>
  </si>
  <si>
    <t>Indian Railway Catering And Tourism Corporation Ltd</t>
  </si>
  <si>
    <t>INE335Y01020</t>
  </si>
  <si>
    <t>Oracle Financial Services Software Ltd</t>
  </si>
  <si>
    <t>INE881D01027</t>
  </si>
  <si>
    <t>Balkrishna Industries Ltd</t>
  </si>
  <si>
    <t>INE787D01026</t>
  </si>
  <si>
    <t>Tata Communications Ltd</t>
  </si>
  <si>
    <t>INE151A01013</t>
  </si>
  <si>
    <t>Tata Elxsi Ltd</t>
  </si>
  <si>
    <t>INE670A01012</t>
  </si>
  <si>
    <t>Astral Ltd</t>
  </si>
  <si>
    <t>INE006I01046</t>
  </si>
  <si>
    <t>Oberoi Realty Ltd</t>
  </si>
  <si>
    <t>INE093I01010</t>
  </si>
  <si>
    <t>Container Corporation Of India Ltd</t>
  </si>
  <si>
    <t>INE111A01025</t>
  </si>
  <si>
    <t>KPIT Technologies Ltd</t>
  </si>
  <si>
    <t>INE04I401011</t>
  </si>
  <si>
    <t>Patanjali Foods Ltd</t>
  </si>
  <si>
    <t>INE619A01035</t>
  </si>
  <si>
    <t>Agricultural Food &amp; other Products</t>
  </si>
  <si>
    <t>ITC Hotels Ltd</t>
  </si>
  <si>
    <t>INE379A01028</t>
  </si>
  <si>
    <t>Dalmia Bharat Ltd</t>
  </si>
  <si>
    <t>INE00R701025</t>
  </si>
  <si>
    <t>Apollo Tyres Ltd</t>
  </si>
  <si>
    <t>INE438A01022</t>
  </si>
  <si>
    <t>LIC Housing Finance Ltd</t>
  </si>
  <si>
    <t>INE115A01026</t>
  </si>
  <si>
    <t>Nippon Life India Asset Management Ltd</t>
  </si>
  <si>
    <t>INE298J01013</t>
  </si>
  <si>
    <t>AIA Engineering Ltd</t>
  </si>
  <si>
    <t>INE212H01026</t>
  </si>
  <si>
    <t>Exide Industries Ltd</t>
  </si>
  <si>
    <t>INE302A01020</t>
  </si>
  <si>
    <t>Adani Total Gas Ltd</t>
  </si>
  <si>
    <t>INE399L01023</t>
  </si>
  <si>
    <t>Schaeffler India Ltd</t>
  </si>
  <si>
    <t>INE513A01022</t>
  </si>
  <si>
    <t>Abbott India Ltd</t>
  </si>
  <si>
    <t>INE358A01014</t>
  </si>
  <si>
    <t>Lloyds Metals And Energy Ltd</t>
  </si>
  <si>
    <t>INE281B01032</t>
  </si>
  <si>
    <t>Bharat Dynamics Ltd</t>
  </si>
  <si>
    <t>INE171Z01026</t>
  </si>
  <si>
    <t>Cochin Shipyard Ltd</t>
  </si>
  <si>
    <t>INE704P01025</t>
  </si>
  <si>
    <t>Kalyan Jewellers India Ltd</t>
  </si>
  <si>
    <t>INE303R01014</t>
  </si>
  <si>
    <t>Apar Industries Ltd</t>
  </si>
  <si>
    <t>INE372A01015</t>
  </si>
  <si>
    <t>Bank Of Maharashtra</t>
  </si>
  <si>
    <t>INE457A01014</t>
  </si>
  <si>
    <t>Berger Paints India Ltd</t>
  </si>
  <si>
    <t>INE463A01038</t>
  </si>
  <si>
    <t>Gujarat Fluorochemicals Ltd</t>
  </si>
  <si>
    <t>INE09N301011</t>
  </si>
  <si>
    <t>Linde India Ltd</t>
  </si>
  <si>
    <t>INE473A01011</t>
  </si>
  <si>
    <t>Indraprastha Gas Ltd</t>
  </si>
  <si>
    <t>INE203G01027</t>
  </si>
  <si>
    <t>Ajanta Pharma Ltd</t>
  </si>
  <si>
    <t>INE031B01049</t>
  </si>
  <si>
    <t>General Insurance Corporation Of India</t>
  </si>
  <si>
    <t>INE481Y01014</t>
  </si>
  <si>
    <t>Motilal Oswal Financial Services Ltd</t>
  </si>
  <si>
    <t>INE338I01027</t>
  </si>
  <si>
    <t>Bharti Hexacom Ltd</t>
  </si>
  <si>
    <t>INE343G01021</t>
  </si>
  <si>
    <t>CRISIL Ltd</t>
  </si>
  <si>
    <t>INE007A01025</t>
  </si>
  <si>
    <t>Deepak Nitrite Ltd</t>
  </si>
  <si>
    <t>INE288B01029</t>
  </si>
  <si>
    <t>Escorts Kubota Ltd</t>
  </si>
  <si>
    <t>INE042A01014</t>
  </si>
  <si>
    <t>Thermax Ltd</t>
  </si>
  <si>
    <t>INE152A01029</t>
  </si>
  <si>
    <t>Procter &amp; Gamble Hygiene and Health Care Ltd</t>
  </si>
  <si>
    <t>INE179A01014</t>
  </si>
  <si>
    <t>Tata Technologies Ltd</t>
  </si>
  <si>
    <t>INE142M01025</t>
  </si>
  <si>
    <t>IT - Services</t>
  </si>
  <si>
    <t>United Breweries Ltd</t>
  </si>
  <si>
    <t>INE686F01025</t>
  </si>
  <si>
    <t>Indian Renewable Energy Development Agency Ltd</t>
  </si>
  <si>
    <t>INE202E01016</t>
  </si>
  <si>
    <t>Hexaware Technologies Ltd</t>
  </si>
  <si>
    <t>INE093A01041</t>
  </si>
  <si>
    <t>L&amp;T Technology Services Ltd</t>
  </si>
  <si>
    <t>INE010V01017</t>
  </si>
  <si>
    <t>K.P.R. Mill Ltd</t>
  </si>
  <si>
    <t>INE930H01031</t>
  </si>
  <si>
    <t>ACC Ltd</t>
  </si>
  <si>
    <t>INE012A01025</t>
  </si>
  <si>
    <t>Awl Agri Business Ltd</t>
  </si>
  <si>
    <t>INE699H01024</t>
  </si>
  <si>
    <t>Glaxosmithkline Pharmaceuticals Ltd</t>
  </si>
  <si>
    <t>INE159A01016</t>
  </si>
  <si>
    <t>3M India Ltd</t>
  </si>
  <si>
    <t>INE470A01017</t>
  </si>
  <si>
    <t>Diversified</t>
  </si>
  <si>
    <t>Housing &amp; Urban Development Corporation Ltd</t>
  </si>
  <si>
    <t>INE031A01017</t>
  </si>
  <si>
    <t>Syngene International Ltd</t>
  </si>
  <si>
    <t>INE398R01022</t>
  </si>
  <si>
    <t>Global Health Ltd</t>
  </si>
  <si>
    <t>INE474Q01031</t>
  </si>
  <si>
    <t>Endurance Technologies Ltd</t>
  </si>
  <si>
    <t>INE913H01037</t>
  </si>
  <si>
    <t>NLC India Ltd</t>
  </si>
  <si>
    <t>INE589A01014</t>
  </si>
  <si>
    <t>JSW Infrastructure Ltd</t>
  </si>
  <si>
    <t>INE880J01026</t>
  </si>
  <si>
    <t>Premier Energies Ltd</t>
  </si>
  <si>
    <t>INE0BS701011</t>
  </si>
  <si>
    <t>Godfrey Phillips India Ltd</t>
  </si>
  <si>
    <t>INE260B01028</t>
  </si>
  <si>
    <t>Cigarettes &amp; Tobacco Products</t>
  </si>
  <si>
    <t>IRB Infrastructure Developers Ltd</t>
  </si>
  <si>
    <t>INE821I01022</t>
  </si>
  <si>
    <t>Tata Investment Corporation Ltd</t>
  </si>
  <si>
    <t>INE672A01026</t>
  </si>
  <si>
    <t>NTPC Green Energy Ltd</t>
  </si>
  <si>
    <t>INE0ONG01011</t>
  </si>
  <si>
    <t>Honeywell Automation India Ltd</t>
  </si>
  <si>
    <t>INE671A01010</t>
  </si>
  <si>
    <t>Gujarat Gas Ltd</t>
  </si>
  <si>
    <t>INE844O01030</t>
  </si>
  <si>
    <t>IDBI Bank Ltd</t>
  </si>
  <si>
    <t>INE008A01015</t>
  </si>
  <si>
    <t>Indian Overseas Bank</t>
  </si>
  <si>
    <t>INE565A01014</t>
  </si>
  <si>
    <t>SJVN Ltd</t>
  </si>
  <si>
    <t>INE002L01015</t>
  </si>
  <si>
    <t>Fertilizers And Chemicals Travancore Ltd</t>
  </si>
  <si>
    <t>INE188A01015</t>
  </si>
  <si>
    <t>Godrej Industries Ltd</t>
  </si>
  <si>
    <t>INE233A01035</t>
  </si>
  <si>
    <t>The New India Assurance Co Ltd</t>
  </si>
  <si>
    <t>INE470Y01017</t>
  </si>
  <si>
    <t>UCO Bank</t>
  </si>
  <si>
    <t>INE691A01018</t>
  </si>
  <si>
    <t>Multi Commodity Exchange Of India Ltd</t>
  </si>
  <si>
    <t>INE745G01043</t>
  </si>
  <si>
    <t>Laurus Labs Ltd</t>
  </si>
  <si>
    <t>INE947Q01028</t>
  </si>
  <si>
    <t>Karur Vysya Bank Ltd</t>
  </si>
  <si>
    <t>INE036D01028</t>
  </si>
  <si>
    <t>Central Depository Services (India) Ltd</t>
  </si>
  <si>
    <t>INE736A01011</t>
  </si>
  <si>
    <t>Delhivery Ltd</t>
  </si>
  <si>
    <t>INE148O01028</t>
  </si>
  <si>
    <t>Hindustan Copper Ltd</t>
  </si>
  <si>
    <t>INE531E01026</t>
  </si>
  <si>
    <t>Navin Fluorine International Ltd</t>
  </si>
  <si>
    <t>INE048G01026</t>
  </si>
  <si>
    <t>Radico Khaitan Ltd</t>
  </si>
  <si>
    <t>INE944F01028</t>
  </si>
  <si>
    <t>City Union Bank Ltd</t>
  </si>
  <si>
    <t>INE491A01021</t>
  </si>
  <si>
    <t>RBL Bank Ltd</t>
  </si>
  <si>
    <t>INE976G01028</t>
  </si>
  <si>
    <t>Computer Age Management Services Ltd</t>
  </si>
  <si>
    <t>INE596I01020</t>
  </si>
  <si>
    <t>Cholamandalam Financial Holdings Ltd</t>
  </si>
  <si>
    <t>INE149A01033</t>
  </si>
  <si>
    <t>Angel One Ltd</t>
  </si>
  <si>
    <t>INE732I01013</t>
  </si>
  <si>
    <t>Redington Ltd</t>
  </si>
  <si>
    <t>INE891D01026</t>
  </si>
  <si>
    <t>Commercial Services &amp; Supplies</t>
  </si>
  <si>
    <t>Manappuram Finance Ltd</t>
  </si>
  <si>
    <t>INE522D01027</t>
  </si>
  <si>
    <t>PNB Housing Finance Ltd</t>
  </si>
  <si>
    <t>INE572E01012</t>
  </si>
  <si>
    <t>J.B. Chemicals &amp; Pharmaceuticals Ltd</t>
  </si>
  <si>
    <t>INE572A01036</t>
  </si>
  <si>
    <t>Krishna Institute Of Medical Sciences Ltd</t>
  </si>
  <si>
    <t>INE967H01025</t>
  </si>
  <si>
    <t>Gland Pharma Ltd</t>
  </si>
  <si>
    <t>INE068V01023</t>
  </si>
  <si>
    <t>Crompton Greaves Consumer Electricals Ltd</t>
  </si>
  <si>
    <t>INE299U01018</t>
  </si>
  <si>
    <t>The Ramco Cements Ltd</t>
  </si>
  <si>
    <t>INE331A01037</t>
  </si>
  <si>
    <t>Bandhan Bank Ltd</t>
  </si>
  <si>
    <t>INE545U01014</t>
  </si>
  <si>
    <t>Kfin Technologies Ltd</t>
  </si>
  <si>
    <t>INE138Y01010</t>
  </si>
  <si>
    <t>Authum Investment &amp; Infrastructure Ltd</t>
  </si>
  <si>
    <t>INE206F01022</t>
  </si>
  <si>
    <t>Kalpataru Projects International Ltd</t>
  </si>
  <si>
    <t>INE220B01022</t>
  </si>
  <si>
    <t>Aster DM Healthcare Ltd</t>
  </si>
  <si>
    <t>INE914M01019</t>
  </si>
  <si>
    <t>Amber Enterprises India Ltd</t>
  </si>
  <si>
    <t>INE371P01015</t>
  </si>
  <si>
    <t>Anand Rathi Wealth Ltd</t>
  </si>
  <si>
    <t>INE463V01026</t>
  </si>
  <si>
    <t>IIFL Finance Ltd</t>
  </si>
  <si>
    <t>INE530B01024</t>
  </si>
  <si>
    <t>Asahi India Glass Ltd</t>
  </si>
  <si>
    <t>INE439A01020</t>
  </si>
  <si>
    <t>Narayana Hrudayalaya Ltd</t>
  </si>
  <si>
    <t>INE410P01011</t>
  </si>
  <si>
    <t>Great Eastern Shipping Co Ltd</t>
  </si>
  <si>
    <t>INE017A01032</t>
  </si>
  <si>
    <t>Tata Chemicals Ltd</t>
  </si>
  <si>
    <t>INE092A01019</t>
  </si>
  <si>
    <t>Sammaan Capital Ltd</t>
  </si>
  <si>
    <t>INE148I01020</t>
  </si>
  <si>
    <t>Poonawalla Fincorp Ltd</t>
  </si>
  <si>
    <t>INE511C01022</t>
  </si>
  <si>
    <t>Sai Life Sciences Ltd</t>
  </si>
  <si>
    <t>INE570L01029</t>
  </si>
  <si>
    <t>Wockhardt Ltd</t>
  </si>
  <si>
    <t>INE049B01025</t>
  </si>
  <si>
    <t>Neuland Laboratories Ltd</t>
  </si>
  <si>
    <t>INE794A01010</t>
  </si>
  <si>
    <t>ZF Commercial Vehicle Control Systems India Ltd</t>
  </si>
  <si>
    <t>INE342J01019</t>
  </si>
  <si>
    <t>Star Health And Allied Insurance Co Ltd</t>
  </si>
  <si>
    <t>INE575P01011</t>
  </si>
  <si>
    <t>Motherson Sumi Wiring India Ltd</t>
  </si>
  <si>
    <t>INE0FS801015</t>
  </si>
  <si>
    <t>PTC Industries Ltd</t>
  </si>
  <si>
    <t>INE596F01018</t>
  </si>
  <si>
    <t>Dr. Lal Path Labs Ltd</t>
  </si>
  <si>
    <t>INE600L01024</t>
  </si>
  <si>
    <t>Kaynes Technology India Ltd</t>
  </si>
  <si>
    <t>INE918Z01012</t>
  </si>
  <si>
    <t>Himadri Speciality Chemical Ltd</t>
  </si>
  <si>
    <t>INE019C01026</t>
  </si>
  <si>
    <t>Home First Finance Co India Ltd</t>
  </si>
  <si>
    <t>INE481N01025</t>
  </si>
  <si>
    <t>Timken India Ltd</t>
  </si>
  <si>
    <t>INE325A01013</t>
  </si>
  <si>
    <t>Sundram Fasteners Ltd</t>
  </si>
  <si>
    <t>INE387A01021</t>
  </si>
  <si>
    <t>Brigade Enterprises Ltd</t>
  </si>
  <si>
    <t>INE791I01019</t>
  </si>
  <si>
    <t>Inox Wind Ltd</t>
  </si>
  <si>
    <t>INE066P01011</t>
  </si>
  <si>
    <t>Amara Raja Energy And Mobility Ltd</t>
  </si>
  <si>
    <t>INE885A01032</t>
  </si>
  <si>
    <t>NBCC (India) Ltd</t>
  </si>
  <si>
    <t>INE095N01031</t>
  </si>
  <si>
    <t>Nuvama Wealth Management Ltd</t>
  </si>
  <si>
    <t>INE531F01023</t>
  </si>
  <si>
    <t>Firstsource Solutions Ltd</t>
  </si>
  <si>
    <t>INE684F01012</t>
  </si>
  <si>
    <t>Indian Energy Exchange Ltd</t>
  </si>
  <si>
    <t>INE022Q01020</t>
  </si>
  <si>
    <t>eClerx Services Ltd</t>
  </si>
  <si>
    <t>INE738I01010</t>
  </si>
  <si>
    <t>Atul Ltd</t>
  </si>
  <si>
    <t>INE100A01010</t>
  </si>
  <si>
    <t>Affle 3i Ltd</t>
  </si>
  <si>
    <t>INE00WC01027</t>
  </si>
  <si>
    <t>Kirloskar Oil Engines Ltd</t>
  </si>
  <si>
    <t>INE146L01010</t>
  </si>
  <si>
    <t>Aptus Value Housing Finance India Ltd</t>
  </si>
  <si>
    <t>INE852O01025</t>
  </si>
  <si>
    <t>Cyient Ltd</t>
  </si>
  <si>
    <t>INE136B01020</t>
  </si>
  <si>
    <t>Piramal Pharma Ltd</t>
  </si>
  <si>
    <t>INE0DK501011</t>
  </si>
  <si>
    <t>Welspun Corp Ltd</t>
  </si>
  <si>
    <t>INE191B01025</t>
  </si>
  <si>
    <t>Emami Ltd</t>
  </si>
  <si>
    <t>INE548C01032</t>
  </si>
  <si>
    <t>EID Parry India Ltd</t>
  </si>
  <si>
    <t>INE126A01031</t>
  </si>
  <si>
    <t>CESC Ltd</t>
  </si>
  <si>
    <t>INE486A01021</t>
  </si>
  <si>
    <t>Elgi Equipments Ltd</t>
  </si>
  <si>
    <t>INE285A01027</t>
  </si>
  <si>
    <t>Force Motors Ltd</t>
  </si>
  <si>
    <t>INE451A01017</t>
  </si>
  <si>
    <t>Aegis Logistics Ltd</t>
  </si>
  <si>
    <t>INE208C01025</t>
  </si>
  <si>
    <t>Carborundum Universal Ltd</t>
  </si>
  <si>
    <t>INE120A01034</t>
  </si>
  <si>
    <t>Craftsman Automation Ltd</t>
  </si>
  <si>
    <t>INE00LO01017</t>
  </si>
  <si>
    <t>Castrol India Ltd</t>
  </si>
  <si>
    <t>INE172A01027</t>
  </si>
  <si>
    <t>Ather Energy Ltd</t>
  </si>
  <si>
    <t>INE0LEZ01016</t>
  </si>
  <si>
    <t>HBL Engineering Ltd</t>
  </si>
  <si>
    <t>INE292B01021</t>
  </si>
  <si>
    <t>PG Electroplast Ltd</t>
  </si>
  <si>
    <t>INE457L01029</t>
  </si>
  <si>
    <t>Five-Star Business Finance Ltd</t>
  </si>
  <si>
    <t>INE128S01021</t>
  </si>
  <si>
    <t>Gujarat State Petronet Ltd</t>
  </si>
  <si>
    <t>INE246F01010</t>
  </si>
  <si>
    <t>KEC International Ltd</t>
  </si>
  <si>
    <t>INE389H01022</t>
  </si>
  <si>
    <t>Granules India Ltd</t>
  </si>
  <si>
    <t>INE101D01020</t>
  </si>
  <si>
    <t>Intellect Design Arena Ltd</t>
  </si>
  <si>
    <t>INE306R01017</t>
  </si>
  <si>
    <t>Garden Reach Shipbuilders &amp; Engineers Ltd</t>
  </si>
  <si>
    <t>INE382Z01011</t>
  </si>
  <si>
    <t>Reliance Power Ltd</t>
  </si>
  <si>
    <t>INE614G01033</t>
  </si>
  <si>
    <t>Data Patterns India Ltd</t>
  </si>
  <si>
    <t>INE0IX101010</t>
  </si>
  <si>
    <t>Jubilant Pharmova Ltd</t>
  </si>
  <si>
    <t>INE700A01033</t>
  </si>
  <si>
    <t>CEAT Ltd</t>
  </si>
  <si>
    <t>INE482A01020</t>
  </si>
  <si>
    <t>Can Fin Homes Ltd</t>
  </si>
  <si>
    <t>INE477A01020</t>
  </si>
  <si>
    <t>Nava Ltd</t>
  </si>
  <si>
    <t>INE725A01030</t>
  </si>
  <si>
    <t>Go Digit General Insurance Ltd</t>
  </si>
  <si>
    <t>INE03JT01014</t>
  </si>
  <si>
    <t>Zee Entertainment Enterprises Ltd</t>
  </si>
  <si>
    <t>INE256A01028</t>
  </si>
  <si>
    <t>Entertainment</t>
  </si>
  <si>
    <t>Anant Raj Ltd</t>
  </si>
  <si>
    <t>INE242C01024</t>
  </si>
  <si>
    <t>Sagility Ltd</t>
  </si>
  <si>
    <t>INE0W2G01015</t>
  </si>
  <si>
    <t>Aarti Industries Ltd</t>
  </si>
  <si>
    <t>INE769A01020</t>
  </si>
  <si>
    <t>Inventurus Knowledge Solutions Ltd</t>
  </si>
  <si>
    <t>INE115Q01022</t>
  </si>
  <si>
    <t>Natco Pharma Ltd</t>
  </si>
  <si>
    <t>INE987B01026</t>
  </si>
  <si>
    <t>Kajaria Ceramics Ltd</t>
  </si>
  <si>
    <t>INE217B01036</t>
  </si>
  <si>
    <t>Zensar Technologies Ltd</t>
  </si>
  <si>
    <t>INE520A01027</t>
  </si>
  <si>
    <t>Eris Lifesciences Ltd</t>
  </si>
  <si>
    <t>INE406M01024</t>
  </si>
  <si>
    <t>Jaiprakash Power Ventures Ltd</t>
  </si>
  <si>
    <t>INE351F01018</t>
  </si>
  <si>
    <t>HFCL Ltd</t>
  </si>
  <si>
    <t>INE548A01028</t>
  </si>
  <si>
    <t>Usha Martin Ltd</t>
  </si>
  <si>
    <t>INE228A01035</t>
  </si>
  <si>
    <t>Maharashtra Scooters Ltd</t>
  </si>
  <si>
    <t>INE288A01013</t>
  </si>
  <si>
    <t>Creditaccess Grameen Ltd</t>
  </si>
  <si>
    <t>INE741K01010</t>
  </si>
  <si>
    <t>Gillette India Ltd</t>
  </si>
  <si>
    <t>INE322A01010</t>
  </si>
  <si>
    <t>Deepak Fertilizers and Petrochemicals Corporation Ltd</t>
  </si>
  <si>
    <t>INE501A01019</t>
  </si>
  <si>
    <t>PVR Inox Ltd</t>
  </si>
  <si>
    <t>INE191H01014</t>
  </si>
  <si>
    <t>Pfizer Ltd</t>
  </si>
  <si>
    <t>INE182A01018</t>
  </si>
  <si>
    <t>Birlasoft Ltd</t>
  </si>
  <si>
    <t>INE836A01035</t>
  </si>
  <si>
    <t>Jyoti CNC Automation Ltd</t>
  </si>
  <si>
    <t>INE980O01024</t>
  </si>
  <si>
    <t>BEML Ltd</t>
  </si>
  <si>
    <t>INE258A01024</t>
  </si>
  <si>
    <t>CCL Products (India) Ltd</t>
  </si>
  <si>
    <t>INE421D01022</t>
  </si>
  <si>
    <t>Capri Global Capital Ltd</t>
  </si>
  <si>
    <t>INE180C01042</t>
  </si>
  <si>
    <t>Indiamart Intermesh Ltd</t>
  </si>
  <si>
    <t>INE933S01016</t>
  </si>
  <si>
    <t>Chambal Fertilizers &amp; Chemicals Ltd</t>
  </si>
  <si>
    <t>INE085A01013</t>
  </si>
  <si>
    <t>V-Guard Industries Ltd</t>
  </si>
  <si>
    <t>INE951I01027</t>
  </si>
  <si>
    <t>Aditya Birla Real Estate Ltd</t>
  </si>
  <si>
    <t>INE055A01016</t>
  </si>
  <si>
    <t>Paper, Forest &amp; Jute Products</t>
  </si>
  <si>
    <t>Onesource Specialty Pharma Ltd</t>
  </si>
  <si>
    <t>INE013P01021</t>
  </si>
  <si>
    <t>Titagarh Rail Systems Ltd</t>
  </si>
  <si>
    <t>INE615H01020</t>
  </si>
  <si>
    <t>Zen Technologies Ltd</t>
  </si>
  <si>
    <t>INE251B01027</t>
  </si>
  <si>
    <t>Sobha Ltd</t>
  </si>
  <si>
    <t>INE671H01015</t>
  </si>
  <si>
    <t>Lemon Tree Hotels Ltd</t>
  </si>
  <si>
    <t>INE970X01018</t>
  </si>
  <si>
    <t>JK Tyre &amp; Industries Ltd</t>
  </si>
  <si>
    <t>INE573A01042</t>
  </si>
  <si>
    <t>EIH Ltd</t>
  </si>
  <si>
    <t>INE230A01023</t>
  </si>
  <si>
    <t>Chalet Hotels Ltd</t>
  </si>
  <si>
    <t>INE427F01016</t>
  </si>
  <si>
    <t>Cohance Lifesciences Ltd</t>
  </si>
  <si>
    <t>INE03QK01018</t>
  </si>
  <si>
    <t>Sonata Software Ltd</t>
  </si>
  <si>
    <t>INE269A01021</t>
  </si>
  <si>
    <t>Brainbees Solutions Ltd</t>
  </si>
  <si>
    <t>INE02RE01045</t>
  </si>
  <si>
    <t>Godawari Power &amp; Ispat Ltd</t>
  </si>
  <si>
    <t>INE177H01039</t>
  </si>
  <si>
    <t>Shyam Metalics And Energy Ltd</t>
  </si>
  <si>
    <t>INE810G01011</t>
  </si>
  <si>
    <t>Mahanagar Gas Ltd</t>
  </si>
  <si>
    <t>INE002S01010</t>
  </si>
  <si>
    <t>NCC Ltd</t>
  </si>
  <si>
    <t>INE868B01028</t>
  </si>
  <si>
    <t>Swan Corp Ltd</t>
  </si>
  <si>
    <t>INE665A01038</t>
  </si>
  <si>
    <t>Syrma SGS Technology Ltd</t>
  </si>
  <si>
    <t>INE0DYJ01015</t>
  </si>
  <si>
    <t>Aavas Financiers Ltd</t>
  </si>
  <si>
    <t>INE216P01012</t>
  </si>
  <si>
    <t>Poly Medicure Ltd</t>
  </si>
  <si>
    <t>INE205C01021</t>
  </si>
  <si>
    <t>Healthcare Equipment &amp; Supplies</t>
  </si>
  <si>
    <t>Triveni Turbine Ltd</t>
  </si>
  <si>
    <t>INE152M01016</t>
  </si>
  <si>
    <t>Bayer Cropscience Ltd</t>
  </si>
  <si>
    <t>INE462A01022</t>
  </si>
  <si>
    <t>Rainbow Childrens Medicare Ltd</t>
  </si>
  <si>
    <t>INE961O01016</t>
  </si>
  <si>
    <t>Ola Electric Mobility Ltd</t>
  </si>
  <si>
    <t>INE0LXG01040</t>
  </si>
  <si>
    <t>Choice International Ltd</t>
  </si>
  <si>
    <t>INE102B01014</t>
  </si>
  <si>
    <t>Aditya Birla Sun Life AMC Ltd</t>
  </si>
  <si>
    <t>INE404A01024</t>
  </si>
  <si>
    <t>Sun TV Network Ltd</t>
  </si>
  <si>
    <t>INE424H01027</t>
  </si>
  <si>
    <t>Bata India Ltd</t>
  </si>
  <si>
    <t>INE176A01028</t>
  </si>
  <si>
    <t>Finolex Cables Ltd</t>
  </si>
  <si>
    <t>INE235A01022</t>
  </si>
  <si>
    <t>IRCON International Ltd</t>
  </si>
  <si>
    <t>INE962Y01021</t>
  </si>
  <si>
    <t>Jubilant Ingrevia Ltd</t>
  </si>
  <si>
    <t>INE0BY001018</t>
  </si>
  <si>
    <t>AstraZenca Pharma India Ltd</t>
  </si>
  <si>
    <t>INE203A01020</t>
  </si>
  <si>
    <t>Ramkrishna Forgings Ltd</t>
  </si>
  <si>
    <t>INE399G01023</t>
  </si>
  <si>
    <t>Aadhar Housing Finance Ltd</t>
  </si>
  <si>
    <t>INE883F01010</t>
  </si>
  <si>
    <t>Netweb Technologies India Ltd</t>
  </si>
  <si>
    <t>INE0NT901020</t>
  </si>
  <si>
    <t>LT Foods Ltd</t>
  </si>
  <si>
    <t>INE818H01020</t>
  </si>
  <si>
    <t>Aditya Birla Lifestyle Brands Ltd</t>
  </si>
  <si>
    <t>INE14LE01019</t>
  </si>
  <si>
    <t>Gravita India Ltd</t>
  </si>
  <si>
    <t>INE024L01027</t>
  </si>
  <si>
    <t>Sumitomo Chemical India Ltd</t>
  </si>
  <si>
    <t>INE258G01013</t>
  </si>
  <si>
    <t>JM Financial Ltd</t>
  </si>
  <si>
    <t>INE780C01023</t>
  </si>
  <si>
    <t>Finolex Industries Ltd</t>
  </si>
  <si>
    <t>INE183A01024</t>
  </si>
  <si>
    <t>Afcons Infrastructure Ltd</t>
  </si>
  <si>
    <t>INE101I01011</t>
  </si>
  <si>
    <t>Indegene Ltd</t>
  </si>
  <si>
    <t>INE065X01017</t>
  </si>
  <si>
    <t>NMDC Steel Ltd</t>
  </si>
  <si>
    <t>INE0NNS01018</t>
  </si>
  <si>
    <t>Techno Electric &amp; Engineering Co Ltd</t>
  </si>
  <si>
    <t>INE285K01026</t>
  </si>
  <si>
    <t>Century Plyboards (India) Ltd</t>
  </si>
  <si>
    <t>INE348B01021</t>
  </si>
  <si>
    <t>Metropolis Healthcare Ltd</t>
  </si>
  <si>
    <t>INE112L01020</t>
  </si>
  <si>
    <t>Niva Bupa Health Insurance Co Ltd</t>
  </si>
  <si>
    <t>INE995S01015</t>
  </si>
  <si>
    <t>Balrampur Chini Mills Ltd</t>
  </si>
  <si>
    <t>INE119A01028</t>
  </si>
  <si>
    <t>Whirlpool Of India Ltd</t>
  </si>
  <si>
    <t>INE716A01013</t>
  </si>
  <si>
    <t>Gujarat Mineral Development Corporation Ltd</t>
  </si>
  <si>
    <t>INE131A01031</t>
  </si>
  <si>
    <t>Engineers India Ltd</t>
  </si>
  <si>
    <t>INE510A01028</t>
  </si>
  <si>
    <t>Dcm Shriram Ltd</t>
  </si>
  <si>
    <t>INE499A01024</t>
  </si>
  <si>
    <t>Vijaya Diagnostic Centre Ltd</t>
  </si>
  <si>
    <t>INE043W01024</t>
  </si>
  <si>
    <t>PCBL Chemical Ltd</t>
  </si>
  <si>
    <t>INE602A01031</t>
  </si>
  <si>
    <t>Devyani International Ltd</t>
  </si>
  <si>
    <t>INE872J01023</t>
  </si>
  <si>
    <t>The Jammu &amp; Kashmir Bank Ltd</t>
  </si>
  <si>
    <t>INE168A01041</t>
  </si>
  <si>
    <t>TBO Tek Ltd</t>
  </si>
  <si>
    <t>INE673O01025</t>
  </si>
  <si>
    <t>Heg Ltd</t>
  </si>
  <si>
    <t>INE545A01024</t>
  </si>
  <si>
    <t>Minda Corporation Ltd</t>
  </si>
  <si>
    <t>INE842C01021</t>
  </si>
  <si>
    <t>Sarda Energy &amp; Minerals Ltd</t>
  </si>
  <si>
    <t>INE385C01021</t>
  </si>
  <si>
    <t>Sapphire Foods India Ltd</t>
  </si>
  <si>
    <t>INE806T01020</t>
  </si>
  <si>
    <t>R R Kabel Ltd</t>
  </si>
  <si>
    <t>INE777K01022</t>
  </si>
  <si>
    <t>Olectra Greentech Ltd</t>
  </si>
  <si>
    <t>INE260D01016</t>
  </si>
  <si>
    <t>Vardhman Textiles Ltd</t>
  </si>
  <si>
    <t>INE825A01020</t>
  </si>
  <si>
    <t>Jupiter Wagons Ltd</t>
  </si>
  <si>
    <t>INE209L01016</t>
  </si>
  <si>
    <t>Alembic Pharmaceuticals Ltd</t>
  </si>
  <si>
    <t>INE901L01018</t>
  </si>
  <si>
    <t>Emcure Pharmaceuticals Ltd</t>
  </si>
  <si>
    <t>INE168P01015</t>
  </si>
  <si>
    <t>Bikaji Foods International Ltd</t>
  </si>
  <si>
    <t>INE00E101023</t>
  </si>
  <si>
    <t>Doms Industries Ltd</t>
  </si>
  <si>
    <t>INE321T01012</t>
  </si>
  <si>
    <t>Household Products</t>
  </si>
  <si>
    <t>Chennai Petroleum Corporation Ltd</t>
  </si>
  <si>
    <t>INE178A01016</t>
  </si>
  <si>
    <t>BASF India Ltd</t>
  </si>
  <si>
    <t>INE373A01013</t>
  </si>
  <si>
    <t>Clean Science And Technology Ltd</t>
  </si>
  <si>
    <t>INE227W01023</t>
  </si>
  <si>
    <t>Graphite India Ltd</t>
  </si>
  <si>
    <t>INE371A01025</t>
  </si>
  <si>
    <t>Jindal Saw Ltd</t>
  </si>
  <si>
    <t>INE324A01032</t>
  </si>
  <si>
    <t>UTI Asset Management Co Ltd</t>
  </si>
  <si>
    <t>INE094J01016</t>
  </si>
  <si>
    <t>Schneider Electric Infrastructure Ltd</t>
  </si>
  <si>
    <t>INE839M01018</t>
  </si>
  <si>
    <t>Kirloskar Brothers Ltd</t>
  </si>
  <si>
    <t>INE732A01036</t>
  </si>
  <si>
    <t>Welspun Living Ltd</t>
  </si>
  <si>
    <t>INE192B01031</t>
  </si>
  <si>
    <t>Concord Biotech Ltd</t>
  </si>
  <si>
    <t>INE338H01029</t>
  </si>
  <si>
    <t>Shipping Corporation of India Ltd</t>
  </si>
  <si>
    <t>INE109A01011</t>
  </si>
  <si>
    <t>Honasa Consumer Ltd</t>
  </si>
  <si>
    <t>INE0J5401028</t>
  </si>
  <si>
    <t>INE036A01016</t>
  </si>
  <si>
    <t>Akzo Nobel India Ltd</t>
  </si>
  <si>
    <t>INE133A01011</t>
  </si>
  <si>
    <t>Newgen Software Technologies Ltd</t>
  </si>
  <si>
    <t>INE619B01017</t>
  </si>
  <si>
    <t>KSB Ltd</t>
  </si>
  <si>
    <t>INE999A01023</t>
  </si>
  <si>
    <t>IFCI Ltd</t>
  </si>
  <si>
    <t>INE039A01010</t>
  </si>
  <si>
    <t>Central Bank of India</t>
  </si>
  <si>
    <t>INE483A01010</t>
  </si>
  <si>
    <t>Aditya Birla Fashion and Retail Ltd</t>
  </si>
  <si>
    <t>INE647O01011</t>
  </si>
  <si>
    <t>Elecon Engineering Co Ltd</t>
  </si>
  <si>
    <t>INE205B01031</t>
  </si>
  <si>
    <t>Praj Industries Ltd</t>
  </si>
  <si>
    <t>INE074A01025</t>
  </si>
  <si>
    <t>Caplin Point Laboratories Ltd</t>
  </si>
  <si>
    <t>INE475E01026</t>
  </si>
  <si>
    <t>Signatureglobal (India) Ltd</t>
  </si>
  <si>
    <t>INE903U01023</t>
  </si>
  <si>
    <t>Action Construction Equipment Ltd</t>
  </si>
  <si>
    <t>INE731H01025</t>
  </si>
  <si>
    <t>Nuvoco Vistas Corporation Ltd</t>
  </si>
  <si>
    <t>INE118D01016</t>
  </si>
  <si>
    <t>Leela Palaces Hotels &amp; Resorts Ltd</t>
  </si>
  <si>
    <t>INE0AQ201015</t>
  </si>
  <si>
    <t>Happiest Minds Technologies Ltd</t>
  </si>
  <si>
    <t>INE419U01012</t>
  </si>
  <si>
    <t>Jyothy Labs Ltd</t>
  </si>
  <si>
    <t>INE668F01031</t>
  </si>
  <si>
    <t>Dr. Agarwals Health Care Ltd</t>
  </si>
  <si>
    <t>INE943P01029</t>
  </si>
  <si>
    <t>SBFC Finance Ltd</t>
  </si>
  <si>
    <t>INE423Y01016</t>
  </si>
  <si>
    <t>Blue Dart Express Ltd</t>
  </si>
  <si>
    <t>INE233B01017</t>
  </si>
  <si>
    <t>Trident Ltd</t>
  </si>
  <si>
    <t>INE064C01022</t>
  </si>
  <si>
    <t>Triveni Engineering &amp; Industries Ltd</t>
  </si>
  <si>
    <t>INE256C01024</t>
  </si>
  <si>
    <t>Aegis Vopak Terminals Ltd</t>
  </si>
  <si>
    <t>INE0INX01018</t>
  </si>
  <si>
    <t>International Gemmological Institute India Ltd</t>
  </si>
  <si>
    <t>INE0Q9301021</t>
  </si>
  <si>
    <t>Mangalore Refinery &amp; Petrochemicals Ltd</t>
  </si>
  <si>
    <t>INE103A01014</t>
  </si>
  <si>
    <t>BLS International Services Ltd</t>
  </si>
  <si>
    <t>INE153T01027</t>
  </si>
  <si>
    <t>Railtel Corporation Of India Ltd</t>
  </si>
  <si>
    <t>INE0DD101019</t>
  </si>
  <si>
    <t>The India Cements Ltd</t>
  </si>
  <si>
    <t>INE383A01012</t>
  </si>
  <si>
    <t>Rites Ltd</t>
  </si>
  <si>
    <t>INE320J01015</t>
  </si>
  <si>
    <t>Bombay Burmah Trading Corporation Ltd</t>
  </si>
  <si>
    <t>INE050A01025</t>
  </si>
  <si>
    <t>Vedant Fashions Ltd</t>
  </si>
  <si>
    <t>INE825V01034</t>
  </si>
  <si>
    <t>Latent View Analytics Ltd</t>
  </si>
  <si>
    <t>INE0I7C01011</t>
  </si>
  <si>
    <t>Cera Sanitaryware Ltd</t>
  </si>
  <si>
    <t>INE739E01017</t>
  </si>
  <si>
    <t>ITI Ltd</t>
  </si>
  <si>
    <t>INE248A01017</t>
  </si>
  <si>
    <t>Telecom - Equipment &amp; Accessories</t>
  </si>
  <si>
    <t>Tejas Networks Ltd</t>
  </si>
  <si>
    <t>INE010J01012</t>
  </si>
  <si>
    <t>Rhi Magnesita India Ltd</t>
  </si>
  <si>
    <t>INE743M01012</t>
  </si>
  <si>
    <t>Valor Estate Ltd</t>
  </si>
  <si>
    <t>INE879I01012</t>
  </si>
  <si>
    <t>Godrej Agrovet Ltd</t>
  </si>
  <si>
    <t>INE850D01014</t>
  </si>
  <si>
    <t>Transformers And Rectifiers India Ltd</t>
  </si>
  <si>
    <t>INE763I01026</t>
  </si>
  <si>
    <t>Saregama India Ltd</t>
  </si>
  <si>
    <t>INE979A01025</t>
  </si>
  <si>
    <t>Inox India Ltd</t>
  </si>
  <si>
    <t>INE616N01034</t>
  </si>
  <si>
    <t>JSW Cement Ltd</t>
  </si>
  <si>
    <t>INE718I01012</t>
  </si>
  <si>
    <t>Tata Teleservices Maharashtra Ltd</t>
  </si>
  <si>
    <t>INE517B01013</t>
  </si>
  <si>
    <t>CE Info Systems Ltd</t>
  </si>
  <si>
    <t>INE0BV301023</t>
  </si>
  <si>
    <t>Acme Solar Holdings Ltd</t>
  </si>
  <si>
    <t>INE622W01025</t>
  </si>
  <si>
    <t>JBM Auto Ltd</t>
  </si>
  <si>
    <t>INE927D01051</t>
  </si>
  <si>
    <t>Alkyl Amines Chemicals Ltd</t>
  </si>
  <si>
    <t>INE150B01039</t>
  </si>
  <si>
    <t>Campus Activewear Ltd</t>
  </si>
  <si>
    <t>INE278Y01022</t>
  </si>
  <si>
    <t>Maharashtra Seamless Ltd</t>
  </si>
  <si>
    <t>INE271B01025</t>
  </si>
  <si>
    <t>Ventive Hospitality Ltd</t>
  </si>
  <si>
    <t>INE781S01027</t>
  </si>
  <si>
    <t>Rashtriya Chemicals and Fertilizers Ltd</t>
  </si>
  <si>
    <t>INE027A01015</t>
  </si>
  <si>
    <t>Alok Industries Ltd</t>
  </si>
  <si>
    <t>INE270A01029</t>
  </si>
  <si>
    <t>Blue Jet Healthcare Ltd</t>
  </si>
  <si>
    <t>INE0KBH01020</t>
  </si>
  <si>
    <t>Akums Drugs And Pharmaceuticals Ltd</t>
  </si>
  <si>
    <t>INE09XN01023</t>
  </si>
  <si>
    <t>MMTC Ltd</t>
  </si>
  <si>
    <t>INE123F01029</t>
  </si>
  <si>
    <t>VA Tech Wabag Ltd</t>
  </si>
  <si>
    <t>INE956G01038</t>
  </si>
  <si>
    <t>Other Utilities</t>
  </si>
  <si>
    <t>PTC India Ltd</t>
  </si>
  <si>
    <t>INE877F01012</t>
  </si>
  <si>
    <t>Sharda Cropchem Ltd</t>
  </si>
  <si>
    <t>INE221J01015</t>
  </si>
  <si>
    <t>V-Mart Retail Ltd</t>
  </si>
  <si>
    <t>INE665J01013</t>
  </si>
  <si>
    <t>GMM Pfaudler Ltd</t>
  </si>
  <si>
    <t>INE541A01023</t>
  </si>
  <si>
    <t>Avanti Feeds Ltd</t>
  </si>
  <si>
    <t>INE871C01038</t>
  </si>
  <si>
    <t>Ahluwalia Contracts (India) Ltd</t>
  </si>
  <si>
    <t>INE758C01029</t>
  </si>
  <si>
    <t>Fiem Industries Ltd</t>
  </si>
  <si>
    <t>INE737H01014</t>
  </si>
  <si>
    <t>KRBL Ltd</t>
  </si>
  <si>
    <t>INE001B01026</t>
  </si>
  <si>
    <t>Thyrocare Technologies Ltd</t>
  </si>
  <si>
    <t>INE594H01019</t>
  </si>
  <si>
    <t>Shriram Pistons &amp; Rings Ltd</t>
  </si>
  <si>
    <t>INE526E01018</t>
  </si>
  <si>
    <t>Route Mobile Ltd</t>
  </si>
  <si>
    <t>INE450U01017</t>
  </si>
  <si>
    <t>Patel Engineering Ltd</t>
  </si>
  <si>
    <t>INE244B01030</t>
  </si>
  <si>
    <t>INE1YPB01014</t>
  </si>
  <si>
    <t>Advanced Enzyme Technologies Ltd</t>
  </si>
  <si>
    <t>INE837H01020</t>
  </si>
  <si>
    <t>Raymond Lifestyle Ltd</t>
  </si>
  <si>
    <t>INE02ID01020</t>
  </si>
  <si>
    <t>Dodla Dairy Ltd</t>
  </si>
  <si>
    <t>INE021O01019</t>
  </si>
  <si>
    <t>TVS Supply Chain Solutions Ltd</t>
  </si>
  <si>
    <t>INE395N01027</t>
  </si>
  <si>
    <t>Allcargo Logistics Ltd</t>
  </si>
  <si>
    <t>INE418H01029</t>
  </si>
  <si>
    <t>RattanIndia Enterprises Ltd</t>
  </si>
  <si>
    <t>INE834M01019</t>
  </si>
  <si>
    <t>Embassy Developments Ltd</t>
  </si>
  <si>
    <t>INE069I01010</t>
  </si>
  <si>
    <t>Gulf Oil Lubricants India Ltd</t>
  </si>
  <si>
    <t>INE635Q01029</t>
  </si>
  <si>
    <t>Jamna Auto Industries Ltd</t>
  </si>
  <si>
    <t>INE039C01032</t>
  </si>
  <si>
    <t>Margin on Derivatives</t>
  </si>
  <si>
    <t>Derivatives</t>
  </si>
  <si>
    <t>Long / Short</t>
  </si>
  <si>
    <t>Market/Fair Value (Rs. in Lakhs)</t>
  </si>
  <si>
    <t xml:space="preserve">% to Net Assets </t>
  </si>
  <si>
    <t>NIFTY 24-FEB-26 FUT</t>
  </si>
  <si>
    <t>Long</t>
  </si>
  <si>
    <t>Index</t>
  </si>
  <si>
    <t>Punjab National Bank (24-Mar-2026) **</t>
  </si>
  <si>
    <t>INE160A16TW6</t>
  </si>
  <si>
    <t>HDFC Securities Ltd (25-Feb-2026) **</t>
  </si>
  <si>
    <t>INE700G14RD5</t>
  </si>
  <si>
    <t>Mutual Fund Units</t>
  </si>
  <si>
    <t>JioBlackRock Money Market Fund - Direct Plan - Growth Option</t>
  </si>
  <si>
    <t>INF22M001028</t>
  </si>
  <si>
    <t>JioBlackRock Liquid Fund - Direct Plan - Growth Option</t>
  </si>
  <si>
    <t>INF22M001010</t>
  </si>
  <si>
    <t>TCS LTD FUT 30-MAR-26</t>
  </si>
  <si>
    <t>Short</t>
  </si>
  <si>
    <t>INDIAN HOTELS CO LTD FUT 30-MAR-26</t>
  </si>
  <si>
    <t>M&amp;M LTD FUT 30-MAR-26</t>
  </si>
  <si>
    <t>ICICI BANK LTD FUT 30-MAR-26</t>
  </si>
  <si>
    <t>AU SMALL FINANCE BANK LTD FUT 24-FEB-26</t>
  </si>
  <si>
    <t>TRENT LTD FUT 24-FEB-26</t>
  </si>
  <si>
    <t>GAIL INDIA LTD FUT 24-FEB-26</t>
  </si>
  <si>
    <t>GMR AIRPORTS LTD FUT 24-FEB-26</t>
  </si>
  <si>
    <t>FORTIS HEALTHCARE LTD  FUT 24-FEB-26</t>
  </si>
  <si>
    <t>ETERNAL LTD FUT 30-MAR-26</t>
  </si>
  <si>
    <t>CROMPT GREA CON ELEC LTD FUT 30-MAR-26</t>
  </si>
  <si>
    <t>BAJAJ FINANCE LTD FUT 30-MAR-26</t>
  </si>
  <si>
    <t>VODAFONE IDEA LTD FUT 30-MAR-26</t>
  </si>
  <si>
    <t>KOTAK BANK LTD FUT 28-APR-26</t>
  </si>
  <si>
    <t>ADANI PORTS AND SP ECO LTD FUT 24-FEB-26</t>
  </si>
  <si>
    <t>M&amp;M LTD FUT 28-APR-26</t>
  </si>
  <si>
    <t>YES BANK LTD FUT 30-MAR-26</t>
  </si>
  <si>
    <t>HDFC BANK LTD FUT 30-MAR-26</t>
  </si>
  <si>
    <t>DALMIA BHARAT LTD FUT 24-FEB-26</t>
  </si>
  <si>
    <t>MULTI COMMODITY EXCHANGE OF IND30-MAR-26</t>
  </si>
  <si>
    <t>CROMPT GREA CON ELEC LTD FUT 24-FEB-26</t>
  </si>
  <si>
    <t>VODAFONE IDEA LTD FUT 28-APR-26</t>
  </si>
  <si>
    <t>HINDUSTAN UNILEVER LTD FUT 24-FEB-26</t>
  </si>
  <si>
    <t>INFOSYS LTD FUT 28-APR-26</t>
  </si>
  <si>
    <t>RELIANCE INDUSTRIES LTD FUT 30-MAR-26</t>
  </si>
  <si>
    <t>HDFC BANK LTD FUT 28-APR-26</t>
  </si>
  <si>
    <t>INDIAN HOTELS CO LTD FUT 24-FEB-26</t>
  </si>
  <si>
    <t>GRASIM INDUSTRIES LTD FUT 24-FEB-26</t>
  </si>
  <si>
    <t>TCS LTD FUT 28-APR-26</t>
  </si>
  <si>
    <t>PUNJAB NATIONAL BANK FUT 24-FEB-26</t>
  </si>
  <si>
    <t>MAX HEALTHCARE INSTITUTE FUT 24-FEB-26</t>
  </si>
  <si>
    <t>INFOSYS LTD FUT 24-FEB-26</t>
  </si>
  <si>
    <t>BSE LTD FUT 24-FEB-26</t>
  </si>
  <si>
    <t>TCS LTD FUT 24-FEB-26</t>
  </si>
  <si>
    <t>ADITYA BIRLA CAPITAL LTD FUT 24-FEB-26</t>
  </si>
  <si>
    <t>INDUSIND BANK LTD FUT 24-FEB-26</t>
  </si>
  <si>
    <t>SUN PHARMA IND LTD FUT 24-FEB-26</t>
  </si>
  <si>
    <t>STEEL AUTHOR OF IND LTD FUT 24-FEB-26</t>
  </si>
  <si>
    <t>ULTRA TECH CEMENT LTD FUT 24-FEB-26</t>
  </si>
  <si>
    <t>M&amp;M LTD FUT 24-FEB-26</t>
  </si>
  <si>
    <t>APL APOLLO TUBES LTD FUT 24-FEB-26</t>
  </si>
  <si>
    <t>BRITANNIA INDUSTRIES LTD FUT 24-FEB-26</t>
  </si>
  <si>
    <t>IDFC FIRST BANK LTD FUT 24-FEB-26</t>
  </si>
  <si>
    <t>HDFC AMC LTD FUT 24-FEB-26</t>
  </si>
  <si>
    <t>BHARAT HEAVY ELECT LTD FUT 24-FEB-26</t>
  </si>
  <si>
    <t>LAURUS LABS LTD FUT 24-FEB-26</t>
  </si>
  <si>
    <t>POLYCAB INDIA LTD FUT 24-FEB-26</t>
  </si>
  <si>
    <t>LIC HOUSING FIN LTD FUT 24-FEB-26</t>
  </si>
  <si>
    <t>MAX FINANCIAL SERVICES LTD FUT 24-FEB-26</t>
  </si>
  <si>
    <t>VODAFONE IDEA LTD FUT 24-FEB-26</t>
  </si>
  <si>
    <t>YES BANK LTD FUT 24-FEB-26</t>
  </si>
  <si>
    <t>BANK OF BARODA FUT 24-FEB-26</t>
  </si>
  <si>
    <t>BAJAJ FINSERV LTD FUT 24-FEB-26</t>
  </si>
  <si>
    <t>JSW STEEL LTD FUT 24-FEB-26</t>
  </si>
  <si>
    <t>ITC LTD FUT 28-APR-26</t>
  </si>
  <si>
    <t>TATA POWER CO LTD FUT 24-FEB-26</t>
  </si>
  <si>
    <t>INTERGLOBE AVIATION LTD FUT 24-FEB-26</t>
  </si>
  <si>
    <t>ITC LTD FUT 24-FEB-26</t>
  </si>
  <si>
    <t>BAJAJ FINANCE LTD FUT 24-FEB-26</t>
  </si>
  <si>
    <t>UPL LTD FUT 24-FEB-26</t>
  </si>
  <si>
    <t>BHARTI AIRTEL LTD FUT 24-FEB-26</t>
  </si>
  <si>
    <t>STATE BANK OF INDIA FUT 24-FEB-26</t>
  </si>
  <si>
    <t>LARSEN AND TOUBRO LTD FUT 24-FEB-26</t>
  </si>
  <si>
    <t>GODREJ PROPERTIES LTD FUT 24-FEB-26</t>
  </si>
  <si>
    <t>TATA MOTORS PASS VEHICLES FUT 24-FEB-26</t>
  </si>
  <si>
    <t>AXIS BANK LTD FUT 24-FEB-26</t>
  </si>
  <si>
    <t>DLF LTD FUT 24-FEB-26</t>
  </si>
  <si>
    <t>KOTAK BANK LTD FUT 24-FEB-26</t>
  </si>
  <si>
    <t>ICICI BANK LTD FUT 24-FEB-26</t>
  </si>
  <si>
    <t>MULTI COMMODITY EXCHANGE OF IND24-FEB-26</t>
  </si>
  <si>
    <t>RELIANCE INDUSTRIES LTD FUT 24-FEB-26</t>
  </si>
  <si>
    <t>HDFC BANK LTD FUT 24-FEB-26</t>
  </si>
  <si>
    <t>Industry Classification / Rating</t>
  </si>
  <si>
    <t>Scheme Risk-O-Meter</t>
  </si>
  <si>
    <t>Benchmark Risk-O-Meter</t>
  </si>
  <si>
    <t>Benchmark Name - NIFTY Money Market Index A-I</t>
  </si>
  <si>
    <t>Benchmark Name - NIFTY 1D Rate Index</t>
  </si>
  <si>
    <t>Benchmark Name - NIFTY Liquid Index A-I</t>
  </si>
  <si>
    <t>Benchmark Name - NIFTY 8-13 yr G-Sec</t>
  </si>
  <si>
    <t>Benchmark Name - NIFTY 50 Index (TRI)</t>
  </si>
  <si>
    <t>Benchmark Name - NIFTY Next 50 Index (TRI)</t>
  </si>
  <si>
    <t>Benchmark Name - NIFTY Midcap 150 Index (TRI)</t>
  </si>
  <si>
    <t>Benchmark Name - NIFTY Smallcap 250 Index (TRI)</t>
  </si>
  <si>
    <t>Benchmark Name - Nifty 500 Index (TRI)</t>
  </si>
  <si>
    <t>Benchmark Name - Nifty 50 Arbitrage (TRI)</t>
  </si>
  <si>
    <t>JBMMF</t>
  </si>
  <si>
    <t>-</t>
  </si>
  <si>
    <t>JBOF</t>
  </si>
  <si>
    <t>JBLF</t>
  </si>
  <si>
    <t>JBN8-13</t>
  </si>
  <si>
    <t>JBLOW</t>
  </si>
  <si>
    <t>JBSHORT</t>
  </si>
  <si>
    <t>JBN50</t>
  </si>
  <si>
    <t>JBNNX50</t>
  </si>
  <si>
    <t>JBNM150</t>
  </si>
  <si>
    <t>JBNS250</t>
  </si>
  <si>
    <t>JBFLEXI</t>
  </si>
  <si>
    <t>JBARB</t>
  </si>
  <si>
    <t>Benchmark Name - NIFTY Short Duration Debt Index A-II</t>
  </si>
  <si>
    <t>Benchmark Name - NIFTY Low Duration Debt Index A-I</t>
  </si>
  <si>
    <t>Reliance Infrastructure Ltd **</t>
  </si>
  <si>
    <t>Debt Index Replication Factor (DIRF) : 97.91%</t>
  </si>
  <si>
    <t>Cumulative Non-Convertible Redeemable Preference Shares</t>
  </si>
  <si>
    <t>Kwality Wall’s India Ltd  **</t>
  </si>
  <si>
    <t>Allcargo Global Ltd **</t>
  </si>
  <si>
    <r>
      <t>Aggregate Investments by other schemes (at NAV) as on January 31, 2026, is Rs.</t>
    </r>
    <r>
      <rPr>
        <b/>
        <u/>
        <sz val="8"/>
        <color theme="1"/>
        <rFont val="Arial"/>
        <family val="2"/>
      </rPr>
      <t>1513.18</t>
    </r>
    <r>
      <rPr>
        <b/>
        <sz val="8"/>
        <color theme="1"/>
        <rFont val="Arial"/>
        <family val="2"/>
      </rPr>
      <t xml:space="preserve"> Lakh's.</t>
    </r>
  </si>
  <si>
    <t>Aggregate Investments by other schemes (at NAV) as on January 31, 2026, is Rs. 2514.02 Lakh's.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</si>
</sst>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00"/>
    <numFmt numFmtId="166" formatCode="#,##0;\(#,##0\)"/>
  </numFmts>
  <fonts count="1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b/>
      <u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5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4" borderId="0" xfId="0" applyNumberFormat="1" applyFont="1" applyFill="1"/>
    <xf numFmtId="0" fontId="10" fillId="0" borderId="0" xfId="0" applyFont="1"/>
    <xf numFmtId="0" fontId="5" fillId="2" borderId="0" xfId="0" applyFont="1" applyFill="1"/>
    <xf numFmtId="164" fontId="6" fillId="2" borderId="0" xfId="0" applyNumberFormat="1" applyFont="1" applyFill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3" xfId="0" applyFont="1" applyFill="1" applyBorder="1"/>
    <xf numFmtId="39" fontId="6" fillId="2" borderId="3" xfId="0" applyNumberFormat="1" applyFont="1" applyFill="1" applyBorder="1"/>
    <xf numFmtId="39" fontId="6" fillId="4" borderId="3" xfId="0" applyNumberFormat="1" applyFont="1" applyFill="1" applyBorder="1"/>
    <xf numFmtId="10" fontId="6" fillId="2" borderId="3" xfId="0" applyNumberFormat="1" applyFont="1" applyFill="1" applyBorder="1"/>
    <xf numFmtId="3" fontId="6" fillId="2" borderId="3" xfId="0" applyNumberFormat="1" applyFont="1" applyFill="1" applyBorder="1"/>
    <xf numFmtId="164" fontId="6" fillId="2" borderId="3" xfId="0" applyNumberFormat="1" applyFont="1" applyFill="1" applyBorder="1"/>
    <xf numFmtId="4" fontId="6" fillId="2" borderId="3" xfId="0" applyNumberFormat="1" applyFont="1" applyFill="1" applyBorder="1"/>
    <xf numFmtId="39" fontId="5" fillId="2" borderId="4" xfId="0" applyNumberFormat="1" applyFont="1" applyFill="1" applyBorder="1"/>
    <xf numFmtId="39" fontId="5" fillId="4" borderId="4" xfId="0" applyNumberFormat="1" applyFont="1" applyFill="1" applyBorder="1"/>
    <xf numFmtId="10" fontId="5" fillId="2" borderId="3" xfId="0" applyNumberFormat="1" applyFont="1" applyFill="1" applyBorder="1"/>
    <xf numFmtId="39" fontId="5" fillId="2" borderId="5" xfId="0" applyNumberFormat="1" applyFont="1" applyFill="1" applyBorder="1"/>
    <xf numFmtId="39" fontId="5" fillId="4" borderId="5" xfId="0" applyNumberFormat="1" applyFont="1" applyFill="1" applyBorder="1"/>
    <xf numFmtId="0" fontId="5" fillId="2" borderId="6" xfId="0" applyFont="1" applyFill="1" applyBorder="1"/>
    <xf numFmtId="39" fontId="5" fillId="2" borderId="6" xfId="0" applyNumberFormat="1" applyFont="1" applyFill="1" applyBorder="1"/>
    <xf numFmtId="39" fontId="5" fillId="4" borderId="6" xfId="0" applyNumberFormat="1" applyFont="1" applyFill="1" applyBorder="1"/>
    <xf numFmtId="0" fontId="5" fillId="2" borderId="7" xfId="0" applyFont="1" applyFill="1" applyBorder="1"/>
    <xf numFmtId="39" fontId="5" fillId="2" borderId="7" xfId="0" applyNumberFormat="1" applyFont="1" applyFill="1" applyBorder="1"/>
    <xf numFmtId="39" fontId="5" fillId="4" borderId="7" xfId="0" applyNumberFormat="1" applyFont="1" applyFill="1" applyBorder="1"/>
    <xf numFmtId="10" fontId="5" fillId="2" borderId="8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6" fillId="2" borderId="6" xfId="0" applyFont="1" applyFill="1" applyBorder="1"/>
    <xf numFmtId="39" fontId="6" fillId="2" borderId="6" xfId="0" applyNumberFormat="1" applyFont="1" applyFill="1" applyBorder="1"/>
    <xf numFmtId="39" fontId="6" fillId="4" borderId="6" xfId="0" applyNumberFormat="1" applyFont="1" applyFill="1" applyBorder="1"/>
    <xf numFmtId="39" fontId="5" fillId="2" borderId="5" xfId="0" applyNumberFormat="1" applyFont="1" applyFill="1" applyBorder="1" applyAlignment="1">
      <alignment horizontal="right"/>
    </xf>
    <xf numFmtId="39" fontId="5" fillId="4" borderId="5" xfId="0" applyNumberFormat="1" applyFont="1" applyFill="1" applyBorder="1" applyAlignment="1">
      <alignment horizontal="right"/>
    </xf>
    <xf numFmtId="39" fontId="5" fillId="2" borderId="6" xfId="0" applyNumberFormat="1" applyFont="1" applyFill="1" applyBorder="1" applyAlignment="1">
      <alignment horizontal="right"/>
    </xf>
    <xf numFmtId="39" fontId="5" fillId="4" borderId="6" xfId="0" applyNumberFormat="1" applyFont="1" applyFill="1" applyBorder="1" applyAlignment="1">
      <alignment horizontal="right"/>
    </xf>
    <xf numFmtId="39" fontId="5" fillId="2" borderId="3" xfId="0" applyNumberFormat="1" applyFont="1" applyFill="1" applyBorder="1" applyAlignment="1">
      <alignment horizontal="right"/>
    </xf>
    <xf numFmtId="39" fontId="5" fillId="4" borderId="3" xfId="0" applyNumberFormat="1" applyFont="1" applyFill="1" applyBorder="1" applyAlignment="1">
      <alignment horizontal="right"/>
    </xf>
    <xf numFmtId="0" fontId="5" fillId="2" borderId="8" xfId="0" applyFont="1" applyFill="1" applyBorder="1"/>
    <xf numFmtId="0" fontId="12" fillId="2" borderId="2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vertical="center"/>
    </xf>
    <xf numFmtId="0" fontId="5" fillId="2" borderId="1" xfId="0" applyFont="1" applyFill="1" applyBorder="1"/>
    <xf numFmtId="39" fontId="5" fillId="2" borderId="1" xfId="0" applyNumberFormat="1" applyFont="1" applyFill="1" applyBorder="1"/>
    <xf numFmtId="39" fontId="5" fillId="4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4" borderId="1" xfId="0" applyNumberFormat="1" applyFont="1" applyFill="1" applyBorder="1"/>
    <xf numFmtId="0" fontId="11" fillId="2" borderId="0" xfId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5" fillId="4" borderId="0" xfId="0" applyFont="1" applyFill="1" applyAlignment="1">
      <alignment vertical="center"/>
    </xf>
    <xf numFmtId="0" fontId="5" fillId="4" borderId="0" xfId="0" applyFont="1" applyFill="1"/>
    <xf numFmtId="39" fontId="6" fillId="0" borderId="3" xfId="0" applyNumberFormat="1" applyFont="1" applyBorder="1"/>
    <xf numFmtId="0" fontId="5" fillId="2" borderId="9" xfId="0" applyFont="1" applyFill="1" applyBorder="1"/>
    <xf numFmtId="39" fontId="5" fillId="2" borderId="4" xfId="0" applyNumberFormat="1" applyFont="1" applyFill="1" applyBorder="1" applyAlignment="1">
      <alignment horizontal="right"/>
    </xf>
    <xf numFmtId="39" fontId="5" fillId="4" borderId="4" xfId="0" applyNumberFormat="1" applyFont="1" applyFill="1" applyBorder="1" applyAlignment="1">
      <alignment horizontal="right"/>
    </xf>
    <xf numFmtId="0" fontId="6" fillId="4" borderId="3" xfId="0" applyFont="1" applyFill="1" applyBorder="1"/>
    <xf numFmtId="0" fontId="0" fillId="4" borderId="3" xfId="0" applyFill="1" applyBorder="1"/>
    <xf numFmtId="39" fontId="6" fillId="2" borderId="9" xfId="0" applyNumberFormat="1" applyFont="1" applyFill="1" applyBorder="1"/>
    <xf numFmtId="39" fontId="6" fillId="4" borderId="10" xfId="0" applyNumberFormat="1" applyFont="1" applyFill="1" applyBorder="1"/>
    <xf numFmtId="0" fontId="6" fillId="4" borderId="11" xfId="0" applyFont="1" applyFill="1" applyBorder="1"/>
    <xf numFmtId="0" fontId="0" fillId="4" borderId="11" xfId="0" applyFill="1" applyBorder="1"/>
    <xf numFmtId="0" fontId="6" fillId="4" borderId="0" xfId="0" applyFont="1" applyFill="1"/>
    <xf numFmtId="3" fontId="6" fillId="2" borderId="9" xfId="0" applyNumberFormat="1" applyFont="1" applyFill="1" applyBorder="1"/>
    <xf numFmtId="39" fontId="6" fillId="4" borderId="9" xfId="0" applyNumberFormat="1" applyFont="1" applyFill="1" applyBorder="1"/>
    <xf numFmtId="39" fontId="5" fillId="2" borderId="12" xfId="0" applyNumberFormat="1" applyFont="1" applyFill="1" applyBorder="1"/>
    <xf numFmtId="0" fontId="5" fillId="2" borderId="13" xfId="0" applyFont="1" applyFill="1" applyBorder="1"/>
    <xf numFmtId="39" fontId="5" fillId="2" borderId="9" xfId="0" applyNumberFormat="1" applyFont="1" applyFill="1" applyBorder="1" applyAlignment="1">
      <alignment horizontal="right"/>
    </xf>
    <xf numFmtId="39" fontId="5" fillId="4" borderId="10" xfId="0" applyNumberFormat="1" applyFont="1" applyFill="1" applyBorder="1" applyAlignment="1">
      <alignment horizontal="right"/>
    </xf>
    <xf numFmtId="0" fontId="5" fillId="2" borderId="14" xfId="0" applyFont="1" applyFill="1" applyBorder="1"/>
    <xf numFmtId="0" fontId="5" fillId="2" borderId="15" xfId="0" applyFont="1" applyFill="1" applyBorder="1"/>
    <xf numFmtId="39" fontId="5" fillId="2" borderId="15" xfId="0" applyNumberFormat="1" applyFont="1" applyFill="1" applyBorder="1"/>
    <xf numFmtId="39" fontId="5" fillId="4" borderId="16" xfId="0" applyNumberFormat="1" applyFont="1" applyFill="1" applyBorder="1"/>
    <xf numFmtId="0" fontId="5" fillId="0" borderId="2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39" fontId="5" fillId="2" borderId="1" xfId="0" applyNumberFormat="1" applyFont="1" applyFill="1" applyBorder="1" applyAlignment="1">
      <alignment horizontal="center" wrapText="1"/>
    </xf>
    <xf numFmtId="39" fontId="5" fillId="4" borderId="1" xfId="0" applyNumberFormat="1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left" vertical="top" wrapText="1"/>
    </xf>
    <xf numFmtId="0" fontId="9" fillId="0" borderId="0" xfId="0" applyFont="1"/>
    <xf numFmtId="0" fontId="5" fillId="2" borderId="0" xfId="0" applyFont="1" applyFill="1" applyAlignment="1">
      <alignment vertical="center" wrapText="1"/>
    </xf>
    <xf numFmtId="0" fontId="7" fillId="3" borderId="17" xfId="0" applyFont="1" applyFill="1" applyBorder="1" applyAlignment="1">
      <alignment horizontal="left" vertical="center"/>
    </xf>
    <xf numFmtId="0" fontId="10" fillId="0" borderId="17" xfId="0" applyFont="1" applyBorder="1" applyAlignment="1">
      <alignment vertical="center"/>
    </xf>
    <xf numFmtId="0" fontId="11" fillId="0" borderId="17" xfId="1" applyBorder="1" applyAlignment="1">
      <alignment vertical="center"/>
    </xf>
    <xf numFmtId="0" fontId="10" fillId="0" borderId="17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4"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68</xdr:row>
      <xdr:rowOff>9525</xdr:rowOff>
    </xdr:from>
    <xdr:to>
      <xdr:col>4</xdr:col>
      <xdr:colOff>28575</xdr:colOff>
      <xdr:row>85</xdr:row>
      <xdr:rowOff>60325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C799987-E5C6-44CF-92E6-B29E39A23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00" y="8664575"/>
          <a:ext cx="5032375" cy="2209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91</xdr:row>
      <xdr:rowOff>47625</xdr:rowOff>
    </xdr:from>
    <xdr:to>
      <xdr:col>4</xdr:col>
      <xdr:colOff>228600</xdr:colOff>
      <xdr:row>108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851FE6BC-2AF7-47CB-8B2A-3017496B7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1642725"/>
          <a:ext cx="5156200" cy="211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33</xdr:row>
      <xdr:rowOff>104775</xdr:rowOff>
    </xdr:from>
    <xdr:to>
      <xdr:col>3</xdr:col>
      <xdr:colOff>800100</xdr:colOff>
      <xdr:row>50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B8A7E-709C-48A3-9E85-BE9C34CF2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5" y="4924425"/>
          <a:ext cx="4632325" cy="2066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57</xdr:row>
      <xdr:rowOff>28575</xdr:rowOff>
    </xdr:from>
    <xdr:to>
      <xdr:col>3</xdr:col>
      <xdr:colOff>895350</xdr:colOff>
      <xdr:row>74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CAFA4F-CEC4-4BC8-9557-36B17B49D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775" y="7915275"/>
          <a:ext cx="505142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112</xdr:row>
      <xdr:rowOff>0</xdr:rowOff>
    </xdr:from>
    <xdr:to>
      <xdr:col>3</xdr:col>
      <xdr:colOff>882650</xdr:colOff>
      <xdr:row>129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DF990-4C76-4367-9D08-D6CF0C30C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075" y="14255750"/>
          <a:ext cx="4997450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133</xdr:row>
      <xdr:rowOff>76200</xdr:rowOff>
    </xdr:from>
    <xdr:to>
      <xdr:col>4</xdr:col>
      <xdr:colOff>66675</xdr:colOff>
      <xdr:row>150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B1FCB8-83C1-40C3-ADA0-5DD832A3F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011650"/>
          <a:ext cx="5162550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21</xdr:row>
      <xdr:rowOff>95250</xdr:rowOff>
    </xdr:from>
    <xdr:to>
      <xdr:col>3</xdr:col>
      <xdr:colOff>406400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1B4404-EB78-4824-8FBD-582845FC7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825" y="3505200"/>
          <a:ext cx="4156075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40</xdr:row>
      <xdr:rowOff>114300</xdr:rowOff>
    </xdr:from>
    <xdr:to>
      <xdr:col>3</xdr:col>
      <xdr:colOff>466725</xdr:colOff>
      <xdr:row>54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4F63C7-E8D3-45BB-9919-D3EAC8E95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" y="5949950"/>
          <a:ext cx="4308475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920750</xdr:colOff>
      <xdr:row>45</xdr:row>
      <xdr:rowOff>74084</xdr:rowOff>
    </xdr:from>
    <xdr:to>
      <xdr:col>4</xdr:col>
      <xdr:colOff>549275</xdr:colOff>
      <xdr:row>63</xdr:row>
      <xdr:rowOff>11643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E0863D7A-4CF8-4948-947C-E291DD2E6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8167" y="7281334"/>
          <a:ext cx="5026025" cy="2220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1123950</xdr:colOff>
      <xdr:row>71</xdr:row>
      <xdr:rowOff>69850</xdr:rowOff>
    </xdr:from>
    <xdr:to>
      <xdr:col>4</xdr:col>
      <xdr:colOff>876300</xdr:colOff>
      <xdr:row>88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190EC5-B4D9-4BD6-8854-0487820BE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9963150"/>
          <a:ext cx="5156200" cy="211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1504950</xdr:colOff>
      <xdr:row>62</xdr:row>
      <xdr:rowOff>63500</xdr:rowOff>
    </xdr:from>
    <xdr:to>
      <xdr:col>5</xdr:col>
      <xdr:colOff>311150</xdr:colOff>
      <xdr:row>79</xdr:row>
      <xdr:rowOff>25400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26575A-5E93-42A7-8586-59529ACC8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6600" y="8801100"/>
          <a:ext cx="515937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1619250</xdr:colOff>
      <xdr:row>37</xdr:row>
      <xdr:rowOff>114300</xdr:rowOff>
    </xdr:from>
    <xdr:to>
      <xdr:col>5</xdr:col>
      <xdr:colOff>425450</xdr:colOff>
      <xdr:row>54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E13499-D572-46BD-B0D0-37FAC7EDA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0900" y="5607050"/>
          <a:ext cx="5156200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71</xdr:row>
      <xdr:rowOff>9525</xdr:rowOff>
    </xdr:from>
    <xdr:to>
      <xdr:col>3</xdr:col>
      <xdr:colOff>63500</xdr:colOff>
      <xdr:row>85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B1EF52-D162-494E-A890-9A8645977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5" y="9350375"/>
          <a:ext cx="4041775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88</xdr:row>
      <xdr:rowOff>9524</xdr:rowOff>
    </xdr:from>
    <xdr:to>
      <xdr:col>3</xdr:col>
      <xdr:colOff>177800</xdr:colOff>
      <xdr:row>104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373ABC-3C66-402C-A7C0-3FFAD6B6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11617324"/>
          <a:ext cx="4006850" cy="20351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75</xdr:row>
      <xdr:rowOff>104775</xdr:rowOff>
    </xdr:from>
    <xdr:to>
      <xdr:col>3</xdr:col>
      <xdr:colOff>66675</xdr:colOff>
      <xdr:row>89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B28CB5-4FF9-4D60-8E23-D11FA8896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0201275"/>
          <a:ext cx="403860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92</xdr:row>
      <xdr:rowOff>19050</xdr:rowOff>
    </xdr:from>
    <xdr:to>
      <xdr:col>2</xdr:col>
      <xdr:colOff>714375</xdr:colOff>
      <xdr:row>106</xdr:row>
      <xdr:rowOff>101601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D888A5-8550-4FE2-A80E-92AEF220C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" y="12287250"/>
          <a:ext cx="3619500" cy="186372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167</xdr:row>
      <xdr:rowOff>85725</xdr:rowOff>
    </xdr:from>
    <xdr:to>
      <xdr:col>2</xdr:col>
      <xdr:colOff>714375</xdr:colOff>
      <xdr:row>182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1C09F-038C-4C64-A0AF-F6333F017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21682075"/>
          <a:ext cx="4000500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186</xdr:row>
      <xdr:rowOff>47625</xdr:rowOff>
    </xdr:from>
    <xdr:to>
      <xdr:col>2</xdr:col>
      <xdr:colOff>619125</xdr:colOff>
      <xdr:row>202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75697D-CA99-4385-9D2F-849AE49EA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575" y="24069675"/>
          <a:ext cx="3733800" cy="2032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270</xdr:row>
      <xdr:rowOff>47625</xdr:rowOff>
    </xdr:from>
    <xdr:to>
      <xdr:col>3</xdr:col>
      <xdr:colOff>28575</xdr:colOff>
      <xdr:row>284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DD24C-EC76-42CE-A9B7-7F2947AB2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34585275"/>
          <a:ext cx="404495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289</xdr:row>
      <xdr:rowOff>19050</xdr:rowOff>
    </xdr:from>
    <xdr:to>
      <xdr:col>2</xdr:col>
      <xdr:colOff>615950</xdr:colOff>
      <xdr:row>303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CF6C7-D95E-478A-972D-F15A4269F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36982400"/>
          <a:ext cx="3619500" cy="186372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151</xdr:row>
      <xdr:rowOff>0</xdr:rowOff>
    </xdr:from>
    <xdr:to>
      <xdr:col>2</xdr:col>
      <xdr:colOff>219075</xdr:colOff>
      <xdr:row>165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A7047E-C187-4BBA-8334-A5F1EBD4F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20516850"/>
          <a:ext cx="4067175" cy="177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939800</xdr:colOff>
      <xdr:row>169</xdr:row>
      <xdr:rowOff>47624</xdr:rowOff>
    </xdr:from>
    <xdr:to>
      <xdr:col>2</xdr:col>
      <xdr:colOff>276225</xdr:colOff>
      <xdr:row>184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174413-75A2-4B7A-BB86-C4632253A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450" y="23269574"/>
          <a:ext cx="4089400" cy="19462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166</xdr:row>
      <xdr:rowOff>47625</xdr:rowOff>
    </xdr:from>
    <xdr:to>
      <xdr:col>3</xdr:col>
      <xdr:colOff>438150</xdr:colOff>
      <xdr:row>182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CC45E7-0942-4A4A-AF97-D5728EB55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0" y="17306925"/>
          <a:ext cx="46990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185</xdr:row>
      <xdr:rowOff>85725</xdr:rowOff>
    </xdr:from>
    <xdr:to>
      <xdr:col>3</xdr:col>
      <xdr:colOff>501650</xdr:colOff>
      <xdr:row>202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32D7CB-5634-4294-9542-10676688D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575" y="19770725"/>
          <a:ext cx="5118100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9DFF-70F7-428E-B8B4-6C3F7A0594B3}">
  <dimension ref="A1:C13"/>
  <sheetViews>
    <sheetView tabSelected="1" workbookViewId="0"/>
  </sheetViews>
  <sheetFormatPr defaultColWidth="8.88671875" defaultRowHeight="13.2" x14ac:dyDescent="0.25"/>
  <cols>
    <col min="1" max="1" width="6.5546875" style="15" bestFit="1" customWidth="1"/>
    <col min="2" max="2" width="11.33203125" style="15" bestFit="1" customWidth="1"/>
    <col min="3" max="3" width="38.77734375" style="15" bestFit="1" customWidth="1"/>
    <col min="4" max="16384" width="8.88671875" style="15"/>
  </cols>
  <sheetData>
    <row r="1" spans="1:3" ht="16.05" customHeight="1" x14ac:dyDescent="0.25">
      <c r="A1" s="101" t="s">
        <v>1</v>
      </c>
      <c r="B1" s="101" t="s">
        <v>2</v>
      </c>
      <c r="C1" s="101" t="s">
        <v>3</v>
      </c>
    </row>
    <row r="2" spans="1:3" ht="14.4" x14ac:dyDescent="0.25">
      <c r="A2" s="104">
        <v>1</v>
      </c>
      <c r="B2" s="103" t="s">
        <v>1480</v>
      </c>
      <c r="C2" s="102" t="s">
        <v>10</v>
      </c>
    </row>
    <row r="3" spans="1:3" ht="14.4" x14ac:dyDescent="0.25">
      <c r="A3" s="104">
        <v>2</v>
      </c>
      <c r="B3" s="103" t="s">
        <v>1482</v>
      </c>
      <c r="C3" s="102" t="s">
        <v>11</v>
      </c>
    </row>
    <row r="4" spans="1:3" ht="14.4" x14ac:dyDescent="0.25">
      <c r="A4" s="104">
        <v>3</v>
      </c>
      <c r="B4" s="103" t="s">
        <v>1483</v>
      </c>
      <c r="C4" s="102" t="s">
        <v>12</v>
      </c>
    </row>
    <row r="5" spans="1:3" ht="14.4" x14ac:dyDescent="0.25">
      <c r="A5" s="104">
        <v>4</v>
      </c>
      <c r="B5" s="103" t="s">
        <v>1484</v>
      </c>
      <c r="C5" s="102" t="s">
        <v>13</v>
      </c>
    </row>
    <row r="6" spans="1:3" ht="14.4" x14ac:dyDescent="0.25">
      <c r="A6" s="104">
        <v>5</v>
      </c>
      <c r="B6" s="103" t="s">
        <v>1485</v>
      </c>
      <c r="C6" s="102" t="s">
        <v>14</v>
      </c>
    </row>
    <row r="7" spans="1:3" ht="14.4" x14ac:dyDescent="0.25">
      <c r="A7" s="104">
        <v>6</v>
      </c>
      <c r="B7" s="103" t="s">
        <v>1486</v>
      </c>
      <c r="C7" s="102" t="s">
        <v>15</v>
      </c>
    </row>
    <row r="8" spans="1:3" ht="14.4" x14ac:dyDescent="0.25">
      <c r="A8" s="104">
        <v>7</v>
      </c>
      <c r="B8" s="103" t="s">
        <v>1487</v>
      </c>
      <c r="C8" s="102" t="s">
        <v>16</v>
      </c>
    </row>
    <row r="9" spans="1:3" ht="14.4" x14ac:dyDescent="0.25">
      <c r="A9" s="104">
        <v>8</v>
      </c>
      <c r="B9" s="103" t="s">
        <v>1488</v>
      </c>
      <c r="C9" s="102" t="s">
        <v>17</v>
      </c>
    </row>
    <row r="10" spans="1:3" ht="14.4" x14ac:dyDescent="0.25">
      <c r="A10" s="104">
        <v>9</v>
      </c>
      <c r="B10" s="103" t="s">
        <v>1489</v>
      </c>
      <c r="C10" s="102" t="s">
        <v>18</v>
      </c>
    </row>
    <row r="11" spans="1:3" ht="14.4" x14ac:dyDescent="0.25">
      <c r="A11" s="104">
        <v>10</v>
      </c>
      <c r="B11" s="103" t="s">
        <v>1490</v>
      </c>
      <c r="C11" s="102" t="s">
        <v>19</v>
      </c>
    </row>
    <row r="12" spans="1:3" ht="14.4" x14ac:dyDescent="0.25">
      <c r="A12" s="104">
        <v>11</v>
      </c>
      <c r="B12" s="103" t="s">
        <v>1491</v>
      </c>
      <c r="C12" s="102" t="s">
        <v>20</v>
      </c>
    </row>
    <row r="13" spans="1:3" ht="14.4" x14ac:dyDescent="0.25">
      <c r="A13" s="104">
        <v>12</v>
      </c>
      <c r="B13" s="103" t="s">
        <v>1492</v>
      </c>
      <c r="C13" s="102" t="s">
        <v>21</v>
      </c>
    </row>
  </sheetData>
  <hyperlinks>
    <hyperlink ref="B2" location="JBMMF!A1" display="JBMMF" xr:uid="{45246494-2BB5-476F-BDDA-554934C0C505}"/>
    <hyperlink ref="B3" location="JBOF!A1" display="JBOF!A1" xr:uid="{41E0583F-E6AA-43DA-ADEB-ABB30BAAB0AC}"/>
    <hyperlink ref="B4" location="JBLF!A1" display="JBLF" xr:uid="{3BBBF135-FA49-4D0A-870E-5541498F40AF}"/>
    <hyperlink ref="B5" location="'JBN8-13'!A1" display="JBN8-13" xr:uid="{DE1F246D-3067-443F-8460-1B473918AE01}"/>
    <hyperlink ref="B6" location="JBLOW!A1" display="JBLOW" xr:uid="{F521297B-2850-41E6-8837-17BF13314799}"/>
    <hyperlink ref="B7" location="JBSHORT!A1" display="JBSHORT" xr:uid="{0F4A812D-23A1-43BC-A7C5-D92FCCF68DE1}"/>
    <hyperlink ref="B8" location="'JBN50'!A1" display="JBN50" xr:uid="{97F12F78-7A3F-4870-B682-C3B37A104EF7}"/>
    <hyperlink ref="B9" location="JBNNX50!A1" display="JBNNX50" xr:uid="{7E4E71D5-8684-4BB1-8C57-60D8EC41C5A8}"/>
    <hyperlink ref="B10" location="JBNM150!A1" display="JBNM150" xr:uid="{55899434-21CC-4796-A8A0-2FE9F3D3C7DE}"/>
    <hyperlink ref="B11" location="JBNS250!A1" display="JBNS250" xr:uid="{51C3A0B6-A5FB-47EA-8D80-DD7C4A6EE26E}"/>
    <hyperlink ref="B12" location="JBFLEXI!A1" display="JBFLEXI" xr:uid="{298F8A58-C697-4097-9E2E-18D55BD54A15}"/>
    <hyperlink ref="B13" location="JBARB!A1" display="JBARB" xr:uid="{A71655C5-D1AA-461C-8EA0-AD7E0430D52C}"/>
  </hyperlinks>
  <pageMargins left="0.7" right="0.7" top="0.75" bottom="0.75" header="0.3" footer="0.3"/>
  <pageSetup paperSize="9" orientation="portrait" r:id="rId1"/>
  <headerFooter>
    <oddFooter>&amp;C&amp;1#&amp;"Calibri"&amp;10&amp;K000000RESTRICTED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B53B-D54B-4663-B00E-D47B616FBD77}">
  <dimension ref="A1:K88"/>
  <sheetViews>
    <sheetView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52.44140625" style="6" bestFit="1" customWidth="1"/>
    <col min="3" max="3" width="11.21875" style="6" bestFit="1" customWidth="1"/>
    <col min="4" max="5" width="13.6640625" style="6" bestFit="1" customWidth="1"/>
    <col min="6" max="6" width="12.77734375" style="8" bestFit="1" customWidth="1"/>
    <col min="7" max="7" width="6.77734375" style="14" bestFit="1" customWidth="1"/>
    <col min="8" max="8" width="11.77734375" style="11" bestFit="1" customWidth="1"/>
    <col min="9" max="9" width="10.109375" style="11" bestFit="1" customWidth="1"/>
    <col min="10" max="10" width="25.77734375" style="6" customWidth="1"/>
    <col min="11" max="16384" width="9.109375" style="6"/>
  </cols>
  <sheetData>
    <row r="1" spans="1:11" s="1" customFormat="1" ht="16.8" customHeight="1" x14ac:dyDescent="0.25">
      <c r="B1" s="98" t="s">
        <v>10</v>
      </c>
      <c r="C1" s="99"/>
      <c r="D1" s="10"/>
      <c r="F1" s="5"/>
      <c r="G1" s="14"/>
      <c r="H1" s="11"/>
      <c r="I1" s="12"/>
    </row>
    <row r="2" spans="1:11" s="1" customFormat="1" ht="14.4" x14ac:dyDescent="0.3">
      <c r="A2" s="65" t="s">
        <v>1481</v>
      </c>
      <c r="F2" s="5"/>
      <c r="G2" s="14"/>
      <c r="H2" s="11"/>
      <c r="I2" s="12"/>
    </row>
    <row r="3" spans="1:11" s="1" customFormat="1" ht="12" x14ac:dyDescent="0.2"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30.6" x14ac:dyDescent="0.2">
      <c r="B4" s="18" t="s">
        <v>7</v>
      </c>
      <c r="C4" s="18" t="s">
        <v>8</v>
      </c>
      <c r="D4" s="19" t="s">
        <v>111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22</v>
      </c>
      <c r="J4" s="13"/>
      <c r="K4" s="9"/>
    </row>
    <row r="5" spans="1:11" x14ac:dyDescent="0.2">
      <c r="B5" s="23" t="s">
        <v>23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24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25</v>
      </c>
      <c r="C7" s="24" t="s">
        <v>26</v>
      </c>
      <c r="D7" s="24" t="s">
        <v>27</v>
      </c>
      <c r="E7" s="28">
        <v>3000</v>
      </c>
      <c r="F7" s="25">
        <v>14894.01</v>
      </c>
      <c r="G7" s="26">
        <v>5.0347669424649402</v>
      </c>
      <c r="H7" s="29">
        <v>6.6600999999999994E-2</v>
      </c>
      <c r="I7" s="30"/>
    </row>
    <row r="8" spans="1:11" x14ac:dyDescent="0.2">
      <c r="B8" s="24" t="s">
        <v>28</v>
      </c>
      <c r="C8" s="24" t="s">
        <v>29</v>
      </c>
      <c r="D8" s="24" t="s">
        <v>30</v>
      </c>
      <c r="E8" s="28">
        <v>2500</v>
      </c>
      <c r="F8" s="25">
        <v>12414.3125</v>
      </c>
      <c r="G8" s="26">
        <v>4.1965306984773898</v>
      </c>
      <c r="H8" s="29">
        <v>6.6298999999999997E-2</v>
      </c>
      <c r="I8" s="30"/>
    </row>
    <row r="9" spans="1:11" x14ac:dyDescent="0.2">
      <c r="B9" s="24" t="s">
        <v>31</v>
      </c>
      <c r="C9" s="24" t="s">
        <v>32</v>
      </c>
      <c r="D9" s="24" t="s">
        <v>27</v>
      </c>
      <c r="E9" s="28">
        <v>2380</v>
      </c>
      <c r="F9" s="25">
        <v>11789.627500000001</v>
      </c>
      <c r="G9" s="26">
        <v>3.9853623571473098</v>
      </c>
      <c r="H9" s="29">
        <v>6.7001000000000005E-2</v>
      </c>
      <c r="I9" s="30"/>
    </row>
    <row r="10" spans="1:11" x14ac:dyDescent="0.2">
      <c r="B10" s="24" t="s">
        <v>33</v>
      </c>
      <c r="C10" s="24" t="s">
        <v>34</v>
      </c>
      <c r="D10" s="24" t="s">
        <v>30</v>
      </c>
      <c r="E10" s="28">
        <v>2000</v>
      </c>
      <c r="F10" s="25">
        <v>9934.64</v>
      </c>
      <c r="G10" s="26">
        <v>3.3583029054828</v>
      </c>
      <c r="H10" s="29">
        <v>6.6703999999999999E-2</v>
      </c>
      <c r="I10" s="30"/>
    </row>
    <row r="11" spans="1:11" x14ac:dyDescent="0.2">
      <c r="B11" s="24" t="s">
        <v>35</v>
      </c>
      <c r="C11" s="24" t="s">
        <v>36</v>
      </c>
      <c r="D11" s="24" t="s">
        <v>37</v>
      </c>
      <c r="E11" s="28">
        <v>2000</v>
      </c>
      <c r="F11" s="25">
        <v>9933.0400000000009</v>
      </c>
      <c r="G11" s="26">
        <v>3.3577620419337699</v>
      </c>
      <c r="H11" s="29">
        <v>6.6500000000000004E-2</v>
      </c>
      <c r="I11" s="30"/>
    </row>
    <row r="12" spans="1:11" x14ac:dyDescent="0.2">
      <c r="B12" s="24" t="s">
        <v>38</v>
      </c>
      <c r="C12" s="24" t="s">
        <v>39</v>
      </c>
      <c r="D12" s="24" t="s">
        <v>37</v>
      </c>
      <c r="E12" s="28">
        <v>2000</v>
      </c>
      <c r="F12" s="25">
        <v>9929.4500000000007</v>
      </c>
      <c r="G12" s="26">
        <v>3.3565484793456202</v>
      </c>
      <c r="H12" s="29">
        <v>6.6497000000000001E-2</v>
      </c>
      <c r="I12" s="30"/>
    </row>
    <row r="13" spans="1:11" x14ac:dyDescent="0.2">
      <c r="B13" s="24" t="s">
        <v>40</v>
      </c>
      <c r="C13" s="24" t="s">
        <v>41</v>
      </c>
      <c r="D13" s="24" t="s">
        <v>37</v>
      </c>
      <c r="E13" s="28">
        <v>2000</v>
      </c>
      <c r="F13" s="25">
        <v>9417.26</v>
      </c>
      <c r="G13" s="26">
        <v>3.1834079161083801</v>
      </c>
      <c r="H13" s="29">
        <v>7.1249999999999994E-2</v>
      </c>
      <c r="I13" s="30"/>
    </row>
    <row r="14" spans="1:11" x14ac:dyDescent="0.2">
      <c r="B14" s="24" t="s">
        <v>42</v>
      </c>
      <c r="C14" s="24" t="s">
        <v>43</v>
      </c>
      <c r="D14" s="24" t="s">
        <v>37</v>
      </c>
      <c r="E14" s="28">
        <v>1500</v>
      </c>
      <c r="F14" s="25">
        <v>7370.16</v>
      </c>
      <c r="G14" s="26">
        <v>2.4914068090915298</v>
      </c>
      <c r="H14" s="29">
        <v>7.3069999999999996E-2</v>
      </c>
      <c r="I14" s="30"/>
    </row>
    <row r="15" spans="1:11" x14ac:dyDescent="0.2">
      <c r="B15" s="24" t="s">
        <v>44</v>
      </c>
      <c r="C15" s="24" t="s">
        <v>45</v>
      </c>
      <c r="D15" s="24" t="s">
        <v>37</v>
      </c>
      <c r="E15" s="28">
        <v>1500</v>
      </c>
      <c r="F15" s="25">
        <v>7330.86</v>
      </c>
      <c r="G15" s="26">
        <v>2.47812184816839</v>
      </c>
      <c r="H15" s="29">
        <v>7.2597999999999996E-2</v>
      </c>
      <c r="I15" s="30"/>
    </row>
    <row r="16" spans="1:11" x14ac:dyDescent="0.2">
      <c r="B16" s="24" t="s">
        <v>46</v>
      </c>
      <c r="C16" s="24" t="s">
        <v>47</v>
      </c>
      <c r="D16" s="24" t="s">
        <v>37</v>
      </c>
      <c r="E16" s="28">
        <v>1000</v>
      </c>
      <c r="F16" s="25">
        <v>4959.2150000000001</v>
      </c>
      <c r="G16" s="26">
        <v>1.6764116408258301</v>
      </c>
      <c r="H16" s="29">
        <v>6.6706000000000001E-2</v>
      </c>
      <c r="I16" s="30"/>
    </row>
    <row r="17" spans="2:9" x14ac:dyDescent="0.2">
      <c r="B17" s="24" t="s">
        <v>48</v>
      </c>
      <c r="C17" s="24" t="s">
        <v>49</v>
      </c>
      <c r="D17" s="24" t="s">
        <v>37</v>
      </c>
      <c r="E17" s="28">
        <v>1000</v>
      </c>
      <c r="F17" s="25">
        <v>4956.7849999999999</v>
      </c>
      <c r="G17" s="26">
        <v>1.67559020431073</v>
      </c>
      <c r="H17" s="29">
        <v>6.7706000000000002E-2</v>
      </c>
      <c r="I17" s="30"/>
    </row>
    <row r="18" spans="2:9" x14ac:dyDescent="0.2">
      <c r="B18" s="24" t="s">
        <v>50</v>
      </c>
      <c r="C18" s="24" t="s">
        <v>51</v>
      </c>
      <c r="D18" s="24" t="s">
        <v>37</v>
      </c>
      <c r="E18" s="28">
        <v>1000</v>
      </c>
      <c r="F18" s="25">
        <v>4952.7299999999996</v>
      </c>
      <c r="G18" s="26">
        <v>1.6742194532536501</v>
      </c>
      <c r="H18" s="29">
        <v>6.6997000000000001E-2</v>
      </c>
      <c r="I18" s="30"/>
    </row>
    <row r="19" spans="2:9" x14ac:dyDescent="0.2">
      <c r="B19" s="24" t="s">
        <v>52</v>
      </c>
      <c r="C19" s="24" t="s">
        <v>53</v>
      </c>
      <c r="D19" s="24" t="s">
        <v>37</v>
      </c>
      <c r="E19" s="28">
        <v>1000</v>
      </c>
      <c r="F19" s="25">
        <v>4712.95</v>
      </c>
      <c r="G19" s="26">
        <v>1.5931642896365801</v>
      </c>
      <c r="H19" s="29">
        <v>7.2650000000000006E-2</v>
      </c>
      <c r="I19" s="30"/>
    </row>
    <row r="20" spans="2:9" x14ac:dyDescent="0.2">
      <c r="B20" s="24" t="s">
        <v>54</v>
      </c>
      <c r="C20" s="24" t="s">
        <v>55</v>
      </c>
      <c r="D20" s="24" t="s">
        <v>37</v>
      </c>
      <c r="E20" s="28">
        <v>1000</v>
      </c>
      <c r="F20" s="25">
        <v>4675.6000000000004</v>
      </c>
      <c r="G20" s="26">
        <v>1.58053850616382</v>
      </c>
      <c r="H20" s="29">
        <v>7.0150000000000004E-2</v>
      </c>
      <c r="I20" s="30"/>
    </row>
    <row r="21" spans="2:9" x14ac:dyDescent="0.2">
      <c r="B21" s="24" t="s">
        <v>56</v>
      </c>
      <c r="C21" s="24" t="s">
        <v>57</v>
      </c>
      <c r="D21" s="24" t="s">
        <v>37</v>
      </c>
      <c r="E21" s="28">
        <v>500</v>
      </c>
      <c r="F21" s="25">
        <v>2485.1</v>
      </c>
      <c r="G21" s="26">
        <v>0.84006250356483003</v>
      </c>
      <c r="H21" s="29">
        <v>6.6316E-2</v>
      </c>
      <c r="I21" s="30"/>
    </row>
    <row r="22" spans="2:9" x14ac:dyDescent="0.2">
      <c r="B22" s="23" t="s">
        <v>58</v>
      </c>
      <c r="C22" s="23"/>
      <c r="D22" s="23"/>
      <c r="E22" s="23"/>
      <c r="F22" s="31">
        <f>SUM(F6:F21)</f>
        <v>119755.74</v>
      </c>
      <c r="G22" s="32">
        <f>SUM(G6:G21)</f>
        <v>40.482196595975573</v>
      </c>
      <c r="H22" s="33"/>
      <c r="I22" s="33"/>
    </row>
    <row r="23" spans="2:9" x14ac:dyDescent="0.2">
      <c r="B23" s="23" t="s">
        <v>59</v>
      </c>
      <c r="C23" s="24"/>
      <c r="D23" s="24"/>
      <c r="E23" s="24"/>
      <c r="F23" s="25"/>
      <c r="G23" s="26"/>
      <c r="H23" s="27"/>
      <c r="I23" s="27"/>
    </row>
    <row r="24" spans="2:9" x14ac:dyDescent="0.2">
      <c r="B24" s="24" t="s">
        <v>60</v>
      </c>
      <c r="C24" s="24" t="s">
        <v>61</v>
      </c>
      <c r="D24" s="24" t="s">
        <v>27</v>
      </c>
      <c r="E24" s="28">
        <v>4000</v>
      </c>
      <c r="F24" s="25">
        <v>19867.740000000002</v>
      </c>
      <c r="G24" s="26">
        <v>6.7160852297996501</v>
      </c>
      <c r="H24" s="29">
        <v>6.5675999999999998E-2</v>
      </c>
      <c r="I24" s="30"/>
    </row>
    <row r="25" spans="2:9" x14ac:dyDescent="0.2">
      <c r="B25" s="24" t="s">
        <v>62</v>
      </c>
      <c r="C25" s="24" t="s">
        <v>63</v>
      </c>
      <c r="D25" s="24" t="s">
        <v>37</v>
      </c>
      <c r="E25" s="28">
        <v>3000</v>
      </c>
      <c r="F25" s="25">
        <v>14876.115</v>
      </c>
      <c r="G25" s="26">
        <v>5.02871772170871</v>
      </c>
      <c r="H25" s="29">
        <v>6.7547999999999997E-2</v>
      </c>
      <c r="I25" s="30"/>
    </row>
    <row r="26" spans="2:9" x14ac:dyDescent="0.2">
      <c r="B26" s="24" t="s">
        <v>64</v>
      </c>
      <c r="C26" s="24" t="s">
        <v>65</v>
      </c>
      <c r="D26" s="24" t="s">
        <v>37</v>
      </c>
      <c r="E26" s="28">
        <v>2500</v>
      </c>
      <c r="F26" s="25">
        <v>12320.737499999999</v>
      </c>
      <c r="G26" s="26">
        <v>4.1648986318518704</v>
      </c>
      <c r="H26" s="29">
        <v>7.2750999999999996E-2</v>
      </c>
      <c r="I26" s="30"/>
    </row>
    <row r="27" spans="2:9" x14ac:dyDescent="0.2">
      <c r="B27" s="24" t="s">
        <v>66</v>
      </c>
      <c r="C27" s="24" t="s">
        <v>67</v>
      </c>
      <c r="D27" s="24" t="s">
        <v>37</v>
      </c>
      <c r="E27" s="28">
        <v>1500</v>
      </c>
      <c r="F27" s="25">
        <v>7441.4925000000003</v>
      </c>
      <c r="G27" s="26">
        <v>2.5155200272861902</v>
      </c>
      <c r="H27" s="29">
        <v>7.1744000000000002E-2</v>
      </c>
      <c r="I27" s="30"/>
    </row>
    <row r="28" spans="2:9" x14ac:dyDescent="0.2">
      <c r="B28" s="24" t="s">
        <v>68</v>
      </c>
      <c r="C28" s="24" t="s">
        <v>69</v>
      </c>
      <c r="D28" s="24" t="s">
        <v>37</v>
      </c>
      <c r="E28" s="28">
        <v>1000</v>
      </c>
      <c r="F28" s="25">
        <v>4967.7749999999996</v>
      </c>
      <c r="G28" s="26">
        <v>1.67930526081316</v>
      </c>
      <c r="H28" s="29">
        <v>7.1748000000000006E-2</v>
      </c>
      <c r="I28" s="30"/>
    </row>
    <row r="29" spans="2:9" x14ac:dyDescent="0.2">
      <c r="B29" s="24" t="s">
        <v>70</v>
      </c>
      <c r="C29" s="24" t="s">
        <v>71</v>
      </c>
      <c r="D29" s="24" t="s">
        <v>37</v>
      </c>
      <c r="E29" s="28">
        <v>1000</v>
      </c>
      <c r="F29" s="25">
        <v>4964.9849999999997</v>
      </c>
      <c r="G29" s="26">
        <v>1.6783621299995299</v>
      </c>
      <c r="H29" s="29">
        <v>7.1502999999999997E-2</v>
      </c>
      <c r="I29" s="30"/>
    </row>
    <row r="30" spans="2:9" x14ac:dyDescent="0.2">
      <c r="B30" s="24" t="s">
        <v>72</v>
      </c>
      <c r="C30" s="24" t="s">
        <v>73</v>
      </c>
      <c r="D30" s="24" t="s">
        <v>37</v>
      </c>
      <c r="E30" s="28">
        <v>1000</v>
      </c>
      <c r="F30" s="25">
        <v>4962.09</v>
      </c>
      <c r="G30" s="26">
        <v>1.6773835050154999</v>
      </c>
      <c r="H30" s="29">
        <v>7.1501999999999996E-2</v>
      </c>
      <c r="I30" s="30"/>
    </row>
    <row r="31" spans="2:9" x14ac:dyDescent="0.2">
      <c r="B31" s="24" t="s">
        <v>74</v>
      </c>
      <c r="C31" s="24" t="s">
        <v>75</v>
      </c>
      <c r="D31" s="24" t="s">
        <v>37</v>
      </c>
      <c r="E31" s="28">
        <v>1000</v>
      </c>
      <c r="F31" s="25">
        <v>4961.96</v>
      </c>
      <c r="G31" s="26">
        <v>1.6773395598521399</v>
      </c>
      <c r="H31" s="29">
        <v>7.1748999999999993E-2</v>
      </c>
      <c r="I31" s="30"/>
    </row>
    <row r="32" spans="2:9" x14ac:dyDescent="0.2">
      <c r="B32" s="24" t="s">
        <v>76</v>
      </c>
      <c r="C32" s="24" t="s">
        <v>77</v>
      </c>
      <c r="D32" s="24" t="s">
        <v>37</v>
      </c>
      <c r="E32" s="28">
        <v>1000</v>
      </c>
      <c r="F32" s="25">
        <v>4958.09</v>
      </c>
      <c r="G32" s="26">
        <v>1.6760313461429099</v>
      </c>
      <c r="H32" s="29">
        <v>7.1750999999999995E-2</v>
      </c>
      <c r="I32" s="30"/>
    </row>
    <row r="33" spans="2:9" x14ac:dyDescent="0.2">
      <c r="B33" s="24" t="s">
        <v>78</v>
      </c>
      <c r="C33" s="24" t="s">
        <v>79</v>
      </c>
      <c r="D33" s="24" t="s">
        <v>37</v>
      </c>
      <c r="E33" s="28">
        <v>1000</v>
      </c>
      <c r="F33" s="25">
        <v>4957.2700000000004</v>
      </c>
      <c r="G33" s="26">
        <v>1.6757541535740299</v>
      </c>
      <c r="H33" s="29">
        <v>7.1503999999999998E-2</v>
      </c>
      <c r="I33" s="30"/>
    </row>
    <row r="34" spans="2:9" x14ac:dyDescent="0.2">
      <c r="B34" s="24" t="s">
        <v>80</v>
      </c>
      <c r="C34" s="24" t="s">
        <v>81</v>
      </c>
      <c r="D34" s="24" t="s">
        <v>37</v>
      </c>
      <c r="E34" s="28">
        <v>1000</v>
      </c>
      <c r="F34" s="25">
        <v>4956.8549999999996</v>
      </c>
      <c r="G34" s="26">
        <v>1.6756138670909999</v>
      </c>
      <c r="H34" s="29">
        <v>6.7599999999999993E-2</v>
      </c>
      <c r="I34" s="30"/>
    </row>
    <row r="35" spans="2:9" x14ac:dyDescent="0.2">
      <c r="B35" s="24" t="s">
        <v>82</v>
      </c>
      <c r="C35" s="24" t="s">
        <v>83</v>
      </c>
      <c r="D35" s="24" t="s">
        <v>37</v>
      </c>
      <c r="E35" s="28">
        <v>1000</v>
      </c>
      <c r="F35" s="25">
        <v>4956.0050000000001</v>
      </c>
      <c r="G35" s="26">
        <v>1.67532653333058</v>
      </c>
      <c r="H35" s="29">
        <v>7.2002999999999998E-2</v>
      </c>
      <c r="I35" s="30"/>
    </row>
    <row r="36" spans="2:9" x14ac:dyDescent="0.2">
      <c r="B36" s="24" t="s">
        <v>84</v>
      </c>
      <c r="C36" s="24" t="s">
        <v>85</v>
      </c>
      <c r="D36" s="24" t="s">
        <v>37</v>
      </c>
      <c r="E36" s="28">
        <v>1000</v>
      </c>
      <c r="F36" s="25">
        <v>4955.21</v>
      </c>
      <c r="G36" s="26">
        <v>1.6750577917546501</v>
      </c>
      <c r="H36" s="29">
        <v>7.0195999999999995E-2</v>
      </c>
      <c r="I36" s="30"/>
    </row>
    <row r="37" spans="2:9" x14ac:dyDescent="0.2">
      <c r="B37" s="24" t="s">
        <v>86</v>
      </c>
      <c r="C37" s="24" t="s">
        <v>87</v>
      </c>
      <c r="D37" s="24" t="s">
        <v>37</v>
      </c>
      <c r="E37" s="28">
        <v>1000</v>
      </c>
      <c r="F37" s="25">
        <v>4951.82</v>
      </c>
      <c r="G37" s="26">
        <v>1.67391183711014</v>
      </c>
      <c r="H37" s="29">
        <v>7.1027000000000007E-2</v>
      </c>
      <c r="I37" s="30"/>
    </row>
    <row r="38" spans="2:9" x14ac:dyDescent="0.2">
      <c r="B38" s="24" t="s">
        <v>88</v>
      </c>
      <c r="C38" s="24" t="s">
        <v>89</v>
      </c>
      <c r="D38" s="24" t="s">
        <v>90</v>
      </c>
      <c r="E38" s="28">
        <v>500</v>
      </c>
      <c r="F38" s="25">
        <v>2483.9425000000001</v>
      </c>
      <c r="G38" s="26">
        <v>0.83967122259107596</v>
      </c>
      <c r="H38" s="29">
        <v>7.1501999999999996E-2</v>
      </c>
      <c r="I38" s="30"/>
    </row>
    <row r="39" spans="2:9" x14ac:dyDescent="0.2">
      <c r="B39" s="24" t="s">
        <v>91</v>
      </c>
      <c r="C39" s="24" t="s">
        <v>92</v>
      </c>
      <c r="D39" s="24" t="s">
        <v>37</v>
      </c>
      <c r="E39" s="28">
        <v>500</v>
      </c>
      <c r="F39" s="25">
        <v>2475.1875</v>
      </c>
      <c r="G39" s="26">
        <v>0.83671168485870695</v>
      </c>
      <c r="H39" s="29">
        <v>7.1748000000000006E-2</v>
      </c>
      <c r="I39" s="30"/>
    </row>
    <row r="40" spans="2:9" x14ac:dyDescent="0.2">
      <c r="B40" s="23" t="s">
        <v>58</v>
      </c>
      <c r="C40" s="23"/>
      <c r="D40" s="23"/>
      <c r="E40" s="23"/>
      <c r="F40" s="31">
        <f>SUM(F23:F39)</f>
        <v>109057.27500000002</v>
      </c>
      <c r="G40" s="32">
        <f>SUM(G23:G39)</f>
        <v>36.865690502779842</v>
      </c>
      <c r="H40" s="33"/>
      <c r="I40" s="33"/>
    </row>
    <row r="41" spans="2:9" x14ac:dyDescent="0.2">
      <c r="B41" s="23" t="s">
        <v>93</v>
      </c>
      <c r="C41" s="24"/>
      <c r="D41" s="24"/>
      <c r="E41" s="24"/>
      <c r="F41" s="25"/>
      <c r="G41" s="26"/>
      <c r="H41" s="27"/>
      <c r="I41" s="27"/>
    </row>
    <row r="42" spans="2:9" x14ac:dyDescent="0.2">
      <c r="B42" s="24" t="s">
        <v>94</v>
      </c>
      <c r="C42" s="24" t="s">
        <v>95</v>
      </c>
      <c r="D42" s="24" t="s">
        <v>104</v>
      </c>
      <c r="E42" s="28">
        <v>15000000</v>
      </c>
      <c r="F42" s="25">
        <v>14213.264999999999</v>
      </c>
      <c r="G42" s="26">
        <v>4.8046480945355796</v>
      </c>
      <c r="H42" s="29">
        <v>5.7072999999999999E-2</v>
      </c>
      <c r="I42" s="30"/>
    </row>
    <row r="43" spans="2:9" x14ac:dyDescent="0.2">
      <c r="B43" s="24" t="s">
        <v>96</v>
      </c>
      <c r="C43" s="24" t="s">
        <v>97</v>
      </c>
      <c r="D43" s="24" t="s">
        <v>104</v>
      </c>
      <c r="E43" s="28">
        <v>5000000</v>
      </c>
      <c r="F43" s="25">
        <v>4773.4399999999996</v>
      </c>
      <c r="G43" s="26">
        <v>1.6136123121872401</v>
      </c>
      <c r="H43" s="29">
        <v>5.6800000000000003E-2</v>
      </c>
      <c r="I43" s="30"/>
    </row>
    <row r="44" spans="2:9" x14ac:dyDescent="0.2">
      <c r="B44" s="24" t="s">
        <v>98</v>
      </c>
      <c r="C44" s="24" t="s">
        <v>99</v>
      </c>
      <c r="D44" s="24" t="s">
        <v>104</v>
      </c>
      <c r="E44" s="28">
        <v>2500000</v>
      </c>
      <c r="F44" s="25">
        <v>2384.2399999999998</v>
      </c>
      <c r="G44" s="26">
        <v>0.80596781759261604</v>
      </c>
      <c r="H44" s="29">
        <v>5.6800000000000003E-2</v>
      </c>
      <c r="I44" s="30"/>
    </row>
    <row r="45" spans="2:9" x14ac:dyDescent="0.2">
      <c r="B45" s="23" t="s">
        <v>58</v>
      </c>
      <c r="C45" s="23"/>
      <c r="D45" s="23"/>
      <c r="E45" s="23"/>
      <c r="F45" s="34">
        <f>SUM(F41:F44)</f>
        <v>21370.945</v>
      </c>
      <c r="G45" s="35">
        <f>SUM(G41:G44)</f>
        <v>7.2242282243154357</v>
      </c>
      <c r="H45" s="33"/>
      <c r="I45" s="33"/>
    </row>
    <row r="46" spans="2:9" x14ac:dyDescent="0.2">
      <c r="B46" s="36" t="s">
        <v>100</v>
      </c>
      <c r="C46" s="36"/>
      <c r="D46" s="36"/>
      <c r="E46" s="36"/>
      <c r="F46" s="37">
        <f>+F22+F40+F45</f>
        <v>250183.96000000002</v>
      </c>
      <c r="G46" s="38">
        <f>+G22+G40+G45</f>
        <v>84.572115323070861</v>
      </c>
      <c r="H46" s="33"/>
      <c r="I46" s="33"/>
    </row>
    <row r="47" spans="2:9" x14ac:dyDescent="0.2">
      <c r="B47" s="23" t="s">
        <v>101</v>
      </c>
      <c r="C47" s="24"/>
      <c r="D47" s="24"/>
      <c r="E47" s="24"/>
      <c r="F47" s="25"/>
      <c r="G47" s="26"/>
      <c r="H47" s="27"/>
      <c r="I47" s="27"/>
    </row>
    <row r="48" spans="2:9" x14ac:dyDescent="0.2">
      <c r="B48" s="24" t="s">
        <v>102</v>
      </c>
      <c r="C48" s="24" t="s">
        <v>103</v>
      </c>
      <c r="D48" s="24" t="s">
        <v>104</v>
      </c>
      <c r="E48" s="28">
        <v>14500000</v>
      </c>
      <c r="F48" s="25">
        <v>14506.9745</v>
      </c>
      <c r="G48" s="26">
        <v>4.9039335711324101</v>
      </c>
      <c r="H48" s="29">
        <v>5.4434000000000003E-2</v>
      </c>
      <c r="I48" s="30"/>
    </row>
    <row r="49" spans="2:9" x14ac:dyDescent="0.2">
      <c r="B49" s="23" t="s">
        <v>100</v>
      </c>
      <c r="C49" s="23"/>
      <c r="D49" s="23"/>
      <c r="E49" s="23"/>
      <c r="F49" s="31">
        <f>SUM(F48:F48)</f>
        <v>14506.9745</v>
      </c>
      <c r="G49" s="32">
        <f>SUM(G48:G48)</f>
        <v>4.9039335711324101</v>
      </c>
      <c r="H49" s="33"/>
      <c r="I49" s="33"/>
    </row>
    <row r="50" spans="2:9" x14ac:dyDescent="0.2">
      <c r="B50" s="23" t="s">
        <v>105</v>
      </c>
      <c r="C50" s="24"/>
      <c r="D50" s="24"/>
      <c r="E50" s="24"/>
      <c r="F50" s="25"/>
      <c r="G50" s="26"/>
      <c r="H50" s="27"/>
      <c r="I50" s="27"/>
    </row>
    <row r="51" spans="2:9" x14ac:dyDescent="0.2">
      <c r="B51" s="24" t="s">
        <v>106</v>
      </c>
      <c r="C51" s="24" t="s">
        <v>107</v>
      </c>
      <c r="D51" s="24"/>
      <c r="E51" s="28">
        <v>6542.44</v>
      </c>
      <c r="F51" s="25">
        <v>758.85148530000004</v>
      </c>
      <c r="G51" s="26">
        <v>0.25652194220554803</v>
      </c>
      <c r="H51" s="27"/>
      <c r="I51" s="27"/>
    </row>
    <row r="52" spans="2:9" x14ac:dyDescent="0.2">
      <c r="B52" s="23" t="s">
        <v>58</v>
      </c>
      <c r="C52" s="23"/>
      <c r="D52" s="23"/>
      <c r="E52" s="23"/>
      <c r="F52" s="31">
        <f>SUM(F51:F51)</f>
        <v>758.85148530000004</v>
      </c>
      <c r="G52" s="32">
        <f>SUM(G51:G51)</f>
        <v>0.25652194220554803</v>
      </c>
      <c r="H52" s="33"/>
      <c r="I52" s="33"/>
    </row>
    <row r="53" spans="2:9" x14ac:dyDescent="0.2">
      <c r="B53" s="23"/>
      <c r="C53" s="24"/>
      <c r="D53" s="24"/>
      <c r="E53" s="24"/>
      <c r="F53" s="25"/>
      <c r="G53" s="26"/>
      <c r="H53" s="27"/>
      <c r="I53" s="27"/>
    </row>
    <row r="54" spans="2:9" x14ac:dyDescent="0.2">
      <c r="B54" s="23" t="s">
        <v>108</v>
      </c>
      <c r="C54" s="23"/>
      <c r="D54" s="23"/>
      <c r="E54" s="23"/>
      <c r="F54" s="31">
        <v>31476.131777800001</v>
      </c>
      <c r="G54" s="32">
        <v>10.6401827144965</v>
      </c>
      <c r="H54" s="29">
        <v>5.04819029E-2</v>
      </c>
      <c r="I54" s="29"/>
    </row>
    <row r="55" spans="2:9" x14ac:dyDescent="0.2">
      <c r="B55" s="24"/>
      <c r="C55" s="24"/>
      <c r="D55" s="24"/>
      <c r="E55" s="24"/>
      <c r="F55" s="25"/>
      <c r="G55" s="26"/>
      <c r="H55" s="27"/>
      <c r="I55" s="27"/>
    </row>
    <row r="56" spans="2:9" x14ac:dyDescent="0.2">
      <c r="B56" s="43" t="s">
        <v>110</v>
      </c>
      <c r="C56" s="43"/>
      <c r="D56" s="43"/>
      <c r="E56" s="43"/>
      <c r="F56" s="31">
        <f>F57-(F22+F40+F45+F49+F52+F54)</f>
        <v>-1102.6915799999842</v>
      </c>
      <c r="G56" s="32">
        <f>G57-(G22+G40+G45+G49+G52+G54)</f>
        <v>-0.37275355090532969</v>
      </c>
      <c r="H56" s="33"/>
      <c r="I56" s="33"/>
    </row>
    <row r="57" spans="2:9" x14ac:dyDescent="0.2">
      <c r="B57" s="39" t="s">
        <v>109</v>
      </c>
      <c r="C57" s="39"/>
      <c r="D57" s="39"/>
      <c r="E57" s="39"/>
      <c r="F57" s="40">
        <v>295823.22618310002</v>
      </c>
      <c r="G57" s="41">
        <v>100</v>
      </c>
      <c r="H57" s="42"/>
      <c r="I57" s="42"/>
    </row>
    <row r="59" spans="2:9" x14ac:dyDescent="0.2">
      <c r="B59" s="16" t="s">
        <v>112</v>
      </c>
    </row>
    <row r="60" spans="2:9" ht="40.049999999999997" customHeight="1" x14ac:dyDescent="0.2">
      <c r="B60" s="100" t="s">
        <v>113</v>
      </c>
      <c r="C60" s="100"/>
      <c r="D60" s="100"/>
      <c r="E60" s="100"/>
      <c r="F60" s="100"/>
      <c r="G60" s="100"/>
      <c r="H60" s="100"/>
      <c r="I60" s="100"/>
    </row>
    <row r="61" spans="2:9" x14ac:dyDescent="0.2">
      <c r="B61" s="16"/>
    </row>
    <row r="62" spans="2:9" x14ac:dyDescent="0.2">
      <c r="B62" s="16" t="s">
        <v>1501</v>
      </c>
    </row>
    <row r="63" spans="2:9" x14ac:dyDescent="0.2">
      <c r="B63" s="16"/>
    </row>
    <row r="66" spans="2:5" x14ac:dyDescent="0.2">
      <c r="B66" s="16" t="s">
        <v>1468</v>
      </c>
      <c r="C66" s="16"/>
      <c r="D66" s="44"/>
      <c r="E66" s="16"/>
    </row>
    <row r="67" spans="2:5" x14ac:dyDescent="0.2">
      <c r="D67" s="45"/>
      <c r="E67" s="45"/>
    </row>
    <row r="71" spans="2:5" x14ac:dyDescent="0.2">
      <c r="B71" s="16"/>
    </row>
    <row r="87" spans="2:2" x14ac:dyDescent="0.2">
      <c r="B87" s="16" t="s">
        <v>1469</v>
      </c>
    </row>
    <row r="88" spans="2:2" x14ac:dyDescent="0.2">
      <c r="B88" s="66" t="s">
        <v>1470</v>
      </c>
    </row>
  </sheetData>
  <mergeCells count="2">
    <mergeCell ref="B1:C1"/>
    <mergeCell ref="B60:I60"/>
  </mergeCells>
  <conditionalFormatting sqref="G1:G3 G5:G59 G61:G126">
    <cfRule type="cellIs" dxfId="13" priority="2" stopIfTrue="1" operator="between">
      <formula>0.009</formula>
      <formula>-0.009</formula>
    </cfRule>
  </conditionalFormatting>
  <hyperlinks>
    <hyperlink ref="A2" location="Index!A1" display="-" xr:uid="{6B54233E-6B8F-41DE-BAD3-AED079DF1BA9}"/>
  </hyperlinks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10" min="1" max="8" man="1"/>
  </rowBreaks>
  <colBreaks count="1" manualBreakCount="1">
    <brk id="9" max="331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359C7-4FFD-4A5D-AC25-71129B12B4FD}">
  <dimension ref="A1:K54"/>
  <sheetViews>
    <sheetView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52.44140625" style="6" bestFit="1" customWidth="1"/>
    <col min="3" max="3" width="10.44140625" style="6" bestFit="1" customWidth="1"/>
    <col min="4" max="5" width="13.6640625" style="6" bestFit="1" customWidth="1"/>
    <col min="6" max="6" width="12.77734375" style="8" bestFit="1" customWidth="1"/>
    <col min="7" max="7" width="6.77734375" style="14" bestFit="1" customWidth="1"/>
    <col min="8" max="8" width="11.77734375" style="11" bestFit="1" customWidth="1"/>
    <col min="9" max="9" width="10.109375" style="11" bestFit="1" customWidth="1"/>
    <col min="10" max="10" width="25.77734375" style="6" customWidth="1"/>
    <col min="11" max="16384" width="9.109375" style="6"/>
  </cols>
  <sheetData>
    <row r="1" spans="1:11" s="1" customFormat="1" ht="16.8" customHeight="1" x14ac:dyDescent="0.25">
      <c r="B1" s="98" t="s">
        <v>11</v>
      </c>
      <c r="C1" s="99"/>
      <c r="D1" s="10"/>
      <c r="F1" s="5"/>
      <c r="G1" s="14"/>
      <c r="H1" s="11"/>
      <c r="I1" s="12"/>
    </row>
    <row r="2" spans="1:11" s="1" customFormat="1" ht="14.4" x14ac:dyDescent="0.3">
      <c r="A2" s="65" t="s">
        <v>1481</v>
      </c>
      <c r="F2" s="5"/>
      <c r="G2" s="14"/>
      <c r="H2" s="11"/>
      <c r="I2" s="12"/>
    </row>
    <row r="3" spans="1:11" s="1" customFormat="1" ht="12" x14ac:dyDescent="0.2"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30.6" x14ac:dyDescent="0.2">
      <c r="B4" s="18" t="s">
        <v>7</v>
      </c>
      <c r="C4" s="18" t="s">
        <v>8</v>
      </c>
      <c r="D4" s="19" t="s">
        <v>111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22</v>
      </c>
      <c r="J4" s="13"/>
      <c r="K4" s="9"/>
    </row>
    <row r="5" spans="1:11" x14ac:dyDescent="0.2">
      <c r="B5" s="23" t="s">
        <v>23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93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115</v>
      </c>
      <c r="C7" s="24" t="s">
        <v>116</v>
      </c>
      <c r="D7" s="24" t="s">
        <v>104</v>
      </c>
      <c r="E7" s="28">
        <v>1500000</v>
      </c>
      <c r="F7" s="25">
        <v>1498.9739999999999</v>
      </c>
      <c r="G7" s="26">
        <v>2.3029276583406602</v>
      </c>
      <c r="H7" s="29">
        <v>4.9966000000000003E-2</v>
      </c>
      <c r="I7" s="30"/>
    </row>
    <row r="8" spans="1:11" x14ac:dyDescent="0.2">
      <c r="B8" s="24" t="s">
        <v>117</v>
      </c>
      <c r="C8" s="24" t="s">
        <v>118</v>
      </c>
      <c r="D8" s="24" t="s">
        <v>104</v>
      </c>
      <c r="E8" s="28">
        <v>1000000</v>
      </c>
      <c r="F8" s="25">
        <v>998.46500000000003</v>
      </c>
      <c r="G8" s="26">
        <v>1.53397768365902</v>
      </c>
      <c r="H8" s="29">
        <v>5.1012000000000002E-2</v>
      </c>
      <c r="I8" s="30"/>
    </row>
    <row r="9" spans="1:11" x14ac:dyDescent="0.2">
      <c r="B9" s="24" t="s">
        <v>119</v>
      </c>
      <c r="C9" s="24" t="s">
        <v>120</v>
      </c>
      <c r="D9" s="24" t="s">
        <v>104</v>
      </c>
      <c r="E9" s="28">
        <v>500000</v>
      </c>
      <c r="F9" s="25">
        <v>498.2595</v>
      </c>
      <c r="G9" s="26">
        <v>0.76549398694105797</v>
      </c>
      <c r="H9" s="29">
        <v>5.0999999999999997E-2</v>
      </c>
      <c r="I9" s="30"/>
    </row>
    <row r="10" spans="1:11" x14ac:dyDescent="0.2">
      <c r="B10" s="23" t="s">
        <v>58</v>
      </c>
      <c r="C10" s="23"/>
      <c r="D10" s="23"/>
      <c r="E10" s="23"/>
      <c r="F10" s="34">
        <f>SUM(F6:F9)</f>
        <v>2995.6985</v>
      </c>
      <c r="G10" s="35">
        <f>SUM(G6:G9)</f>
        <v>4.6023993289407379</v>
      </c>
      <c r="H10" s="33"/>
      <c r="I10" s="33"/>
    </row>
    <row r="11" spans="1:11" x14ac:dyDescent="0.2">
      <c r="B11" s="36" t="s">
        <v>100</v>
      </c>
      <c r="C11" s="36"/>
      <c r="D11" s="36"/>
      <c r="E11" s="36"/>
      <c r="F11" s="37">
        <f>+F10</f>
        <v>2995.6985</v>
      </c>
      <c r="G11" s="38">
        <f>+G10</f>
        <v>4.6023993289407379</v>
      </c>
      <c r="H11" s="33"/>
      <c r="I11" s="33"/>
    </row>
    <row r="12" spans="1:11" x14ac:dyDescent="0.2">
      <c r="B12" s="23"/>
      <c r="C12" s="24"/>
      <c r="D12" s="24"/>
      <c r="E12" s="24"/>
      <c r="F12" s="25"/>
      <c r="G12" s="26"/>
      <c r="H12" s="27"/>
      <c r="I12" s="27"/>
    </row>
    <row r="13" spans="1:11" x14ac:dyDescent="0.2">
      <c r="B13" s="23" t="s">
        <v>108</v>
      </c>
      <c r="C13" s="23"/>
      <c r="D13" s="23"/>
      <c r="E13" s="23"/>
      <c r="F13" s="31">
        <v>189.89491509999999</v>
      </c>
      <c r="G13" s="32">
        <v>0.29174238656710599</v>
      </c>
      <c r="H13" s="29">
        <v>5.04819029E-2</v>
      </c>
      <c r="I13" s="29"/>
    </row>
    <row r="14" spans="1:11" x14ac:dyDescent="0.2">
      <c r="B14" s="24"/>
      <c r="C14" s="24"/>
      <c r="D14" s="24"/>
      <c r="E14" s="24"/>
      <c r="F14" s="25"/>
      <c r="G14" s="26"/>
      <c r="H14" s="27"/>
      <c r="I14" s="27"/>
    </row>
    <row r="15" spans="1:11" x14ac:dyDescent="0.2">
      <c r="B15" s="23" t="s">
        <v>121</v>
      </c>
      <c r="C15" s="24"/>
      <c r="D15" s="24"/>
      <c r="E15" s="24"/>
      <c r="F15" s="25"/>
      <c r="G15" s="26"/>
      <c r="H15" s="27"/>
      <c r="I15" s="27"/>
    </row>
    <row r="16" spans="1:11" x14ac:dyDescent="0.2">
      <c r="B16" s="24" t="s">
        <v>122</v>
      </c>
      <c r="C16" s="24"/>
      <c r="D16" s="24"/>
      <c r="E16" s="24"/>
      <c r="F16" s="25">
        <v>27899.215700000001</v>
      </c>
      <c r="G16" s="26">
        <v>42.862568317757301</v>
      </c>
      <c r="H16" s="27">
        <v>5.3999999999999999E-2</v>
      </c>
      <c r="I16" s="27"/>
    </row>
    <row r="17" spans="2:9" x14ac:dyDescent="0.2">
      <c r="B17" s="24" t="s">
        <v>122</v>
      </c>
      <c r="C17" s="24"/>
      <c r="D17" s="24"/>
      <c r="E17" s="24"/>
      <c r="F17" s="25">
        <v>8120.0742499999997</v>
      </c>
      <c r="G17" s="26">
        <v>12.4751620629209</v>
      </c>
      <c r="H17" s="27">
        <v>5.5E-2</v>
      </c>
      <c r="I17" s="27"/>
    </row>
    <row r="18" spans="2:9" x14ac:dyDescent="0.2">
      <c r="B18" s="24" t="s">
        <v>122</v>
      </c>
      <c r="C18" s="24"/>
      <c r="D18" s="24"/>
      <c r="E18" s="24"/>
      <c r="F18" s="25">
        <v>6706.05</v>
      </c>
      <c r="G18" s="26">
        <v>10.302745760243599</v>
      </c>
      <c r="H18" s="27">
        <v>5.45E-2</v>
      </c>
      <c r="I18" s="27"/>
    </row>
    <row r="19" spans="2:9" x14ac:dyDescent="0.2">
      <c r="B19" s="24" t="s">
        <v>122</v>
      </c>
      <c r="C19" s="24"/>
      <c r="D19" s="24"/>
      <c r="E19" s="24"/>
      <c r="F19" s="25">
        <v>5099.2182578000002</v>
      </c>
      <c r="G19" s="26">
        <v>7.8341123740660397</v>
      </c>
      <c r="H19" s="27">
        <v>5.4399999999999997E-2</v>
      </c>
      <c r="I19" s="27"/>
    </row>
    <row r="20" spans="2:9" x14ac:dyDescent="0.2">
      <c r="B20" s="24" t="s">
        <v>122</v>
      </c>
      <c r="C20" s="24"/>
      <c r="D20" s="24"/>
      <c r="E20" s="24"/>
      <c r="F20" s="25">
        <v>5096.1750000000002</v>
      </c>
      <c r="G20" s="26">
        <v>7.8294369076743102</v>
      </c>
      <c r="H20" s="27">
        <v>5.5E-2</v>
      </c>
      <c r="I20" s="27"/>
    </row>
    <row r="21" spans="2:9" x14ac:dyDescent="0.2">
      <c r="B21" s="24" t="s">
        <v>122</v>
      </c>
      <c r="C21" s="24"/>
      <c r="D21" s="24"/>
      <c r="E21" s="24"/>
      <c r="F21" s="25">
        <v>4497.1662500000002</v>
      </c>
      <c r="G21" s="26">
        <v>6.9091582250800396</v>
      </c>
      <c r="H21" s="27">
        <v>5.4300000000000001E-2</v>
      </c>
      <c r="I21" s="27"/>
    </row>
    <row r="22" spans="2:9" x14ac:dyDescent="0.2">
      <c r="B22" s="24" t="s">
        <v>122</v>
      </c>
      <c r="C22" s="24"/>
      <c r="D22" s="24"/>
      <c r="E22" s="24"/>
      <c r="F22" s="25">
        <v>3061.9749999999999</v>
      </c>
      <c r="G22" s="26">
        <v>4.7042222991510396</v>
      </c>
      <c r="H22" s="27">
        <v>5.45E-2</v>
      </c>
      <c r="I22" s="27"/>
    </row>
    <row r="23" spans="2:9" x14ac:dyDescent="0.2">
      <c r="B23" s="24" t="s">
        <v>122</v>
      </c>
      <c r="C23" s="24"/>
      <c r="D23" s="24"/>
      <c r="E23" s="24"/>
      <c r="F23" s="25">
        <v>1332.5617500000001</v>
      </c>
      <c r="G23" s="26">
        <v>2.0472625345882101</v>
      </c>
      <c r="H23" s="27">
        <v>5.5E-2</v>
      </c>
      <c r="I23" s="27"/>
    </row>
    <row r="24" spans="2:9" x14ac:dyDescent="0.2">
      <c r="B24" s="23" t="s">
        <v>100</v>
      </c>
      <c r="C24" s="23"/>
      <c r="D24" s="23"/>
      <c r="E24" s="23"/>
      <c r="F24" s="31">
        <v>61812.436207800005</v>
      </c>
      <c r="G24" s="32">
        <v>94.964668481481439</v>
      </c>
      <c r="H24" s="27"/>
      <c r="I24" s="27"/>
    </row>
    <row r="25" spans="2:9" x14ac:dyDescent="0.2">
      <c r="B25" s="24"/>
      <c r="C25" s="24"/>
      <c r="D25" s="24"/>
      <c r="E25" s="24"/>
      <c r="F25" s="25"/>
      <c r="G25" s="26"/>
      <c r="H25" s="27"/>
      <c r="I25" s="27"/>
    </row>
    <row r="26" spans="2:9" x14ac:dyDescent="0.2">
      <c r="B26" s="43" t="s">
        <v>110</v>
      </c>
      <c r="C26" s="43"/>
      <c r="D26" s="43"/>
      <c r="E26" s="43"/>
      <c r="F26" s="31">
        <f>F27-(F10+F13+F24)</f>
        <v>91.900343899993459</v>
      </c>
      <c r="G26" s="32">
        <f>G27-(G10+G13+G24)</f>
        <v>0.14118980301071815</v>
      </c>
      <c r="H26" s="33"/>
      <c r="I26" s="33"/>
    </row>
    <row r="27" spans="2:9" x14ac:dyDescent="0.2">
      <c r="B27" s="39" t="s">
        <v>109</v>
      </c>
      <c r="C27" s="39"/>
      <c r="D27" s="39"/>
      <c r="E27" s="39"/>
      <c r="F27" s="40">
        <v>65089.929966800002</v>
      </c>
      <c r="G27" s="41">
        <v>100</v>
      </c>
      <c r="H27" s="42"/>
      <c r="I27" s="42"/>
    </row>
    <row r="29" spans="2:9" ht="40.049999999999997" customHeight="1" x14ac:dyDescent="0.2">
      <c r="B29" s="100" t="s">
        <v>113</v>
      </c>
      <c r="C29" s="100"/>
      <c r="D29" s="100"/>
      <c r="E29" s="100"/>
      <c r="F29" s="100"/>
      <c r="G29" s="100"/>
      <c r="H29" s="100"/>
      <c r="I29" s="100"/>
    </row>
    <row r="32" spans="2:9" x14ac:dyDescent="0.2">
      <c r="B32" s="16" t="s">
        <v>1468</v>
      </c>
    </row>
    <row r="33" spans="2:5" x14ac:dyDescent="0.2">
      <c r="B33" s="16"/>
      <c r="C33" s="16"/>
      <c r="D33" s="44"/>
      <c r="E33" s="16"/>
    </row>
    <row r="34" spans="2:5" x14ac:dyDescent="0.2">
      <c r="D34" s="45"/>
      <c r="E34" s="45"/>
    </row>
    <row r="38" spans="2:5" x14ac:dyDescent="0.2">
      <c r="B38" s="16"/>
    </row>
    <row r="53" spans="2:2" x14ac:dyDescent="0.2">
      <c r="B53" s="16" t="s">
        <v>1469</v>
      </c>
    </row>
    <row r="54" spans="2:2" x14ac:dyDescent="0.2">
      <c r="B54" s="67" t="s">
        <v>1471</v>
      </c>
    </row>
  </sheetData>
  <mergeCells count="2">
    <mergeCell ref="B1:C1"/>
    <mergeCell ref="B29:I29"/>
  </mergeCells>
  <conditionalFormatting sqref="G1:G3 G5:G28 G30:G179">
    <cfRule type="cellIs" dxfId="12" priority="2" stopIfTrue="1" operator="between">
      <formula>0.009</formula>
      <formula>-0.009</formula>
    </cfRule>
  </conditionalFormatting>
  <hyperlinks>
    <hyperlink ref="A2" location="Index!A1" display="-" xr:uid="{403F00A6-051D-47F9-99C1-2000935462DE}"/>
  </hyperlinks>
  <pageMargins left="0.7" right="0.7" top="0.75" bottom="0.75" header="0.3" footer="0.3"/>
  <pageSetup paperSize="9" scale="66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28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ABC3-61E6-4B24-9B2C-0485F39F58B3}">
  <dimension ref="A1:K132"/>
  <sheetViews>
    <sheetView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52.44140625" style="6" bestFit="1" customWidth="1"/>
    <col min="3" max="3" width="11.44140625" style="6" bestFit="1" customWidth="1"/>
    <col min="4" max="5" width="13.6640625" style="6" bestFit="1" customWidth="1"/>
    <col min="6" max="6" width="12.77734375" style="8" bestFit="1" customWidth="1"/>
    <col min="7" max="7" width="8.5546875" style="14" customWidth="1"/>
    <col min="8" max="8" width="11.77734375" style="11" bestFit="1" customWidth="1"/>
    <col min="9" max="9" width="10.109375" style="11" bestFit="1" customWidth="1"/>
    <col min="10" max="10" width="25.77734375" style="6" customWidth="1"/>
    <col min="11" max="16384" width="9.109375" style="6"/>
  </cols>
  <sheetData>
    <row r="1" spans="1:11" s="1" customFormat="1" ht="16.8" customHeight="1" x14ac:dyDescent="0.25">
      <c r="B1" s="98" t="s">
        <v>12</v>
      </c>
      <c r="C1" s="99"/>
      <c r="D1" s="10"/>
      <c r="F1" s="5"/>
      <c r="G1" s="14"/>
      <c r="H1" s="11"/>
      <c r="I1" s="12"/>
    </row>
    <row r="2" spans="1:11" s="1" customFormat="1" ht="14.4" x14ac:dyDescent="0.3">
      <c r="A2" s="65" t="s">
        <v>1481</v>
      </c>
      <c r="F2" s="5"/>
      <c r="G2" s="14"/>
      <c r="H2" s="11"/>
      <c r="I2" s="12"/>
    </row>
    <row r="3" spans="1:11" s="1" customFormat="1" ht="12" x14ac:dyDescent="0.2"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30.6" x14ac:dyDescent="0.2">
      <c r="B4" s="18" t="s">
        <v>7</v>
      </c>
      <c r="C4" s="18" t="s">
        <v>8</v>
      </c>
      <c r="D4" s="19" t="s">
        <v>111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22</v>
      </c>
      <c r="J4" s="13"/>
      <c r="K4" s="9"/>
    </row>
    <row r="5" spans="1:11" x14ac:dyDescent="0.2">
      <c r="B5" s="23" t="s">
        <v>23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24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123</v>
      </c>
      <c r="C7" s="24" t="s">
        <v>124</v>
      </c>
      <c r="D7" s="24" t="s">
        <v>37</v>
      </c>
      <c r="E7" s="28">
        <v>7000</v>
      </c>
      <c r="F7" s="25">
        <v>34859.440000000002</v>
      </c>
      <c r="G7" s="26">
        <v>3.9662736877543798</v>
      </c>
      <c r="H7" s="29">
        <v>6.3989000000000004E-2</v>
      </c>
      <c r="I7" s="30"/>
    </row>
    <row r="8" spans="1:11" x14ac:dyDescent="0.2">
      <c r="B8" s="24" t="s">
        <v>125</v>
      </c>
      <c r="C8" s="24" t="s">
        <v>126</v>
      </c>
      <c r="D8" s="24" t="s">
        <v>37</v>
      </c>
      <c r="E8" s="28">
        <v>4300</v>
      </c>
      <c r="F8" s="25">
        <v>21413.1185</v>
      </c>
      <c r="G8" s="26">
        <v>2.4363641090997601</v>
      </c>
      <c r="H8" s="29">
        <v>6.4396999999999996E-2</v>
      </c>
      <c r="I8" s="30"/>
    </row>
    <row r="9" spans="1:11" x14ac:dyDescent="0.2">
      <c r="B9" s="24" t="s">
        <v>127</v>
      </c>
      <c r="C9" s="24" t="s">
        <v>128</v>
      </c>
      <c r="D9" s="24" t="s">
        <v>37</v>
      </c>
      <c r="E9" s="28">
        <v>4000</v>
      </c>
      <c r="F9" s="25">
        <v>19939.599999999999</v>
      </c>
      <c r="G9" s="26">
        <v>2.2687085858047999</v>
      </c>
      <c r="H9" s="29">
        <v>6.5047999999999995E-2</v>
      </c>
      <c r="I9" s="30"/>
    </row>
    <row r="10" spans="1:11" x14ac:dyDescent="0.2">
      <c r="B10" s="24" t="s">
        <v>129</v>
      </c>
      <c r="C10" s="24" t="s">
        <v>130</v>
      </c>
      <c r="D10" s="24" t="s">
        <v>37</v>
      </c>
      <c r="E10" s="28">
        <v>4000</v>
      </c>
      <c r="F10" s="25">
        <v>19932.099999999999</v>
      </c>
      <c r="G10" s="26">
        <v>2.2678552429898202</v>
      </c>
      <c r="H10" s="29">
        <v>6.5451999999999996E-2</v>
      </c>
      <c r="I10" s="30"/>
    </row>
    <row r="11" spans="1:11" x14ac:dyDescent="0.2">
      <c r="B11" s="24" t="s">
        <v>131</v>
      </c>
      <c r="C11" s="24" t="s">
        <v>132</v>
      </c>
      <c r="D11" s="24" t="s">
        <v>37</v>
      </c>
      <c r="E11" s="28">
        <v>4000</v>
      </c>
      <c r="F11" s="25">
        <v>19880.28</v>
      </c>
      <c r="G11" s="26">
        <v>2.26195921303353</v>
      </c>
      <c r="H11" s="29">
        <v>6.6613000000000006E-2</v>
      </c>
      <c r="I11" s="30"/>
    </row>
    <row r="12" spans="1:11" x14ac:dyDescent="0.2">
      <c r="B12" s="24" t="s">
        <v>133</v>
      </c>
      <c r="C12" s="24" t="s">
        <v>134</v>
      </c>
      <c r="D12" s="24" t="s">
        <v>37</v>
      </c>
      <c r="E12" s="28">
        <v>3500</v>
      </c>
      <c r="F12" s="25">
        <v>17373.737499999999</v>
      </c>
      <c r="G12" s="26">
        <v>1.9767672086585899</v>
      </c>
      <c r="H12" s="29">
        <v>6.6314999999999999E-2</v>
      </c>
      <c r="I12" s="30"/>
    </row>
    <row r="13" spans="1:11" x14ac:dyDescent="0.2">
      <c r="B13" s="24" t="s">
        <v>31</v>
      </c>
      <c r="C13" s="24" t="s">
        <v>32</v>
      </c>
      <c r="D13" s="24" t="s">
        <v>27</v>
      </c>
      <c r="E13" s="28">
        <v>3500</v>
      </c>
      <c r="F13" s="25">
        <v>17337.6875</v>
      </c>
      <c r="G13" s="26">
        <v>1.9726654741945899</v>
      </c>
      <c r="H13" s="29">
        <v>6.7001000000000005E-2</v>
      </c>
      <c r="I13" s="30"/>
    </row>
    <row r="14" spans="1:11" x14ac:dyDescent="0.2">
      <c r="B14" s="24" t="s">
        <v>135</v>
      </c>
      <c r="C14" s="24" t="s">
        <v>136</v>
      </c>
      <c r="D14" s="24" t="s">
        <v>37</v>
      </c>
      <c r="E14" s="28">
        <v>3000</v>
      </c>
      <c r="F14" s="25">
        <v>14938.11</v>
      </c>
      <c r="G14" s="26">
        <v>1.69964384504687</v>
      </c>
      <c r="H14" s="29">
        <v>6.5749000000000002E-2</v>
      </c>
      <c r="I14" s="30"/>
    </row>
    <row r="15" spans="1:11" x14ac:dyDescent="0.2">
      <c r="B15" s="24" t="s">
        <v>137</v>
      </c>
      <c r="C15" s="24" t="s">
        <v>138</v>
      </c>
      <c r="D15" s="24" t="s">
        <v>37</v>
      </c>
      <c r="E15" s="28">
        <v>3000</v>
      </c>
      <c r="F15" s="25">
        <v>14855.16</v>
      </c>
      <c r="G15" s="26">
        <v>1.6902058735132099</v>
      </c>
      <c r="H15" s="29">
        <v>6.7151000000000002E-2</v>
      </c>
      <c r="I15" s="30"/>
    </row>
    <row r="16" spans="1:11" x14ac:dyDescent="0.2">
      <c r="B16" s="24" t="s">
        <v>139</v>
      </c>
      <c r="C16" s="24" t="s">
        <v>140</v>
      </c>
      <c r="D16" s="24" t="s">
        <v>90</v>
      </c>
      <c r="E16" s="28">
        <v>3000</v>
      </c>
      <c r="F16" s="25">
        <v>14823.344999999999</v>
      </c>
      <c r="G16" s="26">
        <v>1.6865859932920699</v>
      </c>
      <c r="H16" s="29">
        <v>7.2497000000000006E-2</v>
      </c>
      <c r="I16" s="30"/>
    </row>
    <row r="17" spans="2:9" x14ac:dyDescent="0.2">
      <c r="B17" s="24" t="s">
        <v>141</v>
      </c>
      <c r="C17" s="24" t="s">
        <v>142</v>
      </c>
      <c r="D17" s="24" t="s">
        <v>90</v>
      </c>
      <c r="E17" s="28">
        <v>2500</v>
      </c>
      <c r="F17" s="25">
        <v>12429.275</v>
      </c>
      <c r="G17" s="26">
        <v>1.4141910022181501</v>
      </c>
      <c r="H17" s="29">
        <v>6.6997000000000001E-2</v>
      </c>
      <c r="I17" s="30"/>
    </row>
    <row r="18" spans="2:9" x14ac:dyDescent="0.2">
      <c r="B18" s="24" t="s">
        <v>143</v>
      </c>
      <c r="C18" s="24" t="s">
        <v>144</v>
      </c>
      <c r="D18" s="24" t="s">
        <v>37</v>
      </c>
      <c r="E18" s="28">
        <v>2000</v>
      </c>
      <c r="F18" s="25">
        <v>9980.3799999999992</v>
      </c>
      <c r="G18" s="26">
        <v>1.13555807516673</v>
      </c>
      <c r="H18" s="29">
        <v>6.5230999999999997E-2</v>
      </c>
      <c r="I18" s="30"/>
    </row>
    <row r="19" spans="2:9" x14ac:dyDescent="0.2">
      <c r="B19" s="24" t="s">
        <v>145</v>
      </c>
      <c r="C19" s="24" t="s">
        <v>146</v>
      </c>
      <c r="D19" s="24" t="s">
        <v>37</v>
      </c>
      <c r="E19" s="28">
        <v>2000</v>
      </c>
      <c r="F19" s="25">
        <v>9971.85</v>
      </c>
      <c r="G19" s="26">
        <v>1.1345875399384899</v>
      </c>
      <c r="H19" s="29">
        <v>6.4409999999999995E-2</v>
      </c>
      <c r="I19" s="30"/>
    </row>
    <row r="20" spans="2:9" x14ac:dyDescent="0.2">
      <c r="B20" s="24" t="s">
        <v>147</v>
      </c>
      <c r="C20" s="24" t="s">
        <v>148</v>
      </c>
      <c r="D20" s="24" t="s">
        <v>37</v>
      </c>
      <c r="E20" s="28">
        <v>2000</v>
      </c>
      <c r="F20" s="25">
        <v>9969.68</v>
      </c>
      <c r="G20" s="26">
        <v>1.1343406394173601</v>
      </c>
      <c r="H20" s="29">
        <v>6.5296999999999994E-2</v>
      </c>
      <c r="I20" s="30"/>
    </row>
    <row r="21" spans="2:9" x14ac:dyDescent="0.2">
      <c r="B21" s="24" t="s">
        <v>149</v>
      </c>
      <c r="C21" s="24" t="s">
        <v>150</v>
      </c>
      <c r="D21" s="24" t="s">
        <v>37</v>
      </c>
      <c r="E21" s="28">
        <v>2000</v>
      </c>
      <c r="F21" s="25">
        <v>9941.86</v>
      </c>
      <c r="G21" s="26">
        <v>1.131175306469</v>
      </c>
      <c r="H21" s="29">
        <v>6.6703999999999999E-2</v>
      </c>
      <c r="I21" s="30"/>
    </row>
    <row r="22" spans="2:9" x14ac:dyDescent="0.2">
      <c r="B22" s="24" t="s">
        <v>151</v>
      </c>
      <c r="C22" s="24" t="s">
        <v>152</v>
      </c>
      <c r="D22" s="24" t="s">
        <v>30</v>
      </c>
      <c r="E22" s="28">
        <v>2000</v>
      </c>
      <c r="F22" s="25">
        <v>9927.65</v>
      </c>
      <c r="G22" s="26">
        <v>1.12955850628222</v>
      </c>
      <c r="H22" s="29">
        <v>6.6501000000000005E-2</v>
      </c>
      <c r="I22" s="30"/>
    </row>
    <row r="23" spans="2:9" x14ac:dyDescent="0.2">
      <c r="B23" s="24" t="s">
        <v>153</v>
      </c>
      <c r="C23" s="24" t="s">
        <v>154</v>
      </c>
      <c r="D23" s="24" t="s">
        <v>37</v>
      </c>
      <c r="E23" s="28">
        <v>2000</v>
      </c>
      <c r="F23" s="25">
        <v>9905.8700000000008</v>
      </c>
      <c r="G23" s="26">
        <v>1.12708039874753</v>
      </c>
      <c r="H23" s="29">
        <v>6.6699999999999995E-2</v>
      </c>
      <c r="I23" s="30"/>
    </row>
    <row r="24" spans="2:9" x14ac:dyDescent="0.2">
      <c r="B24" s="24" t="s">
        <v>155</v>
      </c>
      <c r="C24" s="24" t="s">
        <v>156</v>
      </c>
      <c r="D24" s="24" t="s">
        <v>27</v>
      </c>
      <c r="E24" s="28">
        <v>2000</v>
      </c>
      <c r="F24" s="25">
        <v>9882.4699999999993</v>
      </c>
      <c r="G24" s="26">
        <v>1.12441796916479</v>
      </c>
      <c r="H24" s="29">
        <v>7.2350999999999999E-2</v>
      </c>
      <c r="I24" s="30"/>
    </row>
    <row r="25" spans="2:9" x14ac:dyDescent="0.2">
      <c r="B25" s="24" t="s">
        <v>157</v>
      </c>
      <c r="C25" s="24" t="s">
        <v>158</v>
      </c>
      <c r="D25" s="24" t="s">
        <v>37</v>
      </c>
      <c r="E25" s="28">
        <v>1500</v>
      </c>
      <c r="F25" s="25">
        <v>7478.5275000000001</v>
      </c>
      <c r="G25" s="26">
        <v>0.85089969449875102</v>
      </c>
      <c r="H25" s="29">
        <v>6.5500000000000003E-2</v>
      </c>
      <c r="I25" s="30"/>
    </row>
    <row r="26" spans="2:9" x14ac:dyDescent="0.2">
      <c r="B26" s="24" t="s">
        <v>159</v>
      </c>
      <c r="C26" s="24" t="s">
        <v>160</v>
      </c>
      <c r="D26" s="24" t="s">
        <v>37</v>
      </c>
      <c r="E26" s="28">
        <v>1500</v>
      </c>
      <c r="F26" s="25">
        <v>7467.9750000000004</v>
      </c>
      <c r="G26" s="26">
        <v>0.84969904115807704</v>
      </c>
      <c r="H26" s="29">
        <v>6.5226000000000006E-2</v>
      </c>
      <c r="I26" s="30"/>
    </row>
    <row r="27" spans="2:9" x14ac:dyDescent="0.2">
      <c r="B27" s="24" t="s">
        <v>161</v>
      </c>
      <c r="C27" s="24" t="s">
        <v>162</v>
      </c>
      <c r="D27" s="24" t="s">
        <v>37</v>
      </c>
      <c r="E27" s="28">
        <v>1500</v>
      </c>
      <c r="F27" s="25">
        <v>7450.7624999999998</v>
      </c>
      <c r="G27" s="26">
        <v>0.84774061939770196</v>
      </c>
      <c r="H27" s="29">
        <v>6.7002000000000006E-2</v>
      </c>
      <c r="I27" s="30"/>
    </row>
    <row r="28" spans="2:9" x14ac:dyDescent="0.2">
      <c r="B28" s="24" t="s">
        <v>25</v>
      </c>
      <c r="C28" s="24" t="s">
        <v>26</v>
      </c>
      <c r="D28" s="24" t="s">
        <v>27</v>
      </c>
      <c r="E28" s="28">
        <v>1500</v>
      </c>
      <c r="F28" s="25">
        <v>7447.0050000000001</v>
      </c>
      <c r="G28" s="26">
        <v>0.84731309464739801</v>
      </c>
      <c r="H28" s="29">
        <v>6.6600999999999994E-2</v>
      </c>
      <c r="I28" s="30"/>
    </row>
    <row r="29" spans="2:9" x14ac:dyDescent="0.2">
      <c r="B29" s="24" t="s">
        <v>163</v>
      </c>
      <c r="C29" s="24" t="s">
        <v>164</v>
      </c>
      <c r="D29" s="24" t="s">
        <v>37</v>
      </c>
      <c r="E29" s="28">
        <v>1400</v>
      </c>
      <c r="F29" s="25">
        <v>6979.0420000000004</v>
      </c>
      <c r="G29" s="26">
        <v>0.79406871281732305</v>
      </c>
      <c r="H29" s="29">
        <v>6.4476000000000006E-2</v>
      </c>
      <c r="I29" s="30"/>
    </row>
    <row r="30" spans="2:9" x14ac:dyDescent="0.2">
      <c r="B30" s="24" t="s">
        <v>46</v>
      </c>
      <c r="C30" s="24" t="s">
        <v>47</v>
      </c>
      <c r="D30" s="24" t="s">
        <v>37</v>
      </c>
      <c r="E30" s="28">
        <v>1300</v>
      </c>
      <c r="F30" s="25">
        <v>6446.9795000000004</v>
      </c>
      <c r="G30" s="26">
        <v>0.73353115128475599</v>
      </c>
      <c r="H30" s="29">
        <v>6.6706000000000001E-2</v>
      </c>
      <c r="I30" s="30"/>
    </row>
    <row r="31" spans="2:9" x14ac:dyDescent="0.2">
      <c r="B31" s="24" t="s">
        <v>165</v>
      </c>
      <c r="C31" s="24" t="s">
        <v>166</v>
      </c>
      <c r="D31" s="24" t="s">
        <v>37</v>
      </c>
      <c r="E31" s="28">
        <v>1000</v>
      </c>
      <c r="F31" s="25">
        <v>4977.125</v>
      </c>
      <c r="G31" s="26">
        <v>0.56629251439967199</v>
      </c>
      <c r="H31" s="29">
        <v>6.4520999999999995E-2</v>
      </c>
      <c r="I31" s="30"/>
    </row>
    <row r="32" spans="2:9" x14ac:dyDescent="0.2">
      <c r="B32" s="24" t="s">
        <v>167</v>
      </c>
      <c r="C32" s="24" t="s">
        <v>168</v>
      </c>
      <c r="D32" s="24" t="s">
        <v>37</v>
      </c>
      <c r="E32" s="28">
        <v>1000</v>
      </c>
      <c r="F32" s="25">
        <v>4971.9250000000002</v>
      </c>
      <c r="G32" s="26">
        <v>0.565700863381288</v>
      </c>
      <c r="H32" s="29">
        <v>6.6485000000000002E-2</v>
      </c>
      <c r="I32" s="30"/>
    </row>
    <row r="33" spans="2:9" x14ac:dyDescent="0.2">
      <c r="B33" s="24" t="s">
        <v>169</v>
      </c>
      <c r="C33" s="24" t="s">
        <v>170</v>
      </c>
      <c r="D33" s="24" t="s">
        <v>90</v>
      </c>
      <c r="E33" s="28">
        <v>1000</v>
      </c>
      <c r="F33" s="25">
        <v>4964.665</v>
      </c>
      <c r="G33" s="26">
        <v>0.56487482753638896</v>
      </c>
      <c r="H33" s="29">
        <v>6.6614999999999994E-2</v>
      </c>
      <c r="I33" s="30"/>
    </row>
    <row r="34" spans="2:9" x14ac:dyDescent="0.2">
      <c r="B34" s="24" t="s">
        <v>171</v>
      </c>
      <c r="C34" s="24" t="s">
        <v>172</v>
      </c>
      <c r="D34" s="24" t="s">
        <v>37</v>
      </c>
      <c r="E34" s="28">
        <v>1000</v>
      </c>
      <c r="F34" s="25">
        <v>4959.0349999999999</v>
      </c>
      <c r="G34" s="26">
        <v>0.564234251529945</v>
      </c>
      <c r="H34" s="29">
        <v>6.7002999999999993E-2</v>
      </c>
      <c r="I34" s="30"/>
    </row>
    <row r="35" spans="2:9" x14ac:dyDescent="0.2">
      <c r="B35" s="24" t="s">
        <v>173</v>
      </c>
      <c r="C35" s="24" t="s">
        <v>174</v>
      </c>
      <c r="D35" s="24" t="s">
        <v>37</v>
      </c>
      <c r="E35" s="28">
        <v>1000</v>
      </c>
      <c r="F35" s="25">
        <v>4957.42</v>
      </c>
      <c r="G35" s="26">
        <v>0.56405049837711996</v>
      </c>
      <c r="H35" s="29">
        <v>6.6702999999999998E-2</v>
      </c>
      <c r="I35" s="30"/>
    </row>
    <row r="36" spans="2:9" x14ac:dyDescent="0.2">
      <c r="B36" s="24" t="s">
        <v>175</v>
      </c>
      <c r="C36" s="24" t="s">
        <v>176</v>
      </c>
      <c r="D36" s="24" t="s">
        <v>37</v>
      </c>
      <c r="E36" s="28">
        <v>500</v>
      </c>
      <c r="F36" s="25">
        <v>2498.6675</v>
      </c>
      <c r="G36" s="26">
        <v>0.28429599441921699</v>
      </c>
      <c r="H36" s="29">
        <v>6.4944000000000002E-2</v>
      </c>
      <c r="I36" s="30"/>
    </row>
    <row r="37" spans="2:9" x14ac:dyDescent="0.2">
      <c r="B37" s="24" t="s">
        <v>177</v>
      </c>
      <c r="C37" s="24" t="s">
        <v>178</v>
      </c>
      <c r="D37" s="24" t="s">
        <v>30</v>
      </c>
      <c r="E37" s="28">
        <v>500</v>
      </c>
      <c r="F37" s="25">
        <v>2496.4775</v>
      </c>
      <c r="G37" s="26">
        <v>0.28404681831724299</v>
      </c>
      <c r="H37" s="29">
        <v>6.4398999999999998E-2</v>
      </c>
      <c r="I37" s="30"/>
    </row>
    <row r="38" spans="2:9" x14ac:dyDescent="0.2">
      <c r="B38" s="24" t="s">
        <v>179</v>
      </c>
      <c r="C38" s="24" t="s">
        <v>180</v>
      </c>
      <c r="D38" s="24" t="s">
        <v>37</v>
      </c>
      <c r="E38" s="28">
        <v>500</v>
      </c>
      <c r="F38" s="25">
        <v>2490.335</v>
      </c>
      <c r="G38" s="26">
        <v>0.28334793055177598</v>
      </c>
      <c r="H38" s="29">
        <v>6.4397999999999997E-2</v>
      </c>
      <c r="I38" s="30"/>
    </row>
    <row r="39" spans="2:9" x14ac:dyDescent="0.2">
      <c r="B39" s="24" t="s">
        <v>181</v>
      </c>
      <c r="C39" s="24" t="s">
        <v>182</v>
      </c>
      <c r="D39" s="24" t="s">
        <v>37</v>
      </c>
      <c r="E39" s="28">
        <v>500</v>
      </c>
      <c r="F39" s="25">
        <v>2488.39</v>
      </c>
      <c r="G39" s="26">
        <v>0.283126630315092</v>
      </c>
      <c r="H39" s="29">
        <v>6.5505999999999995E-2</v>
      </c>
      <c r="I39" s="30"/>
    </row>
    <row r="40" spans="2:9" x14ac:dyDescent="0.2">
      <c r="B40" s="24" t="s">
        <v>183</v>
      </c>
      <c r="C40" s="24" t="s">
        <v>184</v>
      </c>
      <c r="D40" s="24" t="s">
        <v>37</v>
      </c>
      <c r="E40" s="28">
        <v>500</v>
      </c>
      <c r="F40" s="25">
        <v>2485.4650000000001</v>
      </c>
      <c r="G40" s="26">
        <v>0.28279382661725</v>
      </c>
      <c r="H40" s="29">
        <v>6.6703999999999999E-2</v>
      </c>
      <c r="I40" s="30"/>
    </row>
    <row r="41" spans="2:9" x14ac:dyDescent="0.2">
      <c r="B41" s="24" t="s">
        <v>38</v>
      </c>
      <c r="C41" s="24" t="s">
        <v>39</v>
      </c>
      <c r="D41" s="24" t="s">
        <v>37</v>
      </c>
      <c r="E41" s="28">
        <v>500</v>
      </c>
      <c r="F41" s="25">
        <v>2482.3625000000002</v>
      </c>
      <c r="G41" s="26">
        <v>0.28244082713945401</v>
      </c>
      <c r="H41" s="29">
        <v>6.6497000000000001E-2</v>
      </c>
      <c r="I41" s="30"/>
    </row>
    <row r="42" spans="2:9" x14ac:dyDescent="0.2">
      <c r="B42" s="24" t="s">
        <v>185</v>
      </c>
      <c r="C42" s="24" t="s">
        <v>186</v>
      </c>
      <c r="D42" s="24" t="s">
        <v>90</v>
      </c>
      <c r="E42" s="28">
        <v>400</v>
      </c>
      <c r="F42" s="25">
        <v>1988.3219999999999</v>
      </c>
      <c r="G42" s="26">
        <v>0.22622937234170001</v>
      </c>
      <c r="H42" s="29">
        <v>6.6991999999999996E-2</v>
      </c>
      <c r="I42" s="30"/>
    </row>
    <row r="43" spans="2:9" x14ac:dyDescent="0.2">
      <c r="B43" s="24" t="s">
        <v>187</v>
      </c>
      <c r="C43" s="24" t="s">
        <v>188</v>
      </c>
      <c r="D43" s="24" t="s">
        <v>37</v>
      </c>
      <c r="E43" s="28">
        <v>300</v>
      </c>
      <c r="F43" s="25">
        <v>1491.3315</v>
      </c>
      <c r="G43" s="26">
        <v>0.16968226937005501</v>
      </c>
      <c r="H43" s="29">
        <v>6.6299999999999998E-2</v>
      </c>
      <c r="I43" s="30"/>
    </row>
    <row r="44" spans="2:9" x14ac:dyDescent="0.2">
      <c r="B44" s="23" t="s">
        <v>58</v>
      </c>
      <c r="C44" s="23"/>
      <c r="D44" s="23"/>
      <c r="E44" s="23"/>
      <c r="F44" s="31">
        <f>SUM(F6:F43)</f>
        <v>363883.42599999992</v>
      </c>
      <c r="G44" s="32">
        <f>SUM(G6:G43)</f>
        <v>41.402307608892102</v>
      </c>
      <c r="H44" s="33"/>
      <c r="I44" s="33"/>
    </row>
    <row r="45" spans="2:9" x14ac:dyDescent="0.2">
      <c r="B45" s="23" t="s">
        <v>59</v>
      </c>
      <c r="C45" s="24"/>
      <c r="D45" s="24"/>
      <c r="E45" s="24"/>
      <c r="F45" s="25"/>
      <c r="G45" s="26"/>
      <c r="H45" s="27"/>
      <c r="I45" s="27"/>
    </row>
    <row r="46" spans="2:9" x14ac:dyDescent="0.2">
      <c r="B46" s="24" t="s">
        <v>80</v>
      </c>
      <c r="C46" s="24" t="s">
        <v>81</v>
      </c>
      <c r="D46" s="24" t="s">
        <v>37</v>
      </c>
      <c r="E46" s="28">
        <v>9900</v>
      </c>
      <c r="F46" s="25">
        <v>49072.864500000003</v>
      </c>
      <c r="G46" s="26">
        <v>5.5834635108620798</v>
      </c>
      <c r="H46" s="29">
        <v>6.7599999999999993E-2</v>
      </c>
      <c r="I46" s="30"/>
    </row>
    <row r="47" spans="2:9" x14ac:dyDescent="0.2">
      <c r="B47" s="24" t="s">
        <v>189</v>
      </c>
      <c r="C47" s="24" t="s">
        <v>190</v>
      </c>
      <c r="D47" s="24" t="s">
        <v>37</v>
      </c>
      <c r="E47" s="28">
        <v>5500</v>
      </c>
      <c r="F47" s="25">
        <v>27275.407500000001</v>
      </c>
      <c r="G47" s="26">
        <v>3.1033697354297298</v>
      </c>
      <c r="H47" s="29">
        <v>6.9900000000000004E-2</v>
      </c>
      <c r="I47" s="30"/>
    </row>
    <row r="48" spans="2:9" x14ac:dyDescent="0.2">
      <c r="B48" s="24" t="s">
        <v>191</v>
      </c>
      <c r="C48" s="24" t="s">
        <v>192</v>
      </c>
      <c r="D48" s="24" t="s">
        <v>37</v>
      </c>
      <c r="E48" s="28">
        <v>4000</v>
      </c>
      <c r="F48" s="25">
        <v>19963.740000000002</v>
      </c>
      <c r="G48" s="26">
        <v>2.2714552118786102</v>
      </c>
      <c r="H48" s="29">
        <v>6.6295000000000007E-2</v>
      </c>
      <c r="I48" s="30"/>
    </row>
    <row r="49" spans="2:9" x14ac:dyDescent="0.2">
      <c r="B49" s="24" t="s">
        <v>193</v>
      </c>
      <c r="C49" s="24" t="s">
        <v>194</v>
      </c>
      <c r="D49" s="24" t="s">
        <v>90</v>
      </c>
      <c r="E49" s="28">
        <v>4000</v>
      </c>
      <c r="F49" s="25">
        <v>19955.72</v>
      </c>
      <c r="G49" s="26">
        <v>2.27054270396179</v>
      </c>
      <c r="H49" s="29">
        <v>6.7491999999999996E-2</v>
      </c>
      <c r="I49" s="30"/>
    </row>
    <row r="50" spans="2:9" x14ac:dyDescent="0.2">
      <c r="B50" s="24" t="s">
        <v>78</v>
      </c>
      <c r="C50" s="24" t="s">
        <v>79</v>
      </c>
      <c r="D50" s="24" t="s">
        <v>37</v>
      </c>
      <c r="E50" s="28">
        <v>4000</v>
      </c>
      <c r="F50" s="25">
        <v>19829.080000000002</v>
      </c>
      <c r="G50" s="26">
        <v>2.2561337260832799</v>
      </c>
      <c r="H50" s="29">
        <v>7.1503999999999998E-2</v>
      </c>
      <c r="I50" s="30"/>
    </row>
    <row r="51" spans="2:9" x14ac:dyDescent="0.2">
      <c r="B51" s="24" t="s">
        <v>195</v>
      </c>
      <c r="C51" s="24" t="s">
        <v>196</v>
      </c>
      <c r="D51" s="24" t="s">
        <v>37</v>
      </c>
      <c r="E51" s="28">
        <v>3500</v>
      </c>
      <c r="F51" s="25">
        <v>17377.797500000001</v>
      </c>
      <c r="G51" s="26">
        <v>1.9772291515691001</v>
      </c>
      <c r="H51" s="29">
        <v>6.7549999999999999E-2</v>
      </c>
      <c r="I51" s="30"/>
    </row>
    <row r="52" spans="2:9" x14ac:dyDescent="0.2">
      <c r="B52" s="24" t="s">
        <v>197</v>
      </c>
      <c r="C52" s="24" t="s">
        <v>198</v>
      </c>
      <c r="D52" s="24" t="s">
        <v>27</v>
      </c>
      <c r="E52" s="28">
        <v>3000</v>
      </c>
      <c r="F52" s="25">
        <v>14895.105</v>
      </c>
      <c r="G52" s="26">
        <v>1.6947507773457799</v>
      </c>
      <c r="H52" s="29">
        <v>7.1401000000000006E-2</v>
      </c>
      <c r="I52" s="30"/>
    </row>
    <row r="53" spans="2:9" x14ac:dyDescent="0.2">
      <c r="B53" s="24" t="s">
        <v>62</v>
      </c>
      <c r="C53" s="24" t="s">
        <v>63</v>
      </c>
      <c r="D53" s="24" t="s">
        <v>37</v>
      </c>
      <c r="E53" s="28">
        <v>2500</v>
      </c>
      <c r="F53" s="25">
        <v>12396.762500000001</v>
      </c>
      <c r="G53" s="26">
        <v>1.4104917611152199</v>
      </c>
      <c r="H53" s="29">
        <v>6.7547999999999997E-2</v>
      </c>
      <c r="I53" s="30"/>
    </row>
    <row r="54" spans="2:9" x14ac:dyDescent="0.2">
      <c r="B54" s="24" t="s">
        <v>199</v>
      </c>
      <c r="C54" s="24" t="s">
        <v>200</v>
      </c>
      <c r="D54" s="24" t="s">
        <v>37</v>
      </c>
      <c r="E54" s="28">
        <v>2000</v>
      </c>
      <c r="F54" s="25">
        <v>9990.44</v>
      </c>
      <c r="G54" s="26">
        <v>1.1367026923292201</v>
      </c>
      <c r="H54" s="29">
        <v>6.9855E-2</v>
      </c>
      <c r="I54" s="30"/>
    </row>
    <row r="55" spans="2:9" x14ac:dyDescent="0.2">
      <c r="B55" s="24" t="s">
        <v>201</v>
      </c>
      <c r="C55" s="24" t="s">
        <v>202</v>
      </c>
      <c r="D55" s="24" t="s">
        <v>37</v>
      </c>
      <c r="E55" s="28">
        <v>2000</v>
      </c>
      <c r="F55" s="25">
        <v>9976.68</v>
      </c>
      <c r="G55" s="26">
        <v>1.13513709271134</v>
      </c>
      <c r="H55" s="29">
        <v>7.1096999999999994E-2</v>
      </c>
      <c r="I55" s="30"/>
    </row>
    <row r="56" spans="2:9" x14ac:dyDescent="0.2">
      <c r="B56" s="24" t="s">
        <v>203</v>
      </c>
      <c r="C56" s="24" t="s">
        <v>204</v>
      </c>
      <c r="D56" s="24" t="s">
        <v>37</v>
      </c>
      <c r="E56" s="28">
        <v>2000</v>
      </c>
      <c r="F56" s="25">
        <v>9969.66</v>
      </c>
      <c r="G56" s="26">
        <v>1.1343383638365201</v>
      </c>
      <c r="H56" s="29">
        <v>6.5351000000000006E-2</v>
      </c>
      <c r="I56" s="30"/>
    </row>
    <row r="57" spans="2:9" x14ac:dyDescent="0.2">
      <c r="B57" s="24" t="s">
        <v>205</v>
      </c>
      <c r="C57" s="24" t="s">
        <v>206</v>
      </c>
      <c r="D57" s="24" t="s">
        <v>37</v>
      </c>
      <c r="E57" s="28">
        <v>2000</v>
      </c>
      <c r="F57" s="25">
        <v>9966.77</v>
      </c>
      <c r="G57" s="26">
        <v>1.13400954240515</v>
      </c>
      <c r="H57" s="29">
        <v>7.1595000000000006E-2</v>
      </c>
      <c r="I57" s="30"/>
    </row>
    <row r="58" spans="2:9" x14ac:dyDescent="0.2">
      <c r="B58" s="24" t="s">
        <v>207</v>
      </c>
      <c r="C58" s="24" t="s">
        <v>208</v>
      </c>
      <c r="D58" s="24" t="s">
        <v>37</v>
      </c>
      <c r="E58" s="28">
        <v>2000</v>
      </c>
      <c r="F58" s="25">
        <v>9958.99</v>
      </c>
      <c r="G58" s="26">
        <v>1.13312434145841</v>
      </c>
      <c r="H58" s="29">
        <v>6.5349000000000004E-2</v>
      </c>
      <c r="I58" s="30"/>
    </row>
    <row r="59" spans="2:9" x14ac:dyDescent="0.2">
      <c r="B59" s="24" t="s">
        <v>209</v>
      </c>
      <c r="C59" s="24" t="s">
        <v>210</v>
      </c>
      <c r="D59" s="24" t="s">
        <v>37</v>
      </c>
      <c r="E59" s="28">
        <v>2000</v>
      </c>
      <c r="F59" s="25">
        <v>9943.32</v>
      </c>
      <c r="G59" s="26">
        <v>1.1313414238703201</v>
      </c>
      <c r="H59" s="29">
        <v>7.1751999999999996E-2</v>
      </c>
      <c r="I59" s="30"/>
    </row>
    <row r="60" spans="2:9" x14ac:dyDescent="0.2">
      <c r="B60" s="24" t="s">
        <v>211</v>
      </c>
      <c r="C60" s="24" t="s">
        <v>212</v>
      </c>
      <c r="D60" s="24" t="s">
        <v>37</v>
      </c>
      <c r="E60" s="28">
        <v>2000</v>
      </c>
      <c r="F60" s="25">
        <v>9928.0400000000009</v>
      </c>
      <c r="G60" s="26">
        <v>1.1296028801086</v>
      </c>
      <c r="H60" s="29">
        <v>7.1501999999999996E-2</v>
      </c>
      <c r="I60" s="30"/>
    </row>
    <row r="61" spans="2:9" x14ac:dyDescent="0.2">
      <c r="B61" s="24" t="s">
        <v>72</v>
      </c>
      <c r="C61" s="24" t="s">
        <v>73</v>
      </c>
      <c r="D61" s="24" t="s">
        <v>37</v>
      </c>
      <c r="E61" s="28">
        <v>2000</v>
      </c>
      <c r="F61" s="25">
        <v>9924.18</v>
      </c>
      <c r="G61" s="26">
        <v>1.1291636930064901</v>
      </c>
      <c r="H61" s="29">
        <v>7.1501999999999996E-2</v>
      </c>
      <c r="I61" s="30"/>
    </row>
    <row r="62" spans="2:9" x14ac:dyDescent="0.2">
      <c r="B62" s="24" t="s">
        <v>74</v>
      </c>
      <c r="C62" s="24" t="s">
        <v>75</v>
      </c>
      <c r="D62" s="24" t="s">
        <v>37</v>
      </c>
      <c r="E62" s="28">
        <v>2000</v>
      </c>
      <c r="F62" s="25">
        <v>9923.92</v>
      </c>
      <c r="G62" s="26">
        <v>1.1291341104555701</v>
      </c>
      <c r="H62" s="29">
        <v>7.1748999999999993E-2</v>
      </c>
      <c r="I62" s="30"/>
    </row>
    <row r="63" spans="2:9" x14ac:dyDescent="0.2">
      <c r="B63" s="24" t="s">
        <v>213</v>
      </c>
      <c r="C63" s="24" t="s">
        <v>214</v>
      </c>
      <c r="D63" s="24" t="s">
        <v>37</v>
      </c>
      <c r="E63" s="28">
        <v>2000</v>
      </c>
      <c r="F63" s="25">
        <v>9912.6200000000008</v>
      </c>
      <c r="G63" s="26">
        <v>1.12784840728101</v>
      </c>
      <c r="H63" s="29">
        <v>7.1499999999999994E-2</v>
      </c>
      <c r="I63" s="30"/>
    </row>
    <row r="64" spans="2:9" x14ac:dyDescent="0.2">
      <c r="B64" s="24" t="s">
        <v>215</v>
      </c>
      <c r="C64" s="24" t="s">
        <v>216</v>
      </c>
      <c r="D64" s="24" t="s">
        <v>37</v>
      </c>
      <c r="E64" s="28">
        <v>2000</v>
      </c>
      <c r="F64" s="25">
        <v>9831.91</v>
      </c>
      <c r="G64" s="26">
        <v>1.11866530080142</v>
      </c>
      <c r="H64" s="29">
        <v>0.08</v>
      </c>
      <c r="I64" s="30"/>
    </row>
    <row r="65" spans="2:9" x14ac:dyDescent="0.2">
      <c r="B65" s="24" t="s">
        <v>217</v>
      </c>
      <c r="C65" s="24" t="s">
        <v>218</v>
      </c>
      <c r="D65" s="24" t="s">
        <v>37</v>
      </c>
      <c r="E65" s="28">
        <v>1000</v>
      </c>
      <c r="F65" s="25">
        <v>4984.71</v>
      </c>
      <c r="G65" s="26">
        <v>0.56715552843322004</v>
      </c>
      <c r="H65" s="29">
        <v>6.5858E-2</v>
      </c>
      <c r="I65" s="30"/>
    </row>
    <row r="66" spans="2:9" x14ac:dyDescent="0.2">
      <c r="B66" s="24" t="s">
        <v>219</v>
      </c>
      <c r="C66" s="24" t="s">
        <v>220</v>
      </c>
      <c r="D66" s="24" t="s">
        <v>37</v>
      </c>
      <c r="E66" s="28">
        <v>1000</v>
      </c>
      <c r="F66" s="25">
        <v>4974.84</v>
      </c>
      <c r="G66" s="26">
        <v>0.56603252928870895</v>
      </c>
      <c r="H66" s="29">
        <v>7.0999000000000007E-2</v>
      </c>
      <c r="I66" s="30"/>
    </row>
    <row r="67" spans="2:9" x14ac:dyDescent="0.2">
      <c r="B67" s="24" t="s">
        <v>221</v>
      </c>
      <c r="C67" s="24" t="s">
        <v>222</v>
      </c>
      <c r="D67" s="24" t="s">
        <v>37</v>
      </c>
      <c r="E67" s="28">
        <v>1000</v>
      </c>
      <c r="F67" s="25">
        <v>4969.67</v>
      </c>
      <c r="G67" s="26">
        <v>0.56544429164158405</v>
      </c>
      <c r="H67" s="29">
        <v>6.7502999999999994E-2</v>
      </c>
      <c r="I67" s="30"/>
    </row>
    <row r="68" spans="2:9" x14ac:dyDescent="0.2">
      <c r="B68" s="24" t="s">
        <v>88</v>
      </c>
      <c r="C68" s="24" t="s">
        <v>89</v>
      </c>
      <c r="D68" s="24" t="s">
        <v>90</v>
      </c>
      <c r="E68" s="28">
        <v>1000</v>
      </c>
      <c r="F68" s="25">
        <v>4967.8850000000002</v>
      </c>
      <c r="G68" s="26">
        <v>0.56524119605161904</v>
      </c>
      <c r="H68" s="29">
        <v>7.1501999999999996E-2</v>
      </c>
      <c r="I68" s="30"/>
    </row>
    <row r="69" spans="2:9" x14ac:dyDescent="0.2">
      <c r="B69" s="24" t="s">
        <v>68</v>
      </c>
      <c r="C69" s="24" t="s">
        <v>69</v>
      </c>
      <c r="D69" s="24" t="s">
        <v>37</v>
      </c>
      <c r="E69" s="28">
        <v>1000</v>
      </c>
      <c r="F69" s="25">
        <v>4967.7749999999996</v>
      </c>
      <c r="G69" s="26">
        <v>0.56522868035700002</v>
      </c>
      <c r="H69" s="29">
        <v>7.1748000000000006E-2</v>
      </c>
      <c r="I69" s="30"/>
    </row>
    <row r="70" spans="2:9" x14ac:dyDescent="0.2">
      <c r="B70" s="24" t="s">
        <v>223</v>
      </c>
      <c r="C70" s="24" t="s">
        <v>224</v>
      </c>
      <c r="D70" s="24" t="s">
        <v>90</v>
      </c>
      <c r="E70" s="28">
        <v>500</v>
      </c>
      <c r="F70" s="25">
        <v>2497.6750000000002</v>
      </c>
      <c r="G70" s="26">
        <v>0.28418306872003402</v>
      </c>
      <c r="H70" s="29">
        <v>6.7989999999999995E-2</v>
      </c>
      <c r="I70" s="30"/>
    </row>
    <row r="71" spans="2:9" x14ac:dyDescent="0.2">
      <c r="B71" s="24" t="s">
        <v>225</v>
      </c>
      <c r="C71" s="24" t="s">
        <v>226</v>
      </c>
      <c r="D71" s="24" t="s">
        <v>37</v>
      </c>
      <c r="E71" s="28">
        <v>500</v>
      </c>
      <c r="F71" s="25">
        <v>2487.1574999999998</v>
      </c>
      <c r="G71" s="26">
        <v>0.28298639764583</v>
      </c>
      <c r="H71" s="29">
        <v>7.2495000000000004E-2</v>
      </c>
      <c r="I71" s="30"/>
    </row>
    <row r="72" spans="2:9" x14ac:dyDescent="0.2">
      <c r="B72" s="24" t="s">
        <v>60</v>
      </c>
      <c r="C72" s="24" t="s">
        <v>61</v>
      </c>
      <c r="D72" s="24" t="s">
        <v>27</v>
      </c>
      <c r="E72" s="28">
        <v>500</v>
      </c>
      <c r="F72" s="25">
        <v>2483.4675000000002</v>
      </c>
      <c r="G72" s="26">
        <v>0.28256655298086097</v>
      </c>
      <c r="H72" s="29">
        <v>6.5675999999999998E-2</v>
      </c>
      <c r="I72" s="30"/>
    </row>
    <row r="73" spans="2:9" x14ac:dyDescent="0.2">
      <c r="B73" s="23" t="s">
        <v>58</v>
      </c>
      <c r="C73" s="23"/>
      <c r="D73" s="23"/>
      <c r="E73" s="23"/>
      <c r="F73" s="31">
        <f>SUM(F45:F72)</f>
        <v>322426.18700000003</v>
      </c>
      <c r="G73" s="32">
        <f>SUM(G45:G72)</f>
        <v>36.685342671628497</v>
      </c>
      <c r="H73" s="33"/>
      <c r="I73" s="33"/>
    </row>
    <row r="74" spans="2:9" x14ac:dyDescent="0.2">
      <c r="B74" s="23" t="s">
        <v>93</v>
      </c>
      <c r="C74" s="24"/>
      <c r="D74" s="24"/>
      <c r="E74" s="24"/>
      <c r="F74" s="25"/>
      <c r="G74" s="26"/>
      <c r="H74" s="27"/>
      <c r="I74" s="27"/>
    </row>
    <row r="75" spans="2:9" x14ac:dyDescent="0.2">
      <c r="B75" s="24" t="s">
        <v>227</v>
      </c>
      <c r="C75" s="24" t="s">
        <v>228</v>
      </c>
      <c r="D75" s="24" t="s">
        <v>104</v>
      </c>
      <c r="E75" s="28">
        <v>69000000</v>
      </c>
      <c r="F75" s="25">
        <v>68109.968999999997</v>
      </c>
      <c r="G75" s="26">
        <v>7.74948702327021</v>
      </c>
      <c r="H75" s="29">
        <v>5.4200999999999999E-2</v>
      </c>
      <c r="I75" s="30"/>
    </row>
    <row r="76" spans="2:9" x14ac:dyDescent="0.2">
      <c r="B76" s="24" t="s">
        <v>229</v>
      </c>
      <c r="C76" s="24" t="s">
        <v>230</v>
      </c>
      <c r="D76" s="24" t="s">
        <v>104</v>
      </c>
      <c r="E76" s="28">
        <v>28500000</v>
      </c>
      <c r="F76" s="25">
        <v>28161.106500000002</v>
      </c>
      <c r="G76" s="26">
        <v>3.2041437191474902</v>
      </c>
      <c r="H76" s="29">
        <v>5.423E-2</v>
      </c>
      <c r="I76" s="30"/>
    </row>
    <row r="77" spans="2:9" x14ac:dyDescent="0.2">
      <c r="B77" s="24" t="s">
        <v>231</v>
      </c>
      <c r="C77" s="24" t="s">
        <v>232</v>
      </c>
      <c r="D77" s="24" t="s">
        <v>104</v>
      </c>
      <c r="E77" s="28">
        <v>25000000</v>
      </c>
      <c r="F77" s="25">
        <v>24863.375</v>
      </c>
      <c r="G77" s="26">
        <v>2.82893098831393</v>
      </c>
      <c r="H77" s="29">
        <v>5.1428000000000001E-2</v>
      </c>
      <c r="I77" s="30"/>
    </row>
    <row r="78" spans="2:9" x14ac:dyDescent="0.2">
      <c r="B78" s="24" t="s">
        <v>233</v>
      </c>
      <c r="C78" s="24" t="s">
        <v>234</v>
      </c>
      <c r="D78" s="24" t="s">
        <v>104</v>
      </c>
      <c r="E78" s="28">
        <v>18000000</v>
      </c>
      <c r="F78" s="25">
        <v>17801.009999999998</v>
      </c>
      <c r="G78" s="26">
        <v>2.0253818643802801</v>
      </c>
      <c r="H78" s="29">
        <v>5.4401999999999999E-2</v>
      </c>
      <c r="I78" s="30"/>
    </row>
    <row r="79" spans="2:9" x14ac:dyDescent="0.2">
      <c r="B79" s="23" t="s">
        <v>58</v>
      </c>
      <c r="C79" s="23"/>
      <c r="D79" s="23"/>
      <c r="E79" s="23"/>
      <c r="F79" s="34">
        <f>SUM(F74:F78)</f>
        <v>138935.46050000002</v>
      </c>
      <c r="G79" s="35">
        <f>SUM(G74:G78)</f>
        <v>15.807943595111912</v>
      </c>
      <c r="H79" s="33"/>
      <c r="I79" s="33"/>
    </row>
    <row r="80" spans="2:9" x14ac:dyDescent="0.2">
      <c r="B80" s="36" t="s">
        <v>100</v>
      </c>
      <c r="C80" s="36"/>
      <c r="D80" s="36"/>
      <c r="E80" s="36"/>
      <c r="F80" s="37">
        <f>+F44+F73+F79</f>
        <v>825245.07349999994</v>
      </c>
      <c r="G80" s="38">
        <f>+G44+G73+G79</f>
        <v>93.8955938756325</v>
      </c>
      <c r="H80" s="33"/>
      <c r="I80" s="33"/>
    </row>
    <row r="81" spans="2:9" x14ac:dyDescent="0.2">
      <c r="B81" s="23" t="s">
        <v>105</v>
      </c>
      <c r="C81" s="24"/>
      <c r="D81" s="24"/>
      <c r="E81" s="24"/>
      <c r="F81" s="25"/>
      <c r="G81" s="26"/>
      <c r="H81" s="27"/>
      <c r="I81" s="27"/>
    </row>
    <row r="82" spans="2:9" x14ac:dyDescent="0.2">
      <c r="B82" s="24" t="s">
        <v>106</v>
      </c>
      <c r="C82" s="24" t="s">
        <v>107</v>
      </c>
      <c r="D82" s="24"/>
      <c r="E82" s="28">
        <v>15348.03</v>
      </c>
      <c r="F82" s="25">
        <v>1780.2036186</v>
      </c>
      <c r="G82" s="26">
        <v>0.20254986228402699</v>
      </c>
      <c r="H82" s="27"/>
      <c r="I82" s="27"/>
    </row>
    <row r="83" spans="2:9" x14ac:dyDescent="0.2">
      <c r="B83" s="23" t="s">
        <v>58</v>
      </c>
      <c r="C83" s="23"/>
      <c r="D83" s="23"/>
      <c r="E83" s="23"/>
      <c r="F83" s="31">
        <f>SUM(F82:F82)</f>
        <v>1780.2036186</v>
      </c>
      <c r="G83" s="32">
        <f>SUM(G82:G82)</f>
        <v>0.20254986228402699</v>
      </c>
      <c r="H83" s="33"/>
      <c r="I83" s="33"/>
    </row>
    <row r="84" spans="2:9" x14ac:dyDescent="0.2">
      <c r="B84" s="23"/>
      <c r="C84" s="24"/>
      <c r="D84" s="24"/>
      <c r="E84" s="24"/>
      <c r="F84" s="25"/>
      <c r="G84" s="26"/>
      <c r="H84" s="27"/>
      <c r="I84" s="27"/>
    </row>
    <row r="85" spans="2:9" x14ac:dyDescent="0.2">
      <c r="B85" s="23" t="s">
        <v>108</v>
      </c>
      <c r="C85" s="23"/>
      <c r="D85" s="23"/>
      <c r="E85" s="23"/>
      <c r="F85" s="31">
        <v>19061.870526300001</v>
      </c>
      <c r="G85" s="32">
        <v>2.1688413671546201</v>
      </c>
      <c r="H85" s="29">
        <v>5.04819029E-2</v>
      </c>
      <c r="I85" s="29"/>
    </row>
    <row r="86" spans="2:9" x14ac:dyDescent="0.2">
      <c r="B86" s="24"/>
      <c r="C86" s="24"/>
      <c r="D86" s="24"/>
      <c r="E86" s="24"/>
      <c r="F86" s="25"/>
      <c r="G86" s="26"/>
      <c r="H86" s="27"/>
      <c r="I86" s="27"/>
    </row>
    <row r="87" spans="2:9" x14ac:dyDescent="0.2">
      <c r="B87" s="23" t="s">
        <v>121</v>
      </c>
      <c r="C87" s="24"/>
      <c r="D87" s="24"/>
      <c r="E87" s="24"/>
      <c r="F87" s="25"/>
      <c r="G87" s="26"/>
      <c r="H87" s="27"/>
      <c r="I87" s="27"/>
    </row>
    <row r="88" spans="2:9" x14ac:dyDescent="0.2">
      <c r="B88" s="24" t="s">
        <v>235</v>
      </c>
      <c r="C88" s="24"/>
      <c r="D88" s="24"/>
      <c r="E88" s="24"/>
      <c r="F88" s="25">
        <v>9999.8429961000002</v>
      </c>
      <c r="G88" s="26">
        <v>1.1377725562173799</v>
      </c>
      <c r="H88" s="27">
        <v>5.6000000000000001E-2</v>
      </c>
      <c r="I88" s="27"/>
    </row>
    <row r="89" spans="2:9" x14ac:dyDescent="0.2">
      <c r="B89" s="24" t="s">
        <v>235</v>
      </c>
      <c r="C89" s="24"/>
      <c r="D89" s="24"/>
      <c r="E89" s="24"/>
      <c r="F89" s="25">
        <v>8999.5633383000004</v>
      </c>
      <c r="G89" s="26">
        <v>1.02396169502374</v>
      </c>
      <c r="H89" s="27">
        <v>5.6000000000000001E-2</v>
      </c>
      <c r="I89" s="27"/>
    </row>
    <row r="90" spans="2:9" x14ac:dyDescent="0.2">
      <c r="B90" s="24" t="s">
        <v>236</v>
      </c>
      <c r="C90" s="24"/>
      <c r="D90" s="24"/>
      <c r="E90" s="24"/>
      <c r="F90" s="25">
        <v>7499.7454041999999</v>
      </c>
      <c r="G90" s="26">
        <v>0.85331384731181303</v>
      </c>
      <c r="H90" s="27">
        <v>5.4449999999999998E-2</v>
      </c>
      <c r="I90" s="27"/>
    </row>
    <row r="91" spans="2:9" x14ac:dyDescent="0.2">
      <c r="B91" s="24" t="s">
        <v>122</v>
      </c>
      <c r="C91" s="24"/>
      <c r="D91" s="24"/>
      <c r="E91" s="24"/>
      <c r="F91" s="25">
        <v>6150.2849999999999</v>
      </c>
      <c r="G91" s="26">
        <v>0.69977353530895603</v>
      </c>
      <c r="H91" s="27">
        <v>5.5E-2</v>
      </c>
      <c r="I91" s="27"/>
    </row>
    <row r="92" spans="2:9" x14ac:dyDescent="0.2">
      <c r="B92" s="24" t="s">
        <v>122</v>
      </c>
      <c r="C92" s="24"/>
      <c r="D92" s="24"/>
      <c r="E92" s="24"/>
      <c r="F92" s="25">
        <v>5681.1333333000002</v>
      </c>
      <c r="G92" s="26">
        <v>0.64639390812050102</v>
      </c>
      <c r="H92" s="27">
        <v>5.0999999999999997E-2</v>
      </c>
      <c r="I92" s="27"/>
    </row>
    <row r="93" spans="2:9" x14ac:dyDescent="0.2">
      <c r="B93" s="24" t="s">
        <v>122</v>
      </c>
      <c r="C93" s="24"/>
      <c r="D93" s="24"/>
      <c r="E93" s="24"/>
      <c r="F93" s="25">
        <v>5099.2193200000002</v>
      </c>
      <c r="G93" s="26">
        <v>0.58018428916255604</v>
      </c>
      <c r="H93" s="27">
        <v>5.1999999999999998E-2</v>
      </c>
      <c r="I93" s="27"/>
    </row>
    <row r="94" spans="2:9" x14ac:dyDescent="0.2">
      <c r="B94" s="24" t="s">
        <v>122</v>
      </c>
      <c r="C94" s="24"/>
      <c r="D94" s="24"/>
      <c r="E94" s="24"/>
      <c r="F94" s="25">
        <v>2799.9813275000001</v>
      </c>
      <c r="G94" s="26">
        <v>0.31857919305263699</v>
      </c>
      <c r="H94" s="27">
        <v>5.1499999999999997E-2</v>
      </c>
      <c r="I94" s="27"/>
    </row>
    <row r="95" spans="2:9" x14ac:dyDescent="0.2">
      <c r="B95" s="24" t="s">
        <v>122</v>
      </c>
      <c r="C95" s="24"/>
      <c r="D95" s="24"/>
      <c r="E95" s="24"/>
      <c r="F95" s="25">
        <v>2599.2005600000002</v>
      </c>
      <c r="G95" s="26">
        <v>0.29573454967505097</v>
      </c>
      <c r="H95" s="27">
        <v>5.1999999999999998E-2</v>
      </c>
      <c r="I95" s="27"/>
    </row>
    <row r="96" spans="2:9" x14ac:dyDescent="0.2">
      <c r="B96" s="24" t="s">
        <v>122</v>
      </c>
      <c r="C96" s="24"/>
      <c r="D96" s="24"/>
      <c r="E96" s="24"/>
      <c r="F96" s="25">
        <v>2399.9245716999999</v>
      </c>
      <c r="G96" s="26">
        <v>0.27306111863325699</v>
      </c>
      <c r="H96" s="27">
        <v>5.1999999999999998E-2</v>
      </c>
      <c r="I96" s="27"/>
    </row>
    <row r="97" spans="2:9" x14ac:dyDescent="0.2">
      <c r="B97" s="24" t="s">
        <v>122</v>
      </c>
      <c r="C97" s="24"/>
      <c r="D97" s="24"/>
      <c r="E97" s="24"/>
      <c r="F97" s="25">
        <v>2199.7648272000001</v>
      </c>
      <c r="G97" s="26">
        <v>0.250287134657669</v>
      </c>
      <c r="H97" s="27">
        <v>5.1999999999999998E-2</v>
      </c>
      <c r="I97" s="27"/>
    </row>
    <row r="98" spans="2:9" x14ac:dyDescent="0.2">
      <c r="B98" s="24" t="s">
        <v>122</v>
      </c>
      <c r="C98" s="24"/>
      <c r="D98" s="24"/>
      <c r="E98" s="24"/>
      <c r="F98" s="25">
        <v>1999.6493278</v>
      </c>
      <c r="G98" s="26">
        <v>0.22751818484717101</v>
      </c>
      <c r="H98" s="27">
        <v>5.1999999999999998E-2</v>
      </c>
      <c r="I98" s="27"/>
    </row>
    <row r="99" spans="2:9" x14ac:dyDescent="0.2">
      <c r="B99" s="23" t="s">
        <v>100</v>
      </c>
      <c r="C99" s="23"/>
      <c r="D99" s="23"/>
      <c r="E99" s="23"/>
      <c r="F99" s="31">
        <v>55428.3100061</v>
      </c>
      <c r="G99" s="32">
        <v>6.3065800120107314</v>
      </c>
      <c r="H99" s="27"/>
      <c r="I99" s="27"/>
    </row>
    <row r="100" spans="2:9" x14ac:dyDescent="0.2">
      <c r="B100" s="24"/>
      <c r="C100" s="24"/>
      <c r="D100" s="24"/>
      <c r="E100" s="24"/>
      <c r="F100" s="25"/>
      <c r="G100" s="26"/>
      <c r="H100" s="27"/>
      <c r="I100" s="27"/>
    </row>
    <row r="101" spans="2:9" x14ac:dyDescent="0.2">
      <c r="B101" s="43" t="s">
        <v>110</v>
      </c>
      <c r="C101" s="43"/>
      <c r="D101" s="43"/>
      <c r="E101" s="43"/>
      <c r="F101" s="31">
        <f>F102-(F44+F73+F79+F83+F85+F99)</f>
        <v>-22618.973335599992</v>
      </c>
      <c r="G101" s="32">
        <f>G102-(G44+G73+G79+G83+G85+G99)</f>
        <v>-2.5735651170818699</v>
      </c>
      <c r="H101" s="33"/>
      <c r="I101" s="33"/>
    </row>
    <row r="102" spans="2:9" x14ac:dyDescent="0.2">
      <c r="B102" s="39" t="s">
        <v>109</v>
      </c>
      <c r="C102" s="39"/>
      <c r="D102" s="39"/>
      <c r="E102" s="39"/>
      <c r="F102" s="40">
        <v>878896.48431540001</v>
      </c>
      <c r="G102" s="41">
        <v>100</v>
      </c>
      <c r="H102" s="42"/>
      <c r="I102" s="42"/>
    </row>
    <row r="104" spans="2:9" x14ac:dyDescent="0.2">
      <c r="B104" s="16" t="s">
        <v>112</v>
      </c>
    </row>
    <row r="105" spans="2:9" ht="40.049999999999997" customHeight="1" x14ac:dyDescent="0.2">
      <c r="B105" s="100" t="s">
        <v>113</v>
      </c>
      <c r="C105" s="100"/>
      <c r="D105" s="100"/>
      <c r="E105" s="100"/>
      <c r="F105" s="100"/>
      <c r="G105" s="100"/>
      <c r="H105" s="100"/>
      <c r="I105" s="100"/>
    </row>
    <row r="107" spans="2:9" x14ac:dyDescent="0.2">
      <c r="B107" s="97" t="s">
        <v>1500</v>
      </c>
    </row>
    <row r="110" spans="2:9" x14ac:dyDescent="0.2">
      <c r="B110" s="16" t="s">
        <v>1468</v>
      </c>
    </row>
    <row r="111" spans="2:9" x14ac:dyDescent="0.2">
      <c r="B111" s="16"/>
      <c r="C111" s="16"/>
      <c r="D111" s="44"/>
      <c r="E111" s="16"/>
    </row>
    <row r="112" spans="2:9" x14ac:dyDescent="0.2">
      <c r="D112" s="45"/>
      <c r="E112" s="45"/>
    </row>
    <row r="131" spans="2:2" x14ac:dyDescent="0.2">
      <c r="B131" s="16" t="s">
        <v>1469</v>
      </c>
    </row>
    <row r="132" spans="2:2" x14ac:dyDescent="0.2">
      <c r="B132" s="16" t="s">
        <v>1472</v>
      </c>
    </row>
  </sheetData>
  <mergeCells count="2">
    <mergeCell ref="B1:C1"/>
    <mergeCell ref="B105:I105"/>
  </mergeCells>
  <conditionalFormatting sqref="G1:G3 G5:G104 G106:G151">
    <cfRule type="cellIs" dxfId="11" priority="2" stopIfTrue="1" operator="between">
      <formula>0.009</formula>
      <formula>-0.009</formula>
    </cfRule>
  </conditionalFormatting>
  <hyperlinks>
    <hyperlink ref="A2" location="Index!A1" display="-" xr:uid="{EB1E950B-5714-421A-A8A7-B0FA23502047}"/>
  </hyperlinks>
  <pageMargins left="0.7" right="0.7" top="0.75" bottom="0.75" header="0.3" footer="0.3"/>
  <pageSetup paperSize="9" scale="4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357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54D4-66D0-4B2A-8759-6F46DCD9956F}">
  <dimension ref="A1:K39"/>
  <sheetViews>
    <sheetView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52.44140625" style="6" bestFit="1" customWidth="1"/>
    <col min="3" max="3" width="10.21875" style="6" bestFit="1" customWidth="1"/>
    <col min="4" max="5" width="13.6640625" style="6" bestFit="1" customWidth="1"/>
    <col min="6" max="6" width="12.77734375" style="8" bestFit="1" customWidth="1"/>
    <col min="7" max="7" width="9.21875" style="14" customWidth="1"/>
    <col min="8" max="8" width="11.77734375" style="11" bestFit="1" customWidth="1"/>
    <col min="9" max="9" width="10.109375" style="11" bestFit="1" customWidth="1"/>
    <col min="10" max="10" width="25.77734375" style="6" customWidth="1"/>
    <col min="11" max="16384" width="9.109375" style="6"/>
  </cols>
  <sheetData>
    <row r="1" spans="1:11" s="1" customFormat="1" ht="16.8" customHeight="1" x14ac:dyDescent="0.25">
      <c r="B1" s="98" t="s">
        <v>13</v>
      </c>
      <c r="C1" s="99"/>
      <c r="D1" s="10"/>
      <c r="F1" s="5"/>
      <c r="G1" s="14"/>
      <c r="H1" s="11"/>
      <c r="I1" s="12"/>
    </row>
    <row r="2" spans="1:11" s="1" customFormat="1" ht="14.4" x14ac:dyDescent="0.3">
      <c r="A2" s="65" t="s">
        <v>1481</v>
      </c>
      <c r="F2" s="5"/>
      <c r="G2" s="14"/>
      <c r="H2" s="11"/>
      <c r="I2" s="12"/>
    </row>
    <row r="3" spans="1:11" s="1" customFormat="1" ht="12" x14ac:dyDescent="0.2"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40.5" customHeight="1" x14ac:dyDescent="0.2">
      <c r="B4" s="18" t="s">
        <v>7</v>
      </c>
      <c r="C4" s="18" t="s">
        <v>8</v>
      </c>
      <c r="D4" s="19" t="s">
        <v>111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22</v>
      </c>
      <c r="J4" s="13"/>
      <c r="K4" s="9"/>
    </row>
    <row r="5" spans="1:11" x14ac:dyDescent="0.2">
      <c r="B5" s="23" t="s">
        <v>101</v>
      </c>
      <c r="C5" s="24"/>
      <c r="D5" s="24"/>
      <c r="E5" s="24"/>
      <c r="F5" s="25"/>
      <c r="G5" s="26"/>
      <c r="H5" s="27"/>
      <c r="I5" s="27"/>
    </row>
    <row r="6" spans="1:11" x14ac:dyDescent="0.2">
      <c r="B6" s="24" t="s">
        <v>237</v>
      </c>
      <c r="C6" s="24" t="s">
        <v>238</v>
      </c>
      <c r="D6" s="24" t="s">
        <v>104</v>
      </c>
      <c r="E6" s="28">
        <v>1365100</v>
      </c>
      <c r="F6" s="25">
        <v>1344.2494626</v>
      </c>
      <c r="G6" s="26">
        <v>48.290015903834302</v>
      </c>
      <c r="H6" s="29">
        <v>6.8072821288000004E-2</v>
      </c>
      <c r="I6" s="30"/>
    </row>
    <row r="7" spans="1:11" x14ac:dyDescent="0.2">
      <c r="B7" s="24" t="s">
        <v>239</v>
      </c>
      <c r="C7" s="24" t="s">
        <v>240</v>
      </c>
      <c r="D7" s="24" t="s">
        <v>104</v>
      </c>
      <c r="E7" s="28">
        <v>774000</v>
      </c>
      <c r="F7" s="25">
        <v>754.84117800000001</v>
      </c>
      <c r="G7" s="26">
        <v>27.116464246142399</v>
      </c>
      <c r="H7" s="29">
        <v>6.80291185125E-2</v>
      </c>
      <c r="I7" s="30"/>
    </row>
    <row r="8" spans="1:11" x14ac:dyDescent="0.2">
      <c r="B8" s="24" t="s">
        <v>241</v>
      </c>
      <c r="C8" s="24" t="s">
        <v>242</v>
      </c>
      <c r="D8" s="24" t="s">
        <v>104</v>
      </c>
      <c r="E8" s="28">
        <v>624200</v>
      </c>
      <c r="F8" s="25">
        <v>626.38469999999995</v>
      </c>
      <c r="G8" s="26">
        <v>22.5018703495805</v>
      </c>
      <c r="H8" s="29">
        <v>6.8474851285124996E-2</v>
      </c>
      <c r="I8" s="30"/>
    </row>
    <row r="9" spans="1:11" x14ac:dyDescent="0.2">
      <c r="B9" s="23" t="s">
        <v>100</v>
      </c>
      <c r="C9" s="23"/>
      <c r="D9" s="23"/>
      <c r="E9" s="23"/>
      <c r="F9" s="31">
        <f>SUM(F6:F8)</f>
        <v>2725.4753406</v>
      </c>
      <c r="G9" s="32">
        <f>SUM(G6:G8)</f>
        <v>97.908350499557201</v>
      </c>
      <c r="H9" s="33"/>
      <c r="I9" s="33"/>
    </row>
    <row r="10" spans="1:11" x14ac:dyDescent="0.2">
      <c r="B10" s="23"/>
      <c r="C10" s="24"/>
      <c r="D10" s="24"/>
      <c r="E10" s="24"/>
      <c r="F10" s="25"/>
      <c r="G10" s="26"/>
      <c r="H10" s="27"/>
      <c r="I10" s="27"/>
    </row>
    <row r="11" spans="1:11" x14ac:dyDescent="0.2">
      <c r="B11" s="23" t="s">
        <v>108</v>
      </c>
      <c r="C11" s="23"/>
      <c r="D11" s="23"/>
      <c r="E11" s="23"/>
      <c r="F11" s="31">
        <v>14.6245829</v>
      </c>
      <c r="G11" s="32">
        <v>0.52536479312552198</v>
      </c>
      <c r="H11" s="29">
        <v>5.04819029E-2</v>
      </c>
      <c r="I11" s="29"/>
    </row>
    <row r="12" spans="1:11" x14ac:dyDescent="0.2">
      <c r="B12" s="24"/>
      <c r="C12" s="24"/>
      <c r="D12" s="24"/>
      <c r="E12" s="24"/>
      <c r="F12" s="25"/>
      <c r="G12" s="26"/>
      <c r="H12" s="27"/>
      <c r="I12" s="27"/>
    </row>
    <row r="13" spans="1:11" x14ac:dyDescent="0.2">
      <c r="B13" s="43" t="s">
        <v>110</v>
      </c>
      <c r="C13" s="43"/>
      <c r="D13" s="43"/>
      <c r="E13" s="43"/>
      <c r="F13" s="31">
        <f>F14-(F9+F11)</f>
        <v>43.600676800000201</v>
      </c>
      <c r="G13" s="32">
        <f>G14-(G9+G11)</f>
        <v>1.5662847073172799</v>
      </c>
      <c r="H13" s="33"/>
      <c r="I13" s="33"/>
    </row>
    <row r="14" spans="1:11" x14ac:dyDescent="0.2">
      <c r="B14" s="39" t="s">
        <v>109</v>
      </c>
      <c r="C14" s="39"/>
      <c r="D14" s="39"/>
      <c r="E14" s="39"/>
      <c r="F14" s="40">
        <v>2783.7006003000001</v>
      </c>
      <c r="G14" s="41">
        <v>100</v>
      </c>
      <c r="H14" s="42"/>
      <c r="I14" s="42"/>
    </row>
    <row r="16" spans="1:11" ht="40.049999999999997" customHeight="1" x14ac:dyDescent="0.2">
      <c r="B16" s="100" t="s">
        <v>113</v>
      </c>
      <c r="C16" s="100"/>
      <c r="D16" s="100"/>
      <c r="E16" s="100"/>
      <c r="F16" s="100"/>
      <c r="G16" s="100"/>
      <c r="H16" s="100"/>
      <c r="I16" s="100"/>
    </row>
    <row r="18" spans="2:2" x14ac:dyDescent="0.2">
      <c r="B18" s="16" t="s">
        <v>1496</v>
      </c>
    </row>
    <row r="20" spans="2:2" x14ac:dyDescent="0.2">
      <c r="B20" s="16" t="s">
        <v>114</v>
      </c>
    </row>
    <row r="38" spans="2:2" x14ac:dyDescent="0.2">
      <c r="B38" s="16" t="s">
        <v>1469</v>
      </c>
    </row>
    <row r="39" spans="2:2" x14ac:dyDescent="0.2">
      <c r="B39" s="16" t="s">
        <v>1473</v>
      </c>
    </row>
  </sheetData>
  <mergeCells count="2">
    <mergeCell ref="B1:C1"/>
    <mergeCell ref="B16:I16"/>
  </mergeCells>
  <conditionalFormatting sqref="G1:G3 G5:G15 G17:G58">
    <cfRule type="cellIs" dxfId="10" priority="2" stopIfTrue="1" operator="between">
      <formula>0.009</formula>
      <formula>-0.009</formula>
    </cfRule>
  </conditionalFormatting>
  <hyperlinks>
    <hyperlink ref="A2" location="Index!A1" display="-" xr:uid="{2D07F5C2-366F-4503-A0AB-540778AE6561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144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A59F4-5B13-4CCF-9E07-1C19CD1D548F}">
  <dimension ref="A1:K66"/>
  <sheetViews>
    <sheetView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52.44140625" style="6" bestFit="1" customWidth="1"/>
    <col min="3" max="3" width="11.21875" style="6" bestFit="1" customWidth="1"/>
    <col min="4" max="5" width="13.6640625" style="6" bestFit="1" customWidth="1"/>
    <col min="6" max="6" width="13.77734375" style="8" customWidth="1"/>
    <col min="7" max="7" width="8.77734375" style="14" customWidth="1"/>
    <col min="8" max="8" width="11.77734375" style="11" bestFit="1" customWidth="1"/>
    <col min="9" max="9" width="10.88671875" style="11" customWidth="1"/>
    <col min="10" max="10" width="25.77734375" style="6" customWidth="1"/>
    <col min="11" max="16384" width="9.109375" style="6"/>
  </cols>
  <sheetData>
    <row r="1" spans="1:11" s="1" customFormat="1" ht="16.8" customHeight="1" x14ac:dyDescent="0.25">
      <c r="B1" s="98" t="s">
        <v>14</v>
      </c>
      <c r="C1" s="99"/>
      <c r="D1" s="10"/>
      <c r="F1" s="5"/>
      <c r="G1" s="14"/>
      <c r="H1" s="11"/>
      <c r="I1" s="12"/>
    </row>
    <row r="2" spans="1:11" s="1" customFormat="1" ht="14.4" x14ac:dyDescent="0.3">
      <c r="A2" s="65" t="s">
        <v>1481</v>
      </c>
      <c r="F2" s="5"/>
      <c r="G2" s="14"/>
      <c r="H2" s="11"/>
      <c r="I2" s="12"/>
    </row>
    <row r="3" spans="1:11" s="1" customFormat="1" ht="12" x14ac:dyDescent="0.2"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20.399999999999999" x14ac:dyDescent="0.2">
      <c r="B4" s="18" t="s">
        <v>7</v>
      </c>
      <c r="C4" s="18" t="s">
        <v>8</v>
      </c>
      <c r="D4" s="19" t="s">
        <v>111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22</v>
      </c>
      <c r="J4" s="13"/>
      <c r="K4" s="9"/>
    </row>
    <row r="5" spans="1:11" x14ac:dyDescent="0.2">
      <c r="B5" s="23" t="s">
        <v>243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244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245</v>
      </c>
      <c r="C7" s="24" t="s">
        <v>246</v>
      </c>
      <c r="D7" s="24" t="s">
        <v>247</v>
      </c>
      <c r="E7" s="28">
        <v>2500</v>
      </c>
      <c r="F7" s="25">
        <v>2515.1075000000001</v>
      </c>
      <c r="G7" s="26">
        <v>7.5895486934267504</v>
      </c>
      <c r="H7" s="29">
        <v>7.1900000000000006E-2</v>
      </c>
      <c r="I7" s="30"/>
    </row>
    <row r="8" spans="1:11" x14ac:dyDescent="0.2">
      <c r="B8" s="24" t="s">
        <v>248</v>
      </c>
      <c r="C8" s="24" t="s">
        <v>249</v>
      </c>
      <c r="D8" s="24" t="s">
        <v>247</v>
      </c>
      <c r="E8" s="28">
        <v>2500</v>
      </c>
      <c r="F8" s="25">
        <v>2497.3649999999998</v>
      </c>
      <c r="G8" s="26">
        <v>7.5360092054751897</v>
      </c>
      <c r="H8" s="29">
        <v>7.3492000000000002E-2</v>
      </c>
      <c r="I8" s="30"/>
    </row>
    <row r="9" spans="1:11" x14ac:dyDescent="0.2">
      <c r="B9" s="24" t="s">
        <v>250</v>
      </c>
      <c r="C9" s="24" t="s">
        <v>251</v>
      </c>
      <c r="D9" s="24" t="s">
        <v>247</v>
      </c>
      <c r="E9" s="28">
        <v>250</v>
      </c>
      <c r="F9" s="25">
        <v>2485.6424999999999</v>
      </c>
      <c r="G9" s="26">
        <v>7.5006355745036704</v>
      </c>
      <c r="H9" s="29">
        <v>7.2349999999999998E-2</v>
      </c>
      <c r="I9" s="30"/>
    </row>
    <row r="10" spans="1:11" x14ac:dyDescent="0.2">
      <c r="B10" s="23" t="s">
        <v>58</v>
      </c>
      <c r="C10" s="23"/>
      <c r="D10" s="23"/>
      <c r="E10" s="23"/>
      <c r="F10" s="34">
        <f>SUM(F6:F9)</f>
        <v>7498.1149999999998</v>
      </c>
      <c r="G10" s="35">
        <f>SUM(G6:G9)</f>
        <v>22.62619347340561</v>
      </c>
      <c r="H10" s="33"/>
      <c r="I10" s="33"/>
    </row>
    <row r="11" spans="1:11" x14ac:dyDescent="0.2">
      <c r="B11" s="36" t="s">
        <v>252</v>
      </c>
      <c r="C11" s="46"/>
      <c r="D11" s="46"/>
      <c r="E11" s="46"/>
      <c r="F11" s="47"/>
      <c r="G11" s="48"/>
      <c r="H11" s="27"/>
      <c r="I11" s="27"/>
    </row>
    <row r="12" spans="1:11" x14ac:dyDescent="0.2">
      <c r="B12" s="23" t="s">
        <v>58</v>
      </c>
      <c r="C12" s="23"/>
      <c r="D12" s="23"/>
      <c r="E12" s="23"/>
      <c r="F12" s="49" t="s">
        <v>253</v>
      </c>
      <c r="G12" s="50" t="s">
        <v>253</v>
      </c>
      <c r="H12" s="33"/>
      <c r="I12" s="33"/>
    </row>
    <row r="13" spans="1:11" x14ac:dyDescent="0.2">
      <c r="B13" s="36" t="s">
        <v>100</v>
      </c>
      <c r="C13" s="36"/>
      <c r="D13" s="36"/>
      <c r="E13" s="36"/>
      <c r="F13" s="51">
        <f>F10</f>
        <v>7498.1149999999998</v>
      </c>
      <c r="G13" s="52">
        <f>G10</f>
        <v>22.62619347340561</v>
      </c>
      <c r="H13" s="33"/>
      <c r="I13" s="33"/>
    </row>
    <row r="14" spans="1:11" x14ac:dyDescent="0.2">
      <c r="B14" s="23" t="s">
        <v>23</v>
      </c>
      <c r="C14" s="24"/>
      <c r="D14" s="24"/>
      <c r="E14" s="24"/>
      <c r="F14" s="25"/>
      <c r="G14" s="26"/>
      <c r="H14" s="27"/>
      <c r="I14" s="27"/>
    </row>
    <row r="15" spans="1:11" x14ac:dyDescent="0.2">
      <c r="B15" s="23" t="s">
        <v>24</v>
      </c>
      <c r="C15" s="24"/>
      <c r="D15" s="24"/>
      <c r="E15" s="24"/>
      <c r="F15" s="25"/>
      <c r="G15" s="26"/>
      <c r="H15" s="27"/>
      <c r="I15" s="27"/>
    </row>
    <row r="16" spans="1:11" x14ac:dyDescent="0.2">
      <c r="B16" s="24" t="s">
        <v>254</v>
      </c>
      <c r="C16" s="24" t="s">
        <v>255</v>
      </c>
      <c r="D16" s="24" t="s">
        <v>37</v>
      </c>
      <c r="E16" s="28">
        <v>500</v>
      </c>
      <c r="F16" s="25">
        <v>2488.5675000000001</v>
      </c>
      <c r="G16" s="26">
        <v>7.5094620083353396</v>
      </c>
      <c r="H16" s="29">
        <v>6.4492999999999995E-2</v>
      </c>
      <c r="I16" s="30"/>
    </row>
    <row r="17" spans="2:9" x14ac:dyDescent="0.2">
      <c r="B17" s="24" t="s">
        <v>141</v>
      </c>
      <c r="C17" s="24" t="s">
        <v>142</v>
      </c>
      <c r="D17" s="24" t="s">
        <v>90</v>
      </c>
      <c r="E17" s="28">
        <v>500</v>
      </c>
      <c r="F17" s="25">
        <v>2485.855</v>
      </c>
      <c r="G17" s="26">
        <v>7.5012768111495696</v>
      </c>
      <c r="H17" s="29">
        <v>6.6997000000000001E-2</v>
      </c>
      <c r="I17" s="30"/>
    </row>
    <row r="18" spans="2:9" x14ac:dyDescent="0.2">
      <c r="B18" s="24" t="s">
        <v>256</v>
      </c>
      <c r="C18" s="24" t="s">
        <v>257</v>
      </c>
      <c r="D18" s="24" t="s">
        <v>90</v>
      </c>
      <c r="E18" s="28">
        <v>500</v>
      </c>
      <c r="F18" s="25">
        <v>2341.5875000000001</v>
      </c>
      <c r="G18" s="26">
        <v>7.0659374802744699</v>
      </c>
      <c r="H18" s="29">
        <v>7.0150000000000004E-2</v>
      </c>
      <c r="I18" s="30"/>
    </row>
    <row r="19" spans="2:9" x14ac:dyDescent="0.2">
      <c r="B19" s="24" t="s">
        <v>258</v>
      </c>
      <c r="C19" s="24" t="s">
        <v>259</v>
      </c>
      <c r="D19" s="24" t="s">
        <v>37</v>
      </c>
      <c r="E19" s="28">
        <v>500</v>
      </c>
      <c r="F19" s="25">
        <v>2341.0725000000002</v>
      </c>
      <c r="G19" s="26">
        <v>7.0643834244032497</v>
      </c>
      <c r="H19" s="29">
        <v>6.9800000000000001E-2</v>
      </c>
      <c r="I19" s="30"/>
    </row>
    <row r="20" spans="2:9" x14ac:dyDescent="0.2">
      <c r="B20" s="24" t="s">
        <v>260</v>
      </c>
      <c r="C20" s="24" t="s">
        <v>261</v>
      </c>
      <c r="D20" s="24" t="s">
        <v>37</v>
      </c>
      <c r="E20" s="28">
        <v>500</v>
      </c>
      <c r="F20" s="25">
        <v>2339.3825000000002</v>
      </c>
      <c r="G20" s="26">
        <v>7.0592837070782899</v>
      </c>
      <c r="H20" s="29">
        <v>7.0000999999999994E-2</v>
      </c>
      <c r="I20" s="30"/>
    </row>
    <row r="21" spans="2:9" x14ac:dyDescent="0.2">
      <c r="B21" s="24" t="s">
        <v>262</v>
      </c>
      <c r="C21" s="24" t="s">
        <v>263</v>
      </c>
      <c r="D21" s="24" t="s">
        <v>37</v>
      </c>
      <c r="E21" s="28">
        <v>500</v>
      </c>
      <c r="F21" s="25">
        <v>2338.7600000000002</v>
      </c>
      <c r="G21" s="26">
        <v>7.0574052609038596</v>
      </c>
      <c r="H21" s="29">
        <v>6.9900000000000004E-2</v>
      </c>
      <c r="I21" s="30"/>
    </row>
    <row r="22" spans="2:9" x14ac:dyDescent="0.2">
      <c r="B22" s="24" t="s">
        <v>264</v>
      </c>
      <c r="C22" s="24" t="s">
        <v>265</v>
      </c>
      <c r="D22" s="24" t="s">
        <v>37</v>
      </c>
      <c r="E22" s="28">
        <v>500</v>
      </c>
      <c r="F22" s="25">
        <v>2333.3775000000001</v>
      </c>
      <c r="G22" s="26">
        <v>7.0411631138614901</v>
      </c>
      <c r="H22" s="29">
        <v>7.1999999999999995E-2</v>
      </c>
      <c r="I22" s="30"/>
    </row>
    <row r="23" spans="2:9" x14ac:dyDescent="0.2">
      <c r="B23" s="23" t="s">
        <v>58</v>
      </c>
      <c r="C23" s="23"/>
      <c r="D23" s="23"/>
      <c r="E23" s="23"/>
      <c r="F23" s="31">
        <f>SUM(F15:F22)</f>
        <v>16668.602500000001</v>
      </c>
      <c r="G23" s="32">
        <f>SUM(G15:G22)</f>
        <v>50.298911806006274</v>
      </c>
      <c r="H23" s="33"/>
      <c r="I23" s="33"/>
    </row>
    <row r="24" spans="2:9" x14ac:dyDescent="0.2">
      <c r="B24" s="23" t="s">
        <v>59</v>
      </c>
      <c r="C24" s="24"/>
      <c r="D24" s="24"/>
      <c r="E24" s="24"/>
      <c r="F24" s="25"/>
      <c r="G24" s="26"/>
      <c r="H24" s="27"/>
      <c r="I24" s="27"/>
    </row>
    <row r="25" spans="2:9" x14ac:dyDescent="0.2">
      <c r="B25" s="24" t="s">
        <v>225</v>
      </c>
      <c r="C25" s="24" t="s">
        <v>226</v>
      </c>
      <c r="D25" s="24" t="s">
        <v>37</v>
      </c>
      <c r="E25" s="28">
        <v>500</v>
      </c>
      <c r="F25" s="25">
        <v>2487.1574999999998</v>
      </c>
      <c r="G25" s="26">
        <v>7.5052072145908504</v>
      </c>
      <c r="H25" s="29">
        <v>7.2495000000000004E-2</v>
      </c>
      <c r="I25" s="30"/>
    </row>
    <row r="26" spans="2:9" x14ac:dyDescent="0.2">
      <c r="B26" s="23" t="s">
        <v>58</v>
      </c>
      <c r="C26" s="23"/>
      <c r="D26" s="23"/>
      <c r="E26" s="23"/>
      <c r="F26" s="31">
        <f>SUM(F24:F25)</f>
        <v>2487.1574999999998</v>
      </c>
      <c r="G26" s="32">
        <f>SUM(G24:G25)</f>
        <v>7.5052072145908504</v>
      </c>
      <c r="H26" s="33"/>
      <c r="I26" s="33"/>
    </row>
    <row r="27" spans="2:9" x14ac:dyDescent="0.2">
      <c r="B27" s="23" t="s">
        <v>93</v>
      </c>
      <c r="C27" s="24"/>
      <c r="D27" s="24"/>
      <c r="E27" s="24"/>
      <c r="F27" s="25"/>
      <c r="G27" s="26"/>
      <c r="H27" s="27"/>
      <c r="I27" s="27"/>
    </row>
    <row r="28" spans="2:9" x14ac:dyDescent="0.2">
      <c r="B28" s="24" t="s">
        <v>266</v>
      </c>
      <c r="C28" s="24" t="s">
        <v>267</v>
      </c>
      <c r="D28" s="24" t="s">
        <v>104</v>
      </c>
      <c r="E28" s="28">
        <v>2500000</v>
      </c>
      <c r="F28" s="25">
        <v>2464.1750000000002</v>
      </c>
      <c r="G28" s="26">
        <v>7.4358555853476904</v>
      </c>
      <c r="H28" s="29">
        <v>5.5278000000000001E-2</v>
      </c>
      <c r="I28" s="30"/>
    </row>
    <row r="29" spans="2:9" x14ac:dyDescent="0.2">
      <c r="B29" s="24" t="s">
        <v>227</v>
      </c>
      <c r="C29" s="24" t="s">
        <v>228</v>
      </c>
      <c r="D29" s="24" t="s">
        <v>104</v>
      </c>
      <c r="E29" s="28">
        <v>2000000</v>
      </c>
      <c r="F29" s="25">
        <v>1974.202</v>
      </c>
      <c r="G29" s="26">
        <v>5.9573207943042101</v>
      </c>
      <c r="H29" s="29">
        <v>5.4200999999999999E-2</v>
      </c>
      <c r="I29" s="30"/>
    </row>
    <row r="30" spans="2:9" x14ac:dyDescent="0.2">
      <c r="B30" s="23" t="s">
        <v>58</v>
      </c>
      <c r="C30" s="23"/>
      <c r="D30" s="23"/>
      <c r="E30" s="23"/>
      <c r="F30" s="34">
        <f>SUM(F27:F29)</f>
        <v>4438.3770000000004</v>
      </c>
      <c r="G30" s="35">
        <f>SUM(G27:G29)</f>
        <v>13.393176379651901</v>
      </c>
      <c r="H30" s="33"/>
      <c r="I30" s="33"/>
    </row>
    <row r="31" spans="2:9" x14ac:dyDescent="0.2">
      <c r="B31" s="36" t="s">
        <v>100</v>
      </c>
      <c r="C31" s="36"/>
      <c r="D31" s="36"/>
      <c r="E31" s="36"/>
      <c r="F31" s="37">
        <f>+F23+F26+F30</f>
        <v>23594.137000000002</v>
      </c>
      <c r="G31" s="38">
        <f>+G23+G26+G30</f>
        <v>71.197295400249033</v>
      </c>
      <c r="H31" s="33"/>
      <c r="I31" s="33"/>
    </row>
    <row r="32" spans="2:9" x14ac:dyDescent="0.2">
      <c r="B32" s="23"/>
      <c r="C32" s="24"/>
      <c r="D32" s="24"/>
      <c r="E32" s="24"/>
      <c r="F32" s="25"/>
      <c r="G32" s="26"/>
      <c r="H32" s="27"/>
      <c r="I32" s="27"/>
    </row>
    <row r="33" spans="2:9" x14ac:dyDescent="0.2">
      <c r="B33" s="23" t="s">
        <v>108</v>
      </c>
      <c r="C33" s="23"/>
      <c r="D33" s="23"/>
      <c r="E33" s="23"/>
      <c r="F33" s="31">
        <v>2375.3339111999999</v>
      </c>
      <c r="G33" s="32">
        <v>7.1677701180566702</v>
      </c>
      <c r="H33" s="29">
        <v>5.04819029E-2</v>
      </c>
      <c r="I33" s="29"/>
    </row>
    <row r="34" spans="2:9" x14ac:dyDescent="0.2">
      <c r="B34" s="24"/>
      <c r="C34" s="24"/>
      <c r="D34" s="24"/>
      <c r="E34" s="24"/>
      <c r="F34" s="25"/>
      <c r="G34" s="26"/>
      <c r="H34" s="27"/>
      <c r="I34" s="27"/>
    </row>
    <row r="35" spans="2:9" x14ac:dyDescent="0.2">
      <c r="B35" s="43" t="s">
        <v>110</v>
      </c>
      <c r="C35" s="43"/>
      <c r="D35" s="43"/>
      <c r="E35" s="43"/>
      <c r="F35" s="31">
        <f>F36-(F10+F23+F26+F30+F33)</f>
        <v>-328.49422610000329</v>
      </c>
      <c r="G35" s="32">
        <f>G36-(G10+G23+G26+G30+G33)</f>
        <v>-0.99125899171130527</v>
      </c>
      <c r="H35" s="33"/>
      <c r="I35" s="33"/>
    </row>
    <row r="36" spans="2:9" x14ac:dyDescent="0.2">
      <c r="B36" s="39" t="s">
        <v>109</v>
      </c>
      <c r="C36" s="39"/>
      <c r="D36" s="39"/>
      <c r="E36" s="39"/>
      <c r="F36" s="40">
        <v>33139.0916851</v>
      </c>
      <c r="G36" s="41">
        <v>100</v>
      </c>
      <c r="H36" s="42"/>
      <c r="I36" s="42"/>
    </row>
    <row r="38" spans="2:9" x14ac:dyDescent="0.2">
      <c r="B38" s="16" t="s">
        <v>112</v>
      </c>
    </row>
    <row r="39" spans="2:9" ht="40.049999999999997" customHeight="1" x14ac:dyDescent="0.2">
      <c r="B39" s="100" t="s">
        <v>113</v>
      </c>
      <c r="C39" s="100"/>
      <c r="D39" s="100"/>
      <c r="E39" s="100"/>
      <c r="F39" s="100"/>
      <c r="G39" s="100"/>
      <c r="H39" s="100"/>
      <c r="I39" s="100"/>
    </row>
    <row r="43" spans="2:9" x14ac:dyDescent="0.2">
      <c r="B43" s="16" t="s">
        <v>114</v>
      </c>
    </row>
    <row r="65" spans="2:2" x14ac:dyDescent="0.2">
      <c r="B65" s="16" t="s">
        <v>1469</v>
      </c>
    </row>
    <row r="66" spans="2:2" x14ac:dyDescent="0.2">
      <c r="B66" s="16" t="s">
        <v>1494</v>
      </c>
    </row>
  </sheetData>
  <mergeCells count="2">
    <mergeCell ref="B1:C1"/>
    <mergeCell ref="B39:I39"/>
  </mergeCells>
  <conditionalFormatting sqref="G1:G3 G5:G38 G40:G65532">
    <cfRule type="cellIs" dxfId="9" priority="1" stopIfTrue="1" operator="between">
      <formula>0.009</formula>
      <formula>-0.009</formula>
    </cfRule>
  </conditionalFormatting>
  <hyperlinks>
    <hyperlink ref="A2" location="Index!A1" display="-" xr:uid="{63DA3E7B-DE05-4D64-B08A-503E8448C9FE}"/>
  </hyperlinks>
  <pageMargins left="0.7" right="0.7" top="0.75" bottom="0.75" header="0.3" footer="0.3"/>
  <pageSetup paperSize="9" scale="64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46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CF3A7-61B8-415E-AD01-3E4324B3A910}">
  <dimension ref="A1:K60"/>
  <sheetViews>
    <sheetView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52.44140625" style="6" bestFit="1" customWidth="1"/>
    <col min="3" max="3" width="11.21875" style="6" bestFit="1" customWidth="1"/>
    <col min="4" max="5" width="13.6640625" style="6" bestFit="1" customWidth="1"/>
    <col min="6" max="6" width="12.77734375" style="8" bestFit="1" customWidth="1"/>
    <col min="7" max="7" width="8.77734375" style="14" customWidth="1"/>
    <col min="8" max="8" width="11.77734375" style="11" bestFit="1" customWidth="1"/>
    <col min="9" max="9" width="10.109375" style="11" bestFit="1" customWidth="1"/>
    <col min="10" max="10" width="25.77734375" style="6" customWidth="1"/>
    <col min="11" max="16384" width="9.109375" style="6"/>
  </cols>
  <sheetData>
    <row r="1" spans="1:11" s="1" customFormat="1" ht="16.8" customHeight="1" x14ac:dyDescent="0.25">
      <c r="B1" s="98" t="s">
        <v>15</v>
      </c>
      <c r="C1" s="99"/>
      <c r="D1" s="10"/>
      <c r="F1" s="5"/>
      <c r="G1" s="14"/>
      <c r="H1" s="11"/>
      <c r="I1" s="12"/>
    </row>
    <row r="2" spans="1:11" s="1" customFormat="1" ht="14.4" x14ac:dyDescent="0.3">
      <c r="A2" s="65" t="s">
        <v>1481</v>
      </c>
      <c r="F2" s="5"/>
      <c r="G2" s="14"/>
      <c r="H2" s="11"/>
      <c r="I2" s="12"/>
    </row>
    <row r="3" spans="1:11" s="1" customFormat="1" ht="12" x14ac:dyDescent="0.2">
      <c r="B3" s="7" t="s">
        <v>9</v>
      </c>
      <c r="C3" s="2"/>
      <c r="D3" s="3"/>
      <c r="E3" s="3"/>
      <c r="F3" s="4"/>
      <c r="G3" s="14"/>
      <c r="H3" s="11"/>
      <c r="I3" s="12"/>
    </row>
    <row r="4" spans="1:11" s="1" customFormat="1" ht="30.6" x14ac:dyDescent="0.2">
      <c r="B4" s="18" t="s">
        <v>7</v>
      </c>
      <c r="C4" s="18" t="s">
        <v>8</v>
      </c>
      <c r="D4" s="19" t="s">
        <v>111</v>
      </c>
      <c r="E4" s="19" t="s">
        <v>0</v>
      </c>
      <c r="F4" s="20" t="s">
        <v>4</v>
      </c>
      <c r="G4" s="21" t="s">
        <v>5</v>
      </c>
      <c r="H4" s="22" t="s">
        <v>6</v>
      </c>
      <c r="I4" s="22" t="s">
        <v>22</v>
      </c>
      <c r="J4" s="13"/>
      <c r="K4" s="9"/>
    </row>
    <row r="5" spans="1:11" x14ac:dyDescent="0.2">
      <c r="B5" s="23" t="s">
        <v>243</v>
      </c>
      <c r="C5" s="24"/>
      <c r="D5" s="24"/>
      <c r="E5" s="24"/>
      <c r="F5" s="25"/>
      <c r="G5" s="26"/>
      <c r="H5" s="27"/>
      <c r="I5" s="27"/>
    </row>
    <row r="6" spans="1:11" x14ac:dyDescent="0.2">
      <c r="B6" s="23" t="s">
        <v>244</v>
      </c>
      <c r="C6" s="24"/>
      <c r="D6" s="24"/>
      <c r="E6" s="24"/>
      <c r="F6" s="25"/>
      <c r="G6" s="26"/>
      <c r="H6" s="27"/>
      <c r="I6" s="27"/>
    </row>
    <row r="7" spans="1:11" x14ac:dyDescent="0.2">
      <c r="B7" s="24" t="s">
        <v>268</v>
      </c>
      <c r="C7" s="24" t="s">
        <v>269</v>
      </c>
      <c r="D7" s="24" t="s">
        <v>247</v>
      </c>
      <c r="E7" s="28">
        <v>2500</v>
      </c>
      <c r="F7" s="25">
        <v>2512.5700000000002</v>
      </c>
      <c r="G7" s="26">
        <v>9.3537339293674204</v>
      </c>
      <c r="H7" s="29">
        <v>7.1599999999999997E-2</v>
      </c>
      <c r="I7" s="30"/>
    </row>
    <row r="8" spans="1:11" x14ac:dyDescent="0.2">
      <c r="B8" s="23" t="s">
        <v>58</v>
      </c>
      <c r="C8" s="23"/>
      <c r="D8" s="23"/>
      <c r="E8" s="23"/>
      <c r="F8" s="34">
        <f>SUM(F6:F7)</f>
        <v>2512.5700000000002</v>
      </c>
      <c r="G8" s="35">
        <f>SUM(G6:G7)</f>
        <v>9.3537339293674204</v>
      </c>
      <c r="H8" s="33"/>
      <c r="I8" s="33"/>
    </row>
    <row r="9" spans="1:11" x14ac:dyDescent="0.2">
      <c r="B9" s="36" t="s">
        <v>252</v>
      </c>
      <c r="C9" s="46"/>
      <c r="D9" s="46"/>
      <c r="E9" s="46"/>
      <c r="F9" s="47"/>
      <c r="G9" s="48"/>
      <c r="H9" s="27"/>
      <c r="I9" s="27"/>
    </row>
    <row r="10" spans="1:11" x14ac:dyDescent="0.2">
      <c r="B10" s="23" t="s">
        <v>58</v>
      </c>
      <c r="C10" s="23"/>
      <c r="D10" s="23"/>
      <c r="E10" s="23"/>
      <c r="F10" s="49" t="s">
        <v>253</v>
      </c>
      <c r="G10" s="50" t="s">
        <v>253</v>
      </c>
      <c r="H10" s="33"/>
      <c r="I10" s="33"/>
    </row>
    <row r="11" spans="1:11" x14ac:dyDescent="0.2">
      <c r="B11" s="36" t="s">
        <v>100</v>
      </c>
      <c r="C11" s="36"/>
      <c r="D11" s="36"/>
      <c r="E11" s="36"/>
      <c r="F11" s="51">
        <f>F8</f>
        <v>2512.5700000000002</v>
      </c>
      <c r="G11" s="52">
        <f>G8</f>
        <v>9.3537339293674204</v>
      </c>
      <c r="H11" s="33"/>
      <c r="I11" s="33"/>
    </row>
    <row r="12" spans="1:11" x14ac:dyDescent="0.2">
      <c r="B12" s="23" t="s">
        <v>23</v>
      </c>
      <c r="C12" s="24"/>
      <c r="D12" s="24"/>
      <c r="E12" s="24"/>
      <c r="F12" s="25"/>
      <c r="G12" s="26"/>
      <c r="H12" s="27"/>
      <c r="I12" s="27"/>
    </row>
    <row r="13" spans="1:11" x14ac:dyDescent="0.2">
      <c r="B13" s="23" t="s">
        <v>24</v>
      </c>
      <c r="C13" s="24"/>
      <c r="D13" s="24"/>
      <c r="E13" s="24"/>
      <c r="F13" s="25"/>
      <c r="G13" s="26"/>
      <c r="H13" s="27"/>
      <c r="I13" s="27"/>
    </row>
    <row r="14" spans="1:11" x14ac:dyDescent="0.2">
      <c r="B14" s="24" t="s">
        <v>56</v>
      </c>
      <c r="C14" s="24" t="s">
        <v>57</v>
      </c>
      <c r="D14" s="24" t="s">
        <v>37</v>
      </c>
      <c r="E14" s="28">
        <v>500</v>
      </c>
      <c r="F14" s="25">
        <v>2485.1</v>
      </c>
      <c r="G14" s="26">
        <v>9.2514692875704796</v>
      </c>
      <c r="H14" s="29">
        <v>6.6316E-2</v>
      </c>
      <c r="I14" s="30"/>
    </row>
    <row r="15" spans="1:11" x14ac:dyDescent="0.2">
      <c r="B15" s="24" t="s">
        <v>46</v>
      </c>
      <c r="C15" s="24" t="s">
        <v>47</v>
      </c>
      <c r="D15" s="24" t="s">
        <v>37</v>
      </c>
      <c r="E15" s="28">
        <v>500</v>
      </c>
      <c r="F15" s="25">
        <v>2479.6075000000001</v>
      </c>
      <c r="G15" s="26">
        <v>9.2310219433742802</v>
      </c>
      <c r="H15" s="29">
        <v>6.6706000000000001E-2</v>
      </c>
      <c r="I15" s="30"/>
    </row>
    <row r="16" spans="1:11" x14ac:dyDescent="0.2">
      <c r="B16" s="24" t="s">
        <v>31</v>
      </c>
      <c r="C16" s="24" t="s">
        <v>32</v>
      </c>
      <c r="D16" s="24" t="s">
        <v>27</v>
      </c>
      <c r="E16" s="28">
        <v>500</v>
      </c>
      <c r="F16" s="25">
        <v>2476.8125</v>
      </c>
      <c r="G16" s="26">
        <v>9.2206167859726609</v>
      </c>
      <c r="H16" s="29">
        <v>6.7001000000000005E-2</v>
      </c>
      <c r="I16" s="30"/>
    </row>
    <row r="17" spans="2:9" x14ac:dyDescent="0.2">
      <c r="B17" s="24" t="s">
        <v>54</v>
      </c>
      <c r="C17" s="24" t="s">
        <v>55</v>
      </c>
      <c r="D17" s="24" t="s">
        <v>37</v>
      </c>
      <c r="E17" s="28">
        <v>500</v>
      </c>
      <c r="F17" s="25">
        <v>2337.8000000000002</v>
      </c>
      <c r="G17" s="26">
        <v>8.7031044627911491</v>
      </c>
      <c r="H17" s="29">
        <v>7.0150000000000004E-2</v>
      </c>
      <c r="I17" s="30"/>
    </row>
    <row r="18" spans="2:9" x14ac:dyDescent="0.2">
      <c r="B18" s="24" t="s">
        <v>264</v>
      </c>
      <c r="C18" s="24" t="s">
        <v>265</v>
      </c>
      <c r="D18" s="24" t="s">
        <v>37</v>
      </c>
      <c r="E18" s="28">
        <v>500</v>
      </c>
      <c r="F18" s="25">
        <v>2333.3775000000001</v>
      </c>
      <c r="G18" s="26">
        <v>8.6866404883336692</v>
      </c>
      <c r="H18" s="29">
        <v>7.1999999999999995E-2</v>
      </c>
      <c r="I18" s="30"/>
    </row>
    <row r="19" spans="2:9" x14ac:dyDescent="0.2">
      <c r="B19" s="23" t="s">
        <v>58</v>
      </c>
      <c r="C19" s="23"/>
      <c r="D19" s="23"/>
      <c r="E19" s="23"/>
      <c r="F19" s="31">
        <f>SUM(F13:F18)</f>
        <v>12112.6975</v>
      </c>
      <c r="G19" s="32">
        <f>SUM(G13:G18)</f>
        <v>45.092852968042237</v>
      </c>
      <c r="H19" s="33"/>
      <c r="I19" s="33"/>
    </row>
    <row r="20" spans="2:9" x14ac:dyDescent="0.2">
      <c r="B20" s="23" t="s">
        <v>59</v>
      </c>
      <c r="C20" s="24"/>
      <c r="D20" s="24"/>
      <c r="E20" s="24"/>
      <c r="F20" s="25"/>
      <c r="G20" s="26"/>
      <c r="H20" s="27"/>
      <c r="I20" s="27"/>
    </row>
    <row r="21" spans="2:9" x14ac:dyDescent="0.2">
      <c r="B21" s="24" t="s">
        <v>62</v>
      </c>
      <c r="C21" s="24" t="s">
        <v>63</v>
      </c>
      <c r="D21" s="24" t="s">
        <v>37</v>
      </c>
      <c r="E21" s="28">
        <v>500</v>
      </c>
      <c r="F21" s="25">
        <v>2479.3525</v>
      </c>
      <c r="G21" s="26">
        <v>9.2300726356328102</v>
      </c>
      <c r="H21" s="29">
        <v>6.7547999999999997E-2</v>
      </c>
      <c r="I21" s="30"/>
    </row>
    <row r="22" spans="2:9" x14ac:dyDescent="0.2">
      <c r="B22" s="24" t="s">
        <v>270</v>
      </c>
      <c r="C22" s="24" t="s">
        <v>271</v>
      </c>
      <c r="D22" s="24" t="s">
        <v>37</v>
      </c>
      <c r="E22" s="28">
        <v>500</v>
      </c>
      <c r="F22" s="25">
        <v>2475.35</v>
      </c>
      <c r="G22" s="26">
        <v>9.2151722268671694</v>
      </c>
      <c r="H22" s="29">
        <v>6.9899000000000003E-2</v>
      </c>
      <c r="I22" s="30"/>
    </row>
    <row r="23" spans="2:9" x14ac:dyDescent="0.2">
      <c r="B23" s="23" t="s">
        <v>58</v>
      </c>
      <c r="C23" s="23"/>
      <c r="D23" s="23"/>
      <c r="E23" s="23"/>
      <c r="F23" s="34">
        <f>SUM(F20:F22)</f>
        <v>4954.7024999999994</v>
      </c>
      <c r="G23" s="35">
        <f>SUM(G20:G22)</f>
        <v>18.44524486249998</v>
      </c>
      <c r="H23" s="33"/>
      <c r="I23" s="33"/>
    </row>
    <row r="24" spans="2:9" x14ac:dyDescent="0.2">
      <c r="B24" s="36" t="s">
        <v>100</v>
      </c>
      <c r="C24" s="36"/>
      <c r="D24" s="36"/>
      <c r="E24" s="36"/>
      <c r="F24" s="37">
        <f>+F19+F23</f>
        <v>17067.400000000001</v>
      </c>
      <c r="G24" s="38">
        <f>+G19+G23</f>
        <v>63.538097830542213</v>
      </c>
      <c r="H24" s="33"/>
      <c r="I24" s="33"/>
    </row>
    <row r="25" spans="2:9" x14ac:dyDescent="0.2">
      <c r="B25" s="23"/>
      <c r="C25" s="24"/>
      <c r="D25" s="24"/>
      <c r="E25" s="24"/>
      <c r="F25" s="25"/>
      <c r="G25" s="26"/>
      <c r="H25" s="27"/>
      <c r="I25" s="27"/>
    </row>
    <row r="26" spans="2:9" x14ac:dyDescent="0.2">
      <c r="B26" s="23" t="s">
        <v>108</v>
      </c>
      <c r="C26" s="23"/>
      <c r="D26" s="23"/>
      <c r="E26" s="23"/>
      <c r="F26" s="31">
        <v>6930.9152870999997</v>
      </c>
      <c r="G26" s="32">
        <v>25.802241323632199</v>
      </c>
      <c r="H26" s="29">
        <v>5.04819029E-2</v>
      </c>
      <c r="I26" s="29"/>
    </row>
    <row r="27" spans="2:9" x14ac:dyDescent="0.2">
      <c r="B27" s="24"/>
      <c r="C27" s="24"/>
      <c r="D27" s="24"/>
      <c r="E27" s="24"/>
      <c r="F27" s="25"/>
      <c r="G27" s="26"/>
      <c r="H27" s="27"/>
      <c r="I27" s="27"/>
    </row>
    <row r="28" spans="2:9" x14ac:dyDescent="0.2">
      <c r="B28" s="43" t="s">
        <v>110</v>
      </c>
      <c r="C28" s="43"/>
      <c r="D28" s="43"/>
      <c r="E28" s="43"/>
      <c r="F28" s="31">
        <f>F29-(F8+F19+F23+F26)</f>
        <v>350.79389869999795</v>
      </c>
      <c r="G28" s="32">
        <f>G29-(G8+G19+G23+G26)</f>
        <v>1.3059269164581622</v>
      </c>
      <c r="H28" s="33"/>
      <c r="I28" s="33"/>
    </row>
    <row r="29" spans="2:9" x14ac:dyDescent="0.2">
      <c r="B29" s="39" t="s">
        <v>109</v>
      </c>
      <c r="C29" s="39"/>
      <c r="D29" s="39"/>
      <c r="E29" s="39"/>
      <c r="F29" s="40">
        <v>26861.6791858</v>
      </c>
      <c r="G29" s="41">
        <v>100</v>
      </c>
      <c r="H29" s="42"/>
      <c r="I29" s="42"/>
    </row>
    <row r="31" spans="2:9" x14ac:dyDescent="0.2">
      <c r="B31" s="16" t="s">
        <v>112</v>
      </c>
    </row>
    <row r="32" spans="2:9" ht="40.049999999999997" customHeight="1" x14ac:dyDescent="0.2">
      <c r="B32" s="100" t="s">
        <v>113</v>
      </c>
      <c r="C32" s="100"/>
      <c r="D32" s="100"/>
      <c r="E32" s="100"/>
      <c r="F32" s="100"/>
      <c r="G32" s="100"/>
      <c r="H32" s="100"/>
      <c r="I32" s="100"/>
    </row>
    <row r="36" spans="2:2" x14ac:dyDescent="0.2">
      <c r="B36" s="16" t="s">
        <v>114</v>
      </c>
    </row>
    <row r="59" spans="2:2" x14ac:dyDescent="0.2">
      <c r="B59" s="16" t="s">
        <v>1469</v>
      </c>
    </row>
    <row r="60" spans="2:2" x14ac:dyDescent="0.2">
      <c r="B60" s="16" t="s">
        <v>1493</v>
      </c>
    </row>
  </sheetData>
  <mergeCells count="2">
    <mergeCell ref="B1:C1"/>
    <mergeCell ref="B32:I32"/>
  </mergeCells>
  <conditionalFormatting sqref="G1:G3 G5:G31 G33:G65532">
    <cfRule type="cellIs" dxfId="8" priority="1" stopIfTrue="1" operator="between">
      <formula>0.009</formula>
      <formula>-0.009</formula>
    </cfRule>
  </conditionalFormatting>
  <hyperlinks>
    <hyperlink ref="A2" location="Index!A1" display="-" xr:uid="{06FBFEA2-1A7F-4426-B7D1-511552FB22E4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39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7E16-1AE7-46EC-8BB0-88B405CDF150}">
  <dimension ref="A1:J104"/>
  <sheetViews>
    <sheetView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52.44140625" style="6" bestFit="1" customWidth="1"/>
    <col min="3" max="3" width="11.109375" style="6" bestFit="1" customWidth="1"/>
    <col min="4" max="4" width="24.33203125" style="6" bestFit="1" customWidth="1"/>
    <col min="5" max="5" width="13.6640625" style="6" bestFit="1" customWidth="1"/>
    <col min="6" max="6" width="12.77734375" style="8" bestFit="1" customWidth="1"/>
    <col min="7" max="7" width="8.5546875" style="14" customWidth="1"/>
    <col min="8" max="8" width="11.77734375" style="11" bestFit="1" customWidth="1"/>
    <col min="9" max="9" width="25.77734375" style="6" customWidth="1"/>
    <col min="10" max="16384" width="9.109375" style="6"/>
  </cols>
  <sheetData>
    <row r="1" spans="1:10" s="1" customFormat="1" ht="16.8" customHeight="1" x14ac:dyDescent="0.25">
      <c r="B1" s="98" t="s">
        <v>16</v>
      </c>
      <c r="C1" s="99"/>
      <c r="D1" s="10"/>
      <c r="F1" s="5"/>
      <c r="G1" s="14"/>
      <c r="H1" s="12"/>
    </row>
    <row r="2" spans="1:10" s="1" customFormat="1" ht="14.4" x14ac:dyDescent="0.3">
      <c r="A2" s="65" t="s">
        <v>1481</v>
      </c>
      <c r="F2" s="5"/>
      <c r="G2" s="14"/>
      <c r="H2" s="12"/>
    </row>
    <row r="3" spans="1:10" s="1" customFormat="1" ht="12" x14ac:dyDescent="0.2">
      <c r="B3" s="7" t="s">
        <v>9</v>
      </c>
      <c r="C3" s="2"/>
      <c r="D3" s="3"/>
      <c r="E3" s="3"/>
      <c r="F3" s="4"/>
      <c r="G3" s="14"/>
      <c r="H3" s="12"/>
    </row>
    <row r="4" spans="1:10" s="1" customFormat="1" ht="30.6" x14ac:dyDescent="0.2">
      <c r="B4" s="18" t="s">
        <v>7</v>
      </c>
      <c r="C4" s="18" t="s">
        <v>8</v>
      </c>
      <c r="D4" s="19" t="s">
        <v>401</v>
      </c>
      <c r="E4" s="19" t="s">
        <v>0</v>
      </c>
      <c r="F4" s="20" t="s">
        <v>4</v>
      </c>
      <c r="G4" s="21" t="s">
        <v>5</v>
      </c>
      <c r="H4" s="22" t="s">
        <v>6</v>
      </c>
      <c r="I4" s="13"/>
      <c r="J4" s="9"/>
    </row>
    <row r="5" spans="1:10" x14ac:dyDescent="0.2">
      <c r="B5" s="23" t="s">
        <v>272</v>
      </c>
      <c r="C5" s="24"/>
      <c r="D5" s="24"/>
      <c r="E5" s="24"/>
      <c r="F5" s="25"/>
      <c r="G5" s="26"/>
      <c r="H5" s="27"/>
    </row>
    <row r="6" spans="1:10" x14ac:dyDescent="0.2">
      <c r="B6" s="23" t="s">
        <v>244</v>
      </c>
      <c r="C6" s="24"/>
      <c r="D6" s="24"/>
      <c r="E6" s="24"/>
      <c r="F6" s="25"/>
      <c r="G6" s="26"/>
      <c r="H6" s="27"/>
    </row>
    <row r="7" spans="1:10" x14ac:dyDescent="0.2">
      <c r="B7" s="24" t="s">
        <v>273</v>
      </c>
      <c r="C7" s="24" t="s">
        <v>274</v>
      </c>
      <c r="D7" s="24" t="s">
        <v>275</v>
      </c>
      <c r="E7" s="28">
        <v>249599</v>
      </c>
      <c r="F7" s="25">
        <v>2319.3987075</v>
      </c>
      <c r="G7" s="26">
        <v>12.2894359880952</v>
      </c>
      <c r="H7" s="29"/>
    </row>
    <row r="8" spans="1:10" x14ac:dyDescent="0.2">
      <c r="B8" s="24" t="s">
        <v>276</v>
      </c>
      <c r="C8" s="24" t="s">
        <v>277</v>
      </c>
      <c r="D8" s="24" t="s">
        <v>275</v>
      </c>
      <c r="E8" s="28">
        <v>116547</v>
      </c>
      <c r="F8" s="25">
        <v>1579.2118499999999</v>
      </c>
      <c r="G8" s="26">
        <v>8.3675233927914299</v>
      </c>
      <c r="H8" s="29"/>
    </row>
    <row r="9" spans="1:10" x14ac:dyDescent="0.2">
      <c r="B9" s="24" t="s">
        <v>278</v>
      </c>
      <c r="C9" s="24" t="s">
        <v>279</v>
      </c>
      <c r="D9" s="24" t="s">
        <v>280</v>
      </c>
      <c r="E9" s="28">
        <v>110172</v>
      </c>
      <c r="F9" s="25">
        <v>1537.3400879999999</v>
      </c>
      <c r="G9" s="26">
        <v>8.1456640215915499</v>
      </c>
      <c r="H9" s="29"/>
    </row>
    <row r="10" spans="1:10" x14ac:dyDescent="0.2">
      <c r="B10" s="24" t="s">
        <v>281</v>
      </c>
      <c r="C10" s="24" t="s">
        <v>282</v>
      </c>
      <c r="D10" s="24" t="s">
        <v>283</v>
      </c>
      <c r="E10" s="28">
        <v>57156</v>
      </c>
      <c r="F10" s="25">
        <v>937.92996000000005</v>
      </c>
      <c r="G10" s="26">
        <v>4.9696631146099399</v>
      </c>
      <c r="H10" s="29"/>
    </row>
    <row r="11" spans="1:10" x14ac:dyDescent="0.2">
      <c r="B11" s="24" t="s">
        <v>284</v>
      </c>
      <c r="C11" s="24" t="s">
        <v>285</v>
      </c>
      <c r="D11" s="24" t="s">
        <v>286</v>
      </c>
      <c r="E11" s="28">
        <v>45467</v>
      </c>
      <c r="F11" s="25">
        <v>895.10882900000001</v>
      </c>
      <c r="G11" s="26">
        <v>4.7427734700392801</v>
      </c>
      <c r="H11" s="29"/>
    </row>
    <row r="12" spans="1:10" x14ac:dyDescent="0.2">
      <c r="B12" s="24" t="s">
        <v>287</v>
      </c>
      <c r="C12" s="24" t="s">
        <v>288</v>
      </c>
      <c r="D12" s="24" t="s">
        <v>289</v>
      </c>
      <c r="E12" s="28">
        <v>19163</v>
      </c>
      <c r="F12" s="25">
        <v>753.546649</v>
      </c>
      <c r="G12" s="26">
        <v>3.99270003772267</v>
      </c>
      <c r="H12" s="29"/>
    </row>
    <row r="13" spans="1:10" x14ac:dyDescent="0.2">
      <c r="B13" s="24" t="s">
        <v>290</v>
      </c>
      <c r="C13" s="24" t="s">
        <v>291</v>
      </c>
      <c r="D13" s="24" t="s">
        <v>275</v>
      </c>
      <c r="E13" s="28">
        <v>67700</v>
      </c>
      <c r="F13" s="25">
        <v>729.23054999999999</v>
      </c>
      <c r="G13" s="26">
        <v>3.8638601184908499</v>
      </c>
      <c r="H13" s="29"/>
    </row>
    <row r="14" spans="1:10" x14ac:dyDescent="0.2">
      <c r="B14" s="24" t="s">
        <v>292</v>
      </c>
      <c r="C14" s="24" t="s">
        <v>293</v>
      </c>
      <c r="D14" s="24" t="s">
        <v>275</v>
      </c>
      <c r="E14" s="28">
        <v>46765</v>
      </c>
      <c r="F14" s="25">
        <v>640.86756000000003</v>
      </c>
      <c r="G14" s="26">
        <v>3.3956649324668899</v>
      </c>
      <c r="H14" s="29"/>
    </row>
    <row r="15" spans="1:10" x14ac:dyDescent="0.2">
      <c r="B15" s="24" t="s">
        <v>294</v>
      </c>
      <c r="C15" s="24" t="s">
        <v>295</v>
      </c>
      <c r="D15" s="24" t="s">
        <v>283</v>
      </c>
      <c r="E15" s="28">
        <v>16662</v>
      </c>
      <c r="F15" s="25">
        <v>520.50421800000004</v>
      </c>
      <c r="G15" s="26">
        <v>2.7579144749715598</v>
      </c>
      <c r="H15" s="29"/>
    </row>
    <row r="16" spans="1:10" x14ac:dyDescent="0.2">
      <c r="B16" s="24" t="s">
        <v>296</v>
      </c>
      <c r="C16" s="24" t="s">
        <v>297</v>
      </c>
      <c r="D16" s="24" t="s">
        <v>298</v>
      </c>
      <c r="E16" s="28">
        <v>157246</v>
      </c>
      <c r="F16" s="25">
        <v>506.56798900000001</v>
      </c>
      <c r="G16" s="26">
        <v>2.6840727531247999</v>
      </c>
      <c r="H16" s="29"/>
    </row>
    <row r="17" spans="2:8" x14ac:dyDescent="0.2">
      <c r="B17" s="24" t="s">
        <v>299</v>
      </c>
      <c r="C17" s="24" t="s">
        <v>300</v>
      </c>
      <c r="D17" s="24" t="s">
        <v>301</v>
      </c>
      <c r="E17" s="28">
        <v>14566</v>
      </c>
      <c r="F17" s="25">
        <v>499.87598800000001</v>
      </c>
      <c r="G17" s="26">
        <v>2.6486148917162202</v>
      </c>
      <c r="H17" s="29"/>
    </row>
    <row r="18" spans="2:8" x14ac:dyDescent="0.2">
      <c r="B18" s="24" t="s">
        <v>302</v>
      </c>
      <c r="C18" s="24" t="s">
        <v>303</v>
      </c>
      <c r="D18" s="24" t="s">
        <v>275</v>
      </c>
      <c r="E18" s="28">
        <v>119983</v>
      </c>
      <c r="F18" s="25">
        <v>489.53064000000001</v>
      </c>
      <c r="G18" s="26">
        <v>2.5937996106653798</v>
      </c>
      <c r="H18" s="29"/>
    </row>
    <row r="19" spans="2:8" x14ac:dyDescent="0.2">
      <c r="B19" s="24" t="s">
        <v>304</v>
      </c>
      <c r="C19" s="24" t="s">
        <v>305</v>
      </c>
      <c r="D19" s="24" t="s">
        <v>306</v>
      </c>
      <c r="E19" s="28">
        <v>43323</v>
      </c>
      <c r="F19" s="25">
        <v>402.83891549999998</v>
      </c>
      <c r="G19" s="26">
        <v>2.1344596983444499</v>
      </c>
      <c r="H19" s="29"/>
    </row>
    <row r="20" spans="2:8" x14ac:dyDescent="0.2">
      <c r="B20" s="24" t="s">
        <v>307</v>
      </c>
      <c r="C20" s="24" t="s">
        <v>308</v>
      </c>
      <c r="D20" s="24" t="s">
        <v>298</v>
      </c>
      <c r="E20" s="28">
        <v>14481</v>
      </c>
      <c r="F20" s="25">
        <v>343.63413000000003</v>
      </c>
      <c r="G20" s="26">
        <v>1.8207605403521601</v>
      </c>
      <c r="H20" s="29"/>
    </row>
    <row r="21" spans="2:8" x14ac:dyDescent="0.2">
      <c r="B21" s="24" t="s">
        <v>309</v>
      </c>
      <c r="C21" s="24" t="s">
        <v>310</v>
      </c>
      <c r="D21" s="24" t="s">
        <v>311</v>
      </c>
      <c r="E21" s="28">
        <v>117233</v>
      </c>
      <c r="F21" s="25">
        <v>320.74948799999999</v>
      </c>
      <c r="G21" s="26">
        <v>1.6995052589466499</v>
      </c>
      <c r="H21" s="29"/>
    </row>
    <row r="22" spans="2:8" x14ac:dyDescent="0.2">
      <c r="B22" s="24" t="s">
        <v>312</v>
      </c>
      <c r="C22" s="24" t="s">
        <v>313</v>
      </c>
      <c r="D22" s="24" t="s">
        <v>301</v>
      </c>
      <c r="E22" s="28">
        <v>2141</v>
      </c>
      <c r="F22" s="25">
        <v>312.56459000000001</v>
      </c>
      <c r="G22" s="26">
        <v>1.6561372171715001</v>
      </c>
      <c r="H22" s="29"/>
    </row>
    <row r="23" spans="2:8" x14ac:dyDescent="0.2">
      <c r="B23" s="24" t="s">
        <v>314</v>
      </c>
      <c r="C23" s="24" t="s">
        <v>315</v>
      </c>
      <c r="D23" s="24" t="s">
        <v>283</v>
      </c>
      <c r="E23" s="28">
        <v>17216</v>
      </c>
      <c r="F23" s="25">
        <v>291.91449599999999</v>
      </c>
      <c r="G23" s="26">
        <v>1.5467217865512599</v>
      </c>
      <c r="H23" s="29"/>
    </row>
    <row r="24" spans="2:8" x14ac:dyDescent="0.2">
      <c r="B24" s="24" t="s">
        <v>316</v>
      </c>
      <c r="C24" s="24" t="s">
        <v>317</v>
      </c>
      <c r="D24" s="24" t="s">
        <v>318</v>
      </c>
      <c r="E24" s="28">
        <v>17278</v>
      </c>
      <c r="F24" s="25">
        <v>275.63593400000002</v>
      </c>
      <c r="G24" s="26">
        <v>1.4604691103596501</v>
      </c>
      <c r="H24" s="29"/>
    </row>
    <row r="25" spans="2:8" x14ac:dyDescent="0.2">
      <c r="B25" s="24" t="s">
        <v>319</v>
      </c>
      <c r="C25" s="24" t="s">
        <v>320</v>
      </c>
      <c r="D25" s="24" t="s">
        <v>321</v>
      </c>
      <c r="E25" s="28">
        <v>77357</v>
      </c>
      <c r="F25" s="25">
        <v>275.39091999999999</v>
      </c>
      <c r="G25" s="26">
        <v>1.4591708929124101</v>
      </c>
      <c r="H25" s="29"/>
    </row>
    <row r="26" spans="2:8" x14ac:dyDescent="0.2">
      <c r="B26" s="24" t="s">
        <v>322</v>
      </c>
      <c r="C26" s="24" t="s">
        <v>323</v>
      </c>
      <c r="D26" s="24" t="s">
        <v>324</v>
      </c>
      <c r="E26" s="28">
        <v>6735</v>
      </c>
      <c r="F26" s="25">
        <v>267.87788999999998</v>
      </c>
      <c r="G26" s="26">
        <v>1.4193627732635199</v>
      </c>
      <c r="H26" s="29"/>
    </row>
    <row r="27" spans="2:8" x14ac:dyDescent="0.2">
      <c r="B27" s="24" t="s">
        <v>325</v>
      </c>
      <c r="C27" s="24" t="s">
        <v>326</v>
      </c>
      <c r="D27" s="24" t="s">
        <v>327</v>
      </c>
      <c r="E27" s="28">
        <v>58443</v>
      </c>
      <c r="F27" s="25">
        <v>262.40906999999999</v>
      </c>
      <c r="G27" s="26">
        <v>1.39038599014163</v>
      </c>
      <c r="H27" s="29"/>
    </row>
    <row r="28" spans="2:8" x14ac:dyDescent="0.2">
      <c r="B28" s="24" t="s">
        <v>328</v>
      </c>
      <c r="C28" s="24" t="s">
        <v>329</v>
      </c>
      <c r="D28" s="24" t="s">
        <v>330</v>
      </c>
      <c r="E28" s="28">
        <v>134870</v>
      </c>
      <c r="F28" s="25">
        <v>260.47443099999998</v>
      </c>
      <c r="G28" s="26">
        <v>1.3801352203737201</v>
      </c>
      <c r="H28" s="29"/>
    </row>
    <row r="29" spans="2:8" x14ac:dyDescent="0.2">
      <c r="B29" s="24" t="s">
        <v>331</v>
      </c>
      <c r="C29" s="24" t="s">
        <v>332</v>
      </c>
      <c r="D29" s="24" t="s">
        <v>333</v>
      </c>
      <c r="E29" s="28">
        <v>1934</v>
      </c>
      <c r="F29" s="25">
        <v>245.50196</v>
      </c>
      <c r="G29" s="26">
        <v>1.30080292474765</v>
      </c>
      <c r="H29" s="29"/>
    </row>
    <row r="30" spans="2:8" x14ac:dyDescent="0.2">
      <c r="B30" s="24" t="s">
        <v>334</v>
      </c>
      <c r="C30" s="24" t="s">
        <v>335</v>
      </c>
      <c r="D30" s="24" t="s">
        <v>306</v>
      </c>
      <c r="E30" s="28">
        <v>22852</v>
      </c>
      <c r="F30" s="25">
        <v>233.09039999999999</v>
      </c>
      <c r="G30" s="26">
        <v>1.2350397286058299</v>
      </c>
      <c r="H30" s="29"/>
    </row>
    <row r="31" spans="2:8" x14ac:dyDescent="0.2">
      <c r="B31" s="24" t="s">
        <v>336</v>
      </c>
      <c r="C31" s="24" t="s">
        <v>337</v>
      </c>
      <c r="D31" s="24" t="s">
        <v>338</v>
      </c>
      <c r="E31" s="28">
        <v>23607</v>
      </c>
      <c r="F31" s="25">
        <v>227.240982</v>
      </c>
      <c r="G31" s="26">
        <v>1.20404633025385</v>
      </c>
      <c r="H31" s="29"/>
    </row>
    <row r="32" spans="2:8" x14ac:dyDescent="0.2">
      <c r="B32" s="24" t="s">
        <v>339</v>
      </c>
      <c r="C32" s="24" t="s">
        <v>340</v>
      </c>
      <c r="D32" s="24" t="s">
        <v>321</v>
      </c>
      <c r="E32" s="28">
        <v>73907</v>
      </c>
      <c r="F32" s="25">
        <v>189.57145499999999</v>
      </c>
      <c r="G32" s="26">
        <v>1.00445268588759</v>
      </c>
      <c r="H32" s="29"/>
    </row>
    <row r="33" spans="2:8" x14ac:dyDescent="0.2">
      <c r="B33" s="24" t="s">
        <v>341</v>
      </c>
      <c r="C33" s="24" t="s">
        <v>342</v>
      </c>
      <c r="D33" s="24" t="s">
        <v>330</v>
      </c>
      <c r="E33" s="28">
        <v>15329</v>
      </c>
      <c r="F33" s="25">
        <v>186.15537599999999</v>
      </c>
      <c r="G33" s="26">
        <v>0.98635244117113496</v>
      </c>
      <c r="H33" s="29"/>
    </row>
    <row r="34" spans="2:8" x14ac:dyDescent="0.2">
      <c r="B34" s="24" t="s">
        <v>343</v>
      </c>
      <c r="C34" s="24" t="s">
        <v>344</v>
      </c>
      <c r="D34" s="24" t="s">
        <v>306</v>
      </c>
      <c r="E34" s="28">
        <v>9330</v>
      </c>
      <c r="F34" s="25">
        <v>182.17758000000001</v>
      </c>
      <c r="G34" s="26">
        <v>0.96527591424300196</v>
      </c>
      <c r="H34" s="29"/>
    </row>
    <row r="35" spans="2:8" x14ac:dyDescent="0.2">
      <c r="B35" s="24" t="s">
        <v>345</v>
      </c>
      <c r="C35" s="24" t="s">
        <v>346</v>
      </c>
      <c r="D35" s="24" t="s">
        <v>283</v>
      </c>
      <c r="E35" s="28">
        <v>10359</v>
      </c>
      <c r="F35" s="25">
        <v>180.56772900000001</v>
      </c>
      <c r="G35" s="26">
        <v>0.95674604796735996</v>
      </c>
      <c r="H35" s="29"/>
    </row>
    <row r="36" spans="2:8" x14ac:dyDescent="0.2">
      <c r="B36" s="24" t="s">
        <v>347</v>
      </c>
      <c r="C36" s="24" t="s">
        <v>348</v>
      </c>
      <c r="D36" s="24" t="s">
        <v>324</v>
      </c>
      <c r="E36" s="28">
        <v>7378</v>
      </c>
      <c r="F36" s="25">
        <v>179.15997400000001</v>
      </c>
      <c r="G36" s="26">
        <v>0.949286996229736</v>
      </c>
      <c r="H36" s="29"/>
    </row>
    <row r="37" spans="2:8" x14ac:dyDescent="0.2">
      <c r="B37" s="24" t="s">
        <v>349</v>
      </c>
      <c r="C37" s="24" t="s">
        <v>350</v>
      </c>
      <c r="D37" s="24" t="s">
        <v>333</v>
      </c>
      <c r="E37" s="28">
        <v>6233</v>
      </c>
      <c r="F37" s="25">
        <v>175.70827</v>
      </c>
      <c r="G37" s="26">
        <v>0.93099799088508095</v>
      </c>
      <c r="H37" s="29"/>
    </row>
    <row r="38" spans="2:8" x14ac:dyDescent="0.2">
      <c r="B38" s="24" t="s">
        <v>351</v>
      </c>
      <c r="C38" s="24" t="s">
        <v>352</v>
      </c>
      <c r="D38" s="24" t="s">
        <v>301</v>
      </c>
      <c r="E38" s="28">
        <v>1809</v>
      </c>
      <c r="F38" s="25">
        <v>173.618775</v>
      </c>
      <c r="G38" s="26">
        <v>0.91992670979532698</v>
      </c>
      <c r="H38" s="29"/>
    </row>
    <row r="39" spans="2:8" x14ac:dyDescent="0.2">
      <c r="B39" s="24" t="s">
        <v>353</v>
      </c>
      <c r="C39" s="24" t="s">
        <v>354</v>
      </c>
      <c r="D39" s="24" t="s">
        <v>355</v>
      </c>
      <c r="E39" s="28">
        <v>12037</v>
      </c>
      <c r="F39" s="25">
        <v>170.90132600000001</v>
      </c>
      <c r="G39" s="26">
        <v>0.90552818683831104</v>
      </c>
      <c r="H39" s="29"/>
    </row>
    <row r="40" spans="2:8" x14ac:dyDescent="0.2">
      <c r="B40" s="24" t="s">
        <v>356</v>
      </c>
      <c r="C40" s="24" t="s">
        <v>357</v>
      </c>
      <c r="D40" s="24" t="s">
        <v>358</v>
      </c>
      <c r="E40" s="28">
        <v>63383</v>
      </c>
      <c r="F40" s="25">
        <v>170.47491679999999</v>
      </c>
      <c r="G40" s="26">
        <v>0.90326883895164101</v>
      </c>
      <c r="H40" s="29"/>
    </row>
    <row r="41" spans="2:8" x14ac:dyDescent="0.2">
      <c r="B41" s="24" t="s">
        <v>359</v>
      </c>
      <c r="C41" s="24" t="s">
        <v>360</v>
      </c>
      <c r="D41" s="24" t="s">
        <v>361</v>
      </c>
      <c r="E41" s="28">
        <v>3689</v>
      </c>
      <c r="F41" s="25">
        <v>169.564885</v>
      </c>
      <c r="G41" s="26">
        <v>0.89844699546390105</v>
      </c>
      <c r="H41" s="29"/>
    </row>
    <row r="42" spans="2:8" x14ac:dyDescent="0.2">
      <c r="B42" s="24" t="s">
        <v>362</v>
      </c>
      <c r="C42" s="24" t="s">
        <v>363</v>
      </c>
      <c r="D42" s="24" t="s">
        <v>364</v>
      </c>
      <c r="E42" s="28">
        <v>37050</v>
      </c>
      <c r="F42" s="25">
        <v>163.297875</v>
      </c>
      <c r="G42" s="26">
        <v>0.865240967546964</v>
      </c>
      <c r="H42" s="29"/>
    </row>
    <row r="43" spans="2:8" x14ac:dyDescent="0.2">
      <c r="B43" s="24" t="s">
        <v>365</v>
      </c>
      <c r="C43" s="24" t="s">
        <v>366</v>
      </c>
      <c r="D43" s="24" t="s">
        <v>301</v>
      </c>
      <c r="E43" s="28">
        <v>2246</v>
      </c>
      <c r="F43" s="25">
        <v>159.97135</v>
      </c>
      <c r="G43" s="26">
        <v>0.84761522863536298</v>
      </c>
      <c r="H43" s="29"/>
    </row>
    <row r="44" spans="2:8" x14ac:dyDescent="0.2">
      <c r="B44" s="24" t="s">
        <v>367</v>
      </c>
      <c r="C44" s="24" t="s">
        <v>368</v>
      </c>
      <c r="D44" s="24" t="s">
        <v>369</v>
      </c>
      <c r="E44" s="28">
        <v>11699</v>
      </c>
      <c r="F44" s="25">
        <v>155.877476</v>
      </c>
      <c r="G44" s="26">
        <v>0.82592365732266004</v>
      </c>
      <c r="H44" s="29"/>
    </row>
    <row r="45" spans="2:8" x14ac:dyDescent="0.2">
      <c r="B45" s="24" t="s">
        <v>370</v>
      </c>
      <c r="C45" s="24" t="s">
        <v>371</v>
      </c>
      <c r="D45" s="24" t="s">
        <v>372</v>
      </c>
      <c r="E45" s="28">
        <v>7325</v>
      </c>
      <c r="F45" s="25">
        <v>146.39012500000001</v>
      </c>
      <c r="G45" s="26">
        <v>0.77565451108485595</v>
      </c>
      <c r="H45" s="29"/>
    </row>
    <row r="46" spans="2:8" x14ac:dyDescent="0.2">
      <c r="B46" s="24" t="s">
        <v>373</v>
      </c>
      <c r="C46" s="24" t="s">
        <v>374</v>
      </c>
      <c r="D46" s="24" t="s">
        <v>311</v>
      </c>
      <c r="E46" s="28">
        <v>3620</v>
      </c>
      <c r="F46" s="25">
        <v>137.0351</v>
      </c>
      <c r="G46" s="26">
        <v>0.726086499973713</v>
      </c>
      <c r="H46" s="29"/>
    </row>
    <row r="47" spans="2:8" x14ac:dyDescent="0.2">
      <c r="B47" s="24" t="s">
        <v>375</v>
      </c>
      <c r="C47" s="24" t="s">
        <v>376</v>
      </c>
      <c r="D47" s="24" t="s">
        <v>306</v>
      </c>
      <c r="E47" s="28">
        <v>53488</v>
      </c>
      <c r="F47" s="25">
        <v>136.12696</v>
      </c>
      <c r="G47" s="26">
        <v>0.72127468027141695</v>
      </c>
      <c r="H47" s="29"/>
    </row>
    <row r="48" spans="2:8" x14ac:dyDescent="0.2">
      <c r="B48" s="24" t="s">
        <v>377</v>
      </c>
      <c r="C48" s="24" t="s">
        <v>378</v>
      </c>
      <c r="D48" s="24" t="s">
        <v>372</v>
      </c>
      <c r="E48" s="28">
        <v>17537</v>
      </c>
      <c r="F48" s="25">
        <v>128.19547</v>
      </c>
      <c r="G48" s="26">
        <v>0.67924933192142101</v>
      </c>
      <c r="H48" s="29"/>
    </row>
    <row r="49" spans="2:9" x14ac:dyDescent="0.2">
      <c r="B49" s="24" t="s">
        <v>379</v>
      </c>
      <c r="C49" s="24" t="s">
        <v>380</v>
      </c>
      <c r="D49" s="24" t="s">
        <v>318</v>
      </c>
      <c r="E49" s="28">
        <v>9180</v>
      </c>
      <c r="F49" s="25">
        <v>121.5432</v>
      </c>
      <c r="G49" s="26">
        <v>0.64400198696250099</v>
      </c>
      <c r="H49" s="29"/>
    </row>
    <row r="50" spans="2:9" x14ac:dyDescent="0.2">
      <c r="B50" s="24" t="s">
        <v>381</v>
      </c>
      <c r="C50" s="24" t="s">
        <v>382</v>
      </c>
      <c r="D50" s="24" t="s">
        <v>318</v>
      </c>
      <c r="E50" s="28">
        <v>9943</v>
      </c>
      <c r="F50" s="25">
        <v>121.115683</v>
      </c>
      <c r="G50" s="26">
        <v>0.64173676934884405</v>
      </c>
      <c r="H50" s="29"/>
    </row>
    <row r="51" spans="2:9" x14ac:dyDescent="0.2">
      <c r="B51" s="24" t="s">
        <v>383</v>
      </c>
      <c r="C51" s="24" t="s">
        <v>384</v>
      </c>
      <c r="D51" s="24" t="s">
        <v>385</v>
      </c>
      <c r="E51" s="28">
        <v>10624</v>
      </c>
      <c r="F51" s="25">
        <v>120.465536</v>
      </c>
      <c r="G51" s="26">
        <v>0.63829193689570995</v>
      </c>
      <c r="H51" s="29"/>
    </row>
    <row r="52" spans="2:9" x14ac:dyDescent="0.2">
      <c r="B52" s="24" t="s">
        <v>386</v>
      </c>
      <c r="C52" s="24" t="s">
        <v>387</v>
      </c>
      <c r="D52" s="24" t="s">
        <v>301</v>
      </c>
      <c r="E52" s="28">
        <v>34120</v>
      </c>
      <c r="F52" s="25">
        <v>119.43706</v>
      </c>
      <c r="G52" s="26">
        <v>0.63284251160870797</v>
      </c>
      <c r="H52" s="29"/>
    </row>
    <row r="53" spans="2:9" x14ac:dyDescent="0.2">
      <c r="B53" s="24" t="s">
        <v>388</v>
      </c>
      <c r="C53" s="24" t="s">
        <v>389</v>
      </c>
      <c r="D53" s="24" t="s">
        <v>390</v>
      </c>
      <c r="E53" s="28">
        <v>1680</v>
      </c>
      <c r="F53" s="25">
        <v>116.93640000000001</v>
      </c>
      <c r="G53" s="26">
        <v>0.61959265469595803</v>
      </c>
      <c r="H53" s="29"/>
    </row>
    <row r="54" spans="2:9" x14ac:dyDescent="0.2">
      <c r="B54" s="24" t="s">
        <v>391</v>
      </c>
      <c r="C54" s="24" t="s">
        <v>392</v>
      </c>
      <c r="D54" s="24" t="s">
        <v>390</v>
      </c>
      <c r="E54" s="28">
        <v>12134</v>
      </c>
      <c r="F54" s="25">
        <v>116.098112</v>
      </c>
      <c r="G54" s="26">
        <v>0.61515094888562205</v>
      </c>
      <c r="H54" s="29"/>
    </row>
    <row r="55" spans="2:9" x14ac:dyDescent="0.2">
      <c r="B55" s="24" t="s">
        <v>393</v>
      </c>
      <c r="C55" s="24" t="s">
        <v>394</v>
      </c>
      <c r="D55" s="24" t="s">
        <v>283</v>
      </c>
      <c r="E55" s="28">
        <v>46589</v>
      </c>
      <c r="F55" s="25">
        <v>110.36934100000001</v>
      </c>
      <c r="G55" s="26">
        <v>0.58479680396551903</v>
      </c>
      <c r="H55" s="29"/>
    </row>
    <row r="56" spans="2:9" x14ac:dyDescent="0.2">
      <c r="B56" s="24" t="s">
        <v>395</v>
      </c>
      <c r="C56" s="24" t="s">
        <v>396</v>
      </c>
      <c r="D56" s="24" t="s">
        <v>397</v>
      </c>
      <c r="E56" s="28">
        <v>4250</v>
      </c>
      <c r="F56" s="25">
        <v>85.867000000000004</v>
      </c>
      <c r="G56" s="26">
        <v>0.454970073311457</v>
      </c>
      <c r="H56" s="29"/>
    </row>
    <row r="57" spans="2:9" x14ac:dyDescent="0.2">
      <c r="B57" s="24" t="s">
        <v>1498</v>
      </c>
      <c r="C57" s="24" t="s">
        <v>398</v>
      </c>
      <c r="D57" s="24" t="s">
        <v>369</v>
      </c>
      <c r="E57" s="28">
        <v>11798</v>
      </c>
      <c r="F57" s="25">
        <v>4.7427960000000002</v>
      </c>
      <c r="G57" s="26">
        <v>2.5129913049498499E-2</v>
      </c>
      <c r="H57" s="29"/>
    </row>
    <row r="58" spans="2:9" x14ac:dyDescent="0.2">
      <c r="B58" s="23" t="s">
        <v>58</v>
      </c>
      <c r="C58" s="23"/>
      <c r="D58" s="23"/>
      <c r="E58" s="23"/>
      <c r="F58" s="31">
        <f>SUM(F7:F57)</f>
        <v>18849.806005799997</v>
      </c>
      <c r="G58" s="32">
        <f>SUM(G7:G57)</f>
        <v>99.876525561223346</v>
      </c>
      <c r="H58" s="33"/>
      <c r="I58" s="16"/>
    </row>
    <row r="59" spans="2:9" x14ac:dyDescent="0.2">
      <c r="B59" s="23" t="s">
        <v>399</v>
      </c>
      <c r="C59" s="23"/>
      <c r="D59" s="23"/>
      <c r="E59" s="23"/>
      <c r="F59" s="53" t="s">
        <v>400</v>
      </c>
      <c r="G59" s="54" t="s">
        <v>400</v>
      </c>
      <c r="H59" s="33"/>
      <c r="I59" s="16"/>
    </row>
    <row r="60" spans="2:9" x14ac:dyDescent="0.2">
      <c r="B60" s="23" t="s">
        <v>58</v>
      </c>
      <c r="C60" s="23"/>
      <c r="D60" s="23"/>
      <c r="E60" s="23"/>
      <c r="F60" s="49" t="s">
        <v>400</v>
      </c>
      <c r="G60" s="50" t="s">
        <v>400</v>
      </c>
      <c r="H60" s="33"/>
      <c r="I60" s="16"/>
    </row>
    <row r="61" spans="2:9" x14ac:dyDescent="0.2">
      <c r="B61" s="36" t="s">
        <v>100</v>
      </c>
      <c r="C61" s="36"/>
      <c r="D61" s="36"/>
      <c r="E61" s="36"/>
      <c r="F61" s="37">
        <f>F58</f>
        <v>18849.806005799997</v>
      </c>
      <c r="G61" s="38">
        <f>G58</f>
        <v>99.876525561223346</v>
      </c>
      <c r="H61" s="33"/>
      <c r="I61" s="16"/>
    </row>
    <row r="62" spans="2:9" x14ac:dyDescent="0.2">
      <c r="B62" s="23" t="s">
        <v>108</v>
      </c>
      <c r="C62" s="23"/>
      <c r="D62" s="23"/>
      <c r="E62" s="23"/>
      <c r="F62" s="31">
        <v>109.8812501</v>
      </c>
      <c r="G62" s="32">
        <v>0.582210632880519</v>
      </c>
      <c r="H62" s="29">
        <v>5.04819029E-2</v>
      </c>
      <c r="I62" s="17"/>
    </row>
    <row r="63" spans="2:9" x14ac:dyDescent="0.2">
      <c r="B63" s="24"/>
      <c r="C63" s="24"/>
      <c r="D63" s="24"/>
      <c r="E63" s="24"/>
      <c r="F63" s="25"/>
      <c r="G63" s="26"/>
      <c r="H63" s="27"/>
    </row>
    <row r="64" spans="2:9" x14ac:dyDescent="0.2">
      <c r="B64" s="43" t="s">
        <v>110</v>
      </c>
      <c r="C64" s="43"/>
      <c r="D64" s="43"/>
      <c r="E64" s="43"/>
      <c r="F64" s="31">
        <f>F65-(F58+F62)</f>
        <v>-86.577784099998098</v>
      </c>
      <c r="G64" s="32">
        <f>G65-(G58+G62)</f>
        <v>-0.45873619410386368</v>
      </c>
      <c r="H64" s="33"/>
      <c r="I64" s="16"/>
    </row>
    <row r="65" spans="2:9" x14ac:dyDescent="0.2">
      <c r="B65" s="39" t="s">
        <v>109</v>
      </c>
      <c r="C65" s="39"/>
      <c r="D65" s="39"/>
      <c r="E65" s="39"/>
      <c r="F65" s="40">
        <v>18873.109471799999</v>
      </c>
      <c r="G65" s="41">
        <v>100</v>
      </c>
      <c r="H65" s="42"/>
      <c r="I65" s="16"/>
    </row>
    <row r="67" spans="2:9" x14ac:dyDescent="0.2">
      <c r="B67" s="16" t="s">
        <v>112</v>
      </c>
    </row>
    <row r="70" spans="2:9" x14ac:dyDescent="0.2">
      <c r="B70" s="16" t="s">
        <v>114</v>
      </c>
      <c r="H70" s="6"/>
    </row>
    <row r="71" spans="2:9" x14ac:dyDescent="0.2">
      <c r="H71" s="6"/>
    </row>
    <row r="72" spans="2:9" x14ac:dyDescent="0.2">
      <c r="H72" s="6"/>
    </row>
    <row r="73" spans="2:9" x14ac:dyDescent="0.2">
      <c r="H73" s="6"/>
    </row>
    <row r="74" spans="2:9" x14ac:dyDescent="0.2">
      <c r="H74" s="6"/>
    </row>
    <row r="75" spans="2:9" x14ac:dyDescent="0.2">
      <c r="H75" s="6"/>
    </row>
    <row r="76" spans="2:9" x14ac:dyDescent="0.2">
      <c r="H76" s="6"/>
    </row>
    <row r="77" spans="2:9" x14ac:dyDescent="0.2">
      <c r="H77" s="6"/>
    </row>
    <row r="78" spans="2:9" x14ac:dyDescent="0.2">
      <c r="H78" s="6"/>
    </row>
    <row r="79" spans="2:9" x14ac:dyDescent="0.2">
      <c r="H79" s="6"/>
    </row>
    <row r="80" spans="2:9" x14ac:dyDescent="0.2">
      <c r="H80" s="6"/>
    </row>
    <row r="81" spans="2:8" x14ac:dyDescent="0.2">
      <c r="H81" s="6"/>
    </row>
    <row r="82" spans="2:8" x14ac:dyDescent="0.2">
      <c r="H82" s="6"/>
    </row>
    <row r="83" spans="2:8" x14ac:dyDescent="0.2">
      <c r="H83" s="6"/>
    </row>
    <row r="84" spans="2:8" x14ac:dyDescent="0.2">
      <c r="H84" s="6"/>
    </row>
    <row r="85" spans="2:8" x14ac:dyDescent="0.2">
      <c r="H85" s="6"/>
    </row>
    <row r="86" spans="2:8" x14ac:dyDescent="0.2">
      <c r="H86" s="6"/>
    </row>
    <row r="87" spans="2:8" x14ac:dyDescent="0.2">
      <c r="B87" s="66" t="s">
        <v>1469</v>
      </c>
      <c r="H87" s="6"/>
    </row>
    <row r="88" spans="2:8" x14ac:dyDescent="0.2">
      <c r="B88" s="67" t="s">
        <v>1474</v>
      </c>
      <c r="H88" s="6"/>
    </row>
    <row r="89" spans="2:8" x14ac:dyDescent="0.2">
      <c r="H89" s="6"/>
    </row>
    <row r="90" spans="2:8" x14ac:dyDescent="0.2">
      <c r="H90" s="6"/>
    </row>
    <row r="91" spans="2:8" x14ac:dyDescent="0.2">
      <c r="H91" s="6"/>
    </row>
    <row r="92" spans="2:8" x14ac:dyDescent="0.2">
      <c r="H92" s="6"/>
    </row>
    <row r="93" spans="2:8" x14ac:dyDescent="0.2">
      <c r="H93" s="6"/>
    </row>
    <row r="94" spans="2:8" x14ac:dyDescent="0.2">
      <c r="H94" s="6"/>
    </row>
    <row r="95" spans="2:8" x14ac:dyDescent="0.2">
      <c r="H95" s="6"/>
    </row>
    <row r="96" spans="2:8" x14ac:dyDescent="0.2">
      <c r="H96" s="6"/>
    </row>
    <row r="97" spans="8:8" x14ac:dyDescent="0.2">
      <c r="H97" s="6"/>
    </row>
    <row r="98" spans="8:8" x14ac:dyDescent="0.2">
      <c r="H98" s="6"/>
    </row>
    <row r="99" spans="8:8" x14ac:dyDescent="0.2">
      <c r="H99" s="6"/>
    </row>
    <row r="100" spans="8:8" x14ac:dyDescent="0.2">
      <c r="H100" s="6"/>
    </row>
    <row r="101" spans="8:8" x14ac:dyDescent="0.2">
      <c r="H101" s="6"/>
    </row>
    <row r="102" spans="8:8" x14ac:dyDescent="0.2">
      <c r="H102" s="6"/>
    </row>
    <row r="103" spans="8:8" x14ac:dyDescent="0.2">
      <c r="H103" s="6"/>
    </row>
    <row r="104" spans="8:8" x14ac:dyDescent="0.2">
      <c r="H104" s="6"/>
    </row>
  </sheetData>
  <mergeCells count="1">
    <mergeCell ref="B1:C1"/>
  </mergeCells>
  <conditionalFormatting sqref="G1:G3 G5:G104">
    <cfRule type="cellIs" dxfId="7" priority="2" stopIfTrue="1" operator="between">
      <formula>0.009</formula>
      <formula>-0.009</formula>
    </cfRule>
  </conditionalFormatting>
  <hyperlinks>
    <hyperlink ref="A2" location="Index!A1" display="-" xr:uid="{582BCF63-8D63-43FB-B6F3-2D01280DAE55}"/>
  </hyperlinks>
  <pageMargins left="0.7" right="0.7" top="0.75" bottom="0.75" header="0.3" footer="0.3"/>
  <pageSetup paperSize="9" scale="64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11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F3F6-7924-4351-8BC7-6B808F912334}">
  <dimension ref="A1:I92"/>
  <sheetViews>
    <sheetView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52.44140625" style="6" bestFit="1" customWidth="1"/>
    <col min="3" max="3" width="11.21875" style="6" customWidth="1"/>
    <col min="4" max="4" width="23.21875" style="6" bestFit="1" customWidth="1"/>
    <col min="5" max="5" width="13.6640625" style="6" bestFit="1" customWidth="1"/>
    <col min="6" max="6" width="12.77734375" style="8" bestFit="1" customWidth="1"/>
    <col min="7" max="7" width="6.77734375" style="14" bestFit="1" customWidth="1"/>
    <col min="8" max="8" width="11.77734375" style="6" bestFit="1" customWidth="1"/>
    <col min="9" max="16384" width="9.109375" style="6"/>
  </cols>
  <sheetData>
    <row r="1" spans="1:9" s="1" customFormat="1" ht="16.8" customHeight="1" x14ac:dyDescent="0.25">
      <c r="B1" s="98" t="s">
        <v>17</v>
      </c>
      <c r="C1" s="99"/>
      <c r="D1" s="10"/>
      <c r="F1" s="5"/>
      <c r="G1" s="14"/>
    </row>
    <row r="2" spans="1:9" s="1" customFormat="1" ht="14.4" x14ac:dyDescent="0.3">
      <c r="A2" s="65" t="s">
        <v>1481</v>
      </c>
      <c r="F2" s="5"/>
      <c r="G2" s="14"/>
    </row>
    <row r="3" spans="1:9" s="1" customFormat="1" ht="12" x14ac:dyDescent="0.2">
      <c r="B3" s="7" t="s">
        <v>9</v>
      </c>
      <c r="C3" s="2"/>
      <c r="D3" s="3"/>
      <c r="E3" s="3"/>
      <c r="F3" s="4"/>
      <c r="G3" s="14"/>
    </row>
    <row r="4" spans="1:9" s="1" customFormat="1" ht="30.6" x14ac:dyDescent="0.2">
      <c r="B4" s="18" t="s">
        <v>7</v>
      </c>
      <c r="C4" s="18" t="s">
        <v>8</v>
      </c>
      <c r="D4" s="91" t="s">
        <v>1467</v>
      </c>
      <c r="E4" s="19" t="s">
        <v>0</v>
      </c>
      <c r="F4" s="20" t="s">
        <v>4</v>
      </c>
      <c r="G4" s="21" t="s">
        <v>5</v>
      </c>
      <c r="H4" s="20" t="s">
        <v>6</v>
      </c>
      <c r="I4" s="9"/>
    </row>
    <row r="5" spans="1:9" x14ac:dyDescent="0.2">
      <c r="B5" s="23" t="s">
        <v>272</v>
      </c>
      <c r="C5" s="24"/>
      <c r="D5" s="24"/>
      <c r="E5" s="24"/>
      <c r="F5" s="25"/>
      <c r="G5" s="26"/>
      <c r="H5" s="24"/>
    </row>
    <row r="6" spans="1:9" x14ac:dyDescent="0.2">
      <c r="B6" s="23" t="s">
        <v>244</v>
      </c>
      <c r="C6" s="24"/>
      <c r="D6" s="24"/>
      <c r="E6" s="24"/>
      <c r="F6" s="25"/>
      <c r="G6" s="26"/>
      <c r="H6" s="24"/>
    </row>
    <row r="7" spans="1:9" x14ac:dyDescent="0.2">
      <c r="B7" s="24" t="s">
        <v>402</v>
      </c>
      <c r="C7" s="24" t="s">
        <v>403</v>
      </c>
      <c r="D7" s="24" t="s">
        <v>404</v>
      </c>
      <c r="E7" s="28">
        <v>118092</v>
      </c>
      <c r="F7" s="25">
        <v>804.85602600000004</v>
      </c>
      <c r="G7" s="26">
        <v>5.0996718073948202</v>
      </c>
      <c r="H7" s="29"/>
    </row>
    <row r="8" spans="1:9" x14ac:dyDescent="0.2">
      <c r="B8" s="24" t="s">
        <v>405</v>
      </c>
      <c r="C8" s="24" t="s">
        <v>406</v>
      </c>
      <c r="D8" s="24" t="s">
        <v>327</v>
      </c>
      <c r="E8" s="28">
        <v>13208</v>
      </c>
      <c r="F8" s="25">
        <v>610.13035200000002</v>
      </c>
      <c r="G8" s="26">
        <v>3.8658647688751699</v>
      </c>
      <c r="H8" s="29"/>
    </row>
    <row r="9" spans="1:9" x14ac:dyDescent="0.2">
      <c r="B9" s="24" t="s">
        <v>407</v>
      </c>
      <c r="C9" s="24" t="s">
        <v>408</v>
      </c>
      <c r="D9" s="24" t="s">
        <v>301</v>
      </c>
      <c r="E9" s="28">
        <v>16344</v>
      </c>
      <c r="F9" s="25">
        <v>601.03425600000003</v>
      </c>
      <c r="G9" s="26">
        <v>3.80823072895986</v>
      </c>
      <c r="H9" s="29"/>
    </row>
    <row r="10" spans="1:9" x14ac:dyDescent="0.2">
      <c r="B10" s="24" t="s">
        <v>409</v>
      </c>
      <c r="C10" s="24" t="s">
        <v>410</v>
      </c>
      <c r="D10" s="24" t="s">
        <v>318</v>
      </c>
      <c r="E10" s="28">
        <v>8845</v>
      </c>
      <c r="F10" s="25">
        <v>535.21095000000003</v>
      </c>
      <c r="G10" s="26">
        <v>3.39116575456192</v>
      </c>
      <c r="H10" s="29"/>
    </row>
    <row r="11" spans="1:9" x14ac:dyDescent="0.2">
      <c r="B11" s="24" t="s">
        <v>411</v>
      </c>
      <c r="C11" s="24" t="s">
        <v>412</v>
      </c>
      <c r="D11" s="24" t="s">
        <v>280</v>
      </c>
      <c r="E11" s="28">
        <v>134929</v>
      </c>
      <c r="F11" s="25">
        <v>491.81620500000002</v>
      </c>
      <c r="G11" s="26">
        <v>3.1162110415241</v>
      </c>
      <c r="H11" s="29"/>
    </row>
    <row r="12" spans="1:9" x14ac:dyDescent="0.2">
      <c r="B12" s="24" t="s">
        <v>413</v>
      </c>
      <c r="C12" s="24" t="s">
        <v>414</v>
      </c>
      <c r="D12" s="24" t="s">
        <v>369</v>
      </c>
      <c r="E12" s="28">
        <v>8210</v>
      </c>
      <c r="F12" s="25">
        <v>481.14704999999998</v>
      </c>
      <c r="G12" s="26">
        <v>3.04860989646884</v>
      </c>
      <c r="H12" s="29"/>
    </row>
    <row r="13" spans="1:9" x14ac:dyDescent="0.2">
      <c r="B13" s="24" t="s">
        <v>415</v>
      </c>
      <c r="C13" s="24" t="s">
        <v>416</v>
      </c>
      <c r="D13" s="24" t="s">
        <v>306</v>
      </c>
      <c r="E13" s="28">
        <v>29441</v>
      </c>
      <c r="F13" s="25">
        <v>480.35935599999999</v>
      </c>
      <c r="G13" s="26">
        <v>3.0436189654763499</v>
      </c>
      <c r="H13" s="29"/>
    </row>
    <row r="14" spans="1:9" x14ac:dyDescent="0.2">
      <c r="B14" s="24" t="s">
        <v>417</v>
      </c>
      <c r="C14" s="24" t="s">
        <v>418</v>
      </c>
      <c r="D14" s="24" t="s">
        <v>419</v>
      </c>
      <c r="E14" s="28">
        <v>95264</v>
      </c>
      <c r="F14" s="25">
        <v>448.9316</v>
      </c>
      <c r="G14" s="26">
        <v>2.8444886414612598</v>
      </c>
      <c r="H14" s="29"/>
    </row>
    <row r="15" spans="1:9" x14ac:dyDescent="0.2">
      <c r="B15" s="24" t="s">
        <v>420</v>
      </c>
      <c r="C15" s="24" t="s">
        <v>421</v>
      </c>
      <c r="D15" s="24" t="s">
        <v>321</v>
      </c>
      <c r="E15" s="28">
        <v>116897</v>
      </c>
      <c r="F15" s="25">
        <v>428.19371100000001</v>
      </c>
      <c r="G15" s="26">
        <v>2.7130906964104202</v>
      </c>
      <c r="H15" s="29"/>
    </row>
    <row r="16" spans="1:9" x14ac:dyDescent="0.2">
      <c r="B16" s="24" t="s">
        <v>422</v>
      </c>
      <c r="C16" s="24" t="s">
        <v>423</v>
      </c>
      <c r="D16" s="24" t="s">
        <v>280</v>
      </c>
      <c r="E16" s="28">
        <v>260102</v>
      </c>
      <c r="F16" s="25">
        <v>424.59050480000002</v>
      </c>
      <c r="G16" s="26">
        <v>2.6902603162172198</v>
      </c>
      <c r="H16" s="29"/>
    </row>
    <row r="17" spans="2:8" x14ac:dyDescent="0.2">
      <c r="B17" s="24" t="s">
        <v>424</v>
      </c>
      <c r="C17" s="24" t="s">
        <v>425</v>
      </c>
      <c r="D17" s="24" t="s">
        <v>426</v>
      </c>
      <c r="E17" s="28">
        <v>61142</v>
      </c>
      <c r="F17" s="25">
        <v>412.18879299999998</v>
      </c>
      <c r="G17" s="26">
        <v>2.61168146734631</v>
      </c>
      <c r="H17" s="29"/>
    </row>
    <row r="18" spans="2:8" x14ac:dyDescent="0.2">
      <c r="B18" s="24" t="s">
        <v>427</v>
      </c>
      <c r="C18" s="24" t="s">
        <v>428</v>
      </c>
      <c r="D18" s="24" t="s">
        <v>275</v>
      </c>
      <c r="E18" s="28">
        <v>129143</v>
      </c>
      <c r="F18" s="25">
        <v>386.65414199999998</v>
      </c>
      <c r="G18" s="26">
        <v>2.4498906182878399</v>
      </c>
      <c r="H18" s="29"/>
    </row>
    <row r="19" spans="2:8" x14ac:dyDescent="0.2">
      <c r="B19" s="24" t="s">
        <v>429</v>
      </c>
      <c r="C19" s="24" t="s">
        <v>430</v>
      </c>
      <c r="D19" s="24" t="s">
        <v>283</v>
      </c>
      <c r="E19" s="28">
        <v>6455</v>
      </c>
      <c r="F19" s="25">
        <v>385.653975</v>
      </c>
      <c r="G19" s="26">
        <v>2.4435534309054701</v>
      </c>
      <c r="H19" s="29"/>
    </row>
    <row r="20" spans="2:8" x14ac:dyDescent="0.2">
      <c r="B20" s="24" t="s">
        <v>431</v>
      </c>
      <c r="C20" s="24" t="s">
        <v>432</v>
      </c>
      <c r="D20" s="24" t="s">
        <v>306</v>
      </c>
      <c r="E20" s="28">
        <v>101359</v>
      </c>
      <c r="F20" s="25">
        <v>384.50536649999998</v>
      </c>
      <c r="G20" s="26">
        <v>2.4362756989932302</v>
      </c>
      <c r="H20" s="29"/>
    </row>
    <row r="21" spans="2:8" x14ac:dyDescent="0.2">
      <c r="B21" s="24" t="s">
        <v>433</v>
      </c>
      <c r="C21" s="24" t="s">
        <v>434</v>
      </c>
      <c r="D21" s="24" t="s">
        <v>311</v>
      </c>
      <c r="E21" s="28">
        <v>10250</v>
      </c>
      <c r="F21" s="25">
        <v>378.17374999999998</v>
      </c>
      <c r="G21" s="26">
        <v>2.3961577584955198</v>
      </c>
      <c r="H21" s="29"/>
    </row>
    <row r="22" spans="2:8" x14ac:dyDescent="0.2">
      <c r="B22" s="24" t="s">
        <v>435</v>
      </c>
      <c r="C22" s="24" t="s">
        <v>436</v>
      </c>
      <c r="D22" s="24" t="s">
        <v>321</v>
      </c>
      <c r="E22" s="28">
        <v>274619</v>
      </c>
      <c r="F22" s="25">
        <v>371.77920219999999</v>
      </c>
      <c r="G22" s="26">
        <v>2.3556410771472298</v>
      </c>
      <c r="H22" s="29"/>
    </row>
    <row r="23" spans="2:8" x14ac:dyDescent="0.2">
      <c r="B23" s="24" t="s">
        <v>437</v>
      </c>
      <c r="C23" s="24" t="s">
        <v>438</v>
      </c>
      <c r="D23" s="24" t="s">
        <v>439</v>
      </c>
      <c r="E23" s="28">
        <v>309173</v>
      </c>
      <c r="F23" s="25">
        <v>349.05631699999998</v>
      </c>
      <c r="G23" s="26">
        <v>2.2116659396148499</v>
      </c>
      <c r="H23" s="29"/>
    </row>
    <row r="24" spans="2:8" x14ac:dyDescent="0.2">
      <c r="B24" s="24" t="s">
        <v>440</v>
      </c>
      <c r="C24" s="24" t="s">
        <v>441</v>
      </c>
      <c r="D24" s="24" t="s">
        <v>275</v>
      </c>
      <c r="E24" s="28">
        <v>234690</v>
      </c>
      <c r="F24" s="25">
        <v>345.97999800000002</v>
      </c>
      <c r="G24" s="26">
        <v>2.1921739848203798</v>
      </c>
      <c r="H24" s="29"/>
    </row>
    <row r="25" spans="2:8" x14ac:dyDescent="0.2">
      <c r="B25" s="24" t="s">
        <v>442</v>
      </c>
      <c r="C25" s="24" t="s">
        <v>443</v>
      </c>
      <c r="D25" s="24" t="s">
        <v>311</v>
      </c>
      <c r="E25" s="28">
        <v>27045</v>
      </c>
      <c r="F25" s="25">
        <v>337.90023000000002</v>
      </c>
      <c r="G25" s="26">
        <v>2.1409795304722299</v>
      </c>
      <c r="H25" s="29"/>
    </row>
    <row r="26" spans="2:8" x14ac:dyDescent="0.2">
      <c r="B26" s="24" t="s">
        <v>444</v>
      </c>
      <c r="C26" s="24" t="s">
        <v>445</v>
      </c>
      <c r="D26" s="24" t="s">
        <v>306</v>
      </c>
      <c r="E26" s="28">
        <v>3014</v>
      </c>
      <c r="F26" s="25">
        <v>325.512</v>
      </c>
      <c r="G26" s="26">
        <v>2.0624861040286202</v>
      </c>
      <c r="H26" s="29"/>
    </row>
    <row r="27" spans="2:8" x14ac:dyDescent="0.2">
      <c r="B27" s="24" t="s">
        <v>446</v>
      </c>
      <c r="C27" s="24" t="s">
        <v>447</v>
      </c>
      <c r="D27" s="24" t="s">
        <v>448</v>
      </c>
      <c r="E27" s="28">
        <v>28010</v>
      </c>
      <c r="F27" s="25">
        <v>323.26341000000002</v>
      </c>
      <c r="G27" s="26">
        <v>2.0482387471611099</v>
      </c>
      <c r="H27" s="29"/>
    </row>
    <row r="28" spans="2:8" x14ac:dyDescent="0.2">
      <c r="B28" s="24" t="s">
        <v>449</v>
      </c>
      <c r="C28" s="24" t="s">
        <v>450</v>
      </c>
      <c r="D28" s="24" t="s">
        <v>306</v>
      </c>
      <c r="E28" s="28">
        <v>86946</v>
      </c>
      <c r="F28" s="25">
        <v>316.57038599999998</v>
      </c>
      <c r="G28" s="26">
        <v>2.0058308820319302</v>
      </c>
      <c r="H28" s="29"/>
    </row>
    <row r="29" spans="2:8" x14ac:dyDescent="0.2">
      <c r="B29" s="24" t="s">
        <v>451</v>
      </c>
      <c r="C29" s="24" t="s">
        <v>452</v>
      </c>
      <c r="D29" s="24" t="s">
        <v>453</v>
      </c>
      <c r="E29" s="28">
        <v>187770</v>
      </c>
      <c r="F29" s="25">
        <v>314.12043299999999</v>
      </c>
      <c r="G29" s="26">
        <v>1.9903076631704999</v>
      </c>
      <c r="H29" s="29"/>
    </row>
    <row r="30" spans="2:8" x14ac:dyDescent="0.2">
      <c r="B30" s="24" t="s">
        <v>454</v>
      </c>
      <c r="C30" s="24" t="s">
        <v>455</v>
      </c>
      <c r="D30" s="24" t="s">
        <v>456</v>
      </c>
      <c r="E30" s="28">
        <v>21617</v>
      </c>
      <c r="F30" s="25">
        <v>309.36088699999999</v>
      </c>
      <c r="G30" s="26">
        <v>1.9601505645489901</v>
      </c>
      <c r="H30" s="29"/>
    </row>
    <row r="31" spans="2:8" x14ac:dyDescent="0.2">
      <c r="B31" s="24" t="s">
        <v>457</v>
      </c>
      <c r="C31" s="24" t="s">
        <v>458</v>
      </c>
      <c r="D31" s="24" t="s">
        <v>372</v>
      </c>
      <c r="E31" s="28">
        <v>16850</v>
      </c>
      <c r="F31" s="25">
        <v>305.67585000000003</v>
      </c>
      <c r="G31" s="26">
        <v>1.93680169383045</v>
      </c>
      <c r="H31" s="29"/>
    </row>
    <row r="32" spans="2:8" x14ac:dyDescent="0.2">
      <c r="B32" s="24" t="s">
        <v>459</v>
      </c>
      <c r="C32" s="24" t="s">
        <v>460</v>
      </c>
      <c r="D32" s="24" t="s">
        <v>275</v>
      </c>
      <c r="E32" s="28">
        <v>240023</v>
      </c>
      <c r="F32" s="25">
        <v>300.48479370000001</v>
      </c>
      <c r="G32" s="26">
        <v>1.90391049017596</v>
      </c>
      <c r="H32" s="29"/>
    </row>
    <row r="33" spans="2:8" x14ac:dyDescent="0.2">
      <c r="B33" s="24" t="s">
        <v>461</v>
      </c>
      <c r="C33" s="24" t="s">
        <v>462</v>
      </c>
      <c r="D33" s="24" t="s">
        <v>330</v>
      </c>
      <c r="E33" s="28">
        <v>26014</v>
      </c>
      <c r="F33" s="25">
        <v>294.47847999999999</v>
      </c>
      <c r="G33" s="26">
        <v>1.86585371026405</v>
      </c>
      <c r="H33" s="29"/>
    </row>
    <row r="34" spans="2:8" x14ac:dyDescent="0.2">
      <c r="B34" s="24" t="s">
        <v>463</v>
      </c>
      <c r="C34" s="24" t="s">
        <v>464</v>
      </c>
      <c r="D34" s="24" t="s">
        <v>318</v>
      </c>
      <c r="E34" s="28">
        <v>7281</v>
      </c>
      <c r="F34" s="25">
        <v>288.38584800000001</v>
      </c>
      <c r="G34" s="26">
        <v>1.8272500064468</v>
      </c>
      <c r="H34" s="29"/>
    </row>
    <row r="35" spans="2:8" x14ac:dyDescent="0.2">
      <c r="B35" s="24" t="s">
        <v>465</v>
      </c>
      <c r="C35" s="24" t="s">
        <v>466</v>
      </c>
      <c r="D35" s="24" t="s">
        <v>467</v>
      </c>
      <c r="E35" s="28">
        <v>44656</v>
      </c>
      <c r="F35" s="25">
        <v>283.90051999999997</v>
      </c>
      <c r="G35" s="26">
        <v>1.79883038851563</v>
      </c>
      <c r="H35" s="29"/>
    </row>
    <row r="36" spans="2:8" x14ac:dyDescent="0.2">
      <c r="B36" s="24" t="s">
        <v>468</v>
      </c>
      <c r="C36" s="24" t="s">
        <v>469</v>
      </c>
      <c r="D36" s="24" t="s">
        <v>419</v>
      </c>
      <c r="E36" s="28">
        <v>20560</v>
      </c>
      <c r="F36" s="25">
        <v>280.15055999999998</v>
      </c>
      <c r="G36" s="26">
        <v>1.77507015727788</v>
      </c>
      <c r="H36" s="29"/>
    </row>
    <row r="37" spans="2:8" x14ac:dyDescent="0.2">
      <c r="B37" s="24" t="s">
        <v>470</v>
      </c>
      <c r="C37" s="24" t="s">
        <v>471</v>
      </c>
      <c r="D37" s="24" t="s">
        <v>472</v>
      </c>
      <c r="E37" s="28">
        <v>47799</v>
      </c>
      <c r="F37" s="25">
        <v>279.17005949999998</v>
      </c>
      <c r="G37" s="26">
        <v>1.7688575793813901</v>
      </c>
      <c r="H37" s="29"/>
    </row>
    <row r="38" spans="2:8" x14ac:dyDescent="0.2">
      <c r="B38" s="24" t="s">
        <v>473</v>
      </c>
      <c r="C38" s="24" t="s">
        <v>474</v>
      </c>
      <c r="D38" s="24" t="s">
        <v>333</v>
      </c>
      <c r="E38" s="28">
        <v>931</v>
      </c>
      <c r="F38" s="25">
        <v>251.23034999999999</v>
      </c>
      <c r="G38" s="26">
        <v>1.5918279688160399</v>
      </c>
      <c r="H38" s="29"/>
    </row>
    <row r="39" spans="2:8" x14ac:dyDescent="0.2">
      <c r="B39" s="24" t="s">
        <v>475</v>
      </c>
      <c r="C39" s="24" t="s">
        <v>476</v>
      </c>
      <c r="D39" s="24" t="s">
        <v>456</v>
      </c>
      <c r="E39" s="28">
        <v>1696</v>
      </c>
      <c r="F39" s="25">
        <v>228.6208</v>
      </c>
      <c r="G39" s="26">
        <v>1.4485709377593099</v>
      </c>
      <c r="H39" s="29"/>
    </row>
    <row r="40" spans="2:8" x14ac:dyDescent="0.2">
      <c r="B40" s="24" t="s">
        <v>477</v>
      </c>
      <c r="C40" s="24" t="s">
        <v>478</v>
      </c>
      <c r="D40" s="24" t="s">
        <v>324</v>
      </c>
      <c r="E40" s="28">
        <v>17557</v>
      </c>
      <c r="F40" s="25">
        <v>225.60745</v>
      </c>
      <c r="G40" s="26">
        <v>1.4294779626875</v>
      </c>
      <c r="H40" s="29"/>
    </row>
    <row r="41" spans="2:8" x14ac:dyDescent="0.2">
      <c r="B41" s="24" t="s">
        <v>479</v>
      </c>
      <c r="C41" s="24" t="s">
        <v>480</v>
      </c>
      <c r="D41" s="24" t="s">
        <v>439</v>
      </c>
      <c r="E41" s="28">
        <v>604</v>
      </c>
      <c r="F41" s="25">
        <v>220.6412</v>
      </c>
      <c r="G41" s="26">
        <v>1.3980111608057499</v>
      </c>
      <c r="H41" s="29"/>
    </row>
    <row r="42" spans="2:8" x14ac:dyDescent="0.2">
      <c r="B42" s="24" t="s">
        <v>481</v>
      </c>
      <c r="C42" s="24" t="s">
        <v>482</v>
      </c>
      <c r="D42" s="24" t="s">
        <v>301</v>
      </c>
      <c r="E42" s="28">
        <v>9926</v>
      </c>
      <c r="F42" s="25">
        <v>217.994812</v>
      </c>
      <c r="G42" s="26">
        <v>1.3812433043953301</v>
      </c>
      <c r="H42" s="29"/>
    </row>
    <row r="43" spans="2:8" x14ac:dyDescent="0.2">
      <c r="B43" s="24" t="s">
        <v>483</v>
      </c>
      <c r="C43" s="24" t="s">
        <v>484</v>
      </c>
      <c r="D43" s="24" t="s">
        <v>333</v>
      </c>
      <c r="E43" s="28">
        <v>42452</v>
      </c>
      <c r="F43" s="25">
        <v>216.56887800000001</v>
      </c>
      <c r="G43" s="26">
        <v>1.3722084022711001</v>
      </c>
      <c r="H43" s="29"/>
    </row>
    <row r="44" spans="2:8" x14ac:dyDescent="0.2">
      <c r="B44" s="24" t="s">
        <v>485</v>
      </c>
      <c r="C44" s="24" t="s">
        <v>486</v>
      </c>
      <c r="D44" s="24" t="s">
        <v>321</v>
      </c>
      <c r="E44" s="28">
        <v>24149</v>
      </c>
      <c r="F44" s="25">
        <v>216.085252</v>
      </c>
      <c r="G44" s="26">
        <v>1.36914408542703</v>
      </c>
      <c r="H44" s="29"/>
    </row>
    <row r="45" spans="2:8" x14ac:dyDescent="0.2">
      <c r="B45" s="24" t="s">
        <v>487</v>
      </c>
      <c r="C45" s="24" t="s">
        <v>488</v>
      </c>
      <c r="D45" s="24" t="s">
        <v>472</v>
      </c>
      <c r="E45" s="28">
        <v>3651</v>
      </c>
      <c r="F45" s="25">
        <v>203.67103499999999</v>
      </c>
      <c r="G45" s="26">
        <v>1.2904860019926401</v>
      </c>
      <c r="H45" s="29"/>
    </row>
    <row r="46" spans="2:8" x14ac:dyDescent="0.2">
      <c r="B46" s="24" t="s">
        <v>489</v>
      </c>
      <c r="C46" s="24" t="s">
        <v>490</v>
      </c>
      <c r="D46" s="24" t="s">
        <v>472</v>
      </c>
      <c r="E46" s="28">
        <v>6152</v>
      </c>
      <c r="F46" s="25">
        <v>190.79197600000001</v>
      </c>
      <c r="G46" s="26">
        <v>1.2088826195659801</v>
      </c>
      <c r="H46" s="29"/>
    </row>
    <row r="47" spans="2:8" x14ac:dyDescent="0.2">
      <c r="B47" s="24" t="s">
        <v>491</v>
      </c>
      <c r="C47" s="24" t="s">
        <v>492</v>
      </c>
      <c r="D47" s="24" t="s">
        <v>467</v>
      </c>
      <c r="E47" s="28">
        <v>19582</v>
      </c>
      <c r="F47" s="25">
        <v>190.23912999999999</v>
      </c>
      <c r="G47" s="26">
        <v>1.2053797158553099</v>
      </c>
      <c r="H47" s="29"/>
    </row>
    <row r="48" spans="2:8" x14ac:dyDescent="0.2">
      <c r="B48" s="24" t="s">
        <v>493</v>
      </c>
      <c r="C48" s="24" t="s">
        <v>494</v>
      </c>
      <c r="D48" s="24" t="s">
        <v>338</v>
      </c>
      <c r="E48" s="28">
        <v>30177</v>
      </c>
      <c r="F48" s="25">
        <v>189.66244499999999</v>
      </c>
      <c r="G48" s="26">
        <v>1.2017257651594799</v>
      </c>
      <c r="H48" s="29"/>
    </row>
    <row r="49" spans="2:9" x14ac:dyDescent="0.2">
      <c r="B49" s="24" t="s">
        <v>495</v>
      </c>
      <c r="C49" s="24" t="s">
        <v>496</v>
      </c>
      <c r="D49" s="24" t="s">
        <v>321</v>
      </c>
      <c r="E49" s="28">
        <v>21338</v>
      </c>
      <c r="F49" s="25">
        <v>181.86377400000001</v>
      </c>
      <c r="G49" s="26">
        <v>1.1523123777347799</v>
      </c>
      <c r="H49" s="29"/>
    </row>
    <row r="50" spans="2:9" x14ac:dyDescent="0.2">
      <c r="B50" s="24" t="s">
        <v>497</v>
      </c>
      <c r="C50" s="24" t="s">
        <v>498</v>
      </c>
      <c r="D50" s="24" t="s">
        <v>321</v>
      </c>
      <c r="E50" s="28">
        <v>37354</v>
      </c>
      <c r="F50" s="25">
        <v>171.753692</v>
      </c>
      <c r="G50" s="26">
        <v>1.0882535914670199</v>
      </c>
      <c r="H50" s="29"/>
    </row>
    <row r="51" spans="2:9" x14ac:dyDescent="0.2">
      <c r="B51" s="24" t="s">
        <v>499</v>
      </c>
      <c r="C51" s="24" t="s">
        <v>500</v>
      </c>
      <c r="D51" s="24" t="s">
        <v>318</v>
      </c>
      <c r="E51" s="28">
        <v>17419</v>
      </c>
      <c r="F51" s="25">
        <v>154.210407</v>
      </c>
      <c r="G51" s="26">
        <v>0.97709707025884895</v>
      </c>
      <c r="H51" s="29"/>
    </row>
    <row r="52" spans="2:9" x14ac:dyDescent="0.2">
      <c r="B52" s="24" t="s">
        <v>501</v>
      </c>
      <c r="C52" s="24" t="s">
        <v>502</v>
      </c>
      <c r="D52" s="24" t="s">
        <v>472</v>
      </c>
      <c r="E52" s="28">
        <v>6157</v>
      </c>
      <c r="F52" s="25">
        <v>153.13690399999999</v>
      </c>
      <c r="G52" s="26">
        <v>0.97029521650189698</v>
      </c>
      <c r="H52" s="29"/>
    </row>
    <row r="53" spans="2:9" x14ac:dyDescent="0.2">
      <c r="B53" s="24" t="s">
        <v>503</v>
      </c>
      <c r="C53" s="24" t="s">
        <v>504</v>
      </c>
      <c r="D53" s="24" t="s">
        <v>306</v>
      </c>
      <c r="E53" s="28">
        <v>124381</v>
      </c>
      <c r="F53" s="25">
        <v>149.38158100000001</v>
      </c>
      <c r="G53" s="26">
        <v>0.94650100460298403</v>
      </c>
      <c r="H53" s="29"/>
    </row>
    <row r="54" spans="2:9" x14ac:dyDescent="0.2">
      <c r="B54" s="24" t="s">
        <v>505</v>
      </c>
      <c r="C54" s="24" t="s">
        <v>506</v>
      </c>
      <c r="D54" s="24" t="s">
        <v>507</v>
      </c>
      <c r="E54" s="28">
        <v>5289</v>
      </c>
      <c r="F54" s="25">
        <v>136.080681</v>
      </c>
      <c r="G54" s="26">
        <v>0.86222478307789596</v>
      </c>
      <c r="H54" s="29"/>
    </row>
    <row r="55" spans="2:9" x14ac:dyDescent="0.2">
      <c r="B55" s="24" t="s">
        <v>508</v>
      </c>
      <c r="C55" s="24" t="s">
        <v>509</v>
      </c>
      <c r="D55" s="24" t="s">
        <v>372</v>
      </c>
      <c r="E55" s="28">
        <v>15453</v>
      </c>
      <c r="F55" s="25">
        <v>127.40998500000001</v>
      </c>
      <c r="G55" s="26">
        <v>0.80728613254502302</v>
      </c>
      <c r="H55" s="29"/>
    </row>
    <row r="56" spans="2:9" x14ac:dyDescent="0.2">
      <c r="B56" s="24" t="s">
        <v>510</v>
      </c>
      <c r="C56" s="24" t="s">
        <v>511</v>
      </c>
      <c r="D56" s="24" t="s">
        <v>306</v>
      </c>
      <c r="E56" s="28">
        <v>65186</v>
      </c>
      <c r="F56" s="25">
        <v>59.208443799999998</v>
      </c>
      <c r="G56" s="26">
        <v>0.37515235253588097</v>
      </c>
      <c r="H56" s="29"/>
    </row>
    <row r="57" spans="2:9" x14ac:dyDescent="0.2">
      <c r="B57" s="23" t="s">
        <v>58</v>
      </c>
      <c r="C57" s="23"/>
      <c r="D57" s="23"/>
      <c r="E57" s="23"/>
      <c r="F57" s="31">
        <f>SUM(F7:F56)</f>
        <v>15763.393807500001</v>
      </c>
      <c r="G57" s="32">
        <f>SUM(G7:G56)</f>
        <v>99.878900563726091</v>
      </c>
      <c r="H57" s="23"/>
      <c r="I57" s="16"/>
    </row>
    <row r="58" spans="2:9" x14ac:dyDescent="0.2">
      <c r="B58" s="23" t="s">
        <v>399</v>
      </c>
      <c r="C58" s="24"/>
      <c r="D58" s="24"/>
      <c r="E58" s="24"/>
      <c r="F58" s="53" t="s">
        <v>400</v>
      </c>
      <c r="G58" s="54" t="s">
        <v>400</v>
      </c>
      <c r="H58" s="24"/>
    </row>
    <row r="59" spans="2:9" x14ac:dyDescent="0.2">
      <c r="B59" s="71" t="s">
        <v>58</v>
      </c>
      <c r="C59" s="24"/>
      <c r="D59" s="24"/>
      <c r="E59" s="24"/>
      <c r="F59" s="72" t="s">
        <v>400</v>
      </c>
      <c r="G59" s="73" t="s">
        <v>400</v>
      </c>
      <c r="H59" s="24"/>
    </row>
    <row r="60" spans="2:9" x14ac:dyDescent="0.2">
      <c r="B60" s="39" t="s">
        <v>100</v>
      </c>
      <c r="C60" s="39"/>
      <c r="D60" s="39"/>
      <c r="E60" s="39"/>
      <c r="F60" s="40">
        <f>F57</f>
        <v>15763.393807500001</v>
      </c>
      <c r="G60" s="41">
        <f>G57</f>
        <v>99.878900563726091</v>
      </c>
      <c r="H60" s="23"/>
    </row>
    <row r="61" spans="2:9" ht="14.4" x14ac:dyDescent="0.3">
      <c r="B61" s="69" t="s">
        <v>243</v>
      </c>
      <c r="C61" s="74"/>
      <c r="D61" s="74"/>
      <c r="E61" s="75"/>
      <c r="F61" s="76"/>
      <c r="G61" s="77"/>
      <c r="H61" s="71"/>
    </row>
    <row r="62" spans="2:9" ht="14.4" x14ac:dyDescent="0.3">
      <c r="B62" s="69" t="s">
        <v>244</v>
      </c>
      <c r="C62" s="78"/>
      <c r="D62" s="78"/>
      <c r="E62" s="79"/>
      <c r="F62" s="76"/>
      <c r="G62" s="77"/>
      <c r="H62" s="71"/>
    </row>
    <row r="63" spans="2:9" ht="14.4" x14ac:dyDescent="0.3">
      <c r="B63" s="69" t="s">
        <v>1497</v>
      </c>
      <c r="C63" s="78"/>
      <c r="D63" s="78"/>
      <c r="E63" s="79"/>
      <c r="F63" s="76"/>
      <c r="G63" s="77"/>
      <c r="H63" s="71"/>
    </row>
    <row r="64" spans="2:9" x14ac:dyDescent="0.2">
      <c r="B64" s="80" t="s">
        <v>512</v>
      </c>
      <c r="C64" s="78" t="s">
        <v>513</v>
      </c>
      <c r="D64" s="78" t="s">
        <v>27</v>
      </c>
      <c r="E64" s="81">
        <v>26520</v>
      </c>
      <c r="F64" s="76">
        <v>2.7112191999999999</v>
      </c>
      <c r="G64" s="82">
        <v>1.7178635272971799E-2</v>
      </c>
      <c r="H64" s="29">
        <v>6.3449999999999993E-2</v>
      </c>
    </row>
    <row r="65" spans="2:9" x14ac:dyDescent="0.2">
      <c r="B65" s="71" t="s">
        <v>58</v>
      </c>
      <c r="C65" s="71"/>
      <c r="D65" s="71"/>
      <c r="E65" s="71"/>
      <c r="F65" s="83">
        <f>F64</f>
        <v>2.7112191999999999</v>
      </c>
      <c r="G65" s="83">
        <f>G64</f>
        <v>1.7178635272971799E-2</v>
      </c>
      <c r="H65" s="71"/>
    </row>
    <row r="66" spans="2:9" x14ac:dyDescent="0.2">
      <c r="B66" s="84" t="s">
        <v>399</v>
      </c>
      <c r="C66" s="71"/>
      <c r="D66" s="71"/>
      <c r="E66" s="71"/>
      <c r="F66" s="85" t="s">
        <v>400</v>
      </c>
      <c r="G66" s="86" t="s">
        <v>400</v>
      </c>
      <c r="H66" s="71"/>
    </row>
    <row r="67" spans="2:9" x14ac:dyDescent="0.2">
      <c r="B67" s="87" t="s">
        <v>100</v>
      </c>
      <c r="C67" s="88"/>
      <c r="D67" s="88"/>
      <c r="E67" s="88"/>
      <c r="F67" s="89">
        <f>F65</f>
        <v>2.7112191999999999</v>
      </c>
      <c r="G67" s="90">
        <f>G65</f>
        <v>1.7178635272971799E-2</v>
      </c>
      <c r="H67" s="24"/>
    </row>
    <row r="68" spans="2:9" x14ac:dyDescent="0.2">
      <c r="B68" s="23" t="s">
        <v>108</v>
      </c>
      <c r="C68" s="23"/>
      <c r="D68" s="23"/>
      <c r="E68" s="23"/>
      <c r="F68" s="31">
        <v>89.742084399999996</v>
      </c>
      <c r="G68" s="32">
        <v>0.56861744581325402</v>
      </c>
      <c r="H68" s="29">
        <v>5.04819029E-2</v>
      </c>
      <c r="I68" s="17"/>
    </row>
    <row r="69" spans="2:9" x14ac:dyDescent="0.2">
      <c r="B69" s="24"/>
      <c r="C69" s="24"/>
      <c r="D69" s="24"/>
      <c r="E69" s="24"/>
      <c r="F69" s="25"/>
      <c r="G69" s="26"/>
      <c r="H69" s="24"/>
    </row>
    <row r="70" spans="2:9" x14ac:dyDescent="0.2">
      <c r="B70" s="43" t="s">
        <v>110</v>
      </c>
      <c r="C70" s="43"/>
      <c r="D70" s="43"/>
      <c r="E70" s="43"/>
      <c r="F70" s="31">
        <f>F71-(F57+F64+F68)</f>
        <v>-73.34077740000248</v>
      </c>
      <c r="G70" s="31">
        <f>G71-(G57+G64+G68)</f>
        <v>-0.46469664481232087</v>
      </c>
      <c r="H70" s="23"/>
      <c r="I70" s="16"/>
    </row>
    <row r="71" spans="2:9" x14ac:dyDescent="0.2">
      <c r="B71" s="39" t="s">
        <v>109</v>
      </c>
      <c r="C71" s="39"/>
      <c r="D71" s="39"/>
      <c r="E71" s="39"/>
      <c r="F71" s="40">
        <v>15782.506333699999</v>
      </c>
      <c r="G71" s="41">
        <v>100</v>
      </c>
      <c r="H71" s="55"/>
      <c r="I71" s="16"/>
    </row>
    <row r="72" spans="2:9" x14ac:dyDescent="0.2">
      <c r="B72" s="16" t="s">
        <v>514</v>
      </c>
    </row>
    <row r="75" spans="2:9" x14ac:dyDescent="0.2">
      <c r="B75" s="16" t="s">
        <v>114</v>
      </c>
    </row>
    <row r="91" spans="2:2" x14ac:dyDescent="0.2">
      <c r="B91" s="66" t="s">
        <v>1469</v>
      </c>
    </row>
    <row r="92" spans="2:2" x14ac:dyDescent="0.2">
      <c r="B92" s="67" t="s">
        <v>1475</v>
      </c>
    </row>
  </sheetData>
  <mergeCells count="1">
    <mergeCell ref="B1:C1"/>
  </mergeCells>
  <conditionalFormatting sqref="G1:G3 G71:G107">
    <cfRule type="cellIs" dxfId="6" priority="6" stopIfTrue="1" operator="between">
      <formula>0.009</formula>
      <formula>-0.009</formula>
    </cfRule>
  </conditionalFormatting>
  <conditionalFormatting sqref="G5:G64">
    <cfRule type="cellIs" dxfId="5" priority="2" stopIfTrue="1" operator="between">
      <formula>0.009</formula>
      <formula>-0.009</formula>
    </cfRule>
  </conditionalFormatting>
  <conditionalFormatting sqref="G66:G69">
    <cfRule type="cellIs" dxfId="4" priority="1" stopIfTrue="1" operator="between">
      <formula>0.009</formula>
      <formula>-0.009</formula>
    </cfRule>
  </conditionalFormatting>
  <hyperlinks>
    <hyperlink ref="A2" location="Index!A1" display="-" xr:uid="{BD9DFC5C-703C-4F50-8BD8-86491EBA96A1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10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448E-2CFD-44DA-BEB4-846A6431E21C}">
  <dimension ref="A1:I185"/>
  <sheetViews>
    <sheetView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52.44140625" style="6" bestFit="1" customWidth="1"/>
    <col min="3" max="3" width="11.21875" style="6" bestFit="1" customWidth="1"/>
    <col min="4" max="4" width="33.77734375" style="6" bestFit="1" customWidth="1"/>
    <col min="5" max="5" width="13.6640625" style="6" bestFit="1" customWidth="1"/>
    <col min="6" max="6" width="12.77734375" style="8" bestFit="1" customWidth="1"/>
    <col min="7" max="7" width="6.77734375" style="14" bestFit="1" customWidth="1"/>
    <col min="8" max="8" width="13.88671875" style="6" bestFit="1" customWidth="1"/>
    <col min="9" max="16384" width="9.109375" style="6"/>
  </cols>
  <sheetData>
    <row r="1" spans="1:9" s="1" customFormat="1" ht="16.8" customHeight="1" x14ac:dyDescent="0.25">
      <c r="B1" s="98" t="s">
        <v>18</v>
      </c>
      <c r="C1" s="99"/>
      <c r="D1" s="10"/>
      <c r="F1" s="5"/>
      <c r="G1" s="14"/>
    </row>
    <row r="2" spans="1:9" s="1" customFormat="1" ht="14.4" x14ac:dyDescent="0.3">
      <c r="A2" s="65" t="s">
        <v>1481</v>
      </c>
      <c r="F2" s="5"/>
      <c r="G2" s="14"/>
    </row>
    <row r="3" spans="1:9" s="1" customFormat="1" ht="12" x14ac:dyDescent="0.2">
      <c r="B3" s="7" t="s">
        <v>9</v>
      </c>
      <c r="C3" s="2"/>
      <c r="D3" s="3"/>
      <c r="E3" s="3"/>
      <c r="F3" s="4"/>
      <c r="G3" s="14"/>
    </row>
    <row r="4" spans="1:9" s="1" customFormat="1" ht="30.6" x14ac:dyDescent="0.2">
      <c r="B4" s="18" t="s">
        <v>7</v>
      </c>
      <c r="C4" s="18" t="s">
        <v>8</v>
      </c>
      <c r="D4" s="19" t="s">
        <v>401</v>
      </c>
      <c r="E4" s="19" t="s">
        <v>0</v>
      </c>
      <c r="F4" s="20" t="s">
        <v>4</v>
      </c>
      <c r="G4" s="21" t="s">
        <v>5</v>
      </c>
      <c r="H4" s="56" t="s">
        <v>6</v>
      </c>
      <c r="I4" s="9"/>
    </row>
    <row r="5" spans="1:9" x14ac:dyDescent="0.2">
      <c r="B5" s="23" t="s">
        <v>272</v>
      </c>
      <c r="C5" s="24"/>
      <c r="D5" s="24"/>
      <c r="E5" s="24"/>
      <c r="F5" s="25"/>
      <c r="G5" s="26"/>
      <c r="H5" s="24"/>
    </row>
    <row r="6" spans="1:9" x14ac:dyDescent="0.2">
      <c r="B6" s="23" t="s">
        <v>244</v>
      </c>
      <c r="C6" s="24"/>
      <c r="D6" s="24"/>
      <c r="E6" s="24"/>
      <c r="F6" s="25"/>
      <c r="G6" s="26"/>
      <c r="H6" s="24"/>
    </row>
    <row r="7" spans="1:9" x14ac:dyDescent="0.2">
      <c r="B7" s="24" t="s">
        <v>515</v>
      </c>
      <c r="C7" s="24" t="s">
        <v>516</v>
      </c>
      <c r="D7" s="24" t="s">
        <v>517</v>
      </c>
      <c r="E7" s="28">
        <v>22084</v>
      </c>
      <c r="F7" s="25">
        <v>617.68948</v>
      </c>
      <c r="G7" s="26">
        <v>3.0703765697429599</v>
      </c>
      <c r="H7" s="29"/>
    </row>
    <row r="8" spans="1:9" x14ac:dyDescent="0.2">
      <c r="B8" s="24" t="s">
        <v>518</v>
      </c>
      <c r="C8" s="24" t="s">
        <v>519</v>
      </c>
      <c r="D8" s="24" t="s">
        <v>301</v>
      </c>
      <c r="E8" s="28">
        <v>7014</v>
      </c>
      <c r="F8" s="25">
        <v>388.15476000000001</v>
      </c>
      <c r="G8" s="26">
        <v>1.9294181285687499</v>
      </c>
      <c r="H8" s="29"/>
    </row>
    <row r="9" spans="1:9" x14ac:dyDescent="0.2">
      <c r="B9" s="24" t="s">
        <v>520</v>
      </c>
      <c r="C9" s="24" t="s">
        <v>521</v>
      </c>
      <c r="D9" s="24" t="s">
        <v>275</v>
      </c>
      <c r="E9" s="28">
        <v>132960</v>
      </c>
      <c r="F9" s="25">
        <v>382.5924</v>
      </c>
      <c r="G9" s="26">
        <v>1.9017690583328799</v>
      </c>
      <c r="H9" s="29"/>
    </row>
    <row r="10" spans="1:9" x14ac:dyDescent="0.2">
      <c r="B10" s="24" t="s">
        <v>522</v>
      </c>
      <c r="C10" s="24" t="s">
        <v>523</v>
      </c>
      <c r="D10" s="24" t="s">
        <v>283</v>
      </c>
      <c r="E10" s="28">
        <v>5881</v>
      </c>
      <c r="F10" s="25">
        <v>354.91834999999998</v>
      </c>
      <c r="G10" s="26">
        <v>1.7642084272049301</v>
      </c>
      <c r="H10" s="29"/>
    </row>
    <row r="11" spans="1:9" x14ac:dyDescent="0.2">
      <c r="B11" s="24" t="s">
        <v>524</v>
      </c>
      <c r="C11" s="24" t="s">
        <v>525</v>
      </c>
      <c r="D11" s="24" t="s">
        <v>275</v>
      </c>
      <c r="E11" s="28">
        <v>35591</v>
      </c>
      <c r="F11" s="25">
        <v>318.93095099999999</v>
      </c>
      <c r="G11" s="26">
        <v>1.58532426246962</v>
      </c>
      <c r="H11" s="29"/>
    </row>
    <row r="12" spans="1:9" x14ac:dyDescent="0.2">
      <c r="B12" s="24" t="s">
        <v>526</v>
      </c>
      <c r="C12" s="24" t="s">
        <v>527</v>
      </c>
      <c r="D12" s="24" t="s">
        <v>472</v>
      </c>
      <c r="E12" s="28">
        <v>655788</v>
      </c>
      <c r="F12" s="25">
        <v>312.61413959999999</v>
      </c>
      <c r="G12" s="26">
        <v>1.5539250071058299</v>
      </c>
      <c r="H12" s="29"/>
    </row>
    <row r="13" spans="1:9" x14ac:dyDescent="0.2">
      <c r="B13" s="24" t="s">
        <v>528</v>
      </c>
      <c r="C13" s="24" t="s">
        <v>529</v>
      </c>
      <c r="D13" s="24" t="s">
        <v>286</v>
      </c>
      <c r="E13" s="28">
        <v>69947</v>
      </c>
      <c r="F13" s="25">
        <v>310.77452099999999</v>
      </c>
      <c r="G13" s="26">
        <v>1.5447807331144601</v>
      </c>
      <c r="H13" s="29"/>
    </row>
    <row r="14" spans="1:9" x14ac:dyDescent="0.2">
      <c r="B14" s="24" t="s">
        <v>530</v>
      </c>
      <c r="C14" s="24" t="s">
        <v>531</v>
      </c>
      <c r="D14" s="24" t="s">
        <v>532</v>
      </c>
      <c r="E14" s="28">
        <v>18427</v>
      </c>
      <c r="F14" s="25">
        <v>304.87471499999998</v>
      </c>
      <c r="G14" s="26">
        <v>1.51545430503861</v>
      </c>
      <c r="H14" s="29"/>
    </row>
    <row r="15" spans="1:9" x14ac:dyDescent="0.2">
      <c r="B15" s="24" t="s">
        <v>533</v>
      </c>
      <c r="C15" s="24" t="s">
        <v>534</v>
      </c>
      <c r="D15" s="24" t="s">
        <v>535</v>
      </c>
      <c r="E15" s="28">
        <v>154636</v>
      </c>
      <c r="F15" s="25">
        <v>304.15354839999998</v>
      </c>
      <c r="G15" s="26">
        <v>1.51186957014638</v>
      </c>
      <c r="H15" s="29"/>
    </row>
    <row r="16" spans="1:9" x14ac:dyDescent="0.2">
      <c r="B16" s="24" t="s">
        <v>536</v>
      </c>
      <c r="C16" s="24" t="s">
        <v>537</v>
      </c>
      <c r="D16" s="24" t="s">
        <v>538</v>
      </c>
      <c r="E16" s="28">
        <v>7304</v>
      </c>
      <c r="F16" s="25">
        <v>300.37700000000001</v>
      </c>
      <c r="G16" s="26">
        <v>1.49309731305393</v>
      </c>
      <c r="H16" s="29"/>
    </row>
    <row r="17" spans="2:8" x14ac:dyDescent="0.2">
      <c r="B17" s="24" t="s">
        <v>539</v>
      </c>
      <c r="C17" s="24" t="s">
        <v>540</v>
      </c>
      <c r="D17" s="24" t="s">
        <v>275</v>
      </c>
      <c r="E17" s="28">
        <v>30500</v>
      </c>
      <c r="F17" s="25">
        <v>299.61675000000002</v>
      </c>
      <c r="G17" s="26">
        <v>1.4893183045670999</v>
      </c>
      <c r="H17" s="29"/>
    </row>
    <row r="18" spans="2:8" x14ac:dyDescent="0.2">
      <c r="B18" s="24" t="s">
        <v>541</v>
      </c>
      <c r="C18" s="24" t="s">
        <v>542</v>
      </c>
      <c r="D18" s="24" t="s">
        <v>283</v>
      </c>
      <c r="E18" s="28">
        <v>18094</v>
      </c>
      <c r="F18" s="25">
        <v>299.23857199999998</v>
      </c>
      <c r="G18" s="26">
        <v>1.48743847836318</v>
      </c>
      <c r="H18" s="29"/>
    </row>
    <row r="19" spans="2:8" x14ac:dyDescent="0.2">
      <c r="B19" s="24" t="s">
        <v>543</v>
      </c>
      <c r="C19" s="24" t="s">
        <v>544</v>
      </c>
      <c r="D19" s="24" t="s">
        <v>275</v>
      </c>
      <c r="E19" s="28">
        <v>357697</v>
      </c>
      <c r="F19" s="25">
        <v>298.9631526</v>
      </c>
      <c r="G19" s="26">
        <v>1.48606943890242</v>
      </c>
      <c r="H19" s="29"/>
    </row>
    <row r="20" spans="2:8" x14ac:dyDescent="0.2">
      <c r="B20" s="24" t="s">
        <v>545</v>
      </c>
      <c r="C20" s="24" t="s">
        <v>546</v>
      </c>
      <c r="D20" s="24" t="s">
        <v>318</v>
      </c>
      <c r="E20" s="28">
        <v>13101</v>
      </c>
      <c r="F20" s="25">
        <v>282.03832799999998</v>
      </c>
      <c r="G20" s="26">
        <v>1.4019404605379999</v>
      </c>
      <c r="H20" s="29"/>
    </row>
    <row r="21" spans="2:8" x14ac:dyDescent="0.2">
      <c r="B21" s="24" t="s">
        <v>547</v>
      </c>
      <c r="C21" s="24" t="s">
        <v>548</v>
      </c>
      <c r="D21" s="24" t="s">
        <v>517</v>
      </c>
      <c r="E21" s="28">
        <v>10999</v>
      </c>
      <c r="F21" s="25">
        <v>276.701843</v>
      </c>
      <c r="G21" s="26">
        <v>1.37541415721034</v>
      </c>
      <c r="H21" s="29"/>
    </row>
    <row r="22" spans="2:8" x14ac:dyDescent="0.2">
      <c r="B22" s="24" t="s">
        <v>549</v>
      </c>
      <c r="C22" s="24" t="s">
        <v>550</v>
      </c>
      <c r="D22" s="24" t="s">
        <v>532</v>
      </c>
      <c r="E22" s="28">
        <v>21940</v>
      </c>
      <c r="F22" s="25">
        <v>249.5675</v>
      </c>
      <c r="G22" s="26">
        <v>1.2405362716705599</v>
      </c>
      <c r="H22" s="29"/>
    </row>
    <row r="23" spans="2:8" x14ac:dyDescent="0.2">
      <c r="B23" s="24" t="s">
        <v>551</v>
      </c>
      <c r="C23" s="24" t="s">
        <v>552</v>
      </c>
      <c r="D23" s="24" t="s">
        <v>390</v>
      </c>
      <c r="E23" s="28">
        <v>28163</v>
      </c>
      <c r="F23" s="25">
        <v>239.80794499999999</v>
      </c>
      <c r="G23" s="26">
        <v>1.19202401757953</v>
      </c>
      <c r="H23" s="29"/>
    </row>
    <row r="24" spans="2:8" x14ac:dyDescent="0.2">
      <c r="B24" s="24" t="s">
        <v>553</v>
      </c>
      <c r="C24" s="24" t="s">
        <v>554</v>
      </c>
      <c r="D24" s="24" t="s">
        <v>324</v>
      </c>
      <c r="E24" s="28">
        <v>2223</v>
      </c>
      <c r="F24" s="25">
        <v>232.21458000000001</v>
      </c>
      <c r="G24" s="26">
        <v>1.15427934046198</v>
      </c>
      <c r="H24" s="29"/>
    </row>
    <row r="25" spans="2:8" x14ac:dyDescent="0.2">
      <c r="B25" s="24" t="s">
        <v>555</v>
      </c>
      <c r="C25" s="24" t="s">
        <v>556</v>
      </c>
      <c r="D25" s="24" t="s">
        <v>372</v>
      </c>
      <c r="E25" s="28">
        <v>14247</v>
      </c>
      <c r="F25" s="25">
        <v>229.88959199999999</v>
      </c>
      <c r="G25" s="26">
        <v>1.1427224192074099</v>
      </c>
      <c r="H25" s="29"/>
    </row>
    <row r="26" spans="2:8" x14ac:dyDescent="0.2">
      <c r="B26" s="24" t="s">
        <v>557</v>
      </c>
      <c r="C26" s="24" t="s">
        <v>558</v>
      </c>
      <c r="D26" s="24" t="s">
        <v>311</v>
      </c>
      <c r="E26" s="28">
        <v>72234</v>
      </c>
      <c r="F26" s="25">
        <v>223.74481499999999</v>
      </c>
      <c r="G26" s="26">
        <v>1.1121783028868699</v>
      </c>
      <c r="H26" s="29"/>
    </row>
    <row r="27" spans="2:8" x14ac:dyDescent="0.2">
      <c r="B27" s="24" t="s">
        <v>559</v>
      </c>
      <c r="C27" s="24" t="s">
        <v>560</v>
      </c>
      <c r="D27" s="24" t="s">
        <v>306</v>
      </c>
      <c r="E27" s="28">
        <v>5796</v>
      </c>
      <c r="F27" s="25">
        <v>221.963616</v>
      </c>
      <c r="G27" s="26">
        <v>1.1033244177994199</v>
      </c>
      <c r="H27" s="29"/>
    </row>
    <row r="28" spans="2:8" x14ac:dyDescent="0.2">
      <c r="B28" s="24" t="s">
        <v>561</v>
      </c>
      <c r="C28" s="24" t="s">
        <v>562</v>
      </c>
      <c r="D28" s="24" t="s">
        <v>280</v>
      </c>
      <c r="E28" s="28">
        <v>51903</v>
      </c>
      <c r="F28" s="25">
        <v>221.62581</v>
      </c>
      <c r="G28" s="26">
        <v>1.1016452704914199</v>
      </c>
      <c r="H28" s="29"/>
    </row>
    <row r="29" spans="2:8" x14ac:dyDescent="0.2">
      <c r="B29" s="24" t="s">
        <v>563</v>
      </c>
      <c r="C29" s="24" t="s">
        <v>564</v>
      </c>
      <c r="D29" s="24" t="s">
        <v>456</v>
      </c>
      <c r="E29" s="28">
        <v>7847</v>
      </c>
      <c r="F29" s="25">
        <v>220.99506099999999</v>
      </c>
      <c r="G29" s="26">
        <v>1.0985099783848</v>
      </c>
      <c r="H29" s="29"/>
    </row>
    <row r="30" spans="2:8" x14ac:dyDescent="0.2">
      <c r="B30" s="24" t="s">
        <v>565</v>
      </c>
      <c r="C30" s="24" t="s">
        <v>566</v>
      </c>
      <c r="D30" s="24" t="s">
        <v>472</v>
      </c>
      <c r="E30" s="28">
        <v>6696</v>
      </c>
      <c r="F30" s="25">
        <v>216.30088799999999</v>
      </c>
      <c r="G30" s="26">
        <v>1.0751764438821201</v>
      </c>
      <c r="H30" s="29"/>
    </row>
    <row r="31" spans="2:8" x14ac:dyDescent="0.2">
      <c r="B31" s="24" t="s">
        <v>567</v>
      </c>
      <c r="C31" s="24" t="s">
        <v>568</v>
      </c>
      <c r="D31" s="24" t="s">
        <v>569</v>
      </c>
      <c r="E31" s="28">
        <v>30272</v>
      </c>
      <c r="F31" s="25">
        <v>213.09974399999999</v>
      </c>
      <c r="G31" s="26">
        <v>1.0592643750316499</v>
      </c>
      <c r="H31" s="29"/>
    </row>
    <row r="32" spans="2:8" x14ac:dyDescent="0.2">
      <c r="B32" s="24" t="s">
        <v>570</v>
      </c>
      <c r="C32" s="24" t="s">
        <v>571</v>
      </c>
      <c r="D32" s="24" t="s">
        <v>385</v>
      </c>
      <c r="E32" s="28">
        <v>28566</v>
      </c>
      <c r="F32" s="25">
        <v>208.47466800000001</v>
      </c>
      <c r="G32" s="26">
        <v>1.03627430405993</v>
      </c>
      <c r="H32" s="29"/>
    </row>
    <row r="33" spans="2:8" x14ac:dyDescent="0.2">
      <c r="B33" s="24" t="s">
        <v>572</v>
      </c>
      <c r="C33" s="24" t="s">
        <v>573</v>
      </c>
      <c r="D33" s="24" t="s">
        <v>439</v>
      </c>
      <c r="E33" s="28">
        <v>14410</v>
      </c>
      <c r="F33" s="25">
        <v>207.70573999999999</v>
      </c>
      <c r="G33" s="26">
        <v>1.03245215945255</v>
      </c>
      <c r="H33" s="29"/>
    </row>
    <row r="34" spans="2:8" x14ac:dyDescent="0.2">
      <c r="B34" s="24" t="s">
        <v>574</v>
      </c>
      <c r="C34" s="24" t="s">
        <v>575</v>
      </c>
      <c r="D34" s="24" t="s">
        <v>275</v>
      </c>
      <c r="E34" s="28">
        <v>948840</v>
      </c>
      <c r="F34" s="25">
        <v>203.14664400000001</v>
      </c>
      <c r="G34" s="26">
        <v>1.00979005820127</v>
      </c>
      <c r="H34" s="29"/>
    </row>
    <row r="35" spans="2:8" x14ac:dyDescent="0.2">
      <c r="B35" s="24" t="s">
        <v>576</v>
      </c>
      <c r="C35" s="24" t="s">
        <v>577</v>
      </c>
      <c r="D35" s="24" t="s">
        <v>538</v>
      </c>
      <c r="E35" s="28">
        <v>9823</v>
      </c>
      <c r="F35" s="25">
        <v>200.94911099999999</v>
      </c>
      <c r="G35" s="26">
        <v>0.99886668318372196</v>
      </c>
      <c r="H35" s="29"/>
    </row>
    <row r="36" spans="2:8" x14ac:dyDescent="0.2">
      <c r="B36" s="24" t="s">
        <v>578</v>
      </c>
      <c r="C36" s="24" t="s">
        <v>579</v>
      </c>
      <c r="D36" s="24" t="s">
        <v>538</v>
      </c>
      <c r="E36" s="28">
        <v>2846</v>
      </c>
      <c r="F36" s="25">
        <v>199.60420999999999</v>
      </c>
      <c r="G36" s="26">
        <v>0.99218152396905601</v>
      </c>
      <c r="H36" s="29"/>
    </row>
    <row r="37" spans="2:8" x14ac:dyDescent="0.2">
      <c r="B37" s="24" t="s">
        <v>580</v>
      </c>
      <c r="C37" s="24" t="s">
        <v>581</v>
      </c>
      <c r="D37" s="24" t="s">
        <v>306</v>
      </c>
      <c r="E37" s="28">
        <v>3721</v>
      </c>
      <c r="F37" s="25">
        <v>196.39438000000001</v>
      </c>
      <c r="G37" s="26">
        <v>0.97622627923207606</v>
      </c>
      <c r="H37" s="29"/>
    </row>
    <row r="38" spans="2:8" x14ac:dyDescent="0.2">
      <c r="B38" s="24" t="s">
        <v>582</v>
      </c>
      <c r="C38" s="24" t="s">
        <v>583</v>
      </c>
      <c r="D38" s="24" t="s">
        <v>275</v>
      </c>
      <c r="E38" s="28">
        <v>104428</v>
      </c>
      <c r="F38" s="25">
        <v>188.7640528</v>
      </c>
      <c r="G38" s="26">
        <v>0.93829787246310803</v>
      </c>
      <c r="H38" s="29"/>
    </row>
    <row r="39" spans="2:8" x14ac:dyDescent="0.2">
      <c r="B39" s="24" t="s">
        <v>584</v>
      </c>
      <c r="C39" s="24" t="s">
        <v>585</v>
      </c>
      <c r="D39" s="24" t="s">
        <v>338</v>
      </c>
      <c r="E39" s="28">
        <v>48465</v>
      </c>
      <c r="F39" s="25">
        <v>186.80834250000001</v>
      </c>
      <c r="G39" s="26">
        <v>0.92857653629541903</v>
      </c>
      <c r="H39" s="29"/>
    </row>
    <row r="40" spans="2:8" x14ac:dyDescent="0.2">
      <c r="B40" s="24" t="s">
        <v>586</v>
      </c>
      <c r="C40" s="24" t="s">
        <v>587</v>
      </c>
      <c r="D40" s="24" t="s">
        <v>318</v>
      </c>
      <c r="E40" s="28">
        <v>15116</v>
      </c>
      <c r="F40" s="25">
        <v>182.55593200000001</v>
      </c>
      <c r="G40" s="26">
        <v>0.90743889029871405</v>
      </c>
      <c r="H40" s="29"/>
    </row>
    <row r="41" spans="2:8" x14ac:dyDescent="0.2">
      <c r="B41" s="24" t="s">
        <v>588</v>
      </c>
      <c r="C41" s="24" t="s">
        <v>589</v>
      </c>
      <c r="D41" s="24" t="s">
        <v>472</v>
      </c>
      <c r="E41" s="28">
        <v>69450</v>
      </c>
      <c r="F41" s="25">
        <v>182.44515000000001</v>
      </c>
      <c r="G41" s="26">
        <v>0.906888221284326</v>
      </c>
      <c r="H41" s="29"/>
    </row>
    <row r="42" spans="2:8" x14ac:dyDescent="0.2">
      <c r="B42" s="24" t="s">
        <v>590</v>
      </c>
      <c r="C42" s="24" t="s">
        <v>591</v>
      </c>
      <c r="D42" s="24" t="s">
        <v>355</v>
      </c>
      <c r="E42" s="28">
        <v>192838</v>
      </c>
      <c r="F42" s="25">
        <v>181.05559819999999</v>
      </c>
      <c r="G42" s="26">
        <v>0.89998111435227302</v>
      </c>
      <c r="H42" s="29"/>
    </row>
    <row r="43" spans="2:8" x14ac:dyDescent="0.2">
      <c r="B43" s="24" t="s">
        <v>592</v>
      </c>
      <c r="C43" s="24" t="s">
        <v>593</v>
      </c>
      <c r="D43" s="24" t="s">
        <v>318</v>
      </c>
      <c r="E43" s="28">
        <v>3162</v>
      </c>
      <c r="F43" s="25">
        <v>179.52255</v>
      </c>
      <c r="G43" s="26">
        <v>0.89236072348279205</v>
      </c>
      <c r="H43" s="29"/>
    </row>
    <row r="44" spans="2:8" x14ac:dyDescent="0.2">
      <c r="B44" s="24" t="s">
        <v>594</v>
      </c>
      <c r="C44" s="24" t="s">
        <v>595</v>
      </c>
      <c r="D44" s="24" t="s">
        <v>311</v>
      </c>
      <c r="E44" s="28">
        <v>73825</v>
      </c>
      <c r="F44" s="25">
        <v>175.33437499999999</v>
      </c>
      <c r="G44" s="26">
        <v>0.87154237574278604</v>
      </c>
      <c r="H44" s="29"/>
    </row>
    <row r="45" spans="2:8" x14ac:dyDescent="0.2">
      <c r="B45" s="24" t="s">
        <v>596</v>
      </c>
      <c r="C45" s="24" t="s">
        <v>597</v>
      </c>
      <c r="D45" s="24" t="s">
        <v>275</v>
      </c>
      <c r="E45" s="28">
        <v>19099</v>
      </c>
      <c r="F45" s="25">
        <v>174.12558300000001</v>
      </c>
      <c r="G45" s="26">
        <v>0.86553377958781696</v>
      </c>
      <c r="H45" s="29"/>
    </row>
    <row r="46" spans="2:8" x14ac:dyDescent="0.2">
      <c r="B46" s="24" t="s">
        <v>598</v>
      </c>
      <c r="C46" s="24" t="s">
        <v>599</v>
      </c>
      <c r="D46" s="24" t="s">
        <v>283</v>
      </c>
      <c r="E46" s="28">
        <v>6163</v>
      </c>
      <c r="F46" s="25">
        <v>170.03717</v>
      </c>
      <c r="G46" s="26">
        <v>0.84521132325808901</v>
      </c>
      <c r="H46" s="29"/>
    </row>
    <row r="47" spans="2:8" x14ac:dyDescent="0.2">
      <c r="B47" s="24" t="s">
        <v>600</v>
      </c>
      <c r="C47" s="24" t="s">
        <v>601</v>
      </c>
      <c r="D47" s="24" t="s">
        <v>467</v>
      </c>
      <c r="E47" s="28">
        <v>10084</v>
      </c>
      <c r="F47" s="25">
        <v>168.473388</v>
      </c>
      <c r="G47" s="26">
        <v>0.83743816252207304</v>
      </c>
      <c r="H47" s="29"/>
    </row>
    <row r="48" spans="2:8" x14ac:dyDescent="0.2">
      <c r="B48" s="24" t="s">
        <v>602</v>
      </c>
      <c r="C48" s="24" t="s">
        <v>603</v>
      </c>
      <c r="D48" s="24" t="s">
        <v>286</v>
      </c>
      <c r="E48" s="28">
        <v>1492203</v>
      </c>
      <c r="F48" s="25">
        <v>166.67907510000001</v>
      </c>
      <c r="G48" s="26">
        <v>0.828519091588653</v>
      </c>
      <c r="H48" s="29"/>
    </row>
    <row r="49" spans="2:8" x14ac:dyDescent="0.2">
      <c r="B49" s="24" t="s">
        <v>604</v>
      </c>
      <c r="C49" s="24" t="s">
        <v>605</v>
      </c>
      <c r="D49" s="24" t="s">
        <v>318</v>
      </c>
      <c r="E49" s="28">
        <v>8138</v>
      </c>
      <c r="F49" s="25">
        <v>164.05394200000001</v>
      </c>
      <c r="G49" s="26">
        <v>0.81547022573667705</v>
      </c>
      <c r="H49" s="29"/>
    </row>
    <row r="50" spans="2:8" x14ac:dyDescent="0.2">
      <c r="B50" s="24" t="s">
        <v>606</v>
      </c>
      <c r="C50" s="24" t="s">
        <v>607</v>
      </c>
      <c r="D50" s="24" t="s">
        <v>324</v>
      </c>
      <c r="E50" s="28">
        <v>12307</v>
      </c>
      <c r="F50" s="25">
        <v>163.42465300000001</v>
      </c>
      <c r="G50" s="26">
        <v>0.81234219091698601</v>
      </c>
      <c r="H50" s="29"/>
    </row>
    <row r="51" spans="2:8" x14ac:dyDescent="0.2">
      <c r="B51" s="24" t="s">
        <v>608</v>
      </c>
      <c r="C51" s="24" t="s">
        <v>609</v>
      </c>
      <c r="D51" s="24" t="s">
        <v>448</v>
      </c>
      <c r="E51" s="28">
        <v>31836</v>
      </c>
      <c r="F51" s="25">
        <v>161.28117599999999</v>
      </c>
      <c r="G51" s="26">
        <v>0.80168751446275399</v>
      </c>
      <c r="H51" s="29"/>
    </row>
    <row r="52" spans="2:8" x14ac:dyDescent="0.2">
      <c r="B52" s="24" t="s">
        <v>610</v>
      </c>
      <c r="C52" s="24" t="s">
        <v>611</v>
      </c>
      <c r="D52" s="24" t="s">
        <v>517</v>
      </c>
      <c r="E52" s="28">
        <v>13737</v>
      </c>
      <c r="F52" s="25">
        <v>155.818791</v>
      </c>
      <c r="G52" s="26">
        <v>0.77453539440573804</v>
      </c>
      <c r="H52" s="29"/>
    </row>
    <row r="53" spans="2:8" x14ac:dyDescent="0.2">
      <c r="B53" s="24" t="s">
        <v>612</v>
      </c>
      <c r="C53" s="24" t="s">
        <v>613</v>
      </c>
      <c r="D53" s="24" t="s">
        <v>614</v>
      </c>
      <c r="E53" s="28">
        <v>186794</v>
      </c>
      <c r="F53" s="25">
        <v>151.69540739999999</v>
      </c>
      <c r="G53" s="26">
        <v>0.75403910815928599</v>
      </c>
      <c r="H53" s="29"/>
    </row>
    <row r="54" spans="2:8" x14ac:dyDescent="0.2">
      <c r="B54" s="24" t="s">
        <v>615</v>
      </c>
      <c r="C54" s="24" t="s">
        <v>616</v>
      </c>
      <c r="D54" s="24" t="s">
        <v>448</v>
      </c>
      <c r="E54" s="28">
        <v>7117</v>
      </c>
      <c r="F54" s="25">
        <v>150.467614</v>
      </c>
      <c r="G54" s="26">
        <v>0.74793606090025699</v>
      </c>
      <c r="H54" s="29"/>
    </row>
    <row r="55" spans="2:8" x14ac:dyDescent="0.2">
      <c r="B55" s="24" t="s">
        <v>617</v>
      </c>
      <c r="C55" s="24" t="s">
        <v>618</v>
      </c>
      <c r="D55" s="24" t="s">
        <v>358</v>
      </c>
      <c r="E55" s="28">
        <v>29477</v>
      </c>
      <c r="F55" s="25">
        <v>150.34743850000001</v>
      </c>
      <c r="G55" s="26">
        <v>0.74733869919764695</v>
      </c>
      <c r="H55" s="29"/>
    </row>
    <row r="56" spans="2:8" x14ac:dyDescent="0.2">
      <c r="B56" s="24" t="s">
        <v>619</v>
      </c>
      <c r="C56" s="24" t="s">
        <v>620</v>
      </c>
      <c r="D56" s="24" t="s">
        <v>569</v>
      </c>
      <c r="E56" s="28">
        <v>6388</v>
      </c>
      <c r="F56" s="25">
        <v>145.812488</v>
      </c>
      <c r="G56" s="26">
        <v>0.72479661905708204</v>
      </c>
      <c r="H56" s="29"/>
    </row>
    <row r="57" spans="2:8" x14ac:dyDescent="0.2">
      <c r="B57" s="24" t="s">
        <v>621</v>
      </c>
      <c r="C57" s="24" t="s">
        <v>622</v>
      </c>
      <c r="D57" s="24" t="s">
        <v>439</v>
      </c>
      <c r="E57" s="28">
        <v>110</v>
      </c>
      <c r="F57" s="25">
        <v>145.38149999999999</v>
      </c>
      <c r="G57" s="26">
        <v>0.722654287837453</v>
      </c>
      <c r="H57" s="29"/>
    </row>
    <row r="58" spans="2:8" x14ac:dyDescent="0.2">
      <c r="B58" s="24" t="s">
        <v>623</v>
      </c>
      <c r="C58" s="24" t="s">
        <v>624</v>
      </c>
      <c r="D58" s="24" t="s">
        <v>311</v>
      </c>
      <c r="E58" s="28">
        <v>115020</v>
      </c>
      <c r="F58" s="25">
        <v>144.86769000000001</v>
      </c>
      <c r="G58" s="26">
        <v>0.72010026961894602</v>
      </c>
      <c r="H58" s="29"/>
    </row>
    <row r="59" spans="2:8" x14ac:dyDescent="0.2">
      <c r="B59" s="24" t="s">
        <v>625</v>
      </c>
      <c r="C59" s="24" t="s">
        <v>626</v>
      </c>
      <c r="D59" s="24" t="s">
        <v>472</v>
      </c>
      <c r="E59" s="28">
        <v>5177</v>
      </c>
      <c r="F59" s="25">
        <v>144.308875</v>
      </c>
      <c r="G59" s="26">
        <v>0.71732254304536003</v>
      </c>
      <c r="H59" s="29"/>
    </row>
    <row r="60" spans="2:8" x14ac:dyDescent="0.2">
      <c r="B60" s="24" t="s">
        <v>627</v>
      </c>
      <c r="C60" s="24" t="s">
        <v>628</v>
      </c>
      <c r="D60" s="24" t="s">
        <v>321</v>
      </c>
      <c r="E60" s="28">
        <v>10283</v>
      </c>
      <c r="F60" s="25">
        <v>142.68690799999999</v>
      </c>
      <c r="G60" s="26">
        <v>0.70926015954208799</v>
      </c>
      <c r="H60" s="29"/>
    </row>
    <row r="61" spans="2:8" x14ac:dyDescent="0.2">
      <c r="B61" s="24" t="s">
        <v>629</v>
      </c>
      <c r="C61" s="24" t="s">
        <v>630</v>
      </c>
      <c r="D61" s="24" t="s">
        <v>330</v>
      </c>
      <c r="E61" s="28">
        <v>17279</v>
      </c>
      <c r="F61" s="25">
        <v>142.12841449999999</v>
      </c>
      <c r="G61" s="26">
        <v>0.70648403106284996</v>
      </c>
      <c r="H61" s="29"/>
    </row>
    <row r="62" spans="2:8" x14ac:dyDescent="0.2">
      <c r="B62" s="24" t="s">
        <v>631</v>
      </c>
      <c r="C62" s="24" t="s">
        <v>632</v>
      </c>
      <c r="D62" s="24" t="s">
        <v>318</v>
      </c>
      <c r="E62" s="28">
        <v>38571</v>
      </c>
      <c r="F62" s="25">
        <v>141.47842800000001</v>
      </c>
      <c r="G62" s="26">
        <v>0.70325311425939596</v>
      </c>
      <c r="H62" s="29"/>
    </row>
    <row r="63" spans="2:8" x14ac:dyDescent="0.2">
      <c r="B63" s="24" t="s">
        <v>633</v>
      </c>
      <c r="C63" s="24" t="s">
        <v>634</v>
      </c>
      <c r="D63" s="24" t="s">
        <v>306</v>
      </c>
      <c r="E63" s="28">
        <v>41458</v>
      </c>
      <c r="F63" s="25">
        <v>140.87428399999999</v>
      </c>
      <c r="G63" s="26">
        <v>0.70025006880951901</v>
      </c>
      <c r="H63" s="29"/>
    </row>
    <row r="64" spans="2:8" x14ac:dyDescent="0.2">
      <c r="B64" s="24" t="s">
        <v>635</v>
      </c>
      <c r="C64" s="24" t="s">
        <v>636</v>
      </c>
      <c r="D64" s="24" t="s">
        <v>569</v>
      </c>
      <c r="E64" s="28">
        <v>4378</v>
      </c>
      <c r="F64" s="25">
        <v>139.894612</v>
      </c>
      <c r="G64" s="26">
        <v>0.69538036962857497</v>
      </c>
      <c r="H64" s="29"/>
    </row>
    <row r="65" spans="2:8" x14ac:dyDescent="0.2">
      <c r="B65" s="24" t="s">
        <v>637</v>
      </c>
      <c r="C65" s="24" t="s">
        <v>638</v>
      </c>
      <c r="D65" s="24" t="s">
        <v>372</v>
      </c>
      <c r="E65" s="28">
        <v>21235</v>
      </c>
      <c r="F65" s="25">
        <v>135.23509749999999</v>
      </c>
      <c r="G65" s="26">
        <v>0.67221911367327303</v>
      </c>
      <c r="H65" s="29"/>
    </row>
    <row r="66" spans="2:8" x14ac:dyDescent="0.2">
      <c r="B66" s="24" t="s">
        <v>639</v>
      </c>
      <c r="C66" s="24" t="s">
        <v>640</v>
      </c>
      <c r="D66" s="24" t="s">
        <v>439</v>
      </c>
      <c r="E66" s="28">
        <v>5771</v>
      </c>
      <c r="F66" s="25">
        <v>134.75862100000001</v>
      </c>
      <c r="G66" s="26">
        <v>0.66985067074361004</v>
      </c>
      <c r="H66" s="29"/>
    </row>
    <row r="67" spans="2:8" x14ac:dyDescent="0.2">
      <c r="B67" s="24" t="s">
        <v>641</v>
      </c>
      <c r="C67" s="24" t="s">
        <v>642</v>
      </c>
      <c r="D67" s="24" t="s">
        <v>306</v>
      </c>
      <c r="E67" s="28">
        <v>35752</v>
      </c>
      <c r="F67" s="25">
        <v>134.26663600000001</v>
      </c>
      <c r="G67" s="26">
        <v>0.66740513902326304</v>
      </c>
      <c r="H67" s="29"/>
    </row>
    <row r="68" spans="2:8" x14ac:dyDescent="0.2">
      <c r="B68" s="24" t="s">
        <v>643</v>
      </c>
      <c r="C68" s="24" t="s">
        <v>644</v>
      </c>
      <c r="D68" s="24" t="s">
        <v>538</v>
      </c>
      <c r="E68" s="28">
        <v>3334</v>
      </c>
      <c r="F68" s="25">
        <v>134.06347400000001</v>
      </c>
      <c r="G68" s="26">
        <v>0.66639527263430898</v>
      </c>
      <c r="H68" s="29"/>
    </row>
    <row r="69" spans="2:8" x14ac:dyDescent="0.2">
      <c r="B69" s="24" t="s">
        <v>645</v>
      </c>
      <c r="C69" s="24" t="s">
        <v>646</v>
      </c>
      <c r="D69" s="24" t="s">
        <v>321</v>
      </c>
      <c r="E69" s="28">
        <v>170985</v>
      </c>
      <c r="F69" s="25">
        <v>133.71027000000001</v>
      </c>
      <c r="G69" s="26">
        <v>0.66463958580289495</v>
      </c>
      <c r="H69" s="29"/>
    </row>
    <row r="70" spans="2:8" x14ac:dyDescent="0.2">
      <c r="B70" s="24" t="s">
        <v>647</v>
      </c>
      <c r="C70" s="24" t="s">
        <v>648</v>
      </c>
      <c r="D70" s="24" t="s">
        <v>467</v>
      </c>
      <c r="E70" s="28">
        <v>9117</v>
      </c>
      <c r="F70" s="25">
        <v>133.244955</v>
      </c>
      <c r="G70" s="26">
        <v>0.66232662383768504</v>
      </c>
      <c r="H70" s="29"/>
    </row>
    <row r="71" spans="2:8" x14ac:dyDescent="0.2">
      <c r="B71" s="24" t="s">
        <v>649</v>
      </c>
      <c r="C71" s="24" t="s">
        <v>650</v>
      </c>
      <c r="D71" s="24" t="s">
        <v>318</v>
      </c>
      <c r="E71" s="28">
        <v>6113</v>
      </c>
      <c r="F71" s="25">
        <v>129.84012000000001</v>
      </c>
      <c r="G71" s="26">
        <v>0.64540205907443104</v>
      </c>
      <c r="H71" s="29"/>
    </row>
    <row r="72" spans="2:8" x14ac:dyDescent="0.2">
      <c r="B72" s="24" t="s">
        <v>651</v>
      </c>
      <c r="C72" s="24" t="s">
        <v>652</v>
      </c>
      <c r="D72" s="24" t="s">
        <v>472</v>
      </c>
      <c r="E72" s="28">
        <v>687</v>
      </c>
      <c r="F72" s="25">
        <v>129.58194</v>
      </c>
      <c r="G72" s="26">
        <v>0.64411871226597295</v>
      </c>
      <c r="H72" s="29"/>
    </row>
    <row r="73" spans="2:8" x14ac:dyDescent="0.2">
      <c r="B73" s="24" t="s">
        <v>653</v>
      </c>
      <c r="C73" s="24" t="s">
        <v>654</v>
      </c>
      <c r="D73" s="24" t="s">
        <v>324</v>
      </c>
      <c r="E73" s="28">
        <v>7013</v>
      </c>
      <c r="F73" s="25">
        <v>127.419197</v>
      </c>
      <c r="G73" s="26">
        <v>0.63336826944869196</v>
      </c>
      <c r="H73" s="29"/>
    </row>
    <row r="74" spans="2:8" x14ac:dyDescent="0.2">
      <c r="B74" s="24" t="s">
        <v>655</v>
      </c>
      <c r="C74" s="24" t="s">
        <v>656</v>
      </c>
      <c r="D74" s="24" t="s">
        <v>467</v>
      </c>
      <c r="E74" s="28">
        <v>8061</v>
      </c>
      <c r="F74" s="25">
        <v>127.10584799999999</v>
      </c>
      <c r="G74" s="26">
        <v>0.63181069163831405</v>
      </c>
      <c r="H74" s="29"/>
    </row>
    <row r="75" spans="2:8" x14ac:dyDescent="0.2">
      <c r="B75" s="24" t="s">
        <v>657</v>
      </c>
      <c r="C75" s="24" t="s">
        <v>658</v>
      </c>
      <c r="D75" s="24" t="s">
        <v>306</v>
      </c>
      <c r="E75" s="28">
        <v>44200</v>
      </c>
      <c r="F75" s="25">
        <v>126.5667</v>
      </c>
      <c r="G75" s="26">
        <v>0.62913072469630904</v>
      </c>
      <c r="H75" s="29"/>
    </row>
    <row r="76" spans="2:8" x14ac:dyDescent="0.2">
      <c r="B76" s="24" t="s">
        <v>659</v>
      </c>
      <c r="C76" s="24" t="s">
        <v>660</v>
      </c>
      <c r="D76" s="24" t="s">
        <v>333</v>
      </c>
      <c r="E76" s="28">
        <v>2262</v>
      </c>
      <c r="F76" s="25">
        <v>124.94157</v>
      </c>
      <c r="G76" s="26">
        <v>0.621052618728265</v>
      </c>
      <c r="H76" s="29"/>
    </row>
    <row r="77" spans="2:8" x14ac:dyDescent="0.2">
      <c r="B77" s="24" t="s">
        <v>661</v>
      </c>
      <c r="C77" s="24" t="s">
        <v>662</v>
      </c>
      <c r="D77" s="24" t="s">
        <v>538</v>
      </c>
      <c r="E77" s="28">
        <v>3485</v>
      </c>
      <c r="F77" s="25">
        <v>122.445475</v>
      </c>
      <c r="G77" s="26">
        <v>0.60864516829888005</v>
      </c>
      <c r="H77" s="29"/>
    </row>
    <row r="78" spans="2:8" x14ac:dyDescent="0.2">
      <c r="B78" s="24" t="s">
        <v>663</v>
      </c>
      <c r="C78" s="24" t="s">
        <v>664</v>
      </c>
      <c r="D78" s="24" t="s">
        <v>306</v>
      </c>
      <c r="E78" s="28">
        <v>16200</v>
      </c>
      <c r="F78" s="25">
        <v>122.07510000000001</v>
      </c>
      <c r="G78" s="26">
        <v>0.60680412881409096</v>
      </c>
      <c r="H78" s="29"/>
    </row>
    <row r="79" spans="2:8" x14ac:dyDescent="0.2">
      <c r="B79" s="24" t="s">
        <v>665</v>
      </c>
      <c r="C79" s="24" t="s">
        <v>666</v>
      </c>
      <c r="D79" s="24" t="s">
        <v>439</v>
      </c>
      <c r="E79" s="28">
        <v>24223</v>
      </c>
      <c r="F79" s="25">
        <v>120.0855225</v>
      </c>
      <c r="G79" s="26">
        <v>0.59691444744913102</v>
      </c>
      <c r="H79" s="29"/>
    </row>
    <row r="80" spans="2:8" x14ac:dyDescent="0.2">
      <c r="B80" s="24" t="s">
        <v>667</v>
      </c>
      <c r="C80" s="24" t="s">
        <v>668</v>
      </c>
      <c r="D80" s="24" t="s">
        <v>330</v>
      </c>
      <c r="E80" s="28">
        <v>78129</v>
      </c>
      <c r="F80" s="25">
        <v>118.0763577</v>
      </c>
      <c r="G80" s="26">
        <v>0.58692740262092402</v>
      </c>
      <c r="H80" s="29"/>
    </row>
    <row r="81" spans="2:8" x14ac:dyDescent="0.2">
      <c r="B81" s="24" t="s">
        <v>669</v>
      </c>
      <c r="C81" s="24" t="s">
        <v>670</v>
      </c>
      <c r="D81" s="24" t="s">
        <v>453</v>
      </c>
      <c r="E81" s="28">
        <v>40507</v>
      </c>
      <c r="F81" s="25">
        <v>117.3690325</v>
      </c>
      <c r="G81" s="26">
        <v>0.58341146979126202</v>
      </c>
      <c r="H81" s="29"/>
    </row>
    <row r="82" spans="2:8" x14ac:dyDescent="0.2">
      <c r="B82" s="24" t="s">
        <v>671</v>
      </c>
      <c r="C82" s="24" t="s">
        <v>672</v>
      </c>
      <c r="D82" s="24" t="s">
        <v>439</v>
      </c>
      <c r="E82" s="28">
        <v>9796</v>
      </c>
      <c r="F82" s="25">
        <v>115.818108</v>
      </c>
      <c r="G82" s="26">
        <v>0.57570222040232899</v>
      </c>
      <c r="H82" s="29"/>
    </row>
    <row r="83" spans="2:8" x14ac:dyDescent="0.2">
      <c r="B83" s="24" t="s">
        <v>673</v>
      </c>
      <c r="C83" s="24" t="s">
        <v>674</v>
      </c>
      <c r="D83" s="24" t="s">
        <v>675</v>
      </c>
      <c r="E83" s="28">
        <v>341</v>
      </c>
      <c r="F83" s="25">
        <v>112.51295</v>
      </c>
      <c r="G83" s="26">
        <v>0.55927312453607203</v>
      </c>
      <c r="H83" s="29"/>
    </row>
    <row r="84" spans="2:8" x14ac:dyDescent="0.2">
      <c r="B84" s="24" t="s">
        <v>676</v>
      </c>
      <c r="C84" s="24" t="s">
        <v>677</v>
      </c>
      <c r="D84" s="24" t="s">
        <v>318</v>
      </c>
      <c r="E84" s="28">
        <v>7512</v>
      </c>
      <c r="F84" s="25">
        <v>110.486496</v>
      </c>
      <c r="G84" s="26">
        <v>0.54920013951249302</v>
      </c>
      <c r="H84" s="29"/>
    </row>
    <row r="85" spans="2:8" x14ac:dyDescent="0.2">
      <c r="B85" s="24" t="s">
        <v>678</v>
      </c>
      <c r="C85" s="24" t="s">
        <v>679</v>
      </c>
      <c r="D85" s="24" t="s">
        <v>275</v>
      </c>
      <c r="E85" s="28">
        <v>65674</v>
      </c>
      <c r="F85" s="25">
        <v>107.771034</v>
      </c>
      <c r="G85" s="26">
        <v>0.53570227177994401</v>
      </c>
      <c r="H85" s="29"/>
    </row>
    <row r="86" spans="2:8" x14ac:dyDescent="0.2">
      <c r="B86" s="24" t="s">
        <v>680</v>
      </c>
      <c r="C86" s="24" t="s">
        <v>681</v>
      </c>
      <c r="D86" s="24" t="s">
        <v>289</v>
      </c>
      <c r="E86" s="28">
        <v>30678</v>
      </c>
      <c r="F86" s="25">
        <v>105.348252</v>
      </c>
      <c r="G86" s="26">
        <v>0.52365924154022703</v>
      </c>
      <c r="H86" s="29"/>
    </row>
    <row r="87" spans="2:8" x14ac:dyDescent="0.2">
      <c r="B87" s="24" t="s">
        <v>682</v>
      </c>
      <c r="C87" s="24" t="s">
        <v>683</v>
      </c>
      <c r="D87" s="24" t="s">
        <v>426</v>
      </c>
      <c r="E87" s="28">
        <v>21153</v>
      </c>
      <c r="F87" s="25">
        <v>105.1409865</v>
      </c>
      <c r="G87" s="26">
        <v>0.522628977701322</v>
      </c>
      <c r="H87" s="29"/>
    </row>
    <row r="88" spans="2:8" x14ac:dyDescent="0.2">
      <c r="B88" s="24" t="s">
        <v>684</v>
      </c>
      <c r="C88" s="24" t="s">
        <v>685</v>
      </c>
      <c r="D88" s="24" t="s">
        <v>426</v>
      </c>
      <c r="E88" s="28">
        <v>16303</v>
      </c>
      <c r="F88" s="25">
        <v>101.5758415</v>
      </c>
      <c r="G88" s="26">
        <v>0.50490755289134104</v>
      </c>
      <c r="H88" s="29"/>
    </row>
    <row r="89" spans="2:8" x14ac:dyDescent="0.2">
      <c r="B89" s="24" t="s">
        <v>686</v>
      </c>
      <c r="C89" s="24" t="s">
        <v>687</v>
      </c>
      <c r="D89" s="24" t="s">
        <v>283</v>
      </c>
      <c r="E89" s="28">
        <v>1286</v>
      </c>
      <c r="F89" s="25">
        <v>99.793599999999998</v>
      </c>
      <c r="G89" s="26">
        <v>0.496048485802771</v>
      </c>
      <c r="H89" s="29"/>
    </row>
    <row r="90" spans="2:8" x14ac:dyDescent="0.2">
      <c r="B90" s="24" t="s">
        <v>688</v>
      </c>
      <c r="C90" s="24" t="s">
        <v>689</v>
      </c>
      <c r="D90" s="24" t="s">
        <v>439</v>
      </c>
      <c r="E90" s="28">
        <v>4327</v>
      </c>
      <c r="F90" s="25">
        <v>99.771966000000006</v>
      </c>
      <c r="G90" s="26">
        <v>0.495940948716807</v>
      </c>
      <c r="H90" s="29"/>
    </row>
    <row r="91" spans="2:8" x14ac:dyDescent="0.2">
      <c r="B91" s="24" t="s">
        <v>690</v>
      </c>
      <c r="C91" s="24" t="s">
        <v>691</v>
      </c>
      <c r="D91" s="24" t="s">
        <v>286</v>
      </c>
      <c r="E91" s="28">
        <v>6347</v>
      </c>
      <c r="F91" s="25">
        <v>99.679635000000005</v>
      </c>
      <c r="G91" s="26">
        <v>0.49548199490872102</v>
      </c>
      <c r="H91" s="29"/>
    </row>
    <row r="92" spans="2:8" x14ac:dyDescent="0.2">
      <c r="B92" s="24" t="s">
        <v>692</v>
      </c>
      <c r="C92" s="24" t="s">
        <v>693</v>
      </c>
      <c r="D92" s="24" t="s">
        <v>283</v>
      </c>
      <c r="E92" s="28">
        <v>1860</v>
      </c>
      <c r="F92" s="25">
        <v>99.017099999999999</v>
      </c>
      <c r="G92" s="26">
        <v>0.49218870271822601</v>
      </c>
      <c r="H92" s="29"/>
    </row>
    <row r="93" spans="2:8" x14ac:dyDescent="0.2">
      <c r="B93" s="24" t="s">
        <v>694</v>
      </c>
      <c r="C93" s="24" t="s">
        <v>695</v>
      </c>
      <c r="D93" s="24" t="s">
        <v>538</v>
      </c>
      <c r="E93" s="28">
        <v>6622</v>
      </c>
      <c r="F93" s="25">
        <v>97.780451999999997</v>
      </c>
      <c r="G93" s="26">
        <v>0.48604164150517198</v>
      </c>
      <c r="H93" s="29"/>
    </row>
    <row r="94" spans="2:8" x14ac:dyDescent="0.2">
      <c r="B94" s="24" t="s">
        <v>696</v>
      </c>
      <c r="C94" s="24" t="s">
        <v>697</v>
      </c>
      <c r="D94" s="24" t="s">
        <v>467</v>
      </c>
      <c r="E94" s="28">
        <v>6361</v>
      </c>
      <c r="F94" s="25">
        <v>94.836149000000006</v>
      </c>
      <c r="G94" s="26">
        <v>0.471406263636306</v>
      </c>
      <c r="H94" s="29"/>
    </row>
    <row r="95" spans="2:8" x14ac:dyDescent="0.2">
      <c r="B95" s="24" t="s">
        <v>698</v>
      </c>
      <c r="C95" s="24" t="s">
        <v>699</v>
      </c>
      <c r="D95" s="24" t="s">
        <v>361</v>
      </c>
      <c r="E95" s="28">
        <v>18657</v>
      </c>
      <c r="F95" s="25">
        <v>93.704782499999993</v>
      </c>
      <c r="G95" s="26">
        <v>0.465782529857657</v>
      </c>
      <c r="H95" s="29"/>
    </row>
    <row r="96" spans="2:8" x14ac:dyDescent="0.2">
      <c r="B96" s="24" t="s">
        <v>700</v>
      </c>
      <c r="C96" s="24" t="s">
        <v>701</v>
      </c>
      <c r="D96" s="24" t="s">
        <v>283</v>
      </c>
      <c r="E96" s="28">
        <v>8851</v>
      </c>
      <c r="F96" s="25">
        <v>92.218569000000002</v>
      </c>
      <c r="G96" s="26">
        <v>0.45839494231442102</v>
      </c>
      <c r="H96" s="29"/>
    </row>
    <row r="97" spans="2:8" x14ac:dyDescent="0.2">
      <c r="B97" s="24" t="s">
        <v>702</v>
      </c>
      <c r="C97" s="24" t="s">
        <v>703</v>
      </c>
      <c r="D97" s="24" t="s">
        <v>704</v>
      </c>
      <c r="E97" s="28">
        <v>18379</v>
      </c>
      <c r="F97" s="25">
        <v>91.968515999999994</v>
      </c>
      <c r="G97" s="26">
        <v>0.45715199274630802</v>
      </c>
      <c r="H97" s="29"/>
    </row>
    <row r="98" spans="2:8" x14ac:dyDescent="0.2">
      <c r="B98" s="24" t="s">
        <v>705</v>
      </c>
      <c r="C98" s="24" t="s">
        <v>706</v>
      </c>
      <c r="D98" s="24" t="s">
        <v>426</v>
      </c>
      <c r="E98" s="28">
        <v>50388</v>
      </c>
      <c r="F98" s="25">
        <v>91.081348800000001</v>
      </c>
      <c r="G98" s="26">
        <v>0.45274211128884101</v>
      </c>
      <c r="H98" s="29"/>
    </row>
    <row r="99" spans="2:8" x14ac:dyDescent="0.2">
      <c r="B99" s="24" t="s">
        <v>707</v>
      </c>
      <c r="C99" s="24" t="s">
        <v>708</v>
      </c>
      <c r="D99" s="24" t="s">
        <v>333</v>
      </c>
      <c r="E99" s="28">
        <v>4305</v>
      </c>
      <c r="F99" s="25">
        <v>88.919775000000001</v>
      </c>
      <c r="G99" s="26">
        <v>0.441997480266</v>
      </c>
      <c r="H99" s="29"/>
    </row>
    <row r="100" spans="2:8" x14ac:dyDescent="0.2">
      <c r="B100" s="24" t="s">
        <v>709</v>
      </c>
      <c r="C100" s="24" t="s">
        <v>710</v>
      </c>
      <c r="D100" s="24" t="s">
        <v>439</v>
      </c>
      <c r="E100" s="28">
        <v>17481</v>
      </c>
      <c r="F100" s="25">
        <v>86.0327415</v>
      </c>
      <c r="G100" s="26">
        <v>0.42764677444782301</v>
      </c>
      <c r="H100" s="29"/>
    </row>
    <row r="101" spans="2:8" x14ac:dyDescent="0.2">
      <c r="B101" s="24" t="s">
        <v>711</v>
      </c>
      <c r="C101" s="24" t="s">
        <v>712</v>
      </c>
      <c r="D101" s="24" t="s">
        <v>306</v>
      </c>
      <c r="E101" s="28">
        <v>16251</v>
      </c>
      <c r="F101" s="25">
        <v>85.529013000000006</v>
      </c>
      <c r="G101" s="26">
        <v>0.425142868789738</v>
      </c>
      <c r="H101" s="29"/>
    </row>
    <row r="102" spans="2:8" x14ac:dyDescent="0.2">
      <c r="B102" s="24" t="s">
        <v>713</v>
      </c>
      <c r="C102" s="24" t="s">
        <v>714</v>
      </c>
      <c r="D102" s="24" t="s">
        <v>517</v>
      </c>
      <c r="E102" s="28">
        <v>9606</v>
      </c>
      <c r="F102" s="25">
        <v>84.350285999999997</v>
      </c>
      <c r="G102" s="26">
        <v>0.419283718067398</v>
      </c>
      <c r="H102" s="29"/>
    </row>
    <row r="103" spans="2:8" x14ac:dyDescent="0.2">
      <c r="B103" s="24" t="s">
        <v>715</v>
      </c>
      <c r="C103" s="24" t="s">
        <v>716</v>
      </c>
      <c r="D103" s="24" t="s">
        <v>538</v>
      </c>
      <c r="E103" s="28">
        <v>2098</v>
      </c>
      <c r="F103" s="25">
        <v>83.689220000000006</v>
      </c>
      <c r="G103" s="26">
        <v>0.41599772790053702</v>
      </c>
      <c r="H103" s="29"/>
    </row>
    <row r="104" spans="2:8" x14ac:dyDescent="0.2">
      <c r="B104" s="24" t="s">
        <v>717</v>
      </c>
      <c r="C104" s="24" t="s">
        <v>718</v>
      </c>
      <c r="D104" s="24" t="s">
        <v>439</v>
      </c>
      <c r="E104" s="28">
        <v>24588</v>
      </c>
      <c r="F104" s="25">
        <v>79.075007999999997</v>
      </c>
      <c r="G104" s="26">
        <v>0.39306165909679602</v>
      </c>
      <c r="H104" s="29"/>
    </row>
    <row r="105" spans="2:8" x14ac:dyDescent="0.2">
      <c r="B105" s="24" t="s">
        <v>719</v>
      </c>
      <c r="C105" s="24" t="s">
        <v>720</v>
      </c>
      <c r="D105" s="24" t="s">
        <v>453</v>
      </c>
      <c r="E105" s="28">
        <v>14992</v>
      </c>
      <c r="F105" s="25">
        <v>79.000343999999998</v>
      </c>
      <c r="G105" s="26">
        <v>0.39269052343134297</v>
      </c>
      <c r="H105" s="29"/>
    </row>
    <row r="106" spans="2:8" x14ac:dyDescent="0.2">
      <c r="B106" s="24" t="s">
        <v>721</v>
      </c>
      <c r="C106" s="24" t="s">
        <v>722</v>
      </c>
      <c r="D106" s="24" t="s">
        <v>439</v>
      </c>
      <c r="E106" s="28">
        <v>2175</v>
      </c>
      <c r="F106" s="25">
        <v>78.780675000000002</v>
      </c>
      <c r="G106" s="26">
        <v>0.39159860496334697</v>
      </c>
      <c r="H106" s="29"/>
    </row>
    <row r="107" spans="2:8" x14ac:dyDescent="0.2">
      <c r="B107" s="24" t="s">
        <v>723</v>
      </c>
      <c r="C107" s="24" t="s">
        <v>724</v>
      </c>
      <c r="D107" s="24" t="s">
        <v>318</v>
      </c>
      <c r="E107" s="28">
        <v>282</v>
      </c>
      <c r="F107" s="25">
        <v>77.7333</v>
      </c>
      <c r="G107" s="26">
        <v>0.38639237146923799</v>
      </c>
      <c r="H107" s="29"/>
    </row>
    <row r="108" spans="2:8" x14ac:dyDescent="0.2">
      <c r="B108" s="24" t="s">
        <v>725</v>
      </c>
      <c r="C108" s="24" t="s">
        <v>726</v>
      </c>
      <c r="D108" s="24" t="s">
        <v>614</v>
      </c>
      <c r="E108" s="28">
        <v>7003</v>
      </c>
      <c r="F108" s="25">
        <v>77.299114000000003</v>
      </c>
      <c r="G108" s="26">
        <v>0.38423414380877902</v>
      </c>
      <c r="H108" s="29"/>
    </row>
    <row r="109" spans="2:8" x14ac:dyDescent="0.2">
      <c r="B109" s="24" t="s">
        <v>727</v>
      </c>
      <c r="C109" s="24" t="s">
        <v>728</v>
      </c>
      <c r="D109" s="24" t="s">
        <v>327</v>
      </c>
      <c r="E109" s="28">
        <v>4981</v>
      </c>
      <c r="F109" s="25">
        <v>76.617742000000007</v>
      </c>
      <c r="G109" s="26">
        <v>0.38084721770461599</v>
      </c>
      <c r="H109" s="29"/>
    </row>
    <row r="110" spans="2:8" x14ac:dyDescent="0.2">
      <c r="B110" s="24" t="s">
        <v>729</v>
      </c>
      <c r="C110" s="24" t="s">
        <v>730</v>
      </c>
      <c r="D110" s="24" t="s">
        <v>507</v>
      </c>
      <c r="E110" s="28">
        <v>4574</v>
      </c>
      <c r="F110" s="25">
        <v>75.923826000000005</v>
      </c>
      <c r="G110" s="26">
        <v>0.37739793858176401</v>
      </c>
      <c r="H110" s="29"/>
    </row>
    <row r="111" spans="2:8" x14ac:dyDescent="0.2">
      <c r="B111" s="24" t="s">
        <v>731</v>
      </c>
      <c r="C111" s="24" t="s">
        <v>732</v>
      </c>
      <c r="D111" s="24" t="s">
        <v>324</v>
      </c>
      <c r="E111" s="28">
        <v>20809</v>
      </c>
      <c r="F111" s="25">
        <v>75.255748499999996</v>
      </c>
      <c r="G111" s="26">
        <v>0.37407709604001799</v>
      </c>
      <c r="H111" s="29"/>
    </row>
    <row r="112" spans="2:8" x14ac:dyDescent="0.2">
      <c r="B112" s="24" t="s">
        <v>733</v>
      </c>
      <c r="C112" s="24" t="s">
        <v>734</v>
      </c>
      <c r="D112" s="24" t="s">
        <v>472</v>
      </c>
      <c r="E112" s="28">
        <v>913</v>
      </c>
      <c r="F112" s="25">
        <v>72.985219999999998</v>
      </c>
      <c r="G112" s="26">
        <v>0.36279087904416901</v>
      </c>
      <c r="H112" s="29"/>
    </row>
    <row r="113" spans="2:8" x14ac:dyDescent="0.2">
      <c r="B113" s="24" t="s">
        <v>735</v>
      </c>
      <c r="C113" s="24" t="s">
        <v>736</v>
      </c>
      <c r="D113" s="24" t="s">
        <v>275</v>
      </c>
      <c r="E113" s="28">
        <v>110043</v>
      </c>
      <c r="F113" s="25">
        <v>71.825066100000001</v>
      </c>
      <c r="G113" s="26">
        <v>0.35702405045603097</v>
      </c>
      <c r="H113" s="29"/>
    </row>
    <row r="114" spans="2:8" x14ac:dyDescent="0.2">
      <c r="B114" s="24" t="s">
        <v>737</v>
      </c>
      <c r="C114" s="24" t="s">
        <v>738</v>
      </c>
      <c r="D114" s="24" t="s">
        <v>324</v>
      </c>
      <c r="E114" s="28">
        <v>15384</v>
      </c>
      <c r="F114" s="25">
        <v>71.212536</v>
      </c>
      <c r="G114" s="26">
        <v>0.35397931984591502</v>
      </c>
      <c r="H114" s="29"/>
    </row>
    <row r="115" spans="2:8" x14ac:dyDescent="0.2">
      <c r="B115" s="24" t="s">
        <v>739</v>
      </c>
      <c r="C115" s="24" t="s">
        <v>740</v>
      </c>
      <c r="D115" s="24" t="s">
        <v>456</v>
      </c>
      <c r="E115" s="28">
        <v>2278</v>
      </c>
      <c r="F115" s="25">
        <v>69.558729999999997</v>
      </c>
      <c r="G115" s="26">
        <v>0.34575867280931599</v>
      </c>
      <c r="H115" s="29"/>
    </row>
    <row r="116" spans="2:8" x14ac:dyDescent="0.2">
      <c r="B116" s="24" t="s">
        <v>741</v>
      </c>
      <c r="C116" s="24" t="s">
        <v>742</v>
      </c>
      <c r="D116" s="24" t="s">
        <v>456</v>
      </c>
      <c r="E116" s="28">
        <v>1137</v>
      </c>
      <c r="F116" s="25">
        <v>68.299589999999995</v>
      </c>
      <c r="G116" s="26">
        <v>0.33949980961153903</v>
      </c>
      <c r="H116" s="29"/>
    </row>
    <row r="117" spans="2:8" x14ac:dyDescent="0.2">
      <c r="B117" s="24" t="s">
        <v>743</v>
      </c>
      <c r="C117" s="24" t="s">
        <v>744</v>
      </c>
      <c r="D117" s="24" t="s">
        <v>453</v>
      </c>
      <c r="E117" s="28">
        <v>37910</v>
      </c>
      <c r="F117" s="25">
        <v>67.438098999999994</v>
      </c>
      <c r="G117" s="26">
        <v>0.33521755798335201</v>
      </c>
      <c r="H117" s="29"/>
    </row>
    <row r="118" spans="2:8" x14ac:dyDescent="0.2">
      <c r="B118" s="24" t="s">
        <v>745</v>
      </c>
      <c r="C118" s="24" t="s">
        <v>746</v>
      </c>
      <c r="D118" s="24" t="s">
        <v>318</v>
      </c>
      <c r="E118" s="28">
        <v>2277</v>
      </c>
      <c r="F118" s="25">
        <v>63.343862999999999</v>
      </c>
      <c r="G118" s="26">
        <v>0.31486615700854798</v>
      </c>
      <c r="H118" s="29"/>
    </row>
    <row r="119" spans="2:8" x14ac:dyDescent="0.2">
      <c r="B119" s="24" t="s">
        <v>747</v>
      </c>
      <c r="C119" s="24" t="s">
        <v>748</v>
      </c>
      <c r="D119" s="24" t="s">
        <v>372</v>
      </c>
      <c r="E119" s="28">
        <v>16712</v>
      </c>
      <c r="F119" s="25">
        <v>63.179715999999999</v>
      </c>
      <c r="G119" s="26">
        <v>0.31405022421527201</v>
      </c>
      <c r="H119" s="29"/>
    </row>
    <row r="120" spans="2:8" x14ac:dyDescent="0.2">
      <c r="B120" s="24" t="s">
        <v>749</v>
      </c>
      <c r="C120" s="24" t="s">
        <v>750</v>
      </c>
      <c r="D120" s="24" t="s">
        <v>517</v>
      </c>
      <c r="E120" s="28">
        <v>8376</v>
      </c>
      <c r="F120" s="25">
        <v>63.117348</v>
      </c>
      <c r="G120" s="26">
        <v>0.31374020882387799</v>
      </c>
      <c r="H120" s="29"/>
    </row>
    <row r="121" spans="2:8" x14ac:dyDescent="0.2">
      <c r="B121" s="24" t="s">
        <v>751</v>
      </c>
      <c r="C121" s="24" t="s">
        <v>752</v>
      </c>
      <c r="D121" s="24" t="s">
        <v>286</v>
      </c>
      <c r="E121" s="28">
        <v>4065</v>
      </c>
      <c r="F121" s="25">
        <v>62.796120000000002</v>
      </c>
      <c r="G121" s="26">
        <v>0.31214346651778402</v>
      </c>
      <c r="H121" s="29"/>
    </row>
    <row r="122" spans="2:8" x14ac:dyDescent="0.2">
      <c r="B122" s="24" t="s">
        <v>753</v>
      </c>
      <c r="C122" s="24" t="s">
        <v>754</v>
      </c>
      <c r="D122" s="24" t="s">
        <v>306</v>
      </c>
      <c r="E122" s="28">
        <v>1318</v>
      </c>
      <c r="F122" s="25">
        <v>61.472838000000003</v>
      </c>
      <c r="G122" s="26">
        <v>0.305565769827916</v>
      </c>
      <c r="H122" s="29"/>
    </row>
    <row r="123" spans="2:8" x14ac:dyDescent="0.2">
      <c r="B123" s="24" t="s">
        <v>755</v>
      </c>
      <c r="C123" s="24" t="s">
        <v>756</v>
      </c>
      <c r="D123" s="24" t="s">
        <v>456</v>
      </c>
      <c r="E123" s="28">
        <v>3712</v>
      </c>
      <c r="F123" s="25">
        <v>60.9696</v>
      </c>
      <c r="G123" s="26">
        <v>0.30306430231999498</v>
      </c>
      <c r="H123" s="29"/>
    </row>
    <row r="124" spans="2:8" x14ac:dyDescent="0.2">
      <c r="B124" s="24" t="s">
        <v>757</v>
      </c>
      <c r="C124" s="24" t="s">
        <v>758</v>
      </c>
      <c r="D124" s="24" t="s">
        <v>535</v>
      </c>
      <c r="E124" s="28">
        <v>1796</v>
      </c>
      <c r="F124" s="25">
        <v>60.719168000000003</v>
      </c>
      <c r="G124" s="26">
        <v>0.30181946883972599</v>
      </c>
      <c r="H124" s="29"/>
    </row>
    <row r="125" spans="2:8" x14ac:dyDescent="0.2">
      <c r="B125" s="24" t="s">
        <v>759</v>
      </c>
      <c r="C125" s="24" t="s">
        <v>760</v>
      </c>
      <c r="D125" s="24" t="s">
        <v>472</v>
      </c>
      <c r="E125" s="28">
        <v>2094</v>
      </c>
      <c r="F125" s="25">
        <v>60.265320000000003</v>
      </c>
      <c r="G125" s="26">
        <v>0.299563506401407</v>
      </c>
      <c r="H125" s="29"/>
    </row>
    <row r="126" spans="2:8" x14ac:dyDescent="0.2">
      <c r="B126" s="24" t="s">
        <v>761</v>
      </c>
      <c r="C126" s="24" t="s">
        <v>762</v>
      </c>
      <c r="D126" s="24" t="s">
        <v>448</v>
      </c>
      <c r="E126" s="28">
        <v>511</v>
      </c>
      <c r="F126" s="25">
        <v>60.12426</v>
      </c>
      <c r="G126" s="26">
        <v>0.29886233318581701</v>
      </c>
      <c r="H126" s="29"/>
    </row>
    <row r="127" spans="2:8" x14ac:dyDescent="0.2">
      <c r="B127" s="24" t="s">
        <v>763</v>
      </c>
      <c r="C127" s="24" t="s">
        <v>764</v>
      </c>
      <c r="D127" s="24" t="s">
        <v>765</v>
      </c>
      <c r="E127" s="28">
        <v>9274</v>
      </c>
      <c r="F127" s="25">
        <v>59.905403</v>
      </c>
      <c r="G127" s="26">
        <v>0.29777445096233401</v>
      </c>
      <c r="H127" s="29"/>
    </row>
    <row r="128" spans="2:8" x14ac:dyDescent="0.2">
      <c r="B128" s="24" t="s">
        <v>766</v>
      </c>
      <c r="C128" s="24" t="s">
        <v>767</v>
      </c>
      <c r="D128" s="24" t="s">
        <v>419</v>
      </c>
      <c r="E128" s="28">
        <v>3903</v>
      </c>
      <c r="F128" s="25">
        <v>57.315555000000003</v>
      </c>
      <c r="G128" s="26">
        <v>0.28490097832622002</v>
      </c>
      <c r="H128" s="29"/>
    </row>
    <row r="129" spans="2:8" x14ac:dyDescent="0.2">
      <c r="B129" s="24" t="s">
        <v>768</v>
      </c>
      <c r="C129" s="24" t="s">
        <v>769</v>
      </c>
      <c r="D129" s="24" t="s">
        <v>306</v>
      </c>
      <c r="E129" s="28">
        <v>42996</v>
      </c>
      <c r="F129" s="25">
        <v>56.789116800000002</v>
      </c>
      <c r="G129" s="26">
        <v>0.282284188552339</v>
      </c>
      <c r="H129" s="29"/>
    </row>
    <row r="130" spans="2:8" x14ac:dyDescent="0.2">
      <c r="B130" s="24" t="s">
        <v>770</v>
      </c>
      <c r="C130" s="24" t="s">
        <v>771</v>
      </c>
      <c r="D130" s="24" t="s">
        <v>283</v>
      </c>
      <c r="E130" s="28">
        <v>8021</v>
      </c>
      <c r="F130" s="25">
        <v>55.950485499999999</v>
      </c>
      <c r="G130" s="26">
        <v>0.27811556665161802</v>
      </c>
      <c r="H130" s="29"/>
    </row>
    <row r="131" spans="2:8" x14ac:dyDescent="0.2">
      <c r="B131" s="24" t="s">
        <v>772</v>
      </c>
      <c r="C131" s="24" t="s">
        <v>773</v>
      </c>
      <c r="D131" s="24" t="s">
        <v>765</v>
      </c>
      <c r="E131" s="28">
        <v>1489</v>
      </c>
      <c r="F131" s="25">
        <v>55.432492000000003</v>
      </c>
      <c r="G131" s="26">
        <v>0.27554075332360201</v>
      </c>
      <c r="H131" s="29"/>
    </row>
    <row r="132" spans="2:8" x14ac:dyDescent="0.2">
      <c r="B132" s="24" t="s">
        <v>774</v>
      </c>
      <c r="C132" s="24" t="s">
        <v>775</v>
      </c>
      <c r="D132" s="24" t="s">
        <v>675</v>
      </c>
      <c r="E132" s="28">
        <v>6236</v>
      </c>
      <c r="F132" s="25">
        <v>54.225138000000001</v>
      </c>
      <c r="G132" s="26">
        <v>0.269539305099188</v>
      </c>
      <c r="H132" s="29"/>
    </row>
    <row r="133" spans="2:8" x14ac:dyDescent="0.2">
      <c r="B133" s="24" t="s">
        <v>776</v>
      </c>
      <c r="C133" s="24" t="s">
        <v>777</v>
      </c>
      <c r="D133" s="24" t="s">
        <v>333</v>
      </c>
      <c r="E133" s="28">
        <v>3297</v>
      </c>
      <c r="F133" s="25">
        <v>53.968592999999998</v>
      </c>
      <c r="G133" s="26">
        <v>0.268264085457946</v>
      </c>
      <c r="H133" s="29"/>
    </row>
    <row r="134" spans="2:8" x14ac:dyDescent="0.2">
      <c r="B134" s="24" t="s">
        <v>778</v>
      </c>
      <c r="C134" s="24" t="s">
        <v>779</v>
      </c>
      <c r="D134" s="24" t="s">
        <v>385</v>
      </c>
      <c r="E134" s="28">
        <v>25164</v>
      </c>
      <c r="F134" s="25">
        <v>53.843410800000001</v>
      </c>
      <c r="G134" s="26">
        <v>0.26764183672897501</v>
      </c>
      <c r="H134" s="29"/>
    </row>
    <row r="135" spans="2:8" x14ac:dyDescent="0.2">
      <c r="B135" s="24" t="s">
        <v>780</v>
      </c>
      <c r="C135" s="24" t="s">
        <v>781</v>
      </c>
      <c r="D135" s="24" t="s">
        <v>318</v>
      </c>
      <c r="E135" s="28">
        <v>2236</v>
      </c>
      <c r="F135" s="25">
        <v>53.699776</v>
      </c>
      <c r="G135" s="26">
        <v>0.26692786484051101</v>
      </c>
      <c r="H135" s="29"/>
    </row>
    <row r="136" spans="2:8" x14ac:dyDescent="0.2">
      <c r="B136" s="24" t="s">
        <v>782</v>
      </c>
      <c r="C136" s="24" t="s">
        <v>783</v>
      </c>
      <c r="D136" s="24" t="s">
        <v>784</v>
      </c>
      <c r="E136" s="28">
        <v>153</v>
      </c>
      <c r="F136" s="25">
        <v>52.616700000000002</v>
      </c>
      <c r="G136" s="26">
        <v>0.26154417079791398</v>
      </c>
      <c r="H136" s="29"/>
    </row>
    <row r="137" spans="2:8" x14ac:dyDescent="0.2">
      <c r="B137" s="24" t="s">
        <v>785</v>
      </c>
      <c r="C137" s="24" t="s">
        <v>786</v>
      </c>
      <c r="D137" s="24" t="s">
        <v>306</v>
      </c>
      <c r="E137" s="28">
        <v>27122</v>
      </c>
      <c r="F137" s="25">
        <v>51.979312999999998</v>
      </c>
      <c r="G137" s="26">
        <v>0.258375882889467</v>
      </c>
      <c r="H137" s="29"/>
    </row>
    <row r="138" spans="2:8" x14ac:dyDescent="0.2">
      <c r="B138" s="24" t="s">
        <v>787</v>
      </c>
      <c r="C138" s="24" t="s">
        <v>788</v>
      </c>
      <c r="D138" s="24" t="s">
        <v>390</v>
      </c>
      <c r="E138" s="28">
        <v>10253</v>
      </c>
      <c r="F138" s="25">
        <v>48.542828499999999</v>
      </c>
      <c r="G138" s="26">
        <v>0.241293996548963</v>
      </c>
      <c r="H138" s="29"/>
    </row>
    <row r="139" spans="2:8" x14ac:dyDescent="0.2">
      <c r="B139" s="24" t="s">
        <v>789</v>
      </c>
      <c r="C139" s="24" t="s">
        <v>790</v>
      </c>
      <c r="D139" s="24" t="s">
        <v>390</v>
      </c>
      <c r="E139" s="28">
        <v>4575</v>
      </c>
      <c r="F139" s="25">
        <v>48.211350000000003</v>
      </c>
      <c r="G139" s="26">
        <v>0.239646301626632</v>
      </c>
      <c r="H139" s="29"/>
    </row>
    <row r="140" spans="2:8" x14ac:dyDescent="0.2">
      <c r="B140" s="24" t="s">
        <v>791</v>
      </c>
      <c r="C140" s="24" t="s">
        <v>792</v>
      </c>
      <c r="D140" s="24" t="s">
        <v>439</v>
      </c>
      <c r="E140" s="28">
        <v>1906</v>
      </c>
      <c r="F140" s="25">
        <v>46.254807999999997</v>
      </c>
      <c r="G140" s="26">
        <v>0.22992083129076299</v>
      </c>
      <c r="H140" s="29"/>
    </row>
    <row r="141" spans="2:8" x14ac:dyDescent="0.2">
      <c r="B141" s="24" t="s">
        <v>793</v>
      </c>
      <c r="C141" s="24" t="s">
        <v>794</v>
      </c>
      <c r="D141" s="24" t="s">
        <v>321</v>
      </c>
      <c r="E141" s="28">
        <v>17630</v>
      </c>
      <c r="F141" s="25">
        <v>45.67933</v>
      </c>
      <c r="G141" s="26">
        <v>0.22706027720199601</v>
      </c>
      <c r="H141" s="29"/>
    </row>
    <row r="142" spans="2:8" x14ac:dyDescent="0.2">
      <c r="B142" s="24" t="s">
        <v>795</v>
      </c>
      <c r="C142" s="24" t="s">
        <v>796</v>
      </c>
      <c r="D142" s="24" t="s">
        <v>355</v>
      </c>
      <c r="E142" s="28">
        <v>17477</v>
      </c>
      <c r="F142" s="25">
        <v>45.178044999999997</v>
      </c>
      <c r="G142" s="26">
        <v>0.224568517558034</v>
      </c>
      <c r="H142" s="29"/>
    </row>
    <row r="143" spans="2:8" x14ac:dyDescent="0.2">
      <c r="B143" s="24" t="s">
        <v>797</v>
      </c>
      <c r="C143" s="24" t="s">
        <v>798</v>
      </c>
      <c r="D143" s="24" t="s">
        <v>472</v>
      </c>
      <c r="E143" s="28">
        <v>6239</v>
      </c>
      <c r="F143" s="25">
        <v>44.914560999999999</v>
      </c>
      <c r="G143" s="26">
        <v>0.22325880592088301</v>
      </c>
      <c r="H143" s="29"/>
    </row>
    <row r="144" spans="2:8" x14ac:dyDescent="0.2">
      <c r="B144" s="24" t="s">
        <v>799</v>
      </c>
      <c r="C144" s="24" t="s">
        <v>800</v>
      </c>
      <c r="D144" s="24" t="s">
        <v>801</v>
      </c>
      <c r="E144" s="28">
        <v>2203</v>
      </c>
      <c r="F144" s="25">
        <v>44.842064999999998</v>
      </c>
      <c r="G144" s="26">
        <v>0.22289844682945101</v>
      </c>
      <c r="H144" s="29"/>
    </row>
    <row r="145" spans="2:9" x14ac:dyDescent="0.2">
      <c r="B145" s="24" t="s">
        <v>802</v>
      </c>
      <c r="C145" s="24" t="s">
        <v>803</v>
      </c>
      <c r="D145" s="24" t="s">
        <v>289</v>
      </c>
      <c r="E145" s="28">
        <v>107213</v>
      </c>
      <c r="F145" s="25">
        <v>44.5470015</v>
      </c>
      <c r="G145" s="26">
        <v>0.22143176156716299</v>
      </c>
      <c r="H145" s="29"/>
    </row>
    <row r="146" spans="2:9" x14ac:dyDescent="0.2">
      <c r="B146" s="24" t="s">
        <v>804</v>
      </c>
      <c r="C146" s="24" t="s">
        <v>805</v>
      </c>
      <c r="D146" s="24" t="s">
        <v>306</v>
      </c>
      <c r="E146" s="28">
        <v>7024</v>
      </c>
      <c r="F146" s="25">
        <v>43.752496000000001</v>
      </c>
      <c r="G146" s="26">
        <v>0.21748247774297999</v>
      </c>
      <c r="H146" s="29"/>
    </row>
    <row r="147" spans="2:9" x14ac:dyDescent="0.2">
      <c r="B147" s="24" t="s">
        <v>806</v>
      </c>
      <c r="C147" s="24" t="s">
        <v>807</v>
      </c>
      <c r="D147" s="24" t="s">
        <v>321</v>
      </c>
      <c r="E147" s="28">
        <v>50203</v>
      </c>
      <c r="F147" s="25">
        <v>43.259925099999997</v>
      </c>
      <c r="G147" s="26">
        <v>0.21503403366344401</v>
      </c>
      <c r="H147" s="29"/>
    </row>
    <row r="148" spans="2:9" x14ac:dyDescent="0.2">
      <c r="B148" s="24" t="s">
        <v>808</v>
      </c>
      <c r="C148" s="24" t="s">
        <v>809</v>
      </c>
      <c r="D148" s="24" t="s">
        <v>507</v>
      </c>
      <c r="E148" s="28">
        <v>119</v>
      </c>
      <c r="F148" s="25">
        <v>39.716250000000002</v>
      </c>
      <c r="G148" s="26">
        <v>0.19741933024025901</v>
      </c>
      <c r="H148" s="29"/>
    </row>
    <row r="149" spans="2:9" x14ac:dyDescent="0.2">
      <c r="B149" s="24" t="s">
        <v>810</v>
      </c>
      <c r="C149" s="24" t="s">
        <v>811</v>
      </c>
      <c r="D149" s="24" t="s">
        <v>453</v>
      </c>
      <c r="E149" s="28">
        <v>9320</v>
      </c>
      <c r="F149" s="25">
        <v>39.642620000000001</v>
      </c>
      <c r="G149" s="26">
        <v>0.19705333432459299</v>
      </c>
      <c r="H149" s="29"/>
    </row>
    <row r="150" spans="2:9" x14ac:dyDescent="0.2">
      <c r="B150" s="24" t="s">
        <v>812</v>
      </c>
      <c r="C150" s="24" t="s">
        <v>813</v>
      </c>
      <c r="D150" s="24" t="s">
        <v>275</v>
      </c>
      <c r="E150" s="28">
        <v>30296</v>
      </c>
      <c r="F150" s="25">
        <v>30.165727199999999</v>
      </c>
      <c r="G150" s="26">
        <v>0.149946121802395</v>
      </c>
      <c r="H150" s="29"/>
    </row>
    <row r="151" spans="2:9" x14ac:dyDescent="0.2">
      <c r="B151" s="24" t="s">
        <v>814</v>
      </c>
      <c r="C151" s="24" t="s">
        <v>815</v>
      </c>
      <c r="D151" s="24" t="s">
        <v>275</v>
      </c>
      <c r="E151" s="28">
        <v>78914</v>
      </c>
      <c r="F151" s="25">
        <v>28.117058199999999</v>
      </c>
      <c r="G151" s="26">
        <v>0.13976271169031301</v>
      </c>
      <c r="H151" s="29"/>
    </row>
    <row r="152" spans="2:9" x14ac:dyDescent="0.2">
      <c r="B152" s="24" t="s">
        <v>816</v>
      </c>
      <c r="C152" s="24" t="s">
        <v>817</v>
      </c>
      <c r="D152" s="24" t="s">
        <v>321</v>
      </c>
      <c r="E152" s="28">
        <v>38657</v>
      </c>
      <c r="F152" s="25">
        <v>28.026325</v>
      </c>
      <c r="G152" s="26">
        <v>0.13931170013774799</v>
      </c>
      <c r="H152" s="29"/>
    </row>
    <row r="153" spans="2:9" x14ac:dyDescent="0.2">
      <c r="B153" s="24" t="s">
        <v>818</v>
      </c>
      <c r="C153" s="24" t="s">
        <v>819</v>
      </c>
      <c r="D153" s="24" t="s">
        <v>569</v>
      </c>
      <c r="E153" s="28">
        <v>3367</v>
      </c>
      <c r="F153" s="25">
        <v>27.499972499999998</v>
      </c>
      <c r="G153" s="26">
        <v>0.136695336356669</v>
      </c>
      <c r="H153" s="29"/>
    </row>
    <row r="154" spans="2:9" x14ac:dyDescent="0.2">
      <c r="B154" s="24" t="s">
        <v>820</v>
      </c>
      <c r="C154" s="24" t="s">
        <v>821</v>
      </c>
      <c r="D154" s="24" t="s">
        <v>784</v>
      </c>
      <c r="E154" s="28">
        <v>2333</v>
      </c>
      <c r="F154" s="25">
        <v>22.725753000000001</v>
      </c>
      <c r="G154" s="26">
        <v>0.112963911156405</v>
      </c>
      <c r="H154" s="29"/>
    </row>
    <row r="155" spans="2:9" x14ac:dyDescent="0.2">
      <c r="B155" s="24" t="s">
        <v>822</v>
      </c>
      <c r="C155" s="24" t="s">
        <v>823</v>
      </c>
      <c r="D155" s="24" t="s">
        <v>372</v>
      </c>
      <c r="E155" s="28">
        <v>13007</v>
      </c>
      <c r="F155" s="25">
        <v>19.3687237</v>
      </c>
      <c r="G155" s="26">
        <v>9.6276976312281104E-2</v>
      </c>
      <c r="H155" s="29"/>
    </row>
    <row r="156" spans="2:9" x14ac:dyDescent="0.2">
      <c r="B156" s="24" t="s">
        <v>824</v>
      </c>
      <c r="C156" s="24" t="s">
        <v>825</v>
      </c>
      <c r="D156" s="24" t="s">
        <v>275</v>
      </c>
      <c r="E156" s="28">
        <v>61493</v>
      </c>
      <c r="F156" s="25">
        <v>17.955956</v>
      </c>
      <c r="G156" s="26">
        <v>8.9254469073579798E-2</v>
      </c>
      <c r="H156" s="29"/>
    </row>
    <row r="157" spans="2:9" x14ac:dyDescent="0.2">
      <c r="B157" s="23" t="s">
        <v>58</v>
      </c>
      <c r="C157" s="23"/>
      <c r="D157" s="23"/>
      <c r="E157" s="23"/>
      <c r="F157" s="31">
        <f>SUM(F7:F156)</f>
        <v>20106.379001000005</v>
      </c>
      <c r="G157" s="32">
        <f>SUM(G7:G156)</f>
        <v>99.943672323903428</v>
      </c>
      <c r="H157" s="23"/>
      <c r="I157" s="16"/>
    </row>
    <row r="158" spans="2:9" x14ac:dyDescent="0.2">
      <c r="B158" s="23" t="s">
        <v>399</v>
      </c>
      <c r="C158" s="23"/>
      <c r="D158" s="23"/>
      <c r="E158" s="23"/>
      <c r="F158" s="53" t="s">
        <v>400</v>
      </c>
      <c r="G158" s="54" t="s">
        <v>400</v>
      </c>
      <c r="H158" s="23"/>
      <c r="I158" s="16"/>
    </row>
    <row r="159" spans="2:9" x14ac:dyDescent="0.2">
      <c r="B159" s="23" t="s">
        <v>58</v>
      </c>
      <c r="C159" s="23"/>
      <c r="D159" s="23"/>
      <c r="E159" s="23"/>
      <c r="F159" s="49" t="s">
        <v>400</v>
      </c>
      <c r="G159" s="50" t="s">
        <v>400</v>
      </c>
      <c r="H159" s="23"/>
      <c r="I159" s="16"/>
    </row>
    <row r="160" spans="2:9" x14ac:dyDescent="0.2">
      <c r="B160" s="36" t="s">
        <v>100</v>
      </c>
      <c r="C160" s="36"/>
      <c r="D160" s="36"/>
      <c r="E160" s="36"/>
      <c r="F160" s="37">
        <f>F157</f>
        <v>20106.379001000005</v>
      </c>
      <c r="G160" s="38">
        <f>G157</f>
        <v>99.943672323903428</v>
      </c>
      <c r="H160" s="23"/>
      <c r="I160" s="16"/>
    </row>
    <row r="161" spans="2:9" x14ac:dyDescent="0.2">
      <c r="B161" s="23" t="s">
        <v>108</v>
      </c>
      <c r="C161" s="23"/>
      <c r="D161" s="23"/>
      <c r="E161" s="23"/>
      <c r="F161" s="31">
        <v>94.800894499999998</v>
      </c>
      <c r="G161" s="32">
        <v>0.47123102252522497</v>
      </c>
      <c r="H161" s="29">
        <v>5.04819029E-2</v>
      </c>
      <c r="I161" s="17"/>
    </row>
    <row r="162" spans="2:9" x14ac:dyDescent="0.2">
      <c r="B162" s="24"/>
      <c r="C162" s="24"/>
      <c r="D162" s="24"/>
      <c r="E162" s="24"/>
      <c r="F162" s="25"/>
      <c r="G162" s="26"/>
      <c r="H162" s="24"/>
    </row>
    <row r="163" spans="2:9" x14ac:dyDescent="0.2">
      <c r="B163" s="43" t="s">
        <v>110</v>
      </c>
      <c r="C163" s="43"/>
      <c r="D163" s="43"/>
      <c r="E163" s="43"/>
      <c r="F163" s="31">
        <f>F164-(F157+F161)</f>
        <v>-83.469055500005197</v>
      </c>
      <c r="G163" s="32">
        <f>G164-(G157+G161)</f>
        <v>-0.41490334642865889</v>
      </c>
      <c r="H163" s="23"/>
      <c r="I163" s="16"/>
    </row>
    <row r="164" spans="2:9" x14ac:dyDescent="0.2">
      <c r="B164" s="39" t="s">
        <v>109</v>
      </c>
      <c r="C164" s="39"/>
      <c r="D164" s="39"/>
      <c r="E164" s="39"/>
      <c r="F164" s="40">
        <v>20117.71084</v>
      </c>
      <c r="G164" s="41">
        <v>100</v>
      </c>
      <c r="H164" s="55"/>
      <c r="I164" s="16"/>
    </row>
    <row r="167" spans="2:9" x14ac:dyDescent="0.2">
      <c r="B167" s="16" t="s">
        <v>114</v>
      </c>
    </row>
    <row r="184" spans="2:2" x14ac:dyDescent="0.2">
      <c r="B184" s="66" t="s">
        <v>1469</v>
      </c>
    </row>
    <row r="185" spans="2:2" x14ac:dyDescent="0.2">
      <c r="B185" s="67" t="s">
        <v>1476</v>
      </c>
    </row>
  </sheetData>
  <mergeCells count="1">
    <mergeCell ref="B1:C1"/>
  </mergeCells>
  <conditionalFormatting sqref="G1:G3 G5:G204">
    <cfRule type="cellIs" dxfId="3" priority="2" stopIfTrue="1" operator="between">
      <formula>0.009</formula>
      <formula>-0.009</formula>
    </cfRule>
  </conditionalFormatting>
  <hyperlinks>
    <hyperlink ref="A2" location="Index!A1" display="-" xr:uid="{BEE37677-5702-4EF1-BAC1-35E9A9C8A9CF}"/>
  </hyperlinks>
  <pageMargins left="0.7" right="0.7" top="0.75" bottom="0.75" header="0.3" footer="0.3"/>
  <pageSetup paperSize="9" scale="34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203" min="1" max="7" man="1"/>
  </rowBreaks>
  <colBreaks count="1" manualBreakCount="1">
    <brk id="8" max="413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61D8-13D9-4ECB-9FC5-3C4701CF75CE}">
  <dimension ref="A1:I288"/>
  <sheetViews>
    <sheetView view="pageBreakPreview" zoomScaleNormal="100" zoomScaleSheetLayoutView="100" workbookViewId="0">
      <selection activeCell="A39" sqref="A39"/>
    </sheetView>
  </sheetViews>
  <sheetFormatPr defaultColWidth="9.109375" defaultRowHeight="10.199999999999999" x14ac:dyDescent="0.2"/>
  <cols>
    <col min="1" max="1" width="7.21875" style="6" customWidth="1"/>
    <col min="2" max="2" width="52.44140625" style="6" bestFit="1" customWidth="1"/>
    <col min="3" max="3" width="11.21875" style="6" bestFit="1" customWidth="1"/>
    <col min="4" max="4" width="32.21875" style="6" bestFit="1" customWidth="1"/>
    <col min="5" max="5" width="13.6640625" style="6" bestFit="1" customWidth="1"/>
    <col min="6" max="6" width="16" style="8" customWidth="1"/>
    <col min="7" max="7" width="9.77734375" style="14" customWidth="1"/>
    <col min="8" max="8" width="14.33203125" style="6" customWidth="1"/>
    <col min="9" max="16384" width="9.109375" style="6"/>
  </cols>
  <sheetData>
    <row r="1" spans="1:8" s="1" customFormat="1" ht="16.8" customHeight="1" x14ac:dyDescent="0.25">
      <c r="B1" s="98" t="s">
        <v>19</v>
      </c>
      <c r="C1" s="99"/>
      <c r="D1" s="10"/>
      <c r="F1" s="5"/>
      <c r="G1" s="14"/>
    </row>
    <row r="2" spans="1:8" s="1" customFormat="1" ht="14.4" x14ac:dyDescent="0.3">
      <c r="A2" s="65" t="s">
        <v>1481</v>
      </c>
      <c r="F2" s="5"/>
      <c r="G2" s="14"/>
    </row>
    <row r="3" spans="1:8" s="1" customFormat="1" ht="12" x14ac:dyDescent="0.2">
      <c r="B3" s="7" t="s">
        <v>9</v>
      </c>
      <c r="C3" s="2"/>
      <c r="D3" s="3"/>
      <c r="E3" s="3"/>
      <c r="F3" s="4"/>
      <c r="G3" s="14"/>
    </row>
    <row r="4" spans="1:8" s="1" customFormat="1" ht="31.05" customHeight="1" x14ac:dyDescent="0.2">
      <c r="B4" s="18" t="s">
        <v>7</v>
      </c>
      <c r="C4" s="18" t="s">
        <v>8</v>
      </c>
      <c r="D4" s="19" t="s">
        <v>401</v>
      </c>
      <c r="E4" s="19" t="s">
        <v>0</v>
      </c>
      <c r="F4" s="20" t="s">
        <v>4</v>
      </c>
      <c r="G4" s="21" t="s">
        <v>5</v>
      </c>
      <c r="H4" s="57" t="s">
        <v>6</v>
      </c>
    </row>
    <row r="5" spans="1:8" x14ac:dyDescent="0.2">
      <c r="B5" s="23" t="s">
        <v>272</v>
      </c>
      <c r="C5" s="24"/>
      <c r="D5" s="24"/>
      <c r="E5" s="24"/>
      <c r="F5" s="25"/>
      <c r="G5" s="26"/>
      <c r="H5" s="24"/>
    </row>
    <row r="6" spans="1:8" x14ac:dyDescent="0.2">
      <c r="B6" s="23" t="s">
        <v>244</v>
      </c>
      <c r="C6" s="24"/>
      <c r="D6" s="24"/>
      <c r="E6" s="24"/>
      <c r="F6" s="25"/>
      <c r="G6" s="26"/>
      <c r="H6" s="24"/>
    </row>
    <row r="7" spans="1:8" x14ac:dyDescent="0.2">
      <c r="B7" s="24" t="s">
        <v>826</v>
      </c>
      <c r="C7" s="24" t="s">
        <v>827</v>
      </c>
      <c r="D7" s="24" t="s">
        <v>517</v>
      </c>
      <c r="E7" s="28">
        <v>31820</v>
      </c>
      <c r="F7" s="25">
        <v>804.40959999999995</v>
      </c>
      <c r="G7" s="26">
        <v>3.3928566025963098</v>
      </c>
      <c r="H7" s="29"/>
    </row>
    <row r="8" spans="1:8" x14ac:dyDescent="0.2">
      <c r="B8" s="24" t="s">
        <v>828</v>
      </c>
      <c r="C8" s="24" t="s">
        <v>829</v>
      </c>
      <c r="D8" s="24" t="s">
        <v>318</v>
      </c>
      <c r="E8" s="28">
        <v>48459</v>
      </c>
      <c r="F8" s="25">
        <v>467.62934999999999</v>
      </c>
      <c r="G8" s="26">
        <v>1.97237741533085</v>
      </c>
      <c r="H8" s="29"/>
    </row>
    <row r="9" spans="1:8" x14ac:dyDescent="0.2">
      <c r="B9" s="24" t="s">
        <v>830</v>
      </c>
      <c r="C9" s="24" t="s">
        <v>831</v>
      </c>
      <c r="D9" s="24" t="s">
        <v>275</v>
      </c>
      <c r="E9" s="28">
        <v>117795</v>
      </c>
      <c r="F9" s="25">
        <v>355.03413</v>
      </c>
      <c r="G9" s="26">
        <v>1.4974708060638999</v>
      </c>
      <c r="H9" s="29"/>
    </row>
    <row r="10" spans="1:8" x14ac:dyDescent="0.2">
      <c r="B10" s="24" t="s">
        <v>832</v>
      </c>
      <c r="C10" s="24" t="s">
        <v>833</v>
      </c>
      <c r="D10" s="24" t="s">
        <v>517</v>
      </c>
      <c r="E10" s="28">
        <v>22218</v>
      </c>
      <c r="F10" s="25">
        <v>293.32203600000003</v>
      </c>
      <c r="G10" s="26">
        <v>1.2371801710591099</v>
      </c>
      <c r="H10" s="29"/>
    </row>
    <row r="11" spans="1:8" x14ac:dyDescent="0.2">
      <c r="B11" s="24" t="s">
        <v>834</v>
      </c>
      <c r="C11" s="24" t="s">
        <v>835</v>
      </c>
      <c r="D11" s="24" t="s">
        <v>361</v>
      </c>
      <c r="E11" s="28">
        <v>67920</v>
      </c>
      <c r="F11" s="25">
        <v>287.26763999999997</v>
      </c>
      <c r="G11" s="26">
        <v>1.2116438057008001</v>
      </c>
      <c r="H11" s="29"/>
    </row>
    <row r="12" spans="1:8" x14ac:dyDescent="0.2">
      <c r="B12" s="24" t="s">
        <v>836</v>
      </c>
      <c r="C12" s="24" t="s">
        <v>837</v>
      </c>
      <c r="D12" s="24" t="s">
        <v>338</v>
      </c>
      <c r="E12" s="28">
        <v>40932</v>
      </c>
      <c r="F12" s="25">
        <v>280.752588</v>
      </c>
      <c r="G12" s="26">
        <v>1.18416447527702</v>
      </c>
      <c r="H12" s="29"/>
    </row>
    <row r="13" spans="1:8" x14ac:dyDescent="0.2">
      <c r="B13" s="24" t="s">
        <v>838</v>
      </c>
      <c r="C13" s="24" t="s">
        <v>839</v>
      </c>
      <c r="D13" s="24" t="s">
        <v>456</v>
      </c>
      <c r="E13" s="28">
        <v>4585</v>
      </c>
      <c r="F13" s="25">
        <v>279.63914999999997</v>
      </c>
      <c r="G13" s="26">
        <v>1.1794681918539001</v>
      </c>
      <c r="H13" s="29"/>
    </row>
    <row r="14" spans="1:8" x14ac:dyDescent="0.2">
      <c r="B14" s="24" t="s">
        <v>840</v>
      </c>
      <c r="C14" s="24" t="s">
        <v>841</v>
      </c>
      <c r="D14" s="24" t="s">
        <v>419</v>
      </c>
      <c r="E14" s="28">
        <v>9765</v>
      </c>
      <c r="F14" s="25">
        <v>276.16396500000002</v>
      </c>
      <c r="G14" s="26">
        <v>1.1648104796976899</v>
      </c>
      <c r="H14" s="29"/>
    </row>
    <row r="15" spans="1:8" x14ac:dyDescent="0.2">
      <c r="B15" s="24" t="s">
        <v>842</v>
      </c>
      <c r="C15" s="24" t="s">
        <v>843</v>
      </c>
      <c r="D15" s="24" t="s">
        <v>275</v>
      </c>
      <c r="E15" s="28">
        <v>90018</v>
      </c>
      <c r="F15" s="25">
        <v>271.62931500000002</v>
      </c>
      <c r="G15" s="26">
        <v>1.1456841326315099</v>
      </c>
      <c r="H15" s="29"/>
    </row>
    <row r="16" spans="1:8" x14ac:dyDescent="0.2">
      <c r="B16" s="24" t="s">
        <v>844</v>
      </c>
      <c r="C16" s="24" t="s">
        <v>845</v>
      </c>
      <c r="D16" s="24" t="s">
        <v>275</v>
      </c>
      <c r="E16" s="28">
        <v>75096</v>
      </c>
      <c r="F16" s="25">
        <v>224.3493</v>
      </c>
      <c r="G16" s="26">
        <v>0.94626543963779097</v>
      </c>
      <c r="H16" s="29"/>
    </row>
    <row r="17" spans="2:8" x14ac:dyDescent="0.2">
      <c r="B17" s="24" t="s">
        <v>846</v>
      </c>
      <c r="C17" s="24" t="s">
        <v>847</v>
      </c>
      <c r="D17" s="24" t="s">
        <v>517</v>
      </c>
      <c r="E17" s="28">
        <v>29951</v>
      </c>
      <c r="F17" s="25">
        <v>208.17442550000001</v>
      </c>
      <c r="G17" s="26">
        <v>0.87804269622014497</v>
      </c>
      <c r="H17" s="29"/>
    </row>
    <row r="18" spans="2:8" x14ac:dyDescent="0.2">
      <c r="B18" s="24" t="s">
        <v>848</v>
      </c>
      <c r="C18" s="24" t="s">
        <v>849</v>
      </c>
      <c r="D18" s="24" t="s">
        <v>306</v>
      </c>
      <c r="E18" s="28">
        <v>12358</v>
      </c>
      <c r="F18" s="25">
        <v>204.43839399999999</v>
      </c>
      <c r="G18" s="26">
        <v>0.8622847799269</v>
      </c>
      <c r="H18" s="29"/>
    </row>
    <row r="19" spans="2:8" x14ac:dyDescent="0.2">
      <c r="B19" s="24" t="s">
        <v>850</v>
      </c>
      <c r="C19" s="24" t="s">
        <v>851</v>
      </c>
      <c r="D19" s="24" t="s">
        <v>517</v>
      </c>
      <c r="E19" s="28">
        <v>8039</v>
      </c>
      <c r="F19" s="25">
        <v>204.26295099999999</v>
      </c>
      <c r="G19" s="26">
        <v>0.86154479256109795</v>
      </c>
      <c r="H19" s="29"/>
    </row>
    <row r="20" spans="2:8" x14ac:dyDescent="0.2">
      <c r="B20" s="24" t="s">
        <v>852</v>
      </c>
      <c r="C20" s="24" t="s">
        <v>853</v>
      </c>
      <c r="D20" s="24" t="s">
        <v>854</v>
      </c>
      <c r="E20" s="28">
        <v>74108</v>
      </c>
      <c r="F20" s="25">
        <v>201.166166</v>
      </c>
      <c r="G20" s="26">
        <v>0.84848310429423601</v>
      </c>
      <c r="H20" s="29"/>
    </row>
    <row r="21" spans="2:8" x14ac:dyDescent="0.2">
      <c r="B21" s="24" t="s">
        <v>855</v>
      </c>
      <c r="C21" s="24" t="s">
        <v>856</v>
      </c>
      <c r="D21" s="24" t="s">
        <v>306</v>
      </c>
      <c r="E21" s="28">
        <v>68453</v>
      </c>
      <c r="F21" s="25">
        <v>194.85146449999999</v>
      </c>
      <c r="G21" s="26">
        <v>0.82184881664065801</v>
      </c>
      <c r="H21" s="29"/>
    </row>
    <row r="22" spans="2:8" x14ac:dyDescent="0.2">
      <c r="B22" s="24" t="s">
        <v>857</v>
      </c>
      <c r="C22" s="24" t="s">
        <v>858</v>
      </c>
      <c r="D22" s="24" t="s">
        <v>306</v>
      </c>
      <c r="E22" s="28">
        <v>23440</v>
      </c>
      <c r="F22" s="25">
        <v>192.77055999999999</v>
      </c>
      <c r="G22" s="26">
        <v>0.81307193161566904</v>
      </c>
      <c r="H22" s="29"/>
    </row>
    <row r="23" spans="2:8" x14ac:dyDescent="0.2">
      <c r="B23" s="24" t="s">
        <v>859</v>
      </c>
      <c r="C23" s="24" t="s">
        <v>860</v>
      </c>
      <c r="D23" s="24" t="s">
        <v>318</v>
      </c>
      <c r="E23" s="28">
        <v>10199</v>
      </c>
      <c r="F23" s="25">
        <v>190.67030500000001</v>
      </c>
      <c r="G23" s="26">
        <v>0.80421342962379105</v>
      </c>
      <c r="H23" s="29"/>
    </row>
    <row r="24" spans="2:8" x14ac:dyDescent="0.2">
      <c r="B24" s="24" t="s">
        <v>861</v>
      </c>
      <c r="C24" s="24" t="s">
        <v>862</v>
      </c>
      <c r="D24" s="24" t="s">
        <v>390</v>
      </c>
      <c r="E24" s="28">
        <v>30803</v>
      </c>
      <c r="F24" s="25">
        <v>185.97311250000001</v>
      </c>
      <c r="G24" s="26">
        <v>0.78440150720604396</v>
      </c>
      <c r="H24" s="29"/>
    </row>
    <row r="25" spans="2:8" x14ac:dyDescent="0.2">
      <c r="B25" s="24" t="s">
        <v>863</v>
      </c>
      <c r="C25" s="24" t="s">
        <v>864</v>
      </c>
      <c r="D25" s="24" t="s">
        <v>318</v>
      </c>
      <c r="E25" s="28">
        <v>9926</v>
      </c>
      <c r="F25" s="25">
        <v>183.29351600000001</v>
      </c>
      <c r="G25" s="26">
        <v>0.77309944582174595</v>
      </c>
      <c r="H25" s="29"/>
    </row>
    <row r="26" spans="2:8" x14ac:dyDescent="0.2">
      <c r="B26" s="24" t="s">
        <v>865</v>
      </c>
      <c r="C26" s="24" t="s">
        <v>866</v>
      </c>
      <c r="D26" s="24" t="s">
        <v>324</v>
      </c>
      <c r="E26" s="28">
        <v>80145</v>
      </c>
      <c r="F26" s="25">
        <v>177.48110249999999</v>
      </c>
      <c r="G26" s="26">
        <v>0.74858371960403902</v>
      </c>
      <c r="H26" s="29"/>
    </row>
    <row r="27" spans="2:8" x14ac:dyDescent="0.2">
      <c r="B27" s="24" t="s">
        <v>867</v>
      </c>
      <c r="C27" s="24" t="s">
        <v>868</v>
      </c>
      <c r="D27" s="24" t="s">
        <v>333</v>
      </c>
      <c r="E27" s="28">
        <v>15756</v>
      </c>
      <c r="F27" s="25">
        <v>176.62476000000001</v>
      </c>
      <c r="G27" s="26">
        <v>0.74497181926718503</v>
      </c>
      <c r="H27" s="29"/>
    </row>
    <row r="28" spans="2:8" x14ac:dyDescent="0.2">
      <c r="B28" s="24" t="s">
        <v>869</v>
      </c>
      <c r="C28" s="24" t="s">
        <v>870</v>
      </c>
      <c r="D28" s="24" t="s">
        <v>275</v>
      </c>
      <c r="E28" s="28">
        <v>110045</v>
      </c>
      <c r="F28" s="25">
        <v>170.18459250000001</v>
      </c>
      <c r="G28" s="26">
        <v>0.71780833834378299</v>
      </c>
      <c r="H28" s="29"/>
    </row>
    <row r="29" spans="2:8" x14ac:dyDescent="0.2">
      <c r="B29" s="24" t="s">
        <v>871</v>
      </c>
      <c r="C29" s="24" t="s">
        <v>872</v>
      </c>
      <c r="D29" s="24" t="s">
        <v>517</v>
      </c>
      <c r="E29" s="28">
        <v>16626</v>
      </c>
      <c r="F29" s="25">
        <v>168.58763999999999</v>
      </c>
      <c r="G29" s="26">
        <v>0.71107267676831498</v>
      </c>
      <c r="H29" s="29"/>
    </row>
    <row r="30" spans="2:8" x14ac:dyDescent="0.2">
      <c r="B30" s="24" t="s">
        <v>873</v>
      </c>
      <c r="C30" s="24" t="s">
        <v>874</v>
      </c>
      <c r="D30" s="24" t="s">
        <v>306</v>
      </c>
      <c r="E30" s="28">
        <v>33037</v>
      </c>
      <c r="F30" s="25">
        <v>166.90292400000001</v>
      </c>
      <c r="G30" s="26">
        <v>0.70396684436141699</v>
      </c>
      <c r="H30" s="29"/>
    </row>
    <row r="31" spans="2:8" x14ac:dyDescent="0.2">
      <c r="B31" s="24" t="s">
        <v>875</v>
      </c>
      <c r="C31" s="24" t="s">
        <v>876</v>
      </c>
      <c r="D31" s="24" t="s">
        <v>289</v>
      </c>
      <c r="E31" s="28">
        <v>14163</v>
      </c>
      <c r="F31" s="25">
        <v>162.02472</v>
      </c>
      <c r="G31" s="26">
        <v>0.68339144763540605</v>
      </c>
      <c r="H31" s="29"/>
    </row>
    <row r="32" spans="2:8" x14ac:dyDescent="0.2">
      <c r="B32" s="24" t="s">
        <v>877</v>
      </c>
      <c r="C32" s="24" t="s">
        <v>878</v>
      </c>
      <c r="D32" s="24" t="s">
        <v>390</v>
      </c>
      <c r="E32" s="28">
        <v>28988</v>
      </c>
      <c r="F32" s="25">
        <v>160.057242</v>
      </c>
      <c r="G32" s="26">
        <v>0.675092975410854</v>
      </c>
      <c r="H32" s="29"/>
    </row>
    <row r="33" spans="2:8" x14ac:dyDescent="0.2">
      <c r="B33" s="24" t="s">
        <v>879</v>
      </c>
      <c r="C33" s="24" t="s">
        <v>880</v>
      </c>
      <c r="D33" s="24" t="s">
        <v>324</v>
      </c>
      <c r="E33" s="28">
        <v>2716</v>
      </c>
      <c r="F33" s="25">
        <v>155.24655999999999</v>
      </c>
      <c r="G33" s="26">
        <v>0.65480237446987699</v>
      </c>
      <c r="H33" s="29"/>
    </row>
    <row r="34" spans="2:8" x14ac:dyDescent="0.2">
      <c r="B34" s="24" t="s">
        <v>881</v>
      </c>
      <c r="C34" s="24" t="s">
        <v>882</v>
      </c>
      <c r="D34" s="24" t="s">
        <v>517</v>
      </c>
      <c r="E34" s="28">
        <v>5312</v>
      </c>
      <c r="F34" s="25">
        <v>153.272448</v>
      </c>
      <c r="G34" s="26">
        <v>0.64647592121339603</v>
      </c>
      <c r="H34" s="29"/>
    </row>
    <row r="35" spans="2:8" x14ac:dyDescent="0.2">
      <c r="B35" s="24" t="s">
        <v>883</v>
      </c>
      <c r="C35" s="24" t="s">
        <v>884</v>
      </c>
      <c r="D35" s="24" t="s">
        <v>306</v>
      </c>
      <c r="E35" s="28">
        <v>28984</v>
      </c>
      <c r="F35" s="25">
        <v>153.23840799999999</v>
      </c>
      <c r="G35" s="26">
        <v>0.64633234654850802</v>
      </c>
      <c r="H35" s="29"/>
    </row>
    <row r="36" spans="2:8" x14ac:dyDescent="0.2">
      <c r="B36" s="24" t="s">
        <v>885</v>
      </c>
      <c r="C36" s="24" t="s">
        <v>886</v>
      </c>
      <c r="D36" s="24" t="s">
        <v>439</v>
      </c>
      <c r="E36" s="28">
        <v>15117</v>
      </c>
      <c r="F36" s="25">
        <v>151.442106</v>
      </c>
      <c r="G36" s="26">
        <v>0.63875586424278097</v>
      </c>
      <c r="H36" s="29"/>
    </row>
    <row r="37" spans="2:8" x14ac:dyDescent="0.2">
      <c r="B37" s="24" t="s">
        <v>887</v>
      </c>
      <c r="C37" s="24" t="s">
        <v>888</v>
      </c>
      <c r="D37" s="24" t="s">
        <v>390</v>
      </c>
      <c r="E37" s="28">
        <v>8470</v>
      </c>
      <c r="F37" s="25">
        <v>149.74113</v>
      </c>
      <c r="G37" s="26">
        <v>0.63158145004824895</v>
      </c>
      <c r="H37" s="29"/>
    </row>
    <row r="38" spans="2:8" x14ac:dyDescent="0.2">
      <c r="B38" s="24" t="s">
        <v>889</v>
      </c>
      <c r="C38" s="24" t="s">
        <v>890</v>
      </c>
      <c r="D38" s="24" t="s">
        <v>361</v>
      </c>
      <c r="E38" s="28">
        <v>12367</v>
      </c>
      <c r="F38" s="25">
        <v>148.70080799999999</v>
      </c>
      <c r="G38" s="26">
        <v>0.627193556907086</v>
      </c>
      <c r="H38" s="29"/>
    </row>
    <row r="39" spans="2:8" x14ac:dyDescent="0.2">
      <c r="B39" s="24" t="s">
        <v>891</v>
      </c>
      <c r="C39" s="24" t="s">
        <v>892</v>
      </c>
      <c r="D39" s="24" t="s">
        <v>456</v>
      </c>
      <c r="E39" s="28">
        <v>19515</v>
      </c>
      <c r="F39" s="25">
        <v>145.5135975</v>
      </c>
      <c r="G39" s="26">
        <v>0.61375046996631599</v>
      </c>
      <c r="H39" s="29"/>
    </row>
    <row r="40" spans="2:8" x14ac:dyDescent="0.2">
      <c r="B40" s="24" t="s">
        <v>893</v>
      </c>
      <c r="C40" s="24" t="s">
        <v>894</v>
      </c>
      <c r="D40" s="24" t="s">
        <v>306</v>
      </c>
      <c r="E40" s="28">
        <v>96275</v>
      </c>
      <c r="F40" s="25">
        <v>145.09605250000001</v>
      </c>
      <c r="G40" s="26">
        <v>0.61198933943016798</v>
      </c>
      <c r="H40" s="29"/>
    </row>
    <row r="41" spans="2:8" x14ac:dyDescent="0.2">
      <c r="B41" s="24" t="s">
        <v>895</v>
      </c>
      <c r="C41" s="24" t="s">
        <v>896</v>
      </c>
      <c r="D41" s="24" t="s">
        <v>306</v>
      </c>
      <c r="E41" s="28">
        <v>35871</v>
      </c>
      <c r="F41" s="25">
        <v>143.12529000000001</v>
      </c>
      <c r="G41" s="26">
        <v>0.60367701376886995</v>
      </c>
      <c r="H41" s="29"/>
    </row>
    <row r="42" spans="2:8" x14ac:dyDescent="0.2">
      <c r="B42" s="24" t="s">
        <v>897</v>
      </c>
      <c r="C42" s="24" t="s">
        <v>898</v>
      </c>
      <c r="D42" s="24" t="s">
        <v>318</v>
      </c>
      <c r="E42" s="28">
        <v>17102</v>
      </c>
      <c r="F42" s="25">
        <v>142.82735299999999</v>
      </c>
      <c r="G42" s="26">
        <v>0.60242036850057901</v>
      </c>
      <c r="H42" s="29"/>
    </row>
    <row r="43" spans="2:8" x14ac:dyDescent="0.2">
      <c r="B43" s="24" t="s">
        <v>899</v>
      </c>
      <c r="C43" s="24" t="s">
        <v>900</v>
      </c>
      <c r="D43" s="24" t="s">
        <v>318</v>
      </c>
      <c r="E43" s="28">
        <v>10303</v>
      </c>
      <c r="F43" s="25">
        <v>142.40806599999999</v>
      </c>
      <c r="G43" s="26">
        <v>0.60065189051830203</v>
      </c>
      <c r="H43" s="29"/>
    </row>
    <row r="44" spans="2:8" x14ac:dyDescent="0.2">
      <c r="B44" s="24" t="s">
        <v>901</v>
      </c>
      <c r="C44" s="24" t="s">
        <v>902</v>
      </c>
      <c r="D44" s="24" t="s">
        <v>318</v>
      </c>
      <c r="E44" s="28">
        <v>1069</v>
      </c>
      <c r="F44" s="25">
        <v>141.65319</v>
      </c>
      <c r="G44" s="26">
        <v>0.59746795782935602</v>
      </c>
      <c r="H44" s="29"/>
    </row>
    <row r="45" spans="2:8" x14ac:dyDescent="0.2">
      <c r="B45" s="24" t="s">
        <v>903</v>
      </c>
      <c r="C45" s="24" t="s">
        <v>904</v>
      </c>
      <c r="D45" s="24" t="s">
        <v>439</v>
      </c>
      <c r="E45" s="28">
        <v>942</v>
      </c>
      <c r="F45" s="25">
        <v>141.19638</v>
      </c>
      <c r="G45" s="26">
        <v>0.59554121450775499</v>
      </c>
      <c r="H45" s="29"/>
    </row>
    <row r="46" spans="2:8" x14ac:dyDescent="0.2">
      <c r="B46" s="24" t="s">
        <v>905</v>
      </c>
      <c r="C46" s="24" t="s">
        <v>906</v>
      </c>
      <c r="D46" s="24" t="s">
        <v>372</v>
      </c>
      <c r="E46" s="28">
        <v>29271</v>
      </c>
      <c r="F46" s="25">
        <v>137.35416749999999</v>
      </c>
      <c r="G46" s="26">
        <v>0.57933544564422701</v>
      </c>
      <c r="H46" s="29"/>
    </row>
    <row r="47" spans="2:8" x14ac:dyDescent="0.2">
      <c r="B47" s="24" t="s">
        <v>907</v>
      </c>
      <c r="C47" s="24" t="s">
        <v>908</v>
      </c>
      <c r="D47" s="24" t="s">
        <v>439</v>
      </c>
      <c r="E47" s="28">
        <v>317122</v>
      </c>
      <c r="F47" s="25">
        <v>136.86985519999999</v>
      </c>
      <c r="G47" s="26">
        <v>0.57729270251339704</v>
      </c>
      <c r="H47" s="29"/>
    </row>
    <row r="48" spans="2:8" x14ac:dyDescent="0.2">
      <c r="B48" s="24" t="s">
        <v>909</v>
      </c>
      <c r="C48" s="24" t="s">
        <v>910</v>
      </c>
      <c r="D48" s="24" t="s">
        <v>538</v>
      </c>
      <c r="E48" s="28">
        <v>755</v>
      </c>
      <c r="F48" s="25">
        <v>136.33789999999999</v>
      </c>
      <c r="G48" s="26">
        <v>0.57504901010519405</v>
      </c>
      <c r="H48" s="29"/>
    </row>
    <row r="49" spans="2:8" x14ac:dyDescent="0.2">
      <c r="B49" s="24" t="s">
        <v>911</v>
      </c>
      <c r="C49" s="24" t="s">
        <v>912</v>
      </c>
      <c r="D49" s="24" t="s">
        <v>390</v>
      </c>
      <c r="E49" s="28">
        <v>9657</v>
      </c>
      <c r="F49" s="25">
        <v>136.11541500000001</v>
      </c>
      <c r="G49" s="26">
        <v>0.57411060795132995</v>
      </c>
      <c r="H49" s="29"/>
    </row>
    <row r="50" spans="2:8" x14ac:dyDescent="0.2">
      <c r="B50" s="24" t="s">
        <v>913</v>
      </c>
      <c r="C50" s="24" t="s">
        <v>914</v>
      </c>
      <c r="D50" s="24" t="s">
        <v>507</v>
      </c>
      <c r="E50" s="28">
        <v>3902</v>
      </c>
      <c r="F50" s="25">
        <v>135.610108</v>
      </c>
      <c r="G50" s="26">
        <v>0.57197931291048498</v>
      </c>
      <c r="H50" s="29"/>
    </row>
    <row r="51" spans="2:8" x14ac:dyDescent="0.2">
      <c r="B51" s="24" t="s">
        <v>915</v>
      </c>
      <c r="C51" s="24" t="s">
        <v>916</v>
      </c>
      <c r="D51" s="24" t="s">
        <v>456</v>
      </c>
      <c r="E51" s="28">
        <v>29269</v>
      </c>
      <c r="F51" s="25">
        <v>134.85691750000001</v>
      </c>
      <c r="G51" s="26">
        <v>0.56880248936071898</v>
      </c>
      <c r="H51" s="29"/>
    </row>
    <row r="52" spans="2:8" x14ac:dyDescent="0.2">
      <c r="B52" s="24" t="s">
        <v>917</v>
      </c>
      <c r="C52" s="24" t="s">
        <v>918</v>
      </c>
      <c r="D52" s="24" t="s">
        <v>306</v>
      </c>
      <c r="E52" s="28">
        <v>11251</v>
      </c>
      <c r="F52" s="25">
        <v>132.61553699999999</v>
      </c>
      <c r="G52" s="26">
        <v>0.55934874511356503</v>
      </c>
      <c r="H52" s="29"/>
    </row>
    <row r="53" spans="2:8" x14ac:dyDescent="0.2">
      <c r="B53" s="24" t="s">
        <v>919</v>
      </c>
      <c r="C53" s="24" t="s">
        <v>920</v>
      </c>
      <c r="D53" s="24" t="s">
        <v>538</v>
      </c>
      <c r="E53" s="28">
        <v>4479</v>
      </c>
      <c r="F53" s="25">
        <v>131.75426400000001</v>
      </c>
      <c r="G53" s="26">
        <v>0.555716048804759</v>
      </c>
      <c r="H53" s="29"/>
    </row>
    <row r="54" spans="2:8" x14ac:dyDescent="0.2">
      <c r="B54" s="24" t="s">
        <v>921</v>
      </c>
      <c r="C54" s="24" t="s">
        <v>922</v>
      </c>
      <c r="D54" s="24" t="s">
        <v>439</v>
      </c>
      <c r="E54" s="28">
        <v>13785</v>
      </c>
      <c r="F54" s="25">
        <v>131.30212499999999</v>
      </c>
      <c r="G54" s="26">
        <v>0.55380900693027002</v>
      </c>
      <c r="H54" s="29"/>
    </row>
    <row r="55" spans="2:8" x14ac:dyDescent="0.2">
      <c r="B55" s="24" t="s">
        <v>923</v>
      </c>
      <c r="C55" s="24" t="s">
        <v>924</v>
      </c>
      <c r="D55" s="24" t="s">
        <v>467</v>
      </c>
      <c r="E55" s="28">
        <v>17325</v>
      </c>
      <c r="F55" s="25">
        <v>130.32731250000001</v>
      </c>
      <c r="G55" s="26">
        <v>0.54969742120712795</v>
      </c>
      <c r="H55" s="29"/>
    </row>
    <row r="56" spans="2:8" x14ac:dyDescent="0.2">
      <c r="B56" s="24" t="s">
        <v>925</v>
      </c>
      <c r="C56" s="24" t="s">
        <v>926</v>
      </c>
      <c r="D56" s="24" t="s">
        <v>472</v>
      </c>
      <c r="E56" s="28">
        <v>120272</v>
      </c>
      <c r="F56" s="25">
        <v>129.82159680000001</v>
      </c>
      <c r="G56" s="26">
        <v>0.54756440234238302</v>
      </c>
      <c r="H56" s="29"/>
    </row>
    <row r="57" spans="2:8" x14ac:dyDescent="0.2">
      <c r="B57" s="24" t="s">
        <v>927</v>
      </c>
      <c r="C57" s="24" t="s">
        <v>928</v>
      </c>
      <c r="D57" s="24" t="s">
        <v>439</v>
      </c>
      <c r="E57" s="28">
        <v>15278</v>
      </c>
      <c r="F57" s="25">
        <v>128.24353199999999</v>
      </c>
      <c r="G57" s="26">
        <v>0.54090840572572796</v>
      </c>
      <c r="H57" s="29"/>
    </row>
    <row r="58" spans="2:8" x14ac:dyDescent="0.2">
      <c r="B58" s="24" t="s">
        <v>929</v>
      </c>
      <c r="C58" s="24" t="s">
        <v>930</v>
      </c>
      <c r="D58" s="24" t="s">
        <v>289</v>
      </c>
      <c r="E58" s="28">
        <v>129142</v>
      </c>
      <c r="F58" s="25">
        <v>127.6697812</v>
      </c>
      <c r="G58" s="26">
        <v>0.53848842691142196</v>
      </c>
      <c r="H58" s="29"/>
    </row>
    <row r="59" spans="2:8" x14ac:dyDescent="0.2">
      <c r="B59" s="24" t="s">
        <v>931</v>
      </c>
      <c r="C59" s="24" t="s">
        <v>932</v>
      </c>
      <c r="D59" s="24" t="s">
        <v>517</v>
      </c>
      <c r="E59" s="28">
        <v>9479</v>
      </c>
      <c r="F59" s="25">
        <v>127.530466</v>
      </c>
      <c r="G59" s="26">
        <v>0.53790082017952501</v>
      </c>
      <c r="H59" s="29"/>
    </row>
    <row r="60" spans="2:8" x14ac:dyDescent="0.2">
      <c r="B60" s="24" t="s">
        <v>933</v>
      </c>
      <c r="C60" s="24" t="s">
        <v>934</v>
      </c>
      <c r="D60" s="24" t="s">
        <v>854</v>
      </c>
      <c r="E60" s="28">
        <v>39612</v>
      </c>
      <c r="F60" s="25">
        <v>126.698982</v>
      </c>
      <c r="G60" s="26">
        <v>0.53439376857378496</v>
      </c>
      <c r="H60" s="29"/>
    </row>
    <row r="61" spans="2:8" x14ac:dyDescent="0.2">
      <c r="B61" s="24" t="s">
        <v>935</v>
      </c>
      <c r="C61" s="24" t="s">
        <v>936</v>
      </c>
      <c r="D61" s="24" t="s">
        <v>517</v>
      </c>
      <c r="E61" s="28">
        <v>99127</v>
      </c>
      <c r="F61" s="25">
        <v>125.68312330000001</v>
      </c>
      <c r="G61" s="26">
        <v>0.530109057280434</v>
      </c>
      <c r="H61" s="29"/>
    </row>
    <row r="62" spans="2:8" x14ac:dyDescent="0.2">
      <c r="B62" s="24" t="s">
        <v>937</v>
      </c>
      <c r="C62" s="24" t="s">
        <v>938</v>
      </c>
      <c r="D62" s="24" t="s">
        <v>854</v>
      </c>
      <c r="E62" s="28">
        <v>2658</v>
      </c>
      <c r="F62" s="25">
        <v>123.628896</v>
      </c>
      <c r="G62" s="26">
        <v>0.52144469193964404</v>
      </c>
      <c r="H62" s="29"/>
    </row>
    <row r="63" spans="2:8" x14ac:dyDescent="0.2">
      <c r="B63" s="24" t="s">
        <v>939</v>
      </c>
      <c r="C63" s="24" t="s">
        <v>940</v>
      </c>
      <c r="D63" s="24" t="s">
        <v>456</v>
      </c>
      <c r="E63" s="28">
        <v>1986</v>
      </c>
      <c r="F63" s="25">
        <v>123.38025</v>
      </c>
      <c r="G63" s="26">
        <v>0.52039594734135797</v>
      </c>
      <c r="H63" s="29"/>
    </row>
    <row r="64" spans="2:8" x14ac:dyDescent="0.2">
      <c r="B64" s="24" t="s">
        <v>941</v>
      </c>
      <c r="C64" s="24" t="s">
        <v>942</v>
      </c>
      <c r="D64" s="24" t="s">
        <v>765</v>
      </c>
      <c r="E64" s="28">
        <v>7901</v>
      </c>
      <c r="F64" s="25">
        <v>122.244272</v>
      </c>
      <c r="G64" s="26">
        <v>0.51560459420770099</v>
      </c>
      <c r="H64" s="29"/>
    </row>
    <row r="65" spans="2:8" x14ac:dyDescent="0.2">
      <c r="B65" s="24" t="s">
        <v>943</v>
      </c>
      <c r="C65" s="24" t="s">
        <v>944</v>
      </c>
      <c r="D65" s="24" t="s">
        <v>538</v>
      </c>
      <c r="E65" s="28">
        <v>10381</v>
      </c>
      <c r="F65" s="25">
        <v>121.87294</v>
      </c>
      <c r="G65" s="26">
        <v>0.514038381885079</v>
      </c>
      <c r="H65" s="29"/>
    </row>
    <row r="66" spans="2:8" x14ac:dyDescent="0.2">
      <c r="B66" s="24" t="s">
        <v>945</v>
      </c>
      <c r="C66" s="24" t="s">
        <v>946</v>
      </c>
      <c r="D66" s="24" t="s">
        <v>306</v>
      </c>
      <c r="E66" s="28">
        <v>44152</v>
      </c>
      <c r="F66" s="25">
        <v>121.59460799999999</v>
      </c>
      <c r="G66" s="26">
        <v>0.51286442701940604</v>
      </c>
      <c r="H66" s="29"/>
    </row>
    <row r="67" spans="2:8" x14ac:dyDescent="0.2">
      <c r="B67" s="24" t="s">
        <v>947</v>
      </c>
      <c r="C67" s="24" t="s">
        <v>948</v>
      </c>
      <c r="D67" s="24" t="s">
        <v>765</v>
      </c>
      <c r="E67" s="28">
        <v>10558</v>
      </c>
      <c r="F67" s="25">
        <v>120.16059799999999</v>
      </c>
      <c r="G67" s="26">
        <v>0.50681602792435698</v>
      </c>
      <c r="H67" s="29"/>
    </row>
    <row r="68" spans="2:8" x14ac:dyDescent="0.2">
      <c r="B68" s="24" t="s">
        <v>949</v>
      </c>
      <c r="C68" s="24" t="s">
        <v>950</v>
      </c>
      <c r="D68" s="24" t="s">
        <v>318</v>
      </c>
      <c r="E68" s="28">
        <v>77174</v>
      </c>
      <c r="F68" s="25">
        <v>119.3727432</v>
      </c>
      <c r="G68" s="26">
        <v>0.503492996523355</v>
      </c>
      <c r="H68" s="29"/>
    </row>
    <row r="69" spans="2:8" x14ac:dyDescent="0.2">
      <c r="B69" s="24" t="s">
        <v>951</v>
      </c>
      <c r="C69" s="24" t="s">
        <v>952</v>
      </c>
      <c r="D69" s="24" t="s">
        <v>538</v>
      </c>
      <c r="E69" s="28">
        <v>16307</v>
      </c>
      <c r="F69" s="25">
        <v>118.9187975</v>
      </c>
      <c r="G69" s="26">
        <v>0.50157833430964605</v>
      </c>
      <c r="H69" s="29"/>
    </row>
    <row r="70" spans="2:8" x14ac:dyDescent="0.2">
      <c r="B70" s="24" t="s">
        <v>953</v>
      </c>
      <c r="C70" s="24" t="s">
        <v>954</v>
      </c>
      <c r="D70" s="24" t="s">
        <v>448</v>
      </c>
      <c r="E70" s="28">
        <v>24573</v>
      </c>
      <c r="F70" s="25">
        <v>118.884174</v>
      </c>
      <c r="G70" s="26">
        <v>0.50143229854555205</v>
      </c>
      <c r="H70" s="29"/>
    </row>
    <row r="71" spans="2:8" x14ac:dyDescent="0.2">
      <c r="B71" s="24" t="s">
        <v>955</v>
      </c>
      <c r="C71" s="24" t="s">
        <v>956</v>
      </c>
      <c r="D71" s="24" t="s">
        <v>369</v>
      </c>
      <c r="E71" s="28">
        <v>12829</v>
      </c>
      <c r="F71" s="25">
        <v>118.424499</v>
      </c>
      <c r="G71" s="26">
        <v>0.499493471163584</v>
      </c>
      <c r="H71" s="29"/>
    </row>
    <row r="72" spans="2:8" x14ac:dyDescent="0.2">
      <c r="B72" s="24" t="s">
        <v>957</v>
      </c>
      <c r="C72" s="24" t="s">
        <v>958</v>
      </c>
      <c r="D72" s="24" t="s">
        <v>321</v>
      </c>
      <c r="E72" s="28">
        <v>78636</v>
      </c>
      <c r="F72" s="25">
        <v>118.0798176</v>
      </c>
      <c r="G72" s="26">
        <v>0.49803966633109298</v>
      </c>
      <c r="H72" s="29"/>
    </row>
    <row r="73" spans="2:8" x14ac:dyDescent="0.2">
      <c r="B73" s="24" t="s">
        <v>959</v>
      </c>
      <c r="C73" s="24" t="s">
        <v>960</v>
      </c>
      <c r="D73" s="24" t="s">
        <v>538</v>
      </c>
      <c r="E73" s="28">
        <v>26854</v>
      </c>
      <c r="F73" s="25">
        <v>115.794448</v>
      </c>
      <c r="G73" s="26">
        <v>0.488400383885019</v>
      </c>
      <c r="H73" s="29"/>
    </row>
    <row r="74" spans="2:8" x14ac:dyDescent="0.2">
      <c r="B74" s="24" t="s">
        <v>961</v>
      </c>
      <c r="C74" s="24" t="s">
        <v>962</v>
      </c>
      <c r="D74" s="24" t="s">
        <v>301</v>
      </c>
      <c r="E74" s="28">
        <v>601</v>
      </c>
      <c r="F74" s="25">
        <v>115.36194999999999</v>
      </c>
      <c r="G74" s="26">
        <v>0.48657618425474403</v>
      </c>
      <c r="H74" s="29"/>
    </row>
    <row r="75" spans="2:8" x14ac:dyDescent="0.2">
      <c r="B75" s="24" t="s">
        <v>963</v>
      </c>
      <c r="C75" s="24" t="s">
        <v>964</v>
      </c>
      <c r="D75" s="24" t="s">
        <v>453</v>
      </c>
      <c r="E75" s="28">
        <v>15668</v>
      </c>
      <c r="F75" s="25">
        <v>114.45474</v>
      </c>
      <c r="G75" s="26">
        <v>0.48274973385131598</v>
      </c>
      <c r="H75" s="29"/>
    </row>
    <row r="76" spans="2:8" x14ac:dyDescent="0.2">
      <c r="B76" s="24" t="s">
        <v>965</v>
      </c>
      <c r="C76" s="24" t="s">
        <v>966</v>
      </c>
      <c r="D76" s="24" t="s">
        <v>538</v>
      </c>
      <c r="E76" s="28">
        <v>14392</v>
      </c>
      <c r="F76" s="25">
        <v>113.44494</v>
      </c>
      <c r="G76" s="26">
        <v>0.47849057707683001</v>
      </c>
      <c r="H76" s="29"/>
    </row>
    <row r="77" spans="2:8" x14ac:dyDescent="0.2">
      <c r="B77" s="24" t="s">
        <v>967</v>
      </c>
      <c r="C77" s="24" t="s">
        <v>968</v>
      </c>
      <c r="D77" s="24" t="s">
        <v>439</v>
      </c>
      <c r="E77" s="28">
        <v>1530</v>
      </c>
      <c r="F77" s="25">
        <v>111.95010000000001</v>
      </c>
      <c r="G77" s="26">
        <v>0.47218560786235902</v>
      </c>
      <c r="H77" s="29"/>
    </row>
    <row r="78" spans="2:8" x14ac:dyDescent="0.2">
      <c r="B78" s="24" t="s">
        <v>969</v>
      </c>
      <c r="C78" s="24" t="s">
        <v>970</v>
      </c>
      <c r="D78" s="24" t="s">
        <v>280</v>
      </c>
      <c r="E78" s="28">
        <v>60246</v>
      </c>
      <c r="F78" s="25">
        <v>110.943009</v>
      </c>
      <c r="G78" s="26">
        <v>0.46793787716799001</v>
      </c>
      <c r="H78" s="29"/>
    </row>
    <row r="79" spans="2:8" x14ac:dyDescent="0.2">
      <c r="B79" s="24" t="s">
        <v>971</v>
      </c>
      <c r="C79" s="24" t="s">
        <v>972</v>
      </c>
      <c r="D79" s="24" t="s">
        <v>301</v>
      </c>
      <c r="E79" s="28">
        <v>17733</v>
      </c>
      <c r="F79" s="25">
        <v>110.1662625</v>
      </c>
      <c r="G79" s="26">
        <v>0.464661698600418</v>
      </c>
      <c r="H79" s="29"/>
    </row>
    <row r="80" spans="2:8" x14ac:dyDescent="0.2">
      <c r="B80" s="24" t="s">
        <v>973</v>
      </c>
      <c r="C80" s="24" t="s">
        <v>974</v>
      </c>
      <c r="D80" s="24" t="s">
        <v>538</v>
      </c>
      <c r="E80" s="28">
        <v>14054</v>
      </c>
      <c r="F80" s="25">
        <v>110.127144</v>
      </c>
      <c r="G80" s="26">
        <v>0.46449670372590601</v>
      </c>
      <c r="H80" s="29"/>
    </row>
    <row r="81" spans="2:8" x14ac:dyDescent="0.2">
      <c r="B81" s="24" t="s">
        <v>975</v>
      </c>
      <c r="C81" s="24" t="s">
        <v>976</v>
      </c>
      <c r="D81" s="24" t="s">
        <v>324</v>
      </c>
      <c r="E81" s="28">
        <v>20050</v>
      </c>
      <c r="F81" s="25">
        <v>109.81385</v>
      </c>
      <c r="G81" s="26">
        <v>0.46317528536335301</v>
      </c>
      <c r="H81" s="29"/>
    </row>
    <row r="82" spans="2:8" x14ac:dyDescent="0.2">
      <c r="B82" s="24" t="s">
        <v>977</v>
      </c>
      <c r="C82" s="24" t="s">
        <v>978</v>
      </c>
      <c r="D82" s="24" t="s">
        <v>306</v>
      </c>
      <c r="E82" s="28">
        <v>24083</v>
      </c>
      <c r="F82" s="25">
        <v>109.8064385</v>
      </c>
      <c r="G82" s="26">
        <v>0.46314402497472701</v>
      </c>
      <c r="H82" s="29"/>
    </row>
    <row r="83" spans="2:8" x14ac:dyDescent="0.2">
      <c r="B83" s="24" t="s">
        <v>979</v>
      </c>
      <c r="C83" s="24" t="s">
        <v>980</v>
      </c>
      <c r="D83" s="24" t="s">
        <v>453</v>
      </c>
      <c r="E83" s="28">
        <v>35910</v>
      </c>
      <c r="F83" s="25">
        <v>109.38186</v>
      </c>
      <c r="G83" s="26">
        <v>0.461353228386714</v>
      </c>
      <c r="H83" s="29"/>
    </row>
    <row r="84" spans="2:8" x14ac:dyDescent="0.2">
      <c r="B84" s="24" t="s">
        <v>981</v>
      </c>
      <c r="C84" s="24" t="s">
        <v>982</v>
      </c>
      <c r="D84" s="24" t="s">
        <v>289</v>
      </c>
      <c r="E84" s="28">
        <v>16186</v>
      </c>
      <c r="F84" s="25">
        <v>107.984899</v>
      </c>
      <c r="G84" s="26">
        <v>0.45546109538330398</v>
      </c>
      <c r="H84" s="29"/>
    </row>
    <row r="85" spans="2:8" x14ac:dyDescent="0.2">
      <c r="B85" s="24" t="s">
        <v>983</v>
      </c>
      <c r="C85" s="24" t="s">
        <v>984</v>
      </c>
      <c r="D85" s="24" t="s">
        <v>318</v>
      </c>
      <c r="E85" s="28">
        <v>18096</v>
      </c>
      <c r="F85" s="25">
        <v>103.255776</v>
      </c>
      <c r="G85" s="26">
        <v>0.43551449579642698</v>
      </c>
      <c r="H85" s="29"/>
    </row>
    <row r="86" spans="2:8" x14ac:dyDescent="0.2">
      <c r="B86" s="24" t="s">
        <v>985</v>
      </c>
      <c r="C86" s="24" t="s">
        <v>986</v>
      </c>
      <c r="D86" s="24" t="s">
        <v>283</v>
      </c>
      <c r="E86" s="28">
        <v>11165</v>
      </c>
      <c r="F86" s="25">
        <v>102.014605</v>
      </c>
      <c r="G86" s="26">
        <v>0.43027945730073902</v>
      </c>
      <c r="H86" s="29"/>
    </row>
    <row r="87" spans="2:8" x14ac:dyDescent="0.2">
      <c r="B87" s="24" t="s">
        <v>987</v>
      </c>
      <c r="C87" s="24" t="s">
        <v>988</v>
      </c>
      <c r="D87" s="24" t="s">
        <v>327</v>
      </c>
      <c r="E87" s="28">
        <v>3653</v>
      </c>
      <c r="F87" s="25">
        <v>100.976226</v>
      </c>
      <c r="G87" s="26">
        <v>0.42589975938794999</v>
      </c>
      <c r="H87" s="29"/>
    </row>
    <row r="88" spans="2:8" x14ac:dyDescent="0.2">
      <c r="B88" s="24" t="s">
        <v>989</v>
      </c>
      <c r="C88" s="24" t="s">
        <v>990</v>
      </c>
      <c r="D88" s="24" t="s">
        <v>321</v>
      </c>
      <c r="E88" s="28">
        <v>357385</v>
      </c>
      <c r="F88" s="25">
        <v>100.9612625</v>
      </c>
      <c r="G88" s="26">
        <v>0.42583664600669102</v>
      </c>
      <c r="H88" s="29"/>
    </row>
    <row r="89" spans="2:8" x14ac:dyDescent="0.2">
      <c r="B89" s="24" t="s">
        <v>991</v>
      </c>
      <c r="C89" s="24" t="s">
        <v>992</v>
      </c>
      <c r="D89" s="24" t="s">
        <v>327</v>
      </c>
      <c r="E89" s="28">
        <v>3693</v>
      </c>
      <c r="F89" s="25">
        <v>98.669573999999997</v>
      </c>
      <c r="G89" s="26">
        <v>0.41617071156443802</v>
      </c>
      <c r="H89" s="29"/>
    </row>
    <row r="90" spans="2:8" x14ac:dyDescent="0.2">
      <c r="B90" s="24" t="s">
        <v>993</v>
      </c>
      <c r="C90" s="24" t="s">
        <v>994</v>
      </c>
      <c r="D90" s="24" t="s">
        <v>318</v>
      </c>
      <c r="E90" s="28">
        <v>10043</v>
      </c>
      <c r="F90" s="25">
        <v>98.612217000000001</v>
      </c>
      <c r="G90" s="26">
        <v>0.415928789941231</v>
      </c>
      <c r="H90" s="29"/>
    </row>
    <row r="91" spans="2:8" x14ac:dyDescent="0.2">
      <c r="B91" s="24" t="s">
        <v>995</v>
      </c>
      <c r="C91" s="24" t="s">
        <v>996</v>
      </c>
      <c r="D91" s="24" t="s">
        <v>439</v>
      </c>
      <c r="E91" s="28">
        <v>2618</v>
      </c>
      <c r="F91" s="25">
        <v>98.483924000000002</v>
      </c>
      <c r="G91" s="26">
        <v>0.41538767288828099</v>
      </c>
      <c r="H91" s="29"/>
    </row>
    <row r="92" spans="2:8" x14ac:dyDescent="0.2">
      <c r="B92" s="24" t="s">
        <v>997</v>
      </c>
      <c r="C92" s="24" t="s">
        <v>998</v>
      </c>
      <c r="D92" s="24" t="s">
        <v>306</v>
      </c>
      <c r="E92" s="28">
        <v>10510</v>
      </c>
      <c r="F92" s="25">
        <v>98.000495000000001</v>
      </c>
      <c r="G92" s="26">
        <v>0.41334865535972798</v>
      </c>
      <c r="H92" s="29"/>
    </row>
    <row r="93" spans="2:8" x14ac:dyDescent="0.2">
      <c r="B93" s="24" t="s">
        <v>999</v>
      </c>
      <c r="C93" s="24" t="s">
        <v>1000</v>
      </c>
      <c r="D93" s="24" t="s">
        <v>321</v>
      </c>
      <c r="E93" s="28">
        <v>17291</v>
      </c>
      <c r="F93" s="25">
        <v>97.503949000000006</v>
      </c>
      <c r="G93" s="26">
        <v>0.41125431265845602</v>
      </c>
      <c r="H93" s="29"/>
    </row>
    <row r="94" spans="2:8" x14ac:dyDescent="0.2">
      <c r="B94" s="24" t="s">
        <v>1001</v>
      </c>
      <c r="C94" s="24" t="s">
        <v>1002</v>
      </c>
      <c r="D94" s="24" t="s">
        <v>372</v>
      </c>
      <c r="E94" s="28">
        <v>29935</v>
      </c>
      <c r="F94" s="25">
        <v>97.154042500000003</v>
      </c>
      <c r="G94" s="26">
        <v>0.409778469283618</v>
      </c>
      <c r="H94" s="29"/>
    </row>
    <row r="95" spans="2:8" x14ac:dyDescent="0.2">
      <c r="B95" s="24" t="s">
        <v>1003</v>
      </c>
      <c r="C95" s="24" t="s">
        <v>1004</v>
      </c>
      <c r="D95" s="24" t="s">
        <v>1005</v>
      </c>
      <c r="E95" s="28">
        <v>114842</v>
      </c>
      <c r="F95" s="25">
        <v>96.903679600000004</v>
      </c>
      <c r="G95" s="26">
        <v>0.40872248310653803</v>
      </c>
      <c r="H95" s="29"/>
    </row>
    <row r="96" spans="2:8" x14ac:dyDescent="0.2">
      <c r="B96" s="24" t="s">
        <v>1006</v>
      </c>
      <c r="C96" s="24" t="s">
        <v>1007</v>
      </c>
      <c r="D96" s="24" t="s">
        <v>467</v>
      </c>
      <c r="E96" s="28">
        <v>19062</v>
      </c>
      <c r="F96" s="25">
        <v>96.129666</v>
      </c>
      <c r="G96" s="26">
        <v>0.405457831425033</v>
      </c>
      <c r="H96" s="29"/>
    </row>
    <row r="97" spans="2:8" x14ac:dyDescent="0.2">
      <c r="B97" s="24" t="s">
        <v>1008</v>
      </c>
      <c r="C97" s="24" t="s">
        <v>1009</v>
      </c>
      <c r="D97" s="24" t="s">
        <v>765</v>
      </c>
      <c r="E97" s="28">
        <v>191010</v>
      </c>
      <c r="F97" s="25">
        <v>95.371292999999994</v>
      </c>
      <c r="G97" s="26">
        <v>0.40225914901214099</v>
      </c>
      <c r="H97" s="29"/>
    </row>
    <row r="98" spans="2:8" x14ac:dyDescent="0.2">
      <c r="B98" s="24" t="s">
        <v>1010</v>
      </c>
      <c r="C98" s="24" t="s">
        <v>1011</v>
      </c>
      <c r="D98" s="24" t="s">
        <v>456</v>
      </c>
      <c r="E98" s="28">
        <v>25615</v>
      </c>
      <c r="F98" s="25">
        <v>95.274992499999996</v>
      </c>
      <c r="G98" s="26">
        <v>0.40185297063329301</v>
      </c>
      <c r="H98" s="29"/>
    </row>
    <row r="99" spans="2:8" x14ac:dyDescent="0.2">
      <c r="B99" s="24" t="s">
        <v>1012</v>
      </c>
      <c r="C99" s="24" t="s">
        <v>1013</v>
      </c>
      <c r="D99" s="24" t="s">
        <v>765</v>
      </c>
      <c r="E99" s="28">
        <v>6043</v>
      </c>
      <c r="F99" s="25">
        <v>93.781317000000001</v>
      </c>
      <c r="G99" s="26">
        <v>0.39555291307267798</v>
      </c>
      <c r="H99" s="29"/>
    </row>
    <row r="100" spans="2:8" x14ac:dyDescent="0.2">
      <c r="B100" s="24" t="s">
        <v>1014</v>
      </c>
      <c r="C100" s="24" t="s">
        <v>1015</v>
      </c>
      <c r="D100" s="24" t="s">
        <v>318</v>
      </c>
      <c r="E100" s="28">
        <v>11189</v>
      </c>
      <c r="F100" s="25">
        <v>93.528851000000003</v>
      </c>
      <c r="G100" s="26">
        <v>0.394488056393902</v>
      </c>
      <c r="H100" s="29"/>
    </row>
    <row r="101" spans="2:8" x14ac:dyDescent="0.2">
      <c r="B101" s="24" t="s">
        <v>1016</v>
      </c>
      <c r="C101" s="24" t="s">
        <v>1017</v>
      </c>
      <c r="D101" s="24" t="s">
        <v>324</v>
      </c>
      <c r="E101" s="28">
        <v>10347</v>
      </c>
      <c r="F101" s="25">
        <v>93.371328000000005</v>
      </c>
      <c r="G101" s="26">
        <v>0.39382365240045097</v>
      </c>
      <c r="H101" s="29"/>
    </row>
    <row r="102" spans="2:8" x14ac:dyDescent="0.2">
      <c r="B102" s="24" t="s">
        <v>1018</v>
      </c>
      <c r="C102" s="24" t="s">
        <v>1019</v>
      </c>
      <c r="D102" s="24" t="s">
        <v>283</v>
      </c>
      <c r="E102" s="28">
        <v>14303</v>
      </c>
      <c r="F102" s="25">
        <v>92.998106000000007</v>
      </c>
      <c r="G102" s="26">
        <v>0.39224946839402602</v>
      </c>
      <c r="H102" s="29"/>
    </row>
    <row r="103" spans="2:8" x14ac:dyDescent="0.2">
      <c r="B103" s="24" t="s">
        <v>1020</v>
      </c>
      <c r="C103" s="24" t="s">
        <v>1021</v>
      </c>
      <c r="D103" s="24" t="s">
        <v>318</v>
      </c>
      <c r="E103" s="28">
        <v>6735</v>
      </c>
      <c r="F103" s="25">
        <v>92.639925000000005</v>
      </c>
      <c r="G103" s="26">
        <v>0.39073872465007498</v>
      </c>
      <c r="H103" s="29"/>
    </row>
    <row r="104" spans="2:8" x14ac:dyDescent="0.2">
      <c r="B104" s="24" t="s">
        <v>1022</v>
      </c>
      <c r="C104" s="24" t="s">
        <v>1023</v>
      </c>
      <c r="D104" s="24" t="s">
        <v>321</v>
      </c>
      <c r="E104" s="28">
        <v>607216</v>
      </c>
      <c r="F104" s="25">
        <v>92.236110400000001</v>
      </c>
      <c r="G104" s="26">
        <v>0.38903550649873098</v>
      </c>
      <c r="H104" s="29"/>
    </row>
    <row r="105" spans="2:8" x14ac:dyDescent="0.2">
      <c r="B105" s="24" t="s">
        <v>1024</v>
      </c>
      <c r="C105" s="24" t="s">
        <v>1025</v>
      </c>
      <c r="D105" s="24" t="s">
        <v>286</v>
      </c>
      <c r="E105" s="28">
        <v>133649</v>
      </c>
      <c r="F105" s="25">
        <v>91.696578900000006</v>
      </c>
      <c r="G105" s="26">
        <v>0.38675985860481799</v>
      </c>
      <c r="H105" s="29"/>
    </row>
    <row r="106" spans="2:8" x14ac:dyDescent="0.2">
      <c r="B106" s="24" t="s">
        <v>1026</v>
      </c>
      <c r="C106" s="24" t="s">
        <v>1027</v>
      </c>
      <c r="D106" s="24" t="s">
        <v>538</v>
      </c>
      <c r="E106" s="28">
        <v>22273</v>
      </c>
      <c r="F106" s="25">
        <v>91.152252500000003</v>
      </c>
      <c r="G106" s="26">
        <v>0.38446398667563197</v>
      </c>
      <c r="H106" s="29"/>
    </row>
    <row r="107" spans="2:8" x14ac:dyDescent="0.2">
      <c r="B107" s="24" t="s">
        <v>1028</v>
      </c>
      <c r="C107" s="24" t="s">
        <v>1029</v>
      </c>
      <c r="D107" s="24" t="s">
        <v>306</v>
      </c>
      <c r="E107" s="28">
        <v>678</v>
      </c>
      <c r="F107" s="25">
        <v>91.116420000000005</v>
      </c>
      <c r="G107" s="26">
        <v>0.38431285156459899</v>
      </c>
      <c r="H107" s="29"/>
    </row>
    <row r="108" spans="2:8" x14ac:dyDescent="0.2">
      <c r="B108" s="24" t="s">
        <v>1030</v>
      </c>
      <c r="C108" s="24" t="s">
        <v>1031</v>
      </c>
      <c r="D108" s="24" t="s">
        <v>306</v>
      </c>
      <c r="E108" s="28">
        <v>6727</v>
      </c>
      <c r="F108" s="25">
        <v>89.233654999999999</v>
      </c>
      <c r="G108" s="26">
        <v>0.37637168370510599</v>
      </c>
      <c r="H108" s="29"/>
    </row>
    <row r="109" spans="2:8" x14ac:dyDescent="0.2">
      <c r="B109" s="24" t="s">
        <v>1032</v>
      </c>
      <c r="C109" s="24" t="s">
        <v>1033</v>
      </c>
      <c r="D109" s="24" t="s">
        <v>448</v>
      </c>
      <c r="E109" s="28">
        <v>1014</v>
      </c>
      <c r="F109" s="25">
        <v>89.226929999999996</v>
      </c>
      <c r="G109" s="26">
        <v>0.37634331885136502</v>
      </c>
      <c r="H109" s="29"/>
    </row>
    <row r="110" spans="2:8" x14ac:dyDescent="0.2">
      <c r="B110" s="24" t="s">
        <v>1034</v>
      </c>
      <c r="C110" s="24" t="s">
        <v>1035</v>
      </c>
      <c r="D110" s="24" t="s">
        <v>456</v>
      </c>
      <c r="E110" s="28">
        <v>8374</v>
      </c>
      <c r="F110" s="25">
        <v>88.412692000000007</v>
      </c>
      <c r="G110" s="26">
        <v>0.372909007805866</v>
      </c>
      <c r="H110" s="29"/>
    </row>
    <row r="111" spans="2:8" x14ac:dyDescent="0.2">
      <c r="B111" s="24" t="s">
        <v>1036</v>
      </c>
      <c r="C111" s="24" t="s">
        <v>1037</v>
      </c>
      <c r="D111" s="24" t="s">
        <v>1005</v>
      </c>
      <c r="E111" s="28">
        <v>8896</v>
      </c>
      <c r="F111" s="25">
        <v>86.718208000000004</v>
      </c>
      <c r="G111" s="26">
        <v>0.365761975712523</v>
      </c>
      <c r="H111" s="29"/>
    </row>
    <row r="112" spans="2:8" x14ac:dyDescent="0.2">
      <c r="B112" s="24" t="s">
        <v>1038</v>
      </c>
      <c r="C112" s="24" t="s">
        <v>1039</v>
      </c>
      <c r="D112" s="24" t="s">
        <v>318</v>
      </c>
      <c r="E112" s="28">
        <v>1892</v>
      </c>
      <c r="F112" s="25">
        <v>86.343311999999997</v>
      </c>
      <c r="G112" s="26">
        <v>0.36418073107187299</v>
      </c>
      <c r="H112" s="29"/>
    </row>
    <row r="113" spans="2:8" x14ac:dyDescent="0.2">
      <c r="B113" s="24" t="s">
        <v>1040</v>
      </c>
      <c r="C113" s="24" t="s">
        <v>1041</v>
      </c>
      <c r="D113" s="24" t="s">
        <v>283</v>
      </c>
      <c r="E113" s="28">
        <v>20620</v>
      </c>
      <c r="F113" s="25">
        <v>86.201909999999998</v>
      </c>
      <c r="G113" s="26">
        <v>0.36358432258878098</v>
      </c>
      <c r="H113" s="29"/>
    </row>
    <row r="114" spans="2:8" x14ac:dyDescent="0.2">
      <c r="B114" s="24" t="s">
        <v>1042</v>
      </c>
      <c r="C114" s="24" t="s">
        <v>1043</v>
      </c>
      <c r="D114" s="24" t="s">
        <v>507</v>
      </c>
      <c r="E114" s="28">
        <v>10631</v>
      </c>
      <c r="F114" s="25">
        <v>85.723068499999997</v>
      </c>
      <c r="G114" s="26">
        <v>0.36156465431919299</v>
      </c>
      <c r="H114" s="29"/>
    </row>
    <row r="115" spans="2:8" x14ac:dyDescent="0.2">
      <c r="B115" s="24" t="s">
        <v>1044</v>
      </c>
      <c r="C115" s="24" t="s">
        <v>1045</v>
      </c>
      <c r="D115" s="24" t="s">
        <v>535</v>
      </c>
      <c r="E115" s="28">
        <v>4769</v>
      </c>
      <c r="F115" s="25">
        <v>85.598781000000002</v>
      </c>
      <c r="G115" s="26">
        <v>0.36104043175273598</v>
      </c>
      <c r="H115" s="29"/>
    </row>
    <row r="116" spans="2:8" x14ac:dyDescent="0.2">
      <c r="B116" s="24" t="s">
        <v>1046</v>
      </c>
      <c r="C116" s="24" t="s">
        <v>1047</v>
      </c>
      <c r="D116" s="24" t="s">
        <v>385</v>
      </c>
      <c r="E116" s="28">
        <v>8800</v>
      </c>
      <c r="F116" s="25">
        <v>85.403999999999996</v>
      </c>
      <c r="G116" s="26">
        <v>0.360218880142822</v>
      </c>
      <c r="H116" s="29"/>
    </row>
    <row r="117" spans="2:8" x14ac:dyDescent="0.2">
      <c r="B117" s="24" t="s">
        <v>1048</v>
      </c>
      <c r="C117" s="24" t="s">
        <v>1049</v>
      </c>
      <c r="D117" s="24" t="s">
        <v>306</v>
      </c>
      <c r="E117" s="28">
        <v>48174</v>
      </c>
      <c r="F117" s="25">
        <v>84.660987599999999</v>
      </c>
      <c r="G117" s="26">
        <v>0.35708498600835198</v>
      </c>
      <c r="H117" s="29"/>
    </row>
    <row r="118" spans="2:8" x14ac:dyDescent="0.2">
      <c r="B118" s="24" t="s">
        <v>1050</v>
      </c>
      <c r="C118" s="24" t="s">
        <v>1051</v>
      </c>
      <c r="D118" s="24" t="s">
        <v>311</v>
      </c>
      <c r="E118" s="28">
        <v>3814</v>
      </c>
      <c r="F118" s="25">
        <v>83.980466000000007</v>
      </c>
      <c r="G118" s="26">
        <v>0.35421466695227699</v>
      </c>
      <c r="H118" s="29"/>
    </row>
    <row r="119" spans="2:8" x14ac:dyDescent="0.2">
      <c r="B119" s="24" t="s">
        <v>1052</v>
      </c>
      <c r="C119" s="24" t="s">
        <v>1053</v>
      </c>
      <c r="D119" s="24" t="s">
        <v>569</v>
      </c>
      <c r="E119" s="28">
        <v>18921</v>
      </c>
      <c r="F119" s="25">
        <v>83.498373000000001</v>
      </c>
      <c r="G119" s="26">
        <v>0.35218128443407298</v>
      </c>
      <c r="H119" s="29"/>
    </row>
    <row r="120" spans="2:8" x14ac:dyDescent="0.2">
      <c r="B120" s="24" t="s">
        <v>1054</v>
      </c>
      <c r="C120" s="24" t="s">
        <v>1055</v>
      </c>
      <c r="D120" s="24" t="s">
        <v>324</v>
      </c>
      <c r="E120" s="28">
        <v>23580</v>
      </c>
      <c r="F120" s="25">
        <v>82.989810000000006</v>
      </c>
      <c r="G120" s="26">
        <v>0.35003625616441297</v>
      </c>
      <c r="H120" s="29"/>
    </row>
    <row r="121" spans="2:8" x14ac:dyDescent="0.2">
      <c r="B121" s="24" t="s">
        <v>1056</v>
      </c>
      <c r="C121" s="24" t="s">
        <v>1057</v>
      </c>
      <c r="D121" s="24" t="s">
        <v>1058</v>
      </c>
      <c r="E121" s="28">
        <v>6529</v>
      </c>
      <c r="F121" s="25">
        <v>82.683256</v>
      </c>
      <c r="G121" s="26">
        <v>0.34874326592293398</v>
      </c>
      <c r="H121" s="29"/>
    </row>
    <row r="122" spans="2:8" x14ac:dyDescent="0.2">
      <c r="B122" s="24" t="s">
        <v>1059</v>
      </c>
      <c r="C122" s="24" t="s">
        <v>1060</v>
      </c>
      <c r="D122" s="24" t="s">
        <v>318</v>
      </c>
      <c r="E122" s="28">
        <v>6904</v>
      </c>
      <c r="F122" s="25">
        <v>82.468279999999993</v>
      </c>
      <c r="G122" s="26">
        <v>0.34783653539535198</v>
      </c>
      <c r="H122" s="29"/>
    </row>
    <row r="123" spans="2:8" x14ac:dyDescent="0.2">
      <c r="B123" s="24" t="s">
        <v>1061</v>
      </c>
      <c r="C123" s="24" t="s">
        <v>1062</v>
      </c>
      <c r="D123" s="24" t="s">
        <v>507</v>
      </c>
      <c r="E123" s="28">
        <v>9992</v>
      </c>
      <c r="F123" s="25">
        <v>82.034319999999994</v>
      </c>
      <c r="G123" s="26">
        <v>0.34600616930914102</v>
      </c>
      <c r="H123" s="29"/>
    </row>
    <row r="124" spans="2:8" x14ac:dyDescent="0.2">
      <c r="B124" s="24" t="s">
        <v>1063</v>
      </c>
      <c r="C124" s="24" t="s">
        <v>1064</v>
      </c>
      <c r="D124" s="24" t="s">
        <v>327</v>
      </c>
      <c r="E124" s="28">
        <v>5749</v>
      </c>
      <c r="F124" s="25">
        <v>81.382844000000006</v>
      </c>
      <c r="G124" s="26">
        <v>0.34325835942716898</v>
      </c>
      <c r="H124" s="29"/>
    </row>
    <row r="125" spans="2:8" x14ac:dyDescent="0.2">
      <c r="B125" s="24" t="s">
        <v>1065</v>
      </c>
      <c r="C125" s="24" t="s">
        <v>1066</v>
      </c>
      <c r="D125" s="24" t="s">
        <v>467</v>
      </c>
      <c r="E125" s="28">
        <v>5554</v>
      </c>
      <c r="F125" s="25">
        <v>80.544107999999994</v>
      </c>
      <c r="G125" s="26">
        <v>0.33972072017543098</v>
      </c>
      <c r="H125" s="29"/>
    </row>
    <row r="126" spans="2:8" x14ac:dyDescent="0.2">
      <c r="B126" s="24" t="s">
        <v>1067</v>
      </c>
      <c r="C126" s="24" t="s">
        <v>1068</v>
      </c>
      <c r="D126" s="24" t="s">
        <v>426</v>
      </c>
      <c r="E126" s="28">
        <v>61983</v>
      </c>
      <c r="F126" s="25">
        <v>80.013854699999996</v>
      </c>
      <c r="G126" s="26">
        <v>0.33748420607869001</v>
      </c>
      <c r="H126" s="29"/>
    </row>
    <row r="127" spans="2:8" x14ac:dyDescent="0.2">
      <c r="B127" s="24" t="s">
        <v>1069</v>
      </c>
      <c r="C127" s="24" t="s">
        <v>1070</v>
      </c>
      <c r="D127" s="24" t="s">
        <v>439</v>
      </c>
      <c r="E127" s="28">
        <v>15145</v>
      </c>
      <c r="F127" s="25">
        <v>78.708564999999993</v>
      </c>
      <c r="G127" s="26">
        <v>0.331978726311982</v>
      </c>
      <c r="H127" s="29"/>
    </row>
    <row r="128" spans="2:8" x14ac:dyDescent="0.2">
      <c r="B128" s="24" t="s">
        <v>1071</v>
      </c>
      <c r="C128" s="24" t="s">
        <v>1072</v>
      </c>
      <c r="D128" s="24" t="s">
        <v>426</v>
      </c>
      <c r="E128" s="28">
        <v>24729</v>
      </c>
      <c r="F128" s="25">
        <v>77.785069500000006</v>
      </c>
      <c r="G128" s="26">
        <v>0.32808358656645498</v>
      </c>
      <c r="H128" s="29"/>
    </row>
    <row r="129" spans="2:8" x14ac:dyDescent="0.2">
      <c r="B129" s="24" t="s">
        <v>1073</v>
      </c>
      <c r="C129" s="24" t="s">
        <v>1074</v>
      </c>
      <c r="D129" s="24" t="s">
        <v>426</v>
      </c>
      <c r="E129" s="28">
        <v>8903</v>
      </c>
      <c r="F129" s="25">
        <v>77.562935999999993</v>
      </c>
      <c r="G129" s="26">
        <v>0.32714666697706601</v>
      </c>
      <c r="H129" s="29"/>
    </row>
    <row r="130" spans="2:8" x14ac:dyDescent="0.2">
      <c r="B130" s="24" t="s">
        <v>1075</v>
      </c>
      <c r="C130" s="24" t="s">
        <v>1076</v>
      </c>
      <c r="D130" s="24" t="s">
        <v>318</v>
      </c>
      <c r="E130" s="28">
        <v>20279</v>
      </c>
      <c r="F130" s="25">
        <v>77.323826999999994</v>
      </c>
      <c r="G130" s="26">
        <v>0.32613814774831701</v>
      </c>
      <c r="H130" s="29"/>
    </row>
    <row r="131" spans="2:8" x14ac:dyDescent="0.2">
      <c r="B131" s="24" t="s">
        <v>1077</v>
      </c>
      <c r="C131" s="24" t="s">
        <v>1078</v>
      </c>
      <c r="D131" s="24" t="s">
        <v>283</v>
      </c>
      <c r="E131" s="28">
        <v>24275</v>
      </c>
      <c r="F131" s="25">
        <v>77.024574999999999</v>
      </c>
      <c r="G131" s="26">
        <v>0.32487595604394098</v>
      </c>
      <c r="H131" s="29"/>
    </row>
    <row r="132" spans="2:8" x14ac:dyDescent="0.2">
      <c r="B132" s="24" t="s">
        <v>1079</v>
      </c>
      <c r="C132" s="24" t="s">
        <v>1080</v>
      </c>
      <c r="D132" s="24" t="s">
        <v>311</v>
      </c>
      <c r="E132" s="28">
        <v>27533</v>
      </c>
      <c r="F132" s="25">
        <v>76.156278</v>
      </c>
      <c r="G132" s="26">
        <v>0.321213633752581</v>
      </c>
      <c r="H132" s="29"/>
    </row>
    <row r="133" spans="2:8" x14ac:dyDescent="0.2">
      <c r="B133" s="24" t="s">
        <v>1081</v>
      </c>
      <c r="C133" s="24" t="s">
        <v>1082</v>
      </c>
      <c r="D133" s="24" t="s">
        <v>538</v>
      </c>
      <c r="E133" s="28">
        <v>30510</v>
      </c>
      <c r="F133" s="25">
        <v>75.817350000000005</v>
      </c>
      <c r="G133" s="26">
        <v>0.31978409573786198</v>
      </c>
      <c r="H133" s="29"/>
    </row>
    <row r="134" spans="2:8" x14ac:dyDescent="0.2">
      <c r="B134" s="24" t="s">
        <v>1083</v>
      </c>
      <c r="C134" s="24" t="s">
        <v>1084</v>
      </c>
      <c r="D134" s="24" t="s">
        <v>538</v>
      </c>
      <c r="E134" s="28">
        <v>8759</v>
      </c>
      <c r="F134" s="25">
        <v>74.998937499999997</v>
      </c>
      <c r="G134" s="26">
        <v>0.31633217739393299</v>
      </c>
      <c r="H134" s="29"/>
    </row>
    <row r="135" spans="2:8" x14ac:dyDescent="0.2">
      <c r="B135" s="24" t="s">
        <v>1085</v>
      </c>
      <c r="C135" s="24" t="s">
        <v>1086</v>
      </c>
      <c r="D135" s="24" t="s">
        <v>453</v>
      </c>
      <c r="E135" s="28">
        <v>7104</v>
      </c>
      <c r="F135" s="25">
        <v>74.790912000000006</v>
      </c>
      <c r="G135" s="26">
        <v>0.315454762838981</v>
      </c>
      <c r="H135" s="29"/>
    </row>
    <row r="136" spans="2:8" x14ac:dyDescent="0.2">
      <c r="B136" s="24" t="s">
        <v>1087</v>
      </c>
      <c r="C136" s="24" t="s">
        <v>1088</v>
      </c>
      <c r="D136" s="24" t="s">
        <v>289</v>
      </c>
      <c r="E136" s="28">
        <v>51018</v>
      </c>
      <c r="F136" s="25">
        <v>74.705657400000007</v>
      </c>
      <c r="G136" s="26">
        <v>0.31509517410146198</v>
      </c>
      <c r="H136" s="29"/>
    </row>
    <row r="137" spans="2:8" x14ac:dyDescent="0.2">
      <c r="B137" s="24" t="s">
        <v>1089</v>
      </c>
      <c r="C137" s="24" t="s">
        <v>1090</v>
      </c>
      <c r="D137" s="24" t="s">
        <v>456</v>
      </c>
      <c r="E137" s="28">
        <v>17401</v>
      </c>
      <c r="F137" s="25">
        <v>73.371316500000006</v>
      </c>
      <c r="G137" s="26">
        <v>0.30946716154084702</v>
      </c>
      <c r="H137" s="29"/>
    </row>
    <row r="138" spans="2:8" x14ac:dyDescent="0.2">
      <c r="B138" s="24" t="s">
        <v>1091</v>
      </c>
      <c r="C138" s="24" t="s">
        <v>1092</v>
      </c>
      <c r="D138" s="24" t="s">
        <v>507</v>
      </c>
      <c r="E138" s="28">
        <v>9532</v>
      </c>
      <c r="F138" s="25">
        <v>72.538520000000005</v>
      </c>
      <c r="G138" s="26">
        <v>0.30595457404357701</v>
      </c>
      <c r="H138" s="29"/>
    </row>
    <row r="139" spans="2:8" x14ac:dyDescent="0.2">
      <c r="B139" s="24" t="s">
        <v>1093</v>
      </c>
      <c r="C139" s="24" t="s">
        <v>1094</v>
      </c>
      <c r="D139" s="24" t="s">
        <v>306</v>
      </c>
      <c r="E139" s="28">
        <v>4960</v>
      </c>
      <c r="F139" s="25">
        <v>72.48048</v>
      </c>
      <c r="G139" s="26">
        <v>0.305709771647864</v>
      </c>
      <c r="H139" s="29"/>
    </row>
    <row r="140" spans="2:8" x14ac:dyDescent="0.2">
      <c r="B140" s="24" t="s">
        <v>1095</v>
      </c>
      <c r="C140" s="24" t="s">
        <v>1096</v>
      </c>
      <c r="D140" s="24" t="s">
        <v>1097</v>
      </c>
      <c r="E140" s="28">
        <v>4764</v>
      </c>
      <c r="F140" s="25">
        <v>72.455675999999997</v>
      </c>
      <c r="G140" s="26">
        <v>0.305605152788056</v>
      </c>
      <c r="H140" s="29"/>
    </row>
    <row r="141" spans="2:8" x14ac:dyDescent="0.2">
      <c r="B141" s="24" t="s">
        <v>1098</v>
      </c>
      <c r="C141" s="24" t="s">
        <v>1099</v>
      </c>
      <c r="D141" s="24" t="s">
        <v>472</v>
      </c>
      <c r="E141" s="28">
        <v>14383</v>
      </c>
      <c r="F141" s="25">
        <v>72.267383499999994</v>
      </c>
      <c r="G141" s="26">
        <v>0.304810968516953</v>
      </c>
      <c r="H141" s="29"/>
    </row>
    <row r="142" spans="2:8" x14ac:dyDescent="0.2">
      <c r="B142" s="24" t="s">
        <v>1100</v>
      </c>
      <c r="C142" s="24" t="s">
        <v>1101</v>
      </c>
      <c r="D142" s="24" t="s">
        <v>569</v>
      </c>
      <c r="E142" s="28">
        <v>1590</v>
      </c>
      <c r="F142" s="25">
        <v>71.01258</v>
      </c>
      <c r="G142" s="26">
        <v>0.299518430561245</v>
      </c>
      <c r="H142" s="29"/>
    </row>
    <row r="143" spans="2:8" x14ac:dyDescent="0.2">
      <c r="B143" s="24" t="s">
        <v>1102</v>
      </c>
      <c r="C143" s="24" t="s">
        <v>1103</v>
      </c>
      <c r="D143" s="24" t="s">
        <v>390</v>
      </c>
      <c r="E143" s="28">
        <v>6233</v>
      </c>
      <c r="F143" s="25">
        <v>70.937773000000007</v>
      </c>
      <c r="G143" s="26">
        <v>0.29920290794208299</v>
      </c>
      <c r="H143" s="29"/>
    </row>
    <row r="144" spans="2:8" x14ac:dyDescent="0.2">
      <c r="B144" s="24" t="s">
        <v>1104</v>
      </c>
      <c r="C144" s="24" t="s">
        <v>1105</v>
      </c>
      <c r="D144" s="24" t="s">
        <v>301</v>
      </c>
      <c r="E144" s="28">
        <v>218446</v>
      </c>
      <c r="F144" s="25">
        <v>70.6235918</v>
      </c>
      <c r="G144" s="26">
        <v>0.29787774752774798</v>
      </c>
      <c r="H144" s="29"/>
    </row>
    <row r="145" spans="2:8" x14ac:dyDescent="0.2">
      <c r="B145" s="24" t="s">
        <v>1106</v>
      </c>
      <c r="C145" s="24" t="s">
        <v>1107</v>
      </c>
      <c r="D145" s="24" t="s">
        <v>306</v>
      </c>
      <c r="E145" s="28">
        <v>9117</v>
      </c>
      <c r="F145" s="25">
        <v>69.795193499999996</v>
      </c>
      <c r="G145" s="26">
        <v>0.29438371085571602</v>
      </c>
      <c r="H145" s="29"/>
    </row>
    <row r="146" spans="2:8" x14ac:dyDescent="0.2">
      <c r="B146" s="24" t="s">
        <v>1108</v>
      </c>
      <c r="C146" s="24" t="s">
        <v>1109</v>
      </c>
      <c r="D146" s="24" t="s">
        <v>517</v>
      </c>
      <c r="E146" s="28">
        <v>9067</v>
      </c>
      <c r="F146" s="25">
        <v>68.859331499999996</v>
      </c>
      <c r="G146" s="26">
        <v>0.29043641141297</v>
      </c>
      <c r="H146" s="29"/>
    </row>
    <row r="147" spans="2:8" x14ac:dyDescent="0.2">
      <c r="B147" s="24" t="s">
        <v>1110</v>
      </c>
      <c r="C147" s="24" t="s">
        <v>1111</v>
      </c>
      <c r="D147" s="24" t="s">
        <v>1005</v>
      </c>
      <c r="E147" s="28">
        <v>12322</v>
      </c>
      <c r="F147" s="25">
        <v>68.479515000000006</v>
      </c>
      <c r="G147" s="26">
        <v>0.28883441297859103</v>
      </c>
      <c r="H147" s="29"/>
    </row>
    <row r="148" spans="2:8" x14ac:dyDescent="0.2">
      <c r="B148" s="24" t="s">
        <v>1112</v>
      </c>
      <c r="C148" s="24" t="s">
        <v>1113</v>
      </c>
      <c r="D148" s="24" t="s">
        <v>324</v>
      </c>
      <c r="E148" s="28">
        <v>7960</v>
      </c>
      <c r="F148" s="25">
        <v>68.46396</v>
      </c>
      <c r="G148" s="26">
        <v>0.288768804755549</v>
      </c>
      <c r="H148" s="29"/>
    </row>
    <row r="149" spans="2:8" x14ac:dyDescent="0.2">
      <c r="B149" s="24" t="s">
        <v>1114</v>
      </c>
      <c r="C149" s="24" t="s">
        <v>1115</v>
      </c>
      <c r="D149" s="24" t="s">
        <v>538</v>
      </c>
      <c r="E149" s="28">
        <v>9443</v>
      </c>
      <c r="F149" s="25">
        <v>68.202067499999998</v>
      </c>
      <c r="G149" s="26">
        <v>0.28766418877658101</v>
      </c>
      <c r="H149" s="29"/>
    </row>
    <row r="150" spans="2:8" x14ac:dyDescent="0.2">
      <c r="B150" s="24" t="s">
        <v>1116</v>
      </c>
      <c r="C150" s="24" t="s">
        <v>1117</v>
      </c>
      <c r="D150" s="24" t="s">
        <v>289</v>
      </c>
      <c r="E150" s="28">
        <v>40642</v>
      </c>
      <c r="F150" s="25">
        <v>66.652879999999996</v>
      </c>
      <c r="G150" s="26">
        <v>0.28112999147456602</v>
      </c>
      <c r="H150" s="29"/>
    </row>
    <row r="151" spans="2:8" x14ac:dyDescent="0.2">
      <c r="B151" s="24" t="s">
        <v>1118</v>
      </c>
      <c r="C151" s="24" t="s">
        <v>1119</v>
      </c>
      <c r="D151" s="24" t="s">
        <v>456</v>
      </c>
      <c r="E151" s="28">
        <v>10489</v>
      </c>
      <c r="F151" s="25">
        <v>66.631372499999998</v>
      </c>
      <c r="G151" s="26">
        <v>0.28103927666536899</v>
      </c>
      <c r="H151" s="29"/>
    </row>
    <row r="152" spans="2:8" x14ac:dyDescent="0.2">
      <c r="B152" s="24" t="s">
        <v>1120</v>
      </c>
      <c r="C152" s="24" t="s">
        <v>1121</v>
      </c>
      <c r="D152" s="24" t="s">
        <v>318</v>
      </c>
      <c r="E152" s="28">
        <v>769</v>
      </c>
      <c r="F152" s="25">
        <v>65.749499999999998</v>
      </c>
      <c r="G152" s="26">
        <v>0.27731969532984901</v>
      </c>
      <c r="H152" s="29"/>
    </row>
    <row r="153" spans="2:8" x14ac:dyDescent="0.2">
      <c r="B153" s="24" t="s">
        <v>1122</v>
      </c>
      <c r="C153" s="24" t="s">
        <v>1123</v>
      </c>
      <c r="D153" s="24" t="s">
        <v>439</v>
      </c>
      <c r="E153" s="28">
        <v>12831</v>
      </c>
      <c r="F153" s="25">
        <v>65.579240999999996</v>
      </c>
      <c r="G153" s="26">
        <v>0.27660157315390599</v>
      </c>
      <c r="H153" s="29"/>
    </row>
    <row r="154" spans="2:8" x14ac:dyDescent="0.2">
      <c r="B154" s="24" t="s">
        <v>1124</v>
      </c>
      <c r="C154" s="24" t="s">
        <v>1125</v>
      </c>
      <c r="D154" s="24" t="s">
        <v>306</v>
      </c>
      <c r="E154" s="28">
        <v>13275</v>
      </c>
      <c r="F154" s="25">
        <v>65.220074999999994</v>
      </c>
      <c r="G154" s="26">
        <v>0.27508667485516902</v>
      </c>
      <c r="H154" s="29"/>
    </row>
    <row r="155" spans="2:8" x14ac:dyDescent="0.2">
      <c r="B155" s="24" t="s">
        <v>1126</v>
      </c>
      <c r="C155" s="24" t="s">
        <v>1127</v>
      </c>
      <c r="D155" s="24" t="s">
        <v>765</v>
      </c>
      <c r="E155" s="28">
        <v>2055</v>
      </c>
      <c r="F155" s="25">
        <v>64.623585000000006</v>
      </c>
      <c r="G155" s="26">
        <v>0.272570786140163</v>
      </c>
      <c r="H155" s="29"/>
    </row>
    <row r="156" spans="2:8" x14ac:dyDescent="0.2">
      <c r="B156" s="24" t="s">
        <v>1128</v>
      </c>
      <c r="C156" s="24" t="s">
        <v>1129</v>
      </c>
      <c r="D156" s="24" t="s">
        <v>385</v>
      </c>
      <c r="E156" s="28">
        <v>17147</v>
      </c>
      <c r="F156" s="25">
        <v>63.924016000000002</v>
      </c>
      <c r="G156" s="26">
        <v>0.26962012853908301</v>
      </c>
      <c r="H156" s="29"/>
    </row>
    <row r="157" spans="2:8" x14ac:dyDescent="0.2">
      <c r="B157" s="24" t="s">
        <v>1130</v>
      </c>
      <c r="C157" s="24" t="s">
        <v>1131</v>
      </c>
      <c r="D157" s="24" t="s">
        <v>311</v>
      </c>
      <c r="E157" s="28">
        <v>60541</v>
      </c>
      <c r="F157" s="25">
        <v>63.5862123</v>
      </c>
      <c r="G157" s="26">
        <v>0.26819533262177098</v>
      </c>
      <c r="H157" s="29"/>
    </row>
    <row r="158" spans="2:8" x14ac:dyDescent="0.2">
      <c r="B158" s="24" t="s">
        <v>1132</v>
      </c>
      <c r="C158" s="24" t="s">
        <v>1133</v>
      </c>
      <c r="D158" s="24" t="s">
        <v>614</v>
      </c>
      <c r="E158" s="28">
        <v>3947</v>
      </c>
      <c r="F158" s="25">
        <v>63.325668</v>
      </c>
      <c r="G158" s="26">
        <v>0.26709640311058203</v>
      </c>
      <c r="H158" s="29"/>
    </row>
    <row r="159" spans="2:8" x14ac:dyDescent="0.2">
      <c r="B159" s="24" t="s">
        <v>1134</v>
      </c>
      <c r="C159" s="24" t="s">
        <v>1135</v>
      </c>
      <c r="D159" s="24" t="s">
        <v>569</v>
      </c>
      <c r="E159" s="28">
        <v>15349</v>
      </c>
      <c r="F159" s="25">
        <v>62.877178499999999</v>
      </c>
      <c r="G159" s="26">
        <v>0.26520475417791101</v>
      </c>
      <c r="H159" s="29"/>
    </row>
    <row r="160" spans="2:8" x14ac:dyDescent="0.2">
      <c r="B160" s="24" t="s">
        <v>1136</v>
      </c>
      <c r="C160" s="24" t="s">
        <v>1137</v>
      </c>
      <c r="D160" s="24" t="s">
        <v>306</v>
      </c>
      <c r="E160" s="28">
        <v>48561</v>
      </c>
      <c r="F160" s="25">
        <v>62.619409500000003</v>
      </c>
      <c r="G160" s="26">
        <v>0.26411753038844499</v>
      </c>
      <c r="H160" s="29"/>
    </row>
    <row r="161" spans="2:8" x14ac:dyDescent="0.2">
      <c r="B161" s="24" t="s">
        <v>1138</v>
      </c>
      <c r="C161" s="24" t="s">
        <v>1139</v>
      </c>
      <c r="D161" s="24" t="s">
        <v>538</v>
      </c>
      <c r="E161" s="28">
        <v>35112</v>
      </c>
      <c r="F161" s="25">
        <v>61.948101600000001</v>
      </c>
      <c r="G161" s="26">
        <v>0.261286073080017</v>
      </c>
      <c r="H161" s="29"/>
    </row>
    <row r="162" spans="2:8" x14ac:dyDescent="0.2">
      <c r="B162" s="24" t="s">
        <v>1140</v>
      </c>
      <c r="C162" s="24" t="s">
        <v>1141</v>
      </c>
      <c r="D162" s="24" t="s">
        <v>289</v>
      </c>
      <c r="E162" s="28">
        <v>18676</v>
      </c>
      <c r="F162" s="25">
        <v>61.929616000000003</v>
      </c>
      <c r="G162" s="26">
        <v>0.26120810410747702</v>
      </c>
      <c r="H162" s="29"/>
    </row>
    <row r="163" spans="2:8" x14ac:dyDescent="0.2">
      <c r="B163" s="24" t="s">
        <v>1142</v>
      </c>
      <c r="C163" s="24" t="s">
        <v>1143</v>
      </c>
      <c r="D163" s="24" t="s">
        <v>390</v>
      </c>
      <c r="E163" s="28">
        <v>12822</v>
      </c>
      <c r="F163" s="25">
        <v>61.853327999999998</v>
      </c>
      <c r="G163" s="26">
        <v>0.26088633489375901</v>
      </c>
      <c r="H163" s="29"/>
    </row>
    <row r="164" spans="2:8" x14ac:dyDescent="0.2">
      <c r="B164" s="24" t="s">
        <v>1144</v>
      </c>
      <c r="C164" s="24" t="s">
        <v>1145</v>
      </c>
      <c r="D164" s="24" t="s">
        <v>330</v>
      </c>
      <c r="E164" s="28">
        <v>143695</v>
      </c>
      <c r="F164" s="25">
        <v>61.012897000000002</v>
      </c>
      <c r="G164" s="26">
        <v>0.25734154643353102</v>
      </c>
      <c r="H164" s="29"/>
    </row>
    <row r="165" spans="2:8" x14ac:dyDescent="0.2">
      <c r="B165" s="24" t="s">
        <v>1146</v>
      </c>
      <c r="C165" s="24" t="s">
        <v>1147</v>
      </c>
      <c r="D165" s="24" t="s">
        <v>289</v>
      </c>
      <c r="E165" s="28">
        <v>6254</v>
      </c>
      <c r="F165" s="25">
        <v>60.945230000000002</v>
      </c>
      <c r="G165" s="26">
        <v>0.25705613906429098</v>
      </c>
      <c r="H165" s="29"/>
    </row>
    <row r="166" spans="2:8" x14ac:dyDescent="0.2">
      <c r="B166" s="24" t="s">
        <v>1148</v>
      </c>
      <c r="C166" s="24" t="s">
        <v>1149</v>
      </c>
      <c r="D166" s="24" t="s">
        <v>324</v>
      </c>
      <c r="E166" s="28">
        <v>7575</v>
      </c>
      <c r="F166" s="25">
        <v>60.88785</v>
      </c>
      <c r="G166" s="26">
        <v>0.25681412043117502</v>
      </c>
      <c r="H166" s="29"/>
    </row>
    <row r="167" spans="2:8" x14ac:dyDescent="0.2">
      <c r="B167" s="24" t="s">
        <v>1150</v>
      </c>
      <c r="C167" s="24" t="s">
        <v>1151</v>
      </c>
      <c r="D167" s="24" t="s">
        <v>390</v>
      </c>
      <c r="E167" s="28">
        <v>3244</v>
      </c>
      <c r="F167" s="25">
        <v>60.760120000000001</v>
      </c>
      <c r="G167" s="26">
        <v>0.256275378012077</v>
      </c>
      <c r="H167" s="29"/>
    </row>
    <row r="168" spans="2:8" x14ac:dyDescent="0.2">
      <c r="B168" s="24" t="s">
        <v>1152</v>
      </c>
      <c r="C168" s="24" t="s">
        <v>1153</v>
      </c>
      <c r="D168" s="24" t="s">
        <v>372</v>
      </c>
      <c r="E168" s="28">
        <v>76999</v>
      </c>
      <c r="F168" s="25">
        <v>60.7291113</v>
      </c>
      <c r="G168" s="26">
        <v>0.25614458883137498</v>
      </c>
      <c r="H168" s="29"/>
    </row>
    <row r="169" spans="2:8" x14ac:dyDescent="0.2">
      <c r="B169" s="24" t="s">
        <v>1154</v>
      </c>
      <c r="C169" s="24" t="s">
        <v>1155</v>
      </c>
      <c r="D169" s="24" t="s">
        <v>385</v>
      </c>
      <c r="E169" s="28">
        <v>14320</v>
      </c>
      <c r="F169" s="25">
        <v>60.194119999999998</v>
      </c>
      <c r="G169" s="26">
        <v>0.25388809069344098</v>
      </c>
      <c r="H169" s="29"/>
    </row>
    <row r="170" spans="2:8" x14ac:dyDescent="0.2">
      <c r="B170" s="24" t="s">
        <v>1156</v>
      </c>
      <c r="C170" s="24" t="s">
        <v>1157</v>
      </c>
      <c r="D170" s="24" t="s">
        <v>324</v>
      </c>
      <c r="E170" s="28">
        <v>7727</v>
      </c>
      <c r="F170" s="25">
        <v>60.096742499999998</v>
      </c>
      <c r="G170" s="26">
        <v>0.25347736972017099</v>
      </c>
      <c r="H170" s="29"/>
    </row>
    <row r="171" spans="2:8" x14ac:dyDescent="0.2">
      <c r="B171" s="24" t="s">
        <v>1158</v>
      </c>
      <c r="C171" s="24" t="s">
        <v>1159</v>
      </c>
      <c r="D171" s="24" t="s">
        <v>614</v>
      </c>
      <c r="E171" s="28">
        <v>10321</v>
      </c>
      <c r="F171" s="25">
        <v>59.629577500000003</v>
      </c>
      <c r="G171" s="26">
        <v>0.25150695085054098</v>
      </c>
      <c r="H171" s="29"/>
    </row>
    <row r="172" spans="2:8" x14ac:dyDescent="0.2">
      <c r="B172" s="24" t="s">
        <v>1160</v>
      </c>
      <c r="C172" s="24" t="s">
        <v>1161</v>
      </c>
      <c r="D172" s="24" t="s">
        <v>289</v>
      </c>
      <c r="E172" s="28">
        <v>34160</v>
      </c>
      <c r="F172" s="25">
        <v>58.915751999999998</v>
      </c>
      <c r="G172" s="26">
        <v>0.24849616186843901</v>
      </c>
      <c r="H172" s="29"/>
    </row>
    <row r="173" spans="2:8" x14ac:dyDescent="0.2">
      <c r="B173" s="24" t="s">
        <v>1162</v>
      </c>
      <c r="C173" s="24" t="s">
        <v>1163</v>
      </c>
      <c r="D173" s="24" t="s">
        <v>784</v>
      </c>
      <c r="E173" s="28">
        <v>4965</v>
      </c>
      <c r="F173" s="25">
        <v>58.47777</v>
      </c>
      <c r="G173" s="26">
        <v>0.24664883170167101</v>
      </c>
      <c r="H173" s="29"/>
    </row>
    <row r="174" spans="2:8" x14ac:dyDescent="0.2">
      <c r="B174" s="24" t="s">
        <v>1164</v>
      </c>
      <c r="C174" s="24" t="s">
        <v>1165</v>
      </c>
      <c r="D174" s="24" t="s">
        <v>390</v>
      </c>
      <c r="E174" s="28">
        <v>6089</v>
      </c>
      <c r="F174" s="25">
        <v>58.375242999999998</v>
      </c>
      <c r="G174" s="26">
        <v>0.24621639105340601</v>
      </c>
      <c r="H174" s="29"/>
    </row>
    <row r="175" spans="2:8" x14ac:dyDescent="0.2">
      <c r="B175" s="24" t="s">
        <v>1166</v>
      </c>
      <c r="C175" s="24" t="s">
        <v>1167</v>
      </c>
      <c r="D175" s="24" t="s">
        <v>456</v>
      </c>
      <c r="E175" s="28">
        <v>21922</v>
      </c>
      <c r="F175" s="25">
        <v>58.312519999999999</v>
      </c>
      <c r="G175" s="26">
        <v>0.24595183659671499</v>
      </c>
      <c r="H175" s="29"/>
    </row>
    <row r="176" spans="2:8" x14ac:dyDescent="0.2">
      <c r="B176" s="24" t="s">
        <v>1168</v>
      </c>
      <c r="C176" s="24" t="s">
        <v>1169</v>
      </c>
      <c r="D176" s="24" t="s">
        <v>426</v>
      </c>
      <c r="E176" s="28">
        <v>50169</v>
      </c>
      <c r="F176" s="25">
        <v>58.286344200000002</v>
      </c>
      <c r="G176" s="26">
        <v>0.24584143172852599</v>
      </c>
      <c r="H176" s="29"/>
    </row>
    <row r="177" spans="2:8" x14ac:dyDescent="0.2">
      <c r="B177" s="24" t="s">
        <v>1170</v>
      </c>
      <c r="C177" s="24" t="s">
        <v>1171</v>
      </c>
      <c r="D177" s="24" t="s">
        <v>275</v>
      </c>
      <c r="E177" s="28">
        <v>55617</v>
      </c>
      <c r="F177" s="25">
        <v>58.236560699999998</v>
      </c>
      <c r="G177" s="26">
        <v>0.245631453781128</v>
      </c>
      <c r="H177" s="29"/>
    </row>
    <row r="178" spans="2:8" x14ac:dyDescent="0.2">
      <c r="B178" s="24" t="s">
        <v>1172</v>
      </c>
      <c r="C178" s="24" t="s">
        <v>1173</v>
      </c>
      <c r="D178" s="24" t="s">
        <v>426</v>
      </c>
      <c r="E178" s="28">
        <v>4159</v>
      </c>
      <c r="F178" s="25">
        <v>57.901598</v>
      </c>
      <c r="G178" s="26">
        <v>0.24421864069645299</v>
      </c>
      <c r="H178" s="29"/>
    </row>
    <row r="179" spans="2:8" x14ac:dyDescent="0.2">
      <c r="B179" s="24" t="s">
        <v>1174</v>
      </c>
      <c r="C179" s="24" t="s">
        <v>1175</v>
      </c>
      <c r="D179" s="24" t="s">
        <v>538</v>
      </c>
      <c r="E179" s="28">
        <v>10489</v>
      </c>
      <c r="F179" s="25">
        <v>56.850380000000001</v>
      </c>
      <c r="G179" s="26">
        <v>0.23978479016549401</v>
      </c>
      <c r="H179" s="29"/>
    </row>
    <row r="180" spans="2:8" x14ac:dyDescent="0.2">
      <c r="B180" s="24" t="s">
        <v>1176</v>
      </c>
      <c r="C180" s="24" t="s">
        <v>1177</v>
      </c>
      <c r="D180" s="24" t="s">
        <v>439</v>
      </c>
      <c r="E180" s="28">
        <v>10017</v>
      </c>
      <c r="F180" s="25">
        <v>56.380684500000001</v>
      </c>
      <c r="G180" s="26">
        <v>0.237803698096995</v>
      </c>
      <c r="H180" s="29"/>
    </row>
    <row r="181" spans="2:8" x14ac:dyDescent="0.2">
      <c r="B181" s="24" t="s">
        <v>1178</v>
      </c>
      <c r="C181" s="24" t="s">
        <v>1179</v>
      </c>
      <c r="D181" s="24" t="s">
        <v>330</v>
      </c>
      <c r="E181" s="28">
        <v>11465</v>
      </c>
      <c r="F181" s="25">
        <v>56.155569999999997</v>
      </c>
      <c r="G181" s="26">
        <v>0.23685420517987199</v>
      </c>
      <c r="H181" s="29"/>
    </row>
    <row r="182" spans="2:8" x14ac:dyDescent="0.2">
      <c r="B182" s="24" t="s">
        <v>1180</v>
      </c>
      <c r="C182" s="24" t="s">
        <v>1181</v>
      </c>
      <c r="D182" s="24" t="s">
        <v>426</v>
      </c>
      <c r="E182" s="28">
        <v>29517</v>
      </c>
      <c r="F182" s="25">
        <v>55.949473500000003</v>
      </c>
      <c r="G182" s="26">
        <v>0.23598492680378499</v>
      </c>
      <c r="H182" s="29"/>
    </row>
    <row r="183" spans="2:8" x14ac:dyDescent="0.2">
      <c r="B183" s="24" t="s">
        <v>1182</v>
      </c>
      <c r="C183" s="24" t="s">
        <v>1183</v>
      </c>
      <c r="D183" s="24" t="s">
        <v>538</v>
      </c>
      <c r="E183" s="28">
        <v>4064</v>
      </c>
      <c r="F183" s="25">
        <v>55.827168</v>
      </c>
      <c r="G183" s="26">
        <v>0.235469063960765</v>
      </c>
      <c r="H183" s="29"/>
    </row>
    <row r="184" spans="2:8" x14ac:dyDescent="0.2">
      <c r="B184" s="24" t="s">
        <v>1184</v>
      </c>
      <c r="C184" s="24" t="s">
        <v>1185</v>
      </c>
      <c r="D184" s="24" t="s">
        <v>301</v>
      </c>
      <c r="E184" s="28">
        <v>5104</v>
      </c>
      <c r="F184" s="25">
        <v>55.357984000000002</v>
      </c>
      <c r="G184" s="26">
        <v>0.233490129308279</v>
      </c>
      <c r="H184" s="29"/>
    </row>
    <row r="185" spans="2:8" x14ac:dyDescent="0.2">
      <c r="B185" s="24" t="s">
        <v>1186</v>
      </c>
      <c r="C185" s="24" t="s">
        <v>1187</v>
      </c>
      <c r="D185" s="24" t="s">
        <v>675</v>
      </c>
      <c r="E185" s="28">
        <v>12784</v>
      </c>
      <c r="F185" s="25">
        <v>55.271624000000003</v>
      </c>
      <c r="G185" s="26">
        <v>0.23312587819019101</v>
      </c>
      <c r="H185" s="29"/>
    </row>
    <row r="186" spans="2:8" x14ac:dyDescent="0.2">
      <c r="B186" s="24" t="s">
        <v>1188</v>
      </c>
      <c r="C186" s="24" t="s">
        <v>1189</v>
      </c>
      <c r="D186" s="24" t="s">
        <v>507</v>
      </c>
      <c r="E186" s="28">
        <v>16940</v>
      </c>
      <c r="F186" s="25">
        <v>54.78396</v>
      </c>
      <c r="G186" s="26">
        <v>0.23106899818496901</v>
      </c>
      <c r="H186" s="29"/>
    </row>
    <row r="187" spans="2:8" x14ac:dyDescent="0.2">
      <c r="B187" s="24" t="s">
        <v>1190</v>
      </c>
      <c r="C187" s="24" t="s">
        <v>1191</v>
      </c>
      <c r="D187" s="24" t="s">
        <v>318</v>
      </c>
      <c r="E187" s="28">
        <v>6936</v>
      </c>
      <c r="F187" s="25">
        <v>54.322752000000001</v>
      </c>
      <c r="G187" s="26">
        <v>0.22912370488169401</v>
      </c>
      <c r="H187" s="29"/>
    </row>
    <row r="188" spans="2:8" x14ac:dyDescent="0.2">
      <c r="B188" s="24" t="s">
        <v>1192</v>
      </c>
      <c r="C188" s="24" t="s">
        <v>1193</v>
      </c>
      <c r="D188" s="24" t="s">
        <v>318</v>
      </c>
      <c r="E188" s="28">
        <v>3709</v>
      </c>
      <c r="F188" s="25">
        <v>54.292341999999998</v>
      </c>
      <c r="G188" s="26">
        <v>0.228995440911094</v>
      </c>
      <c r="H188" s="29"/>
    </row>
    <row r="189" spans="2:8" x14ac:dyDescent="0.2">
      <c r="B189" s="24" t="s">
        <v>1194</v>
      </c>
      <c r="C189" s="24" t="s">
        <v>1195</v>
      </c>
      <c r="D189" s="24" t="s">
        <v>369</v>
      </c>
      <c r="E189" s="28">
        <v>8166</v>
      </c>
      <c r="F189" s="25">
        <v>53.720030999999999</v>
      </c>
      <c r="G189" s="26">
        <v>0.226581534917073</v>
      </c>
      <c r="H189" s="29"/>
    </row>
    <row r="190" spans="2:8" x14ac:dyDescent="0.2">
      <c r="B190" s="24" t="s">
        <v>1196</v>
      </c>
      <c r="C190" s="24" t="s">
        <v>1197</v>
      </c>
      <c r="D190" s="24" t="s">
        <v>1198</v>
      </c>
      <c r="E190" s="28">
        <v>2248</v>
      </c>
      <c r="F190" s="25">
        <v>53.547359999999998</v>
      </c>
      <c r="G190" s="26">
        <v>0.225853239354182</v>
      </c>
      <c r="H190" s="29"/>
    </row>
    <row r="191" spans="2:8" x14ac:dyDescent="0.2">
      <c r="B191" s="24" t="s">
        <v>1199</v>
      </c>
      <c r="C191" s="24" t="s">
        <v>1200</v>
      </c>
      <c r="D191" s="24" t="s">
        <v>280</v>
      </c>
      <c r="E191" s="28">
        <v>5998</v>
      </c>
      <c r="F191" s="25">
        <v>51.945678999999998</v>
      </c>
      <c r="G191" s="26">
        <v>0.21909763380683001</v>
      </c>
      <c r="H191" s="29"/>
    </row>
    <row r="192" spans="2:8" x14ac:dyDescent="0.2">
      <c r="B192" s="24" t="s">
        <v>1201</v>
      </c>
      <c r="C192" s="24" t="s">
        <v>1202</v>
      </c>
      <c r="D192" s="24" t="s">
        <v>456</v>
      </c>
      <c r="E192" s="28">
        <v>1421</v>
      </c>
      <c r="F192" s="25">
        <v>51.816764999999997</v>
      </c>
      <c r="G192" s="26">
        <v>0.21855389748634399</v>
      </c>
      <c r="H192" s="29"/>
    </row>
    <row r="193" spans="2:8" x14ac:dyDescent="0.2">
      <c r="B193" s="24" t="s">
        <v>1203</v>
      </c>
      <c r="C193" s="24" t="s">
        <v>1204</v>
      </c>
      <c r="D193" s="24" t="s">
        <v>456</v>
      </c>
      <c r="E193" s="28">
        <v>5997</v>
      </c>
      <c r="F193" s="25">
        <v>51.634169999999997</v>
      </c>
      <c r="G193" s="26">
        <v>0.21778374425675701</v>
      </c>
      <c r="H193" s="29"/>
    </row>
    <row r="194" spans="2:8" x14ac:dyDescent="0.2">
      <c r="B194" s="24" t="s">
        <v>1205</v>
      </c>
      <c r="C194" s="24" t="s">
        <v>1206</v>
      </c>
      <c r="D194" s="24" t="s">
        <v>538</v>
      </c>
      <c r="E194" s="28">
        <v>8317</v>
      </c>
      <c r="F194" s="25">
        <v>51.340840999999998</v>
      </c>
      <c r="G194" s="26">
        <v>0.21654653471278501</v>
      </c>
      <c r="H194" s="29"/>
    </row>
    <row r="195" spans="2:8" x14ac:dyDescent="0.2">
      <c r="B195" s="24" t="s">
        <v>1207</v>
      </c>
      <c r="C195" s="24" t="s">
        <v>1208</v>
      </c>
      <c r="D195" s="24" t="s">
        <v>538</v>
      </c>
      <c r="E195" s="28">
        <v>28992</v>
      </c>
      <c r="F195" s="25">
        <v>50.959238399999997</v>
      </c>
      <c r="G195" s="26">
        <v>0.21493700282632</v>
      </c>
      <c r="H195" s="29"/>
    </row>
    <row r="196" spans="2:8" x14ac:dyDescent="0.2">
      <c r="B196" s="24" t="s">
        <v>1209</v>
      </c>
      <c r="C196" s="24" t="s">
        <v>1210</v>
      </c>
      <c r="D196" s="24" t="s">
        <v>517</v>
      </c>
      <c r="E196" s="28">
        <v>5216</v>
      </c>
      <c r="F196" s="25">
        <v>50.736032000000002</v>
      </c>
      <c r="G196" s="26">
        <v>0.213995557935581</v>
      </c>
      <c r="H196" s="29"/>
    </row>
    <row r="197" spans="2:8" x14ac:dyDescent="0.2">
      <c r="B197" s="24" t="s">
        <v>1211</v>
      </c>
      <c r="C197" s="24" t="s">
        <v>1212</v>
      </c>
      <c r="D197" s="24" t="s">
        <v>472</v>
      </c>
      <c r="E197" s="28">
        <v>7296</v>
      </c>
      <c r="F197" s="25">
        <v>50.546688000000003</v>
      </c>
      <c r="G197" s="26">
        <v>0.21319693862452099</v>
      </c>
      <c r="H197" s="29"/>
    </row>
    <row r="198" spans="2:8" x14ac:dyDescent="0.2">
      <c r="B198" s="24" t="s">
        <v>1213</v>
      </c>
      <c r="C198" s="24" t="s">
        <v>1214</v>
      </c>
      <c r="D198" s="24" t="s">
        <v>538</v>
      </c>
      <c r="E198" s="28">
        <v>3155</v>
      </c>
      <c r="F198" s="25">
        <v>49.416764999999998</v>
      </c>
      <c r="G198" s="26">
        <v>0.208431124403787</v>
      </c>
      <c r="H198" s="29"/>
    </row>
    <row r="199" spans="2:8" x14ac:dyDescent="0.2">
      <c r="B199" s="24" t="s">
        <v>1215</v>
      </c>
      <c r="C199" s="24" t="s">
        <v>1216</v>
      </c>
      <c r="D199" s="24" t="s">
        <v>675</v>
      </c>
      <c r="E199" s="28">
        <v>39629</v>
      </c>
      <c r="F199" s="25">
        <v>49.112219699999997</v>
      </c>
      <c r="G199" s="26">
        <v>0.207146606501595</v>
      </c>
      <c r="H199" s="29"/>
    </row>
    <row r="200" spans="2:8" x14ac:dyDescent="0.2">
      <c r="B200" s="24" t="s">
        <v>1217</v>
      </c>
      <c r="C200" s="24" t="s">
        <v>1218</v>
      </c>
      <c r="D200" s="24" t="s">
        <v>318</v>
      </c>
      <c r="E200" s="28">
        <v>4127</v>
      </c>
      <c r="F200" s="25">
        <v>48.500503999999999</v>
      </c>
      <c r="G200" s="26">
        <v>0.20456649849237099</v>
      </c>
      <c r="H200" s="29"/>
    </row>
    <row r="201" spans="2:8" x14ac:dyDescent="0.2">
      <c r="B201" s="24" t="s">
        <v>1219</v>
      </c>
      <c r="C201" s="24" t="s">
        <v>1220</v>
      </c>
      <c r="D201" s="24" t="s">
        <v>361</v>
      </c>
      <c r="E201" s="28">
        <v>21092</v>
      </c>
      <c r="F201" s="25">
        <v>47.5350404</v>
      </c>
      <c r="G201" s="26">
        <v>0.200494344766425</v>
      </c>
      <c r="H201" s="29"/>
    </row>
    <row r="202" spans="2:8" x14ac:dyDescent="0.2">
      <c r="B202" s="24" t="s">
        <v>1221</v>
      </c>
      <c r="C202" s="24" t="s">
        <v>1222</v>
      </c>
      <c r="D202" s="24" t="s">
        <v>448</v>
      </c>
      <c r="E202" s="28">
        <v>17183</v>
      </c>
      <c r="F202" s="25">
        <v>47.485220499999997</v>
      </c>
      <c r="G202" s="26">
        <v>0.20028421329030199</v>
      </c>
      <c r="H202" s="29"/>
    </row>
    <row r="203" spans="2:8" x14ac:dyDescent="0.2">
      <c r="B203" s="24" t="s">
        <v>1495</v>
      </c>
      <c r="C203" s="24" t="s">
        <v>1223</v>
      </c>
      <c r="D203" s="24" t="s">
        <v>321</v>
      </c>
      <c r="E203" s="28">
        <v>35421</v>
      </c>
      <c r="F203" s="25">
        <v>47.478308400000003</v>
      </c>
      <c r="G203" s="26">
        <v>0.20025505928204199</v>
      </c>
      <c r="H203" s="29"/>
    </row>
    <row r="204" spans="2:8" x14ac:dyDescent="0.2">
      <c r="B204" s="24" t="s">
        <v>1224</v>
      </c>
      <c r="C204" s="24" t="s">
        <v>1225</v>
      </c>
      <c r="D204" s="24" t="s">
        <v>324</v>
      </c>
      <c r="E204" s="28">
        <v>1665</v>
      </c>
      <c r="F204" s="25">
        <v>46.62</v>
      </c>
      <c r="G204" s="26">
        <v>0.196634867128687</v>
      </c>
      <c r="H204" s="29"/>
    </row>
    <row r="205" spans="2:8" x14ac:dyDescent="0.2">
      <c r="B205" s="24" t="s">
        <v>1226</v>
      </c>
      <c r="C205" s="24" t="s">
        <v>1227</v>
      </c>
      <c r="D205" s="24" t="s">
        <v>283</v>
      </c>
      <c r="E205" s="28">
        <v>7958</v>
      </c>
      <c r="F205" s="25">
        <v>46.315559999999998</v>
      </c>
      <c r="G205" s="26">
        <v>0.19535079336316399</v>
      </c>
      <c r="H205" s="29"/>
    </row>
    <row r="206" spans="2:8" x14ac:dyDescent="0.2">
      <c r="B206" s="24" t="s">
        <v>1228</v>
      </c>
      <c r="C206" s="24" t="s">
        <v>1229</v>
      </c>
      <c r="D206" s="24" t="s">
        <v>538</v>
      </c>
      <c r="E206" s="28">
        <v>6538</v>
      </c>
      <c r="F206" s="25">
        <v>46.302115999999998</v>
      </c>
      <c r="G206" s="26">
        <v>0.19529408896261299</v>
      </c>
      <c r="H206" s="29"/>
    </row>
    <row r="207" spans="2:8" x14ac:dyDescent="0.2">
      <c r="B207" s="24" t="s">
        <v>1230</v>
      </c>
      <c r="C207" s="24" t="s">
        <v>1231</v>
      </c>
      <c r="D207" s="24" t="s">
        <v>306</v>
      </c>
      <c r="E207" s="28">
        <v>82631</v>
      </c>
      <c r="F207" s="25">
        <v>45.521417900000003</v>
      </c>
      <c r="G207" s="26">
        <v>0.19200124324916201</v>
      </c>
      <c r="H207" s="29"/>
    </row>
    <row r="208" spans="2:8" x14ac:dyDescent="0.2">
      <c r="B208" s="24" t="s">
        <v>1232</v>
      </c>
      <c r="C208" s="24" t="s">
        <v>1233</v>
      </c>
      <c r="D208" s="24" t="s">
        <v>275</v>
      </c>
      <c r="E208" s="28">
        <v>121441</v>
      </c>
      <c r="F208" s="25">
        <v>45.455366300000001</v>
      </c>
      <c r="G208" s="26">
        <v>0.19172264934977001</v>
      </c>
      <c r="H208" s="29"/>
    </row>
    <row r="209" spans="2:8" x14ac:dyDescent="0.2">
      <c r="B209" s="24" t="s">
        <v>1234</v>
      </c>
      <c r="C209" s="24" t="s">
        <v>1235</v>
      </c>
      <c r="D209" s="24" t="s">
        <v>311</v>
      </c>
      <c r="E209" s="28">
        <v>68393</v>
      </c>
      <c r="F209" s="25">
        <v>45.4197913</v>
      </c>
      <c r="G209" s="26">
        <v>0.191572600327932</v>
      </c>
      <c r="H209" s="29"/>
    </row>
    <row r="210" spans="2:8" x14ac:dyDescent="0.2">
      <c r="B210" s="24" t="s">
        <v>1236</v>
      </c>
      <c r="C210" s="24" t="s">
        <v>1237</v>
      </c>
      <c r="D210" s="24" t="s">
        <v>472</v>
      </c>
      <c r="E210" s="28">
        <v>10977</v>
      </c>
      <c r="F210" s="25">
        <v>44.797136999999999</v>
      </c>
      <c r="G210" s="26">
        <v>0.18894635524969</v>
      </c>
      <c r="H210" s="29"/>
    </row>
    <row r="211" spans="2:8" x14ac:dyDescent="0.2">
      <c r="B211" s="24" t="s">
        <v>1238</v>
      </c>
      <c r="C211" s="24" t="s">
        <v>1239</v>
      </c>
      <c r="D211" s="24" t="s">
        <v>507</v>
      </c>
      <c r="E211" s="28">
        <v>15398</v>
      </c>
      <c r="F211" s="25">
        <v>44.677297000000003</v>
      </c>
      <c r="G211" s="26">
        <v>0.18844089144710099</v>
      </c>
      <c r="H211" s="29"/>
    </row>
    <row r="212" spans="2:8" x14ac:dyDescent="0.2">
      <c r="B212" s="24" t="s">
        <v>1240</v>
      </c>
      <c r="C212" s="24" t="s">
        <v>1241</v>
      </c>
      <c r="D212" s="24" t="s">
        <v>318</v>
      </c>
      <c r="E212" s="28">
        <v>2518</v>
      </c>
      <c r="F212" s="25">
        <v>44.666801999999997</v>
      </c>
      <c r="G212" s="26">
        <v>0.188396625403976</v>
      </c>
      <c r="H212" s="29"/>
    </row>
    <row r="213" spans="2:8" x14ac:dyDescent="0.2">
      <c r="B213" s="24" t="s">
        <v>1242</v>
      </c>
      <c r="C213" s="24" t="s">
        <v>1243</v>
      </c>
      <c r="D213" s="24" t="s">
        <v>467</v>
      </c>
      <c r="E213" s="28">
        <v>4886</v>
      </c>
      <c r="F213" s="25">
        <v>44.032632</v>
      </c>
      <c r="G213" s="26">
        <v>0.18572180915157299</v>
      </c>
      <c r="H213" s="29"/>
    </row>
    <row r="214" spans="2:8" x14ac:dyDescent="0.2">
      <c r="B214" s="24" t="s">
        <v>1244</v>
      </c>
      <c r="C214" s="24" t="s">
        <v>1245</v>
      </c>
      <c r="D214" s="24" t="s">
        <v>535</v>
      </c>
      <c r="E214" s="28">
        <v>5133</v>
      </c>
      <c r="F214" s="25">
        <v>43.604835000000001</v>
      </c>
      <c r="G214" s="26">
        <v>0.18391743750307399</v>
      </c>
      <c r="H214" s="29"/>
    </row>
    <row r="215" spans="2:8" x14ac:dyDescent="0.2">
      <c r="B215" s="24" t="s">
        <v>1246</v>
      </c>
      <c r="C215" s="24" t="s">
        <v>1247</v>
      </c>
      <c r="D215" s="24" t="s">
        <v>333</v>
      </c>
      <c r="E215" s="28">
        <v>12499</v>
      </c>
      <c r="F215" s="25">
        <v>43.465272499999998</v>
      </c>
      <c r="G215" s="26">
        <v>0.18332878770376801</v>
      </c>
      <c r="H215" s="29"/>
    </row>
    <row r="216" spans="2:8" x14ac:dyDescent="0.2">
      <c r="B216" s="24" t="s">
        <v>1248</v>
      </c>
      <c r="C216" s="24" t="s">
        <v>1249</v>
      </c>
      <c r="D216" s="24" t="s">
        <v>426</v>
      </c>
      <c r="E216" s="28">
        <v>10063</v>
      </c>
      <c r="F216" s="25">
        <v>42.365229999999997</v>
      </c>
      <c r="G216" s="26">
        <v>0.17868900411682201</v>
      </c>
      <c r="H216" s="29"/>
    </row>
    <row r="217" spans="2:8" x14ac:dyDescent="0.2">
      <c r="B217" s="24" t="s">
        <v>1250</v>
      </c>
      <c r="C217" s="24" t="s">
        <v>1251</v>
      </c>
      <c r="D217" s="24" t="s">
        <v>283</v>
      </c>
      <c r="E217" s="28">
        <v>10238</v>
      </c>
      <c r="F217" s="25">
        <v>42.323892000000001</v>
      </c>
      <c r="G217" s="26">
        <v>0.178514647786119</v>
      </c>
      <c r="H217" s="29"/>
    </row>
    <row r="218" spans="2:8" x14ac:dyDescent="0.2">
      <c r="B218" s="24" t="s">
        <v>1252</v>
      </c>
      <c r="C218" s="24" t="s">
        <v>1253</v>
      </c>
      <c r="D218" s="24" t="s">
        <v>1198</v>
      </c>
      <c r="E218" s="28">
        <v>16922</v>
      </c>
      <c r="F218" s="25">
        <v>42.085014000000001</v>
      </c>
      <c r="G218" s="26">
        <v>0.17750710287428001</v>
      </c>
      <c r="H218" s="29"/>
    </row>
    <row r="219" spans="2:8" x14ac:dyDescent="0.2">
      <c r="B219" s="24" t="s">
        <v>1254</v>
      </c>
      <c r="C219" s="24" t="s">
        <v>1255</v>
      </c>
      <c r="D219" s="24" t="s">
        <v>390</v>
      </c>
      <c r="E219" s="28">
        <v>9617</v>
      </c>
      <c r="F219" s="25">
        <v>41.6175675</v>
      </c>
      <c r="G219" s="26">
        <v>0.175535496687723</v>
      </c>
      <c r="H219" s="29"/>
    </row>
    <row r="220" spans="2:8" x14ac:dyDescent="0.2">
      <c r="B220" s="24" t="s">
        <v>1256</v>
      </c>
      <c r="C220" s="24" t="s">
        <v>1257</v>
      </c>
      <c r="D220" s="24" t="s">
        <v>306</v>
      </c>
      <c r="E220" s="28">
        <v>48661</v>
      </c>
      <c r="F220" s="25">
        <v>41.566226200000003</v>
      </c>
      <c r="G220" s="26">
        <v>0.17531894821703001</v>
      </c>
      <c r="H220" s="29"/>
    </row>
    <row r="221" spans="2:8" x14ac:dyDescent="0.2">
      <c r="B221" s="24" t="s">
        <v>1258</v>
      </c>
      <c r="C221" s="24" t="s">
        <v>1259</v>
      </c>
      <c r="D221" s="24" t="s">
        <v>361</v>
      </c>
      <c r="E221" s="28">
        <v>738</v>
      </c>
      <c r="F221" s="25">
        <v>40.53096</v>
      </c>
      <c r="G221" s="26">
        <v>0.17095237954092901</v>
      </c>
      <c r="H221" s="29"/>
    </row>
    <row r="222" spans="2:8" x14ac:dyDescent="0.2">
      <c r="B222" s="24" t="s">
        <v>1260</v>
      </c>
      <c r="C222" s="24" t="s">
        <v>1261</v>
      </c>
      <c r="D222" s="24" t="s">
        <v>675</v>
      </c>
      <c r="E222" s="28">
        <v>155808</v>
      </c>
      <c r="F222" s="25">
        <v>40.525660799999997</v>
      </c>
      <c r="G222" s="26">
        <v>0.17093002845796301</v>
      </c>
      <c r="H222" s="29"/>
    </row>
    <row r="223" spans="2:8" x14ac:dyDescent="0.2">
      <c r="B223" s="24" t="s">
        <v>1262</v>
      </c>
      <c r="C223" s="24" t="s">
        <v>1263</v>
      </c>
      <c r="D223" s="24" t="s">
        <v>704</v>
      </c>
      <c r="E223" s="28">
        <v>10666</v>
      </c>
      <c r="F223" s="25">
        <v>40.040163999999997</v>
      </c>
      <c r="G223" s="26">
        <v>0.16888228931683399</v>
      </c>
      <c r="H223" s="29"/>
    </row>
    <row r="224" spans="2:8" x14ac:dyDescent="0.2">
      <c r="B224" s="24" t="s">
        <v>1264</v>
      </c>
      <c r="C224" s="24" t="s">
        <v>1265</v>
      </c>
      <c r="D224" s="24" t="s">
        <v>358</v>
      </c>
      <c r="E224" s="28">
        <v>17430</v>
      </c>
      <c r="F224" s="25">
        <v>39.532983000000002</v>
      </c>
      <c r="G224" s="26">
        <v>0.16674309007734101</v>
      </c>
      <c r="H224" s="29"/>
    </row>
    <row r="225" spans="2:8" x14ac:dyDescent="0.2">
      <c r="B225" s="24" t="s">
        <v>1266</v>
      </c>
      <c r="C225" s="24" t="s">
        <v>1267</v>
      </c>
      <c r="D225" s="24" t="s">
        <v>854</v>
      </c>
      <c r="E225" s="28">
        <v>12673</v>
      </c>
      <c r="F225" s="25">
        <v>39.400357</v>
      </c>
      <c r="G225" s="26">
        <v>0.166183697201154</v>
      </c>
      <c r="H225" s="29"/>
    </row>
    <row r="226" spans="2:8" x14ac:dyDescent="0.2">
      <c r="B226" s="24" t="s">
        <v>1268</v>
      </c>
      <c r="C226" s="24" t="s">
        <v>1269</v>
      </c>
      <c r="D226" s="24" t="s">
        <v>280</v>
      </c>
      <c r="E226" s="28">
        <v>22268</v>
      </c>
      <c r="F226" s="25">
        <v>39.3119272</v>
      </c>
      <c r="G226" s="26">
        <v>0.16581071603484801</v>
      </c>
      <c r="H226" s="29"/>
    </row>
    <row r="227" spans="2:8" x14ac:dyDescent="0.2">
      <c r="B227" s="24" t="s">
        <v>1270</v>
      </c>
      <c r="C227" s="24" t="s">
        <v>1271</v>
      </c>
      <c r="D227" s="24" t="s">
        <v>426</v>
      </c>
      <c r="E227" s="28">
        <v>15130</v>
      </c>
      <c r="F227" s="25">
        <v>38.952185</v>
      </c>
      <c r="G227" s="26">
        <v>0.164293387427006</v>
      </c>
      <c r="H227" s="29"/>
    </row>
    <row r="228" spans="2:8" x14ac:dyDescent="0.2">
      <c r="B228" s="24" t="s">
        <v>1272</v>
      </c>
      <c r="C228" s="24" t="s">
        <v>1273</v>
      </c>
      <c r="D228" s="24" t="s">
        <v>286</v>
      </c>
      <c r="E228" s="28">
        <v>10899</v>
      </c>
      <c r="F228" s="25">
        <v>38.517066</v>
      </c>
      <c r="G228" s="26">
        <v>0.16245813288496</v>
      </c>
      <c r="H228" s="29"/>
    </row>
    <row r="229" spans="2:8" x14ac:dyDescent="0.2">
      <c r="B229" s="24" t="s">
        <v>1274</v>
      </c>
      <c r="C229" s="24" t="s">
        <v>1275</v>
      </c>
      <c r="D229" s="24" t="s">
        <v>333</v>
      </c>
      <c r="E229" s="28">
        <v>8353</v>
      </c>
      <c r="F229" s="25">
        <v>38.231681000000002</v>
      </c>
      <c r="G229" s="26">
        <v>0.16125442971989101</v>
      </c>
      <c r="H229" s="29"/>
    </row>
    <row r="230" spans="2:8" x14ac:dyDescent="0.2">
      <c r="B230" s="24" t="s">
        <v>1276</v>
      </c>
      <c r="C230" s="24" t="s">
        <v>1277</v>
      </c>
      <c r="D230" s="24" t="s">
        <v>289</v>
      </c>
      <c r="E230" s="28">
        <v>16709</v>
      </c>
      <c r="F230" s="25">
        <v>38.166697800000001</v>
      </c>
      <c r="G230" s="26">
        <v>0.16098034214165</v>
      </c>
      <c r="H230" s="29"/>
    </row>
    <row r="231" spans="2:8" x14ac:dyDescent="0.2">
      <c r="B231" s="24" t="s">
        <v>1278</v>
      </c>
      <c r="C231" s="24" t="s">
        <v>1279</v>
      </c>
      <c r="D231" s="24" t="s">
        <v>369</v>
      </c>
      <c r="E231" s="28">
        <v>2162</v>
      </c>
      <c r="F231" s="25">
        <v>37.171266000000003</v>
      </c>
      <c r="G231" s="26">
        <v>0.156781787878916</v>
      </c>
      <c r="H231" s="29"/>
    </row>
    <row r="232" spans="2:8" x14ac:dyDescent="0.2">
      <c r="B232" s="24" t="s">
        <v>1280</v>
      </c>
      <c r="C232" s="24" t="s">
        <v>1281</v>
      </c>
      <c r="D232" s="24" t="s">
        <v>311</v>
      </c>
      <c r="E232" s="28">
        <v>7614</v>
      </c>
      <c r="F232" s="25">
        <v>36.954549</v>
      </c>
      <c r="G232" s="26">
        <v>0.155867714123027</v>
      </c>
      <c r="H232" s="29"/>
    </row>
    <row r="233" spans="2:8" x14ac:dyDescent="0.2">
      <c r="B233" s="24" t="s">
        <v>1282</v>
      </c>
      <c r="C233" s="24" t="s">
        <v>1283</v>
      </c>
      <c r="D233" s="24" t="s">
        <v>283</v>
      </c>
      <c r="E233" s="28">
        <v>8990</v>
      </c>
      <c r="F233" s="25">
        <v>36.598289999999999</v>
      </c>
      <c r="G233" s="26">
        <v>0.154365077033186</v>
      </c>
      <c r="H233" s="29"/>
    </row>
    <row r="234" spans="2:8" x14ac:dyDescent="0.2">
      <c r="B234" s="24" t="s">
        <v>1284</v>
      </c>
      <c r="C234" s="24" t="s">
        <v>1285</v>
      </c>
      <c r="D234" s="24" t="s">
        <v>324</v>
      </c>
      <c r="E234" s="28">
        <v>720</v>
      </c>
      <c r="F234" s="25">
        <v>36</v>
      </c>
      <c r="G234" s="26">
        <v>0.15184159623836799</v>
      </c>
      <c r="H234" s="29"/>
    </row>
    <row r="235" spans="2:8" x14ac:dyDescent="0.2">
      <c r="B235" s="24" t="s">
        <v>1286</v>
      </c>
      <c r="C235" s="24" t="s">
        <v>1287</v>
      </c>
      <c r="D235" s="24" t="s">
        <v>1288</v>
      </c>
      <c r="E235" s="28">
        <v>11990</v>
      </c>
      <c r="F235" s="25">
        <v>34.645105000000001</v>
      </c>
      <c r="G235" s="26">
        <v>0.146126890140163</v>
      </c>
      <c r="H235" s="29"/>
    </row>
    <row r="236" spans="2:8" x14ac:dyDescent="0.2">
      <c r="B236" s="24" t="s">
        <v>1289</v>
      </c>
      <c r="C236" s="24" t="s">
        <v>1290</v>
      </c>
      <c r="D236" s="24" t="s">
        <v>1288</v>
      </c>
      <c r="E236" s="28">
        <v>10160</v>
      </c>
      <c r="F236" s="25">
        <v>34.625279999999997</v>
      </c>
      <c r="G236" s="26">
        <v>0.146043271816679</v>
      </c>
      <c r="H236" s="29"/>
    </row>
    <row r="237" spans="2:8" x14ac:dyDescent="0.2">
      <c r="B237" s="24" t="s">
        <v>1291</v>
      </c>
      <c r="C237" s="24" t="s">
        <v>1292</v>
      </c>
      <c r="D237" s="24" t="s">
        <v>538</v>
      </c>
      <c r="E237" s="28">
        <v>7562</v>
      </c>
      <c r="F237" s="25">
        <v>33.658462</v>
      </c>
      <c r="G237" s="26">
        <v>0.14196540547245701</v>
      </c>
      <c r="H237" s="29"/>
    </row>
    <row r="238" spans="2:8" x14ac:dyDescent="0.2">
      <c r="B238" s="24" t="s">
        <v>1293</v>
      </c>
      <c r="C238" s="24" t="s">
        <v>1294</v>
      </c>
      <c r="D238" s="24" t="s">
        <v>426</v>
      </c>
      <c r="E238" s="28">
        <v>30531</v>
      </c>
      <c r="F238" s="25">
        <v>32.555205299999997</v>
      </c>
      <c r="G238" s="26">
        <v>0.13731206496166001</v>
      </c>
      <c r="H238" s="29"/>
    </row>
    <row r="239" spans="2:8" x14ac:dyDescent="0.2">
      <c r="B239" s="24" t="s">
        <v>1295</v>
      </c>
      <c r="C239" s="24" t="s">
        <v>1296</v>
      </c>
      <c r="D239" s="24" t="s">
        <v>369</v>
      </c>
      <c r="E239" s="28">
        <v>6005</v>
      </c>
      <c r="F239" s="25">
        <v>32.039677500000003</v>
      </c>
      <c r="G239" s="26">
        <v>0.135137660404515</v>
      </c>
      <c r="H239" s="29"/>
    </row>
    <row r="240" spans="2:8" x14ac:dyDescent="0.2">
      <c r="B240" s="24" t="s">
        <v>1297</v>
      </c>
      <c r="C240" s="24" t="s">
        <v>1298</v>
      </c>
      <c r="D240" s="24" t="s">
        <v>472</v>
      </c>
      <c r="E240" s="28">
        <v>13362</v>
      </c>
      <c r="F240" s="25">
        <v>31.554362999999999</v>
      </c>
      <c r="G240" s="26">
        <v>0.133090690172358</v>
      </c>
      <c r="H240" s="29"/>
    </row>
    <row r="241" spans="2:8" x14ac:dyDescent="0.2">
      <c r="B241" s="24" t="s">
        <v>1299</v>
      </c>
      <c r="C241" s="24" t="s">
        <v>1300</v>
      </c>
      <c r="D241" s="24" t="s">
        <v>1005</v>
      </c>
      <c r="E241" s="28">
        <v>9341</v>
      </c>
      <c r="F241" s="25">
        <v>31.497852000000002</v>
      </c>
      <c r="G241" s="26">
        <v>0.132852336826663</v>
      </c>
      <c r="H241" s="29"/>
    </row>
    <row r="242" spans="2:8" x14ac:dyDescent="0.2">
      <c r="B242" s="24" t="s">
        <v>1301</v>
      </c>
      <c r="C242" s="24" t="s">
        <v>1302</v>
      </c>
      <c r="D242" s="24" t="s">
        <v>538</v>
      </c>
      <c r="E242" s="28">
        <v>2808</v>
      </c>
      <c r="F242" s="25">
        <v>31.331664</v>
      </c>
      <c r="G242" s="26">
        <v>0.13215138540456101</v>
      </c>
      <c r="H242" s="29"/>
    </row>
    <row r="243" spans="2:8" x14ac:dyDescent="0.2">
      <c r="B243" s="24" t="s">
        <v>1303</v>
      </c>
      <c r="C243" s="24" t="s">
        <v>1304</v>
      </c>
      <c r="D243" s="24" t="s">
        <v>333</v>
      </c>
      <c r="E243" s="28">
        <v>26463</v>
      </c>
      <c r="F243" s="25">
        <v>30.220745999999998</v>
      </c>
      <c r="G243" s="26">
        <v>0.12746573089317401</v>
      </c>
      <c r="H243" s="29"/>
    </row>
    <row r="244" spans="2:8" x14ac:dyDescent="0.2">
      <c r="B244" s="24" t="s">
        <v>1305</v>
      </c>
      <c r="C244" s="24" t="s">
        <v>1306</v>
      </c>
      <c r="D244" s="24" t="s">
        <v>286</v>
      </c>
      <c r="E244" s="28">
        <v>62687</v>
      </c>
      <c r="F244" s="25">
        <v>28.622884200000001</v>
      </c>
      <c r="G244" s="26">
        <v>0.120726234052055</v>
      </c>
      <c r="H244" s="29"/>
    </row>
    <row r="245" spans="2:8" x14ac:dyDescent="0.2">
      <c r="B245" s="24" t="s">
        <v>1307</v>
      </c>
      <c r="C245" s="24" t="s">
        <v>1308</v>
      </c>
      <c r="D245" s="24" t="s">
        <v>283</v>
      </c>
      <c r="E245" s="28">
        <v>2160</v>
      </c>
      <c r="F245" s="25">
        <v>28.53144</v>
      </c>
      <c r="G245" s="26">
        <v>0.120340538682756</v>
      </c>
      <c r="H245" s="29"/>
    </row>
    <row r="246" spans="2:8" x14ac:dyDescent="0.2">
      <c r="B246" s="24" t="s">
        <v>1309</v>
      </c>
      <c r="C246" s="24" t="s">
        <v>1310</v>
      </c>
      <c r="D246" s="24" t="s">
        <v>321</v>
      </c>
      <c r="E246" s="28">
        <v>12569</v>
      </c>
      <c r="F246" s="25">
        <v>28.3782882</v>
      </c>
      <c r="G246" s="26">
        <v>0.119694571633346</v>
      </c>
      <c r="H246" s="29"/>
    </row>
    <row r="247" spans="2:8" x14ac:dyDescent="0.2">
      <c r="B247" s="24" t="s">
        <v>1311</v>
      </c>
      <c r="C247" s="24" t="s">
        <v>1312</v>
      </c>
      <c r="D247" s="24" t="s">
        <v>439</v>
      </c>
      <c r="E247" s="28">
        <v>5029</v>
      </c>
      <c r="F247" s="25">
        <v>28.3660745</v>
      </c>
      <c r="G247" s="26">
        <v>0.119643056419346</v>
      </c>
      <c r="H247" s="29"/>
    </row>
    <row r="248" spans="2:8" x14ac:dyDescent="0.2">
      <c r="B248" s="24" t="s">
        <v>1313</v>
      </c>
      <c r="C248" s="24" t="s">
        <v>1314</v>
      </c>
      <c r="D248" s="24" t="s">
        <v>456</v>
      </c>
      <c r="E248" s="28">
        <v>1728</v>
      </c>
      <c r="F248" s="25">
        <v>27.139968</v>
      </c>
      <c r="G248" s="26">
        <v>0.114471557304951</v>
      </c>
      <c r="H248" s="29"/>
    </row>
    <row r="249" spans="2:8" x14ac:dyDescent="0.2">
      <c r="B249" s="24" t="s">
        <v>1315</v>
      </c>
      <c r="C249" s="24" t="s">
        <v>1316</v>
      </c>
      <c r="D249" s="24" t="s">
        <v>324</v>
      </c>
      <c r="E249" s="28">
        <v>10647</v>
      </c>
      <c r="F249" s="25">
        <v>26.952880499999999</v>
      </c>
      <c r="G249" s="26">
        <v>0.113682455509499</v>
      </c>
      <c r="H249" s="29"/>
    </row>
    <row r="250" spans="2:8" x14ac:dyDescent="0.2">
      <c r="B250" s="24" t="s">
        <v>1317</v>
      </c>
      <c r="C250" s="24" t="s">
        <v>1318</v>
      </c>
      <c r="D250" s="24" t="s">
        <v>538</v>
      </c>
      <c r="E250" s="28">
        <v>5052</v>
      </c>
      <c r="F250" s="25">
        <v>26.275452000000001</v>
      </c>
      <c r="G250" s="26">
        <v>0.110825182599017</v>
      </c>
      <c r="H250" s="29"/>
    </row>
    <row r="251" spans="2:8" x14ac:dyDescent="0.2">
      <c r="B251" s="24" t="s">
        <v>1319</v>
      </c>
      <c r="C251" s="24" t="s">
        <v>1320</v>
      </c>
      <c r="D251" s="24" t="s">
        <v>426</v>
      </c>
      <c r="E251" s="28">
        <v>3218</v>
      </c>
      <c r="F251" s="25">
        <v>24.007888999999999</v>
      </c>
      <c r="G251" s="26">
        <v>0.101261005224265</v>
      </c>
      <c r="H251" s="29"/>
    </row>
    <row r="252" spans="2:8" x14ac:dyDescent="0.2">
      <c r="B252" s="24" t="s">
        <v>1321</v>
      </c>
      <c r="C252" s="24" t="s">
        <v>1322</v>
      </c>
      <c r="D252" s="24" t="s">
        <v>569</v>
      </c>
      <c r="E252" s="28">
        <v>17223</v>
      </c>
      <c r="F252" s="25">
        <v>23.6454567</v>
      </c>
      <c r="G252" s="26">
        <v>9.9732330253144805E-2</v>
      </c>
      <c r="H252" s="29"/>
    </row>
    <row r="253" spans="2:8" x14ac:dyDescent="0.2">
      <c r="B253" s="24" t="s">
        <v>1323</v>
      </c>
      <c r="C253" s="24" t="s">
        <v>1324</v>
      </c>
      <c r="D253" s="24" t="s">
        <v>675</v>
      </c>
      <c r="E253" s="28">
        <v>154849</v>
      </c>
      <c r="F253" s="25">
        <v>23.382199</v>
      </c>
      <c r="G253" s="26">
        <v>9.8621956103421393E-2</v>
      </c>
      <c r="H253" s="29"/>
    </row>
    <row r="254" spans="2:8" x14ac:dyDescent="0.2">
      <c r="B254" s="24" t="s">
        <v>1325</v>
      </c>
      <c r="C254" s="24" t="s">
        <v>1326</v>
      </c>
      <c r="D254" s="24" t="s">
        <v>318</v>
      </c>
      <c r="E254" s="28">
        <v>4380</v>
      </c>
      <c r="F254" s="25">
        <v>18.297450000000001</v>
      </c>
      <c r="G254" s="26">
        <v>7.7175389308103498E-2</v>
      </c>
      <c r="H254" s="29"/>
    </row>
    <row r="255" spans="2:8" x14ac:dyDescent="0.2">
      <c r="B255" s="24" t="s">
        <v>1327</v>
      </c>
      <c r="C255" s="24" t="s">
        <v>1328</v>
      </c>
      <c r="D255" s="24" t="s">
        <v>318</v>
      </c>
      <c r="E255" s="28">
        <v>3423</v>
      </c>
      <c r="F255" s="25">
        <v>15.0457965</v>
      </c>
      <c r="G255" s="26">
        <v>6.34604932566014E-2</v>
      </c>
      <c r="H255" s="29"/>
    </row>
    <row r="256" spans="2:8" x14ac:dyDescent="0.2">
      <c r="B256" s="24" t="s">
        <v>1329</v>
      </c>
      <c r="C256" s="24" t="s">
        <v>1330</v>
      </c>
      <c r="D256" s="24" t="s">
        <v>854</v>
      </c>
      <c r="E256" s="28">
        <v>18876</v>
      </c>
      <c r="F256" s="25">
        <v>12.288276</v>
      </c>
      <c r="G256" s="26">
        <v>5.1829762301600801E-2</v>
      </c>
      <c r="H256" s="29"/>
    </row>
    <row r="257" spans="2:9" x14ac:dyDescent="0.2">
      <c r="B257" s="23" t="s">
        <v>58</v>
      </c>
      <c r="C257" s="23"/>
      <c r="D257" s="23"/>
      <c r="E257" s="23"/>
      <c r="F257" s="31">
        <f>SUM(F7:F256)</f>
        <v>23673.098373099998</v>
      </c>
      <c r="G257" s="32">
        <f>SUM(G7:G256)</f>
        <v>99.84891791331718</v>
      </c>
      <c r="H257" s="23"/>
      <c r="I257" s="16"/>
    </row>
    <row r="258" spans="2:9" x14ac:dyDescent="0.2">
      <c r="B258" s="23" t="s">
        <v>399</v>
      </c>
      <c r="C258" s="23"/>
      <c r="D258" s="23"/>
      <c r="E258" s="23"/>
      <c r="F258" s="53" t="s">
        <v>400</v>
      </c>
      <c r="G258" s="54" t="s">
        <v>400</v>
      </c>
      <c r="H258" s="23"/>
      <c r="I258" s="16"/>
    </row>
    <row r="259" spans="2:9" x14ac:dyDescent="0.2">
      <c r="B259" s="23" t="s">
        <v>58</v>
      </c>
      <c r="C259" s="23"/>
      <c r="D259" s="23"/>
      <c r="E259" s="23"/>
      <c r="F259" s="49" t="s">
        <v>400</v>
      </c>
      <c r="G259" s="50" t="s">
        <v>400</v>
      </c>
      <c r="H259" s="23"/>
      <c r="I259" s="16"/>
    </row>
    <row r="260" spans="2:9" x14ac:dyDescent="0.2">
      <c r="B260" s="36" t="s">
        <v>100</v>
      </c>
      <c r="C260" s="36"/>
      <c r="D260" s="36"/>
      <c r="E260" s="36"/>
      <c r="F260" s="37">
        <f>F257</f>
        <v>23673.098373099998</v>
      </c>
      <c r="G260" s="38">
        <f>G257</f>
        <v>99.84891791331718</v>
      </c>
      <c r="H260" s="23"/>
      <c r="I260" s="16"/>
    </row>
    <row r="261" spans="2:9" x14ac:dyDescent="0.2">
      <c r="B261" s="23" t="s">
        <v>108</v>
      </c>
      <c r="C261" s="23"/>
      <c r="D261" s="23"/>
      <c r="E261" s="23"/>
      <c r="F261" s="31">
        <v>135.246769</v>
      </c>
      <c r="G261" s="32">
        <v>0.57044681364005101</v>
      </c>
      <c r="H261" s="29">
        <v>5.04819029E-2</v>
      </c>
      <c r="I261" s="17"/>
    </row>
    <row r="262" spans="2:9" x14ac:dyDescent="0.2">
      <c r="B262" s="24"/>
      <c r="C262" s="24"/>
      <c r="D262" s="24"/>
      <c r="E262" s="24"/>
      <c r="F262" s="25"/>
      <c r="G262" s="26"/>
      <c r="H262" s="24"/>
    </row>
    <row r="263" spans="2:9" x14ac:dyDescent="0.2">
      <c r="B263" s="43" t="s">
        <v>110</v>
      </c>
      <c r="C263" s="43"/>
      <c r="D263" s="43"/>
      <c r="E263" s="43"/>
      <c r="F263" s="31">
        <f>F264-(F257+F261)</f>
        <v>-99.426840500000253</v>
      </c>
      <c r="G263" s="32">
        <f>G264-(G257+G261)</f>
        <v>-0.41936472695722671</v>
      </c>
      <c r="H263" s="23"/>
      <c r="I263" s="16"/>
    </row>
    <row r="264" spans="2:9" x14ac:dyDescent="0.2">
      <c r="B264" s="39" t="s">
        <v>109</v>
      </c>
      <c r="C264" s="39"/>
      <c r="D264" s="39"/>
      <c r="E264" s="39"/>
      <c r="F264" s="40">
        <v>23708.918301599999</v>
      </c>
      <c r="G264" s="41">
        <v>100</v>
      </c>
      <c r="H264" s="55"/>
      <c r="I264" s="16"/>
    </row>
    <row r="266" spans="2:9" x14ac:dyDescent="0.2">
      <c r="B266" s="16" t="s">
        <v>514</v>
      </c>
    </row>
    <row r="269" spans="2:9" x14ac:dyDescent="0.2">
      <c r="B269" s="16" t="s">
        <v>114</v>
      </c>
    </row>
    <row r="287" spans="2:2" x14ac:dyDescent="0.2">
      <c r="B287" s="66" t="s">
        <v>1469</v>
      </c>
    </row>
    <row r="288" spans="2:2" x14ac:dyDescent="0.2">
      <c r="B288" s="67" t="s">
        <v>1477</v>
      </c>
    </row>
  </sheetData>
  <mergeCells count="1">
    <mergeCell ref="B1:C1"/>
  </mergeCells>
  <conditionalFormatting sqref="G1:G3 G5:G305">
    <cfRule type="cellIs" dxfId="2" priority="2" stopIfTrue="1" operator="between">
      <formula>0.009</formula>
      <formula>-0.009</formula>
    </cfRule>
  </conditionalFormatting>
  <hyperlinks>
    <hyperlink ref="A2" location="Index!A1" display="-" xr:uid="{D2542C8E-0555-41F4-AEB3-31BB4BA3E45B}"/>
  </hyperlinks>
  <pageMargins left="0.7" right="0.7" top="0.75" bottom="0.75" header="0.3" footer="0.3"/>
  <pageSetup paperSize="9" scale="2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512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01D0-7EC2-4C6C-A7C5-2D7281C24BC3}">
  <dimension ref="A1:I168"/>
  <sheetViews>
    <sheetView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68.109375" style="6" bestFit="1" customWidth="1"/>
    <col min="3" max="3" width="11" style="6" bestFit="1" customWidth="1"/>
    <col min="4" max="4" width="32.21875" style="6" bestFit="1" customWidth="1"/>
    <col min="5" max="5" width="13.6640625" style="6" bestFit="1" customWidth="1"/>
    <col min="6" max="6" width="22.77734375" style="8" bestFit="1" customWidth="1"/>
    <col min="7" max="7" width="12.21875" style="14" bestFit="1" customWidth="1"/>
    <col min="8" max="8" width="17.33203125" style="6" bestFit="1" customWidth="1"/>
    <col min="9" max="16384" width="9.109375" style="6"/>
  </cols>
  <sheetData>
    <row r="1" spans="1:8" s="1" customFormat="1" ht="16.8" customHeight="1" x14ac:dyDescent="0.25">
      <c r="B1" s="98" t="s">
        <v>20</v>
      </c>
      <c r="C1" s="99"/>
      <c r="D1" s="10"/>
      <c r="F1" s="5"/>
      <c r="G1" s="14"/>
    </row>
    <row r="2" spans="1:8" s="1" customFormat="1" ht="14.4" x14ac:dyDescent="0.3">
      <c r="A2" s="65" t="s">
        <v>1481</v>
      </c>
      <c r="F2" s="5"/>
      <c r="G2" s="14"/>
    </row>
    <row r="3" spans="1:8" s="1" customFormat="1" ht="12" x14ac:dyDescent="0.2">
      <c r="B3" s="7" t="s">
        <v>9</v>
      </c>
      <c r="C3" s="2"/>
      <c r="D3" s="3"/>
      <c r="E3" s="3"/>
      <c r="F3" s="4"/>
      <c r="G3" s="14"/>
    </row>
    <row r="4" spans="1:8" s="1" customFormat="1" ht="25.5" customHeight="1" x14ac:dyDescent="0.2">
      <c r="B4" s="18" t="s">
        <v>7</v>
      </c>
      <c r="C4" s="18" t="s">
        <v>8</v>
      </c>
      <c r="D4" s="19" t="s">
        <v>401</v>
      </c>
      <c r="E4" s="19" t="s">
        <v>0</v>
      </c>
      <c r="F4" s="20" t="s">
        <v>4</v>
      </c>
      <c r="G4" s="21" t="s">
        <v>5</v>
      </c>
      <c r="H4" s="92" t="s">
        <v>6</v>
      </c>
    </row>
    <row r="5" spans="1:8" x14ac:dyDescent="0.2">
      <c r="B5" s="23" t="s">
        <v>272</v>
      </c>
      <c r="C5" s="24"/>
      <c r="D5" s="24"/>
      <c r="E5" s="24"/>
      <c r="F5" s="25"/>
      <c r="G5" s="26"/>
      <c r="H5" s="24"/>
    </row>
    <row r="6" spans="1:8" x14ac:dyDescent="0.2">
      <c r="B6" s="23" t="s">
        <v>244</v>
      </c>
      <c r="C6" s="24"/>
      <c r="D6" s="24"/>
      <c r="E6" s="24"/>
      <c r="F6" s="25"/>
      <c r="G6" s="26"/>
      <c r="H6" s="24"/>
    </row>
    <row r="7" spans="1:8" x14ac:dyDescent="0.2">
      <c r="B7" s="24" t="s">
        <v>273</v>
      </c>
      <c r="C7" s="24" t="s">
        <v>274</v>
      </c>
      <c r="D7" s="24" t="s">
        <v>275</v>
      </c>
      <c r="E7" s="28">
        <v>2475118</v>
      </c>
      <c r="F7" s="25">
        <v>23000.034015000001</v>
      </c>
      <c r="G7" s="26">
        <v>8.7996326470517801</v>
      </c>
      <c r="H7" s="29"/>
    </row>
    <row r="8" spans="1:8" x14ac:dyDescent="0.2">
      <c r="B8" s="24" t="s">
        <v>276</v>
      </c>
      <c r="C8" s="24" t="s">
        <v>277</v>
      </c>
      <c r="D8" s="24" t="s">
        <v>275</v>
      </c>
      <c r="E8" s="28">
        <v>1190206</v>
      </c>
      <c r="F8" s="25">
        <v>16127.291300000001</v>
      </c>
      <c r="G8" s="26">
        <v>6.1701751805863196</v>
      </c>
      <c r="H8" s="29"/>
    </row>
    <row r="9" spans="1:8" x14ac:dyDescent="0.2">
      <c r="B9" s="24" t="s">
        <v>284</v>
      </c>
      <c r="C9" s="24" t="s">
        <v>285</v>
      </c>
      <c r="D9" s="24" t="s">
        <v>286</v>
      </c>
      <c r="E9" s="28">
        <v>550825</v>
      </c>
      <c r="F9" s="25">
        <v>10844.091775000001</v>
      </c>
      <c r="G9" s="26">
        <v>4.1488644733604598</v>
      </c>
      <c r="H9" s="29"/>
    </row>
    <row r="10" spans="1:8" x14ac:dyDescent="0.2">
      <c r="B10" s="24" t="s">
        <v>281</v>
      </c>
      <c r="C10" s="24" t="s">
        <v>282</v>
      </c>
      <c r="D10" s="24" t="s">
        <v>283</v>
      </c>
      <c r="E10" s="28">
        <v>633596</v>
      </c>
      <c r="F10" s="25">
        <v>10397.310359999999</v>
      </c>
      <c r="G10" s="26">
        <v>3.97792940765726</v>
      </c>
      <c r="H10" s="29"/>
    </row>
    <row r="11" spans="1:8" x14ac:dyDescent="0.2">
      <c r="B11" s="24" t="s">
        <v>290</v>
      </c>
      <c r="C11" s="24" t="s">
        <v>291</v>
      </c>
      <c r="D11" s="24" t="s">
        <v>275</v>
      </c>
      <c r="E11" s="28">
        <v>912860</v>
      </c>
      <c r="F11" s="25">
        <v>9832.8714899999995</v>
      </c>
      <c r="G11" s="26">
        <v>3.7619795223450101</v>
      </c>
      <c r="H11" s="29"/>
    </row>
    <row r="12" spans="1:8" x14ac:dyDescent="0.2">
      <c r="B12" s="24" t="s">
        <v>287</v>
      </c>
      <c r="C12" s="24" t="s">
        <v>288</v>
      </c>
      <c r="D12" s="24" t="s">
        <v>289</v>
      </c>
      <c r="E12" s="28">
        <v>239761</v>
      </c>
      <c r="F12" s="25">
        <v>9428.121803</v>
      </c>
      <c r="G12" s="26">
        <v>3.6071254661602898</v>
      </c>
      <c r="H12" s="29"/>
    </row>
    <row r="13" spans="1:8" x14ac:dyDescent="0.2">
      <c r="B13" s="24" t="s">
        <v>278</v>
      </c>
      <c r="C13" s="24" t="s">
        <v>279</v>
      </c>
      <c r="D13" s="24" t="s">
        <v>280</v>
      </c>
      <c r="E13" s="28">
        <v>629915</v>
      </c>
      <c r="F13" s="25">
        <v>8789.8339099999994</v>
      </c>
      <c r="G13" s="26">
        <v>3.3629215237749199</v>
      </c>
      <c r="H13" s="29"/>
    </row>
    <row r="14" spans="1:8" x14ac:dyDescent="0.2">
      <c r="B14" s="24" t="s">
        <v>296</v>
      </c>
      <c r="C14" s="24" t="s">
        <v>297</v>
      </c>
      <c r="D14" s="24" t="s">
        <v>298</v>
      </c>
      <c r="E14" s="28">
        <v>1942206</v>
      </c>
      <c r="F14" s="25">
        <v>6256.8166289999999</v>
      </c>
      <c r="G14" s="26">
        <v>2.3938089760761998</v>
      </c>
      <c r="H14" s="29"/>
    </row>
    <row r="15" spans="1:8" x14ac:dyDescent="0.2">
      <c r="B15" s="24" t="s">
        <v>322</v>
      </c>
      <c r="C15" s="24" t="s">
        <v>323</v>
      </c>
      <c r="D15" s="24" t="s">
        <v>324</v>
      </c>
      <c r="E15" s="28">
        <v>140314</v>
      </c>
      <c r="F15" s="25">
        <v>5580.8490359999996</v>
      </c>
      <c r="G15" s="26">
        <v>2.1351890759563799</v>
      </c>
      <c r="H15" s="29"/>
    </row>
    <row r="16" spans="1:8" x14ac:dyDescent="0.2">
      <c r="B16" s="24" t="s">
        <v>314</v>
      </c>
      <c r="C16" s="24" t="s">
        <v>315</v>
      </c>
      <c r="D16" s="24" t="s">
        <v>283</v>
      </c>
      <c r="E16" s="28">
        <v>308962</v>
      </c>
      <c r="F16" s="25">
        <v>5238.7596720000001</v>
      </c>
      <c r="G16" s="26">
        <v>2.0043083679669702</v>
      </c>
      <c r="H16" s="29"/>
    </row>
    <row r="17" spans="2:8" x14ac:dyDescent="0.2">
      <c r="B17" s="24" t="s">
        <v>402</v>
      </c>
      <c r="C17" s="24" t="s">
        <v>403</v>
      </c>
      <c r="D17" s="24" t="s">
        <v>404</v>
      </c>
      <c r="E17" s="28">
        <v>760234</v>
      </c>
      <c r="F17" s="25">
        <v>5181.3748269999996</v>
      </c>
      <c r="G17" s="26">
        <v>1.98235337628397</v>
      </c>
      <c r="H17" s="29"/>
    </row>
    <row r="18" spans="2:8" x14ac:dyDescent="0.2">
      <c r="B18" s="24" t="s">
        <v>353</v>
      </c>
      <c r="C18" s="24" t="s">
        <v>354</v>
      </c>
      <c r="D18" s="24" t="s">
        <v>355</v>
      </c>
      <c r="E18" s="28">
        <v>345368</v>
      </c>
      <c r="F18" s="25">
        <v>4903.5348640000002</v>
      </c>
      <c r="G18" s="26">
        <v>1.87605398527107</v>
      </c>
      <c r="H18" s="29"/>
    </row>
    <row r="19" spans="2:8" x14ac:dyDescent="0.2">
      <c r="B19" s="24" t="s">
        <v>547</v>
      </c>
      <c r="C19" s="24" t="s">
        <v>548</v>
      </c>
      <c r="D19" s="24" t="s">
        <v>517</v>
      </c>
      <c r="E19" s="28">
        <v>186351</v>
      </c>
      <c r="F19" s="25">
        <v>4688.032107</v>
      </c>
      <c r="G19" s="26">
        <v>1.79360432042318</v>
      </c>
      <c r="H19" s="29"/>
    </row>
    <row r="20" spans="2:8" x14ac:dyDescent="0.2">
      <c r="B20" s="24" t="s">
        <v>407</v>
      </c>
      <c r="C20" s="24" t="s">
        <v>408</v>
      </c>
      <c r="D20" s="24" t="s">
        <v>301</v>
      </c>
      <c r="E20" s="28">
        <v>122229</v>
      </c>
      <c r="F20" s="25">
        <v>4494.8492459999998</v>
      </c>
      <c r="G20" s="26">
        <v>1.71969407275147</v>
      </c>
      <c r="H20" s="29"/>
    </row>
    <row r="21" spans="2:8" x14ac:dyDescent="0.2">
      <c r="B21" s="24" t="s">
        <v>518</v>
      </c>
      <c r="C21" s="24" t="s">
        <v>519</v>
      </c>
      <c r="D21" s="24" t="s">
        <v>301</v>
      </c>
      <c r="E21" s="28">
        <v>80780</v>
      </c>
      <c r="F21" s="25">
        <v>4470.3652000000002</v>
      </c>
      <c r="G21" s="26">
        <v>1.7103266687566301</v>
      </c>
      <c r="H21" s="29"/>
    </row>
    <row r="22" spans="2:8" x14ac:dyDescent="0.2">
      <c r="B22" s="24" t="s">
        <v>555</v>
      </c>
      <c r="C22" s="24" t="s">
        <v>556</v>
      </c>
      <c r="D22" s="24" t="s">
        <v>372</v>
      </c>
      <c r="E22" s="28">
        <v>276654</v>
      </c>
      <c r="F22" s="25">
        <v>4464.0889440000001</v>
      </c>
      <c r="G22" s="26">
        <v>1.7079254224296601</v>
      </c>
      <c r="H22" s="29"/>
    </row>
    <row r="23" spans="2:8" x14ac:dyDescent="0.2">
      <c r="B23" s="24" t="s">
        <v>411</v>
      </c>
      <c r="C23" s="24" t="s">
        <v>412</v>
      </c>
      <c r="D23" s="24" t="s">
        <v>280</v>
      </c>
      <c r="E23" s="28">
        <v>1214936</v>
      </c>
      <c r="F23" s="25">
        <v>4428.4417199999998</v>
      </c>
      <c r="G23" s="26">
        <v>1.6942870740740601</v>
      </c>
      <c r="H23" s="29"/>
    </row>
    <row r="24" spans="2:8" x14ac:dyDescent="0.2">
      <c r="B24" s="24" t="s">
        <v>413</v>
      </c>
      <c r="C24" s="24" t="s">
        <v>414</v>
      </c>
      <c r="D24" s="24" t="s">
        <v>369</v>
      </c>
      <c r="E24" s="28">
        <v>71610</v>
      </c>
      <c r="F24" s="25">
        <v>4196.7040500000003</v>
      </c>
      <c r="G24" s="26">
        <v>1.6056260588271301</v>
      </c>
      <c r="H24" s="29"/>
    </row>
    <row r="25" spans="2:8" x14ac:dyDescent="0.2">
      <c r="B25" s="24" t="s">
        <v>536</v>
      </c>
      <c r="C25" s="24" t="s">
        <v>537</v>
      </c>
      <c r="D25" s="24" t="s">
        <v>538</v>
      </c>
      <c r="E25" s="28">
        <v>101311</v>
      </c>
      <c r="F25" s="25">
        <v>4166.4148750000004</v>
      </c>
      <c r="G25" s="26">
        <v>1.5940376580009199</v>
      </c>
      <c r="H25" s="29"/>
    </row>
    <row r="26" spans="2:8" x14ac:dyDescent="0.2">
      <c r="B26" s="24" t="s">
        <v>508</v>
      </c>
      <c r="C26" s="24" t="s">
        <v>509</v>
      </c>
      <c r="D26" s="24" t="s">
        <v>372</v>
      </c>
      <c r="E26" s="28">
        <v>481250</v>
      </c>
      <c r="F26" s="25">
        <v>3967.90625</v>
      </c>
      <c r="G26" s="26">
        <v>1.51808981478764</v>
      </c>
      <c r="H26" s="29"/>
    </row>
    <row r="27" spans="2:8" x14ac:dyDescent="0.2">
      <c r="B27" s="24" t="s">
        <v>328</v>
      </c>
      <c r="C27" s="24" t="s">
        <v>329</v>
      </c>
      <c r="D27" s="24" t="s">
        <v>330</v>
      </c>
      <c r="E27" s="28">
        <v>1857070</v>
      </c>
      <c r="F27" s="25">
        <v>3586.559291</v>
      </c>
      <c r="G27" s="26">
        <v>1.3721894588107</v>
      </c>
      <c r="H27" s="29"/>
    </row>
    <row r="28" spans="2:8" x14ac:dyDescent="0.2">
      <c r="B28" s="24" t="s">
        <v>359</v>
      </c>
      <c r="C28" s="24" t="s">
        <v>360</v>
      </c>
      <c r="D28" s="24" t="s">
        <v>361</v>
      </c>
      <c r="E28" s="28">
        <v>76386</v>
      </c>
      <c r="F28" s="25">
        <v>3511.0824899999998</v>
      </c>
      <c r="G28" s="26">
        <v>1.3433126266398601</v>
      </c>
      <c r="H28" s="29"/>
    </row>
    <row r="29" spans="2:8" x14ac:dyDescent="0.2">
      <c r="B29" s="24" t="s">
        <v>596</v>
      </c>
      <c r="C29" s="24" t="s">
        <v>597</v>
      </c>
      <c r="D29" s="24" t="s">
        <v>275</v>
      </c>
      <c r="E29" s="28">
        <v>377757</v>
      </c>
      <c r="F29" s="25">
        <v>3444.010569</v>
      </c>
      <c r="G29" s="26">
        <v>1.3176514356456599</v>
      </c>
      <c r="H29" s="29"/>
    </row>
    <row r="30" spans="2:8" x14ac:dyDescent="0.2">
      <c r="B30" s="24" t="s">
        <v>840</v>
      </c>
      <c r="C30" s="24" t="s">
        <v>841</v>
      </c>
      <c r="D30" s="24" t="s">
        <v>419</v>
      </c>
      <c r="E30" s="28">
        <v>120351</v>
      </c>
      <c r="F30" s="25">
        <v>3403.6466310000001</v>
      </c>
      <c r="G30" s="26">
        <v>1.3022085095022999</v>
      </c>
      <c r="H30" s="29"/>
    </row>
    <row r="31" spans="2:8" x14ac:dyDescent="0.2">
      <c r="B31" s="24" t="s">
        <v>838</v>
      </c>
      <c r="C31" s="24" t="s">
        <v>839</v>
      </c>
      <c r="D31" s="24" t="s">
        <v>456</v>
      </c>
      <c r="E31" s="28">
        <v>55224</v>
      </c>
      <c r="F31" s="25">
        <v>3368.1117599999998</v>
      </c>
      <c r="G31" s="26">
        <v>1.2886131465234301</v>
      </c>
      <c r="H31" s="29"/>
    </row>
    <row r="32" spans="2:8" x14ac:dyDescent="0.2">
      <c r="B32" s="24" t="s">
        <v>598</v>
      </c>
      <c r="C32" s="24" t="s">
        <v>599</v>
      </c>
      <c r="D32" s="24" t="s">
        <v>283</v>
      </c>
      <c r="E32" s="28">
        <v>111939</v>
      </c>
      <c r="F32" s="25">
        <v>3088.3970100000001</v>
      </c>
      <c r="G32" s="26">
        <v>1.1815964767064799</v>
      </c>
      <c r="H32" s="29"/>
    </row>
    <row r="33" spans="2:8" x14ac:dyDescent="0.2">
      <c r="B33" s="24" t="s">
        <v>578</v>
      </c>
      <c r="C33" s="24" t="s">
        <v>579</v>
      </c>
      <c r="D33" s="24" t="s">
        <v>538</v>
      </c>
      <c r="E33" s="28">
        <v>42080</v>
      </c>
      <c r="F33" s="25">
        <v>2951.2808</v>
      </c>
      <c r="G33" s="26">
        <v>1.12913689003069</v>
      </c>
      <c r="H33" s="29"/>
    </row>
    <row r="34" spans="2:8" x14ac:dyDescent="0.2">
      <c r="B34" s="24" t="s">
        <v>422</v>
      </c>
      <c r="C34" s="24" t="s">
        <v>423</v>
      </c>
      <c r="D34" s="24" t="s">
        <v>280</v>
      </c>
      <c r="E34" s="28">
        <v>1790402</v>
      </c>
      <c r="F34" s="25">
        <v>2922.6522248000001</v>
      </c>
      <c r="G34" s="26">
        <v>1.11818382166547</v>
      </c>
      <c r="H34" s="29"/>
    </row>
    <row r="35" spans="2:8" x14ac:dyDescent="0.2">
      <c r="B35" s="24" t="s">
        <v>826</v>
      </c>
      <c r="C35" s="24" t="s">
        <v>827</v>
      </c>
      <c r="D35" s="24" t="s">
        <v>517</v>
      </c>
      <c r="E35" s="28">
        <v>107656</v>
      </c>
      <c r="F35" s="25">
        <v>2721.5436800000002</v>
      </c>
      <c r="G35" s="26">
        <v>1.0412412695253801</v>
      </c>
      <c r="H35" s="29"/>
    </row>
    <row r="36" spans="2:8" x14ac:dyDescent="0.2">
      <c r="B36" s="24" t="s">
        <v>545</v>
      </c>
      <c r="C36" s="24" t="s">
        <v>546</v>
      </c>
      <c r="D36" s="24" t="s">
        <v>318</v>
      </c>
      <c r="E36" s="28">
        <v>124374</v>
      </c>
      <c r="F36" s="25">
        <v>2677.5234719999999</v>
      </c>
      <c r="G36" s="26">
        <v>1.02439948315262</v>
      </c>
      <c r="H36" s="29"/>
    </row>
    <row r="37" spans="2:8" x14ac:dyDescent="0.2">
      <c r="B37" s="24" t="s">
        <v>473</v>
      </c>
      <c r="C37" s="24" t="s">
        <v>474</v>
      </c>
      <c r="D37" s="24" t="s">
        <v>333</v>
      </c>
      <c r="E37" s="28">
        <v>9840</v>
      </c>
      <c r="F37" s="25">
        <v>2655.3240000000001</v>
      </c>
      <c r="G37" s="26">
        <v>1.0159061392544699</v>
      </c>
      <c r="H37" s="29"/>
    </row>
    <row r="38" spans="2:8" x14ac:dyDescent="0.2">
      <c r="B38" s="24" t="s">
        <v>309</v>
      </c>
      <c r="C38" s="24" t="s">
        <v>310</v>
      </c>
      <c r="D38" s="24" t="s">
        <v>311</v>
      </c>
      <c r="E38" s="28">
        <v>967152</v>
      </c>
      <c r="F38" s="25">
        <v>2646.127872</v>
      </c>
      <c r="G38" s="26">
        <v>1.0123877727980299</v>
      </c>
      <c r="H38" s="29"/>
    </row>
    <row r="39" spans="2:8" x14ac:dyDescent="0.2">
      <c r="B39" s="24" t="s">
        <v>405</v>
      </c>
      <c r="C39" s="24" t="s">
        <v>406</v>
      </c>
      <c r="D39" s="24" t="s">
        <v>327</v>
      </c>
      <c r="E39" s="28">
        <v>54850</v>
      </c>
      <c r="F39" s="25">
        <v>2533.7408999999998</v>
      </c>
      <c r="G39" s="26">
        <v>0.96938939865347695</v>
      </c>
      <c r="H39" s="29"/>
    </row>
    <row r="40" spans="2:8" x14ac:dyDescent="0.2">
      <c r="B40" s="24" t="s">
        <v>709</v>
      </c>
      <c r="C40" s="24" t="s">
        <v>710</v>
      </c>
      <c r="D40" s="24" t="s">
        <v>439</v>
      </c>
      <c r="E40" s="28">
        <v>500190</v>
      </c>
      <c r="F40" s="25">
        <v>2461.6850850000001</v>
      </c>
      <c r="G40" s="26">
        <v>0.94182140889874899</v>
      </c>
      <c r="H40" s="29"/>
    </row>
    <row r="41" spans="2:8" x14ac:dyDescent="0.2">
      <c r="B41" s="24" t="s">
        <v>955</v>
      </c>
      <c r="C41" s="24" t="s">
        <v>956</v>
      </c>
      <c r="D41" s="24" t="s">
        <v>369</v>
      </c>
      <c r="E41" s="28">
        <v>253616</v>
      </c>
      <c r="F41" s="25">
        <v>2341.1292960000001</v>
      </c>
      <c r="G41" s="26">
        <v>0.89569770943014604</v>
      </c>
      <c r="H41" s="29"/>
    </row>
    <row r="42" spans="2:8" x14ac:dyDescent="0.2">
      <c r="B42" s="24" t="s">
        <v>561</v>
      </c>
      <c r="C42" s="24" t="s">
        <v>562</v>
      </c>
      <c r="D42" s="24" t="s">
        <v>280</v>
      </c>
      <c r="E42" s="28">
        <v>542314</v>
      </c>
      <c r="F42" s="25">
        <v>2315.6807800000001</v>
      </c>
      <c r="G42" s="26">
        <v>0.88596130677671703</v>
      </c>
      <c r="H42" s="29"/>
    </row>
    <row r="43" spans="2:8" x14ac:dyDescent="0.2">
      <c r="B43" s="24" t="s">
        <v>830</v>
      </c>
      <c r="C43" s="24" t="s">
        <v>831</v>
      </c>
      <c r="D43" s="24" t="s">
        <v>275</v>
      </c>
      <c r="E43" s="28">
        <v>744817</v>
      </c>
      <c r="F43" s="25">
        <v>2244.8784380000002</v>
      </c>
      <c r="G43" s="26">
        <v>0.85887288596200795</v>
      </c>
      <c r="H43" s="29"/>
    </row>
    <row r="44" spans="2:8" x14ac:dyDescent="0.2">
      <c r="B44" s="24" t="s">
        <v>341</v>
      </c>
      <c r="C44" s="24" t="s">
        <v>342</v>
      </c>
      <c r="D44" s="24" t="s">
        <v>330</v>
      </c>
      <c r="E44" s="28">
        <v>178144</v>
      </c>
      <c r="F44" s="25">
        <v>2163.3807360000001</v>
      </c>
      <c r="G44" s="26">
        <v>0.82769250428469499</v>
      </c>
      <c r="H44" s="29"/>
    </row>
    <row r="45" spans="2:8" x14ac:dyDescent="0.2">
      <c r="B45" s="24" t="s">
        <v>520</v>
      </c>
      <c r="C45" s="24" t="s">
        <v>521</v>
      </c>
      <c r="D45" s="24" t="s">
        <v>275</v>
      </c>
      <c r="E45" s="28">
        <v>745309</v>
      </c>
      <c r="F45" s="25">
        <v>2144.6266475000002</v>
      </c>
      <c r="G45" s="26">
        <v>0.82051733709482599</v>
      </c>
      <c r="H45" s="29"/>
    </row>
    <row r="46" spans="2:8" x14ac:dyDescent="0.2">
      <c r="B46" s="24" t="s">
        <v>623</v>
      </c>
      <c r="C46" s="24" t="s">
        <v>624</v>
      </c>
      <c r="D46" s="24" t="s">
        <v>311</v>
      </c>
      <c r="E46" s="28">
        <v>1693127</v>
      </c>
      <c r="F46" s="25">
        <v>2132.4934564999999</v>
      </c>
      <c r="G46" s="26">
        <v>0.81587527336714205</v>
      </c>
      <c r="H46" s="29"/>
    </row>
    <row r="47" spans="2:8" x14ac:dyDescent="0.2">
      <c r="B47" s="24" t="s">
        <v>570</v>
      </c>
      <c r="C47" s="24" t="s">
        <v>571</v>
      </c>
      <c r="D47" s="24" t="s">
        <v>385</v>
      </c>
      <c r="E47" s="28">
        <v>263521</v>
      </c>
      <c r="F47" s="25">
        <v>1923.176258</v>
      </c>
      <c r="G47" s="26">
        <v>0.73579215469397996</v>
      </c>
      <c r="H47" s="29"/>
    </row>
    <row r="48" spans="2:8" x14ac:dyDescent="0.2">
      <c r="B48" s="24" t="s">
        <v>299</v>
      </c>
      <c r="C48" s="24" t="s">
        <v>300</v>
      </c>
      <c r="D48" s="24" t="s">
        <v>301</v>
      </c>
      <c r="E48" s="28">
        <v>55126</v>
      </c>
      <c r="F48" s="25">
        <v>1891.8140679999999</v>
      </c>
      <c r="G48" s="26">
        <v>0.72379322674339297</v>
      </c>
      <c r="H48" s="29"/>
    </row>
    <row r="49" spans="2:8" x14ac:dyDescent="0.2">
      <c r="B49" s="24" t="s">
        <v>1331</v>
      </c>
      <c r="C49" s="24" t="s">
        <v>1332</v>
      </c>
      <c r="D49" s="24" t="s">
        <v>1333</v>
      </c>
      <c r="E49" s="28">
        <v>167251</v>
      </c>
      <c r="F49" s="25">
        <v>1802.464027</v>
      </c>
      <c r="G49" s="26">
        <v>0.68960860174300198</v>
      </c>
      <c r="H49" s="29"/>
    </row>
    <row r="50" spans="2:8" x14ac:dyDescent="0.2">
      <c r="B50" s="24" t="s">
        <v>345</v>
      </c>
      <c r="C50" s="24" t="s">
        <v>346</v>
      </c>
      <c r="D50" s="24" t="s">
        <v>283</v>
      </c>
      <c r="E50" s="28">
        <v>97077</v>
      </c>
      <c r="F50" s="25">
        <v>1692.149187</v>
      </c>
      <c r="G50" s="26">
        <v>0.64740300905191195</v>
      </c>
      <c r="H50" s="29"/>
    </row>
    <row r="51" spans="2:8" x14ac:dyDescent="0.2">
      <c r="B51" s="24" t="s">
        <v>1334</v>
      </c>
      <c r="C51" s="24" t="s">
        <v>1335</v>
      </c>
      <c r="D51" s="24" t="s">
        <v>321</v>
      </c>
      <c r="E51" s="28">
        <v>941089</v>
      </c>
      <c r="F51" s="25">
        <v>1622.5315449</v>
      </c>
      <c r="G51" s="26">
        <v>0.62076784512848504</v>
      </c>
      <c r="H51" s="29"/>
    </row>
    <row r="52" spans="2:8" x14ac:dyDescent="0.2">
      <c r="B52" s="24" t="s">
        <v>1069</v>
      </c>
      <c r="C52" s="24" t="s">
        <v>1070</v>
      </c>
      <c r="D52" s="24" t="s">
        <v>439</v>
      </c>
      <c r="E52" s="28">
        <v>309363</v>
      </c>
      <c r="F52" s="25">
        <v>1607.759511</v>
      </c>
      <c r="G52" s="26">
        <v>0.61511618080116204</v>
      </c>
      <c r="H52" s="29"/>
    </row>
    <row r="53" spans="2:8" x14ac:dyDescent="0.2">
      <c r="B53" s="24" t="s">
        <v>1036</v>
      </c>
      <c r="C53" s="24" t="s">
        <v>1037</v>
      </c>
      <c r="D53" s="24" t="s">
        <v>1005</v>
      </c>
      <c r="E53" s="28">
        <v>156306</v>
      </c>
      <c r="F53" s="25">
        <v>1523.6708880000001</v>
      </c>
      <c r="G53" s="26">
        <v>0.58294453306734295</v>
      </c>
      <c r="H53" s="29"/>
    </row>
    <row r="54" spans="2:8" x14ac:dyDescent="0.2">
      <c r="B54" s="24" t="s">
        <v>493</v>
      </c>
      <c r="C54" s="24" t="s">
        <v>494</v>
      </c>
      <c r="D54" s="24" t="s">
        <v>338</v>
      </c>
      <c r="E54" s="28">
        <v>241385</v>
      </c>
      <c r="F54" s="25">
        <v>1517.1047249999999</v>
      </c>
      <c r="G54" s="26">
        <v>0.58043237059562702</v>
      </c>
      <c r="H54" s="29"/>
    </row>
    <row r="55" spans="2:8" x14ac:dyDescent="0.2">
      <c r="B55" s="24" t="s">
        <v>828</v>
      </c>
      <c r="C55" s="24" t="s">
        <v>829</v>
      </c>
      <c r="D55" s="24" t="s">
        <v>318</v>
      </c>
      <c r="E55" s="28">
        <v>152832</v>
      </c>
      <c r="F55" s="25">
        <v>1474.8288</v>
      </c>
      <c r="G55" s="26">
        <v>0.564257933219939</v>
      </c>
      <c r="H55" s="29"/>
    </row>
    <row r="56" spans="2:8" x14ac:dyDescent="0.2">
      <c r="B56" s="24" t="s">
        <v>1336</v>
      </c>
      <c r="C56" s="24" t="s">
        <v>1337</v>
      </c>
      <c r="D56" s="24" t="s">
        <v>569</v>
      </c>
      <c r="E56" s="28">
        <v>128668</v>
      </c>
      <c r="F56" s="25">
        <v>1332.8074779999999</v>
      </c>
      <c r="G56" s="26">
        <v>0.50992168915901304</v>
      </c>
      <c r="H56" s="29"/>
    </row>
    <row r="57" spans="2:8" x14ac:dyDescent="0.2">
      <c r="B57" s="24" t="s">
        <v>292</v>
      </c>
      <c r="C57" s="24" t="s">
        <v>293</v>
      </c>
      <c r="D57" s="24" t="s">
        <v>275</v>
      </c>
      <c r="E57" s="28">
        <v>96379</v>
      </c>
      <c r="F57" s="25">
        <v>1320.777816</v>
      </c>
      <c r="G57" s="26">
        <v>0.50531923481485097</v>
      </c>
      <c r="H57" s="29"/>
    </row>
    <row r="58" spans="2:8" x14ac:dyDescent="0.2">
      <c r="B58" s="24" t="s">
        <v>1268</v>
      </c>
      <c r="C58" s="24" t="s">
        <v>1269</v>
      </c>
      <c r="D58" s="24" t="s">
        <v>280</v>
      </c>
      <c r="E58" s="28">
        <v>719913</v>
      </c>
      <c r="F58" s="25">
        <v>1270.9344102</v>
      </c>
      <c r="G58" s="26">
        <v>0.48624953862953801</v>
      </c>
      <c r="H58" s="29"/>
    </row>
    <row r="59" spans="2:8" x14ac:dyDescent="0.2">
      <c r="B59" s="24" t="s">
        <v>993</v>
      </c>
      <c r="C59" s="24" t="s">
        <v>994</v>
      </c>
      <c r="D59" s="24" t="s">
        <v>318</v>
      </c>
      <c r="E59" s="28">
        <v>123980</v>
      </c>
      <c r="F59" s="25">
        <v>1217.3596199999999</v>
      </c>
      <c r="G59" s="26">
        <v>0.46575224403443299</v>
      </c>
      <c r="H59" s="29"/>
    </row>
    <row r="60" spans="2:8" x14ac:dyDescent="0.2">
      <c r="B60" s="24" t="s">
        <v>461</v>
      </c>
      <c r="C60" s="24" t="s">
        <v>462</v>
      </c>
      <c r="D60" s="24" t="s">
        <v>330</v>
      </c>
      <c r="E60" s="28">
        <v>99594</v>
      </c>
      <c r="F60" s="25">
        <v>1127.40408</v>
      </c>
      <c r="G60" s="26">
        <v>0.43133595986498702</v>
      </c>
      <c r="H60" s="29"/>
    </row>
    <row r="61" spans="2:8" x14ac:dyDescent="0.2">
      <c r="B61" s="24" t="s">
        <v>1038</v>
      </c>
      <c r="C61" s="24" t="s">
        <v>1039</v>
      </c>
      <c r="D61" s="24" t="s">
        <v>318</v>
      </c>
      <c r="E61" s="28">
        <v>23799</v>
      </c>
      <c r="F61" s="25">
        <v>1086.0911639999999</v>
      </c>
      <c r="G61" s="26">
        <v>0.415529962180748</v>
      </c>
      <c r="H61" s="29"/>
    </row>
    <row r="62" spans="2:8" x14ac:dyDescent="0.2">
      <c r="B62" s="24" t="s">
        <v>911</v>
      </c>
      <c r="C62" s="24" t="s">
        <v>912</v>
      </c>
      <c r="D62" s="24" t="s">
        <v>390</v>
      </c>
      <c r="E62" s="28">
        <v>74638</v>
      </c>
      <c r="F62" s="25">
        <v>1052.02261</v>
      </c>
      <c r="G62" s="26">
        <v>0.40249560058716399</v>
      </c>
      <c r="H62" s="29"/>
    </row>
    <row r="63" spans="2:8" x14ac:dyDescent="0.2">
      <c r="B63" s="24" t="s">
        <v>574</v>
      </c>
      <c r="C63" s="24" t="s">
        <v>575</v>
      </c>
      <c r="D63" s="24" t="s">
        <v>275</v>
      </c>
      <c r="E63" s="28">
        <v>4877842</v>
      </c>
      <c r="F63" s="25">
        <v>1044.3459722</v>
      </c>
      <c r="G63" s="26">
        <v>0.39955857916535098</v>
      </c>
      <c r="H63" s="29"/>
    </row>
    <row r="64" spans="2:8" x14ac:dyDescent="0.2">
      <c r="B64" s="24" t="s">
        <v>842</v>
      </c>
      <c r="C64" s="24" t="s">
        <v>843</v>
      </c>
      <c r="D64" s="24" t="s">
        <v>275</v>
      </c>
      <c r="E64" s="28">
        <v>322697</v>
      </c>
      <c r="F64" s="25">
        <v>973.73819749999996</v>
      </c>
      <c r="G64" s="26">
        <v>0.37254459827381903</v>
      </c>
      <c r="H64" s="29"/>
    </row>
    <row r="65" spans="2:8" x14ac:dyDescent="0.2">
      <c r="B65" s="24" t="s">
        <v>971</v>
      </c>
      <c r="C65" s="24" t="s">
        <v>972</v>
      </c>
      <c r="D65" s="24" t="s">
        <v>301</v>
      </c>
      <c r="E65" s="28">
        <v>153202</v>
      </c>
      <c r="F65" s="25">
        <v>951.767425</v>
      </c>
      <c r="G65" s="26">
        <v>0.36413875301090098</v>
      </c>
      <c r="H65" s="29"/>
    </row>
    <row r="66" spans="2:8" x14ac:dyDescent="0.2">
      <c r="B66" s="24" t="s">
        <v>1338</v>
      </c>
      <c r="C66" s="24" t="s">
        <v>1339</v>
      </c>
      <c r="D66" s="24" t="s">
        <v>311</v>
      </c>
      <c r="E66" s="28">
        <v>149587</v>
      </c>
      <c r="F66" s="25">
        <v>945.76380749999998</v>
      </c>
      <c r="G66" s="26">
        <v>0.36184181603598398</v>
      </c>
      <c r="H66" s="29"/>
    </row>
    <row r="67" spans="2:8" x14ac:dyDescent="0.2">
      <c r="B67" s="24" t="s">
        <v>294</v>
      </c>
      <c r="C67" s="24" t="s">
        <v>295</v>
      </c>
      <c r="D67" s="24" t="s">
        <v>283</v>
      </c>
      <c r="E67" s="28">
        <v>29564</v>
      </c>
      <c r="F67" s="25">
        <v>923.54979600000001</v>
      </c>
      <c r="G67" s="26">
        <v>0.35334290943915397</v>
      </c>
      <c r="H67" s="29"/>
    </row>
    <row r="68" spans="2:8" x14ac:dyDescent="0.2">
      <c r="B68" s="24" t="s">
        <v>551</v>
      </c>
      <c r="C68" s="24" t="s">
        <v>552</v>
      </c>
      <c r="D68" s="24" t="s">
        <v>390</v>
      </c>
      <c r="E68" s="28">
        <v>98131</v>
      </c>
      <c r="F68" s="25">
        <v>835.585465</v>
      </c>
      <c r="G68" s="26">
        <v>0.31968844621797599</v>
      </c>
      <c r="H68" s="29"/>
    </row>
    <row r="69" spans="2:8" x14ac:dyDescent="0.2">
      <c r="B69" s="24" t="s">
        <v>1340</v>
      </c>
      <c r="C69" s="24" t="s">
        <v>1341</v>
      </c>
      <c r="D69" s="24" t="s">
        <v>507</v>
      </c>
      <c r="E69" s="28">
        <v>85192</v>
      </c>
      <c r="F69" s="25">
        <v>830.70719199999996</v>
      </c>
      <c r="G69" s="26">
        <v>0.317822057223767</v>
      </c>
      <c r="H69" s="29"/>
    </row>
    <row r="70" spans="2:8" x14ac:dyDescent="0.2">
      <c r="B70" s="24" t="s">
        <v>1079</v>
      </c>
      <c r="C70" s="24" t="s">
        <v>1080</v>
      </c>
      <c r="D70" s="24" t="s">
        <v>311</v>
      </c>
      <c r="E70" s="28">
        <v>297120</v>
      </c>
      <c r="F70" s="25">
        <v>821.83392000000003</v>
      </c>
      <c r="G70" s="26">
        <v>0.314427212941082</v>
      </c>
      <c r="H70" s="29"/>
    </row>
    <row r="71" spans="2:8" x14ac:dyDescent="0.2">
      <c r="B71" s="24" t="s">
        <v>1014</v>
      </c>
      <c r="C71" s="24" t="s">
        <v>1015</v>
      </c>
      <c r="D71" s="24" t="s">
        <v>318</v>
      </c>
      <c r="E71" s="28">
        <v>98105</v>
      </c>
      <c r="F71" s="25">
        <v>820.05969500000003</v>
      </c>
      <c r="G71" s="26">
        <v>0.31374840836961798</v>
      </c>
      <c r="H71" s="29"/>
    </row>
    <row r="72" spans="2:8" x14ac:dyDescent="0.2">
      <c r="B72" s="24" t="s">
        <v>957</v>
      </c>
      <c r="C72" s="24" t="s">
        <v>958</v>
      </c>
      <c r="D72" s="24" t="s">
        <v>321</v>
      </c>
      <c r="E72" s="28">
        <v>537108</v>
      </c>
      <c r="F72" s="25">
        <v>806.52137279999999</v>
      </c>
      <c r="G72" s="26">
        <v>0.30856875246390397</v>
      </c>
      <c r="H72" s="29"/>
    </row>
    <row r="73" spans="2:8" x14ac:dyDescent="0.2">
      <c r="B73" s="24" t="s">
        <v>1342</v>
      </c>
      <c r="C73" s="24" t="s">
        <v>1343</v>
      </c>
      <c r="D73" s="24" t="s">
        <v>369</v>
      </c>
      <c r="E73" s="28">
        <v>98337</v>
      </c>
      <c r="F73" s="25">
        <v>783.84422700000005</v>
      </c>
      <c r="G73" s="26">
        <v>0.29989265431581003</v>
      </c>
      <c r="H73" s="29"/>
    </row>
    <row r="74" spans="2:8" x14ac:dyDescent="0.2">
      <c r="B74" s="24" t="s">
        <v>393</v>
      </c>
      <c r="C74" s="24" t="s">
        <v>394</v>
      </c>
      <c r="D74" s="24" t="s">
        <v>283</v>
      </c>
      <c r="E74" s="28">
        <v>299879</v>
      </c>
      <c r="F74" s="25">
        <v>710.41335100000003</v>
      </c>
      <c r="G74" s="26">
        <v>0.27179857700575899</v>
      </c>
      <c r="H74" s="29"/>
    </row>
    <row r="75" spans="2:8" x14ac:dyDescent="0.2">
      <c r="B75" s="24" t="s">
        <v>584</v>
      </c>
      <c r="C75" s="24" t="s">
        <v>585</v>
      </c>
      <c r="D75" s="24" t="s">
        <v>338</v>
      </c>
      <c r="E75" s="28">
        <v>183647</v>
      </c>
      <c r="F75" s="25">
        <v>707.86736150000002</v>
      </c>
      <c r="G75" s="26">
        <v>0.27082450138879999</v>
      </c>
      <c r="H75" s="29"/>
    </row>
    <row r="76" spans="2:8" x14ac:dyDescent="0.2">
      <c r="B76" s="24" t="s">
        <v>440</v>
      </c>
      <c r="C76" s="24" t="s">
        <v>441</v>
      </c>
      <c r="D76" s="24" t="s">
        <v>275</v>
      </c>
      <c r="E76" s="28">
        <v>458758</v>
      </c>
      <c r="F76" s="25">
        <v>676.30104359999996</v>
      </c>
      <c r="G76" s="26">
        <v>0.258747475704451</v>
      </c>
      <c r="H76" s="29"/>
    </row>
    <row r="77" spans="2:8" x14ac:dyDescent="0.2">
      <c r="B77" s="24" t="s">
        <v>1344</v>
      </c>
      <c r="C77" s="24" t="s">
        <v>1345</v>
      </c>
      <c r="D77" s="24" t="s">
        <v>289</v>
      </c>
      <c r="E77" s="28">
        <v>77642</v>
      </c>
      <c r="F77" s="25">
        <v>670.78805899999998</v>
      </c>
      <c r="G77" s="26">
        <v>0.25663825102951199</v>
      </c>
      <c r="H77" s="29"/>
    </row>
    <row r="78" spans="2:8" x14ac:dyDescent="0.2">
      <c r="B78" s="24" t="s">
        <v>749</v>
      </c>
      <c r="C78" s="24" t="s">
        <v>750</v>
      </c>
      <c r="D78" s="24" t="s">
        <v>517</v>
      </c>
      <c r="E78" s="28">
        <v>87113</v>
      </c>
      <c r="F78" s="25">
        <v>656.44001149999997</v>
      </c>
      <c r="G78" s="26">
        <v>0.25114880057391298</v>
      </c>
      <c r="H78" s="29"/>
    </row>
    <row r="79" spans="2:8" x14ac:dyDescent="0.2">
      <c r="B79" s="24" t="s">
        <v>1016</v>
      </c>
      <c r="C79" s="24" t="s">
        <v>1017</v>
      </c>
      <c r="D79" s="24" t="s">
        <v>324</v>
      </c>
      <c r="E79" s="28">
        <v>68097</v>
      </c>
      <c r="F79" s="25">
        <v>614.50732800000003</v>
      </c>
      <c r="G79" s="26">
        <v>0.23510568470441301</v>
      </c>
      <c r="H79" s="29"/>
    </row>
    <row r="80" spans="2:8" x14ac:dyDescent="0.2">
      <c r="B80" s="24" t="s">
        <v>515</v>
      </c>
      <c r="C80" s="24" t="s">
        <v>516</v>
      </c>
      <c r="D80" s="24" t="s">
        <v>517</v>
      </c>
      <c r="E80" s="28">
        <v>20965</v>
      </c>
      <c r="F80" s="25">
        <v>586.39104999999995</v>
      </c>
      <c r="G80" s="26">
        <v>0.22434861723046801</v>
      </c>
      <c r="H80" s="29"/>
    </row>
    <row r="81" spans="2:8" x14ac:dyDescent="0.2">
      <c r="B81" s="24" t="s">
        <v>541</v>
      </c>
      <c r="C81" s="24" t="s">
        <v>542</v>
      </c>
      <c r="D81" s="24" t="s">
        <v>283</v>
      </c>
      <c r="E81" s="28">
        <v>35160</v>
      </c>
      <c r="F81" s="25">
        <v>581.47608000000002</v>
      </c>
      <c r="G81" s="26">
        <v>0.22246818825183801</v>
      </c>
      <c r="H81" s="29"/>
    </row>
    <row r="82" spans="2:8" x14ac:dyDescent="0.2">
      <c r="B82" s="24" t="s">
        <v>1346</v>
      </c>
      <c r="C82" s="24" t="s">
        <v>1347</v>
      </c>
      <c r="D82" s="24" t="s">
        <v>439</v>
      </c>
      <c r="E82" s="28">
        <v>26416</v>
      </c>
      <c r="F82" s="25">
        <v>573.30644800000005</v>
      </c>
      <c r="G82" s="26">
        <v>0.219342551115183</v>
      </c>
      <c r="H82" s="29"/>
    </row>
    <row r="83" spans="2:8" x14ac:dyDescent="0.2">
      <c r="B83" s="24" t="s">
        <v>1108</v>
      </c>
      <c r="C83" s="24" t="s">
        <v>1109</v>
      </c>
      <c r="D83" s="24" t="s">
        <v>517</v>
      </c>
      <c r="E83" s="28">
        <v>72759</v>
      </c>
      <c r="F83" s="25">
        <v>552.56822550000004</v>
      </c>
      <c r="G83" s="26">
        <v>0.21140826981656399</v>
      </c>
      <c r="H83" s="29"/>
    </row>
    <row r="84" spans="2:8" x14ac:dyDescent="0.2">
      <c r="B84" s="24" t="s">
        <v>743</v>
      </c>
      <c r="C84" s="24" t="s">
        <v>744</v>
      </c>
      <c r="D84" s="24" t="s">
        <v>453</v>
      </c>
      <c r="E84" s="28">
        <v>305435</v>
      </c>
      <c r="F84" s="25">
        <v>543.33832150000001</v>
      </c>
      <c r="G84" s="26">
        <v>0.20787698092740001</v>
      </c>
      <c r="H84" s="29"/>
    </row>
    <row r="85" spans="2:8" x14ac:dyDescent="0.2">
      <c r="B85" s="24" t="s">
        <v>356</v>
      </c>
      <c r="C85" s="24" t="s">
        <v>357</v>
      </c>
      <c r="D85" s="24" t="s">
        <v>358</v>
      </c>
      <c r="E85" s="28">
        <v>199129</v>
      </c>
      <c r="F85" s="25">
        <v>535.57735839999998</v>
      </c>
      <c r="G85" s="26">
        <v>0.20490769730708999</v>
      </c>
      <c r="H85" s="29"/>
    </row>
    <row r="86" spans="2:8" x14ac:dyDescent="0.2">
      <c r="B86" s="24" t="s">
        <v>947</v>
      </c>
      <c r="C86" s="24" t="s">
        <v>948</v>
      </c>
      <c r="D86" s="24" t="s">
        <v>765</v>
      </c>
      <c r="E86" s="28">
        <v>46447</v>
      </c>
      <c r="F86" s="25">
        <v>528.61330699999996</v>
      </c>
      <c r="G86" s="26">
        <v>0.202243305853789</v>
      </c>
      <c r="H86" s="29"/>
    </row>
    <row r="87" spans="2:8" x14ac:dyDescent="0.2">
      <c r="B87" s="24" t="s">
        <v>1348</v>
      </c>
      <c r="C87" s="24" t="s">
        <v>1349</v>
      </c>
      <c r="D87" s="24" t="s">
        <v>704</v>
      </c>
      <c r="E87" s="28">
        <v>149606</v>
      </c>
      <c r="F87" s="25">
        <v>512.17614100000003</v>
      </c>
      <c r="G87" s="26">
        <v>0.19595457504303199</v>
      </c>
      <c r="H87" s="29"/>
    </row>
    <row r="88" spans="2:8" x14ac:dyDescent="0.2">
      <c r="B88" s="24" t="s">
        <v>491</v>
      </c>
      <c r="C88" s="24" t="s">
        <v>492</v>
      </c>
      <c r="D88" s="24" t="s">
        <v>467</v>
      </c>
      <c r="E88" s="28">
        <v>49721</v>
      </c>
      <c r="F88" s="25">
        <v>483.03951499999999</v>
      </c>
      <c r="G88" s="26">
        <v>0.184807130425892</v>
      </c>
      <c r="H88" s="29"/>
    </row>
    <row r="89" spans="2:8" x14ac:dyDescent="0.2">
      <c r="B89" s="24" t="s">
        <v>824</v>
      </c>
      <c r="C89" s="24" t="s">
        <v>825</v>
      </c>
      <c r="D89" s="24" t="s">
        <v>275</v>
      </c>
      <c r="E89" s="28">
        <v>1592123</v>
      </c>
      <c r="F89" s="25">
        <v>464.89991600000002</v>
      </c>
      <c r="G89" s="26">
        <v>0.17786706209987499</v>
      </c>
      <c r="H89" s="29"/>
    </row>
    <row r="90" spans="2:8" x14ac:dyDescent="0.2">
      <c r="B90" s="24" t="s">
        <v>325</v>
      </c>
      <c r="C90" s="24" t="s">
        <v>326</v>
      </c>
      <c r="D90" s="24" t="s">
        <v>327</v>
      </c>
      <c r="E90" s="28">
        <v>97887</v>
      </c>
      <c r="F90" s="25">
        <v>439.51263</v>
      </c>
      <c r="G90" s="26">
        <v>0.16815408556427699</v>
      </c>
      <c r="H90" s="29"/>
    </row>
    <row r="91" spans="2:8" x14ac:dyDescent="0.2">
      <c r="B91" s="24" t="s">
        <v>1350</v>
      </c>
      <c r="C91" s="24" t="s">
        <v>1351</v>
      </c>
      <c r="D91" s="24" t="s">
        <v>390</v>
      </c>
      <c r="E91" s="28">
        <v>104136</v>
      </c>
      <c r="F91" s="25">
        <v>437.37119999999999</v>
      </c>
      <c r="G91" s="26">
        <v>0.167334791239447</v>
      </c>
      <c r="H91" s="29"/>
    </row>
    <row r="92" spans="2:8" x14ac:dyDescent="0.2">
      <c r="B92" s="24" t="s">
        <v>1352</v>
      </c>
      <c r="C92" s="24" t="s">
        <v>1353</v>
      </c>
      <c r="D92" s="24" t="s">
        <v>439</v>
      </c>
      <c r="E92" s="28">
        <v>15790</v>
      </c>
      <c r="F92" s="25">
        <v>434.11446999999998</v>
      </c>
      <c r="G92" s="26">
        <v>0.16608879188084</v>
      </c>
      <c r="H92" s="29"/>
    </row>
    <row r="93" spans="2:8" x14ac:dyDescent="0.2">
      <c r="B93" s="24" t="s">
        <v>334</v>
      </c>
      <c r="C93" s="24" t="s">
        <v>335</v>
      </c>
      <c r="D93" s="24" t="s">
        <v>306</v>
      </c>
      <c r="E93" s="28">
        <v>42165</v>
      </c>
      <c r="F93" s="25">
        <v>430.08300000000003</v>
      </c>
      <c r="G93" s="26">
        <v>0.16454638307377201</v>
      </c>
      <c r="H93" s="29"/>
    </row>
    <row r="94" spans="2:8" x14ac:dyDescent="0.2">
      <c r="B94" s="24" t="s">
        <v>1354</v>
      </c>
      <c r="C94" s="24" t="s">
        <v>1355</v>
      </c>
      <c r="D94" s="24" t="s">
        <v>286</v>
      </c>
      <c r="E94" s="28">
        <v>69218</v>
      </c>
      <c r="F94" s="25">
        <v>412.02014500000001</v>
      </c>
      <c r="G94" s="26">
        <v>0.157635676400325</v>
      </c>
      <c r="H94" s="29"/>
    </row>
    <row r="95" spans="2:8" x14ac:dyDescent="0.2">
      <c r="B95" s="24" t="s">
        <v>1246</v>
      </c>
      <c r="C95" s="24" t="s">
        <v>1247</v>
      </c>
      <c r="D95" s="24" t="s">
        <v>333</v>
      </c>
      <c r="E95" s="28">
        <v>116042</v>
      </c>
      <c r="F95" s="25">
        <v>403.53605499999998</v>
      </c>
      <c r="G95" s="26">
        <v>0.15438973009886101</v>
      </c>
      <c r="H95" s="29"/>
    </row>
    <row r="96" spans="2:8" x14ac:dyDescent="0.2">
      <c r="B96" s="24" t="s">
        <v>567</v>
      </c>
      <c r="C96" s="24" t="s">
        <v>568</v>
      </c>
      <c r="D96" s="24" t="s">
        <v>569</v>
      </c>
      <c r="E96" s="28">
        <v>56577</v>
      </c>
      <c r="F96" s="25">
        <v>398.27379150000002</v>
      </c>
      <c r="G96" s="26">
        <v>0.15237642935062001</v>
      </c>
      <c r="H96" s="29"/>
    </row>
    <row r="97" spans="2:8" x14ac:dyDescent="0.2">
      <c r="B97" s="24" t="s">
        <v>723</v>
      </c>
      <c r="C97" s="24" t="s">
        <v>724</v>
      </c>
      <c r="D97" s="24" t="s">
        <v>318</v>
      </c>
      <c r="E97" s="28">
        <v>1393</v>
      </c>
      <c r="F97" s="25">
        <v>383.98045000000002</v>
      </c>
      <c r="G97" s="26">
        <v>0.14690790898161299</v>
      </c>
      <c r="H97" s="29"/>
    </row>
    <row r="98" spans="2:8" x14ac:dyDescent="0.2">
      <c r="B98" s="24" t="s">
        <v>1321</v>
      </c>
      <c r="C98" s="24" t="s">
        <v>1322</v>
      </c>
      <c r="D98" s="24" t="s">
        <v>569</v>
      </c>
      <c r="E98" s="28">
        <v>269184</v>
      </c>
      <c r="F98" s="25">
        <v>369.5627136</v>
      </c>
      <c r="G98" s="26">
        <v>0.14139179609937699</v>
      </c>
      <c r="H98" s="29"/>
    </row>
    <row r="99" spans="2:8" x14ac:dyDescent="0.2">
      <c r="B99" s="24" t="s">
        <v>485</v>
      </c>
      <c r="C99" s="24" t="s">
        <v>486</v>
      </c>
      <c r="D99" s="24" t="s">
        <v>321</v>
      </c>
      <c r="E99" s="28">
        <v>39968</v>
      </c>
      <c r="F99" s="25">
        <v>357.63366400000001</v>
      </c>
      <c r="G99" s="26">
        <v>0.13682783527044901</v>
      </c>
      <c r="H99" s="29"/>
    </row>
    <row r="100" spans="2:8" x14ac:dyDescent="0.2">
      <c r="B100" s="24" t="s">
        <v>1136</v>
      </c>
      <c r="C100" s="24" t="s">
        <v>1137</v>
      </c>
      <c r="D100" s="24" t="s">
        <v>306</v>
      </c>
      <c r="E100" s="28">
        <v>276286</v>
      </c>
      <c r="F100" s="25">
        <v>356.27079700000002</v>
      </c>
      <c r="G100" s="26">
        <v>0.13630641304390101</v>
      </c>
      <c r="H100" s="29"/>
    </row>
    <row r="101" spans="2:8" x14ac:dyDescent="0.2">
      <c r="B101" s="24" t="s">
        <v>1289</v>
      </c>
      <c r="C101" s="24" t="s">
        <v>1290</v>
      </c>
      <c r="D101" s="24" t="s">
        <v>1288</v>
      </c>
      <c r="E101" s="28">
        <v>100832</v>
      </c>
      <c r="F101" s="25">
        <v>343.63545599999998</v>
      </c>
      <c r="G101" s="26">
        <v>0.131472230664096</v>
      </c>
      <c r="H101" s="29"/>
    </row>
    <row r="102" spans="2:8" x14ac:dyDescent="0.2">
      <c r="B102" s="24" t="s">
        <v>1209</v>
      </c>
      <c r="C102" s="24" t="s">
        <v>1210</v>
      </c>
      <c r="D102" s="24" t="s">
        <v>517</v>
      </c>
      <c r="E102" s="28">
        <v>34827</v>
      </c>
      <c r="F102" s="25">
        <v>338.76222899999999</v>
      </c>
      <c r="G102" s="26">
        <v>0.12960777222991601</v>
      </c>
      <c r="H102" s="29"/>
    </row>
    <row r="103" spans="2:8" x14ac:dyDescent="0.2">
      <c r="B103" s="24" t="s">
        <v>721</v>
      </c>
      <c r="C103" s="24" t="s">
        <v>722</v>
      </c>
      <c r="D103" s="24" t="s">
        <v>439</v>
      </c>
      <c r="E103" s="28">
        <v>9166</v>
      </c>
      <c r="F103" s="25">
        <v>332.00168600000001</v>
      </c>
      <c r="G103" s="26">
        <v>0.127021241494535</v>
      </c>
      <c r="H103" s="29"/>
    </row>
    <row r="104" spans="2:8" x14ac:dyDescent="0.2">
      <c r="B104" s="24" t="s">
        <v>1050</v>
      </c>
      <c r="C104" s="24" t="s">
        <v>1051</v>
      </c>
      <c r="D104" s="24" t="s">
        <v>311</v>
      </c>
      <c r="E104" s="28">
        <v>14703</v>
      </c>
      <c r="F104" s="25">
        <v>323.74535700000001</v>
      </c>
      <c r="G104" s="26">
        <v>0.123862434765562</v>
      </c>
      <c r="H104" s="29"/>
    </row>
    <row r="105" spans="2:8" x14ac:dyDescent="0.2">
      <c r="B105" s="24" t="s">
        <v>1046</v>
      </c>
      <c r="C105" s="24" t="s">
        <v>1047</v>
      </c>
      <c r="D105" s="24" t="s">
        <v>385</v>
      </c>
      <c r="E105" s="28">
        <v>33156</v>
      </c>
      <c r="F105" s="25">
        <v>321.77897999999999</v>
      </c>
      <c r="G105" s="26">
        <v>0.12311011434576</v>
      </c>
      <c r="H105" s="29"/>
    </row>
    <row r="106" spans="2:8" x14ac:dyDescent="0.2">
      <c r="B106" s="24" t="s">
        <v>1199</v>
      </c>
      <c r="C106" s="24" t="s">
        <v>1200</v>
      </c>
      <c r="D106" s="24" t="s">
        <v>280</v>
      </c>
      <c r="E106" s="28">
        <v>35363</v>
      </c>
      <c r="F106" s="25">
        <v>306.26126149999999</v>
      </c>
      <c r="G106" s="26">
        <v>0.11717315693816199</v>
      </c>
      <c r="H106" s="29"/>
    </row>
    <row r="107" spans="2:8" x14ac:dyDescent="0.2">
      <c r="B107" s="24" t="s">
        <v>875</v>
      </c>
      <c r="C107" s="24" t="s">
        <v>876</v>
      </c>
      <c r="D107" s="24" t="s">
        <v>289</v>
      </c>
      <c r="E107" s="28">
        <v>24338</v>
      </c>
      <c r="F107" s="25">
        <v>278.42671999999999</v>
      </c>
      <c r="G107" s="26">
        <v>0.10652387963972999</v>
      </c>
      <c r="H107" s="29"/>
    </row>
    <row r="108" spans="2:8" x14ac:dyDescent="0.2">
      <c r="B108" s="24" t="s">
        <v>503</v>
      </c>
      <c r="C108" s="24" t="s">
        <v>504</v>
      </c>
      <c r="D108" s="24" t="s">
        <v>306</v>
      </c>
      <c r="E108" s="28">
        <v>230857</v>
      </c>
      <c r="F108" s="25">
        <v>277.25925699999999</v>
      </c>
      <c r="G108" s="26">
        <v>0.106077217451216</v>
      </c>
      <c r="H108" s="29"/>
    </row>
    <row r="109" spans="2:8" x14ac:dyDescent="0.2">
      <c r="B109" s="24" t="s">
        <v>659</v>
      </c>
      <c r="C109" s="24" t="s">
        <v>660</v>
      </c>
      <c r="D109" s="24" t="s">
        <v>333</v>
      </c>
      <c r="E109" s="28">
        <v>4910</v>
      </c>
      <c r="F109" s="25">
        <v>271.20384999999999</v>
      </c>
      <c r="G109" s="26">
        <v>0.103760466219734</v>
      </c>
      <c r="H109" s="29"/>
    </row>
    <row r="110" spans="2:8" x14ac:dyDescent="0.2">
      <c r="B110" s="24" t="s">
        <v>501</v>
      </c>
      <c r="C110" s="24" t="s">
        <v>502</v>
      </c>
      <c r="D110" s="24" t="s">
        <v>472</v>
      </c>
      <c r="E110" s="28">
        <v>10681</v>
      </c>
      <c r="F110" s="25">
        <v>265.65783199999998</v>
      </c>
      <c r="G110" s="26">
        <v>0.10163860322500499</v>
      </c>
      <c r="H110" s="29"/>
    </row>
    <row r="111" spans="2:8" x14ac:dyDescent="0.2">
      <c r="B111" s="24" t="s">
        <v>316</v>
      </c>
      <c r="C111" s="24" t="s">
        <v>317</v>
      </c>
      <c r="D111" s="24" t="s">
        <v>318</v>
      </c>
      <c r="E111" s="28">
        <v>16379</v>
      </c>
      <c r="F111" s="25">
        <v>261.29418700000002</v>
      </c>
      <c r="G111" s="26">
        <v>9.9969106867864505E-2</v>
      </c>
      <c r="H111" s="29"/>
    </row>
    <row r="112" spans="2:8" x14ac:dyDescent="0.2">
      <c r="B112" s="24" t="s">
        <v>1085</v>
      </c>
      <c r="C112" s="24" t="s">
        <v>1086</v>
      </c>
      <c r="D112" s="24" t="s">
        <v>453</v>
      </c>
      <c r="E112" s="28">
        <v>23608</v>
      </c>
      <c r="F112" s="25">
        <v>248.54502400000001</v>
      </c>
      <c r="G112" s="26">
        <v>9.5091377083455497E-2</v>
      </c>
      <c r="H112" s="29"/>
    </row>
    <row r="113" spans="2:8" x14ac:dyDescent="0.2">
      <c r="B113" s="24" t="s">
        <v>969</v>
      </c>
      <c r="C113" s="24" t="s">
        <v>970</v>
      </c>
      <c r="D113" s="24" t="s">
        <v>280</v>
      </c>
      <c r="E113" s="28">
        <v>132466</v>
      </c>
      <c r="F113" s="25">
        <v>243.936139</v>
      </c>
      <c r="G113" s="26">
        <v>9.3328053825496096E-2</v>
      </c>
      <c r="H113" s="29"/>
    </row>
    <row r="114" spans="2:8" x14ac:dyDescent="0.2">
      <c r="B114" s="24" t="s">
        <v>1356</v>
      </c>
      <c r="C114" s="24" t="s">
        <v>1357</v>
      </c>
      <c r="D114" s="24" t="s">
        <v>289</v>
      </c>
      <c r="E114" s="28">
        <v>791867</v>
      </c>
      <c r="F114" s="25">
        <v>225.9196551</v>
      </c>
      <c r="G114" s="26">
        <v>8.6435088371265595E-2</v>
      </c>
      <c r="H114" s="29"/>
    </row>
    <row r="115" spans="2:8" x14ac:dyDescent="0.2">
      <c r="B115" s="24" t="s">
        <v>757</v>
      </c>
      <c r="C115" s="24" t="s">
        <v>758</v>
      </c>
      <c r="D115" s="24" t="s">
        <v>535</v>
      </c>
      <c r="E115" s="28">
        <v>6579</v>
      </c>
      <c r="F115" s="25">
        <v>222.422832</v>
      </c>
      <c r="G115" s="26">
        <v>8.5097231275417004E-2</v>
      </c>
      <c r="H115" s="29"/>
    </row>
    <row r="116" spans="2:8" x14ac:dyDescent="0.2">
      <c r="B116" s="24" t="s">
        <v>1499</v>
      </c>
      <c r="C116" s="24" t="s">
        <v>1358</v>
      </c>
      <c r="D116" s="24" t="s">
        <v>361</v>
      </c>
      <c r="E116" s="28">
        <v>884320</v>
      </c>
      <c r="F116" s="25">
        <v>205.78126399999999</v>
      </c>
      <c r="G116" s="26">
        <v>7.8730297862386903E-2</v>
      </c>
      <c r="H116" s="29"/>
    </row>
    <row r="117" spans="2:8" x14ac:dyDescent="0.2">
      <c r="B117" s="24" t="s">
        <v>1359</v>
      </c>
      <c r="C117" s="24" t="s">
        <v>1360</v>
      </c>
      <c r="D117" s="24" t="s">
        <v>318</v>
      </c>
      <c r="E117" s="28">
        <v>67881</v>
      </c>
      <c r="F117" s="25">
        <v>201.47080800000001</v>
      </c>
      <c r="G117" s="26">
        <v>7.7081151199536693E-2</v>
      </c>
      <c r="H117" s="29"/>
    </row>
    <row r="118" spans="2:8" x14ac:dyDescent="0.2">
      <c r="B118" s="24" t="s">
        <v>937</v>
      </c>
      <c r="C118" s="24" t="s">
        <v>938</v>
      </c>
      <c r="D118" s="24" t="s">
        <v>854</v>
      </c>
      <c r="E118" s="28">
        <v>4297</v>
      </c>
      <c r="F118" s="25">
        <v>199.862064</v>
      </c>
      <c r="G118" s="26">
        <v>7.64656583609645E-2</v>
      </c>
      <c r="H118" s="29"/>
    </row>
    <row r="119" spans="2:8" x14ac:dyDescent="0.2">
      <c r="B119" s="24" t="s">
        <v>302</v>
      </c>
      <c r="C119" s="24" t="s">
        <v>303</v>
      </c>
      <c r="D119" s="24" t="s">
        <v>275</v>
      </c>
      <c r="E119" s="28">
        <v>41250</v>
      </c>
      <c r="F119" s="25">
        <v>168.3</v>
      </c>
      <c r="G119" s="26">
        <v>6.43902601853963E-2</v>
      </c>
      <c r="H119" s="29"/>
    </row>
    <row r="120" spans="2:8" x14ac:dyDescent="0.2">
      <c r="B120" s="24" t="s">
        <v>1361</v>
      </c>
      <c r="C120" s="24" t="s">
        <v>1362</v>
      </c>
      <c r="D120" s="24" t="s">
        <v>675</v>
      </c>
      <c r="E120" s="28">
        <v>13356</v>
      </c>
      <c r="F120" s="25">
        <v>139.95752400000001</v>
      </c>
      <c r="G120" s="26">
        <v>5.3546651130504101E-2</v>
      </c>
      <c r="H120" s="29"/>
    </row>
    <row r="121" spans="2:8" x14ac:dyDescent="0.2">
      <c r="B121" s="24" t="s">
        <v>1363</v>
      </c>
      <c r="C121" s="24" t="s">
        <v>1364</v>
      </c>
      <c r="D121" s="24" t="s">
        <v>369</v>
      </c>
      <c r="E121" s="28">
        <v>11640</v>
      </c>
      <c r="F121" s="25">
        <v>137.96892</v>
      </c>
      <c r="G121" s="26">
        <v>5.2785826834807599E-2</v>
      </c>
      <c r="H121" s="29"/>
    </row>
    <row r="122" spans="2:8" x14ac:dyDescent="0.2">
      <c r="B122" s="24" t="s">
        <v>1295</v>
      </c>
      <c r="C122" s="24" t="s">
        <v>1296</v>
      </c>
      <c r="D122" s="24" t="s">
        <v>369</v>
      </c>
      <c r="E122" s="28">
        <v>25769</v>
      </c>
      <c r="F122" s="25">
        <v>137.4904995</v>
      </c>
      <c r="G122" s="26">
        <v>5.2602786903298303E-2</v>
      </c>
      <c r="H122" s="29"/>
    </row>
    <row r="123" spans="2:8" x14ac:dyDescent="0.2">
      <c r="B123" s="24" t="s">
        <v>822</v>
      </c>
      <c r="C123" s="24" t="s">
        <v>823</v>
      </c>
      <c r="D123" s="24" t="s">
        <v>372</v>
      </c>
      <c r="E123" s="28">
        <v>90913</v>
      </c>
      <c r="F123" s="25">
        <v>135.37854830000001</v>
      </c>
      <c r="G123" s="26">
        <v>5.1794770936174898E-2</v>
      </c>
      <c r="H123" s="29"/>
    </row>
    <row r="124" spans="2:8" x14ac:dyDescent="0.2">
      <c r="B124" s="24" t="s">
        <v>1365</v>
      </c>
      <c r="C124" s="24" t="s">
        <v>1366</v>
      </c>
      <c r="D124" s="24" t="s">
        <v>361</v>
      </c>
      <c r="E124" s="28">
        <v>136204</v>
      </c>
      <c r="F124" s="25">
        <v>131.4504804</v>
      </c>
      <c r="G124" s="26">
        <v>5.02919229616835E-2</v>
      </c>
      <c r="H124" s="29"/>
    </row>
    <row r="125" spans="2:8" x14ac:dyDescent="0.2">
      <c r="B125" s="24" t="s">
        <v>1367</v>
      </c>
      <c r="C125" s="24" t="s">
        <v>1368</v>
      </c>
      <c r="D125" s="24" t="s">
        <v>361</v>
      </c>
      <c r="E125" s="28">
        <v>884320</v>
      </c>
      <c r="F125" s="25">
        <v>91.880848</v>
      </c>
      <c r="G125" s="26">
        <v>3.5152891911912398E-2</v>
      </c>
      <c r="H125" s="29"/>
    </row>
    <row r="126" spans="2:8" x14ac:dyDescent="0.2">
      <c r="B126" s="24" t="s">
        <v>1369</v>
      </c>
      <c r="C126" s="24" t="s">
        <v>1370</v>
      </c>
      <c r="D126" s="24" t="s">
        <v>311</v>
      </c>
      <c r="E126" s="28">
        <v>242118</v>
      </c>
      <c r="F126" s="25">
        <v>87.670927800000001</v>
      </c>
      <c r="G126" s="26">
        <v>3.3542209457736699E-2</v>
      </c>
      <c r="H126" s="29"/>
    </row>
    <row r="127" spans="2:8" x14ac:dyDescent="0.2">
      <c r="B127" s="24" t="s">
        <v>444</v>
      </c>
      <c r="C127" s="24" t="s">
        <v>445</v>
      </c>
      <c r="D127" s="24" t="s">
        <v>306</v>
      </c>
      <c r="E127" s="28">
        <v>743</v>
      </c>
      <c r="F127" s="25">
        <v>80.244</v>
      </c>
      <c r="G127" s="26">
        <v>3.0700725123689501E-2</v>
      </c>
      <c r="H127" s="29"/>
    </row>
    <row r="128" spans="2:8" x14ac:dyDescent="0.2">
      <c r="B128" s="24" t="s">
        <v>1371</v>
      </c>
      <c r="C128" s="24" t="s">
        <v>1372</v>
      </c>
      <c r="D128" s="24" t="s">
        <v>467</v>
      </c>
      <c r="E128" s="28">
        <v>120020</v>
      </c>
      <c r="F128" s="25">
        <v>79.489245999999994</v>
      </c>
      <c r="G128" s="26">
        <v>3.0411962162097302E-2</v>
      </c>
      <c r="H128" s="29"/>
    </row>
    <row r="129" spans="2:9" x14ac:dyDescent="0.2">
      <c r="B129" s="24" t="s">
        <v>1001</v>
      </c>
      <c r="C129" s="24" t="s">
        <v>1002</v>
      </c>
      <c r="D129" s="24" t="s">
        <v>372</v>
      </c>
      <c r="E129" s="28">
        <v>23387</v>
      </c>
      <c r="F129" s="25">
        <v>75.902508499999996</v>
      </c>
      <c r="G129" s="26">
        <v>2.9039704521920701E-2</v>
      </c>
      <c r="H129" s="29"/>
    </row>
    <row r="130" spans="2:9" x14ac:dyDescent="0.2">
      <c r="B130" s="24" t="s">
        <v>1373</v>
      </c>
      <c r="C130" s="24" t="s">
        <v>1374</v>
      </c>
      <c r="D130" s="24" t="s">
        <v>280</v>
      </c>
      <c r="E130" s="28">
        <v>6301</v>
      </c>
      <c r="F130" s="25">
        <v>68.668297999999993</v>
      </c>
      <c r="G130" s="26">
        <v>2.6271952315557501E-2</v>
      </c>
      <c r="H130" s="29"/>
    </row>
    <row r="131" spans="2:9" x14ac:dyDescent="0.2">
      <c r="B131" s="24" t="s">
        <v>1375</v>
      </c>
      <c r="C131" s="24" t="s">
        <v>1376</v>
      </c>
      <c r="D131" s="24" t="s">
        <v>439</v>
      </c>
      <c r="E131" s="28">
        <v>49446</v>
      </c>
      <c r="F131" s="25">
        <v>61.4910456</v>
      </c>
      <c r="G131" s="26">
        <v>2.35259918315869E-2</v>
      </c>
      <c r="H131" s="29"/>
    </row>
    <row r="132" spans="2:9" x14ac:dyDescent="0.2">
      <c r="B132" s="23" t="s">
        <v>58</v>
      </c>
      <c r="C132" s="23"/>
      <c r="D132" s="23"/>
      <c r="E132" s="23"/>
      <c r="F132" s="31">
        <f>SUM(F7:F131)</f>
        <v>259056.10034970014</v>
      </c>
      <c r="G132" s="32">
        <f>SUM(G7:G131)</f>
        <v>99.112832466615004</v>
      </c>
      <c r="H132" s="23"/>
      <c r="I132" s="16"/>
    </row>
    <row r="133" spans="2:9" x14ac:dyDescent="0.2">
      <c r="B133" s="23" t="s">
        <v>399</v>
      </c>
      <c r="C133" s="23"/>
      <c r="D133" s="23"/>
      <c r="E133" s="23"/>
      <c r="F133" s="53" t="s">
        <v>400</v>
      </c>
      <c r="G133" s="54" t="s">
        <v>400</v>
      </c>
      <c r="H133" s="23"/>
      <c r="I133" s="16"/>
    </row>
    <row r="134" spans="2:9" x14ac:dyDescent="0.2">
      <c r="B134" s="23" t="s">
        <v>58</v>
      </c>
      <c r="C134" s="23"/>
      <c r="D134" s="23"/>
      <c r="E134" s="23"/>
      <c r="F134" s="49" t="s">
        <v>400</v>
      </c>
      <c r="G134" s="50" t="s">
        <v>400</v>
      </c>
      <c r="H134" s="23"/>
      <c r="I134" s="16"/>
    </row>
    <row r="135" spans="2:9" x14ac:dyDescent="0.2">
      <c r="B135" s="36" t="s">
        <v>100</v>
      </c>
      <c r="C135" s="36"/>
      <c r="D135" s="36"/>
      <c r="E135" s="36"/>
      <c r="F135" s="37">
        <f>F132</f>
        <v>259056.10034970014</v>
      </c>
      <c r="G135" s="38">
        <f>G132</f>
        <v>99.112832466615004</v>
      </c>
      <c r="H135" s="23"/>
      <c r="I135" s="16"/>
    </row>
    <row r="136" spans="2:9" x14ac:dyDescent="0.2">
      <c r="B136" s="23" t="s">
        <v>108</v>
      </c>
      <c r="C136" s="23"/>
      <c r="D136" s="23"/>
      <c r="E136" s="23"/>
      <c r="F136" s="31">
        <v>3910.1525559000002</v>
      </c>
      <c r="G136" s="32">
        <v>1.4959937043315099</v>
      </c>
      <c r="H136" s="29">
        <v>5.04819029E-2</v>
      </c>
      <c r="I136" s="17"/>
    </row>
    <row r="137" spans="2:9" x14ac:dyDescent="0.2">
      <c r="B137" s="24"/>
      <c r="C137" s="24"/>
      <c r="D137" s="24"/>
      <c r="E137" s="24"/>
      <c r="F137" s="25"/>
      <c r="G137" s="26"/>
      <c r="H137" s="24"/>
    </row>
    <row r="138" spans="2:9" x14ac:dyDescent="0.2">
      <c r="B138" s="23" t="s">
        <v>1377</v>
      </c>
      <c r="C138" s="24"/>
      <c r="D138" s="24"/>
      <c r="E138" s="24"/>
      <c r="F138" s="70">
        <v>500</v>
      </c>
      <c r="G138" s="70">
        <f>F138/F140*100</f>
        <v>0.19129607898216364</v>
      </c>
      <c r="H138" s="24"/>
    </row>
    <row r="139" spans="2:9" x14ac:dyDescent="0.2">
      <c r="B139" s="43" t="s">
        <v>110</v>
      </c>
      <c r="C139" s="43"/>
      <c r="D139" s="43"/>
      <c r="E139" s="43"/>
      <c r="F139" s="31">
        <f>F140-(F132+F136+F138)</f>
        <v>-2091.3190019001195</v>
      </c>
      <c r="G139" s="32">
        <f>G140-(G132+G136+G138)</f>
        <v>-0.80012224992867687</v>
      </c>
      <c r="H139" s="23"/>
      <c r="I139" s="16"/>
    </row>
    <row r="140" spans="2:9" x14ac:dyDescent="0.2">
      <c r="B140" s="39" t="s">
        <v>109</v>
      </c>
      <c r="C140" s="39"/>
      <c r="D140" s="39"/>
      <c r="E140" s="39"/>
      <c r="F140" s="40">
        <v>261374.9339037</v>
      </c>
      <c r="G140" s="41">
        <v>100</v>
      </c>
      <c r="H140" s="55"/>
      <c r="I140" s="16"/>
    </row>
    <row r="142" spans="2:9" x14ac:dyDescent="0.2">
      <c r="B142" s="16" t="s">
        <v>1378</v>
      </c>
    </row>
    <row r="144" spans="2:9" ht="20.399999999999999" x14ac:dyDescent="0.2">
      <c r="B144" s="96" t="s">
        <v>7</v>
      </c>
      <c r="C144" s="95" t="s">
        <v>1379</v>
      </c>
      <c r="D144" s="95" t="s">
        <v>401</v>
      </c>
      <c r="E144" s="95" t="s">
        <v>0</v>
      </c>
      <c r="F144" s="93" t="s">
        <v>1380</v>
      </c>
      <c r="G144" s="94" t="s">
        <v>1381</v>
      </c>
    </row>
    <row r="145" spans="2:7" x14ac:dyDescent="0.2">
      <c r="B145" s="61" t="s">
        <v>1382</v>
      </c>
      <c r="C145" s="61" t="s">
        <v>1383</v>
      </c>
      <c r="D145" s="61" t="s">
        <v>1384</v>
      </c>
      <c r="E145" s="62">
        <v>5590</v>
      </c>
      <c r="F145" s="63">
        <v>1420.77676</v>
      </c>
      <c r="G145" s="64">
        <v>0.54357804659396503</v>
      </c>
    </row>
    <row r="146" spans="2:7" x14ac:dyDescent="0.2">
      <c r="B146" s="58"/>
      <c r="C146" s="58"/>
      <c r="D146" s="58"/>
      <c r="E146" s="58"/>
      <c r="F146" s="59">
        <f>SUM(F145:F145)</f>
        <v>1420.77676</v>
      </c>
      <c r="G146" s="60">
        <f>SUM(G145:G145)</f>
        <v>0.54357804659396503</v>
      </c>
    </row>
    <row r="148" spans="2:7" x14ac:dyDescent="0.2">
      <c r="B148" s="16" t="s">
        <v>514</v>
      </c>
    </row>
    <row r="150" spans="2:7" x14ac:dyDescent="0.2">
      <c r="B150" s="16" t="s">
        <v>114</v>
      </c>
    </row>
    <row r="167" spans="2:2" x14ac:dyDescent="0.2">
      <c r="B167" s="66" t="s">
        <v>1469</v>
      </c>
    </row>
    <row r="168" spans="2:2" x14ac:dyDescent="0.2">
      <c r="B168" s="67" t="s">
        <v>1478</v>
      </c>
    </row>
  </sheetData>
  <mergeCells count="1">
    <mergeCell ref="B1:C1"/>
  </mergeCells>
  <conditionalFormatting sqref="G1:G3 G5:G185">
    <cfRule type="cellIs" dxfId="1" priority="2" stopIfTrue="1" operator="between">
      <formula>0.009</formula>
      <formula>-0.009</formula>
    </cfRule>
  </conditionalFormatting>
  <hyperlinks>
    <hyperlink ref="A2" location="Index!A1" display="-" xr:uid="{F44E5627-14CC-490E-9375-B16220EE89B2}"/>
  </hyperlinks>
  <pageMargins left="0.7" right="0.7" top="0.75" bottom="0.75" header="0.3" footer="0.3"/>
  <pageSetup paperSize="9" scale="3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98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17D8-8F14-455B-850F-8894964F4A4A}">
  <dimension ref="A1:I185"/>
  <sheetViews>
    <sheetView view="pageBreakPreview" zoomScaleNormal="100" zoomScaleSheetLayoutView="100" workbookViewId="0"/>
  </sheetViews>
  <sheetFormatPr defaultColWidth="9.109375" defaultRowHeight="10.199999999999999" x14ac:dyDescent="0.2"/>
  <cols>
    <col min="1" max="1" width="7.21875" style="6" customWidth="1"/>
    <col min="2" max="2" width="68.109375" style="6" bestFit="1" customWidth="1"/>
    <col min="3" max="3" width="11.21875" style="6" bestFit="1" customWidth="1"/>
    <col min="4" max="4" width="25.21875" style="6" customWidth="1"/>
    <col min="5" max="5" width="13.6640625" style="6" bestFit="1" customWidth="1"/>
    <col min="6" max="6" width="22.77734375" style="8" bestFit="1" customWidth="1"/>
    <col min="7" max="7" width="12.21875" style="14" bestFit="1" customWidth="1"/>
    <col min="8" max="8" width="17.33203125" style="6" bestFit="1" customWidth="1"/>
    <col min="9" max="16384" width="9.109375" style="6"/>
  </cols>
  <sheetData>
    <row r="1" spans="1:8" s="1" customFormat="1" ht="16.8" customHeight="1" x14ac:dyDescent="0.25">
      <c r="B1" s="98" t="s">
        <v>21</v>
      </c>
      <c r="C1" s="99"/>
      <c r="D1" s="10"/>
      <c r="F1" s="5"/>
      <c r="G1" s="14"/>
    </row>
    <row r="2" spans="1:8" s="1" customFormat="1" ht="14.4" x14ac:dyDescent="0.3">
      <c r="A2" s="65" t="s">
        <v>1481</v>
      </c>
      <c r="F2" s="5"/>
      <c r="G2" s="14"/>
    </row>
    <row r="3" spans="1:8" s="1" customFormat="1" ht="12" x14ac:dyDescent="0.2">
      <c r="B3" s="7" t="s">
        <v>9</v>
      </c>
      <c r="C3" s="2"/>
      <c r="D3" s="3"/>
      <c r="E3" s="3"/>
      <c r="F3" s="4"/>
      <c r="G3" s="14"/>
    </row>
    <row r="4" spans="1:8" s="1" customFormat="1" ht="25.5" customHeight="1" x14ac:dyDescent="0.2">
      <c r="B4" s="18" t="s">
        <v>7</v>
      </c>
      <c r="C4" s="18" t="s">
        <v>8</v>
      </c>
      <c r="D4" s="91" t="s">
        <v>1467</v>
      </c>
      <c r="E4" s="19" t="s">
        <v>0</v>
      </c>
      <c r="F4" s="20" t="s">
        <v>4</v>
      </c>
      <c r="G4" s="21" t="s">
        <v>5</v>
      </c>
      <c r="H4" s="92" t="s">
        <v>6</v>
      </c>
    </row>
    <row r="5" spans="1:8" x14ac:dyDescent="0.2">
      <c r="B5" s="23" t="s">
        <v>272</v>
      </c>
      <c r="C5" s="24"/>
      <c r="D5" s="24"/>
      <c r="E5" s="24"/>
      <c r="F5" s="25"/>
      <c r="G5" s="26"/>
      <c r="H5" s="24"/>
    </row>
    <row r="6" spans="1:8" x14ac:dyDescent="0.2">
      <c r="B6" s="23" t="s">
        <v>244</v>
      </c>
      <c r="C6" s="24"/>
      <c r="D6" s="24"/>
      <c r="E6" s="24"/>
      <c r="F6" s="25"/>
      <c r="G6" s="26"/>
      <c r="H6" s="24"/>
    </row>
    <row r="7" spans="1:8" x14ac:dyDescent="0.2">
      <c r="B7" s="24" t="s">
        <v>273</v>
      </c>
      <c r="C7" s="24" t="s">
        <v>274</v>
      </c>
      <c r="D7" s="24" t="s">
        <v>275</v>
      </c>
      <c r="E7" s="28">
        <v>290400</v>
      </c>
      <c r="F7" s="25">
        <v>2698.5419999999999</v>
      </c>
      <c r="G7" s="26">
        <v>7.9834539395591904</v>
      </c>
      <c r="H7" s="29"/>
    </row>
    <row r="8" spans="1:8" x14ac:dyDescent="0.2">
      <c r="B8" s="24" t="s">
        <v>278</v>
      </c>
      <c r="C8" s="24" t="s">
        <v>279</v>
      </c>
      <c r="D8" s="24" t="s">
        <v>280</v>
      </c>
      <c r="E8" s="28">
        <v>171000</v>
      </c>
      <c r="F8" s="25">
        <v>2386.134</v>
      </c>
      <c r="G8" s="26">
        <v>7.0592160072424699</v>
      </c>
      <c r="H8" s="29"/>
    </row>
    <row r="9" spans="1:8" x14ac:dyDescent="0.2">
      <c r="B9" s="24" t="s">
        <v>826</v>
      </c>
      <c r="C9" s="24" t="s">
        <v>827</v>
      </c>
      <c r="D9" s="24" t="s">
        <v>517</v>
      </c>
      <c r="E9" s="28">
        <v>58750</v>
      </c>
      <c r="F9" s="25">
        <v>1485.2</v>
      </c>
      <c r="G9" s="26">
        <v>4.3938637201249104</v>
      </c>
      <c r="H9" s="29"/>
    </row>
    <row r="10" spans="1:8" x14ac:dyDescent="0.2">
      <c r="B10" s="24" t="s">
        <v>276</v>
      </c>
      <c r="C10" s="24" t="s">
        <v>277</v>
      </c>
      <c r="D10" s="24" t="s">
        <v>275</v>
      </c>
      <c r="E10" s="28">
        <v>98700</v>
      </c>
      <c r="F10" s="25">
        <v>1337.385</v>
      </c>
      <c r="G10" s="26">
        <v>3.9565630429162701</v>
      </c>
      <c r="H10" s="29"/>
    </row>
    <row r="11" spans="1:8" x14ac:dyDescent="0.2">
      <c r="B11" s="24" t="s">
        <v>302</v>
      </c>
      <c r="C11" s="24" t="s">
        <v>303</v>
      </c>
      <c r="D11" s="24" t="s">
        <v>275</v>
      </c>
      <c r="E11" s="28">
        <v>278000</v>
      </c>
      <c r="F11" s="25">
        <v>1134.24</v>
      </c>
      <c r="G11" s="26">
        <v>3.3555723040092098</v>
      </c>
      <c r="H11" s="29"/>
    </row>
    <row r="12" spans="1:8" x14ac:dyDescent="0.2">
      <c r="B12" s="24" t="s">
        <v>296</v>
      </c>
      <c r="C12" s="24" t="s">
        <v>297</v>
      </c>
      <c r="D12" s="24" t="s">
        <v>298</v>
      </c>
      <c r="E12" s="28">
        <v>316800</v>
      </c>
      <c r="F12" s="25">
        <v>1020.5712</v>
      </c>
      <c r="G12" s="26">
        <v>3.0192908493700101</v>
      </c>
      <c r="H12" s="29"/>
    </row>
    <row r="13" spans="1:8" x14ac:dyDescent="0.2">
      <c r="B13" s="24" t="s">
        <v>465</v>
      </c>
      <c r="C13" s="24" t="s">
        <v>466</v>
      </c>
      <c r="D13" s="24" t="s">
        <v>467</v>
      </c>
      <c r="E13" s="28">
        <v>139425</v>
      </c>
      <c r="F13" s="25">
        <v>886.39443749999998</v>
      </c>
      <c r="G13" s="26">
        <v>2.6223379751223899</v>
      </c>
      <c r="H13" s="29"/>
    </row>
    <row r="14" spans="1:8" x14ac:dyDescent="0.2">
      <c r="B14" s="24" t="s">
        <v>292</v>
      </c>
      <c r="C14" s="24" t="s">
        <v>293</v>
      </c>
      <c r="D14" s="24" t="s">
        <v>275</v>
      </c>
      <c r="E14" s="28">
        <v>63125</v>
      </c>
      <c r="F14" s="25">
        <v>865.06500000000005</v>
      </c>
      <c r="G14" s="26">
        <v>2.5592362773026198</v>
      </c>
      <c r="H14" s="29"/>
    </row>
    <row r="15" spans="1:8" x14ac:dyDescent="0.2">
      <c r="B15" s="24" t="s">
        <v>386</v>
      </c>
      <c r="C15" s="24" t="s">
        <v>387</v>
      </c>
      <c r="D15" s="24" t="s">
        <v>301</v>
      </c>
      <c r="E15" s="28">
        <v>232800</v>
      </c>
      <c r="F15" s="25">
        <v>814.91639999999995</v>
      </c>
      <c r="G15" s="26">
        <v>2.41087503696121</v>
      </c>
      <c r="H15" s="29"/>
    </row>
    <row r="16" spans="1:8" x14ac:dyDescent="0.2">
      <c r="B16" s="24" t="s">
        <v>655</v>
      </c>
      <c r="C16" s="24" t="s">
        <v>656</v>
      </c>
      <c r="D16" s="24" t="s">
        <v>467</v>
      </c>
      <c r="E16" s="28">
        <v>48950</v>
      </c>
      <c r="F16" s="25">
        <v>771.84360000000004</v>
      </c>
      <c r="G16" s="26">
        <v>2.2834470722128999</v>
      </c>
      <c r="H16" s="29"/>
    </row>
    <row r="17" spans="2:8" x14ac:dyDescent="0.2">
      <c r="B17" s="24" t="s">
        <v>287</v>
      </c>
      <c r="C17" s="24" t="s">
        <v>288</v>
      </c>
      <c r="D17" s="24" t="s">
        <v>289</v>
      </c>
      <c r="E17" s="28">
        <v>19600</v>
      </c>
      <c r="F17" s="25">
        <v>770.73080000000004</v>
      </c>
      <c r="G17" s="26">
        <v>2.2801549286983902</v>
      </c>
      <c r="H17" s="29"/>
    </row>
    <row r="18" spans="2:8" x14ac:dyDescent="0.2">
      <c r="B18" s="24" t="s">
        <v>290</v>
      </c>
      <c r="C18" s="24" t="s">
        <v>291</v>
      </c>
      <c r="D18" s="24" t="s">
        <v>275</v>
      </c>
      <c r="E18" s="28">
        <v>70500</v>
      </c>
      <c r="F18" s="25">
        <v>759.39075000000003</v>
      </c>
      <c r="G18" s="26">
        <v>2.24660615797431</v>
      </c>
      <c r="H18" s="29"/>
    </row>
    <row r="19" spans="2:8" x14ac:dyDescent="0.2">
      <c r="B19" s="24" t="s">
        <v>284</v>
      </c>
      <c r="C19" s="24" t="s">
        <v>285</v>
      </c>
      <c r="D19" s="24" t="s">
        <v>286</v>
      </c>
      <c r="E19" s="28">
        <v>35150</v>
      </c>
      <c r="F19" s="25">
        <v>691.99805000000003</v>
      </c>
      <c r="G19" s="26">
        <v>2.04722941441704</v>
      </c>
      <c r="H19" s="29"/>
    </row>
    <row r="20" spans="2:8" x14ac:dyDescent="0.2">
      <c r="B20" s="24" t="s">
        <v>567</v>
      </c>
      <c r="C20" s="24" t="s">
        <v>568</v>
      </c>
      <c r="D20" s="24" t="s">
        <v>569</v>
      </c>
      <c r="E20" s="28">
        <v>97560</v>
      </c>
      <c r="F20" s="25">
        <v>686.77362000000005</v>
      </c>
      <c r="G20" s="26">
        <v>2.0317732917161599</v>
      </c>
      <c r="H20" s="29"/>
    </row>
    <row r="21" spans="2:8" x14ac:dyDescent="0.2">
      <c r="B21" s="24" t="s">
        <v>304</v>
      </c>
      <c r="C21" s="24" t="s">
        <v>305</v>
      </c>
      <c r="D21" s="24" t="s">
        <v>306</v>
      </c>
      <c r="E21" s="28">
        <v>66750</v>
      </c>
      <c r="F21" s="25">
        <v>620.67487500000004</v>
      </c>
      <c r="G21" s="26">
        <v>1.8362246264850299</v>
      </c>
      <c r="H21" s="29"/>
    </row>
    <row r="22" spans="2:8" x14ac:dyDescent="0.2">
      <c r="B22" s="24" t="s">
        <v>359</v>
      </c>
      <c r="C22" s="24" t="s">
        <v>360</v>
      </c>
      <c r="D22" s="24" t="s">
        <v>361</v>
      </c>
      <c r="E22" s="28">
        <v>10950</v>
      </c>
      <c r="F22" s="25">
        <v>503.31675000000001</v>
      </c>
      <c r="G22" s="26">
        <v>1.4890285534313099</v>
      </c>
      <c r="H22" s="29"/>
    </row>
    <row r="23" spans="2:8" x14ac:dyDescent="0.2">
      <c r="B23" s="24" t="s">
        <v>420</v>
      </c>
      <c r="C23" s="24" t="s">
        <v>421</v>
      </c>
      <c r="D23" s="24" t="s">
        <v>321</v>
      </c>
      <c r="E23" s="28">
        <v>124700</v>
      </c>
      <c r="F23" s="25">
        <v>456.77609999999999</v>
      </c>
      <c r="G23" s="26">
        <v>1.35134118907228</v>
      </c>
      <c r="H23" s="29"/>
    </row>
    <row r="24" spans="2:8" x14ac:dyDescent="0.2">
      <c r="B24" s="24" t="s">
        <v>602</v>
      </c>
      <c r="C24" s="24" t="s">
        <v>603</v>
      </c>
      <c r="D24" s="24" t="s">
        <v>286</v>
      </c>
      <c r="E24" s="28">
        <v>3931125</v>
      </c>
      <c r="F24" s="25">
        <v>439.10666250000003</v>
      </c>
      <c r="G24" s="26">
        <v>1.29906735363849</v>
      </c>
      <c r="H24" s="29"/>
    </row>
    <row r="25" spans="2:8" x14ac:dyDescent="0.2">
      <c r="B25" s="24" t="s">
        <v>343</v>
      </c>
      <c r="C25" s="24" t="s">
        <v>344</v>
      </c>
      <c r="D25" s="24" t="s">
        <v>306</v>
      </c>
      <c r="E25" s="28">
        <v>22250</v>
      </c>
      <c r="F25" s="25">
        <v>434.45350000000002</v>
      </c>
      <c r="G25" s="26">
        <v>1.28530128718778</v>
      </c>
      <c r="H25" s="29"/>
    </row>
    <row r="26" spans="2:8" x14ac:dyDescent="0.2">
      <c r="B26" s="24" t="s">
        <v>341</v>
      </c>
      <c r="C26" s="24" t="s">
        <v>342</v>
      </c>
      <c r="D26" s="24" t="s">
        <v>330</v>
      </c>
      <c r="E26" s="28">
        <v>35775</v>
      </c>
      <c r="F26" s="25">
        <v>434.45159999999998</v>
      </c>
      <c r="G26" s="26">
        <v>1.28529566616632</v>
      </c>
      <c r="H26" s="29"/>
    </row>
    <row r="27" spans="2:8" x14ac:dyDescent="0.2">
      <c r="B27" s="24" t="s">
        <v>574</v>
      </c>
      <c r="C27" s="24" t="s">
        <v>575</v>
      </c>
      <c r="D27" s="24" t="s">
        <v>275</v>
      </c>
      <c r="E27" s="28">
        <v>1959300</v>
      </c>
      <c r="F27" s="25">
        <v>419.48613</v>
      </c>
      <c r="G27" s="26">
        <v>1.2410213356467801</v>
      </c>
      <c r="H27" s="29"/>
    </row>
    <row r="28" spans="2:8" x14ac:dyDescent="0.2">
      <c r="B28" s="24" t="s">
        <v>427</v>
      </c>
      <c r="C28" s="24" t="s">
        <v>428</v>
      </c>
      <c r="D28" s="24" t="s">
        <v>275</v>
      </c>
      <c r="E28" s="28">
        <v>137475</v>
      </c>
      <c r="F28" s="25">
        <v>411.60014999999999</v>
      </c>
      <c r="G28" s="26">
        <v>1.2176911973356901</v>
      </c>
      <c r="H28" s="29"/>
    </row>
    <row r="29" spans="2:8" x14ac:dyDescent="0.2">
      <c r="B29" s="24" t="s">
        <v>555</v>
      </c>
      <c r="C29" s="24" t="s">
        <v>556</v>
      </c>
      <c r="D29" s="24" t="s">
        <v>372</v>
      </c>
      <c r="E29" s="28">
        <v>22000</v>
      </c>
      <c r="F29" s="25">
        <v>354.99200000000002</v>
      </c>
      <c r="G29" s="26">
        <v>1.05021981533435</v>
      </c>
      <c r="H29" s="29"/>
    </row>
    <row r="30" spans="2:8" x14ac:dyDescent="0.2">
      <c r="B30" s="24" t="s">
        <v>711</v>
      </c>
      <c r="C30" s="24" t="s">
        <v>712</v>
      </c>
      <c r="D30" s="24" t="s">
        <v>306</v>
      </c>
      <c r="E30" s="28">
        <v>52000</v>
      </c>
      <c r="F30" s="25">
        <v>273.67599999999999</v>
      </c>
      <c r="G30" s="26">
        <v>0.80965193069546404</v>
      </c>
      <c r="H30" s="29"/>
    </row>
    <row r="31" spans="2:8" x14ac:dyDescent="0.2">
      <c r="B31" s="24" t="s">
        <v>578</v>
      </c>
      <c r="C31" s="24" t="s">
        <v>579</v>
      </c>
      <c r="D31" s="24" t="s">
        <v>538</v>
      </c>
      <c r="E31" s="28">
        <v>3750</v>
      </c>
      <c r="F31" s="25">
        <v>263.00625000000002</v>
      </c>
      <c r="G31" s="26">
        <v>0.778086197172839</v>
      </c>
      <c r="H31" s="29"/>
    </row>
    <row r="32" spans="2:8" x14ac:dyDescent="0.2">
      <c r="B32" s="24" t="s">
        <v>828</v>
      </c>
      <c r="C32" s="24" t="s">
        <v>829</v>
      </c>
      <c r="D32" s="24" t="s">
        <v>318</v>
      </c>
      <c r="E32" s="28">
        <v>22950</v>
      </c>
      <c r="F32" s="25">
        <v>221.4675</v>
      </c>
      <c r="G32" s="26">
        <v>0.65519661556474695</v>
      </c>
      <c r="H32" s="29"/>
    </row>
    <row r="33" spans="2:8" x14ac:dyDescent="0.2">
      <c r="B33" s="24" t="s">
        <v>588</v>
      </c>
      <c r="C33" s="24" t="s">
        <v>589</v>
      </c>
      <c r="D33" s="24" t="s">
        <v>472</v>
      </c>
      <c r="E33" s="28">
        <v>76125</v>
      </c>
      <c r="F33" s="25">
        <v>199.98037500000001</v>
      </c>
      <c r="G33" s="26">
        <v>0.591628409944434</v>
      </c>
      <c r="H33" s="29"/>
    </row>
    <row r="34" spans="2:8" x14ac:dyDescent="0.2">
      <c r="B34" s="24" t="s">
        <v>294</v>
      </c>
      <c r="C34" s="24" t="s">
        <v>295</v>
      </c>
      <c r="D34" s="24" t="s">
        <v>283</v>
      </c>
      <c r="E34" s="28">
        <v>6125</v>
      </c>
      <c r="F34" s="25">
        <v>191.338875</v>
      </c>
      <c r="G34" s="26">
        <v>0.56606311682737298</v>
      </c>
      <c r="H34" s="29"/>
    </row>
    <row r="35" spans="2:8" x14ac:dyDescent="0.2">
      <c r="B35" s="24" t="s">
        <v>547</v>
      </c>
      <c r="C35" s="24" t="s">
        <v>548</v>
      </c>
      <c r="D35" s="24" t="s">
        <v>517</v>
      </c>
      <c r="E35" s="28">
        <v>7500</v>
      </c>
      <c r="F35" s="25">
        <v>188.67750000000001</v>
      </c>
      <c r="G35" s="26">
        <v>0.55818961894281405</v>
      </c>
      <c r="H35" s="29"/>
    </row>
    <row r="36" spans="2:8" x14ac:dyDescent="0.2">
      <c r="B36" s="24" t="s">
        <v>543</v>
      </c>
      <c r="C36" s="24" t="s">
        <v>544</v>
      </c>
      <c r="D36" s="24" t="s">
        <v>275</v>
      </c>
      <c r="E36" s="28">
        <v>222600</v>
      </c>
      <c r="F36" s="25">
        <v>186.04908</v>
      </c>
      <c r="G36" s="26">
        <v>0.55041361619621298</v>
      </c>
      <c r="H36" s="29"/>
    </row>
    <row r="37" spans="2:8" x14ac:dyDescent="0.2">
      <c r="B37" s="24" t="s">
        <v>299</v>
      </c>
      <c r="C37" s="24" t="s">
        <v>300</v>
      </c>
      <c r="D37" s="24" t="s">
        <v>301</v>
      </c>
      <c r="E37" s="28">
        <v>5200</v>
      </c>
      <c r="F37" s="25">
        <v>178.45359999999999</v>
      </c>
      <c r="G37" s="26">
        <v>0.52794290248160602</v>
      </c>
      <c r="H37" s="29"/>
    </row>
    <row r="38" spans="2:8" x14ac:dyDescent="0.2">
      <c r="B38" s="24" t="s">
        <v>413</v>
      </c>
      <c r="C38" s="24" t="s">
        <v>414</v>
      </c>
      <c r="D38" s="24" t="s">
        <v>369</v>
      </c>
      <c r="E38" s="28">
        <v>2750</v>
      </c>
      <c r="F38" s="25">
        <v>161.16374999999999</v>
      </c>
      <c r="G38" s="26">
        <v>0.47679205098591498</v>
      </c>
      <c r="H38" s="29"/>
    </row>
    <row r="39" spans="2:8" x14ac:dyDescent="0.2">
      <c r="B39" s="24" t="s">
        <v>281</v>
      </c>
      <c r="C39" s="24" t="s">
        <v>282</v>
      </c>
      <c r="D39" s="24" t="s">
        <v>283</v>
      </c>
      <c r="E39" s="28">
        <v>9200</v>
      </c>
      <c r="F39" s="25">
        <v>150.97200000000001</v>
      </c>
      <c r="G39" s="26">
        <v>0.446640448124628</v>
      </c>
      <c r="H39" s="29"/>
    </row>
    <row r="40" spans="2:8" x14ac:dyDescent="0.2">
      <c r="B40" s="24" t="s">
        <v>576</v>
      </c>
      <c r="C40" s="24" t="s">
        <v>577</v>
      </c>
      <c r="D40" s="24" t="s">
        <v>538</v>
      </c>
      <c r="E40" s="28">
        <v>7350</v>
      </c>
      <c r="F40" s="25">
        <v>150.35894999999999</v>
      </c>
      <c r="G40" s="26">
        <v>0.44482678117497598</v>
      </c>
      <c r="H40" s="29"/>
    </row>
    <row r="41" spans="2:8" x14ac:dyDescent="0.2">
      <c r="B41" s="24" t="s">
        <v>331</v>
      </c>
      <c r="C41" s="24" t="s">
        <v>332</v>
      </c>
      <c r="D41" s="24" t="s">
        <v>333</v>
      </c>
      <c r="E41" s="28">
        <v>1100</v>
      </c>
      <c r="F41" s="25">
        <v>139.63399999999999</v>
      </c>
      <c r="G41" s="26">
        <v>0.41309774218685802</v>
      </c>
      <c r="H41" s="29"/>
    </row>
    <row r="42" spans="2:8" x14ac:dyDescent="0.2">
      <c r="B42" s="24" t="s">
        <v>316</v>
      </c>
      <c r="C42" s="24" t="s">
        <v>317</v>
      </c>
      <c r="D42" s="24" t="s">
        <v>318</v>
      </c>
      <c r="E42" s="28">
        <v>8050</v>
      </c>
      <c r="F42" s="25">
        <v>128.42165</v>
      </c>
      <c r="G42" s="26">
        <v>0.37992676327334901</v>
      </c>
      <c r="H42" s="29"/>
    </row>
    <row r="43" spans="2:8" x14ac:dyDescent="0.2">
      <c r="B43" s="24" t="s">
        <v>667</v>
      </c>
      <c r="C43" s="24" t="s">
        <v>668</v>
      </c>
      <c r="D43" s="24" t="s">
        <v>330</v>
      </c>
      <c r="E43" s="28">
        <v>84600</v>
      </c>
      <c r="F43" s="25">
        <v>127.85598</v>
      </c>
      <c r="G43" s="26">
        <v>0.37825326684824601</v>
      </c>
      <c r="H43" s="29"/>
    </row>
    <row r="44" spans="2:8" x14ac:dyDescent="0.2">
      <c r="B44" s="24" t="s">
        <v>524</v>
      </c>
      <c r="C44" s="24" t="s">
        <v>525</v>
      </c>
      <c r="D44" s="24" t="s">
        <v>275</v>
      </c>
      <c r="E44" s="28">
        <v>11900</v>
      </c>
      <c r="F44" s="25">
        <v>106.63590000000001</v>
      </c>
      <c r="G44" s="26">
        <v>0.315475095793743</v>
      </c>
      <c r="H44" s="29"/>
    </row>
    <row r="45" spans="2:8" x14ac:dyDescent="0.2">
      <c r="B45" s="24" t="s">
        <v>633</v>
      </c>
      <c r="C45" s="24" t="s">
        <v>634</v>
      </c>
      <c r="D45" s="24" t="s">
        <v>306</v>
      </c>
      <c r="E45" s="28">
        <v>31000</v>
      </c>
      <c r="F45" s="25">
        <v>105.33799999999999</v>
      </c>
      <c r="G45" s="26">
        <v>0.31163534645200502</v>
      </c>
      <c r="H45" s="29"/>
    </row>
    <row r="46" spans="2:8" x14ac:dyDescent="0.2">
      <c r="B46" s="24" t="s">
        <v>515</v>
      </c>
      <c r="C46" s="24" t="s">
        <v>516</v>
      </c>
      <c r="D46" s="24" t="s">
        <v>517</v>
      </c>
      <c r="E46" s="28">
        <v>3375</v>
      </c>
      <c r="F46" s="25">
        <v>94.398750000000007</v>
      </c>
      <c r="G46" s="26">
        <v>0.27927231541216102</v>
      </c>
      <c r="H46" s="29"/>
    </row>
    <row r="47" spans="2:8" x14ac:dyDescent="0.2">
      <c r="B47" s="24" t="s">
        <v>391</v>
      </c>
      <c r="C47" s="24" t="s">
        <v>392</v>
      </c>
      <c r="D47" s="24" t="s">
        <v>390</v>
      </c>
      <c r="E47" s="28">
        <v>9450</v>
      </c>
      <c r="F47" s="25">
        <v>90.417599999999993</v>
      </c>
      <c r="G47" s="26">
        <v>0.267494352478296</v>
      </c>
      <c r="H47" s="29"/>
    </row>
    <row r="48" spans="2:8" x14ac:dyDescent="0.2">
      <c r="B48" s="24" t="s">
        <v>459</v>
      </c>
      <c r="C48" s="24" t="s">
        <v>460</v>
      </c>
      <c r="D48" s="24" t="s">
        <v>275</v>
      </c>
      <c r="E48" s="28">
        <v>72000</v>
      </c>
      <c r="F48" s="25">
        <v>90.136799999999994</v>
      </c>
      <c r="G48" s="26">
        <v>0.26666362467556898</v>
      </c>
      <c r="H48" s="29"/>
    </row>
    <row r="49" spans="2:9" x14ac:dyDescent="0.2">
      <c r="B49" s="24" t="s">
        <v>424</v>
      </c>
      <c r="C49" s="24" t="s">
        <v>425</v>
      </c>
      <c r="D49" s="24" t="s">
        <v>426</v>
      </c>
      <c r="E49" s="28">
        <v>13000</v>
      </c>
      <c r="F49" s="25">
        <v>87.639499999999998</v>
      </c>
      <c r="G49" s="26">
        <v>0.25927553157816202</v>
      </c>
      <c r="H49" s="29"/>
    </row>
    <row r="50" spans="2:9" x14ac:dyDescent="0.2">
      <c r="B50" s="24" t="s">
        <v>349</v>
      </c>
      <c r="C50" s="24" t="s">
        <v>350</v>
      </c>
      <c r="D50" s="24" t="s">
        <v>333</v>
      </c>
      <c r="E50" s="28">
        <v>3000</v>
      </c>
      <c r="F50" s="25">
        <v>84.57</v>
      </c>
      <c r="G50" s="26">
        <v>0.25019462349243399</v>
      </c>
      <c r="H50" s="29"/>
    </row>
    <row r="51" spans="2:9" x14ac:dyDescent="0.2">
      <c r="B51" s="24" t="s">
        <v>865</v>
      </c>
      <c r="C51" s="24" t="s">
        <v>866</v>
      </c>
      <c r="D51" s="24" t="s">
        <v>324</v>
      </c>
      <c r="E51" s="28">
        <v>30600</v>
      </c>
      <c r="F51" s="25">
        <v>67.7637</v>
      </c>
      <c r="G51" s="26">
        <v>0.20047432195760001</v>
      </c>
      <c r="H51" s="29"/>
    </row>
    <row r="52" spans="2:9" x14ac:dyDescent="0.2">
      <c r="B52" s="24" t="s">
        <v>307</v>
      </c>
      <c r="C52" s="24" t="s">
        <v>308</v>
      </c>
      <c r="D52" s="24" t="s">
        <v>298</v>
      </c>
      <c r="E52" s="28">
        <v>2400</v>
      </c>
      <c r="F52" s="25">
        <v>56.951999999999998</v>
      </c>
      <c r="G52" s="26">
        <v>0.16848863896347499</v>
      </c>
      <c r="H52" s="29"/>
    </row>
    <row r="53" spans="2:9" x14ac:dyDescent="0.2">
      <c r="B53" s="24" t="s">
        <v>707</v>
      </c>
      <c r="C53" s="24" t="s">
        <v>708</v>
      </c>
      <c r="D53" s="24" t="s">
        <v>333</v>
      </c>
      <c r="E53" s="28">
        <v>1950</v>
      </c>
      <c r="F53" s="25">
        <v>40.277250000000002</v>
      </c>
      <c r="G53" s="26">
        <v>0.119157519203744</v>
      </c>
      <c r="H53" s="29"/>
    </row>
    <row r="54" spans="2:9" x14ac:dyDescent="0.2">
      <c r="B54" s="24" t="s">
        <v>353</v>
      </c>
      <c r="C54" s="24" t="s">
        <v>354</v>
      </c>
      <c r="D54" s="24" t="s">
        <v>355</v>
      </c>
      <c r="E54" s="28">
        <v>1900</v>
      </c>
      <c r="F54" s="25">
        <v>26.976199999999999</v>
      </c>
      <c r="G54" s="26">
        <v>7.9807262649362706E-2</v>
      </c>
      <c r="H54" s="29"/>
    </row>
    <row r="55" spans="2:9" x14ac:dyDescent="0.2">
      <c r="B55" s="24" t="s">
        <v>309</v>
      </c>
      <c r="C55" s="24" t="s">
        <v>310</v>
      </c>
      <c r="D55" s="24" t="s">
        <v>311</v>
      </c>
      <c r="E55" s="28">
        <v>7275</v>
      </c>
      <c r="F55" s="25">
        <v>19.904399999999999</v>
      </c>
      <c r="G55" s="26">
        <v>5.8885820785654602E-2</v>
      </c>
      <c r="H55" s="29"/>
    </row>
    <row r="56" spans="2:9" x14ac:dyDescent="0.2">
      <c r="B56" s="24" t="s">
        <v>551</v>
      </c>
      <c r="C56" s="24" t="s">
        <v>552</v>
      </c>
      <c r="D56" s="24" t="s">
        <v>390</v>
      </c>
      <c r="E56" s="28">
        <v>2325</v>
      </c>
      <c r="F56" s="25">
        <v>19.797374999999999</v>
      </c>
      <c r="G56" s="26">
        <v>5.8569194563834998E-2</v>
      </c>
      <c r="H56" s="29"/>
    </row>
    <row r="57" spans="2:9" x14ac:dyDescent="0.2">
      <c r="B57" s="24" t="s">
        <v>590</v>
      </c>
      <c r="C57" s="24" t="s">
        <v>591</v>
      </c>
      <c r="D57" s="24" t="s">
        <v>355</v>
      </c>
      <c r="E57" s="28">
        <v>20925</v>
      </c>
      <c r="F57" s="25">
        <v>19.646482500000001</v>
      </c>
      <c r="G57" s="26">
        <v>5.8122789311081897E-2</v>
      </c>
      <c r="H57" s="29"/>
    </row>
    <row r="58" spans="2:9" x14ac:dyDescent="0.2">
      <c r="B58" s="24" t="s">
        <v>451</v>
      </c>
      <c r="C58" s="24" t="s">
        <v>452</v>
      </c>
      <c r="D58" s="24" t="s">
        <v>453</v>
      </c>
      <c r="E58" s="28">
        <v>9450</v>
      </c>
      <c r="F58" s="25">
        <v>15.808904999999999</v>
      </c>
      <c r="G58" s="26">
        <v>4.6769575905198799E-2</v>
      </c>
      <c r="H58" s="29"/>
    </row>
    <row r="59" spans="2:9" x14ac:dyDescent="0.2">
      <c r="B59" s="24" t="s">
        <v>373</v>
      </c>
      <c r="C59" s="24" t="s">
        <v>374</v>
      </c>
      <c r="D59" s="24" t="s">
        <v>311</v>
      </c>
      <c r="E59" s="28">
        <v>400</v>
      </c>
      <c r="F59" s="25">
        <v>15.141999999999999</v>
      </c>
      <c r="G59" s="26">
        <v>4.47965825815589E-2</v>
      </c>
      <c r="H59" s="29"/>
    </row>
    <row r="60" spans="2:9" x14ac:dyDescent="0.2">
      <c r="B60" s="24" t="s">
        <v>539</v>
      </c>
      <c r="C60" s="24" t="s">
        <v>540</v>
      </c>
      <c r="D60" s="24" t="s">
        <v>275</v>
      </c>
      <c r="E60" s="28">
        <v>1000</v>
      </c>
      <c r="F60" s="25">
        <v>9.8234999999999992</v>
      </c>
      <c r="G60" s="26">
        <v>2.9062160149910501E-2</v>
      </c>
      <c r="H60" s="29"/>
    </row>
    <row r="61" spans="2:9" x14ac:dyDescent="0.2">
      <c r="B61" s="23" t="s">
        <v>58</v>
      </c>
      <c r="C61" s="23"/>
      <c r="D61" s="23"/>
      <c r="E61" s="23"/>
      <c r="F61" s="31">
        <f>SUM(F7:F60)</f>
        <v>23896.326497500002</v>
      </c>
      <c r="G61" s="32">
        <f>SUM(G7:G60)</f>
        <v>70.695665258298376</v>
      </c>
      <c r="H61" s="23"/>
      <c r="I61" s="16"/>
    </row>
    <row r="62" spans="2:9" x14ac:dyDescent="0.2">
      <c r="B62" s="23" t="s">
        <v>399</v>
      </c>
      <c r="C62" s="23"/>
      <c r="D62" s="23"/>
      <c r="E62" s="23"/>
      <c r="F62" s="53" t="s">
        <v>400</v>
      </c>
      <c r="G62" s="54" t="s">
        <v>400</v>
      </c>
      <c r="H62" s="23"/>
      <c r="I62" s="16"/>
    </row>
    <row r="63" spans="2:9" x14ac:dyDescent="0.2">
      <c r="B63" s="23" t="s">
        <v>58</v>
      </c>
      <c r="C63" s="23"/>
      <c r="D63" s="23"/>
      <c r="E63" s="23"/>
      <c r="F63" s="49" t="s">
        <v>400</v>
      </c>
      <c r="G63" s="50" t="s">
        <v>400</v>
      </c>
      <c r="H63" s="23"/>
      <c r="I63" s="16"/>
    </row>
    <row r="64" spans="2:9" x14ac:dyDescent="0.2">
      <c r="B64" s="36" t="s">
        <v>23</v>
      </c>
      <c r="C64" s="36"/>
      <c r="D64" s="36"/>
      <c r="E64" s="36"/>
      <c r="F64" s="37">
        <f>F61</f>
        <v>23896.326497500002</v>
      </c>
      <c r="G64" s="38">
        <f>G61</f>
        <v>70.695665258298376</v>
      </c>
      <c r="H64" s="23"/>
      <c r="I64" s="16"/>
    </row>
    <row r="65" spans="2:9" x14ac:dyDescent="0.2">
      <c r="B65" s="23" t="s">
        <v>24</v>
      </c>
      <c r="C65" s="24"/>
      <c r="D65" s="24"/>
      <c r="E65" s="24"/>
      <c r="F65" s="25"/>
      <c r="G65" s="26"/>
      <c r="H65" s="24"/>
    </row>
    <row r="66" spans="2:9" x14ac:dyDescent="0.2">
      <c r="B66" s="24" t="s">
        <v>1385</v>
      </c>
      <c r="C66" s="24" t="s">
        <v>1386</v>
      </c>
      <c r="D66" s="24" t="s">
        <v>37</v>
      </c>
      <c r="E66" s="28">
        <v>500</v>
      </c>
      <c r="F66" s="25">
        <v>2476.915</v>
      </c>
      <c r="G66" s="26">
        <v>7.3277854540352703</v>
      </c>
      <c r="H66" s="29">
        <v>6.6701999999999997E-2</v>
      </c>
    </row>
    <row r="67" spans="2:9" x14ac:dyDescent="0.2">
      <c r="B67" s="24" t="s">
        <v>31</v>
      </c>
      <c r="C67" s="24" t="s">
        <v>32</v>
      </c>
      <c r="D67" s="24" t="s">
        <v>27</v>
      </c>
      <c r="E67" s="28">
        <v>120</v>
      </c>
      <c r="F67" s="25">
        <v>594.43499999999995</v>
      </c>
      <c r="G67" s="26">
        <v>1.7585957315327601</v>
      </c>
      <c r="H67" s="29">
        <v>6.7001000000000005E-2</v>
      </c>
    </row>
    <row r="68" spans="2:9" x14ac:dyDescent="0.2">
      <c r="B68" s="23" t="s">
        <v>58</v>
      </c>
      <c r="C68" s="23"/>
      <c r="D68" s="23"/>
      <c r="E68" s="23"/>
      <c r="F68" s="31">
        <f>SUM(F65:F67)</f>
        <v>3071.35</v>
      </c>
      <c r="G68" s="32">
        <f>SUM(G65:G67)</f>
        <v>9.0863811855680297</v>
      </c>
      <c r="H68" s="23"/>
      <c r="I68" s="16"/>
    </row>
    <row r="69" spans="2:9" x14ac:dyDescent="0.2">
      <c r="B69" s="23" t="s">
        <v>59</v>
      </c>
      <c r="C69" s="24"/>
      <c r="D69" s="24"/>
      <c r="E69" s="24"/>
      <c r="F69" s="25"/>
      <c r="G69" s="26"/>
      <c r="H69" s="24"/>
    </row>
    <row r="70" spans="2:9" x14ac:dyDescent="0.2">
      <c r="B70" s="24" t="s">
        <v>1387</v>
      </c>
      <c r="C70" s="24" t="s">
        <v>1388</v>
      </c>
      <c r="D70" s="24" t="s">
        <v>27</v>
      </c>
      <c r="E70" s="28">
        <v>200</v>
      </c>
      <c r="F70" s="25">
        <v>995.31799999999998</v>
      </c>
      <c r="G70" s="26">
        <v>2.9445809656526301</v>
      </c>
      <c r="H70" s="29">
        <v>7.1548E-2</v>
      </c>
    </row>
    <row r="71" spans="2:9" x14ac:dyDescent="0.2">
      <c r="B71" s="24" t="s">
        <v>80</v>
      </c>
      <c r="C71" s="24" t="s">
        <v>81</v>
      </c>
      <c r="D71" s="24" t="s">
        <v>37</v>
      </c>
      <c r="E71" s="28">
        <v>100</v>
      </c>
      <c r="F71" s="25">
        <v>495.68549999999999</v>
      </c>
      <c r="G71" s="26">
        <v>1.4664520165916901</v>
      </c>
      <c r="H71" s="29">
        <v>6.7599999999999993E-2</v>
      </c>
    </row>
    <row r="72" spans="2:9" x14ac:dyDescent="0.2">
      <c r="B72" s="23" t="s">
        <v>58</v>
      </c>
      <c r="C72" s="23"/>
      <c r="D72" s="23"/>
      <c r="E72" s="23"/>
      <c r="F72" s="34">
        <f>SUM(F69:F71)</f>
        <v>1491.0035</v>
      </c>
      <c r="G72" s="35">
        <f>SUM(G69:G71)</f>
        <v>4.4110329822443202</v>
      </c>
      <c r="H72" s="23"/>
      <c r="I72" s="16"/>
    </row>
    <row r="73" spans="2:9" x14ac:dyDescent="0.2">
      <c r="B73" s="36" t="s">
        <v>100</v>
      </c>
      <c r="C73" s="36"/>
      <c r="D73" s="36"/>
      <c r="E73" s="36"/>
      <c r="F73" s="37">
        <f>+F68+F72</f>
        <v>4562.3535000000002</v>
      </c>
      <c r="G73" s="38">
        <f>+G68+G72</f>
        <v>13.49741416781235</v>
      </c>
      <c r="H73" s="23"/>
      <c r="I73" s="16"/>
    </row>
    <row r="74" spans="2:9" x14ac:dyDescent="0.2">
      <c r="B74" s="23" t="s">
        <v>1389</v>
      </c>
      <c r="C74" s="24"/>
      <c r="D74" s="24"/>
      <c r="E74" s="24"/>
      <c r="F74" s="25"/>
      <c r="G74" s="26"/>
      <c r="H74" s="24"/>
    </row>
    <row r="75" spans="2:9" x14ac:dyDescent="0.2">
      <c r="B75" s="24" t="s">
        <v>1390</v>
      </c>
      <c r="C75" s="24" t="s">
        <v>1391</v>
      </c>
      <c r="D75" s="24"/>
      <c r="E75" s="28">
        <v>243339.28</v>
      </c>
      <c r="F75" s="25">
        <v>2514.0196203</v>
      </c>
      <c r="G75" s="26">
        <v>7.4375569629129803</v>
      </c>
      <c r="H75" s="24"/>
    </row>
    <row r="76" spans="2:9" x14ac:dyDescent="0.2">
      <c r="B76" s="24" t="s">
        <v>1392</v>
      </c>
      <c r="C76" s="24" t="s">
        <v>1393</v>
      </c>
      <c r="D76" s="24"/>
      <c r="E76" s="28">
        <v>146361.65100000001</v>
      </c>
      <c r="F76" s="25">
        <v>1513.1810049000001</v>
      </c>
      <c r="G76" s="26">
        <v>4.4766436300917398</v>
      </c>
      <c r="H76" s="24"/>
    </row>
    <row r="77" spans="2:9" x14ac:dyDescent="0.2">
      <c r="B77" s="23" t="s">
        <v>58</v>
      </c>
      <c r="C77" s="23"/>
      <c r="D77" s="23"/>
      <c r="E77" s="23"/>
      <c r="F77" s="31">
        <f>SUM(F75:F76)</f>
        <v>4027.2006252000001</v>
      </c>
      <c r="G77" s="32">
        <f>SUM(G75:G76)</f>
        <v>11.91420059300472</v>
      </c>
      <c r="H77" s="23"/>
      <c r="I77" s="16"/>
    </row>
    <row r="78" spans="2:9" x14ac:dyDescent="0.2">
      <c r="B78" s="23"/>
      <c r="C78" s="24"/>
      <c r="D78" s="24"/>
      <c r="E78" s="24"/>
      <c r="F78" s="25"/>
      <c r="G78" s="26"/>
      <c r="H78" s="24"/>
    </row>
    <row r="79" spans="2:9" x14ac:dyDescent="0.2">
      <c r="B79" s="23" t="s">
        <v>108</v>
      </c>
      <c r="C79" s="23"/>
      <c r="D79" s="23"/>
      <c r="E79" s="23"/>
      <c r="F79" s="31">
        <v>4161.1486894999998</v>
      </c>
      <c r="G79" s="32">
        <v>12.310476879099999</v>
      </c>
      <c r="H79" s="29">
        <v>5.04819029E-2</v>
      </c>
      <c r="I79" s="17"/>
    </row>
    <row r="80" spans="2:9" x14ac:dyDescent="0.2">
      <c r="B80" s="23"/>
      <c r="C80" s="24"/>
      <c r="D80" s="24"/>
      <c r="E80" s="24"/>
      <c r="F80" s="70"/>
      <c r="G80" s="70"/>
      <c r="H80" s="24"/>
    </row>
    <row r="81" spans="2:9" x14ac:dyDescent="0.2">
      <c r="B81" s="43" t="s">
        <v>110</v>
      </c>
      <c r="C81" s="43"/>
      <c r="D81" s="43"/>
      <c r="E81" s="43"/>
      <c r="F81" s="31">
        <f>F82-(F61+F68+F72+F77+F79+F80)</f>
        <v>-2845.3437206000017</v>
      </c>
      <c r="G81" s="32">
        <f>G82-(G61+G68+G72+G77+G79+G80)</f>
        <v>-8.417756898215444</v>
      </c>
      <c r="H81" s="23"/>
      <c r="I81" s="16"/>
    </row>
    <row r="82" spans="2:9" x14ac:dyDescent="0.2">
      <c r="B82" s="39" t="s">
        <v>109</v>
      </c>
      <c r="C82" s="39"/>
      <c r="D82" s="39"/>
      <c r="E82" s="39"/>
      <c r="F82" s="40">
        <v>33801.685591599999</v>
      </c>
      <c r="G82" s="41">
        <v>100</v>
      </c>
      <c r="H82" s="55"/>
      <c r="I82" s="16"/>
    </row>
    <row r="84" spans="2:9" x14ac:dyDescent="0.2">
      <c r="B84" s="16" t="s">
        <v>1378</v>
      </c>
    </row>
    <row r="86" spans="2:9" x14ac:dyDescent="0.2">
      <c r="B86" s="58" t="s">
        <v>7</v>
      </c>
      <c r="C86" s="58" t="s">
        <v>1379</v>
      </c>
      <c r="D86" s="58" t="s">
        <v>401</v>
      </c>
      <c r="E86" s="58" t="s">
        <v>0</v>
      </c>
      <c r="F86" s="59" t="s">
        <v>1380</v>
      </c>
      <c r="G86" s="60" t="s">
        <v>1381</v>
      </c>
    </row>
    <row r="87" spans="2:9" x14ac:dyDescent="0.2">
      <c r="B87" s="61" t="s">
        <v>1394</v>
      </c>
      <c r="C87" s="61" t="s">
        <v>1395</v>
      </c>
      <c r="D87" s="61" t="s">
        <v>283</v>
      </c>
      <c r="E87" s="62">
        <v>-175</v>
      </c>
      <c r="F87" s="63">
        <v>-5.5296500000000002</v>
      </c>
      <c r="G87" s="64">
        <v>-1.63590954214844E-2</v>
      </c>
    </row>
    <row r="88" spans="2:9" x14ac:dyDescent="0.2">
      <c r="B88" s="61" t="s">
        <v>1396</v>
      </c>
      <c r="C88" s="61" t="s">
        <v>1395</v>
      </c>
      <c r="D88" s="61" t="s">
        <v>426</v>
      </c>
      <c r="E88" s="62">
        <v>-1000</v>
      </c>
      <c r="F88" s="63">
        <v>-6.7960000000000003</v>
      </c>
      <c r="G88" s="64">
        <v>-2.0105506222709998E-2</v>
      </c>
    </row>
    <row r="89" spans="2:9" x14ac:dyDescent="0.2">
      <c r="B89" s="61" t="s">
        <v>1397</v>
      </c>
      <c r="C89" s="61" t="s">
        <v>1395</v>
      </c>
      <c r="D89" s="61" t="s">
        <v>301</v>
      </c>
      <c r="E89" s="62">
        <v>-200</v>
      </c>
      <c r="F89" s="63">
        <v>-6.94</v>
      </c>
      <c r="G89" s="64">
        <v>-2.0531520480519001E-2</v>
      </c>
    </row>
    <row r="90" spans="2:9" x14ac:dyDescent="0.2">
      <c r="B90" s="61" t="s">
        <v>1398</v>
      </c>
      <c r="C90" s="61" t="s">
        <v>1395</v>
      </c>
      <c r="D90" s="61" t="s">
        <v>275</v>
      </c>
      <c r="E90" s="62">
        <v>-700</v>
      </c>
      <c r="F90" s="63">
        <v>-9.5942000000000007</v>
      </c>
      <c r="G90" s="64">
        <v>-2.8383791612996499E-2</v>
      </c>
    </row>
    <row r="91" spans="2:9" x14ac:dyDescent="0.2">
      <c r="B91" s="61" t="s">
        <v>1399</v>
      </c>
      <c r="C91" s="61" t="s">
        <v>1395</v>
      </c>
      <c r="D91" s="61" t="s">
        <v>275</v>
      </c>
      <c r="E91" s="62">
        <v>-1000</v>
      </c>
      <c r="F91" s="63">
        <v>-9.8465000000000007</v>
      </c>
      <c r="G91" s="64">
        <v>-2.9130204093866099E-2</v>
      </c>
    </row>
    <row r="92" spans="2:9" x14ac:dyDescent="0.2">
      <c r="B92" s="61" t="s">
        <v>1400</v>
      </c>
      <c r="C92" s="61" t="s">
        <v>1395</v>
      </c>
      <c r="D92" s="61" t="s">
        <v>311</v>
      </c>
      <c r="E92" s="62">
        <v>-400</v>
      </c>
      <c r="F92" s="63">
        <v>-15.156000000000001</v>
      </c>
      <c r="G92" s="64">
        <v>-4.4838000634401499E-2</v>
      </c>
    </row>
    <row r="93" spans="2:9" x14ac:dyDescent="0.2">
      <c r="B93" s="61" t="s">
        <v>1401</v>
      </c>
      <c r="C93" s="61" t="s">
        <v>1395</v>
      </c>
      <c r="D93" s="61" t="s">
        <v>453</v>
      </c>
      <c r="E93" s="62">
        <v>-9450</v>
      </c>
      <c r="F93" s="63">
        <v>-15.86655</v>
      </c>
      <c r="G93" s="64">
        <v>-4.6940114737778003E-2</v>
      </c>
    </row>
    <row r="94" spans="2:9" x14ac:dyDescent="0.2">
      <c r="B94" s="61" t="s">
        <v>1402</v>
      </c>
      <c r="C94" s="61" t="s">
        <v>1395</v>
      </c>
      <c r="D94" s="61" t="s">
        <v>355</v>
      </c>
      <c r="E94" s="62">
        <v>-20925</v>
      </c>
      <c r="F94" s="63">
        <v>-19.698795</v>
      </c>
      <c r="G94" s="64">
        <v>-5.8277552303176598E-2</v>
      </c>
    </row>
    <row r="95" spans="2:9" x14ac:dyDescent="0.2">
      <c r="B95" s="61" t="s">
        <v>1403</v>
      </c>
      <c r="C95" s="61" t="s">
        <v>1395</v>
      </c>
      <c r="D95" s="61" t="s">
        <v>390</v>
      </c>
      <c r="E95" s="62">
        <v>-2325</v>
      </c>
      <c r="F95" s="63">
        <v>-19.8450375</v>
      </c>
      <c r="G95" s="64">
        <v>-5.8710200845521303E-2</v>
      </c>
    </row>
    <row r="96" spans="2:9" x14ac:dyDescent="0.2">
      <c r="B96" s="61" t="s">
        <v>1404</v>
      </c>
      <c r="C96" s="61" t="s">
        <v>1395</v>
      </c>
      <c r="D96" s="61" t="s">
        <v>311</v>
      </c>
      <c r="E96" s="62">
        <v>-7275</v>
      </c>
      <c r="F96" s="63">
        <v>-20.046262500000001</v>
      </c>
      <c r="G96" s="64">
        <v>-5.9305511394324301E-2</v>
      </c>
    </row>
    <row r="97" spans="2:7" x14ac:dyDescent="0.2">
      <c r="B97" s="61" t="s">
        <v>1405</v>
      </c>
      <c r="C97" s="61" t="s">
        <v>1395</v>
      </c>
      <c r="D97" s="61" t="s">
        <v>324</v>
      </c>
      <c r="E97" s="62">
        <v>-9000</v>
      </c>
      <c r="F97" s="63">
        <v>-20.173500000000001</v>
      </c>
      <c r="G97" s="64">
        <v>-5.9681934929935197E-2</v>
      </c>
    </row>
    <row r="98" spans="2:7" x14ac:dyDescent="0.2">
      <c r="B98" s="61" t="s">
        <v>1406</v>
      </c>
      <c r="C98" s="61" t="s">
        <v>1395</v>
      </c>
      <c r="D98" s="61" t="s">
        <v>306</v>
      </c>
      <c r="E98" s="62">
        <v>-2250</v>
      </c>
      <c r="F98" s="63">
        <v>-21.130875</v>
      </c>
      <c r="G98" s="64">
        <v>-6.2514264097087505E-2</v>
      </c>
    </row>
    <row r="99" spans="2:7" x14ac:dyDescent="0.2">
      <c r="B99" s="61" t="s">
        <v>1407</v>
      </c>
      <c r="C99" s="61" t="s">
        <v>1395</v>
      </c>
      <c r="D99" s="61" t="s">
        <v>286</v>
      </c>
      <c r="E99" s="62">
        <v>-214425</v>
      </c>
      <c r="F99" s="63">
        <v>-24.208582499999999</v>
      </c>
      <c r="G99" s="64">
        <v>-7.1619453516294604E-2</v>
      </c>
    </row>
    <row r="100" spans="2:7" x14ac:dyDescent="0.2">
      <c r="B100" s="61" t="s">
        <v>1408</v>
      </c>
      <c r="C100" s="61" t="s">
        <v>1395</v>
      </c>
      <c r="D100" s="61" t="s">
        <v>275</v>
      </c>
      <c r="E100" s="62">
        <v>-6000</v>
      </c>
      <c r="F100" s="63">
        <v>-24.96</v>
      </c>
      <c r="G100" s="64">
        <v>-7.3842471353567002E-2</v>
      </c>
    </row>
    <row r="101" spans="2:7" x14ac:dyDescent="0.2">
      <c r="B101" s="61" t="s">
        <v>1409</v>
      </c>
      <c r="C101" s="61" t="s">
        <v>1395</v>
      </c>
      <c r="D101" s="61" t="s">
        <v>355</v>
      </c>
      <c r="E101" s="62">
        <v>-1900</v>
      </c>
      <c r="F101" s="63">
        <v>-27.033200000000001</v>
      </c>
      <c r="G101" s="64">
        <v>-7.9975893293078804E-2</v>
      </c>
    </row>
    <row r="102" spans="2:7" x14ac:dyDescent="0.2">
      <c r="B102" s="61" t="s">
        <v>1410</v>
      </c>
      <c r="C102" s="61" t="s">
        <v>1395</v>
      </c>
      <c r="D102" s="61" t="s">
        <v>301</v>
      </c>
      <c r="E102" s="62">
        <v>-800</v>
      </c>
      <c r="F102" s="63">
        <v>-27.862400000000001</v>
      </c>
      <c r="G102" s="64">
        <v>-8.2429025394295793E-2</v>
      </c>
    </row>
    <row r="103" spans="2:7" x14ac:dyDescent="0.2">
      <c r="B103" s="61" t="s">
        <v>1411</v>
      </c>
      <c r="C103" s="61" t="s">
        <v>1395</v>
      </c>
      <c r="D103" s="61" t="s">
        <v>275</v>
      </c>
      <c r="E103" s="62">
        <v>-155500</v>
      </c>
      <c r="F103" s="63">
        <v>-33.634650000000001</v>
      </c>
      <c r="G103" s="64">
        <v>-9.9505836502894698E-2</v>
      </c>
    </row>
    <row r="104" spans="2:7" x14ac:dyDescent="0.2">
      <c r="B104" s="61" t="s">
        <v>1412</v>
      </c>
      <c r="C104" s="61" t="s">
        <v>1395</v>
      </c>
      <c r="D104" s="61" t="s">
        <v>275</v>
      </c>
      <c r="E104" s="62">
        <v>-3850</v>
      </c>
      <c r="F104" s="63">
        <v>-36.186149999999998</v>
      </c>
      <c r="G104" s="64">
        <v>-0.10705427663344901</v>
      </c>
    </row>
    <row r="105" spans="2:7" x14ac:dyDescent="0.2">
      <c r="B105" s="61" t="s">
        <v>1413</v>
      </c>
      <c r="C105" s="61" t="s">
        <v>1395</v>
      </c>
      <c r="D105" s="61" t="s">
        <v>333</v>
      </c>
      <c r="E105" s="62">
        <v>-1950</v>
      </c>
      <c r="F105" s="63">
        <v>-40.404000000000003</v>
      </c>
      <c r="G105" s="64">
        <v>-0.11953250050358701</v>
      </c>
    </row>
    <row r="106" spans="2:7" x14ac:dyDescent="0.2">
      <c r="B106" s="61" t="s">
        <v>1414</v>
      </c>
      <c r="C106" s="61" t="s">
        <v>1395</v>
      </c>
      <c r="D106" s="61" t="s">
        <v>517</v>
      </c>
      <c r="E106" s="62">
        <v>-1875</v>
      </c>
      <c r="F106" s="63">
        <v>-47.625</v>
      </c>
      <c r="G106" s="64">
        <v>-0.14089534047330199</v>
      </c>
    </row>
    <row r="107" spans="2:7" x14ac:dyDescent="0.2">
      <c r="B107" s="61" t="s">
        <v>1415</v>
      </c>
      <c r="C107" s="61" t="s">
        <v>1395</v>
      </c>
      <c r="D107" s="61" t="s">
        <v>324</v>
      </c>
      <c r="E107" s="62">
        <v>-21600</v>
      </c>
      <c r="F107" s="63">
        <v>-48.092399999999998</v>
      </c>
      <c r="G107" s="64">
        <v>-0.14227811175177399</v>
      </c>
    </row>
    <row r="108" spans="2:7" x14ac:dyDescent="0.2">
      <c r="B108" s="61" t="s">
        <v>1416</v>
      </c>
      <c r="C108" s="61" t="s">
        <v>1395</v>
      </c>
      <c r="D108" s="61" t="s">
        <v>286</v>
      </c>
      <c r="E108" s="62">
        <v>-428850</v>
      </c>
      <c r="F108" s="63">
        <v>-48.803130000000003</v>
      </c>
      <c r="G108" s="64">
        <v>-0.14438075837297301</v>
      </c>
    </row>
    <row r="109" spans="2:7" x14ac:dyDescent="0.2">
      <c r="B109" s="61" t="s">
        <v>1417</v>
      </c>
      <c r="C109" s="61" t="s">
        <v>1395</v>
      </c>
      <c r="D109" s="61" t="s">
        <v>298</v>
      </c>
      <c r="E109" s="62">
        <v>-2400</v>
      </c>
      <c r="F109" s="63">
        <v>-57.002400000000002</v>
      </c>
      <c r="G109" s="64">
        <v>-0.16863774395370901</v>
      </c>
    </row>
    <row r="110" spans="2:7" x14ac:dyDescent="0.2">
      <c r="B110" s="61" t="s">
        <v>1418</v>
      </c>
      <c r="C110" s="61" t="s">
        <v>1395</v>
      </c>
      <c r="D110" s="61" t="s">
        <v>283</v>
      </c>
      <c r="E110" s="62">
        <v>-3600</v>
      </c>
      <c r="F110" s="63">
        <v>-59.965200000000003</v>
      </c>
      <c r="G110" s="64">
        <v>-0.17740298730813001</v>
      </c>
    </row>
    <row r="111" spans="2:7" x14ac:dyDescent="0.2">
      <c r="B111" s="61" t="s">
        <v>1419</v>
      </c>
      <c r="C111" s="61" t="s">
        <v>1395</v>
      </c>
      <c r="D111" s="61" t="s">
        <v>280</v>
      </c>
      <c r="E111" s="62">
        <v>-4500</v>
      </c>
      <c r="F111" s="63">
        <v>-63.396000000000001</v>
      </c>
      <c r="G111" s="64">
        <v>-0.18755277700042999</v>
      </c>
    </row>
    <row r="112" spans="2:7" x14ac:dyDescent="0.2">
      <c r="B112" s="61" t="s">
        <v>1420</v>
      </c>
      <c r="C112" s="61" t="s">
        <v>1395</v>
      </c>
      <c r="D112" s="61" t="s">
        <v>275</v>
      </c>
      <c r="E112" s="62">
        <v>-7150</v>
      </c>
      <c r="F112" s="63">
        <v>-67.603250000000003</v>
      </c>
      <c r="G112" s="64">
        <v>-0.199999641487701</v>
      </c>
    </row>
    <row r="113" spans="2:7" x14ac:dyDescent="0.2">
      <c r="B113" s="61" t="s">
        <v>1421</v>
      </c>
      <c r="C113" s="61" t="s">
        <v>1395</v>
      </c>
      <c r="D113" s="61" t="s">
        <v>426</v>
      </c>
      <c r="E113" s="62">
        <v>-12000</v>
      </c>
      <c r="F113" s="63">
        <v>-81.066000000000003</v>
      </c>
      <c r="G113" s="64">
        <v>-0.23982827655241401</v>
      </c>
    </row>
    <row r="114" spans="2:7" x14ac:dyDescent="0.2">
      <c r="B114" s="61" t="s">
        <v>1422</v>
      </c>
      <c r="C114" s="61" t="s">
        <v>1395</v>
      </c>
      <c r="D114" s="61" t="s">
        <v>333</v>
      </c>
      <c r="E114" s="62">
        <v>-3000</v>
      </c>
      <c r="F114" s="63">
        <v>-84.956999999999994</v>
      </c>
      <c r="G114" s="64">
        <v>-0.25133953681029603</v>
      </c>
    </row>
    <row r="115" spans="2:7" x14ac:dyDescent="0.2">
      <c r="B115" s="61" t="s">
        <v>1423</v>
      </c>
      <c r="C115" s="61" t="s">
        <v>1395</v>
      </c>
      <c r="D115" s="61" t="s">
        <v>283</v>
      </c>
      <c r="E115" s="62">
        <v>-2800</v>
      </c>
      <c r="F115" s="63">
        <v>-89.017600000000002</v>
      </c>
      <c r="G115" s="64">
        <v>-0.263352547194042</v>
      </c>
    </row>
    <row r="116" spans="2:7" x14ac:dyDescent="0.2">
      <c r="B116" s="61" t="s">
        <v>1424</v>
      </c>
      <c r="C116" s="61" t="s">
        <v>1395</v>
      </c>
      <c r="D116" s="61" t="s">
        <v>275</v>
      </c>
      <c r="E116" s="62">
        <v>-72000</v>
      </c>
      <c r="F116" s="63">
        <v>-90.547200000000004</v>
      </c>
      <c r="G116" s="64">
        <v>-0.26787776531032398</v>
      </c>
    </row>
    <row r="117" spans="2:7" x14ac:dyDescent="0.2">
      <c r="B117" s="61" t="s">
        <v>1425</v>
      </c>
      <c r="C117" s="61" t="s">
        <v>1395</v>
      </c>
      <c r="D117" s="61" t="s">
        <v>390</v>
      </c>
      <c r="E117" s="62">
        <v>-9450</v>
      </c>
      <c r="F117" s="63">
        <v>-90.871200000000002</v>
      </c>
      <c r="G117" s="64">
        <v>-0.268836297390395</v>
      </c>
    </row>
    <row r="118" spans="2:7" x14ac:dyDescent="0.2">
      <c r="B118" s="61" t="s">
        <v>1426</v>
      </c>
      <c r="C118" s="61" t="s">
        <v>1395</v>
      </c>
      <c r="D118" s="61" t="s">
        <v>283</v>
      </c>
      <c r="E118" s="62">
        <v>-5600</v>
      </c>
      <c r="F118" s="63">
        <v>-92.114400000000003</v>
      </c>
      <c r="G118" s="64">
        <v>-0.27251422048281299</v>
      </c>
    </row>
    <row r="119" spans="2:7" x14ac:dyDescent="0.2">
      <c r="B119" s="61" t="s">
        <v>1427</v>
      </c>
      <c r="C119" s="61" t="s">
        <v>1395</v>
      </c>
      <c r="D119" s="61" t="s">
        <v>517</v>
      </c>
      <c r="E119" s="62">
        <v>-3375</v>
      </c>
      <c r="F119" s="63">
        <v>-94.449375000000003</v>
      </c>
      <c r="G119" s="64">
        <v>-0.279422086049672</v>
      </c>
    </row>
    <row r="120" spans="2:7" x14ac:dyDescent="0.2">
      <c r="B120" s="61" t="s">
        <v>1428</v>
      </c>
      <c r="C120" s="61" t="s">
        <v>1395</v>
      </c>
      <c r="D120" s="61" t="s">
        <v>283</v>
      </c>
      <c r="E120" s="62">
        <v>-3150</v>
      </c>
      <c r="F120" s="63">
        <v>-98.887950000000004</v>
      </c>
      <c r="G120" s="64">
        <v>-0.29255330989935702</v>
      </c>
    </row>
    <row r="121" spans="2:7" x14ac:dyDescent="0.2">
      <c r="B121" s="61" t="s">
        <v>1429</v>
      </c>
      <c r="C121" s="61" t="s">
        <v>1395</v>
      </c>
      <c r="D121" s="61" t="s">
        <v>306</v>
      </c>
      <c r="E121" s="62">
        <v>-31000</v>
      </c>
      <c r="F121" s="63">
        <v>-105.55500000000001</v>
      </c>
      <c r="G121" s="64">
        <v>-0.31227732627106403</v>
      </c>
    </row>
    <row r="122" spans="2:7" x14ac:dyDescent="0.2">
      <c r="B122" s="61" t="s">
        <v>1430</v>
      </c>
      <c r="C122" s="61" t="s">
        <v>1395</v>
      </c>
      <c r="D122" s="61" t="s">
        <v>275</v>
      </c>
      <c r="E122" s="62">
        <v>-11900</v>
      </c>
      <c r="F122" s="63">
        <v>-106.65375</v>
      </c>
      <c r="G122" s="64">
        <v>-0.315527903811118</v>
      </c>
    </row>
    <row r="123" spans="2:7" x14ac:dyDescent="0.2">
      <c r="B123" s="61" t="s">
        <v>1431</v>
      </c>
      <c r="C123" s="61" t="s">
        <v>1395</v>
      </c>
      <c r="D123" s="61" t="s">
        <v>318</v>
      </c>
      <c r="E123" s="62">
        <v>-8050</v>
      </c>
      <c r="F123" s="63">
        <v>-128.23650000000001</v>
      </c>
      <c r="G123" s="64">
        <v>-0.37937900952450698</v>
      </c>
    </row>
    <row r="124" spans="2:7" x14ac:dyDescent="0.2">
      <c r="B124" s="61" t="s">
        <v>1432</v>
      </c>
      <c r="C124" s="61" t="s">
        <v>1395</v>
      </c>
      <c r="D124" s="61" t="s">
        <v>330</v>
      </c>
      <c r="E124" s="62">
        <v>-84600</v>
      </c>
      <c r="F124" s="63">
        <v>-128.6343</v>
      </c>
      <c r="G124" s="64">
        <v>-0.38055587391170398</v>
      </c>
    </row>
    <row r="125" spans="2:7" x14ac:dyDescent="0.2">
      <c r="B125" s="61" t="s">
        <v>1433</v>
      </c>
      <c r="C125" s="61" t="s">
        <v>1395</v>
      </c>
      <c r="D125" s="61" t="s">
        <v>333</v>
      </c>
      <c r="E125" s="62">
        <v>-1100</v>
      </c>
      <c r="F125" s="63">
        <v>-139.97499999999999</v>
      </c>
      <c r="G125" s="64">
        <v>-0.41410656761680797</v>
      </c>
    </row>
    <row r="126" spans="2:7" x14ac:dyDescent="0.2">
      <c r="B126" s="61" t="s">
        <v>1434</v>
      </c>
      <c r="C126" s="61" t="s">
        <v>1395</v>
      </c>
      <c r="D126" s="61" t="s">
        <v>301</v>
      </c>
      <c r="E126" s="62">
        <v>-4200</v>
      </c>
      <c r="F126" s="63">
        <v>-144.8202</v>
      </c>
      <c r="G126" s="64">
        <v>-0.42844076401914399</v>
      </c>
    </row>
    <row r="127" spans="2:7" x14ac:dyDescent="0.2">
      <c r="B127" s="61" t="s">
        <v>1435</v>
      </c>
      <c r="C127" s="61" t="s">
        <v>1395</v>
      </c>
      <c r="D127" s="61" t="s">
        <v>538</v>
      </c>
      <c r="E127" s="62">
        <v>-7350</v>
      </c>
      <c r="F127" s="63">
        <v>-151.06455</v>
      </c>
      <c r="G127" s="64">
        <v>-0.44691425103824101</v>
      </c>
    </row>
    <row r="128" spans="2:7" x14ac:dyDescent="0.2">
      <c r="B128" s="61" t="s">
        <v>1436</v>
      </c>
      <c r="C128" s="61" t="s">
        <v>1395</v>
      </c>
      <c r="D128" s="61" t="s">
        <v>369</v>
      </c>
      <c r="E128" s="62">
        <v>-2750</v>
      </c>
      <c r="F128" s="63">
        <v>-161.535</v>
      </c>
      <c r="G128" s="64">
        <v>-0.47789036899432902</v>
      </c>
    </row>
    <row r="129" spans="2:7" x14ac:dyDescent="0.2">
      <c r="B129" s="61" t="s">
        <v>1437</v>
      </c>
      <c r="C129" s="61" t="s">
        <v>1395</v>
      </c>
      <c r="D129" s="61" t="s">
        <v>275</v>
      </c>
      <c r="E129" s="62">
        <v>-222600</v>
      </c>
      <c r="F129" s="63">
        <v>-186.40523999999999</v>
      </c>
      <c r="G129" s="64">
        <v>-0.55146729146052798</v>
      </c>
    </row>
    <row r="130" spans="2:7" x14ac:dyDescent="0.2">
      <c r="B130" s="61" t="s">
        <v>1438</v>
      </c>
      <c r="C130" s="61" t="s">
        <v>1395</v>
      </c>
      <c r="D130" s="61" t="s">
        <v>517</v>
      </c>
      <c r="E130" s="62">
        <v>-7500</v>
      </c>
      <c r="F130" s="63">
        <v>-189.39750000000001</v>
      </c>
      <c r="G130" s="64">
        <v>-0.56031969023185901</v>
      </c>
    </row>
    <row r="131" spans="2:7" x14ac:dyDescent="0.2">
      <c r="B131" s="61" t="s">
        <v>1439</v>
      </c>
      <c r="C131" s="61" t="s">
        <v>1395</v>
      </c>
      <c r="D131" s="61" t="s">
        <v>472</v>
      </c>
      <c r="E131" s="62">
        <v>-76125</v>
      </c>
      <c r="F131" s="63">
        <v>-200.4751875</v>
      </c>
      <c r="G131" s="64">
        <v>-0.59309227924958796</v>
      </c>
    </row>
    <row r="132" spans="2:7" x14ac:dyDescent="0.2">
      <c r="B132" s="61" t="s">
        <v>1440</v>
      </c>
      <c r="C132" s="61" t="s">
        <v>1395</v>
      </c>
      <c r="D132" s="61" t="s">
        <v>318</v>
      </c>
      <c r="E132" s="62">
        <v>-22950</v>
      </c>
      <c r="F132" s="63">
        <v>-222.31665000000001</v>
      </c>
      <c r="G132" s="64">
        <v>-0.65770876839126502</v>
      </c>
    </row>
    <row r="133" spans="2:7" x14ac:dyDescent="0.2">
      <c r="B133" s="61" t="s">
        <v>1441</v>
      </c>
      <c r="C133" s="61" t="s">
        <v>1395</v>
      </c>
      <c r="D133" s="61" t="s">
        <v>538</v>
      </c>
      <c r="E133" s="62">
        <v>-3750</v>
      </c>
      <c r="F133" s="63">
        <v>-263.56875000000002</v>
      </c>
      <c r="G133" s="64">
        <v>-0.77975031536740602</v>
      </c>
    </row>
    <row r="134" spans="2:7" x14ac:dyDescent="0.2">
      <c r="B134" s="61" t="s">
        <v>1442</v>
      </c>
      <c r="C134" s="61" t="s">
        <v>1395</v>
      </c>
      <c r="D134" s="61" t="s">
        <v>306</v>
      </c>
      <c r="E134" s="62">
        <v>-52000</v>
      </c>
      <c r="F134" s="63">
        <v>-274.76799999999997</v>
      </c>
      <c r="G134" s="64">
        <v>-0.81288253881718298</v>
      </c>
    </row>
    <row r="135" spans="2:7" x14ac:dyDescent="0.2">
      <c r="B135" s="61" t="s">
        <v>1443</v>
      </c>
      <c r="C135" s="61" t="s">
        <v>1395</v>
      </c>
      <c r="D135" s="61" t="s">
        <v>372</v>
      </c>
      <c r="E135" s="62">
        <v>-22000</v>
      </c>
      <c r="F135" s="63">
        <v>-355.82799999999997</v>
      </c>
      <c r="G135" s="64">
        <v>-1.0526930647755199</v>
      </c>
    </row>
    <row r="136" spans="2:7" x14ac:dyDescent="0.2">
      <c r="B136" s="61" t="s">
        <v>1444</v>
      </c>
      <c r="C136" s="61" t="s">
        <v>1395</v>
      </c>
      <c r="D136" s="61" t="s">
        <v>286</v>
      </c>
      <c r="E136" s="62">
        <v>-3287850</v>
      </c>
      <c r="F136" s="63">
        <v>-368.56798500000002</v>
      </c>
      <c r="G136" s="64">
        <v>-1.09038344848575</v>
      </c>
    </row>
    <row r="137" spans="2:7" x14ac:dyDescent="0.2">
      <c r="B137" s="61" t="s">
        <v>1445</v>
      </c>
      <c r="C137" s="61" t="s">
        <v>1395</v>
      </c>
      <c r="D137" s="61" t="s">
        <v>275</v>
      </c>
      <c r="E137" s="62">
        <v>-1803800</v>
      </c>
      <c r="F137" s="63">
        <v>-387.45623999999998</v>
      </c>
      <c r="G137" s="64">
        <v>-1.1462630730352901</v>
      </c>
    </row>
    <row r="138" spans="2:7" x14ac:dyDescent="0.2">
      <c r="B138" s="61" t="s">
        <v>1446</v>
      </c>
      <c r="C138" s="61" t="s">
        <v>1395</v>
      </c>
      <c r="D138" s="61" t="s">
        <v>275</v>
      </c>
      <c r="E138" s="62">
        <v>-137475</v>
      </c>
      <c r="F138" s="63">
        <v>-413.04363749999999</v>
      </c>
      <c r="G138" s="64">
        <v>-1.2219616574465899</v>
      </c>
    </row>
    <row r="139" spans="2:7" x14ac:dyDescent="0.2">
      <c r="B139" s="61" t="s">
        <v>1447</v>
      </c>
      <c r="C139" s="61" t="s">
        <v>1395</v>
      </c>
      <c r="D139" s="61" t="s">
        <v>306</v>
      </c>
      <c r="E139" s="62">
        <v>-22250</v>
      </c>
      <c r="F139" s="63">
        <v>-435.34350000000001</v>
      </c>
      <c r="G139" s="64">
        <v>-1.28793429197562</v>
      </c>
    </row>
    <row r="140" spans="2:7" x14ac:dyDescent="0.2">
      <c r="B140" s="61" t="s">
        <v>1448</v>
      </c>
      <c r="C140" s="61" t="s">
        <v>1395</v>
      </c>
      <c r="D140" s="61" t="s">
        <v>330</v>
      </c>
      <c r="E140" s="62">
        <v>-35775</v>
      </c>
      <c r="F140" s="63">
        <v>-436.09724999999997</v>
      </c>
      <c r="G140" s="64">
        <v>-1.29016421035634</v>
      </c>
    </row>
    <row r="141" spans="2:7" x14ac:dyDescent="0.2">
      <c r="B141" s="61" t="s">
        <v>1449</v>
      </c>
      <c r="C141" s="61" t="s">
        <v>1395</v>
      </c>
      <c r="D141" s="61" t="s">
        <v>298</v>
      </c>
      <c r="E141" s="62">
        <v>-134400</v>
      </c>
      <c r="F141" s="63">
        <v>-440.69760000000002</v>
      </c>
      <c r="G141" s="64">
        <v>-1.30377403459879</v>
      </c>
    </row>
    <row r="142" spans="2:7" x14ac:dyDescent="0.2">
      <c r="B142" s="61" t="s">
        <v>1450</v>
      </c>
      <c r="C142" s="61" t="s">
        <v>1395</v>
      </c>
      <c r="D142" s="61" t="s">
        <v>321</v>
      </c>
      <c r="E142" s="62">
        <v>-124700</v>
      </c>
      <c r="F142" s="63">
        <v>-457.649</v>
      </c>
      <c r="G142" s="64">
        <v>-1.35392360466701</v>
      </c>
    </row>
    <row r="143" spans="2:7" x14ac:dyDescent="0.2">
      <c r="B143" s="61" t="s">
        <v>1451</v>
      </c>
      <c r="C143" s="61" t="s">
        <v>1395</v>
      </c>
      <c r="D143" s="61" t="s">
        <v>361</v>
      </c>
      <c r="E143" s="62">
        <v>-10950</v>
      </c>
      <c r="F143" s="63">
        <v>-505.94475</v>
      </c>
      <c r="G143" s="64">
        <v>-1.4968033136363199</v>
      </c>
    </row>
    <row r="144" spans="2:7" x14ac:dyDescent="0.2">
      <c r="B144" s="61" t="s">
        <v>1452</v>
      </c>
      <c r="C144" s="61" t="s">
        <v>1395</v>
      </c>
      <c r="D144" s="61" t="s">
        <v>298</v>
      </c>
      <c r="E144" s="62">
        <v>-182400</v>
      </c>
      <c r="F144" s="63">
        <v>-590.70240000000001</v>
      </c>
      <c r="G144" s="64">
        <v>-1.7475530869584599</v>
      </c>
    </row>
    <row r="145" spans="2:7" x14ac:dyDescent="0.2">
      <c r="B145" s="61" t="s">
        <v>1453</v>
      </c>
      <c r="C145" s="61" t="s">
        <v>1395</v>
      </c>
      <c r="D145" s="61" t="s">
        <v>306</v>
      </c>
      <c r="E145" s="62">
        <v>-64500</v>
      </c>
      <c r="F145" s="63">
        <v>-601.68825000000004</v>
      </c>
      <c r="G145" s="64">
        <v>-1.7800539809456299</v>
      </c>
    </row>
    <row r="146" spans="2:7" x14ac:dyDescent="0.2">
      <c r="B146" s="61" t="s">
        <v>1454</v>
      </c>
      <c r="C146" s="61" t="s">
        <v>1395</v>
      </c>
      <c r="D146" s="61" t="s">
        <v>569</v>
      </c>
      <c r="E146" s="62">
        <v>-97560</v>
      </c>
      <c r="F146" s="63">
        <v>-689.31017999999995</v>
      </c>
      <c r="G146" s="64">
        <v>-2.0392775328674699</v>
      </c>
    </row>
    <row r="147" spans="2:7" x14ac:dyDescent="0.2">
      <c r="B147" s="61" t="s">
        <v>1455</v>
      </c>
      <c r="C147" s="61" t="s">
        <v>1395</v>
      </c>
      <c r="D147" s="61" t="s">
        <v>286</v>
      </c>
      <c r="E147" s="62">
        <v>-35150</v>
      </c>
      <c r="F147" s="63">
        <v>-694.00160000000005</v>
      </c>
      <c r="G147" s="64">
        <v>-2.05315678154366</v>
      </c>
    </row>
    <row r="148" spans="2:7" x14ac:dyDescent="0.2">
      <c r="B148" s="61" t="s">
        <v>1456</v>
      </c>
      <c r="C148" s="61" t="s">
        <v>1395</v>
      </c>
      <c r="D148" s="61" t="s">
        <v>275</v>
      </c>
      <c r="E148" s="62">
        <v>-70500</v>
      </c>
      <c r="F148" s="63">
        <v>-763.09199999999998</v>
      </c>
      <c r="G148" s="64">
        <v>-2.2575560556945602</v>
      </c>
    </row>
    <row r="149" spans="2:7" x14ac:dyDescent="0.2">
      <c r="B149" s="61" t="s">
        <v>1457</v>
      </c>
      <c r="C149" s="61" t="s">
        <v>1395</v>
      </c>
      <c r="D149" s="61" t="s">
        <v>289</v>
      </c>
      <c r="E149" s="62">
        <v>-19600</v>
      </c>
      <c r="F149" s="63">
        <v>-772.65160000000003</v>
      </c>
      <c r="G149" s="64">
        <v>-2.2858374855483801</v>
      </c>
    </row>
    <row r="150" spans="2:7" x14ac:dyDescent="0.2">
      <c r="B150" s="61" t="s">
        <v>1458</v>
      </c>
      <c r="C150" s="61" t="s">
        <v>1395</v>
      </c>
      <c r="D150" s="61" t="s">
        <v>467</v>
      </c>
      <c r="E150" s="62">
        <v>-48950</v>
      </c>
      <c r="F150" s="63">
        <v>-773.50789999999995</v>
      </c>
      <c r="G150" s="64">
        <v>-2.2883707911661801</v>
      </c>
    </row>
    <row r="151" spans="2:7" x14ac:dyDescent="0.2">
      <c r="B151" s="61" t="s">
        <v>1459</v>
      </c>
      <c r="C151" s="61" t="s">
        <v>1395</v>
      </c>
      <c r="D151" s="61" t="s">
        <v>301</v>
      </c>
      <c r="E151" s="62">
        <v>-232800</v>
      </c>
      <c r="F151" s="63">
        <v>-816.66240000000005</v>
      </c>
      <c r="G151" s="64">
        <v>-2.4160404598371499</v>
      </c>
    </row>
    <row r="152" spans="2:7" x14ac:dyDescent="0.2">
      <c r="B152" s="61" t="s">
        <v>1460</v>
      </c>
      <c r="C152" s="61" t="s">
        <v>1395</v>
      </c>
      <c r="D152" s="61" t="s">
        <v>275</v>
      </c>
      <c r="E152" s="62">
        <v>-63125</v>
      </c>
      <c r="F152" s="63">
        <v>-866.83249999999998</v>
      </c>
      <c r="G152" s="64">
        <v>-2.56446530647399</v>
      </c>
    </row>
    <row r="153" spans="2:7" x14ac:dyDescent="0.2">
      <c r="B153" s="61" t="s">
        <v>1461</v>
      </c>
      <c r="C153" s="61" t="s">
        <v>1395</v>
      </c>
      <c r="D153" s="61" t="s">
        <v>467</v>
      </c>
      <c r="E153" s="62">
        <v>-139425</v>
      </c>
      <c r="F153" s="63">
        <v>-888.06753749999996</v>
      </c>
      <c r="G153" s="64">
        <v>-2.6272877282803102</v>
      </c>
    </row>
    <row r="154" spans="2:7" x14ac:dyDescent="0.2">
      <c r="B154" s="61" t="s">
        <v>1462</v>
      </c>
      <c r="C154" s="61" t="s">
        <v>1395</v>
      </c>
      <c r="D154" s="61" t="s">
        <v>275</v>
      </c>
      <c r="E154" s="62">
        <v>-272000</v>
      </c>
      <c r="F154" s="63">
        <v>-1115.2</v>
      </c>
      <c r="G154" s="64">
        <v>-3.2992437521433402</v>
      </c>
    </row>
    <row r="155" spans="2:7" x14ac:dyDescent="0.2">
      <c r="B155" s="61" t="s">
        <v>1463</v>
      </c>
      <c r="C155" s="61" t="s">
        <v>1395</v>
      </c>
      <c r="D155" s="61" t="s">
        <v>275</v>
      </c>
      <c r="E155" s="62">
        <v>-98000</v>
      </c>
      <c r="F155" s="63">
        <v>-1334.4659999999999</v>
      </c>
      <c r="G155" s="64">
        <v>-3.9479273788986</v>
      </c>
    </row>
    <row r="156" spans="2:7" x14ac:dyDescent="0.2">
      <c r="B156" s="61" t="s">
        <v>1464</v>
      </c>
      <c r="C156" s="61" t="s">
        <v>1395</v>
      </c>
      <c r="D156" s="61" t="s">
        <v>517</v>
      </c>
      <c r="E156" s="62">
        <v>-56875</v>
      </c>
      <c r="F156" s="63">
        <v>-1438.9375</v>
      </c>
      <c r="G156" s="64">
        <v>-4.2569992437228903</v>
      </c>
    </row>
    <row r="157" spans="2:7" x14ac:dyDescent="0.2">
      <c r="B157" s="61" t="s">
        <v>1465</v>
      </c>
      <c r="C157" s="61" t="s">
        <v>1395</v>
      </c>
      <c r="D157" s="61" t="s">
        <v>280</v>
      </c>
      <c r="E157" s="62">
        <v>-166500</v>
      </c>
      <c r="F157" s="63">
        <v>-2330.1675</v>
      </c>
      <c r="G157" s="64">
        <v>-6.8936429033558797</v>
      </c>
    </row>
    <row r="158" spans="2:7" x14ac:dyDescent="0.2">
      <c r="B158" s="61" t="s">
        <v>1466</v>
      </c>
      <c r="C158" s="61" t="s">
        <v>1395</v>
      </c>
      <c r="D158" s="61" t="s">
        <v>275</v>
      </c>
      <c r="E158" s="62">
        <v>-279400</v>
      </c>
      <c r="F158" s="63">
        <v>-2609.1768999999999</v>
      </c>
      <c r="G158" s="64">
        <v>-7.71907333712495</v>
      </c>
    </row>
    <row r="159" spans="2:7" x14ac:dyDescent="0.2">
      <c r="B159" s="58"/>
      <c r="C159" s="58"/>
      <c r="D159" s="58"/>
      <c r="E159" s="58"/>
      <c r="F159" s="59">
        <f>SUM(F87:F158)</f>
        <v>-23987.808314999995</v>
      </c>
      <c r="G159" s="60">
        <f>SUM(G87:G158)</f>
        <v>-70.96630802625171</v>
      </c>
    </row>
    <row r="161" spans="2:2" x14ac:dyDescent="0.2">
      <c r="B161" s="16" t="s">
        <v>514</v>
      </c>
    </row>
    <row r="166" spans="2:2" x14ac:dyDescent="0.2">
      <c r="B166" s="16" t="s">
        <v>114</v>
      </c>
    </row>
    <row r="184" spans="2:2" x14ac:dyDescent="0.2">
      <c r="B184" s="68" t="s">
        <v>1469</v>
      </c>
    </row>
    <row r="185" spans="2:2" x14ac:dyDescent="0.2">
      <c r="B185" s="69" t="s">
        <v>1479</v>
      </c>
    </row>
  </sheetData>
  <mergeCells count="1">
    <mergeCell ref="B1:C1"/>
  </mergeCells>
  <conditionalFormatting sqref="G1:G3 G5:G287">
    <cfRule type="cellIs" dxfId="0" priority="2" stopIfTrue="1" operator="between">
      <formula>0.009</formula>
      <formula>-0.009</formula>
    </cfRule>
  </conditionalFormatting>
  <hyperlinks>
    <hyperlink ref="A2" location="Index!A1" display="-" xr:uid="{366E31B4-F866-4498-B162-B723FF3CFE37}"/>
  </hyperlinks>
  <pageMargins left="0.7" right="0.7" top="0.75" bottom="0.75" header="0.3" footer="0.3"/>
  <pageSetup paperSize="9" scale="34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29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Index</vt:lpstr>
      <vt:lpstr>JBMMF</vt:lpstr>
      <vt:lpstr>JBOF</vt:lpstr>
      <vt:lpstr>JBLF</vt:lpstr>
      <vt:lpstr>JBN8-13</vt:lpstr>
      <vt:lpstr>JBLOW</vt:lpstr>
      <vt:lpstr>JBSHORT</vt:lpstr>
      <vt:lpstr>JBN50</vt:lpstr>
      <vt:lpstr>JBNNX50</vt:lpstr>
      <vt:lpstr>JBNM150</vt:lpstr>
      <vt:lpstr>JBNS250</vt:lpstr>
      <vt:lpstr>JBFLEXI</vt:lpstr>
      <vt:lpstr>JBARB</vt:lpstr>
      <vt:lpstr>JBARB!Print_Area</vt:lpstr>
      <vt:lpstr>JBFLEXI!Print_Area</vt:lpstr>
      <vt:lpstr>JBLF!Print_Area</vt:lpstr>
      <vt:lpstr>JBLOW!Print_Area</vt:lpstr>
      <vt:lpstr>JBMMF!Print_Area</vt:lpstr>
      <vt:lpstr>'JBN50'!Print_Area</vt:lpstr>
      <vt:lpstr>'JBN8-13'!Print_Area</vt:lpstr>
      <vt:lpstr>JBNM150!Print_Area</vt:lpstr>
      <vt:lpstr>JBNNX50!Print_Area</vt:lpstr>
      <vt:lpstr>JBNS250!Print_Area</vt:lpstr>
      <vt:lpstr>JBOF!Print_Area</vt:lpstr>
      <vt:lpstr>JBSHORT!Print_Area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2026-02-06T09:57:14Z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2026-02-06T09:57:13Z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c0116485-0978-4b0a-9f1f-fae6c3d6539a</vt:lpwstr>
  </property>
  <property fmtid="{D5CDD505-2E9C-101B-9397-08002B2CF9AE}" pid="17" name="MSIP_Label_defa4170-0d19-0005-0004-bc88714345d2_ActionId">
    <vt:lpwstr>8f240ecf-b099-4b91-85e2-0e849915e4ac</vt:lpwstr>
  </property>
  <property fmtid="{D5CDD505-2E9C-101B-9397-08002B2CF9AE}" pid="18" name="MSIP_Label_defa4170-0d19-0005-0004-bc88714345d2_ContentBits">
    <vt:lpwstr>0</vt:lpwstr>
  </property>
  <property fmtid="{D5CDD505-2E9C-101B-9397-08002B2CF9AE}" pid="19" name="MSIP_Label_defa4170-0d19-0005-0004-bc88714345d2_Tag">
    <vt:lpwstr>10, 3, 0, 1</vt:lpwstr>
  </property>
</Properties>
</file>