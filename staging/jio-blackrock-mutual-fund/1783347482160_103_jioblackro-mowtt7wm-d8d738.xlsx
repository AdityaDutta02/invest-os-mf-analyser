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35524597-E15C-40CA-8A2F-A7861B49D960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ARB" sheetId="15" r:id="rId1"/>
  </sheets>
  <definedNames>
    <definedName name="_xlnm.Print_Area" localSheetId="0">JBARB!$B$1:$H$390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15" l="1"/>
  <c r="F193" i="15"/>
  <c r="G100" i="15"/>
  <c r="G96" i="15"/>
  <c r="F96" i="15"/>
  <c r="G91" i="15"/>
  <c r="F91" i="15"/>
  <c r="G82" i="15"/>
  <c r="G85" i="15" s="1"/>
  <c r="F82" i="15"/>
  <c r="F85" i="15" s="1"/>
  <c r="F101" i="15" l="1"/>
  <c r="G101" i="15"/>
  <c r="F92" i="15"/>
  <c r="G92" i="15"/>
</calcChain>
</file>

<file path=xl/sharedStrings.xml><?xml version="1.0" encoding="utf-8"?>
<sst xmlns="http://schemas.openxmlformats.org/spreadsheetml/2006/main" count="780" uniqueCount="360">
  <si>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</si>
  <si>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</si>
  <si>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</si>
  <si>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</si>
  <si>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</si>
  <si>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</si>
  <si>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</si>
  <si>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Arbitrage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</si>
  <si>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</si>
  <si>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</si>
  <si>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</si>
  <si>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</si>
  <si>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</si>
  <si>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</si>
  <si>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</si>
  <si>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</si>
  <si>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</si>
  <si>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</si>
  <si>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</si>
  <si>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</si>
  <si>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Mahindra &amp; Mahindra Ltd</t>
  </si>
  <si>
    <t>INE101A01026</t>
  </si>
  <si>
    <t>Automobiles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</si>
  <si>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</si>
  <si>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</si>
  <si>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</si>
  <si>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</si>
  <si>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</si>
  <si>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</si>
  <si>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NTPC Ltd</t>
  </si>
  <si>
    <t>INE733E01010</t>
  </si>
  <si>
    <t>Power</t>
  </si>
  <si>
    <t>Britannia Industries Ltd</t>
  </si>
  <si>
    <t>INE216A01030</t>
  </si>
  <si>
    <t>Food Products</t>
  </si>
  <si>
    <t>Indian Oil Corporation Ltd</t>
  </si>
  <si>
    <t>INE242A01010</t>
  </si>
  <si>
    <t>ITC Ltd</t>
  </si>
  <si>
    <t>INE154A01025</t>
  </si>
  <si>
    <t>Diversified FMCG</t>
  </si>
  <si>
    <t>Ferrous Metals</t>
  </si>
  <si>
    <t>Nestle India Ltd</t>
  </si>
  <si>
    <t>INE239A01024</t>
  </si>
  <si>
    <t>Axis Bank Ltd</t>
  </si>
  <si>
    <t>INE238A01034</t>
  </si>
  <si>
    <t>Multi Commodity Exchange Of India Ltd</t>
  </si>
  <si>
    <t>INE745G01043</t>
  </si>
  <si>
    <t>Capital Markets</t>
  </si>
  <si>
    <t>Kotak Mahindra Bank Ltd</t>
  </si>
  <si>
    <t>INE237A01036</t>
  </si>
  <si>
    <t>Eternal Ltd</t>
  </si>
  <si>
    <t>INE758T01015</t>
  </si>
  <si>
    <t>Retailing</t>
  </si>
  <si>
    <t>Titan Co Ltd</t>
  </si>
  <si>
    <t>INE280A01028</t>
  </si>
  <si>
    <t>Consumer Durables</t>
  </si>
  <si>
    <t>Federal Bank Ltd</t>
  </si>
  <si>
    <t>INE171A01029</t>
  </si>
  <si>
    <t>Sun Pharmaceutical Industries Ltd</t>
  </si>
  <si>
    <t>INE044A01036</t>
  </si>
  <si>
    <t>Pharmaceuticals &amp; Biotechnology</t>
  </si>
  <si>
    <t>Oil &amp; Natural Gas Corporation Ltd</t>
  </si>
  <si>
    <t>INE213A01029</t>
  </si>
  <si>
    <t>Oil</t>
  </si>
  <si>
    <t>Insurance</t>
  </si>
  <si>
    <t>Yes Bank Ltd</t>
  </si>
  <si>
    <t>INE528G01035</t>
  </si>
  <si>
    <t>Max Financial Services Ltd</t>
  </si>
  <si>
    <t>INE180A01020</t>
  </si>
  <si>
    <t>JSW Steel Ltd</t>
  </si>
  <si>
    <t>INE019A01038</t>
  </si>
  <si>
    <t>Ultratech Cement Ltd</t>
  </si>
  <si>
    <t>INE481G01011</t>
  </si>
  <si>
    <t>Cement &amp; Cement Products</t>
  </si>
  <si>
    <t>Bharat Petroleum Corporation Ltd</t>
  </si>
  <si>
    <t>INE029A01011</t>
  </si>
  <si>
    <t>Metals &amp; Minerals Trading</t>
  </si>
  <si>
    <t>Power Grid Corporation of India Ltd</t>
  </si>
  <si>
    <t>INE752E01010</t>
  </si>
  <si>
    <t>Steel Authority of India Ltd</t>
  </si>
  <si>
    <t>INE114A01011</t>
  </si>
  <si>
    <t>Asian Paints Ltd</t>
  </si>
  <si>
    <t>INE021A01026</t>
  </si>
  <si>
    <t>Adani Enterprises Ltd</t>
  </si>
  <si>
    <t>INE423A01024</t>
  </si>
  <si>
    <t>Eicher Motors Ltd</t>
  </si>
  <si>
    <t>INE066A01021</t>
  </si>
  <si>
    <t>Laurus Labs Ltd</t>
  </si>
  <si>
    <t>INE947Q01028</t>
  </si>
  <si>
    <t>Finance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</si>
  <si>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</si>
  <si>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</si>
  <si>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</si>
  <si>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</si>
  <si>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</si>
  <si>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</si>
  <si>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</si>
  <si>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</si>
  <si>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</si>
  <si>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</si>
  <si>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</si>
  <si>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</si>
  <si>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</si>
  <si>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Notes</t>
  </si>
  <si>
    <t xml:space="preserve">Scheme Risk-O-Meter </t>
  </si>
  <si>
    <t>Money Market Instruments</t>
  </si>
  <si>
    <t>Certificate of Deposit</t>
  </si>
  <si>
    <t>CRISIL A1+</t>
  </si>
  <si>
    <t>ICICI Bank Ltd (29-Jun-2026) **</t>
  </si>
  <si>
    <t>INE090AD6329</t>
  </si>
  <si>
    <t>Nil</t>
  </si>
  <si>
    <t>Bajaj Finance Ltd</t>
  </si>
  <si>
    <t>INE296A01032</t>
  </si>
  <si>
    <t>Maruti Suzuki India Ltd</t>
  </si>
  <si>
    <t>INE585B01010</t>
  </si>
  <si>
    <t>Bharat Electronics Ltd</t>
  </si>
  <si>
    <t>INE263A01024</t>
  </si>
  <si>
    <t>Aerospace &amp; Defense</t>
  </si>
  <si>
    <t>Hindalco Industries Ltd</t>
  </si>
  <si>
    <t>INE038A01020</t>
  </si>
  <si>
    <t>Non - Ferrous Metals</t>
  </si>
  <si>
    <t>Shriram Finance Ltd</t>
  </si>
  <si>
    <t>INE721A01047</t>
  </si>
  <si>
    <t>Adani Ports and Special Economic Zone Ltd</t>
  </si>
  <si>
    <t>INE742F01042</t>
  </si>
  <si>
    <t>Transport Infrastructure</t>
  </si>
  <si>
    <t>Grasim Industries Ltd</t>
  </si>
  <si>
    <t>INE047A01021</t>
  </si>
  <si>
    <t>Bajaj Finserv Ltd</t>
  </si>
  <si>
    <t>INE918I01026</t>
  </si>
  <si>
    <t>Jio Financial Services Ltd</t>
  </si>
  <si>
    <t>INE758E01017</t>
  </si>
  <si>
    <t>Healthcare Services</t>
  </si>
  <si>
    <t>Max Healthcare Institute Ltd</t>
  </si>
  <si>
    <t>INE027H01010</t>
  </si>
  <si>
    <t>Cipla Ltd</t>
  </si>
  <si>
    <t>INE059A01026</t>
  </si>
  <si>
    <t>Tata Motors Passenger Vehicles Ltd</t>
  </si>
  <si>
    <t>INE155A01022</t>
  </si>
  <si>
    <t>HDFC Life Insurance Co Ltd</t>
  </si>
  <si>
    <t>INE795G01014</t>
  </si>
  <si>
    <t>Hindustan Aeronautics Ltd</t>
  </si>
  <si>
    <t>INE066F01020</t>
  </si>
  <si>
    <t>TVS Motor Co Ltd</t>
  </si>
  <si>
    <t>INE494B01023</t>
  </si>
  <si>
    <t>Tata Power Co Ltd</t>
  </si>
  <si>
    <t>INE245A01021</t>
  </si>
  <si>
    <t>Power Finance Corporation Ltd</t>
  </si>
  <si>
    <t>INE134E01011</t>
  </si>
  <si>
    <t>Indian Hotels Co Ltd</t>
  </si>
  <si>
    <t>INE053A01029</t>
  </si>
  <si>
    <t>Leisure Services</t>
  </si>
  <si>
    <t>Electrical Equipment</t>
  </si>
  <si>
    <t>HDFC Asset Management Co Ltd</t>
  </si>
  <si>
    <t>INE127D01025</t>
  </si>
  <si>
    <t>Bank of Baroda</t>
  </si>
  <si>
    <t>INE028A01039</t>
  </si>
  <si>
    <t>Canara Bank</t>
  </si>
  <si>
    <t>INE476A01022</t>
  </si>
  <si>
    <t>GAIL (India) Ltd</t>
  </si>
  <si>
    <t>INE129A01019</t>
  </si>
  <si>
    <t>Gas</t>
  </si>
  <si>
    <t>Godrej Consumer Products Ltd</t>
  </si>
  <si>
    <t>INE102D01028</t>
  </si>
  <si>
    <t>Personal Products</t>
  </si>
  <si>
    <t>Punjab National Bank</t>
  </si>
  <si>
    <t>INE160A01022</t>
  </si>
  <si>
    <t>DLF Ltd</t>
  </si>
  <si>
    <t>INE271C01023</t>
  </si>
  <si>
    <t>Realty</t>
  </si>
  <si>
    <t>Ambuja Cements Ltd</t>
  </si>
  <si>
    <t>INE079A01024</t>
  </si>
  <si>
    <t>Lodha Developers Ltd</t>
  </si>
  <si>
    <t>INE670K01029</t>
  </si>
  <si>
    <t>IndusInd Bank Ltd</t>
  </si>
  <si>
    <t>INE095A01012</t>
  </si>
  <si>
    <t>AU Small Finance Bank Ltd</t>
  </si>
  <si>
    <t>INE949L01017</t>
  </si>
  <si>
    <t>PB Fintech Ltd</t>
  </si>
  <si>
    <t>INE417T01026</t>
  </si>
  <si>
    <t>Financial Technology (Fintech)</t>
  </si>
  <si>
    <t>Bharat Heavy Electricals Ltd</t>
  </si>
  <si>
    <t>INE257A01026</t>
  </si>
  <si>
    <t>IDFC First Bank Ltd</t>
  </si>
  <si>
    <t>INE092T01019</t>
  </si>
  <si>
    <t>Info Edge (India) Ltd</t>
  </si>
  <si>
    <t>INE663F01032</t>
  </si>
  <si>
    <t>UPL Ltd</t>
  </si>
  <si>
    <t>INE628A01036</t>
  </si>
  <si>
    <t>Fertilizers &amp; Agrochemicals</t>
  </si>
  <si>
    <t>Vodafone Idea Ltd</t>
  </si>
  <si>
    <t>INE669E01016</t>
  </si>
  <si>
    <t>Godrej Properties Ltd</t>
  </si>
  <si>
    <t>INE484J01027</t>
  </si>
  <si>
    <t>Oil India Ltd</t>
  </si>
  <si>
    <t>INE274J01014</t>
  </si>
  <si>
    <t>Dabur India Ltd</t>
  </si>
  <si>
    <t>INE016A01026</t>
  </si>
  <si>
    <t>Prestige Estates Projects Ltd</t>
  </si>
  <si>
    <t>INE811K01011</t>
  </si>
  <si>
    <t>ICICI Prudential Life Insurance Co Ltd</t>
  </si>
  <si>
    <t>INE726G01019</t>
  </si>
  <si>
    <t>LIC Housing Finance Ltd</t>
  </si>
  <si>
    <t>INE115A01026</t>
  </si>
  <si>
    <t>Dalmia Bharat Ltd</t>
  </si>
  <si>
    <t>INE00R701025</t>
  </si>
  <si>
    <t>Crompton Greaves Consumer Electricals Ltd</t>
  </si>
  <si>
    <t>INE299U01018</t>
  </si>
  <si>
    <t>NBCC (India) Ltd</t>
  </si>
  <si>
    <t>INE095N01031</t>
  </si>
  <si>
    <t>Canara Bank (15-Jun-2026)</t>
  </si>
  <si>
    <t>INE476A16F52</t>
  </si>
  <si>
    <t>Punjab National Bank (15-Sep-2026)</t>
  </si>
  <si>
    <t>INE160A16UT0</t>
  </si>
  <si>
    <t>Canara Bank (28-Jan-2027) **</t>
  </si>
  <si>
    <t>INE476A16G28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</si>
  <si>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</si>
  <si>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</si>
  <si>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</si>
  <si>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</si>
  <si>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</si>
  <si>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26-MAY-26</t>
  </si>
  <si>
    <t>Short</t>
  </si>
  <si>
    <t>TVS MOTOR CO LTD FUT 26-MAY-26</t>
  </si>
  <si>
    <t>MARUTI SUZUKI INDIA LTD FUT 30-JUN-26</t>
  </si>
  <si>
    <t>OIL INDIA LTD FUT 26-MAY-26</t>
  </si>
  <si>
    <t>HINDALCO INDUSTRIES LTD FUT 26-MAY-26</t>
  </si>
  <si>
    <t>UPL LTD FUT 26-MAY-26</t>
  </si>
  <si>
    <t>DABUR INDIA LTD FUT 26-MAY-26</t>
  </si>
  <si>
    <t>ICICI PRU LIFE INS CO LTD FUT 26-MAY-26</t>
  </si>
  <si>
    <t>GAIL INDIA LTD FUT 26-MAY-26</t>
  </si>
  <si>
    <t>GODREJ CONSUMER PROD LTD FUT 26-MAY-26</t>
  </si>
  <si>
    <t>ETERNAL LTD FUT 26-MAY-26</t>
  </si>
  <si>
    <t>M&amp;M LTD FUT 26-MAY-26</t>
  </si>
  <si>
    <t>INDUSIND BANK LTD FUT 26-MAY-26</t>
  </si>
  <si>
    <t>EICHER MOTORS LTD FUT 26-MAY-26</t>
  </si>
  <si>
    <t>HDFC AMC LTD FUT 26-MAY-26</t>
  </si>
  <si>
    <t>ULTRA TECH CEMENT LTD FUT 30-JUN-26</t>
  </si>
  <si>
    <t>ADANI PORTS AND SP ECO FUT 26-MAY-26</t>
  </si>
  <si>
    <t>INFO EDGE (INDIA) LTD FUT 26-MAY-26</t>
  </si>
  <si>
    <t>NESTLE INDIA LTD FUT 26-MAY-26</t>
  </si>
  <si>
    <t>VODAFONE IDEA LTD FUT 30-JUN-26</t>
  </si>
  <si>
    <t>DALMIA BHARAT LTD FUT 26-MAY-26</t>
  </si>
  <si>
    <t>PB FINTECH LTD FUT 26-MAY-26</t>
  </si>
  <si>
    <t>AMBUJA CEMENTS LTD FUT 26-MAY-26</t>
  </si>
  <si>
    <t>BRITANNIA INDUSTRIES LTD FUT 26-MAY-26</t>
  </si>
  <si>
    <t>TATA POWER CO LTD FUT 26-MAY-26</t>
  </si>
  <si>
    <t>ULTRA TECH CEMENT LTD FUT 26-MAY-26</t>
  </si>
  <si>
    <t>CIPLA LTD FUT 26-MAY-26</t>
  </si>
  <si>
    <t>BAJAJ FINSERV LTD FUT 26-MAY-26</t>
  </si>
  <si>
    <t>SUN PHARMA IND LTD FUT 26-MAY-26</t>
  </si>
  <si>
    <t>ASIAN PAINTS LTD FUT 26-MAY-26</t>
  </si>
  <si>
    <t>M&amp;M LTD FUT 30-JUN-26</t>
  </si>
  <si>
    <t>CROMPT GREA CON ELEC LTD FUT 26-MAY-26</t>
  </si>
  <si>
    <t>LARSEN AND TOUBRO LTD FUT 26-MAY-26</t>
  </si>
  <si>
    <t>HINDUSTAN AERONAUTICS LTD FUT 26-MAY-26</t>
  </si>
  <si>
    <t>TITAN CO LTD FUT 26-MAY-26</t>
  </si>
  <si>
    <t>ONGC LTD FUT 26-MAY-26</t>
  </si>
  <si>
    <t>INDIAN HOTELS CO LTD FUT 26-MAY-26</t>
  </si>
  <si>
    <t>BAJAJ FINANCE LTD FUT 30-JUN-26</t>
  </si>
  <si>
    <t>SHRIRAM FINANCE LTD FUT 26-MAY-26</t>
  </si>
  <si>
    <t>YES BANK LTD FUT 30-JUN-26</t>
  </si>
  <si>
    <t>PGC LTD FUT 26-MAY-26</t>
  </si>
  <si>
    <t>PFC LTD FUT 26-MAY-26</t>
  </si>
  <si>
    <t>STEEL AUTHOR OF IND LTD FUT 26-MAY-26</t>
  </si>
  <si>
    <t>FEDERAL BANK LTD FUT 26-MAY-26</t>
  </si>
  <si>
    <t>INDIAN OIL CORP LTD FUT 26-MAY-26</t>
  </si>
  <si>
    <t>HDFC LIFE INSURANCE COLTD FUT 26-MAY-26</t>
  </si>
  <si>
    <t>PUNJAB NATIONAL BANK FUT 26-MAY-26</t>
  </si>
  <si>
    <t>GRASIM INDUSTRIES LTD FUT 26-MAY-26</t>
  </si>
  <si>
    <t>LIC HOUSING FIN LTD FUT 26-MAY-26</t>
  </si>
  <si>
    <t>BHARTI AIRTEL LTD FUT 30-JUN-26</t>
  </si>
  <si>
    <t>DLF LTD FUT 26-MAY-26</t>
  </si>
  <si>
    <t>NBCC (INDIA) LTD FUT 26-MAY-26</t>
  </si>
  <si>
    <t>LAURUS LABS LTD FUT 26-MAY-26</t>
  </si>
  <si>
    <t>AXIS BANK LTD FUT 26-MAY-26</t>
  </si>
  <si>
    <t>NTPC LTD FUT 26-MAY-26</t>
  </si>
  <si>
    <t>IDFC FIRST BANK LTD FUT 26-MAY-26</t>
  </si>
  <si>
    <t>MARUTI SUZUKI INDIA LTD FUT 26-MAY-26</t>
  </si>
  <si>
    <t>GODREJ PROPERTIES LTD FUT 26-MAY-26</t>
  </si>
  <si>
    <t>BAJAJ FINANCE LTD FUT 26-MAY-26</t>
  </si>
  <si>
    <t>ICICI BANK LTD FUT 30-JUN-26</t>
  </si>
  <si>
    <t>JIO FINANC SERVICES LTD FUT 26-MAY-26</t>
  </si>
  <si>
    <t>MAX FINANCIAL SERVICES FUT 26-MAY-26</t>
  </si>
  <si>
    <t>VODAFONE IDEA LTD FUT 26-MAY-26</t>
  </si>
  <si>
    <t>TATA MOTORS PASS VEHICLES FUT 26-MAY-26</t>
  </si>
  <si>
    <t>AXIS BANK LTD FUT 30-JUN-26</t>
  </si>
  <si>
    <t>JSW STEEL LTD FUT 26-MAY-26</t>
  </si>
  <si>
    <t>BANK OF BARODA FUT 26-MAY-26</t>
  </si>
  <si>
    <t>BHARAT ELECTRONICS LTD FUT 26-MAY-26</t>
  </si>
  <si>
    <t>RELIANCE INDUSTRIES LTD FUT 30-JUN-26</t>
  </si>
  <si>
    <t>STATE BANK OF INDIA FUT 26-MAY-26</t>
  </si>
  <si>
    <t>BHARAT HEAVY ELECT LTD FUT 26-MAY-26</t>
  </si>
  <si>
    <t>AU SMALL FINANCE BANK LTD FUT 26-MAY-26</t>
  </si>
  <si>
    <t>YES BANK LTD FUT 26-MAY-26</t>
  </si>
  <si>
    <t>KOTAK BANK LTD FUT 26-MAY-26</t>
  </si>
  <si>
    <t>CANARA BANK FUT 26-MAY-26</t>
  </si>
  <si>
    <t>BHARAT PETROLEUM CORP LTD FUT 26-MAY-26</t>
  </si>
  <si>
    <t>KOTAK BANK LTD FUT 30-JUN-26</t>
  </si>
  <si>
    <t>ITC LTD FUT 26-MAY-26</t>
  </si>
  <si>
    <t>PRESTIGE ESTATES PROJECTS FUT 26-MAY-26</t>
  </si>
  <si>
    <t>MULTI COMMODITY EXC OF IND 26-MAY-26</t>
  </si>
  <si>
    <t>BHARTI AIRTEL LTD FUT 26-MAY-26</t>
  </si>
  <si>
    <t>RELIANCE INDUSTRIES LTD FUT 26-MAY-26</t>
  </si>
  <si>
    <t>ICICI BANK LTD FUT 26-MAY-26</t>
  </si>
  <si>
    <t>HDFC BANK LTD FUT 26-MAY-26</t>
  </si>
  <si>
    <t>ADANI ENTERPRISES LTD FUT 26-MAY-26</t>
  </si>
  <si>
    <t>Industry Classification / Rating</t>
  </si>
  <si>
    <t>** Non- Traded Security</t>
  </si>
  <si>
    <t>Benchmark Risk-O-Meter</t>
  </si>
  <si>
    <t>Benchmark Name - Nifty 50 Arbitrage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</si>
  <si>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</si>
  <si>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</si>
  <si>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</si>
  <si>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</si>
  <si>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</si>
  <si>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</si>
  <si>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</si>
  <si>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</si>
  <si>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Underlying</t>
  </si>
  <si>
    <t>Long/Short</t>
  </si>
  <si>
    <t>Futures Price When purchased</t>
  </si>
  <si>
    <t>Current price of the contract</t>
  </si>
  <si>
    <t>Margin maintained
in Rs. Lakhs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</si>
  <si>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</si>
  <si>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</si>
  <si>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</si>
  <si>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</si>
  <si>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</si>
  <si>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</si>
  <si>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</si>
  <si>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</si>
  <si>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</si>
  <si>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</si>
  <si>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</si>
  <si>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</si>
  <si>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</si>
  <si>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</si>
  <si>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</si>
  <si>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</si>
  <si>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</si>
  <si>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</si>
  <si>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</si>
  <si>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</si>
  <si>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Total exposure due to futures (non hedging positions) as a percentage of net assets: : Nil</t>
  </si>
  <si>
    <t>e) Hedging positions through Swaps as on April 30, 2026  - Nil</t>
  </si>
  <si>
    <t>(5) Exposure to Derivative Instruments as on April 30, 2026:</t>
  </si>
  <si>
    <t>b) Other than Hedging Positions through Futures as on April 30, 2026 is :</t>
  </si>
  <si>
    <t>c) Hedging positions through Put options as on April 30, 2026</t>
  </si>
  <si>
    <t>d) Other than hedging positions through options as on April 30, 2026</t>
  </si>
  <si>
    <t>For the period ended April 30, 2026, following details specified for non-hedging transactions through options which have already been exercised/ expired:</t>
  </si>
  <si>
    <t>For the Month ended April 30, 2026 following were the non-hedging transactions through futures which have been squared off/expired:</t>
  </si>
  <si>
    <t>For the Month ended April 30, 2026, following details specified for hedging transactions through Put options which have already been exercised/ expired:</t>
  </si>
  <si>
    <t xml:space="preserve"> a) Hedging Positions through Futures as on April 30, 2026:</t>
  </si>
  <si>
    <t>LODHA DEVELOPERS LTD FUT 26-MAY-26</t>
  </si>
  <si>
    <t>MACROTECH DEVELOPERS LTD FUT 26-MAY-26</t>
  </si>
  <si>
    <t>Total percentage of existing assets hedged through futures: -66.47%</t>
  </si>
  <si>
    <t>For the Month ended April 30, 2026 following were the hedging transactions through futures which have been squared off/expired:</t>
  </si>
  <si>
    <t>(4) There was no distribution (of income and capital) during the Month ended April 30, 2026.</t>
  </si>
  <si>
    <t>(7) During the period, the portfolio turnover ratio is 4.25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</si>
</sst>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#,##0.00%"/>
    <numFmt numFmtId="166" formatCode="#,##0;\(#,##0.\)"/>
    <numFmt numFmtId="169" formatCode="#,##0.0000_ ;\-#,##0.0000\ "/>
    <numFmt numFmtId="170" formatCode="_(* #,##0.000_);_(* \(#,##0.000\);_(* &quot;-&quot;??_);_(@_)"/>
    <numFmt numFmtId="171" formatCode="_ * #,##0.000_ ;_ * \-#,##0.0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1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43" fontId="12" fillId="3" borderId="0" xfId="2" applyFont="1" applyFill="1" applyAlignment="1">
      <alignment horizontal="justify" vertical="center"/>
    </xf>
    <xf numFmtId="2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169" fontId="12" fillId="3" borderId="0" xfId="0" applyNumberFormat="1" applyFont="1" applyFill="1" applyAlignment="1">
      <alignment horizontal="center" vertical="top"/>
    </xf>
    <xf numFmtId="3" fontId="12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vertical="center" wrapText="1"/>
    </xf>
    <xf numFmtId="43" fontId="12" fillId="0" borderId="13" xfId="2" applyFont="1" applyBorder="1" applyAlignment="1">
      <alignment horizontal="center" vertical="center" wrapText="1"/>
    </xf>
    <xf numFmtId="43" fontId="12" fillId="0" borderId="11" xfId="2" applyFont="1" applyBorder="1" applyAlignment="1">
      <alignment horizontal="center" vertical="center" wrapText="1"/>
    </xf>
    <xf numFmtId="0" fontId="12" fillId="0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3" borderId="1" xfId="0" applyNumberFormat="1" applyFont="1" applyFill="1" applyBorder="1" applyAlignment="1">
      <alignment vertical="center" wrapText="1"/>
    </xf>
    <xf numFmtId="39" fontId="6" fillId="0" borderId="6" xfId="0" applyNumberFormat="1" applyFont="1" applyFill="1" applyBorder="1"/>
    <xf numFmtId="3" fontId="12" fillId="0" borderId="12" xfId="0" applyNumberFormat="1" applyFont="1" applyFill="1" applyBorder="1" applyAlignment="1">
      <alignment horizontal="center" vertical="center"/>
    </xf>
    <xf numFmtId="4" fontId="12" fillId="0" borderId="12" xfId="0" applyNumberFormat="1" applyFont="1" applyFill="1" applyBorder="1" applyAlignment="1">
      <alignment horizontal="center" vertical="center"/>
    </xf>
    <xf numFmtId="171" fontId="6" fillId="2" borderId="0" xfId="0" applyNumberFormat="1" applyFont="1" applyFill="1"/>
    <xf numFmtId="0" fontId="12" fillId="0" borderId="12" xfId="0" applyFont="1" applyFill="1" applyBorder="1" applyAlignment="1">
      <alignment horizontal="center" vertical="center"/>
    </xf>
    <xf numFmtId="43" fontId="12" fillId="0" borderId="11" xfId="2" applyFont="1" applyFill="1" applyBorder="1" applyAlignment="1">
      <alignment horizontal="center" vertical="center"/>
    </xf>
    <xf numFmtId="170" fontId="12" fillId="0" borderId="11" xfId="0" applyNumberFormat="1" applyFont="1" applyFill="1" applyBorder="1" applyAlignment="1">
      <alignment vertical="center"/>
    </xf>
    <xf numFmtId="0" fontId="12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3" fontId="12" fillId="3" borderId="10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43" fontId="12" fillId="0" borderId="8" xfId="2" applyFont="1" applyBorder="1" applyAlignment="1">
      <alignment horizontal="center" vertical="center" wrapText="1"/>
    </xf>
    <xf numFmtId="43" fontId="12" fillId="0" borderId="11" xfId="2" applyFont="1" applyBorder="1" applyAlignment="1">
      <alignment horizontal="center" vertical="center" wrapText="1"/>
    </xf>
    <xf numFmtId="3" fontId="12" fillId="3" borderId="3" xfId="0" applyNumberFormat="1" applyFont="1" applyFill="1" applyBorder="1" applyAlignment="1">
      <alignment horizontal="center" vertical="center"/>
    </xf>
    <xf numFmtId="3" fontId="12" fillId="3" borderId="2" xfId="0" applyNumberFormat="1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352</xdr:row>
      <xdr:rowOff>47625</xdr:rowOff>
    </xdr:from>
    <xdr:to>
      <xdr:col>3</xdr:col>
      <xdr:colOff>63500</xdr:colOff>
      <xdr:row>368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5A464-21F2-4625-871F-2F91828C9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23002875"/>
          <a:ext cx="471805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371</xdr:row>
      <xdr:rowOff>85725</xdr:rowOff>
    </xdr:from>
    <xdr:to>
      <xdr:col>3</xdr:col>
      <xdr:colOff>127000</xdr:colOff>
      <xdr:row>388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8B6B4-C0AF-42B6-BD60-3BCADE49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25466675"/>
          <a:ext cx="513397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018D-F996-4985-87EC-228F1CB35C71}">
  <dimension ref="A1:I371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19.453125" style="6" customWidth="1"/>
    <col min="4" max="4" width="24.26953125" style="6" bestFit="1" customWidth="1"/>
    <col min="5" max="5" width="16.81640625" style="6" customWidth="1"/>
    <col min="6" max="6" width="22.81640625" style="8" bestFit="1" customWidth="1"/>
    <col min="7" max="7" width="14" style="10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105" t="s">
        <v>7</v>
      </c>
      <c r="C1" s="106"/>
      <c r="D1" s="9"/>
      <c r="F1" s="5"/>
      <c r="G1" s="10"/>
    </row>
    <row r="2" spans="1:8" s="1" customFormat="1" ht="14.5" x14ac:dyDescent="0.35">
      <c r="A2" s="47" t="s">
        <v>311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307</v>
      </c>
      <c r="E4" s="14" t="s">
        <v>0</v>
      </c>
      <c r="F4" s="15" t="s">
        <v>1</v>
      </c>
      <c r="G4" s="16" t="s">
        <v>2</v>
      </c>
      <c r="H4" s="46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26</v>
      </c>
      <c r="C7" s="18" t="s">
        <v>27</v>
      </c>
      <c r="D7" s="18" t="s">
        <v>28</v>
      </c>
      <c r="E7" s="21">
        <v>190500</v>
      </c>
      <c r="F7" s="19">
        <v>2725.674</v>
      </c>
      <c r="G7" s="20">
        <v>5.7156949402286399</v>
      </c>
      <c r="H7" s="22"/>
    </row>
    <row r="8" spans="1:8" x14ac:dyDescent="0.2">
      <c r="B8" s="18" t="s">
        <v>13</v>
      </c>
      <c r="C8" s="18" t="s">
        <v>14</v>
      </c>
      <c r="D8" s="18" t="s">
        <v>12</v>
      </c>
      <c r="E8" s="21">
        <v>203700</v>
      </c>
      <c r="F8" s="19">
        <v>2573.5457999999999</v>
      </c>
      <c r="G8" s="20">
        <v>5.3966845292234797</v>
      </c>
      <c r="H8" s="22"/>
    </row>
    <row r="9" spans="1:8" x14ac:dyDescent="0.2">
      <c r="B9" s="18" t="s">
        <v>83</v>
      </c>
      <c r="C9" s="18" t="s">
        <v>84</v>
      </c>
      <c r="D9" s="18" t="s">
        <v>76</v>
      </c>
      <c r="E9" s="21">
        <v>106296</v>
      </c>
      <c r="F9" s="19">
        <v>2560.0328639999998</v>
      </c>
      <c r="G9" s="20">
        <v>5.3683481177807204</v>
      </c>
      <c r="H9" s="22"/>
    </row>
    <row r="10" spans="1:8" x14ac:dyDescent="0.2">
      <c r="B10" s="18" t="s">
        <v>10</v>
      </c>
      <c r="C10" s="18" t="s">
        <v>11</v>
      </c>
      <c r="D10" s="18" t="s">
        <v>12</v>
      </c>
      <c r="E10" s="21">
        <v>314600</v>
      </c>
      <c r="F10" s="19">
        <v>2427.7682</v>
      </c>
      <c r="G10" s="20">
        <v>5.0909912252118197</v>
      </c>
      <c r="H10" s="22"/>
    </row>
    <row r="11" spans="1:8" x14ac:dyDescent="0.2">
      <c r="B11" s="18" t="s">
        <v>15</v>
      </c>
      <c r="C11" s="18" t="s">
        <v>16</v>
      </c>
      <c r="D11" s="18" t="s">
        <v>17</v>
      </c>
      <c r="E11" s="21">
        <v>101175</v>
      </c>
      <c r="F11" s="19">
        <v>1908.9699000000001</v>
      </c>
      <c r="G11" s="20">
        <v>4.0030794579538096</v>
      </c>
      <c r="H11" s="22"/>
    </row>
    <row r="12" spans="1:8" x14ac:dyDescent="0.2">
      <c r="B12" s="18" t="s">
        <v>48</v>
      </c>
      <c r="C12" s="18" t="s">
        <v>49</v>
      </c>
      <c r="D12" s="18" t="s">
        <v>12</v>
      </c>
      <c r="E12" s="21">
        <v>446000</v>
      </c>
      <c r="F12" s="19">
        <v>1709.518</v>
      </c>
      <c r="G12" s="20">
        <v>3.5848320022239601</v>
      </c>
      <c r="H12" s="22"/>
    </row>
    <row r="13" spans="1:8" x14ac:dyDescent="0.2">
      <c r="B13" s="18" t="s">
        <v>45</v>
      </c>
      <c r="C13" s="18" t="s">
        <v>46</v>
      </c>
      <c r="D13" s="18" t="s">
        <v>47</v>
      </c>
      <c r="E13" s="21">
        <v>53125</v>
      </c>
      <c r="F13" s="19">
        <v>1578.609375</v>
      </c>
      <c r="G13" s="20">
        <v>3.31031870182751</v>
      </c>
      <c r="H13" s="22"/>
    </row>
    <row r="14" spans="1:8" x14ac:dyDescent="0.2">
      <c r="B14" s="18" t="s">
        <v>198</v>
      </c>
      <c r="C14" s="18" t="s">
        <v>199</v>
      </c>
      <c r="D14" s="18" t="s">
        <v>169</v>
      </c>
      <c r="E14" s="21">
        <v>95400</v>
      </c>
      <c r="F14" s="19">
        <v>1349.3376000000001</v>
      </c>
      <c r="G14" s="20">
        <v>2.8295394434478398</v>
      </c>
      <c r="H14" s="22"/>
    </row>
    <row r="15" spans="1:8" x14ac:dyDescent="0.2">
      <c r="B15" s="18" t="s">
        <v>37</v>
      </c>
      <c r="C15" s="18" t="s">
        <v>38</v>
      </c>
      <c r="D15" s="18" t="s">
        <v>39</v>
      </c>
      <c r="E15" s="21">
        <v>377600</v>
      </c>
      <c r="F15" s="19">
        <v>1189.0624</v>
      </c>
      <c r="G15" s="20">
        <v>2.4934449032775499</v>
      </c>
      <c r="H15" s="22"/>
    </row>
    <row r="16" spans="1:8" x14ac:dyDescent="0.2">
      <c r="B16" s="18" t="s">
        <v>74</v>
      </c>
      <c r="C16" s="18" t="s">
        <v>75</v>
      </c>
      <c r="D16" s="18" t="s">
        <v>28</v>
      </c>
      <c r="E16" s="21">
        <v>298225</v>
      </c>
      <c r="F16" s="19">
        <v>896.01701249999996</v>
      </c>
      <c r="G16" s="20">
        <v>1.87893339581514</v>
      </c>
      <c r="H16" s="22"/>
    </row>
    <row r="17" spans="2:8" x14ac:dyDescent="0.2">
      <c r="B17" s="18" t="s">
        <v>65</v>
      </c>
      <c r="C17" s="18" t="s">
        <v>66</v>
      </c>
      <c r="D17" s="18" t="s">
        <v>12</v>
      </c>
      <c r="E17" s="21">
        <v>4105200</v>
      </c>
      <c r="F17" s="19">
        <v>818.16636000000005</v>
      </c>
      <c r="G17" s="20">
        <v>1.7156818181914999</v>
      </c>
      <c r="H17" s="22"/>
    </row>
    <row r="18" spans="2:8" x14ac:dyDescent="0.2">
      <c r="B18" s="18" t="s">
        <v>157</v>
      </c>
      <c r="C18" s="18" t="s">
        <v>158</v>
      </c>
      <c r="D18" s="18" t="s">
        <v>12</v>
      </c>
      <c r="E18" s="21">
        <v>573750</v>
      </c>
      <c r="F18" s="19">
        <v>772.55437500000005</v>
      </c>
      <c r="G18" s="20">
        <v>1.62003421254303</v>
      </c>
      <c r="H18" s="22"/>
    </row>
    <row r="19" spans="2:8" x14ac:dyDescent="0.2">
      <c r="B19" s="18" t="s">
        <v>176</v>
      </c>
      <c r="C19" s="18" t="s">
        <v>177</v>
      </c>
      <c r="D19" s="18" t="s">
        <v>12</v>
      </c>
      <c r="E19" s="21">
        <v>69000</v>
      </c>
      <c r="F19" s="19">
        <v>701.00549999999998</v>
      </c>
      <c r="G19" s="20">
        <v>1.4699973619084501</v>
      </c>
      <c r="H19" s="22"/>
    </row>
    <row r="20" spans="2:8" x14ac:dyDescent="0.2">
      <c r="B20" s="18" t="s">
        <v>43</v>
      </c>
      <c r="C20" s="18" t="s">
        <v>44</v>
      </c>
      <c r="D20" s="18" t="s">
        <v>12</v>
      </c>
      <c r="E20" s="21">
        <v>53750</v>
      </c>
      <c r="F20" s="19">
        <v>681.71124999999995</v>
      </c>
      <c r="G20" s="20">
        <v>1.4295376271417399</v>
      </c>
      <c r="H20" s="22"/>
    </row>
    <row r="21" spans="2:8" x14ac:dyDescent="0.2">
      <c r="B21" s="18" t="s">
        <v>181</v>
      </c>
      <c r="C21" s="18" t="s">
        <v>182</v>
      </c>
      <c r="D21" s="18" t="s">
        <v>152</v>
      </c>
      <c r="E21" s="21">
        <v>178500</v>
      </c>
      <c r="F21" s="19">
        <v>629.05184999999994</v>
      </c>
      <c r="G21" s="20">
        <v>1.3191117045495799</v>
      </c>
      <c r="H21" s="22"/>
    </row>
    <row r="22" spans="2:8" x14ac:dyDescent="0.2">
      <c r="B22" s="18" t="s">
        <v>18</v>
      </c>
      <c r="C22" s="18" t="s">
        <v>19</v>
      </c>
      <c r="D22" s="18" t="s">
        <v>12</v>
      </c>
      <c r="E22" s="21">
        <v>58500</v>
      </c>
      <c r="F22" s="19">
        <v>625.04324999999994</v>
      </c>
      <c r="G22" s="20">
        <v>1.31070573423273</v>
      </c>
      <c r="H22" s="22"/>
    </row>
    <row r="23" spans="2:8" x14ac:dyDescent="0.2">
      <c r="B23" s="18" t="s">
        <v>115</v>
      </c>
      <c r="C23" s="18" t="s">
        <v>116</v>
      </c>
      <c r="D23" s="18" t="s">
        <v>117</v>
      </c>
      <c r="E23" s="21">
        <v>125400</v>
      </c>
      <c r="F23" s="19">
        <v>540.85019999999997</v>
      </c>
      <c r="G23" s="20">
        <v>1.13415425012736</v>
      </c>
      <c r="H23" s="22"/>
    </row>
    <row r="24" spans="2:8" x14ac:dyDescent="0.2">
      <c r="B24" s="18" t="s">
        <v>155</v>
      </c>
      <c r="C24" s="18" t="s">
        <v>156</v>
      </c>
      <c r="D24" s="18" t="s">
        <v>12</v>
      </c>
      <c r="E24" s="21">
        <v>201825</v>
      </c>
      <c r="F24" s="19">
        <v>531.72814500000004</v>
      </c>
      <c r="G24" s="20">
        <v>1.1150254461662199</v>
      </c>
      <c r="H24" s="22"/>
    </row>
    <row r="25" spans="2:8" x14ac:dyDescent="0.2">
      <c r="B25" s="18" t="s">
        <v>69</v>
      </c>
      <c r="C25" s="18" t="s">
        <v>70</v>
      </c>
      <c r="D25" s="18" t="s">
        <v>40</v>
      </c>
      <c r="E25" s="21">
        <v>40500</v>
      </c>
      <c r="F25" s="19">
        <v>512.12249999999995</v>
      </c>
      <c r="G25" s="20">
        <v>1.07391272104707</v>
      </c>
      <c r="H25" s="22"/>
    </row>
    <row r="26" spans="2:8" x14ac:dyDescent="0.2">
      <c r="B26" s="18" t="s">
        <v>111</v>
      </c>
      <c r="C26" s="18" t="s">
        <v>112</v>
      </c>
      <c r="D26" s="18" t="s">
        <v>89</v>
      </c>
      <c r="E26" s="21">
        <v>43500</v>
      </c>
      <c r="F26" s="19">
        <v>407.59500000000003</v>
      </c>
      <c r="G26" s="20">
        <v>0.85472021935216502</v>
      </c>
      <c r="H26" s="22"/>
    </row>
    <row r="27" spans="2:8" x14ac:dyDescent="0.2">
      <c r="B27" s="18" t="s">
        <v>190</v>
      </c>
      <c r="C27" s="18" t="s">
        <v>191</v>
      </c>
      <c r="D27" s="18" t="s">
        <v>17</v>
      </c>
      <c r="E27" s="21">
        <v>3931125</v>
      </c>
      <c r="F27" s="19">
        <v>401.76097499999997</v>
      </c>
      <c r="G27" s="20">
        <v>0.84248636190124904</v>
      </c>
      <c r="H27" s="22"/>
    </row>
    <row r="28" spans="2:8" x14ac:dyDescent="0.2">
      <c r="B28" s="18" t="s">
        <v>137</v>
      </c>
      <c r="C28" s="18" t="s">
        <v>138</v>
      </c>
      <c r="D28" s="18" t="s">
        <v>22</v>
      </c>
      <c r="E28" s="21">
        <v>108000</v>
      </c>
      <c r="F28" s="19">
        <v>368.87400000000002</v>
      </c>
      <c r="G28" s="20">
        <v>0.77352289943034302</v>
      </c>
      <c r="H28" s="22"/>
    </row>
    <row r="29" spans="2:8" x14ac:dyDescent="0.2">
      <c r="B29" s="18" t="s">
        <v>67</v>
      </c>
      <c r="C29" s="18" t="s">
        <v>68</v>
      </c>
      <c r="D29" s="18" t="s">
        <v>64</v>
      </c>
      <c r="E29" s="21">
        <v>22400</v>
      </c>
      <c r="F29" s="19">
        <v>355.1968</v>
      </c>
      <c r="G29" s="20">
        <v>0.74484202899737995</v>
      </c>
      <c r="H29" s="22"/>
    </row>
    <row r="30" spans="2:8" x14ac:dyDescent="0.2">
      <c r="B30" s="18" t="s">
        <v>130</v>
      </c>
      <c r="C30" s="18" t="s">
        <v>131</v>
      </c>
      <c r="D30" s="18" t="s">
        <v>89</v>
      </c>
      <c r="E30" s="21">
        <v>138650</v>
      </c>
      <c r="F30" s="19">
        <v>341.59200499999997</v>
      </c>
      <c r="G30" s="20">
        <v>0.716312990695533</v>
      </c>
      <c r="H30" s="22"/>
    </row>
    <row r="31" spans="2:8" x14ac:dyDescent="0.2">
      <c r="B31" s="18" t="s">
        <v>192</v>
      </c>
      <c r="C31" s="18" t="s">
        <v>193</v>
      </c>
      <c r="D31" s="18" t="s">
        <v>169</v>
      </c>
      <c r="E31" s="21">
        <v>15675</v>
      </c>
      <c r="F31" s="19">
        <v>287.66759999999999</v>
      </c>
      <c r="G31" s="20">
        <v>0.60323437277815195</v>
      </c>
      <c r="H31" s="22"/>
    </row>
    <row r="32" spans="2:8" x14ac:dyDescent="0.2">
      <c r="B32" s="18" t="s">
        <v>113</v>
      </c>
      <c r="C32" s="18" t="s">
        <v>114</v>
      </c>
      <c r="D32" s="18" t="s">
        <v>22</v>
      </c>
      <c r="E32" s="21">
        <v>2050</v>
      </c>
      <c r="F32" s="19">
        <v>272.93700000000001</v>
      </c>
      <c r="G32" s="20">
        <v>0.572344539332725</v>
      </c>
      <c r="H32" s="22"/>
    </row>
    <row r="33" spans="2:8" x14ac:dyDescent="0.2">
      <c r="B33" s="18" t="s">
        <v>183</v>
      </c>
      <c r="C33" s="18" t="s">
        <v>184</v>
      </c>
      <c r="D33" s="18" t="s">
        <v>12</v>
      </c>
      <c r="E33" s="21">
        <v>371000</v>
      </c>
      <c r="F33" s="19">
        <v>258.36439999999999</v>
      </c>
      <c r="G33" s="20">
        <v>0.54178602936932596</v>
      </c>
      <c r="H33" s="22"/>
    </row>
    <row r="34" spans="2:8" x14ac:dyDescent="0.2">
      <c r="B34" s="18" t="s">
        <v>29</v>
      </c>
      <c r="C34" s="18" t="s">
        <v>30</v>
      </c>
      <c r="D34" s="18" t="s">
        <v>31</v>
      </c>
      <c r="E34" s="21">
        <v>64500</v>
      </c>
      <c r="F34" s="19">
        <v>257.45175</v>
      </c>
      <c r="G34" s="20">
        <v>0.53987221686379605</v>
      </c>
      <c r="H34" s="22"/>
    </row>
    <row r="35" spans="2:8" x14ac:dyDescent="0.2">
      <c r="B35" s="18" t="s">
        <v>87</v>
      </c>
      <c r="C35" s="18" t="s">
        <v>88</v>
      </c>
      <c r="D35" s="18" t="s">
        <v>60</v>
      </c>
      <c r="E35" s="21">
        <v>22950</v>
      </c>
      <c r="F35" s="19">
        <v>252.668025</v>
      </c>
      <c r="G35" s="20">
        <v>0.52984082177474801</v>
      </c>
      <c r="H35" s="22"/>
    </row>
    <row r="36" spans="2:8" x14ac:dyDescent="0.2">
      <c r="B36" s="18" t="s">
        <v>208</v>
      </c>
      <c r="C36" s="18" t="s">
        <v>209</v>
      </c>
      <c r="D36" s="18" t="s">
        <v>25</v>
      </c>
      <c r="E36" s="21">
        <v>227500</v>
      </c>
      <c r="F36" s="19">
        <v>208.50375</v>
      </c>
      <c r="G36" s="20">
        <v>0.43722904092481302</v>
      </c>
      <c r="H36" s="22"/>
    </row>
    <row r="37" spans="2:8" x14ac:dyDescent="0.2">
      <c r="B37" s="18" t="s">
        <v>167</v>
      </c>
      <c r="C37" s="18" t="s">
        <v>168</v>
      </c>
      <c r="D37" s="18" t="s">
        <v>169</v>
      </c>
      <c r="E37" s="21">
        <v>35475</v>
      </c>
      <c r="F37" s="19">
        <v>208.23824999999999</v>
      </c>
      <c r="G37" s="20">
        <v>0.43667229165596</v>
      </c>
      <c r="H37" s="22"/>
    </row>
    <row r="38" spans="2:8" x14ac:dyDescent="0.2">
      <c r="B38" s="18" t="s">
        <v>126</v>
      </c>
      <c r="C38" s="18" t="s">
        <v>127</v>
      </c>
      <c r="D38" s="18" t="s">
        <v>73</v>
      </c>
      <c r="E38" s="21">
        <v>6750</v>
      </c>
      <c r="F38" s="19">
        <v>188.62875</v>
      </c>
      <c r="G38" s="20">
        <v>0.39555148266324403</v>
      </c>
      <c r="H38" s="22"/>
    </row>
    <row r="39" spans="2:8" x14ac:dyDescent="0.2">
      <c r="B39" s="18" t="s">
        <v>202</v>
      </c>
      <c r="C39" s="18" t="s">
        <v>203</v>
      </c>
      <c r="D39" s="18" t="s">
        <v>89</v>
      </c>
      <c r="E39" s="21">
        <v>34000</v>
      </c>
      <c r="F39" s="19">
        <v>188.59800000000001</v>
      </c>
      <c r="G39" s="20">
        <v>0.39548700040329199</v>
      </c>
      <c r="H39" s="22"/>
    </row>
    <row r="40" spans="2:8" x14ac:dyDescent="0.2">
      <c r="B40" s="18" t="s">
        <v>165</v>
      </c>
      <c r="C40" s="18" t="s">
        <v>166</v>
      </c>
      <c r="D40" s="18" t="s">
        <v>12</v>
      </c>
      <c r="E40" s="21">
        <v>160000</v>
      </c>
      <c r="F40" s="19">
        <v>174.976</v>
      </c>
      <c r="G40" s="20">
        <v>0.36692188349063298</v>
      </c>
      <c r="H40" s="22"/>
    </row>
    <row r="41" spans="2:8" x14ac:dyDescent="0.2">
      <c r="B41" s="18" t="s">
        <v>139</v>
      </c>
      <c r="C41" s="18" t="s">
        <v>140</v>
      </c>
      <c r="D41" s="18" t="s">
        <v>64</v>
      </c>
      <c r="E41" s="21">
        <v>29700</v>
      </c>
      <c r="F41" s="19">
        <v>174.30930000000001</v>
      </c>
      <c r="G41" s="20">
        <v>0.36552382421551399</v>
      </c>
      <c r="H41" s="22"/>
    </row>
    <row r="42" spans="2:8" x14ac:dyDescent="0.2">
      <c r="B42" s="18" t="s">
        <v>35</v>
      </c>
      <c r="C42" s="18" t="s">
        <v>36</v>
      </c>
      <c r="D42" s="18" t="s">
        <v>28</v>
      </c>
      <c r="E42" s="21">
        <v>112125</v>
      </c>
      <c r="F42" s="19">
        <v>159.49781250000001</v>
      </c>
      <c r="G42" s="20">
        <v>0.33446437097165199</v>
      </c>
      <c r="H42" s="22"/>
    </row>
    <row r="43" spans="2:8" x14ac:dyDescent="0.2">
      <c r="B43" s="18" t="s">
        <v>56</v>
      </c>
      <c r="C43" s="18" t="s">
        <v>57</v>
      </c>
      <c r="D43" s="18" t="s">
        <v>12</v>
      </c>
      <c r="E43" s="21">
        <v>52500</v>
      </c>
      <c r="F43" s="19">
        <v>150.64875000000001</v>
      </c>
      <c r="G43" s="20">
        <v>0.31590802793245598</v>
      </c>
      <c r="H43" s="22"/>
    </row>
    <row r="44" spans="2:8" x14ac:dyDescent="0.2">
      <c r="B44" s="18" t="s">
        <v>79</v>
      </c>
      <c r="C44" s="18" t="s">
        <v>80</v>
      </c>
      <c r="D44" s="18" t="s">
        <v>40</v>
      </c>
      <c r="E44" s="21">
        <v>70500</v>
      </c>
      <c r="F44" s="19">
        <v>130.15710000000001</v>
      </c>
      <c r="G44" s="20">
        <v>0.27293736444814498</v>
      </c>
      <c r="H44" s="22"/>
    </row>
    <row r="45" spans="2:8" x14ac:dyDescent="0.2">
      <c r="B45" s="18" t="s">
        <v>147</v>
      </c>
      <c r="C45" s="18" t="s">
        <v>148</v>
      </c>
      <c r="D45" s="18" t="s">
        <v>89</v>
      </c>
      <c r="E45" s="21">
        <v>27300</v>
      </c>
      <c r="F45" s="19">
        <v>122.4132</v>
      </c>
      <c r="G45" s="20">
        <v>0.25669852955900002</v>
      </c>
      <c r="H45" s="22"/>
    </row>
    <row r="46" spans="2:8" x14ac:dyDescent="0.2">
      <c r="B46" s="18" t="s">
        <v>77</v>
      </c>
      <c r="C46" s="18" t="s">
        <v>78</v>
      </c>
      <c r="D46" s="18" t="s">
        <v>31</v>
      </c>
      <c r="E46" s="21">
        <v>38000</v>
      </c>
      <c r="F46" s="19">
        <v>120.973</v>
      </c>
      <c r="G46" s="20">
        <v>0.25367845311078302</v>
      </c>
      <c r="H46" s="22"/>
    </row>
    <row r="47" spans="2:8" x14ac:dyDescent="0.2">
      <c r="B47" s="18" t="s">
        <v>172</v>
      </c>
      <c r="C47" s="18" t="s">
        <v>173</v>
      </c>
      <c r="D47" s="18" t="s">
        <v>169</v>
      </c>
      <c r="E47" s="21">
        <v>12600</v>
      </c>
      <c r="F47" s="19">
        <v>113.1354</v>
      </c>
      <c r="G47" s="20">
        <v>0.23724313081489001</v>
      </c>
      <c r="H47" s="22"/>
    </row>
    <row r="48" spans="2:8" x14ac:dyDescent="0.2">
      <c r="B48" s="18" t="s">
        <v>121</v>
      </c>
      <c r="C48" s="18" t="s">
        <v>122</v>
      </c>
      <c r="D48" s="18" t="s">
        <v>89</v>
      </c>
      <c r="E48" s="21">
        <v>11550</v>
      </c>
      <c r="F48" s="19">
        <v>108.263925</v>
      </c>
      <c r="G48" s="20">
        <v>0.22702772537427199</v>
      </c>
      <c r="H48" s="22"/>
    </row>
    <row r="49" spans="2:8" x14ac:dyDescent="0.2">
      <c r="B49" s="18" t="s">
        <v>149</v>
      </c>
      <c r="C49" s="18" t="s">
        <v>150</v>
      </c>
      <c r="D49" s="18" t="s">
        <v>151</v>
      </c>
      <c r="E49" s="21">
        <v>16000</v>
      </c>
      <c r="F49" s="19">
        <v>101.736</v>
      </c>
      <c r="G49" s="20">
        <v>0.213338770681711</v>
      </c>
      <c r="H49" s="22"/>
    </row>
    <row r="50" spans="2:8" x14ac:dyDescent="0.2">
      <c r="B50" s="18" t="s">
        <v>61</v>
      </c>
      <c r="C50" s="18" t="s">
        <v>62</v>
      </c>
      <c r="D50" s="18" t="s">
        <v>63</v>
      </c>
      <c r="E50" s="21">
        <v>33750</v>
      </c>
      <c r="F50" s="19">
        <v>101.098125</v>
      </c>
      <c r="G50" s="20">
        <v>0.21200115697222199</v>
      </c>
      <c r="H50" s="22"/>
    </row>
    <row r="51" spans="2:8" x14ac:dyDescent="0.2">
      <c r="B51" s="18" t="s">
        <v>53</v>
      </c>
      <c r="C51" s="18" t="s">
        <v>54</v>
      </c>
      <c r="D51" s="18" t="s">
        <v>55</v>
      </c>
      <c r="E51" s="21">
        <v>2275</v>
      </c>
      <c r="F51" s="19">
        <v>99.763300000000001</v>
      </c>
      <c r="G51" s="20">
        <v>0.20920205021969299</v>
      </c>
      <c r="H51" s="22"/>
    </row>
    <row r="52" spans="2:8" x14ac:dyDescent="0.2">
      <c r="B52" s="18" t="s">
        <v>20</v>
      </c>
      <c r="C52" s="18" t="s">
        <v>21</v>
      </c>
      <c r="D52" s="18" t="s">
        <v>22</v>
      </c>
      <c r="E52" s="21">
        <v>3200</v>
      </c>
      <c r="F52" s="19">
        <v>99.12</v>
      </c>
      <c r="G52" s="20">
        <v>0.20785306037165999</v>
      </c>
      <c r="H52" s="22"/>
    </row>
    <row r="53" spans="2:8" x14ac:dyDescent="0.2">
      <c r="B53" s="18" t="s">
        <v>141</v>
      </c>
      <c r="C53" s="18" t="s">
        <v>142</v>
      </c>
      <c r="D53" s="18" t="s">
        <v>117</v>
      </c>
      <c r="E53" s="21">
        <v>2250</v>
      </c>
      <c r="F53" s="19">
        <v>97.623000000000005</v>
      </c>
      <c r="G53" s="20">
        <v>0.20471387522863699</v>
      </c>
      <c r="H53" s="22"/>
    </row>
    <row r="54" spans="2:8" x14ac:dyDescent="0.2">
      <c r="B54" s="18" t="s">
        <v>71</v>
      </c>
      <c r="C54" s="18" t="s">
        <v>72</v>
      </c>
      <c r="D54" s="18" t="s">
        <v>73</v>
      </c>
      <c r="E54" s="21">
        <v>750</v>
      </c>
      <c r="F54" s="19">
        <v>86.894999999999996</v>
      </c>
      <c r="G54" s="20">
        <v>0.18221743019567599</v>
      </c>
      <c r="H54" s="22"/>
    </row>
    <row r="55" spans="2:8" x14ac:dyDescent="0.2">
      <c r="B55" s="18" t="s">
        <v>23</v>
      </c>
      <c r="C55" s="18" t="s">
        <v>24</v>
      </c>
      <c r="D55" s="18" t="s">
        <v>25</v>
      </c>
      <c r="E55" s="21">
        <v>2100</v>
      </c>
      <c r="F55" s="19">
        <v>84.293999999999997</v>
      </c>
      <c r="G55" s="20">
        <v>0.17676317464657701</v>
      </c>
      <c r="H55" s="22"/>
    </row>
    <row r="56" spans="2:8" x14ac:dyDescent="0.2">
      <c r="B56" s="18" t="s">
        <v>206</v>
      </c>
      <c r="C56" s="18" t="s">
        <v>207</v>
      </c>
      <c r="D56" s="18" t="s">
        <v>55</v>
      </c>
      <c r="E56" s="21">
        <v>30600</v>
      </c>
      <c r="F56" s="19">
        <v>83.342160000000007</v>
      </c>
      <c r="G56" s="20">
        <v>0.17476718133559799</v>
      </c>
      <c r="H56" s="22"/>
    </row>
    <row r="57" spans="2:8" x14ac:dyDescent="0.2">
      <c r="B57" s="18" t="s">
        <v>81</v>
      </c>
      <c r="C57" s="18" t="s">
        <v>82</v>
      </c>
      <c r="D57" s="18" t="s">
        <v>55</v>
      </c>
      <c r="E57" s="21">
        <v>3250</v>
      </c>
      <c r="F57" s="19">
        <v>79.446250000000006</v>
      </c>
      <c r="G57" s="20">
        <v>0.166597520152865</v>
      </c>
      <c r="H57" s="22"/>
    </row>
    <row r="58" spans="2:8" x14ac:dyDescent="0.2">
      <c r="B58" s="18" t="s">
        <v>58</v>
      </c>
      <c r="C58" s="18" t="s">
        <v>59</v>
      </c>
      <c r="D58" s="18" t="s">
        <v>60</v>
      </c>
      <c r="E58" s="21">
        <v>4200</v>
      </c>
      <c r="F58" s="19">
        <v>75.948599999999999</v>
      </c>
      <c r="G58" s="20">
        <v>0.15926300384325101</v>
      </c>
      <c r="H58" s="22"/>
    </row>
    <row r="59" spans="2:8" x14ac:dyDescent="0.2">
      <c r="B59" s="18" t="s">
        <v>128</v>
      </c>
      <c r="C59" s="18" t="s">
        <v>129</v>
      </c>
      <c r="D59" s="18" t="s">
        <v>89</v>
      </c>
      <c r="E59" s="21">
        <v>4250</v>
      </c>
      <c r="F59" s="19">
        <v>74.256</v>
      </c>
      <c r="G59" s="20">
        <v>0.15571364861741299</v>
      </c>
      <c r="H59" s="22"/>
    </row>
    <row r="60" spans="2:8" x14ac:dyDescent="0.2">
      <c r="B60" s="18" t="s">
        <v>135</v>
      </c>
      <c r="C60" s="18" t="s">
        <v>136</v>
      </c>
      <c r="D60" s="18" t="s">
        <v>60</v>
      </c>
      <c r="E60" s="21">
        <v>4875</v>
      </c>
      <c r="F60" s="19">
        <v>63.843000000000004</v>
      </c>
      <c r="G60" s="20">
        <v>0.13387775356444601</v>
      </c>
      <c r="H60" s="22"/>
    </row>
    <row r="61" spans="2:8" x14ac:dyDescent="0.2">
      <c r="B61" s="18" t="s">
        <v>145</v>
      </c>
      <c r="C61" s="18" t="s">
        <v>146</v>
      </c>
      <c r="D61" s="18" t="s">
        <v>31</v>
      </c>
      <c r="E61" s="21">
        <v>11600</v>
      </c>
      <c r="F61" s="19">
        <v>51.567799999999998</v>
      </c>
      <c r="G61" s="20">
        <v>0.108136854788475</v>
      </c>
      <c r="H61" s="22"/>
    </row>
    <row r="62" spans="2:8" x14ac:dyDescent="0.2">
      <c r="B62" s="18" t="s">
        <v>32</v>
      </c>
      <c r="C62" s="18" t="s">
        <v>33</v>
      </c>
      <c r="D62" s="18" t="s">
        <v>34</v>
      </c>
      <c r="E62" s="21">
        <v>875</v>
      </c>
      <c r="F62" s="19">
        <v>50.102499999999999</v>
      </c>
      <c r="G62" s="20">
        <v>0.105064144040265</v>
      </c>
      <c r="H62" s="22"/>
    </row>
    <row r="63" spans="2:8" x14ac:dyDescent="0.2">
      <c r="B63" s="18" t="s">
        <v>170</v>
      </c>
      <c r="C63" s="18" t="s">
        <v>171</v>
      </c>
      <c r="D63" s="18" t="s">
        <v>73</v>
      </c>
      <c r="E63" s="21">
        <v>9450</v>
      </c>
      <c r="F63" s="19">
        <v>41.976900000000001</v>
      </c>
      <c r="G63" s="20">
        <v>8.8024890334091194E-2</v>
      </c>
      <c r="H63" s="22"/>
    </row>
    <row r="64" spans="2:8" x14ac:dyDescent="0.2">
      <c r="B64" s="18" t="s">
        <v>178</v>
      </c>
      <c r="C64" s="18" t="s">
        <v>179</v>
      </c>
      <c r="D64" s="18" t="s">
        <v>180</v>
      </c>
      <c r="E64" s="21">
        <v>2450</v>
      </c>
      <c r="F64" s="19">
        <v>40.821899999999999</v>
      </c>
      <c r="G64" s="20">
        <v>8.5602873740777394E-2</v>
      </c>
      <c r="H64" s="22"/>
    </row>
    <row r="65" spans="2:8" x14ac:dyDescent="0.2">
      <c r="B65" s="18" t="s">
        <v>204</v>
      </c>
      <c r="C65" s="18" t="s">
        <v>205</v>
      </c>
      <c r="D65" s="18" t="s">
        <v>73</v>
      </c>
      <c r="E65" s="21">
        <v>1950</v>
      </c>
      <c r="F65" s="19">
        <v>37.172849999999997</v>
      </c>
      <c r="G65" s="20">
        <v>7.7950874043953303E-2</v>
      </c>
      <c r="H65" s="22"/>
    </row>
    <row r="66" spans="2:8" x14ac:dyDescent="0.2">
      <c r="B66" s="18" t="s">
        <v>41</v>
      </c>
      <c r="C66" s="18" t="s">
        <v>42</v>
      </c>
      <c r="D66" s="18" t="s">
        <v>34</v>
      </c>
      <c r="E66" s="21">
        <v>2500</v>
      </c>
      <c r="F66" s="19">
        <v>36.465000000000003</v>
      </c>
      <c r="G66" s="20">
        <v>7.6466523874622397E-2</v>
      </c>
      <c r="H66" s="22"/>
    </row>
    <row r="67" spans="2:8" x14ac:dyDescent="0.2">
      <c r="B67" s="18" t="s">
        <v>185</v>
      </c>
      <c r="C67" s="18" t="s">
        <v>186</v>
      </c>
      <c r="D67" s="18" t="s">
        <v>52</v>
      </c>
      <c r="E67" s="21">
        <v>3375</v>
      </c>
      <c r="F67" s="19">
        <v>32.833687500000003</v>
      </c>
      <c r="G67" s="20">
        <v>6.8851719432624206E-2</v>
      </c>
      <c r="H67" s="22"/>
    </row>
    <row r="68" spans="2:8" x14ac:dyDescent="0.2">
      <c r="B68" s="18" t="s">
        <v>123</v>
      </c>
      <c r="C68" s="18" t="s">
        <v>124</v>
      </c>
      <c r="D68" s="18" t="s">
        <v>125</v>
      </c>
      <c r="E68" s="21">
        <v>1900</v>
      </c>
      <c r="F68" s="19">
        <v>31.488700000000001</v>
      </c>
      <c r="G68" s="20">
        <v>6.6031302079550894E-2</v>
      </c>
      <c r="H68" s="22"/>
    </row>
    <row r="69" spans="2:8" x14ac:dyDescent="0.2">
      <c r="B69" s="18" t="s">
        <v>153</v>
      </c>
      <c r="C69" s="18" t="s">
        <v>154</v>
      </c>
      <c r="D69" s="18" t="s">
        <v>47</v>
      </c>
      <c r="E69" s="21">
        <v>900</v>
      </c>
      <c r="F69" s="19">
        <v>24.413399999999999</v>
      </c>
      <c r="G69" s="20">
        <v>5.1194510735244898E-2</v>
      </c>
      <c r="H69" s="22"/>
    </row>
    <row r="70" spans="2:8" x14ac:dyDescent="0.2">
      <c r="B70" s="18" t="s">
        <v>85</v>
      </c>
      <c r="C70" s="18" t="s">
        <v>86</v>
      </c>
      <c r="D70" s="18" t="s">
        <v>22</v>
      </c>
      <c r="E70" s="21">
        <v>300</v>
      </c>
      <c r="F70" s="19">
        <v>21.327000000000002</v>
      </c>
      <c r="G70" s="20">
        <v>4.4722379121735101E-2</v>
      </c>
      <c r="H70" s="22"/>
    </row>
    <row r="71" spans="2:8" x14ac:dyDescent="0.2">
      <c r="B71" s="18" t="s">
        <v>174</v>
      </c>
      <c r="C71" s="18" t="s">
        <v>175</v>
      </c>
      <c r="D71" s="18" t="s">
        <v>12</v>
      </c>
      <c r="E71" s="21">
        <v>2100</v>
      </c>
      <c r="F71" s="19">
        <v>19.23705</v>
      </c>
      <c r="G71" s="20">
        <v>4.0339787278275203E-2</v>
      </c>
      <c r="H71" s="22"/>
    </row>
    <row r="72" spans="2:8" x14ac:dyDescent="0.2">
      <c r="B72" s="18" t="s">
        <v>50</v>
      </c>
      <c r="C72" s="18" t="s">
        <v>51</v>
      </c>
      <c r="D72" s="18" t="s">
        <v>52</v>
      </c>
      <c r="E72" s="21">
        <v>7275</v>
      </c>
      <c r="F72" s="19">
        <v>17.971432499999999</v>
      </c>
      <c r="G72" s="20">
        <v>3.7685807550319902E-2</v>
      </c>
      <c r="H72" s="22"/>
    </row>
    <row r="73" spans="2:8" x14ac:dyDescent="0.2">
      <c r="B73" s="18" t="s">
        <v>162</v>
      </c>
      <c r="C73" s="18" t="s">
        <v>163</v>
      </c>
      <c r="D73" s="18" t="s">
        <v>164</v>
      </c>
      <c r="E73" s="21">
        <v>1500</v>
      </c>
      <c r="F73" s="19">
        <v>16.006499999999999</v>
      </c>
      <c r="G73" s="20">
        <v>3.3565375412015402E-2</v>
      </c>
      <c r="H73" s="22"/>
    </row>
    <row r="74" spans="2:8" x14ac:dyDescent="0.2">
      <c r="B74" s="18" t="s">
        <v>159</v>
      </c>
      <c r="C74" s="18" t="s">
        <v>160</v>
      </c>
      <c r="D74" s="18" t="s">
        <v>161</v>
      </c>
      <c r="E74" s="21">
        <v>9450</v>
      </c>
      <c r="F74" s="19">
        <v>15.425235000000001</v>
      </c>
      <c r="G74" s="20">
        <v>3.2346471970359503E-2</v>
      </c>
      <c r="H74" s="22"/>
    </row>
    <row r="75" spans="2:8" x14ac:dyDescent="0.2">
      <c r="B75" s="18" t="s">
        <v>200</v>
      </c>
      <c r="C75" s="18" t="s">
        <v>201</v>
      </c>
      <c r="D75" s="18" t="s">
        <v>64</v>
      </c>
      <c r="E75" s="21">
        <v>2775</v>
      </c>
      <c r="F75" s="19">
        <v>14.259337500000001</v>
      </c>
      <c r="G75" s="20">
        <v>2.9901603493214E-2</v>
      </c>
      <c r="H75" s="22"/>
    </row>
    <row r="76" spans="2:8" x14ac:dyDescent="0.2">
      <c r="B76" s="18" t="s">
        <v>196</v>
      </c>
      <c r="C76" s="18" t="s">
        <v>197</v>
      </c>
      <c r="D76" s="18" t="s">
        <v>164</v>
      </c>
      <c r="E76" s="21">
        <v>2500</v>
      </c>
      <c r="F76" s="19">
        <v>11.0375</v>
      </c>
      <c r="G76" s="20">
        <v>2.3145461600607299E-2</v>
      </c>
      <c r="H76" s="22"/>
    </row>
    <row r="77" spans="2:8" x14ac:dyDescent="0.2">
      <c r="B77" s="18" t="s">
        <v>187</v>
      </c>
      <c r="C77" s="18" t="s">
        <v>188</v>
      </c>
      <c r="D77" s="18" t="s">
        <v>189</v>
      </c>
      <c r="E77" s="21">
        <v>1355</v>
      </c>
      <c r="F77" s="19">
        <v>8.6970674999999993</v>
      </c>
      <c r="G77" s="20">
        <v>1.8237611946467901E-2</v>
      </c>
      <c r="H77" s="22"/>
    </row>
    <row r="78" spans="2:8" x14ac:dyDescent="0.2">
      <c r="B78" s="18" t="s">
        <v>118</v>
      </c>
      <c r="C78" s="18" t="s">
        <v>119</v>
      </c>
      <c r="D78" s="18" t="s">
        <v>120</v>
      </c>
      <c r="E78" s="21">
        <v>700</v>
      </c>
      <c r="F78" s="19">
        <v>7.266</v>
      </c>
      <c r="G78" s="20">
        <v>1.52366862052106E-2</v>
      </c>
      <c r="H78" s="22"/>
    </row>
    <row r="79" spans="2:8" x14ac:dyDescent="0.2">
      <c r="B79" s="18" t="s">
        <v>194</v>
      </c>
      <c r="C79" s="18" t="s">
        <v>195</v>
      </c>
      <c r="D79" s="18" t="s">
        <v>63</v>
      </c>
      <c r="E79" s="21">
        <v>1400</v>
      </c>
      <c r="F79" s="19">
        <v>6.8712</v>
      </c>
      <c r="G79" s="20">
        <v>1.44087968969506E-2</v>
      </c>
      <c r="H79" s="22"/>
    </row>
    <row r="80" spans="2:8" x14ac:dyDescent="0.2">
      <c r="B80" s="18" t="s">
        <v>143</v>
      </c>
      <c r="C80" s="18" t="s">
        <v>144</v>
      </c>
      <c r="D80" s="18" t="s">
        <v>22</v>
      </c>
      <c r="E80" s="21">
        <v>175</v>
      </c>
      <c r="F80" s="19">
        <v>6.1125749999999996</v>
      </c>
      <c r="G80" s="20">
        <v>1.28179723617968E-2</v>
      </c>
      <c r="H80" s="22"/>
    </row>
    <row r="81" spans="2:9" x14ac:dyDescent="0.2">
      <c r="B81" s="18" t="s">
        <v>133</v>
      </c>
      <c r="C81" s="18" t="s">
        <v>134</v>
      </c>
      <c r="D81" s="18" t="s">
        <v>132</v>
      </c>
      <c r="E81" s="21">
        <v>525</v>
      </c>
      <c r="F81" s="19">
        <v>5.2135125000000002</v>
      </c>
      <c r="G81" s="20">
        <v>1.09326526272286E-2</v>
      </c>
      <c r="H81" s="22"/>
    </row>
    <row r="82" spans="2:9" ht="10.5" x14ac:dyDescent="0.25">
      <c r="B82" s="17" t="s">
        <v>90</v>
      </c>
      <c r="C82" s="17"/>
      <c r="D82" s="17"/>
      <c r="E82" s="17"/>
      <c r="F82" s="23">
        <f>SUM(F7:F81)</f>
        <v>31526.851956500006</v>
      </c>
      <c r="G82" s="24">
        <f>SUM(G7:G81)</f>
        <v>66.111306124321771</v>
      </c>
      <c r="H82" s="17"/>
      <c r="I82" s="11"/>
    </row>
    <row r="83" spans="2:9" ht="10.5" x14ac:dyDescent="0.25">
      <c r="B83" s="17" t="s">
        <v>91</v>
      </c>
      <c r="C83" s="17"/>
      <c r="D83" s="17"/>
      <c r="E83" s="17"/>
      <c r="F83" s="25" t="s">
        <v>92</v>
      </c>
      <c r="G83" s="26" t="s">
        <v>92</v>
      </c>
      <c r="H83" s="17"/>
      <c r="I83" s="11"/>
    </row>
    <row r="84" spans="2:9" ht="10.5" x14ac:dyDescent="0.25">
      <c r="B84" s="17" t="s">
        <v>90</v>
      </c>
      <c r="C84" s="17"/>
      <c r="D84" s="17"/>
      <c r="E84" s="17"/>
      <c r="F84" s="27" t="s">
        <v>92</v>
      </c>
      <c r="G84" s="28" t="s">
        <v>92</v>
      </c>
      <c r="H84" s="17"/>
      <c r="I84" s="11"/>
    </row>
    <row r="85" spans="2:9" ht="10.5" x14ac:dyDescent="0.25">
      <c r="B85" s="29" t="s">
        <v>105</v>
      </c>
      <c r="C85" s="29"/>
      <c r="D85" s="29"/>
      <c r="E85" s="29"/>
      <c r="F85" s="30">
        <f>F82</f>
        <v>31526.851956500006</v>
      </c>
      <c r="G85" s="31">
        <f>G82</f>
        <v>66.111306124321771</v>
      </c>
      <c r="H85" s="17"/>
      <c r="I85" s="11"/>
    </row>
    <row r="86" spans="2:9" ht="10.5" x14ac:dyDescent="0.25">
      <c r="B86" s="17" t="s">
        <v>106</v>
      </c>
      <c r="C86" s="18"/>
      <c r="D86" s="18"/>
      <c r="E86" s="18"/>
      <c r="F86" s="19"/>
      <c r="G86" s="20"/>
      <c r="H86" s="18"/>
    </row>
    <row r="87" spans="2:9" x14ac:dyDescent="0.2">
      <c r="B87" s="18" t="s">
        <v>210</v>
      </c>
      <c r="C87" s="18" t="s">
        <v>211</v>
      </c>
      <c r="D87" s="18" t="s">
        <v>107</v>
      </c>
      <c r="E87" s="21">
        <v>500</v>
      </c>
      <c r="F87" s="19">
        <v>2481.0349999999999</v>
      </c>
      <c r="G87" s="20">
        <v>5.20269085592414</v>
      </c>
      <c r="H87" s="22">
        <v>6.2001000000000001E-2</v>
      </c>
    </row>
    <row r="88" spans="2:9" x14ac:dyDescent="0.2">
      <c r="B88" s="18" t="s">
        <v>108</v>
      </c>
      <c r="C88" s="18" t="s">
        <v>109</v>
      </c>
      <c r="D88" s="18" t="s">
        <v>107</v>
      </c>
      <c r="E88" s="21">
        <v>500</v>
      </c>
      <c r="F88" s="19">
        <v>2475.2750000000001</v>
      </c>
      <c r="G88" s="20">
        <v>5.1906122277185203</v>
      </c>
      <c r="H88" s="22">
        <v>6.1797999999999999E-2</v>
      </c>
    </row>
    <row r="89" spans="2:9" x14ac:dyDescent="0.2">
      <c r="B89" s="18" t="s">
        <v>212</v>
      </c>
      <c r="C89" s="18" t="s">
        <v>213</v>
      </c>
      <c r="D89" s="18" t="s">
        <v>107</v>
      </c>
      <c r="E89" s="21">
        <v>500</v>
      </c>
      <c r="F89" s="19">
        <v>2437.3975</v>
      </c>
      <c r="G89" s="20">
        <v>5.1111837138542402</v>
      </c>
      <c r="H89" s="22">
        <v>6.8429000000000004E-2</v>
      </c>
    </row>
    <row r="90" spans="2:9" x14ac:dyDescent="0.2">
      <c r="B90" s="18" t="s">
        <v>214</v>
      </c>
      <c r="C90" s="18" t="s">
        <v>215</v>
      </c>
      <c r="D90" s="18" t="s">
        <v>107</v>
      </c>
      <c r="E90" s="21">
        <v>500</v>
      </c>
      <c r="F90" s="19">
        <v>2372.7775000000001</v>
      </c>
      <c r="G90" s="20">
        <v>4.9756766036724702</v>
      </c>
      <c r="H90" s="22">
        <v>7.195E-2</v>
      </c>
    </row>
    <row r="91" spans="2:9" ht="10.5" x14ac:dyDescent="0.25">
      <c r="B91" s="17" t="s">
        <v>90</v>
      </c>
      <c r="C91" s="17"/>
      <c r="D91" s="17"/>
      <c r="E91" s="17"/>
      <c r="F91" s="44">
        <f>SUM(F86:F90)</f>
        <v>9766.4850000000006</v>
      </c>
      <c r="G91" s="45">
        <f>SUM(G86:G90)</f>
        <v>20.480163401169371</v>
      </c>
      <c r="H91" s="17"/>
      <c r="I91" s="11"/>
    </row>
    <row r="92" spans="2:9" ht="10.5" x14ac:dyDescent="0.25">
      <c r="B92" s="29" t="s">
        <v>93</v>
      </c>
      <c r="C92" s="29"/>
      <c r="D92" s="29"/>
      <c r="E92" s="29"/>
      <c r="F92" s="30">
        <f>+F91</f>
        <v>9766.4850000000006</v>
      </c>
      <c r="G92" s="31">
        <f>+G91</f>
        <v>20.480163401169371</v>
      </c>
      <c r="H92" s="17"/>
      <c r="I92" s="11"/>
    </row>
    <row r="93" spans="2:9" ht="10.5" x14ac:dyDescent="0.25">
      <c r="B93" s="17" t="s">
        <v>216</v>
      </c>
      <c r="C93" s="18"/>
      <c r="D93" s="18"/>
      <c r="E93" s="18"/>
      <c r="F93" s="19"/>
      <c r="G93" s="20"/>
      <c r="H93" s="18"/>
    </row>
    <row r="94" spans="2:9" x14ac:dyDescent="0.2">
      <c r="B94" s="18" t="s">
        <v>217</v>
      </c>
      <c r="C94" s="18" t="s">
        <v>218</v>
      </c>
      <c r="D94" s="18"/>
      <c r="E94" s="21">
        <v>434620.50300000003</v>
      </c>
      <c r="F94" s="19">
        <v>4558.5910311999996</v>
      </c>
      <c r="G94" s="20">
        <v>9.5592927443272799</v>
      </c>
      <c r="H94" s="18"/>
    </row>
    <row r="95" spans="2:9" x14ac:dyDescent="0.2">
      <c r="B95" s="18" t="s">
        <v>219</v>
      </c>
      <c r="C95" s="18" t="s">
        <v>220</v>
      </c>
      <c r="D95" s="18"/>
      <c r="E95" s="21">
        <v>146361.65100000001</v>
      </c>
      <c r="F95" s="19">
        <v>1539.1268275</v>
      </c>
      <c r="G95" s="20">
        <v>3.2275244289346099</v>
      </c>
      <c r="H95" s="18"/>
    </row>
    <row r="96" spans="2:9" ht="10.5" x14ac:dyDescent="0.25">
      <c r="B96" s="17" t="s">
        <v>90</v>
      </c>
      <c r="C96" s="17"/>
      <c r="D96" s="17"/>
      <c r="E96" s="17"/>
      <c r="F96" s="23">
        <f>SUM(F94:F95)</f>
        <v>6097.7178586999999</v>
      </c>
      <c r="G96" s="24">
        <f>SUM(G94:G95)</f>
        <v>12.786817173261889</v>
      </c>
      <c r="H96" s="17"/>
      <c r="I96" s="11"/>
    </row>
    <row r="97" spans="2:9" ht="10.5" x14ac:dyDescent="0.25">
      <c r="B97" s="17"/>
      <c r="C97" s="18"/>
      <c r="D97" s="18"/>
      <c r="E97" s="18"/>
      <c r="F97" s="19"/>
      <c r="G97" s="20"/>
      <c r="H97" s="18"/>
    </row>
    <row r="98" spans="2:9" ht="10.5" x14ac:dyDescent="0.25">
      <c r="B98" s="17" t="s">
        <v>94</v>
      </c>
      <c r="C98" s="17"/>
      <c r="D98" s="17"/>
      <c r="E98" s="17"/>
      <c r="F98" s="23">
        <v>1126.2383460000001</v>
      </c>
      <c r="G98" s="24">
        <v>2.3617038632366398</v>
      </c>
      <c r="H98" s="22">
        <v>5.2499999999999998E-2</v>
      </c>
      <c r="I98" s="12"/>
    </row>
    <row r="99" spans="2:9" x14ac:dyDescent="0.2">
      <c r="B99" s="18"/>
      <c r="C99" s="18"/>
      <c r="D99" s="18"/>
      <c r="E99" s="18"/>
      <c r="F99" s="19"/>
      <c r="G99" s="20"/>
      <c r="H99" s="18"/>
    </row>
    <row r="100" spans="2:9" ht="10.5" x14ac:dyDescent="0.25">
      <c r="B100" s="17" t="s">
        <v>96</v>
      </c>
      <c r="C100" s="18"/>
      <c r="D100" s="18"/>
      <c r="E100" s="18"/>
      <c r="F100" s="89">
        <v>0</v>
      </c>
      <c r="G100" s="89">
        <f>F100/F102*100</f>
        <v>0</v>
      </c>
      <c r="H100" s="18"/>
    </row>
    <row r="101" spans="2:9" ht="10.5" x14ac:dyDescent="0.25">
      <c r="B101" s="36" t="s">
        <v>97</v>
      </c>
      <c r="C101" s="36"/>
      <c r="D101" s="36"/>
      <c r="E101" s="36"/>
      <c r="F101" s="23">
        <f>F102-(F82+F91+F96+F98+F100)</f>
        <v>-829.75860060000559</v>
      </c>
      <c r="G101" s="24">
        <f>G102-(G82+G91+G96+G98+G100)</f>
        <v>-1.7399905619896714</v>
      </c>
      <c r="H101" s="17"/>
      <c r="I101" s="11"/>
    </row>
    <row r="102" spans="2:9" ht="10.5" x14ac:dyDescent="0.25">
      <c r="B102" s="32" t="s">
        <v>95</v>
      </c>
      <c r="C102" s="32"/>
      <c r="D102" s="32"/>
      <c r="E102" s="32"/>
      <c r="F102" s="33">
        <v>47687.534560599997</v>
      </c>
      <c r="G102" s="34">
        <v>100</v>
      </c>
      <c r="H102" s="35"/>
      <c r="I102" s="11"/>
    </row>
    <row r="104" spans="2:9" ht="10.5" x14ac:dyDescent="0.25">
      <c r="B104" s="11" t="s">
        <v>98</v>
      </c>
    </row>
    <row r="106" spans="2:9" ht="10.5" x14ac:dyDescent="0.2">
      <c r="B106" s="86" t="s">
        <v>4</v>
      </c>
      <c r="C106" s="86" t="s">
        <v>99</v>
      </c>
      <c r="D106" s="86" t="s">
        <v>100</v>
      </c>
      <c r="E106" s="86" t="s">
        <v>0</v>
      </c>
      <c r="F106" s="87" t="s">
        <v>101</v>
      </c>
      <c r="G106" s="88" t="s">
        <v>102</v>
      </c>
    </row>
    <row r="107" spans="2:9" x14ac:dyDescent="0.2">
      <c r="B107" s="40" t="s">
        <v>261</v>
      </c>
      <c r="C107" s="40" t="s">
        <v>222</v>
      </c>
      <c r="D107" s="40" t="s">
        <v>12</v>
      </c>
      <c r="E107" s="41">
        <v>-590900</v>
      </c>
      <c r="F107" s="42">
        <v>-119.30271</v>
      </c>
      <c r="G107" s="43">
        <v>-0.2501758815994008</v>
      </c>
    </row>
    <row r="108" spans="2:9" x14ac:dyDescent="0.2">
      <c r="B108" s="40" t="s">
        <v>294</v>
      </c>
      <c r="C108" s="40" t="s">
        <v>222</v>
      </c>
      <c r="D108" s="40" t="s">
        <v>12</v>
      </c>
      <c r="E108" s="41">
        <v>-3514300</v>
      </c>
      <c r="F108" s="42">
        <v>-704.61715000000004</v>
      </c>
      <c r="G108" s="43">
        <v>-1.4775709344012993</v>
      </c>
    </row>
    <row r="109" spans="2:9" x14ac:dyDescent="0.2">
      <c r="B109" s="40" t="s">
        <v>227</v>
      </c>
      <c r="C109" s="40" t="s">
        <v>222</v>
      </c>
      <c r="D109" s="40" t="s">
        <v>189</v>
      </c>
      <c r="E109" s="41">
        <v>-1355</v>
      </c>
      <c r="F109" s="42">
        <v>-8.7532999999999994</v>
      </c>
      <c r="G109" s="43">
        <v>-1.8355530602817277E-2</v>
      </c>
    </row>
    <row r="110" spans="2:9" x14ac:dyDescent="0.2">
      <c r="B110" s="40" t="s">
        <v>237</v>
      </c>
      <c r="C110" s="40" t="s">
        <v>222</v>
      </c>
      <c r="D110" s="40" t="s">
        <v>73</v>
      </c>
      <c r="E110" s="41">
        <v>-250</v>
      </c>
      <c r="F110" s="42">
        <v>-29.33</v>
      </c>
      <c r="G110" s="43">
        <v>-6.1504542581726981E-2</v>
      </c>
    </row>
    <row r="111" spans="2:9" x14ac:dyDescent="0.2">
      <c r="B111" s="40" t="s">
        <v>247</v>
      </c>
      <c r="C111" s="40" t="s">
        <v>222</v>
      </c>
      <c r="D111" s="40" t="s">
        <v>73</v>
      </c>
      <c r="E111" s="41">
        <v>-500</v>
      </c>
      <c r="F111" s="42">
        <v>-58.274999999999999</v>
      </c>
      <c r="G111" s="43">
        <v>-0.12220174629901602</v>
      </c>
    </row>
    <row r="112" spans="2:9" x14ac:dyDescent="0.2">
      <c r="B112" s="40" t="s">
        <v>223</v>
      </c>
      <c r="C112" s="40" t="s">
        <v>222</v>
      </c>
      <c r="D112" s="40" t="s">
        <v>22</v>
      </c>
      <c r="E112" s="41">
        <v>-175</v>
      </c>
      <c r="F112" s="42">
        <v>-6.1501999999999999</v>
      </c>
      <c r="G112" s="43">
        <v>-1.2896871387185042E-2</v>
      </c>
    </row>
    <row r="113" spans="2:7" x14ac:dyDescent="0.2">
      <c r="B113" s="40" t="s">
        <v>285</v>
      </c>
      <c r="C113" s="40" t="s">
        <v>222</v>
      </c>
      <c r="D113" s="40" t="s">
        <v>22</v>
      </c>
      <c r="E113" s="41">
        <v>-108000</v>
      </c>
      <c r="F113" s="42">
        <v>-370.60199999999998</v>
      </c>
      <c r="G113" s="43">
        <v>-0.77714648789202811</v>
      </c>
    </row>
    <row r="114" spans="2:7" x14ac:dyDescent="0.2">
      <c r="B114" s="40" t="s">
        <v>256</v>
      </c>
      <c r="C114" s="40" t="s">
        <v>222</v>
      </c>
      <c r="D114" s="40" t="s">
        <v>55</v>
      </c>
      <c r="E114" s="41">
        <v>-2275</v>
      </c>
      <c r="F114" s="42">
        <v>-100.15004999999999</v>
      </c>
      <c r="G114" s="43">
        <v>-0.2100130588062423</v>
      </c>
    </row>
    <row r="115" spans="2:7" x14ac:dyDescent="0.2">
      <c r="B115" s="40" t="s">
        <v>246</v>
      </c>
      <c r="C115" s="40" t="s">
        <v>222</v>
      </c>
      <c r="D115" s="40" t="s">
        <v>31</v>
      </c>
      <c r="E115" s="41">
        <v>-11600</v>
      </c>
      <c r="F115" s="42">
        <v>-51.857799999999997</v>
      </c>
      <c r="G115" s="43">
        <v>-0.10874498016688311</v>
      </c>
    </row>
    <row r="116" spans="2:7" x14ac:dyDescent="0.2">
      <c r="B116" s="40" t="s">
        <v>250</v>
      </c>
      <c r="C116" s="40" t="s">
        <v>222</v>
      </c>
      <c r="D116" s="40" t="s">
        <v>60</v>
      </c>
      <c r="E116" s="41">
        <v>-4200</v>
      </c>
      <c r="F116" s="42">
        <v>-76.23</v>
      </c>
      <c r="G116" s="43">
        <v>-0.15985309515871285</v>
      </c>
    </row>
    <row r="117" spans="2:7" x14ac:dyDescent="0.2">
      <c r="B117" s="40" t="s">
        <v>260</v>
      </c>
      <c r="C117" s="40" t="s">
        <v>222</v>
      </c>
      <c r="D117" s="40" t="s">
        <v>89</v>
      </c>
      <c r="E117" s="41">
        <v>-11550</v>
      </c>
      <c r="F117" s="42">
        <v>-108.56422499999999</v>
      </c>
      <c r="G117" s="43">
        <v>-0.22765744968853355</v>
      </c>
    </row>
    <row r="118" spans="2:7" x14ac:dyDescent="0.2">
      <c r="B118" s="40" t="s">
        <v>291</v>
      </c>
      <c r="C118" s="40" t="s">
        <v>222</v>
      </c>
      <c r="D118" s="40" t="s">
        <v>12</v>
      </c>
      <c r="E118" s="41">
        <v>-58500</v>
      </c>
      <c r="F118" s="42">
        <v>-622.49850000000004</v>
      </c>
      <c r="G118" s="43">
        <v>-1.3053694340372033</v>
      </c>
    </row>
    <row r="119" spans="2:7" x14ac:dyDescent="0.2">
      <c r="B119" s="40" t="s">
        <v>264</v>
      </c>
      <c r="C119" s="40" t="s">
        <v>222</v>
      </c>
      <c r="D119" s="40" t="s">
        <v>40</v>
      </c>
      <c r="E119" s="41">
        <v>-70500</v>
      </c>
      <c r="F119" s="42">
        <v>-131.01015000000001</v>
      </c>
      <c r="G119" s="43">
        <v>-0.27472619670349263</v>
      </c>
    </row>
    <row r="120" spans="2:7" x14ac:dyDescent="0.2">
      <c r="B120" s="40" t="s">
        <v>290</v>
      </c>
      <c r="C120" s="40" t="s">
        <v>222</v>
      </c>
      <c r="D120" s="40" t="s">
        <v>28</v>
      </c>
      <c r="E120" s="41">
        <v>-38500</v>
      </c>
      <c r="F120" s="42">
        <v>-555.94000000000005</v>
      </c>
      <c r="G120" s="43">
        <v>-1.1657973202483907</v>
      </c>
    </row>
    <row r="121" spans="2:7" x14ac:dyDescent="0.2">
      <c r="B121" s="40" t="s">
        <v>303</v>
      </c>
      <c r="C121" s="40" t="s">
        <v>222</v>
      </c>
      <c r="D121" s="40" t="s">
        <v>28</v>
      </c>
      <c r="E121" s="41">
        <v>-152000</v>
      </c>
      <c r="F121" s="42">
        <v>-2181.5039999999999</v>
      </c>
      <c r="G121" s="43">
        <v>-4.5745791224073553</v>
      </c>
    </row>
    <row r="122" spans="2:7" x14ac:dyDescent="0.2">
      <c r="B122" s="40" t="s">
        <v>300</v>
      </c>
      <c r="C122" s="40" t="s">
        <v>222</v>
      </c>
      <c r="D122" s="40" t="s">
        <v>169</v>
      </c>
      <c r="E122" s="41">
        <v>-95400</v>
      </c>
      <c r="F122" s="42">
        <v>-1357.7328</v>
      </c>
      <c r="G122" s="43">
        <v>-2.8471440440575315</v>
      </c>
    </row>
    <row r="123" spans="2:7" x14ac:dyDescent="0.2">
      <c r="B123" s="40" t="s">
        <v>262</v>
      </c>
      <c r="C123" s="40" t="s">
        <v>222</v>
      </c>
      <c r="D123" s="40" t="s">
        <v>31</v>
      </c>
      <c r="E123" s="41">
        <v>-38000</v>
      </c>
      <c r="F123" s="42">
        <v>-121.277</v>
      </c>
      <c r="G123" s="43">
        <v>-0.25431593626607923</v>
      </c>
    </row>
    <row r="124" spans="2:7" x14ac:dyDescent="0.2">
      <c r="B124" s="40" t="s">
        <v>243</v>
      </c>
      <c r="C124" s="40" t="s">
        <v>222</v>
      </c>
      <c r="D124" s="40" t="s">
        <v>180</v>
      </c>
      <c r="E124" s="41">
        <v>-2450</v>
      </c>
      <c r="F124" s="42">
        <v>-40.939500000000002</v>
      </c>
      <c r="G124" s="43">
        <v>-8.5849479066642059E-2</v>
      </c>
    </row>
    <row r="125" spans="2:7" x14ac:dyDescent="0.2">
      <c r="B125" s="40" t="s">
        <v>268</v>
      </c>
      <c r="C125" s="40" t="s">
        <v>222</v>
      </c>
      <c r="D125" s="40" t="s">
        <v>12</v>
      </c>
      <c r="E125" s="41">
        <v>-160000</v>
      </c>
      <c r="F125" s="42">
        <v>-175.56800000000001</v>
      </c>
      <c r="G125" s="43">
        <v>-0.36816329805621006</v>
      </c>
    </row>
    <row r="126" spans="2:7" x14ac:dyDescent="0.2">
      <c r="B126" s="40" t="s">
        <v>263</v>
      </c>
      <c r="C126" s="40" t="s">
        <v>222</v>
      </c>
      <c r="D126" s="40" t="s">
        <v>89</v>
      </c>
      <c r="E126" s="41">
        <v>-27300</v>
      </c>
      <c r="F126" s="42">
        <v>-123.19125</v>
      </c>
      <c r="G126" s="43">
        <v>-0.25833008800958657</v>
      </c>
    </row>
    <row r="127" spans="2:7" x14ac:dyDescent="0.2">
      <c r="B127" s="40" t="s">
        <v>257</v>
      </c>
      <c r="C127" s="40" t="s">
        <v>222</v>
      </c>
      <c r="D127" s="40" t="s">
        <v>63</v>
      </c>
      <c r="E127" s="41">
        <v>-33750</v>
      </c>
      <c r="F127" s="42">
        <v>-101.604375</v>
      </c>
      <c r="G127" s="43">
        <v>-0.21306275515435583</v>
      </c>
    </row>
    <row r="128" spans="2:7" x14ac:dyDescent="0.2">
      <c r="B128" s="40" t="s">
        <v>225</v>
      </c>
      <c r="C128" s="40" t="s">
        <v>222</v>
      </c>
      <c r="D128" s="40" t="s">
        <v>63</v>
      </c>
      <c r="E128" s="41">
        <v>-1400</v>
      </c>
      <c r="F128" s="42">
        <v>-6.8795999999999999</v>
      </c>
      <c r="G128" s="43">
        <v>-1.4426411563083837E-2</v>
      </c>
    </row>
    <row r="129" spans="2:7" x14ac:dyDescent="0.2">
      <c r="B129" s="40" t="s">
        <v>276</v>
      </c>
      <c r="C129" s="40" t="s">
        <v>222</v>
      </c>
      <c r="D129" s="40" t="s">
        <v>31</v>
      </c>
      <c r="E129" s="41">
        <v>-64500</v>
      </c>
      <c r="F129" s="42">
        <v>-258.32249999999999</v>
      </c>
      <c r="G129" s="43">
        <v>-0.54169816573706675</v>
      </c>
    </row>
    <row r="130" spans="2:7" x14ac:dyDescent="0.2">
      <c r="B130" s="40" t="s">
        <v>240</v>
      </c>
      <c r="C130" s="40" t="s">
        <v>222</v>
      </c>
      <c r="D130" s="40" t="s">
        <v>34</v>
      </c>
      <c r="E130" s="41">
        <v>-2500</v>
      </c>
      <c r="F130" s="42">
        <v>-36.552500000000002</v>
      </c>
      <c r="G130" s="43">
        <v>-7.6650009980176459E-2</v>
      </c>
    </row>
    <row r="131" spans="2:7" x14ac:dyDescent="0.2">
      <c r="B131" s="40" t="s">
        <v>273</v>
      </c>
      <c r="C131" s="40" t="s">
        <v>222</v>
      </c>
      <c r="D131" s="40" t="s">
        <v>25</v>
      </c>
      <c r="E131" s="41">
        <v>-227500</v>
      </c>
      <c r="F131" s="42">
        <v>-209.8005</v>
      </c>
      <c r="G131" s="43">
        <v>-0.43994830500912419</v>
      </c>
    </row>
    <row r="132" spans="2:7" x14ac:dyDescent="0.2">
      <c r="B132" s="40" t="s">
        <v>239</v>
      </c>
      <c r="C132" s="40" t="s">
        <v>222</v>
      </c>
      <c r="D132" s="40" t="s">
        <v>52</v>
      </c>
      <c r="E132" s="41">
        <v>-3375</v>
      </c>
      <c r="F132" s="42">
        <v>-33.014249999999997</v>
      </c>
      <c r="G132" s="43">
        <v>-6.9230356117585407E-2</v>
      </c>
    </row>
    <row r="133" spans="2:7" x14ac:dyDescent="0.2">
      <c r="B133" s="40" t="s">
        <v>283</v>
      </c>
      <c r="C133" s="40" t="s">
        <v>222</v>
      </c>
      <c r="D133" s="40" t="s">
        <v>64</v>
      </c>
      <c r="E133" s="41">
        <v>-22400</v>
      </c>
      <c r="F133" s="42">
        <v>-357.30239999999998</v>
      </c>
      <c r="G133" s="43">
        <v>-0.74925743864143357</v>
      </c>
    </row>
    <row r="134" spans="2:7" x14ac:dyDescent="0.2">
      <c r="B134" s="40" t="s">
        <v>301</v>
      </c>
      <c r="C134" s="40" t="s">
        <v>222</v>
      </c>
      <c r="D134" s="40" t="s">
        <v>47</v>
      </c>
      <c r="E134" s="41">
        <v>-53125</v>
      </c>
      <c r="F134" s="42">
        <v>-1583.65625</v>
      </c>
      <c r="G134" s="43">
        <v>-3.3209019182728632</v>
      </c>
    </row>
    <row r="135" spans="2:7" x14ac:dyDescent="0.2">
      <c r="B135" s="40" t="s">
        <v>221</v>
      </c>
      <c r="C135" s="40" t="s">
        <v>222</v>
      </c>
      <c r="D135" s="40" t="s">
        <v>132</v>
      </c>
      <c r="E135" s="41">
        <v>-525</v>
      </c>
      <c r="F135" s="42">
        <v>-5.2444875</v>
      </c>
      <c r="G135" s="43">
        <v>-1.0997606708594778E-2</v>
      </c>
    </row>
    <row r="136" spans="2:7" x14ac:dyDescent="0.2">
      <c r="B136" s="40" t="s">
        <v>224</v>
      </c>
      <c r="C136" s="40" t="s">
        <v>222</v>
      </c>
      <c r="D136" s="40" t="s">
        <v>22</v>
      </c>
      <c r="E136" s="41">
        <v>-50</v>
      </c>
      <c r="F136" s="42">
        <v>-6.7320000000000002</v>
      </c>
      <c r="G136" s="43">
        <v>-1.4116896715314901E-2</v>
      </c>
    </row>
    <row r="137" spans="2:7" x14ac:dyDescent="0.2">
      <c r="B137" s="40" t="s">
        <v>278</v>
      </c>
      <c r="C137" s="40" t="s">
        <v>222</v>
      </c>
      <c r="D137" s="40" t="s">
        <v>22</v>
      </c>
      <c r="E137" s="41">
        <v>-2000</v>
      </c>
      <c r="F137" s="42">
        <v>-267.72000000000003</v>
      </c>
      <c r="G137" s="43">
        <v>-0.56140457347357475</v>
      </c>
    </row>
    <row r="138" spans="2:7" x14ac:dyDescent="0.2">
      <c r="B138" s="40" t="s">
        <v>252</v>
      </c>
      <c r="C138" s="40" t="s">
        <v>222</v>
      </c>
      <c r="D138" s="40" t="s">
        <v>22</v>
      </c>
      <c r="E138" s="41">
        <v>-2600</v>
      </c>
      <c r="F138" s="42">
        <v>-81.520399999999995</v>
      </c>
      <c r="G138" s="43">
        <v>-0.17094697964812192</v>
      </c>
    </row>
    <row r="139" spans="2:7" x14ac:dyDescent="0.2">
      <c r="B139" s="40" t="s">
        <v>233</v>
      </c>
      <c r="C139" s="40" t="s">
        <v>222</v>
      </c>
      <c r="D139" s="40" t="s">
        <v>22</v>
      </c>
      <c r="E139" s="41">
        <v>-600</v>
      </c>
      <c r="F139" s="42">
        <v>-18.690000000000001</v>
      </c>
      <c r="G139" s="43">
        <v>-3.9192632146351082E-2</v>
      </c>
    </row>
    <row r="140" spans="2:7" x14ac:dyDescent="0.2">
      <c r="B140" s="40" t="s">
        <v>254</v>
      </c>
      <c r="C140" s="40" t="s">
        <v>222</v>
      </c>
      <c r="D140" s="40" t="s">
        <v>25</v>
      </c>
      <c r="E140" s="41">
        <v>-2100</v>
      </c>
      <c r="F140" s="42">
        <v>-84.791700000000006</v>
      </c>
      <c r="G140" s="43">
        <v>-0.17780684361496829</v>
      </c>
    </row>
    <row r="141" spans="2:7" x14ac:dyDescent="0.2">
      <c r="B141" s="40" t="s">
        <v>354</v>
      </c>
      <c r="C141" s="40" t="s">
        <v>222</v>
      </c>
      <c r="D141" s="40" t="s">
        <v>169</v>
      </c>
      <c r="E141" s="41">
        <v>-12600</v>
      </c>
      <c r="F141" s="42">
        <v>-113.7024</v>
      </c>
      <c r="G141" s="43">
        <v>-0.23843212077888012</v>
      </c>
    </row>
    <row r="142" spans="2:7" x14ac:dyDescent="0.2">
      <c r="B142" s="40" t="s">
        <v>270</v>
      </c>
      <c r="C142" s="40" t="s">
        <v>222</v>
      </c>
      <c r="D142" s="40" t="s">
        <v>89</v>
      </c>
      <c r="E142" s="41">
        <v>-34000</v>
      </c>
      <c r="F142" s="42">
        <v>-189.72</v>
      </c>
      <c r="G142" s="43">
        <v>-0.39783981652251083</v>
      </c>
    </row>
    <row r="143" spans="2:7" x14ac:dyDescent="0.2">
      <c r="B143" s="40" t="s">
        <v>274</v>
      </c>
      <c r="C143" s="40" t="s">
        <v>222</v>
      </c>
      <c r="D143" s="40" t="s">
        <v>60</v>
      </c>
      <c r="E143" s="41">
        <v>-22950</v>
      </c>
      <c r="F143" s="42">
        <v>-254.159775</v>
      </c>
      <c r="G143" s="43">
        <v>-0.53296899775143702</v>
      </c>
    </row>
    <row r="144" spans="2:7" x14ac:dyDescent="0.2">
      <c r="B144" s="40" t="s">
        <v>298</v>
      </c>
      <c r="C144" s="40" t="s">
        <v>222</v>
      </c>
      <c r="D144" s="40" t="s">
        <v>12</v>
      </c>
      <c r="E144" s="41">
        <v>-260000</v>
      </c>
      <c r="F144" s="42">
        <v>-1008.15</v>
      </c>
      <c r="G144" s="43">
        <v>-2.1140744835925007</v>
      </c>
    </row>
    <row r="145" spans="2:7" x14ac:dyDescent="0.2">
      <c r="B145" s="40" t="s">
        <v>295</v>
      </c>
      <c r="C145" s="40" t="s">
        <v>222</v>
      </c>
      <c r="D145" s="40" t="s">
        <v>12</v>
      </c>
      <c r="E145" s="41">
        <v>-186000</v>
      </c>
      <c r="F145" s="42">
        <v>-717.774</v>
      </c>
      <c r="G145" s="43">
        <v>-1.5051606391768326</v>
      </c>
    </row>
    <row r="146" spans="2:7" x14ac:dyDescent="0.2">
      <c r="B146" s="40" t="s">
        <v>287</v>
      </c>
      <c r="C146" s="40" t="s">
        <v>222</v>
      </c>
      <c r="D146" s="40" t="s">
        <v>40</v>
      </c>
      <c r="E146" s="41">
        <v>-40500</v>
      </c>
      <c r="F146" s="42">
        <v>-514.47149999999999</v>
      </c>
      <c r="G146" s="43">
        <v>-1.0788385366121702</v>
      </c>
    </row>
    <row r="147" spans="2:7" x14ac:dyDescent="0.2">
      <c r="B147" s="40" t="s">
        <v>282</v>
      </c>
      <c r="C147" s="40" t="s">
        <v>222</v>
      </c>
      <c r="D147" s="40" t="s">
        <v>89</v>
      </c>
      <c r="E147" s="41">
        <v>-138650</v>
      </c>
      <c r="F147" s="42">
        <v>-342.63188000000002</v>
      </c>
      <c r="G147" s="43">
        <v>-0.71849359199853968</v>
      </c>
    </row>
    <row r="148" spans="2:7" x14ac:dyDescent="0.2">
      <c r="B148" s="40" t="s">
        <v>299</v>
      </c>
      <c r="C148" s="40" t="s">
        <v>222</v>
      </c>
      <c r="D148" s="40" t="s">
        <v>39</v>
      </c>
      <c r="E148" s="41">
        <v>-377600</v>
      </c>
      <c r="F148" s="42">
        <v>-1192.2719999999999</v>
      </c>
      <c r="G148" s="43">
        <v>-2.5001753833276781</v>
      </c>
    </row>
    <row r="149" spans="2:7" x14ac:dyDescent="0.2">
      <c r="B149" s="40" t="s">
        <v>266</v>
      </c>
      <c r="C149" s="40" t="s">
        <v>222</v>
      </c>
      <c r="D149" s="40" t="s">
        <v>28</v>
      </c>
      <c r="E149" s="41">
        <v>-112125</v>
      </c>
      <c r="F149" s="42">
        <v>-160.47329999999999</v>
      </c>
      <c r="G149" s="43">
        <v>-0.33650995271327133</v>
      </c>
    </row>
    <row r="150" spans="2:7" x14ac:dyDescent="0.2">
      <c r="B150" s="40" t="s">
        <v>234</v>
      </c>
      <c r="C150" s="40" t="s">
        <v>222</v>
      </c>
      <c r="D150" s="40" t="s">
        <v>12</v>
      </c>
      <c r="E150" s="41">
        <v>-2100</v>
      </c>
      <c r="F150" s="42">
        <v>-19.34835</v>
      </c>
      <c r="G150" s="43">
        <v>-4.0573181604539967E-2</v>
      </c>
    </row>
    <row r="151" spans="2:7" x14ac:dyDescent="0.2">
      <c r="B151" s="40" t="s">
        <v>258</v>
      </c>
      <c r="C151" s="40" t="s">
        <v>222</v>
      </c>
      <c r="D151" s="40" t="s">
        <v>151</v>
      </c>
      <c r="E151" s="41">
        <v>-16000</v>
      </c>
      <c r="F151" s="42">
        <v>-102.4</v>
      </c>
      <c r="G151" s="43">
        <v>-0.21473116809985823</v>
      </c>
    </row>
    <row r="152" spans="2:7" x14ac:dyDescent="0.2">
      <c r="B152" s="40" t="s">
        <v>277</v>
      </c>
      <c r="C152" s="40" t="s">
        <v>222</v>
      </c>
      <c r="D152" s="40" t="s">
        <v>12</v>
      </c>
      <c r="E152" s="41">
        <v>-371000</v>
      </c>
      <c r="F152" s="42">
        <v>-259.92259999999999</v>
      </c>
      <c r="G152" s="43">
        <v>-0.54505354993703337</v>
      </c>
    </row>
    <row r="153" spans="2:7" x14ac:dyDescent="0.2">
      <c r="B153" s="40" t="s">
        <v>241</v>
      </c>
      <c r="C153" s="40" t="s">
        <v>222</v>
      </c>
      <c r="D153" s="40" t="s">
        <v>17</v>
      </c>
      <c r="E153" s="41">
        <v>-357375</v>
      </c>
      <c r="F153" s="42">
        <v>-36.9168375</v>
      </c>
      <c r="G153" s="43">
        <v>-7.7414019911402843E-2</v>
      </c>
    </row>
    <row r="154" spans="2:7" x14ac:dyDescent="0.2">
      <c r="B154" s="40" t="s">
        <v>284</v>
      </c>
      <c r="C154" s="40" t="s">
        <v>222</v>
      </c>
      <c r="D154" s="40" t="s">
        <v>17</v>
      </c>
      <c r="E154" s="41">
        <v>-3573750</v>
      </c>
      <c r="F154" s="42">
        <v>-366.66674999999998</v>
      </c>
      <c r="G154" s="43">
        <v>-0.7688943313562373</v>
      </c>
    </row>
    <row r="155" spans="2:7" x14ac:dyDescent="0.2">
      <c r="B155" s="40" t="s">
        <v>229</v>
      </c>
      <c r="C155" s="40" t="s">
        <v>222</v>
      </c>
      <c r="D155" s="40" t="s">
        <v>64</v>
      </c>
      <c r="E155" s="41">
        <v>-2775</v>
      </c>
      <c r="F155" s="42">
        <v>-14.319000000000001</v>
      </c>
      <c r="G155" s="43">
        <v>-3.0026714804901076E-2</v>
      </c>
    </row>
    <row r="156" spans="2:7" x14ac:dyDescent="0.2">
      <c r="B156" s="40" t="s">
        <v>281</v>
      </c>
      <c r="C156" s="40" t="s">
        <v>222</v>
      </c>
      <c r="D156" s="40" t="s">
        <v>12</v>
      </c>
      <c r="E156" s="41">
        <v>-25200</v>
      </c>
      <c r="F156" s="42">
        <v>-322.18200000000002</v>
      </c>
      <c r="G156" s="43">
        <v>-0.67561051953855988</v>
      </c>
    </row>
    <row r="157" spans="2:7" x14ac:dyDescent="0.2">
      <c r="B157" s="40" t="s">
        <v>304</v>
      </c>
      <c r="C157" s="40" t="s">
        <v>222</v>
      </c>
      <c r="D157" s="40" t="s">
        <v>12</v>
      </c>
      <c r="E157" s="41">
        <v>-178500</v>
      </c>
      <c r="F157" s="42">
        <v>-2268.1995000000002</v>
      </c>
      <c r="G157" s="43">
        <v>-4.7563782042823677</v>
      </c>
    </row>
    <row r="158" spans="2:7" x14ac:dyDescent="0.2">
      <c r="B158" s="40" t="s">
        <v>226</v>
      </c>
      <c r="C158" s="40" t="s">
        <v>222</v>
      </c>
      <c r="D158" s="40" t="s">
        <v>120</v>
      </c>
      <c r="E158" s="41">
        <v>-700</v>
      </c>
      <c r="F158" s="42">
        <v>-7.2961</v>
      </c>
      <c r="G158" s="43">
        <v>-1.529980542552125E-2</v>
      </c>
    </row>
    <row r="159" spans="2:7" x14ac:dyDescent="0.2">
      <c r="B159" s="40" t="s">
        <v>267</v>
      </c>
      <c r="C159" s="40" t="s">
        <v>222</v>
      </c>
      <c r="D159" s="40" t="s">
        <v>64</v>
      </c>
      <c r="E159" s="41">
        <v>-29700</v>
      </c>
      <c r="F159" s="42">
        <v>-175.23</v>
      </c>
      <c r="G159" s="43">
        <v>-0.36745451744275548</v>
      </c>
    </row>
    <row r="160" spans="2:7" x14ac:dyDescent="0.2">
      <c r="B160" s="40" t="s">
        <v>305</v>
      </c>
      <c r="C160" s="40" t="s">
        <v>222</v>
      </c>
      <c r="D160" s="40" t="s">
        <v>12</v>
      </c>
      <c r="E160" s="41">
        <v>-314600</v>
      </c>
      <c r="F160" s="42">
        <v>-2441.6106</v>
      </c>
      <c r="G160" s="43">
        <v>-5.1200185174120687</v>
      </c>
    </row>
    <row r="161" spans="2:7" x14ac:dyDescent="0.2">
      <c r="B161" s="40" t="s">
        <v>236</v>
      </c>
      <c r="C161" s="40" t="s">
        <v>222</v>
      </c>
      <c r="D161" s="40" t="s">
        <v>47</v>
      </c>
      <c r="E161" s="41">
        <v>-900</v>
      </c>
      <c r="F161" s="42">
        <v>-24.567299999999999</v>
      </c>
      <c r="G161" s="43">
        <v>-5.1517236582613743E-2</v>
      </c>
    </row>
    <row r="162" spans="2:7" x14ac:dyDescent="0.2">
      <c r="B162" s="40" t="s">
        <v>255</v>
      </c>
      <c r="C162" s="40" t="s">
        <v>222</v>
      </c>
      <c r="D162" s="40" t="s">
        <v>117</v>
      </c>
      <c r="E162" s="41">
        <v>-2250</v>
      </c>
      <c r="F162" s="42">
        <v>-98.194500000000005</v>
      </c>
      <c r="G162" s="43">
        <v>-0.20591230162091337</v>
      </c>
    </row>
    <row r="163" spans="2:7" x14ac:dyDescent="0.2">
      <c r="B163" s="40" t="s">
        <v>269</v>
      </c>
      <c r="C163" s="40" t="s">
        <v>222</v>
      </c>
      <c r="D163" s="40" t="s">
        <v>73</v>
      </c>
      <c r="E163" s="41">
        <v>-6750</v>
      </c>
      <c r="F163" s="42">
        <v>-189.18899999999999</v>
      </c>
      <c r="G163" s="43">
        <v>-0.39672631798480551</v>
      </c>
    </row>
    <row r="164" spans="2:7" x14ac:dyDescent="0.2">
      <c r="B164" s="40" t="s">
        <v>279</v>
      </c>
      <c r="C164" s="40" t="s">
        <v>222</v>
      </c>
      <c r="D164" s="40" t="s">
        <v>169</v>
      </c>
      <c r="E164" s="41">
        <v>-15675</v>
      </c>
      <c r="F164" s="42">
        <v>-288.57675</v>
      </c>
      <c r="G164" s="43">
        <v>-0.60514084583946059</v>
      </c>
    </row>
    <row r="165" spans="2:7" x14ac:dyDescent="0.2">
      <c r="B165" s="40" t="s">
        <v>231</v>
      </c>
      <c r="C165" s="40" t="s">
        <v>222</v>
      </c>
      <c r="D165" s="40" t="s">
        <v>164</v>
      </c>
      <c r="E165" s="41">
        <v>-1500</v>
      </c>
      <c r="F165" s="42">
        <v>-15.972</v>
      </c>
      <c r="G165" s="43">
        <v>-3.3493029461825544E-2</v>
      </c>
    </row>
    <row r="166" spans="2:7" x14ac:dyDescent="0.2">
      <c r="B166" s="40" t="s">
        <v>230</v>
      </c>
      <c r="C166" s="40" t="s">
        <v>222</v>
      </c>
      <c r="D166" s="40" t="s">
        <v>161</v>
      </c>
      <c r="E166" s="41">
        <v>-9450</v>
      </c>
      <c r="F166" s="42">
        <v>-15.48288</v>
      </c>
      <c r="G166" s="43">
        <v>-3.2467352616698565E-2</v>
      </c>
    </row>
    <row r="167" spans="2:7" x14ac:dyDescent="0.2">
      <c r="B167" s="40" t="s">
        <v>265</v>
      </c>
      <c r="C167" s="40" t="s">
        <v>222</v>
      </c>
      <c r="D167" s="40" t="s">
        <v>12</v>
      </c>
      <c r="E167" s="41">
        <v>-52500</v>
      </c>
      <c r="F167" s="42">
        <v>-151.095</v>
      </c>
      <c r="G167" s="43">
        <v>-0.31684380707078208</v>
      </c>
    </row>
    <row r="168" spans="2:7" x14ac:dyDescent="0.2">
      <c r="B168" s="40" t="s">
        <v>232</v>
      </c>
      <c r="C168" s="40" t="s">
        <v>222</v>
      </c>
      <c r="D168" s="40" t="s">
        <v>52</v>
      </c>
      <c r="E168" s="41">
        <v>-7275</v>
      </c>
      <c r="F168" s="42">
        <v>-18.075465000000001</v>
      </c>
      <c r="G168" s="43">
        <v>-3.7903962044903365E-2</v>
      </c>
    </row>
    <row r="169" spans="2:7" x14ac:dyDescent="0.2">
      <c r="B169" s="40" t="s">
        <v>235</v>
      </c>
      <c r="C169" s="40" t="s">
        <v>222</v>
      </c>
      <c r="D169" s="40" t="s">
        <v>22</v>
      </c>
      <c r="E169" s="41">
        <v>-300</v>
      </c>
      <c r="F169" s="42">
        <v>-21.446999999999999</v>
      </c>
      <c r="G169" s="43">
        <v>-4.4974017209352152E-2</v>
      </c>
    </row>
    <row r="170" spans="2:7" x14ac:dyDescent="0.2">
      <c r="B170" s="40" t="s">
        <v>272</v>
      </c>
      <c r="C170" s="40" t="s">
        <v>222</v>
      </c>
      <c r="D170" s="40" t="s">
        <v>169</v>
      </c>
      <c r="E170" s="41">
        <v>-35475</v>
      </c>
      <c r="F170" s="42">
        <v>-209.42666249999999</v>
      </c>
      <c r="G170" s="43">
        <v>-0.43916437372929479</v>
      </c>
    </row>
    <row r="171" spans="2:7" x14ac:dyDescent="0.2">
      <c r="B171" s="40" t="s">
        <v>242</v>
      </c>
      <c r="C171" s="40" t="s">
        <v>222</v>
      </c>
      <c r="D171" s="40" t="s">
        <v>73</v>
      </c>
      <c r="E171" s="41">
        <v>-1950</v>
      </c>
      <c r="F171" s="42">
        <v>-37.371749999999999</v>
      </c>
      <c r="G171" s="43">
        <v>-7.8367964174178489E-2</v>
      </c>
    </row>
    <row r="172" spans="2:7" x14ac:dyDescent="0.2">
      <c r="B172" s="40" t="s">
        <v>228</v>
      </c>
      <c r="C172" s="40" t="s">
        <v>222</v>
      </c>
      <c r="D172" s="40" t="s">
        <v>164</v>
      </c>
      <c r="E172" s="41">
        <v>-2500</v>
      </c>
      <c r="F172" s="42">
        <v>-11.102499999999999</v>
      </c>
      <c r="G172" s="43">
        <v>-2.3281765564733166E-2</v>
      </c>
    </row>
    <row r="173" spans="2:7" x14ac:dyDescent="0.2">
      <c r="B173" s="40" t="s">
        <v>253</v>
      </c>
      <c r="C173" s="40" t="s">
        <v>222</v>
      </c>
      <c r="D173" s="40" t="s">
        <v>55</v>
      </c>
      <c r="E173" s="41">
        <v>-30600</v>
      </c>
      <c r="F173" s="42">
        <v>-83.590019999999996</v>
      </c>
      <c r="G173" s="43">
        <v>-0.17528693980557142</v>
      </c>
    </row>
    <row r="174" spans="2:7" x14ac:dyDescent="0.2">
      <c r="B174" s="40" t="s">
        <v>248</v>
      </c>
      <c r="C174" s="40" t="s">
        <v>222</v>
      </c>
      <c r="D174" s="40" t="s">
        <v>60</v>
      </c>
      <c r="E174" s="41">
        <v>-4875</v>
      </c>
      <c r="F174" s="42">
        <v>-64.116</v>
      </c>
      <c r="G174" s="43">
        <v>-0.13445023021377453</v>
      </c>
    </row>
    <row r="175" spans="2:7" x14ac:dyDescent="0.2">
      <c r="B175" s="40" t="s">
        <v>296</v>
      </c>
      <c r="C175" s="40" t="s">
        <v>222</v>
      </c>
      <c r="D175" s="40" t="s">
        <v>12</v>
      </c>
      <c r="E175" s="41">
        <v>-573750</v>
      </c>
      <c r="F175" s="42">
        <v>-777.14437499999997</v>
      </c>
      <c r="G175" s="43">
        <v>-1.6296593693943779</v>
      </c>
    </row>
    <row r="176" spans="2:7" x14ac:dyDescent="0.2">
      <c r="B176" s="40" t="s">
        <v>245</v>
      </c>
      <c r="C176" s="40" t="s">
        <v>222</v>
      </c>
      <c r="D176" s="40" t="s">
        <v>34</v>
      </c>
      <c r="E176" s="41">
        <v>-875</v>
      </c>
      <c r="F176" s="42">
        <v>-50.281874999999999</v>
      </c>
      <c r="G176" s="43">
        <v>-0.10544029055665098</v>
      </c>
    </row>
    <row r="177" spans="2:7" x14ac:dyDescent="0.2">
      <c r="B177" s="40" t="s">
        <v>297</v>
      </c>
      <c r="C177" s="40" t="s">
        <v>222</v>
      </c>
      <c r="D177" s="40" t="s">
        <v>28</v>
      </c>
      <c r="E177" s="41">
        <v>-298225</v>
      </c>
      <c r="F177" s="42">
        <v>-901.534175</v>
      </c>
      <c r="G177" s="43">
        <v>-1.8905027976532425</v>
      </c>
    </row>
    <row r="178" spans="2:7" x14ac:dyDescent="0.2">
      <c r="B178" s="40" t="s">
        <v>292</v>
      </c>
      <c r="C178" s="40" t="s">
        <v>222</v>
      </c>
      <c r="D178" s="40" t="s">
        <v>152</v>
      </c>
      <c r="E178" s="41">
        <v>-178500</v>
      </c>
      <c r="F178" s="42">
        <v>-632.81820000000005</v>
      </c>
      <c r="G178" s="43">
        <v>-1.3270096804770481</v>
      </c>
    </row>
    <row r="179" spans="2:7" x14ac:dyDescent="0.2">
      <c r="B179" s="40" t="s">
        <v>271</v>
      </c>
      <c r="C179" s="40" t="s">
        <v>222</v>
      </c>
      <c r="D179" s="40" t="s">
        <v>17</v>
      </c>
      <c r="E179" s="41">
        <v>-10450</v>
      </c>
      <c r="F179" s="42">
        <v>-199.39644999999999</v>
      </c>
      <c r="G179" s="43">
        <v>-0.41813117796352522</v>
      </c>
    </row>
    <row r="180" spans="2:7" x14ac:dyDescent="0.2">
      <c r="B180" s="40" t="s">
        <v>302</v>
      </c>
      <c r="C180" s="40" t="s">
        <v>222</v>
      </c>
      <c r="D180" s="40" t="s">
        <v>17</v>
      </c>
      <c r="E180" s="41">
        <v>-90725</v>
      </c>
      <c r="F180" s="42">
        <v>-1720.5089</v>
      </c>
      <c r="G180" s="43">
        <v>-3.6078797443672093</v>
      </c>
    </row>
    <row r="181" spans="2:7" x14ac:dyDescent="0.2">
      <c r="B181" s="40" t="s">
        <v>289</v>
      </c>
      <c r="C181" s="40" t="s">
        <v>222</v>
      </c>
      <c r="D181" s="40" t="s">
        <v>117</v>
      </c>
      <c r="E181" s="41">
        <v>-125400</v>
      </c>
      <c r="F181" s="42">
        <v>-544.17330000000004</v>
      </c>
      <c r="G181" s="43">
        <v>-1.1411227378686972</v>
      </c>
    </row>
    <row r="182" spans="2:7" x14ac:dyDescent="0.2">
      <c r="B182" s="40" t="s">
        <v>288</v>
      </c>
      <c r="C182" s="40" t="s">
        <v>222</v>
      </c>
      <c r="D182" s="40" t="s">
        <v>12</v>
      </c>
      <c r="E182" s="41">
        <v>-201825</v>
      </c>
      <c r="F182" s="42">
        <v>-535.03807500000005</v>
      </c>
      <c r="G182" s="43">
        <v>-1.1219663166274372</v>
      </c>
    </row>
    <row r="183" spans="2:7" x14ac:dyDescent="0.2">
      <c r="B183" s="40" t="s">
        <v>259</v>
      </c>
      <c r="C183" s="40" t="s">
        <v>222</v>
      </c>
      <c r="D183" s="40" t="s">
        <v>89</v>
      </c>
      <c r="E183" s="41">
        <v>-11250</v>
      </c>
      <c r="F183" s="42">
        <v>-105.9975</v>
      </c>
      <c r="G183" s="43">
        <v>-0.22227506826821022</v>
      </c>
    </row>
    <row r="184" spans="2:7" x14ac:dyDescent="0.2">
      <c r="B184" s="40" t="s">
        <v>280</v>
      </c>
      <c r="C184" s="40" t="s">
        <v>222</v>
      </c>
      <c r="D184" s="40" t="s">
        <v>89</v>
      </c>
      <c r="E184" s="41">
        <v>-32250</v>
      </c>
      <c r="F184" s="42">
        <v>-303.90787499999999</v>
      </c>
      <c r="G184" s="43">
        <v>-0.63728997063960657</v>
      </c>
    </row>
    <row r="185" spans="2:7" x14ac:dyDescent="0.2">
      <c r="B185" s="40" t="s">
        <v>249</v>
      </c>
      <c r="C185" s="40" t="s">
        <v>222</v>
      </c>
      <c r="D185" s="40" t="s">
        <v>89</v>
      </c>
      <c r="E185" s="41">
        <v>-4250</v>
      </c>
      <c r="F185" s="42">
        <v>-74.477000000000004</v>
      </c>
      <c r="G185" s="43">
        <v>-0.15617708209544084</v>
      </c>
    </row>
    <row r="186" spans="2:7" x14ac:dyDescent="0.2">
      <c r="B186" s="40" t="s">
        <v>286</v>
      </c>
      <c r="C186" s="40" t="s">
        <v>222</v>
      </c>
      <c r="D186" s="40" t="s">
        <v>12</v>
      </c>
      <c r="E186" s="41">
        <v>-33750</v>
      </c>
      <c r="F186" s="42">
        <v>-433.24874999999997</v>
      </c>
      <c r="G186" s="43">
        <v>-0.90851572427054161</v>
      </c>
    </row>
    <row r="187" spans="2:7" x14ac:dyDescent="0.2">
      <c r="B187" s="40" t="s">
        <v>275</v>
      </c>
      <c r="C187" s="40" t="s">
        <v>222</v>
      </c>
      <c r="D187" s="40" t="s">
        <v>12</v>
      </c>
      <c r="E187" s="41">
        <v>-20000</v>
      </c>
      <c r="F187" s="42">
        <v>-255.18</v>
      </c>
      <c r="G187" s="43">
        <v>-0.53510839331759608</v>
      </c>
    </row>
    <row r="188" spans="2:7" x14ac:dyDescent="0.2">
      <c r="B188" s="40" t="s">
        <v>293</v>
      </c>
      <c r="C188" s="40" t="s">
        <v>222</v>
      </c>
      <c r="D188" s="40" t="s">
        <v>12</v>
      </c>
      <c r="E188" s="41">
        <v>-69000</v>
      </c>
      <c r="F188" s="42">
        <v>-704.59349999999995</v>
      </c>
      <c r="G188" s="43">
        <v>-1.4775213407281982</v>
      </c>
    </row>
    <row r="189" spans="2:7" x14ac:dyDescent="0.2">
      <c r="B189" s="40" t="s">
        <v>251</v>
      </c>
      <c r="C189" s="40" t="s">
        <v>222</v>
      </c>
      <c r="D189" s="40" t="s">
        <v>55</v>
      </c>
      <c r="E189" s="41">
        <v>-3250</v>
      </c>
      <c r="F189" s="42">
        <v>-79.858999999999995</v>
      </c>
      <c r="G189" s="43">
        <v>-0.16746305032506426</v>
      </c>
    </row>
    <row r="190" spans="2:7" x14ac:dyDescent="0.2">
      <c r="B190" s="40" t="s">
        <v>244</v>
      </c>
      <c r="C190" s="40" t="s">
        <v>222</v>
      </c>
      <c r="D190" s="40" t="s">
        <v>73</v>
      </c>
      <c r="E190" s="41">
        <v>-9450</v>
      </c>
      <c r="F190" s="42">
        <v>-42.2226</v>
      </c>
      <c r="G190" s="43">
        <v>-8.8540119318487057E-2</v>
      </c>
    </row>
    <row r="191" spans="2:7" x14ac:dyDescent="0.2">
      <c r="B191" s="40" t="s">
        <v>238</v>
      </c>
      <c r="C191" s="40" t="s">
        <v>222</v>
      </c>
      <c r="D191" s="40" t="s">
        <v>125</v>
      </c>
      <c r="E191" s="41">
        <v>-1900</v>
      </c>
      <c r="F191" s="42">
        <v>-31.595099999999999</v>
      </c>
      <c r="G191" s="43">
        <v>-6.6254421183904608E-2</v>
      </c>
    </row>
    <row r="192" spans="2:7" x14ac:dyDescent="0.2">
      <c r="B192" s="40" t="s">
        <v>306</v>
      </c>
      <c r="C192" s="40" t="s">
        <v>222</v>
      </c>
      <c r="D192" s="40" t="s">
        <v>76</v>
      </c>
      <c r="E192" s="41">
        <v>-106296</v>
      </c>
      <c r="F192" s="42">
        <v>-2574.2765280000003</v>
      </c>
      <c r="G192" s="43">
        <v>-5.3982168541942137</v>
      </c>
    </row>
    <row r="193" spans="2:7" ht="10.5" x14ac:dyDescent="0.25">
      <c r="B193" s="37"/>
      <c r="C193" s="37"/>
      <c r="D193" s="37"/>
      <c r="E193" s="37"/>
      <c r="F193" s="38">
        <f>SUM(F107:F192)</f>
        <v>-31697.231220500005</v>
      </c>
      <c r="G193" s="39">
        <f>SUM(G107:G192)</f>
        <v>-66.468588725676369</v>
      </c>
    </row>
    <row r="195" spans="2:7" ht="10.5" x14ac:dyDescent="0.25">
      <c r="B195" s="11" t="s">
        <v>308</v>
      </c>
    </row>
    <row r="197" spans="2:7" ht="10.5" x14ac:dyDescent="0.2">
      <c r="B197" s="48" t="s">
        <v>103</v>
      </c>
    </row>
    <row r="198" spans="2:7" ht="10.5" x14ac:dyDescent="0.2">
      <c r="B198" s="48"/>
    </row>
    <row r="199" spans="2:7" x14ac:dyDescent="0.2">
      <c r="B199" s="51" t="s">
        <v>312</v>
      </c>
    </row>
    <row r="200" spans="2:7" x14ac:dyDescent="0.2">
      <c r="B200" s="51" t="s">
        <v>316</v>
      </c>
    </row>
    <row r="201" spans="2:7" x14ac:dyDescent="0.2">
      <c r="B201" s="51" t="s">
        <v>317</v>
      </c>
    </row>
    <row r="202" spans="2:7" ht="10.5" x14ac:dyDescent="0.2">
      <c r="B202" s="48"/>
    </row>
    <row r="203" spans="2:7" ht="10.5" x14ac:dyDescent="0.2">
      <c r="B203" s="55" t="s">
        <v>313</v>
      </c>
      <c r="C203" s="52" t="s">
        <v>318</v>
      </c>
      <c r="D203" s="52" t="s">
        <v>314</v>
      </c>
    </row>
    <row r="204" spans="2:7" x14ac:dyDescent="0.2">
      <c r="B204" s="53" t="s">
        <v>315</v>
      </c>
      <c r="C204" s="57">
        <v>10.216799999999999</v>
      </c>
      <c r="D204" s="56">
        <v>10.2623</v>
      </c>
    </row>
    <row r="205" spans="2:7" ht="10.5" x14ac:dyDescent="0.2">
      <c r="B205" s="48"/>
    </row>
    <row r="206" spans="2:7" ht="10.5" x14ac:dyDescent="0.2">
      <c r="B206" s="48"/>
    </row>
    <row r="207" spans="2:7" ht="10.5" x14ac:dyDescent="0.2">
      <c r="B207" s="48"/>
    </row>
    <row r="208" spans="2:7" x14ac:dyDescent="0.2">
      <c r="B208" s="51" t="s">
        <v>358</v>
      </c>
    </row>
    <row r="209" spans="2:6" x14ac:dyDescent="0.2">
      <c r="B209" s="51"/>
    </row>
    <row r="210" spans="2:6" ht="10.5" x14ac:dyDescent="0.2">
      <c r="B210" s="59" t="s">
        <v>346</v>
      </c>
    </row>
    <row r="211" spans="2:6" x14ac:dyDescent="0.2">
      <c r="B211" s="54"/>
    </row>
    <row r="212" spans="2:6" x14ac:dyDescent="0.2">
      <c r="B212" s="64" t="s">
        <v>353</v>
      </c>
      <c r="C212" s="63"/>
      <c r="D212" s="63"/>
      <c r="E212" s="63"/>
      <c r="F212" s="63"/>
    </row>
    <row r="213" spans="2:6" x14ac:dyDescent="0.2">
      <c r="B213" s="64"/>
      <c r="C213" s="63"/>
      <c r="D213" s="63"/>
      <c r="E213" s="63"/>
      <c r="F213" s="63"/>
    </row>
    <row r="214" spans="2:6" ht="21" x14ac:dyDescent="0.2">
      <c r="B214" s="79" t="s">
        <v>319</v>
      </c>
      <c r="C214" s="80" t="s">
        <v>320</v>
      </c>
      <c r="D214" s="80" t="s">
        <v>321</v>
      </c>
      <c r="E214" s="80" t="s">
        <v>322</v>
      </c>
      <c r="F214" s="80" t="s">
        <v>323</v>
      </c>
    </row>
    <row r="215" spans="2:6" x14ac:dyDescent="0.2">
      <c r="B215" s="81" t="s">
        <v>286</v>
      </c>
      <c r="C215" s="82" t="s">
        <v>222</v>
      </c>
      <c r="D215" s="83">
        <v>1283.4740999999999</v>
      </c>
      <c r="E215" s="84">
        <v>1283.7</v>
      </c>
      <c r="F215" s="107">
        <v>121.42588625</v>
      </c>
    </row>
    <row r="216" spans="2:6" x14ac:dyDescent="0.2">
      <c r="B216" s="81" t="s">
        <v>275</v>
      </c>
      <c r="C216" s="82" t="s">
        <v>222</v>
      </c>
      <c r="D216" s="83">
        <v>1374.4749999999999</v>
      </c>
      <c r="E216" s="84">
        <v>1275.9000000000001</v>
      </c>
      <c r="F216" s="108"/>
    </row>
    <row r="217" spans="2:6" x14ac:dyDescent="0.2">
      <c r="B217" s="81" t="s">
        <v>259</v>
      </c>
      <c r="C217" s="82" t="s">
        <v>222</v>
      </c>
      <c r="D217" s="83">
        <v>941.18</v>
      </c>
      <c r="E217" s="84">
        <v>942.2</v>
      </c>
      <c r="F217" s="107">
        <v>78.823588125000001</v>
      </c>
    </row>
    <row r="218" spans="2:6" x14ac:dyDescent="0.2">
      <c r="B218" s="81" t="s">
        <v>280</v>
      </c>
      <c r="C218" s="82" t="s">
        <v>222</v>
      </c>
      <c r="D218" s="83">
        <v>893.75</v>
      </c>
      <c r="E218" s="84">
        <v>942.35</v>
      </c>
      <c r="F218" s="108"/>
    </row>
    <row r="219" spans="2:6" x14ac:dyDescent="0.2">
      <c r="B219" s="81" t="s">
        <v>271</v>
      </c>
      <c r="C219" s="82" t="s">
        <v>222</v>
      </c>
      <c r="D219" s="83">
        <v>1851.4364</v>
      </c>
      <c r="E219" s="84">
        <v>1908.1</v>
      </c>
      <c r="F219" s="107">
        <v>338.89036725</v>
      </c>
    </row>
    <row r="220" spans="2:6" x14ac:dyDescent="0.2">
      <c r="B220" s="81" t="s">
        <v>302</v>
      </c>
      <c r="C220" s="82" t="s">
        <v>222</v>
      </c>
      <c r="D220" s="83">
        <v>1851.1738</v>
      </c>
      <c r="E220" s="84">
        <v>1896.4</v>
      </c>
      <c r="F220" s="108"/>
    </row>
    <row r="221" spans="2:6" x14ac:dyDescent="0.2">
      <c r="B221" s="81" t="s">
        <v>281</v>
      </c>
      <c r="C221" s="82" t="s">
        <v>222</v>
      </c>
      <c r="D221" s="83">
        <v>1282.325</v>
      </c>
      <c r="E221" s="84">
        <v>1278.5</v>
      </c>
      <c r="F221" s="107">
        <v>456.98693250000002</v>
      </c>
    </row>
    <row r="222" spans="2:6" x14ac:dyDescent="0.2">
      <c r="B222" s="81" t="s">
        <v>304</v>
      </c>
      <c r="C222" s="82" t="s">
        <v>222</v>
      </c>
      <c r="D222" s="83">
        <v>1351.1322</v>
      </c>
      <c r="E222" s="84">
        <v>1270.7</v>
      </c>
      <c r="F222" s="108"/>
    </row>
    <row r="223" spans="2:6" x14ac:dyDescent="0.2">
      <c r="B223" s="81" t="s">
        <v>241</v>
      </c>
      <c r="C223" s="82" t="s">
        <v>222</v>
      </c>
      <c r="D223" s="83">
        <v>9.6539999999999999</v>
      </c>
      <c r="E223" s="84">
        <v>10.33</v>
      </c>
      <c r="F223" s="107">
        <v>189.13017368700002</v>
      </c>
    </row>
    <row r="224" spans="2:6" x14ac:dyDescent="0.2">
      <c r="B224" s="81" t="s">
        <v>284</v>
      </c>
      <c r="C224" s="82" t="s">
        <v>222</v>
      </c>
      <c r="D224" s="83">
        <v>9.4451999999999998</v>
      </c>
      <c r="E224" s="84">
        <v>10.26</v>
      </c>
      <c r="F224" s="108"/>
    </row>
    <row r="225" spans="2:6" x14ac:dyDescent="0.2">
      <c r="B225" s="81" t="s">
        <v>298</v>
      </c>
      <c r="C225" s="82" t="s">
        <v>222</v>
      </c>
      <c r="D225" s="83">
        <v>383.45</v>
      </c>
      <c r="E225" s="84">
        <v>387.75</v>
      </c>
      <c r="F225" s="107">
        <v>304.40593999999999</v>
      </c>
    </row>
    <row r="226" spans="2:6" x14ac:dyDescent="0.2">
      <c r="B226" s="81" t="s">
        <v>295</v>
      </c>
      <c r="C226" s="82" t="s">
        <v>222</v>
      </c>
      <c r="D226" s="83">
        <v>378.66180000000003</v>
      </c>
      <c r="E226" s="84">
        <v>385.9</v>
      </c>
      <c r="F226" s="108"/>
    </row>
    <row r="227" spans="2:6" x14ac:dyDescent="0.2">
      <c r="B227" s="81" t="s">
        <v>252</v>
      </c>
      <c r="C227" s="82" t="s">
        <v>222</v>
      </c>
      <c r="D227" s="83">
        <v>3130.7768999999998</v>
      </c>
      <c r="E227" s="84">
        <v>3135.4</v>
      </c>
      <c r="F227" s="107">
        <v>19.324683999999998</v>
      </c>
    </row>
    <row r="228" spans="2:6" x14ac:dyDescent="0.2">
      <c r="B228" s="81" t="s">
        <v>233</v>
      </c>
      <c r="C228" s="82" t="s">
        <v>222</v>
      </c>
      <c r="D228" s="83">
        <v>3243.1</v>
      </c>
      <c r="E228" s="84">
        <v>3115</v>
      </c>
      <c r="F228" s="108"/>
    </row>
    <row r="229" spans="2:6" x14ac:dyDescent="0.2">
      <c r="B229" s="81" t="s">
        <v>224</v>
      </c>
      <c r="C229" s="82" t="s">
        <v>222</v>
      </c>
      <c r="D229" s="83">
        <v>13262</v>
      </c>
      <c r="E229" s="84">
        <v>13464</v>
      </c>
      <c r="F229" s="107">
        <v>48.435079999999999</v>
      </c>
    </row>
    <row r="230" spans="2:6" x14ac:dyDescent="0.2">
      <c r="B230" s="81" t="s">
        <v>278</v>
      </c>
      <c r="C230" s="82" t="s">
        <v>222</v>
      </c>
      <c r="D230" s="83">
        <v>13330.8</v>
      </c>
      <c r="E230" s="84">
        <v>13386</v>
      </c>
      <c r="F230" s="108"/>
    </row>
    <row r="231" spans="2:6" x14ac:dyDescent="0.2">
      <c r="B231" s="81" t="s">
        <v>290</v>
      </c>
      <c r="C231" s="82" t="s">
        <v>222</v>
      </c>
      <c r="D231" s="83">
        <v>1360.6207999999999</v>
      </c>
      <c r="E231" s="84">
        <v>1444</v>
      </c>
      <c r="F231" s="107">
        <v>483.99354</v>
      </c>
    </row>
    <row r="232" spans="2:6" x14ac:dyDescent="0.2">
      <c r="B232" s="81" t="s">
        <v>303</v>
      </c>
      <c r="C232" s="82" t="s">
        <v>222</v>
      </c>
      <c r="D232" s="83">
        <v>1341.1351999999999</v>
      </c>
      <c r="E232" s="84">
        <v>1435.2</v>
      </c>
      <c r="F232" s="108"/>
    </row>
    <row r="233" spans="2:6" x14ac:dyDescent="0.2">
      <c r="B233" s="81" t="s">
        <v>237</v>
      </c>
      <c r="C233" s="82" t="s">
        <v>222</v>
      </c>
      <c r="D233" s="83">
        <v>11723.4</v>
      </c>
      <c r="E233" s="84">
        <v>11732</v>
      </c>
      <c r="F233" s="107">
        <v>15.451404999999999</v>
      </c>
    </row>
    <row r="234" spans="2:6" x14ac:dyDescent="0.2">
      <c r="B234" s="81" t="s">
        <v>247</v>
      </c>
      <c r="C234" s="82" t="s">
        <v>222</v>
      </c>
      <c r="D234" s="83">
        <v>11562.1</v>
      </c>
      <c r="E234" s="84">
        <v>11655</v>
      </c>
      <c r="F234" s="108"/>
    </row>
    <row r="235" spans="2:6" x14ac:dyDescent="0.2">
      <c r="B235" s="81" t="s">
        <v>261</v>
      </c>
      <c r="C235" s="82" t="s">
        <v>222</v>
      </c>
      <c r="D235" s="83">
        <v>20.193200000000001</v>
      </c>
      <c r="E235" s="84">
        <v>20.190000000000001</v>
      </c>
      <c r="F235" s="107">
        <v>168.94269510000001</v>
      </c>
    </row>
    <row r="236" spans="2:6" x14ac:dyDescent="0.2">
      <c r="B236" s="81" t="s">
        <v>294</v>
      </c>
      <c r="C236" s="82" t="s">
        <v>222</v>
      </c>
      <c r="D236" s="83">
        <v>18.970199999999998</v>
      </c>
      <c r="E236" s="84">
        <v>20.05</v>
      </c>
      <c r="F236" s="108"/>
    </row>
    <row r="237" spans="2:6" x14ac:dyDescent="0.2">
      <c r="B237" s="81" t="s">
        <v>306</v>
      </c>
      <c r="C237" s="82" t="s">
        <v>222</v>
      </c>
      <c r="D237" s="83">
        <v>2295.1502999999998</v>
      </c>
      <c r="E237" s="84">
        <v>2421.8000000000002</v>
      </c>
      <c r="F237" s="84">
        <v>647.77100847999998</v>
      </c>
    </row>
    <row r="238" spans="2:6" x14ac:dyDescent="0.2">
      <c r="B238" s="81" t="s">
        <v>238</v>
      </c>
      <c r="C238" s="82" t="s">
        <v>222</v>
      </c>
      <c r="D238" s="83">
        <v>1392</v>
      </c>
      <c r="E238" s="84">
        <v>1662.9</v>
      </c>
      <c r="F238" s="84">
        <v>6.6697885000000001</v>
      </c>
    </row>
    <row r="239" spans="2:6" x14ac:dyDescent="0.2">
      <c r="B239" s="81" t="s">
        <v>244</v>
      </c>
      <c r="C239" s="82" t="s">
        <v>222</v>
      </c>
      <c r="D239" s="83">
        <v>453.91109999999998</v>
      </c>
      <c r="E239" s="84">
        <v>446.8</v>
      </c>
      <c r="F239" s="84">
        <v>14.629361000000001</v>
      </c>
    </row>
    <row r="240" spans="2:6" x14ac:dyDescent="0.2">
      <c r="B240" s="81" t="s">
        <v>251</v>
      </c>
      <c r="C240" s="82" t="s">
        <v>222</v>
      </c>
      <c r="D240" s="83">
        <v>2247.277</v>
      </c>
      <c r="E240" s="84">
        <v>2457.1999999999998</v>
      </c>
      <c r="F240" s="84">
        <v>14.095644999999999</v>
      </c>
    </row>
    <row r="241" spans="2:6" x14ac:dyDescent="0.2">
      <c r="B241" s="81" t="s">
        <v>293</v>
      </c>
      <c r="C241" s="82" t="s">
        <v>222</v>
      </c>
      <c r="D241" s="83">
        <v>863.05290000000002</v>
      </c>
      <c r="E241" s="84">
        <v>1021.15</v>
      </c>
      <c r="F241" s="84">
        <v>143.5201725</v>
      </c>
    </row>
    <row r="242" spans="2:6" x14ac:dyDescent="0.2">
      <c r="B242" s="81" t="s">
        <v>249</v>
      </c>
      <c r="C242" s="82" t="s">
        <v>222</v>
      </c>
      <c r="D242" s="83">
        <v>1820.0293999999999</v>
      </c>
      <c r="E242" s="84">
        <v>1752.4</v>
      </c>
      <c r="F242" s="84">
        <v>13.169225000000001</v>
      </c>
    </row>
    <row r="243" spans="2:6" x14ac:dyDescent="0.2">
      <c r="B243" s="81" t="s">
        <v>288</v>
      </c>
      <c r="C243" s="82" t="s">
        <v>222</v>
      </c>
      <c r="D243" s="83">
        <v>272.16070000000002</v>
      </c>
      <c r="E243" s="84">
        <v>265.10000000000002</v>
      </c>
      <c r="F243" s="84">
        <v>105.28907262499999</v>
      </c>
    </row>
    <row r="244" spans="2:6" x14ac:dyDescent="0.2">
      <c r="B244" s="81" t="s">
        <v>289</v>
      </c>
      <c r="C244" s="82" t="s">
        <v>222</v>
      </c>
      <c r="D244" s="83">
        <v>448.76420000000002</v>
      </c>
      <c r="E244" s="84">
        <v>433.95</v>
      </c>
      <c r="F244" s="84">
        <v>107.37782550000001</v>
      </c>
    </row>
    <row r="245" spans="2:6" x14ac:dyDescent="0.2">
      <c r="B245" s="81" t="s">
        <v>292</v>
      </c>
      <c r="C245" s="82" t="s">
        <v>222</v>
      </c>
      <c r="D245" s="83">
        <v>342.02390000000003</v>
      </c>
      <c r="E245" s="84">
        <v>354.52</v>
      </c>
      <c r="F245" s="84">
        <v>154.02443700000001</v>
      </c>
    </row>
    <row r="246" spans="2:6" x14ac:dyDescent="0.2">
      <c r="B246" s="81" t="s">
        <v>297</v>
      </c>
      <c r="C246" s="82" t="s">
        <v>222</v>
      </c>
      <c r="D246" s="83">
        <v>308.39800000000002</v>
      </c>
      <c r="E246" s="84">
        <v>302.3</v>
      </c>
      <c r="F246" s="84">
        <v>178.578626125</v>
      </c>
    </row>
    <row r="247" spans="2:6" x14ac:dyDescent="0.2">
      <c r="B247" s="81" t="s">
        <v>245</v>
      </c>
      <c r="C247" s="82" t="s">
        <v>222</v>
      </c>
      <c r="D247" s="83">
        <v>5523.3571000000002</v>
      </c>
      <c r="E247" s="84">
        <v>5746.5</v>
      </c>
      <c r="F247" s="84">
        <v>8.8865656249999994</v>
      </c>
    </row>
    <row r="248" spans="2:6" x14ac:dyDescent="0.2">
      <c r="B248" s="81" t="s">
        <v>296</v>
      </c>
      <c r="C248" s="82" t="s">
        <v>222</v>
      </c>
      <c r="D248" s="83">
        <v>138.98820000000001</v>
      </c>
      <c r="E248" s="84">
        <v>135.44999999999999</v>
      </c>
      <c r="F248" s="84">
        <v>160.59693312499999</v>
      </c>
    </row>
    <row r="249" spans="2:6" x14ac:dyDescent="0.2">
      <c r="B249" s="81" t="s">
        <v>248</v>
      </c>
      <c r="C249" s="82" t="s">
        <v>222</v>
      </c>
      <c r="D249" s="83">
        <v>1246.8308</v>
      </c>
      <c r="E249" s="84">
        <v>1315.2</v>
      </c>
      <c r="F249" s="84">
        <v>11.32521</v>
      </c>
    </row>
    <row r="250" spans="2:6" x14ac:dyDescent="0.2">
      <c r="B250" s="81" t="s">
        <v>253</v>
      </c>
      <c r="C250" s="82" t="s">
        <v>222</v>
      </c>
      <c r="D250" s="83">
        <v>257.99470000000002</v>
      </c>
      <c r="E250" s="84">
        <v>273.17</v>
      </c>
      <c r="F250" s="84">
        <v>28.772093700000003</v>
      </c>
    </row>
    <row r="251" spans="2:6" x14ac:dyDescent="0.2">
      <c r="B251" s="81" t="s">
        <v>228</v>
      </c>
      <c r="C251" s="82" t="s">
        <v>222</v>
      </c>
      <c r="D251" s="83">
        <v>457.42500000000001</v>
      </c>
      <c r="E251" s="84">
        <v>444.1</v>
      </c>
      <c r="F251" s="84">
        <v>1.9585874999999999</v>
      </c>
    </row>
    <row r="252" spans="2:6" x14ac:dyDescent="0.2">
      <c r="B252" s="81" t="s">
        <v>242</v>
      </c>
      <c r="C252" s="82" t="s">
        <v>222</v>
      </c>
      <c r="D252" s="83">
        <v>1965.9666999999999</v>
      </c>
      <c r="E252" s="84">
        <v>1916.5</v>
      </c>
      <c r="F252" s="84">
        <v>6.9051012500000004</v>
      </c>
    </row>
    <row r="253" spans="2:6" x14ac:dyDescent="0.2">
      <c r="B253" s="81" t="s">
        <v>272</v>
      </c>
      <c r="C253" s="82" t="s">
        <v>222</v>
      </c>
      <c r="D253" s="83">
        <v>590.85469999999998</v>
      </c>
      <c r="E253" s="84">
        <v>590.35</v>
      </c>
      <c r="F253" s="84">
        <v>73.651332561999993</v>
      </c>
    </row>
    <row r="254" spans="2:6" x14ac:dyDescent="0.2">
      <c r="B254" s="81" t="s">
        <v>235</v>
      </c>
      <c r="C254" s="82" t="s">
        <v>222</v>
      </c>
      <c r="D254" s="83">
        <v>7177.3333000000002</v>
      </c>
      <c r="E254" s="84">
        <v>7149</v>
      </c>
      <c r="F254" s="84">
        <v>3.9211049999999998</v>
      </c>
    </row>
    <row r="255" spans="2:6" x14ac:dyDescent="0.2">
      <c r="B255" s="81" t="s">
        <v>232</v>
      </c>
      <c r="C255" s="82" t="s">
        <v>222</v>
      </c>
      <c r="D255" s="83">
        <v>238.64330000000001</v>
      </c>
      <c r="E255" s="84">
        <v>248.46</v>
      </c>
      <c r="F255" s="84">
        <v>4.2788712750000002</v>
      </c>
    </row>
    <row r="256" spans="2:6" x14ac:dyDescent="0.2">
      <c r="B256" s="81" t="s">
        <v>265</v>
      </c>
      <c r="C256" s="82" t="s">
        <v>222</v>
      </c>
      <c r="D256" s="83">
        <v>299.63330000000002</v>
      </c>
      <c r="E256" s="84">
        <v>287.8</v>
      </c>
      <c r="F256" s="84">
        <v>26.718824999999999</v>
      </c>
    </row>
    <row r="257" spans="2:6" x14ac:dyDescent="0.2">
      <c r="B257" s="81" t="s">
        <v>230</v>
      </c>
      <c r="C257" s="82" t="s">
        <v>222</v>
      </c>
      <c r="D257" s="83">
        <v>158.2433</v>
      </c>
      <c r="E257" s="84">
        <v>163.84</v>
      </c>
      <c r="F257" s="84">
        <v>2.9658308</v>
      </c>
    </row>
    <row r="258" spans="2:6" x14ac:dyDescent="0.2">
      <c r="B258" s="81" t="s">
        <v>231</v>
      </c>
      <c r="C258" s="82" t="s">
        <v>222</v>
      </c>
      <c r="D258" s="83">
        <v>1093.75</v>
      </c>
      <c r="E258" s="84">
        <v>1064.8</v>
      </c>
      <c r="F258" s="84">
        <v>2.8358699999999999</v>
      </c>
    </row>
    <row r="259" spans="2:6" x14ac:dyDescent="0.2">
      <c r="B259" s="81" t="s">
        <v>279</v>
      </c>
      <c r="C259" s="82" t="s">
        <v>222</v>
      </c>
      <c r="D259" s="83">
        <v>1808.9087999999999</v>
      </c>
      <c r="E259" s="84">
        <v>1841</v>
      </c>
      <c r="F259" s="84">
        <v>68.191736250000005</v>
      </c>
    </row>
    <row r="260" spans="2:6" x14ac:dyDescent="0.2">
      <c r="B260" s="81" t="s">
        <v>269</v>
      </c>
      <c r="C260" s="82" t="s">
        <v>222</v>
      </c>
      <c r="D260" s="83">
        <v>2793.1185</v>
      </c>
      <c r="E260" s="84">
        <v>2802.8</v>
      </c>
      <c r="F260" s="84">
        <v>33.451515000000001</v>
      </c>
    </row>
    <row r="261" spans="2:6" x14ac:dyDescent="0.2">
      <c r="B261" s="81" t="s">
        <v>255</v>
      </c>
      <c r="C261" s="82" t="s">
        <v>222</v>
      </c>
      <c r="D261" s="83">
        <v>4160.0866999999998</v>
      </c>
      <c r="E261" s="84">
        <v>4364.2</v>
      </c>
      <c r="F261" s="84">
        <v>20.178607499999998</v>
      </c>
    </row>
    <row r="262" spans="2:6" x14ac:dyDescent="0.2">
      <c r="B262" s="81" t="s">
        <v>236</v>
      </c>
      <c r="C262" s="82" t="s">
        <v>222</v>
      </c>
      <c r="D262" s="83">
        <v>2519.1667000000002</v>
      </c>
      <c r="E262" s="84">
        <v>2729.7</v>
      </c>
      <c r="F262" s="84">
        <v>5.0917455</v>
      </c>
    </row>
    <row r="263" spans="2:6" x14ac:dyDescent="0.2">
      <c r="B263" s="81" t="s">
        <v>305</v>
      </c>
      <c r="C263" s="82" t="s">
        <v>222</v>
      </c>
      <c r="D263" s="83">
        <v>790.90129999999999</v>
      </c>
      <c r="E263" s="84">
        <v>776.1</v>
      </c>
      <c r="F263" s="84">
        <v>430.76133100000004</v>
      </c>
    </row>
    <row r="264" spans="2:6" x14ac:dyDescent="0.2">
      <c r="B264" s="81" t="s">
        <v>267</v>
      </c>
      <c r="C264" s="82" t="s">
        <v>222</v>
      </c>
      <c r="D264" s="83">
        <v>600.51110000000006</v>
      </c>
      <c r="E264" s="84">
        <v>590</v>
      </c>
      <c r="F264" s="84">
        <v>30.92661</v>
      </c>
    </row>
    <row r="265" spans="2:6" x14ac:dyDescent="0.2">
      <c r="B265" s="81" t="s">
        <v>226</v>
      </c>
      <c r="C265" s="82" t="s">
        <v>222</v>
      </c>
      <c r="D265" s="83">
        <v>962.05</v>
      </c>
      <c r="E265" s="84">
        <v>1042.3</v>
      </c>
      <c r="F265" s="84">
        <v>1.4288435000000002</v>
      </c>
    </row>
    <row r="266" spans="2:6" x14ac:dyDescent="0.2">
      <c r="B266" s="81" t="s">
        <v>229</v>
      </c>
      <c r="C266" s="82" t="s">
        <v>222</v>
      </c>
      <c r="D266" s="83">
        <v>558.16669999999999</v>
      </c>
      <c r="E266" s="84">
        <v>516</v>
      </c>
      <c r="F266" s="84">
        <v>2.5294150000000002</v>
      </c>
    </row>
    <row r="267" spans="2:6" x14ac:dyDescent="0.2">
      <c r="B267" s="81" t="s">
        <v>277</v>
      </c>
      <c r="C267" s="82" t="s">
        <v>222</v>
      </c>
      <c r="D267" s="83">
        <v>69.08</v>
      </c>
      <c r="E267" s="84">
        <v>70.06</v>
      </c>
      <c r="F267" s="84">
        <v>56.696590999999998</v>
      </c>
    </row>
    <row r="268" spans="2:6" x14ac:dyDescent="0.2">
      <c r="B268" s="81" t="s">
        <v>258</v>
      </c>
      <c r="C268" s="82" t="s">
        <v>222</v>
      </c>
      <c r="D268" s="83">
        <v>647.34370000000001</v>
      </c>
      <c r="E268" s="84">
        <v>640</v>
      </c>
      <c r="F268" s="84">
        <v>19.3904</v>
      </c>
    </row>
    <row r="269" spans="2:6" x14ac:dyDescent="0.2">
      <c r="B269" s="81" t="s">
        <v>234</v>
      </c>
      <c r="C269" s="82" t="s">
        <v>222</v>
      </c>
      <c r="D269" s="83">
        <v>894.78330000000005</v>
      </c>
      <c r="E269" s="84">
        <v>921.35</v>
      </c>
      <c r="F269" s="84">
        <v>4.4072122499999997</v>
      </c>
    </row>
    <row r="270" spans="2:6" x14ac:dyDescent="0.2">
      <c r="B270" s="81" t="s">
        <v>266</v>
      </c>
      <c r="C270" s="82" t="s">
        <v>222</v>
      </c>
      <c r="D270" s="83">
        <v>147.32689999999999</v>
      </c>
      <c r="E270" s="84">
        <v>143.12</v>
      </c>
      <c r="F270" s="84">
        <v>29.544045499999999</v>
      </c>
    </row>
    <row r="271" spans="2:6" x14ac:dyDescent="0.2">
      <c r="B271" s="81" t="s">
        <v>299</v>
      </c>
      <c r="C271" s="82" t="s">
        <v>222</v>
      </c>
      <c r="D271" s="83">
        <v>305.71499999999997</v>
      </c>
      <c r="E271" s="84">
        <v>315.75</v>
      </c>
      <c r="F271" s="84">
        <v>210.85656</v>
      </c>
    </row>
    <row r="272" spans="2:6" x14ac:dyDescent="0.2">
      <c r="B272" s="81" t="s">
        <v>282</v>
      </c>
      <c r="C272" s="82" t="s">
        <v>222</v>
      </c>
      <c r="D272" s="83">
        <v>244.49359999999999</v>
      </c>
      <c r="E272" s="84">
        <v>247.12</v>
      </c>
      <c r="F272" s="84">
        <v>120.77413779999999</v>
      </c>
    </row>
    <row r="273" spans="2:6" x14ac:dyDescent="0.2">
      <c r="B273" s="81" t="s">
        <v>287</v>
      </c>
      <c r="C273" s="82" t="s">
        <v>222</v>
      </c>
      <c r="D273" s="83">
        <v>1258.6366</v>
      </c>
      <c r="E273" s="84">
        <v>1270.3</v>
      </c>
      <c r="F273" s="84">
        <v>90.853852500000002</v>
      </c>
    </row>
    <row r="274" spans="2:6" x14ac:dyDescent="0.2">
      <c r="B274" s="81" t="s">
        <v>274</v>
      </c>
      <c r="C274" s="82" t="s">
        <v>222</v>
      </c>
      <c r="D274" s="83">
        <v>1106.7074</v>
      </c>
      <c r="E274" s="84">
        <v>1107.45</v>
      </c>
      <c r="F274" s="84">
        <v>53.010082125000004</v>
      </c>
    </row>
    <row r="275" spans="2:6" x14ac:dyDescent="0.2">
      <c r="B275" s="81" t="s">
        <v>270</v>
      </c>
      <c r="C275" s="82" t="s">
        <v>222</v>
      </c>
      <c r="D275" s="83">
        <v>551.50289999999995</v>
      </c>
      <c r="E275" s="84">
        <v>558</v>
      </c>
      <c r="F275" s="84">
        <v>63.267200000000003</v>
      </c>
    </row>
    <row r="276" spans="2:6" x14ac:dyDescent="0.2">
      <c r="B276" s="81" t="s">
        <v>355</v>
      </c>
      <c r="C276" s="82" t="s">
        <v>222</v>
      </c>
      <c r="D276" s="83">
        <v>756.30359999999996</v>
      </c>
      <c r="E276" s="84">
        <v>902.4</v>
      </c>
      <c r="F276" s="84">
        <v>28.068263999999999</v>
      </c>
    </row>
    <row r="277" spans="2:6" x14ac:dyDescent="0.2">
      <c r="B277" s="81" t="s">
        <v>254</v>
      </c>
      <c r="C277" s="82" t="s">
        <v>222</v>
      </c>
      <c r="D277" s="83">
        <v>4072.55</v>
      </c>
      <c r="E277" s="84">
        <v>4037.7</v>
      </c>
      <c r="F277" s="84">
        <v>15.567709499999999</v>
      </c>
    </row>
    <row r="278" spans="2:6" x14ac:dyDescent="0.2">
      <c r="B278" s="81" t="s">
        <v>221</v>
      </c>
      <c r="C278" s="82" t="s">
        <v>222</v>
      </c>
      <c r="D278" s="83">
        <v>953</v>
      </c>
      <c r="E278" s="84">
        <v>998.95</v>
      </c>
      <c r="F278" s="84">
        <v>1.0115370619999999</v>
      </c>
    </row>
    <row r="279" spans="2:6" x14ac:dyDescent="0.2">
      <c r="B279" s="81" t="s">
        <v>301</v>
      </c>
      <c r="C279" s="82" t="s">
        <v>222</v>
      </c>
      <c r="D279" s="83">
        <v>2801.7435999999998</v>
      </c>
      <c r="E279" s="84">
        <v>2981</v>
      </c>
      <c r="F279" s="84">
        <v>401.62765875000002</v>
      </c>
    </row>
    <row r="280" spans="2:6" x14ac:dyDescent="0.2">
      <c r="B280" s="81" t="s">
        <v>283</v>
      </c>
      <c r="C280" s="82" t="s">
        <v>222</v>
      </c>
      <c r="D280" s="83">
        <v>1591.0338999999999</v>
      </c>
      <c r="E280" s="84">
        <v>1595.1</v>
      </c>
      <c r="F280" s="84">
        <v>63.028784000000002</v>
      </c>
    </row>
    <row r="281" spans="2:6" x14ac:dyDescent="0.2">
      <c r="B281" s="81" t="s">
        <v>239</v>
      </c>
      <c r="C281" s="82" t="s">
        <v>222</v>
      </c>
      <c r="D281" s="83">
        <v>1013.8889</v>
      </c>
      <c r="E281" s="84">
        <v>978.2</v>
      </c>
      <c r="F281" s="84">
        <v>6.5190487499999996</v>
      </c>
    </row>
    <row r="282" spans="2:6" x14ac:dyDescent="0.2">
      <c r="B282" s="81" t="s">
        <v>273</v>
      </c>
      <c r="C282" s="82" t="s">
        <v>222</v>
      </c>
      <c r="D282" s="83">
        <v>95.003399999999999</v>
      </c>
      <c r="E282" s="84">
        <v>92.22</v>
      </c>
      <c r="F282" s="84">
        <v>86.2468425</v>
      </c>
    </row>
    <row r="283" spans="2:6" x14ac:dyDescent="0.2">
      <c r="B283" s="81" t="s">
        <v>240</v>
      </c>
      <c r="C283" s="82" t="s">
        <v>222</v>
      </c>
      <c r="D283" s="83">
        <v>1235.6400000000001</v>
      </c>
      <c r="E283" s="84">
        <v>1462.1</v>
      </c>
      <c r="F283" s="84">
        <v>6.4663374999999998</v>
      </c>
    </row>
    <row r="284" spans="2:6" x14ac:dyDescent="0.2">
      <c r="B284" s="81" t="s">
        <v>276</v>
      </c>
      <c r="C284" s="82" t="s">
        <v>222</v>
      </c>
      <c r="D284" s="83">
        <v>405.82670000000002</v>
      </c>
      <c r="E284" s="84">
        <v>400.5</v>
      </c>
      <c r="F284" s="84">
        <v>45.664387499999997</v>
      </c>
    </row>
    <row r="285" spans="2:6" x14ac:dyDescent="0.2">
      <c r="B285" s="81" t="s">
        <v>225</v>
      </c>
      <c r="C285" s="82" t="s">
        <v>222</v>
      </c>
      <c r="D285" s="83">
        <v>496.55</v>
      </c>
      <c r="E285" s="84">
        <v>491.4</v>
      </c>
      <c r="F285" s="84">
        <v>1.502186</v>
      </c>
    </row>
    <row r="286" spans="2:6" x14ac:dyDescent="0.2">
      <c r="B286" s="81" t="s">
        <v>257</v>
      </c>
      <c r="C286" s="82" t="s">
        <v>222</v>
      </c>
      <c r="D286" s="83">
        <v>284.8433</v>
      </c>
      <c r="E286" s="84">
        <v>301.05</v>
      </c>
      <c r="F286" s="84">
        <v>17.937033124999999</v>
      </c>
    </row>
    <row r="287" spans="2:6" x14ac:dyDescent="0.2">
      <c r="B287" s="81" t="s">
        <v>263</v>
      </c>
      <c r="C287" s="82" t="s">
        <v>222</v>
      </c>
      <c r="D287" s="83">
        <v>477.85480000000001</v>
      </c>
      <c r="E287" s="84">
        <v>451.25</v>
      </c>
      <c r="F287" s="84">
        <v>27.159063750000001</v>
      </c>
    </row>
    <row r="288" spans="2:6" x14ac:dyDescent="0.2">
      <c r="B288" s="81" t="s">
        <v>268</v>
      </c>
      <c r="C288" s="82" t="s">
        <v>222</v>
      </c>
      <c r="D288" s="83">
        <v>113.55500000000001</v>
      </c>
      <c r="E288" s="84">
        <v>109.73</v>
      </c>
      <c r="F288" s="84">
        <v>35.328879999999998</v>
      </c>
    </row>
    <row r="289" spans="2:6" x14ac:dyDescent="0.2">
      <c r="B289" s="81" t="s">
        <v>243</v>
      </c>
      <c r="C289" s="82" t="s">
        <v>222</v>
      </c>
      <c r="D289" s="83">
        <v>1677.5857000000001</v>
      </c>
      <c r="E289" s="84">
        <v>1671</v>
      </c>
      <c r="F289" s="84">
        <v>9.6553325000000001</v>
      </c>
    </row>
    <row r="290" spans="2:6" x14ac:dyDescent="0.2">
      <c r="B290" s="81" t="s">
        <v>262</v>
      </c>
      <c r="C290" s="82" t="s">
        <v>222</v>
      </c>
      <c r="D290" s="83">
        <v>302.61</v>
      </c>
      <c r="E290" s="84">
        <v>319.14999999999998</v>
      </c>
      <c r="F290" s="84">
        <v>21.451094999999999</v>
      </c>
    </row>
    <row r="291" spans="2:6" x14ac:dyDescent="0.2">
      <c r="B291" s="81" t="s">
        <v>300</v>
      </c>
      <c r="C291" s="82" t="s">
        <v>222</v>
      </c>
      <c r="D291" s="83">
        <v>1403.0881999999999</v>
      </c>
      <c r="E291" s="84">
        <v>1423.2</v>
      </c>
      <c r="F291" s="84">
        <v>313.658028</v>
      </c>
    </row>
    <row r="292" spans="2:6" x14ac:dyDescent="0.2">
      <c r="B292" s="81" t="s">
        <v>264</v>
      </c>
      <c r="C292" s="82" t="s">
        <v>222</v>
      </c>
      <c r="D292" s="83">
        <v>184.01329999999999</v>
      </c>
      <c r="E292" s="84">
        <v>185.83</v>
      </c>
      <c r="F292" s="84">
        <v>49.680327750000004</v>
      </c>
    </row>
    <row r="293" spans="2:6" x14ac:dyDescent="0.2">
      <c r="B293" s="81" t="s">
        <v>291</v>
      </c>
      <c r="C293" s="82" t="s">
        <v>222</v>
      </c>
      <c r="D293" s="83">
        <v>1103.3513</v>
      </c>
      <c r="E293" s="84">
        <v>1064.0999999999999</v>
      </c>
      <c r="F293" s="84">
        <v>110.6898975</v>
      </c>
    </row>
    <row r="294" spans="2:6" x14ac:dyDescent="0.2">
      <c r="B294" s="81" t="s">
        <v>260</v>
      </c>
      <c r="C294" s="82" t="s">
        <v>222</v>
      </c>
      <c r="D294" s="83">
        <v>1037.3535999999999</v>
      </c>
      <c r="E294" s="84">
        <v>939.95</v>
      </c>
      <c r="F294" s="84">
        <v>25.404027875000001</v>
      </c>
    </row>
    <row r="295" spans="2:6" x14ac:dyDescent="0.2">
      <c r="B295" s="81" t="s">
        <v>250</v>
      </c>
      <c r="C295" s="82" t="s">
        <v>222</v>
      </c>
      <c r="D295" s="83">
        <v>1728</v>
      </c>
      <c r="E295" s="84">
        <v>1815</v>
      </c>
      <c r="F295" s="84">
        <v>13.47129</v>
      </c>
    </row>
    <row r="296" spans="2:6" x14ac:dyDescent="0.2">
      <c r="B296" s="81" t="s">
        <v>246</v>
      </c>
      <c r="C296" s="82" t="s">
        <v>222</v>
      </c>
      <c r="D296" s="83">
        <v>437.95</v>
      </c>
      <c r="E296" s="84">
        <v>447.05</v>
      </c>
      <c r="F296" s="84">
        <v>9.1497030000000006</v>
      </c>
    </row>
    <row r="297" spans="2:6" x14ac:dyDescent="0.2">
      <c r="B297" s="81" t="s">
        <v>256</v>
      </c>
      <c r="C297" s="82" t="s">
        <v>222</v>
      </c>
      <c r="D297" s="83">
        <v>4494.5769</v>
      </c>
      <c r="E297" s="84">
        <v>4402.2</v>
      </c>
      <c r="F297" s="84">
        <v>17.695791750000001</v>
      </c>
    </row>
    <row r="298" spans="2:6" x14ac:dyDescent="0.2">
      <c r="B298" s="81" t="s">
        <v>285</v>
      </c>
      <c r="C298" s="82" t="s">
        <v>222</v>
      </c>
      <c r="D298" s="83">
        <v>314.90289999999999</v>
      </c>
      <c r="E298" s="84">
        <v>343.15</v>
      </c>
      <c r="F298" s="84">
        <v>75.52467</v>
      </c>
    </row>
    <row r="299" spans="2:6" x14ac:dyDescent="0.2">
      <c r="B299" s="81" t="s">
        <v>223</v>
      </c>
      <c r="C299" s="82" t="s">
        <v>222</v>
      </c>
      <c r="D299" s="83">
        <v>3506.1</v>
      </c>
      <c r="E299" s="84">
        <v>3514.4</v>
      </c>
      <c r="F299" s="84">
        <v>1.134657</v>
      </c>
    </row>
    <row r="300" spans="2:6" x14ac:dyDescent="0.2">
      <c r="B300" s="81" t="s">
        <v>227</v>
      </c>
      <c r="C300" s="82" t="s">
        <v>222</v>
      </c>
      <c r="D300" s="83">
        <v>652</v>
      </c>
      <c r="E300" s="84">
        <v>646</v>
      </c>
      <c r="F300" s="84">
        <v>1.9048554999999998</v>
      </c>
    </row>
    <row r="301" spans="2:6" x14ac:dyDescent="0.2">
      <c r="B301" s="64"/>
      <c r="C301" s="63"/>
      <c r="D301" s="63"/>
      <c r="E301" s="63"/>
      <c r="F301" s="63"/>
    </row>
    <row r="302" spans="2:6" ht="10.5" x14ac:dyDescent="0.2">
      <c r="B302" s="85" t="s">
        <v>356</v>
      </c>
      <c r="C302" s="65"/>
      <c r="D302" s="66"/>
      <c r="E302" s="67"/>
      <c r="F302" s="68"/>
    </row>
    <row r="303" spans="2:6" ht="10.5" x14ac:dyDescent="0.2">
      <c r="B303" s="63" t="s">
        <v>357</v>
      </c>
      <c r="C303" s="65"/>
      <c r="D303" s="66"/>
      <c r="E303" s="67"/>
      <c r="F303" s="68"/>
    </row>
    <row r="304" spans="2:6" ht="10.5" x14ac:dyDescent="0.2">
      <c r="B304" s="63" t="s">
        <v>329</v>
      </c>
      <c r="C304" s="65"/>
      <c r="D304" s="66"/>
      <c r="E304" s="67"/>
      <c r="F304" s="68"/>
    </row>
    <row r="305" spans="2:6" x14ac:dyDescent="0.2">
      <c r="B305" s="103" t="s">
        <v>324</v>
      </c>
      <c r="C305" s="103" t="s">
        <v>325</v>
      </c>
      <c r="D305" s="103" t="s">
        <v>326</v>
      </c>
      <c r="E305" s="103" t="s">
        <v>327</v>
      </c>
      <c r="F305" s="103" t="s">
        <v>328</v>
      </c>
    </row>
    <row r="306" spans="2:6" ht="40.5" customHeight="1" x14ac:dyDescent="0.2">
      <c r="B306" s="104"/>
      <c r="C306" s="104"/>
      <c r="D306" s="104"/>
      <c r="E306" s="104"/>
      <c r="F306" s="104"/>
    </row>
    <row r="307" spans="2:6" x14ac:dyDescent="0.2">
      <c r="B307" s="90">
        <v>4393</v>
      </c>
      <c r="C307" s="93">
        <v>165</v>
      </c>
      <c r="D307" s="91">
        <v>28853.838499699999</v>
      </c>
      <c r="E307" s="94">
        <v>959.34200120000003</v>
      </c>
      <c r="F307" s="95">
        <v>-255.99825290000001</v>
      </c>
    </row>
    <row r="308" spans="2:6" x14ac:dyDescent="0.2">
      <c r="B308" s="51"/>
      <c r="E308" s="92"/>
    </row>
    <row r="309" spans="2:6" ht="10.5" x14ac:dyDescent="0.25">
      <c r="B309" s="62" t="s">
        <v>347</v>
      </c>
      <c r="C309" s="63"/>
      <c r="D309" s="63"/>
      <c r="E309" s="63"/>
      <c r="F309" s="63"/>
    </row>
    <row r="310" spans="2:6" x14ac:dyDescent="0.2">
      <c r="B310" s="64"/>
      <c r="C310" s="63"/>
      <c r="D310" s="63"/>
      <c r="E310" s="63"/>
      <c r="F310" s="63"/>
    </row>
    <row r="311" spans="2:6" ht="21" x14ac:dyDescent="0.2">
      <c r="B311" s="60" t="s">
        <v>319</v>
      </c>
      <c r="C311" s="61" t="s">
        <v>320</v>
      </c>
      <c r="D311" s="61" t="s">
        <v>321</v>
      </c>
      <c r="E311" s="61" t="s">
        <v>322</v>
      </c>
      <c r="F311" s="61" t="s">
        <v>323</v>
      </c>
    </row>
    <row r="312" spans="2:6" x14ac:dyDescent="0.2">
      <c r="B312" s="100" t="s">
        <v>110</v>
      </c>
      <c r="C312" s="101"/>
      <c r="D312" s="101"/>
      <c r="E312" s="101"/>
      <c r="F312" s="102"/>
    </row>
    <row r="313" spans="2:6" x14ac:dyDescent="0.2">
      <c r="B313" s="64" t="s">
        <v>344</v>
      </c>
      <c r="C313" s="63"/>
      <c r="D313" s="63"/>
      <c r="E313" s="63"/>
      <c r="F313" s="63"/>
    </row>
    <row r="314" spans="2:6" ht="10.5" x14ac:dyDescent="0.2">
      <c r="B314" s="63" t="s">
        <v>351</v>
      </c>
      <c r="C314" s="65"/>
      <c r="D314" s="66"/>
      <c r="E314" s="67"/>
      <c r="F314" s="68"/>
    </row>
    <row r="315" spans="2:6" ht="10.5" x14ac:dyDescent="0.2">
      <c r="B315" s="63" t="s">
        <v>329</v>
      </c>
      <c r="C315" s="65"/>
      <c r="D315" s="66"/>
      <c r="E315" s="67"/>
      <c r="F315" s="68"/>
    </row>
    <row r="316" spans="2:6" x14ac:dyDescent="0.2">
      <c r="B316" s="97" t="s">
        <v>324</v>
      </c>
      <c r="C316" s="97" t="s">
        <v>325</v>
      </c>
      <c r="D316" s="97" t="s">
        <v>326</v>
      </c>
      <c r="E316" s="97" t="s">
        <v>327</v>
      </c>
      <c r="F316" s="97" t="s">
        <v>328</v>
      </c>
    </row>
    <row r="317" spans="2:6" x14ac:dyDescent="0.2">
      <c r="B317" s="98"/>
      <c r="C317" s="98"/>
      <c r="D317" s="98"/>
      <c r="E317" s="98"/>
      <c r="F317" s="98"/>
    </row>
    <row r="318" spans="2:6" x14ac:dyDescent="0.2">
      <c r="B318" s="109" t="s">
        <v>110</v>
      </c>
      <c r="C318" s="110"/>
      <c r="D318" s="110"/>
      <c r="E318" s="110"/>
      <c r="F318" s="111"/>
    </row>
    <row r="319" spans="2:6" x14ac:dyDescent="0.2">
      <c r="B319" s="58"/>
      <c r="C319" s="69"/>
      <c r="D319" s="69"/>
      <c r="E319" s="69"/>
      <c r="F319" s="10"/>
    </row>
    <row r="320" spans="2:6" ht="10.5" x14ac:dyDescent="0.2">
      <c r="B320" s="70" t="s">
        <v>348</v>
      </c>
      <c r="C320" s="71"/>
      <c r="D320" s="71"/>
      <c r="E320" s="72"/>
      <c r="F320" s="10"/>
    </row>
    <row r="321" spans="2:6" ht="10.5" x14ac:dyDescent="0.2">
      <c r="B321" s="73"/>
      <c r="C321" s="71"/>
      <c r="D321" s="71"/>
      <c r="E321" s="72"/>
      <c r="F321" s="10"/>
    </row>
    <row r="322" spans="2:6" ht="10.5" x14ac:dyDescent="0.2">
      <c r="B322" s="60" t="s">
        <v>319</v>
      </c>
      <c r="C322" s="61" t="s">
        <v>330</v>
      </c>
      <c r="D322" s="61" t="s">
        <v>331</v>
      </c>
      <c r="E322" s="61" t="s">
        <v>332</v>
      </c>
      <c r="F322" s="10"/>
    </row>
    <row r="323" spans="2:6" x14ac:dyDescent="0.2">
      <c r="B323" s="100" t="s">
        <v>110</v>
      </c>
      <c r="C323" s="101"/>
      <c r="D323" s="101"/>
      <c r="E323" s="102"/>
      <c r="F323" s="10"/>
    </row>
    <row r="324" spans="2:6" x14ac:dyDescent="0.2">
      <c r="B324" s="64" t="s">
        <v>333</v>
      </c>
      <c r="C324" s="63"/>
      <c r="D324" s="63"/>
      <c r="E324" s="63"/>
      <c r="F324" s="10"/>
    </row>
    <row r="325" spans="2:6" x14ac:dyDescent="0.2">
      <c r="B325" s="74"/>
      <c r="C325" s="75"/>
      <c r="D325" s="75"/>
      <c r="E325" s="74"/>
      <c r="F325" s="10"/>
    </row>
    <row r="326" spans="2:6" x14ac:dyDescent="0.2">
      <c r="B326" s="74" t="s">
        <v>352</v>
      </c>
      <c r="C326" s="75"/>
      <c r="D326" s="75"/>
      <c r="E326" s="74"/>
      <c r="F326" s="10"/>
    </row>
    <row r="327" spans="2:6" x14ac:dyDescent="0.2">
      <c r="B327" s="74"/>
      <c r="C327" s="75"/>
      <c r="D327" s="75"/>
      <c r="E327" s="74"/>
      <c r="F327" s="10"/>
    </row>
    <row r="328" spans="2:6" x14ac:dyDescent="0.2">
      <c r="B328" s="97" t="s">
        <v>334</v>
      </c>
      <c r="C328" s="97" t="s">
        <v>335</v>
      </c>
      <c r="D328" s="97" t="s">
        <v>336</v>
      </c>
      <c r="E328" s="74"/>
      <c r="F328" s="10"/>
    </row>
    <row r="329" spans="2:6" x14ac:dyDescent="0.2">
      <c r="B329" s="98"/>
      <c r="C329" s="98"/>
      <c r="D329" s="98"/>
      <c r="E329" s="74"/>
      <c r="F329" s="10"/>
    </row>
    <row r="330" spans="2:6" x14ac:dyDescent="0.2">
      <c r="B330" s="99" t="s">
        <v>110</v>
      </c>
      <c r="C330" s="99"/>
      <c r="D330" s="99"/>
      <c r="E330" s="69"/>
      <c r="F330" s="10"/>
    </row>
    <row r="331" spans="2:6" x14ac:dyDescent="0.2">
      <c r="B331" s="76"/>
      <c r="C331" s="76"/>
      <c r="D331" s="76"/>
      <c r="E331" s="69"/>
      <c r="F331" s="10"/>
    </row>
    <row r="332" spans="2:6" ht="10.5" x14ac:dyDescent="0.2">
      <c r="B332" s="70" t="s">
        <v>349</v>
      </c>
      <c r="C332" s="76"/>
      <c r="D332" s="76"/>
      <c r="E332" s="69"/>
      <c r="F332" s="10"/>
    </row>
    <row r="333" spans="2:6" x14ac:dyDescent="0.2">
      <c r="B333" s="76"/>
      <c r="C333" s="76"/>
      <c r="D333" s="76"/>
      <c r="E333" s="69"/>
      <c r="F333" s="10"/>
    </row>
    <row r="334" spans="2:6" ht="21" x14ac:dyDescent="0.2">
      <c r="B334" s="61" t="s">
        <v>319</v>
      </c>
      <c r="C334" s="61" t="s">
        <v>337</v>
      </c>
      <c r="D334" s="61" t="s">
        <v>338</v>
      </c>
      <c r="E334" s="61" t="s">
        <v>339</v>
      </c>
      <c r="F334" s="61" t="s">
        <v>340</v>
      </c>
    </row>
    <row r="335" spans="2:6" x14ac:dyDescent="0.2">
      <c r="B335" s="96" t="s">
        <v>110</v>
      </c>
      <c r="C335" s="96"/>
      <c r="D335" s="96"/>
      <c r="E335" s="96"/>
      <c r="F335" s="96"/>
    </row>
    <row r="336" spans="2:6" x14ac:dyDescent="0.2">
      <c r="B336" s="77" t="s">
        <v>341</v>
      </c>
      <c r="C336" s="76"/>
      <c r="D336" s="76"/>
      <c r="E336" s="69"/>
      <c r="F336" s="10"/>
    </row>
    <row r="337" spans="2:6" x14ac:dyDescent="0.2">
      <c r="B337" s="76"/>
      <c r="C337" s="76"/>
      <c r="D337" s="76"/>
      <c r="E337" s="69"/>
      <c r="F337" s="10"/>
    </row>
    <row r="338" spans="2:6" x14ac:dyDescent="0.2">
      <c r="B338" s="74" t="s">
        <v>350</v>
      </c>
      <c r="C338" s="75"/>
      <c r="D338" s="75"/>
      <c r="E338" s="69"/>
      <c r="F338" s="10"/>
    </row>
    <row r="339" spans="2:6" x14ac:dyDescent="0.2">
      <c r="B339" s="74"/>
      <c r="C339" s="75"/>
      <c r="D339" s="75"/>
      <c r="E339" s="69"/>
      <c r="F339" s="10"/>
    </row>
    <row r="340" spans="2:6" x14ac:dyDescent="0.2">
      <c r="B340" s="97" t="s">
        <v>334</v>
      </c>
      <c r="C340" s="97" t="s">
        <v>335</v>
      </c>
      <c r="D340" s="97" t="s">
        <v>336</v>
      </c>
      <c r="E340" s="69"/>
      <c r="F340" s="10"/>
    </row>
    <row r="341" spans="2:6" x14ac:dyDescent="0.2">
      <c r="B341" s="98"/>
      <c r="C341" s="98"/>
      <c r="D341" s="98"/>
      <c r="E341" s="69"/>
      <c r="F341" s="10"/>
    </row>
    <row r="342" spans="2:6" x14ac:dyDescent="0.2">
      <c r="B342" s="99" t="s">
        <v>110</v>
      </c>
      <c r="C342" s="99"/>
      <c r="D342" s="99"/>
      <c r="E342" s="69"/>
      <c r="F342" s="10"/>
    </row>
    <row r="343" spans="2:6" x14ac:dyDescent="0.2">
      <c r="B343" s="76"/>
      <c r="C343" s="76"/>
      <c r="D343" s="76"/>
      <c r="E343" s="69"/>
      <c r="F343" s="10"/>
    </row>
    <row r="344" spans="2:6" ht="10.5" x14ac:dyDescent="0.2">
      <c r="B344" s="78" t="s">
        <v>345</v>
      </c>
      <c r="C344" s="76"/>
      <c r="D344" s="76"/>
      <c r="E344" s="69"/>
      <c r="F344" s="10"/>
    </row>
    <row r="345" spans="2:6" x14ac:dyDescent="0.2">
      <c r="B345" s="51"/>
    </row>
    <row r="346" spans="2:6" x14ac:dyDescent="0.2">
      <c r="B346" s="51"/>
    </row>
    <row r="347" spans="2:6" x14ac:dyDescent="0.2">
      <c r="B347" s="51" t="s">
        <v>342</v>
      </c>
    </row>
    <row r="348" spans="2:6" x14ac:dyDescent="0.2">
      <c r="B348" s="54" t="s">
        <v>359</v>
      </c>
    </row>
    <row r="349" spans="2:6" x14ac:dyDescent="0.2">
      <c r="B349" s="51" t="s">
        <v>343</v>
      </c>
    </row>
    <row r="352" spans="2:6" ht="10.5" x14ac:dyDescent="0.25">
      <c r="B352" s="11" t="s">
        <v>104</v>
      </c>
    </row>
    <row r="370" spans="2:2" ht="10.5" x14ac:dyDescent="0.2">
      <c r="B370" s="49" t="s">
        <v>309</v>
      </c>
    </row>
    <row r="371" spans="2:2" ht="10.5" x14ac:dyDescent="0.25">
      <c r="B371" s="50" t="s">
        <v>310</v>
      </c>
    </row>
  </sheetData>
  <mergeCells count="34">
    <mergeCell ref="B1:C1"/>
    <mergeCell ref="B305:B306"/>
    <mergeCell ref="C305:C306"/>
    <mergeCell ref="D305:D306"/>
    <mergeCell ref="E305:E306"/>
    <mergeCell ref="F305:F306"/>
    <mergeCell ref="B312:F312"/>
    <mergeCell ref="B316:B317"/>
    <mergeCell ref="C316:C317"/>
    <mergeCell ref="D316:D317"/>
    <mergeCell ref="E316:E317"/>
    <mergeCell ref="F316:F317"/>
    <mergeCell ref="B318:F318"/>
    <mergeCell ref="B323:E323"/>
    <mergeCell ref="B328:B329"/>
    <mergeCell ref="C328:C329"/>
    <mergeCell ref="D328:D329"/>
    <mergeCell ref="B342:D342"/>
    <mergeCell ref="B330:D330"/>
    <mergeCell ref="B335:F335"/>
    <mergeCell ref="B340:B341"/>
    <mergeCell ref="C340:C341"/>
    <mergeCell ref="D340:D341"/>
    <mergeCell ref="F215:F216"/>
    <mergeCell ref="F235:F236"/>
    <mergeCell ref="F233:F234"/>
    <mergeCell ref="F231:F232"/>
    <mergeCell ref="F229:F230"/>
    <mergeCell ref="F227:F228"/>
    <mergeCell ref="F225:F226"/>
    <mergeCell ref="F223:F224"/>
    <mergeCell ref="F221:F222"/>
    <mergeCell ref="F219:F220"/>
    <mergeCell ref="F217:F218"/>
  </mergeCells>
  <conditionalFormatting sqref="G1:G3 G5:G390">
    <cfRule type="cellIs" dxfId="0" priority="3" stopIfTrue="1" operator="between">
      <formula>0.009</formula>
      <formula>-0.009</formula>
    </cfRule>
  </conditionalFormatting>
  <hyperlinks>
    <hyperlink ref="A2" location="Index!A1" display="-" xr:uid="{7C76F5D6-BF6A-4EA3-ABA2-81A4035E120B}"/>
  </hyperlinks>
  <pageMargins left="0.7" right="0.7" top="0.75" bottom="0.75" header="0.3" footer="0.3"/>
  <pageSetup paperSize="9" scale="4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JBARB</vt:lpstr>
      <vt:lpstr>JBARB!Print_Area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