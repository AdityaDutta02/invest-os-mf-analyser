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884AF4E3-35BE-4BBB-834F-3A4DBDCEAF09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N50" sheetId="9" r:id="rId1"/>
  </sheets>
  <definedNames>
    <definedName name="_xlnm.Print_Area" localSheetId="0">'JBN50'!$B$1:$H$102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9" l="1"/>
  <c r="G63" i="9" s="1"/>
  <c r="F57" i="9"/>
  <c r="F63" i="9" s="1"/>
  <c r="F60" i="9" l="1"/>
  <c r="G60" i="9"/>
</calcChain>
</file>

<file path=xl/sharedStrings.xml><?xml version="1.0" encoding="utf-8"?>
<sst xmlns="http://schemas.openxmlformats.org/spreadsheetml/2006/main" count="176" uniqueCount="147">
  <si>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</si>
  <si>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</si>
  <si>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</si>
  <si>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</si>
  <si>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</si>
  <si>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</si>
  <si>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</si>
  <si>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Nifty 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</si>
  <si>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</si>
  <si>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</si>
  <si>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</si>
  <si>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</si>
  <si>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</si>
  <si>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</si>
  <si>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(a) Listed / awaiting listing on Stock Exchanges</t>
  </si>
  <si>
    <t>Equity &amp; Equity related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</si>
  <si>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</si>
  <si>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</si>
  <si>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</si>
  <si>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</si>
  <si>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</si>
  <si>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</si>
  <si>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</si>
  <si>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</si>
  <si>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</si>
  <si>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</si>
  <si>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</si>
  <si>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</si>
  <si>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</si>
  <si>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</si>
  <si>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</si>
  <si>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</si>
  <si>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Infosys Ltd</t>
  </si>
  <si>
    <t>INE009A01021</t>
  </si>
  <si>
    <t>IT - Software</t>
  </si>
  <si>
    <t>Axis Bank Ltd</t>
  </si>
  <si>
    <t>INE238A01034</t>
  </si>
  <si>
    <t>Kotak Mahindra Bank Ltd</t>
  </si>
  <si>
    <t>INE237A01036</t>
  </si>
  <si>
    <t>Mahindra &amp; Mahindra Ltd</t>
  </si>
  <si>
    <t>INE101A01026</t>
  </si>
  <si>
    <t>Automobiles</t>
  </si>
  <si>
    <t>ITC Ltd</t>
  </si>
  <si>
    <t>INE154A01025</t>
  </si>
  <si>
    <t>Diversified FMCG</t>
  </si>
  <si>
    <t>Tata Consultancy Services Ltd</t>
  </si>
  <si>
    <t>INE467B01029</t>
  </si>
  <si>
    <t>Bajaj Finance Ltd</t>
  </si>
  <si>
    <t>INE296A01032</t>
  </si>
  <si>
    <t>Finance</t>
  </si>
  <si>
    <t>Hindustan Unilever Ltd</t>
  </si>
  <si>
    <t>INE030A01027</t>
  </si>
  <si>
    <t>Maruti Suzuki India Ltd</t>
  </si>
  <si>
    <t>INE585B01010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</si>
  <si>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</si>
  <si>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</si>
  <si>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</si>
  <si>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</si>
  <si>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</si>
  <si>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</si>
  <si>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Titan Co Ltd</t>
  </si>
  <si>
    <t>INE280A01028</t>
  </si>
  <si>
    <t>Consumer Durables</t>
  </si>
  <si>
    <t>Eternal Ltd</t>
  </si>
  <si>
    <t>INE758T01015</t>
  </si>
  <si>
    <t>Retailing</t>
  </si>
  <si>
    <t>Tata Steel Ltd</t>
  </si>
  <si>
    <t>INE081A01020</t>
  </si>
  <si>
    <t>Ferrous Metals</t>
  </si>
  <si>
    <t>Bharat Electronics Ltd</t>
  </si>
  <si>
    <t>INE263A01024</t>
  </si>
  <si>
    <t>Aerospace &amp; Defense</t>
  </si>
  <si>
    <t>Shriram Finance Ltd</t>
  </si>
  <si>
    <t>INE721A01047</t>
  </si>
  <si>
    <t>Ultratech Cement Ltd</t>
  </si>
  <si>
    <t>INE481G01011</t>
  </si>
  <si>
    <t>Cement &amp; Cement Products</t>
  </si>
  <si>
    <t>HCL Technologies Ltd</t>
  </si>
  <si>
    <t>INE860A01027</t>
  </si>
  <si>
    <t>Power Grid Corporation of India Ltd</t>
  </si>
  <si>
    <t>INE752E01010</t>
  </si>
  <si>
    <t>Hindalco Industries Ltd</t>
  </si>
  <si>
    <t>INE038A01020</t>
  </si>
  <si>
    <t>Non - Ferrous Metals</t>
  </si>
  <si>
    <t>JSW Steel Ltd</t>
  </si>
  <si>
    <t>INE019A01038</t>
  </si>
  <si>
    <t>Bajaj Finserv Ltd</t>
  </si>
  <si>
    <t>INE918I01026</t>
  </si>
  <si>
    <t>Adani Ports and Special Economic Zone Ltd</t>
  </si>
  <si>
    <t>INE742F01042</t>
  </si>
  <si>
    <t>Transport Infrastructure</t>
  </si>
  <si>
    <t>Bajaj Auto Ltd</t>
  </si>
  <si>
    <t>INE917I01010</t>
  </si>
  <si>
    <t>Eicher Motors Ltd</t>
  </si>
  <si>
    <t>INE066A01021</t>
  </si>
  <si>
    <t>Interglobe Aviation Ltd</t>
  </si>
  <si>
    <t>INE646L01027</t>
  </si>
  <si>
    <t>Transport Services</t>
  </si>
  <si>
    <t>Oil &amp; Natural Gas Corporation Ltd</t>
  </si>
  <si>
    <t>INE213A01029</t>
  </si>
  <si>
    <t>Oil</t>
  </si>
  <si>
    <t>Asian Paints Ltd</t>
  </si>
  <si>
    <t>INE021A01026</t>
  </si>
  <si>
    <t>Grasim Industries Ltd</t>
  </si>
  <si>
    <t>INE047A01021</t>
  </si>
  <si>
    <t>Coal India Ltd</t>
  </si>
  <si>
    <t>INE522F01014</t>
  </si>
  <si>
    <t>Consumable Fuels</t>
  </si>
  <si>
    <t>Nestle India Ltd</t>
  </si>
  <si>
    <t>INE239A01024</t>
  </si>
  <si>
    <t>Food Products</t>
  </si>
  <si>
    <t>SBI Life Insurance Co Ltd</t>
  </si>
  <si>
    <t>INE123W01016</t>
  </si>
  <si>
    <t>Insurance</t>
  </si>
  <si>
    <t>Trent Ltd</t>
  </si>
  <si>
    <t>INE849A01020</t>
  </si>
  <si>
    <t>Tech Mahindra Ltd</t>
  </si>
  <si>
    <t>INE669C01036</t>
  </si>
  <si>
    <t>Jio Financial Services Ltd</t>
  </si>
  <si>
    <t>INE758E01017</t>
  </si>
  <si>
    <t>Max Healthcare Institute Ltd</t>
  </si>
  <si>
    <t>INE027H01010</t>
  </si>
  <si>
    <t>Healthcare Services</t>
  </si>
  <si>
    <t>Apollo Hospitals Enterprise Ltd</t>
  </si>
  <si>
    <t>INE437A01024</t>
  </si>
  <si>
    <t>Tata Motors Passenger Vehicles Ltd</t>
  </si>
  <si>
    <t>INE155A01022</t>
  </si>
  <si>
    <t>Dr. Reddy's Laboratories Ltd</t>
  </si>
  <si>
    <t>INE089A01031</t>
  </si>
  <si>
    <t>HDFC Life Insurance Co Ltd</t>
  </si>
  <si>
    <t>INE795G01014</t>
  </si>
  <si>
    <t>Cipla Ltd</t>
  </si>
  <si>
    <t>INE059A01026</t>
  </si>
  <si>
    <t>Tata Consumer Products Ltd</t>
  </si>
  <si>
    <t>INE192A01025</t>
  </si>
  <si>
    <t>Agricultural Food &amp; Other Products</t>
  </si>
  <si>
    <t>Wipro Ltd</t>
  </si>
  <si>
    <t>INE075A01022</t>
  </si>
  <si>
    <t>Adani Enterprises Ltd</t>
  </si>
  <si>
    <t>INE423A01024</t>
  </si>
  <si>
    <t>Metals &amp; Minerals Trading</t>
  </si>
  <si>
    <t xml:space="preserve">(b) Unlisted </t>
  </si>
  <si>
    <t>NIL</t>
  </si>
  <si>
    <t>Industry Classification</t>
  </si>
  <si>
    <t>Benchmark Risk-O-Meter</t>
  </si>
  <si>
    <t>Benchmark Name - NIFTY 50 Index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</si>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</sst>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68</xdr:row>
      <xdr:rowOff>9525</xdr:rowOff>
    </xdr:from>
    <xdr:to>
      <xdr:col>3</xdr:col>
      <xdr:colOff>63500</xdr:colOff>
      <xdr:row>82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FCB05-346D-4DA2-8AE0-53F6ADD26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5" y="9394825"/>
          <a:ext cx="4035425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85</xdr:row>
      <xdr:rowOff>9524</xdr:rowOff>
    </xdr:from>
    <xdr:to>
      <xdr:col>3</xdr:col>
      <xdr:colOff>177800</xdr:colOff>
      <xdr:row>101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7EA97A-840A-4AB8-9E67-A5F8C4EDB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11566524"/>
          <a:ext cx="4006850" cy="2035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1E2C-083F-46F7-816E-38D35D2115B5}">
  <dimension ref="A1:J407"/>
  <sheetViews>
    <sheetView tabSelected="1" view="pageBreakPreview" zoomScaleNormal="100" zoomScaleSheetLayoutView="100" workbookViewId="0">
      <selection activeCell="B1" sqref="B1:C1"/>
    </sheetView>
  </sheetViews>
  <sheetFormatPr defaultColWidth="9.1796875" defaultRowHeight="10" x14ac:dyDescent="0.2"/>
  <cols>
    <col min="1" max="1" width="7.1796875" style="8" customWidth="1"/>
    <col min="2" max="2" width="52.54296875" style="8" bestFit="1" customWidth="1"/>
    <col min="3" max="3" width="11" style="8" bestFit="1" customWidth="1"/>
    <col min="4" max="4" width="24.81640625" style="8" customWidth="1"/>
    <col min="5" max="5" width="13.7265625" style="9" bestFit="1" customWidth="1"/>
    <col min="6" max="6" width="12.7265625" style="11" bestFit="1" customWidth="1"/>
    <col min="7" max="7" width="8.1796875" style="17" customWidth="1"/>
    <col min="8" max="8" width="11.81640625" style="14" bestFit="1" customWidth="1"/>
    <col min="9" max="9" width="25.81640625" style="8" customWidth="1"/>
    <col min="10" max="16384" width="9.1796875" style="8"/>
  </cols>
  <sheetData>
    <row r="1" spans="1:10" s="1" customFormat="1" ht="16.75" customHeight="1" x14ac:dyDescent="0.35">
      <c r="B1" s="57" t="s">
        <v>7</v>
      </c>
      <c r="C1" s="58"/>
      <c r="D1" s="13"/>
      <c r="E1" s="6"/>
      <c r="F1" s="7"/>
      <c r="G1" s="17"/>
      <c r="H1" s="15"/>
    </row>
    <row r="2" spans="1:10" s="1" customFormat="1" ht="14.5" x14ac:dyDescent="0.35">
      <c r="A2" s="53" t="s">
        <v>146</v>
      </c>
      <c r="E2" s="6"/>
      <c r="F2" s="7"/>
      <c r="G2" s="17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7"/>
      <c r="H3" s="15"/>
    </row>
    <row r="4" spans="1:10" s="1" customFormat="1" ht="21" x14ac:dyDescent="0.25">
      <c r="B4" s="20" t="s">
        <v>4</v>
      </c>
      <c r="C4" s="20" t="s">
        <v>5</v>
      </c>
      <c r="D4" s="21" t="s">
        <v>143</v>
      </c>
      <c r="E4" s="22" t="s">
        <v>0</v>
      </c>
      <c r="F4" s="23" t="s">
        <v>1</v>
      </c>
      <c r="G4" s="24" t="s">
        <v>2</v>
      </c>
      <c r="H4" s="25" t="s">
        <v>3</v>
      </c>
      <c r="I4" s="16"/>
      <c r="J4" s="12"/>
    </row>
    <row r="5" spans="1:10" ht="10.5" x14ac:dyDescent="0.25">
      <c r="B5" s="26" t="s">
        <v>15</v>
      </c>
      <c r="C5" s="27"/>
      <c r="D5" s="27"/>
      <c r="E5" s="28"/>
      <c r="F5" s="29"/>
      <c r="G5" s="30"/>
      <c r="H5" s="31"/>
    </row>
    <row r="6" spans="1:10" ht="10.5" x14ac:dyDescent="0.25">
      <c r="B6" s="26" t="s">
        <v>14</v>
      </c>
      <c r="C6" s="27"/>
      <c r="D6" s="27"/>
      <c r="E6" s="28"/>
      <c r="F6" s="29"/>
      <c r="G6" s="30"/>
      <c r="H6" s="31"/>
    </row>
    <row r="7" spans="1:10" x14ac:dyDescent="0.2">
      <c r="B7" s="27" t="s">
        <v>16</v>
      </c>
      <c r="C7" s="27" t="s">
        <v>17</v>
      </c>
      <c r="D7" s="27" t="s">
        <v>18</v>
      </c>
      <c r="E7" s="32">
        <v>272961</v>
      </c>
      <c r="F7" s="29">
        <v>2423.2112775000001</v>
      </c>
      <c r="G7" s="30">
        <v>11.810506302339199</v>
      </c>
      <c r="H7" s="33"/>
    </row>
    <row r="8" spans="1:10" x14ac:dyDescent="0.2">
      <c r="B8" s="27" t="s">
        <v>19</v>
      </c>
      <c r="C8" s="27" t="s">
        <v>20</v>
      </c>
      <c r="D8" s="27" t="s">
        <v>18</v>
      </c>
      <c r="E8" s="32">
        <v>127456</v>
      </c>
      <c r="F8" s="29">
        <v>1757.4907840000001</v>
      </c>
      <c r="G8" s="30">
        <v>8.5658465580226597</v>
      </c>
      <c r="H8" s="33"/>
    </row>
    <row r="9" spans="1:10" x14ac:dyDescent="0.2">
      <c r="B9" s="27" t="s">
        <v>21</v>
      </c>
      <c r="C9" s="27" t="s">
        <v>22</v>
      </c>
      <c r="D9" s="27" t="s">
        <v>23</v>
      </c>
      <c r="E9" s="32">
        <v>120484</v>
      </c>
      <c r="F9" s="29">
        <v>1679.4264760000001</v>
      </c>
      <c r="G9" s="30">
        <v>8.1853683842115199</v>
      </c>
      <c r="H9" s="33"/>
    </row>
    <row r="10" spans="1:10" x14ac:dyDescent="0.2">
      <c r="B10" s="27" t="s">
        <v>24</v>
      </c>
      <c r="C10" s="27" t="s">
        <v>25</v>
      </c>
      <c r="D10" s="27" t="s">
        <v>26</v>
      </c>
      <c r="E10" s="32">
        <v>49722</v>
      </c>
      <c r="F10" s="29">
        <v>934.42554600000005</v>
      </c>
      <c r="G10" s="30">
        <v>4.5543031689277704</v>
      </c>
      <c r="H10" s="33"/>
    </row>
    <row r="11" spans="1:10" x14ac:dyDescent="0.2">
      <c r="B11" s="27" t="s">
        <v>27</v>
      </c>
      <c r="C11" s="27" t="s">
        <v>28</v>
      </c>
      <c r="D11" s="27" t="s">
        <v>29</v>
      </c>
      <c r="E11" s="32">
        <v>20956</v>
      </c>
      <c r="F11" s="29">
        <v>896.56054800000004</v>
      </c>
      <c r="G11" s="30">
        <v>4.3697526917698504</v>
      </c>
      <c r="H11" s="33"/>
    </row>
    <row r="12" spans="1:10" x14ac:dyDescent="0.2">
      <c r="B12" s="27" t="s">
        <v>30</v>
      </c>
      <c r="C12" s="27" t="s">
        <v>31</v>
      </c>
      <c r="D12" s="27" t="s">
        <v>18</v>
      </c>
      <c r="E12" s="32">
        <v>74037</v>
      </c>
      <c r="F12" s="29">
        <v>889.702629</v>
      </c>
      <c r="G12" s="30">
        <v>4.3363278326490304</v>
      </c>
      <c r="H12" s="33"/>
    </row>
    <row r="13" spans="1:10" x14ac:dyDescent="0.2">
      <c r="B13" s="27" t="s">
        <v>32</v>
      </c>
      <c r="C13" s="27" t="s">
        <v>33</v>
      </c>
      <c r="D13" s="27" t="s">
        <v>34</v>
      </c>
      <c r="E13" s="32">
        <v>62505</v>
      </c>
      <c r="F13" s="29">
        <v>812.62750500000004</v>
      </c>
      <c r="G13" s="30">
        <v>3.9606708496166898</v>
      </c>
      <c r="H13" s="33"/>
    </row>
    <row r="14" spans="1:10" x14ac:dyDescent="0.2">
      <c r="B14" s="27" t="s">
        <v>35</v>
      </c>
      <c r="C14" s="27" t="s">
        <v>36</v>
      </c>
      <c r="D14" s="27" t="s">
        <v>18</v>
      </c>
      <c r="E14" s="32">
        <v>51142</v>
      </c>
      <c r="F14" s="29">
        <v>707.75413800000001</v>
      </c>
      <c r="G14" s="30">
        <v>3.44952781664976</v>
      </c>
      <c r="H14" s="33"/>
    </row>
    <row r="15" spans="1:10" x14ac:dyDescent="0.2">
      <c r="B15" s="27" t="s">
        <v>37</v>
      </c>
      <c r="C15" s="27" t="s">
        <v>38</v>
      </c>
      <c r="D15" s="27" t="s">
        <v>18</v>
      </c>
      <c r="E15" s="32">
        <v>131213</v>
      </c>
      <c r="F15" s="29">
        <v>544.79637600000001</v>
      </c>
      <c r="G15" s="30">
        <v>2.6552868468315198</v>
      </c>
      <c r="H15" s="33"/>
    </row>
    <row r="16" spans="1:10" x14ac:dyDescent="0.2">
      <c r="B16" s="27" t="s">
        <v>39</v>
      </c>
      <c r="C16" s="27" t="s">
        <v>40</v>
      </c>
      <c r="D16" s="27" t="s">
        <v>41</v>
      </c>
      <c r="E16" s="32">
        <v>15929</v>
      </c>
      <c r="F16" s="29">
        <v>541.17184599999996</v>
      </c>
      <c r="G16" s="30">
        <v>2.6376212248506801</v>
      </c>
      <c r="H16" s="33"/>
    </row>
    <row r="17" spans="2:8" x14ac:dyDescent="0.2">
      <c r="B17" s="27" t="s">
        <v>42</v>
      </c>
      <c r="C17" s="27" t="s">
        <v>43</v>
      </c>
      <c r="D17" s="27" t="s">
        <v>44</v>
      </c>
      <c r="E17" s="32">
        <v>171964</v>
      </c>
      <c r="F17" s="29">
        <v>539.27910399999996</v>
      </c>
      <c r="G17" s="30">
        <v>2.62839617645013</v>
      </c>
      <c r="H17" s="33"/>
    </row>
    <row r="18" spans="2:8" x14ac:dyDescent="0.2">
      <c r="B18" s="27" t="s">
        <v>45</v>
      </c>
      <c r="C18" s="27" t="s">
        <v>46</v>
      </c>
      <c r="D18" s="27" t="s">
        <v>34</v>
      </c>
      <c r="E18" s="32">
        <v>18222</v>
      </c>
      <c r="F18" s="29">
        <v>480.58702799999998</v>
      </c>
      <c r="G18" s="30">
        <v>2.3423364589456299</v>
      </c>
      <c r="H18" s="33"/>
    </row>
    <row r="19" spans="2:8" x14ac:dyDescent="0.2">
      <c r="B19" s="27" t="s">
        <v>47</v>
      </c>
      <c r="C19" s="27" t="s">
        <v>48</v>
      </c>
      <c r="D19" s="27" t="s">
        <v>49</v>
      </c>
      <c r="E19" s="32">
        <v>47378</v>
      </c>
      <c r="F19" s="29">
        <v>471.83750199999997</v>
      </c>
      <c r="G19" s="30">
        <v>2.29969208330865</v>
      </c>
      <c r="H19" s="33"/>
    </row>
    <row r="20" spans="2:8" x14ac:dyDescent="0.2">
      <c r="B20" s="27" t="s">
        <v>50</v>
      </c>
      <c r="C20" s="27" t="s">
        <v>51</v>
      </c>
      <c r="D20" s="27" t="s">
        <v>44</v>
      </c>
      <c r="E20" s="32">
        <v>15836</v>
      </c>
      <c r="F20" s="29">
        <v>370.26151599999997</v>
      </c>
      <c r="G20" s="30">
        <v>1.8046201785356599</v>
      </c>
      <c r="H20" s="33"/>
    </row>
    <row r="21" spans="2:8" x14ac:dyDescent="0.2">
      <c r="B21" s="27" t="s">
        <v>52</v>
      </c>
      <c r="C21" s="27" t="s">
        <v>53</v>
      </c>
      <c r="D21" s="27" t="s">
        <v>41</v>
      </c>
      <c r="E21" s="32">
        <v>2342</v>
      </c>
      <c r="F21" s="29">
        <v>347.95094</v>
      </c>
      <c r="G21" s="30">
        <v>1.695880506967</v>
      </c>
      <c r="H21" s="33"/>
    </row>
    <row r="22" spans="2:8" x14ac:dyDescent="0.2">
      <c r="B22" s="27" t="s">
        <v>54</v>
      </c>
      <c r="C22" s="27" t="s">
        <v>55</v>
      </c>
      <c r="D22" s="27" t="s">
        <v>56</v>
      </c>
      <c r="E22" s="32">
        <v>18895</v>
      </c>
      <c r="F22" s="29">
        <v>328.20614999999998</v>
      </c>
      <c r="G22" s="30">
        <v>1.59964623763249</v>
      </c>
      <c r="H22" s="33"/>
    </row>
    <row r="23" spans="2:8" x14ac:dyDescent="0.2">
      <c r="B23" s="27" t="s">
        <v>57</v>
      </c>
      <c r="C23" s="27" t="s">
        <v>58</v>
      </c>
      <c r="D23" s="27" t="s">
        <v>59</v>
      </c>
      <c r="E23" s="32">
        <v>84598</v>
      </c>
      <c r="F23" s="29">
        <v>323.07976200000002</v>
      </c>
      <c r="G23" s="30">
        <v>1.57466069949786</v>
      </c>
      <c r="H23" s="33"/>
    </row>
    <row r="24" spans="2:8" x14ac:dyDescent="0.2">
      <c r="B24" s="27" t="s">
        <v>60</v>
      </c>
      <c r="C24" s="27" t="s">
        <v>61</v>
      </c>
      <c r="D24" s="27" t="s">
        <v>62</v>
      </c>
      <c r="E24" s="32">
        <v>7365</v>
      </c>
      <c r="F24" s="29">
        <v>318.72037499999999</v>
      </c>
      <c r="G24" s="30">
        <v>1.5534134528727299</v>
      </c>
      <c r="H24" s="33"/>
    </row>
    <row r="25" spans="2:8" x14ac:dyDescent="0.2">
      <c r="B25" s="27" t="s">
        <v>63</v>
      </c>
      <c r="C25" s="27" t="s">
        <v>64</v>
      </c>
      <c r="D25" s="27" t="s">
        <v>65</v>
      </c>
      <c r="E25" s="32">
        <v>128206</v>
      </c>
      <c r="F25" s="29">
        <v>315.77137800000003</v>
      </c>
      <c r="G25" s="30">
        <v>1.5390403158799</v>
      </c>
      <c r="H25" s="33"/>
    </row>
    <row r="26" spans="2:8" x14ac:dyDescent="0.2">
      <c r="B26" s="27" t="s">
        <v>66</v>
      </c>
      <c r="C26" s="27" t="s">
        <v>67</v>
      </c>
      <c r="D26" s="27" t="s">
        <v>68</v>
      </c>
      <c r="E26" s="32">
        <v>147493</v>
      </c>
      <c r="F26" s="29">
        <v>313.1718869</v>
      </c>
      <c r="G26" s="30">
        <v>1.5263706381244</v>
      </c>
      <c r="H26" s="33"/>
    </row>
    <row r="27" spans="2:8" x14ac:dyDescent="0.2">
      <c r="B27" s="27" t="s">
        <v>69</v>
      </c>
      <c r="C27" s="27" t="s">
        <v>70</v>
      </c>
      <c r="D27" s="27" t="s">
        <v>71</v>
      </c>
      <c r="E27" s="32">
        <v>63913</v>
      </c>
      <c r="F27" s="29">
        <v>284.22111100000001</v>
      </c>
      <c r="G27" s="30">
        <v>1.38526725007095</v>
      </c>
      <c r="H27" s="33"/>
    </row>
    <row r="28" spans="2:8" x14ac:dyDescent="0.2">
      <c r="B28" s="27" t="s">
        <v>72</v>
      </c>
      <c r="C28" s="27" t="s">
        <v>73</v>
      </c>
      <c r="D28" s="27" t="s">
        <v>49</v>
      </c>
      <c r="E28" s="32">
        <v>24991</v>
      </c>
      <c r="F28" s="29">
        <v>269.75285400000001</v>
      </c>
      <c r="G28" s="30">
        <v>1.3147503116310399</v>
      </c>
      <c r="H28" s="33"/>
    </row>
    <row r="29" spans="2:8" x14ac:dyDescent="0.2">
      <c r="B29" s="27" t="s">
        <v>74</v>
      </c>
      <c r="C29" s="27" t="s">
        <v>75</v>
      </c>
      <c r="D29" s="27" t="s">
        <v>76</v>
      </c>
      <c r="E29" s="32">
        <v>2115</v>
      </c>
      <c r="F29" s="29">
        <v>268.11855000000003</v>
      </c>
      <c r="G29" s="30">
        <v>1.3067848659965</v>
      </c>
      <c r="H29" s="33"/>
    </row>
    <row r="30" spans="2:8" x14ac:dyDescent="0.2">
      <c r="B30" s="27" t="s">
        <v>77</v>
      </c>
      <c r="C30" s="27" t="s">
        <v>78</v>
      </c>
      <c r="D30" s="27" t="s">
        <v>34</v>
      </c>
      <c r="E30" s="32">
        <v>18827</v>
      </c>
      <c r="F30" s="29">
        <v>261.52585699999997</v>
      </c>
      <c r="G30" s="30">
        <v>1.2746526937221101</v>
      </c>
      <c r="H30" s="33"/>
    </row>
    <row r="31" spans="2:8" x14ac:dyDescent="0.2">
      <c r="B31" s="27" t="s">
        <v>79</v>
      </c>
      <c r="C31" s="27" t="s">
        <v>80</v>
      </c>
      <c r="D31" s="27" t="s">
        <v>59</v>
      </c>
      <c r="E31" s="32">
        <v>80825</v>
      </c>
      <c r="F31" s="29">
        <v>241.38386249999999</v>
      </c>
      <c r="G31" s="30">
        <v>1.1764824866119099</v>
      </c>
      <c r="H31" s="33"/>
    </row>
    <row r="32" spans="2:8" x14ac:dyDescent="0.2">
      <c r="B32" s="27" t="s">
        <v>81</v>
      </c>
      <c r="C32" s="27" t="s">
        <v>82</v>
      </c>
      <c r="D32" s="27" t="s">
        <v>83</v>
      </c>
      <c r="E32" s="32">
        <v>25817</v>
      </c>
      <c r="F32" s="29">
        <v>238.72979900000001</v>
      </c>
      <c r="G32" s="30">
        <v>1.1635468280564201</v>
      </c>
      <c r="H32" s="33"/>
    </row>
    <row r="33" spans="2:8" x14ac:dyDescent="0.2">
      <c r="B33" s="27" t="s">
        <v>84</v>
      </c>
      <c r="C33" s="27" t="s">
        <v>85</v>
      </c>
      <c r="D33" s="27" t="s">
        <v>68</v>
      </c>
      <c r="E33" s="32">
        <v>16764</v>
      </c>
      <c r="F33" s="29">
        <v>212.014308</v>
      </c>
      <c r="G33" s="30">
        <v>1.03333801062672</v>
      </c>
      <c r="H33" s="33"/>
    </row>
    <row r="34" spans="2:8" x14ac:dyDescent="0.2">
      <c r="B34" s="27" t="s">
        <v>86</v>
      </c>
      <c r="C34" s="27" t="s">
        <v>87</v>
      </c>
      <c r="D34" s="27" t="s">
        <v>49</v>
      </c>
      <c r="E34" s="32">
        <v>10203</v>
      </c>
      <c r="F34" s="29">
        <v>203.38660200000001</v>
      </c>
      <c r="G34" s="30">
        <v>0.991287374335173</v>
      </c>
      <c r="H34" s="33"/>
    </row>
    <row r="35" spans="2:8" x14ac:dyDescent="0.2">
      <c r="B35" s="27" t="s">
        <v>88</v>
      </c>
      <c r="C35" s="27" t="s">
        <v>89</v>
      </c>
      <c r="D35" s="27" t="s">
        <v>90</v>
      </c>
      <c r="E35" s="32">
        <v>13164</v>
      </c>
      <c r="F35" s="29">
        <v>200.22443999999999</v>
      </c>
      <c r="G35" s="30">
        <v>0.97587529096597203</v>
      </c>
      <c r="H35" s="33"/>
    </row>
    <row r="36" spans="2:8" x14ac:dyDescent="0.2">
      <c r="B36" s="27" t="s">
        <v>91</v>
      </c>
      <c r="C36" s="27" t="s">
        <v>92</v>
      </c>
      <c r="D36" s="27" t="s">
        <v>41</v>
      </c>
      <c r="E36" s="32">
        <v>1978</v>
      </c>
      <c r="F36" s="29">
        <v>197.25604999999999</v>
      </c>
      <c r="G36" s="30">
        <v>0.961407634295535</v>
      </c>
      <c r="H36" s="33"/>
    </row>
    <row r="37" spans="2:8" x14ac:dyDescent="0.2">
      <c r="B37" s="27" t="s">
        <v>93</v>
      </c>
      <c r="C37" s="27" t="s">
        <v>94</v>
      </c>
      <c r="D37" s="27" t="s">
        <v>41</v>
      </c>
      <c r="E37" s="32">
        <v>2456</v>
      </c>
      <c r="F37" s="29">
        <v>196.73787999999999</v>
      </c>
      <c r="G37" s="30">
        <v>0.958882121927915</v>
      </c>
      <c r="H37" s="33"/>
    </row>
    <row r="38" spans="2:8" x14ac:dyDescent="0.2">
      <c r="B38" s="27" t="s">
        <v>95</v>
      </c>
      <c r="C38" s="27" t="s">
        <v>96</v>
      </c>
      <c r="D38" s="27" t="s">
        <v>97</v>
      </c>
      <c r="E38" s="32">
        <v>4034</v>
      </c>
      <c r="F38" s="29">
        <v>194.72924800000001</v>
      </c>
      <c r="G38" s="30">
        <v>0.94909223645018004</v>
      </c>
      <c r="H38" s="33"/>
    </row>
    <row r="39" spans="2:8" x14ac:dyDescent="0.2">
      <c r="B39" s="27" t="s">
        <v>98</v>
      </c>
      <c r="C39" s="27" t="s">
        <v>99</v>
      </c>
      <c r="D39" s="27" t="s">
        <v>100</v>
      </c>
      <c r="E39" s="32">
        <v>69316</v>
      </c>
      <c r="F39" s="29">
        <v>193.87685200000001</v>
      </c>
      <c r="G39" s="30">
        <v>0.94493773765613598</v>
      </c>
      <c r="H39" s="33"/>
    </row>
    <row r="40" spans="2:8" x14ac:dyDescent="0.2">
      <c r="B40" s="27" t="s">
        <v>101</v>
      </c>
      <c r="C40" s="27" t="s">
        <v>102</v>
      </c>
      <c r="D40" s="27" t="s">
        <v>62</v>
      </c>
      <c r="E40" s="32">
        <v>8069</v>
      </c>
      <c r="F40" s="29">
        <v>191.735578</v>
      </c>
      <c r="G40" s="30">
        <v>0.93450136741188505</v>
      </c>
      <c r="H40" s="33"/>
    </row>
    <row r="41" spans="2:8" x14ac:dyDescent="0.2">
      <c r="B41" s="27" t="s">
        <v>103</v>
      </c>
      <c r="C41" s="27" t="s">
        <v>104</v>
      </c>
      <c r="D41" s="27" t="s">
        <v>76</v>
      </c>
      <c r="E41" s="32">
        <v>6817</v>
      </c>
      <c r="F41" s="29">
        <v>190.86236600000001</v>
      </c>
      <c r="G41" s="30">
        <v>0.93024541337063504</v>
      </c>
      <c r="H41" s="33"/>
    </row>
    <row r="42" spans="2:8" x14ac:dyDescent="0.2">
      <c r="B42" s="27" t="s">
        <v>105</v>
      </c>
      <c r="C42" s="27" t="s">
        <v>106</v>
      </c>
      <c r="D42" s="27" t="s">
        <v>107</v>
      </c>
      <c r="E42" s="32">
        <v>40517</v>
      </c>
      <c r="F42" s="29">
        <v>174.48646049999999</v>
      </c>
      <c r="G42" s="30">
        <v>0.85043077363612596</v>
      </c>
      <c r="H42" s="33"/>
    </row>
    <row r="43" spans="2:8" x14ac:dyDescent="0.2">
      <c r="B43" s="27" t="s">
        <v>108</v>
      </c>
      <c r="C43" s="27" t="s">
        <v>109</v>
      </c>
      <c r="D43" s="27" t="s">
        <v>110</v>
      </c>
      <c r="E43" s="32">
        <v>12794</v>
      </c>
      <c r="F43" s="29">
        <v>165.260098</v>
      </c>
      <c r="G43" s="30">
        <v>0.80546234126470795</v>
      </c>
      <c r="H43" s="33"/>
    </row>
    <row r="44" spans="2:8" x14ac:dyDescent="0.2">
      <c r="B44" s="27" t="s">
        <v>111</v>
      </c>
      <c r="C44" s="27" t="s">
        <v>112</v>
      </c>
      <c r="D44" s="27" t="s">
        <v>113</v>
      </c>
      <c r="E44" s="32">
        <v>8010</v>
      </c>
      <c r="F44" s="29">
        <v>163.17972</v>
      </c>
      <c r="G44" s="30">
        <v>0.79532277245847605</v>
      </c>
      <c r="H44" s="33"/>
    </row>
    <row r="45" spans="2:8" x14ac:dyDescent="0.2">
      <c r="B45" s="27" t="s">
        <v>114</v>
      </c>
      <c r="C45" s="27" t="s">
        <v>115</v>
      </c>
      <c r="D45" s="27" t="s">
        <v>65</v>
      </c>
      <c r="E45" s="32">
        <v>3959</v>
      </c>
      <c r="F45" s="29">
        <v>154.38120499999999</v>
      </c>
      <c r="G45" s="30">
        <v>0.75243962899360495</v>
      </c>
      <c r="H45" s="33"/>
    </row>
    <row r="46" spans="2:8" x14ac:dyDescent="0.2">
      <c r="B46" s="27" t="s">
        <v>116</v>
      </c>
      <c r="C46" s="27" t="s">
        <v>117</v>
      </c>
      <c r="D46" s="27" t="s">
        <v>34</v>
      </c>
      <c r="E46" s="32">
        <v>11328</v>
      </c>
      <c r="F46" s="29">
        <v>153.81158400000001</v>
      </c>
      <c r="G46" s="30">
        <v>0.749663349239169</v>
      </c>
      <c r="H46" s="33"/>
    </row>
    <row r="47" spans="2:8" x14ac:dyDescent="0.2">
      <c r="B47" s="27" t="s">
        <v>118</v>
      </c>
      <c r="C47" s="27" t="s">
        <v>119</v>
      </c>
      <c r="D47" s="27" t="s">
        <v>49</v>
      </c>
      <c r="E47" s="32">
        <v>58495</v>
      </c>
      <c r="F47" s="29">
        <v>149.39623</v>
      </c>
      <c r="G47" s="30">
        <v>0.72814332466340903</v>
      </c>
      <c r="H47" s="33"/>
    </row>
    <row r="48" spans="2:8" x14ac:dyDescent="0.2">
      <c r="B48" s="27" t="s">
        <v>120</v>
      </c>
      <c r="C48" s="27" t="s">
        <v>121</v>
      </c>
      <c r="D48" s="27" t="s">
        <v>122</v>
      </c>
      <c r="E48" s="32">
        <v>13270</v>
      </c>
      <c r="F48" s="29">
        <v>144.90176500000001</v>
      </c>
      <c r="G48" s="30">
        <v>0.70623772043441801</v>
      </c>
      <c r="H48" s="33"/>
    </row>
    <row r="49" spans="2:9" x14ac:dyDescent="0.2">
      <c r="B49" s="27" t="s">
        <v>123</v>
      </c>
      <c r="C49" s="27" t="s">
        <v>124</v>
      </c>
      <c r="D49" s="27" t="s">
        <v>122</v>
      </c>
      <c r="E49" s="32">
        <v>1837</v>
      </c>
      <c r="F49" s="29">
        <v>143.68095500000001</v>
      </c>
      <c r="G49" s="30">
        <v>0.70028760608292195</v>
      </c>
      <c r="H49" s="33"/>
    </row>
    <row r="50" spans="2:9" x14ac:dyDescent="0.2">
      <c r="B50" s="27" t="s">
        <v>125</v>
      </c>
      <c r="C50" s="27" t="s">
        <v>126</v>
      </c>
      <c r="D50" s="27" t="s">
        <v>41</v>
      </c>
      <c r="E50" s="32">
        <v>37313</v>
      </c>
      <c r="F50" s="29">
        <v>142.77819450000001</v>
      </c>
      <c r="G50" s="30">
        <v>0.69588763540196996</v>
      </c>
      <c r="H50" s="33"/>
    </row>
    <row r="51" spans="2:9" x14ac:dyDescent="0.2">
      <c r="B51" s="27" t="s">
        <v>127</v>
      </c>
      <c r="C51" s="27" t="s">
        <v>128</v>
      </c>
      <c r="D51" s="27" t="s">
        <v>56</v>
      </c>
      <c r="E51" s="32">
        <v>10874</v>
      </c>
      <c r="F51" s="29">
        <v>139.87226200000001</v>
      </c>
      <c r="G51" s="30">
        <v>0.68172439077526503</v>
      </c>
      <c r="H51" s="33"/>
    </row>
    <row r="52" spans="2:9" x14ac:dyDescent="0.2">
      <c r="B52" s="27" t="s">
        <v>129</v>
      </c>
      <c r="C52" s="27" t="s">
        <v>130</v>
      </c>
      <c r="D52" s="27" t="s">
        <v>113</v>
      </c>
      <c r="E52" s="32">
        <v>19178</v>
      </c>
      <c r="F52" s="29">
        <v>137.18023400000001</v>
      </c>
      <c r="G52" s="30">
        <v>0.66860369677912501</v>
      </c>
      <c r="H52" s="33"/>
    </row>
    <row r="53" spans="2:9" x14ac:dyDescent="0.2">
      <c r="B53" s="27" t="s">
        <v>131</v>
      </c>
      <c r="C53" s="27" t="s">
        <v>132</v>
      </c>
      <c r="D53" s="27" t="s">
        <v>56</v>
      </c>
      <c r="E53" s="32">
        <v>10040</v>
      </c>
      <c r="F53" s="29">
        <v>135.35928000000001</v>
      </c>
      <c r="G53" s="30">
        <v>0.65972853641116203</v>
      </c>
      <c r="H53" s="33"/>
    </row>
    <row r="54" spans="2:9" x14ac:dyDescent="0.2">
      <c r="B54" s="27" t="s">
        <v>133</v>
      </c>
      <c r="C54" s="27" t="s">
        <v>134</v>
      </c>
      <c r="D54" s="27" t="s">
        <v>135</v>
      </c>
      <c r="E54" s="32">
        <v>11619</v>
      </c>
      <c r="F54" s="29">
        <v>132.57279</v>
      </c>
      <c r="G54" s="30">
        <v>0.64614744341610197</v>
      </c>
      <c r="H54" s="33"/>
    </row>
    <row r="55" spans="2:9" x14ac:dyDescent="0.2">
      <c r="B55" s="27" t="s">
        <v>136</v>
      </c>
      <c r="C55" s="27" t="s">
        <v>137</v>
      </c>
      <c r="D55" s="27" t="s">
        <v>34</v>
      </c>
      <c r="E55" s="32">
        <v>50949</v>
      </c>
      <c r="F55" s="29">
        <v>102.3871104</v>
      </c>
      <c r="G55" s="30">
        <v>0.49902524962869199</v>
      </c>
      <c r="H55" s="33"/>
    </row>
    <row r="56" spans="2:9" x14ac:dyDescent="0.2">
      <c r="B56" s="27" t="s">
        <v>138</v>
      </c>
      <c r="C56" s="27" t="s">
        <v>139</v>
      </c>
      <c r="D56" s="27" t="s">
        <v>140</v>
      </c>
      <c r="E56" s="32">
        <v>4648</v>
      </c>
      <c r="F56" s="29">
        <v>100.480464</v>
      </c>
      <c r="G56" s="30">
        <v>0.48973243247625398</v>
      </c>
      <c r="H56" s="33"/>
    </row>
    <row r="57" spans="2:9" ht="10.5" x14ac:dyDescent="0.25">
      <c r="B57" s="26" t="s">
        <v>8</v>
      </c>
      <c r="C57" s="26"/>
      <c r="D57" s="26"/>
      <c r="E57" s="34"/>
      <c r="F57" s="35">
        <f>SUM(F7:F56)</f>
        <v>20480.316477300003</v>
      </c>
      <c r="G57" s="36">
        <f>SUM(G7:G56)</f>
        <v>99.819156948873626</v>
      </c>
      <c r="H57" s="37"/>
      <c r="I57" s="18"/>
    </row>
    <row r="58" spans="2:9" ht="10.5" x14ac:dyDescent="0.25">
      <c r="B58" s="26" t="s">
        <v>141</v>
      </c>
      <c r="C58" s="26"/>
      <c r="D58" s="26"/>
      <c r="E58" s="34"/>
      <c r="F58" s="51" t="s">
        <v>142</v>
      </c>
      <c r="G58" s="52" t="s">
        <v>142</v>
      </c>
      <c r="H58" s="37"/>
      <c r="I58" s="18"/>
    </row>
    <row r="59" spans="2:9" ht="10.5" x14ac:dyDescent="0.25">
      <c r="B59" s="26" t="s">
        <v>8</v>
      </c>
      <c r="C59" s="26"/>
      <c r="D59" s="26"/>
      <c r="E59" s="34"/>
      <c r="F59" s="49" t="s">
        <v>142</v>
      </c>
      <c r="G59" s="50" t="s">
        <v>142</v>
      </c>
      <c r="H59" s="37"/>
      <c r="I59" s="18"/>
    </row>
    <row r="60" spans="2:9" ht="10.5" x14ac:dyDescent="0.25">
      <c r="B60" s="38" t="s">
        <v>9</v>
      </c>
      <c r="C60" s="38"/>
      <c r="D60" s="38"/>
      <c r="E60" s="39"/>
      <c r="F60" s="40">
        <f>F57</f>
        <v>20480.316477300003</v>
      </c>
      <c r="G60" s="41">
        <f>G57</f>
        <v>99.819156948873626</v>
      </c>
      <c r="H60" s="37"/>
      <c r="I60" s="18"/>
    </row>
    <row r="61" spans="2:9" ht="10.5" x14ac:dyDescent="0.25">
      <c r="B61" s="26" t="s">
        <v>10</v>
      </c>
      <c r="C61" s="26"/>
      <c r="D61" s="26"/>
      <c r="E61" s="34"/>
      <c r="F61" s="35">
        <v>136.53449029999999</v>
      </c>
      <c r="G61" s="36">
        <v>0.66545640206761603</v>
      </c>
      <c r="H61" s="33">
        <v>4.9299999999999997E-2</v>
      </c>
      <c r="I61" s="19"/>
    </row>
    <row r="62" spans="2:9" x14ac:dyDescent="0.2">
      <c r="B62" s="27"/>
      <c r="C62" s="27"/>
      <c r="D62" s="27"/>
      <c r="E62" s="28"/>
      <c r="F62" s="29"/>
      <c r="G62" s="30"/>
      <c r="H62" s="31"/>
    </row>
    <row r="63" spans="2:9" ht="10.5" x14ac:dyDescent="0.25">
      <c r="B63" s="47" t="s">
        <v>12</v>
      </c>
      <c r="C63" s="47"/>
      <c r="D63" s="47"/>
      <c r="E63" s="48"/>
      <c r="F63" s="35">
        <f>F64-(F57+F61)</f>
        <v>-99.430160500003694</v>
      </c>
      <c r="G63" s="36">
        <f>G64-(G57+G61)</f>
        <v>-0.48461335094124536</v>
      </c>
      <c r="H63" s="37"/>
      <c r="I63" s="18"/>
    </row>
    <row r="64" spans="2:9" ht="10.5" x14ac:dyDescent="0.25">
      <c r="B64" s="42" t="s">
        <v>11</v>
      </c>
      <c r="C64" s="42"/>
      <c r="D64" s="42"/>
      <c r="E64" s="43"/>
      <c r="F64" s="44">
        <v>20517.420807099999</v>
      </c>
      <c r="G64" s="45">
        <v>100</v>
      </c>
      <c r="H64" s="46"/>
      <c r="I64" s="18"/>
    </row>
    <row r="67" spans="2:8" ht="10.5" x14ac:dyDescent="0.25">
      <c r="B67" s="18" t="s">
        <v>13</v>
      </c>
      <c r="E67" s="8"/>
      <c r="G67" s="54"/>
      <c r="H67" s="8"/>
    </row>
    <row r="68" spans="2:8" x14ac:dyDescent="0.2">
      <c r="E68" s="8"/>
      <c r="G68" s="54"/>
      <c r="H68" s="8"/>
    </row>
    <row r="69" spans="2:8" x14ac:dyDescent="0.2">
      <c r="E69" s="8"/>
      <c r="G69" s="54"/>
      <c r="H69" s="8"/>
    </row>
    <row r="70" spans="2:8" x14ac:dyDescent="0.2">
      <c r="E70" s="8"/>
      <c r="G70" s="54"/>
      <c r="H70" s="8"/>
    </row>
    <row r="71" spans="2:8" x14ac:dyDescent="0.2">
      <c r="E71" s="8"/>
      <c r="G71" s="54"/>
      <c r="H71" s="8"/>
    </row>
    <row r="72" spans="2:8" x14ac:dyDescent="0.2">
      <c r="E72" s="8"/>
      <c r="G72" s="54"/>
      <c r="H72" s="8"/>
    </row>
    <row r="73" spans="2:8" x14ac:dyDescent="0.2">
      <c r="E73" s="8"/>
      <c r="G73" s="54"/>
      <c r="H73" s="8"/>
    </row>
    <row r="74" spans="2:8" x14ac:dyDescent="0.2">
      <c r="E74" s="8"/>
      <c r="G74" s="54"/>
      <c r="H74" s="8"/>
    </row>
    <row r="75" spans="2:8" x14ac:dyDescent="0.2">
      <c r="E75" s="8"/>
      <c r="G75" s="54"/>
      <c r="H75" s="8"/>
    </row>
    <row r="76" spans="2:8" x14ac:dyDescent="0.2">
      <c r="E76" s="8"/>
      <c r="G76" s="54"/>
      <c r="H76" s="8"/>
    </row>
    <row r="77" spans="2:8" x14ac:dyDescent="0.2">
      <c r="E77" s="8"/>
      <c r="G77" s="54"/>
      <c r="H77" s="8"/>
    </row>
    <row r="78" spans="2:8" x14ac:dyDescent="0.2">
      <c r="E78" s="8"/>
      <c r="G78" s="54"/>
      <c r="H78" s="8"/>
    </row>
    <row r="79" spans="2:8" x14ac:dyDescent="0.2">
      <c r="E79" s="8"/>
      <c r="G79" s="54"/>
      <c r="H79" s="8"/>
    </row>
    <row r="80" spans="2:8" x14ac:dyDescent="0.2">
      <c r="E80" s="8"/>
      <c r="G80" s="54"/>
      <c r="H80" s="8"/>
    </row>
    <row r="81" spans="2:8" x14ac:dyDescent="0.2">
      <c r="E81" s="8"/>
      <c r="G81" s="54"/>
      <c r="H81" s="8"/>
    </row>
    <row r="82" spans="2:8" x14ac:dyDescent="0.2">
      <c r="E82" s="8"/>
      <c r="G82" s="54"/>
      <c r="H82" s="8"/>
    </row>
    <row r="83" spans="2:8" x14ac:dyDescent="0.2">
      <c r="E83" s="8"/>
      <c r="G83" s="54"/>
      <c r="H83" s="8"/>
    </row>
    <row r="84" spans="2:8" ht="10.5" x14ac:dyDescent="0.2">
      <c r="B84" s="55" t="s">
        <v>144</v>
      </c>
      <c r="E84" s="8"/>
      <c r="G84" s="54"/>
      <c r="H84" s="8"/>
    </row>
    <row r="85" spans="2:8" ht="10.5" x14ac:dyDescent="0.25">
      <c r="B85" s="56" t="s">
        <v>145</v>
      </c>
      <c r="E85" s="8"/>
      <c r="G85" s="54"/>
      <c r="H85" s="8"/>
    </row>
    <row r="86" spans="2:8" x14ac:dyDescent="0.2">
      <c r="E86" s="8"/>
      <c r="G86" s="54"/>
      <c r="H86" s="8"/>
    </row>
    <row r="87" spans="2:8" x14ac:dyDescent="0.2">
      <c r="E87" s="8"/>
      <c r="G87" s="54"/>
      <c r="H87" s="8"/>
    </row>
    <row r="88" spans="2:8" x14ac:dyDescent="0.2">
      <c r="E88" s="8"/>
      <c r="G88" s="54"/>
      <c r="H88" s="8"/>
    </row>
    <row r="89" spans="2:8" x14ac:dyDescent="0.2">
      <c r="E89" s="8"/>
      <c r="G89" s="54"/>
      <c r="H89" s="8"/>
    </row>
    <row r="90" spans="2:8" x14ac:dyDescent="0.2">
      <c r="E90" s="8"/>
      <c r="G90" s="54"/>
      <c r="H90" s="8"/>
    </row>
    <row r="91" spans="2:8" x14ac:dyDescent="0.2">
      <c r="E91" s="8"/>
      <c r="G91" s="54"/>
      <c r="H91" s="8"/>
    </row>
    <row r="92" spans="2:8" x14ac:dyDescent="0.2">
      <c r="E92" s="8"/>
      <c r="G92" s="54"/>
      <c r="H92" s="8"/>
    </row>
    <row r="93" spans="2:8" x14ac:dyDescent="0.2">
      <c r="E93" s="8"/>
      <c r="G93" s="54"/>
      <c r="H93" s="8"/>
    </row>
    <row r="94" spans="2:8" x14ac:dyDescent="0.2">
      <c r="E94" s="8"/>
      <c r="G94" s="54"/>
      <c r="H94" s="8"/>
    </row>
    <row r="95" spans="2:8" x14ac:dyDescent="0.2">
      <c r="E95" s="8"/>
      <c r="G95" s="54"/>
      <c r="H95" s="8"/>
    </row>
    <row r="96" spans="2:8" x14ac:dyDescent="0.2">
      <c r="E96" s="8"/>
      <c r="G96" s="54"/>
      <c r="H96" s="8"/>
    </row>
    <row r="97" spans="5:8" x14ac:dyDescent="0.2">
      <c r="E97" s="8"/>
      <c r="G97" s="54"/>
      <c r="H97" s="8"/>
    </row>
    <row r="98" spans="5:8" x14ac:dyDescent="0.2">
      <c r="E98" s="8"/>
      <c r="G98" s="54"/>
      <c r="H98" s="8"/>
    </row>
    <row r="99" spans="5:8" x14ac:dyDescent="0.2">
      <c r="E99" s="8"/>
      <c r="G99" s="54"/>
      <c r="H99" s="8"/>
    </row>
    <row r="100" spans="5:8" x14ac:dyDescent="0.2">
      <c r="E100" s="8"/>
      <c r="G100" s="54"/>
      <c r="H100" s="8"/>
    </row>
    <row r="101" spans="5:8" x14ac:dyDescent="0.2">
      <c r="E101" s="8"/>
      <c r="G101" s="54"/>
      <c r="H101" s="8"/>
    </row>
    <row r="102" spans="5:8" x14ac:dyDescent="0.2">
      <c r="E102" s="8"/>
      <c r="G102" s="54"/>
    </row>
    <row r="103" spans="5:8" x14ac:dyDescent="0.2">
      <c r="E103" s="8"/>
      <c r="G103" s="54"/>
    </row>
    <row r="104" spans="5:8" x14ac:dyDescent="0.2">
      <c r="E104" s="8"/>
      <c r="G104" s="54"/>
    </row>
    <row r="105" spans="5:8" x14ac:dyDescent="0.2">
      <c r="E105" s="8"/>
      <c r="G105" s="54"/>
    </row>
    <row r="106" spans="5:8" x14ac:dyDescent="0.2">
      <c r="E106" s="8"/>
      <c r="G106" s="54"/>
    </row>
    <row r="107" spans="5:8" x14ac:dyDescent="0.2">
      <c r="E107" s="8"/>
      <c r="G107" s="54"/>
    </row>
    <row r="108" spans="5:8" x14ac:dyDescent="0.2">
      <c r="E108" s="8"/>
      <c r="G108" s="54"/>
    </row>
    <row r="109" spans="5:8" x14ac:dyDescent="0.2">
      <c r="E109" s="8"/>
      <c r="G109" s="54"/>
    </row>
    <row r="110" spans="5:8" x14ac:dyDescent="0.2">
      <c r="E110" s="8"/>
      <c r="G110" s="54"/>
    </row>
    <row r="111" spans="5:8" x14ac:dyDescent="0.2">
      <c r="E111" s="8"/>
      <c r="G111" s="54"/>
    </row>
    <row r="112" spans="5:8" x14ac:dyDescent="0.2">
      <c r="E112" s="8"/>
      <c r="G112" s="54"/>
    </row>
    <row r="113" spans="5:7" x14ac:dyDescent="0.2">
      <c r="E113" s="8"/>
      <c r="G113" s="54"/>
    </row>
    <row r="114" spans="5:7" x14ac:dyDescent="0.2">
      <c r="E114" s="8"/>
      <c r="G114" s="54"/>
    </row>
    <row r="115" spans="5:7" x14ac:dyDescent="0.2">
      <c r="E115" s="8"/>
      <c r="G115" s="54"/>
    </row>
    <row r="116" spans="5:7" x14ac:dyDescent="0.2">
      <c r="E116" s="8"/>
      <c r="G116" s="54"/>
    </row>
    <row r="117" spans="5:7" x14ac:dyDescent="0.2">
      <c r="E117" s="8"/>
      <c r="G117" s="54"/>
    </row>
    <row r="118" spans="5:7" x14ac:dyDescent="0.2">
      <c r="E118" s="8"/>
      <c r="G118" s="54"/>
    </row>
    <row r="119" spans="5:7" x14ac:dyDescent="0.2">
      <c r="E119" s="8"/>
      <c r="G119" s="54"/>
    </row>
    <row r="120" spans="5:7" x14ac:dyDescent="0.2">
      <c r="E120" s="8"/>
      <c r="G120" s="54"/>
    </row>
    <row r="121" spans="5:7" x14ac:dyDescent="0.2">
      <c r="E121" s="8"/>
      <c r="G121" s="54"/>
    </row>
    <row r="122" spans="5:7" x14ac:dyDescent="0.2">
      <c r="E122" s="8"/>
      <c r="G122" s="54"/>
    </row>
    <row r="123" spans="5:7" x14ac:dyDescent="0.2">
      <c r="E123" s="8"/>
      <c r="G123" s="54"/>
    </row>
    <row r="124" spans="5:7" x14ac:dyDescent="0.2">
      <c r="E124" s="8"/>
      <c r="G124" s="54"/>
    </row>
    <row r="125" spans="5:7" x14ac:dyDescent="0.2">
      <c r="E125" s="8"/>
      <c r="G125" s="54"/>
    </row>
    <row r="126" spans="5:7" x14ac:dyDescent="0.2">
      <c r="E126" s="8"/>
      <c r="G126" s="54"/>
    </row>
    <row r="127" spans="5:7" x14ac:dyDescent="0.2">
      <c r="E127" s="8"/>
      <c r="G127" s="54"/>
    </row>
    <row r="128" spans="5:7" x14ac:dyDescent="0.2">
      <c r="E128" s="8"/>
      <c r="G128" s="54"/>
    </row>
    <row r="129" spans="5:7" x14ac:dyDescent="0.2">
      <c r="E129" s="8"/>
      <c r="G129" s="54"/>
    </row>
    <row r="130" spans="5:7" x14ac:dyDescent="0.2">
      <c r="E130" s="8"/>
      <c r="G130" s="54"/>
    </row>
    <row r="131" spans="5:7" x14ac:dyDescent="0.2">
      <c r="E131" s="8"/>
      <c r="G131" s="54"/>
    </row>
    <row r="132" spans="5:7" x14ac:dyDescent="0.2">
      <c r="E132" s="8"/>
      <c r="G132" s="54"/>
    </row>
    <row r="133" spans="5:7" x14ac:dyDescent="0.2">
      <c r="E133" s="8"/>
      <c r="G133" s="54"/>
    </row>
    <row r="134" spans="5:7" x14ac:dyDescent="0.2">
      <c r="E134" s="8"/>
      <c r="G134" s="54"/>
    </row>
    <row r="135" spans="5:7" x14ac:dyDescent="0.2">
      <c r="E135" s="8"/>
      <c r="G135" s="54"/>
    </row>
    <row r="136" spans="5:7" x14ac:dyDescent="0.2">
      <c r="E136" s="8"/>
      <c r="G136" s="54"/>
    </row>
    <row r="137" spans="5:7" x14ac:dyDescent="0.2">
      <c r="E137" s="8"/>
      <c r="G137" s="54"/>
    </row>
    <row r="138" spans="5:7" x14ac:dyDescent="0.2">
      <c r="E138" s="8"/>
      <c r="G138" s="54"/>
    </row>
    <row r="139" spans="5:7" x14ac:dyDescent="0.2">
      <c r="E139" s="8"/>
      <c r="G139" s="54"/>
    </row>
    <row r="140" spans="5:7" x14ac:dyDescent="0.2">
      <c r="E140" s="8"/>
      <c r="G140" s="54"/>
    </row>
    <row r="141" spans="5:7" x14ac:dyDescent="0.2">
      <c r="E141" s="8"/>
      <c r="G141" s="54"/>
    </row>
    <row r="142" spans="5:7" x14ac:dyDescent="0.2">
      <c r="E142" s="8"/>
      <c r="G142" s="54"/>
    </row>
    <row r="143" spans="5:7" x14ac:dyDescent="0.2">
      <c r="E143" s="8"/>
      <c r="G143" s="54"/>
    </row>
    <row r="144" spans="5:7" x14ac:dyDescent="0.2">
      <c r="E144" s="8"/>
      <c r="G144" s="54"/>
    </row>
    <row r="145" spans="5:7" x14ac:dyDescent="0.2">
      <c r="E145" s="8"/>
      <c r="G145" s="54"/>
    </row>
    <row r="146" spans="5:7" x14ac:dyDescent="0.2">
      <c r="E146" s="8"/>
      <c r="G146" s="54"/>
    </row>
    <row r="147" spans="5:7" x14ac:dyDescent="0.2">
      <c r="E147" s="8"/>
      <c r="G147" s="54"/>
    </row>
    <row r="148" spans="5:7" x14ac:dyDescent="0.2">
      <c r="E148" s="8"/>
      <c r="G148" s="54"/>
    </row>
    <row r="149" spans="5:7" x14ac:dyDescent="0.2">
      <c r="E149" s="8"/>
      <c r="G149" s="54"/>
    </row>
    <row r="150" spans="5:7" x14ac:dyDescent="0.2">
      <c r="E150" s="8"/>
      <c r="G150" s="54"/>
    </row>
    <row r="151" spans="5:7" x14ac:dyDescent="0.2">
      <c r="E151" s="8"/>
      <c r="G151" s="54"/>
    </row>
    <row r="152" spans="5:7" x14ac:dyDescent="0.2">
      <c r="E152" s="8"/>
      <c r="G152" s="54"/>
    </row>
    <row r="153" spans="5:7" x14ac:dyDescent="0.2">
      <c r="E153" s="8"/>
      <c r="G153" s="54"/>
    </row>
    <row r="154" spans="5:7" x14ac:dyDescent="0.2">
      <c r="E154" s="8"/>
      <c r="G154" s="54"/>
    </row>
    <row r="155" spans="5:7" x14ac:dyDescent="0.2">
      <c r="E155" s="8"/>
      <c r="G155" s="54"/>
    </row>
    <row r="156" spans="5:7" x14ac:dyDescent="0.2">
      <c r="E156" s="8"/>
      <c r="G156" s="54"/>
    </row>
    <row r="157" spans="5:7" x14ac:dyDescent="0.2">
      <c r="E157" s="8"/>
      <c r="G157" s="54"/>
    </row>
    <row r="158" spans="5:7" x14ac:dyDescent="0.2">
      <c r="E158" s="8"/>
      <c r="G158" s="54"/>
    </row>
    <row r="159" spans="5:7" x14ac:dyDescent="0.2">
      <c r="E159" s="8"/>
      <c r="G159" s="54"/>
    </row>
    <row r="160" spans="5:7" x14ac:dyDescent="0.2">
      <c r="E160" s="8"/>
      <c r="G160" s="54"/>
    </row>
    <row r="161" spans="5:7" x14ac:dyDescent="0.2">
      <c r="E161" s="8"/>
      <c r="G161" s="54"/>
    </row>
    <row r="162" spans="5:7" x14ac:dyDescent="0.2">
      <c r="E162" s="8"/>
      <c r="G162" s="54"/>
    </row>
    <row r="163" spans="5:7" x14ac:dyDescent="0.2">
      <c r="E163" s="8"/>
      <c r="G163" s="54"/>
    </row>
    <row r="164" spans="5:7" x14ac:dyDescent="0.2">
      <c r="E164" s="8"/>
      <c r="G164" s="54"/>
    </row>
    <row r="165" spans="5:7" x14ac:dyDescent="0.2">
      <c r="E165" s="8"/>
      <c r="G165" s="54"/>
    </row>
    <row r="166" spans="5:7" x14ac:dyDescent="0.2">
      <c r="E166" s="8"/>
      <c r="G166" s="54"/>
    </row>
    <row r="167" spans="5:7" x14ac:dyDescent="0.2">
      <c r="E167" s="8"/>
      <c r="G167" s="54"/>
    </row>
    <row r="168" spans="5:7" x14ac:dyDescent="0.2">
      <c r="E168" s="8"/>
      <c r="G168" s="54"/>
    </row>
    <row r="169" spans="5:7" x14ac:dyDescent="0.2">
      <c r="E169" s="8"/>
      <c r="G169" s="54"/>
    </row>
    <row r="170" spans="5:7" x14ac:dyDescent="0.2">
      <c r="E170" s="8"/>
      <c r="G170" s="54"/>
    </row>
    <row r="171" spans="5:7" x14ac:dyDescent="0.2">
      <c r="E171" s="8"/>
      <c r="G171" s="54"/>
    </row>
    <row r="172" spans="5:7" x14ac:dyDescent="0.2">
      <c r="E172" s="8"/>
      <c r="G172" s="54"/>
    </row>
    <row r="173" spans="5:7" x14ac:dyDescent="0.2">
      <c r="E173" s="8"/>
      <c r="G173" s="54"/>
    </row>
    <row r="174" spans="5:7" x14ac:dyDescent="0.2">
      <c r="E174" s="8"/>
      <c r="G174" s="54"/>
    </row>
    <row r="175" spans="5:7" x14ac:dyDescent="0.2">
      <c r="E175" s="8"/>
      <c r="G175" s="54"/>
    </row>
    <row r="176" spans="5:7" x14ac:dyDescent="0.2">
      <c r="E176" s="8"/>
      <c r="G176" s="54"/>
    </row>
    <row r="177" spans="5:7" x14ac:dyDescent="0.2">
      <c r="E177" s="8"/>
      <c r="G177" s="54"/>
    </row>
    <row r="178" spans="5:7" x14ac:dyDescent="0.2">
      <c r="E178" s="8"/>
      <c r="G178" s="54"/>
    </row>
    <row r="179" spans="5:7" x14ac:dyDescent="0.2">
      <c r="E179" s="8"/>
      <c r="G179" s="54"/>
    </row>
    <row r="180" spans="5:7" x14ac:dyDescent="0.2">
      <c r="E180" s="8"/>
      <c r="G180" s="54"/>
    </row>
    <row r="181" spans="5:7" x14ac:dyDescent="0.2">
      <c r="E181" s="8"/>
      <c r="G181" s="54"/>
    </row>
    <row r="182" spans="5:7" x14ac:dyDescent="0.2">
      <c r="E182" s="8"/>
      <c r="G182" s="54"/>
    </row>
    <row r="183" spans="5:7" x14ac:dyDescent="0.2">
      <c r="E183" s="8"/>
      <c r="G183" s="54"/>
    </row>
    <row r="184" spans="5:7" x14ac:dyDescent="0.2">
      <c r="E184" s="8"/>
      <c r="G184" s="54"/>
    </row>
    <row r="185" spans="5:7" x14ac:dyDescent="0.2">
      <c r="E185" s="8"/>
      <c r="G185" s="54"/>
    </row>
    <row r="186" spans="5:7" x14ac:dyDescent="0.2">
      <c r="E186" s="8"/>
      <c r="G186" s="54"/>
    </row>
    <row r="187" spans="5:7" x14ac:dyDescent="0.2">
      <c r="E187" s="8"/>
      <c r="G187" s="54"/>
    </row>
    <row r="188" spans="5:7" x14ac:dyDescent="0.2">
      <c r="E188" s="8"/>
      <c r="G188" s="54"/>
    </row>
    <row r="189" spans="5:7" x14ac:dyDescent="0.2">
      <c r="E189" s="8"/>
      <c r="G189" s="54"/>
    </row>
    <row r="190" spans="5:7" x14ac:dyDescent="0.2">
      <c r="E190" s="8"/>
      <c r="G190" s="54"/>
    </row>
    <row r="191" spans="5:7" x14ac:dyDescent="0.2">
      <c r="E191" s="8"/>
      <c r="G191" s="54"/>
    </row>
    <row r="192" spans="5:7" x14ac:dyDescent="0.2">
      <c r="E192" s="8"/>
      <c r="G192" s="54"/>
    </row>
    <row r="193" spans="5:7" x14ac:dyDescent="0.2">
      <c r="E193" s="8"/>
      <c r="G193" s="54"/>
    </row>
    <row r="194" spans="5:7" x14ac:dyDescent="0.2">
      <c r="E194" s="8"/>
      <c r="G194" s="54"/>
    </row>
    <row r="195" spans="5:7" x14ac:dyDescent="0.2">
      <c r="E195" s="8"/>
      <c r="G195" s="54"/>
    </row>
    <row r="196" spans="5:7" x14ac:dyDescent="0.2">
      <c r="E196" s="8"/>
      <c r="G196" s="54"/>
    </row>
    <row r="197" spans="5:7" x14ac:dyDescent="0.2">
      <c r="E197" s="8"/>
      <c r="G197" s="54"/>
    </row>
    <row r="198" spans="5:7" x14ac:dyDescent="0.2">
      <c r="E198" s="8"/>
      <c r="G198" s="54"/>
    </row>
    <row r="199" spans="5:7" x14ac:dyDescent="0.2">
      <c r="E199" s="8"/>
      <c r="G199" s="54"/>
    </row>
    <row r="200" spans="5:7" x14ac:dyDescent="0.2">
      <c r="E200" s="8"/>
      <c r="G200" s="54"/>
    </row>
    <row r="201" spans="5:7" x14ac:dyDescent="0.2">
      <c r="E201" s="8"/>
      <c r="G201" s="54"/>
    </row>
    <row r="202" spans="5:7" x14ac:dyDescent="0.2">
      <c r="E202" s="8"/>
      <c r="G202" s="54"/>
    </row>
    <row r="203" spans="5:7" x14ac:dyDescent="0.2">
      <c r="E203" s="8"/>
      <c r="G203" s="54"/>
    </row>
    <row r="204" spans="5:7" x14ac:dyDescent="0.2">
      <c r="E204" s="8"/>
      <c r="G204" s="54"/>
    </row>
    <row r="205" spans="5:7" x14ac:dyDescent="0.2">
      <c r="E205" s="8"/>
      <c r="G205" s="54"/>
    </row>
    <row r="206" spans="5:7" x14ac:dyDescent="0.2">
      <c r="E206" s="8"/>
      <c r="G206" s="54"/>
    </row>
    <row r="207" spans="5:7" x14ac:dyDescent="0.2">
      <c r="E207" s="8"/>
      <c r="G207" s="54"/>
    </row>
    <row r="208" spans="5:7" x14ac:dyDescent="0.2">
      <c r="E208" s="8"/>
      <c r="G208" s="54"/>
    </row>
    <row r="209" spans="5:7" x14ac:dyDescent="0.2">
      <c r="E209" s="8"/>
      <c r="G209" s="54"/>
    </row>
    <row r="210" spans="5:7" x14ac:dyDescent="0.2">
      <c r="E210" s="8"/>
      <c r="G210" s="54"/>
    </row>
    <row r="211" spans="5:7" x14ac:dyDescent="0.2">
      <c r="E211" s="8"/>
      <c r="G211" s="54"/>
    </row>
    <row r="212" spans="5:7" x14ac:dyDescent="0.2">
      <c r="E212" s="8"/>
      <c r="G212" s="54"/>
    </row>
    <row r="213" spans="5:7" x14ac:dyDescent="0.2">
      <c r="E213" s="8"/>
      <c r="G213" s="54"/>
    </row>
    <row r="214" spans="5:7" x14ac:dyDescent="0.2">
      <c r="E214" s="8"/>
      <c r="G214" s="54"/>
    </row>
    <row r="215" spans="5:7" x14ac:dyDescent="0.2">
      <c r="E215" s="8"/>
      <c r="G215" s="54"/>
    </row>
    <row r="216" spans="5:7" x14ac:dyDescent="0.2">
      <c r="E216" s="8"/>
      <c r="G216" s="54"/>
    </row>
    <row r="217" spans="5:7" x14ac:dyDescent="0.2">
      <c r="E217" s="8"/>
      <c r="G217" s="54"/>
    </row>
    <row r="218" spans="5:7" x14ac:dyDescent="0.2">
      <c r="E218" s="8"/>
      <c r="G218" s="54"/>
    </row>
    <row r="219" spans="5:7" x14ac:dyDescent="0.2">
      <c r="E219" s="8"/>
      <c r="G219" s="54"/>
    </row>
    <row r="220" spans="5:7" x14ac:dyDescent="0.2">
      <c r="E220" s="8"/>
      <c r="G220" s="54"/>
    </row>
    <row r="221" spans="5:7" x14ac:dyDescent="0.2">
      <c r="E221" s="8"/>
      <c r="G221" s="54"/>
    </row>
    <row r="222" spans="5:7" x14ac:dyDescent="0.2">
      <c r="E222" s="8"/>
      <c r="G222" s="54"/>
    </row>
    <row r="223" spans="5:7" x14ac:dyDescent="0.2">
      <c r="E223" s="8"/>
      <c r="G223" s="54"/>
    </row>
    <row r="224" spans="5:7" x14ac:dyDescent="0.2">
      <c r="E224" s="8"/>
      <c r="G224" s="54"/>
    </row>
    <row r="225" spans="5:7" x14ac:dyDescent="0.2">
      <c r="E225" s="8"/>
      <c r="G225" s="54"/>
    </row>
    <row r="226" spans="5:7" x14ac:dyDescent="0.2">
      <c r="E226" s="8"/>
      <c r="G226" s="54"/>
    </row>
    <row r="227" spans="5:7" x14ac:dyDescent="0.2">
      <c r="E227" s="8"/>
      <c r="G227" s="54"/>
    </row>
    <row r="228" spans="5:7" x14ac:dyDescent="0.2">
      <c r="E228" s="8"/>
      <c r="G228" s="54"/>
    </row>
    <row r="229" spans="5:7" x14ac:dyDescent="0.2">
      <c r="E229" s="8"/>
      <c r="G229" s="54"/>
    </row>
    <row r="230" spans="5:7" x14ac:dyDescent="0.2">
      <c r="E230" s="8"/>
      <c r="G230" s="54"/>
    </row>
    <row r="231" spans="5:7" x14ac:dyDescent="0.2">
      <c r="E231" s="8"/>
      <c r="G231" s="54"/>
    </row>
    <row r="232" spans="5:7" x14ac:dyDescent="0.2">
      <c r="E232" s="8"/>
      <c r="G232" s="54"/>
    </row>
    <row r="233" spans="5:7" x14ac:dyDescent="0.2">
      <c r="E233" s="8"/>
      <c r="G233" s="54"/>
    </row>
    <row r="234" spans="5:7" x14ac:dyDescent="0.2">
      <c r="E234" s="8"/>
      <c r="G234" s="54"/>
    </row>
    <row r="235" spans="5:7" x14ac:dyDescent="0.2">
      <c r="E235" s="8"/>
      <c r="G235" s="54"/>
    </row>
    <row r="236" spans="5:7" x14ac:dyDescent="0.2">
      <c r="E236" s="8"/>
      <c r="G236" s="54"/>
    </row>
    <row r="237" spans="5:7" x14ac:dyDescent="0.2">
      <c r="E237" s="8"/>
      <c r="G237" s="54"/>
    </row>
    <row r="238" spans="5:7" x14ac:dyDescent="0.2">
      <c r="E238" s="8"/>
      <c r="G238" s="54"/>
    </row>
    <row r="239" spans="5:7" x14ac:dyDescent="0.2">
      <c r="E239" s="8"/>
      <c r="G239" s="54"/>
    </row>
    <row r="240" spans="5:7" x14ac:dyDescent="0.2">
      <c r="E240" s="8"/>
      <c r="G240" s="54"/>
    </row>
    <row r="241" spans="5:7" x14ac:dyDescent="0.2">
      <c r="E241" s="8"/>
      <c r="G241" s="54"/>
    </row>
    <row r="242" spans="5:7" x14ac:dyDescent="0.2">
      <c r="E242" s="8"/>
      <c r="G242" s="54"/>
    </row>
    <row r="243" spans="5:7" x14ac:dyDescent="0.2">
      <c r="E243" s="8"/>
      <c r="G243" s="54"/>
    </row>
    <row r="244" spans="5:7" x14ac:dyDescent="0.2">
      <c r="E244" s="8"/>
      <c r="G244" s="54"/>
    </row>
    <row r="245" spans="5:7" x14ac:dyDescent="0.2">
      <c r="E245" s="8"/>
      <c r="G245" s="54"/>
    </row>
    <row r="246" spans="5:7" x14ac:dyDescent="0.2">
      <c r="E246" s="8"/>
      <c r="G246" s="54"/>
    </row>
    <row r="247" spans="5:7" x14ac:dyDescent="0.2">
      <c r="E247" s="8"/>
      <c r="G247" s="54"/>
    </row>
    <row r="248" spans="5:7" x14ac:dyDescent="0.2">
      <c r="E248" s="8"/>
      <c r="G248" s="54"/>
    </row>
    <row r="249" spans="5:7" x14ac:dyDescent="0.2">
      <c r="E249" s="8"/>
      <c r="G249" s="54"/>
    </row>
    <row r="250" spans="5:7" x14ac:dyDescent="0.2">
      <c r="E250" s="8"/>
      <c r="G250" s="54"/>
    </row>
    <row r="251" spans="5:7" x14ac:dyDescent="0.2">
      <c r="E251" s="8"/>
      <c r="G251" s="54"/>
    </row>
    <row r="252" spans="5:7" x14ac:dyDescent="0.2">
      <c r="E252" s="8"/>
      <c r="G252" s="54"/>
    </row>
    <row r="253" spans="5:7" x14ac:dyDescent="0.2">
      <c r="E253" s="8"/>
      <c r="G253" s="54"/>
    </row>
    <row r="254" spans="5:7" x14ac:dyDescent="0.2">
      <c r="E254" s="8"/>
      <c r="G254" s="54"/>
    </row>
    <row r="255" spans="5:7" x14ac:dyDescent="0.2">
      <c r="E255" s="8"/>
      <c r="G255" s="54"/>
    </row>
    <row r="256" spans="5:7" x14ac:dyDescent="0.2">
      <c r="E256" s="8"/>
      <c r="G256" s="54"/>
    </row>
    <row r="257" spans="5:7" x14ac:dyDescent="0.2">
      <c r="E257" s="8"/>
      <c r="G257" s="54"/>
    </row>
    <row r="258" spans="5:7" x14ac:dyDescent="0.2">
      <c r="E258" s="8"/>
      <c r="G258" s="54"/>
    </row>
    <row r="259" spans="5:7" x14ac:dyDescent="0.2">
      <c r="E259" s="8"/>
      <c r="G259" s="54"/>
    </row>
    <row r="260" spans="5:7" x14ac:dyDescent="0.2">
      <c r="E260" s="8"/>
      <c r="G260" s="54"/>
    </row>
    <row r="261" spans="5:7" x14ac:dyDescent="0.2">
      <c r="E261" s="8"/>
      <c r="G261" s="54"/>
    </row>
    <row r="262" spans="5:7" x14ac:dyDescent="0.2">
      <c r="E262" s="8"/>
      <c r="G262" s="54"/>
    </row>
    <row r="263" spans="5:7" x14ac:dyDescent="0.2">
      <c r="E263" s="8"/>
      <c r="G263" s="54"/>
    </row>
    <row r="264" spans="5:7" x14ac:dyDescent="0.2">
      <c r="E264" s="8"/>
      <c r="G264" s="54"/>
    </row>
    <row r="265" spans="5:7" x14ac:dyDescent="0.2">
      <c r="E265" s="8"/>
      <c r="G265" s="54"/>
    </row>
    <row r="266" spans="5:7" x14ac:dyDescent="0.2">
      <c r="E266" s="8"/>
      <c r="G266" s="54"/>
    </row>
    <row r="267" spans="5:7" x14ac:dyDescent="0.2">
      <c r="E267" s="8"/>
      <c r="G267" s="54"/>
    </row>
    <row r="268" spans="5:7" x14ac:dyDescent="0.2">
      <c r="E268" s="8"/>
      <c r="G268" s="54"/>
    </row>
    <row r="269" spans="5:7" x14ac:dyDescent="0.2">
      <c r="E269" s="8"/>
      <c r="G269" s="54"/>
    </row>
    <row r="270" spans="5:7" x14ac:dyDescent="0.2">
      <c r="E270" s="8"/>
      <c r="G270" s="54"/>
    </row>
    <row r="271" spans="5:7" x14ac:dyDescent="0.2">
      <c r="E271" s="8"/>
      <c r="G271" s="54"/>
    </row>
    <row r="272" spans="5:7" x14ac:dyDescent="0.2">
      <c r="E272" s="8"/>
      <c r="G272" s="54"/>
    </row>
    <row r="273" spans="5:7" x14ac:dyDescent="0.2">
      <c r="E273" s="8"/>
      <c r="G273" s="54"/>
    </row>
    <row r="274" spans="5:7" x14ac:dyDescent="0.2">
      <c r="E274" s="8"/>
      <c r="G274" s="54"/>
    </row>
    <row r="275" spans="5:7" x14ac:dyDescent="0.2">
      <c r="E275" s="8"/>
      <c r="G275" s="54"/>
    </row>
    <row r="276" spans="5:7" x14ac:dyDescent="0.2">
      <c r="E276" s="8"/>
      <c r="G276" s="54"/>
    </row>
    <row r="277" spans="5:7" x14ac:dyDescent="0.2">
      <c r="E277" s="8"/>
      <c r="G277" s="54"/>
    </row>
    <row r="278" spans="5:7" x14ac:dyDescent="0.2">
      <c r="E278" s="8"/>
      <c r="G278" s="54"/>
    </row>
    <row r="279" spans="5:7" x14ac:dyDescent="0.2">
      <c r="E279" s="8"/>
      <c r="G279" s="54"/>
    </row>
    <row r="280" spans="5:7" x14ac:dyDescent="0.2">
      <c r="E280" s="8"/>
      <c r="G280" s="54"/>
    </row>
    <row r="281" spans="5:7" x14ac:dyDescent="0.2">
      <c r="E281" s="8"/>
      <c r="G281" s="54"/>
    </row>
    <row r="282" spans="5:7" x14ac:dyDescent="0.2">
      <c r="E282" s="8"/>
      <c r="G282" s="54"/>
    </row>
    <row r="283" spans="5:7" x14ac:dyDescent="0.2">
      <c r="E283" s="8"/>
      <c r="G283" s="54"/>
    </row>
    <row r="284" spans="5:7" x14ac:dyDescent="0.2">
      <c r="E284" s="8"/>
      <c r="G284" s="54"/>
    </row>
    <row r="285" spans="5:7" x14ac:dyDescent="0.2">
      <c r="E285" s="8"/>
      <c r="G285" s="54"/>
    </row>
    <row r="286" spans="5:7" x14ac:dyDescent="0.2">
      <c r="E286" s="8"/>
      <c r="G286" s="54"/>
    </row>
    <row r="287" spans="5:7" x14ac:dyDescent="0.2">
      <c r="E287" s="8"/>
      <c r="G287" s="54"/>
    </row>
    <row r="288" spans="5:7" x14ac:dyDescent="0.2">
      <c r="E288" s="8"/>
      <c r="G288" s="54"/>
    </row>
    <row r="289" spans="5:7" x14ac:dyDescent="0.2">
      <c r="E289" s="8"/>
      <c r="G289" s="54"/>
    </row>
    <row r="290" spans="5:7" x14ac:dyDescent="0.2">
      <c r="E290" s="8"/>
      <c r="G290" s="54"/>
    </row>
    <row r="291" spans="5:7" x14ac:dyDescent="0.2">
      <c r="E291" s="8"/>
      <c r="G291" s="54"/>
    </row>
    <row r="292" spans="5:7" x14ac:dyDescent="0.2">
      <c r="E292" s="8"/>
      <c r="G292" s="54"/>
    </row>
    <row r="293" spans="5:7" x14ac:dyDescent="0.2">
      <c r="E293" s="8"/>
      <c r="G293" s="54"/>
    </row>
    <row r="294" spans="5:7" x14ac:dyDescent="0.2">
      <c r="E294" s="8"/>
      <c r="G294" s="54"/>
    </row>
    <row r="295" spans="5:7" x14ac:dyDescent="0.2">
      <c r="E295" s="8"/>
      <c r="G295" s="54"/>
    </row>
    <row r="296" spans="5:7" x14ac:dyDescent="0.2">
      <c r="E296" s="8"/>
      <c r="G296" s="54"/>
    </row>
    <row r="297" spans="5:7" x14ac:dyDescent="0.2">
      <c r="E297" s="8"/>
      <c r="G297" s="54"/>
    </row>
    <row r="298" spans="5:7" x14ac:dyDescent="0.2">
      <c r="E298" s="8"/>
      <c r="G298" s="54"/>
    </row>
    <row r="299" spans="5:7" x14ac:dyDescent="0.2">
      <c r="E299" s="8"/>
      <c r="G299" s="54"/>
    </row>
    <row r="300" spans="5:7" x14ac:dyDescent="0.2">
      <c r="E300" s="8"/>
      <c r="G300" s="54"/>
    </row>
    <row r="301" spans="5:7" x14ac:dyDescent="0.2">
      <c r="E301" s="8"/>
      <c r="G301" s="54"/>
    </row>
    <row r="302" spans="5:7" x14ac:dyDescent="0.2">
      <c r="E302" s="8"/>
      <c r="G302" s="54"/>
    </row>
    <row r="303" spans="5:7" x14ac:dyDescent="0.2">
      <c r="E303" s="8"/>
      <c r="G303" s="54"/>
    </row>
    <row r="304" spans="5:7" x14ac:dyDescent="0.2">
      <c r="E304" s="8"/>
      <c r="G304" s="54"/>
    </row>
    <row r="305" spans="5:7" x14ac:dyDescent="0.2">
      <c r="E305" s="8"/>
      <c r="G305" s="54"/>
    </row>
    <row r="306" spans="5:7" x14ac:dyDescent="0.2">
      <c r="E306" s="8"/>
      <c r="G306" s="54"/>
    </row>
    <row r="307" spans="5:7" x14ac:dyDescent="0.2">
      <c r="E307" s="8"/>
      <c r="G307" s="54"/>
    </row>
    <row r="308" spans="5:7" x14ac:dyDescent="0.2">
      <c r="E308" s="8"/>
      <c r="G308" s="54"/>
    </row>
    <row r="309" spans="5:7" x14ac:dyDescent="0.2">
      <c r="E309" s="8"/>
      <c r="G309" s="54"/>
    </row>
    <row r="310" spans="5:7" x14ac:dyDescent="0.2">
      <c r="E310" s="8"/>
      <c r="G310" s="54"/>
    </row>
    <row r="311" spans="5:7" x14ac:dyDescent="0.2">
      <c r="E311" s="8"/>
      <c r="G311" s="54"/>
    </row>
    <row r="312" spans="5:7" x14ac:dyDescent="0.2">
      <c r="E312" s="8"/>
      <c r="G312" s="54"/>
    </row>
    <row r="313" spans="5:7" x14ac:dyDescent="0.2">
      <c r="E313" s="8"/>
      <c r="G313" s="54"/>
    </row>
    <row r="314" spans="5:7" x14ac:dyDescent="0.2">
      <c r="E314" s="8"/>
      <c r="G314" s="54"/>
    </row>
    <row r="315" spans="5:7" x14ac:dyDescent="0.2">
      <c r="E315" s="8"/>
      <c r="G315" s="54"/>
    </row>
    <row r="316" spans="5:7" x14ac:dyDescent="0.2">
      <c r="E316" s="8"/>
      <c r="G316" s="54"/>
    </row>
    <row r="317" spans="5:7" x14ac:dyDescent="0.2">
      <c r="E317" s="8"/>
      <c r="G317" s="54"/>
    </row>
    <row r="318" spans="5:7" x14ac:dyDescent="0.2">
      <c r="E318" s="8"/>
      <c r="G318" s="54"/>
    </row>
    <row r="319" spans="5:7" x14ac:dyDescent="0.2">
      <c r="E319" s="8"/>
      <c r="G319" s="54"/>
    </row>
    <row r="320" spans="5:7" x14ac:dyDescent="0.2">
      <c r="E320" s="8"/>
      <c r="G320" s="54"/>
    </row>
    <row r="321" spans="5:7" x14ac:dyDescent="0.2">
      <c r="E321" s="8"/>
      <c r="G321" s="54"/>
    </row>
    <row r="322" spans="5:7" x14ac:dyDescent="0.2">
      <c r="E322" s="8"/>
      <c r="G322" s="54"/>
    </row>
    <row r="323" spans="5:7" x14ac:dyDescent="0.2">
      <c r="E323" s="8"/>
      <c r="G323" s="54"/>
    </row>
    <row r="324" spans="5:7" x14ac:dyDescent="0.2">
      <c r="E324" s="8"/>
      <c r="G324" s="54"/>
    </row>
    <row r="325" spans="5:7" x14ac:dyDescent="0.2">
      <c r="E325" s="8"/>
      <c r="G325" s="54"/>
    </row>
    <row r="326" spans="5:7" x14ac:dyDescent="0.2">
      <c r="E326" s="8"/>
      <c r="G326" s="54"/>
    </row>
    <row r="327" spans="5:7" x14ac:dyDescent="0.2">
      <c r="E327" s="8"/>
      <c r="G327" s="54"/>
    </row>
    <row r="328" spans="5:7" x14ac:dyDescent="0.2">
      <c r="E328" s="8"/>
      <c r="G328" s="54"/>
    </row>
    <row r="329" spans="5:7" x14ac:dyDescent="0.2">
      <c r="E329" s="8"/>
      <c r="G329" s="54"/>
    </row>
    <row r="330" spans="5:7" x14ac:dyDescent="0.2">
      <c r="E330" s="8"/>
      <c r="G330" s="54"/>
    </row>
    <row r="331" spans="5:7" x14ac:dyDescent="0.2">
      <c r="E331" s="8"/>
      <c r="G331" s="54"/>
    </row>
    <row r="332" spans="5:7" x14ac:dyDescent="0.2">
      <c r="E332" s="8"/>
      <c r="G332" s="54"/>
    </row>
    <row r="333" spans="5:7" x14ac:dyDescent="0.2">
      <c r="E333" s="8"/>
      <c r="G333" s="54"/>
    </row>
    <row r="334" spans="5:7" x14ac:dyDescent="0.2">
      <c r="E334" s="8"/>
      <c r="G334" s="54"/>
    </row>
    <row r="335" spans="5:7" x14ac:dyDescent="0.2">
      <c r="E335" s="8"/>
      <c r="G335" s="54"/>
    </row>
    <row r="336" spans="5:7" x14ac:dyDescent="0.2">
      <c r="E336" s="8"/>
      <c r="G336" s="54"/>
    </row>
    <row r="337" spans="5:7" x14ac:dyDescent="0.2">
      <c r="E337" s="8"/>
      <c r="G337" s="54"/>
    </row>
    <row r="338" spans="5:7" x14ac:dyDescent="0.2">
      <c r="E338" s="8"/>
      <c r="G338" s="54"/>
    </row>
    <row r="339" spans="5:7" x14ac:dyDescent="0.2">
      <c r="E339" s="8"/>
      <c r="G339" s="54"/>
    </row>
    <row r="340" spans="5:7" x14ac:dyDescent="0.2">
      <c r="E340" s="8"/>
      <c r="G340" s="54"/>
    </row>
    <row r="341" spans="5:7" x14ac:dyDescent="0.2">
      <c r="E341" s="8"/>
      <c r="G341" s="54"/>
    </row>
    <row r="342" spans="5:7" x14ac:dyDescent="0.2">
      <c r="E342" s="8"/>
      <c r="G342" s="54"/>
    </row>
    <row r="343" spans="5:7" x14ac:dyDescent="0.2">
      <c r="E343" s="8"/>
      <c r="G343" s="54"/>
    </row>
    <row r="344" spans="5:7" x14ac:dyDescent="0.2">
      <c r="E344" s="8"/>
      <c r="G344" s="54"/>
    </row>
    <row r="345" spans="5:7" x14ac:dyDescent="0.2">
      <c r="E345" s="8"/>
      <c r="G345" s="54"/>
    </row>
    <row r="346" spans="5:7" x14ac:dyDescent="0.2">
      <c r="E346" s="8"/>
      <c r="G346" s="54"/>
    </row>
    <row r="347" spans="5:7" x14ac:dyDescent="0.2">
      <c r="E347" s="8"/>
      <c r="G347" s="54"/>
    </row>
    <row r="348" spans="5:7" x14ac:dyDescent="0.2">
      <c r="E348" s="8"/>
      <c r="G348" s="54"/>
    </row>
    <row r="349" spans="5:7" x14ac:dyDescent="0.2">
      <c r="E349" s="8"/>
      <c r="G349" s="54"/>
    </row>
    <row r="350" spans="5:7" x14ac:dyDescent="0.2">
      <c r="E350" s="8"/>
      <c r="G350" s="54"/>
    </row>
    <row r="351" spans="5:7" x14ac:dyDescent="0.2">
      <c r="E351" s="8"/>
      <c r="G351" s="54"/>
    </row>
    <row r="352" spans="5:7" x14ac:dyDescent="0.2">
      <c r="E352" s="8"/>
      <c r="G352" s="54"/>
    </row>
    <row r="353" spans="5:7" x14ac:dyDescent="0.2">
      <c r="E353" s="8"/>
      <c r="G353" s="54"/>
    </row>
    <row r="354" spans="5:7" x14ac:dyDescent="0.2">
      <c r="E354" s="8"/>
      <c r="G354" s="54"/>
    </row>
    <row r="355" spans="5:7" x14ac:dyDescent="0.2">
      <c r="E355" s="8"/>
      <c r="G355" s="54"/>
    </row>
    <row r="356" spans="5:7" x14ac:dyDescent="0.2">
      <c r="E356" s="8"/>
      <c r="G356" s="54"/>
    </row>
    <row r="357" spans="5:7" x14ac:dyDescent="0.2">
      <c r="E357" s="8"/>
      <c r="G357" s="54"/>
    </row>
    <row r="358" spans="5:7" x14ac:dyDescent="0.2">
      <c r="E358" s="8"/>
      <c r="G358" s="54"/>
    </row>
    <row r="359" spans="5:7" x14ac:dyDescent="0.2">
      <c r="E359" s="8"/>
      <c r="G359" s="54"/>
    </row>
    <row r="360" spans="5:7" x14ac:dyDescent="0.2">
      <c r="E360" s="8"/>
      <c r="G360" s="54"/>
    </row>
    <row r="361" spans="5:7" x14ac:dyDescent="0.2">
      <c r="E361" s="8"/>
      <c r="G361" s="54"/>
    </row>
    <row r="362" spans="5:7" x14ac:dyDescent="0.2">
      <c r="E362" s="8"/>
      <c r="G362" s="54"/>
    </row>
    <row r="363" spans="5:7" x14ac:dyDescent="0.2">
      <c r="E363" s="8"/>
      <c r="G363" s="54"/>
    </row>
    <row r="364" spans="5:7" x14ac:dyDescent="0.2">
      <c r="E364" s="8"/>
      <c r="G364" s="54"/>
    </row>
    <row r="365" spans="5:7" x14ac:dyDescent="0.2">
      <c r="E365" s="8"/>
      <c r="G365" s="54"/>
    </row>
    <row r="366" spans="5:7" x14ac:dyDescent="0.2">
      <c r="E366" s="8"/>
      <c r="G366" s="54"/>
    </row>
    <row r="367" spans="5:7" x14ac:dyDescent="0.2">
      <c r="E367" s="8"/>
      <c r="G367" s="54"/>
    </row>
    <row r="368" spans="5:7" x14ac:dyDescent="0.2">
      <c r="E368" s="8"/>
      <c r="G368" s="54"/>
    </row>
    <row r="369" spans="5:7" x14ac:dyDescent="0.2">
      <c r="E369" s="8"/>
      <c r="G369" s="54"/>
    </row>
    <row r="370" spans="5:7" x14ac:dyDescent="0.2">
      <c r="E370" s="8"/>
      <c r="G370" s="54"/>
    </row>
    <row r="371" spans="5:7" x14ac:dyDescent="0.2">
      <c r="E371" s="8"/>
      <c r="G371" s="54"/>
    </row>
    <row r="372" spans="5:7" x14ac:dyDescent="0.2">
      <c r="E372" s="8"/>
      <c r="G372" s="54"/>
    </row>
    <row r="373" spans="5:7" x14ac:dyDescent="0.2">
      <c r="E373" s="8"/>
      <c r="G373" s="54"/>
    </row>
    <row r="374" spans="5:7" x14ac:dyDescent="0.2">
      <c r="E374" s="8"/>
      <c r="G374" s="54"/>
    </row>
    <row r="375" spans="5:7" x14ac:dyDescent="0.2">
      <c r="E375" s="8"/>
      <c r="G375" s="54"/>
    </row>
    <row r="376" spans="5:7" x14ac:dyDescent="0.2">
      <c r="E376" s="8"/>
      <c r="G376" s="54"/>
    </row>
    <row r="377" spans="5:7" x14ac:dyDescent="0.2">
      <c r="E377" s="8"/>
      <c r="G377" s="54"/>
    </row>
    <row r="378" spans="5:7" x14ac:dyDescent="0.2">
      <c r="E378" s="8"/>
      <c r="G378" s="54"/>
    </row>
    <row r="379" spans="5:7" x14ac:dyDescent="0.2">
      <c r="E379" s="8"/>
      <c r="G379" s="54"/>
    </row>
    <row r="380" spans="5:7" x14ac:dyDescent="0.2">
      <c r="E380" s="8"/>
      <c r="G380" s="54"/>
    </row>
    <row r="381" spans="5:7" x14ac:dyDescent="0.2">
      <c r="E381" s="8"/>
      <c r="G381" s="54"/>
    </row>
    <row r="382" spans="5:7" x14ac:dyDescent="0.2">
      <c r="E382" s="8"/>
      <c r="G382" s="54"/>
    </row>
    <row r="383" spans="5:7" x14ac:dyDescent="0.2">
      <c r="E383" s="8"/>
      <c r="G383" s="54"/>
    </row>
    <row r="384" spans="5:7" x14ac:dyDescent="0.2">
      <c r="E384" s="8"/>
      <c r="G384" s="54"/>
    </row>
    <row r="385" spans="5:7" x14ac:dyDescent="0.2">
      <c r="E385" s="8"/>
      <c r="G385" s="54"/>
    </row>
    <row r="386" spans="5:7" x14ac:dyDescent="0.2">
      <c r="E386" s="8"/>
      <c r="G386" s="54"/>
    </row>
    <row r="387" spans="5:7" x14ac:dyDescent="0.2">
      <c r="E387" s="8"/>
      <c r="G387" s="54"/>
    </row>
    <row r="388" spans="5:7" x14ac:dyDescent="0.2">
      <c r="E388" s="8"/>
      <c r="G388" s="54"/>
    </row>
    <row r="389" spans="5:7" x14ac:dyDescent="0.2">
      <c r="E389" s="8"/>
      <c r="G389" s="54"/>
    </row>
    <row r="390" spans="5:7" x14ac:dyDescent="0.2">
      <c r="E390" s="8"/>
      <c r="G390" s="54"/>
    </row>
    <row r="391" spans="5:7" x14ac:dyDescent="0.2">
      <c r="E391" s="8"/>
      <c r="G391" s="54"/>
    </row>
    <row r="392" spans="5:7" x14ac:dyDescent="0.2">
      <c r="E392" s="8"/>
      <c r="G392" s="54"/>
    </row>
    <row r="393" spans="5:7" x14ac:dyDescent="0.2">
      <c r="E393" s="8"/>
      <c r="G393" s="54"/>
    </row>
    <row r="394" spans="5:7" x14ac:dyDescent="0.2">
      <c r="E394" s="8"/>
      <c r="G394" s="54"/>
    </row>
    <row r="395" spans="5:7" x14ac:dyDescent="0.2">
      <c r="E395" s="8"/>
      <c r="G395" s="54"/>
    </row>
    <row r="396" spans="5:7" x14ac:dyDescent="0.2">
      <c r="E396" s="8"/>
      <c r="G396" s="54"/>
    </row>
    <row r="397" spans="5:7" x14ac:dyDescent="0.2">
      <c r="E397" s="8"/>
      <c r="G397" s="54"/>
    </row>
    <row r="398" spans="5:7" x14ac:dyDescent="0.2">
      <c r="E398" s="8"/>
      <c r="G398" s="54"/>
    </row>
    <row r="399" spans="5:7" x14ac:dyDescent="0.2">
      <c r="E399" s="8"/>
      <c r="G399" s="54"/>
    </row>
    <row r="400" spans="5:7" x14ac:dyDescent="0.2">
      <c r="E400" s="8"/>
      <c r="G400" s="54"/>
    </row>
    <row r="401" spans="5:7" x14ac:dyDescent="0.2">
      <c r="E401" s="8"/>
      <c r="G401" s="54"/>
    </row>
    <row r="402" spans="5:7" x14ac:dyDescent="0.2">
      <c r="E402" s="8"/>
      <c r="G402" s="54"/>
    </row>
    <row r="403" spans="5:7" x14ac:dyDescent="0.2">
      <c r="E403" s="8"/>
      <c r="G403" s="54"/>
    </row>
    <row r="404" spans="5:7" x14ac:dyDescent="0.2">
      <c r="E404" s="8"/>
      <c r="G404" s="54"/>
    </row>
    <row r="405" spans="5:7" x14ac:dyDescent="0.2">
      <c r="E405" s="8"/>
      <c r="G405" s="54"/>
    </row>
    <row r="406" spans="5:7" x14ac:dyDescent="0.2">
      <c r="E406" s="8"/>
      <c r="G406" s="54"/>
    </row>
    <row r="407" spans="5:7" x14ac:dyDescent="0.2">
      <c r="E407" s="8"/>
      <c r="G407" s="54"/>
    </row>
  </sheetData>
  <mergeCells count="1">
    <mergeCell ref="B1:C1"/>
  </mergeCells>
  <conditionalFormatting sqref="G1:G3 G5:G101">
    <cfRule type="cellIs" dxfId="0" priority="2" stopIfTrue="1" operator="between">
      <formula>0.009</formula>
      <formula>-0.009</formula>
    </cfRule>
  </conditionalFormatting>
  <hyperlinks>
    <hyperlink ref="A2" location="Index!A1" display="-" xr:uid="{E1E856AB-8FAE-4C8D-B279-B18FC540B4B8}"/>
  </hyperlinks>
  <pageMargins left="0.7" right="0.7" top="0.75" bottom="0.75" header="0.3" footer="0.3"/>
  <pageSetup paperSize="9" scale="64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2" min="1" max="7" man="1"/>
  </rowBreaks>
  <colBreaks count="1" manualBreakCount="1">
    <brk id="8" max="41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JBN50</vt:lpstr>
      <vt:lpstr>'JBN50'!Print_Area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