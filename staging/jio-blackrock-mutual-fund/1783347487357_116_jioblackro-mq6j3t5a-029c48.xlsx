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03ECFA22-3232-45D9-89EE-39EF3E32DDC8}" xr6:coauthVersionLast="47" xr6:coauthVersionMax="47" xr10:uidLastSave="{00000000-0000-0000-0000-000000000000}"/>
  <bookViews>
    <workbookView xWindow="-110" yWindow="-110" windowWidth="19420" windowHeight="11500" xr2:uid="{7291B499-DD8C-4F12-BA28-9EE7F24AB421}"/>
  </bookViews>
  <sheets>
    <sheet name="JBNM150" sheetId="12" r:id="rId1"/>
  </sheets>
  <definedNames>
    <definedName name="_xlnm.Print_Area" localSheetId="0">JBNM150!$B$1:$H$221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7" i="12" l="1"/>
  <c r="G163" i="12" s="1"/>
  <c r="F157" i="12"/>
  <c r="F160" i="12" s="1"/>
  <c r="G160" i="12" l="1"/>
  <c r="F163" i="12"/>
</calcChain>
</file>

<file path=xl/sharedStrings.xml><?xml version="1.0" encoding="utf-8"?>
<sst xmlns="http://schemas.openxmlformats.org/spreadsheetml/2006/main" count="489" uniqueCount="376">
  <si>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</si>
  <si>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</si>
  <si>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</si>
  <si>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</si>
  <si>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</si>
  <si>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</si>
  <si>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May 31, 2026</t>
  </si>
  <si>
    <t>JioBlackRock Nifty Midcap 150 Index Fund</t>
  </si>
  <si>
    <t>Equity &amp; Equity related</t>
  </si>
  <si>
    <t>(a) Listed / awaiting listing on Stock Exchanges</t>
  </si>
  <si>
    <t>Banks</t>
  </si>
  <si>
    <t>Telecom - Services</t>
  </si>
  <si>
    <t>Petroleum Products</t>
  </si>
  <si>
    <t>Automobiles</t>
  </si>
  <si>
    <t>IT - Software</t>
  </si>
  <si>
    <t>Construction</t>
  </si>
  <si>
    <t>Power</t>
  </si>
  <si>
    <t>Ferrous Metals</t>
  </si>
  <si>
    <t>Apollo Tyres Ltd</t>
  </si>
  <si>
    <t>INE438A01022</t>
  </si>
  <si>
    <t>Auto Components</t>
  </si>
  <si>
    <t>Transport Services</t>
  </si>
  <si>
    <t>Cement &amp; Cement Products</t>
  </si>
  <si>
    <t>Multi Commodity Exchange Of India Ltd</t>
  </si>
  <si>
    <t>INE745G01043</t>
  </si>
  <si>
    <t>Capital Markets</t>
  </si>
  <si>
    <t>Pharmaceuticals &amp; Biotechnology</t>
  </si>
  <si>
    <t>Federal Bank Ltd</t>
  </si>
  <si>
    <t>INE171A01029</t>
  </si>
  <si>
    <t>Retailing</t>
  </si>
  <si>
    <t>ICICI Prudential Asset Management Co Ltd</t>
  </si>
  <si>
    <t>INE346A01027</t>
  </si>
  <si>
    <t>Escorts Kubota Ltd</t>
  </si>
  <si>
    <t>INE042A01014</t>
  </si>
  <si>
    <t>Agricultural, Commercial &amp; Construction Vehicles</t>
  </si>
  <si>
    <t>Consumer Durables</t>
  </si>
  <si>
    <t>Oil</t>
  </si>
  <si>
    <t>Hero MotoCorp Ltd</t>
  </si>
  <si>
    <t>INE158A01026</t>
  </si>
  <si>
    <t>Insurance</t>
  </si>
  <si>
    <t>Lenskart Solutions Ltd</t>
  </si>
  <si>
    <t>INE956O01016</t>
  </si>
  <si>
    <t>Steel Authority of India Ltd</t>
  </si>
  <si>
    <t>INE114A01011</t>
  </si>
  <si>
    <t>Yes Bank Ltd</t>
  </si>
  <si>
    <t>INE528G01035</t>
  </si>
  <si>
    <t>Life Insurance Corporation Of India</t>
  </si>
  <si>
    <t>INE0J1Y01017</t>
  </si>
  <si>
    <t>Lupin Ltd</t>
  </si>
  <si>
    <t>INE326A01037</t>
  </si>
  <si>
    <t>Max Financial Services Ltd</t>
  </si>
  <si>
    <t>INE180A01020</t>
  </si>
  <si>
    <t>Finance</t>
  </si>
  <si>
    <t>IPCA Laboratories Ltd</t>
  </si>
  <si>
    <t>INE571A01038</t>
  </si>
  <si>
    <t>Billionbrains Garage Ventures Ltd</t>
  </si>
  <si>
    <t>INE0HOQ01053</t>
  </si>
  <si>
    <t>Non - Ferrous Metals</t>
  </si>
  <si>
    <t>Radico Khaitan Ltd</t>
  </si>
  <si>
    <t>INE944F01028</t>
  </si>
  <si>
    <t>Beverages</t>
  </si>
  <si>
    <t>Hindustan Petroleum Corporation Ltd</t>
  </si>
  <si>
    <t>INE094A01015</t>
  </si>
  <si>
    <t>Ashok Leyland Ltd</t>
  </si>
  <si>
    <t>INE208A01029</t>
  </si>
  <si>
    <t>Schaeffler India Ltd</t>
  </si>
  <si>
    <t>INE513A01022</t>
  </si>
  <si>
    <t>Laurus Labs Ltd</t>
  </si>
  <si>
    <t>INE947Q01028</t>
  </si>
  <si>
    <t>Mahindra &amp; Mahindra Financial Services Ltd</t>
  </si>
  <si>
    <t>INE774D01024</t>
  </si>
  <si>
    <t>Nippon Life India Asset Management Ltd</t>
  </si>
  <si>
    <t>INE298J01013</t>
  </si>
  <si>
    <t>Bharat Heavy Electricals Ltd</t>
  </si>
  <si>
    <t>INE257A01026</t>
  </si>
  <si>
    <t>Electrical Equipment</t>
  </si>
  <si>
    <t>Sub Total</t>
  </si>
  <si>
    <t xml:space="preserve">(b) Unlisted </t>
  </si>
  <si>
    <t>NIL</t>
  </si>
  <si>
    <t>Total</t>
  </si>
  <si>
    <t>TREPS</t>
  </si>
  <si>
    <t>Grand Total</t>
  </si>
  <si>
    <t>Net Receivables / (Payables)</t>
  </si>
  <si>
    <t>Industry Classification</t>
  </si>
  <si>
    <t>Notes</t>
  </si>
  <si>
    <t xml:space="preserve">Scheme Risk-O-Meter </t>
  </si>
  <si>
    <t>Aerospace &amp; Defense</t>
  </si>
  <si>
    <t>Transport Infrastructure</t>
  </si>
  <si>
    <t>Healthcare Services</t>
  </si>
  <si>
    <t>Agricultural Food &amp; Other Products</t>
  </si>
  <si>
    <t>Industrial Products</t>
  </si>
  <si>
    <t>Leisure Services</t>
  </si>
  <si>
    <t>Chemicals &amp; Petrochemicals</t>
  </si>
  <si>
    <t>Gas</t>
  </si>
  <si>
    <t>Personal Products</t>
  </si>
  <si>
    <t>Realty</t>
  </si>
  <si>
    <t>Industrial Manufacturing</t>
  </si>
  <si>
    <t>BSE Ltd</t>
  </si>
  <si>
    <t>INE118H01025</t>
  </si>
  <si>
    <t>Suzlon Energy Ltd</t>
  </si>
  <si>
    <t>INE040H01021</t>
  </si>
  <si>
    <t>Ge Vernova T&amp;D India Ltd</t>
  </si>
  <si>
    <t>INE200A01026</t>
  </si>
  <si>
    <t>IndusInd Bank Ltd</t>
  </si>
  <si>
    <t>INE095A01012</t>
  </si>
  <si>
    <t>PB Fintech Ltd</t>
  </si>
  <si>
    <t>INE417T01026</t>
  </si>
  <si>
    <t>Financial Technology (Fintech)</t>
  </si>
  <si>
    <t>Indus Towers Ltd</t>
  </si>
  <si>
    <t>INE121J01017</t>
  </si>
  <si>
    <t>Persistent Systems Ltd</t>
  </si>
  <si>
    <t>INE262H01021</t>
  </si>
  <si>
    <t>AU Small Finance Bank Ltd</t>
  </si>
  <si>
    <t>INE949L01017</t>
  </si>
  <si>
    <t>Bharat Forge Ltd</t>
  </si>
  <si>
    <t>INE465A01025</t>
  </si>
  <si>
    <t>Polycab India Ltd</t>
  </si>
  <si>
    <t>INE455K01017</t>
  </si>
  <si>
    <t>Coforge Ltd</t>
  </si>
  <si>
    <t>INE591G01025</t>
  </si>
  <si>
    <t>Hitachi Energy India Ltd</t>
  </si>
  <si>
    <t>INE07Y701011</t>
  </si>
  <si>
    <t>Fortis Healthcare Ltd</t>
  </si>
  <si>
    <t>INE061F01013</t>
  </si>
  <si>
    <t>Dixon Technologies (India) Ltd</t>
  </si>
  <si>
    <t>INE935N01020</t>
  </si>
  <si>
    <t>IDFC First Bank Ltd</t>
  </si>
  <si>
    <t>INE092T01019</t>
  </si>
  <si>
    <t>One 97 Communications Ltd</t>
  </si>
  <si>
    <t>INE982J01020</t>
  </si>
  <si>
    <t>Marico Ltd</t>
  </si>
  <si>
    <t>INE196A01026</t>
  </si>
  <si>
    <t>ICICI Lombard General Insurance Co Ltd</t>
  </si>
  <si>
    <t>INE765G01017</t>
  </si>
  <si>
    <t>Aurobindo Pharma Ltd</t>
  </si>
  <si>
    <t>INE406A01037</t>
  </si>
  <si>
    <t>SRF Ltd</t>
  </si>
  <si>
    <t>INE647A01010</t>
  </si>
  <si>
    <t>Vodafone Idea Ltd</t>
  </si>
  <si>
    <t>INE669E01016</t>
  </si>
  <si>
    <t>National Aluminium Co Ltd</t>
  </si>
  <si>
    <t>INE139A01034</t>
  </si>
  <si>
    <t>Info Edge (India) Ltd</t>
  </si>
  <si>
    <t>INE663F01032</t>
  </si>
  <si>
    <t>UPL Ltd</t>
  </si>
  <si>
    <t>INE628A01036</t>
  </si>
  <si>
    <t>Fertilizers &amp; Agrochemicals</t>
  </si>
  <si>
    <t>FSN E-Commerce Ventures Ltd</t>
  </si>
  <si>
    <t>INE388Y01029</t>
  </si>
  <si>
    <t>GMR Airports Ltd</t>
  </si>
  <si>
    <t>INE776C01039</t>
  </si>
  <si>
    <t>Swiggy Ltd</t>
  </si>
  <si>
    <t>INE00H001014</t>
  </si>
  <si>
    <t>Glenmark Pharmaceuticals Ltd</t>
  </si>
  <si>
    <t>INE935A01035</t>
  </si>
  <si>
    <t>Tube Investments of India Ltd</t>
  </si>
  <si>
    <t>INE974X01010</t>
  </si>
  <si>
    <t>APL Apollo Tubes Ltd</t>
  </si>
  <si>
    <t>INE702C01027</t>
  </si>
  <si>
    <t>Phoenix Mills Ltd</t>
  </si>
  <si>
    <t>INE211B01039</t>
  </si>
  <si>
    <t>KEI Industries Ltd</t>
  </si>
  <si>
    <t>INE878B01027</t>
  </si>
  <si>
    <t>Alkem Laboratories Ltd</t>
  </si>
  <si>
    <t>INE540L01014</t>
  </si>
  <si>
    <t>JSW Energy Ltd</t>
  </si>
  <si>
    <t>INE121E01018</t>
  </si>
  <si>
    <t>Biocon Ltd</t>
  </si>
  <si>
    <t>INE376G01013</t>
  </si>
  <si>
    <t>NMDC Ltd</t>
  </si>
  <si>
    <t>INE584A01023</t>
  </si>
  <si>
    <t>Minerals &amp; Mining</t>
  </si>
  <si>
    <t>Waaree Energies Ltd</t>
  </si>
  <si>
    <t>INE377N01017</t>
  </si>
  <si>
    <t>Mphasis Ltd</t>
  </si>
  <si>
    <t>INE356A01018</t>
  </si>
  <si>
    <t>Aditya Birla Capital Ltd</t>
  </si>
  <si>
    <t>INE674K01013</t>
  </si>
  <si>
    <t>Havells India Ltd</t>
  </si>
  <si>
    <t>INE176B01034</t>
  </si>
  <si>
    <t>Indian Bank</t>
  </si>
  <si>
    <t>INE562A01011</t>
  </si>
  <si>
    <t>Sundaram Finance Ltd</t>
  </si>
  <si>
    <t>INE660A01013</t>
  </si>
  <si>
    <t>360 One Wam Ltd</t>
  </si>
  <si>
    <t>INE466L01038</t>
  </si>
  <si>
    <t>Voltas Ltd</t>
  </si>
  <si>
    <t>INE226A01021</t>
  </si>
  <si>
    <t>Colgate Palmolive (India) Ltd</t>
  </si>
  <si>
    <t>INE259A01022</t>
  </si>
  <si>
    <t>Torrent Power Ltd</t>
  </si>
  <si>
    <t>INE813H01021</t>
  </si>
  <si>
    <t>Mankind Pharma Ltd</t>
  </si>
  <si>
    <t>INE634S01028</t>
  </si>
  <si>
    <t>Godrej Properties Ltd</t>
  </si>
  <si>
    <t>INE484J01027</t>
  </si>
  <si>
    <t>Dabur India Ltd</t>
  </si>
  <si>
    <t>INE016A01026</t>
  </si>
  <si>
    <t>Oil India Ltd</t>
  </si>
  <si>
    <t>INE274J01014</t>
  </si>
  <si>
    <t>Vishal Mega Mart Ltd</t>
  </si>
  <si>
    <t>INE01EA01019</t>
  </si>
  <si>
    <t>MRF Ltd</t>
  </si>
  <si>
    <t>INE883A01011</t>
  </si>
  <si>
    <t>NHPC Ltd</t>
  </si>
  <si>
    <t>INE848E01016</t>
  </si>
  <si>
    <t>L&amp;T Finance Ltd</t>
  </si>
  <si>
    <t>INE498L01015</t>
  </si>
  <si>
    <t>Page Industries Ltd</t>
  </si>
  <si>
    <t>INE761H01022</t>
  </si>
  <si>
    <t>Textiles &amp; Apparels</t>
  </si>
  <si>
    <t>Oracle Financial Services Software Ltd</t>
  </si>
  <si>
    <t>INE881D01027</t>
  </si>
  <si>
    <t>Prestige Estates Projects Ltd</t>
  </si>
  <si>
    <t>INE811K01011</t>
  </si>
  <si>
    <t>Tata Communications Ltd</t>
  </si>
  <si>
    <t>INE151A01013</t>
  </si>
  <si>
    <t>Supreme Industries Ltd</t>
  </si>
  <si>
    <t>INE195A01028</t>
  </si>
  <si>
    <t>Lloyds Metals And Energy Ltd</t>
  </si>
  <si>
    <t>INE281B01032</t>
  </si>
  <si>
    <t>PI Industries Ltd</t>
  </si>
  <si>
    <t>INE603J01030</t>
  </si>
  <si>
    <t>Apar Industries Ltd</t>
  </si>
  <si>
    <t>INE372A01015</t>
  </si>
  <si>
    <t>Jindal Stainless Ltd</t>
  </si>
  <si>
    <t>INE220G01021</t>
  </si>
  <si>
    <t>J.K. Cement Ltd</t>
  </si>
  <si>
    <t>INE823G01014</t>
  </si>
  <si>
    <t>Adani Total Gas Ltd</t>
  </si>
  <si>
    <t>INE399L01023</t>
  </si>
  <si>
    <t>Coromandel International Ltd</t>
  </si>
  <si>
    <t>INE169A01031</t>
  </si>
  <si>
    <t>Blue Star Ltd</t>
  </si>
  <si>
    <t>INE472A01039</t>
  </si>
  <si>
    <t>Petronet LNG Ltd</t>
  </si>
  <si>
    <t>INE347G01014</t>
  </si>
  <si>
    <t>Oberoi Realty Ltd</t>
  </si>
  <si>
    <t>INE093I01010</t>
  </si>
  <si>
    <t>Uno Minda Ltd</t>
  </si>
  <si>
    <t>INE405E01023</t>
  </si>
  <si>
    <t>ICICI Prudential Life Insurance Co Ltd</t>
  </si>
  <si>
    <t>INE726G01019</t>
  </si>
  <si>
    <t>Astral Ltd</t>
  </si>
  <si>
    <t>INE006I01046</t>
  </si>
  <si>
    <t>Thermax Ltd</t>
  </si>
  <si>
    <t>INE152A01029</t>
  </si>
  <si>
    <t>SBI Cards and Payment Services Ltd</t>
  </si>
  <si>
    <t>INE018E01016</t>
  </si>
  <si>
    <t>Balkrishna Industries Ltd</t>
  </si>
  <si>
    <t>INE787D01026</t>
  </si>
  <si>
    <t>Exide Industries Ltd</t>
  </si>
  <si>
    <t>INE302A01020</t>
  </si>
  <si>
    <t>AIA Engineering Ltd</t>
  </si>
  <si>
    <t>INE212H01026</t>
  </si>
  <si>
    <t>ITC Hotels Ltd</t>
  </si>
  <si>
    <t>INE379A01028</t>
  </si>
  <si>
    <t>Bank of India</t>
  </si>
  <si>
    <t>INE084A01016</t>
  </si>
  <si>
    <t>Jubilant Foodworks Ltd</t>
  </si>
  <si>
    <t>INE797F01020</t>
  </si>
  <si>
    <t>Bank Of Maharashtra</t>
  </si>
  <si>
    <t>INE457A01014</t>
  </si>
  <si>
    <t>LIC Housing Finance Ltd</t>
  </si>
  <si>
    <t>INE115A01026</t>
  </si>
  <si>
    <t>Container Corporation Of India Ltd</t>
  </si>
  <si>
    <t>INE111A01025</t>
  </si>
  <si>
    <t>Patanjali Foods Ltd</t>
  </si>
  <si>
    <t>INE619A01035</t>
  </si>
  <si>
    <t>Agricultural Food &amp; other Products</t>
  </si>
  <si>
    <t>Indian Railway Catering And Tourism Corporation Ltd</t>
  </si>
  <si>
    <t>INE335Y01020</t>
  </si>
  <si>
    <t>Gujarat Fluorochemicals Ltd</t>
  </si>
  <si>
    <t>INE09N301011</t>
  </si>
  <si>
    <t>Linde India Ltd</t>
  </si>
  <si>
    <t>INE473A01011</t>
  </si>
  <si>
    <t>Tata Elxsi Ltd</t>
  </si>
  <si>
    <t>INE670A01012</t>
  </si>
  <si>
    <t>Berger Paints India Ltd</t>
  </si>
  <si>
    <t>INE463A01038</t>
  </si>
  <si>
    <t>Abbott India Ltd</t>
  </si>
  <si>
    <t>INE358A01014</t>
  </si>
  <si>
    <t>Rail Vikas Nigam Ltd</t>
  </si>
  <si>
    <t>INE415G01027</t>
  </si>
  <si>
    <t>Dalmia Bharat Ltd</t>
  </si>
  <si>
    <t>INE00R701025</t>
  </si>
  <si>
    <t>Motilal Oswal Financial Services Ltd</t>
  </si>
  <si>
    <t>INE338I01027</t>
  </si>
  <si>
    <t>Kalyan Jewellers India Ltd</t>
  </si>
  <si>
    <t>INE303R01014</t>
  </si>
  <si>
    <t>LG Electronics India Ltd</t>
  </si>
  <si>
    <t>INE324D01010</t>
  </si>
  <si>
    <t>Authum Investment &amp; Infrastructure Ltd</t>
  </si>
  <si>
    <t>INE206F01022</t>
  </si>
  <si>
    <t>KPIT Technologies Ltd</t>
  </si>
  <si>
    <t>INE04I401011</t>
  </si>
  <si>
    <t>Cochin Shipyard Ltd</t>
  </si>
  <si>
    <t>INE704P01025</t>
  </si>
  <si>
    <t>Premier Energies Ltd</t>
  </si>
  <si>
    <t>INE0BS701011</t>
  </si>
  <si>
    <t>Ajanta Pharma Ltd</t>
  </si>
  <si>
    <t>INE031B01049</t>
  </si>
  <si>
    <t>HDB Financial Services Ltd</t>
  </si>
  <si>
    <t>INE756I01012</t>
  </si>
  <si>
    <t>General Insurance Corporation Of India</t>
  </si>
  <si>
    <t>INE481Y01014</t>
  </si>
  <si>
    <t>NLC India Ltd</t>
  </si>
  <si>
    <t>INE589A01014</t>
  </si>
  <si>
    <t>Bharti Hexacom Ltd</t>
  </si>
  <si>
    <t>INE343G01021</t>
  </si>
  <si>
    <t>Bharat Dynamics Ltd</t>
  </si>
  <si>
    <t>INE171Z01026</t>
  </si>
  <si>
    <t>K.P.R. Mill Ltd</t>
  </si>
  <si>
    <t>INE930H01031</t>
  </si>
  <si>
    <t>Awl Agri Business Ltd</t>
  </si>
  <si>
    <t>INE699H01024</t>
  </si>
  <si>
    <t>Indian Renewable Energy Development Agency Ltd</t>
  </si>
  <si>
    <t>INE202E01016</t>
  </si>
  <si>
    <t>Housing &amp; Urban Development Corporation Ltd</t>
  </si>
  <si>
    <t>INE031A01017</t>
  </si>
  <si>
    <t>Global Health Ltd</t>
  </si>
  <si>
    <t>INE474Q01031</t>
  </si>
  <si>
    <t>CRISIL Ltd</t>
  </si>
  <si>
    <t>INE007A01025</t>
  </si>
  <si>
    <t>NTPC Green Energy Ltd</t>
  </si>
  <si>
    <t>INE0ONG01011</t>
  </si>
  <si>
    <t>Endurance Technologies Ltd</t>
  </si>
  <si>
    <t>INE913H01037</t>
  </si>
  <si>
    <t>United Breweries Ltd</t>
  </si>
  <si>
    <t>INE686F01025</t>
  </si>
  <si>
    <t>L&amp;T Technology Services Ltd</t>
  </si>
  <si>
    <t>INE010V01017</t>
  </si>
  <si>
    <t>IT - Services</t>
  </si>
  <si>
    <t>Bajaj Housing Finance Ltd</t>
  </si>
  <si>
    <t>INE377Y01014</t>
  </si>
  <si>
    <t>Godfrey Phillips India Ltd</t>
  </si>
  <si>
    <t>INE260B01028</t>
  </si>
  <si>
    <t>Cigarettes &amp; Tobacco Products</t>
  </si>
  <si>
    <t>3M India Ltd</t>
  </si>
  <si>
    <t>INE470A01017</t>
  </si>
  <si>
    <t>Diversified</t>
  </si>
  <si>
    <t>Glaxosmithkline Pharmaceuticals Ltd</t>
  </si>
  <si>
    <t>INE159A01016</t>
  </si>
  <si>
    <t>Tata Investment Corporation Ltd</t>
  </si>
  <si>
    <t>INE672A01026</t>
  </si>
  <si>
    <t>JSW Infrastructure Ltd</t>
  </si>
  <si>
    <t>INE880J01026</t>
  </si>
  <si>
    <t>ACC Ltd</t>
  </si>
  <si>
    <t>INE012A01025</t>
  </si>
  <si>
    <t>Honeywell Automation India Ltd</t>
  </si>
  <si>
    <t>INE671A01010</t>
  </si>
  <si>
    <t>Hexaware Technologies Ltd</t>
  </si>
  <si>
    <t>INE093A01041</t>
  </si>
  <si>
    <t>SJVN Ltd</t>
  </si>
  <si>
    <t>INE002L01015</t>
  </si>
  <si>
    <t>Godrej Industries Ltd</t>
  </si>
  <si>
    <t>INE233A01035</t>
  </si>
  <si>
    <t>Anthem Biosciences Ltd</t>
  </si>
  <si>
    <t>INE0CZ201020</t>
  </si>
  <si>
    <t>The New India Assurance Co Ltd</t>
  </si>
  <si>
    <t>INE470Y01017</t>
  </si>
  <si>
    <t>Benchmark Risk-O-Meter</t>
  </si>
  <si>
    <t>Benchmark Name - NIFTY Midcap 150 Index (TRI)</t>
  </si>
  <si>
    <t>-</t>
  </si>
  <si>
    <t>(1) There is no security which is in default beyond its maturity/ interest payment date.</t>
  </si>
  <si>
    <t>Plan/ Option</t>
  </si>
  <si>
    <t>As on April 30, 2026</t>
  </si>
  <si>
    <t>Direct Plan - Growth Option</t>
  </si>
  <si>
    <t>(2) Aggregate value of illiquid equity shares of the fund amounts to Rs. Nil and their percentage to net asset value is Nil.</t>
  </si>
  <si>
    <t>(3) Plan/ Option wise per unit net asset value are as follows:</t>
  </si>
  <si>
    <t>(4) There was no distribution (of income and capital) during the month ended May 31, 2026.</t>
  </si>
  <si>
    <t>(6) Total market value of investments in foreign securities/ American Depository Receipts/ Global Depository Receipts as at May 31, 2026 is Rs. Nil.</t>
  </si>
  <si>
    <t>(8) Repo transactions in corporate debt securities as on May 31, 2026 is Rs. Nil.</t>
  </si>
  <si>
    <t>As on May 29, 2026</t>
  </si>
  <si>
    <t>(5) Total outstanding exposure in derivative instruments as on May 31, 2026 is Rs. Nil.</t>
  </si>
  <si>
    <t>(7) During the period, the portfolio turnover ratio is 0.36 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</si>
</sst>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1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39" fontId="5" fillId="2" borderId="2" xfId="0" applyNumberFormat="1" applyFont="1" applyFill="1" applyBorder="1" applyAlignment="1">
      <alignment horizontal="right"/>
    </xf>
    <xf numFmtId="39" fontId="5" fillId="3" borderId="2" xfId="0" applyNumberFormat="1" applyFont="1" applyFill="1" applyBorder="1" applyAlignment="1">
      <alignment horizontal="right"/>
    </xf>
    <xf numFmtId="39" fontId="5" fillId="2" borderId="4" xfId="0" applyNumberFormat="1" applyFont="1" applyFill="1" applyBorder="1" applyAlignment="1">
      <alignment horizontal="right"/>
    </xf>
    <xf numFmtId="39" fontId="5" fillId="3" borderId="4" xfId="0" applyNumberFormat="1" applyFont="1" applyFill="1" applyBorder="1" applyAlignment="1">
      <alignment horizontal="right"/>
    </xf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0" fontId="5" fillId="2" borderId="7" xfId="0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0" fontId="10" fillId="2" borderId="1" xfId="0" applyFont="1" applyFill="1" applyBorder="1" applyAlignment="1">
      <alignment vertical="center"/>
    </xf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6" fillId="2" borderId="0" xfId="0" applyFont="1" applyFill="1" applyAlignment="1">
      <alignment vertical="center"/>
    </xf>
    <xf numFmtId="0" fontId="5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1"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184</xdr:row>
      <xdr:rowOff>85725</xdr:rowOff>
    </xdr:from>
    <xdr:to>
      <xdr:col>2</xdr:col>
      <xdr:colOff>701675</xdr:colOff>
      <xdr:row>199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4A9F49-C9D0-4F76-9D97-488D7E718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125" y="23904575"/>
          <a:ext cx="401320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542925</xdr:colOff>
      <xdr:row>203</xdr:row>
      <xdr:rowOff>47625</xdr:rowOff>
    </xdr:from>
    <xdr:to>
      <xdr:col>2</xdr:col>
      <xdr:colOff>606425</xdr:colOff>
      <xdr:row>219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B3DE7C-7038-41F4-A8E3-D3712650E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4575" y="26292175"/>
          <a:ext cx="3746500" cy="203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9BF59-35C8-41E5-BE8A-B501B08C4DA9}">
  <dimension ref="A1:I221"/>
  <sheetViews>
    <sheetView tabSelected="1" view="pageBreakPreview" zoomScale="90" zoomScaleNormal="100" zoomScaleSheetLayoutView="90" workbookViewId="0"/>
  </sheetViews>
  <sheetFormatPr defaultColWidth="9.08984375" defaultRowHeight="10" x14ac:dyDescent="0.2"/>
  <cols>
    <col min="1" max="1" width="7.1796875" style="8" customWidth="1"/>
    <col min="2" max="2" width="52.7265625" style="8" bestFit="1" customWidth="1"/>
    <col min="3" max="3" width="16.1796875" style="8" customWidth="1"/>
    <col min="4" max="4" width="32.1796875" style="8" bestFit="1" customWidth="1"/>
    <col min="5" max="5" width="13.90625" style="9" bestFit="1" customWidth="1"/>
    <col min="6" max="6" width="12.7265625" style="11" bestFit="1" customWidth="1"/>
    <col min="7" max="7" width="6.7265625" style="13" bestFit="1" customWidth="1"/>
    <col min="8" max="8" width="14.36328125" style="8" bestFit="1" customWidth="1"/>
    <col min="9" max="16384" width="9.08984375" style="8"/>
  </cols>
  <sheetData>
    <row r="1" spans="1:8" s="1" customFormat="1" ht="16.75" customHeight="1" x14ac:dyDescent="0.35">
      <c r="B1" s="59" t="s">
        <v>7</v>
      </c>
      <c r="C1" s="60"/>
      <c r="D1" s="12"/>
      <c r="E1" s="6"/>
      <c r="F1" s="7"/>
      <c r="G1" s="13"/>
    </row>
    <row r="2" spans="1:8" s="1" customFormat="1" ht="14.5" x14ac:dyDescent="0.35">
      <c r="A2" s="47" t="s">
        <v>363</v>
      </c>
      <c r="E2" s="6"/>
      <c r="F2" s="7"/>
      <c r="G2" s="13"/>
    </row>
    <row r="3" spans="1:8" s="1" customFormat="1" ht="11.5" x14ac:dyDescent="0.25">
      <c r="B3" s="10" t="s">
        <v>6</v>
      </c>
      <c r="C3" s="2"/>
      <c r="D3" s="3"/>
      <c r="E3" s="4"/>
      <c r="F3" s="5"/>
      <c r="G3" s="13"/>
    </row>
    <row r="4" spans="1:8" s="1" customFormat="1" ht="25.5" customHeight="1" x14ac:dyDescent="0.25">
      <c r="B4" s="16" t="s">
        <v>4</v>
      </c>
      <c r="C4" s="16" t="s">
        <v>5</v>
      </c>
      <c r="D4" s="17" t="s">
        <v>83</v>
      </c>
      <c r="E4" s="18" t="s">
        <v>0</v>
      </c>
      <c r="F4" s="19" t="s">
        <v>1</v>
      </c>
      <c r="G4" s="20" t="s">
        <v>2</v>
      </c>
      <c r="H4" s="46" t="s">
        <v>3</v>
      </c>
    </row>
    <row r="5" spans="1:8" ht="10.5" x14ac:dyDescent="0.25">
      <c r="B5" s="21" t="s">
        <v>8</v>
      </c>
      <c r="C5" s="22"/>
      <c r="D5" s="22"/>
      <c r="E5" s="23"/>
      <c r="F5" s="24"/>
      <c r="G5" s="25"/>
      <c r="H5" s="22"/>
    </row>
    <row r="6" spans="1:8" ht="10.5" x14ac:dyDescent="0.25">
      <c r="B6" s="21" t="s">
        <v>9</v>
      </c>
      <c r="C6" s="22"/>
      <c r="D6" s="22"/>
      <c r="E6" s="23"/>
      <c r="F6" s="24"/>
      <c r="G6" s="25"/>
      <c r="H6" s="22"/>
    </row>
    <row r="7" spans="1:8" x14ac:dyDescent="0.2">
      <c r="B7" s="22" t="s">
        <v>97</v>
      </c>
      <c r="C7" s="22" t="s">
        <v>98</v>
      </c>
      <c r="D7" s="22" t="s">
        <v>25</v>
      </c>
      <c r="E7" s="26">
        <v>26363</v>
      </c>
      <c r="F7" s="24">
        <v>1093.036343</v>
      </c>
      <c r="G7" s="25">
        <v>4.2075941141761799</v>
      </c>
      <c r="H7" s="27"/>
    </row>
    <row r="8" spans="1:8" x14ac:dyDescent="0.2">
      <c r="B8" s="22" t="s">
        <v>23</v>
      </c>
      <c r="C8" s="22" t="s">
        <v>24</v>
      </c>
      <c r="D8" s="22" t="s">
        <v>25</v>
      </c>
      <c r="E8" s="26">
        <v>16459</v>
      </c>
      <c r="F8" s="24">
        <v>486.28115500000001</v>
      </c>
      <c r="G8" s="25">
        <v>1.8719173783344201</v>
      </c>
      <c r="H8" s="27"/>
    </row>
    <row r="9" spans="1:8" x14ac:dyDescent="0.2">
      <c r="B9" s="22" t="s">
        <v>27</v>
      </c>
      <c r="C9" s="22" t="s">
        <v>28</v>
      </c>
      <c r="D9" s="22" t="s">
        <v>10</v>
      </c>
      <c r="E9" s="26">
        <v>158803</v>
      </c>
      <c r="F9" s="24">
        <v>458.86126849999999</v>
      </c>
      <c r="G9" s="25">
        <v>1.76636576169546</v>
      </c>
      <c r="H9" s="27"/>
    </row>
    <row r="10" spans="1:8" x14ac:dyDescent="0.2">
      <c r="B10" s="22" t="s">
        <v>99</v>
      </c>
      <c r="C10" s="22" t="s">
        <v>100</v>
      </c>
      <c r="D10" s="22" t="s">
        <v>75</v>
      </c>
      <c r="E10" s="26">
        <v>783083</v>
      </c>
      <c r="F10" s="24">
        <v>446.27900169999998</v>
      </c>
      <c r="G10" s="25">
        <v>1.7179308930200401</v>
      </c>
      <c r="H10" s="27"/>
    </row>
    <row r="11" spans="1:8" x14ac:dyDescent="0.2">
      <c r="B11" s="22" t="s">
        <v>101</v>
      </c>
      <c r="C11" s="22" t="s">
        <v>102</v>
      </c>
      <c r="D11" s="22" t="s">
        <v>75</v>
      </c>
      <c r="E11" s="26">
        <v>7994</v>
      </c>
      <c r="F11" s="24">
        <v>411.57908400000002</v>
      </c>
      <c r="G11" s="25">
        <v>1.58435512455456</v>
      </c>
      <c r="H11" s="27"/>
    </row>
    <row r="12" spans="1:8" x14ac:dyDescent="0.2">
      <c r="B12" s="22" t="s">
        <v>37</v>
      </c>
      <c r="C12" s="22" t="s">
        <v>38</v>
      </c>
      <c r="D12" s="22" t="s">
        <v>13</v>
      </c>
      <c r="E12" s="26">
        <v>8374</v>
      </c>
      <c r="F12" s="24">
        <v>410.57722000000001</v>
      </c>
      <c r="G12" s="25">
        <v>1.5804984942635301</v>
      </c>
      <c r="H12" s="27"/>
    </row>
    <row r="13" spans="1:8" x14ac:dyDescent="0.2">
      <c r="B13" s="22" t="s">
        <v>73</v>
      </c>
      <c r="C13" s="22" t="s">
        <v>74</v>
      </c>
      <c r="D13" s="22" t="s">
        <v>75</v>
      </c>
      <c r="E13" s="26">
        <v>94173</v>
      </c>
      <c r="F13" s="24">
        <v>392.46597750000001</v>
      </c>
      <c r="G13" s="25">
        <v>1.51078008294863</v>
      </c>
      <c r="H13" s="27"/>
    </row>
    <row r="14" spans="1:8" x14ac:dyDescent="0.2">
      <c r="B14" s="22" t="s">
        <v>103</v>
      </c>
      <c r="C14" s="22" t="s">
        <v>104</v>
      </c>
      <c r="D14" s="22" t="s">
        <v>10</v>
      </c>
      <c r="E14" s="26">
        <v>42487</v>
      </c>
      <c r="F14" s="24">
        <v>388.47988450000003</v>
      </c>
      <c r="G14" s="25">
        <v>1.4954357976897099</v>
      </c>
      <c r="H14" s="27"/>
    </row>
    <row r="15" spans="1:8" x14ac:dyDescent="0.2">
      <c r="B15" s="22" t="s">
        <v>105</v>
      </c>
      <c r="C15" s="22" t="s">
        <v>106</v>
      </c>
      <c r="D15" s="22" t="s">
        <v>107</v>
      </c>
      <c r="E15" s="26">
        <v>21981</v>
      </c>
      <c r="F15" s="24">
        <v>374.22652499999998</v>
      </c>
      <c r="G15" s="25">
        <v>1.4405681330200799</v>
      </c>
      <c r="H15" s="27"/>
    </row>
    <row r="16" spans="1:8" x14ac:dyDescent="0.2">
      <c r="B16" s="22" t="s">
        <v>108</v>
      </c>
      <c r="C16" s="22" t="s">
        <v>109</v>
      </c>
      <c r="D16" s="22" t="s">
        <v>11</v>
      </c>
      <c r="E16" s="26">
        <v>83503</v>
      </c>
      <c r="F16" s="24">
        <v>369.12501150000003</v>
      </c>
      <c r="G16" s="25">
        <v>1.42093008684398</v>
      </c>
      <c r="H16" s="27"/>
    </row>
    <row r="17" spans="2:8" x14ac:dyDescent="0.2">
      <c r="B17" s="22" t="s">
        <v>110</v>
      </c>
      <c r="C17" s="22" t="s">
        <v>111</v>
      </c>
      <c r="D17" s="22" t="s">
        <v>14</v>
      </c>
      <c r="E17" s="26">
        <v>7019</v>
      </c>
      <c r="F17" s="24">
        <v>364.587917</v>
      </c>
      <c r="G17" s="25">
        <v>1.4034647461570799</v>
      </c>
      <c r="H17" s="27"/>
    </row>
    <row r="18" spans="2:8" x14ac:dyDescent="0.2">
      <c r="B18" s="22" t="s">
        <v>112</v>
      </c>
      <c r="C18" s="22" t="s">
        <v>113</v>
      </c>
      <c r="D18" s="22" t="s">
        <v>10</v>
      </c>
      <c r="E18" s="26">
        <v>36490</v>
      </c>
      <c r="F18" s="24">
        <v>359.31702999999999</v>
      </c>
      <c r="G18" s="25">
        <v>1.38317470433027</v>
      </c>
      <c r="H18" s="27"/>
    </row>
    <row r="19" spans="2:8" x14ac:dyDescent="0.2">
      <c r="B19" s="22" t="s">
        <v>48</v>
      </c>
      <c r="C19" s="22" t="s">
        <v>49</v>
      </c>
      <c r="D19" s="22" t="s">
        <v>26</v>
      </c>
      <c r="E19" s="26">
        <v>15647</v>
      </c>
      <c r="F19" s="24">
        <v>354.82701900000001</v>
      </c>
      <c r="G19" s="25">
        <v>1.3658906094534899</v>
      </c>
      <c r="H19" s="27"/>
    </row>
    <row r="20" spans="2:8" x14ac:dyDescent="0.2">
      <c r="B20" s="22" t="s">
        <v>67</v>
      </c>
      <c r="C20" s="22" t="s">
        <v>68</v>
      </c>
      <c r="D20" s="22" t="s">
        <v>26</v>
      </c>
      <c r="E20" s="26">
        <v>25101</v>
      </c>
      <c r="F20" s="24">
        <v>341.87562000000003</v>
      </c>
      <c r="G20" s="25">
        <v>1.3160347830194099</v>
      </c>
      <c r="H20" s="27"/>
    </row>
    <row r="21" spans="2:8" x14ac:dyDescent="0.2">
      <c r="B21" s="22" t="s">
        <v>114</v>
      </c>
      <c r="C21" s="22" t="s">
        <v>115</v>
      </c>
      <c r="D21" s="22" t="s">
        <v>20</v>
      </c>
      <c r="E21" s="26">
        <v>17197</v>
      </c>
      <c r="F21" s="24">
        <v>336.57968399999999</v>
      </c>
      <c r="G21" s="25">
        <v>1.2956483161966399</v>
      </c>
      <c r="H21" s="27"/>
    </row>
    <row r="22" spans="2:8" x14ac:dyDescent="0.2">
      <c r="B22" s="22" t="s">
        <v>116</v>
      </c>
      <c r="C22" s="22" t="s">
        <v>117</v>
      </c>
      <c r="D22" s="22" t="s">
        <v>90</v>
      </c>
      <c r="E22" s="26">
        <v>3405</v>
      </c>
      <c r="F22" s="24">
        <v>322.70887499999998</v>
      </c>
      <c r="G22" s="25">
        <v>1.24225326242644</v>
      </c>
      <c r="H22" s="27"/>
    </row>
    <row r="23" spans="2:8" x14ac:dyDescent="0.2">
      <c r="B23" s="22" t="s">
        <v>118</v>
      </c>
      <c r="C23" s="22" t="s">
        <v>119</v>
      </c>
      <c r="D23" s="22" t="s">
        <v>14</v>
      </c>
      <c r="E23" s="26">
        <v>22447</v>
      </c>
      <c r="F23" s="24">
        <v>319.15144600000002</v>
      </c>
      <c r="G23" s="25">
        <v>1.22855909990581</v>
      </c>
      <c r="H23" s="27"/>
    </row>
    <row r="24" spans="2:8" x14ac:dyDescent="0.2">
      <c r="B24" s="22" t="s">
        <v>120</v>
      </c>
      <c r="C24" s="22" t="s">
        <v>121</v>
      </c>
      <c r="D24" s="22" t="s">
        <v>75</v>
      </c>
      <c r="E24" s="26">
        <v>820</v>
      </c>
      <c r="F24" s="24">
        <v>315.24900000000002</v>
      </c>
      <c r="G24" s="25">
        <v>1.2135368100015</v>
      </c>
      <c r="H24" s="27"/>
    </row>
    <row r="25" spans="2:8" x14ac:dyDescent="0.2">
      <c r="B25" s="22" t="s">
        <v>122</v>
      </c>
      <c r="C25" s="22" t="s">
        <v>123</v>
      </c>
      <c r="D25" s="22" t="s">
        <v>88</v>
      </c>
      <c r="E25" s="26">
        <v>33619</v>
      </c>
      <c r="F25" s="24">
        <v>312.1356055</v>
      </c>
      <c r="G25" s="25">
        <v>1.20155193826581</v>
      </c>
      <c r="H25" s="27"/>
    </row>
    <row r="26" spans="2:8" x14ac:dyDescent="0.2">
      <c r="B26" s="22" t="s">
        <v>124</v>
      </c>
      <c r="C26" s="22" t="s">
        <v>125</v>
      </c>
      <c r="D26" s="22" t="s">
        <v>35</v>
      </c>
      <c r="E26" s="26">
        <v>2662</v>
      </c>
      <c r="F26" s="24">
        <v>306.76888000000002</v>
      </c>
      <c r="G26" s="25">
        <v>1.1808929704548901</v>
      </c>
      <c r="H26" s="27"/>
    </row>
    <row r="27" spans="2:8" x14ac:dyDescent="0.2">
      <c r="B27" s="22" t="s">
        <v>126</v>
      </c>
      <c r="C27" s="22" t="s">
        <v>127</v>
      </c>
      <c r="D27" s="22" t="s">
        <v>10</v>
      </c>
      <c r="E27" s="26">
        <v>427361</v>
      </c>
      <c r="F27" s="24">
        <v>304.79386520000003</v>
      </c>
      <c r="G27" s="25">
        <v>1.17329024004148</v>
      </c>
      <c r="H27" s="27"/>
    </row>
    <row r="28" spans="2:8" x14ac:dyDescent="0.2">
      <c r="B28" s="22" t="s">
        <v>128</v>
      </c>
      <c r="C28" s="22" t="s">
        <v>129</v>
      </c>
      <c r="D28" s="22" t="s">
        <v>107</v>
      </c>
      <c r="E28" s="26">
        <v>27132</v>
      </c>
      <c r="F28" s="24">
        <v>303.55281600000001</v>
      </c>
      <c r="G28" s="25">
        <v>1.16851287710861</v>
      </c>
      <c r="H28" s="27"/>
    </row>
    <row r="29" spans="2:8" x14ac:dyDescent="0.2">
      <c r="B29" s="22" t="s">
        <v>63</v>
      </c>
      <c r="C29" s="22" t="s">
        <v>64</v>
      </c>
      <c r="D29" s="22" t="s">
        <v>34</v>
      </c>
      <c r="E29" s="26">
        <v>184584</v>
      </c>
      <c r="F29" s="24">
        <v>286.91736959999997</v>
      </c>
      <c r="G29" s="25">
        <v>1.1044754763327</v>
      </c>
      <c r="H29" s="27"/>
    </row>
    <row r="30" spans="2:8" x14ac:dyDescent="0.2">
      <c r="B30" s="22" t="s">
        <v>50</v>
      </c>
      <c r="C30" s="22" t="s">
        <v>51</v>
      </c>
      <c r="D30" s="22" t="s">
        <v>39</v>
      </c>
      <c r="E30" s="26">
        <v>17111</v>
      </c>
      <c r="F30" s="24">
        <v>286.43813999999998</v>
      </c>
      <c r="G30" s="25">
        <v>1.1026307035973599</v>
      </c>
      <c r="H30" s="27"/>
    </row>
    <row r="31" spans="2:8" x14ac:dyDescent="0.2">
      <c r="B31" s="22" t="s">
        <v>130</v>
      </c>
      <c r="C31" s="22" t="s">
        <v>131</v>
      </c>
      <c r="D31" s="22" t="s">
        <v>89</v>
      </c>
      <c r="E31" s="26">
        <v>34142</v>
      </c>
      <c r="F31" s="24">
        <v>280.54481399999997</v>
      </c>
      <c r="G31" s="25">
        <v>1.07994461090765</v>
      </c>
      <c r="H31" s="27"/>
    </row>
    <row r="32" spans="2:8" x14ac:dyDescent="0.2">
      <c r="B32" s="22" t="s">
        <v>132</v>
      </c>
      <c r="C32" s="22" t="s">
        <v>133</v>
      </c>
      <c r="D32" s="22" t="s">
        <v>39</v>
      </c>
      <c r="E32" s="26">
        <v>15647</v>
      </c>
      <c r="F32" s="24">
        <v>280.42553400000003</v>
      </c>
      <c r="G32" s="25">
        <v>1.0794854479263301</v>
      </c>
      <c r="H32" s="27"/>
    </row>
    <row r="33" spans="2:8" x14ac:dyDescent="0.2">
      <c r="B33" s="22" t="s">
        <v>44</v>
      </c>
      <c r="C33" s="22" t="s">
        <v>45</v>
      </c>
      <c r="D33" s="22" t="s">
        <v>10</v>
      </c>
      <c r="E33" s="26">
        <v>1132913</v>
      </c>
      <c r="F33" s="24">
        <v>262.26935950000001</v>
      </c>
      <c r="G33" s="25">
        <v>1.00959407290354</v>
      </c>
      <c r="H33" s="27"/>
    </row>
    <row r="34" spans="2:8" x14ac:dyDescent="0.2">
      <c r="B34" s="22" t="s">
        <v>134</v>
      </c>
      <c r="C34" s="22" t="s">
        <v>135</v>
      </c>
      <c r="D34" s="22" t="s">
        <v>26</v>
      </c>
      <c r="E34" s="26">
        <v>18034</v>
      </c>
      <c r="F34" s="24">
        <v>257.23697600000003</v>
      </c>
      <c r="G34" s="25">
        <v>0.99022213954516303</v>
      </c>
      <c r="H34" s="27"/>
    </row>
    <row r="35" spans="2:8" x14ac:dyDescent="0.2">
      <c r="B35" s="22" t="s">
        <v>136</v>
      </c>
      <c r="C35" s="22" t="s">
        <v>137</v>
      </c>
      <c r="D35" s="22" t="s">
        <v>92</v>
      </c>
      <c r="E35" s="26">
        <v>9365</v>
      </c>
      <c r="F35" s="24">
        <v>254.33466999999999</v>
      </c>
      <c r="G35" s="25">
        <v>0.97904984347162005</v>
      </c>
      <c r="H35" s="27"/>
    </row>
    <row r="36" spans="2:8" x14ac:dyDescent="0.2">
      <c r="B36" s="22" t="s">
        <v>138</v>
      </c>
      <c r="C36" s="22" t="s">
        <v>139</v>
      </c>
      <c r="D36" s="22" t="s">
        <v>11</v>
      </c>
      <c r="E36" s="26">
        <v>1781190</v>
      </c>
      <c r="F36" s="24">
        <v>249.188481</v>
      </c>
      <c r="G36" s="25">
        <v>0.95923982097281801</v>
      </c>
      <c r="H36" s="27"/>
    </row>
    <row r="37" spans="2:8" x14ac:dyDescent="0.2">
      <c r="B37" s="22" t="s">
        <v>140</v>
      </c>
      <c r="C37" s="22" t="s">
        <v>141</v>
      </c>
      <c r="D37" s="22" t="s">
        <v>57</v>
      </c>
      <c r="E37" s="26">
        <v>57852</v>
      </c>
      <c r="F37" s="24">
        <v>245.55281400000001</v>
      </c>
      <c r="G37" s="25">
        <v>0.94524448479916601</v>
      </c>
      <c r="H37" s="27"/>
    </row>
    <row r="38" spans="2:8" x14ac:dyDescent="0.2">
      <c r="B38" s="22" t="s">
        <v>142</v>
      </c>
      <c r="C38" s="22" t="s">
        <v>143</v>
      </c>
      <c r="D38" s="22" t="s">
        <v>29</v>
      </c>
      <c r="E38" s="26">
        <v>24652</v>
      </c>
      <c r="F38" s="24">
        <v>245.28739999999999</v>
      </c>
      <c r="G38" s="25">
        <v>0.94422278557445904</v>
      </c>
      <c r="H38" s="27"/>
    </row>
    <row r="39" spans="2:8" x14ac:dyDescent="0.2">
      <c r="B39" s="22" t="s">
        <v>61</v>
      </c>
      <c r="C39" s="22" t="s">
        <v>62</v>
      </c>
      <c r="D39" s="22" t="s">
        <v>12</v>
      </c>
      <c r="E39" s="26">
        <v>61952</v>
      </c>
      <c r="F39" s="24">
        <v>243.997952</v>
      </c>
      <c r="G39" s="25">
        <v>0.93925911364343595</v>
      </c>
      <c r="H39" s="27"/>
    </row>
    <row r="40" spans="2:8" x14ac:dyDescent="0.2">
      <c r="B40" s="22" t="s">
        <v>144</v>
      </c>
      <c r="C40" s="22" t="s">
        <v>145</v>
      </c>
      <c r="D40" s="22" t="s">
        <v>146</v>
      </c>
      <c r="E40" s="26">
        <v>36180</v>
      </c>
      <c r="F40" s="24">
        <v>233.28863999999999</v>
      </c>
      <c r="G40" s="25">
        <v>0.89803410001360495</v>
      </c>
      <c r="H40" s="27"/>
    </row>
    <row r="41" spans="2:8" x14ac:dyDescent="0.2">
      <c r="B41" s="22" t="s">
        <v>147</v>
      </c>
      <c r="C41" s="22" t="s">
        <v>148</v>
      </c>
      <c r="D41" s="22" t="s">
        <v>29</v>
      </c>
      <c r="E41" s="26">
        <v>88217</v>
      </c>
      <c r="F41" s="24">
        <v>231.393191</v>
      </c>
      <c r="G41" s="25">
        <v>0.89073765455943799</v>
      </c>
      <c r="H41" s="27"/>
    </row>
    <row r="42" spans="2:8" x14ac:dyDescent="0.2">
      <c r="B42" s="22" t="s">
        <v>149</v>
      </c>
      <c r="C42" s="22" t="s">
        <v>150</v>
      </c>
      <c r="D42" s="22" t="s">
        <v>87</v>
      </c>
      <c r="E42" s="26">
        <v>230200</v>
      </c>
      <c r="F42" s="24">
        <v>231.05174</v>
      </c>
      <c r="G42" s="25">
        <v>0.88942325433196101</v>
      </c>
      <c r="H42" s="27"/>
    </row>
    <row r="43" spans="2:8" x14ac:dyDescent="0.2">
      <c r="B43" s="22" t="s">
        <v>151</v>
      </c>
      <c r="C43" s="22" t="s">
        <v>152</v>
      </c>
      <c r="D43" s="22" t="s">
        <v>29</v>
      </c>
      <c r="E43" s="26">
        <v>88525</v>
      </c>
      <c r="F43" s="24">
        <v>228.30597499999999</v>
      </c>
      <c r="G43" s="25">
        <v>0.87885355577902802</v>
      </c>
      <c r="H43" s="27"/>
    </row>
    <row r="44" spans="2:8" x14ac:dyDescent="0.2">
      <c r="B44" s="22" t="s">
        <v>153</v>
      </c>
      <c r="C44" s="22" t="s">
        <v>154</v>
      </c>
      <c r="D44" s="22" t="s">
        <v>26</v>
      </c>
      <c r="E44" s="26">
        <v>9714</v>
      </c>
      <c r="F44" s="24">
        <v>220.98378600000001</v>
      </c>
      <c r="G44" s="25">
        <v>0.85066711940242401</v>
      </c>
      <c r="H44" s="27"/>
    </row>
    <row r="45" spans="2:8" x14ac:dyDescent="0.2">
      <c r="B45" s="22" t="s">
        <v>155</v>
      </c>
      <c r="C45" s="22" t="s">
        <v>156</v>
      </c>
      <c r="D45" s="22" t="s">
        <v>20</v>
      </c>
      <c r="E45" s="26">
        <v>6893</v>
      </c>
      <c r="F45" s="24">
        <v>216.53670199999999</v>
      </c>
      <c r="G45" s="25">
        <v>0.83354827007643495</v>
      </c>
      <c r="H45" s="27"/>
    </row>
    <row r="46" spans="2:8" x14ac:dyDescent="0.2">
      <c r="B46" s="22" t="s">
        <v>157</v>
      </c>
      <c r="C46" s="22" t="s">
        <v>158</v>
      </c>
      <c r="D46" s="22" t="s">
        <v>90</v>
      </c>
      <c r="E46" s="26">
        <v>11735</v>
      </c>
      <c r="F46" s="24">
        <v>214.87958499999999</v>
      </c>
      <c r="G46" s="25">
        <v>0.82716927290918196</v>
      </c>
      <c r="H46" s="27"/>
    </row>
    <row r="47" spans="2:8" x14ac:dyDescent="0.2">
      <c r="B47" s="22" t="s">
        <v>159</v>
      </c>
      <c r="C47" s="22" t="s">
        <v>160</v>
      </c>
      <c r="D47" s="22" t="s">
        <v>95</v>
      </c>
      <c r="E47" s="26">
        <v>12040</v>
      </c>
      <c r="F47" s="24">
        <v>213.25247999999999</v>
      </c>
      <c r="G47" s="25">
        <v>0.82090580558259996</v>
      </c>
      <c r="H47" s="27"/>
    </row>
    <row r="48" spans="2:8" x14ac:dyDescent="0.2">
      <c r="B48" s="22" t="s">
        <v>161</v>
      </c>
      <c r="C48" s="22" t="s">
        <v>162</v>
      </c>
      <c r="D48" s="22" t="s">
        <v>90</v>
      </c>
      <c r="E48" s="26">
        <v>3981</v>
      </c>
      <c r="F48" s="24">
        <v>209.699175</v>
      </c>
      <c r="G48" s="25">
        <v>0.80722751821400496</v>
      </c>
      <c r="H48" s="27"/>
    </row>
    <row r="49" spans="2:8" x14ac:dyDescent="0.2">
      <c r="B49" s="22" t="s">
        <v>163</v>
      </c>
      <c r="C49" s="22" t="s">
        <v>164</v>
      </c>
      <c r="D49" s="22" t="s">
        <v>26</v>
      </c>
      <c r="E49" s="26">
        <v>3775</v>
      </c>
      <c r="F49" s="24">
        <v>207.54949999999999</v>
      </c>
      <c r="G49" s="25">
        <v>0.79895244123663101</v>
      </c>
      <c r="H49" s="27"/>
    </row>
    <row r="50" spans="2:8" x14ac:dyDescent="0.2">
      <c r="B50" s="22" t="s">
        <v>165</v>
      </c>
      <c r="C50" s="22" t="s">
        <v>166</v>
      </c>
      <c r="D50" s="22" t="s">
        <v>16</v>
      </c>
      <c r="E50" s="26">
        <v>34774</v>
      </c>
      <c r="F50" s="24">
        <v>206.922687</v>
      </c>
      <c r="G50" s="25">
        <v>0.79653955285796096</v>
      </c>
      <c r="H50" s="27"/>
    </row>
    <row r="51" spans="2:8" x14ac:dyDescent="0.2">
      <c r="B51" s="22" t="s">
        <v>167</v>
      </c>
      <c r="C51" s="22" t="s">
        <v>168</v>
      </c>
      <c r="D51" s="22" t="s">
        <v>26</v>
      </c>
      <c r="E51" s="26">
        <v>46043</v>
      </c>
      <c r="F51" s="24">
        <v>197.36331949999999</v>
      </c>
      <c r="G51" s="25">
        <v>0.75974119872652202</v>
      </c>
      <c r="H51" s="27"/>
    </row>
    <row r="52" spans="2:8" x14ac:dyDescent="0.2">
      <c r="B52" s="22" t="s">
        <v>169</v>
      </c>
      <c r="C52" s="22" t="s">
        <v>170</v>
      </c>
      <c r="D52" s="22" t="s">
        <v>171</v>
      </c>
      <c r="E52" s="26">
        <v>222983</v>
      </c>
      <c r="F52" s="24">
        <v>196.20274169999999</v>
      </c>
      <c r="G52" s="25">
        <v>0.75527360681926603</v>
      </c>
      <c r="H52" s="27"/>
    </row>
    <row r="53" spans="2:8" x14ac:dyDescent="0.2">
      <c r="B53" s="22" t="s">
        <v>172</v>
      </c>
      <c r="C53" s="22" t="s">
        <v>173</v>
      </c>
      <c r="D53" s="22" t="s">
        <v>75</v>
      </c>
      <c r="E53" s="26">
        <v>6181</v>
      </c>
      <c r="F53" s="24">
        <v>194.132848</v>
      </c>
      <c r="G53" s="25">
        <v>0.74730564435867097</v>
      </c>
      <c r="H53" s="27"/>
    </row>
    <row r="54" spans="2:8" x14ac:dyDescent="0.2">
      <c r="B54" s="22" t="s">
        <v>174</v>
      </c>
      <c r="C54" s="22" t="s">
        <v>175</v>
      </c>
      <c r="D54" s="22" t="s">
        <v>14</v>
      </c>
      <c r="E54" s="26">
        <v>8537</v>
      </c>
      <c r="F54" s="24">
        <v>193.90941799999999</v>
      </c>
      <c r="G54" s="25">
        <v>0.74644556064878198</v>
      </c>
      <c r="H54" s="27"/>
    </row>
    <row r="55" spans="2:8" x14ac:dyDescent="0.2">
      <c r="B55" s="22" t="s">
        <v>176</v>
      </c>
      <c r="C55" s="22" t="s">
        <v>177</v>
      </c>
      <c r="D55" s="22" t="s">
        <v>52</v>
      </c>
      <c r="E55" s="26">
        <v>53191</v>
      </c>
      <c r="F55" s="24">
        <v>193.24290300000001</v>
      </c>
      <c r="G55" s="25">
        <v>0.74387984121139095</v>
      </c>
      <c r="H55" s="27"/>
    </row>
    <row r="56" spans="2:8" x14ac:dyDescent="0.2">
      <c r="B56" s="22" t="s">
        <v>178</v>
      </c>
      <c r="C56" s="22" t="s">
        <v>179</v>
      </c>
      <c r="D56" s="22" t="s">
        <v>35</v>
      </c>
      <c r="E56" s="26">
        <v>16272</v>
      </c>
      <c r="F56" s="24">
        <v>191.48889600000001</v>
      </c>
      <c r="G56" s="25">
        <v>0.73712787035819105</v>
      </c>
      <c r="H56" s="27"/>
    </row>
    <row r="57" spans="2:8" x14ac:dyDescent="0.2">
      <c r="B57" s="22" t="s">
        <v>42</v>
      </c>
      <c r="C57" s="22" t="s">
        <v>43</v>
      </c>
      <c r="D57" s="22" t="s">
        <v>17</v>
      </c>
      <c r="E57" s="26">
        <v>93266</v>
      </c>
      <c r="F57" s="24">
        <v>190.60772420000001</v>
      </c>
      <c r="G57" s="25">
        <v>0.733735839248702</v>
      </c>
      <c r="H57" s="27"/>
    </row>
    <row r="58" spans="2:8" x14ac:dyDescent="0.2">
      <c r="B58" s="22" t="s">
        <v>180</v>
      </c>
      <c r="C58" s="22" t="s">
        <v>181</v>
      </c>
      <c r="D58" s="22" t="s">
        <v>10</v>
      </c>
      <c r="E58" s="26">
        <v>22799</v>
      </c>
      <c r="F58" s="24">
        <v>189.91567000000001</v>
      </c>
      <c r="G58" s="25">
        <v>0.73107180781254799</v>
      </c>
      <c r="H58" s="27"/>
    </row>
    <row r="59" spans="2:8" x14ac:dyDescent="0.2">
      <c r="B59" s="22" t="s">
        <v>182</v>
      </c>
      <c r="C59" s="22" t="s">
        <v>183</v>
      </c>
      <c r="D59" s="22" t="s">
        <v>52</v>
      </c>
      <c r="E59" s="26">
        <v>4442</v>
      </c>
      <c r="F59" s="24">
        <v>186.07093800000001</v>
      </c>
      <c r="G59" s="25">
        <v>0.71627168534874797</v>
      </c>
      <c r="H59" s="27"/>
    </row>
    <row r="60" spans="2:8" x14ac:dyDescent="0.2">
      <c r="B60" s="22" t="s">
        <v>184</v>
      </c>
      <c r="C60" s="22" t="s">
        <v>185</v>
      </c>
      <c r="D60" s="22" t="s">
        <v>25</v>
      </c>
      <c r="E60" s="26">
        <v>16762</v>
      </c>
      <c r="F60" s="24">
        <v>185.13629</v>
      </c>
      <c r="G60" s="25">
        <v>0.71267380001875702</v>
      </c>
      <c r="H60" s="27"/>
    </row>
    <row r="61" spans="2:8" x14ac:dyDescent="0.2">
      <c r="B61" s="22" t="s">
        <v>186</v>
      </c>
      <c r="C61" s="22" t="s">
        <v>187</v>
      </c>
      <c r="D61" s="22" t="s">
        <v>35</v>
      </c>
      <c r="E61" s="26">
        <v>14699</v>
      </c>
      <c r="F61" s="24">
        <v>183.10544300000001</v>
      </c>
      <c r="G61" s="25">
        <v>0.70485614606908198</v>
      </c>
      <c r="H61" s="27"/>
    </row>
    <row r="62" spans="2:8" x14ac:dyDescent="0.2">
      <c r="B62" s="22" t="s">
        <v>58</v>
      </c>
      <c r="C62" s="22" t="s">
        <v>59</v>
      </c>
      <c r="D62" s="22" t="s">
        <v>60</v>
      </c>
      <c r="E62" s="26">
        <v>5050</v>
      </c>
      <c r="F62" s="24">
        <v>177.6893</v>
      </c>
      <c r="G62" s="25">
        <v>0.68400694782029403</v>
      </c>
      <c r="H62" s="27"/>
    </row>
    <row r="63" spans="2:8" x14ac:dyDescent="0.2">
      <c r="B63" s="22" t="s">
        <v>188</v>
      </c>
      <c r="C63" s="22" t="s">
        <v>189</v>
      </c>
      <c r="D63" s="22" t="s">
        <v>94</v>
      </c>
      <c r="E63" s="26">
        <v>8496</v>
      </c>
      <c r="F63" s="24">
        <v>175.00910400000001</v>
      </c>
      <c r="G63" s="25">
        <v>0.673689654176163</v>
      </c>
      <c r="H63" s="27"/>
    </row>
    <row r="64" spans="2:8" x14ac:dyDescent="0.2">
      <c r="B64" s="22" t="s">
        <v>190</v>
      </c>
      <c r="C64" s="22" t="s">
        <v>191</v>
      </c>
      <c r="D64" s="22" t="s">
        <v>16</v>
      </c>
      <c r="E64" s="26">
        <v>12263</v>
      </c>
      <c r="F64" s="24">
        <v>174.171389</v>
      </c>
      <c r="G64" s="25">
        <v>0.67046490805867998</v>
      </c>
      <c r="H64" s="27"/>
    </row>
    <row r="65" spans="2:8" x14ac:dyDescent="0.2">
      <c r="B65" s="22" t="s">
        <v>192</v>
      </c>
      <c r="C65" s="22" t="s">
        <v>193</v>
      </c>
      <c r="D65" s="22" t="s">
        <v>26</v>
      </c>
      <c r="E65" s="26">
        <v>7299</v>
      </c>
      <c r="F65" s="24">
        <v>173.39504400000001</v>
      </c>
      <c r="G65" s="25">
        <v>0.66747640298884403</v>
      </c>
      <c r="H65" s="27"/>
    </row>
    <row r="66" spans="2:8" x14ac:dyDescent="0.2">
      <c r="B66" s="22" t="s">
        <v>194</v>
      </c>
      <c r="C66" s="22" t="s">
        <v>195</v>
      </c>
      <c r="D66" s="22" t="s">
        <v>95</v>
      </c>
      <c r="E66" s="26">
        <v>9601</v>
      </c>
      <c r="F66" s="24">
        <v>169.23682700000001</v>
      </c>
      <c r="G66" s="25">
        <v>0.65146953415349795</v>
      </c>
      <c r="H66" s="27"/>
    </row>
    <row r="67" spans="2:8" x14ac:dyDescent="0.2">
      <c r="B67" s="22" t="s">
        <v>196</v>
      </c>
      <c r="C67" s="22" t="s">
        <v>197</v>
      </c>
      <c r="D67" s="22" t="s">
        <v>94</v>
      </c>
      <c r="E67" s="26">
        <v>38092</v>
      </c>
      <c r="F67" s="24">
        <v>168.89992799999999</v>
      </c>
      <c r="G67" s="25">
        <v>0.65017265664475798</v>
      </c>
      <c r="H67" s="27"/>
    </row>
    <row r="68" spans="2:8" x14ac:dyDescent="0.2">
      <c r="B68" s="22" t="s">
        <v>198</v>
      </c>
      <c r="C68" s="22" t="s">
        <v>199</v>
      </c>
      <c r="D68" s="22" t="s">
        <v>36</v>
      </c>
      <c r="E68" s="26">
        <v>35187</v>
      </c>
      <c r="F68" s="24">
        <v>167.5429005</v>
      </c>
      <c r="G68" s="25">
        <v>0.644948840475843</v>
      </c>
      <c r="H68" s="27"/>
    </row>
    <row r="69" spans="2:8" x14ac:dyDescent="0.2">
      <c r="B69" s="22" t="s">
        <v>200</v>
      </c>
      <c r="C69" s="22" t="s">
        <v>201</v>
      </c>
      <c r="D69" s="22" t="s">
        <v>29</v>
      </c>
      <c r="E69" s="26">
        <v>137426</v>
      </c>
      <c r="F69" s="24">
        <v>167.34364020000001</v>
      </c>
      <c r="G69" s="25">
        <v>0.64418179693622202</v>
      </c>
      <c r="H69" s="27"/>
    </row>
    <row r="70" spans="2:8" x14ac:dyDescent="0.2">
      <c r="B70" s="22" t="s">
        <v>202</v>
      </c>
      <c r="C70" s="22" t="s">
        <v>203</v>
      </c>
      <c r="D70" s="22" t="s">
        <v>20</v>
      </c>
      <c r="E70" s="26">
        <v>131</v>
      </c>
      <c r="F70" s="24">
        <v>161.68020000000001</v>
      </c>
      <c r="G70" s="25">
        <v>0.62238063926738796</v>
      </c>
      <c r="H70" s="27"/>
    </row>
    <row r="71" spans="2:8" x14ac:dyDescent="0.2">
      <c r="B71" s="22" t="s">
        <v>204</v>
      </c>
      <c r="C71" s="22" t="s">
        <v>205</v>
      </c>
      <c r="D71" s="22" t="s">
        <v>16</v>
      </c>
      <c r="E71" s="26">
        <v>204090</v>
      </c>
      <c r="F71" s="24">
        <v>160.96578299999999</v>
      </c>
      <c r="G71" s="25">
        <v>0.61963052324103796</v>
      </c>
      <c r="H71" s="27"/>
    </row>
    <row r="72" spans="2:8" x14ac:dyDescent="0.2">
      <c r="B72" s="22" t="s">
        <v>206</v>
      </c>
      <c r="C72" s="22" t="s">
        <v>207</v>
      </c>
      <c r="D72" s="22" t="s">
        <v>52</v>
      </c>
      <c r="E72" s="26">
        <v>54966</v>
      </c>
      <c r="F72" s="24">
        <v>157.532556</v>
      </c>
      <c r="G72" s="25">
        <v>0.60641447071877497</v>
      </c>
      <c r="H72" s="27"/>
    </row>
    <row r="73" spans="2:8" x14ac:dyDescent="0.2">
      <c r="B73" s="22" t="s">
        <v>208</v>
      </c>
      <c r="C73" s="22" t="s">
        <v>209</v>
      </c>
      <c r="D73" s="22" t="s">
        <v>210</v>
      </c>
      <c r="E73" s="26">
        <v>407</v>
      </c>
      <c r="F73" s="24">
        <v>155.45365000000001</v>
      </c>
      <c r="G73" s="25">
        <v>0.59841181581572001</v>
      </c>
      <c r="H73" s="27"/>
    </row>
    <row r="74" spans="2:8" x14ac:dyDescent="0.2">
      <c r="B74" s="22" t="s">
        <v>211</v>
      </c>
      <c r="C74" s="22" t="s">
        <v>212</v>
      </c>
      <c r="D74" s="22" t="s">
        <v>14</v>
      </c>
      <c r="E74" s="26">
        <v>1537</v>
      </c>
      <c r="F74" s="24">
        <v>153.14668</v>
      </c>
      <c r="G74" s="25">
        <v>0.58953123882873804</v>
      </c>
      <c r="H74" s="27"/>
    </row>
    <row r="75" spans="2:8" x14ac:dyDescent="0.2">
      <c r="B75" s="22" t="s">
        <v>213</v>
      </c>
      <c r="C75" s="22" t="s">
        <v>214</v>
      </c>
      <c r="D75" s="22" t="s">
        <v>95</v>
      </c>
      <c r="E75" s="26">
        <v>10882</v>
      </c>
      <c r="F75" s="24">
        <v>148.99634399999999</v>
      </c>
      <c r="G75" s="25">
        <v>0.57355470754751503</v>
      </c>
      <c r="H75" s="27"/>
    </row>
    <row r="76" spans="2:8" x14ac:dyDescent="0.2">
      <c r="B76" s="22" t="s">
        <v>215</v>
      </c>
      <c r="C76" s="22" t="s">
        <v>216</v>
      </c>
      <c r="D76" s="22" t="s">
        <v>11</v>
      </c>
      <c r="E76" s="26">
        <v>7577</v>
      </c>
      <c r="F76" s="24">
        <v>148.88804999999999</v>
      </c>
      <c r="G76" s="25">
        <v>0.57313783467780799</v>
      </c>
      <c r="H76" s="27"/>
    </row>
    <row r="77" spans="2:8" x14ac:dyDescent="0.2">
      <c r="B77" s="22" t="s">
        <v>217</v>
      </c>
      <c r="C77" s="22" t="s">
        <v>218</v>
      </c>
      <c r="D77" s="22" t="s">
        <v>90</v>
      </c>
      <c r="E77" s="26">
        <v>4154</v>
      </c>
      <c r="F77" s="24">
        <v>147.42545999999999</v>
      </c>
      <c r="G77" s="25">
        <v>0.56750766042526402</v>
      </c>
      <c r="H77" s="27"/>
    </row>
    <row r="78" spans="2:8" x14ac:dyDescent="0.2">
      <c r="B78" s="22" t="s">
        <v>219</v>
      </c>
      <c r="C78" s="22" t="s">
        <v>220</v>
      </c>
      <c r="D78" s="22" t="s">
        <v>171</v>
      </c>
      <c r="E78" s="26">
        <v>8133</v>
      </c>
      <c r="F78" s="24">
        <v>146.56479300000001</v>
      </c>
      <c r="G78" s="25">
        <v>0.56419456161875403</v>
      </c>
      <c r="H78" s="27"/>
    </row>
    <row r="79" spans="2:8" x14ac:dyDescent="0.2">
      <c r="B79" s="22" t="s">
        <v>221</v>
      </c>
      <c r="C79" s="22" t="s">
        <v>222</v>
      </c>
      <c r="D79" s="22" t="s">
        <v>146</v>
      </c>
      <c r="E79" s="26">
        <v>5226</v>
      </c>
      <c r="F79" s="24">
        <v>145.0215</v>
      </c>
      <c r="G79" s="25">
        <v>0.55825372480684399</v>
      </c>
      <c r="H79" s="27"/>
    </row>
    <row r="80" spans="2:8" x14ac:dyDescent="0.2">
      <c r="B80" s="22" t="s">
        <v>223</v>
      </c>
      <c r="C80" s="22" t="s">
        <v>224</v>
      </c>
      <c r="D80" s="22" t="s">
        <v>75</v>
      </c>
      <c r="E80" s="26">
        <v>1090</v>
      </c>
      <c r="F80" s="24">
        <v>142.9862</v>
      </c>
      <c r="G80" s="25">
        <v>0.550418929234468</v>
      </c>
      <c r="H80" s="27"/>
    </row>
    <row r="81" spans="2:8" x14ac:dyDescent="0.2">
      <c r="B81" s="22" t="s">
        <v>225</v>
      </c>
      <c r="C81" s="22" t="s">
        <v>226</v>
      </c>
      <c r="D81" s="22" t="s">
        <v>17</v>
      </c>
      <c r="E81" s="26">
        <v>20627</v>
      </c>
      <c r="F81" s="24">
        <v>141.31557699999999</v>
      </c>
      <c r="G81" s="25">
        <v>0.54398794132924</v>
      </c>
      <c r="H81" s="27"/>
    </row>
    <row r="82" spans="2:8" x14ac:dyDescent="0.2">
      <c r="B82" s="22" t="s">
        <v>227</v>
      </c>
      <c r="C82" s="22" t="s">
        <v>228</v>
      </c>
      <c r="D82" s="22" t="s">
        <v>22</v>
      </c>
      <c r="E82" s="26">
        <v>2700</v>
      </c>
      <c r="F82" s="24">
        <v>139.61699999999999</v>
      </c>
      <c r="G82" s="25">
        <v>0.53744934576154002</v>
      </c>
      <c r="H82" s="27"/>
    </row>
    <row r="83" spans="2:8" x14ac:dyDescent="0.2">
      <c r="B83" s="22" t="s">
        <v>229</v>
      </c>
      <c r="C83" s="22" t="s">
        <v>230</v>
      </c>
      <c r="D83" s="22" t="s">
        <v>93</v>
      </c>
      <c r="E83" s="26">
        <v>17896</v>
      </c>
      <c r="F83" s="24">
        <v>138.389768</v>
      </c>
      <c r="G83" s="25">
        <v>0.53272517151701704</v>
      </c>
      <c r="H83" s="27"/>
    </row>
    <row r="84" spans="2:8" x14ac:dyDescent="0.2">
      <c r="B84" s="22" t="s">
        <v>53</v>
      </c>
      <c r="C84" s="22" t="s">
        <v>54</v>
      </c>
      <c r="D84" s="22" t="s">
        <v>26</v>
      </c>
      <c r="E84" s="26">
        <v>8960</v>
      </c>
      <c r="F84" s="24">
        <v>136.58624</v>
      </c>
      <c r="G84" s="25">
        <v>0.52578257180736399</v>
      </c>
      <c r="H84" s="27"/>
    </row>
    <row r="85" spans="2:8" x14ac:dyDescent="0.2">
      <c r="B85" s="22" t="s">
        <v>231</v>
      </c>
      <c r="C85" s="22" t="s">
        <v>232</v>
      </c>
      <c r="D85" s="22" t="s">
        <v>146</v>
      </c>
      <c r="E85" s="26">
        <v>7626</v>
      </c>
      <c r="F85" s="24">
        <v>133.729536</v>
      </c>
      <c r="G85" s="25">
        <v>0.51478581857649397</v>
      </c>
      <c r="H85" s="27"/>
    </row>
    <row r="86" spans="2:8" x14ac:dyDescent="0.2">
      <c r="B86" s="22" t="s">
        <v>233</v>
      </c>
      <c r="C86" s="22" t="s">
        <v>234</v>
      </c>
      <c r="D86" s="22" t="s">
        <v>35</v>
      </c>
      <c r="E86" s="26">
        <v>8369</v>
      </c>
      <c r="F86" s="24">
        <v>132.98340999999999</v>
      </c>
      <c r="G86" s="25">
        <v>0.51191364018449503</v>
      </c>
      <c r="H86" s="27"/>
    </row>
    <row r="87" spans="2:8" x14ac:dyDescent="0.2">
      <c r="B87" s="22" t="s">
        <v>235</v>
      </c>
      <c r="C87" s="22" t="s">
        <v>236</v>
      </c>
      <c r="D87" s="22" t="s">
        <v>93</v>
      </c>
      <c r="E87" s="26">
        <v>48345</v>
      </c>
      <c r="F87" s="24">
        <v>131.03912249999999</v>
      </c>
      <c r="G87" s="25">
        <v>0.50442919312684897</v>
      </c>
      <c r="H87" s="27"/>
    </row>
    <row r="88" spans="2:8" x14ac:dyDescent="0.2">
      <c r="B88" s="22" t="s">
        <v>237</v>
      </c>
      <c r="C88" s="22" t="s">
        <v>238</v>
      </c>
      <c r="D88" s="22" t="s">
        <v>95</v>
      </c>
      <c r="E88" s="26">
        <v>7594</v>
      </c>
      <c r="F88" s="24">
        <v>129.63717399999999</v>
      </c>
      <c r="G88" s="25">
        <v>0.49903245559405301</v>
      </c>
      <c r="H88" s="27"/>
    </row>
    <row r="89" spans="2:8" x14ac:dyDescent="0.2">
      <c r="B89" s="22" t="s">
        <v>69</v>
      </c>
      <c r="C89" s="22" t="s">
        <v>70</v>
      </c>
      <c r="D89" s="22" t="s">
        <v>52</v>
      </c>
      <c r="E89" s="26">
        <v>42684</v>
      </c>
      <c r="F89" s="24">
        <v>129.60996599999999</v>
      </c>
      <c r="G89" s="25">
        <v>0.49892771962494098</v>
      </c>
      <c r="H89" s="27"/>
    </row>
    <row r="90" spans="2:8" x14ac:dyDescent="0.2">
      <c r="B90" s="22" t="s">
        <v>239</v>
      </c>
      <c r="C90" s="22" t="s">
        <v>240</v>
      </c>
      <c r="D90" s="22" t="s">
        <v>20</v>
      </c>
      <c r="E90" s="26">
        <v>11719</v>
      </c>
      <c r="F90" s="24">
        <v>129.10822300000001</v>
      </c>
      <c r="G90" s="25">
        <v>0.49699628257149903</v>
      </c>
      <c r="H90" s="27"/>
    </row>
    <row r="91" spans="2:8" x14ac:dyDescent="0.2">
      <c r="B91" s="22" t="s">
        <v>241</v>
      </c>
      <c r="C91" s="22" t="s">
        <v>242</v>
      </c>
      <c r="D91" s="22" t="s">
        <v>39</v>
      </c>
      <c r="E91" s="26">
        <v>25423</v>
      </c>
      <c r="F91" s="24">
        <v>128.11920850000001</v>
      </c>
      <c r="G91" s="25">
        <v>0.49318911585130298</v>
      </c>
      <c r="H91" s="27"/>
    </row>
    <row r="92" spans="2:8" x14ac:dyDescent="0.2">
      <c r="B92" s="22" t="s">
        <v>71</v>
      </c>
      <c r="C92" s="22" t="s">
        <v>72</v>
      </c>
      <c r="D92" s="22" t="s">
        <v>25</v>
      </c>
      <c r="E92" s="26">
        <v>11488</v>
      </c>
      <c r="F92" s="24">
        <v>126.39097599999999</v>
      </c>
      <c r="G92" s="25">
        <v>0.48653636277360601</v>
      </c>
      <c r="H92" s="27"/>
    </row>
    <row r="93" spans="2:8" x14ac:dyDescent="0.2">
      <c r="B93" s="22" t="s">
        <v>243</v>
      </c>
      <c r="C93" s="22" t="s">
        <v>244</v>
      </c>
      <c r="D93" s="22" t="s">
        <v>90</v>
      </c>
      <c r="E93" s="26">
        <v>7896</v>
      </c>
      <c r="F93" s="24">
        <v>124.614672</v>
      </c>
      <c r="G93" s="25">
        <v>0.47969856062434302</v>
      </c>
      <c r="H93" s="27"/>
    </row>
    <row r="94" spans="2:8" x14ac:dyDescent="0.2">
      <c r="B94" s="22" t="s">
        <v>245</v>
      </c>
      <c r="C94" s="22" t="s">
        <v>246</v>
      </c>
      <c r="D94" s="22" t="s">
        <v>75</v>
      </c>
      <c r="E94" s="26">
        <v>2499</v>
      </c>
      <c r="F94" s="24">
        <v>124.517673</v>
      </c>
      <c r="G94" s="25">
        <v>0.479325167347811</v>
      </c>
      <c r="H94" s="27"/>
    </row>
    <row r="95" spans="2:8" x14ac:dyDescent="0.2">
      <c r="B95" s="22" t="s">
        <v>247</v>
      </c>
      <c r="C95" s="22" t="s">
        <v>248</v>
      </c>
      <c r="D95" s="22" t="s">
        <v>52</v>
      </c>
      <c r="E95" s="26">
        <v>19340</v>
      </c>
      <c r="F95" s="24">
        <v>120.75896</v>
      </c>
      <c r="G95" s="25">
        <v>0.46485617114566302</v>
      </c>
      <c r="H95" s="27"/>
    </row>
    <row r="96" spans="2:8" x14ac:dyDescent="0.2">
      <c r="B96" s="22" t="s">
        <v>46</v>
      </c>
      <c r="C96" s="22" t="s">
        <v>47</v>
      </c>
      <c r="D96" s="22" t="s">
        <v>39</v>
      </c>
      <c r="E96" s="26">
        <v>28641</v>
      </c>
      <c r="F96" s="24">
        <v>117.81475349999999</v>
      </c>
      <c r="G96" s="25">
        <v>0.45352258098678599</v>
      </c>
      <c r="H96" s="27"/>
    </row>
    <row r="97" spans="2:8" x14ac:dyDescent="0.2">
      <c r="B97" s="22" t="s">
        <v>249</v>
      </c>
      <c r="C97" s="22" t="s">
        <v>250</v>
      </c>
      <c r="D97" s="22" t="s">
        <v>20</v>
      </c>
      <c r="E97" s="26">
        <v>5182</v>
      </c>
      <c r="F97" s="24">
        <v>114.28901</v>
      </c>
      <c r="G97" s="25">
        <v>0.43995039036961198</v>
      </c>
      <c r="H97" s="27"/>
    </row>
    <row r="98" spans="2:8" x14ac:dyDescent="0.2">
      <c r="B98" s="22" t="s">
        <v>251</v>
      </c>
      <c r="C98" s="22" t="s">
        <v>252</v>
      </c>
      <c r="D98" s="22" t="s">
        <v>20</v>
      </c>
      <c r="E98" s="26">
        <v>29351</v>
      </c>
      <c r="F98" s="24">
        <v>113.441615</v>
      </c>
      <c r="G98" s="25">
        <v>0.43668838152862799</v>
      </c>
      <c r="H98" s="27"/>
    </row>
    <row r="99" spans="2:8" x14ac:dyDescent="0.2">
      <c r="B99" s="22" t="s">
        <v>253</v>
      </c>
      <c r="C99" s="22" t="s">
        <v>254</v>
      </c>
      <c r="D99" s="22" t="s">
        <v>90</v>
      </c>
      <c r="E99" s="26">
        <v>2505</v>
      </c>
      <c r="F99" s="24">
        <v>112.81518</v>
      </c>
      <c r="G99" s="25">
        <v>0.434276948243913</v>
      </c>
      <c r="H99" s="27"/>
    </row>
    <row r="100" spans="2:8" x14ac:dyDescent="0.2">
      <c r="B100" s="22" t="s">
        <v>255</v>
      </c>
      <c r="C100" s="22" t="s">
        <v>256</v>
      </c>
      <c r="D100" s="22" t="s">
        <v>91</v>
      </c>
      <c r="E100" s="26">
        <v>72285</v>
      </c>
      <c r="F100" s="24">
        <v>111.9333225</v>
      </c>
      <c r="G100" s="25">
        <v>0.43088227756319403</v>
      </c>
      <c r="H100" s="27"/>
    </row>
    <row r="101" spans="2:8" x14ac:dyDescent="0.2">
      <c r="B101" s="22" t="s">
        <v>257</v>
      </c>
      <c r="C101" s="22" t="s">
        <v>258</v>
      </c>
      <c r="D101" s="22" t="s">
        <v>10</v>
      </c>
      <c r="E101" s="26">
        <v>78397</v>
      </c>
      <c r="F101" s="24">
        <v>109.6852427</v>
      </c>
      <c r="G101" s="25">
        <v>0.42222839574558102</v>
      </c>
      <c r="H101" s="27"/>
    </row>
    <row r="102" spans="2:8" x14ac:dyDescent="0.2">
      <c r="B102" s="22" t="s">
        <v>259</v>
      </c>
      <c r="C102" s="22" t="s">
        <v>260</v>
      </c>
      <c r="D102" s="22" t="s">
        <v>91</v>
      </c>
      <c r="E102" s="26">
        <v>25254</v>
      </c>
      <c r="F102" s="24">
        <v>107.96084999999999</v>
      </c>
      <c r="G102" s="25">
        <v>0.41559042380483602</v>
      </c>
      <c r="H102" s="27"/>
    </row>
    <row r="103" spans="2:8" x14ac:dyDescent="0.2">
      <c r="B103" s="22" t="s">
        <v>65</v>
      </c>
      <c r="C103" s="22" t="s">
        <v>66</v>
      </c>
      <c r="D103" s="22" t="s">
        <v>20</v>
      </c>
      <c r="E103" s="26">
        <v>2596</v>
      </c>
      <c r="F103" s="24">
        <v>107.18105199999999</v>
      </c>
      <c r="G103" s="25">
        <v>0.41258862656720602</v>
      </c>
      <c r="H103" s="27"/>
    </row>
    <row r="104" spans="2:8" x14ac:dyDescent="0.2">
      <c r="B104" s="22" t="s">
        <v>261</v>
      </c>
      <c r="C104" s="22" t="s">
        <v>262</v>
      </c>
      <c r="D104" s="22" t="s">
        <v>10</v>
      </c>
      <c r="E104" s="26">
        <v>131362</v>
      </c>
      <c r="F104" s="24">
        <v>104.1306574</v>
      </c>
      <c r="G104" s="25">
        <v>0.400846270105711</v>
      </c>
      <c r="H104" s="27"/>
    </row>
    <row r="105" spans="2:8" x14ac:dyDescent="0.2">
      <c r="B105" s="22" t="s">
        <v>263</v>
      </c>
      <c r="C105" s="22" t="s">
        <v>264</v>
      </c>
      <c r="D105" s="22" t="s">
        <v>52</v>
      </c>
      <c r="E105" s="26">
        <v>19395</v>
      </c>
      <c r="F105" s="24">
        <v>103.4044425</v>
      </c>
      <c r="G105" s="25">
        <v>0.39805073859531298</v>
      </c>
      <c r="H105" s="27"/>
    </row>
    <row r="106" spans="2:8" x14ac:dyDescent="0.2">
      <c r="B106" s="22" t="s">
        <v>265</v>
      </c>
      <c r="C106" s="22" t="s">
        <v>266</v>
      </c>
      <c r="D106" s="22" t="s">
        <v>21</v>
      </c>
      <c r="E106" s="26">
        <v>22271</v>
      </c>
      <c r="F106" s="24">
        <v>103.2594915</v>
      </c>
      <c r="G106" s="25">
        <v>0.39749275625707697</v>
      </c>
      <c r="H106" s="27"/>
    </row>
    <row r="107" spans="2:8" x14ac:dyDescent="0.2">
      <c r="B107" s="22" t="s">
        <v>267</v>
      </c>
      <c r="C107" s="22" t="s">
        <v>268</v>
      </c>
      <c r="D107" s="22" t="s">
        <v>269</v>
      </c>
      <c r="E107" s="26">
        <v>22337</v>
      </c>
      <c r="F107" s="24">
        <v>101.901394</v>
      </c>
      <c r="G107" s="25">
        <v>0.39226482117141098</v>
      </c>
      <c r="H107" s="27"/>
    </row>
    <row r="108" spans="2:8" x14ac:dyDescent="0.2">
      <c r="B108" s="22" t="s">
        <v>270</v>
      </c>
      <c r="C108" s="22" t="s">
        <v>271</v>
      </c>
      <c r="D108" s="22" t="s">
        <v>91</v>
      </c>
      <c r="E108" s="26">
        <v>19462</v>
      </c>
      <c r="F108" s="24">
        <v>99.227007</v>
      </c>
      <c r="G108" s="25">
        <v>0.38196988901083501</v>
      </c>
      <c r="H108" s="27"/>
    </row>
    <row r="109" spans="2:8" x14ac:dyDescent="0.2">
      <c r="B109" s="22" t="s">
        <v>40</v>
      </c>
      <c r="C109" s="22" t="s">
        <v>41</v>
      </c>
      <c r="D109" s="22" t="s">
        <v>29</v>
      </c>
      <c r="E109" s="26">
        <v>18887</v>
      </c>
      <c r="F109" s="24">
        <v>98.939549499999998</v>
      </c>
      <c r="G109" s="25">
        <v>0.38086333432688402</v>
      </c>
      <c r="H109" s="27"/>
    </row>
    <row r="110" spans="2:8" x14ac:dyDescent="0.2">
      <c r="B110" s="22" t="s">
        <v>272</v>
      </c>
      <c r="C110" s="22" t="s">
        <v>273</v>
      </c>
      <c r="D110" s="22" t="s">
        <v>92</v>
      </c>
      <c r="E110" s="26">
        <v>2720</v>
      </c>
      <c r="F110" s="24">
        <v>98.708799999999997</v>
      </c>
      <c r="G110" s="25">
        <v>0.37997507453180301</v>
      </c>
      <c r="H110" s="27"/>
    </row>
    <row r="111" spans="2:8" x14ac:dyDescent="0.2">
      <c r="B111" s="22" t="s">
        <v>274</v>
      </c>
      <c r="C111" s="22" t="s">
        <v>275</v>
      </c>
      <c r="D111" s="22" t="s">
        <v>92</v>
      </c>
      <c r="E111" s="26">
        <v>1357</v>
      </c>
      <c r="F111" s="24">
        <v>97.765065000000007</v>
      </c>
      <c r="G111" s="25">
        <v>0.376342209205071</v>
      </c>
      <c r="H111" s="27"/>
    </row>
    <row r="112" spans="2:8" x14ac:dyDescent="0.2">
      <c r="B112" s="22" t="s">
        <v>276</v>
      </c>
      <c r="C112" s="22" t="s">
        <v>277</v>
      </c>
      <c r="D112" s="22" t="s">
        <v>14</v>
      </c>
      <c r="E112" s="26">
        <v>2220</v>
      </c>
      <c r="F112" s="24">
        <v>95.13588</v>
      </c>
      <c r="G112" s="25">
        <v>0.36622128010520499</v>
      </c>
      <c r="H112" s="27"/>
    </row>
    <row r="113" spans="2:8" x14ac:dyDescent="0.2">
      <c r="B113" s="22" t="s">
        <v>278</v>
      </c>
      <c r="C113" s="22" t="s">
        <v>279</v>
      </c>
      <c r="D113" s="22" t="s">
        <v>35</v>
      </c>
      <c r="E113" s="26">
        <v>18374</v>
      </c>
      <c r="F113" s="24">
        <v>91.980243999999999</v>
      </c>
      <c r="G113" s="25">
        <v>0.35407380162005198</v>
      </c>
      <c r="H113" s="27"/>
    </row>
    <row r="114" spans="2:8" x14ac:dyDescent="0.2">
      <c r="B114" s="22" t="s">
        <v>280</v>
      </c>
      <c r="C114" s="22" t="s">
        <v>281</v>
      </c>
      <c r="D114" s="22" t="s">
        <v>26</v>
      </c>
      <c r="E114" s="26">
        <v>336</v>
      </c>
      <c r="F114" s="24">
        <v>90.232799999999997</v>
      </c>
      <c r="G114" s="25">
        <v>0.347347094739408</v>
      </c>
      <c r="H114" s="27"/>
    </row>
    <row r="115" spans="2:8" x14ac:dyDescent="0.2">
      <c r="B115" s="22" t="s">
        <v>282</v>
      </c>
      <c r="C115" s="22" t="s">
        <v>283</v>
      </c>
      <c r="D115" s="22" t="s">
        <v>15</v>
      </c>
      <c r="E115" s="26">
        <v>36622</v>
      </c>
      <c r="F115" s="24">
        <v>89.888699000000003</v>
      </c>
      <c r="G115" s="25">
        <v>0.34602249345642699</v>
      </c>
      <c r="H115" s="27"/>
    </row>
    <row r="116" spans="2:8" x14ac:dyDescent="0.2">
      <c r="B116" s="22" t="s">
        <v>284</v>
      </c>
      <c r="C116" s="22" t="s">
        <v>285</v>
      </c>
      <c r="D116" s="22" t="s">
        <v>22</v>
      </c>
      <c r="E116" s="26">
        <v>5141</v>
      </c>
      <c r="F116" s="24">
        <v>89.874961999999996</v>
      </c>
      <c r="G116" s="25">
        <v>0.345969613494369</v>
      </c>
      <c r="H116" s="27"/>
    </row>
    <row r="117" spans="2:8" x14ac:dyDescent="0.2">
      <c r="B117" s="22" t="s">
        <v>286</v>
      </c>
      <c r="C117" s="22" t="s">
        <v>287</v>
      </c>
      <c r="D117" s="22" t="s">
        <v>25</v>
      </c>
      <c r="E117" s="26">
        <v>10046</v>
      </c>
      <c r="F117" s="24">
        <v>88.354569999999995</v>
      </c>
      <c r="G117" s="25">
        <v>0.34011693304928597</v>
      </c>
      <c r="H117" s="27"/>
    </row>
    <row r="118" spans="2:8" x14ac:dyDescent="0.2">
      <c r="B118" s="22" t="s">
        <v>288</v>
      </c>
      <c r="C118" s="22" t="s">
        <v>289</v>
      </c>
      <c r="D118" s="22" t="s">
        <v>35</v>
      </c>
      <c r="E118" s="26">
        <v>24861</v>
      </c>
      <c r="F118" s="24">
        <v>88.268980499999998</v>
      </c>
      <c r="G118" s="25">
        <v>0.33978746012851702</v>
      </c>
      <c r="H118" s="27"/>
    </row>
    <row r="119" spans="2:8" x14ac:dyDescent="0.2">
      <c r="B119" s="22" t="s">
        <v>290</v>
      </c>
      <c r="C119" s="22" t="s">
        <v>291</v>
      </c>
      <c r="D119" s="22" t="s">
        <v>35</v>
      </c>
      <c r="E119" s="26">
        <v>5601</v>
      </c>
      <c r="F119" s="24">
        <v>85.353639000000001</v>
      </c>
      <c r="G119" s="25">
        <v>0.32856498448553301</v>
      </c>
      <c r="H119" s="27"/>
    </row>
    <row r="120" spans="2:8" x14ac:dyDescent="0.2">
      <c r="B120" s="22" t="s">
        <v>18</v>
      </c>
      <c r="C120" s="22" t="s">
        <v>19</v>
      </c>
      <c r="D120" s="22" t="s">
        <v>20</v>
      </c>
      <c r="E120" s="26">
        <v>20867</v>
      </c>
      <c r="F120" s="24">
        <v>82.320314999999994</v>
      </c>
      <c r="G120" s="25">
        <v>0.31688834052897502</v>
      </c>
      <c r="H120" s="27"/>
    </row>
    <row r="121" spans="2:8" x14ac:dyDescent="0.2">
      <c r="B121" s="22" t="s">
        <v>292</v>
      </c>
      <c r="C121" s="22" t="s">
        <v>293</v>
      </c>
      <c r="D121" s="22" t="s">
        <v>52</v>
      </c>
      <c r="E121" s="26">
        <v>17089</v>
      </c>
      <c r="F121" s="24">
        <v>81.813587499999997</v>
      </c>
      <c r="G121" s="25">
        <v>0.31493771586754798</v>
      </c>
      <c r="H121" s="27"/>
    </row>
    <row r="122" spans="2:8" x14ac:dyDescent="0.2">
      <c r="B122" s="22" t="s">
        <v>294</v>
      </c>
      <c r="C122" s="22" t="s">
        <v>295</v>
      </c>
      <c r="D122" s="22" t="s">
        <v>14</v>
      </c>
      <c r="E122" s="26">
        <v>10575</v>
      </c>
      <c r="F122" s="24">
        <v>81.633712500000001</v>
      </c>
      <c r="G122" s="25">
        <v>0.31424529516613797</v>
      </c>
      <c r="H122" s="27"/>
    </row>
    <row r="123" spans="2:8" x14ac:dyDescent="0.2">
      <c r="B123" s="22" t="s">
        <v>296</v>
      </c>
      <c r="C123" s="22" t="s">
        <v>297</v>
      </c>
      <c r="D123" s="22" t="s">
        <v>96</v>
      </c>
      <c r="E123" s="26">
        <v>5461</v>
      </c>
      <c r="F123" s="24">
        <v>80.134714000000002</v>
      </c>
      <c r="G123" s="25">
        <v>0.30847496803461</v>
      </c>
      <c r="H123" s="27"/>
    </row>
    <row r="124" spans="2:8" x14ac:dyDescent="0.2">
      <c r="B124" s="22" t="s">
        <v>298</v>
      </c>
      <c r="C124" s="22" t="s">
        <v>299</v>
      </c>
      <c r="D124" s="22" t="s">
        <v>75</v>
      </c>
      <c r="E124" s="26">
        <v>7522</v>
      </c>
      <c r="F124" s="24">
        <v>79.808419999999998</v>
      </c>
      <c r="G124" s="25">
        <v>0.30721891399515999</v>
      </c>
      <c r="H124" s="27"/>
    </row>
    <row r="125" spans="2:8" x14ac:dyDescent="0.2">
      <c r="B125" s="22" t="s">
        <v>30</v>
      </c>
      <c r="C125" s="22" t="s">
        <v>31</v>
      </c>
      <c r="D125" s="22" t="s">
        <v>25</v>
      </c>
      <c r="E125" s="26">
        <v>2252</v>
      </c>
      <c r="F125" s="24">
        <v>79.687020000000004</v>
      </c>
      <c r="G125" s="25">
        <v>0.30675159016943998</v>
      </c>
      <c r="H125" s="27"/>
    </row>
    <row r="126" spans="2:8" x14ac:dyDescent="0.2">
      <c r="B126" s="22" t="s">
        <v>300</v>
      </c>
      <c r="C126" s="22" t="s">
        <v>301</v>
      </c>
      <c r="D126" s="22" t="s">
        <v>26</v>
      </c>
      <c r="E126" s="26">
        <v>2718</v>
      </c>
      <c r="F126" s="24">
        <v>79.607501999999997</v>
      </c>
      <c r="G126" s="25">
        <v>0.306445489214139</v>
      </c>
      <c r="H126" s="27"/>
    </row>
    <row r="127" spans="2:8" x14ac:dyDescent="0.2">
      <c r="B127" s="22" t="s">
        <v>302</v>
      </c>
      <c r="C127" s="22" t="s">
        <v>303</v>
      </c>
      <c r="D127" s="22" t="s">
        <v>52</v>
      </c>
      <c r="E127" s="26">
        <v>11714</v>
      </c>
      <c r="F127" s="24">
        <v>77.997669000000002</v>
      </c>
      <c r="G127" s="25">
        <v>0.30024850967271299</v>
      </c>
      <c r="H127" s="27"/>
    </row>
    <row r="128" spans="2:8" x14ac:dyDescent="0.2">
      <c r="B128" s="22" t="s">
        <v>304</v>
      </c>
      <c r="C128" s="22" t="s">
        <v>305</v>
      </c>
      <c r="D128" s="22" t="s">
        <v>39</v>
      </c>
      <c r="E128" s="26">
        <v>19949</v>
      </c>
      <c r="F128" s="24">
        <v>76.055562499999994</v>
      </c>
      <c r="G128" s="25">
        <v>0.29277245827621901</v>
      </c>
      <c r="H128" s="27"/>
    </row>
    <row r="129" spans="2:8" x14ac:dyDescent="0.2">
      <c r="B129" s="22" t="s">
        <v>306</v>
      </c>
      <c r="C129" s="22" t="s">
        <v>307</v>
      </c>
      <c r="D129" s="22" t="s">
        <v>16</v>
      </c>
      <c r="E129" s="26">
        <v>21046</v>
      </c>
      <c r="F129" s="24">
        <v>73.145373000000006</v>
      </c>
      <c r="G129" s="25">
        <v>0.28156981502491701</v>
      </c>
      <c r="H129" s="27"/>
    </row>
    <row r="130" spans="2:8" x14ac:dyDescent="0.2">
      <c r="B130" s="22" t="s">
        <v>55</v>
      </c>
      <c r="C130" s="22" t="s">
        <v>56</v>
      </c>
      <c r="D130" s="22" t="s">
        <v>25</v>
      </c>
      <c r="E130" s="26">
        <v>39405</v>
      </c>
      <c r="F130" s="24">
        <v>72.855904499999994</v>
      </c>
      <c r="G130" s="25">
        <v>0.280455519087147</v>
      </c>
      <c r="H130" s="27"/>
    </row>
    <row r="131" spans="2:8" x14ac:dyDescent="0.2">
      <c r="B131" s="22" t="s">
        <v>308</v>
      </c>
      <c r="C131" s="22" t="s">
        <v>309</v>
      </c>
      <c r="D131" s="22" t="s">
        <v>11</v>
      </c>
      <c r="E131" s="26">
        <v>4852</v>
      </c>
      <c r="F131" s="24">
        <v>72.561660000000003</v>
      </c>
      <c r="G131" s="25">
        <v>0.279322838152742</v>
      </c>
      <c r="H131" s="27"/>
    </row>
    <row r="132" spans="2:8" x14ac:dyDescent="0.2">
      <c r="B132" s="22" t="s">
        <v>310</v>
      </c>
      <c r="C132" s="22" t="s">
        <v>311</v>
      </c>
      <c r="D132" s="22" t="s">
        <v>86</v>
      </c>
      <c r="E132" s="26">
        <v>5946</v>
      </c>
      <c r="F132" s="24">
        <v>71.625516000000005</v>
      </c>
      <c r="G132" s="25">
        <v>0.27571919403820999</v>
      </c>
      <c r="H132" s="27"/>
    </row>
    <row r="133" spans="2:8" x14ac:dyDescent="0.2">
      <c r="B133" s="22" t="s">
        <v>312</v>
      </c>
      <c r="C133" s="22" t="s">
        <v>313</v>
      </c>
      <c r="D133" s="22" t="s">
        <v>210</v>
      </c>
      <c r="E133" s="26">
        <v>7175</v>
      </c>
      <c r="F133" s="24">
        <v>69.346374999999995</v>
      </c>
      <c r="G133" s="25">
        <v>0.26694574353183698</v>
      </c>
      <c r="H133" s="27"/>
    </row>
    <row r="134" spans="2:8" x14ac:dyDescent="0.2">
      <c r="B134" s="22" t="s">
        <v>314</v>
      </c>
      <c r="C134" s="22" t="s">
        <v>315</v>
      </c>
      <c r="D134" s="22" t="s">
        <v>89</v>
      </c>
      <c r="E134" s="26">
        <v>35924</v>
      </c>
      <c r="F134" s="24">
        <v>69.081851999999998</v>
      </c>
      <c r="G134" s="25">
        <v>0.26592747417145102</v>
      </c>
      <c r="H134" s="27"/>
    </row>
    <row r="135" spans="2:8" x14ac:dyDescent="0.2">
      <c r="B135" s="22" t="s">
        <v>316</v>
      </c>
      <c r="C135" s="22" t="s">
        <v>317</v>
      </c>
      <c r="D135" s="22" t="s">
        <v>52</v>
      </c>
      <c r="E135" s="26">
        <v>51326</v>
      </c>
      <c r="F135" s="24">
        <v>68.391895000000005</v>
      </c>
      <c r="G135" s="25">
        <v>0.26327151581212799</v>
      </c>
      <c r="H135" s="27"/>
    </row>
    <row r="136" spans="2:8" x14ac:dyDescent="0.2">
      <c r="B136" s="22" t="s">
        <v>318</v>
      </c>
      <c r="C136" s="22" t="s">
        <v>319</v>
      </c>
      <c r="D136" s="22" t="s">
        <v>52</v>
      </c>
      <c r="E136" s="26">
        <v>32376</v>
      </c>
      <c r="F136" s="24">
        <v>65.888397600000005</v>
      </c>
      <c r="G136" s="25">
        <v>0.25363441546084098</v>
      </c>
      <c r="H136" s="27"/>
    </row>
    <row r="137" spans="2:8" x14ac:dyDescent="0.2">
      <c r="B137" s="22" t="s">
        <v>320</v>
      </c>
      <c r="C137" s="22" t="s">
        <v>321</v>
      </c>
      <c r="D137" s="22" t="s">
        <v>88</v>
      </c>
      <c r="E137" s="26">
        <v>5462</v>
      </c>
      <c r="F137" s="24">
        <v>64.943179999999998</v>
      </c>
      <c r="G137" s="25">
        <v>0.24999584293226401</v>
      </c>
      <c r="H137" s="27"/>
    </row>
    <row r="138" spans="2:8" x14ac:dyDescent="0.2">
      <c r="B138" s="22" t="s">
        <v>322</v>
      </c>
      <c r="C138" s="22" t="s">
        <v>323</v>
      </c>
      <c r="D138" s="22" t="s">
        <v>52</v>
      </c>
      <c r="E138" s="26">
        <v>1573</v>
      </c>
      <c r="F138" s="24">
        <v>62.108331999999997</v>
      </c>
      <c r="G138" s="25">
        <v>0.23908322338784299</v>
      </c>
      <c r="H138" s="27"/>
    </row>
    <row r="139" spans="2:8" x14ac:dyDescent="0.2">
      <c r="B139" s="22" t="s">
        <v>324</v>
      </c>
      <c r="C139" s="22" t="s">
        <v>325</v>
      </c>
      <c r="D139" s="22" t="s">
        <v>16</v>
      </c>
      <c r="E139" s="26">
        <v>59929</v>
      </c>
      <c r="F139" s="24">
        <v>62.038500800000001</v>
      </c>
      <c r="G139" s="25">
        <v>0.238814411332336</v>
      </c>
      <c r="H139" s="27"/>
    </row>
    <row r="140" spans="2:8" x14ac:dyDescent="0.2">
      <c r="B140" s="22" t="s">
        <v>326</v>
      </c>
      <c r="C140" s="22" t="s">
        <v>327</v>
      </c>
      <c r="D140" s="22" t="s">
        <v>20</v>
      </c>
      <c r="E140" s="26">
        <v>2275</v>
      </c>
      <c r="F140" s="24">
        <v>61.939149999999998</v>
      </c>
      <c r="G140" s="25">
        <v>0.23843196490775401</v>
      </c>
      <c r="H140" s="27"/>
    </row>
    <row r="141" spans="2:8" x14ac:dyDescent="0.2">
      <c r="B141" s="22" t="s">
        <v>328</v>
      </c>
      <c r="C141" s="22" t="s">
        <v>329</v>
      </c>
      <c r="D141" s="22" t="s">
        <v>60</v>
      </c>
      <c r="E141" s="26">
        <v>4658</v>
      </c>
      <c r="F141" s="24">
        <v>61.485599999999998</v>
      </c>
      <c r="G141" s="25">
        <v>0.23668604463464901</v>
      </c>
      <c r="H141" s="27"/>
    </row>
    <row r="142" spans="2:8" x14ac:dyDescent="0.2">
      <c r="B142" s="22" t="s">
        <v>32</v>
      </c>
      <c r="C142" s="22" t="s">
        <v>33</v>
      </c>
      <c r="D142" s="22" t="s">
        <v>34</v>
      </c>
      <c r="E142" s="26">
        <v>2142</v>
      </c>
      <c r="F142" s="24">
        <v>61.256915999999997</v>
      </c>
      <c r="G142" s="25">
        <v>0.23580573588867801</v>
      </c>
      <c r="H142" s="27"/>
    </row>
    <row r="143" spans="2:8" x14ac:dyDescent="0.2">
      <c r="B143" s="22" t="s">
        <v>330</v>
      </c>
      <c r="C143" s="22" t="s">
        <v>331</v>
      </c>
      <c r="D143" s="22" t="s">
        <v>332</v>
      </c>
      <c r="E143" s="26">
        <v>1778</v>
      </c>
      <c r="F143" s="24">
        <v>61.028072000000002</v>
      </c>
      <c r="G143" s="25">
        <v>0.23492481122992301</v>
      </c>
      <c r="H143" s="27"/>
    </row>
    <row r="144" spans="2:8" x14ac:dyDescent="0.2">
      <c r="B144" s="22" t="s">
        <v>333</v>
      </c>
      <c r="C144" s="22" t="s">
        <v>334</v>
      </c>
      <c r="D144" s="22" t="s">
        <v>52</v>
      </c>
      <c r="E144" s="26">
        <v>71430</v>
      </c>
      <c r="F144" s="24">
        <v>60.636927</v>
      </c>
      <c r="G144" s="25">
        <v>0.23341911619029401</v>
      </c>
      <c r="H144" s="27"/>
    </row>
    <row r="145" spans="2:9" x14ac:dyDescent="0.2">
      <c r="B145" s="22" t="s">
        <v>335</v>
      </c>
      <c r="C145" s="22" t="s">
        <v>336</v>
      </c>
      <c r="D145" s="22" t="s">
        <v>337</v>
      </c>
      <c r="E145" s="26">
        <v>2628</v>
      </c>
      <c r="F145" s="24">
        <v>59.991984000000002</v>
      </c>
      <c r="G145" s="25">
        <v>0.23093643719415799</v>
      </c>
      <c r="H145" s="27"/>
    </row>
    <row r="146" spans="2:9" x14ac:dyDescent="0.2">
      <c r="B146" s="22" t="s">
        <v>338</v>
      </c>
      <c r="C146" s="22" t="s">
        <v>339</v>
      </c>
      <c r="D146" s="22" t="s">
        <v>340</v>
      </c>
      <c r="E146" s="26">
        <v>182</v>
      </c>
      <c r="F146" s="24">
        <v>59.714199999999998</v>
      </c>
      <c r="G146" s="25">
        <v>0.22986712021225</v>
      </c>
      <c r="H146" s="27"/>
    </row>
    <row r="147" spans="2:9" x14ac:dyDescent="0.2">
      <c r="B147" s="22" t="s">
        <v>341</v>
      </c>
      <c r="C147" s="22" t="s">
        <v>342</v>
      </c>
      <c r="D147" s="22" t="s">
        <v>26</v>
      </c>
      <c r="E147" s="26">
        <v>2669</v>
      </c>
      <c r="F147" s="24">
        <v>58.990237999999998</v>
      </c>
      <c r="G147" s="25">
        <v>0.227080261138812</v>
      </c>
      <c r="H147" s="27"/>
    </row>
    <row r="148" spans="2:9" x14ac:dyDescent="0.2">
      <c r="B148" s="22" t="s">
        <v>343</v>
      </c>
      <c r="C148" s="22" t="s">
        <v>344</v>
      </c>
      <c r="D148" s="22" t="s">
        <v>52</v>
      </c>
      <c r="E148" s="26">
        <v>8414</v>
      </c>
      <c r="F148" s="24">
        <v>58.069220999999999</v>
      </c>
      <c r="G148" s="25">
        <v>0.22353484772866</v>
      </c>
      <c r="H148" s="27"/>
    </row>
    <row r="149" spans="2:9" x14ac:dyDescent="0.2">
      <c r="B149" s="22" t="s">
        <v>345</v>
      </c>
      <c r="C149" s="22" t="s">
        <v>346</v>
      </c>
      <c r="D149" s="22" t="s">
        <v>87</v>
      </c>
      <c r="E149" s="26">
        <v>20955</v>
      </c>
      <c r="F149" s="24">
        <v>57.689115000000001</v>
      </c>
      <c r="G149" s="25">
        <v>0.22207164682175001</v>
      </c>
      <c r="H149" s="27"/>
    </row>
    <row r="150" spans="2:9" x14ac:dyDescent="0.2">
      <c r="B150" s="22" t="s">
        <v>347</v>
      </c>
      <c r="C150" s="22" t="s">
        <v>348</v>
      </c>
      <c r="D150" s="22" t="s">
        <v>22</v>
      </c>
      <c r="E150" s="26">
        <v>3868</v>
      </c>
      <c r="F150" s="24">
        <v>54.124924</v>
      </c>
      <c r="G150" s="25">
        <v>0.208351454287036</v>
      </c>
      <c r="H150" s="27"/>
    </row>
    <row r="151" spans="2:9" x14ac:dyDescent="0.2">
      <c r="B151" s="22" t="s">
        <v>349</v>
      </c>
      <c r="C151" s="22" t="s">
        <v>350</v>
      </c>
      <c r="D151" s="22" t="s">
        <v>96</v>
      </c>
      <c r="E151" s="26">
        <v>142</v>
      </c>
      <c r="F151" s="24">
        <v>50.438400000000001</v>
      </c>
      <c r="G151" s="25">
        <v>0.19416034638517399</v>
      </c>
      <c r="H151" s="27"/>
    </row>
    <row r="152" spans="2:9" x14ac:dyDescent="0.2">
      <c r="B152" s="22" t="s">
        <v>351</v>
      </c>
      <c r="C152" s="22" t="s">
        <v>352</v>
      </c>
      <c r="D152" s="22" t="s">
        <v>14</v>
      </c>
      <c r="E152" s="26">
        <v>9568</v>
      </c>
      <c r="F152" s="24">
        <v>48.605440000000002</v>
      </c>
      <c r="G152" s="25">
        <v>0.18710444951869601</v>
      </c>
      <c r="H152" s="27"/>
    </row>
    <row r="153" spans="2:9" x14ac:dyDescent="0.2">
      <c r="B153" s="22" t="s">
        <v>353</v>
      </c>
      <c r="C153" s="22" t="s">
        <v>354</v>
      </c>
      <c r="D153" s="22" t="s">
        <v>16</v>
      </c>
      <c r="E153" s="26">
        <v>46146</v>
      </c>
      <c r="F153" s="24">
        <v>34.683333599999997</v>
      </c>
      <c r="G153" s="25">
        <v>0.133511928720351</v>
      </c>
      <c r="H153" s="27"/>
    </row>
    <row r="154" spans="2:9" x14ac:dyDescent="0.2">
      <c r="B154" s="22" t="s">
        <v>355</v>
      </c>
      <c r="C154" s="22" t="s">
        <v>356</v>
      </c>
      <c r="D154" s="22" t="s">
        <v>340</v>
      </c>
      <c r="E154" s="26">
        <v>2784</v>
      </c>
      <c r="F154" s="24">
        <v>30.827231999999999</v>
      </c>
      <c r="G154" s="25">
        <v>0.11866803949403899</v>
      </c>
      <c r="H154" s="27"/>
    </row>
    <row r="155" spans="2:9" x14ac:dyDescent="0.2">
      <c r="B155" s="22" t="s">
        <v>357</v>
      </c>
      <c r="C155" s="22" t="s">
        <v>358</v>
      </c>
      <c r="D155" s="22" t="s">
        <v>26</v>
      </c>
      <c r="E155" s="26">
        <v>4014</v>
      </c>
      <c r="F155" s="24">
        <v>30.504393</v>
      </c>
      <c r="G155" s="25">
        <v>0.117425285321293</v>
      </c>
      <c r="H155" s="27"/>
    </row>
    <row r="156" spans="2:9" x14ac:dyDescent="0.2">
      <c r="B156" s="22" t="s">
        <v>359</v>
      </c>
      <c r="C156" s="22" t="s">
        <v>360</v>
      </c>
      <c r="D156" s="22" t="s">
        <v>39</v>
      </c>
      <c r="E156" s="26">
        <v>15526</v>
      </c>
      <c r="F156" s="24">
        <v>24.441029199999999</v>
      </c>
      <c r="G156" s="25">
        <v>9.4084639787982094E-2</v>
      </c>
      <c r="H156" s="27"/>
    </row>
    <row r="157" spans="2:9" ht="10.5" x14ac:dyDescent="0.25">
      <c r="B157" s="21" t="s">
        <v>76</v>
      </c>
      <c r="C157" s="21"/>
      <c r="D157" s="21"/>
      <c r="E157" s="28"/>
      <c r="F157" s="29">
        <f>SUM(F7:F156)</f>
        <v>25955.078115899996</v>
      </c>
      <c r="G157" s="30">
        <f>SUM(G7:G156)</f>
        <v>99.912902816849865</v>
      </c>
      <c r="H157" s="21"/>
      <c r="I157" s="14"/>
    </row>
    <row r="158" spans="2:9" ht="10.5" x14ac:dyDescent="0.25">
      <c r="B158" s="21" t="s">
        <v>77</v>
      </c>
      <c r="C158" s="21"/>
      <c r="D158" s="21"/>
      <c r="E158" s="28"/>
      <c r="F158" s="31" t="s">
        <v>78</v>
      </c>
      <c r="G158" s="32" t="s">
        <v>78</v>
      </c>
      <c r="H158" s="21"/>
      <c r="I158" s="14"/>
    </row>
    <row r="159" spans="2:9" ht="10.5" x14ac:dyDescent="0.25">
      <c r="B159" s="21" t="s">
        <v>76</v>
      </c>
      <c r="C159" s="21"/>
      <c r="D159" s="21"/>
      <c r="E159" s="28"/>
      <c r="F159" s="33" t="s">
        <v>78</v>
      </c>
      <c r="G159" s="34" t="s">
        <v>78</v>
      </c>
      <c r="H159" s="21"/>
      <c r="I159" s="14"/>
    </row>
    <row r="160" spans="2:9" ht="10.5" x14ac:dyDescent="0.25">
      <c r="B160" s="35" t="s">
        <v>79</v>
      </c>
      <c r="C160" s="35"/>
      <c r="D160" s="35"/>
      <c r="E160" s="36"/>
      <c r="F160" s="37">
        <f>F157</f>
        <v>25955.078115899996</v>
      </c>
      <c r="G160" s="38">
        <f>G157</f>
        <v>99.912902816849865</v>
      </c>
      <c r="H160" s="21"/>
      <c r="I160" s="14"/>
    </row>
    <row r="161" spans="2:9" ht="10.5" x14ac:dyDescent="0.25">
      <c r="B161" s="21" t="s">
        <v>80</v>
      </c>
      <c r="C161" s="21"/>
      <c r="D161" s="21"/>
      <c r="E161" s="28"/>
      <c r="F161" s="29">
        <v>227.39900990000001</v>
      </c>
      <c r="G161" s="30">
        <v>0.87536223452428397</v>
      </c>
      <c r="H161" s="27">
        <v>5.3499999999999999E-2</v>
      </c>
      <c r="I161" s="15"/>
    </row>
    <row r="162" spans="2:9" x14ac:dyDescent="0.2">
      <c r="B162" s="22"/>
      <c r="C162" s="22"/>
      <c r="D162" s="22"/>
      <c r="E162" s="23"/>
      <c r="F162" s="24"/>
      <c r="G162" s="25"/>
      <c r="H162" s="22"/>
    </row>
    <row r="163" spans="2:9" ht="10.5" x14ac:dyDescent="0.25">
      <c r="B163" s="44" t="s">
        <v>82</v>
      </c>
      <c r="C163" s="44"/>
      <c r="D163" s="44"/>
      <c r="E163" s="45"/>
      <c r="F163" s="29">
        <f>F164-(F157+F161)</f>
        <v>-204.77316149999751</v>
      </c>
      <c r="G163" s="30">
        <f>G164-(G157+G161)</f>
        <v>-0.78826505137415381</v>
      </c>
      <c r="H163" s="21"/>
      <c r="I163" s="14"/>
    </row>
    <row r="164" spans="2:9" ht="10.5" x14ac:dyDescent="0.25">
      <c r="B164" s="39" t="s">
        <v>81</v>
      </c>
      <c r="C164" s="39"/>
      <c r="D164" s="39"/>
      <c r="E164" s="40"/>
      <c r="F164" s="41">
        <v>25977.703964299999</v>
      </c>
      <c r="G164" s="42">
        <v>100</v>
      </c>
      <c r="H164" s="43"/>
      <c r="I164" s="14"/>
    </row>
    <row r="166" spans="2:9" ht="10.5" x14ac:dyDescent="0.25">
      <c r="B166" s="14"/>
    </row>
    <row r="167" spans="2:9" ht="10.5" x14ac:dyDescent="0.25">
      <c r="B167" s="14"/>
    </row>
    <row r="168" spans="2:9" ht="10.5" x14ac:dyDescent="0.2">
      <c r="B168" s="49" t="s">
        <v>84</v>
      </c>
    </row>
    <row r="169" spans="2:9" ht="10.5" x14ac:dyDescent="0.2">
      <c r="B169" s="49"/>
    </row>
    <row r="170" spans="2:9" x14ac:dyDescent="0.2">
      <c r="B170" s="51" t="s">
        <v>364</v>
      </c>
    </row>
    <row r="171" spans="2:9" x14ac:dyDescent="0.2">
      <c r="B171" s="51" t="s">
        <v>368</v>
      </c>
    </row>
    <row r="172" spans="2:9" x14ac:dyDescent="0.2">
      <c r="B172" s="51" t="s">
        <v>369</v>
      </c>
    </row>
    <row r="173" spans="2:9" ht="10.5" x14ac:dyDescent="0.2">
      <c r="B173" s="49"/>
    </row>
    <row r="174" spans="2:9" ht="10.5" x14ac:dyDescent="0.2">
      <c r="B174" s="54" t="s">
        <v>365</v>
      </c>
      <c r="C174" s="52" t="s">
        <v>366</v>
      </c>
      <c r="D174" s="57" t="s">
        <v>373</v>
      </c>
    </row>
    <row r="175" spans="2:9" x14ac:dyDescent="0.2">
      <c r="B175" s="53" t="s">
        <v>367</v>
      </c>
      <c r="C175" s="55">
        <v>10.3521</v>
      </c>
      <c r="D175" s="56">
        <v>10.6214</v>
      </c>
    </row>
    <row r="176" spans="2:9" ht="10.5" x14ac:dyDescent="0.2">
      <c r="B176" s="49"/>
    </row>
    <row r="177" spans="2:7" x14ac:dyDescent="0.2">
      <c r="B177" s="51" t="s">
        <v>370</v>
      </c>
    </row>
    <row r="178" spans="2:7" x14ac:dyDescent="0.2">
      <c r="B178" s="51" t="s">
        <v>374</v>
      </c>
    </row>
    <row r="179" spans="2:7" x14ac:dyDescent="0.2">
      <c r="B179" s="51" t="s">
        <v>371</v>
      </c>
    </row>
    <row r="180" spans="2:7" x14ac:dyDescent="0.2">
      <c r="B180" s="58" t="s">
        <v>375</v>
      </c>
    </row>
    <row r="181" spans="2:7" x14ac:dyDescent="0.2">
      <c r="B181" s="51" t="s">
        <v>372</v>
      </c>
    </row>
    <row r="184" spans="2:7" ht="10.5" x14ac:dyDescent="0.25">
      <c r="B184" s="14" t="s">
        <v>85</v>
      </c>
      <c r="E184" s="8"/>
      <c r="G184" s="48"/>
    </row>
    <row r="185" spans="2:7" x14ac:dyDescent="0.2">
      <c r="E185" s="8"/>
      <c r="G185" s="48"/>
    </row>
    <row r="186" spans="2:7" x14ac:dyDescent="0.2">
      <c r="E186" s="8"/>
      <c r="G186" s="48"/>
    </row>
    <row r="187" spans="2:7" x14ac:dyDescent="0.2">
      <c r="E187" s="8"/>
      <c r="G187" s="48"/>
    </row>
    <row r="188" spans="2:7" x14ac:dyDescent="0.2">
      <c r="E188" s="8"/>
      <c r="G188" s="48"/>
    </row>
    <row r="189" spans="2:7" x14ac:dyDescent="0.2">
      <c r="E189" s="8"/>
      <c r="G189" s="48"/>
    </row>
    <row r="190" spans="2:7" x14ac:dyDescent="0.2">
      <c r="E190" s="8"/>
      <c r="G190" s="48"/>
    </row>
    <row r="191" spans="2:7" x14ac:dyDescent="0.2">
      <c r="E191" s="8"/>
      <c r="G191" s="48"/>
    </row>
    <row r="192" spans="2:7" x14ac:dyDescent="0.2">
      <c r="E192" s="8"/>
      <c r="G192" s="48"/>
    </row>
    <row r="193" spans="2:7" x14ac:dyDescent="0.2">
      <c r="E193" s="8"/>
      <c r="G193" s="48"/>
    </row>
    <row r="194" spans="2:7" x14ac:dyDescent="0.2">
      <c r="E194" s="8"/>
      <c r="G194" s="48"/>
    </row>
    <row r="195" spans="2:7" x14ac:dyDescent="0.2">
      <c r="E195" s="8"/>
      <c r="G195" s="48"/>
    </row>
    <row r="196" spans="2:7" x14ac:dyDescent="0.2">
      <c r="E196" s="8"/>
      <c r="G196" s="48"/>
    </row>
    <row r="197" spans="2:7" x14ac:dyDescent="0.2">
      <c r="E197" s="8"/>
      <c r="G197" s="48"/>
    </row>
    <row r="198" spans="2:7" x14ac:dyDescent="0.2">
      <c r="E198" s="8"/>
      <c r="G198" s="48"/>
    </row>
    <row r="199" spans="2:7" x14ac:dyDescent="0.2">
      <c r="E199" s="8"/>
      <c r="G199" s="48"/>
    </row>
    <row r="200" spans="2:7" x14ac:dyDescent="0.2">
      <c r="E200" s="8"/>
      <c r="G200" s="48"/>
    </row>
    <row r="201" spans="2:7" ht="10.5" x14ac:dyDescent="0.2">
      <c r="B201" s="49" t="s">
        <v>361</v>
      </c>
      <c r="E201" s="8"/>
      <c r="G201" s="48"/>
    </row>
    <row r="202" spans="2:7" ht="10.5" x14ac:dyDescent="0.25">
      <c r="B202" s="50" t="s">
        <v>362</v>
      </c>
      <c r="E202" s="8"/>
      <c r="G202" s="48"/>
    </row>
    <row r="203" spans="2:7" x14ac:dyDescent="0.2">
      <c r="E203" s="8"/>
      <c r="G203" s="48"/>
    </row>
    <row r="204" spans="2:7" x14ac:dyDescent="0.2">
      <c r="E204" s="8"/>
      <c r="G204" s="48"/>
    </row>
    <row r="205" spans="2:7" x14ac:dyDescent="0.2">
      <c r="E205" s="8"/>
      <c r="G205" s="48"/>
    </row>
    <row r="206" spans="2:7" x14ac:dyDescent="0.2">
      <c r="E206" s="8"/>
      <c r="G206" s="48"/>
    </row>
    <row r="207" spans="2:7" x14ac:dyDescent="0.2">
      <c r="E207" s="8"/>
      <c r="G207" s="48"/>
    </row>
    <row r="208" spans="2:7" x14ac:dyDescent="0.2">
      <c r="E208" s="8"/>
      <c r="G208" s="48"/>
    </row>
    <row r="209" spans="5:7" x14ac:dyDescent="0.2">
      <c r="E209" s="8"/>
      <c r="G209" s="48"/>
    </row>
    <row r="210" spans="5:7" x14ac:dyDescent="0.2">
      <c r="E210" s="8"/>
      <c r="G210" s="48"/>
    </row>
    <row r="211" spans="5:7" x14ac:dyDescent="0.2">
      <c r="E211" s="8"/>
      <c r="G211" s="48"/>
    </row>
    <row r="212" spans="5:7" x14ac:dyDescent="0.2">
      <c r="E212" s="8"/>
      <c r="G212" s="48"/>
    </row>
    <row r="213" spans="5:7" x14ac:dyDescent="0.2">
      <c r="E213" s="8"/>
      <c r="G213" s="48"/>
    </row>
    <row r="214" spans="5:7" x14ac:dyDescent="0.2">
      <c r="E214" s="8"/>
      <c r="G214" s="48"/>
    </row>
    <row r="215" spans="5:7" x14ac:dyDescent="0.2">
      <c r="E215" s="8"/>
      <c r="G215" s="48"/>
    </row>
    <row r="216" spans="5:7" x14ac:dyDescent="0.2">
      <c r="E216" s="8"/>
      <c r="G216" s="48"/>
    </row>
    <row r="217" spans="5:7" x14ac:dyDescent="0.2">
      <c r="E217" s="8"/>
      <c r="G217" s="48"/>
    </row>
    <row r="218" spans="5:7" x14ac:dyDescent="0.2">
      <c r="E218" s="8"/>
      <c r="G218" s="48"/>
    </row>
    <row r="219" spans="5:7" x14ac:dyDescent="0.2">
      <c r="E219" s="8"/>
      <c r="G219" s="48"/>
    </row>
    <row r="220" spans="5:7" x14ac:dyDescent="0.2">
      <c r="E220" s="8"/>
      <c r="G220" s="48"/>
    </row>
    <row r="221" spans="5:7" x14ac:dyDescent="0.2">
      <c r="E221" s="8"/>
      <c r="G221" s="48"/>
    </row>
  </sheetData>
  <mergeCells count="1">
    <mergeCell ref="B1:C1"/>
  </mergeCells>
  <conditionalFormatting sqref="G1:G3 G5:G221">
    <cfRule type="cellIs" dxfId="0" priority="2" stopIfTrue="1" operator="between">
      <formula>0.009</formula>
      <formula>-0.009</formula>
    </cfRule>
  </conditionalFormatting>
  <hyperlinks>
    <hyperlink ref="A2" location="Index!A1" display="-" xr:uid="{C0E47E0F-9F9E-4E35-8869-D60391F4F093}"/>
  </hyperlinks>
  <pageMargins left="0.7" right="0.7" top="0.75" bottom="0.75" header="0.3" footer="0.3"/>
  <pageSetup paperSize="9" scale="58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29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JBNM150</vt:lpstr>
      <vt:lpstr>JBNM150!Print_Area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2026-06-09T06:43:31Z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