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9C6EB50C-3166-4BB7-B30E-524A35615B0E}" xr6:coauthVersionLast="47" xr6:coauthVersionMax="47" xr10:uidLastSave="{00000000-0000-0000-0000-000000000000}"/>
  <bookViews>
    <workbookView xWindow="780" yWindow="780" windowWidth="21600" windowHeight="11235" xr2:uid="{7291B499-DD8C-4F12-BA28-9EE7F24AB421}"/>
  </bookViews>
  <sheets>
    <sheet name="JBNNX50" sheetId="8" r:id="rId1"/>
  </sheets>
  <definedNames>
    <definedName name="_xlnm.Print_Area" localSheetId="0">JBNNX50!$B$1:$H$107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8" l="1"/>
  <c r="F70" i="8"/>
  <c r="G67" i="8"/>
  <c r="F67" i="8"/>
  <c r="G65" i="8"/>
  <c r="F65" i="8"/>
  <c r="A2" i="8" l="1"/>
  <c r="G57" i="8"/>
  <c r="F57" i="8"/>
  <c r="F60" i="8" l="1"/>
  <c r="G60" i="8"/>
</calcChain>
</file>

<file path=xl/sharedStrings.xml><?xml version="1.0" encoding="utf-8"?>
<sst xmlns="http://schemas.openxmlformats.org/spreadsheetml/2006/main" count="187" uniqueCount="152">
  <si>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</si>
  <si>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</si>
  <si>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</si>
  <si>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</si>
  <si>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</si>
  <si>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</si>
  <si>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</si>
  <si>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</si>
  <si>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</si>
  <si>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</si>
  <si>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</si>
  <si>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</si>
  <si>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</si>
  <si>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</si>
  <si>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</si>
  <si>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</si>
  <si>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</si>
  <si>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</si>
  <si>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</si>
  <si>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IT - Software</t>
  </si>
  <si>
    <t>Automobiles</t>
  </si>
  <si>
    <t>Finance</t>
  </si>
  <si>
    <t>Retailing</t>
  </si>
  <si>
    <t>Pharmaceuticals &amp; Biotechnology</t>
  </si>
  <si>
    <t>Consumer Durables</t>
  </si>
  <si>
    <t>Power</t>
  </si>
  <si>
    <t>Ferrous Metals</t>
  </si>
  <si>
    <t>Aerospace &amp; Defense</t>
  </si>
  <si>
    <t>Cement &amp; Cement Products</t>
  </si>
  <si>
    <t>Non - Ferrous Metals</t>
  </si>
  <si>
    <t>Food Products</t>
  </si>
  <si>
    <t>Insurance</t>
  </si>
  <si>
    <t xml:space="preserve">(b) Unlisted </t>
  </si>
  <si>
    <t>NIL</t>
  </si>
  <si>
    <t>Vedanta Ltd</t>
  </si>
  <si>
    <t>INE205A01025</t>
  </si>
  <si>
    <t>Diversified Metals</t>
  </si>
  <si>
    <t>TVS Motor Co Ltd</t>
  </si>
  <si>
    <t>INE494B01023</t>
  </si>
  <si>
    <t>Hindustan Aeronautics Ltd</t>
  </si>
  <si>
    <t>INE066F01020</t>
  </si>
  <si>
    <t>Divi's Laboratories Ltd</t>
  </si>
  <si>
    <t>INE361B01024</t>
  </si>
  <si>
    <t>Bharat Petroleum Corporation Ltd</t>
  </si>
  <si>
    <t>INE029A01011</t>
  </si>
  <si>
    <t>Cholamandalam Investment and Finance Co Ltd</t>
  </si>
  <si>
    <t>INE121A01024</t>
  </si>
  <si>
    <t>Britannia Industries Ltd</t>
  </si>
  <si>
    <t>INE216A01030</t>
  </si>
  <si>
    <t>Varun Beverages Ltd</t>
  </si>
  <si>
    <t>INE200M01039</t>
  </si>
  <si>
    <t>Beverages</t>
  </si>
  <si>
    <t>Indian Hotels Co Ltd</t>
  </si>
  <si>
    <t>INE053A01029</t>
  </si>
  <si>
    <t>Leisure Services</t>
  </si>
  <si>
    <t>Tata Power Co Ltd</t>
  </si>
  <si>
    <t>INE245A01021</t>
  </si>
  <si>
    <t>Indian Oil Corporation Ltd</t>
  </si>
  <si>
    <t>INE242A01010</t>
  </si>
  <si>
    <t>Adani Power Ltd</t>
  </si>
  <si>
    <t>INE814H01029</t>
  </si>
  <si>
    <t>Ltimindtree Ltd</t>
  </si>
  <si>
    <t>INE214T01019</t>
  </si>
  <si>
    <t>Avenue Supermarts Ltd</t>
  </si>
  <si>
    <t>INE192R01011</t>
  </si>
  <si>
    <t>Bank of Baroda</t>
  </si>
  <si>
    <t>INE028A01039</t>
  </si>
  <si>
    <t>Samvardhana Motherson International Ltd</t>
  </si>
  <si>
    <t>INE775A01035</t>
  </si>
  <si>
    <t>Auto Components</t>
  </si>
  <si>
    <t>Canara Bank</t>
  </si>
  <si>
    <t>INE476A01022</t>
  </si>
  <si>
    <t>Info Edge (India) Ltd</t>
  </si>
  <si>
    <t>INE663F01032</t>
  </si>
  <si>
    <t>Power Finance Corporation Ltd</t>
  </si>
  <si>
    <t>INE134E01011</t>
  </si>
  <si>
    <t>Godrej Consumer Products Ltd</t>
  </si>
  <si>
    <t>INE102D01028</t>
  </si>
  <si>
    <t>Personal Products</t>
  </si>
  <si>
    <t>Bajaj Holdings &amp; Investment Ltd</t>
  </si>
  <si>
    <t>INE118A01012</t>
  </si>
  <si>
    <t>ICICI Lombard General Insurance Co Ltd</t>
  </si>
  <si>
    <t>INE765G01017</t>
  </si>
  <si>
    <t>GAIL (India) Ltd</t>
  </si>
  <si>
    <t>INE129A01019</t>
  </si>
  <si>
    <t>Gas</t>
  </si>
  <si>
    <t>Pidilite Industries Ltd</t>
  </si>
  <si>
    <t>INE318A01026</t>
  </si>
  <si>
    <t>Chemicals &amp; Petrochemicals</t>
  </si>
  <si>
    <t>REC Ltd</t>
  </si>
  <si>
    <t>INE020B01018</t>
  </si>
  <si>
    <t>CG Power and Industrial Solutions Ltd</t>
  </si>
  <si>
    <t>INE067A01029</t>
  </si>
  <si>
    <t>Electrical Equipment</t>
  </si>
  <si>
    <t>DLF Ltd</t>
  </si>
  <si>
    <t>INE271C01023</t>
  </si>
  <si>
    <t>Realty</t>
  </si>
  <si>
    <t>United Spirits Ltd</t>
  </si>
  <si>
    <t>INE854D01024</t>
  </si>
  <si>
    <t>Punjab National Bank</t>
  </si>
  <si>
    <t>INE160A01022</t>
  </si>
  <si>
    <t>Torrent Pharmaceuticals Ltd</t>
  </si>
  <si>
    <t>INE685A01028</t>
  </si>
  <si>
    <t>Jindal Steel Ltd</t>
  </si>
  <si>
    <t>INE749A01030</t>
  </si>
  <si>
    <t>Havells India Ltd</t>
  </si>
  <si>
    <t>INE176B01034</t>
  </si>
  <si>
    <t>Adani Energy Solutions Ltd</t>
  </si>
  <si>
    <t>INE931S01010</t>
  </si>
  <si>
    <t>Shree Cement Ltd</t>
  </si>
  <si>
    <t>INE070A01015</t>
  </si>
  <si>
    <t>Ambuja Cements Ltd</t>
  </si>
  <si>
    <t>INE079A01024</t>
  </si>
  <si>
    <t>Hyundai Motor India Ltd</t>
  </si>
  <si>
    <t>INE0V6F01027</t>
  </si>
  <si>
    <t>Bosch Ltd</t>
  </si>
  <si>
    <t>INE323A01026</t>
  </si>
  <si>
    <t>Adani Green Energy Ltd</t>
  </si>
  <si>
    <t>INE364U01010</t>
  </si>
  <si>
    <t>Lodha Developers Ltd</t>
  </si>
  <si>
    <t>INE670K01029</t>
  </si>
  <si>
    <t>Solar Industries India Ltd</t>
  </si>
  <si>
    <t>INE343H01029</t>
  </si>
  <si>
    <t>ABB India Ltd</t>
  </si>
  <si>
    <t>INE117A01022</t>
  </si>
  <si>
    <t>Siemens Ltd</t>
  </si>
  <si>
    <t>INE003A01024</t>
  </si>
  <si>
    <t>Hindustan Zinc Ltd</t>
  </si>
  <si>
    <t>INE267A01025</t>
  </si>
  <si>
    <t>JSW Energy Ltd</t>
  </si>
  <si>
    <t>INE121E01018</t>
  </si>
  <si>
    <t>Zydus Lifesciences Ltd</t>
  </si>
  <si>
    <t>INE010B01027</t>
  </si>
  <si>
    <t>Siemens Energy India ltd</t>
  </si>
  <si>
    <t>INE1NPP01017</t>
  </si>
  <si>
    <t>Indian Railway Finance Corporation Ltd</t>
  </si>
  <si>
    <t>INE053F01010</t>
  </si>
  <si>
    <t>Life Insurance Corporation Of India</t>
  </si>
  <si>
    <t>INE0J1Y01017</t>
  </si>
  <si>
    <t>Mazagon Dock Shipbuilders Ltd</t>
  </si>
  <si>
    <t>INE249Z01020</t>
  </si>
  <si>
    <t>Industrial Manufacturing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</si>
  <si>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</si>
  <si>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</si>
  <si>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</si>
  <si>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</si>
  <si>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</si>
  <si>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Industry Classification / Rating</t>
  </si>
  <si>
    <t>Benchmark Risk-O-Meter</t>
  </si>
  <si>
    <t>Benchmark Name - NIFTY Next 50 Index (TRI)</t>
  </si>
  <si>
    <t>Debt Instruments</t>
  </si>
  <si>
    <t>Cumulative Non-Convertible Redeemable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</si>
</sst>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64" fontId="6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6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3" borderId="0" xfId="0" applyFont="1" applyFill="1"/>
    <xf numFmtId="0" fontId="6" fillId="3" borderId="2" xfId="0" applyFont="1" applyFill="1" applyBorder="1"/>
    <xf numFmtId="0" fontId="0" fillId="3" borderId="2" xfId="0" applyFill="1" applyBorder="1"/>
    <xf numFmtId="39" fontId="6" fillId="2" borderId="7" xfId="0" applyNumberFormat="1" applyFont="1" applyFill="1" applyBorder="1"/>
    <xf numFmtId="39" fontId="6" fillId="3" borderId="8" xfId="0" applyNumberFormat="1" applyFont="1" applyFill="1" applyBorder="1"/>
    <xf numFmtId="0" fontId="5" fillId="2" borderId="7" xfId="0" applyFont="1" applyFill="1" applyBorder="1"/>
    <xf numFmtId="0" fontId="6" fillId="3" borderId="9" xfId="0" applyFont="1" applyFill="1" applyBorder="1"/>
    <xf numFmtId="0" fontId="0" fillId="3" borderId="9" xfId="0" applyFill="1" applyBorder="1"/>
    <xf numFmtId="0" fontId="6" fillId="3" borderId="0" xfId="0" applyFont="1" applyFill="1"/>
    <xf numFmtId="3" fontId="6" fillId="2" borderId="7" xfId="0" applyNumberFormat="1" applyFont="1" applyFill="1" applyBorder="1"/>
    <xf numFmtId="39" fontId="6" fillId="3" borderId="7" xfId="0" applyNumberFormat="1" applyFont="1" applyFill="1" applyBorder="1"/>
    <xf numFmtId="39" fontId="5" fillId="2" borderId="10" xfId="0" applyNumberFormat="1" applyFont="1" applyFill="1" applyBorder="1"/>
    <xf numFmtId="39" fontId="5" fillId="3" borderId="11" xfId="0" applyNumberFormat="1" applyFont="1" applyFill="1" applyBorder="1"/>
    <xf numFmtId="39" fontId="5" fillId="2" borderId="7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12" xfId="0" applyFont="1" applyFill="1" applyBorder="1"/>
    <xf numFmtId="39" fontId="5" fillId="2" borderId="12" xfId="0" applyNumberFormat="1" applyFont="1" applyFill="1" applyBorder="1"/>
    <xf numFmtId="39" fontId="5" fillId="3" borderId="13" xfId="0" applyNumberFormat="1" applyFont="1" applyFill="1" applyBorder="1"/>
    <xf numFmtId="39" fontId="5" fillId="3" borderId="7" xfId="0" applyNumberFormat="1" applyFont="1" applyFill="1" applyBorder="1" applyAlignment="1">
      <alignment horizontal="right"/>
    </xf>
    <xf numFmtId="39" fontId="5" fillId="2" borderId="14" xfId="0" applyNumberFormat="1" applyFont="1" applyFill="1" applyBorder="1" applyAlignment="1">
      <alignment horizontal="right"/>
    </xf>
    <xf numFmtId="39" fontId="5" fillId="3" borderId="14" xfId="0" applyNumberFormat="1" applyFont="1" applyFill="1" applyBorder="1" applyAlignment="1">
      <alignment horizontal="right"/>
    </xf>
    <xf numFmtId="0" fontId="5" fillId="2" borderId="0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6" fillId="2" borderId="6" xfId="0" applyFont="1" applyFill="1" applyBorder="1"/>
    <xf numFmtId="0" fontId="5" fillId="2" borderId="0" xfId="0" applyNumberFormat="1" applyFont="1" applyFill="1" applyBorder="1"/>
    <xf numFmtId="39" fontId="5" fillId="2" borderId="0" xfId="0" applyNumberFormat="1" applyFont="1" applyFill="1" applyBorder="1"/>
    <xf numFmtId="39" fontId="5" fillId="3" borderId="0" xfId="0" applyNumberFormat="1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3</xdr:col>
      <xdr:colOff>76200</xdr:colOff>
      <xdr:row>89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19B49-AB6D-498D-8B56-BBDF870C6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633075"/>
          <a:ext cx="40449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711200</xdr:colOff>
      <xdr:row>106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204F12-A418-4FDB-8A68-5A633DDC4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719050"/>
          <a:ext cx="36258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ACF1-33C5-4BE1-93A8-BED5967FFB06}">
  <dimension ref="A1:I209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" style="8" bestFit="1" customWidth="1"/>
    <col min="4" max="4" width="22.28515625" style="8" bestFit="1" customWidth="1"/>
    <col min="5" max="5" width="13.85546875" style="9" bestFit="1" customWidth="1"/>
    <col min="6" max="6" width="12.7109375" style="11" bestFit="1" customWidth="1"/>
    <col min="7" max="7" width="10.5703125" style="14" customWidth="1"/>
    <col min="8" max="8" width="11.85546875" style="8" bestFit="1" customWidth="1"/>
    <col min="9" max="16384" width="9.140625" style="8"/>
  </cols>
  <sheetData>
    <row r="1" spans="1:9" s="1" customFormat="1" ht="16.7" customHeight="1" x14ac:dyDescent="0.2">
      <c r="B1" s="76" t="s">
        <v>7</v>
      </c>
      <c r="C1" s="77"/>
      <c r="D1" s="13"/>
      <c r="E1" s="6"/>
      <c r="F1" s="7"/>
      <c r="G1" s="14"/>
    </row>
    <row r="2" spans="1:9" s="1" customFormat="1" ht="15" x14ac:dyDescent="0.25">
      <c r="A2" s="42" t="str">
        <f>HYPERLINK("[Monthly-Portfolio-ISIN-31-Dec-2025.xlsx]index!A1","")</f>
        <v/>
      </c>
      <c r="E2" s="6"/>
      <c r="F2" s="7"/>
      <c r="G2" s="14"/>
    </row>
    <row r="3" spans="1:9" s="1" customFormat="1" ht="12" x14ac:dyDescent="0.2">
      <c r="B3" s="10" t="s">
        <v>6</v>
      </c>
      <c r="C3" s="2"/>
      <c r="D3" s="3"/>
      <c r="E3" s="4"/>
      <c r="F3" s="5"/>
      <c r="G3" s="14"/>
    </row>
    <row r="4" spans="1:9" s="1" customFormat="1" ht="33.75" x14ac:dyDescent="0.2">
      <c r="B4" s="17" t="s">
        <v>4</v>
      </c>
      <c r="C4" s="17" t="s">
        <v>5</v>
      </c>
      <c r="D4" s="46" t="s">
        <v>147</v>
      </c>
      <c r="E4" s="18" t="s">
        <v>0</v>
      </c>
      <c r="F4" s="19" t="s">
        <v>1</v>
      </c>
      <c r="G4" s="20" t="s">
        <v>2</v>
      </c>
      <c r="H4" s="19" t="s">
        <v>3</v>
      </c>
      <c r="I4" s="12"/>
    </row>
    <row r="5" spans="1:9" x14ac:dyDescent="0.2">
      <c r="B5" s="21" t="s">
        <v>15</v>
      </c>
      <c r="C5" s="22"/>
      <c r="D5" s="22"/>
      <c r="E5" s="23"/>
      <c r="F5" s="24"/>
      <c r="G5" s="25"/>
      <c r="H5" s="22"/>
    </row>
    <row r="6" spans="1:9" x14ac:dyDescent="0.2">
      <c r="B6" s="21" t="s">
        <v>16</v>
      </c>
      <c r="C6" s="22"/>
      <c r="D6" s="22"/>
      <c r="E6" s="23"/>
      <c r="F6" s="24"/>
      <c r="G6" s="25"/>
      <c r="H6" s="22"/>
    </row>
    <row r="7" spans="1:9" x14ac:dyDescent="0.2">
      <c r="B7" s="22" t="s">
        <v>34</v>
      </c>
      <c r="C7" s="22" t="s">
        <v>35</v>
      </c>
      <c r="D7" s="22" t="s">
        <v>36</v>
      </c>
      <c r="E7" s="26">
        <v>108589</v>
      </c>
      <c r="F7" s="24">
        <v>656.311916</v>
      </c>
      <c r="G7" s="25">
        <v>4.4222727030554596</v>
      </c>
      <c r="H7" s="22"/>
    </row>
    <row r="8" spans="1:9" x14ac:dyDescent="0.2">
      <c r="B8" s="22" t="s">
        <v>37</v>
      </c>
      <c r="C8" s="22" t="s">
        <v>38</v>
      </c>
      <c r="D8" s="22" t="s">
        <v>20</v>
      </c>
      <c r="E8" s="26">
        <v>15029</v>
      </c>
      <c r="F8" s="24">
        <v>559.04874199999995</v>
      </c>
      <c r="G8" s="25">
        <v>3.7669070622574199</v>
      </c>
      <c r="H8" s="22"/>
    </row>
    <row r="9" spans="1:9" x14ac:dyDescent="0.2">
      <c r="B9" s="22" t="s">
        <v>39</v>
      </c>
      <c r="C9" s="22" t="s">
        <v>40</v>
      </c>
      <c r="D9" s="22" t="s">
        <v>27</v>
      </c>
      <c r="E9" s="26">
        <v>12145</v>
      </c>
      <c r="F9" s="24">
        <v>533.00761499999999</v>
      </c>
      <c r="G9" s="25">
        <v>3.59144024186085</v>
      </c>
      <c r="H9" s="22"/>
    </row>
    <row r="10" spans="1:9" x14ac:dyDescent="0.2">
      <c r="B10" s="22" t="s">
        <v>41</v>
      </c>
      <c r="C10" s="22" t="s">
        <v>42</v>
      </c>
      <c r="D10" s="22" t="s">
        <v>23</v>
      </c>
      <c r="E10" s="26">
        <v>8133</v>
      </c>
      <c r="F10" s="24">
        <v>519.90202499999998</v>
      </c>
      <c r="G10" s="25">
        <v>3.5031339175331402</v>
      </c>
      <c r="H10" s="22"/>
    </row>
    <row r="11" spans="1:9" x14ac:dyDescent="0.2">
      <c r="B11" s="22" t="s">
        <v>43</v>
      </c>
      <c r="C11" s="22" t="s">
        <v>44</v>
      </c>
      <c r="D11" s="22" t="s">
        <v>18</v>
      </c>
      <c r="E11" s="26">
        <v>124071</v>
      </c>
      <c r="F11" s="24">
        <v>476.43263999999999</v>
      </c>
      <c r="G11" s="25">
        <v>3.2102343525279702</v>
      </c>
      <c r="H11" s="22"/>
    </row>
    <row r="12" spans="1:9" x14ac:dyDescent="0.2">
      <c r="B12" s="22" t="s">
        <v>45</v>
      </c>
      <c r="C12" s="22" t="s">
        <v>46</v>
      </c>
      <c r="D12" s="22" t="s">
        <v>21</v>
      </c>
      <c r="E12" s="26">
        <v>27071</v>
      </c>
      <c r="F12" s="24">
        <v>460.80256200000002</v>
      </c>
      <c r="G12" s="25">
        <v>3.1049178626076102</v>
      </c>
      <c r="H12" s="22"/>
    </row>
    <row r="13" spans="1:9" x14ac:dyDescent="0.2">
      <c r="B13" s="22" t="s">
        <v>47</v>
      </c>
      <c r="C13" s="22" t="s">
        <v>48</v>
      </c>
      <c r="D13" s="22" t="s">
        <v>30</v>
      </c>
      <c r="E13" s="26">
        <v>7549</v>
      </c>
      <c r="F13" s="24">
        <v>455.28019</v>
      </c>
      <c r="G13" s="25">
        <v>3.0677077581491101</v>
      </c>
      <c r="H13" s="22"/>
    </row>
    <row r="14" spans="1:9" x14ac:dyDescent="0.2">
      <c r="B14" s="22" t="s">
        <v>49</v>
      </c>
      <c r="C14" s="22" t="s">
        <v>50</v>
      </c>
      <c r="D14" s="22" t="s">
        <v>51</v>
      </c>
      <c r="E14" s="26">
        <v>87598</v>
      </c>
      <c r="F14" s="24">
        <v>429.09880299999998</v>
      </c>
      <c r="G14" s="25">
        <v>2.8912958566802498</v>
      </c>
      <c r="H14" s="22"/>
    </row>
    <row r="15" spans="1:9" x14ac:dyDescent="0.2">
      <c r="B15" s="22" t="s">
        <v>52</v>
      </c>
      <c r="C15" s="22" t="s">
        <v>53</v>
      </c>
      <c r="D15" s="22" t="s">
        <v>54</v>
      </c>
      <c r="E15" s="26">
        <v>56222</v>
      </c>
      <c r="F15" s="24">
        <v>415.39624700000002</v>
      </c>
      <c r="G15" s="25">
        <v>2.7989671363208699</v>
      </c>
      <c r="H15" s="22"/>
    </row>
    <row r="16" spans="1:9" x14ac:dyDescent="0.2">
      <c r="B16" s="22" t="s">
        <v>55</v>
      </c>
      <c r="C16" s="22" t="s">
        <v>56</v>
      </c>
      <c r="D16" s="22" t="s">
        <v>25</v>
      </c>
      <c r="E16" s="26">
        <v>107490</v>
      </c>
      <c r="F16" s="24">
        <v>408.03203999999999</v>
      </c>
      <c r="G16" s="25">
        <v>2.7493466269231002</v>
      </c>
      <c r="H16" s="22"/>
    </row>
    <row r="17" spans="2:8" x14ac:dyDescent="0.2">
      <c r="B17" s="22" t="s">
        <v>57</v>
      </c>
      <c r="C17" s="22" t="s">
        <v>58</v>
      </c>
      <c r="D17" s="22" t="s">
        <v>18</v>
      </c>
      <c r="E17" s="26">
        <v>239171</v>
      </c>
      <c r="F17" s="24">
        <v>398.12404659999999</v>
      </c>
      <c r="G17" s="25">
        <v>2.6825859180487002</v>
      </c>
      <c r="H17" s="22"/>
    </row>
    <row r="18" spans="2:8" x14ac:dyDescent="0.2">
      <c r="B18" s="22" t="s">
        <v>59</v>
      </c>
      <c r="C18" s="22" t="s">
        <v>60</v>
      </c>
      <c r="D18" s="22" t="s">
        <v>25</v>
      </c>
      <c r="E18" s="26">
        <v>252520</v>
      </c>
      <c r="F18" s="24">
        <v>361.07834800000001</v>
      </c>
      <c r="G18" s="25">
        <v>2.4329695729991299</v>
      </c>
      <c r="H18" s="22"/>
    </row>
    <row r="19" spans="2:8" x14ac:dyDescent="0.2">
      <c r="B19" s="22" t="s">
        <v>61</v>
      </c>
      <c r="C19" s="22" t="s">
        <v>62</v>
      </c>
      <c r="D19" s="22" t="s">
        <v>19</v>
      </c>
      <c r="E19" s="26">
        <v>5936</v>
      </c>
      <c r="F19" s="24">
        <v>359.92935999999997</v>
      </c>
      <c r="G19" s="25">
        <v>2.42522761655332</v>
      </c>
      <c r="H19" s="22"/>
    </row>
    <row r="20" spans="2:8" x14ac:dyDescent="0.2">
      <c r="B20" s="22" t="s">
        <v>63</v>
      </c>
      <c r="C20" s="22" t="s">
        <v>64</v>
      </c>
      <c r="D20" s="22" t="s">
        <v>22</v>
      </c>
      <c r="E20" s="26">
        <v>9425</v>
      </c>
      <c r="F20" s="24">
        <v>356.47235000000001</v>
      </c>
      <c r="G20" s="25">
        <v>2.4019340566095</v>
      </c>
      <c r="H20" s="22"/>
    </row>
    <row r="21" spans="2:8" x14ac:dyDescent="0.2">
      <c r="B21" s="22" t="s">
        <v>65</v>
      </c>
      <c r="C21" s="22" t="s">
        <v>66</v>
      </c>
      <c r="D21" s="22" t="s">
        <v>17</v>
      </c>
      <c r="E21" s="26">
        <v>118751</v>
      </c>
      <c r="F21" s="24">
        <v>351.384209</v>
      </c>
      <c r="G21" s="25">
        <v>2.3676498290874202</v>
      </c>
      <c r="H21" s="22"/>
    </row>
    <row r="22" spans="2:8" x14ac:dyDescent="0.2">
      <c r="B22" s="22" t="s">
        <v>67</v>
      </c>
      <c r="C22" s="22" t="s">
        <v>68</v>
      </c>
      <c r="D22" s="22" t="s">
        <v>69</v>
      </c>
      <c r="E22" s="26">
        <v>284293</v>
      </c>
      <c r="F22" s="24">
        <v>340.98102419999998</v>
      </c>
      <c r="G22" s="25">
        <v>2.2975524881062102</v>
      </c>
      <c r="H22" s="22"/>
    </row>
    <row r="23" spans="2:8" x14ac:dyDescent="0.2">
      <c r="B23" s="22" t="s">
        <v>70</v>
      </c>
      <c r="C23" s="22" t="s">
        <v>71</v>
      </c>
      <c r="D23" s="22" t="s">
        <v>17</v>
      </c>
      <c r="E23" s="26">
        <v>215804</v>
      </c>
      <c r="F23" s="24">
        <v>334.3019764</v>
      </c>
      <c r="G23" s="25">
        <v>2.2525486263016599</v>
      </c>
      <c r="H23" s="22"/>
    </row>
    <row r="24" spans="2:8" x14ac:dyDescent="0.2">
      <c r="B24" s="22" t="s">
        <v>72</v>
      </c>
      <c r="C24" s="22" t="s">
        <v>73</v>
      </c>
      <c r="D24" s="22" t="s">
        <v>22</v>
      </c>
      <c r="E24" s="26">
        <v>24869</v>
      </c>
      <c r="F24" s="24">
        <v>331.652984</v>
      </c>
      <c r="G24" s="25">
        <v>2.2346995419021001</v>
      </c>
      <c r="H24" s="22"/>
    </row>
    <row r="25" spans="2:8" x14ac:dyDescent="0.2">
      <c r="B25" s="22" t="s">
        <v>74</v>
      </c>
      <c r="C25" s="22" t="s">
        <v>75</v>
      </c>
      <c r="D25" s="22" t="s">
        <v>21</v>
      </c>
      <c r="E25" s="26">
        <v>93202</v>
      </c>
      <c r="F25" s="24">
        <v>331.23990800000001</v>
      </c>
      <c r="G25" s="25">
        <v>2.2319162087421298</v>
      </c>
      <c r="H25" s="22"/>
    </row>
    <row r="26" spans="2:8" x14ac:dyDescent="0.2">
      <c r="B26" s="22" t="s">
        <v>76</v>
      </c>
      <c r="C26" s="22" t="s">
        <v>77</v>
      </c>
      <c r="D26" s="22" t="s">
        <v>78</v>
      </c>
      <c r="E26" s="26">
        <v>25756</v>
      </c>
      <c r="F26" s="24">
        <v>314.78983199999999</v>
      </c>
      <c r="G26" s="25">
        <v>2.12107451855714</v>
      </c>
      <c r="H26" s="22"/>
    </row>
    <row r="27" spans="2:8" x14ac:dyDescent="0.2">
      <c r="B27" s="22" t="s">
        <v>79</v>
      </c>
      <c r="C27" s="22" t="s">
        <v>80</v>
      </c>
      <c r="D27" s="22" t="s">
        <v>21</v>
      </c>
      <c r="E27" s="26">
        <v>2771</v>
      </c>
      <c r="F27" s="24">
        <v>313.89888000000002</v>
      </c>
      <c r="G27" s="25">
        <v>2.1150712255903699</v>
      </c>
      <c r="H27" s="22"/>
    </row>
    <row r="28" spans="2:8" x14ac:dyDescent="0.2">
      <c r="B28" s="22" t="s">
        <v>81</v>
      </c>
      <c r="C28" s="22" t="s">
        <v>82</v>
      </c>
      <c r="D28" s="22" t="s">
        <v>31</v>
      </c>
      <c r="E28" s="26">
        <v>15494</v>
      </c>
      <c r="F28" s="24">
        <v>304.00777399999998</v>
      </c>
      <c r="G28" s="25">
        <v>2.0484243051239299</v>
      </c>
      <c r="H28" s="22"/>
    </row>
    <row r="29" spans="2:8" x14ac:dyDescent="0.2">
      <c r="B29" s="22" t="s">
        <v>83</v>
      </c>
      <c r="C29" s="22" t="s">
        <v>84</v>
      </c>
      <c r="D29" s="22" t="s">
        <v>85</v>
      </c>
      <c r="E29" s="26">
        <v>172659</v>
      </c>
      <c r="F29" s="24">
        <v>297.24973440000002</v>
      </c>
      <c r="G29" s="25">
        <v>2.0028881913940499</v>
      </c>
      <c r="H29" s="22"/>
    </row>
    <row r="30" spans="2:8" x14ac:dyDescent="0.2">
      <c r="B30" s="22" t="s">
        <v>86</v>
      </c>
      <c r="C30" s="22" t="s">
        <v>87</v>
      </c>
      <c r="D30" s="22" t="s">
        <v>88</v>
      </c>
      <c r="E30" s="26">
        <v>19877</v>
      </c>
      <c r="F30" s="24">
        <v>294.65664800000002</v>
      </c>
      <c r="G30" s="25">
        <v>1.9854158052864299</v>
      </c>
      <c r="H30" s="22"/>
    </row>
    <row r="31" spans="2:8" x14ac:dyDescent="0.2">
      <c r="B31" s="22" t="s">
        <v>89</v>
      </c>
      <c r="C31" s="22" t="s">
        <v>90</v>
      </c>
      <c r="D31" s="22" t="s">
        <v>21</v>
      </c>
      <c r="E31" s="26">
        <v>79949</v>
      </c>
      <c r="F31" s="24">
        <v>285.25803200000001</v>
      </c>
      <c r="G31" s="25">
        <v>1.92208731471656</v>
      </c>
      <c r="H31" s="22"/>
    </row>
    <row r="32" spans="2:8" x14ac:dyDescent="0.2">
      <c r="B32" s="22" t="s">
        <v>91</v>
      </c>
      <c r="C32" s="22" t="s">
        <v>92</v>
      </c>
      <c r="D32" s="22" t="s">
        <v>93</v>
      </c>
      <c r="E32" s="26">
        <v>43952</v>
      </c>
      <c r="F32" s="24">
        <v>284.76500800000002</v>
      </c>
      <c r="G32" s="25">
        <v>1.9187652866930001</v>
      </c>
      <c r="H32" s="22"/>
    </row>
    <row r="33" spans="2:8" x14ac:dyDescent="0.2">
      <c r="B33" s="22" t="s">
        <v>94</v>
      </c>
      <c r="C33" s="22" t="s">
        <v>95</v>
      </c>
      <c r="D33" s="22" t="s">
        <v>96</v>
      </c>
      <c r="E33" s="26">
        <v>41063</v>
      </c>
      <c r="F33" s="24">
        <v>282.26706200000001</v>
      </c>
      <c r="G33" s="25">
        <v>1.90193396283584</v>
      </c>
      <c r="H33" s="22"/>
    </row>
    <row r="34" spans="2:8" x14ac:dyDescent="0.2">
      <c r="B34" s="22" t="s">
        <v>97</v>
      </c>
      <c r="C34" s="22" t="s">
        <v>98</v>
      </c>
      <c r="D34" s="22" t="s">
        <v>51</v>
      </c>
      <c r="E34" s="26">
        <v>18906</v>
      </c>
      <c r="F34" s="24">
        <v>272.945922</v>
      </c>
      <c r="G34" s="25">
        <v>1.8391275106315501</v>
      </c>
      <c r="H34" s="22"/>
    </row>
    <row r="35" spans="2:8" x14ac:dyDescent="0.2">
      <c r="B35" s="22" t="s">
        <v>99</v>
      </c>
      <c r="C35" s="22" t="s">
        <v>100</v>
      </c>
      <c r="D35" s="22" t="s">
        <v>17</v>
      </c>
      <c r="E35" s="26">
        <v>220708</v>
      </c>
      <c r="F35" s="24">
        <v>272.75094639999998</v>
      </c>
      <c r="G35" s="25">
        <v>1.83781375226054</v>
      </c>
      <c r="H35" s="22"/>
    </row>
    <row r="36" spans="2:8" x14ac:dyDescent="0.2">
      <c r="B36" s="22" t="s">
        <v>101</v>
      </c>
      <c r="C36" s="22" t="s">
        <v>102</v>
      </c>
      <c r="D36" s="22" t="s">
        <v>23</v>
      </c>
      <c r="E36" s="26">
        <v>6695</v>
      </c>
      <c r="F36" s="24">
        <v>257.75749999999999</v>
      </c>
      <c r="G36" s="25">
        <v>1.7367869277842301</v>
      </c>
      <c r="H36" s="22"/>
    </row>
    <row r="37" spans="2:8" x14ac:dyDescent="0.2">
      <c r="B37" s="22" t="s">
        <v>103</v>
      </c>
      <c r="C37" s="22" t="s">
        <v>104</v>
      </c>
      <c r="D37" s="22" t="s">
        <v>26</v>
      </c>
      <c r="E37" s="26">
        <v>23920</v>
      </c>
      <c r="F37" s="24">
        <v>252.06896</v>
      </c>
      <c r="G37" s="25">
        <v>1.6984571724514901</v>
      </c>
      <c r="H37" s="22"/>
    </row>
    <row r="38" spans="2:8" x14ac:dyDescent="0.2">
      <c r="B38" s="22" t="s">
        <v>105</v>
      </c>
      <c r="C38" s="22" t="s">
        <v>106</v>
      </c>
      <c r="D38" s="22" t="s">
        <v>24</v>
      </c>
      <c r="E38" s="26">
        <v>16144</v>
      </c>
      <c r="F38" s="24">
        <v>230.035856</v>
      </c>
      <c r="G38" s="25">
        <v>1.5499966737047599</v>
      </c>
      <c r="H38" s="22"/>
    </row>
    <row r="39" spans="2:8" x14ac:dyDescent="0.2">
      <c r="B39" s="22" t="s">
        <v>107</v>
      </c>
      <c r="C39" s="22" t="s">
        <v>108</v>
      </c>
      <c r="D39" s="22" t="s">
        <v>25</v>
      </c>
      <c r="E39" s="26">
        <v>22205</v>
      </c>
      <c r="F39" s="24">
        <v>228.12306749999999</v>
      </c>
      <c r="G39" s="25">
        <v>1.53710817943237</v>
      </c>
      <c r="H39" s="22"/>
    </row>
    <row r="40" spans="2:8" x14ac:dyDescent="0.2">
      <c r="B40" s="22" t="s">
        <v>109</v>
      </c>
      <c r="C40" s="22" t="s">
        <v>110</v>
      </c>
      <c r="D40" s="22" t="s">
        <v>28</v>
      </c>
      <c r="E40" s="26">
        <v>856</v>
      </c>
      <c r="F40" s="24">
        <v>227.482</v>
      </c>
      <c r="G40" s="25">
        <v>1.5327886246033999</v>
      </c>
      <c r="H40" s="22"/>
    </row>
    <row r="41" spans="2:8" x14ac:dyDescent="0.2">
      <c r="B41" s="22" t="s">
        <v>111</v>
      </c>
      <c r="C41" s="22" t="s">
        <v>112</v>
      </c>
      <c r="D41" s="22" t="s">
        <v>28</v>
      </c>
      <c r="E41" s="26">
        <v>39036</v>
      </c>
      <c r="F41" s="24">
        <v>217.17678599999999</v>
      </c>
      <c r="G41" s="25">
        <v>1.4633514172933599</v>
      </c>
      <c r="H41" s="22"/>
    </row>
    <row r="42" spans="2:8" x14ac:dyDescent="0.2">
      <c r="B42" s="22" t="s">
        <v>113</v>
      </c>
      <c r="C42" s="22" t="s">
        <v>114</v>
      </c>
      <c r="D42" s="22" t="s">
        <v>20</v>
      </c>
      <c r="E42" s="26">
        <v>9127</v>
      </c>
      <c r="F42" s="24">
        <v>209.73846</v>
      </c>
      <c r="G42" s="25">
        <v>1.4132314892160101</v>
      </c>
      <c r="H42" s="22"/>
    </row>
    <row r="43" spans="2:8" x14ac:dyDescent="0.2">
      <c r="B43" s="22" t="s">
        <v>115</v>
      </c>
      <c r="C43" s="22" t="s">
        <v>116</v>
      </c>
      <c r="D43" s="22" t="s">
        <v>69</v>
      </c>
      <c r="E43" s="26">
        <v>555</v>
      </c>
      <c r="F43" s="24">
        <v>200.02199999999999</v>
      </c>
      <c r="G43" s="25">
        <v>1.34776134494343</v>
      </c>
      <c r="H43" s="22"/>
    </row>
    <row r="44" spans="2:8" x14ac:dyDescent="0.2">
      <c r="B44" s="22" t="s">
        <v>117</v>
      </c>
      <c r="C44" s="22" t="s">
        <v>118</v>
      </c>
      <c r="D44" s="22" t="s">
        <v>25</v>
      </c>
      <c r="E44" s="26">
        <v>19621</v>
      </c>
      <c r="F44" s="24">
        <v>199.17277100000001</v>
      </c>
      <c r="G44" s="25">
        <v>1.3420391842850801</v>
      </c>
      <c r="H44" s="22"/>
    </row>
    <row r="45" spans="2:8" x14ac:dyDescent="0.2">
      <c r="B45" s="22" t="s">
        <v>119</v>
      </c>
      <c r="C45" s="22" t="s">
        <v>120</v>
      </c>
      <c r="D45" s="22" t="s">
        <v>96</v>
      </c>
      <c r="E45" s="26">
        <v>18006</v>
      </c>
      <c r="F45" s="24">
        <v>191.097678</v>
      </c>
      <c r="G45" s="25">
        <v>1.28762867842961</v>
      </c>
      <c r="H45" s="22"/>
    </row>
    <row r="46" spans="2:8" x14ac:dyDescent="0.2">
      <c r="B46" s="22" t="s">
        <v>121</v>
      </c>
      <c r="C46" s="22" t="s">
        <v>122</v>
      </c>
      <c r="D46" s="22" t="s">
        <v>88</v>
      </c>
      <c r="E46" s="26">
        <v>1559</v>
      </c>
      <c r="F46" s="24">
        <v>191.00868</v>
      </c>
      <c r="G46" s="25">
        <v>1.2870290040729</v>
      </c>
      <c r="H46" s="22"/>
    </row>
    <row r="47" spans="2:8" x14ac:dyDescent="0.2">
      <c r="B47" s="22" t="s">
        <v>123</v>
      </c>
      <c r="C47" s="22" t="s">
        <v>124</v>
      </c>
      <c r="D47" s="22" t="s">
        <v>93</v>
      </c>
      <c r="E47" s="26">
        <v>3357</v>
      </c>
      <c r="F47" s="24">
        <v>173.55690000000001</v>
      </c>
      <c r="G47" s="25">
        <v>1.1694377666867299</v>
      </c>
      <c r="H47" s="22"/>
    </row>
    <row r="48" spans="2:8" x14ac:dyDescent="0.2">
      <c r="B48" s="22" t="s">
        <v>125</v>
      </c>
      <c r="C48" s="22" t="s">
        <v>126</v>
      </c>
      <c r="D48" s="22" t="s">
        <v>93</v>
      </c>
      <c r="E48" s="26">
        <v>5657</v>
      </c>
      <c r="F48" s="24">
        <v>173.29088100000001</v>
      </c>
      <c r="G48" s="25">
        <v>1.1676453132305</v>
      </c>
      <c r="H48" s="22"/>
    </row>
    <row r="49" spans="2:9" x14ac:dyDescent="0.2">
      <c r="B49" s="22" t="s">
        <v>127</v>
      </c>
      <c r="C49" s="22" t="s">
        <v>128</v>
      </c>
      <c r="D49" s="22" t="s">
        <v>29</v>
      </c>
      <c r="E49" s="26">
        <v>27749</v>
      </c>
      <c r="F49" s="24">
        <v>169.94875049999999</v>
      </c>
      <c r="G49" s="25">
        <v>1.1451258188866</v>
      </c>
      <c r="H49" s="22"/>
    </row>
    <row r="50" spans="2:9" x14ac:dyDescent="0.2">
      <c r="B50" s="22" t="s">
        <v>129</v>
      </c>
      <c r="C50" s="22" t="s">
        <v>130</v>
      </c>
      <c r="D50" s="22" t="s">
        <v>25</v>
      </c>
      <c r="E50" s="26">
        <v>34348</v>
      </c>
      <c r="F50" s="24">
        <v>165.71192600000001</v>
      </c>
      <c r="G50" s="25">
        <v>1.1165778177346799</v>
      </c>
      <c r="H50" s="22"/>
    </row>
    <row r="51" spans="2:9" x14ac:dyDescent="0.2">
      <c r="B51" s="22" t="s">
        <v>131</v>
      </c>
      <c r="C51" s="22" t="s">
        <v>132</v>
      </c>
      <c r="D51" s="22" t="s">
        <v>23</v>
      </c>
      <c r="E51" s="26">
        <v>16017</v>
      </c>
      <c r="F51" s="24">
        <v>146.45143949999999</v>
      </c>
      <c r="G51" s="25">
        <v>0.98679939741339195</v>
      </c>
      <c r="H51" s="22"/>
    </row>
    <row r="52" spans="2:9" x14ac:dyDescent="0.2">
      <c r="B52" s="22" t="s">
        <v>133</v>
      </c>
      <c r="C52" s="22" t="s">
        <v>134</v>
      </c>
      <c r="D52" s="22" t="s">
        <v>93</v>
      </c>
      <c r="E52" s="26">
        <v>5661</v>
      </c>
      <c r="F52" s="24">
        <v>144.92726099999999</v>
      </c>
      <c r="G52" s="25">
        <v>0.97652938278953105</v>
      </c>
      <c r="H52" s="22"/>
    </row>
    <row r="53" spans="2:9" x14ac:dyDescent="0.2">
      <c r="B53" s="22" t="s">
        <v>135</v>
      </c>
      <c r="C53" s="22" t="s">
        <v>136</v>
      </c>
      <c r="D53" s="22" t="s">
        <v>21</v>
      </c>
      <c r="E53" s="26">
        <v>114371</v>
      </c>
      <c r="F53" s="24">
        <v>142.5291402</v>
      </c>
      <c r="G53" s="25">
        <v>0.96037068767226996</v>
      </c>
      <c r="H53" s="22"/>
    </row>
    <row r="54" spans="2:9" x14ac:dyDescent="0.2">
      <c r="B54" s="22" t="s">
        <v>137</v>
      </c>
      <c r="C54" s="22" t="s">
        <v>138</v>
      </c>
      <c r="D54" s="22" t="s">
        <v>31</v>
      </c>
      <c r="E54" s="26">
        <v>14209</v>
      </c>
      <c r="F54" s="24">
        <v>121.472741</v>
      </c>
      <c r="G54" s="25">
        <v>0.81849128987873898</v>
      </c>
      <c r="H54" s="22"/>
    </row>
    <row r="55" spans="2:9" x14ac:dyDescent="0.2">
      <c r="B55" s="22" t="s">
        <v>139</v>
      </c>
      <c r="C55" s="22" t="s">
        <v>140</v>
      </c>
      <c r="D55" s="22" t="s">
        <v>141</v>
      </c>
      <c r="E55" s="26">
        <v>4863</v>
      </c>
      <c r="F55" s="24">
        <v>121.098426</v>
      </c>
      <c r="G55" s="25">
        <v>0.81596913087706602</v>
      </c>
      <c r="H55" s="22"/>
    </row>
    <row r="56" spans="2:9" x14ac:dyDescent="0.2">
      <c r="B56" s="22" t="s">
        <v>142</v>
      </c>
      <c r="C56" s="22" t="s">
        <v>143</v>
      </c>
      <c r="D56" s="22" t="s">
        <v>21</v>
      </c>
      <c r="E56" s="26">
        <v>59940</v>
      </c>
      <c r="F56" s="24">
        <v>56.541401999999998</v>
      </c>
      <c r="G56" s="25">
        <v>0.38097967225858798</v>
      </c>
      <c r="H56" s="22"/>
    </row>
    <row r="57" spans="2:9" x14ac:dyDescent="0.2">
      <c r="B57" s="21" t="s">
        <v>9</v>
      </c>
      <c r="C57" s="21"/>
      <c r="D57" s="21"/>
      <c r="E57" s="27"/>
      <c r="F57" s="28">
        <f>SUM(F7:F56)</f>
        <v>14820.279450700007</v>
      </c>
      <c r="G57" s="29">
        <f>SUM(G7:G56)</f>
        <v>99.860014223000093</v>
      </c>
      <c r="H57" s="21"/>
      <c r="I57" s="15"/>
    </row>
    <row r="58" spans="2:9" x14ac:dyDescent="0.2">
      <c r="B58" s="52" t="s">
        <v>32</v>
      </c>
      <c r="C58" s="52"/>
      <c r="D58" s="52"/>
      <c r="E58" s="52"/>
      <c r="F58" s="60" t="s">
        <v>33</v>
      </c>
      <c r="G58" s="65" t="s">
        <v>33</v>
      </c>
      <c r="H58" s="22"/>
    </row>
    <row r="59" spans="2:9" x14ac:dyDescent="0.2">
      <c r="B59" s="52" t="s">
        <v>9</v>
      </c>
      <c r="C59" s="52"/>
      <c r="D59" s="52"/>
      <c r="E59" s="52"/>
      <c r="F59" s="66" t="s">
        <v>33</v>
      </c>
      <c r="G59" s="67" t="s">
        <v>33</v>
      </c>
      <c r="H59" s="22"/>
    </row>
    <row r="60" spans="2:9" x14ac:dyDescent="0.2">
      <c r="B60" s="30" t="s">
        <v>10</v>
      </c>
      <c r="C60" s="30"/>
      <c r="D60" s="30"/>
      <c r="E60" s="31"/>
      <c r="F60" s="32">
        <f>F57</f>
        <v>14820.279450700007</v>
      </c>
      <c r="G60" s="33">
        <f>G57</f>
        <v>99.860014223000093</v>
      </c>
      <c r="H60" s="21"/>
      <c r="I60" s="15"/>
    </row>
    <row r="61" spans="2:9" ht="15" x14ac:dyDescent="0.25">
      <c r="B61" s="47" t="s">
        <v>150</v>
      </c>
      <c r="C61" s="48"/>
      <c r="D61" s="48"/>
      <c r="E61" s="49"/>
      <c r="F61" s="50"/>
      <c r="G61" s="51"/>
      <c r="H61" s="52"/>
      <c r="I61" s="15"/>
    </row>
    <row r="62" spans="2:9" ht="15" x14ac:dyDescent="0.25">
      <c r="B62" s="47" t="s">
        <v>16</v>
      </c>
      <c r="C62" s="53"/>
      <c r="D62" s="53"/>
      <c r="E62" s="54"/>
      <c r="F62" s="50"/>
      <c r="G62" s="51"/>
      <c r="H62" s="52"/>
      <c r="I62" s="15"/>
    </row>
    <row r="63" spans="2:9" ht="15" x14ac:dyDescent="0.25">
      <c r="B63" s="47" t="s">
        <v>151</v>
      </c>
      <c r="C63" s="53"/>
      <c r="D63" s="53"/>
      <c r="E63" s="54"/>
      <c r="F63" s="50"/>
      <c r="G63" s="51"/>
      <c r="H63" s="52"/>
      <c r="I63" s="15"/>
    </row>
    <row r="64" spans="2:9" x14ac:dyDescent="0.2">
      <c r="B64" s="55" t="s">
        <v>144</v>
      </c>
      <c r="C64" s="53" t="s">
        <v>145</v>
      </c>
      <c r="D64" s="53" t="s">
        <v>8</v>
      </c>
      <c r="E64" s="56">
        <v>26520</v>
      </c>
      <c r="F64" s="50">
        <v>2.7013272000000002</v>
      </c>
      <c r="G64" s="57">
        <v>1.8201719711853099E-2</v>
      </c>
      <c r="H64" s="34">
        <v>6.105E-2</v>
      </c>
      <c r="I64" s="15"/>
    </row>
    <row r="65" spans="2:9" x14ac:dyDescent="0.2">
      <c r="B65" s="52" t="s">
        <v>9</v>
      </c>
      <c r="C65" s="52"/>
      <c r="D65" s="52"/>
      <c r="E65" s="52"/>
      <c r="F65" s="58">
        <f>F64</f>
        <v>2.7013272000000002</v>
      </c>
      <c r="G65" s="59">
        <f>G64</f>
        <v>1.8201719711853099E-2</v>
      </c>
      <c r="H65" s="52"/>
      <c r="I65" s="15"/>
    </row>
    <row r="66" spans="2:9" x14ac:dyDescent="0.2">
      <c r="B66" s="69" t="s">
        <v>32</v>
      </c>
      <c r="C66" s="52"/>
      <c r="D66" s="52"/>
      <c r="E66" s="52"/>
      <c r="F66" s="60" t="s">
        <v>33</v>
      </c>
      <c r="G66" s="61" t="s">
        <v>33</v>
      </c>
      <c r="H66" s="52"/>
      <c r="I66" s="15"/>
    </row>
    <row r="67" spans="2:9" x14ac:dyDescent="0.2">
      <c r="B67" s="70" t="s">
        <v>10</v>
      </c>
      <c r="C67" s="62"/>
      <c r="D67" s="62"/>
      <c r="E67" s="62"/>
      <c r="F67" s="63">
        <f>F64</f>
        <v>2.7013272000000002</v>
      </c>
      <c r="G67" s="64">
        <f>G64</f>
        <v>1.8201719711853099E-2</v>
      </c>
      <c r="H67" s="52"/>
      <c r="I67" s="15"/>
    </row>
    <row r="68" spans="2:9" x14ac:dyDescent="0.2">
      <c r="B68" s="71" t="s">
        <v>11</v>
      </c>
      <c r="C68" s="21"/>
      <c r="D68" s="21"/>
      <c r="E68" s="27"/>
      <c r="F68" s="28">
        <v>42.4687719</v>
      </c>
      <c r="G68" s="29">
        <v>0.28615736835967898</v>
      </c>
      <c r="H68" s="34">
        <v>5.3636339999999998E-2</v>
      </c>
      <c r="I68" s="16"/>
    </row>
    <row r="69" spans="2:9" x14ac:dyDescent="0.2">
      <c r="B69" s="72"/>
      <c r="C69" s="22"/>
      <c r="D69" s="22"/>
      <c r="E69" s="23"/>
      <c r="F69" s="24"/>
      <c r="G69" s="25"/>
      <c r="H69" s="22"/>
    </row>
    <row r="70" spans="2:9" x14ac:dyDescent="0.2">
      <c r="B70" s="39" t="s">
        <v>13</v>
      </c>
      <c r="C70" s="39"/>
      <c r="D70" s="39"/>
      <c r="E70" s="40"/>
      <c r="F70" s="28">
        <f>F71-(F57+F68+F64)</f>
        <v>-24.394733200006158</v>
      </c>
      <c r="G70" s="29">
        <f>G71-(G57+G68+G64)</f>
        <v>-0.16437331107162834</v>
      </c>
      <c r="H70" s="21"/>
      <c r="I70" s="15"/>
    </row>
    <row r="71" spans="2:9" x14ac:dyDescent="0.2">
      <c r="B71" s="35" t="s">
        <v>12</v>
      </c>
      <c r="C71" s="35"/>
      <c r="D71" s="35"/>
      <c r="E71" s="36"/>
      <c r="F71" s="37">
        <v>14841.054816600001</v>
      </c>
      <c r="G71" s="38">
        <v>100</v>
      </c>
      <c r="H71" s="41"/>
      <c r="I71" s="15"/>
    </row>
    <row r="72" spans="2:9" x14ac:dyDescent="0.2">
      <c r="B72" s="68"/>
      <c r="C72" s="68"/>
      <c r="D72" s="68"/>
      <c r="E72" s="73"/>
      <c r="F72" s="74"/>
      <c r="G72" s="75"/>
      <c r="H72" s="68"/>
      <c r="I72" s="15"/>
    </row>
    <row r="73" spans="2:9" x14ac:dyDescent="0.2">
      <c r="B73" s="15" t="s">
        <v>146</v>
      </c>
    </row>
    <row r="75" spans="2:9" x14ac:dyDescent="0.2">
      <c r="B75" s="15" t="s">
        <v>14</v>
      </c>
      <c r="E75" s="8"/>
      <c r="G75" s="43"/>
    </row>
    <row r="76" spans="2:9" x14ac:dyDescent="0.2">
      <c r="E76" s="8"/>
      <c r="G76" s="43"/>
    </row>
    <row r="77" spans="2:9" x14ac:dyDescent="0.2">
      <c r="E77" s="8"/>
      <c r="G77" s="43"/>
    </row>
    <row r="78" spans="2:9" x14ac:dyDescent="0.2">
      <c r="E78" s="8"/>
      <c r="G78" s="43"/>
    </row>
    <row r="79" spans="2:9" x14ac:dyDescent="0.2">
      <c r="E79" s="8"/>
      <c r="G79" s="43"/>
    </row>
    <row r="80" spans="2:9" x14ac:dyDescent="0.2">
      <c r="E80" s="8"/>
      <c r="G80" s="43"/>
    </row>
    <row r="81" spans="2:7" x14ac:dyDescent="0.2">
      <c r="E81" s="8"/>
      <c r="G81" s="43"/>
    </row>
    <row r="82" spans="2:7" x14ac:dyDescent="0.2">
      <c r="E82" s="8"/>
      <c r="G82" s="43"/>
    </row>
    <row r="83" spans="2:7" x14ac:dyDescent="0.2">
      <c r="E83" s="8"/>
      <c r="G83" s="43"/>
    </row>
    <row r="84" spans="2:7" x14ac:dyDescent="0.2">
      <c r="E84" s="8"/>
      <c r="G84" s="43"/>
    </row>
    <row r="85" spans="2:7" x14ac:dyDescent="0.2">
      <c r="E85" s="8"/>
      <c r="G85" s="43"/>
    </row>
    <row r="86" spans="2:7" x14ac:dyDescent="0.2">
      <c r="E86" s="8"/>
      <c r="G86" s="43"/>
    </row>
    <row r="87" spans="2:7" x14ac:dyDescent="0.2">
      <c r="E87" s="8"/>
      <c r="G87" s="43"/>
    </row>
    <row r="88" spans="2:7" x14ac:dyDescent="0.2">
      <c r="E88" s="8"/>
      <c r="G88" s="43"/>
    </row>
    <row r="89" spans="2:7" x14ac:dyDescent="0.2">
      <c r="E89" s="8"/>
      <c r="G89" s="43"/>
    </row>
    <row r="90" spans="2:7" x14ac:dyDescent="0.2">
      <c r="E90" s="8"/>
      <c r="G90" s="43"/>
    </row>
    <row r="91" spans="2:7" x14ac:dyDescent="0.2">
      <c r="B91" s="44" t="s">
        <v>148</v>
      </c>
      <c r="E91" s="8"/>
      <c r="G91" s="43"/>
    </row>
    <row r="92" spans="2:7" x14ac:dyDescent="0.2">
      <c r="B92" s="45" t="s">
        <v>149</v>
      </c>
      <c r="E92" s="8"/>
      <c r="G92" s="43"/>
    </row>
    <row r="93" spans="2:7" x14ac:dyDescent="0.2">
      <c r="E93" s="8"/>
      <c r="G93" s="43"/>
    </row>
    <row r="94" spans="2:7" x14ac:dyDescent="0.2">
      <c r="E94" s="8"/>
      <c r="G94" s="43"/>
    </row>
    <row r="95" spans="2:7" x14ac:dyDescent="0.2">
      <c r="E95" s="8"/>
      <c r="G95" s="43"/>
    </row>
    <row r="96" spans="2:7" x14ac:dyDescent="0.2">
      <c r="E96" s="8"/>
      <c r="G96" s="43"/>
    </row>
    <row r="97" spans="5:7" x14ac:dyDescent="0.2">
      <c r="E97" s="8"/>
      <c r="G97" s="43"/>
    </row>
    <row r="98" spans="5:7" x14ac:dyDescent="0.2">
      <c r="E98" s="8"/>
      <c r="G98" s="43"/>
    </row>
    <row r="99" spans="5:7" x14ac:dyDescent="0.2">
      <c r="E99" s="8"/>
      <c r="G99" s="43"/>
    </row>
    <row r="100" spans="5:7" x14ac:dyDescent="0.2">
      <c r="E100" s="8"/>
      <c r="G100" s="43"/>
    </row>
    <row r="101" spans="5:7" x14ac:dyDescent="0.2">
      <c r="E101" s="8"/>
      <c r="G101" s="43"/>
    </row>
    <row r="102" spans="5:7" x14ac:dyDescent="0.2">
      <c r="E102" s="8"/>
      <c r="G102" s="43"/>
    </row>
    <row r="103" spans="5:7" x14ac:dyDescent="0.2">
      <c r="E103" s="8"/>
      <c r="G103" s="43"/>
    </row>
    <row r="104" spans="5:7" x14ac:dyDescent="0.2">
      <c r="E104" s="8"/>
      <c r="G104" s="43"/>
    </row>
    <row r="105" spans="5:7" x14ac:dyDescent="0.2">
      <c r="E105" s="8"/>
      <c r="G105" s="43"/>
    </row>
    <row r="106" spans="5:7" x14ac:dyDescent="0.2">
      <c r="E106" s="8"/>
      <c r="G106" s="43"/>
    </row>
    <row r="107" spans="5:7" x14ac:dyDescent="0.2">
      <c r="E107" s="8"/>
      <c r="G107" s="43"/>
    </row>
    <row r="108" spans="5:7" x14ac:dyDescent="0.2">
      <c r="E108" s="8"/>
      <c r="G108" s="43"/>
    </row>
    <row r="109" spans="5:7" x14ac:dyDescent="0.2">
      <c r="E109" s="8"/>
      <c r="G109" s="43"/>
    </row>
    <row r="110" spans="5:7" x14ac:dyDescent="0.2">
      <c r="E110" s="8"/>
      <c r="G110" s="43"/>
    </row>
    <row r="111" spans="5:7" x14ac:dyDescent="0.2">
      <c r="E111" s="8"/>
      <c r="G111" s="43"/>
    </row>
    <row r="112" spans="5:7" x14ac:dyDescent="0.2">
      <c r="E112" s="8"/>
      <c r="G112" s="43"/>
    </row>
    <row r="113" spans="5:7" x14ac:dyDescent="0.2">
      <c r="E113" s="8"/>
      <c r="G113" s="43"/>
    </row>
    <row r="114" spans="5:7" x14ac:dyDescent="0.2">
      <c r="E114" s="8"/>
      <c r="G114" s="43"/>
    </row>
    <row r="115" spans="5:7" x14ac:dyDescent="0.2">
      <c r="E115" s="8"/>
      <c r="G115" s="43"/>
    </row>
    <row r="116" spans="5:7" x14ac:dyDescent="0.2">
      <c r="E116" s="8"/>
      <c r="G116" s="43"/>
    </row>
    <row r="117" spans="5:7" x14ac:dyDescent="0.2">
      <c r="E117" s="8"/>
      <c r="G117" s="43"/>
    </row>
    <row r="118" spans="5:7" x14ac:dyDescent="0.2">
      <c r="E118" s="8"/>
      <c r="G118" s="43"/>
    </row>
    <row r="119" spans="5:7" x14ac:dyDescent="0.2">
      <c r="E119" s="8"/>
      <c r="G119" s="43"/>
    </row>
    <row r="120" spans="5:7" x14ac:dyDescent="0.2">
      <c r="E120" s="8"/>
      <c r="G120" s="43"/>
    </row>
    <row r="121" spans="5:7" x14ac:dyDescent="0.2">
      <c r="E121" s="8"/>
      <c r="G121" s="43"/>
    </row>
    <row r="122" spans="5:7" x14ac:dyDescent="0.2">
      <c r="E122" s="8"/>
      <c r="G122" s="43"/>
    </row>
    <row r="123" spans="5:7" x14ac:dyDescent="0.2">
      <c r="E123" s="8"/>
      <c r="G123" s="43"/>
    </row>
    <row r="124" spans="5:7" x14ac:dyDescent="0.2">
      <c r="E124" s="8"/>
      <c r="G124" s="43"/>
    </row>
    <row r="125" spans="5:7" x14ac:dyDescent="0.2">
      <c r="E125" s="8"/>
      <c r="G125" s="43"/>
    </row>
    <row r="126" spans="5:7" x14ac:dyDescent="0.2">
      <c r="E126" s="8"/>
      <c r="G126" s="43"/>
    </row>
    <row r="127" spans="5:7" x14ac:dyDescent="0.2">
      <c r="E127" s="8"/>
      <c r="G127" s="43"/>
    </row>
    <row r="128" spans="5:7" x14ac:dyDescent="0.2">
      <c r="E128" s="8"/>
      <c r="G128" s="43"/>
    </row>
    <row r="129" spans="5:7" x14ac:dyDescent="0.2">
      <c r="E129" s="8"/>
      <c r="G129" s="43"/>
    </row>
    <row r="130" spans="5:7" x14ac:dyDescent="0.2">
      <c r="E130" s="8"/>
      <c r="G130" s="43"/>
    </row>
    <row r="131" spans="5:7" x14ac:dyDescent="0.2">
      <c r="E131" s="8"/>
      <c r="G131" s="43"/>
    </row>
    <row r="132" spans="5:7" x14ac:dyDescent="0.2">
      <c r="E132" s="8"/>
      <c r="G132" s="43"/>
    </row>
    <row r="133" spans="5:7" x14ac:dyDescent="0.2">
      <c r="E133" s="8"/>
      <c r="G133" s="43"/>
    </row>
    <row r="134" spans="5:7" x14ac:dyDescent="0.2">
      <c r="E134" s="8"/>
      <c r="G134" s="43"/>
    </row>
    <row r="135" spans="5:7" x14ac:dyDescent="0.2">
      <c r="E135" s="8"/>
      <c r="G135" s="43"/>
    </row>
    <row r="136" spans="5:7" x14ac:dyDescent="0.2">
      <c r="E136" s="8"/>
      <c r="G136" s="43"/>
    </row>
    <row r="137" spans="5:7" x14ac:dyDescent="0.2">
      <c r="E137" s="8"/>
      <c r="G137" s="43"/>
    </row>
    <row r="138" spans="5:7" x14ac:dyDescent="0.2">
      <c r="E138" s="8"/>
      <c r="G138" s="43"/>
    </row>
    <row r="139" spans="5:7" x14ac:dyDescent="0.2">
      <c r="E139" s="8"/>
      <c r="G139" s="43"/>
    </row>
    <row r="140" spans="5:7" x14ac:dyDescent="0.2">
      <c r="E140" s="8"/>
      <c r="G140" s="43"/>
    </row>
    <row r="141" spans="5:7" x14ac:dyDescent="0.2">
      <c r="E141" s="8"/>
      <c r="G141" s="43"/>
    </row>
    <row r="142" spans="5:7" x14ac:dyDescent="0.2">
      <c r="E142" s="8"/>
      <c r="G142" s="43"/>
    </row>
    <row r="143" spans="5:7" x14ac:dyDescent="0.2">
      <c r="E143" s="8"/>
      <c r="G143" s="43"/>
    </row>
    <row r="144" spans="5:7" x14ac:dyDescent="0.2">
      <c r="E144" s="8"/>
      <c r="G144" s="43"/>
    </row>
    <row r="145" spans="5:7" x14ac:dyDescent="0.2">
      <c r="E145" s="8"/>
      <c r="G145" s="43"/>
    </row>
    <row r="146" spans="5:7" x14ac:dyDescent="0.2">
      <c r="E146" s="8"/>
      <c r="G146" s="43"/>
    </row>
    <row r="147" spans="5:7" x14ac:dyDescent="0.2">
      <c r="E147" s="8"/>
      <c r="G147" s="43"/>
    </row>
    <row r="148" spans="5:7" x14ac:dyDescent="0.2">
      <c r="E148" s="8"/>
      <c r="G148" s="43"/>
    </row>
    <row r="149" spans="5:7" x14ac:dyDescent="0.2">
      <c r="E149" s="8"/>
      <c r="G149" s="43"/>
    </row>
    <row r="150" spans="5:7" x14ac:dyDescent="0.2">
      <c r="E150" s="8"/>
      <c r="G150" s="43"/>
    </row>
    <row r="151" spans="5:7" x14ac:dyDescent="0.2">
      <c r="E151" s="8"/>
      <c r="G151" s="43"/>
    </row>
    <row r="152" spans="5:7" x14ac:dyDescent="0.2">
      <c r="E152" s="8"/>
      <c r="G152" s="43"/>
    </row>
    <row r="153" spans="5:7" x14ac:dyDescent="0.2">
      <c r="E153" s="8"/>
      <c r="G153" s="43"/>
    </row>
    <row r="154" spans="5:7" x14ac:dyDescent="0.2">
      <c r="E154" s="8"/>
      <c r="G154" s="43"/>
    </row>
    <row r="155" spans="5:7" x14ac:dyDescent="0.2">
      <c r="E155" s="8"/>
      <c r="G155" s="43"/>
    </row>
    <row r="156" spans="5:7" x14ac:dyDescent="0.2">
      <c r="E156" s="8"/>
      <c r="G156" s="43"/>
    </row>
    <row r="157" spans="5:7" x14ac:dyDescent="0.2">
      <c r="E157" s="8"/>
      <c r="G157" s="43"/>
    </row>
    <row r="158" spans="5:7" x14ac:dyDescent="0.2">
      <c r="E158" s="8"/>
      <c r="G158" s="43"/>
    </row>
    <row r="159" spans="5:7" x14ac:dyDescent="0.2">
      <c r="E159" s="8"/>
      <c r="G159" s="43"/>
    </row>
    <row r="160" spans="5:7" x14ac:dyDescent="0.2">
      <c r="E160" s="8"/>
      <c r="G160" s="43"/>
    </row>
    <row r="161" spans="5:7" x14ac:dyDescent="0.2">
      <c r="E161" s="8"/>
      <c r="G161" s="43"/>
    </row>
    <row r="162" spans="5:7" x14ac:dyDescent="0.2">
      <c r="E162" s="8"/>
      <c r="G162" s="43"/>
    </row>
    <row r="163" spans="5:7" x14ac:dyDescent="0.2">
      <c r="E163" s="8"/>
      <c r="G163" s="43"/>
    </row>
    <row r="164" spans="5:7" x14ac:dyDescent="0.2">
      <c r="E164" s="8"/>
      <c r="G164" s="43"/>
    </row>
    <row r="165" spans="5:7" x14ac:dyDescent="0.2">
      <c r="E165" s="8"/>
      <c r="G165" s="43"/>
    </row>
    <row r="166" spans="5:7" x14ac:dyDescent="0.2">
      <c r="E166" s="8"/>
      <c r="G166" s="43"/>
    </row>
    <row r="167" spans="5:7" x14ac:dyDescent="0.2">
      <c r="E167" s="8"/>
      <c r="G167" s="43"/>
    </row>
    <row r="168" spans="5:7" x14ac:dyDescent="0.2">
      <c r="E168" s="8"/>
      <c r="G168" s="43"/>
    </row>
    <row r="169" spans="5:7" x14ac:dyDescent="0.2">
      <c r="E169" s="8"/>
      <c r="G169" s="43"/>
    </row>
    <row r="170" spans="5:7" x14ac:dyDescent="0.2">
      <c r="E170" s="8"/>
      <c r="G170" s="43"/>
    </row>
    <row r="171" spans="5:7" x14ac:dyDescent="0.2">
      <c r="E171" s="8"/>
      <c r="G171" s="43"/>
    </row>
    <row r="172" spans="5:7" x14ac:dyDescent="0.2">
      <c r="E172" s="8"/>
      <c r="G172" s="43"/>
    </row>
    <row r="173" spans="5:7" x14ac:dyDescent="0.2">
      <c r="E173" s="8"/>
      <c r="G173" s="43"/>
    </row>
    <row r="174" spans="5:7" x14ac:dyDescent="0.2">
      <c r="E174" s="8"/>
      <c r="G174" s="43"/>
    </row>
    <row r="175" spans="5:7" x14ac:dyDescent="0.2">
      <c r="E175" s="8"/>
      <c r="G175" s="43"/>
    </row>
    <row r="176" spans="5:7" x14ac:dyDescent="0.2">
      <c r="E176" s="8"/>
      <c r="G176" s="43"/>
    </row>
    <row r="177" spans="5:7" x14ac:dyDescent="0.2">
      <c r="E177" s="8"/>
      <c r="G177" s="43"/>
    </row>
    <row r="178" spans="5:7" x14ac:dyDescent="0.2">
      <c r="E178" s="8"/>
      <c r="G178" s="43"/>
    </row>
    <row r="179" spans="5:7" x14ac:dyDescent="0.2">
      <c r="E179" s="8"/>
      <c r="G179" s="43"/>
    </row>
    <row r="180" spans="5:7" x14ac:dyDescent="0.2">
      <c r="E180" s="8"/>
      <c r="G180" s="43"/>
    </row>
    <row r="181" spans="5:7" x14ac:dyDescent="0.2">
      <c r="E181" s="8"/>
      <c r="G181" s="43"/>
    </row>
    <row r="182" spans="5:7" x14ac:dyDescent="0.2">
      <c r="E182" s="8"/>
      <c r="G182" s="43"/>
    </row>
    <row r="183" spans="5:7" x14ac:dyDescent="0.2">
      <c r="E183" s="8"/>
      <c r="G183" s="43"/>
    </row>
    <row r="184" spans="5:7" x14ac:dyDescent="0.2">
      <c r="E184" s="8"/>
      <c r="G184" s="43"/>
    </row>
    <row r="185" spans="5:7" x14ac:dyDescent="0.2">
      <c r="E185" s="8"/>
      <c r="G185" s="43"/>
    </row>
    <row r="186" spans="5:7" x14ac:dyDescent="0.2">
      <c r="E186" s="8"/>
      <c r="G186" s="43"/>
    </row>
    <row r="187" spans="5:7" x14ac:dyDescent="0.2">
      <c r="E187" s="8"/>
      <c r="G187" s="43"/>
    </row>
    <row r="188" spans="5:7" x14ac:dyDescent="0.2">
      <c r="E188" s="8"/>
      <c r="G188" s="43"/>
    </row>
    <row r="189" spans="5:7" x14ac:dyDescent="0.2">
      <c r="E189" s="8"/>
      <c r="G189" s="43"/>
    </row>
    <row r="190" spans="5:7" x14ac:dyDescent="0.2">
      <c r="E190" s="8"/>
      <c r="G190" s="43"/>
    </row>
    <row r="191" spans="5:7" x14ac:dyDescent="0.2">
      <c r="E191" s="8"/>
      <c r="G191" s="43"/>
    </row>
    <row r="192" spans="5:7" x14ac:dyDescent="0.2">
      <c r="E192" s="8"/>
      <c r="G192" s="43"/>
    </row>
    <row r="193" spans="5:7" x14ac:dyDescent="0.2">
      <c r="E193" s="8"/>
      <c r="G193" s="43"/>
    </row>
    <row r="194" spans="5:7" x14ac:dyDescent="0.2">
      <c r="E194" s="8"/>
      <c r="G194" s="43"/>
    </row>
    <row r="195" spans="5:7" x14ac:dyDescent="0.2">
      <c r="E195" s="8"/>
      <c r="G195" s="43"/>
    </row>
    <row r="196" spans="5:7" x14ac:dyDescent="0.2">
      <c r="E196" s="8"/>
      <c r="G196" s="43"/>
    </row>
    <row r="197" spans="5:7" x14ac:dyDescent="0.2">
      <c r="E197" s="8"/>
      <c r="G197" s="43"/>
    </row>
    <row r="198" spans="5:7" x14ac:dyDescent="0.2">
      <c r="E198" s="8"/>
      <c r="G198" s="43"/>
    </row>
    <row r="199" spans="5:7" x14ac:dyDescent="0.2">
      <c r="E199" s="8"/>
      <c r="G199" s="43"/>
    </row>
    <row r="200" spans="5:7" x14ac:dyDescent="0.2">
      <c r="E200" s="8"/>
      <c r="G200" s="43"/>
    </row>
    <row r="201" spans="5:7" x14ac:dyDescent="0.2">
      <c r="E201" s="8"/>
      <c r="G201" s="43"/>
    </row>
    <row r="202" spans="5:7" x14ac:dyDescent="0.2">
      <c r="E202" s="8"/>
      <c r="G202" s="43"/>
    </row>
    <row r="203" spans="5:7" x14ac:dyDescent="0.2">
      <c r="E203" s="8"/>
      <c r="G203" s="43"/>
    </row>
    <row r="204" spans="5:7" x14ac:dyDescent="0.2">
      <c r="E204" s="8"/>
      <c r="G204" s="43"/>
    </row>
    <row r="205" spans="5:7" x14ac:dyDescent="0.2">
      <c r="E205" s="8"/>
      <c r="G205" s="43"/>
    </row>
    <row r="206" spans="5:7" x14ac:dyDescent="0.2">
      <c r="E206" s="8"/>
      <c r="G206" s="43"/>
    </row>
    <row r="207" spans="5:7" x14ac:dyDescent="0.2">
      <c r="E207" s="8"/>
      <c r="G207" s="43"/>
    </row>
    <row r="208" spans="5:7" x14ac:dyDescent="0.2">
      <c r="E208" s="8"/>
      <c r="G208" s="43"/>
    </row>
    <row r="209" spans="5:7" x14ac:dyDescent="0.2">
      <c r="E209" s="8"/>
      <c r="G209" s="43"/>
    </row>
  </sheetData>
  <mergeCells count="1">
    <mergeCell ref="B1:C1"/>
  </mergeCells>
  <conditionalFormatting sqref="G1:G3">
    <cfRule type="cellIs" dxfId="1" priority="4" stopIfTrue="1" operator="between">
      <formula>0.009</formula>
      <formula>-0.009</formula>
    </cfRule>
  </conditionalFormatting>
  <conditionalFormatting sqref="G5:G107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0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