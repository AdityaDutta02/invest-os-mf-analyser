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5D5F2E19-1730-4DF6-B442-9B1EFA6E4CF4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SHORT" sheetId="8" r:id="rId1"/>
  </sheets>
  <definedNames>
    <definedName name="_xlnm.Print_Area" localSheetId="0">JBSHORT!$B$1:$I$82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8" l="1"/>
  <c r="F27" i="8"/>
  <c r="G21" i="8"/>
  <c r="G22" i="8" s="1"/>
  <c r="F21" i="8"/>
  <c r="F22" i="8" s="1"/>
  <c r="G13" i="8"/>
  <c r="F13" i="8"/>
  <c r="F31" i="8" s="1"/>
  <c r="G31" i="8" l="1"/>
  <c r="F16" i="8"/>
  <c r="G16" i="8"/>
</calcChain>
</file>

<file path=xl/sharedStrings.xml><?xml version="1.0" encoding="utf-8"?>
<sst xmlns="http://schemas.openxmlformats.org/spreadsheetml/2006/main" count="66" uniqueCount="55">
  <si>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</si>
  <si>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</si>
  <si>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</si>
  <si>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</si>
  <si>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</si>
  <si>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</si>
  <si>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</si>
  <si>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Short Duration Fund</t>
  </si>
  <si>
    <t>Yield to Call ^</t>
  </si>
  <si>
    <t>Money Market Instruments</t>
  </si>
  <si>
    <t>Certificate of Deposit</t>
  </si>
  <si>
    <t>CARE A1+</t>
  </si>
  <si>
    <t>CRISIL A1+</t>
  </si>
  <si>
    <t>Canara Bank (28-Jan-2027)</t>
  </si>
  <si>
    <t>INE476A16G28</t>
  </si>
  <si>
    <t>Indian Bank (05-Feb-2027) **</t>
  </si>
  <si>
    <t>INE562A16QI8</t>
  </si>
  <si>
    <t>Sub Total</t>
  </si>
  <si>
    <t>Total</t>
  </si>
  <si>
    <t>Government Securities</t>
  </si>
  <si>
    <t>SOVEREIGN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</si>
  <si>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</si>
  <si>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</si>
  <si>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</si>
  <si>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</si>
  <si>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</si>
  <si>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</si>
  <si>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</si>
  <si>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6.48% GOI 2035 (06-OCT-2035)</t>
  </si>
  <si>
    <t>IN0020250091</t>
  </si>
  <si>
    <t>Debt Instruments</t>
  </si>
  <si>
    <t>(a) Listed / awaiting listing on Stock Exchanges</t>
  </si>
  <si>
    <t>CRISIL AAA</t>
  </si>
  <si>
    <t>(b) Privately Placed / Unlisted</t>
  </si>
  <si>
    <t>Nil</t>
  </si>
  <si>
    <t>7.5% Indian Railway Finance Corporation Ltd (07-Sep-2029) **</t>
  </si>
  <si>
    <t>INE053F07BW9</t>
  </si>
  <si>
    <t>7.5% NHPC Ltd (07-Oct-2028) **</t>
  </si>
  <si>
    <t>INE848E07AR7</t>
  </si>
  <si>
    <t>ICRA AAA</t>
  </si>
  <si>
    <t>7.64% REC Ltd (30-Apr-2027) **</t>
  </si>
  <si>
    <t>INE020B08EX7</t>
  </si>
  <si>
    <t>7.22% Small Industries Development Bank Of India (10-Apr-2029) **</t>
  </si>
  <si>
    <t>INE556F08LC0</t>
  </si>
  <si>
    <t>6.92% Power Finance Corporation Ltd (16-Feb-2028) **</t>
  </si>
  <si>
    <t>INE134E08OA7</t>
  </si>
  <si>
    <t>7.01% National Bank For Agriculture &amp; Rural Development (16-Mar-2029) **</t>
  </si>
  <si>
    <t>INE261F08ES8</t>
  </si>
  <si>
    <t>6.68% GOI 2033 (27-JAN-2033)</t>
  </si>
  <si>
    <t>IN0020250133</t>
  </si>
  <si>
    <t>6.36% GOI 2031 (16-FEB-2031)</t>
  </si>
  <si>
    <t>IN0020250141</t>
  </si>
  <si>
    <t>Benchmark Risk-O-Meter</t>
  </si>
  <si>
    <t>Benchmark Name - NIFTY Short Duration Debt Index A-II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</si>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</sst>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6" fillId="2" borderId="5" xfId="0" applyFont="1" applyFill="1" applyBorder="1"/>
    <xf numFmtId="0" fontId="6" fillId="2" borderId="5" xfId="0" applyNumberFormat="1" applyFont="1" applyFill="1" applyBorder="1"/>
    <xf numFmtId="39" fontId="6" fillId="2" borderId="5" xfId="0" applyNumberFormat="1" applyFont="1" applyFill="1" applyBorder="1"/>
    <xf numFmtId="39" fontId="6" fillId="3" borderId="5" xfId="0" applyNumberFormat="1" applyFont="1" applyFill="1" applyBorder="1"/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0" fontId="9" fillId="2" borderId="0" xfId="1" applyFill="1"/>
    <xf numFmtId="39" fontId="6" fillId="3" borderId="0" xfId="0" applyNumberFormat="1" applyFont="1" applyFill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1504950</xdr:colOff>
      <xdr:row>63</xdr:row>
      <xdr:rowOff>63500</xdr:rowOff>
    </xdr:from>
    <xdr:to>
      <xdr:col>5</xdr:col>
      <xdr:colOff>285750</xdr:colOff>
      <xdr:row>80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C20B23-F32C-4A1C-A1C4-91209F271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6600" y="8743950"/>
          <a:ext cx="5156200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1619250</xdr:colOff>
      <xdr:row>38</xdr:row>
      <xdr:rowOff>114300</xdr:rowOff>
    </xdr:from>
    <xdr:to>
      <xdr:col>5</xdr:col>
      <xdr:colOff>400050</xdr:colOff>
      <xdr:row>55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D0AB90-92D4-44CD-AA22-3E983748D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0900" y="5607050"/>
          <a:ext cx="5156200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F24E-0A6C-418B-AA1B-044F18181366}">
  <dimension ref="A1:K163"/>
  <sheetViews>
    <sheetView tabSelected="1" view="pageBreakPreview" zoomScaleNormal="100" zoomScaleSheetLayoutView="100" workbookViewId="0">
      <selection activeCell="B1" sqref="B1:C1"/>
    </sheetView>
  </sheetViews>
  <sheetFormatPr defaultColWidth="9.1796875" defaultRowHeight="10" x14ac:dyDescent="0.2"/>
  <cols>
    <col min="1" max="1" width="7.1796875" style="8" customWidth="1"/>
    <col min="2" max="2" width="52.54296875" style="8" bestFit="1" customWidth="1"/>
    <col min="3" max="3" width="11.26953125" style="8" bestFit="1" customWidth="1"/>
    <col min="4" max="4" width="13.7265625" style="8" bestFit="1" customWidth="1"/>
    <col min="5" max="5" width="13.7265625" style="9" bestFit="1" customWidth="1"/>
    <col min="6" max="6" width="13.26953125" style="11" customWidth="1"/>
    <col min="7" max="7" width="8.54296875" style="17" customWidth="1"/>
    <col min="8" max="8" width="11.81640625" style="14" bestFit="1" customWidth="1"/>
    <col min="9" max="9" width="13.1796875" style="14" customWidth="1"/>
    <col min="10" max="10" width="25.81640625" style="8" customWidth="1"/>
    <col min="11" max="16384" width="9.1796875" style="8"/>
  </cols>
  <sheetData>
    <row r="1" spans="1:11" s="1" customFormat="1" ht="16.75" customHeight="1" x14ac:dyDescent="0.35">
      <c r="B1" s="61" t="s">
        <v>7</v>
      </c>
      <c r="C1" s="62"/>
      <c r="D1" s="13"/>
      <c r="E1" s="6"/>
      <c r="F1" s="7"/>
      <c r="G1" s="17"/>
      <c r="H1" s="14"/>
      <c r="I1" s="15"/>
    </row>
    <row r="2" spans="1:11" s="1" customFormat="1" ht="14.5" x14ac:dyDescent="0.35">
      <c r="A2" s="59" t="s">
        <v>54</v>
      </c>
      <c r="E2" s="6"/>
      <c r="F2" s="7"/>
      <c r="G2" s="17"/>
      <c r="H2" s="14"/>
      <c r="I2" s="15"/>
    </row>
    <row r="3" spans="1:11" s="1" customFormat="1" ht="11.5" x14ac:dyDescent="0.25"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21" x14ac:dyDescent="0.25">
      <c r="B4" s="19" t="s">
        <v>4</v>
      </c>
      <c r="C4" s="19" t="s">
        <v>5</v>
      </c>
      <c r="D4" s="20" t="s">
        <v>24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ht="10.5" x14ac:dyDescent="0.25">
      <c r="B5" s="25" t="s">
        <v>30</v>
      </c>
      <c r="C5" s="26"/>
      <c r="D5" s="26"/>
      <c r="E5" s="27"/>
      <c r="F5" s="28"/>
      <c r="G5" s="29"/>
      <c r="H5" s="30"/>
      <c r="I5" s="30"/>
    </row>
    <row r="6" spans="1:11" ht="10.5" x14ac:dyDescent="0.25">
      <c r="B6" s="25" t="s">
        <v>31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35</v>
      </c>
      <c r="C7" s="26" t="s">
        <v>36</v>
      </c>
      <c r="D7" s="26" t="s">
        <v>32</v>
      </c>
      <c r="E7" s="31">
        <v>250</v>
      </c>
      <c r="F7" s="28">
        <v>2541.7950000000001</v>
      </c>
      <c r="G7" s="29">
        <v>9.2835438684287599</v>
      </c>
      <c r="H7" s="32">
        <v>6.9550000000000001E-2</v>
      </c>
      <c r="I7" s="33"/>
    </row>
    <row r="8" spans="1:11" x14ac:dyDescent="0.2">
      <c r="B8" s="26" t="s">
        <v>37</v>
      </c>
      <c r="C8" s="26" t="s">
        <v>38</v>
      </c>
      <c r="D8" s="26" t="s">
        <v>39</v>
      </c>
      <c r="E8" s="31">
        <v>1250</v>
      </c>
      <c r="F8" s="28">
        <v>2531.9924999999998</v>
      </c>
      <c r="G8" s="29">
        <v>9.2477416346647203</v>
      </c>
      <c r="H8" s="32">
        <v>6.9199999999999998E-2</v>
      </c>
      <c r="I8" s="33"/>
    </row>
    <row r="9" spans="1:11" x14ac:dyDescent="0.2">
      <c r="B9" s="26" t="s">
        <v>40</v>
      </c>
      <c r="C9" s="26" t="s">
        <v>41</v>
      </c>
      <c r="D9" s="26" t="s">
        <v>32</v>
      </c>
      <c r="E9" s="31">
        <v>2500</v>
      </c>
      <c r="F9" s="28">
        <v>2517.2424999999998</v>
      </c>
      <c r="G9" s="29">
        <v>9.1938693624872503</v>
      </c>
      <c r="H9" s="32">
        <v>6.9699999999999998E-2</v>
      </c>
      <c r="I9" s="33"/>
    </row>
    <row r="10" spans="1:11" x14ac:dyDescent="0.2">
      <c r="B10" s="26" t="s">
        <v>42</v>
      </c>
      <c r="C10" s="26" t="s">
        <v>43</v>
      </c>
      <c r="D10" s="26" t="s">
        <v>32</v>
      </c>
      <c r="E10" s="31">
        <v>2500</v>
      </c>
      <c r="F10" s="28">
        <v>2505.06</v>
      </c>
      <c r="G10" s="29">
        <v>9.1493745180261001</v>
      </c>
      <c r="H10" s="32">
        <v>7.1530999999999997E-2</v>
      </c>
      <c r="I10" s="33"/>
    </row>
    <row r="11" spans="1:11" x14ac:dyDescent="0.2">
      <c r="B11" s="26" t="s">
        <v>44</v>
      </c>
      <c r="C11" s="26" t="s">
        <v>45</v>
      </c>
      <c r="D11" s="26" t="s">
        <v>32</v>
      </c>
      <c r="E11" s="31">
        <v>2500</v>
      </c>
      <c r="F11" s="28">
        <v>2495.3575000000001</v>
      </c>
      <c r="G11" s="29">
        <v>9.1139375200056403</v>
      </c>
      <c r="H11" s="32">
        <v>7.0199999999999999E-2</v>
      </c>
      <c r="I11" s="33"/>
    </row>
    <row r="12" spans="1:11" x14ac:dyDescent="0.2">
      <c r="B12" s="26" t="s">
        <v>46</v>
      </c>
      <c r="C12" s="26" t="s">
        <v>47</v>
      </c>
      <c r="D12" s="26" t="s">
        <v>32</v>
      </c>
      <c r="E12" s="31">
        <v>2500</v>
      </c>
      <c r="F12" s="28">
        <v>2494.9124999999999</v>
      </c>
      <c r="G12" s="29">
        <v>9.1123122209467198</v>
      </c>
      <c r="H12" s="32">
        <v>7.0900000000000005E-2</v>
      </c>
      <c r="I12" s="33"/>
    </row>
    <row r="13" spans="1:11" ht="10.5" x14ac:dyDescent="0.25">
      <c r="B13" s="25" t="s">
        <v>17</v>
      </c>
      <c r="C13" s="25"/>
      <c r="D13" s="25"/>
      <c r="E13" s="34"/>
      <c r="F13" s="38">
        <f>SUM(F6:F12)</f>
        <v>15086.36</v>
      </c>
      <c r="G13" s="39">
        <f>SUM(G6:G12)</f>
        <v>55.100779124559189</v>
      </c>
      <c r="H13" s="37"/>
      <c r="I13" s="37"/>
    </row>
    <row r="14" spans="1:11" ht="10.5" x14ac:dyDescent="0.25">
      <c r="B14" s="40" t="s">
        <v>33</v>
      </c>
      <c r="C14" s="51"/>
      <c r="D14" s="51"/>
      <c r="E14" s="52"/>
      <c r="F14" s="53"/>
      <c r="G14" s="54"/>
      <c r="H14" s="30"/>
      <c r="I14" s="30"/>
    </row>
    <row r="15" spans="1:11" ht="10.5" x14ac:dyDescent="0.25">
      <c r="B15" s="25" t="s">
        <v>17</v>
      </c>
      <c r="C15" s="25"/>
      <c r="D15" s="25"/>
      <c r="E15" s="34"/>
      <c r="F15" s="55" t="s">
        <v>34</v>
      </c>
      <c r="G15" s="56" t="s">
        <v>34</v>
      </c>
      <c r="H15" s="37"/>
      <c r="I15" s="37"/>
    </row>
    <row r="16" spans="1:11" ht="10.5" x14ac:dyDescent="0.25">
      <c r="B16" s="40" t="s">
        <v>18</v>
      </c>
      <c r="C16" s="40"/>
      <c r="D16" s="40"/>
      <c r="E16" s="41"/>
      <c r="F16" s="57">
        <f>F13</f>
        <v>15086.36</v>
      </c>
      <c r="G16" s="58">
        <f>G13</f>
        <v>55.100779124559189</v>
      </c>
      <c r="H16" s="37"/>
      <c r="I16" s="37"/>
    </row>
    <row r="17" spans="2:9" ht="10.5" x14ac:dyDescent="0.25">
      <c r="B17" s="25" t="s">
        <v>9</v>
      </c>
      <c r="C17" s="26"/>
      <c r="D17" s="26"/>
      <c r="E17" s="27"/>
      <c r="F17" s="28"/>
      <c r="G17" s="29"/>
      <c r="H17" s="30"/>
      <c r="I17" s="30"/>
    </row>
    <row r="18" spans="2:9" ht="10.5" x14ac:dyDescent="0.25">
      <c r="B18" s="25" t="s">
        <v>10</v>
      </c>
      <c r="C18" s="26"/>
      <c r="D18" s="26"/>
      <c r="E18" s="27"/>
      <c r="F18" s="28"/>
      <c r="G18" s="29"/>
      <c r="H18" s="30"/>
      <c r="I18" s="30"/>
    </row>
    <row r="19" spans="2:9" x14ac:dyDescent="0.2">
      <c r="B19" s="26" t="s">
        <v>13</v>
      </c>
      <c r="C19" s="26" t="s">
        <v>14</v>
      </c>
      <c r="D19" s="26" t="s">
        <v>12</v>
      </c>
      <c r="E19" s="31">
        <v>500</v>
      </c>
      <c r="F19" s="28">
        <v>2351.9425000000001</v>
      </c>
      <c r="G19" s="29">
        <v>8.5901346783560495</v>
      </c>
      <c r="H19" s="32">
        <v>6.9001000000000007E-2</v>
      </c>
      <c r="I19" s="33"/>
    </row>
    <row r="20" spans="2:9" x14ac:dyDescent="0.2">
      <c r="B20" s="26" t="s">
        <v>15</v>
      </c>
      <c r="C20" s="26" t="s">
        <v>16</v>
      </c>
      <c r="D20" s="26" t="s">
        <v>11</v>
      </c>
      <c r="E20" s="31">
        <v>500</v>
      </c>
      <c r="F20" s="28">
        <v>2349.5300000000002</v>
      </c>
      <c r="G20" s="29">
        <v>8.5813233660422803</v>
      </c>
      <c r="H20" s="32">
        <v>6.855E-2</v>
      </c>
      <c r="I20" s="33"/>
    </row>
    <row r="21" spans="2:9" ht="10.5" x14ac:dyDescent="0.25">
      <c r="B21" s="25" t="s">
        <v>17</v>
      </c>
      <c r="C21" s="25"/>
      <c r="D21" s="25"/>
      <c r="E21" s="34"/>
      <c r="F21" s="38">
        <f>SUM(F18:F20)</f>
        <v>4701.4724999999999</v>
      </c>
      <c r="G21" s="39">
        <f>SUM(G18:G20)</f>
        <v>17.171458044398328</v>
      </c>
      <c r="H21" s="37"/>
      <c r="I21" s="37"/>
    </row>
    <row r="22" spans="2:9" ht="10.5" x14ac:dyDescent="0.25">
      <c r="B22" s="40" t="s">
        <v>18</v>
      </c>
      <c r="C22" s="40"/>
      <c r="D22" s="40"/>
      <c r="E22" s="41"/>
      <c r="F22" s="42">
        <f>+F21</f>
        <v>4701.4724999999999</v>
      </c>
      <c r="G22" s="43">
        <f>+G21</f>
        <v>17.171458044398328</v>
      </c>
      <c r="H22" s="37"/>
      <c r="I22" s="37"/>
    </row>
    <row r="23" spans="2:9" ht="10.5" x14ac:dyDescent="0.25">
      <c r="B23" s="25" t="s">
        <v>19</v>
      </c>
      <c r="C23" s="26"/>
      <c r="D23" s="26"/>
      <c r="E23" s="27"/>
      <c r="F23" s="28"/>
      <c r="G23" s="29"/>
      <c r="H23" s="30"/>
      <c r="I23" s="30"/>
    </row>
    <row r="24" spans="2:9" x14ac:dyDescent="0.2">
      <c r="B24" s="26" t="s">
        <v>48</v>
      </c>
      <c r="C24" s="26" t="s">
        <v>49</v>
      </c>
      <c r="D24" s="26" t="s">
        <v>20</v>
      </c>
      <c r="E24" s="31">
        <v>1500000</v>
      </c>
      <c r="F24" s="28">
        <v>1509.8040000000001</v>
      </c>
      <c r="G24" s="29">
        <v>5.5143438659408899</v>
      </c>
      <c r="H24" s="32">
        <v>6.6668805206124906E-2</v>
      </c>
      <c r="I24" s="33"/>
    </row>
    <row r="25" spans="2:9" x14ac:dyDescent="0.2">
      <c r="B25" s="26" t="s">
        <v>50</v>
      </c>
      <c r="C25" s="26" t="s">
        <v>51</v>
      </c>
      <c r="D25" s="26" t="s">
        <v>20</v>
      </c>
      <c r="E25" s="31">
        <v>1500000</v>
      </c>
      <c r="F25" s="28">
        <v>1504.479</v>
      </c>
      <c r="G25" s="29">
        <v>5.49489506259546</v>
      </c>
      <c r="H25" s="32">
        <v>6.3868815403125098E-2</v>
      </c>
      <c r="I25" s="33"/>
    </row>
    <row r="26" spans="2:9" x14ac:dyDescent="0.2">
      <c r="B26" s="26" t="s">
        <v>28</v>
      </c>
      <c r="C26" s="26" t="s">
        <v>29</v>
      </c>
      <c r="D26" s="26" t="s">
        <v>20</v>
      </c>
      <c r="E26" s="31">
        <v>585000</v>
      </c>
      <c r="F26" s="28">
        <v>577.39031999999997</v>
      </c>
      <c r="G26" s="29">
        <v>2.1088358285881101</v>
      </c>
      <c r="H26" s="32">
        <v>6.7754694503124893E-2</v>
      </c>
      <c r="I26" s="33"/>
    </row>
    <row r="27" spans="2:9" ht="10.5" x14ac:dyDescent="0.25">
      <c r="B27" s="25" t="s">
        <v>18</v>
      </c>
      <c r="C27" s="25"/>
      <c r="D27" s="25"/>
      <c r="E27" s="34"/>
      <c r="F27" s="35">
        <f>SUM(F24:F26)</f>
        <v>3591.6733200000003</v>
      </c>
      <c r="G27" s="36">
        <f>SUM(G24:G26)</f>
        <v>13.118074757124461</v>
      </c>
      <c r="H27" s="37"/>
      <c r="I27" s="37"/>
    </row>
    <row r="28" spans="2:9" ht="10.5" x14ac:dyDescent="0.25">
      <c r="B28" s="25"/>
      <c r="C28" s="26"/>
      <c r="D28" s="26"/>
      <c r="E28" s="27"/>
      <c r="F28" s="28"/>
      <c r="G28" s="29"/>
      <c r="H28" s="30"/>
      <c r="I28" s="30"/>
    </row>
    <row r="29" spans="2:9" ht="10.5" x14ac:dyDescent="0.25">
      <c r="B29" s="25" t="s">
        <v>21</v>
      </c>
      <c r="C29" s="25"/>
      <c r="D29" s="25"/>
      <c r="E29" s="34"/>
      <c r="F29" s="35">
        <v>3587.0135940999999</v>
      </c>
      <c r="G29" s="36">
        <v>13.101055772584999</v>
      </c>
      <c r="H29" s="32">
        <v>4.9299999999999997E-2</v>
      </c>
      <c r="I29" s="32"/>
    </row>
    <row r="30" spans="2:9" x14ac:dyDescent="0.2">
      <c r="B30" s="26"/>
      <c r="C30" s="26"/>
      <c r="D30" s="26"/>
      <c r="E30" s="27"/>
      <c r="F30" s="28"/>
      <c r="G30" s="29"/>
      <c r="H30" s="30"/>
      <c r="I30" s="30"/>
    </row>
    <row r="31" spans="2:9" ht="10.5" x14ac:dyDescent="0.25">
      <c r="B31" s="49" t="s">
        <v>23</v>
      </c>
      <c r="C31" s="49"/>
      <c r="D31" s="49"/>
      <c r="E31" s="50"/>
      <c r="F31" s="35">
        <f>F32-(F13+F21+F27+F29)</f>
        <v>413.05713579999792</v>
      </c>
      <c r="G31" s="36">
        <f>G32-(G13+G21+G27+G29)</f>
        <v>1.508632301333023</v>
      </c>
      <c r="H31" s="37"/>
      <c r="I31" s="37"/>
    </row>
    <row r="32" spans="2:9" ht="10.5" x14ac:dyDescent="0.25">
      <c r="B32" s="44" t="s">
        <v>22</v>
      </c>
      <c r="C32" s="44"/>
      <c r="D32" s="44"/>
      <c r="E32" s="45"/>
      <c r="F32" s="46">
        <v>27379.576549900001</v>
      </c>
      <c r="G32" s="47">
        <v>100</v>
      </c>
      <c r="H32" s="48"/>
      <c r="I32" s="48"/>
    </row>
    <row r="34" spans="2:9" ht="10.5" x14ac:dyDescent="0.25">
      <c r="B34" s="18" t="s">
        <v>25</v>
      </c>
    </row>
    <row r="35" spans="2:9" ht="40" customHeight="1" x14ac:dyDescent="0.2">
      <c r="B35" s="63" t="s">
        <v>26</v>
      </c>
      <c r="C35" s="63"/>
      <c r="D35" s="63"/>
      <c r="E35" s="63"/>
      <c r="F35" s="63"/>
      <c r="G35" s="63"/>
      <c r="H35" s="63"/>
      <c r="I35" s="63"/>
    </row>
    <row r="37" spans="2:9" ht="10.5" x14ac:dyDescent="0.25">
      <c r="B37" s="18" t="s">
        <v>27</v>
      </c>
      <c r="E37" s="8"/>
      <c r="G37" s="60"/>
    </row>
    <row r="38" spans="2:9" x14ac:dyDescent="0.2">
      <c r="E38" s="8"/>
      <c r="G38" s="60"/>
    </row>
    <row r="39" spans="2:9" x14ac:dyDescent="0.2">
      <c r="E39" s="8"/>
      <c r="G39" s="60"/>
    </row>
    <row r="40" spans="2:9" x14ac:dyDescent="0.2">
      <c r="E40" s="8"/>
      <c r="G40" s="60"/>
    </row>
    <row r="41" spans="2:9" x14ac:dyDescent="0.2">
      <c r="E41" s="8"/>
      <c r="G41" s="60"/>
    </row>
    <row r="42" spans="2:9" x14ac:dyDescent="0.2">
      <c r="E42" s="8"/>
      <c r="G42" s="60"/>
    </row>
    <row r="43" spans="2:9" x14ac:dyDescent="0.2">
      <c r="E43" s="8"/>
      <c r="G43" s="60"/>
    </row>
    <row r="44" spans="2:9" x14ac:dyDescent="0.2">
      <c r="E44" s="8"/>
      <c r="G44" s="60"/>
    </row>
    <row r="45" spans="2:9" x14ac:dyDescent="0.2">
      <c r="E45" s="8"/>
      <c r="G45" s="60"/>
    </row>
    <row r="46" spans="2:9" x14ac:dyDescent="0.2">
      <c r="E46" s="8"/>
      <c r="G46" s="60"/>
    </row>
    <row r="47" spans="2:9" x14ac:dyDescent="0.2">
      <c r="E47" s="8"/>
      <c r="G47" s="60"/>
    </row>
    <row r="48" spans="2:9" x14ac:dyDescent="0.2">
      <c r="E48" s="8"/>
      <c r="G48" s="60"/>
    </row>
    <row r="49" spans="2:7" x14ac:dyDescent="0.2">
      <c r="E49" s="8"/>
      <c r="G49" s="60"/>
    </row>
    <row r="50" spans="2:7" x14ac:dyDescent="0.2">
      <c r="E50" s="8"/>
      <c r="G50" s="60"/>
    </row>
    <row r="51" spans="2:7" x14ac:dyDescent="0.2">
      <c r="E51" s="8"/>
      <c r="G51" s="60"/>
    </row>
    <row r="52" spans="2:7" x14ac:dyDescent="0.2">
      <c r="E52" s="8"/>
      <c r="G52" s="60"/>
    </row>
    <row r="53" spans="2:7" x14ac:dyDescent="0.2">
      <c r="E53" s="8"/>
      <c r="G53" s="60"/>
    </row>
    <row r="54" spans="2:7" x14ac:dyDescent="0.2">
      <c r="E54" s="8"/>
      <c r="G54" s="60"/>
    </row>
    <row r="55" spans="2:7" x14ac:dyDescent="0.2">
      <c r="E55" s="8"/>
      <c r="G55" s="60"/>
    </row>
    <row r="56" spans="2:7" x14ac:dyDescent="0.2">
      <c r="E56" s="8"/>
      <c r="G56" s="60"/>
    </row>
    <row r="57" spans="2:7" x14ac:dyDescent="0.2">
      <c r="E57" s="8"/>
      <c r="G57" s="60"/>
    </row>
    <row r="58" spans="2:7" x14ac:dyDescent="0.2">
      <c r="E58" s="8"/>
      <c r="G58" s="60"/>
    </row>
    <row r="59" spans="2:7" x14ac:dyDescent="0.2">
      <c r="E59" s="8"/>
      <c r="G59" s="60"/>
    </row>
    <row r="60" spans="2:7" ht="10.5" x14ac:dyDescent="0.25">
      <c r="B60" s="18" t="s">
        <v>52</v>
      </c>
      <c r="E60" s="8"/>
      <c r="G60" s="60"/>
    </row>
    <row r="61" spans="2:7" ht="10.5" x14ac:dyDescent="0.25">
      <c r="B61" s="18" t="s">
        <v>53</v>
      </c>
      <c r="E61" s="8"/>
      <c r="G61" s="60"/>
    </row>
    <row r="62" spans="2:7" x14ac:dyDescent="0.2">
      <c r="E62" s="8"/>
      <c r="G62" s="60"/>
    </row>
    <row r="63" spans="2:7" x14ac:dyDescent="0.2">
      <c r="E63" s="8"/>
      <c r="G63" s="60"/>
    </row>
    <row r="64" spans="2:7" x14ac:dyDescent="0.2">
      <c r="E64" s="8"/>
      <c r="G64" s="60"/>
    </row>
    <row r="65" spans="5:7" x14ac:dyDescent="0.2">
      <c r="E65" s="8"/>
      <c r="G65" s="60"/>
    </row>
    <row r="66" spans="5:7" x14ac:dyDescent="0.2">
      <c r="E66" s="8"/>
      <c r="G66" s="60"/>
    </row>
    <row r="67" spans="5:7" x14ac:dyDescent="0.2">
      <c r="E67" s="8"/>
      <c r="G67" s="60"/>
    </row>
    <row r="68" spans="5:7" x14ac:dyDescent="0.2">
      <c r="E68" s="8"/>
      <c r="G68" s="60"/>
    </row>
    <row r="69" spans="5:7" x14ac:dyDescent="0.2">
      <c r="E69" s="8"/>
      <c r="G69" s="60"/>
    </row>
    <row r="70" spans="5:7" x14ac:dyDescent="0.2">
      <c r="E70" s="8"/>
      <c r="G70" s="60"/>
    </row>
    <row r="71" spans="5:7" x14ac:dyDescent="0.2">
      <c r="E71" s="8"/>
      <c r="G71" s="60"/>
    </row>
    <row r="72" spans="5:7" x14ac:dyDescent="0.2">
      <c r="E72" s="8"/>
      <c r="G72" s="60"/>
    </row>
    <row r="73" spans="5:7" x14ac:dyDescent="0.2">
      <c r="E73" s="8"/>
      <c r="G73" s="60"/>
    </row>
    <row r="74" spans="5:7" x14ac:dyDescent="0.2">
      <c r="E74" s="8"/>
      <c r="G74" s="60"/>
    </row>
    <row r="75" spans="5:7" x14ac:dyDescent="0.2">
      <c r="E75" s="8"/>
      <c r="G75" s="60"/>
    </row>
    <row r="76" spans="5:7" x14ac:dyDescent="0.2">
      <c r="E76" s="8"/>
      <c r="G76" s="60"/>
    </row>
    <row r="77" spans="5:7" x14ac:dyDescent="0.2">
      <c r="E77" s="8"/>
      <c r="G77" s="60"/>
    </row>
    <row r="78" spans="5:7" x14ac:dyDescent="0.2">
      <c r="E78" s="8"/>
      <c r="G78" s="60"/>
    </row>
    <row r="79" spans="5:7" x14ac:dyDescent="0.2">
      <c r="E79" s="8"/>
      <c r="G79" s="60"/>
    </row>
    <row r="80" spans="5:7" x14ac:dyDescent="0.2">
      <c r="E80" s="8"/>
      <c r="G80" s="60"/>
    </row>
    <row r="81" spans="5:7" x14ac:dyDescent="0.2">
      <c r="E81" s="8"/>
      <c r="G81" s="60"/>
    </row>
    <row r="82" spans="5:7" x14ac:dyDescent="0.2">
      <c r="E82" s="8"/>
      <c r="G82" s="60"/>
    </row>
    <row r="83" spans="5:7" x14ac:dyDescent="0.2">
      <c r="E83" s="8"/>
      <c r="G83" s="60"/>
    </row>
    <row r="84" spans="5:7" x14ac:dyDescent="0.2">
      <c r="E84" s="8"/>
      <c r="G84" s="60"/>
    </row>
    <row r="85" spans="5:7" x14ac:dyDescent="0.2">
      <c r="E85" s="8"/>
      <c r="G85" s="60"/>
    </row>
    <row r="86" spans="5:7" x14ac:dyDescent="0.2">
      <c r="E86" s="8"/>
      <c r="G86" s="60"/>
    </row>
    <row r="87" spans="5:7" x14ac:dyDescent="0.2">
      <c r="E87" s="8"/>
      <c r="G87" s="60"/>
    </row>
    <row r="88" spans="5:7" x14ac:dyDescent="0.2">
      <c r="E88" s="8"/>
      <c r="G88" s="60"/>
    </row>
    <row r="89" spans="5:7" x14ac:dyDescent="0.2">
      <c r="E89" s="8"/>
      <c r="G89" s="60"/>
    </row>
    <row r="90" spans="5:7" x14ac:dyDescent="0.2">
      <c r="E90" s="8"/>
      <c r="G90" s="60"/>
    </row>
    <row r="91" spans="5:7" x14ac:dyDescent="0.2">
      <c r="E91" s="8"/>
      <c r="G91" s="60"/>
    </row>
    <row r="92" spans="5:7" x14ac:dyDescent="0.2">
      <c r="E92" s="8"/>
      <c r="G92" s="60"/>
    </row>
    <row r="93" spans="5:7" x14ac:dyDescent="0.2">
      <c r="E93" s="8"/>
      <c r="G93" s="60"/>
    </row>
    <row r="94" spans="5:7" x14ac:dyDescent="0.2">
      <c r="E94" s="8"/>
      <c r="G94" s="60"/>
    </row>
    <row r="95" spans="5:7" x14ac:dyDescent="0.2">
      <c r="E95" s="8"/>
      <c r="G95" s="60"/>
    </row>
    <row r="96" spans="5:7" x14ac:dyDescent="0.2">
      <c r="E96" s="8"/>
      <c r="G96" s="60"/>
    </row>
    <row r="97" spans="5:7" x14ac:dyDescent="0.2">
      <c r="E97" s="8"/>
      <c r="G97" s="60"/>
    </row>
    <row r="98" spans="5:7" x14ac:dyDescent="0.2">
      <c r="E98" s="8"/>
      <c r="G98" s="60"/>
    </row>
    <row r="99" spans="5:7" x14ac:dyDescent="0.2">
      <c r="E99" s="8"/>
      <c r="G99" s="60"/>
    </row>
    <row r="100" spans="5:7" x14ac:dyDescent="0.2">
      <c r="E100" s="8"/>
      <c r="G100" s="60"/>
    </row>
    <row r="101" spans="5:7" x14ac:dyDescent="0.2">
      <c r="E101" s="8"/>
      <c r="G101" s="60"/>
    </row>
    <row r="102" spans="5:7" x14ac:dyDescent="0.2">
      <c r="E102" s="8"/>
      <c r="G102" s="60"/>
    </row>
    <row r="103" spans="5:7" x14ac:dyDescent="0.2">
      <c r="E103" s="8"/>
      <c r="G103" s="60"/>
    </row>
    <row r="104" spans="5:7" x14ac:dyDescent="0.2">
      <c r="E104" s="8"/>
      <c r="G104" s="60"/>
    </row>
    <row r="105" spans="5:7" x14ac:dyDescent="0.2">
      <c r="E105" s="8"/>
      <c r="G105" s="60"/>
    </row>
    <row r="106" spans="5:7" x14ac:dyDescent="0.2">
      <c r="E106" s="8"/>
      <c r="G106" s="60"/>
    </row>
    <row r="107" spans="5:7" x14ac:dyDescent="0.2">
      <c r="E107" s="8"/>
      <c r="G107" s="60"/>
    </row>
    <row r="108" spans="5:7" x14ac:dyDescent="0.2">
      <c r="E108" s="8"/>
      <c r="G108" s="60"/>
    </row>
    <row r="109" spans="5:7" x14ac:dyDescent="0.2">
      <c r="E109" s="8"/>
      <c r="G109" s="60"/>
    </row>
    <row r="110" spans="5:7" x14ac:dyDescent="0.2">
      <c r="E110" s="8"/>
      <c r="G110" s="60"/>
    </row>
    <row r="111" spans="5:7" x14ac:dyDescent="0.2">
      <c r="E111" s="8"/>
      <c r="G111" s="60"/>
    </row>
    <row r="112" spans="5:7" x14ac:dyDescent="0.2">
      <c r="E112" s="8"/>
      <c r="G112" s="60"/>
    </row>
    <row r="113" spans="5:7" x14ac:dyDescent="0.2">
      <c r="E113" s="8"/>
      <c r="G113" s="60"/>
    </row>
    <row r="114" spans="5:7" x14ac:dyDescent="0.2">
      <c r="E114" s="8"/>
      <c r="G114" s="60"/>
    </row>
    <row r="115" spans="5:7" x14ac:dyDescent="0.2">
      <c r="E115" s="8"/>
      <c r="G115" s="60"/>
    </row>
    <row r="116" spans="5:7" x14ac:dyDescent="0.2">
      <c r="E116" s="8"/>
      <c r="G116" s="60"/>
    </row>
    <row r="117" spans="5:7" x14ac:dyDescent="0.2">
      <c r="E117" s="8"/>
      <c r="G117" s="60"/>
    </row>
    <row r="118" spans="5:7" x14ac:dyDescent="0.2">
      <c r="E118" s="8"/>
      <c r="G118" s="60"/>
    </row>
    <row r="119" spans="5:7" x14ac:dyDescent="0.2">
      <c r="E119" s="8"/>
      <c r="G119" s="60"/>
    </row>
    <row r="120" spans="5:7" x14ac:dyDescent="0.2">
      <c r="E120" s="8"/>
      <c r="G120" s="60"/>
    </row>
    <row r="121" spans="5:7" x14ac:dyDescent="0.2">
      <c r="E121" s="8"/>
      <c r="G121" s="60"/>
    </row>
    <row r="122" spans="5:7" x14ac:dyDescent="0.2">
      <c r="E122" s="8"/>
      <c r="G122" s="60"/>
    </row>
    <row r="123" spans="5:7" x14ac:dyDescent="0.2">
      <c r="E123" s="8"/>
      <c r="G123" s="60"/>
    </row>
    <row r="124" spans="5:7" x14ac:dyDescent="0.2">
      <c r="E124" s="8"/>
      <c r="G124" s="60"/>
    </row>
    <row r="125" spans="5:7" x14ac:dyDescent="0.2">
      <c r="E125" s="8"/>
      <c r="G125" s="60"/>
    </row>
    <row r="126" spans="5:7" x14ac:dyDescent="0.2">
      <c r="E126" s="8"/>
      <c r="G126" s="60"/>
    </row>
    <row r="127" spans="5:7" x14ac:dyDescent="0.2">
      <c r="E127" s="8"/>
      <c r="G127" s="60"/>
    </row>
    <row r="128" spans="5:7" x14ac:dyDescent="0.2">
      <c r="E128" s="8"/>
      <c r="G128" s="60"/>
    </row>
    <row r="129" spans="5:7" x14ac:dyDescent="0.2">
      <c r="E129" s="8"/>
      <c r="G129" s="60"/>
    </row>
    <row r="130" spans="5:7" x14ac:dyDescent="0.2">
      <c r="E130" s="8"/>
      <c r="G130" s="60"/>
    </row>
    <row r="131" spans="5:7" x14ac:dyDescent="0.2">
      <c r="E131" s="8"/>
      <c r="G131" s="60"/>
    </row>
    <row r="132" spans="5:7" x14ac:dyDescent="0.2">
      <c r="E132" s="8"/>
      <c r="G132" s="60"/>
    </row>
    <row r="133" spans="5:7" x14ac:dyDescent="0.2">
      <c r="E133" s="8"/>
      <c r="G133" s="60"/>
    </row>
    <row r="134" spans="5:7" x14ac:dyDescent="0.2">
      <c r="E134" s="8"/>
      <c r="G134" s="60"/>
    </row>
    <row r="135" spans="5:7" x14ac:dyDescent="0.2">
      <c r="E135" s="8"/>
      <c r="G135" s="60"/>
    </row>
    <row r="136" spans="5:7" x14ac:dyDescent="0.2">
      <c r="E136" s="8"/>
      <c r="G136" s="60"/>
    </row>
    <row r="137" spans="5:7" x14ac:dyDescent="0.2">
      <c r="E137" s="8"/>
      <c r="G137" s="60"/>
    </row>
    <row r="138" spans="5:7" x14ac:dyDescent="0.2">
      <c r="E138" s="8"/>
      <c r="G138" s="60"/>
    </row>
    <row r="139" spans="5:7" x14ac:dyDescent="0.2">
      <c r="E139" s="8"/>
      <c r="G139" s="60"/>
    </row>
    <row r="140" spans="5:7" x14ac:dyDescent="0.2">
      <c r="E140" s="8"/>
      <c r="G140" s="60"/>
    </row>
    <row r="141" spans="5:7" x14ac:dyDescent="0.2">
      <c r="E141" s="8"/>
      <c r="G141" s="60"/>
    </row>
    <row r="142" spans="5:7" x14ac:dyDescent="0.2">
      <c r="E142" s="8"/>
      <c r="G142" s="60"/>
    </row>
    <row r="143" spans="5:7" x14ac:dyDescent="0.2">
      <c r="E143" s="8"/>
      <c r="G143" s="60"/>
    </row>
    <row r="144" spans="5:7" x14ac:dyDescent="0.2">
      <c r="E144" s="8"/>
      <c r="G144" s="60"/>
    </row>
    <row r="145" spans="5:7" x14ac:dyDescent="0.2">
      <c r="E145" s="8"/>
      <c r="G145" s="60"/>
    </row>
    <row r="146" spans="5:7" x14ac:dyDescent="0.2">
      <c r="E146" s="8"/>
      <c r="G146" s="60"/>
    </row>
    <row r="147" spans="5:7" x14ac:dyDescent="0.2">
      <c r="E147" s="8"/>
      <c r="G147" s="60"/>
    </row>
    <row r="148" spans="5:7" x14ac:dyDescent="0.2">
      <c r="E148" s="8"/>
      <c r="G148" s="60"/>
    </row>
    <row r="149" spans="5:7" x14ac:dyDescent="0.2">
      <c r="E149" s="8"/>
      <c r="G149" s="60"/>
    </row>
    <row r="150" spans="5:7" x14ac:dyDescent="0.2">
      <c r="E150" s="8"/>
      <c r="G150" s="60"/>
    </row>
    <row r="151" spans="5:7" x14ac:dyDescent="0.2">
      <c r="E151" s="8"/>
      <c r="G151" s="60"/>
    </row>
    <row r="152" spans="5:7" x14ac:dyDescent="0.2">
      <c r="E152" s="8"/>
      <c r="G152" s="60"/>
    </row>
    <row r="153" spans="5:7" x14ac:dyDescent="0.2">
      <c r="E153" s="8"/>
      <c r="G153" s="60"/>
    </row>
    <row r="154" spans="5:7" x14ac:dyDescent="0.2">
      <c r="E154" s="8"/>
      <c r="G154" s="60"/>
    </row>
    <row r="155" spans="5:7" x14ac:dyDescent="0.2">
      <c r="E155" s="8"/>
      <c r="G155" s="60"/>
    </row>
    <row r="156" spans="5:7" x14ac:dyDescent="0.2">
      <c r="E156" s="8"/>
      <c r="G156" s="60"/>
    </row>
    <row r="157" spans="5:7" x14ac:dyDescent="0.2">
      <c r="E157" s="8"/>
      <c r="G157" s="60"/>
    </row>
    <row r="158" spans="5:7" x14ac:dyDescent="0.2">
      <c r="E158" s="8"/>
      <c r="G158" s="60"/>
    </row>
    <row r="159" spans="5:7" x14ac:dyDescent="0.2">
      <c r="E159" s="8"/>
      <c r="G159" s="60"/>
    </row>
    <row r="160" spans="5:7" x14ac:dyDescent="0.2">
      <c r="E160" s="8"/>
      <c r="G160" s="60"/>
    </row>
    <row r="161" spans="5:7" x14ac:dyDescent="0.2">
      <c r="E161" s="8"/>
      <c r="G161" s="60"/>
    </row>
    <row r="162" spans="5:7" x14ac:dyDescent="0.2">
      <c r="E162" s="8"/>
      <c r="G162" s="60"/>
    </row>
    <row r="163" spans="5:7" x14ac:dyDescent="0.2">
      <c r="E163" s="8"/>
      <c r="G163" s="60"/>
    </row>
  </sheetData>
  <mergeCells count="2">
    <mergeCell ref="B1:C1"/>
    <mergeCell ref="B35:I35"/>
  </mergeCells>
  <conditionalFormatting sqref="G1:G3 G5:G34 G36:G163">
    <cfRule type="cellIs" dxfId="0" priority="2" stopIfTrue="1" operator="between">
      <formula>0.009</formula>
      <formula>-0.009</formula>
    </cfRule>
  </conditionalFormatting>
  <hyperlinks>
    <hyperlink ref="A2" location="Index!A1" display="-" xr:uid="{D122BCF7-D963-4807-99FB-92873AB4B653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82" min="1" max="8" man="1"/>
  </rowBreaks>
  <colBreaks count="1" manualBreakCount="1">
    <brk id="9" max="1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JBSHORT</vt:lpstr>
      <vt:lpstr>JBSHORT!Print_Area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