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46183194-FA24-4898-B6DD-3851E0D82EBD}" xr6:coauthVersionLast="47" xr6:coauthVersionMax="47" xr10:uidLastSave="{00000000-0000-0000-0000-000000000000}"/>
  <bookViews>
    <workbookView xWindow="-120" yWindow="-120" windowWidth="29040" windowHeight="15720" xr2:uid="{E7CC9A71-ED11-4FE5-B485-F7EF42DA4106}"/>
  </bookViews>
  <sheets>
    <sheet name="JBOF" sheetId="4" r:id="rId1"/>
  </sheets>
  <definedNames>
    <definedName name="_xlnm.Print_Area" localSheetId="0">JBOF!$B$1:$I$71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G9" i="4" l="1"/>
  <c r="G20" i="4" s="1"/>
  <c r="F9" i="4"/>
  <c r="F20" i="4"/>
  <c r="F10" i="4"/>
  <c r="G10" i="4" l="1"/>
</calcChain>
</file>

<file path=xl/sharedStrings.xml><?xml version="1.0" encoding="utf-8"?>
<sst xmlns="http://schemas.openxmlformats.org/spreadsheetml/2006/main" count="33" uniqueCount="29">
  <si>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</si>
  <si>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</si>
  <si>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</si>
  <si>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</si>
  <si>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</si>
  <si>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</si>
  <si>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Overnight Fund</t>
  </si>
  <si>
    <t>Yield to Call ^</t>
  </si>
  <si>
    <t>Money Market Instruments</t>
  </si>
  <si>
    <t>Sub Total</t>
  </si>
  <si>
    <t>Treasury Bill</t>
  </si>
  <si>
    <t>Total</t>
  </si>
  <si>
    <t>TREPS</t>
  </si>
  <si>
    <t>Grand Total</t>
  </si>
  <si>
    <t>Net Receivables / (Payables)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</si>
  <si>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</si>
  <si>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</si>
  <si>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91 DTB (16-OCT-2025)</t>
  </si>
  <si>
    <t>IN002025X166</t>
  </si>
  <si>
    <t>91 DTB (23-OCT-2025)</t>
  </si>
  <si>
    <t>IN002025X174</t>
  </si>
  <si>
    <t>Reverse Repo</t>
  </si>
  <si>
    <t>Reverse Repo (01-Oct-2025)</t>
  </si>
  <si>
    <t>SOVEREIGN</t>
  </si>
  <si>
    <t>* Less Than 0.01% of Net Asset Value</t>
  </si>
  <si>
    <t>Scheme Risk-O-Meter</t>
  </si>
  <si>
    <t>Benchmark Risk-O-Meter</t>
  </si>
  <si>
    <t>Benchmark Name - NIFTY 1D Rate Index</t>
  </si>
  <si>
    <t>Monthly Portfolio Statement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</si>
</sst>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10" fontId="6" fillId="2" borderId="0" xfId="0" applyNumberFormat="1" applyFont="1" applyFill="1"/>
    <xf numFmtId="10" fontId="5" fillId="2" borderId="0" xfId="0" applyNumberFormat="1" applyFont="1" applyFill="1"/>
    <xf numFmtId="0" fontId="5" fillId="2" borderId="0" xfId="0" applyFont="1" applyFill="1" applyAlignment="1">
      <alignment horizontal="center" vertical="center" wrapText="1"/>
    </xf>
    <xf numFmtId="39" fontId="6" fillId="3" borderId="0" xfId="0" applyNumberFormat="1" applyFont="1" applyFill="1" applyBorder="1"/>
    <xf numFmtId="0" fontId="7" fillId="2" borderId="0" xfId="0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10" fontId="6" fillId="2" borderId="2" xfId="0" applyNumberFormat="1" applyFont="1" applyFill="1" applyBorder="1"/>
    <xf numFmtId="3" fontId="6" fillId="2" borderId="2" xfId="0" applyNumberFormat="1" applyFont="1" applyFill="1" applyBorder="1"/>
    <xf numFmtId="4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10" fontId="7" fillId="2" borderId="2" xfId="0" applyNumberFormat="1" applyFont="1" applyFill="1" applyBorder="1"/>
    <xf numFmtId="39" fontId="7" fillId="2" borderId="4" xfId="0" applyNumberFormat="1" applyFont="1" applyFill="1" applyBorder="1"/>
    <xf numFmtId="39" fontId="7" fillId="3" borderId="4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10" fontId="7" fillId="2" borderId="7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0" fontId="4" fillId="2" borderId="0" xfId="1" applyFill="1"/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right"/>
    </xf>
    <xf numFmtId="39" fontId="6" fillId="3" borderId="0" xfId="0" applyNumberFormat="1" applyFont="1" applyFill="1"/>
    <xf numFmtId="165" fontId="6" fillId="2" borderId="0" xfId="0" applyNumberFormat="1" applyFont="1" applyFill="1"/>
    <xf numFmtId="0" fontId="7" fillId="0" borderId="0" xfId="0" applyFont="1"/>
    <xf numFmtId="0" fontId="8" fillId="0" borderId="0" xfId="0" applyFont="1" applyAlignment="1">
      <alignment horizontal="left" vertical="top" wrapText="1"/>
    </xf>
    <xf numFmtId="0" fontId="9" fillId="0" borderId="0" xfId="0" applyFont="1" applyAlignment="1"/>
    <xf numFmtId="0" fontId="7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28</xdr:row>
      <xdr:rowOff>104775</xdr:rowOff>
    </xdr:from>
    <xdr:to>
      <xdr:col>3</xdr:col>
      <xdr:colOff>257175</xdr:colOff>
      <xdr:row>45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6051EB-D2D8-42FD-8F56-B8E9FE159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4343400"/>
          <a:ext cx="4429125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52</xdr:row>
      <xdr:rowOff>28575</xdr:rowOff>
    </xdr:from>
    <xdr:to>
      <xdr:col>3</xdr:col>
      <xdr:colOff>352425</xdr:colOff>
      <xdr:row>69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FBEECA-BD88-4A13-AC05-7C6C74577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7696200"/>
          <a:ext cx="4848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A2AE-085A-4EBC-BF98-9F77392CC430}">
  <dimension ref="A1:K253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60" style="8" bestFit="1" customWidth="1"/>
    <col min="3" max="3" width="11" style="8" bestFit="1" customWidth="1"/>
    <col min="4" max="4" width="15.42578125" style="8" bestFit="1" customWidth="1"/>
    <col min="5" max="5" width="15.42578125" style="9" bestFit="1" customWidth="1"/>
    <col min="6" max="6" width="14.85546875" style="11" bestFit="1" customWidth="1"/>
    <col min="7" max="7" width="7.28515625" style="17" bestFit="1" customWidth="1"/>
    <col min="8" max="8" width="7.42578125" style="14" bestFit="1" customWidth="1"/>
    <col min="9" max="9" width="11.42578125" style="14" bestFit="1" customWidth="1"/>
    <col min="10" max="10" width="25.7109375" style="8" customWidth="1"/>
    <col min="11" max="16384" width="9.140625" style="8"/>
  </cols>
  <sheetData>
    <row r="1" spans="1:11" s="1" customFormat="1" ht="16.899999999999999" customHeight="1" x14ac:dyDescent="0.2">
      <c r="B1" s="57" t="s">
        <v>6</v>
      </c>
      <c r="C1" s="58"/>
      <c r="D1" s="13"/>
      <c r="E1" s="6"/>
      <c r="F1" s="7"/>
      <c r="G1" s="17"/>
      <c r="H1" s="14"/>
      <c r="I1" s="15"/>
    </row>
    <row r="2" spans="1:11" s="1" customFormat="1" ht="15" x14ac:dyDescent="0.25">
      <c r="A2" s="51" t="str">
        <f>HYPERLINK("[Monthly-Portfolio-ISIN-30-Sep-2025.xls]index!A1","")</f>
        <v/>
      </c>
      <c r="E2" s="6"/>
      <c r="F2" s="7"/>
      <c r="G2" s="17"/>
      <c r="H2" s="14"/>
      <c r="I2" s="15"/>
    </row>
    <row r="3" spans="1:11" s="1" customFormat="1" ht="12" x14ac:dyDescent="0.2">
      <c r="B3" s="10" t="s">
        <v>28</v>
      </c>
      <c r="C3" s="2"/>
      <c r="D3" s="3"/>
      <c r="E3" s="4"/>
      <c r="F3" s="5"/>
      <c r="G3" s="17"/>
      <c r="H3" s="14"/>
      <c r="I3" s="15"/>
    </row>
    <row r="4" spans="1:11" s="1" customFormat="1" ht="25.5" customHeight="1" x14ac:dyDescent="0.2">
      <c r="B4" s="19" t="s">
        <v>4</v>
      </c>
      <c r="C4" s="19" t="s">
        <v>5</v>
      </c>
      <c r="D4" s="20" t="s">
        <v>15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7</v>
      </c>
      <c r="J4" s="16"/>
      <c r="K4" s="12"/>
    </row>
    <row r="5" spans="1:11" x14ac:dyDescent="0.2">
      <c r="B5" s="25" t="s">
        <v>8</v>
      </c>
      <c r="C5" s="26"/>
      <c r="D5" s="26"/>
      <c r="E5" s="27"/>
      <c r="F5" s="28"/>
      <c r="G5" s="29"/>
      <c r="H5" s="30"/>
      <c r="I5" s="30"/>
    </row>
    <row r="6" spans="1:11" x14ac:dyDescent="0.2">
      <c r="B6" s="25" t="s">
        <v>10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17</v>
      </c>
      <c r="C7" s="26" t="s">
        <v>18</v>
      </c>
      <c r="D7" s="26" t="s">
        <v>23</v>
      </c>
      <c r="E7" s="31">
        <v>5000000</v>
      </c>
      <c r="F7" s="28">
        <v>4988.93</v>
      </c>
      <c r="G7" s="29">
        <v>1.65196665378102</v>
      </c>
      <c r="H7" s="30">
        <v>5.3994E-2</v>
      </c>
      <c r="I7" s="32"/>
    </row>
    <row r="8" spans="1:11" x14ac:dyDescent="0.2">
      <c r="B8" s="26" t="s">
        <v>19</v>
      </c>
      <c r="C8" s="26" t="s">
        <v>20</v>
      </c>
      <c r="D8" s="26" t="s">
        <v>23</v>
      </c>
      <c r="E8" s="31">
        <v>3500000</v>
      </c>
      <c r="F8" s="28">
        <v>3488.6985</v>
      </c>
      <c r="G8" s="29">
        <v>1.1552003309518999</v>
      </c>
      <c r="H8" s="30">
        <v>5.3746000000000002E-2</v>
      </c>
      <c r="I8" s="32"/>
    </row>
    <row r="9" spans="1:11" x14ac:dyDescent="0.2">
      <c r="B9" s="25" t="s">
        <v>9</v>
      </c>
      <c r="C9" s="25"/>
      <c r="D9" s="25"/>
      <c r="E9" s="33"/>
      <c r="F9" s="37">
        <f>SUM(F6:F8)</f>
        <v>8477.6285000000007</v>
      </c>
      <c r="G9" s="38">
        <f>SUM(G6:G8)</f>
        <v>2.8071669847329197</v>
      </c>
      <c r="H9" s="36"/>
      <c r="I9" s="36"/>
    </row>
    <row r="10" spans="1:11" x14ac:dyDescent="0.2">
      <c r="B10" s="39" t="s">
        <v>11</v>
      </c>
      <c r="C10" s="39"/>
      <c r="D10" s="39"/>
      <c r="E10" s="40"/>
      <c r="F10" s="41">
        <f>+F9</f>
        <v>8477.6285000000007</v>
      </c>
      <c r="G10" s="42">
        <f>+G9</f>
        <v>2.8071669847329197</v>
      </c>
      <c r="H10" s="36"/>
      <c r="I10" s="36"/>
    </row>
    <row r="11" spans="1:11" x14ac:dyDescent="0.2">
      <c r="B11" s="25"/>
      <c r="C11" s="26"/>
      <c r="D11" s="26"/>
      <c r="E11" s="27"/>
      <c r="F11" s="28"/>
      <c r="G11" s="29"/>
      <c r="H11" s="30"/>
      <c r="I11" s="30"/>
    </row>
    <row r="12" spans="1:11" x14ac:dyDescent="0.2">
      <c r="B12" s="25" t="s">
        <v>12</v>
      </c>
      <c r="C12" s="25"/>
      <c r="D12" s="25"/>
      <c r="E12" s="33"/>
      <c r="F12" s="34">
        <v>44321.379950000002</v>
      </c>
      <c r="G12" s="35">
        <v>14.675980967253199</v>
      </c>
      <c r="H12" s="43">
        <v>5.4942360000000003E-2</v>
      </c>
      <c r="I12" s="43"/>
    </row>
    <row r="13" spans="1:11" x14ac:dyDescent="0.2">
      <c r="B13" s="26"/>
      <c r="C13" s="26"/>
      <c r="D13" s="26"/>
      <c r="E13" s="27"/>
      <c r="F13" s="28"/>
      <c r="G13" s="29"/>
      <c r="H13" s="30"/>
      <c r="I13" s="30"/>
    </row>
    <row r="14" spans="1:11" x14ac:dyDescent="0.2">
      <c r="B14" s="25" t="s">
        <v>21</v>
      </c>
      <c r="C14" s="26"/>
      <c r="D14" s="26"/>
      <c r="E14" s="27"/>
      <c r="F14" s="28"/>
      <c r="G14" s="29"/>
      <c r="H14" s="30"/>
      <c r="I14" s="30"/>
    </row>
    <row r="15" spans="1:11" x14ac:dyDescent="0.2">
      <c r="B15" s="26" t="s">
        <v>22</v>
      </c>
      <c r="C15" s="26"/>
      <c r="D15" s="26"/>
      <c r="E15" s="27"/>
      <c r="F15" s="28">
        <v>99999.490470000004</v>
      </c>
      <c r="G15" s="29">
        <v>33.1124757516207</v>
      </c>
      <c r="H15" s="30">
        <v>5.5500000000000001E-2</v>
      </c>
      <c r="I15" s="30"/>
    </row>
    <row r="16" spans="1:11" x14ac:dyDescent="0.2">
      <c r="B16" s="26" t="s">
        <v>22</v>
      </c>
      <c r="C16" s="26"/>
      <c r="D16" s="26"/>
      <c r="E16" s="27"/>
      <c r="F16" s="28">
        <v>98499.781600000002</v>
      </c>
      <c r="G16" s="29">
        <v>32.6158824854054</v>
      </c>
      <c r="H16" s="30">
        <v>5.5500000000000001E-2</v>
      </c>
      <c r="I16" s="30"/>
    </row>
    <row r="17" spans="2:9" x14ac:dyDescent="0.2">
      <c r="B17" s="26" t="s">
        <v>22</v>
      </c>
      <c r="C17" s="26"/>
      <c r="D17" s="26"/>
      <c r="E17" s="27"/>
      <c r="F17" s="28">
        <v>50691.666666700003</v>
      </c>
      <c r="G17" s="29">
        <v>16.785351359504201</v>
      </c>
      <c r="H17" s="30">
        <v>5.57E-2</v>
      </c>
      <c r="I17" s="30"/>
    </row>
    <row r="18" spans="2:9" x14ac:dyDescent="0.2">
      <c r="B18" s="25" t="s">
        <v>11</v>
      </c>
      <c r="C18" s="25"/>
      <c r="D18" s="25"/>
      <c r="E18" s="33"/>
      <c r="F18" s="34">
        <v>249190.93873670002</v>
      </c>
      <c r="G18" s="35">
        <v>82.513709596530305</v>
      </c>
      <c r="H18" s="30"/>
      <c r="I18" s="30"/>
    </row>
    <row r="19" spans="2:9" x14ac:dyDescent="0.2">
      <c r="B19" s="26"/>
      <c r="C19" s="26"/>
      <c r="D19" s="26"/>
      <c r="E19" s="27"/>
      <c r="F19" s="28"/>
      <c r="G19" s="29"/>
      <c r="H19" s="30"/>
      <c r="I19" s="30"/>
    </row>
    <row r="20" spans="2:9" x14ac:dyDescent="0.2">
      <c r="B20" s="49" t="s">
        <v>14</v>
      </c>
      <c r="C20" s="49"/>
      <c r="D20" s="49"/>
      <c r="E20" s="50"/>
      <c r="F20" s="34">
        <f>F21-(F9+F12+F18)</f>
        <v>9.4901858000084758</v>
      </c>
      <c r="G20" s="35">
        <f>G21-(G9+G12+G18)</f>
        <v>3.1424514835691753E-3</v>
      </c>
      <c r="H20" s="36"/>
      <c r="I20" s="36"/>
    </row>
    <row r="21" spans="2:9" x14ac:dyDescent="0.2">
      <c r="B21" s="44" t="s">
        <v>13</v>
      </c>
      <c r="C21" s="44"/>
      <c r="D21" s="44"/>
      <c r="E21" s="45"/>
      <c r="F21" s="46">
        <v>301999.43737250002</v>
      </c>
      <c r="G21" s="47">
        <v>100</v>
      </c>
      <c r="H21" s="48"/>
      <c r="I21" s="48"/>
    </row>
    <row r="23" spans="2:9" x14ac:dyDescent="0.2">
      <c r="B23" s="52" t="s">
        <v>24</v>
      </c>
    </row>
    <row r="24" spans="2:9" x14ac:dyDescent="0.2">
      <c r="B24" s="52"/>
    </row>
    <row r="25" spans="2:9" ht="39.950000000000003" customHeight="1" x14ac:dyDescent="0.2">
      <c r="B25" s="59" t="s">
        <v>16</v>
      </c>
      <c r="C25" s="59"/>
      <c r="D25" s="59"/>
      <c r="E25" s="59"/>
      <c r="F25" s="59"/>
      <c r="G25" s="59"/>
      <c r="H25" s="59"/>
      <c r="I25" s="59"/>
    </row>
    <row r="26" spans="2:9" x14ac:dyDescent="0.2">
      <c r="B26" s="52"/>
      <c r="C26" s="52"/>
      <c r="D26" s="52"/>
      <c r="E26" s="52"/>
      <c r="F26" s="52"/>
      <c r="G26" s="52"/>
      <c r="H26" s="52"/>
      <c r="I26" s="52"/>
    </row>
    <row r="27" spans="2:9" x14ac:dyDescent="0.2">
      <c r="B27" s="18" t="s">
        <v>25</v>
      </c>
      <c r="E27" s="8"/>
      <c r="G27" s="54"/>
    </row>
    <row r="28" spans="2:9" x14ac:dyDescent="0.2">
      <c r="B28" s="18"/>
      <c r="C28" s="18"/>
      <c r="D28" s="53"/>
      <c r="E28" s="18"/>
      <c r="G28" s="54"/>
    </row>
    <row r="29" spans="2:9" x14ac:dyDescent="0.2">
      <c r="D29" s="55"/>
      <c r="E29" s="55"/>
      <c r="G29" s="54"/>
    </row>
    <row r="30" spans="2:9" x14ac:dyDescent="0.2">
      <c r="E30" s="8"/>
      <c r="G30" s="54"/>
    </row>
    <row r="31" spans="2:9" x14ac:dyDescent="0.2">
      <c r="E31" s="8"/>
      <c r="G31" s="54"/>
    </row>
    <row r="32" spans="2:9" x14ac:dyDescent="0.2">
      <c r="E32" s="8"/>
      <c r="G32" s="54"/>
    </row>
    <row r="33" spans="2:7" x14ac:dyDescent="0.2">
      <c r="B33" s="18"/>
      <c r="E33" s="8"/>
      <c r="G33" s="54"/>
    </row>
    <row r="34" spans="2:7" x14ac:dyDescent="0.2">
      <c r="E34" s="8"/>
      <c r="G34" s="54"/>
    </row>
    <row r="35" spans="2:7" x14ac:dyDescent="0.2">
      <c r="E35" s="8"/>
      <c r="G35" s="54"/>
    </row>
    <row r="36" spans="2:7" x14ac:dyDescent="0.2">
      <c r="E36" s="8"/>
      <c r="G36" s="54"/>
    </row>
    <row r="37" spans="2:7" x14ac:dyDescent="0.2">
      <c r="E37" s="8"/>
      <c r="G37" s="54"/>
    </row>
    <row r="38" spans="2:7" x14ac:dyDescent="0.2">
      <c r="E38" s="8"/>
      <c r="G38" s="54"/>
    </row>
    <row r="39" spans="2:7" x14ac:dyDescent="0.2">
      <c r="E39" s="8"/>
      <c r="G39" s="54"/>
    </row>
    <row r="40" spans="2:7" x14ac:dyDescent="0.2">
      <c r="E40" s="8"/>
      <c r="G40" s="54"/>
    </row>
    <row r="41" spans="2:7" x14ac:dyDescent="0.2">
      <c r="E41" s="8"/>
      <c r="G41" s="54"/>
    </row>
    <row r="42" spans="2:7" x14ac:dyDescent="0.2">
      <c r="E42" s="8"/>
      <c r="G42" s="54"/>
    </row>
    <row r="43" spans="2:7" x14ac:dyDescent="0.2">
      <c r="E43" s="8"/>
      <c r="G43" s="54"/>
    </row>
    <row r="44" spans="2:7" x14ac:dyDescent="0.2">
      <c r="E44" s="8"/>
      <c r="G44" s="54"/>
    </row>
    <row r="45" spans="2:7" x14ac:dyDescent="0.2">
      <c r="E45" s="8"/>
      <c r="G45" s="54"/>
    </row>
    <row r="46" spans="2:7" x14ac:dyDescent="0.2">
      <c r="E46" s="8"/>
      <c r="G46" s="54"/>
    </row>
    <row r="47" spans="2:7" x14ac:dyDescent="0.2">
      <c r="E47" s="8"/>
      <c r="G47" s="54"/>
    </row>
    <row r="48" spans="2:7" x14ac:dyDescent="0.2">
      <c r="B48" s="18" t="s">
        <v>26</v>
      </c>
      <c r="E48" s="8"/>
      <c r="G48" s="54"/>
    </row>
    <row r="49" spans="2:7" x14ac:dyDescent="0.2">
      <c r="B49" s="56" t="s">
        <v>27</v>
      </c>
      <c r="E49" s="8"/>
      <c r="G49" s="54"/>
    </row>
    <row r="50" spans="2:7" x14ac:dyDescent="0.2">
      <c r="E50" s="8"/>
      <c r="G50" s="54"/>
    </row>
    <row r="51" spans="2:7" x14ac:dyDescent="0.2">
      <c r="E51" s="8"/>
      <c r="G51" s="54"/>
    </row>
    <row r="52" spans="2:7" x14ac:dyDescent="0.2">
      <c r="E52" s="8"/>
      <c r="G52" s="54"/>
    </row>
    <row r="53" spans="2:7" x14ac:dyDescent="0.2">
      <c r="E53" s="8"/>
      <c r="G53" s="54"/>
    </row>
    <row r="54" spans="2:7" x14ac:dyDescent="0.2">
      <c r="E54" s="8"/>
      <c r="G54" s="54"/>
    </row>
    <row r="55" spans="2:7" x14ac:dyDescent="0.2">
      <c r="E55" s="8"/>
      <c r="G55" s="54"/>
    </row>
    <row r="56" spans="2:7" x14ac:dyDescent="0.2">
      <c r="E56" s="8"/>
      <c r="G56" s="54"/>
    </row>
    <row r="57" spans="2:7" x14ac:dyDescent="0.2">
      <c r="E57" s="8"/>
      <c r="G57" s="54"/>
    </row>
    <row r="58" spans="2:7" x14ac:dyDescent="0.2">
      <c r="E58" s="8"/>
      <c r="G58" s="54"/>
    </row>
    <row r="59" spans="2:7" x14ac:dyDescent="0.2">
      <c r="E59" s="8"/>
      <c r="G59" s="54"/>
    </row>
    <row r="60" spans="2:7" x14ac:dyDescent="0.2">
      <c r="E60" s="8"/>
      <c r="G60" s="54"/>
    </row>
    <row r="61" spans="2:7" x14ac:dyDescent="0.2">
      <c r="E61" s="8"/>
      <c r="G61" s="54"/>
    </row>
    <row r="62" spans="2:7" x14ac:dyDescent="0.2">
      <c r="E62" s="8"/>
      <c r="G62" s="54"/>
    </row>
    <row r="63" spans="2:7" x14ac:dyDescent="0.2">
      <c r="E63" s="8"/>
      <c r="G63" s="54"/>
    </row>
    <row r="64" spans="2:7" x14ac:dyDescent="0.2">
      <c r="E64" s="8"/>
      <c r="G64" s="54"/>
    </row>
    <row r="65" spans="5:7" x14ac:dyDescent="0.2">
      <c r="E65" s="8"/>
      <c r="G65" s="54"/>
    </row>
    <row r="66" spans="5:7" x14ac:dyDescent="0.2">
      <c r="E66" s="8"/>
      <c r="G66" s="54"/>
    </row>
    <row r="67" spans="5:7" x14ac:dyDescent="0.2">
      <c r="E67" s="8"/>
      <c r="G67" s="54"/>
    </row>
    <row r="68" spans="5:7" x14ac:dyDescent="0.2">
      <c r="E68" s="8"/>
      <c r="G68" s="54"/>
    </row>
    <row r="69" spans="5:7" x14ac:dyDescent="0.2">
      <c r="E69" s="8"/>
      <c r="G69" s="54"/>
    </row>
    <row r="70" spans="5:7" x14ac:dyDescent="0.2">
      <c r="E70" s="8"/>
      <c r="G70" s="54"/>
    </row>
    <row r="71" spans="5:7" x14ac:dyDescent="0.2">
      <c r="E71" s="8"/>
      <c r="G71" s="54"/>
    </row>
    <row r="72" spans="5:7" x14ac:dyDescent="0.2">
      <c r="E72" s="8"/>
      <c r="G72" s="54"/>
    </row>
    <row r="73" spans="5:7" x14ac:dyDescent="0.2">
      <c r="E73" s="8"/>
      <c r="G73" s="54"/>
    </row>
    <row r="74" spans="5:7" x14ac:dyDescent="0.2">
      <c r="E74" s="8"/>
      <c r="G74" s="54"/>
    </row>
    <row r="75" spans="5:7" x14ac:dyDescent="0.2">
      <c r="E75" s="8"/>
      <c r="G75" s="54"/>
    </row>
    <row r="76" spans="5:7" x14ac:dyDescent="0.2">
      <c r="E76" s="8"/>
      <c r="G76" s="54"/>
    </row>
    <row r="77" spans="5:7" x14ac:dyDescent="0.2">
      <c r="E77" s="8"/>
      <c r="G77" s="54"/>
    </row>
    <row r="78" spans="5:7" x14ac:dyDescent="0.2">
      <c r="E78" s="8"/>
      <c r="G78" s="54"/>
    </row>
    <row r="79" spans="5:7" x14ac:dyDescent="0.2">
      <c r="E79" s="8"/>
      <c r="G79" s="54"/>
    </row>
    <row r="80" spans="5:7" x14ac:dyDescent="0.2">
      <c r="E80" s="8"/>
      <c r="G80" s="54"/>
    </row>
    <row r="81" spans="5:7" x14ac:dyDescent="0.2">
      <c r="E81" s="8"/>
      <c r="G81" s="54"/>
    </row>
    <row r="82" spans="5:7" x14ac:dyDescent="0.2">
      <c r="E82" s="8"/>
      <c r="G82" s="54"/>
    </row>
    <row r="83" spans="5:7" x14ac:dyDescent="0.2">
      <c r="E83" s="8"/>
      <c r="G83" s="54"/>
    </row>
    <row r="84" spans="5:7" x14ac:dyDescent="0.2">
      <c r="E84" s="8"/>
      <c r="G84" s="54"/>
    </row>
    <row r="85" spans="5:7" x14ac:dyDescent="0.2">
      <c r="E85" s="8"/>
      <c r="G85" s="54"/>
    </row>
    <row r="86" spans="5:7" x14ac:dyDescent="0.2">
      <c r="E86" s="8"/>
      <c r="G86" s="54"/>
    </row>
    <row r="87" spans="5:7" x14ac:dyDescent="0.2">
      <c r="E87" s="8"/>
      <c r="G87" s="54"/>
    </row>
    <row r="88" spans="5:7" x14ac:dyDescent="0.2">
      <c r="E88" s="8"/>
      <c r="G88" s="54"/>
    </row>
    <row r="89" spans="5:7" x14ac:dyDescent="0.2">
      <c r="E89" s="8"/>
      <c r="G89" s="54"/>
    </row>
    <row r="90" spans="5:7" x14ac:dyDescent="0.2">
      <c r="E90" s="8"/>
      <c r="G90" s="54"/>
    </row>
    <row r="91" spans="5:7" x14ac:dyDescent="0.2">
      <c r="E91" s="8"/>
      <c r="G91" s="54"/>
    </row>
    <row r="92" spans="5:7" x14ac:dyDescent="0.2">
      <c r="E92" s="8"/>
      <c r="G92" s="54"/>
    </row>
    <row r="93" spans="5:7" x14ac:dyDescent="0.2">
      <c r="E93" s="8"/>
      <c r="G93" s="54"/>
    </row>
    <row r="94" spans="5:7" x14ac:dyDescent="0.2">
      <c r="E94" s="8"/>
      <c r="G94" s="54"/>
    </row>
    <row r="95" spans="5:7" x14ac:dyDescent="0.2">
      <c r="E95" s="8"/>
      <c r="G95" s="54"/>
    </row>
    <row r="96" spans="5:7" x14ac:dyDescent="0.2">
      <c r="E96" s="8"/>
      <c r="G96" s="54"/>
    </row>
    <row r="97" spans="5:7" x14ac:dyDescent="0.2">
      <c r="E97" s="8"/>
      <c r="G97" s="54"/>
    </row>
    <row r="98" spans="5:7" x14ac:dyDescent="0.2">
      <c r="E98" s="8"/>
      <c r="G98" s="54"/>
    </row>
    <row r="99" spans="5:7" x14ac:dyDescent="0.2">
      <c r="E99" s="8"/>
      <c r="G99" s="54"/>
    </row>
    <row r="100" spans="5:7" x14ac:dyDescent="0.2">
      <c r="E100" s="8"/>
      <c r="G100" s="54"/>
    </row>
    <row r="101" spans="5:7" x14ac:dyDescent="0.2">
      <c r="E101" s="8"/>
      <c r="G101" s="54"/>
    </row>
    <row r="102" spans="5:7" x14ac:dyDescent="0.2">
      <c r="E102" s="8"/>
      <c r="G102" s="54"/>
    </row>
    <row r="103" spans="5:7" x14ac:dyDescent="0.2">
      <c r="E103" s="8"/>
      <c r="G103" s="54"/>
    </row>
    <row r="104" spans="5:7" x14ac:dyDescent="0.2">
      <c r="E104" s="8"/>
      <c r="G104" s="54"/>
    </row>
    <row r="105" spans="5:7" x14ac:dyDescent="0.2">
      <c r="E105" s="8"/>
      <c r="G105" s="54"/>
    </row>
    <row r="106" spans="5:7" x14ac:dyDescent="0.2">
      <c r="E106" s="8"/>
      <c r="G106" s="54"/>
    </row>
    <row r="107" spans="5:7" x14ac:dyDescent="0.2">
      <c r="E107" s="8"/>
      <c r="G107" s="54"/>
    </row>
    <row r="108" spans="5:7" x14ac:dyDescent="0.2">
      <c r="E108" s="8"/>
      <c r="G108" s="54"/>
    </row>
    <row r="109" spans="5:7" x14ac:dyDescent="0.2">
      <c r="E109" s="8"/>
      <c r="G109" s="54"/>
    </row>
    <row r="110" spans="5:7" x14ac:dyDescent="0.2">
      <c r="E110" s="8"/>
      <c r="G110" s="54"/>
    </row>
    <row r="111" spans="5:7" x14ac:dyDescent="0.2">
      <c r="E111" s="8"/>
      <c r="G111" s="54"/>
    </row>
    <row r="112" spans="5:7" x14ac:dyDescent="0.2">
      <c r="E112" s="8"/>
      <c r="G112" s="54"/>
    </row>
    <row r="113" spans="5:7" x14ac:dyDescent="0.2">
      <c r="E113" s="8"/>
      <c r="G113" s="54"/>
    </row>
    <row r="114" spans="5:7" x14ac:dyDescent="0.2">
      <c r="E114" s="8"/>
      <c r="G114" s="54"/>
    </row>
    <row r="115" spans="5:7" x14ac:dyDescent="0.2">
      <c r="E115" s="8"/>
      <c r="G115" s="54"/>
    </row>
    <row r="116" spans="5:7" x14ac:dyDescent="0.2">
      <c r="E116" s="8"/>
      <c r="G116" s="54"/>
    </row>
    <row r="117" spans="5:7" x14ac:dyDescent="0.2">
      <c r="E117" s="8"/>
      <c r="G117" s="54"/>
    </row>
    <row r="118" spans="5:7" x14ac:dyDescent="0.2">
      <c r="E118" s="8"/>
      <c r="G118" s="54"/>
    </row>
    <row r="119" spans="5:7" x14ac:dyDescent="0.2">
      <c r="E119" s="8"/>
      <c r="G119" s="54"/>
    </row>
    <row r="120" spans="5:7" x14ac:dyDescent="0.2">
      <c r="E120" s="8"/>
      <c r="G120" s="54"/>
    </row>
    <row r="121" spans="5:7" x14ac:dyDescent="0.2">
      <c r="E121" s="8"/>
      <c r="G121" s="54"/>
    </row>
    <row r="122" spans="5:7" x14ac:dyDescent="0.2">
      <c r="E122" s="8"/>
      <c r="G122" s="54"/>
    </row>
    <row r="123" spans="5:7" x14ac:dyDescent="0.2">
      <c r="E123" s="8"/>
      <c r="G123" s="54"/>
    </row>
    <row r="124" spans="5:7" x14ac:dyDescent="0.2">
      <c r="E124" s="8"/>
      <c r="G124" s="54"/>
    </row>
    <row r="125" spans="5:7" x14ac:dyDescent="0.2">
      <c r="E125" s="8"/>
      <c r="G125" s="54"/>
    </row>
    <row r="126" spans="5:7" x14ac:dyDescent="0.2">
      <c r="E126" s="8"/>
      <c r="G126" s="54"/>
    </row>
    <row r="127" spans="5:7" x14ac:dyDescent="0.2">
      <c r="E127" s="8"/>
      <c r="G127" s="54"/>
    </row>
    <row r="128" spans="5:7" x14ac:dyDescent="0.2">
      <c r="E128" s="8"/>
      <c r="G128" s="54"/>
    </row>
    <row r="129" spans="5:7" x14ac:dyDescent="0.2">
      <c r="E129" s="8"/>
      <c r="G129" s="54"/>
    </row>
    <row r="130" spans="5:7" x14ac:dyDescent="0.2">
      <c r="E130" s="8"/>
      <c r="G130" s="54"/>
    </row>
    <row r="131" spans="5:7" x14ac:dyDescent="0.2">
      <c r="E131" s="8"/>
      <c r="G131" s="54"/>
    </row>
    <row r="132" spans="5:7" x14ac:dyDescent="0.2">
      <c r="E132" s="8"/>
      <c r="G132" s="54"/>
    </row>
    <row r="133" spans="5:7" x14ac:dyDescent="0.2">
      <c r="E133" s="8"/>
      <c r="G133" s="54"/>
    </row>
    <row r="134" spans="5:7" x14ac:dyDescent="0.2">
      <c r="E134" s="8"/>
      <c r="G134" s="54"/>
    </row>
    <row r="135" spans="5:7" x14ac:dyDescent="0.2">
      <c r="E135" s="8"/>
      <c r="G135" s="54"/>
    </row>
    <row r="136" spans="5:7" x14ac:dyDescent="0.2">
      <c r="E136" s="8"/>
      <c r="G136" s="54"/>
    </row>
    <row r="137" spans="5:7" x14ac:dyDescent="0.2">
      <c r="E137" s="8"/>
      <c r="G137" s="54"/>
    </row>
    <row r="138" spans="5:7" x14ac:dyDescent="0.2">
      <c r="E138" s="8"/>
      <c r="G138" s="54"/>
    </row>
    <row r="139" spans="5:7" x14ac:dyDescent="0.2">
      <c r="E139" s="8"/>
      <c r="G139" s="54"/>
    </row>
    <row r="140" spans="5:7" x14ac:dyDescent="0.2">
      <c r="E140" s="8"/>
      <c r="G140" s="54"/>
    </row>
    <row r="141" spans="5:7" x14ac:dyDescent="0.2">
      <c r="E141" s="8"/>
      <c r="G141" s="54"/>
    </row>
    <row r="142" spans="5:7" x14ac:dyDescent="0.2">
      <c r="E142" s="8"/>
      <c r="G142" s="54"/>
    </row>
    <row r="143" spans="5:7" x14ac:dyDescent="0.2">
      <c r="E143" s="8"/>
      <c r="G143" s="54"/>
    </row>
    <row r="144" spans="5:7" x14ac:dyDescent="0.2">
      <c r="E144" s="8"/>
      <c r="G144" s="54"/>
    </row>
    <row r="145" spans="5:7" x14ac:dyDescent="0.2">
      <c r="E145" s="8"/>
      <c r="G145" s="54"/>
    </row>
    <row r="146" spans="5:7" x14ac:dyDescent="0.2">
      <c r="E146" s="8"/>
      <c r="G146" s="54"/>
    </row>
    <row r="147" spans="5:7" x14ac:dyDescent="0.2">
      <c r="E147" s="8"/>
      <c r="G147" s="54"/>
    </row>
    <row r="148" spans="5:7" x14ac:dyDescent="0.2">
      <c r="E148" s="8"/>
      <c r="G148" s="54"/>
    </row>
    <row r="149" spans="5:7" x14ac:dyDescent="0.2">
      <c r="E149" s="8"/>
      <c r="G149" s="54"/>
    </row>
    <row r="150" spans="5:7" x14ac:dyDescent="0.2">
      <c r="E150" s="8"/>
      <c r="G150" s="54"/>
    </row>
    <row r="151" spans="5:7" x14ac:dyDescent="0.2">
      <c r="E151" s="8"/>
      <c r="G151" s="54"/>
    </row>
    <row r="152" spans="5:7" x14ac:dyDescent="0.2">
      <c r="E152" s="8"/>
      <c r="G152" s="54"/>
    </row>
    <row r="153" spans="5:7" x14ac:dyDescent="0.2">
      <c r="E153" s="8"/>
      <c r="G153" s="54"/>
    </row>
    <row r="154" spans="5:7" x14ac:dyDescent="0.2">
      <c r="E154" s="8"/>
      <c r="G154" s="54"/>
    </row>
    <row r="155" spans="5:7" x14ac:dyDescent="0.2">
      <c r="E155" s="8"/>
      <c r="G155" s="54"/>
    </row>
    <row r="156" spans="5:7" x14ac:dyDescent="0.2">
      <c r="E156" s="8"/>
      <c r="G156" s="54"/>
    </row>
    <row r="157" spans="5:7" x14ac:dyDescent="0.2">
      <c r="E157" s="8"/>
      <c r="G157" s="54"/>
    </row>
    <row r="158" spans="5:7" x14ac:dyDescent="0.2">
      <c r="E158" s="8"/>
      <c r="G158" s="54"/>
    </row>
    <row r="159" spans="5:7" x14ac:dyDescent="0.2">
      <c r="E159" s="8"/>
      <c r="G159" s="54"/>
    </row>
    <row r="160" spans="5:7" x14ac:dyDescent="0.2">
      <c r="E160" s="8"/>
      <c r="G160" s="54"/>
    </row>
    <row r="161" spans="5:7" x14ac:dyDescent="0.2">
      <c r="E161" s="8"/>
      <c r="G161" s="54"/>
    </row>
    <row r="162" spans="5:7" x14ac:dyDescent="0.2">
      <c r="E162" s="8"/>
      <c r="G162" s="54"/>
    </row>
    <row r="163" spans="5:7" x14ac:dyDescent="0.2">
      <c r="E163" s="8"/>
      <c r="G163" s="54"/>
    </row>
    <row r="164" spans="5:7" x14ac:dyDescent="0.2">
      <c r="E164" s="8"/>
      <c r="G164" s="54"/>
    </row>
    <row r="165" spans="5:7" x14ac:dyDescent="0.2">
      <c r="E165" s="8"/>
      <c r="G165" s="54"/>
    </row>
    <row r="166" spans="5:7" x14ac:dyDescent="0.2">
      <c r="E166" s="8"/>
      <c r="G166" s="54"/>
    </row>
    <row r="167" spans="5:7" x14ac:dyDescent="0.2">
      <c r="E167" s="8"/>
      <c r="G167" s="54"/>
    </row>
    <row r="168" spans="5:7" x14ac:dyDescent="0.2">
      <c r="E168" s="8"/>
      <c r="G168" s="54"/>
    </row>
    <row r="169" spans="5:7" x14ac:dyDescent="0.2">
      <c r="E169" s="8"/>
      <c r="G169" s="54"/>
    </row>
    <row r="170" spans="5:7" x14ac:dyDescent="0.2">
      <c r="E170" s="8"/>
      <c r="G170" s="54"/>
    </row>
    <row r="171" spans="5:7" x14ac:dyDescent="0.2">
      <c r="E171" s="8"/>
      <c r="G171" s="54"/>
    </row>
    <row r="172" spans="5:7" x14ac:dyDescent="0.2">
      <c r="E172" s="8"/>
      <c r="G172" s="54"/>
    </row>
    <row r="173" spans="5:7" x14ac:dyDescent="0.2">
      <c r="E173" s="8"/>
      <c r="G173" s="54"/>
    </row>
    <row r="174" spans="5:7" x14ac:dyDescent="0.2">
      <c r="E174" s="8"/>
      <c r="G174" s="54"/>
    </row>
    <row r="175" spans="5:7" x14ac:dyDescent="0.2">
      <c r="E175" s="8"/>
      <c r="G175" s="54"/>
    </row>
    <row r="176" spans="5:7" x14ac:dyDescent="0.2">
      <c r="E176" s="8"/>
      <c r="G176" s="54"/>
    </row>
    <row r="177" spans="5:7" x14ac:dyDescent="0.2">
      <c r="E177" s="8"/>
      <c r="G177" s="54"/>
    </row>
    <row r="178" spans="5:7" x14ac:dyDescent="0.2">
      <c r="E178" s="8"/>
      <c r="G178" s="54"/>
    </row>
    <row r="179" spans="5:7" x14ac:dyDescent="0.2">
      <c r="E179" s="8"/>
      <c r="G179" s="54"/>
    </row>
    <row r="180" spans="5:7" x14ac:dyDescent="0.2">
      <c r="E180" s="8"/>
      <c r="G180" s="54"/>
    </row>
    <row r="181" spans="5:7" x14ac:dyDescent="0.2">
      <c r="E181" s="8"/>
      <c r="G181" s="54"/>
    </row>
    <row r="182" spans="5:7" x14ac:dyDescent="0.2">
      <c r="E182" s="8"/>
      <c r="G182" s="54"/>
    </row>
    <row r="183" spans="5:7" x14ac:dyDescent="0.2">
      <c r="E183" s="8"/>
      <c r="G183" s="54"/>
    </row>
    <row r="184" spans="5:7" x14ac:dyDescent="0.2">
      <c r="E184" s="8"/>
      <c r="G184" s="54"/>
    </row>
    <row r="185" spans="5:7" x14ac:dyDescent="0.2">
      <c r="E185" s="8"/>
      <c r="G185" s="54"/>
    </row>
    <row r="186" spans="5:7" x14ac:dyDescent="0.2">
      <c r="E186" s="8"/>
      <c r="G186" s="54"/>
    </row>
    <row r="187" spans="5:7" x14ac:dyDescent="0.2">
      <c r="E187" s="8"/>
      <c r="G187" s="54"/>
    </row>
    <row r="188" spans="5:7" x14ac:dyDescent="0.2">
      <c r="E188" s="8"/>
      <c r="G188" s="54"/>
    </row>
    <row r="189" spans="5:7" x14ac:dyDescent="0.2">
      <c r="E189" s="8"/>
      <c r="G189" s="54"/>
    </row>
    <row r="190" spans="5:7" x14ac:dyDescent="0.2">
      <c r="E190" s="8"/>
      <c r="G190" s="54"/>
    </row>
    <row r="191" spans="5:7" x14ac:dyDescent="0.2">
      <c r="E191" s="8"/>
      <c r="G191" s="54"/>
    </row>
    <row r="192" spans="5:7" x14ac:dyDescent="0.2">
      <c r="E192" s="8"/>
      <c r="G192" s="54"/>
    </row>
    <row r="193" spans="5:7" x14ac:dyDescent="0.2">
      <c r="E193" s="8"/>
      <c r="G193" s="54"/>
    </row>
    <row r="194" spans="5:7" x14ac:dyDescent="0.2">
      <c r="E194" s="8"/>
      <c r="G194" s="54"/>
    </row>
    <row r="195" spans="5:7" x14ac:dyDescent="0.2">
      <c r="E195" s="8"/>
      <c r="G195" s="54"/>
    </row>
    <row r="196" spans="5:7" x14ac:dyDescent="0.2">
      <c r="E196" s="8"/>
      <c r="G196" s="54"/>
    </row>
    <row r="197" spans="5:7" x14ac:dyDescent="0.2">
      <c r="E197" s="8"/>
      <c r="G197" s="54"/>
    </row>
    <row r="198" spans="5:7" x14ac:dyDescent="0.2">
      <c r="E198" s="8"/>
      <c r="G198" s="54"/>
    </row>
    <row r="199" spans="5:7" x14ac:dyDescent="0.2">
      <c r="E199" s="8"/>
      <c r="G199" s="54"/>
    </row>
    <row r="200" spans="5:7" x14ac:dyDescent="0.2">
      <c r="E200" s="8"/>
      <c r="G200" s="54"/>
    </row>
    <row r="201" spans="5:7" x14ac:dyDescent="0.2">
      <c r="E201" s="8"/>
      <c r="G201" s="54"/>
    </row>
    <row r="202" spans="5:7" x14ac:dyDescent="0.2">
      <c r="E202" s="8"/>
      <c r="G202" s="54"/>
    </row>
    <row r="203" spans="5:7" x14ac:dyDescent="0.2">
      <c r="E203" s="8"/>
      <c r="G203" s="54"/>
    </row>
    <row r="204" spans="5:7" x14ac:dyDescent="0.2">
      <c r="E204" s="8"/>
      <c r="G204" s="54"/>
    </row>
    <row r="205" spans="5:7" x14ac:dyDescent="0.2">
      <c r="E205" s="8"/>
      <c r="G205" s="54"/>
    </row>
    <row r="206" spans="5:7" x14ac:dyDescent="0.2">
      <c r="E206" s="8"/>
      <c r="G206" s="54"/>
    </row>
    <row r="207" spans="5:7" x14ac:dyDescent="0.2">
      <c r="E207" s="8"/>
      <c r="G207" s="54"/>
    </row>
    <row r="208" spans="5:7" x14ac:dyDescent="0.2">
      <c r="E208" s="8"/>
      <c r="G208" s="54"/>
    </row>
    <row r="209" spans="5:7" x14ac:dyDescent="0.2">
      <c r="E209" s="8"/>
      <c r="G209" s="54"/>
    </row>
    <row r="210" spans="5:7" x14ac:dyDescent="0.2">
      <c r="E210" s="8"/>
      <c r="G210" s="54"/>
    </row>
    <row r="211" spans="5:7" x14ac:dyDescent="0.2">
      <c r="E211" s="8"/>
      <c r="G211" s="54"/>
    </row>
    <row r="212" spans="5:7" x14ac:dyDescent="0.2">
      <c r="E212" s="8"/>
      <c r="G212" s="54"/>
    </row>
    <row r="213" spans="5:7" x14ac:dyDescent="0.2">
      <c r="E213" s="8"/>
      <c r="G213" s="54"/>
    </row>
    <row r="214" spans="5:7" x14ac:dyDescent="0.2">
      <c r="E214" s="8"/>
      <c r="G214" s="54"/>
    </row>
    <row r="215" spans="5:7" x14ac:dyDescent="0.2">
      <c r="E215" s="8"/>
      <c r="G215" s="54"/>
    </row>
    <row r="216" spans="5:7" x14ac:dyDescent="0.2">
      <c r="E216" s="8"/>
      <c r="G216" s="54"/>
    </row>
    <row r="217" spans="5:7" x14ac:dyDescent="0.2">
      <c r="E217" s="8"/>
      <c r="G217" s="54"/>
    </row>
    <row r="218" spans="5:7" x14ac:dyDescent="0.2">
      <c r="E218" s="8"/>
      <c r="G218" s="54"/>
    </row>
    <row r="219" spans="5:7" x14ac:dyDescent="0.2">
      <c r="E219" s="8"/>
      <c r="G219" s="54"/>
    </row>
    <row r="220" spans="5:7" x14ac:dyDescent="0.2">
      <c r="E220" s="8"/>
      <c r="G220" s="54"/>
    </row>
    <row r="221" spans="5:7" x14ac:dyDescent="0.2">
      <c r="E221" s="8"/>
      <c r="G221" s="54"/>
    </row>
    <row r="222" spans="5:7" x14ac:dyDescent="0.2">
      <c r="E222" s="8"/>
      <c r="G222" s="54"/>
    </row>
    <row r="223" spans="5:7" x14ac:dyDescent="0.2">
      <c r="E223" s="8"/>
      <c r="G223" s="54"/>
    </row>
    <row r="224" spans="5:7" x14ac:dyDescent="0.2">
      <c r="E224" s="8"/>
      <c r="G224" s="54"/>
    </row>
    <row r="225" spans="5:7" x14ac:dyDescent="0.2">
      <c r="E225" s="8"/>
      <c r="G225" s="54"/>
    </row>
    <row r="226" spans="5:7" x14ac:dyDescent="0.2">
      <c r="E226" s="8"/>
      <c r="G226" s="54"/>
    </row>
    <row r="227" spans="5:7" x14ac:dyDescent="0.2">
      <c r="E227" s="8"/>
      <c r="G227" s="54"/>
    </row>
    <row r="228" spans="5:7" x14ac:dyDescent="0.2">
      <c r="E228" s="8"/>
      <c r="G228" s="54"/>
    </row>
    <row r="229" spans="5:7" x14ac:dyDescent="0.2">
      <c r="E229" s="8"/>
      <c r="G229" s="54"/>
    </row>
    <row r="230" spans="5:7" x14ac:dyDescent="0.2">
      <c r="E230" s="8"/>
      <c r="G230" s="54"/>
    </row>
    <row r="231" spans="5:7" x14ac:dyDescent="0.2">
      <c r="E231" s="8"/>
      <c r="G231" s="54"/>
    </row>
    <row r="232" spans="5:7" x14ac:dyDescent="0.2">
      <c r="E232" s="8"/>
      <c r="G232" s="54"/>
    </row>
    <row r="233" spans="5:7" x14ac:dyDescent="0.2">
      <c r="E233" s="8"/>
      <c r="G233" s="54"/>
    </row>
    <row r="234" spans="5:7" x14ac:dyDescent="0.2">
      <c r="E234" s="8"/>
      <c r="G234" s="54"/>
    </row>
    <row r="235" spans="5:7" x14ac:dyDescent="0.2">
      <c r="E235" s="8"/>
      <c r="G235" s="54"/>
    </row>
    <row r="236" spans="5:7" x14ac:dyDescent="0.2">
      <c r="E236" s="8"/>
      <c r="G236" s="54"/>
    </row>
    <row r="237" spans="5:7" x14ac:dyDescent="0.2">
      <c r="E237" s="8"/>
      <c r="G237" s="54"/>
    </row>
    <row r="238" spans="5:7" x14ac:dyDescent="0.2">
      <c r="E238" s="8"/>
      <c r="G238" s="54"/>
    </row>
    <row r="239" spans="5:7" x14ac:dyDescent="0.2">
      <c r="E239" s="8"/>
      <c r="G239" s="54"/>
    </row>
    <row r="240" spans="5:7" x14ac:dyDescent="0.2">
      <c r="E240" s="8"/>
      <c r="G240" s="54"/>
    </row>
    <row r="241" spans="5:7" x14ac:dyDescent="0.2">
      <c r="E241" s="8"/>
      <c r="G241" s="54"/>
    </row>
    <row r="242" spans="5:7" x14ac:dyDescent="0.2">
      <c r="E242" s="8"/>
      <c r="G242" s="54"/>
    </row>
    <row r="243" spans="5:7" x14ac:dyDescent="0.2">
      <c r="E243" s="8"/>
      <c r="G243" s="54"/>
    </row>
    <row r="244" spans="5:7" x14ac:dyDescent="0.2">
      <c r="E244" s="8"/>
      <c r="G244" s="54"/>
    </row>
    <row r="245" spans="5:7" x14ac:dyDescent="0.2">
      <c r="E245" s="8"/>
      <c r="G245" s="54"/>
    </row>
    <row r="246" spans="5:7" x14ac:dyDescent="0.2">
      <c r="E246" s="8"/>
      <c r="G246" s="54"/>
    </row>
    <row r="247" spans="5:7" x14ac:dyDescent="0.2">
      <c r="E247" s="8"/>
      <c r="G247" s="54"/>
    </row>
    <row r="248" spans="5:7" x14ac:dyDescent="0.2">
      <c r="E248" s="8"/>
      <c r="G248" s="54"/>
    </row>
    <row r="249" spans="5:7" x14ac:dyDescent="0.2">
      <c r="E249" s="8"/>
      <c r="G249" s="54"/>
    </row>
    <row r="250" spans="5:7" x14ac:dyDescent="0.2">
      <c r="E250" s="8"/>
      <c r="G250" s="54"/>
    </row>
    <row r="251" spans="5:7" x14ac:dyDescent="0.2">
      <c r="E251" s="8"/>
      <c r="G251" s="54"/>
    </row>
    <row r="252" spans="5:7" x14ac:dyDescent="0.2">
      <c r="E252" s="8"/>
      <c r="G252" s="54"/>
    </row>
    <row r="253" spans="5:7" x14ac:dyDescent="0.2">
      <c r="E253" s="8"/>
      <c r="G253" s="54"/>
    </row>
  </sheetData>
  <mergeCells count="2">
    <mergeCell ref="B1:C1"/>
    <mergeCell ref="B25:I25"/>
  </mergeCells>
  <conditionalFormatting sqref="G1:G3 G5:G24 G27:G65537">
    <cfRule type="cellIs" dxfId="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61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JBOF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2025-10-07T10:32:05Z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2025-10-07T10:30:58Z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ad0e34c3-d81c-4ac2-ba35-88b58716f515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