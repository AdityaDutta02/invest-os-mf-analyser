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7388C186-BCE7-4082-B3D8-A0EFDFBC1E8A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NM150" sheetId="12" r:id="rId1"/>
  </sheets>
  <definedNames>
    <definedName name="_xlnm.Print_Area" localSheetId="0">JBNM150!$B$1:$H$221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12" l="1"/>
  <c r="G163" i="12" s="1"/>
  <c r="F157" i="12"/>
  <c r="F163" i="12" s="1"/>
  <c r="F160" i="12" l="1"/>
  <c r="G160" i="12"/>
</calcChain>
</file>

<file path=xl/sharedStrings.xml><?xml version="1.0" encoding="utf-8"?>
<sst xmlns="http://schemas.openxmlformats.org/spreadsheetml/2006/main" count="489" uniqueCount="376">
  <si>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</si>
  <si>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</si>
  <si>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</si>
  <si>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</si>
  <si>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</si>
  <si>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</si>
  <si>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</si>
  <si>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Nifty Midcap 150 Index Fund</t>
  </si>
  <si>
    <t>Equity &amp; Equity related</t>
  </si>
  <si>
    <t>(a) Listed / awaiting listing on Stock Exchanges</t>
  </si>
  <si>
    <t>Banks</t>
  </si>
  <si>
    <t>Telecom - Services</t>
  </si>
  <si>
    <t>Automobiles</t>
  </si>
  <si>
    <t>Construction</t>
  </si>
  <si>
    <t>Petroleum Products</t>
  </si>
  <si>
    <t>Power</t>
  </si>
  <si>
    <t>IT - Software</t>
  </si>
  <si>
    <t>Escorts Kubota Ltd</t>
  </si>
  <si>
    <t>INE042A01014</t>
  </si>
  <si>
    <t>Agricultural, Commercial &amp; Construction Vehicles</t>
  </si>
  <si>
    <t>Ferrous Metals</t>
  </si>
  <si>
    <t>Apollo Tyres Ltd</t>
  </si>
  <si>
    <t>INE438A01022</t>
  </si>
  <si>
    <t>Auto Components</t>
  </si>
  <si>
    <t>Transport Services</t>
  </si>
  <si>
    <t>Multi Commodity Exchange Of India Ltd</t>
  </si>
  <si>
    <t>INE745G01043</t>
  </si>
  <si>
    <t>Capital Markets</t>
  </si>
  <si>
    <t>Retailing</t>
  </si>
  <si>
    <t>Consumer Durables</t>
  </si>
  <si>
    <t>ICICI Prudential Asset Management Co Ltd</t>
  </si>
  <si>
    <t>INE346A01027</t>
  </si>
  <si>
    <t>Federal Bank Ltd</t>
  </si>
  <si>
    <t>INE171A01029</t>
  </si>
  <si>
    <t>Pharmaceuticals &amp; Biotechnology</t>
  </si>
  <si>
    <t>Oil</t>
  </si>
  <si>
    <t>Insurance</t>
  </si>
  <si>
    <t>Lenskart Solutions Ltd</t>
  </si>
  <si>
    <t>INE956O01016</t>
  </si>
  <si>
    <t>Life Insurance Corporation Of India</t>
  </si>
  <si>
    <t>INE0J1Y01017</t>
  </si>
  <si>
    <t>Hero MotoCorp Ltd</t>
  </si>
  <si>
    <t>INE158A01026</t>
  </si>
  <si>
    <t>Yes Bank Ltd</t>
  </si>
  <si>
    <t>INE528G01035</t>
  </si>
  <si>
    <t>Max Financial Services Ltd</t>
  </si>
  <si>
    <t>INE180A01020</t>
  </si>
  <si>
    <t>Cement &amp; Cement Products</t>
  </si>
  <si>
    <t>Billionbrains Garage Ventures Ltd</t>
  </si>
  <si>
    <t>INE0HOQ01053</t>
  </si>
  <si>
    <t>IPCA Laboratories Ltd</t>
  </si>
  <si>
    <t>INE571A01038</t>
  </si>
  <si>
    <t>Beverages</t>
  </si>
  <si>
    <t>Ashok Leyland Ltd</t>
  </si>
  <si>
    <t>INE208A01029</t>
  </si>
  <si>
    <t>Hindustan Petroleum Corporation Ltd</t>
  </si>
  <si>
    <t>INE094A01015</t>
  </si>
  <si>
    <t>Steel Authority of India Ltd</t>
  </si>
  <si>
    <t>INE114A01011</t>
  </si>
  <si>
    <t>Schaeffler India Ltd</t>
  </si>
  <si>
    <t>INE513A01022</t>
  </si>
  <si>
    <t>MRF Ltd</t>
  </si>
  <si>
    <t>INE883A01011</t>
  </si>
  <si>
    <t>United Breweries Ltd</t>
  </si>
  <si>
    <t>INE686F01025</t>
  </si>
  <si>
    <t>Laurus Labs Ltd</t>
  </si>
  <si>
    <t>INE947Q01028</t>
  </si>
  <si>
    <t>Mahindra &amp; Mahindra Financial Services Ltd</t>
  </si>
  <si>
    <t>INE774D01024</t>
  </si>
  <si>
    <t>Finance</t>
  </si>
  <si>
    <t>Nippon Life India Asset Management Ltd</t>
  </si>
  <si>
    <t>INE298J01013</t>
  </si>
  <si>
    <t>Oracle Financial Services Software Ltd</t>
  </si>
  <si>
    <t>INE881D01027</t>
  </si>
  <si>
    <t>Sub Total</t>
  </si>
  <si>
    <t xml:space="preserve">(b) Unlisted </t>
  </si>
  <si>
    <t>NIL</t>
  </si>
  <si>
    <t>Total</t>
  </si>
  <si>
    <t>TREPS</t>
  </si>
  <si>
    <t>Grand Total</t>
  </si>
  <si>
    <t>Net Receivables / (Payables)</t>
  </si>
  <si>
    <t>Industry Classification</t>
  </si>
  <si>
    <t>Notes</t>
  </si>
  <si>
    <t xml:space="preserve">Scheme Risk-O-Meter </t>
  </si>
  <si>
    <t>Aerospace &amp; Defense</t>
  </si>
  <si>
    <t>Non - Ferrous Metals</t>
  </si>
  <si>
    <t>Transport Infrastructure</t>
  </si>
  <si>
    <t>Healthcare Services</t>
  </si>
  <si>
    <t>Agricultural Food &amp; Other Products</t>
  </si>
  <si>
    <t>Industrial Products</t>
  </si>
  <si>
    <t>Leisure Services</t>
  </si>
  <si>
    <t>Electrical Equipment</t>
  </si>
  <si>
    <t>Gas</t>
  </si>
  <si>
    <t>Personal Products</t>
  </si>
  <si>
    <t>Chemicals &amp; Petrochemicals</t>
  </si>
  <si>
    <t>Realty</t>
  </si>
  <si>
    <t>Industrial Manufacturing</t>
  </si>
  <si>
    <t>BSE Ltd</t>
  </si>
  <si>
    <t>INE118H01025</t>
  </si>
  <si>
    <t>Suzlon Energy Ltd</t>
  </si>
  <si>
    <t>INE040H01021</t>
  </si>
  <si>
    <t>IndusInd Bank Ltd</t>
  </si>
  <si>
    <t>INE095A01012</t>
  </si>
  <si>
    <t>AU Small Finance Bank Ltd</t>
  </si>
  <si>
    <t>INE949L01017</t>
  </si>
  <si>
    <t>PB Fintech Ltd</t>
  </si>
  <si>
    <t>INE417T01026</t>
  </si>
  <si>
    <t>Financial Technology (Fintech)</t>
  </si>
  <si>
    <t>Lupin Ltd</t>
  </si>
  <si>
    <t>INE326A01037</t>
  </si>
  <si>
    <t>Ge Vernova T&amp;D India Ltd</t>
  </si>
  <si>
    <t>INE200A01026</t>
  </si>
  <si>
    <t>Indus Towers Ltd</t>
  </si>
  <si>
    <t>INE121J01017</t>
  </si>
  <si>
    <t>Persistent Systems Ltd</t>
  </si>
  <si>
    <t>INE262H01021</t>
  </si>
  <si>
    <t>Bharat Heavy Electricals Ltd</t>
  </si>
  <si>
    <t>INE257A01026</t>
  </si>
  <si>
    <t>Bharat Forge Ltd</t>
  </si>
  <si>
    <t>INE465A01025</t>
  </si>
  <si>
    <t>Fortis Healthcare Ltd</t>
  </si>
  <si>
    <t>INE061F01013</t>
  </si>
  <si>
    <t>IDFC First Bank Ltd</t>
  </si>
  <si>
    <t>INE092T01019</t>
  </si>
  <si>
    <t>One 97 Communications Ltd</t>
  </si>
  <si>
    <t>INE982J01020</t>
  </si>
  <si>
    <t>Dixon Technologies (India) Ltd</t>
  </si>
  <si>
    <t>INE935N01020</t>
  </si>
  <si>
    <t>Polycab India Ltd</t>
  </si>
  <si>
    <t>INE455K01017</t>
  </si>
  <si>
    <t>ICICI Lombard General Insurance Co Ltd</t>
  </si>
  <si>
    <t>INE765G01017</t>
  </si>
  <si>
    <t>Hitachi Energy India Ltd</t>
  </si>
  <si>
    <t>INE07Y701011</t>
  </si>
  <si>
    <t>Marico Ltd</t>
  </si>
  <si>
    <t>INE196A01026</t>
  </si>
  <si>
    <t>Coforge Ltd</t>
  </si>
  <si>
    <t>INE591G01025</t>
  </si>
  <si>
    <t>Aurobindo Pharma Ltd</t>
  </si>
  <si>
    <t>INE406A01037</t>
  </si>
  <si>
    <t>Info Edge (India) Ltd</t>
  </si>
  <si>
    <t>INE663F01032</t>
  </si>
  <si>
    <t>Swiggy Ltd</t>
  </si>
  <si>
    <t>INE00H001014</t>
  </si>
  <si>
    <t>SRF Ltd</t>
  </si>
  <si>
    <t>INE647A01010</t>
  </si>
  <si>
    <t>Glenmark Pharmaceuticals Ltd</t>
  </si>
  <si>
    <t>INE935A01035</t>
  </si>
  <si>
    <t>FSN E-Commerce Ventures Ltd</t>
  </si>
  <si>
    <t>INE388Y01029</t>
  </si>
  <si>
    <t>UPL Ltd</t>
  </si>
  <si>
    <t>INE628A01036</t>
  </si>
  <si>
    <t>Fertilizers &amp; Agrochemicals</t>
  </si>
  <si>
    <t>National Aluminium Co Ltd</t>
  </si>
  <si>
    <t>INE139A01034</t>
  </si>
  <si>
    <t>APL Apollo Tubes Ltd</t>
  </si>
  <si>
    <t>INE702C01027</t>
  </si>
  <si>
    <t>GMR Airports Ltd</t>
  </si>
  <si>
    <t>INE776C01039</t>
  </si>
  <si>
    <t>Torrent Power Ltd</t>
  </si>
  <si>
    <t>INE813H01021</t>
  </si>
  <si>
    <t>Phoenix Mills Ltd</t>
  </si>
  <si>
    <t>INE211B01039</t>
  </si>
  <si>
    <t>Voltas Ltd</t>
  </si>
  <si>
    <t>INE226A01021</t>
  </si>
  <si>
    <t>Alkem Laboratories Ltd</t>
  </si>
  <si>
    <t>INE540L01014</t>
  </si>
  <si>
    <t>Tube Investments of India Ltd</t>
  </si>
  <si>
    <t>INE974X01010</t>
  </si>
  <si>
    <t>Havells India Ltd</t>
  </si>
  <si>
    <t>INE176B01034</t>
  </si>
  <si>
    <t>NMDC Ltd</t>
  </si>
  <si>
    <t>INE584A01023</t>
  </si>
  <si>
    <t>Minerals &amp; Mining</t>
  </si>
  <si>
    <t>Sundaram Finance Ltd</t>
  </si>
  <si>
    <t>INE660A01013</t>
  </si>
  <si>
    <t>JSW Energy Ltd</t>
  </si>
  <si>
    <t>INE121E01018</t>
  </si>
  <si>
    <t>Mphasis Ltd</t>
  </si>
  <si>
    <t>INE356A01018</t>
  </si>
  <si>
    <t>Indian Bank</t>
  </si>
  <si>
    <t>INE562A01011</t>
  </si>
  <si>
    <t>KEI Industries Ltd</t>
  </si>
  <si>
    <t>INE878B01027</t>
  </si>
  <si>
    <t>Waaree Energies Ltd</t>
  </si>
  <si>
    <t>INE377N01017</t>
  </si>
  <si>
    <t>Aditya Birla Capital Ltd</t>
  </si>
  <si>
    <t>INE674K01013</t>
  </si>
  <si>
    <t>Vodafone Idea Ltd</t>
  </si>
  <si>
    <t>INE669E01016</t>
  </si>
  <si>
    <t>Colgate Palmolive (India) Ltd</t>
  </si>
  <si>
    <t>INE259A01022</t>
  </si>
  <si>
    <t>Godrej Properties Ltd</t>
  </si>
  <si>
    <t>INE484J01027</t>
  </si>
  <si>
    <t>360 One Wam Ltd</t>
  </si>
  <si>
    <t>INE466L01038</t>
  </si>
  <si>
    <t>Radico Khaitan Ltd</t>
  </si>
  <si>
    <t>INE944F01028</t>
  </si>
  <si>
    <t>Oil India Ltd</t>
  </si>
  <si>
    <t>INE274J01014</t>
  </si>
  <si>
    <t>NHPC Ltd</t>
  </si>
  <si>
    <t>INE848E01016</t>
  </si>
  <si>
    <t>Dabur India Ltd</t>
  </si>
  <si>
    <t>INE016A01026</t>
  </si>
  <si>
    <t>Vishal Mega Mart Ltd</t>
  </si>
  <si>
    <t>INE01EA01019</t>
  </si>
  <si>
    <t>Biocon Ltd</t>
  </si>
  <si>
    <t>INE376G01013</t>
  </si>
  <si>
    <t>Mankind Pharma Ltd</t>
  </si>
  <si>
    <t>INE634S01028</t>
  </si>
  <si>
    <t>PI Industries Ltd</t>
  </si>
  <si>
    <t>INE603J01030</t>
  </si>
  <si>
    <t>Jindal Stainless Ltd</t>
  </si>
  <si>
    <t>INE220G01021</t>
  </si>
  <si>
    <t>Prestige Estates Projects Ltd</t>
  </si>
  <si>
    <t>INE811K01011</t>
  </si>
  <si>
    <t>L&amp;T Finance Ltd</t>
  </si>
  <si>
    <t>INE498L01015</t>
  </si>
  <si>
    <t>Coromandel International Ltd</t>
  </si>
  <si>
    <t>INE169A01031</t>
  </si>
  <si>
    <t>Supreme Industries Ltd</t>
  </si>
  <si>
    <t>INE195A01028</t>
  </si>
  <si>
    <t>Page Industries Ltd</t>
  </si>
  <si>
    <t>INE761H01022</t>
  </si>
  <si>
    <t>Textiles &amp; Apparels</t>
  </si>
  <si>
    <t>Blue Star Ltd</t>
  </si>
  <si>
    <t>INE472A01039</t>
  </si>
  <si>
    <t>Lloyds Metals And Energy Ltd</t>
  </si>
  <si>
    <t>INE281B01032</t>
  </si>
  <si>
    <t>J.K. Cement Ltd</t>
  </si>
  <si>
    <t>INE823G01014</t>
  </si>
  <si>
    <t>Apar Industries Ltd</t>
  </si>
  <si>
    <t>INE372A01015</t>
  </si>
  <si>
    <t>Petronet LNG Ltd</t>
  </si>
  <si>
    <t>INE347G01014</t>
  </si>
  <si>
    <t>ICICI Prudential Life Insurance Co Ltd</t>
  </si>
  <si>
    <t>INE726G01019</t>
  </si>
  <si>
    <t>Uno Minda Ltd</t>
  </si>
  <si>
    <t>INE405E01023</t>
  </si>
  <si>
    <t>Oberoi Realty Ltd</t>
  </si>
  <si>
    <t>INE093I01010</t>
  </si>
  <si>
    <t>SBI Cards and Payment Services Ltd</t>
  </si>
  <si>
    <t>INE018E01016</t>
  </si>
  <si>
    <t>Jubilant Foodworks Ltd</t>
  </si>
  <si>
    <t>INE797F01020</t>
  </si>
  <si>
    <t>Astral Ltd</t>
  </si>
  <si>
    <t>INE006I01046</t>
  </si>
  <si>
    <t>Tata Communications Ltd</t>
  </si>
  <si>
    <t>INE151A01013</t>
  </si>
  <si>
    <t>ITC Hotels Ltd</t>
  </si>
  <si>
    <t>INE379A01028</t>
  </si>
  <si>
    <t>Adani Total Gas Ltd</t>
  </si>
  <si>
    <t>INE399L01023</t>
  </si>
  <si>
    <t>Container Corporation Of India Ltd</t>
  </si>
  <si>
    <t>INE111A01025</t>
  </si>
  <si>
    <t>Balkrishna Industries Ltd</t>
  </si>
  <si>
    <t>INE787D01026</t>
  </si>
  <si>
    <t>Bank of India</t>
  </si>
  <si>
    <t>INE084A01016</t>
  </si>
  <si>
    <t>Rail Vikas Nigam Ltd</t>
  </si>
  <si>
    <t>INE415G01027</t>
  </si>
  <si>
    <t>LIC Housing Finance Ltd</t>
  </si>
  <si>
    <t>INE115A01026</t>
  </si>
  <si>
    <t>Exide Industries Ltd</t>
  </si>
  <si>
    <t>INE302A01020</t>
  </si>
  <si>
    <t>Indian Railway Catering And Tourism Corporation Ltd</t>
  </si>
  <si>
    <t>INE335Y01020</t>
  </si>
  <si>
    <t>Bank Of Maharashtra</t>
  </si>
  <si>
    <t>INE457A01014</t>
  </si>
  <si>
    <t>Patanjali Foods Ltd</t>
  </si>
  <si>
    <t>INE619A01035</t>
  </si>
  <si>
    <t>Agricultural Food &amp; other Products</t>
  </si>
  <si>
    <t>Kalyan Jewellers India Ltd</t>
  </si>
  <si>
    <t>INE303R01014</t>
  </si>
  <si>
    <t>Thermax Ltd</t>
  </si>
  <si>
    <t>INE152A01029</t>
  </si>
  <si>
    <t>Linde India Ltd</t>
  </si>
  <si>
    <t>INE473A01011</t>
  </si>
  <si>
    <t>AIA Engineering Ltd</t>
  </si>
  <si>
    <t>INE212H01026</t>
  </si>
  <si>
    <t>Dalmia Bharat Ltd</t>
  </si>
  <si>
    <t>INE00R701025</t>
  </si>
  <si>
    <t>Gujarat Fluorochemicals Ltd</t>
  </si>
  <si>
    <t>INE09N301011</t>
  </si>
  <si>
    <t>Cochin Shipyard Ltd</t>
  </si>
  <si>
    <t>INE704P01025</t>
  </si>
  <si>
    <t>Tata Elxsi Ltd</t>
  </si>
  <si>
    <t>INE670A01012</t>
  </si>
  <si>
    <t>LG Electronics India Ltd</t>
  </si>
  <si>
    <t>INE324D01010</t>
  </si>
  <si>
    <t>Berger Paints India Ltd</t>
  </si>
  <si>
    <t>INE463A01038</t>
  </si>
  <si>
    <t>Abbott India Ltd</t>
  </si>
  <si>
    <t>INE358A01014</t>
  </si>
  <si>
    <t>Bharat Dynamics Ltd</t>
  </si>
  <si>
    <t>INE171Z01026</t>
  </si>
  <si>
    <t>Authum Investment &amp; Infrastructure Ltd</t>
  </si>
  <si>
    <t>INE206F01022</t>
  </si>
  <si>
    <t>Motilal Oswal Financial Services Ltd</t>
  </si>
  <si>
    <t>INE338I01027</t>
  </si>
  <si>
    <t>KPIT Technologies Ltd</t>
  </si>
  <si>
    <t>INE04I401011</t>
  </si>
  <si>
    <t>General Insurance Corporation Of India</t>
  </si>
  <si>
    <t>INE481Y01014</t>
  </si>
  <si>
    <t>HDB Financial Services Ltd</t>
  </si>
  <si>
    <t>INE756I01012</t>
  </si>
  <si>
    <t>Ajanta Pharma Ltd</t>
  </si>
  <si>
    <t>INE031B01049</t>
  </si>
  <si>
    <t>Premier Energies Ltd</t>
  </si>
  <si>
    <t>INE0BS701011</t>
  </si>
  <si>
    <t>Bharti Hexacom Ltd</t>
  </si>
  <si>
    <t>INE343G01021</t>
  </si>
  <si>
    <t>Housing &amp; Urban Development Corporation Ltd</t>
  </si>
  <si>
    <t>INE031A01017</t>
  </si>
  <si>
    <t>Awl Agri Business Ltd</t>
  </si>
  <si>
    <t>INE699H01024</t>
  </si>
  <si>
    <t>Indian Renewable Energy Development Agency Ltd</t>
  </si>
  <si>
    <t>INE202E01016</t>
  </si>
  <si>
    <t>CRISIL Ltd</t>
  </si>
  <si>
    <t>INE007A01025</t>
  </si>
  <si>
    <t>K.P.R. Mill Ltd</t>
  </si>
  <si>
    <t>INE930H01031</t>
  </si>
  <si>
    <t>NLC India Ltd</t>
  </si>
  <si>
    <t>INE589A01014</t>
  </si>
  <si>
    <t>NTPC Green Energy Ltd</t>
  </si>
  <si>
    <t>INE0ONG01011</t>
  </si>
  <si>
    <t>L&amp;T Technology Services Ltd</t>
  </si>
  <si>
    <t>INE010V01017</t>
  </si>
  <si>
    <t>IT - Services</t>
  </si>
  <si>
    <t>Glaxosmithkline Pharmaceuticals Ltd</t>
  </si>
  <si>
    <t>INE159A01016</t>
  </si>
  <si>
    <t>Bajaj Housing Finance Ltd</t>
  </si>
  <si>
    <t>INE377Y01014</t>
  </si>
  <si>
    <t>Global Health Ltd</t>
  </si>
  <si>
    <t>INE474Q01031</t>
  </si>
  <si>
    <t>3M India Ltd</t>
  </si>
  <si>
    <t>INE470A01017</t>
  </si>
  <si>
    <t>Diversified</t>
  </si>
  <si>
    <t>Tata Investment Corporation Ltd</t>
  </si>
  <si>
    <t>INE672A01026</t>
  </si>
  <si>
    <t>Godfrey Phillips India Ltd</t>
  </si>
  <si>
    <t>INE260B01028</t>
  </si>
  <si>
    <t>Cigarettes &amp; Tobacco Products</t>
  </si>
  <si>
    <t>JSW Infrastructure Ltd</t>
  </si>
  <si>
    <t>INE880J01026</t>
  </si>
  <si>
    <t>ACC Ltd</t>
  </si>
  <si>
    <t>INE012A01025</t>
  </si>
  <si>
    <t>Endurance Technologies Ltd</t>
  </si>
  <si>
    <t>INE913H01037</t>
  </si>
  <si>
    <t>Honeywell Automation India Ltd</t>
  </si>
  <si>
    <t>INE671A01010</t>
  </si>
  <si>
    <t>Hexaware Technologies Ltd</t>
  </si>
  <si>
    <t>INE093A01041</t>
  </si>
  <si>
    <t>SJVN Ltd</t>
  </si>
  <si>
    <t>INE002L01015</t>
  </si>
  <si>
    <t>Anthem Biosciences Ltd</t>
  </si>
  <si>
    <t>INE0CZ201020</t>
  </si>
  <si>
    <t>Godrej Industries Ltd</t>
  </si>
  <si>
    <t>INE233A01035</t>
  </si>
  <si>
    <t>The New India Assurance Co Ltd</t>
  </si>
  <si>
    <t>INE470Y01017</t>
  </si>
  <si>
    <t>Benchmark Risk-O-Meter</t>
  </si>
  <si>
    <t>Benchmark Name - NIFTY Midcap 150 Index (TRI)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</si>
  <si>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</si>
  <si>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</si>
  <si>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</si>
  <si>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</si>
  <si>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</si>
  <si>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</si>
  <si>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</si>
  <si>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As on March 31, 2026</t>
  </si>
  <si>
    <t>(5) Total outstanding exposure in derivative instruments as on April 30, 2026 is Rs. Nil.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</si>
  <si>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</si>
  <si>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</si>
  <si>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(4) There was no distribution (of income and capital) during the Month ended April 30, 2026.</t>
  </si>
  <si>
    <t>(7) During the period, the portfolio turnover ratio is 0.37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</si>
</sst>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%"/>
  </numFmts>
  <fonts count="12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0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5" fontId="6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5" xfId="0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3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6" fillId="2" borderId="0" xfId="0" applyFont="1" applyFill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6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184</xdr:row>
      <xdr:rowOff>85725</xdr:rowOff>
    </xdr:from>
    <xdr:to>
      <xdr:col>2</xdr:col>
      <xdr:colOff>720725</xdr:colOff>
      <xdr:row>199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45344-87BF-44C3-AA12-894728258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566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203</xdr:row>
      <xdr:rowOff>47625</xdr:rowOff>
    </xdr:from>
    <xdr:to>
      <xdr:col>2</xdr:col>
      <xdr:colOff>625475</xdr:colOff>
      <xdr:row>219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C6AB9-B128-400C-A795-55B111FF5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44275"/>
          <a:ext cx="374015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1E8E0-AE5A-4295-AE17-8231E67129DD}">
  <dimension ref="A1:I202"/>
  <sheetViews>
    <sheetView tabSelected="1" view="pageBreakPreview" zoomScale="90" zoomScaleNormal="100" zoomScaleSheetLayoutView="9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20" style="6" customWidth="1"/>
    <col min="4" max="4" width="32.1796875" style="6" bestFit="1" customWidth="1"/>
    <col min="5" max="5" width="13.54296875" style="6" bestFit="1" customWidth="1"/>
    <col min="6" max="6" width="13.1796875" style="8" customWidth="1"/>
    <col min="7" max="7" width="6.7265625" style="10" bestFit="1" customWidth="1"/>
    <col min="8" max="8" width="14.453125" style="6" bestFit="1" customWidth="1"/>
    <col min="9" max="16384" width="9.1796875" style="6"/>
  </cols>
  <sheetData>
    <row r="1" spans="1:8" s="1" customFormat="1" ht="16.75" customHeight="1" x14ac:dyDescent="0.35">
      <c r="B1" s="48" t="s">
        <v>7</v>
      </c>
      <c r="C1" s="49"/>
      <c r="D1" s="9"/>
      <c r="F1" s="5"/>
      <c r="G1" s="10"/>
    </row>
    <row r="2" spans="1:8" s="1" customFormat="1" ht="14.5" x14ac:dyDescent="0.35">
      <c r="A2" s="38" t="s">
        <v>363</v>
      </c>
      <c r="F2" s="5"/>
      <c r="G2" s="10"/>
    </row>
    <row r="3" spans="1:8" s="1" customFormat="1" ht="11.5" x14ac:dyDescent="0.25">
      <c r="B3" s="7" t="s">
        <v>6</v>
      </c>
      <c r="C3" s="2"/>
      <c r="D3" s="3"/>
      <c r="E3" s="3"/>
      <c r="F3" s="4"/>
      <c r="G3" s="10"/>
    </row>
    <row r="4" spans="1:8" s="1" customFormat="1" ht="25.5" customHeight="1" x14ac:dyDescent="0.25">
      <c r="B4" s="13" t="s">
        <v>4</v>
      </c>
      <c r="C4" s="13" t="s">
        <v>5</v>
      </c>
      <c r="D4" s="14" t="s">
        <v>81</v>
      </c>
      <c r="E4" s="14" t="s">
        <v>0</v>
      </c>
      <c r="F4" s="15" t="s">
        <v>1</v>
      </c>
      <c r="G4" s="16" t="s">
        <v>2</v>
      </c>
      <c r="H4" s="37" t="s">
        <v>3</v>
      </c>
    </row>
    <row r="5" spans="1:8" ht="10.5" x14ac:dyDescent="0.25">
      <c r="B5" s="17" t="s">
        <v>8</v>
      </c>
      <c r="C5" s="18"/>
      <c r="D5" s="18"/>
      <c r="E5" s="18"/>
      <c r="F5" s="19"/>
      <c r="G5" s="20"/>
      <c r="H5" s="18"/>
    </row>
    <row r="6" spans="1:8" ht="10.5" x14ac:dyDescent="0.25">
      <c r="B6" s="17" t="s">
        <v>9</v>
      </c>
      <c r="C6" s="18"/>
      <c r="D6" s="18"/>
      <c r="E6" s="18"/>
      <c r="F6" s="19"/>
      <c r="G6" s="20"/>
      <c r="H6" s="18"/>
    </row>
    <row r="7" spans="1:8" x14ac:dyDescent="0.2">
      <c r="B7" s="18" t="s">
        <v>97</v>
      </c>
      <c r="C7" s="18" t="s">
        <v>98</v>
      </c>
      <c r="D7" s="18" t="s">
        <v>27</v>
      </c>
      <c r="E7" s="21">
        <v>25546</v>
      </c>
      <c r="F7" s="19">
        <v>930.00212999999997</v>
      </c>
      <c r="G7" s="20">
        <v>3.8020236382205601</v>
      </c>
      <c r="H7" s="22"/>
    </row>
    <row r="8" spans="1:8" x14ac:dyDescent="0.2">
      <c r="B8" s="18" t="s">
        <v>25</v>
      </c>
      <c r="C8" s="18" t="s">
        <v>26</v>
      </c>
      <c r="D8" s="18" t="s">
        <v>27</v>
      </c>
      <c r="E8" s="21">
        <v>15949</v>
      </c>
      <c r="F8" s="19">
        <v>473.92453499999999</v>
      </c>
      <c r="G8" s="20">
        <v>1.93749264294985</v>
      </c>
      <c r="H8" s="22"/>
    </row>
    <row r="9" spans="1:8" x14ac:dyDescent="0.2">
      <c r="B9" s="18" t="s">
        <v>32</v>
      </c>
      <c r="C9" s="18" t="s">
        <v>33</v>
      </c>
      <c r="D9" s="18" t="s">
        <v>10</v>
      </c>
      <c r="E9" s="21">
        <v>153883</v>
      </c>
      <c r="F9" s="19">
        <v>441.56726850000001</v>
      </c>
      <c r="G9" s="20">
        <v>1.80521005118718</v>
      </c>
      <c r="H9" s="22"/>
    </row>
    <row r="10" spans="1:8" x14ac:dyDescent="0.2">
      <c r="B10" s="18" t="s">
        <v>99</v>
      </c>
      <c r="C10" s="18" t="s">
        <v>100</v>
      </c>
      <c r="D10" s="18" t="s">
        <v>91</v>
      </c>
      <c r="E10" s="21">
        <v>758820</v>
      </c>
      <c r="F10" s="19">
        <v>421.75215600000001</v>
      </c>
      <c r="G10" s="20">
        <v>1.7242021441203399</v>
      </c>
      <c r="H10" s="22"/>
    </row>
    <row r="11" spans="1:8" x14ac:dyDescent="0.2">
      <c r="B11" s="18" t="s">
        <v>41</v>
      </c>
      <c r="C11" s="18" t="s">
        <v>42</v>
      </c>
      <c r="D11" s="18" t="s">
        <v>12</v>
      </c>
      <c r="E11" s="21">
        <v>8115</v>
      </c>
      <c r="F11" s="19">
        <v>413.78384999999997</v>
      </c>
      <c r="G11" s="20">
        <v>1.6916262103764299</v>
      </c>
      <c r="H11" s="22"/>
    </row>
    <row r="12" spans="1:8" x14ac:dyDescent="0.2">
      <c r="B12" s="18" t="s">
        <v>101</v>
      </c>
      <c r="C12" s="18" t="s">
        <v>102</v>
      </c>
      <c r="D12" s="18" t="s">
        <v>10</v>
      </c>
      <c r="E12" s="21">
        <v>41171</v>
      </c>
      <c r="F12" s="19">
        <v>377.14694550000002</v>
      </c>
      <c r="G12" s="20">
        <v>1.5418476534819101</v>
      </c>
      <c r="H12" s="22"/>
    </row>
    <row r="13" spans="1:8" x14ac:dyDescent="0.2">
      <c r="B13" s="18" t="s">
        <v>103</v>
      </c>
      <c r="C13" s="18" t="s">
        <v>104</v>
      </c>
      <c r="D13" s="18" t="s">
        <v>10</v>
      </c>
      <c r="E13" s="21">
        <v>35359</v>
      </c>
      <c r="F13" s="19">
        <v>359.2297605</v>
      </c>
      <c r="G13" s="20">
        <v>1.4685988310298901</v>
      </c>
      <c r="H13" s="22"/>
    </row>
    <row r="14" spans="1:8" x14ac:dyDescent="0.2">
      <c r="B14" s="18" t="s">
        <v>105</v>
      </c>
      <c r="C14" s="18" t="s">
        <v>106</v>
      </c>
      <c r="D14" s="18" t="s">
        <v>107</v>
      </c>
      <c r="E14" s="21">
        <v>21300</v>
      </c>
      <c r="F14" s="19">
        <v>354.9006</v>
      </c>
      <c r="G14" s="20">
        <v>1.450900408603</v>
      </c>
      <c r="H14" s="22"/>
    </row>
    <row r="15" spans="1:8" x14ac:dyDescent="0.2">
      <c r="B15" s="18" t="s">
        <v>108</v>
      </c>
      <c r="C15" s="18" t="s">
        <v>109</v>
      </c>
      <c r="D15" s="18" t="s">
        <v>34</v>
      </c>
      <c r="E15" s="21">
        <v>15162</v>
      </c>
      <c r="F15" s="19">
        <v>349.51442400000002</v>
      </c>
      <c r="G15" s="20">
        <v>1.42888070799047</v>
      </c>
      <c r="H15" s="22"/>
    </row>
    <row r="16" spans="1:8" x14ac:dyDescent="0.2">
      <c r="B16" s="18" t="s">
        <v>110</v>
      </c>
      <c r="C16" s="18" t="s">
        <v>111</v>
      </c>
      <c r="D16" s="18" t="s">
        <v>91</v>
      </c>
      <c r="E16" s="21">
        <v>7746</v>
      </c>
      <c r="F16" s="19">
        <v>345.95185199999997</v>
      </c>
      <c r="G16" s="20">
        <v>1.4143162435447101</v>
      </c>
      <c r="H16" s="22"/>
    </row>
    <row r="17" spans="2:8" x14ac:dyDescent="0.2">
      <c r="B17" s="18" t="s">
        <v>112</v>
      </c>
      <c r="C17" s="18" t="s">
        <v>113</v>
      </c>
      <c r="D17" s="18" t="s">
        <v>11</v>
      </c>
      <c r="E17" s="21">
        <v>80916</v>
      </c>
      <c r="F17" s="19">
        <v>331.71514200000001</v>
      </c>
      <c r="G17" s="20">
        <v>1.3561138951796701</v>
      </c>
      <c r="H17" s="22"/>
    </row>
    <row r="18" spans="2:8" x14ac:dyDescent="0.2">
      <c r="B18" s="18" t="s">
        <v>114</v>
      </c>
      <c r="C18" s="18" t="s">
        <v>115</v>
      </c>
      <c r="D18" s="18" t="s">
        <v>16</v>
      </c>
      <c r="E18" s="21">
        <v>6802</v>
      </c>
      <c r="F18" s="19">
        <v>326.49599999999998</v>
      </c>
      <c r="G18" s="20">
        <v>1.3347770609777601</v>
      </c>
      <c r="H18" s="22"/>
    </row>
    <row r="19" spans="2:8" x14ac:dyDescent="0.2">
      <c r="B19" s="18" t="s">
        <v>116</v>
      </c>
      <c r="C19" s="18" t="s">
        <v>117</v>
      </c>
      <c r="D19" s="18" t="s">
        <v>91</v>
      </c>
      <c r="E19" s="21">
        <v>91255</v>
      </c>
      <c r="F19" s="19">
        <v>321.5917455</v>
      </c>
      <c r="G19" s="20">
        <v>1.3147275461053101</v>
      </c>
      <c r="H19" s="22"/>
    </row>
    <row r="20" spans="2:8" x14ac:dyDescent="0.2">
      <c r="B20" s="18" t="s">
        <v>118</v>
      </c>
      <c r="C20" s="18" t="s">
        <v>119</v>
      </c>
      <c r="D20" s="18" t="s">
        <v>23</v>
      </c>
      <c r="E20" s="21">
        <v>16664</v>
      </c>
      <c r="F20" s="19">
        <v>313.549824</v>
      </c>
      <c r="G20" s="20">
        <v>1.28185065835053</v>
      </c>
      <c r="H20" s="22"/>
    </row>
    <row r="21" spans="2:8" x14ac:dyDescent="0.2">
      <c r="B21" s="18" t="s">
        <v>120</v>
      </c>
      <c r="C21" s="18" t="s">
        <v>121</v>
      </c>
      <c r="D21" s="18" t="s">
        <v>87</v>
      </c>
      <c r="E21" s="21">
        <v>32578</v>
      </c>
      <c r="F21" s="19">
        <v>300.678651</v>
      </c>
      <c r="G21" s="20">
        <v>1.2292308820951501</v>
      </c>
      <c r="H21" s="22"/>
    </row>
    <row r="22" spans="2:8" x14ac:dyDescent="0.2">
      <c r="B22" s="18" t="s">
        <v>53</v>
      </c>
      <c r="C22" s="18" t="s">
        <v>54</v>
      </c>
      <c r="D22" s="18" t="s">
        <v>19</v>
      </c>
      <c r="E22" s="21">
        <v>178865</v>
      </c>
      <c r="F22" s="19">
        <v>289.9222785</v>
      </c>
      <c r="G22" s="20">
        <v>1.18525680807179</v>
      </c>
      <c r="H22" s="22"/>
    </row>
    <row r="23" spans="2:8" x14ac:dyDescent="0.2">
      <c r="B23" s="18" t="s">
        <v>122</v>
      </c>
      <c r="C23" s="18" t="s">
        <v>123</v>
      </c>
      <c r="D23" s="18" t="s">
        <v>10</v>
      </c>
      <c r="E23" s="21">
        <v>414120</v>
      </c>
      <c r="F23" s="19">
        <v>288.393168</v>
      </c>
      <c r="G23" s="20">
        <v>1.17900551672641</v>
      </c>
      <c r="H23" s="22"/>
    </row>
    <row r="24" spans="2:8" x14ac:dyDescent="0.2">
      <c r="B24" s="18" t="s">
        <v>124</v>
      </c>
      <c r="C24" s="18" t="s">
        <v>125</v>
      </c>
      <c r="D24" s="18" t="s">
        <v>107</v>
      </c>
      <c r="E24" s="21">
        <v>26292</v>
      </c>
      <c r="F24" s="19">
        <v>288.10773599999999</v>
      </c>
      <c r="G24" s="20">
        <v>1.1778386170214601</v>
      </c>
      <c r="H24" s="22"/>
    </row>
    <row r="25" spans="2:8" x14ac:dyDescent="0.2">
      <c r="B25" s="18" t="s">
        <v>126</v>
      </c>
      <c r="C25" s="18" t="s">
        <v>127</v>
      </c>
      <c r="D25" s="18" t="s">
        <v>29</v>
      </c>
      <c r="E25" s="21">
        <v>2579</v>
      </c>
      <c r="F25" s="19">
        <v>287.98403500000001</v>
      </c>
      <c r="G25" s="20">
        <v>1.1773329040656499</v>
      </c>
      <c r="H25" s="22"/>
    </row>
    <row r="26" spans="2:8" x14ac:dyDescent="0.2">
      <c r="B26" s="18" t="s">
        <v>65</v>
      </c>
      <c r="C26" s="18" t="s">
        <v>66</v>
      </c>
      <c r="D26" s="18" t="s">
        <v>34</v>
      </c>
      <c r="E26" s="21">
        <v>24323</v>
      </c>
      <c r="F26" s="19">
        <v>267.78406849999999</v>
      </c>
      <c r="G26" s="20">
        <v>1.0947516414568601</v>
      </c>
      <c r="H26" s="22"/>
    </row>
    <row r="27" spans="2:8" x14ac:dyDescent="0.2">
      <c r="B27" s="18" t="s">
        <v>128</v>
      </c>
      <c r="C27" s="18" t="s">
        <v>129</v>
      </c>
      <c r="D27" s="18" t="s">
        <v>89</v>
      </c>
      <c r="E27" s="21">
        <v>3299</v>
      </c>
      <c r="F27" s="19">
        <v>267.56539500000002</v>
      </c>
      <c r="G27" s="20">
        <v>1.0938576630569901</v>
      </c>
      <c r="H27" s="22"/>
    </row>
    <row r="28" spans="2:8" x14ac:dyDescent="0.2">
      <c r="B28" s="18" t="s">
        <v>130</v>
      </c>
      <c r="C28" s="18" t="s">
        <v>131</v>
      </c>
      <c r="D28" s="18" t="s">
        <v>36</v>
      </c>
      <c r="E28" s="21">
        <v>15162</v>
      </c>
      <c r="F28" s="19">
        <v>267.33638400000001</v>
      </c>
      <c r="G28" s="20">
        <v>1.09292142301266</v>
      </c>
      <c r="H28" s="22"/>
    </row>
    <row r="29" spans="2:8" x14ac:dyDescent="0.2">
      <c r="B29" s="18" t="s">
        <v>132</v>
      </c>
      <c r="C29" s="18" t="s">
        <v>133</v>
      </c>
      <c r="D29" s="18" t="s">
        <v>91</v>
      </c>
      <c r="E29" s="21">
        <v>795</v>
      </c>
      <c r="F29" s="19">
        <v>266.72250000000003</v>
      </c>
      <c r="G29" s="20">
        <v>1.0904117497508099</v>
      </c>
      <c r="H29" s="22"/>
    </row>
    <row r="30" spans="2:8" x14ac:dyDescent="0.2">
      <c r="B30" s="18" t="s">
        <v>45</v>
      </c>
      <c r="C30" s="18" t="s">
        <v>46</v>
      </c>
      <c r="D30" s="18" t="s">
        <v>36</v>
      </c>
      <c r="E30" s="21">
        <v>16581</v>
      </c>
      <c r="F30" s="19">
        <v>262.92491699999999</v>
      </c>
      <c r="G30" s="20">
        <v>1.0748865161321499</v>
      </c>
      <c r="H30" s="22"/>
    </row>
    <row r="31" spans="2:8" x14ac:dyDescent="0.2">
      <c r="B31" s="18" t="s">
        <v>134</v>
      </c>
      <c r="C31" s="18" t="s">
        <v>135</v>
      </c>
      <c r="D31" s="18" t="s">
        <v>88</v>
      </c>
      <c r="E31" s="21">
        <v>33085</v>
      </c>
      <c r="F31" s="19">
        <v>256.40875</v>
      </c>
      <c r="G31" s="20">
        <v>1.0482471997634999</v>
      </c>
      <c r="H31" s="22"/>
    </row>
    <row r="32" spans="2:8" x14ac:dyDescent="0.2">
      <c r="B32" s="18" t="s">
        <v>136</v>
      </c>
      <c r="C32" s="18" t="s">
        <v>137</v>
      </c>
      <c r="D32" s="18" t="s">
        <v>16</v>
      </c>
      <c r="E32" s="21">
        <v>20996</v>
      </c>
      <c r="F32" s="19">
        <v>251.09116399999999</v>
      </c>
      <c r="G32" s="20">
        <v>1.0265079079725501</v>
      </c>
      <c r="H32" s="22"/>
    </row>
    <row r="33" spans="2:8" x14ac:dyDescent="0.2">
      <c r="B33" s="18" t="s">
        <v>138</v>
      </c>
      <c r="C33" s="18" t="s">
        <v>139</v>
      </c>
      <c r="D33" s="18" t="s">
        <v>34</v>
      </c>
      <c r="E33" s="21">
        <v>17475</v>
      </c>
      <c r="F33" s="19">
        <v>242.81512499999999</v>
      </c>
      <c r="G33" s="20">
        <v>0.99267390384093002</v>
      </c>
      <c r="H33" s="22"/>
    </row>
    <row r="34" spans="2:8" x14ac:dyDescent="0.2">
      <c r="B34" s="18" t="s">
        <v>140</v>
      </c>
      <c r="C34" s="18" t="s">
        <v>141</v>
      </c>
      <c r="D34" s="18" t="s">
        <v>28</v>
      </c>
      <c r="E34" s="21">
        <v>23888</v>
      </c>
      <c r="F34" s="19">
        <v>232.394408</v>
      </c>
      <c r="G34" s="20">
        <v>0.95007205263742001</v>
      </c>
      <c r="H34" s="22"/>
    </row>
    <row r="35" spans="2:8" x14ac:dyDescent="0.2">
      <c r="B35" s="18" t="s">
        <v>142</v>
      </c>
      <c r="C35" s="18" t="s">
        <v>143</v>
      </c>
      <c r="D35" s="18" t="s">
        <v>28</v>
      </c>
      <c r="E35" s="21">
        <v>85782</v>
      </c>
      <c r="F35" s="19">
        <v>231.86874599999999</v>
      </c>
      <c r="G35" s="20">
        <v>0.94792304750587897</v>
      </c>
      <c r="H35" s="22"/>
    </row>
    <row r="36" spans="2:8" x14ac:dyDescent="0.2">
      <c r="B36" s="18" t="s">
        <v>144</v>
      </c>
      <c r="C36" s="18" t="s">
        <v>145</v>
      </c>
      <c r="D36" s="18" t="s">
        <v>94</v>
      </c>
      <c r="E36" s="21">
        <v>9075</v>
      </c>
      <c r="F36" s="19">
        <v>228.56295</v>
      </c>
      <c r="G36" s="20">
        <v>0.93440833164696502</v>
      </c>
      <c r="H36" s="22"/>
    </row>
    <row r="37" spans="2:8" x14ac:dyDescent="0.2">
      <c r="B37" s="18" t="s">
        <v>146</v>
      </c>
      <c r="C37" s="18" t="s">
        <v>147</v>
      </c>
      <c r="D37" s="18" t="s">
        <v>34</v>
      </c>
      <c r="E37" s="21">
        <v>9413</v>
      </c>
      <c r="F37" s="19">
        <v>226.505019</v>
      </c>
      <c r="G37" s="20">
        <v>0.92599512262794204</v>
      </c>
      <c r="H37" s="22"/>
    </row>
    <row r="38" spans="2:8" x14ac:dyDescent="0.2">
      <c r="B38" s="18" t="s">
        <v>148</v>
      </c>
      <c r="C38" s="18" t="s">
        <v>149</v>
      </c>
      <c r="D38" s="18" t="s">
        <v>28</v>
      </c>
      <c r="E38" s="21">
        <v>85483</v>
      </c>
      <c r="F38" s="19">
        <v>226.32479079999999</v>
      </c>
      <c r="G38" s="20">
        <v>0.92525831584592499</v>
      </c>
      <c r="H38" s="22"/>
    </row>
    <row r="39" spans="2:8" x14ac:dyDescent="0.2">
      <c r="B39" s="18" t="s">
        <v>150</v>
      </c>
      <c r="C39" s="18" t="s">
        <v>151</v>
      </c>
      <c r="D39" s="18" t="s">
        <v>152</v>
      </c>
      <c r="E39" s="21">
        <v>35059</v>
      </c>
      <c r="F39" s="19">
        <v>225.02619150000001</v>
      </c>
      <c r="G39" s="20">
        <v>0.919949397644655</v>
      </c>
      <c r="H39" s="22"/>
    </row>
    <row r="40" spans="2:8" x14ac:dyDescent="0.2">
      <c r="B40" s="18" t="s">
        <v>55</v>
      </c>
      <c r="C40" s="18" t="s">
        <v>56</v>
      </c>
      <c r="D40" s="18" t="s">
        <v>14</v>
      </c>
      <c r="E40" s="21">
        <v>60033</v>
      </c>
      <c r="F40" s="19">
        <v>224.8536015</v>
      </c>
      <c r="G40" s="20">
        <v>0.91924381726096205</v>
      </c>
      <c r="H40" s="22"/>
    </row>
    <row r="41" spans="2:8" x14ac:dyDescent="0.2">
      <c r="B41" s="18" t="s">
        <v>153</v>
      </c>
      <c r="C41" s="18" t="s">
        <v>154</v>
      </c>
      <c r="D41" s="18" t="s">
        <v>85</v>
      </c>
      <c r="E41" s="21">
        <v>56060</v>
      </c>
      <c r="F41" s="19">
        <v>223.84757999999999</v>
      </c>
      <c r="G41" s="20">
        <v>0.91513101213915304</v>
      </c>
      <c r="H41" s="22"/>
    </row>
    <row r="42" spans="2:8" x14ac:dyDescent="0.2">
      <c r="B42" s="18" t="s">
        <v>43</v>
      </c>
      <c r="C42" s="18" t="s">
        <v>44</v>
      </c>
      <c r="D42" s="18" t="s">
        <v>10</v>
      </c>
      <c r="E42" s="21">
        <v>1097811</v>
      </c>
      <c r="F42" s="19">
        <v>218.79373229999999</v>
      </c>
      <c r="G42" s="20">
        <v>0.89446993212703796</v>
      </c>
      <c r="H42" s="22"/>
    </row>
    <row r="43" spans="2:8" x14ac:dyDescent="0.2">
      <c r="B43" s="18" t="s">
        <v>155</v>
      </c>
      <c r="C43" s="18" t="s">
        <v>156</v>
      </c>
      <c r="D43" s="18" t="s">
        <v>89</v>
      </c>
      <c r="E43" s="21">
        <v>11372</v>
      </c>
      <c r="F43" s="19">
        <v>216.63659999999999</v>
      </c>
      <c r="G43" s="20">
        <v>0.88565116953413003</v>
      </c>
      <c r="H43" s="22"/>
    </row>
    <row r="44" spans="2:8" x14ac:dyDescent="0.2">
      <c r="B44" s="18" t="s">
        <v>157</v>
      </c>
      <c r="C44" s="18" t="s">
        <v>158</v>
      </c>
      <c r="D44" s="18" t="s">
        <v>86</v>
      </c>
      <c r="E44" s="21">
        <v>223068</v>
      </c>
      <c r="F44" s="19">
        <v>215.10447239999999</v>
      </c>
      <c r="G44" s="20">
        <v>0.87938754371644501</v>
      </c>
      <c r="H44" s="22"/>
    </row>
    <row r="45" spans="2:8" x14ac:dyDescent="0.2">
      <c r="B45" s="18" t="s">
        <v>159</v>
      </c>
      <c r="C45" s="18" t="s">
        <v>160</v>
      </c>
      <c r="D45" s="18" t="s">
        <v>15</v>
      </c>
      <c r="E45" s="21">
        <v>11883</v>
      </c>
      <c r="F45" s="19">
        <v>206.28888000000001</v>
      </c>
      <c r="G45" s="20">
        <v>0.84334774379715105</v>
      </c>
      <c r="H45" s="22"/>
    </row>
    <row r="46" spans="2:8" x14ac:dyDescent="0.2">
      <c r="B46" s="18" t="s">
        <v>161</v>
      </c>
      <c r="C46" s="18" t="s">
        <v>162</v>
      </c>
      <c r="D46" s="18" t="s">
        <v>95</v>
      </c>
      <c r="E46" s="21">
        <v>11667</v>
      </c>
      <c r="F46" s="19">
        <v>205.92255</v>
      </c>
      <c r="G46" s="20">
        <v>0.84185011785150998</v>
      </c>
      <c r="H46" s="22"/>
    </row>
    <row r="47" spans="2:8" x14ac:dyDescent="0.2">
      <c r="B47" s="18" t="s">
        <v>163</v>
      </c>
      <c r="C47" s="18" t="s">
        <v>164</v>
      </c>
      <c r="D47" s="18" t="s">
        <v>29</v>
      </c>
      <c r="E47" s="21">
        <v>14243</v>
      </c>
      <c r="F47" s="19">
        <v>203.73187200000001</v>
      </c>
      <c r="G47" s="20">
        <v>0.83289421412715003</v>
      </c>
      <c r="H47" s="22"/>
    </row>
    <row r="48" spans="2:8" x14ac:dyDescent="0.2">
      <c r="B48" s="18" t="s">
        <v>165</v>
      </c>
      <c r="C48" s="18" t="s">
        <v>166</v>
      </c>
      <c r="D48" s="18" t="s">
        <v>34</v>
      </c>
      <c r="E48" s="21">
        <v>3658</v>
      </c>
      <c r="F48" s="19">
        <v>197.53200000000001</v>
      </c>
      <c r="G48" s="20">
        <v>0.80754797121269295</v>
      </c>
      <c r="H48" s="22"/>
    </row>
    <row r="49" spans="2:8" x14ac:dyDescent="0.2">
      <c r="B49" s="18" t="s">
        <v>167</v>
      </c>
      <c r="C49" s="18" t="s">
        <v>168</v>
      </c>
      <c r="D49" s="18" t="s">
        <v>23</v>
      </c>
      <c r="E49" s="21">
        <v>6679</v>
      </c>
      <c r="F49" s="19">
        <v>196.890241</v>
      </c>
      <c r="G49" s="20">
        <v>0.804924339707634</v>
      </c>
      <c r="H49" s="22"/>
    </row>
    <row r="50" spans="2:8" x14ac:dyDescent="0.2">
      <c r="B50" s="18" t="s">
        <v>169</v>
      </c>
      <c r="C50" s="18" t="s">
        <v>170</v>
      </c>
      <c r="D50" s="18" t="s">
        <v>29</v>
      </c>
      <c r="E50" s="21">
        <v>15767</v>
      </c>
      <c r="F50" s="19">
        <v>195.605402</v>
      </c>
      <c r="G50" s="20">
        <v>0.79967167620103696</v>
      </c>
      <c r="H50" s="22"/>
    </row>
    <row r="51" spans="2:8" x14ac:dyDescent="0.2">
      <c r="B51" s="18" t="s">
        <v>171</v>
      </c>
      <c r="C51" s="18" t="s">
        <v>172</v>
      </c>
      <c r="D51" s="18" t="s">
        <v>173</v>
      </c>
      <c r="E51" s="21">
        <v>216074</v>
      </c>
      <c r="F51" s="19">
        <v>195.26607379999999</v>
      </c>
      <c r="G51" s="20">
        <v>0.798284438692759</v>
      </c>
      <c r="H51" s="22"/>
    </row>
    <row r="52" spans="2:8" x14ac:dyDescent="0.2">
      <c r="B52" s="18" t="s">
        <v>174</v>
      </c>
      <c r="C52" s="18" t="s">
        <v>175</v>
      </c>
      <c r="D52" s="18" t="s">
        <v>69</v>
      </c>
      <c r="E52" s="21">
        <v>4305</v>
      </c>
      <c r="F52" s="19">
        <v>195.22314</v>
      </c>
      <c r="G52" s="20">
        <v>0.798108917242632</v>
      </c>
      <c r="H52" s="22"/>
    </row>
    <row r="53" spans="2:8" x14ac:dyDescent="0.2">
      <c r="B53" s="18" t="s">
        <v>176</v>
      </c>
      <c r="C53" s="18" t="s">
        <v>177</v>
      </c>
      <c r="D53" s="18" t="s">
        <v>15</v>
      </c>
      <c r="E53" s="21">
        <v>33697</v>
      </c>
      <c r="F53" s="19">
        <v>189.09071549999999</v>
      </c>
      <c r="G53" s="20">
        <v>0.77303841239486104</v>
      </c>
      <c r="H53" s="22"/>
    </row>
    <row r="54" spans="2:8" x14ac:dyDescent="0.2">
      <c r="B54" s="18" t="s">
        <v>178</v>
      </c>
      <c r="C54" s="18" t="s">
        <v>179</v>
      </c>
      <c r="D54" s="18" t="s">
        <v>16</v>
      </c>
      <c r="E54" s="21">
        <v>8273</v>
      </c>
      <c r="F54" s="19">
        <v>188.35139100000001</v>
      </c>
      <c r="G54" s="20">
        <v>0.77001591477400499</v>
      </c>
      <c r="H54" s="22"/>
    </row>
    <row r="55" spans="2:8" x14ac:dyDescent="0.2">
      <c r="B55" s="18" t="s">
        <v>180</v>
      </c>
      <c r="C55" s="18" t="s">
        <v>181</v>
      </c>
      <c r="D55" s="18" t="s">
        <v>10</v>
      </c>
      <c r="E55" s="21">
        <v>22092</v>
      </c>
      <c r="F55" s="19">
        <v>188.19070199999999</v>
      </c>
      <c r="G55" s="20">
        <v>0.76935898791685697</v>
      </c>
      <c r="H55" s="22"/>
    </row>
    <row r="56" spans="2:8" x14ac:dyDescent="0.2">
      <c r="B56" s="18" t="s">
        <v>182</v>
      </c>
      <c r="C56" s="18" t="s">
        <v>183</v>
      </c>
      <c r="D56" s="18" t="s">
        <v>89</v>
      </c>
      <c r="E56" s="21">
        <v>3858</v>
      </c>
      <c r="F56" s="19">
        <v>187.40235000000001</v>
      </c>
      <c r="G56" s="20">
        <v>0.76613605665406703</v>
      </c>
      <c r="H56" s="22"/>
    </row>
    <row r="57" spans="2:8" x14ac:dyDescent="0.2">
      <c r="B57" s="18" t="s">
        <v>184</v>
      </c>
      <c r="C57" s="18" t="s">
        <v>185</v>
      </c>
      <c r="D57" s="18" t="s">
        <v>91</v>
      </c>
      <c r="E57" s="21">
        <v>5990</v>
      </c>
      <c r="F57" s="19">
        <v>186.81612000000001</v>
      </c>
      <c r="G57" s="20">
        <v>0.76373943814585499</v>
      </c>
      <c r="H57" s="22"/>
    </row>
    <row r="58" spans="2:8" x14ac:dyDescent="0.2">
      <c r="B58" s="18" t="s">
        <v>186</v>
      </c>
      <c r="C58" s="18" t="s">
        <v>187</v>
      </c>
      <c r="D58" s="18" t="s">
        <v>69</v>
      </c>
      <c r="E58" s="21">
        <v>51543</v>
      </c>
      <c r="F58" s="19">
        <v>178.081065</v>
      </c>
      <c r="G58" s="20">
        <v>0.72802889026661899</v>
      </c>
      <c r="H58" s="22"/>
    </row>
    <row r="59" spans="2:8" x14ac:dyDescent="0.2">
      <c r="B59" s="18" t="s">
        <v>188</v>
      </c>
      <c r="C59" s="18" t="s">
        <v>189</v>
      </c>
      <c r="D59" s="18" t="s">
        <v>11</v>
      </c>
      <c r="E59" s="21">
        <v>1726001</v>
      </c>
      <c r="F59" s="19">
        <v>176.39730220000001</v>
      </c>
      <c r="G59" s="20">
        <v>0.72114535122918</v>
      </c>
      <c r="H59" s="22"/>
    </row>
    <row r="60" spans="2:8" x14ac:dyDescent="0.2">
      <c r="B60" s="18" t="s">
        <v>190</v>
      </c>
      <c r="C60" s="18" t="s">
        <v>191</v>
      </c>
      <c r="D60" s="18" t="s">
        <v>93</v>
      </c>
      <c r="E60" s="21">
        <v>8233</v>
      </c>
      <c r="F60" s="19">
        <v>172.58014600000001</v>
      </c>
      <c r="G60" s="20">
        <v>0.70554009868725298</v>
      </c>
      <c r="H60" s="22"/>
    </row>
    <row r="61" spans="2:8" x14ac:dyDescent="0.2">
      <c r="B61" s="18" t="s">
        <v>192</v>
      </c>
      <c r="C61" s="18" t="s">
        <v>193</v>
      </c>
      <c r="D61" s="18" t="s">
        <v>95</v>
      </c>
      <c r="E61" s="21">
        <v>9303</v>
      </c>
      <c r="F61" s="19">
        <v>170.728656</v>
      </c>
      <c r="G61" s="20">
        <v>0.69797085930720004</v>
      </c>
      <c r="H61" s="22"/>
    </row>
    <row r="62" spans="2:8" x14ac:dyDescent="0.2">
      <c r="B62" s="18" t="s">
        <v>194</v>
      </c>
      <c r="C62" s="18" t="s">
        <v>195</v>
      </c>
      <c r="D62" s="18" t="s">
        <v>27</v>
      </c>
      <c r="E62" s="21">
        <v>16243</v>
      </c>
      <c r="F62" s="19">
        <v>168.0581995</v>
      </c>
      <c r="G62" s="20">
        <v>0.68705353082985599</v>
      </c>
      <c r="H62" s="22"/>
    </row>
    <row r="63" spans="2:8" x14ac:dyDescent="0.2">
      <c r="B63" s="18" t="s">
        <v>196</v>
      </c>
      <c r="C63" s="18" t="s">
        <v>197</v>
      </c>
      <c r="D63" s="18" t="s">
        <v>52</v>
      </c>
      <c r="E63" s="21">
        <v>4894</v>
      </c>
      <c r="F63" s="19">
        <v>167.52651399999999</v>
      </c>
      <c r="G63" s="20">
        <v>0.68487990049731096</v>
      </c>
      <c r="H63" s="22"/>
    </row>
    <row r="64" spans="2:8" x14ac:dyDescent="0.2">
      <c r="B64" s="18" t="s">
        <v>198</v>
      </c>
      <c r="C64" s="18" t="s">
        <v>199</v>
      </c>
      <c r="D64" s="18" t="s">
        <v>35</v>
      </c>
      <c r="E64" s="21">
        <v>34097</v>
      </c>
      <c r="F64" s="19">
        <v>167.34807599999999</v>
      </c>
      <c r="G64" s="20">
        <v>0.68415041238962604</v>
      </c>
      <c r="H64" s="22"/>
    </row>
    <row r="65" spans="2:8" x14ac:dyDescent="0.2">
      <c r="B65" s="18" t="s">
        <v>57</v>
      </c>
      <c r="C65" s="18" t="s">
        <v>58</v>
      </c>
      <c r="D65" s="18" t="s">
        <v>20</v>
      </c>
      <c r="E65" s="21">
        <v>90376</v>
      </c>
      <c r="F65" s="19">
        <v>166.85217119999999</v>
      </c>
      <c r="G65" s="20">
        <v>0.68212306028892999</v>
      </c>
      <c r="H65" s="22"/>
    </row>
    <row r="66" spans="2:8" x14ac:dyDescent="0.2">
      <c r="B66" s="18" t="s">
        <v>61</v>
      </c>
      <c r="C66" s="18" t="s">
        <v>62</v>
      </c>
      <c r="D66" s="18" t="s">
        <v>23</v>
      </c>
      <c r="E66" s="21">
        <v>127</v>
      </c>
      <c r="F66" s="19">
        <v>164.73169999999999</v>
      </c>
      <c r="G66" s="20">
        <v>0.67345417516867201</v>
      </c>
      <c r="H66" s="22"/>
    </row>
    <row r="67" spans="2:8" x14ac:dyDescent="0.2">
      <c r="B67" s="18" t="s">
        <v>200</v>
      </c>
      <c r="C67" s="18" t="s">
        <v>201</v>
      </c>
      <c r="D67" s="18" t="s">
        <v>15</v>
      </c>
      <c r="E67" s="21">
        <v>197766</v>
      </c>
      <c r="F67" s="19">
        <v>164.541312</v>
      </c>
      <c r="G67" s="20">
        <v>0.67267583321322499</v>
      </c>
      <c r="H67" s="22"/>
    </row>
    <row r="68" spans="2:8" x14ac:dyDescent="0.2">
      <c r="B68" s="18" t="s">
        <v>202</v>
      </c>
      <c r="C68" s="18" t="s">
        <v>203</v>
      </c>
      <c r="D68" s="18" t="s">
        <v>93</v>
      </c>
      <c r="E68" s="21">
        <v>36912</v>
      </c>
      <c r="F68" s="19">
        <v>162.96647999999999</v>
      </c>
      <c r="G68" s="20">
        <v>0.66623762377576301</v>
      </c>
      <c r="H68" s="22"/>
    </row>
    <row r="69" spans="2:8" x14ac:dyDescent="0.2">
      <c r="B69" s="18" t="s">
        <v>204</v>
      </c>
      <c r="C69" s="18" t="s">
        <v>205</v>
      </c>
      <c r="D69" s="18" t="s">
        <v>28</v>
      </c>
      <c r="E69" s="21">
        <v>133168</v>
      </c>
      <c r="F69" s="19">
        <v>162.85114720000001</v>
      </c>
      <c r="G69" s="20">
        <v>0.66576612159558801</v>
      </c>
      <c r="H69" s="22"/>
    </row>
    <row r="70" spans="2:8" x14ac:dyDescent="0.2">
      <c r="B70" s="18" t="s">
        <v>206</v>
      </c>
      <c r="C70" s="18" t="s">
        <v>207</v>
      </c>
      <c r="D70" s="18" t="s">
        <v>34</v>
      </c>
      <c r="E70" s="21">
        <v>44616</v>
      </c>
      <c r="F70" s="19">
        <v>160.461444</v>
      </c>
      <c r="G70" s="20">
        <v>0.65599656541754903</v>
      </c>
      <c r="H70" s="22"/>
    </row>
    <row r="71" spans="2:8" x14ac:dyDescent="0.2">
      <c r="B71" s="18" t="s">
        <v>208</v>
      </c>
      <c r="C71" s="18" t="s">
        <v>209</v>
      </c>
      <c r="D71" s="18" t="s">
        <v>34</v>
      </c>
      <c r="E71" s="21">
        <v>7073</v>
      </c>
      <c r="F71" s="19">
        <v>158.90909099999999</v>
      </c>
      <c r="G71" s="20">
        <v>0.64965025436032298</v>
      </c>
      <c r="H71" s="22"/>
    </row>
    <row r="72" spans="2:8" x14ac:dyDescent="0.2">
      <c r="B72" s="18" t="s">
        <v>210</v>
      </c>
      <c r="C72" s="18" t="s">
        <v>211</v>
      </c>
      <c r="D72" s="18" t="s">
        <v>152</v>
      </c>
      <c r="E72" s="21">
        <v>5064</v>
      </c>
      <c r="F72" s="19">
        <v>154.69507200000001</v>
      </c>
      <c r="G72" s="20">
        <v>0.63242255204322095</v>
      </c>
      <c r="H72" s="22"/>
    </row>
    <row r="73" spans="2:8" x14ac:dyDescent="0.2">
      <c r="B73" s="18" t="s">
        <v>212</v>
      </c>
      <c r="C73" s="18" t="s">
        <v>213</v>
      </c>
      <c r="D73" s="18" t="s">
        <v>20</v>
      </c>
      <c r="E73" s="21">
        <v>19988</v>
      </c>
      <c r="F73" s="19">
        <v>153.387912</v>
      </c>
      <c r="G73" s="20">
        <v>0.62707863609010805</v>
      </c>
      <c r="H73" s="22"/>
    </row>
    <row r="74" spans="2:8" x14ac:dyDescent="0.2">
      <c r="B74" s="18" t="s">
        <v>214</v>
      </c>
      <c r="C74" s="18" t="s">
        <v>215</v>
      </c>
      <c r="D74" s="18" t="s">
        <v>95</v>
      </c>
      <c r="E74" s="21">
        <v>10545</v>
      </c>
      <c r="F74" s="19">
        <v>149.14848000000001</v>
      </c>
      <c r="G74" s="20">
        <v>0.60974704064889196</v>
      </c>
      <c r="H74" s="22"/>
    </row>
    <row r="75" spans="2:8" x14ac:dyDescent="0.2">
      <c r="B75" s="18" t="s">
        <v>216</v>
      </c>
      <c r="C75" s="18" t="s">
        <v>217</v>
      </c>
      <c r="D75" s="18" t="s">
        <v>69</v>
      </c>
      <c r="E75" s="21">
        <v>53263</v>
      </c>
      <c r="F75" s="19">
        <v>148.99258990000001</v>
      </c>
      <c r="G75" s="20">
        <v>0.60910973259760404</v>
      </c>
      <c r="H75" s="22"/>
    </row>
    <row r="76" spans="2:8" x14ac:dyDescent="0.2">
      <c r="B76" s="18" t="s">
        <v>218</v>
      </c>
      <c r="C76" s="18" t="s">
        <v>219</v>
      </c>
      <c r="D76" s="18" t="s">
        <v>152</v>
      </c>
      <c r="E76" s="21">
        <v>7390</v>
      </c>
      <c r="F76" s="19">
        <v>146.44763</v>
      </c>
      <c r="G76" s="20">
        <v>0.59870545782661599</v>
      </c>
      <c r="H76" s="22"/>
    </row>
    <row r="77" spans="2:8" x14ac:dyDescent="0.2">
      <c r="B77" s="18" t="s">
        <v>220</v>
      </c>
      <c r="C77" s="18" t="s">
        <v>221</v>
      </c>
      <c r="D77" s="18" t="s">
        <v>89</v>
      </c>
      <c r="E77" s="21">
        <v>4026</v>
      </c>
      <c r="F77" s="19">
        <v>145.845876</v>
      </c>
      <c r="G77" s="20">
        <v>0.59624537428638402</v>
      </c>
      <c r="H77" s="22"/>
    </row>
    <row r="78" spans="2:8" x14ac:dyDescent="0.2">
      <c r="B78" s="18" t="s">
        <v>222</v>
      </c>
      <c r="C78" s="18" t="s">
        <v>223</v>
      </c>
      <c r="D78" s="18" t="s">
        <v>224</v>
      </c>
      <c r="E78" s="21">
        <v>394</v>
      </c>
      <c r="F78" s="19">
        <v>144.93289999999999</v>
      </c>
      <c r="G78" s="20">
        <v>0.59251295667017101</v>
      </c>
      <c r="H78" s="22"/>
    </row>
    <row r="79" spans="2:8" x14ac:dyDescent="0.2">
      <c r="B79" s="18" t="s">
        <v>72</v>
      </c>
      <c r="C79" s="18" t="s">
        <v>73</v>
      </c>
      <c r="D79" s="18" t="s">
        <v>16</v>
      </c>
      <c r="E79" s="21">
        <v>1489</v>
      </c>
      <c r="F79" s="19">
        <v>144.827585</v>
      </c>
      <c r="G79" s="20">
        <v>0.59208240914071597</v>
      </c>
      <c r="H79" s="22"/>
    </row>
    <row r="80" spans="2:8" x14ac:dyDescent="0.2">
      <c r="B80" s="18" t="s">
        <v>225</v>
      </c>
      <c r="C80" s="18" t="s">
        <v>226</v>
      </c>
      <c r="D80" s="18" t="s">
        <v>29</v>
      </c>
      <c r="E80" s="21">
        <v>8110</v>
      </c>
      <c r="F80" s="19">
        <v>144.4391</v>
      </c>
      <c r="G80" s="20">
        <v>0.59049420938778197</v>
      </c>
      <c r="H80" s="22"/>
    </row>
    <row r="81" spans="2:8" x14ac:dyDescent="0.2">
      <c r="B81" s="18" t="s">
        <v>227</v>
      </c>
      <c r="C81" s="18" t="s">
        <v>228</v>
      </c>
      <c r="D81" s="18" t="s">
        <v>173</v>
      </c>
      <c r="E81" s="21">
        <v>7881</v>
      </c>
      <c r="F81" s="19">
        <v>139.05236400000001</v>
      </c>
      <c r="G81" s="20">
        <v>0.56847221938991599</v>
      </c>
      <c r="H81" s="22"/>
    </row>
    <row r="82" spans="2:8" x14ac:dyDescent="0.2">
      <c r="B82" s="18" t="s">
        <v>229</v>
      </c>
      <c r="C82" s="18" t="s">
        <v>230</v>
      </c>
      <c r="D82" s="18" t="s">
        <v>47</v>
      </c>
      <c r="E82" s="21">
        <v>2616</v>
      </c>
      <c r="F82" s="19">
        <v>138.30792</v>
      </c>
      <c r="G82" s="20">
        <v>0.56542879229009702</v>
      </c>
      <c r="H82" s="22"/>
    </row>
    <row r="83" spans="2:8" x14ac:dyDescent="0.2">
      <c r="B83" s="18" t="s">
        <v>50</v>
      </c>
      <c r="C83" s="18" t="s">
        <v>51</v>
      </c>
      <c r="D83" s="18" t="s">
        <v>34</v>
      </c>
      <c r="E83" s="21">
        <v>8682</v>
      </c>
      <c r="F83" s="19">
        <v>132.91273799999999</v>
      </c>
      <c r="G83" s="20">
        <v>0.54337227345556305</v>
      </c>
      <c r="H83" s="22"/>
    </row>
    <row r="84" spans="2:8" x14ac:dyDescent="0.2">
      <c r="B84" s="18" t="s">
        <v>231</v>
      </c>
      <c r="C84" s="18" t="s">
        <v>232</v>
      </c>
      <c r="D84" s="18" t="s">
        <v>91</v>
      </c>
      <c r="E84" s="21">
        <v>1056</v>
      </c>
      <c r="F84" s="19">
        <v>130.21536</v>
      </c>
      <c r="G84" s="20">
        <v>0.53234488482236098</v>
      </c>
      <c r="H84" s="22"/>
    </row>
    <row r="85" spans="2:8" x14ac:dyDescent="0.2">
      <c r="B85" s="18" t="s">
        <v>233</v>
      </c>
      <c r="C85" s="18" t="s">
        <v>234</v>
      </c>
      <c r="D85" s="18" t="s">
        <v>92</v>
      </c>
      <c r="E85" s="21">
        <v>46847</v>
      </c>
      <c r="F85" s="19">
        <v>129.6537572</v>
      </c>
      <c r="G85" s="20">
        <v>0.530048946940056</v>
      </c>
      <c r="H85" s="22"/>
    </row>
    <row r="86" spans="2:8" x14ac:dyDescent="0.2">
      <c r="B86" s="18" t="s">
        <v>67</v>
      </c>
      <c r="C86" s="18" t="s">
        <v>68</v>
      </c>
      <c r="D86" s="18" t="s">
        <v>69</v>
      </c>
      <c r="E86" s="21">
        <v>41362</v>
      </c>
      <c r="F86" s="19">
        <v>128.51173399999999</v>
      </c>
      <c r="G86" s="20">
        <v>0.52538014128710997</v>
      </c>
      <c r="H86" s="22"/>
    </row>
    <row r="87" spans="2:8" x14ac:dyDescent="0.2">
      <c r="B87" s="18" t="s">
        <v>235</v>
      </c>
      <c r="C87" s="18" t="s">
        <v>236</v>
      </c>
      <c r="D87" s="18" t="s">
        <v>36</v>
      </c>
      <c r="E87" s="21">
        <v>24636</v>
      </c>
      <c r="F87" s="19">
        <v>126.59208599999999</v>
      </c>
      <c r="G87" s="20">
        <v>0.51753225918272905</v>
      </c>
      <c r="H87" s="22"/>
    </row>
    <row r="88" spans="2:8" x14ac:dyDescent="0.2">
      <c r="B88" s="18" t="s">
        <v>237</v>
      </c>
      <c r="C88" s="18" t="s">
        <v>238</v>
      </c>
      <c r="D88" s="18" t="s">
        <v>23</v>
      </c>
      <c r="E88" s="21">
        <v>11356</v>
      </c>
      <c r="F88" s="19">
        <v>126.3355</v>
      </c>
      <c r="G88" s="20">
        <v>0.51648328735162496</v>
      </c>
      <c r="H88" s="22"/>
    </row>
    <row r="89" spans="2:8" x14ac:dyDescent="0.2">
      <c r="B89" s="18" t="s">
        <v>239</v>
      </c>
      <c r="C89" s="18" t="s">
        <v>240</v>
      </c>
      <c r="D89" s="18" t="s">
        <v>95</v>
      </c>
      <c r="E89" s="21">
        <v>7358</v>
      </c>
      <c r="F89" s="19">
        <v>122.84916800000001</v>
      </c>
      <c r="G89" s="20">
        <v>0.50223050636639799</v>
      </c>
      <c r="H89" s="22"/>
    </row>
    <row r="90" spans="2:8" x14ac:dyDescent="0.2">
      <c r="B90" s="18" t="s">
        <v>241</v>
      </c>
      <c r="C90" s="18" t="s">
        <v>242</v>
      </c>
      <c r="D90" s="18" t="s">
        <v>69</v>
      </c>
      <c r="E90" s="21">
        <v>18741</v>
      </c>
      <c r="F90" s="19">
        <v>120.673299</v>
      </c>
      <c r="G90" s="20">
        <v>0.49333514461956901</v>
      </c>
      <c r="H90" s="22"/>
    </row>
    <row r="91" spans="2:8" x14ac:dyDescent="0.2">
      <c r="B91" s="18" t="s">
        <v>243</v>
      </c>
      <c r="C91" s="18" t="s">
        <v>244</v>
      </c>
      <c r="D91" s="18" t="s">
        <v>90</v>
      </c>
      <c r="E91" s="21">
        <v>24471</v>
      </c>
      <c r="F91" s="19">
        <v>117.118206</v>
      </c>
      <c r="G91" s="20">
        <v>0.47880125573259202</v>
      </c>
      <c r="H91" s="22"/>
    </row>
    <row r="92" spans="2:8" x14ac:dyDescent="0.2">
      <c r="B92" s="18" t="s">
        <v>245</v>
      </c>
      <c r="C92" s="18" t="s">
        <v>246</v>
      </c>
      <c r="D92" s="18" t="s">
        <v>89</v>
      </c>
      <c r="E92" s="21">
        <v>7652</v>
      </c>
      <c r="F92" s="19">
        <v>117.052644</v>
      </c>
      <c r="G92" s="20">
        <v>0.47853322594456399</v>
      </c>
      <c r="H92" s="22"/>
    </row>
    <row r="93" spans="2:8" x14ac:dyDescent="0.2">
      <c r="B93" s="18" t="s">
        <v>247</v>
      </c>
      <c r="C93" s="18" t="s">
        <v>248</v>
      </c>
      <c r="D93" s="18" t="s">
        <v>11</v>
      </c>
      <c r="E93" s="21">
        <v>7342</v>
      </c>
      <c r="F93" s="19">
        <v>116.04031000000001</v>
      </c>
      <c r="G93" s="20">
        <v>0.47439461413539102</v>
      </c>
      <c r="H93" s="22"/>
    </row>
    <row r="94" spans="2:8" x14ac:dyDescent="0.2">
      <c r="B94" s="18" t="s">
        <v>249</v>
      </c>
      <c r="C94" s="18" t="s">
        <v>250</v>
      </c>
      <c r="D94" s="18" t="s">
        <v>90</v>
      </c>
      <c r="E94" s="21">
        <v>70045</v>
      </c>
      <c r="F94" s="19">
        <v>112.4712565</v>
      </c>
      <c r="G94" s="20">
        <v>0.45980365209848301</v>
      </c>
      <c r="H94" s="22"/>
    </row>
    <row r="95" spans="2:8" x14ac:dyDescent="0.2">
      <c r="B95" s="18" t="s">
        <v>70</v>
      </c>
      <c r="C95" s="18" t="s">
        <v>71</v>
      </c>
      <c r="D95" s="18" t="s">
        <v>27</v>
      </c>
      <c r="E95" s="21">
        <v>11132</v>
      </c>
      <c r="F95" s="19">
        <v>112.427634</v>
      </c>
      <c r="G95" s="20">
        <v>0.45962531511321297</v>
      </c>
      <c r="H95" s="22"/>
    </row>
    <row r="96" spans="2:8" x14ac:dyDescent="0.2">
      <c r="B96" s="18" t="s">
        <v>39</v>
      </c>
      <c r="C96" s="18" t="s">
        <v>40</v>
      </c>
      <c r="D96" s="18" t="s">
        <v>36</v>
      </c>
      <c r="E96" s="21">
        <v>13877</v>
      </c>
      <c r="F96" s="19">
        <v>110.724583</v>
      </c>
      <c r="G96" s="20">
        <v>0.45266292228611799</v>
      </c>
      <c r="H96" s="22"/>
    </row>
    <row r="97" spans="2:8" x14ac:dyDescent="0.2">
      <c r="B97" s="18" t="s">
        <v>251</v>
      </c>
      <c r="C97" s="18" t="s">
        <v>252</v>
      </c>
      <c r="D97" s="18" t="s">
        <v>92</v>
      </c>
      <c r="E97" s="21">
        <v>17342</v>
      </c>
      <c r="F97" s="19">
        <v>110.06967400000001</v>
      </c>
      <c r="G97" s="20">
        <v>0.44998553110757999</v>
      </c>
      <c r="H97" s="22"/>
    </row>
    <row r="98" spans="2:8" x14ac:dyDescent="0.2">
      <c r="B98" s="18" t="s">
        <v>253</v>
      </c>
      <c r="C98" s="18" t="s">
        <v>254</v>
      </c>
      <c r="D98" s="18" t="s">
        <v>24</v>
      </c>
      <c r="E98" s="21">
        <v>21581</v>
      </c>
      <c r="F98" s="19">
        <v>109.8149185</v>
      </c>
      <c r="G98" s="20">
        <v>0.44894404270478799</v>
      </c>
      <c r="H98" s="22"/>
    </row>
    <row r="99" spans="2:8" x14ac:dyDescent="0.2">
      <c r="B99" s="18" t="s">
        <v>255</v>
      </c>
      <c r="C99" s="18" t="s">
        <v>256</v>
      </c>
      <c r="D99" s="18" t="s">
        <v>23</v>
      </c>
      <c r="E99" s="21">
        <v>5022</v>
      </c>
      <c r="F99" s="19">
        <v>108.515376</v>
      </c>
      <c r="G99" s="20">
        <v>0.44363126852450502</v>
      </c>
      <c r="H99" s="22"/>
    </row>
    <row r="100" spans="2:8" x14ac:dyDescent="0.2">
      <c r="B100" s="18" t="s">
        <v>257</v>
      </c>
      <c r="C100" s="18" t="s">
        <v>258</v>
      </c>
      <c r="D100" s="18" t="s">
        <v>10</v>
      </c>
      <c r="E100" s="21">
        <v>75968</v>
      </c>
      <c r="F100" s="19">
        <v>106.2564416</v>
      </c>
      <c r="G100" s="20">
        <v>0.434396319798109</v>
      </c>
      <c r="H100" s="22"/>
    </row>
    <row r="101" spans="2:8" x14ac:dyDescent="0.2">
      <c r="B101" s="18" t="s">
        <v>259</v>
      </c>
      <c r="C101" s="18" t="s">
        <v>260</v>
      </c>
      <c r="D101" s="18" t="s">
        <v>13</v>
      </c>
      <c r="E101" s="21">
        <v>35487</v>
      </c>
      <c r="F101" s="19">
        <v>105.6270555</v>
      </c>
      <c r="G101" s="20">
        <v>0.43182327103555701</v>
      </c>
      <c r="H101" s="22"/>
    </row>
    <row r="102" spans="2:8" x14ac:dyDescent="0.2">
      <c r="B102" s="18" t="s">
        <v>261</v>
      </c>
      <c r="C102" s="18" t="s">
        <v>262</v>
      </c>
      <c r="D102" s="18" t="s">
        <v>69</v>
      </c>
      <c r="E102" s="21">
        <v>18794</v>
      </c>
      <c r="F102" s="19">
        <v>104.25031799999999</v>
      </c>
      <c r="G102" s="20">
        <v>0.42619490917511199</v>
      </c>
      <c r="H102" s="22"/>
    </row>
    <row r="103" spans="2:8" x14ac:dyDescent="0.2">
      <c r="B103" s="18" t="s">
        <v>59</v>
      </c>
      <c r="C103" s="18" t="s">
        <v>60</v>
      </c>
      <c r="D103" s="18" t="s">
        <v>23</v>
      </c>
      <c r="E103" s="21">
        <v>2516</v>
      </c>
      <c r="F103" s="19">
        <v>103.779968</v>
      </c>
      <c r="G103" s="20">
        <v>0.42427202990360202</v>
      </c>
      <c r="H103" s="22"/>
    </row>
    <row r="104" spans="2:8" x14ac:dyDescent="0.2">
      <c r="B104" s="18" t="s">
        <v>263</v>
      </c>
      <c r="C104" s="18" t="s">
        <v>264</v>
      </c>
      <c r="D104" s="18" t="s">
        <v>23</v>
      </c>
      <c r="E104" s="21">
        <v>28442</v>
      </c>
      <c r="F104" s="19">
        <v>102.547631</v>
      </c>
      <c r="G104" s="20">
        <v>0.41923400444848402</v>
      </c>
      <c r="H104" s="22"/>
    </row>
    <row r="105" spans="2:8" x14ac:dyDescent="0.2">
      <c r="B105" s="18" t="s">
        <v>265</v>
      </c>
      <c r="C105" s="18" t="s">
        <v>266</v>
      </c>
      <c r="D105" s="18" t="s">
        <v>90</v>
      </c>
      <c r="E105" s="21">
        <v>18859</v>
      </c>
      <c r="F105" s="19">
        <v>101.75373449999999</v>
      </c>
      <c r="G105" s="20">
        <v>0.41598840622678901</v>
      </c>
      <c r="H105" s="22"/>
    </row>
    <row r="106" spans="2:8" x14ac:dyDescent="0.2">
      <c r="B106" s="18" t="s">
        <v>267</v>
      </c>
      <c r="C106" s="18" t="s">
        <v>268</v>
      </c>
      <c r="D106" s="18" t="s">
        <v>10</v>
      </c>
      <c r="E106" s="21">
        <v>127292</v>
      </c>
      <c r="F106" s="19">
        <v>99.758740399999994</v>
      </c>
      <c r="G106" s="20">
        <v>0.40783249509321901</v>
      </c>
      <c r="H106" s="22"/>
    </row>
    <row r="107" spans="2:8" x14ac:dyDescent="0.2">
      <c r="B107" s="18" t="s">
        <v>269</v>
      </c>
      <c r="C107" s="18" t="s">
        <v>270</v>
      </c>
      <c r="D107" s="18" t="s">
        <v>271</v>
      </c>
      <c r="E107" s="21">
        <v>21645</v>
      </c>
      <c r="F107" s="19">
        <v>99.4479525</v>
      </c>
      <c r="G107" s="20">
        <v>0.40656193569969101</v>
      </c>
      <c r="H107" s="22"/>
    </row>
    <row r="108" spans="2:8" x14ac:dyDescent="0.2">
      <c r="B108" s="18" t="s">
        <v>272</v>
      </c>
      <c r="C108" s="18" t="s">
        <v>273</v>
      </c>
      <c r="D108" s="18" t="s">
        <v>29</v>
      </c>
      <c r="E108" s="21">
        <v>24091</v>
      </c>
      <c r="F108" s="19">
        <v>99.435602500000002</v>
      </c>
      <c r="G108" s="20">
        <v>0.40651144657669003</v>
      </c>
      <c r="H108" s="22"/>
    </row>
    <row r="109" spans="2:8" x14ac:dyDescent="0.2">
      <c r="B109" s="18" t="s">
        <v>274</v>
      </c>
      <c r="C109" s="18" t="s">
        <v>275</v>
      </c>
      <c r="D109" s="18" t="s">
        <v>91</v>
      </c>
      <c r="E109" s="21">
        <v>2422</v>
      </c>
      <c r="F109" s="19">
        <v>98.759472000000002</v>
      </c>
      <c r="G109" s="20">
        <v>0.40374729791444802</v>
      </c>
      <c r="H109" s="22"/>
    </row>
    <row r="110" spans="2:8" x14ac:dyDescent="0.2">
      <c r="B110" s="18" t="s">
        <v>276</v>
      </c>
      <c r="C110" s="18" t="s">
        <v>277</v>
      </c>
      <c r="D110" s="18" t="s">
        <v>94</v>
      </c>
      <c r="E110" s="21">
        <v>1315</v>
      </c>
      <c r="F110" s="19">
        <v>96.257999999999996</v>
      </c>
      <c r="G110" s="20">
        <v>0.39352080985861199</v>
      </c>
      <c r="H110" s="22"/>
    </row>
    <row r="111" spans="2:8" x14ac:dyDescent="0.2">
      <c r="B111" s="18" t="s">
        <v>278</v>
      </c>
      <c r="C111" s="18" t="s">
        <v>279</v>
      </c>
      <c r="D111" s="18" t="s">
        <v>89</v>
      </c>
      <c r="E111" s="21">
        <v>2427</v>
      </c>
      <c r="F111" s="19">
        <v>95.856791999999999</v>
      </c>
      <c r="G111" s="20">
        <v>0.391880596088518</v>
      </c>
      <c r="H111" s="22"/>
    </row>
    <row r="112" spans="2:8" x14ac:dyDescent="0.2">
      <c r="B112" s="18" t="s">
        <v>280</v>
      </c>
      <c r="C112" s="18" t="s">
        <v>281</v>
      </c>
      <c r="D112" s="18" t="s">
        <v>47</v>
      </c>
      <c r="E112" s="21">
        <v>4982</v>
      </c>
      <c r="F112" s="19">
        <v>94.971866000000006</v>
      </c>
      <c r="G112" s="20">
        <v>0.38826285214842998</v>
      </c>
      <c r="H112" s="22"/>
    </row>
    <row r="113" spans="2:8" x14ac:dyDescent="0.2">
      <c r="B113" s="18" t="s">
        <v>282</v>
      </c>
      <c r="C113" s="18" t="s">
        <v>283</v>
      </c>
      <c r="D113" s="18" t="s">
        <v>94</v>
      </c>
      <c r="E113" s="21">
        <v>2636</v>
      </c>
      <c r="F113" s="19">
        <v>94.948719999999994</v>
      </c>
      <c r="G113" s="20">
        <v>0.38816822694673297</v>
      </c>
      <c r="H113" s="22"/>
    </row>
    <row r="114" spans="2:8" x14ac:dyDescent="0.2">
      <c r="B114" s="18" t="s">
        <v>37</v>
      </c>
      <c r="C114" s="18" t="s">
        <v>38</v>
      </c>
      <c r="D114" s="18" t="s">
        <v>28</v>
      </c>
      <c r="E114" s="21">
        <v>18301</v>
      </c>
      <c r="F114" s="19">
        <v>94.424009499999997</v>
      </c>
      <c r="G114" s="20">
        <v>0.38602311172616599</v>
      </c>
      <c r="H114" s="22"/>
    </row>
    <row r="115" spans="2:8" x14ac:dyDescent="0.2">
      <c r="B115" s="18" t="s">
        <v>284</v>
      </c>
      <c r="C115" s="18" t="s">
        <v>285</v>
      </c>
      <c r="D115" s="18" t="s">
        <v>96</v>
      </c>
      <c r="E115" s="21">
        <v>5291</v>
      </c>
      <c r="F115" s="19">
        <v>91.714194000000006</v>
      </c>
      <c r="G115" s="20">
        <v>0.37494487625350498</v>
      </c>
      <c r="H115" s="22"/>
    </row>
    <row r="116" spans="2:8" x14ac:dyDescent="0.2">
      <c r="B116" s="18" t="s">
        <v>286</v>
      </c>
      <c r="C116" s="18" t="s">
        <v>287</v>
      </c>
      <c r="D116" s="18" t="s">
        <v>16</v>
      </c>
      <c r="E116" s="21">
        <v>2151</v>
      </c>
      <c r="F116" s="19">
        <v>88.834148999999996</v>
      </c>
      <c r="G116" s="20">
        <v>0.36317071056515499</v>
      </c>
      <c r="H116" s="22"/>
    </row>
    <row r="117" spans="2:8" x14ac:dyDescent="0.2">
      <c r="B117" s="18" t="s">
        <v>288</v>
      </c>
      <c r="C117" s="18" t="s">
        <v>289</v>
      </c>
      <c r="D117" s="18" t="s">
        <v>29</v>
      </c>
      <c r="E117" s="21">
        <v>5427</v>
      </c>
      <c r="F117" s="19">
        <v>86.452110000000005</v>
      </c>
      <c r="G117" s="20">
        <v>0.35343248707833003</v>
      </c>
      <c r="H117" s="22"/>
    </row>
    <row r="118" spans="2:8" x14ac:dyDescent="0.2">
      <c r="B118" s="18" t="s">
        <v>290</v>
      </c>
      <c r="C118" s="18" t="s">
        <v>291</v>
      </c>
      <c r="D118" s="18" t="s">
        <v>29</v>
      </c>
      <c r="E118" s="21">
        <v>17804</v>
      </c>
      <c r="F118" s="19">
        <v>84.230723999999995</v>
      </c>
      <c r="G118" s="20">
        <v>0.344351043273881</v>
      </c>
      <c r="H118" s="22"/>
    </row>
    <row r="119" spans="2:8" x14ac:dyDescent="0.2">
      <c r="B119" s="18" t="s">
        <v>292</v>
      </c>
      <c r="C119" s="18" t="s">
        <v>293</v>
      </c>
      <c r="D119" s="18" t="s">
        <v>34</v>
      </c>
      <c r="E119" s="21">
        <v>326</v>
      </c>
      <c r="F119" s="19">
        <v>82.918099999999995</v>
      </c>
      <c r="G119" s="20">
        <v>0.33898478946100502</v>
      </c>
      <c r="H119" s="22"/>
    </row>
    <row r="120" spans="2:8" x14ac:dyDescent="0.2">
      <c r="B120" s="18" t="s">
        <v>21</v>
      </c>
      <c r="C120" s="18" t="s">
        <v>22</v>
      </c>
      <c r="D120" s="18" t="s">
        <v>23</v>
      </c>
      <c r="E120" s="21">
        <v>20220</v>
      </c>
      <c r="F120" s="19">
        <v>82.578479999999999</v>
      </c>
      <c r="G120" s="20">
        <v>0.33759635901944002</v>
      </c>
      <c r="H120" s="22"/>
    </row>
    <row r="121" spans="2:8" x14ac:dyDescent="0.2">
      <c r="B121" s="18" t="s">
        <v>48</v>
      </c>
      <c r="C121" s="18" t="s">
        <v>49</v>
      </c>
      <c r="D121" s="18" t="s">
        <v>27</v>
      </c>
      <c r="E121" s="21">
        <v>38184</v>
      </c>
      <c r="F121" s="19">
        <v>82.091781600000004</v>
      </c>
      <c r="G121" s="20">
        <v>0.33560664441364202</v>
      </c>
      <c r="H121" s="22"/>
    </row>
    <row r="122" spans="2:8" x14ac:dyDescent="0.2">
      <c r="B122" s="18" t="s">
        <v>294</v>
      </c>
      <c r="C122" s="18" t="s">
        <v>295</v>
      </c>
      <c r="D122" s="18" t="s">
        <v>84</v>
      </c>
      <c r="E122" s="21">
        <v>5762</v>
      </c>
      <c r="F122" s="19">
        <v>78.599441999999996</v>
      </c>
      <c r="G122" s="20">
        <v>0.32132930322960201</v>
      </c>
      <c r="H122" s="22"/>
    </row>
    <row r="123" spans="2:8" x14ac:dyDescent="0.2">
      <c r="B123" s="18" t="s">
        <v>296</v>
      </c>
      <c r="C123" s="18" t="s">
        <v>297</v>
      </c>
      <c r="D123" s="18" t="s">
        <v>69</v>
      </c>
      <c r="E123" s="21">
        <v>16559</v>
      </c>
      <c r="F123" s="19">
        <v>78.125361999999996</v>
      </c>
      <c r="G123" s="20">
        <v>0.31939117501649</v>
      </c>
      <c r="H123" s="22"/>
    </row>
    <row r="124" spans="2:8" x14ac:dyDescent="0.2">
      <c r="B124" s="18" t="s">
        <v>298</v>
      </c>
      <c r="C124" s="18" t="s">
        <v>299</v>
      </c>
      <c r="D124" s="18" t="s">
        <v>27</v>
      </c>
      <c r="E124" s="21">
        <v>9735</v>
      </c>
      <c r="F124" s="19">
        <v>77.904337499999997</v>
      </c>
      <c r="G124" s="20">
        <v>0.31848758528640397</v>
      </c>
      <c r="H124" s="22"/>
    </row>
    <row r="125" spans="2:8" x14ac:dyDescent="0.2">
      <c r="B125" s="18" t="s">
        <v>300</v>
      </c>
      <c r="C125" s="18" t="s">
        <v>301</v>
      </c>
      <c r="D125" s="18" t="s">
        <v>16</v>
      </c>
      <c r="E125" s="21">
        <v>10247</v>
      </c>
      <c r="F125" s="19">
        <v>77.779853500000002</v>
      </c>
      <c r="G125" s="20">
        <v>0.31797867127931401</v>
      </c>
      <c r="H125" s="22"/>
    </row>
    <row r="126" spans="2:8" x14ac:dyDescent="0.2">
      <c r="B126" s="18" t="s">
        <v>302</v>
      </c>
      <c r="C126" s="18" t="s">
        <v>303</v>
      </c>
      <c r="D126" s="18" t="s">
        <v>36</v>
      </c>
      <c r="E126" s="21">
        <v>19331</v>
      </c>
      <c r="F126" s="19">
        <v>76.048153999999997</v>
      </c>
      <c r="G126" s="20">
        <v>0.31089915799551698</v>
      </c>
      <c r="H126" s="22"/>
    </row>
    <row r="127" spans="2:8" x14ac:dyDescent="0.2">
      <c r="B127" s="18" t="s">
        <v>304</v>
      </c>
      <c r="C127" s="18" t="s">
        <v>305</v>
      </c>
      <c r="D127" s="18" t="s">
        <v>69</v>
      </c>
      <c r="E127" s="21">
        <v>11351</v>
      </c>
      <c r="F127" s="19">
        <v>74.530665999999997</v>
      </c>
      <c r="G127" s="20">
        <v>0.304695381616299</v>
      </c>
      <c r="H127" s="22"/>
    </row>
    <row r="128" spans="2:8" x14ac:dyDescent="0.2">
      <c r="B128" s="18" t="s">
        <v>306</v>
      </c>
      <c r="C128" s="18" t="s">
        <v>307</v>
      </c>
      <c r="D128" s="18" t="s">
        <v>34</v>
      </c>
      <c r="E128" s="21">
        <v>2633</v>
      </c>
      <c r="F128" s="19">
        <v>74.321691000000001</v>
      </c>
      <c r="G128" s="20">
        <v>0.30384105250869098</v>
      </c>
      <c r="H128" s="22"/>
    </row>
    <row r="129" spans="2:8" x14ac:dyDescent="0.2">
      <c r="B129" s="18" t="s">
        <v>308</v>
      </c>
      <c r="C129" s="18" t="s">
        <v>309</v>
      </c>
      <c r="D129" s="18" t="s">
        <v>91</v>
      </c>
      <c r="E129" s="21">
        <v>7289</v>
      </c>
      <c r="F129" s="19">
        <v>74.212953499999998</v>
      </c>
      <c r="G129" s="20">
        <v>0.303396513155473</v>
      </c>
      <c r="H129" s="22"/>
    </row>
    <row r="130" spans="2:8" x14ac:dyDescent="0.2">
      <c r="B130" s="18" t="s">
        <v>30</v>
      </c>
      <c r="C130" s="18" t="s">
        <v>31</v>
      </c>
      <c r="D130" s="18" t="s">
        <v>27</v>
      </c>
      <c r="E130" s="21">
        <v>2182</v>
      </c>
      <c r="F130" s="19">
        <v>71.792164</v>
      </c>
      <c r="G130" s="20">
        <v>0.293499870335788</v>
      </c>
      <c r="H130" s="22"/>
    </row>
    <row r="131" spans="2:8" x14ac:dyDescent="0.2">
      <c r="B131" s="18" t="s">
        <v>310</v>
      </c>
      <c r="C131" s="18" t="s">
        <v>311</v>
      </c>
      <c r="D131" s="18" t="s">
        <v>11</v>
      </c>
      <c r="E131" s="21">
        <v>4702</v>
      </c>
      <c r="F131" s="19">
        <v>71.348147999999995</v>
      </c>
      <c r="G131" s="20">
        <v>0.29168464940963001</v>
      </c>
      <c r="H131" s="22"/>
    </row>
    <row r="132" spans="2:8" x14ac:dyDescent="0.2">
      <c r="B132" s="18" t="s">
        <v>312</v>
      </c>
      <c r="C132" s="18" t="s">
        <v>313</v>
      </c>
      <c r="D132" s="18" t="s">
        <v>69</v>
      </c>
      <c r="E132" s="21">
        <v>31373</v>
      </c>
      <c r="F132" s="19">
        <v>69.293545100000003</v>
      </c>
      <c r="G132" s="20">
        <v>0.28328504628941298</v>
      </c>
      <c r="H132" s="22"/>
    </row>
    <row r="133" spans="2:8" x14ac:dyDescent="0.2">
      <c r="B133" s="18" t="s">
        <v>314</v>
      </c>
      <c r="C133" s="18" t="s">
        <v>315</v>
      </c>
      <c r="D133" s="18" t="s">
        <v>88</v>
      </c>
      <c r="E133" s="21">
        <v>34811</v>
      </c>
      <c r="F133" s="19">
        <v>68.358360700000006</v>
      </c>
      <c r="G133" s="20">
        <v>0.27946183655666201</v>
      </c>
      <c r="H133" s="22"/>
    </row>
    <row r="134" spans="2:8" x14ac:dyDescent="0.2">
      <c r="B134" s="18" t="s">
        <v>17</v>
      </c>
      <c r="C134" s="18" t="s">
        <v>18</v>
      </c>
      <c r="D134" s="18" t="s">
        <v>19</v>
      </c>
      <c r="E134" s="21">
        <v>2076</v>
      </c>
      <c r="F134" s="19">
        <v>67.295615999999995</v>
      </c>
      <c r="G134" s="20">
        <v>0.27511713632377799</v>
      </c>
      <c r="H134" s="22"/>
    </row>
    <row r="135" spans="2:8" x14ac:dyDescent="0.2">
      <c r="B135" s="18" t="s">
        <v>316</v>
      </c>
      <c r="C135" s="18" t="s">
        <v>317</v>
      </c>
      <c r="D135" s="18" t="s">
        <v>69</v>
      </c>
      <c r="E135" s="21">
        <v>49736</v>
      </c>
      <c r="F135" s="19">
        <v>67.193336000000002</v>
      </c>
      <c r="G135" s="20">
        <v>0.27469899644519802</v>
      </c>
      <c r="H135" s="22"/>
    </row>
    <row r="136" spans="2:8" x14ac:dyDescent="0.2">
      <c r="B136" s="18" t="s">
        <v>63</v>
      </c>
      <c r="C136" s="18" t="s">
        <v>64</v>
      </c>
      <c r="D136" s="18" t="s">
        <v>52</v>
      </c>
      <c r="E136" s="21">
        <v>4514</v>
      </c>
      <c r="F136" s="19">
        <v>65.841204000000005</v>
      </c>
      <c r="G136" s="20">
        <v>0.269171226496978</v>
      </c>
      <c r="H136" s="22"/>
    </row>
    <row r="137" spans="2:8" x14ac:dyDescent="0.2">
      <c r="B137" s="18" t="s">
        <v>318</v>
      </c>
      <c r="C137" s="18" t="s">
        <v>319</v>
      </c>
      <c r="D137" s="18" t="s">
        <v>69</v>
      </c>
      <c r="E137" s="21">
        <v>1524</v>
      </c>
      <c r="F137" s="19">
        <v>65.359787999999995</v>
      </c>
      <c r="G137" s="20">
        <v>0.26720310733598501</v>
      </c>
      <c r="H137" s="22"/>
    </row>
    <row r="138" spans="2:8" x14ac:dyDescent="0.2">
      <c r="B138" s="18" t="s">
        <v>320</v>
      </c>
      <c r="C138" s="18" t="s">
        <v>321</v>
      </c>
      <c r="D138" s="18" t="s">
        <v>224</v>
      </c>
      <c r="E138" s="21">
        <v>6953</v>
      </c>
      <c r="F138" s="19">
        <v>65.121797999999998</v>
      </c>
      <c r="G138" s="20">
        <v>0.26623015945073603</v>
      </c>
      <c r="H138" s="22"/>
    </row>
    <row r="139" spans="2:8" x14ac:dyDescent="0.2">
      <c r="B139" s="18" t="s">
        <v>322</v>
      </c>
      <c r="C139" s="18" t="s">
        <v>323</v>
      </c>
      <c r="D139" s="18" t="s">
        <v>15</v>
      </c>
      <c r="E139" s="21">
        <v>20394</v>
      </c>
      <c r="F139" s="19">
        <v>64.567403999999996</v>
      </c>
      <c r="G139" s="20">
        <v>0.26396369249878698</v>
      </c>
      <c r="H139" s="22"/>
    </row>
    <row r="140" spans="2:8" x14ac:dyDescent="0.2">
      <c r="B140" s="18" t="s">
        <v>324</v>
      </c>
      <c r="C140" s="18" t="s">
        <v>325</v>
      </c>
      <c r="D140" s="18" t="s">
        <v>15</v>
      </c>
      <c r="E140" s="21">
        <v>58072</v>
      </c>
      <c r="F140" s="19">
        <v>63.792091999999997</v>
      </c>
      <c r="G140" s="20">
        <v>0.26079407120878401</v>
      </c>
      <c r="H140" s="22"/>
    </row>
    <row r="141" spans="2:8" x14ac:dyDescent="0.2">
      <c r="B141" s="18" t="s">
        <v>326</v>
      </c>
      <c r="C141" s="18" t="s">
        <v>327</v>
      </c>
      <c r="D141" s="18" t="s">
        <v>328</v>
      </c>
      <c r="E141" s="21">
        <v>1723</v>
      </c>
      <c r="F141" s="19">
        <v>62.481149000000002</v>
      </c>
      <c r="G141" s="20">
        <v>0.25543468964009902</v>
      </c>
      <c r="H141" s="22"/>
    </row>
    <row r="142" spans="2:8" x14ac:dyDescent="0.2">
      <c r="B142" s="18" t="s">
        <v>329</v>
      </c>
      <c r="C142" s="18" t="s">
        <v>330</v>
      </c>
      <c r="D142" s="18" t="s">
        <v>34</v>
      </c>
      <c r="E142" s="21">
        <v>2586</v>
      </c>
      <c r="F142" s="19">
        <v>60.419303999999997</v>
      </c>
      <c r="G142" s="20">
        <v>0.247005479452863</v>
      </c>
      <c r="H142" s="22"/>
    </row>
    <row r="143" spans="2:8" x14ac:dyDescent="0.2">
      <c r="B143" s="18" t="s">
        <v>331</v>
      </c>
      <c r="C143" s="18" t="s">
        <v>332</v>
      </c>
      <c r="D143" s="18" t="s">
        <v>69</v>
      </c>
      <c r="E143" s="21">
        <v>69217</v>
      </c>
      <c r="F143" s="19">
        <v>60.343380600000003</v>
      </c>
      <c r="G143" s="20">
        <v>0.24669509031268599</v>
      </c>
      <c r="H143" s="22"/>
    </row>
    <row r="144" spans="2:8" x14ac:dyDescent="0.2">
      <c r="B144" s="18" t="s">
        <v>333</v>
      </c>
      <c r="C144" s="18" t="s">
        <v>334</v>
      </c>
      <c r="D144" s="18" t="s">
        <v>87</v>
      </c>
      <c r="E144" s="21">
        <v>5293</v>
      </c>
      <c r="F144" s="19">
        <v>59.136042500000002</v>
      </c>
      <c r="G144" s="20">
        <v>0.24175926506299</v>
      </c>
      <c r="H144" s="22"/>
    </row>
    <row r="145" spans="2:9" x14ac:dyDescent="0.2">
      <c r="B145" s="18" t="s">
        <v>335</v>
      </c>
      <c r="C145" s="18" t="s">
        <v>336</v>
      </c>
      <c r="D145" s="18" t="s">
        <v>337</v>
      </c>
      <c r="E145" s="21">
        <v>177</v>
      </c>
      <c r="F145" s="19">
        <v>58.941000000000003</v>
      </c>
      <c r="G145" s="20">
        <v>0.240961894636046</v>
      </c>
      <c r="H145" s="22"/>
    </row>
    <row r="146" spans="2:9" x14ac:dyDescent="0.2">
      <c r="B146" s="18" t="s">
        <v>338</v>
      </c>
      <c r="C146" s="18" t="s">
        <v>339</v>
      </c>
      <c r="D146" s="18" t="s">
        <v>69</v>
      </c>
      <c r="E146" s="21">
        <v>8154</v>
      </c>
      <c r="F146" s="19">
        <v>58.668030000000002</v>
      </c>
      <c r="G146" s="20">
        <v>0.23984594193115799</v>
      </c>
      <c r="H146" s="22"/>
    </row>
    <row r="147" spans="2:9" x14ac:dyDescent="0.2">
      <c r="B147" s="18" t="s">
        <v>340</v>
      </c>
      <c r="C147" s="18" t="s">
        <v>341</v>
      </c>
      <c r="D147" s="18" t="s">
        <v>342</v>
      </c>
      <c r="E147" s="21">
        <v>2547</v>
      </c>
      <c r="F147" s="19">
        <v>57.332970000000003</v>
      </c>
      <c r="G147" s="20">
        <v>0.234387965530133</v>
      </c>
      <c r="H147" s="22"/>
    </row>
    <row r="148" spans="2:9" x14ac:dyDescent="0.2">
      <c r="B148" s="18" t="s">
        <v>343</v>
      </c>
      <c r="C148" s="18" t="s">
        <v>344</v>
      </c>
      <c r="D148" s="18" t="s">
        <v>86</v>
      </c>
      <c r="E148" s="21">
        <v>20306</v>
      </c>
      <c r="F148" s="19">
        <v>55.228258799999999</v>
      </c>
      <c r="G148" s="20">
        <v>0.225783510254286</v>
      </c>
      <c r="H148" s="22"/>
    </row>
    <row r="149" spans="2:9" x14ac:dyDescent="0.2">
      <c r="B149" s="18" t="s">
        <v>345</v>
      </c>
      <c r="C149" s="18" t="s">
        <v>346</v>
      </c>
      <c r="D149" s="18" t="s">
        <v>47</v>
      </c>
      <c r="E149" s="21">
        <v>3749</v>
      </c>
      <c r="F149" s="19">
        <v>53.314529</v>
      </c>
      <c r="G149" s="20">
        <v>0.217959822864702</v>
      </c>
      <c r="H149" s="22"/>
    </row>
    <row r="150" spans="2:9" x14ac:dyDescent="0.2">
      <c r="B150" s="18" t="s">
        <v>347</v>
      </c>
      <c r="C150" s="18" t="s">
        <v>348</v>
      </c>
      <c r="D150" s="18" t="s">
        <v>23</v>
      </c>
      <c r="E150" s="21">
        <v>2205</v>
      </c>
      <c r="F150" s="19">
        <v>51.38973</v>
      </c>
      <c r="G150" s="20">
        <v>0.210090882503433</v>
      </c>
      <c r="H150" s="22"/>
    </row>
    <row r="151" spans="2:9" x14ac:dyDescent="0.2">
      <c r="B151" s="18" t="s">
        <v>349</v>
      </c>
      <c r="C151" s="18" t="s">
        <v>350</v>
      </c>
      <c r="D151" s="18" t="s">
        <v>96</v>
      </c>
      <c r="E151" s="21">
        <v>138</v>
      </c>
      <c r="F151" s="19">
        <v>42.821399999999997</v>
      </c>
      <c r="G151" s="20">
        <v>0.175061937784699</v>
      </c>
      <c r="H151" s="22"/>
    </row>
    <row r="152" spans="2:9" x14ac:dyDescent="0.2">
      <c r="B152" s="18" t="s">
        <v>351</v>
      </c>
      <c r="C152" s="18" t="s">
        <v>352</v>
      </c>
      <c r="D152" s="18" t="s">
        <v>16</v>
      </c>
      <c r="E152" s="21">
        <v>9272</v>
      </c>
      <c r="F152" s="19">
        <v>41.506107999999998</v>
      </c>
      <c r="G152" s="20">
        <v>0.16968477668598</v>
      </c>
      <c r="H152" s="22"/>
    </row>
    <row r="153" spans="2:9" x14ac:dyDescent="0.2">
      <c r="B153" s="18" t="s">
        <v>353</v>
      </c>
      <c r="C153" s="18" t="s">
        <v>354</v>
      </c>
      <c r="D153" s="18" t="s">
        <v>15</v>
      </c>
      <c r="E153" s="21">
        <v>44716</v>
      </c>
      <c r="F153" s="19">
        <v>35.316696800000003</v>
      </c>
      <c r="G153" s="20">
        <v>0.14438129948956999</v>
      </c>
      <c r="H153" s="22"/>
    </row>
    <row r="154" spans="2:9" x14ac:dyDescent="0.2">
      <c r="B154" s="18" t="s">
        <v>355</v>
      </c>
      <c r="C154" s="18" t="s">
        <v>356</v>
      </c>
      <c r="D154" s="18" t="s">
        <v>34</v>
      </c>
      <c r="E154" s="21">
        <v>3890</v>
      </c>
      <c r="F154" s="19">
        <v>29.567889999999998</v>
      </c>
      <c r="G154" s="20">
        <v>0.120879095956807</v>
      </c>
      <c r="H154" s="22"/>
    </row>
    <row r="155" spans="2:9" x14ac:dyDescent="0.2">
      <c r="B155" s="18" t="s">
        <v>357</v>
      </c>
      <c r="C155" s="18" t="s">
        <v>358</v>
      </c>
      <c r="D155" s="18" t="s">
        <v>337</v>
      </c>
      <c r="E155" s="21">
        <v>2698</v>
      </c>
      <c r="F155" s="19">
        <v>25.875169</v>
      </c>
      <c r="G155" s="20">
        <v>0.105782557918391</v>
      </c>
      <c r="H155" s="22"/>
    </row>
    <row r="156" spans="2:9" x14ac:dyDescent="0.2">
      <c r="B156" s="18" t="s">
        <v>359</v>
      </c>
      <c r="C156" s="18" t="s">
        <v>360</v>
      </c>
      <c r="D156" s="18" t="s">
        <v>36</v>
      </c>
      <c r="E156" s="21">
        <v>15045</v>
      </c>
      <c r="F156" s="19">
        <v>24.162269999999999</v>
      </c>
      <c r="G156" s="20">
        <v>9.8779904614914704E-2</v>
      </c>
      <c r="H156" s="22"/>
    </row>
    <row r="157" spans="2:9" ht="10.5" x14ac:dyDescent="0.25">
      <c r="B157" s="17" t="s">
        <v>74</v>
      </c>
      <c r="C157" s="17"/>
      <c r="D157" s="17"/>
      <c r="E157" s="17"/>
      <c r="F157" s="23">
        <f>SUM(F7:F156)</f>
        <v>24514.064596099975</v>
      </c>
      <c r="G157" s="24">
        <f>SUM(G7:G156)</f>
        <v>100.21810709534394</v>
      </c>
      <c r="H157" s="17"/>
      <c r="I157" s="11"/>
    </row>
    <row r="158" spans="2:9" ht="10.5" x14ac:dyDescent="0.25">
      <c r="B158" s="17" t="s">
        <v>75</v>
      </c>
      <c r="C158" s="17"/>
      <c r="D158" s="17"/>
      <c r="E158" s="17"/>
      <c r="F158" s="25" t="s">
        <v>76</v>
      </c>
      <c r="G158" s="26" t="s">
        <v>76</v>
      </c>
      <c r="H158" s="17"/>
      <c r="I158" s="11"/>
    </row>
    <row r="159" spans="2:9" ht="10.5" x14ac:dyDescent="0.25">
      <c r="B159" s="17" t="s">
        <v>74</v>
      </c>
      <c r="C159" s="17"/>
      <c r="D159" s="17"/>
      <c r="E159" s="17"/>
      <c r="F159" s="27" t="s">
        <v>76</v>
      </c>
      <c r="G159" s="28" t="s">
        <v>76</v>
      </c>
      <c r="H159" s="17"/>
      <c r="I159" s="11"/>
    </row>
    <row r="160" spans="2:9" ht="10.5" x14ac:dyDescent="0.25">
      <c r="B160" s="29" t="s">
        <v>77</v>
      </c>
      <c r="C160" s="29"/>
      <c r="D160" s="29"/>
      <c r="E160" s="29"/>
      <c r="F160" s="30">
        <f>F157</f>
        <v>24514.064596099975</v>
      </c>
      <c r="G160" s="31">
        <f>G157</f>
        <v>100.21810709534394</v>
      </c>
      <c r="H160" s="17"/>
      <c r="I160" s="11"/>
    </row>
    <row r="161" spans="2:9" ht="10.5" x14ac:dyDescent="0.25">
      <c r="B161" s="17" t="s">
        <v>78</v>
      </c>
      <c r="C161" s="17"/>
      <c r="D161" s="17"/>
      <c r="E161" s="17"/>
      <c r="F161" s="23">
        <v>148.25382450000001</v>
      </c>
      <c r="G161" s="24">
        <v>0.60608952068271305</v>
      </c>
      <c r="H161" s="22">
        <v>5.2499999999999998E-2</v>
      </c>
      <c r="I161" s="12"/>
    </row>
    <row r="162" spans="2:9" x14ac:dyDescent="0.2">
      <c r="B162" s="18"/>
      <c r="C162" s="18"/>
      <c r="D162" s="18"/>
      <c r="E162" s="18"/>
      <c r="F162" s="19"/>
      <c r="G162" s="20"/>
      <c r="H162" s="18"/>
    </row>
    <row r="163" spans="2:9" ht="10.5" x14ac:dyDescent="0.25">
      <c r="B163" s="36" t="s">
        <v>80</v>
      </c>
      <c r="C163" s="36"/>
      <c r="D163" s="36"/>
      <c r="E163" s="36"/>
      <c r="F163" s="23">
        <f>F164-(F157+F161)</f>
        <v>-201.6043773999736</v>
      </c>
      <c r="G163" s="24">
        <f>G164-(G157+G161)</f>
        <v>-0.82419661602665428</v>
      </c>
      <c r="H163" s="17"/>
      <c r="I163" s="11"/>
    </row>
    <row r="164" spans="2:9" ht="10.5" x14ac:dyDescent="0.25">
      <c r="B164" s="32" t="s">
        <v>79</v>
      </c>
      <c r="C164" s="32"/>
      <c r="D164" s="32"/>
      <c r="E164" s="32"/>
      <c r="F164" s="33">
        <v>24460.714043200001</v>
      </c>
      <c r="G164" s="34">
        <v>100</v>
      </c>
      <c r="H164" s="35"/>
      <c r="I164" s="11"/>
    </row>
    <row r="167" spans="2:9" ht="10.5" x14ac:dyDescent="0.2">
      <c r="B167" s="39" t="s">
        <v>82</v>
      </c>
    </row>
    <row r="168" spans="2:9" ht="10.5" x14ac:dyDescent="0.2">
      <c r="B168" s="39"/>
    </row>
    <row r="169" spans="2:9" x14ac:dyDescent="0.2">
      <c r="B169" s="41" t="s">
        <v>364</v>
      </c>
    </row>
    <row r="170" spans="2:9" x14ac:dyDescent="0.2">
      <c r="B170" s="41" t="s">
        <v>368</v>
      </c>
    </row>
    <row r="171" spans="2:9" x14ac:dyDescent="0.2">
      <c r="B171" s="41" t="s">
        <v>369</v>
      </c>
    </row>
    <row r="172" spans="2:9" ht="10.5" x14ac:dyDescent="0.2">
      <c r="B172" s="39"/>
    </row>
    <row r="173" spans="2:9" ht="10.5" x14ac:dyDescent="0.2">
      <c r="B173" s="45" t="s">
        <v>365</v>
      </c>
      <c r="C173" s="42" t="s">
        <v>370</v>
      </c>
      <c r="D173" s="47" t="s">
        <v>366</v>
      </c>
    </row>
    <row r="174" spans="2:9" x14ac:dyDescent="0.2">
      <c r="B174" s="43" t="s">
        <v>367</v>
      </c>
      <c r="C174" s="46">
        <v>9.1341000000000001</v>
      </c>
      <c r="D174" s="46">
        <v>10.3521</v>
      </c>
    </row>
    <row r="175" spans="2:9" ht="10.5" x14ac:dyDescent="0.2">
      <c r="B175" s="39"/>
    </row>
    <row r="176" spans="2:9" x14ac:dyDescent="0.2">
      <c r="B176" s="41" t="s">
        <v>374</v>
      </c>
    </row>
    <row r="177" spans="2:2" x14ac:dyDescent="0.2">
      <c r="B177" s="41" t="s">
        <v>371</v>
      </c>
    </row>
    <row r="178" spans="2:2" x14ac:dyDescent="0.2">
      <c r="B178" s="41" t="s">
        <v>372</v>
      </c>
    </row>
    <row r="179" spans="2:2" x14ac:dyDescent="0.2">
      <c r="B179" s="44" t="s">
        <v>375</v>
      </c>
    </row>
    <row r="180" spans="2:2" x14ac:dyDescent="0.2">
      <c r="B180" s="41" t="s">
        <v>373</v>
      </c>
    </row>
    <row r="184" spans="2:2" ht="10.5" x14ac:dyDescent="0.25">
      <c r="B184" s="11" t="s">
        <v>83</v>
      </c>
    </row>
    <row r="201" spans="2:2" ht="10.5" x14ac:dyDescent="0.2">
      <c r="B201" s="39" t="s">
        <v>361</v>
      </c>
    </row>
    <row r="202" spans="2:2" ht="10.5" x14ac:dyDescent="0.25">
      <c r="B202" s="40" t="s">
        <v>362</v>
      </c>
    </row>
  </sheetData>
  <mergeCells count="1">
    <mergeCell ref="B1:C1"/>
  </mergeCells>
  <conditionalFormatting sqref="G1:G3 G5:G221">
    <cfRule type="cellIs" dxfId="0" priority="2" stopIfTrue="1" operator="between">
      <formula>0.009</formula>
      <formula>-0.009</formula>
    </cfRule>
  </conditionalFormatting>
  <hyperlinks>
    <hyperlink ref="A2" location="Index!A1" display="-" xr:uid="{1956B81D-65B7-4F88-9B9C-B24976C8A8EC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82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