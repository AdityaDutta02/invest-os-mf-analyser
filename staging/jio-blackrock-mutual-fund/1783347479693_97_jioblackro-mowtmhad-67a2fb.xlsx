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CEDEE721-9292-4EB5-981C-71C94A5C4AC2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NS250" sheetId="13" r:id="rId1"/>
  </sheets>
  <definedNames>
    <definedName name="_xlnm.Print_Area" localSheetId="0">JBNS250!$B$1:$H$318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7" i="13" l="1"/>
  <c r="G263" i="13" s="1"/>
  <c r="F257" i="13"/>
  <c r="F260" i="13" s="1"/>
  <c r="G260" i="13" l="1"/>
  <c r="F263" i="13"/>
</calcChain>
</file>

<file path=xl/sharedStrings.xml><?xml version="1.0" encoding="utf-8"?>
<sst xmlns="http://schemas.openxmlformats.org/spreadsheetml/2006/main" count="789" uniqueCount="581">
  <si>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</si>
  <si>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</si>
  <si>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</si>
  <si>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</si>
  <si>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</si>
  <si>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</si>
  <si>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</si>
  <si>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Nifty Smallcap 250 Index Fund</t>
  </si>
  <si>
    <t>Equity &amp; Equity related</t>
  </si>
  <si>
    <t>(a) Listed / awaiting listing on Stock Exchanges</t>
  </si>
  <si>
    <t>Banks</t>
  </si>
  <si>
    <t>Telecom - Services</t>
  </si>
  <si>
    <t>Automobiles</t>
  </si>
  <si>
    <t>Construction</t>
  </si>
  <si>
    <t>Petroleum Products</t>
  </si>
  <si>
    <t>Power</t>
  </si>
  <si>
    <t>IT - Software</t>
  </si>
  <si>
    <t>Food Products</t>
  </si>
  <si>
    <t>Agricultural, Commercial &amp; Construction Vehicles</t>
  </si>
  <si>
    <t>Ferrous Metals</t>
  </si>
  <si>
    <t>Auto Components</t>
  </si>
  <si>
    <t>Transport Services</t>
  </si>
  <si>
    <t>Capital Markets</t>
  </si>
  <si>
    <t>Retailing</t>
  </si>
  <si>
    <t>Consumer Durables</t>
  </si>
  <si>
    <t>Pharmaceuticals &amp; Biotechnology</t>
  </si>
  <si>
    <t>Oil</t>
  </si>
  <si>
    <t>Insurance</t>
  </si>
  <si>
    <t>Diversified Metals</t>
  </si>
  <si>
    <t>Cement &amp; Cement Products</t>
  </si>
  <si>
    <t>Beverages</t>
  </si>
  <si>
    <t>Finance</t>
  </si>
  <si>
    <t>Sub Total</t>
  </si>
  <si>
    <t xml:space="preserve">(b) Unlisted </t>
  </si>
  <si>
    <t>NIL</t>
  </si>
  <si>
    <t>Total</t>
  </si>
  <si>
    <t>TREPS</t>
  </si>
  <si>
    <t>Grand Total</t>
  </si>
  <si>
    <t>Net Receivables / (Payables)</t>
  </si>
  <si>
    <t>Industry Classification</t>
  </si>
  <si>
    <t>Notes</t>
  </si>
  <si>
    <t xml:space="preserve">Scheme Risk-O-Meter </t>
  </si>
  <si>
    <t>Aerospace &amp; Defense</t>
  </si>
  <si>
    <t>Non - Ferrous Metals</t>
  </si>
  <si>
    <t>Healthcare Services</t>
  </si>
  <si>
    <t>Agricultural Food &amp; Other Products</t>
  </si>
  <si>
    <t>Industrial Products</t>
  </si>
  <si>
    <t>Leisure Services</t>
  </si>
  <si>
    <t>Electrical Equipment</t>
  </si>
  <si>
    <t>Gas</t>
  </si>
  <si>
    <t>Personal Products</t>
  </si>
  <si>
    <t>Chemicals &amp; Petrochemicals</t>
  </si>
  <si>
    <t>Realty</t>
  </si>
  <si>
    <t>Industrial Manufacturing</t>
  </si>
  <si>
    <t>Financial Technology (Fintech)</t>
  </si>
  <si>
    <t>Fertilizers &amp; Agrochemicals</t>
  </si>
  <si>
    <t>Minerals &amp; Mining</t>
  </si>
  <si>
    <t>Textiles &amp; Apparels</t>
  </si>
  <si>
    <t>IT - Services</t>
  </si>
  <si>
    <t>Diversified</t>
  </si>
  <si>
    <t>Karur Vysya Bank Ltd</t>
  </si>
  <si>
    <t>INE036D01028</t>
  </si>
  <si>
    <t>Sona Blw Precision Forgings Ltd</t>
  </si>
  <si>
    <t>INE073K01018</t>
  </si>
  <si>
    <t>Delhivery Ltd</t>
  </si>
  <si>
    <t>INE148O01028</t>
  </si>
  <si>
    <t>Navin Fluorine International Ltd</t>
  </si>
  <si>
    <t>INE048G01026</t>
  </si>
  <si>
    <t>Piramal Finance Ltd</t>
  </si>
  <si>
    <t>INE202B01038</t>
  </si>
  <si>
    <t>Central Depository Services (India) Ltd</t>
  </si>
  <si>
    <t>INE736A01011</t>
  </si>
  <si>
    <t>RBL Bank Ltd</t>
  </si>
  <si>
    <t>INE976G01028</t>
  </si>
  <si>
    <t>Angel One Ltd</t>
  </si>
  <si>
    <t>INE732I01021</t>
  </si>
  <si>
    <t>PNB Housing Finance Ltd</t>
  </si>
  <si>
    <t>INE572E01012</t>
  </si>
  <si>
    <t>City Union Bank Ltd</t>
  </si>
  <si>
    <t>INE491A01021</t>
  </si>
  <si>
    <t>Ather Energy Ltd</t>
  </si>
  <si>
    <t>INE0LEZ01016</t>
  </si>
  <si>
    <t>Bandhan Bank Ltd</t>
  </si>
  <si>
    <t>INE545U01014</t>
  </si>
  <si>
    <t>Computer Age Management Services Ltd</t>
  </si>
  <si>
    <t>INE596I01020</t>
  </si>
  <si>
    <t>Aster DM Healthcare Ltd</t>
  </si>
  <si>
    <t>INE914M01019</t>
  </si>
  <si>
    <t>Hindustan Copper Ltd</t>
  </si>
  <si>
    <t>INE531E01026</t>
  </si>
  <si>
    <t>Crompton Greaves Consumer Electricals Ltd</t>
  </si>
  <si>
    <t>INE299U01018</t>
  </si>
  <si>
    <t>Amber Enterprises India Ltd</t>
  </si>
  <si>
    <t>INE371P01015</t>
  </si>
  <si>
    <t>J.B. Chemicals &amp; Pharmaceuticals Ltd</t>
  </si>
  <si>
    <t>INE572A01036</t>
  </si>
  <si>
    <t>Welspun Corp Ltd</t>
  </si>
  <si>
    <t>INE191B01025</t>
  </si>
  <si>
    <t>Krishna Institute Of Medical Sciences Ltd</t>
  </si>
  <si>
    <t>INE967H01025</t>
  </si>
  <si>
    <t>Manappuram Finance Ltd</t>
  </si>
  <si>
    <t>INE522D01027</t>
  </si>
  <si>
    <t>Great Eastern Shipping Co Ltd</t>
  </si>
  <si>
    <t>INE017A01032</t>
  </si>
  <si>
    <t>Cholamandalam Financial Holdings Ltd</t>
  </si>
  <si>
    <t>INE149A01033</t>
  </si>
  <si>
    <t>Anand Rathi Wealth Ltd</t>
  </si>
  <si>
    <t>INE463V01026</t>
  </si>
  <si>
    <t>Poonawalla Fincorp Ltd</t>
  </si>
  <si>
    <t>INE511C01022</t>
  </si>
  <si>
    <t>Sai Life Sciences Ltd</t>
  </si>
  <si>
    <t>INE570L01029</t>
  </si>
  <si>
    <t>Himadri Speciality Chemical Ltd</t>
  </si>
  <si>
    <t>INE019C01026</t>
  </si>
  <si>
    <t>Kalpataru Projects International Ltd</t>
  </si>
  <si>
    <t>INE220B01022</t>
  </si>
  <si>
    <t>Kirloskar Oil Engines Ltd</t>
  </si>
  <si>
    <t>INE146L01010</t>
  </si>
  <si>
    <t>Gland Pharma Ltd</t>
  </si>
  <si>
    <t>INE068V01023</t>
  </si>
  <si>
    <t>Acutaas Chemicals Ltd</t>
  </si>
  <si>
    <t>INE00FF01025</t>
  </si>
  <si>
    <t>Neuland Laboratories Ltd</t>
  </si>
  <si>
    <t>INE794A01010</t>
  </si>
  <si>
    <t>Redington Ltd</t>
  </si>
  <si>
    <t>INE891D01026</t>
  </si>
  <si>
    <t>Commercial Services &amp; Supplies</t>
  </si>
  <si>
    <t>Tata Chemicals Ltd</t>
  </si>
  <si>
    <t>INE092A01019</t>
  </si>
  <si>
    <t>Kaynes Technology India Ltd</t>
  </si>
  <si>
    <t>INE918Z01012</t>
  </si>
  <si>
    <t>Star Health And Allied Insurance Co Ltd</t>
  </si>
  <si>
    <t>INE575P01011</t>
  </si>
  <si>
    <t>Timken India Ltd</t>
  </si>
  <si>
    <t>INE325A01013</t>
  </si>
  <si>
    <t>Narayana Hrudayalaya Ltd</t>
  </si>
  <si>
    <t>INE410P01011</t>
  </si>
  <si>
    <t>Data Patterns India Ltd</t>
  </si>
  <si>
    <t>INE0IX101010</t>
  </si>
  <si>
    <t>Kfin Technologies Ltd</t>
  </si>
  <si>
    <t>INE138Y01010</t>
  </si>
  <si>
    <t>Elgi Equipments Ltd</t>
  </si>
  <si>
    <t>INE285A01027</t>
  </si>
  <si>
    <t>Deepak Nitrite Ltd</t>
  </si>
  <si>
    <t>INE288B01029</t>
  </si>
  <si>
    <t>HFCL Ltd</t>
  </si>
  <si>
    <t>INE548A01028</t>
  </si>
  <si>
    <t>CESC Ltd</t>
  </si>
  <si>
    <t>INE486A01021</t>
  </si>
  <si>
    <t>The Ramco Cements Ltd</t>
  </si>
  <si>
    <t>INE331A01037</t>
  </si>
  <si>
    <t>Indraprastha Gas Ltd</t>
  </si>
  <si>
    <t>INE203G01027</t>
  </si>
  <si>
    <t>Wockhardt Ltd</t>
  </si>
  <si>
    <t>INE049B01025</t>
  </si>
  <si>
    <t>ZF Commercial Vehicle Control Systems India Ltd</t>
  </si>
  <si>
    <t>INE342J01019</t>
  </si>
  <si>
    <t>Sammaan Capital Ltd</t>
  </si>
  <si>
    <t>INE148I01020</t>
  </si>
  <si>
    <t>Carborundum Universal Ltd</t>
  </si>
  <si>
    <t>INE120A01034</t>
  </si>
  <si>
    <t>Brigade Enterprises Ltd</t>
  </si>
  <si>
    <t>INE791I01019</t>
  </si>
  <si>
    <t>Atul Ltd</t>
  </si>
  <si>
    <t>INE100A01010</t>
  </si>
  <si>
    <t>Amara Raja Energy And Mobility Ltd</t>
  </si>
  <si>
    <t>INE885A01032</t>
  </si>
  <si>
    <t>IIFL Finance Ltd</t>
  </si>
  <si>
    <t>INE530B01024</t>
  </si>
  <si>
    <t>Dr. Lal Path Labs Ltd</t>
  </si>
  <si>
    <t>INE600L01024</t>
  </si>
  <si>
    <t>Home First Finance Co India Ltd</t>
  </si>
  <si>
    <t>INE481N01025</t>
  </si>
  <si>
    <t>Aarti Industries Ltd</t>
  </si>
  <si>
    <t>INE769A01020</t>
  </si>
  <si>
    <t>Motherson Sumi Wiring India Ltd</t>
  </si>
  <si>
    <t>INE0FS801015</t>
  </si>
  <si>
    <t>Nuvama Wealth Management Ltd</t>
  </si>
  <si>
    <t>INE531F01023</t>
  </si>
  <si>
    <t>Granules India Ltd</t>
  </si>
  <si>
    <t>INE101D01020</t>
  </si>
  <si>
    <t>Asahi India Glass Ltd</t>
  </si>
  <si>
    <t>INE439A01020</t>
  </si>
  <si>
    <t>Piramal Pharma Ltd</t>
  </si>
  <si>
    <t>INE0DK501011</t>
  </si>
  <si>
    <t>Tata Technologies Ltd</t>
  </si>
  <si>
    <t>INE142M01025</t>
  </si>
  <si>
    <t>Indian Energy Exchange Ltd</t>
  </si>
  <si>
    <t>INE022Q01020</t>
  </si>
  <si>
    <t>Kajaria Ceramics Ltd</t>
  </si>
  <si>
    <t>INE217B01036</t>
  </si>
  <si>
    <t>Natco Pharma Ltd</t>
  </si>
  <si>
    <t>INE987B01026</t>
  </si>
  <si>
    <t>Inox Wind Ltd</t>
  </si>
  <si>
    <t>INE066P01011</t>
  </si>
  <si>
    <t>PTC Industries Ltd</t>
  </si>
  <si>
    <t>INE596F01018</t>
  </si>
  <si>
    <t>Sagility Ltd</t>
  </si>
  <si>
    <t>INE0W2G01015</t>
  </si>
  <si>
    <t>Jaiprakash Power Ventures Ltd</t>
  </si>
  <si>
    <t>INE351F01018</t>
  </si>
  <si>
    <t>Onesource Specialty Pharma Ltd</t>
  </si>
  <si>
    <t>INE013P01021</t>
  </si>
  <si>
    <t>Force Motors Ltd</t>
  </si>
  <si>
    <t>INE451A01017</t>
  </si>
  <si>
    <t>NBCC (India) Ltd</t>
  </si>
  <si>
    <t>INE095N01031</t>
  </si>
  <si>
    <t>Craftsman Automation Ltd</t>
  </si>
  <si>
    <t>INE00LO01017</t>
  </si>
  <si>
    <t>Five-Star Business Finance Ltd</t>
  </si>
  <si>
    <t>INE128S01021</t>
  </si>
  <si>
    <t>Aptus Value Housing Finance India Ltd</t>
  </si>
  <si>
    <t>INE852O01025</t>
  </si>
  <si>
    <t>Nava Ltd</t>
  </si>
  <si>
    <t>INE725A01030</t>
  </si>
  <si>
    <t>Affle 3i Ltd</t>
  </si>
  <si>
    <t>INE00WC01027</t>
  </si>
  <si>
    <t>HBL Engineering Ltd</t>
  </si>
  <si>
    <t>INE292B01021</t>
  </si>
  <si>
    <t>Castrol India Ltd</t>
  </si>
  <si>
    <t>INE172A01027</t>
  </si>
  <si>
    <t>Syngene International Ltd</t>
  </si>
  <si>
    <t>INE398R01022</t>
  </si>
  <si>
    <t>Aegis Logistics Ltd</t>
  </si>
  <si>
    <t>INE208C01025</t>
  </si>
  <si>
    <t>Emami Ltd</t>
  </si>
  <si>
    <t>INE548C01032</t>
  </si>
  <si>
    <t>EID Parry India Ltd</t>
  </si>
  <si>
    <t>INE126A01031</t>
  </si>
  <si>
    <t>Garden Reach Shipbuilders &amp; Engineers Ltd</t>
  </si>
  <si>
    <t>INE382Z01011</t>
  </si>
  <si>
    <t>PG Electroplast Ltd</t>
  </si>
  <si>
    <t>INE457L01029</t>
  </si>
  <si>
    <t>IRB Infrastructure Developers Ltd</t>
  </si>
  <si>
    <t>INE821I01022</t>
  </si>
  <si>
    <t>Deepak Fertilizers and Petrochemicals Corporation Ltd</t>
  </si>
  <si>
    <t>INE501A01019</t>
  </si>
  <si>
    <t>Reliance Power Ltd</t>
  </si>
  <si>
    <t>INE614G01033</t>
  </si>
  <si>
    <t>Zee Entertainment Enterprises Ltd</t>
  </si>
  <si>
    <t>INE256A01028</t>
  </si>
  <si>
    <t>Entertainment</t>
  </si>
  <si>
    <t>Usha Martin Ltd</t>
  </si>
  <si>
    <t>INE228A01035</t>
  </si>
  <si>
    <t>Inventurus Knowledge Solutions Ltd</t>
  </si>
  <si>
    <t>INE115Q01022</t>
  </si>
  <si>
    <t>Gujarat State Petronet Ltd</t>
  </si>
  <si>
    <t>INE246F01010</t>
  </si>
  <si>
    <t>CCL Products (India) Ltd</t>
  </si>
  <si>
    <t>INE421D01022</t>
  </si>
  <si>
    <t>Cohance Lifesciences Ltd</t>
  </si>
  <si>
    <t>INE03QK01018</t>
  </si>
  <si>
    <t>Aditya Birla Real Estate Ltd</t>
  </si>
  <si>
    <t>INE055A01016</t>
  </si>
  <si>
    <t>Zen Technologies Ltd</t>
  </si>
  <si>
    <t>INE251B01027</t>
  </si>
  <si>
    <t>PVR Inox Ltd</t>
  </si>
  <si>
    <t>INE191H01014</t>
  </si>
  <si>
    <t>Whirlpool Of India Ltd</t>
  </si>
  <si>
    <t>INE716A01013</t>
  </si>
  <si>
    <t>Finolex Cables Ltd</t>
  </si>
  <si>
    <t>INE235A01022</t>
  </si>
  <si>
    <t>Jubilant Pharmova Ltd</t>
  </si>
  <si>
    <t>INE700A01033</t>
  </si>
  <si>
    <t>Go Digit General Insurance Ltd</t>
  </si>
  <si>
    <t>INE03JT01014</t>
  </si>
  <si>
    <t>Anant Raj Ltd</t>
  </si>
  <si>
    <t>INE242C01024</t>
  </si>
  <si>
    <t>Aditya Birla Sun Life AMC Ltd</t>
  </si>
  <si>
    <t>INE404A01024</t>
  </si>
  <si>
    <t>Cyient Ltd</t>
  </si>
  <si>
    <t>INE136B01020</t>
  </si>
  <si>
    <t>Syrma SGS Technology Ltd</t>
  </si>
  <si>
    <t>INE0DYJ01015</t>
  </si>
  <si>
    <t>Ola Electric Mobility Ltd</t>
  </si>
  <si>
    <t>INE0LXG01040</t>
  </si>
  <si>
    <t>Can Fin Homes Ltd</t>
  </si>
  <si>
    <t>INE477A01020</t>
  </si>
  <si>
    <t>Schneider Electric Infrastructure Ltd</t>
  </si>
  <si>
    <t>INE839M01018</t>
  </si>
  <si>
    <t>KEC International Ltd</t>
  </si>
  <si>
    <t>INE389H01022</t>
  </si>
  <si>
    <t>Eris Lifesciences Ltd</t>
  </si>
  <si>
    <t>INE406M01024</t>
  </si>
  <si>
    <t>Godawari Power &amp; Ispat Ltd</t>
  </si>
  <si>
    <t>INE177H01039</t>
  </si>
  <si>
    <t>CEAT Ltd</t>
  </si>
  <si>
    <t>INE482A01020</t>
  </si>
  <si>
    <t>Capri Global Capital Ltd</t>
  </si>
  <si>
    <t>INE180C01042</t>
  </si>
  <si>
    <t>Pfizer Ltd</t>
  </si>
  <si>
    <t>INE182A01018</t>
  </si>
  <si>
    <t>Creditaccess Grameen Ltd</t>
  </si>
  <si>
    <t>INE741K01010</t>
  </si>
  <si>
    <t>BEML Ltd</t>
  </si>
  <si>
    <t>INE258A01024</t>
  </si>
  <si>
    <t>Engineers India Ltd</t>
  </si>
  <si>
    <t>INE510A01028</t>
  </si>
  <si>
    <t>CarTrade Tech Ltd</t>
  </si>
  <si>
    <t>INE290S01011</t>
  </si>
  <si>
    <t>Firstsource Solutions Ltd</t>
  </si>
  <si>
    <t>INE684F01012</t>
  </si>
  <si>
    <t>Netweb Technologies India Ltd</t>
  </si>
  <si>
    <t>INE0NT901020</t>
  </si>
  <si>
    <t>NCC Ltd</t>
  </si>
  <si>
    <t>INE868B01028</t>
  </si>
  <si>
    <t>Triveni Turbine Ltd</t>
  </si>
  <si>
    <t>INE152M01016</t>
  </si>
  <si>
    <t>Chambal Fertilizers &amp; Chemicals Ltd</t>
  </si>
  <si>
    <t>INE085A01013</t>
  </si>
  <si>
    <t>Gabriel India Ltd</t>
  </si>
  <si>
    <t>INE524A01029</t>
  </si>
  <si>
    <t>Intellect Design Arena Ltd</t>
  </si>
  <si>
    <t>INE306R01017</t>
  </si>
  <si>
    <t>Gillette India Ltd</t>
  </si>
  <si>
    <t>INE322A01010</t>
  </si>
  <si>
    <t>Mahanagar Gas Ltd</t>
  </si>
  <si>
    <t>INE002S01010</t>
  </si>
  <si>
    <t>Indiamart Intermesh Ltd</t>
  </si>
  <si>
    <t>INE933S01016</t>
  </si>
  <si>
    <t>Techno Electric &amp; Engineering Co Ltd</t>
  </si>
  <si>
    <t>INE285K01026</t>
  </si>
  <si>
    <t>Jyoti CNC Automation Ltd</t>
  </si>
  <si>
    <t>INE980O01024</t>
  </si>
  <si>
    <t>Sobha Ltd</t>
  </si>
  <si>
    <t>INE671H01015</t>
  </si>
  <si>
    <t>Belrise Industries Ltd</t>
  </si>
  <si>
    <t>INE894V01022</t>
  </si>
  <si>
    <t>EIH Ltd</t>
  </si>
  <si>
    <t>INE230A01023</t>
  </si>
  <si>
    <t>Rainbow Childrens Medicare Ltd</t>
  </si>
  <si>
    <t>INE961O01016</t>
  </si>
  <si>
    <t>Vardhman Textiles Ltd</t>
  </si>
  <si>
    <t>INE825A01020</t>
  </si>
  <si>
    <t>Titagarh Rail Systems Ltd</t>
  </si>
  <si>
    <t>INE615H01020</t>
  </si>
  <si>
    <t>Ramkrishna Forgings Ltd</t>
  </si>
  <si>
    <t>INE399G01023</t>
  </si>
  <si>
    <t>Shyam Metalics And Energy Ltd</t>
  </si>
  <si>
    <t>INE810G01011</t>
  </si>
  <si>
    <t>Birlasoft Ltd</t>
  </si>
  <si>
    <t>INE836A01035</t>
  </si>
  <si>
    <t>Gujarat Mineral Development Corporation Ltd</t>
  </si>
  <si>
    <t>INE131A01031</t>
  </si>
  <si>
    <t>Bayer Cropscience Ltd</t>
  </si>
  <si>
    <t>INE462A01022</t>
  </si>
  <si>
    <t>Jubilant Ingrevia Ltd</t>
  </si>
  <si>
    <t>INE0BY001018</t>
  </si>
  <si>
    <t>Balrampur Chini Mills Ltd</t>
  </si>
  <si>
    <t>INE119A01028</t>
  </si>
  <si>
    <t>Sun TV Network Ltd</t>
  </si>
  <si>
    <t>INE424H01027</t>
  </si>
  <si>
    <t>LT Foods Ltd</t>
  </si>
  <si>
    <t>INE818H01020</t>
  </si>
  <si>
    <t>eClerx Services Ltd</t>
  </si>
  <si>
    <t>INE738I01010</t>
  </si>
  <si>
    <t>Zensar Technologies Ltd</t>
  </si>
  <si>
    <t>INE520A01027</t>
  </si>
  <si>
    <t>Lemon Tree Hotels Ltd</t>
  </si>
  <si>
    <t>INE970X01018</t>
  </si>
  <si>
    <t>Poly Medicure Ltd</t>
  </si>
  <si>
    <t>INE205C01021</t>
  </si>
  <si>
    <t>Healthcare Equipment &amp; Supplies</t>
  </si>
  <si>
    <t>Emcure Pharmaceuticals Ltd</t>
  </si>
  <si>
    <t>INE168P01015</t>
  </si>
  <si>
    <t>The Jammu &amp; Kashmir Bank Ltd</t>
  </si>
  <si>
    <t>INE168A01041</t>
  </si>
  <si>
    <t>Fertilizers And Chemicals Travancore Ltd</t>
  </si>
  <si>
    <t>INE188A01015</t>
  </si>
  <si>
    <t>Paradeep Phosphates Ltd</t>
  </si>
  <si>
    <t>INE088F01024</t>
  </si>
  <si>
    <t>Aditya Birla Lifestyle Brands Ltd</t>
  </si>
  <si>
    <t>INE14LE01019</t>
  </si>
  <si>
    <t>Vijaya Diagnostic Centre Ltd</t>
  </si>
  <si>
    <t>INE043W01024</t>
  </si>
  <si>
    <t>Aavas Financiers Ltd</t>
  </si>
  <si>
    <t>INE216P01012</t>
  </si>
  <si>
    <t>Sarda Energy &amp; Minerals Ltd</t>
  </si>
  <si>
    <t>INE385C01021</t>
  </si>
  <si>
    <t>Meesho Ltd</t>
  </si>
  <si>
    <t>INE0VDM01015</t>
  </si>
  <si>
    <t>Chennai Petroleum Corporation Ltd</t>
  </si>
  <si>
    <t>INE178A01016</t>
  </si>
  <si>
    <t>Chalet Hotels Ltd</t>
  </si>
  <si>
    <t>INE427F01016</t>
  </si>
  <si>
    <t>JM Financial Ltd</t>
  </si>
  <si>
    <t>INE780C01023</t>
  </si>
  <si>
    <t>Brainbees Solutions Ltd</t>
  </si>
  <si>
    <t>INE02RE01045</t>
  </si>
  <si>
    <t>Choice International Ltd</t>
  </si>
  <si>
    <t>INE102B01014</t>
  </si>
  <si>
    <t>Afcons Infrastructure Ltd</t>
  </si>
  <si>
    <t>INE101I01011</t>
  </si>
  <si>
    <t>Aadhar Housing Finance Ltd</t>
  </si>
  <si>
    <t>INE883F01010</t>
  </si>
  <si>
    <t>Jindal Saw Ltd</t>
  </si>
  <si>
    <t>INE324A01032</t>
  </si>
  <si>
    <t>Gravita India Ltd</t>
  </si>
  <si>
    <t>INE024L01027</t>
  </si>
  <si>
    <t>R R Kabel Ltd</t>
  </si>
  <si>
    <t>INE777K01022</t>
  </si>
  <si>
    <t>Indegene Ltd</t>
  </si>
  <si>
    <t>INE065X01017</t>
  </si>
  <si>
    <t>Shipping Corporation of India Ltd</t>
  </si>
  <si>
    <t>INE109A01011</t>
  </si>
  <si>
    <t>Sumitomo Chemical India Ltd</t>
  </si>
  <si>
    <t>INE258G01013</t>
  </si>
  <si>
    <t>Urban Co Ltd</t>
  </si>
  <si>
    <t>INE0CAZ01013</t>
  </si>
  <si>
    <t>Indian Overseas Bank</t>
  </si>
  <si>
    <t>INE565A01014</t>
  </si>
  <si>
    <t>PCBL Chemical Ltd</t>
  </si>
  <si>
    <t>INE602A01031</t>
  </si>
  <si>
    <t>Olectra Greentech Ltd</t>
  </si>
  <si>
    <t>INE260D01016</t>
  </si>
  <si>
    <t>Jsw Dulux Ltd</t>
  </si>
  <si>
    <t>INE133A01011</t>
  </si>
  <si>
    <t>JK Tyre &amp; Industries Ltd</t>
  </si>
  <si>
    <t>INE573A01042</t>
  </si>
  <si>
    <t>Physicswallah Ltd</t>
  </si>
  <si>
    <t>INE0LP301011</t>
  </si>
  <si>
    <t>Other Consumer Services</t>
  </si>
  <si>
    <t>Devyani International Ltd</t>
  </si>
  <si>
    <t>INE872J01023</t>
  </si>
  <si>
    <t>Heg Ltd</t>
  </si>
  <si>
    <t>INE545A01024</t>
  </si>
  <si>
    <t>Sonata Software Ltd</t>
  </si>
  <si>
    <t>INE269A01021</t>
  </si>
  <si>
    <t>IRCON International Ltd</t>
  </si>
  <si>
    <t>INE962Y01021</t>
  </si>
  <si>
    <t>NMDC Steel Ltd</t>
  </si>
  <si>
    <t>INE0NNS01018</t>
  </si>
  <si>
    <t>Zydus Wellness Ltd</t>
  </si>
  <si>
    <t>INE768C01028</t>
  </si>
  <si>
    <t>Dcm Shriram Ltd</t>
  </si>
  <si>
    <t>INE499A01024</t>
  </si>
  <si>
    <t>Sapphire Foods India Ltd</t>
  </si>
  <si>
    <t>INE806T01020</t>
  </si>
  <si>
    <t>Niva Bupa Health Insurance Co Ltd</t>
  </si>
  <si>
    <t>INE995S01015</t>
  </si>
  <si>
    <t>Tenneco Clean Air India Ltd</t>
  </si>
  <si>
    <t>INE19RI01016</t>
  </si>
  <si>
    <t>Supreme Petrochem Ltd</t>
  </si>
  <si>
    <t>INE663A01033</t>
  </si>
  <si>
    <t>Graphite India Ltd</t>
  </si>
  <si>
    <t>INE371A01025</t>
  </si>
  <si>
    <t>Swan Corp Ltd</t>
  </si>
  <si>
    <t>INE665A01038</t>
  </si>
  <si>
    <t>Honasa Consumer Ltd</t>
  </si>
  <si>
    <t>INE0J5401028</t>
  </si>
  <si>
    <t>Bata India Ltd</t>
  </si>
  <si>
    <t>INE176A01028</t>
  </si>
  <si>
    <t>Aditya Infotech Ltd</t>
  </si>
  <si>
    <t>INE819V01029</t>
  </si>
  <si>
    <t>Cemindia Projects Ltd</t>
  </si>
  <si>
    <t>INE686A01026</t>
  </si>
  <si>
    <t>Elecon Engineering Co Ltd</t>
  </si>
  <si>
    <t>INE205B01031</t>
  </si>
  <si>
    <t>Bikaji Foods International Ltd</t>
  </si>
  <si>
    <t>INE00E101023</t>
  </si>
  <si>
    <t>TBO Tek Ltd</t>
  </si>
  <si>
    <t>INE673O01025</t>
  </si>
  <si>
    <t>IDBI Bank Ltd</t>
  </si>
  <si>
    <t>INE008A01015</t>
  </si>
  <si>
    <t>Minda Corporation Ltd</t>
  </si>
  <si>
    <t>INE842C01021</t>
  </si>
  <si>
    <t>Doms Industries Ltd</t>
  </si>
  <si>
    <t>INE321T01012</t>
  </si>
  <si>
    <t>Household Products</t>
  </si>
  <si>
    <t>Welspun Living Ltd</t>
  </si>
  <si>
    <t>INE192B01031</t>
  </si>
  <si>
    <t>UTI Asset Management Co Ltd</t>
  </si>
  <si>
    <t>INE094J01016</t>
  </si>
  <si>
    <t>Clean Science And Technology Ltd</t>
  </si>
  <si>
    <t>INE227W01023</t>
  </si>
  <si>
    <t>IFCI Ltd</t>
  </si>
  <si>
    <t>INE039A01010</t>
  </si>
  <si>
    <t>Jupiter Wagons Ltd</t>
  </si>
  <si>
    <t>INE209L01016</t>
  </si>
  <si>
    <t>SBFC Finance Ltd</t>
  </si>
  <si>
    <t>INE423Y01016</t>
  </si>
  <si>
    <t>Concord Biotech Ltd</t>
  </si>
  <si>
    <t>INE338H01029</t>
  </si>
  <si>
    <t>Action Construction Equipment Ltd</t>
  </si>
  <si>
    <t>INE731H01025</t>
  </si>
  <si>
    <t>Anupam Rasayan India Ltd</t>
  </si>
  <si>
    <t>INE930P01018</t>
  </si>
  <si>
    <t>Transformers And Rectifiers India Ltd</t>
  </si>
  <si>
    <t>INE763I01026</t>
  </si>
  <si>
    <t>Central Bank of India</t>
  </si>
  <si>
    <t>INE483A01010</t>
  </si>
  <si>
    <t>International Gemological Institute Ltd</t>
  </si>
  <si>
    <t>INE0Q9301021</t>
  </si>
  <si>
    <t>Leela Palaces Hotels &amp; Resorts Ltd</t>
  </si>
  <si>
    <t>INE0AQ201015</t>
  </si>
  <si>
    <t>Pine Labs Ltd</t>
  </si>
  <si>
    <t>INE15B701018</t>
  </si>
  <si>
    <t>Tejas Networks Ltd</t>
  </si>
  <si>
    <t>INE010J01012</t>
  </si>
  <si>
    <t>Telecom - Equipment &amp; Accessories</t>
  </si>
  <si>
    <t>Signatureglobal (India) Ltd</t>
  </si>
  <si>
    <t>INE903U01023</t>
  </si>
  <si>
    <t>Caplin Point Laboratories Ltd</t>
  </si>
  <si>
    <t>INE475E01026</t>
  </si>
  <si>
    <t>BLS International Services Ltd</t>
  </si>
  <si>
    <t>INE153T01027</t>
  </si>
  <si>
    <t>Trident Ltd</t>
  </si>
  <si>
    <t>INE064C01022</t>
  </si>
  <si>
    <t>Blue Dart Express Ltd</t>
  </si>
  <si>
    <t>INE233B01017</t>
  </si>
  <si>
    <t>Newgen Software Technologies Ltd</t>
  </si>
  <si>
    <t>INE619B01017</t>
  </si>
  <si>
    <t>Aditya Birla Fashion and Retail Ltd</t>
  </si>
  <si>
    <t>INE647O01011</t>
  </si>
  <si>
    <t>JSW Cement Ltd</t>
  </si>
  <si>
    <t>INE718I01012</t>
  </si>
  <si>
    <t>Acme Solar Holdings Ltd</t>
  </si>
  <si>
    <t>INE622W01025</t>
  </si>
  <si>
    <t>UCO Bank</t>
  </si>
  <si>
    <t>INE691A01018</t>
  </si>
  <si>
    <t>Nuvoco Vistas Corporation Ltd</t>
  </si>
  <si>
    <t>INE118D01016</t>
  </si>
  <si>
    <t>Mangalore Refinery &amp; Petrochemicals Ltd</t>
  </si>
  <si>
    <t>INE103A01014</t>
  </si>
  <si>
    <t>Rites Ltd</t>
  </si>
  <si>
    <t>INE320J01015</t>
  </si>
  <si>
    <t>ITI Ltd</t>
  </si>
  <si>
    <t>INE248A01017</t>
  </si>
  <si>
    <t>Allied Blenders And Distillers Ltd</t>
  </si>
  <si>
    <t>INE552Z01027</t>
  </si>
  <si>
    <t>Canara HSBC Life Insurance Co Ltd</t>
  </si>
  <si>
    <t>INE01TY01017</t>
  </si>
  <si>
    <t>Railtel Corporation Of India Ltd</t>
  </si>
  <si>
    <t>INE0DD101019</t>
  </si>
  <si>
    <t>Tega Industries Ltd</t>
  </si>
  <si>
    <t>INE011K01018</t>
  </si>
  <si>
    <t>Aegis Vopak Terminals Ltd</t>
  </si>
  <si>
    <t>INE0INX01018</t>
  </si>
  <si>
    <t>The India Cements Ltd</t>
  </si>
  <si>
    <t>INE383A01012</t>
  </si>
  <si>
    <t>Emmvee Photovoltaic Power Ltd</t>
  </si>
  <si>
    <t>INE1C6T01020</t>
  </si>
  <si>
    <t>Gallantt Ispat Ltd</t>
  </si>
  <si>
    <t>INE297H01019</t>
  </si>
  <si>
    <t>Bombay Burmah Trading Corporation Ltd</t>
  </si>
  <si>
    <t>INE050A01025</t>
  </si>
  <si>
    <t>JBM Auto Ltd</t>
  </si>
  <si>
    <t>INE927D01051</t>
  </si>
  <si>
    <t>Saregama India Ltd</t>
  </si>
  <si>
    <t>INE979A01025</t>
  </si>
  <si>
    <t>Jain Resource Recycling Ltd</t>
  </si>
  <si>
    <t>INE0YD401026</t>
  </si>
  <si>
    <t>Rhi Magnesita India Ltd</t>
  </si>
  <si>
    <t>INE743M01012</t>
  </si>
  <si>
    <t>Travel Food Services Ltd</t>
  </si>
  <si>
    <t>INE103V01028</t>
  </si>
  <si>
    <t>Tata Teleservices Maharashtra Ltd</t>
  </si>
  <si>
    <t>INE517B01013</t>
  </si>
  <si>
    <t>Latent View Analytics Ltd</t>
  </si>
  <si>
    <t>INE0I7C01011</t>
  </si>
  <si>
    <t>CE Info Systems Ltd</t>
  </si>
  <si>
    <t>INE0BV301023</t>
  </si>
  <si>
    <t>Blue Jet Healthcare Ltd</t>
  </si>
  <si>
    <t>INE0KBH01020</t>
  </si>
  <si>
    <t>MMTC Ltd</t>
  </si>
  <si>
    <t>INE123F01029</t>
  </si>
  <si>
    <t>Benchmark Risk-O-Meter</t>
  </si>
  <si>
    <t>Benchmark Name - NIFTY Smallcap 250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</si>
  <si>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</si>
  <si>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</si>
  <si>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</si>
  <si>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</si>
  <si>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</si>
  <si>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</si>
  <si>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</si>
  <si>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As on March 31, 2026</t>
  </si>
  <si>
    <t>(4) There was no distribution (of income and capital) during the month ended April 30, 2026.</t>
  </si>
  <si>
    <t>(5) Total outstanding exposure in derivative instruments as on April 30, 2026 is Rs. Nil.</t>
  </si>
  <si>
    <t>(6) Total market value of investments in foreign securities/ American Depository Receipts/ Global Depository Receipts as at April 30, 2026 is Rs. Nil.</t>
  </si>
  <si>
    <t>(8) Repo transactions in corporate debt securities as on April 30, 2026 is Rs. Nil.</t>
  </si>
  <si>
    <t>(7) During the period, the portfolio turnover ratio is 0.39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</si>
</sst>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%"/>
    <numFmt numFmtId="168" formatCode="0.0000"/>
  </numFmts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5" fontId="6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5" xfId="0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10" fillId="2" borderId="1" xfId="0" applyFont="1" applyFill="1" applyBorder="1" applyAlignment="1">
      <alignment vertical="center"/>
    </xf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68" fontId="6" fillId="2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283</xdr:row>
      <xdr:rowOff>47625</xdr:rowOff>
    </xdr:from>
    <xdr:to>
      <xdr:col>2</xdr:col>
      <xdr:colOff>822325</xdr:colOff>
      <xdr:row>297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D3E42-8476-4FB6-84C6-00ED1B551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4674175"/>
          <a:ext cx="40513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302</xdr:row>
      <xdr:rowOff>19050</xdr:rowOff>
    </xdr:from>
    <xdr:to>
      <xdr:col>2</xdr:col>
      <xdr:colOff>622300</xdr:colOff>
      <xdr:row>316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A2906-9368-4D1B-9378-1A8C67897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7071300"/>
          <a:ext cx="3613150" cy="186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EC72-C72C-45CB-8F46-19468360313F}">
  <dimension ref="A1:I301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20.54296875" style="6" customWidth="1"/>
    <col min="4" max="4" width="32.1796875" style="6" bestFit="1" customWidth="1"/>
    <col min="5" max="5" width="13.54296875" style="6" bestFit="1" customWidth="1"/>
    <col min="6" max="6" width="12.7265625" style="8" bestFit="1" customWidth="1"/>
    <col min="7" max="7" width="6.7265625" style="10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49" t="s">
        <v>7</v>
      </c>
      <c r="C1" s="50"/>
      <c r="D1" s="9"/>
      <c r="F1" s="5"/>
      <c r="G1" s="10"/>
    </row>
    <row r="2" spans="1:8" s="1" customFormat="1" ht="14.5" x14ac:dyDescent="0.35">
      <c r="A2" s="38" t="s">
        <v>568</v>
      </c>
      <c r="F2" s="5"/>
      <c r="G2" s="10"/>
    </row>
    <row r="3" spans="1:8" s="1" customFormat="1" ht="11.5" x14ac:dyDescent="0.25">
      <c r="B3" s="7" t="s">
        <v>6</v>
      </c>
      <c r="C3" s="2"/>
      <c r="D3" s="3"/>
      <c r="E3" s="3"/>
      <c r="F3" s="4"/>
      <c r="G3" s="10"/>
    </row>
    <row r="4" spans="1:8" s="1" customFormat="1" ht="25.5" customHeight="1" x14ac:dyDescent="0.25">
      <c r="B4" s="13" t="s">
        <v>4</v>
      </c>
      <c r="C4" s="13" t="s">
        <v>5</v>
      </c>
      <c r="D4" s="14" t="s">
        <v>39</v>
      </c>
      <c r="E4" s="14" t="s">
        <v>0</v>
      </c>
      <c r="F4" s="15" t="s">
        <v>1</v>
      </c>
      <c r="G4" s="16" t="s">
        <v>2</v>
      </c>
      <c r="H4" s="37" t="s">
        <v>3</v>
      </c>
    </row>
    <row r="5" spans="1:8" ht="10.5" x14ac:dyDescent="0.25">
      <c r="B5" s="17" t="s">
        <v>8</v>
      </c>
      <c r="C5" s="18"/>
      <c r="D5" s="18"/>
      <c r="E5" s="18"/>
      <c r="F5" s="19"/>
      <c r="G5" s="20"/>
      <c r="H5" s="18"/>
    </row>
    <row r="6" spans="1:8" ht="10.5" x14ac:dyDescent="0.25">
      <c r="B6" s="17" t="s">
        <v>9</v>
      </c>
      <c r="C6" s="18"/>
      <c r="D6" s="18"/>
      <c r="E6" s="18"/>
      <c r="F6" s="19"/>
      <c r="G6" s="20"/>
      <c r="H6" s="18"/>
    </row>
    <row r="7" spans="1:8" x14ac:dyDescent="0.2">
      <c r="B7" s="18" t="s">
        <v>60</v>
      </c>
      <c r="C7" s="18" t="s">
        <v>61</v>
      </c>
      <c r="D7" s="18" t="s">
        <v>10</v>
      </c>
      <c r="E7" s="21">
        <v>158484</v>
      </c>
      <c r="F7" s="19">
        <v>465.15053999999998</v>
      </c>
      <c r="G7" s="20">
        <v>1.39358362890292</v>
      </c>
      <c r="H7" s="22"/>
    </row>
    <row r="8" spans="1:8" x14ac:dyDescent="0.2">
      <c r="B8" s="18" t="s">
        <v>62</v>
      </c>
      <c r="C8" s="18" t="s">
        <v>63</v>
      </c>
      <c r="D8" s="18" t="s">
        <v>20</v>
      </c>
      <c r="E8" s="21">
        <v>75220</v>
      </c>
      <c r="F8" s="19">
        <v>456.77345000000003</v>
      </c>
      <c r="G8" s="20">
        <v>1.3684860003333601</v>
      </c>
      <c r="H8" s="22"/>
    </row>
    <row r="9" spans="1:8" x14ac:dyDescent="0.2">
      <c r="B9" s="18" t="s">
        <v>64</v>
      </c>
      <c r="C9" s="18" t="s">
        <v>65</v>
      </c>
      <c r="D9" s="18" t="s">
        <v>21</v>
      </c>
      <c r="E9" s="21">
        <v>93694</v>
      </c>
      <c r="F9" s="19">
        <v>437.597827</v>
      </c>
      <c r="G9" s="20">
        <v>1.3110361384309901</v>
      </c>
      <c r="H9" s="22"/>
    </row>
    <row r="10" spans="1:8" x14ac:dyDescent="0.2">
      <c r="B10" s="18" t="s">
        <v>66</v>
      </c>
      <c r="C10" s="18" t="s">
        <v>67</v>
      </c>
      <c r="D10" s="18" t="s">
        <v>51</v>
      </c>
      <c r="E10" s="21">
        <v>6169</v>
      </c>
      <c r="F10" s="19">
        <v>420.78748999999999</v>
      </c>
      <c r="G10" s="20">
        <v>1.26067263581194</v>
      </c>
      <c r="H10" s="22"/>
    </row>
    <row r="11" spans="1:8" x14ac:dyDescent="0.2">
      <c r="B11" s="18" t="s">
        <v>68</v>
      </c>
      <c r="C11" s="18" t="s">
        <v>69</v>
      </c>
      <c r="D11" s="18" t="s">
        <v>31</v>
      </c>
      <c r="E11" s="21">
        <v>20173</v>
      </c>
      <c r="F11" s="19">
        <v>403.17757799999998</v>
      </c>
      <c r="G11" s="20">
        <v>1.2079136191941799</v>
      </c>
      <c r="H11" s="22"/>
    </row>
    <row r="12" spans="1:8" x14ac:dyDescent="0.2">
      <c r="B12" s="18" t="s">
        <v>70</v>
      </c>
      <c r="C12" s="18" t="s">
        <v>71</v>
      </c>
      <c r="D12" s="18" t="s">
        <v>22</v>
      </c>
      <c r="E12" s="21">
        <v>29889</v>
      </c>
      <c r="F12" s="19">
        <v>380.18808000000001</v>
      </c>
      <c r="G12" s="20">
        <v>1.13903744837538</v>
      </c>
      <c r="H12" s="22"/>
    </row>
    <row r="13" spans="1:8" x14ac:dyDescent="0.2">
      <c r="B13" s="18" t="s">
        <v>72</v>
      </c>
      <c r="C13" s="18" t="s">
        <v>73</v>
      </c>
      <c r="D13" s="18" t="s">
        <v>10</v>
      </c>
      <c r="E13" s="21">
        <v>101252</v>
      </c>
      <c r="F13" s="19">
        <v>340.76360599999998</v>
      </c>
      <c r="G13" s="20">
        <v>1.02092235053091</v>
      </c>
      <c r="H13" s="22"/>
    </row>
    <row r="14" spans="1:8" x14ac:dyDescent="0.2">
      <c r="B14" s="18" t="s">
        <v>74</v>
      </c>
      <c r="C14" s="18" t="s">
        <v>75</v>
      </c>
      <c r="D14" s="18" t="s">
        <v>22</v>
      </c>
      <c r="E14" s="21">
        <v>108646</v>
      </c>
      <c r="F14" s="19">
        <v>335.40106659999998</v>
      </c>
      <c r="G14" s="20">
        <v>1.00485626767269</v>
      </c>
      <c r="H14" s="22"/>
    </row>
    <row r="15" spans="1:8" x14ac:dyDescent="0.2">
      <c r="B15" s="18" t="s">
        <v>76</v>
      </c>
      <c r="C15" s="18" t="s">
        <v>77</v>
      </c>
      <c r="D15" s="18" t="s">
        <v>31</v>
      </c>
      <c r="E15" s="21">
        <v>31530</v>
      </c>
      <c r="F15" s="19">
        <v>329.693445</v>
      </c>
      <c r="G15" s="20">
        <v>0.98775632402491498</v>
      </c>
      <c r="H15" s="22"/>
    </row>
    <row r="16" spans="1:8" x14ac:dyDescent="0.2">
      <c r="B16" s="18" t="s">
        <v>78</v>
      </c>
      <c r="C16" s="18" t="s">
        <v>79</v>
      </c>
      <c r="D16" s="18" t="s">
        <v>10</v>
      </c>
      <c r="E16" s="21">
        <v>121134</v>
      </c>
      <c r="F16" s="19">
        <v>327.17082060000001</v>
      </c>
      <c r="G16" s="20">
        <v>0.98019858139451599</v>
      </c>
      <c r="H16" s="22"/>
    </row>
    <row r="17" spans="2:8" x14ac:dyDescent="0.2">
      <c r="B17" s="18" t="s">
        <v>80</v>
      </c>
      <c r="C17" s="18" t="s">
        <v>81</v>
      </c>
      <c r="D17" s="18" t="s">
        <v>12</v>
      </c>
      <c r="E17" s="21">
        <v>32058</v>
      </c>
      <c r="F17" s="19">
        <v>299.69421299999999</v>
      </c>
      <c r="G17" s="20">
        <v>0.89787910149205397</v>
      </c>
      <c r="H17" s="22"/>
    </row>
    <row r="18" spans="2:8" x14ac:dyDescent="0.2">
      <c r="B18" s="18" t="s">
        <v>82</v>
      </c>
      <c r="C18" s="18" t="s">
        <v>83</v>
      </c>
      <c r="D18" s="18" t="s">
        <v>10</v>
      </c>
      <c r="E18" s="21">
        <v>149528</v>
      </c>
      <c r="F18" s="19">
        <v>298.63732160000001</v>
      </c>
      <c r="G18" s="20">
        <v>0.89471267164642099</v>
      </c>
      <c r="H18" s="22"/>
    </row>
    <row r="19" spans="2:8" x14ac:dyDescent="0.2">
      <c r="B19" s="18" t="s">
        <v>84</v>
      </c>
      <c r="C19" s="18" t="s">
        <v>85</v>
      </c>
      <c r="D19" s="18" t="s">
        <v>22</v>
      </c>
      <c r="E19" s="21">
        <v>40326</v>
      </c>
      <c r="F19" s="19">
        <v>297.84783599999997</v>
      </c>
      <c r="G19" s="20">
        <v>0.89234738532983504</v>
      </c>
      <c r="H19" s="22"/>
    </row>
    <row r="20" spans="2:8" x14ac:dyDescent="0.2">
      <c r="B20" s="18" t="s">
        <v>86</v>
      </c>
      <c r="C20" s="18" t="s">
        <v>87</v>
      </c>
      <c r="D20" s="18" t="s">
        <v>44</v>
      </c>
      <c r="E20" s="21">
        <v>42481</v>
      </c>
      <c r="F20" s="19">
        <v>297.81305049999997</v>
      </c>
      <c r="G20" s="20">
        <v>0.892243168524404</v>
      </c>
      <c r="H20" s="22"/>
    </row>
    <row r="21" spans="2:8" x14ac:dyDescent="0.2">
      <c r="B21" s="18" t="s">
        <v>88</v>
      </c>
      <c r="C21" s="18" t="s">
        <v>89</v>
      </c>
      <c r="D21" s="18" t="s">
        <v>43</v>
      </c>
      <c r="E21" s="21">
        <v>55063</v>
      </c>
      <c r="F21" s="19">
        <v>294.50445550000001</v>
      </c>
      <c r="G21" s="20">
        <v>0.88233067046158298</v>
      </c>
      <c r="H21" s="22"/>
    </row>
    <row r="22" spans="2:8" x14ac:dyDescent="0.2">
      <c r="B22" s="18" t="s">
        <v>90</v>
      </c>
      <c r="C22" s="18" t="s">
        <v>91</v>
      </c>
      <c r="D22" s="18" t="s">
        <v>24</v>
      </c>
      <c r="E22" s="21">
        <v>107786</v>
      </c>
      <c r="F22" s="19">
        <v>293.56594960000001</v>
      </c>
      <c r="G22" s="20">
        <v>0.87951892169339096</v>
      </c>
      <c r="H22" s="22"/>
    </row>
    <row r="23" spans="2:8" x14ac:dyDescent="0.2">
      <c r="B23" s="18" t="s">
        <v>92</v>
      </c>
      <c r="C23" s="18" t="s">
        <v>93</v>
      </c>
      <c r="D23" s="18" t="s">
        <v>24</v>
      </c>
      <c r="E23" s="21">
        <v>3657</v>
      </c>
      <c r="F23" s="19">
        <v>293.43768</v>
      </c>
      <c r="G23" s="20">
        <v>0.87913462800935904</v>
      </c>
      <c r="H23" s="22"/>
    </row>
    <row r="24" spans="2:8" x14ac:dyDescent="0.2">
      <c r="B24" s="18" t="s">
        <v>94</v>
      </c>
      <c r="C24" s="18" t="s">
        <v>95</v>
      </c>
      <c r="D24" s="18" t="s">
        <v>25</v>
      </c>
      <c r="E24" s="21">
        <v>13735</v>
      </c>
      <c r="F24" s="19">
        <v>280.66099000000003</v>
      </c>
      <c r="G24" s="20">
        <v>0.84085586772764997</v>
      </c>
      <c r="H24" s="22"/>
    </row>
    <row r="25" spans="2:8" x14ac:dyDescent="0.2">
      <c r="B25" s="18" t="s">
        <v>96</v>
      </c>
      <c r="C25" s="18" t="s">
        <v>97</v>
      </c>
      <c r="D25" s="18" t="s">
        <v>46</v>
      </c>
      <c r="E25" s="21">
        <v>21987</v>
      </c>
      <c r="F25" s="19">
        <v>278.52032250000002</v>
      </c>
      <c r="G25" s="20">
        <v>0.83444246190224902</v>
      </c>
      <c r="H25" s="22"/>
    </row>
    <row r="26" spans="2:8" x14ac:dyDescent="0.2">
      <c r="B26" s="18" t="s">
        <v>98</v>
      </c>
      <c r="C26" s="18" t="s">
        <v>99</v>
      </c>
      <c r="D26" s="18" t="s">
        <v>44</v>
      </c>
      <c r="E26" s="21">
        <v>41439</v>
      </c>
      <c r="F26" s="19">
        <v>276.27381300000002</v>
      </c>
      <c r="G26" s="20">
        <v>0.82771195512615303</v>
      </c>
      <c r="H26" s="22"/>
    </row>
    <row r="27" spans="2:8" x14ac:dyDescent="0.2">
      <c r="B27" s="18" t="s">
        <v>100</v>
      </c>
      <c r="C27" s="18" t="s">
        <v>101</v>
      </c>
      <c r="D27" s="18" t="s">
        <v>31</v>
      </c>
      <c r="E27" s="21">
        <v>92089</v>
      </c>
      <c r="F27" s="19">
        <v>271.06397149999998</v>
      </c>
      <c r="G27" s="20">
        <v>0.81210335275071699</v>
      </c>
      <c r="H27" s="22"/>
    </row>
    <row r="28" spans="2:8" x14ac:dyDescent="0.2">
      <c r="B28" s="18" t="s">
        <v>102</v>
      </c>
      <c r="C28" s="18" t="s">
        <v>103</v>
      </c>
      <c r="D28" s="18" t="s">
        <v>21</v>
      </c>
      <c r="E28" s="21">
        <v>16628</v>
      </c>
      <c r="F28" s="19">
        <v>262.19030400000003</v>
      </c>
      <c r="G28" s="20">
        <v>0.78551798587932098</v>
      </c>
      <c r="H28" s="22"/>
    </row>
    <row r="29" spans="2:8" x14ac:dyDescent="0.2">
      <c r="B29" s="18" t="s">
        <v>104</v>
      </c>
      <c r="C29" s="18" t="s">
        <v>105</v>
      </c>
      <c r="D29" s="18" t="s">
        <v>31</v>
      </c>
      <c r="E29" s="21">
        <v>16634</v>
      </c>
      <c r="F29" s="19">
        <v>258.84167400000001</v>
      </c>
      <c r="G29" s="20">
        <v>0.77548554359245803</v>
      </c>
      <c r="H29" s="22"/>
    </row>
    <row r="30" spans="2:8" x14ac:dyDescent="0.2">
      <c r="B30" s="18" t="s">
        <v>106</v>
      </c>
      <c r="C30" s="18" t="s">
        <v>107</v>
      </c>
      <c r="D30" s="18" t="s">
        <v>22</v>
      </c>
      <c r="E30" s="21">
        <v>7154</v>
      </c>
      <c r="F30" s="19">
        <v>257.65846399999998</v>
      </c>
      <c r="G30" s="20">
        <v>0.77194066522780203</v>
      </c>
      <c r="H30" s="22"/>
    </row>
    <row r="31" spans="2:8" x14ac:dyDescent="0.2">
      <c r="B31" s="18" t="s">
        <v>108</v>
      </c>
      <c r="C31" s="18" t="s">
        <v>109</v>
      </c>
      <c r="D31" s="18" t="s">
        <v>31</v>
      </c>
      <c r="E31" s="21">
        <v>59682</v>
      </c>
      <c r="F31" s="19">
        <v>248.99330399999999</v>
      </c>
      <c r="G31" s="20">
        <v>0.74597998351425499</v>
      </c>
      <c r="H31" s="22"/>
    </row>
    <row r="32" spans="2:8" x14ac:dyDescent="0.2">
      <c r="B32" s="18" t="s">
        <v>110</v>
      </c>
      <c r="C32" s="18" t="s">
        <v>111</v>
      </c>
      <c r="D32" s="18" t="s">
        <v>25</v>
      </c>
      <c r="E32" s="21">
        <v>23087</v>
      </c>
      <c r="F32" s="19">
        <v>246.9039215</v>
      </c>
      <c r="G32" s="20">
        <v>0.73972022673419002</v>
      </c>
      <c r="H32" s="22"/>
    </row>
    <row r="33" spans="2:8" x14ac:dyDescent="0.2">
      <c r="B33" s="18" t="s">
        <v>112</v>
      </c>
      <c r="C33" s="18" t="s">
        <v>113</v>
      </c>
      <c r="D33" s="18" t="s">
        <v>51</v>
      </c>
      <c r="E33" s="21">
        <v>39391</v>
      </c>
      <c r="F33" s="19">
        <v>239.39880249999999</v>
      </c>
      <c r="G33" s="20">
        <v>0.71723500942934004</v>
      </c>
      <c r="H33" s="22"/>
    </row>
    <row r="34" spans="2:8" x14ac:dyDescent="0.2">
      <c r="B34" s="18" t="s">
        <v>114</v>
      </c>
      <c r="C34" s="18" t="s">
        <v>115</v>
      </c>
      <c r="D34" s="18" t="s">
        <v>13</v>
      </c>
      <c r="E34" s="21">
        <v>19052</v>
      </c>
      <c r="F34" s="19">
        <v>238.207156</v>
      </c>
      <c r="G34" s="20">
        <v>0.71366485544469804</v>
      </c>
      <c r="H34" s="22"/>
    </row>
    <row r="35" spans="2:8" x14ac:dyDescent="0.2">
      <c r="B35" s="18" t="s">
        <v>116</v>
      </c>
      <c r="C35" s="18" t="s">
        <v>117</v>
      </c>
      <c r="D35" s="18" t="s">
        <v>46</v>
      </c>
      <c r="E35" s="21">
        <v>13964</v>
      </c>
      <c r="F35" s="19">
        <v>237.13664800000001</v>
      </c>
      <c r="G35" s="20">
        <v>0.71045763048176502</v>
      </c>
      <c r="H35" s="22"/>
    </row>
    <row r="36" spans="2:8" x14ac:dyDescent="0.2">
      <c r="B36" s="18" t="s">
        <v>118</v>
      </c>
      <c r="C36" s="18" t="s">
        <v>119</v>
      </c>
      <c r="D36" s="18" t="s">
        <v>25</v>
      </c>
      <c r="E36" s="21">
        <v>13353</v>
      </c>
      <c r="F36" s="19">
        <v>233.784324</v>
      </c>
      <c r="G36" s="20">
        <v>0.700414121029581</v>
      </c>
      <c r="H36" s="22"/>
    </row>
    <row r="37" spans="2:8" x14ac:dyDescent="0.2">
      <c r="B37" s="18" t="s">
        <v>120</v>
      </c>
      <c r="C37" s="18" t="s">
        <v>121</v>
      </c>
      <c r="D37" s="18" t="s">
        <v>25</v>
      </c>
      <c r="E37" s="21">
        <v>8702</v>
      </c>
      <c r="F37" s="19">
        <v>225.73858200000001</v>
      </c>
      <c r="G37" s="20">
        <v>0.676309205804552</v>
      </c>
      <c r="H37" s="22"/>
    </row>
    <row r="38" spans="2:8" x14ac:dyDescent="0.2">
      <c r="B38" s="18" t="s">
        <v>122</v>
      </c>
      <c r="C38" s="18" t="s">
        <v>123</v>
      </c>
      <c r="D38" s="18" t="s">
        <v>25</v>
      </c>
      <c r="E38" s="21">
        <v>1447</v>
      </c>
      <c r="F38" s="19">
        <v>217.09341000000001</v>
      </c>
      <c r="G38" s="20">
        <v>0.650408407821495</v>
      </c>
      <c r="H38" s="22"/>
    </row>
    <row r="39" spans="2:8" x14ac:dyDescent="0.2">
      <c r="B39" s="18" t="s">
        <v>124</v>
      </c>
      <c r="C39" s="18" t="s">
        <v>125</v>
      </c>
      <c r="D39" s="18" t="s">
        <v>126</v>
      </c>
      <c r="E39" s="21">
        <v>99691</v>
      </c>
      <c r="F39" s="19">
        <v>215.2029617</v>
      </c>
      <c r="G39" s="20">
        <v>0.644744654744551</v>
      </c>
      <c r="H39" s="22"/>
    </row>
    <row r="40" spans="2:8" x14ac:dyDescent="0.2">
      <c r="B40" s="18" t="s">
        <v>127</v>
      </c>
      <c r="C40" s="18" t="s">
        <v>128</v>
      </c>
      <c r="D40" s="18" t="s">
        <v>51</v>
      </c>
      <c r="E40" s="21">
        <v>26254</v>
      </c>
      <c r="F40" s="19">
        <v>212.39485999999999</v>
      </c>
      <c r="G40" s="20">
        <v>0.636331626658171</v>
      </c>
      <c r="H40" s="22"/>
    </row>
    <row r="41" spans="2:8" x14ac:dyDescent="0.2">
      <c r="B41" s="18" t="s">
        <v>129</v>
      </c>
      <c r="C41" s="18" t="s">
        <v>130</v>
      </c>
      <c r="D41" s="18" t="s">
        <v>53</v>
      </c>
      <c r="E41" s="21">
        <v>5249</v>
      </c>
      <c r="F41" s="19">
        <v>212.29055600000001</v>
      </c>
      <c r="G41" s="20">
        <v>0.636019133531045</v>
      </c>
      <c r="H41" s="22"/>
    </row>
    <row r="42" spans="2:8" x14ac:dyDescent="0.2">
      <c r="B42" s="18" t="s">
        <v>131</v>
      </c>
      <c r="C42" s="18" t="s">
        <v>132</v>
      </c>
      <c r="D42" s="18" t="s">
        <v>27</v>
      </c>
      <c r="E42" s="21">
        <v>39380</v>
      </c>
      <c r="F42" s="19">
        <v>207.00097</v>
      </c>
      <c r="G42" s="20">
        <v>0.62017161790035502</v>
      </c>
      <c r="H42" s="22"/>
    </row>
    <row r="43" spans="2:8" x14ac:dyDescent="0.2">
      <c r="B43" s="18" t="s">
        <v>133</v>
      </c>
      <c r="C43" s="18" t="s">
        <v>134</v>
      </c>
      <c r="D43" s="18" t="s">
        <v>46</v>
      </c>
      <c r="E43" s="21">
        <v>6020</v>
      </c>
      <c r="F43" s="19">
        <v>206.41376</v>
      </c>
      <c r="G43" s="20">
        <v>0.61841234606821205</v>
      </c>
      <c r="H43" s="22"/>
    </row>
    <row r="44" spans="2:8" x14ac:dyDescent="0.2">
      <c r="B44" s="18" t="s">
        <v>135</v>
      </c>
      <c r="C44" s="18" t="s">
        <v>136</v>
      </c>
      <c r="D44" s="18" t="s">
        <v>44</v>
      </c>
      <c r="E44" s="21">
        <v>11593</v>
      </c>
      <c r="F44" s="19">
        <v>204.80193800000001</v>
      </c>
      <c r="G44" s="20">
        <v>0.61358335296007604</v>
      </c>
      <c r="H44" s="22"/>
    </row>
    <row r="45" spans="2:8" x14ac:dyDescent="0.2">
      <c r="B45" s="18" t="s">
        <v>137</v>
      </c>
      <c r="C45" s="18" t="s">
        <v>138</v>
      </c>
      <c r="D45" s="18" t="s">
        <v>42</v>
      </c>
      <c r="E45" s="21">
        <v>4968</v>
      </c>
      <c r="F45" s="19">
        <v>202.77885599999999</v>
      </c>
      <c r="G45" s="20">
        <v>0.60752223142482398</v>
      </c>
      <c r="H45" s="22"/>
    </row>
    <row r="46" spans="2:8" x14ac:dyDescent="0.2">
      <c r="B46" s="18" t="s">
        <v>139</v>
      </c>
      <c r="C46" s="18" t="s">
        <v>140</v>
      </c>
      <c r="D46" s="18" t="s">
        <v>22</v>
      </c>
      <c r="E46" s="21">
        <v>22391</v>
      </c>
      <c r="F46" s="19">
        <v>200.55618699999999</v>
      </c>
      <c r="G46" s="20">
        <v>0.60086315040801996</v>
      </c>
      <c r="H46" s="22"/>
    </row>
    <row r="47" spans="2:8" x14ac:dyDescent="0.2">
      <c r="B47" s="18" t="s">
        <v>141</v>
      </c>
      <c r="C47" s="18" t="s">
        <v>142</v>
      </c>
      <c r="D47" s="18" t="s">
        <v>46</v>
      </c>
      <c r="E47" s="21">
        <v>36136</v>
      </c>
      <c r="F47" s="19">
        <v>200.01275999999999</v>
      </c>
      <c r="G47" s="20">
        <v>0.59923505174838199</v>
      </c>
      <c r="H47" s="22"/>
    </row>
    <row r="48" spans="2:8" x14ac:dyDescent="0.2">
      <c r="B48" s="18" t="s">
        <v>143</v>
      </c>
      <c r="C48" s="18" t="s">
        <v>144</v>
      </c>
      <c r="D48" s="18" t="s">
        <v>51</v>
      </c>
      <c r="E48" s="21">
        <v>11515</v>
      </c>
      <c r="F48" s="19">
        <v>200.00403499999999</v>
      </c>
      <c r="G48" s="20">
        <v>0.59920891178697899</v>
      </c>
      <c r="H48" s="22"/>
    </row>
    <row r="49" spans="2:8" x14ac:dyDescent="0.2">
      <c r="B49" s="18" t="s">
        <v>145</v>
      </c>
      <c r="C49" s="18" t="s">
        <v>146</v>
      </c>
      <c r="D49" s="18" t="s">
        <v>11</v>
      </c>
      <c r="E49" s="21">
        <v>171810</v>
      </c>
      <c r="F49" s="19">
        <v>199.35114300000001</v>
      </c>
      <c r="G49" s="20">
        <v>0.59725285772619796</v>
      </c>
      <c r="H49" s="22"/>
    </row>
    <row r="50" spans="2:8" x14ac:dyDescent="0.2">
      <c r="B50" s="18" t="s">
        <v>147</v>
      </c>
      <c r="C50" s="18" t="s">
        <v>148</v>
      </c>
      <c r="D50" s="18" t="s">
        <v>15</v>
      </c>
      <c r="E50" s="21">
        <v>105787</v>
      </c>
      <c r="F50" s="19">
        <v>198.3823611</v>
      </c>
      <c r="G50" s="20">
        <v>0.59435040254294202</v>
      </c>
      <c r="H50" s="22"/>
    </row>
    <row r="51" spans="2:8" x14ac:dyDescent="0.2">
      <c r="B51" s="18" t="s">
        <v>149</v>
      </c>
      <c r="C51" s="18" t="s">
        <v>150</v>
      </c>
      <c r="D51" s="18" t="s">
        <v>29</v>
      </c>
      <c r="E51" s="21">
        <v>21197</v>
      </c>
      <c r="F51" s="19">
        <v>198.21314699999999</v>
      </c>
      <c r="G51" s="20">
        <v>0.59384343978731502</v>
      </c>
      <c r="H51" s="22"/>
    </row>
    <row r="52" spans="2:8" x14ac:dyDescent="0.2">
      <c r="B52" s="18" t="s">
        <v>151</v>
      </c>
      <c r="C52" s="18" t="s">
        <v>152</v>
      </c>
      <c r="D52" s="18" t="s">
        <v>49</v>
      </c>
      <c r="E52" s="21">
        <v>117692</v>
      </c>
      <c r="F52" s="19">
        <v>195.3922584</v>
      </c>
      <c r="G52" s="20">
        <v>0.58539210235165695</v>
      </c>
      <c r="H52" s="22"/>
    </row>
    <row r="53" spans="2:8" x14ac:dyDescent="0.2">
      <c r="B53" s="18" t="s">
        <v>153</v>
      </c>
      <c r="C53" s="18" t="s">
        <v>154</v>
      </c>
      <c r="D53" s="18" t="s">
        <v>25</v>
      </c>
      <c r="E53" s="21">
        <v>13860</v>
      </c>
      <c r="F53" s="19">
        <v>193.43016</v>
      </c>
      <c r="G53" s="20">
        <v>0.57951368671327697</v>
      </c>
      <c r="H53" s="22"/>
    </row>
    <row r="54" spans="2:8" x14ac:dyDescent="0.2">
      <c r="B54" s="18" t="s">
        <v>155</v>
      </c>
      <c r="C54" s="18" t="s">
        <v>156</v>
      </c>
      <c r="D54" s="18" t="s">
        <v>20</v>
      </c>
      <c r="E54" s="21">
        <v>1267</v>
      </c>
      <c r="F54" s="19">
        <v>186.23633000000001</v>
      </c>
      <c r="G54" s="20">
        <v>0.55796108630758801</v>
      </c>
      <c r="H54" s="22"/>
    </row>
    <row r="55" spans="2:8" x14ac:dyDescent="0.2">
      <c r="B55" s="18" t="s">
        <v>157</v>
      </c>
      <c r="C55" s="18" t="s">
        <v>158</v>
      </c>
      <c r="D55" s="18" t="s">
        <v>31</v>
      </c>
      <c r="E55" s="21">
        <v>128527</v>
      </c>
      <c r="F55" s="19">
        <v>185.8628947</v>
      </c>
      <c r="G55" s="20">
        <v>0.55684228008082404</v>
      </c>
      <c r="H55" s="22"/>
    </row>
    <row r="56" spans="2:8" x14ac:dyDescent="0.2">
      <c r="B56" s="18" t="s">
        <v>159</v>
      </c>
      <c r="C56" s="18" t="s">
        <v>160</v>
      </c>
      <c r="D56" s="18" t="s">
        <v>46</v>
      </c>
      <c r="E56" s="21">
        <v>19377</v>
      </c>
      <c r="F56" s="19">
        <v>184.42059750000001</v>
      </c>
      <c r="G56" s="20">
        <v>0.55252118058057997</v>
      </c>
      <c r="H56" s="22"/>
    </row>
    <row r="57" spans="2:8" x14ac:dyDescent="0.2">
      <c r="B57" s="18" t="s">
        <v>161</v>
      </c>
      <c r="C57" s="18" t="s">
        <v>162</v>
      </c>
      <c r="D57" s="18" t="s">
        <v>52</v>
      </c>
      <c r="E57" s="21">
        <v>23316</v>
      </c>
      <c r="F57" s="19">
        <v>184.19640000000001</v>
      </c>
      <c r="G57" s="20">
        <v>0.55184948843196702</v>
      </c>
      <c r="H57" s="22"/>
    </row>
    <row r="58" spans="2:8" x14ac:dyDescent="0.2">
      <c r="B58" s="18" t="s">
        <v>163</v>
      </c>
      <c r="C58" s="18" t="s">
        <v>164</v>
      </c>
      <c r="D58" s="18" t="s">
        <v>51</v>
      </c>
      <c r="E58" s="21">
        <v>2670</v>
      </c>
      <c r="F58" s="19">
        <v>182.02725000000001</v>
      </c>
      <c r="G58" s="20">
        <v>0.54535074948901097</v>
      </c>
      <c r="H58" s="22"/>
    </row>
    <row r="59" spans="2:8" x14ac:dyDescent="0.2">
      <c r="B59" s="18" t="s">
        <v>165</v>
      </c>
      <c r="C59" s="18" t="s">
        <v>166</v>
      </c>
      <c r="D59" s="18" t="s">
        <v>20</v>
      </c>
      <c r="E59" s="21">
        <v>20542</v>
      </c>
      <c r="F59" s="19">
        <v>179.65006099999999</v>
      </c>
      <c r="G59" s="20">
        <v>0.53822872900676499</v>
      </c>
      <c r="H59" s="22"/>
    </row>
    <row r="60" spans="2:8" x14ac:dyDescent="0.2">
      <c r="B60" s="18" t="s">
        <v>167</v>
      </c>
      <c r="C60" s="18" t="s">
        <v>168</v>
      </c>
      <c r="D60" s="18" t="s">
        <v>31</v>
      </c>
      <c r="E60" s="21">
        <v>39014</v>
      </c>
      <c r="F60" s="19">
        <v>179.05475300000001</v>
      </c>
      <c r="G60" s="20">
        <v>0.53644519569525895</v>
      </c>
      <c r="H60" s="22"/>
    </row>
    <row r="61" spans="2:8" x14ac:dyDescent="0.2">
      <c r="B61" s="18" t="s">
        <v>169</v>
      </c>
      <c r="C61" s="18" t="s">
        <v>170</v>
      </c>
      <c r="D61" s="18" t="s">
        <v>44</v>
      </c>
      <c r="E61" s="21">
        <v>13069</v>
      </c>
      <c r="F61" s="19">
        <v>178.67936800000001</v>
      </c>
      <c r="G61" s="20">
        <v>0.53532054819826602</v>
      </c>
      <c r="H61" s="22"/>
    </row>
    <row r="62" spans="2:8" x14ac:dyDescent="0.2">
      <c r="B62" s="18" t="s">
        <v>171</v>
      </c>
      <c r="C62" s="18" t="s">
        <v>172</v>
      </c>
      <c r="D62" s="18" t="s">
        <v>31</v>
      </c>
      <c r="E62" s="21">
        <v>15219</v>
      </c>
      <c r="F62" s="19">
        <v>176.79912300000001</v>
      </c>
      <c r="G62" s="20">
        <v>0.529687364046042</v>
      </c>
      <c r="H62" s="22"/>
    </row>
    <row r="63" spans="2:8" x14ac:dyDescent="0.2">
      <c r="B63" s="18" t="s">
        <v>173</v>
      </c>
      <c r="C63" s="18" t="s">
        <v>174</v>
      </c>
      <c r="D63" s="18" t="s">
        <v>51</v>
      </c>
      <c r="E63" s="21">
        <v>34486</v>
      </c>
      <c r="F63" s="19">
        <v>175.01644999999999</v>
      </c>
      <c r="G63" s="20">
        <v>0.52434650405588201</v>
      </c>
      <c r="H63" s="22"/>
    </row>
    <row r="64" spans="2:8" x14ac:dyDescent="0.2">
      <c r="B64" s="18" t="s">
        <v>175</v>
      </c>
      <c r="C64" s="18" t="s">
        <v>176</v>
      </c>
      <c r="D64" s="18" t="s">
        <v>20</v>
      </c>
      <c r="E64" s="21">
        <v>426563</v>
      </c>
      <c r="F64" s="19">
        <v>172.92864019999999</v>
      </c>
      <c r="G64" s="20">
        <v>0.51809145906003395</v>
      </c>
      <c r="H64" s="22"/>
    </row>
    <row r="65" spans="2:8" x14ac:dyDescent="0.2">
      <c r="B65" s="18" t="s">
        <v>177</v>
      </c>
      <c r="C65" s="18" t="s">
        <v>178</v>
      </c>
      <c r="D65" s="18" t="s">
        <v>22</v>
      </c>
      <c r="E65" s="21">
        <v>12912</v>
      </c>
      <c r="F65" s="19">
        <v>171.27768</v>
      </c>
      <c r="G65" s="20">
        <v>0.51314520852640999</v>
      </c>
      <c r="H65" s="22"/>
    </row>
    <row r="66" spans="2:8" x14ac:dyDescent="0.2">
      <c r="B66" s="18" t="s">
        <v>179</v>
      </c>
      <c r="C66" s="18" t="s">
        <v>180</v>
      </c>
      <c r="D66" s="18" t="s">
        <v>25</v>
      </c>
      <c r="E66" s="21">
        <v>24349</v>
      </c>
      <c r="F66" s="19">
        <v>170.36995300000001</v>
      </c>
      <c r="G66" s="20">
        <v>0.510425672853694</v>
      </c>
      <c r="H66" s="22"/>
    </row>
    <row r="67" spans="2:8" x14ac:dyDescent="0.2">
      <c r="B67" s="18" t="s">
        <v>181</v>
      </c>
      <c r="C67" s="18" t="s">
        <v>182</v>
      </c>
      <c r="D67" s="18" t="s">
        <v>20</v>
      </c>
      <c r="E67" s="21">
        <v>20337</v>
      </c>
      <c r="F67" s="19">
        <v>170.0681625</v>
      </c>
      <c r="G67" s="20">
        <v>0.50952151330965001</v>
      </c>
      <c r="H67" s="22"/>
    </row>
    <row r="68" spans="2:8" x14ac:dyDescent="0.2">
      <c r="B68" s="18" t="s">
        <v>183</v>
      </c>
      <c r="C68" s="18" t="s">
        <v>184</v>
      </c>
      <c r="D68" s="18" t="s">
        <v>25</v>
      </c>
      <c r="E68" s="21">
        <v>103969</v>
      </c>
      <c r="F68" s="19">
        <v>168.29462029999999</v>
      </c>
      <c r="G68" s="20">
        <v>0.50420800905124696</v>
      </c>
      <c r="H68" s="22"/>
    </row>
    <row r="69" spans="2:8" x14ac:dyDescent="0.2">
      <c r="B69" s="18" t="s">
        <v>185</v>
      </c>
      <c r="C69" s="18" t="s">
        <v>186</v>
      </c>
      <c r="D69" s="18" t="s">
        <v>58</v>
      </c>
      <c r="E69" s="21">
        <v>28816</v>
      </c>
      <c r="F69" s="19">
        <v>167.521816</v>
      </c>
      <c r="G69" s="20">
        <v>0.50189269964447802</v>
      </c>
      <c r="H69" s="22"/>
    </row>
    <row r="70" spans="2:8" x14ac:dyDescent="0.2">
      <c r="B70" s="18" t="s">
        <v>187</v>
      </c>
      <c r="C70" s="18" t="s">
        <v>188</v>
      </c>
      <c r="D70" s="18" t="s">
        <v>22</v>
      </c>
      <c r="E70" s="21">
        <v>133351</v>
      </c>
      <c r="F70" s="19">
        <v>166.9421169</v>
      </c>
      <c r="G70" s="20">
        <v>0.50015593034942396</v>
      </c>
      <c r="H70" s="22"/>
    </row>
    <row r="71" spans="2:8" x14ac:dyDescent="0.2">
      <c r="B71" s="18" t="s">
        <v>189</v>
      </c>
      <c r="C71" s="18" t="s">
        <v>190</v>
      </c>
      <c r="D71" s="18" t="s">
        <v>24</v>
      </c>
      <c r="E71" s="21">
        <v>13891</v>
      </c>
      <c r="F71" s="19">
        <v>164.9764615</v>
      </c>
      <c r="G71" s="20">
        <v>0.49426685799554698</v>
      </c>
      <c r="H71" s="22"/>
    </row>
    <row r="72" spans="2:8" x14ac:dyDescent="0.2">
      <c r="B72" s="18" t="s">
        <v>191</v>
      </c>
      <c r="C72" s="18" t="s">
        <v>192</v>
      </c>
      <c r="D72" s="18" t="s">
        <v>25</v>
      </c>
      <c r="E72" s="21">
        <v>15052</v>
      </c>
      <c r="F72" s="19">
        <v>164.93228999999999</v>
      </c>
      <c r="G72" s="20">
        <v>0.49413452088321402</v>
      </c>
      <c r="H72" s="22"/>
    </row>
    <row r="73" spans="2:8" x14ac:dyDescent="0.2">
      <c r="B73" s="18" t="s">
        <v>193</v>
      </c>
      <c r="C73" s="18" t="s">
        <v>194</v>
      </c>
      <c r="D73" s="18" t="s">
        <v>48</v>
      </c>
      <c r="E73" s="21">
        <v>161787</v>
      </c>
      <c r="F73" s="19">
        <v>163.32397649999999</v>
      </c>
      <c r="G73" s="20">
        <v>0.489316039185346</v>
      </c>
      <c r="H73" s="22"/>
    </row>
    <row r="74" spans="2:8" x14ac:dyDescent="0.2">
      <c r="B74" s="18" t="s">
        <v>195</v>
      </c>
      <c r="C74" s="18" t="s">
        <v>196</v>
      </c>
      <c r="D74" s="18" t="s">
        <v>46</v>
      </c>
      <c r="E74" s="21">
        <v>1016</v>
      </c>
      <c r="F74" s="19">
        <v>163.25088</v>
      </c>
      <c r="G74" s="20">
        <v>0.48909704323248698</v>
      </c>
      <c r="H74" s="22"/>
    </row>
    <row r="75" spans="2:8" x14ac:dyDescent="0.2">
      <c r="B75" s="18" t="s">
        <v>197</v>
      </c>
      <c r="C75" s="18" t="s">
        <v>198</v>
      </c>
      <c r="D75" s="18" t="s">
        <v>58</v>
      </c>
      <c r="E75" s="21">
        <v>386351</v>
      </c>
      <c r="F75" s="19">
        <v>161.26290739999999</v>
      </c>
      <c r="G75" s="20">
        <v>0.48314110890192002</v>
      </c>
      <c r="H75" s="22"/>
    </row>
    <row r="76" spans="2:8" x14ac:dyDescent="0.2">
      <c r="B76" s="18" t="s">
        <v>199</v>
      </c>
      <c r="C76" s="18" t="s">
        <v>200</v>
      </c>
      <c r="D76" s="18" t="s">
        <v>15</v>
      </c>
      <c r="E76" s="21">
        <v>816875</v>
      </c>
      <c r="F76" s="19">
        <v>161.08775</v>
      </c>
      <c r="G76" s="20">
        <v>0.48261634011390298</v>
      </c>
      <c r="H76" s="22"/>
    </row>
    <row r="77" spans="2:8" x14ac:dyDescent="0.2">
      <c r="B77" s="18" t="s">
        <v>201</v>
      </c>
      <c r="C77" s="18" t="s">
        <v>202</v>
      </c>
      <c r="D77" s="18" t="s">
        <v>25</v>
      </c>
      <c r="E77" s="21">
        <v>9262</v>
      </c>
      <c r="F77" s="19">
        <v>160.982822</v>
      </c>
      <c r="G77" s="20">
        <v>0.48230197749268899</v>
      </c>
      <c r="H77" s="22"/>
    </row>
    <row r="78" spans="2:8" x14ac:dyDescent="0.2">
      <c r="B78" s="18" t="s">
        <v>203</v>
      </c>
      <c r="C78" s="18" t="s">
        <v>204</v>
      </c>
      <c r="D78" s="18" t="s">
        <v>12</v>
      </c>
      <c r="E78" s="21">
        <v>808</v>
      </c>
      <c r="F78" s="19">
        <v>160.82432</v>
      </c>
      <c r="G78" s="20">
        <v>0.48182710801850098</v>
      </c>
      <c r="H78" s="22"/>
    </row>
    <row r="79" spans="2:8" x14ac:dyDescent="0.2">
      <c r="B79" s="18" t="s">
        <v>205</v>
      </c>
      <c r="C79" s="18" t="s">
        <v>206</v>
      </c>
      <c r="D79" s="18" t="s">
        <v>13</v>
      </c>
      <c r="E79" s="21">
        <v>173730</v>
      </c>
      <c r="F79" s="19">
        <v>159.223545</v>
      </c>
      <c r="G79" s="20">
        <v>0.47703121154688299</v>
      </c>
      <c r="H79" s="22"/>
    </row>
    <row r="80" spans="2:8" x14ac:dyDescent="0.2">
      <c r="B80" s="18" t="s">
        <v>207</v>
      </c>
      <c r="C80" s="18" t="s">
        <v>208</v>
      </c>
      <c r="D80" s="18" t="s">
        <v>20</v>
      </c>
      <c r="E80" s="21">
        <v>2059</v>
      </c>
      <c r="F80" s="19">
        <v>158.29592</v>
      </c>
      <c r="G80" s="20">
        <v>0.47425206178224699</v>
      </c>
      <c r="H80" s="22"/>
    </row>
    <row r="81" spans="2:8" x14ac:dyDescent="0.2">
      <c r="B81" s="18" t="s">
        <v>209</v>
      </c>
      <c r="C81" s="18" t="s">
        <v>210</v>
      </c>
      <c r="D81" s="18" t="s">
        <v>31</v>
      </c>
      <c r="E81" s="21">
        <v>32492</v>
      </c>
      <c r="F81" s="19">
        <v>155.81538599999999</v>
      </c>
      <c r="G81" s="20">
        <v>0.46682042132164098</v>
      </c>
      <c r="H81" s="22"/>
    </row>
    <row r="82" spans="2:8" x14ac:dyDescent="0.2">
      <c r="B82" s="18" t="s">
        <v>211</v>
      </c>
      <c r="C82" s="18" t="s">
        <v>212</v>
      </c>
      <c r="D82" s="18" t="s">
        <v>31</v>
      </c>
      <c r="E82" s="21">
        <v>59432</v>
      </c>
      <c r="F82" s="19">
        <v>154.60640480000001</v>
      </c>
      <c r="G82" s="20">
        <v>0.46319833285116102</v>
      </c>
      <c r="H82" s="22"/>
    </row>
    <row r="83" spans="2:8" x14ac:dyDescent="0.2">
      <c r="B83" s="18" t="s">
        <v>213</v>
      </c>
      <c r="C83" s="18" t="s">
        <v>214</v>
      </c>
      <c r="D83" s="18" t="s">
        <v>15</v>
      </c>
      <c r="E83" s="21">
        <v>23276</v>
      </c>
      <c r="F83" s="19">
        <v>154.05220600000001</v>
      </c>
      <c r="G83" s="20">
        <v>0.46153796204983299</v>
      </c>
      <c r="H83" s="22"/>
    </row>
    <row r="84" spans="2:8" x14ac:dyDescent="0.2">
      <c r="B84" s="18" t="s">
        <v>215</v>
      </c>
      <c r="C84" s="18" t="s">
        <v>216</v>
      </c>
      <c r="D84" s="18" t="s">
        <v>58</v>
      </c>
      <c r="E84" s="21">
        <v>10638</v>
      </c>
      <c r="F84" s="19">
        <v>151.24044599999999</v>
      </c>
      <c r="G84" s="20">
        <v>0.45311397375476697</v>
      </c>
      <c r="H84" s="22"/>
    </row>
    <row r="85" spans="2:8" x14ac:dyDescent="0.2">
      <c r="B85" s="18" t="s">
        <v>217</v>
      </c>
      <c r="C85" s="18" t="s">
        <v>218</v>
      </c>
      <c r="D85" s="18" t="s">
        <v>46</v>
      </c>
      <c r="E85" s="21">
        <v>18907</v>
      </c>
      <c r="F85" s="19">
        <v>150.97239500000001</v>
      </c>
      <c r="G85" s="20">
        <v>0.45231089721676898</v>
      </c>
      <c r="H85" s="22"/>
    </row>
    <row r="86" spans="2:8" x14ac:dyDescent="0.2">
      <c r="B86" s="18" t="s">
        <v>219</v>
      </c>
      <c r="C86" s="18" t="s">
        <v>220</v>
      </c>
      <c r="D86" s="18" t="s">
        <v>14</v>
      </c>
      <c r="E86" s="21">
        <v>81028</v>
      </c>
      <c r="F86" s="19">
        <v>149.75594960000001</v>
      </c>
      <c r="G86" s="20">
        <v>0.44866644612165801</v>
      </c>
      <c r="H86" s="22"/>
    </row>
    <row r="87" spans="2:8" x14ac:dyDescent="0.2">
      <c r="B87" s="18" t="s">
        <v>221</v>
      </c>
      <c r="C87" s="18" t="s">
        <v>222</v>
      </c>
      <c r="D87" s="18" t="s">
        <v>44</v>
      </c>
      <c r="E87" s="21">
        <v>31838</v>
      </c>
      <c r="F87" s="19">
        <v>148.89040700000001</v>
      </c>
      <c r="G87" s="20">
        <v>0.44607329424124098</v>
      </c>
      <c r="H87" s="22"/>
    </row>
    <row r="88" spans="2:8" x14ac:dyDescent="0.2">
      <c r="B88" s="18" t="s">
        <v>223</v>
      </c>
      <c r="C88" s="18" t="s">
        <v>224</v>
      </c>
      <c r="D88" s="18" t="s">
        <v>49</v>
      </c>
      <c r="E88" s="21">
        <v>21052</v>
      </c>
      <c r="F88" s="19">
        <v>147.56399400000001</v>
      </c>
      <c r="G88" s="20">
        <v>0.44209938196337101</v>
      </c>
      <c r="H88" s="22"/>
    </row>
    <row r="89" spans="2:8" x14ac:dyDescent="0.2">
      <c r="B89" s="18" t="s">
        <v>225</v>
      </c>
      <c r="C89" s="18" t="s">
        <v>226</v>
      </c>
      <c r="D89" s="18" t="s">
        <v>50</v>
      </c>
      <c r="E89" s="21">
        <v>33057</v>
      </c>
      <c r="F89" s="19">
        <v>146.938365</v>
      </c>
      <c r="G89" s="20">
        <v>0.44022500741751502</v>
      </c>
      <c r="H89" s="22"/>
    </row>
    <row r="90" spans="2:8" x14ac:dyDescent="0.2">
      <c r="B90" s="18" t="s">
        <v>227</v>
      </c>
      <c r="C90" s="18" t="s">
        <v>228</v>
      </c>
      <c r="D90" s="18" t="s">
        <v>17</v>
      </c>
      <c r="E90" s="21">
        <v>17249</v>
      </c>
      <c r="F90" s="19">
        <v>145.58156</v>
      </c>
      <c r="G90" s="20">
        <v>0.43616004119042301</v>
      </c>
      <c r="H90" s="22"/>
    </row>
    <row r="91" spans="2:8" x14ac:dyDescent="0.2">
      <c r="B91" s="18" t="s">
        <v>229</v>
      </c>
      <c r="C91" s="18" t="s">
        <v>230</v>
      </c>
      <c r="D91" s="18" t="s">
        <v>42</v>
      </c>
      <c r="E91" s="21">
        <v>4915</v>
      </c>
      <c r="F91" s="19">
        <v>144.04882000000001</v>
      </c>
      <c r="G91" s="20">
        <v>0.431567976498067</v>
      </c>
      <c r="H91" s="22"/>
    </row>
    <row r="92" spans="2:8" x14ac:dyDescent="0.2">
      <c r="B92" s="18" t="s">
        <v>231</v>
      </c>
      <c r="C92" s="18" t="s">
        <v>232</v>
      </c>
      <c r="D92" s="18" t="s">
        <v>24</v>
      </c>
      <c r="E92" s="21">
        <v>26970</v>
      </c>
      <c r="F92" s="19">
        <v>144.0198</v>
      </c>
      <c r="G92" s="20">
        <v>0.431481033039051</v>
      </c>
      <c r="H92" s="22"/>
    </row>
    <row r="93" spans="2:8" x14ac:dyDescent="0.2">
      <c r="B93" s="18" t="s">
        <v>233</v>
      </c>
      <c r="C93" s="18" t="s">
        <v>234</v>
      </c>
      <c r="D93" s="18" t="s">
        <v>13</v>
      </c>
      <c r="E93" s="21">
        <v>665687</v>
      </c>
      <c r="F93" s="19">
        <v>143.38897979999999</v>
      </c>
      <c r="G93" s="20">
        <v>0.429591105740458</v>
      </c>
      <c r="H93" s="22"/>
    </row>
    <row r="94" spans="2:8" x14ac:dyDescent="0.2">
      <c r="B94" s="18" t="s">
        <v>235</v>
      </c>
      <c r="C94" s="18" t="s">
        <v>236</v>
      </c>
      <c r="D94" s="18" t="s">
        <v>51</v>
      </c>
      <c r="E94" s="21">
        <v>11242</v>
      </c>
      <c r="F94" s="19">
        <v>142.239405</v>
      </c>
      <c r="G94" s="20">
        <v>0.42614699790070498</v>
      </c>
      <c r="H94" s="22"/>
    </row>
    <row r="95" spans="2:8" x14ac:dyDescent="0.2">
      <c r="B95" s="18" t="s">
        <v>237</v>
      </c>
      <c r="C95" s="18" t="s">
        <v>238</v>
      </c>
      <c r="D95" s="18" t="s">
        <v>15</v>
      </c>
      <c r="E95" s="21">
        <v>484156</v>
      </c>
      <c r="F95" s="19">
        <v>138.5170316</v>
      </c>
      <c r="G95" s="20">
        <v>0.41499482632437201</v>
      </c>
      <c r="H95" s="22"/>
    </row>
    <row r="96" spans="2:8" x14ac:dyDescent="0.2">
      <c r="B96" s="18" t="s">
        <v>239</v>
      </c>
      <c r="C96" s="18" t="s">
        <v>240</v>
      </c>
      <c r="D96" s="18" t="s">
        <v>241</v>
      </c>
      <c r="E96" s="21">
        <v>154054</v>
      </c>
      <c r="F96" s="19">
        <v>138.2480596</v>
      </c>
      <c r="G96" s="20">
        <v>0.41418899048500402</v>
      </c>
      <c r="H96" s="22"/>
    </row>
    <row r="97" spans="2:8" x14ac:dyDescent="0.2">
      <c r="B97" s="18" t="s">
        <v>242</v>
      </c>
      <c r="C97" s="18" t="s">
        <v>243</v>
      </c>
      <c r="D97" s="18" t="s">
        <v>46</v>
      </c>
      <c r="E97" s="21">
        <v>30567</v>
      </c>
      <c r="F97" s="19">
        <v>138.10170600000001</v>
      </c>
      <c r="G97" s="20">
        <v>0.41375051742423802</v>
      </c>
      <c r="H97" s="22"/>
    </row>
    <row r="98" spans="2:8" x14ac:dyDescent="0.2">
      <c r="B98" s="18" t="s">
        <v>244</v>
      </c>
      <c r="C98" s="18" t="s">
        <v>245</v>
      </c>
      <c r="D98" s="18" t="s">
        <v>58</v>
      </c>
      <c r="E98" s="21">
        <v>8305</v>
      </c>
      <c r="F98" s="19">
        <v>137.42283499999999</v>
      </c>
      <c r="G98" s="20">
        <v>0.41171663069213399</v>
      </c>
      <c r="H98" s="22"/>
    </row>
    <row r="99" spans="2:8" x14ac:dyDescent="0.2">
      <c r="B99" s="18" t="s">
        <v>246</v>
      </c>
      <c r="C99" s="18" t="s">
        <v>247</v>
      </c>
      <c r="D99" s="18" t="s">
        <v>49</v>
      </c>
      <c r="E99" s="21">
        <v>48186</v>
      </c>
      <c r="F99" s="19">
        <v>137.4216534</v>
      </c>
      <c r="G99" s="20">
        <v>0.41171309063730399</v>
      </c>
      <c r="H99" s="22"/>
    </row>
    <row r="100" spans="2:8" x14ac:dyDescent="0.2">
      <c r="B100" s="18" t="s">
        <v>248</v>
      </c>
      <c r="C100" s="18" t="s">
        <v>249</v>
      </c>
      <c r="D100" s="18" t="s">
        <v>45</v>
      </c>
      <c r="E100" s="21">
        <v>11842</v>
      </c>
      <c r="F100" s="19">
        <v>134.418542</v>
      </c>
      <c r="G100" s="20">
        <v>0.40271581658746203</v>
      </c>
      <c r="H100" s="22"/>
    </row>
    <row r="101" spans="2:8" x14ac:dyDescent="0.2">
      <c r="B101" s="18" t="s">
        <v>250</v>
      </c>
      <c r="C101" s="18" t="s">
        <v>251</v>
      </c>
      <c r="D101" s="18" t="s">
        <v>25</v>
      </c>
      <c r="E101" s="21">
        <v>27300</v>
      </c>
      <c r="F101" s="19">
        <v>131.92724999999999</v>
      </c>
      <c r="G101" s="20">
        <v>0.395251945329747</v>
      </c>
      <c r="H101" s="22"/>
    </row>
    <row r="102" spans="2:8" x14ac:dyDescent="0.2">
      <c r="B102" s="18" t="s">
        <v>252</v>
      </c>
      <c r="C102" s="18" t="s">
        <v>253</v>
      </c>
      <c r="D102" s="18" t="s">
        <v>52</v>
      </c>
      <c r="E102" s="21">
        <v>8781</v>
      </c>
      <c r="F102" s="19">
        <v>130.50322199999999</v>
      </c>
      <c r="G102" s="20">
        <v>0.39098558006249501</v>
      </c>
      <c r="H102" s="22"/>
    </row>
    <row r="103" spans="2:8" x14ac:dyDescent="0.2">
      <c r="B103" s="18" t="s">
        <v>254</v>
      </c>
      <c r="C103" s="18" t="s">
        <v>255</v>
      </c>
      <c r="D103" s="18" t="s">
        <v>42</v>
      </c>
      <c r="E103" s="21">
        <v>7736</v>
      </c>
      <c r="F103" s="19">
        <v>129.276296</v>
      </c>
      <c r="G103" s="20">
        <v>0.387309729256269</v>
      </c>
      <c r="H103" s="22"/>
    </row>
    <row r="104" spans="2:8" x14ac:dyDescent="0.2">
      <c r="B104" s="18" t="s">
        <v>256</v>
      </c>
      <c r="C104" s="18" t="s">
        <v>257</v>
      </c>
      <c r="D104" s="18" t="s">
        <v>241</v>
      </c>
      <c r="E104" s="21">
        <v>11968</v>
      </c>
      <c r="F104" s="19">
        <v>127.925952</v>
      </c>
      <c r="G104" s="20">
        <v>0.38326412008254401</v>
      </c>
      <c r="H104" s="22"/>
    </row>
    <row r="105" spans="2:8" x14ac:dyDescent="0.2">
      <c r="B105" s="18" t="s">
        <v>258</v>
      </c>
      <c r="C105" s="18" t="s">
        <v>259</v>
      </c>
      <c r="D105" s="18" t="s">
        <v>24</v>
      </c>
      <c r="E105" s="21">
        <v>12789</v>
      </c>
      <c r="F105" s="19">
        <v>126.048384</v>
      </c>
      <c r="G105" s="20">
        <v>0.37763895617979598</v>
      </c>
      <c r="H105" s="22"/>
    </row>
    <row r="106" spans="2:8" x14ac:dyDescent="0.2">
      <c r="B106" s="18" t="s">
        <v>260</v>
      </c>
      <c r="C106" s="18" t="s">
        <v>261</v>
      </c>
      <c r="D106" s="18" t="s">
        <v>46</v>
      </c>
      <c r="E106" s="21">
        <v>12701</v>
      </c>
      <c r="F106" s="19">
        <v>125.80975549999999</v>
      </c>
      <c r="G106" s="20">
        <v>0.37692402898442001</v>
      </c>
      <c r="H106" s="22"/>
    </row>
    <row r="107" spans="2:8" x14ac:dyDescent="0.2">
      <c r="B107" s="18" t="s">
        <v>262</v>
      </c>
      <c r="C107" s="18" t="s">
        <v>263</v>
      </c>
      <c r="D107" s="18" t="s">
        <v>25</v>
      </c>
      <c r="E107" s="21">
        <v>13507</v>
      </c>
      <c r="F107" s="19">
        <v>125.155862</v>
      </c>
      <c r="G107" s="20">
        <v>0.37496497444554699</v>
      </c>
      <c r="H107" s="22"/>
    </row>
    <row r="108" spans="2:8" x14ac:dyDescent="0.2">
      <c r="B108" s="18" t="s">
        <v>264</v>
      </c>
      <c r="C108" s="18" t="s">
        <v>265</v>
      </c>
      <c r="D108" s="18" t="s">
        <v>27</v>
      </c>
      <c r="E108" s="21">
        <v>40379</v>
      </c>
      <c r="F108" s="19">
        <v>124.79129949999999</v>
      </c>
      <c r="G108" s="20">
        <v>0.37387275098663902</v>
      </c>
      <c r="H108" s="22"/>
    </row>
    <row r="109" spans="2:8" x14ac:dyDescent="0.2">
      <c r="B109" s="18" t="s">
        <v>266</v>
      </c>
      <c r="C109" s="18" t="s">
        <v>267</v>
      </c>
      <c r="D109" s="18" t="s">
        <v>52</v>
      </c>
      <c r="E109" s="21">
        <v>25602</v>
      </c>
      <c r="F109" s="19">
        <v>124.656138</v>
      </c>
      <c r="G109" s="20">
        <v>0.37346780927968498</v>
      </c>
      <c r="H109" s="22"/>
    </row>
    <row r="110" spans="2:8" x14ac:dyDescent="0.2">
      <c r="B110" s="18" t="s">
        <v>268</v>
      </c>
      <c r="C110" s="18" t="s">
        <v>269</v>
      </c>
      <c r="D110" s="18" t="s">
        <v>22</v>
      </c>
      <c r="E110" s="21">
        <v>12211</v>
      </c>
      <c r="F110" s="19">
        <v>123.966072</v>
      </c>
      <c r="G110" s="20">
        <v>0.37140038250541502</v>
      </c>
      <c r="H110" s="22"/>
    </row>
    <row r="111" spans="2:8" x14ac:dyDescent="0.2">
      <c r="B111" s="18" t="s">
        <v>270</v>
      </c>
      <c r="C111" s="18" t="s">
        <v>271</v>
      </c>
      <c r="D111" s="18" t="s">
        <v>58</v>
      </c>
      <c r="E111" s="21">
        <v>14209</v>
      </c>
      <c r="F111" s="19">
        <v>123.8669575</v>
      </c>
      <c r="G111" s="20">
        <v>0.37110343703785298</v>
      </c>
      <c r="H111" s="22"/>
    </row>
    <row r="112" spans="2:8" x14ac:dyDescent="0.2">
      <c r="B112" s="18" t="s">
        <v>272</v>
      </c>
      <c r="C112" s="18" t="s">
        <v>273</v>
      </c>
      <c r="D112" s="18" t="s">
        <v>53</v>
      </c>
      <c r="E112" s="21">
        <v>12900</v>
      </c>
      <c r="F112" s="19">
        <v>123.70455</v>
      </c>
      <c r="G112" s="20">
        <v>0.370616866747703</v>
      </c>
      <c r="H112" s="22"/>
    </row>
    <row r="113" spans="2:8" x14ac:dyDescent="0.2">
      <c r="B113" s="18" t="s">
        <v>274</v>
      </c>
      <c r="C113" s="18" t="s">
        <v>275</v>
      </c>
      <c r="D113" s="18" t="s">
        <v>12</v>
      </c>
      <c r="E113" s="21">
        <v>337091</v>
      </c>
      <c r="F113" s="19">
        <v>123.2404696</v>
      </c>
      <c r="G113" s="20">
        <v>0.36922648924124102</v>
      </c>
      <c r="H113" s="22"/>
    </row>
    <row r="114" spans="2:8" x14ac:dyDescent="0.2">
      <c r="B114" s="18" t="s">
        <v>276</v>
      </c>
      <c r="C114" s="18" t="s">
        <v>277</v>
      </c>
      <c r="D114" s="18" t="s">
        <v>31</v>
      </c>
      <c r="E114" s="21">
        <v>14139</v>
      </c>
      <c r="F114" s="19">
        <v>122.3376975</v>
      </c>
      <c r="G114" s="20">
        <v>0.36652179837021598</v>
      </c>
      <c r="H114" s="22"/>
    </row>
    <row r="115" spans="2:8" x14ac:dyDescent="0.2">
      <c r="B115" s="18" t="s">
        <v>278</v>
      </c>
      <c r="C115" s="18" t="s">
        <v>279</v>
      </c>
      <c r="D115" s="18" t="s">
        <v>48</v>
      </c>
      <c r="E115" s="21">
        <v>9817</v>
      </c>
      <c r="F115" s="19">
        <v>122.09402900000001</v>
      </c>
      <c r="G115" s="20">
        <v>0.36579177141490099</v>
      </c>
      <c r="H115" s="22"/>
    </row>
    <row r="116" spans="2:8" x14ac:dyDescent="0.2">
      <c r="B116" s="18" t="s">
        <v>280</v>
      </c>
      <c r="C116" s="18" t="s">
        <v>281</v>
      </c>
      <c r="D116" s="18" t="s">
        <v>13</v>
      </c>
      <c r="E116" s="21">
        <v>21760</v>
      </c>
      <c r="F116" s="19">
        <v>122.00832</v>
      </c>
      <c r="G116" s="20">
        <v>0.36553498861239297</v>
      </c>
      <c r="H116" s="22"/>
    </row>
    <row r="117" spans="2:8" x14ac:dyDescent="0.2">
      <c r="B117" s="18" t="s">
        <v>282</v>
      </c>
      <c r="C117" s="18" t="s">
        <v>283</v>
      </c>
      <c r="D117" s="18" t="s">
        <v>25</v>
      </c>
      <c r="E117" s="21">
        <v>9216</v>
      </c>
      <c r="F117" s="19">
        <v>121.918464</v>
      </c>
      <c r="G117" s="20">
        <v>0.36526578146375899</v>
      </c>
      <c r="H117" s="22"/>
    </row>
    <row r="118" spans="2:8" x14ac:dyDescent="0.2">
      <c r="B118" s="18" t="s">
        <v>284</v>
      </c>
      <c r="C118" s="18" t="s">
        <v>285</v>
      </c>
      <c r="D118" s="18" t="s">
        <v>46</v>
      </c>
      <c r="E118" s="21">
        <v>41144</v>
      </c>
      <c r="F118" s="19">
        <v>121.909672</v>
      </c>
      <c r="G118" s="20">
        <v>0.36523944077142001</v>
      </c>
      <c r="H118" s="22"/>
    </row>
    <row r="119" spans="2:8" x14ac:dyDescent="0.2">
      <c r="B119" s="18" t="s">
        <v>286</v>
      </c>
      <c r="C119" s="18" t="s">
        <v>287</v>
      </c>
      <c r="D119" s="18" t="s">
        <v>20</v>
      </c>
      <c r="E119" s="21">
        <v>3513</v>
      </c>
      <c r="F119" s="19">
        <v>121.029876</v>
      </c>
      <c r="G119" s="20">
        <v>0.36260358593101899</v>
      </c>
      <c r="H119" s="22"/>
    </row>
    <row r="120" spans="2:8" x14ac:dyDescent="0.2">
      <c r="B120" s="18" t="s">
        <v>288</v>
      </c>
      <c r="C120" s="18" t="s">
        <v>289</v>
      </c>
      <c r="D120" s="18" t="s">
        <v>31</v>
      </c>
      <c r="E120" s="21">
        <v>64849</v>
      </c>
      <c r="F120" s="19">
        <v>120.7358682</v>
      </c>
      <c r="G120" s="20">
        <v>0.361722743232546</v>
      </c>
      <c r="H120" s="22"/>
    </row>
    <row r="121" spans="2:8" x14ac:dyDescent="0.2">
      <c r="B121" s="18" t="s">
        <v>290</v>
      </c>
      <c r="C121" s="18" t="s">
        <v>291</v>
      </c>
      <c r="D121" s="18" t="s">
        <v>25</v>
      </c>
      <c r="E121" s="21">
        <v>2542</v>
      </c>
      <c r="F121" s="19">
        <v>119.743452</v>
      </c>
      <c r="G121" s="20">
        <v>0.35874948006192198</v>
      </c>
      <c r="H121" s="22"/>
    </row>
    <row r="122" spans="2:8" x14ac:dyDescent="0.2">
      <c r="B122" s="18" t="s">
        <v>292</v>
      </c>
      <c r="C122" s="18" t="s">
        <v>293</v>
      </c>
      <c r="D122" s="18" t="s">
        <v>31</v>
      </c>
      <c r="E122" s="21">
        <v>9077</v>
      </c>
      <c r="F122" s="19">
        <v>118.010077</v>
      </c>
      <c r="G122" s="20">
        <v>0.35355631609666099</v>
      </c>
      <c r="H122" s="22"/>
    </row>
    <row r="123" spans="2:8" x14ac:dyDescent="0.2">
      <c r="B123" s="18" t="s">
        <v>294</v>
      </c>
      <c r="C123" s="18" t="s">
        <v>295</v>
      </c>
      <c r="D123" s="18" t="s">
        <v>18</v>
      </c>
      <c r="E123" s="21">
        <v>6416</v>
      </c>
      <c r="F123" s="19">
        <v>115.87937599999999</v>
      </c>
      <c r="G123" s="20">
        <v>0.347172769746941</v>
      </c>
      <c r="H123" s="22"/>
    </row>
    <row r="124" spans="2:8" x14ac:dyDescent="0.2">
      <c r="B124" s="18" t="s">
        <v>296</v>
      </c>
      <c r="C124" s="18" t="s">
        <v>297</v>
      </c>
      <c r="D124" s="18" t="s">
        <v>13</v>
      </c>
      <c r="E124" s="21">
        <v>45954</v>
      </c>
      <c r="F124" s="19">
        <v>115.7765076</v>
      </c>
      <c r="G124" s="20">
        <v>0.34686457765461098</v>
      </c>
      <c r="H124" s="22"/>
    </row>
    <row r="125" spans="2:8" x14ac:dyDescent="0.2">
      <c r="B125" s="18" t="s">
        <v>298</v>
      </c>
      <c r="C125" s="18" t="s">
        <v>299</v>
      </c>
      <c r="D125" s="18" t="s">
        <v>23</v>
      </c>
      <c r="E125" s="21">
        <v>7081</v>
      </c>
      <c r="F125" s="19">
        <v>114.95295400000001</v>
      </c>
      <c r="G125" s="20">
        <v>0.344397224151196</v>
      </c>
      <c r="H125" s="22"/>
    </row>
    <row r="126" spans="2:8" x14ac:dyDescent="0.2">
      <c r="B126" s="18" t="s">
        <v>300</v>
      </c>
      <c r="C126" s="18" t="s">
        <v>301</v>
      </c>
      <c r="D126" s="18" t="s">
        <v>126</v>
      </c>
      <c r="E126" s="21">
        <v>53304</v>
      </c>
      <c r="F126" s="19">
        <v>114.0385776</v>
      </c>
      <c r="G126" s="20">
        <v>0.34165776698170602</v>
      </c>
      <c r="H126" s="22"/>
    </row>
    <row r="127" spans="2:8" x14ac:dyDescent="0.2">
      <c r="B127" s="18" t="s">
        <v>302</v>
      </c>
      <c r="C127" s="18" t="s">
        <v>303</v>
      </c>
      <c r="D127" s="18" t="s">
        <v>58</v>
      </c>
      <c r="E127" s="21">
        <v>2779</v>
      </c>
      <c r="F127" s="19">
        <v>112.960792</v>
      </c>
      <c r="G127" s="20">
        <v>0.338428738444779</v>
      </c>
      <c r="H127" s="22"/>
    </row>
    <row r="128" spans="2:8" x14ac:dyDescent="0.2">
      <c r="B128" s="18" t="s">
        <v>304</v>
      </c>
      <c r="C128" s="18" t="s">
        <v>305</v>
      </c>
      <c r="D128" s="18" t="s">
        <v>13</v>
      </c>
      <c r="E128" s="21">
        <v>68482</v>
      </c>
      <c r="F128" s="19">
        <v>112.20090879999999</v>
      </c>
      <c r="G128" s="20">
        <v>0.33615214044835701</v>
      </c>
      <c r="H128" s="22"/>
    </row>
    <row r="129" spans="2:8" x14ac:dyDescent="0.2">
      <c r="B129" s="18" t="s">
        <v>306</v>
      </c>
      <c r="C129" s="18" t="s">
        <v>307</v>
      </c>
      <c r="D129" s="18" t="s">
        <v>48</v>
      </c>
      <c r="E129" s="21">
        <v>19349</v>
      </c>
      <c r="F129" s="19">
        <v>110.9181425</v>
      </c>
      <c r="G129" s="20">
        <v>0.33230899299035699</v>
      </c>
      <c r="H129" s="22"/>
    </row>
    <row r="130" spans="2:8" x14ac:dyDescent="0.2">
      <c r="B130" s="18" t="s">
        <v>308</v>
      </c>
      <c r="C130" s="18" t="s">
        <v>309</v>
      </c>
      <c r="D130" s="18" t="s">
        <v>55</v>
      </c>
      <c r="E130" s="21">
        <v>25217</v>
      </c>
      <c r="F130" s="19">
        <v>110.46306850000001</v>
      </c>
      <c r="G130" s="20">
        <v>0.33094559851522798</v>
      </c>
      <c r="H130" s="22"/>
    </row>
    <row r="131" spans="2:8" x14ac:dyDescent="0.2">
      <c r="B131" s="18" t="s">
        <v>310</v>
      </c>
      <c r="C131" s="18" t="s">
        <v>311</v>
      </c>
      <c r="D131" s="18" t="s">
        <v>20</v>
      </c>
      <c r="E131" s="21">
        <v>10636</v>
      </c>
      <c r="F131" s="19">
        <v>109.08281599999999</v>
      </c>
      <c r="G131" s="20">
        <v>0.32681038395060003</v>
      </c>
      <c r="H131" s="22"/>
    </row>
    <row r="132" spans="2:8" x14ac:dyDescent="0.2">
      <c r="B132" s="18" t="s">
        <v>312</v>
      </c>
      <c r="C132" s="18" t="s">
        <v>313</v>
      </c>
      <c r="D132" s="18" t="s">
        <v>16</v>
      </c>
      <c r="E132" s="21">
        <v>14624</v>
      </c>
      <c r="F132" s="19">
        <v>108.999984</v>
      </c>
      <c r="G132" s="20">
        <v>0.32656222059439</v>
      </c>
      <c r="H132" s="22"/>
    </row>
    <row r="133" spans="2:8" x14ac:dyDescent="0.2">
      <c r="B133" s="18" t="s">
        <v>314</v>
      </c>
      <c r="C133" s="18" t="s">
        <v>315</v>
      </c>
      <c r="D133" s="18" t="s">
        <v>50</v>
      </c>
      <c r="E133" s="21">
        <v>1365</v>
      </c>
      <c r="F133" s="19">
        <v>108.565275</v>
      </c>
      <c r="G133" s="20">
        <v>0.32525983933576202</v>
      </c>
      <c r="H133" s="22"/>
    </row>
    <row r="134" spans="2:8" x14ac:dyDescent="0.2">
      <c r="B134" s="18" t="s">
        <v>316</v>
      </c>
      <c r="C134" s="18" t="s">
        <v>317</v>
      </c>
      <c r="D134" s="18" t="s">
        <v>49</v>
      </c>
      <c r="E134" s="21">
        <v>9556</v>
      </c>
      <c r="F134" s="19">
        <v>108.52271399999999</v>
      </c>
      <c r="G134" s="20">
        <v>0.32513232725584601</v>
      </c>
      <c r="H134" s="22"/>
    </row>
    <row r="135" spans="2:8" x14ac:dyDescent="0.2">
      <c r="B135" s="18" t="s">
        <v>318</v>
      </c>
      <c r="C135" s="18" t="s">
        <v>319</v>
      </c>
      <c r="D135" s="18" t="s">
        <v>23</v>
      </c>
      <c r="E135" s="21">
        <v>5133</v>
      </c>
      <c r="F135" s="19">
        <v>107.977788</v>
      </c>
      <c r="G135" s="20">
        <v>0.32349973761601902</v>
      </c>
      <c r="H135" s="22"/>
    </row>
    <row r="136" spans="2:8" x14ac:dyDescent="0.2">
      <c r="B136" s="18" t="s">
        <v>320</v>
      </c>
      <c r="C136" s="18" t="s">
        <v>321</v>
      </c>
      <c r="D136" s="18" t="s">
        <v>13</v>
      </c>
      <c r="E136" s="21">
        <v>8414</v>
      </c>
      <c r="F136" s="19">
        <v>107.972655</v>
      </c>
      <c r="G136" s="20">
        <v>0.32348435922955698</v>
      </c>
      <c r="H136" s="22"/>
    </row>
    <row r="137" spans="2:8" x14ac:dyDescent="0.2">
      <c r="B137" s="18" t="s">
        <v>322</v>
      </c>
      <c r="C137" s="18" t="s">
        <v>323</v>
      </c>
      <c r="D137" s="18" t="s">
        <v>53</v>
      </c>
      <c r="E137" s="21">
        <v>14301</v>
      </c>
      <c r="F137" s="19">
        <v>107.2503495</v>
      </c>
      <c r="G137" s="20">
        <v>0.32132034342541199</v>
      </c>
      <c r="H137" s="22"/>
    </row>
    <row r="138" spans="2:8" x14ac:dyDescent="0.2">
      <c r="B138" s="18" t="s">
        <v>324</v>
      </c>
      <c r="C138" s="18" t="s">
        <v>325</v>
      </c>
      <c r="D138" s="18" t="s">
        <v>52</v>
      </c>
      <c r="E138" s="21">
        <v>7471</v>
      </c>
      <c r="F138" s="19">
        <v>107.089314</v>
      </c>
      <c r="G138" s="20">
        <v>0.320837883625469</v>
      </c>
      <c r="H138" s="22"/>
    </row>
    <row r="139" spans="2:8" x14ac:dyDescent="0.2">
      <c r="B139" s="18" t="s">
        <v>326</v>
      </c>
      <c r="C139" s="18" t="s">
        <v>327</v>
      </c>
      <c r="D139" s="18" t="s">
        <v>20</v>
      </c>
      <c r="E139" s="21">
        <v>50224</v>
      </c>
      <c r="F139" s="19">
        <v>106.8364928</v>
      </c>
      <c r="G139" s="20">
        <v>0.320080435326345</v>
      </c>
      <c r="H139" s="22"/>
    </row>
    <row r="140" spans="2:8" x14ac:dyDescent="0.2">
      <c r="B140" s="18" t="s">
        <v>328</v>
      </c>
      <c r="C140" s="18" t="s">
        <v>329</v>
      </c>
      <c r="D140" s="18" t="s">
        <v>47</v>
      </c>
      <c r="E140" s="21">
        <v>33236</v>
      </c>
      <c r="F140" s="19">
        <v>106.00622199999999</v>
      </c>
      <c r="G140" s="20">
        <v>0.317592957198433</v>
      </c>
      <c r="H140" s="22"/>
    </row>
    <row r="141" spans="2:8" x14ac:dyDescent="0.2">
      <c r="B141" s="18" t="s">
        <v>330</v>
      </c>
      <c r="C141" s="18" t="s">
        <v>331</v>
      </c>
      <c r="D141" s="18" t="s">
        <v>44</v>
      </c>
      <c r="E141" s="21">
        <v>8380</v>
      </c>
      <c r="F141" s="19">
        <v>104.94274</v>
      </c>
      <c r="G141" s="20">
        <v>0.31440678201989197</v>
      </c>
      <c r="H141" s="22"/>
    </row>
    <row r="142" spans="2:8" x14ac:dyDescent="0.2">
      <c r="B142" s="18" t="s">
        <v>332</v>
      </c>
      <c r="C142" s="18" t="s">
        <v>333</v>
      </c>
      <c r="D142" s="18" t="s">
        <v>57</v>
      </c>
      <c r="E142" s="21">
        <v>17067</v>
      </c>
      <c r="F142" s="19">
        <v>104.45004</v>
      </c>
      <c r="G142" s="20">
        <v>0.31293066064645397</v>
      </c>
      <c r="H142" s="22"/>
    </row>
    <row r="143" spans="2:8" x14ac:dyDescent="0.2">
      <c r="B143" s="18" t="s">
        <v>334</v>
      </c>
      <c r="C143" s="18" t="s">
        <v>335</v>
      </c>
      <c r="D143" s="18" t="s">
        <v>53</v>
      </c>
      <c r="E143" s="21">
        <v>13442</v>
      </c>
      <c r="F143" s="19">
        <v>103.28832800000001</v>
      </c>
      <c r="G143" s="20">
        <v>0.30945018994830098</v>
      </c>
      <c r="H143" s="22"/>
    </row>
    <row r="144" spans="2:8" x14ac:dyDescent="0.2">
      <c r="B144" s="18" t="s">
        <v>336</v>
      </c>
      <c r="C144" s="18" t="s">
        <v>337</v>
      </c>
      <c r="D144" s="18" t="s">
        <v>20</v>
      </c>
      <c r="E144" s="21">
        <v>17262</v>
      </c>
      <c r="F144" s="19">
        <v>103.27854600000001</v>
      </c>
      <c r="G144" s="20">
        <v>0.30942088323168798</v>
      </c>
      <c r="H144" s="22"/>
    </row>
    <row r="145" spans="2:8" x14ac:dyDescent="0.2">
      <c r="B145" s="18" t="s">
        <v>338</v>
      </c>
      <c r="C145" s="18" t="s">
        <v>339</v>
      </c>
      <c r="D145" s="18" t="s">
        <v>46</v>
      </c>
      <c r="E145" s="21">
        <v>11784</v>
      </c>
      <c r="F145" s="19">
        <v>102.9627</v>
      </c>
      <c r="G145" s="20">
        <v>0.30847461363291601</v>
      </c>
      <c r="H145" s="22"/>
    </row>
    <row r="146" spans="2:8" x14ac:dyDescent="0.2">
      <c r="B146" s="18" t="s">
        <v>340</v>
      </c>
      <c r="C146" s="18" t="s">
        <v>341</v>
      </c>
      <c r="D146" s="18" t="s">
        <v>16</v>
      </c>
      <c r="E146" s="21">
        <v>27829</v>
      </c>
      <c r="F146" s="19">
        <v>102.8142405</v>
      </c>
      <c r="G146" s="20">
        <v>0.30802983132920198</v>
      </c>
      <c r="H146" s="22"/>
    </row>
    <row r="147" spans="2:8" x14ac:dyDescent="0.2">
      <c r="B147" s="18" t="s">
        <v>342</v>
      </c>
      <c r="C147" s="18" t="s">
        <v>343</v>
      </c>
      <c r="D147" s="18" t="s">
        <v>56</v>
      </c>
      <c r="E147" s="21">
        <v>13884</v>
      </c>
      <c r="F147" s="19">
        <v>102.207066</v>
      </c>
      <c r="G147" s="20">
        <v>0.30621074617219601</v>
      </c>
      <c r="H147" s="22"/>
    </row>
    <row r="148" spans="2:8" x14ac:dyDescent="0.2">
      <c r="B148" s="18" t="s">
        <v>344</v>
      </c>
      <c r="C148" s="18" t="s">
        <v>345</v>
      </c>
      <c r="D148" s="18" t="s">
        <v>55</v>
      </c>
      <c r="E148" s="21">
        <v>2139</v>
      </c>
      <c r="F148" s="19">
        <v>101.904099</v>
      </c>
      <c r="G148" s="20">
        <v>0.30530306185284001</v>
      </c>
      <c r="H148" s="22"/>
    </row>
    <row r="149" spans="2:8" x14ac:dyDescent="0.2">
      <c r="B149" s="18" t="s">
        <v>346</v>
      </c>
      <c r="C149" s="18" t="s">
        <v>347</v>
      </c>
      <c r="D149" s="18" t="s">
        <v>51</v>
      </c>
      <c r="E149" s="21">
        <v>14114</v>
      </c>
      <c r="F149" s="19">
        <v>100.738675</v>
      </c>
      <c r="G149" s="20">
        <v>0.30181147006165199</v>
      </c>
      <c r="H149" s="22"/>
    </row>
    <row r="150" spans="2:8" x14ac:dyDescent="0.2">
      <c r="B150" s="18" t="s">
        <v>348</v>
      </c>
      <c r="C150" s="18" t="s">
        <v>349</v>
      </c>
      <c r="D150" s="18" t="s">
        <v>45</v>
      </c>
      <c r="E150" s="21">
        <v>19266</v>
      </c>
      <c r="F150" s="19">
        <v>100.385493</v>
      </c>
      <c r="G150" s="20">
        <v>0.30075334239996399</v>
      </c>
      <c r="H150" s="22"/>
    </row>
    <row r="151" spans="2:8" x14ac:dyDescent="0.2">
      <c r="B151" s="18" t="s">
        <v>350</v>
      </c>
      <c r="C151" s="18" t="s">
        <v>351</v>
      </c>
      <c r="D151" s="18" t="s">
        <v>241</v>
      </c>
      <c r="E151" s="21">
        <v>16576</v>
      </c>
      <c r="F151" s="19">
        <v>100.38425599999999</v>
      </c>
      <c r="G151" s="20">
        <v>0.30074963636761398</v>
      </c>
      <c r="H151" s="22"/>
    </row>
    <row r="152" spans="2:8" x14ac:dyDescent="0.2">
      <c r="B152" s="18" t="s">
        <v>352</v>
      </c>
      <c r="C152" s="18" t="s">
        <v>353</v>
      </c>
      <c r="D152" s="18" t="s">
        <v>45</v>
      </c>
      <c r="E152" s="21">
        <v>23075</v>
      </c>
      <c r="F152" s="19">
        <v>99.372487500000005</v>
      </c>
      <c r="G152" s="20">
        <v>0.29771839401360201</v>
      </c>
      <c r="H152" s="22"/>
    </row>
    <row r="153" spans="2:8" x14ac:dyDescent="0.2">
      <c r="B153" s="18" t="s">
        <v>354</v>
      </c>
      <c r="C153" s="18" t="s">
        <v>355</v>
      </c>
      <c r="D153" s="18" t="s">
        <v>126</v>
      </c>
      <c r="E153" s="21">
        <v>6873</v>
      </c>
      <c r="F153" s="19">
        <v>98.215170000000001</v>
      </c>
      <c r="G153" s="20">
        <v>0.29425108916764198</v>
      </c>
      <c r="H153" s="22"/>
    </row>
    <row r="154" spans="2:8" x14ac:dyDescent="0.2">
      <c r="B154" s="18" t="s">
        <v>356</v>
      </c>
      <c r="C154" s="18" t="s">
        <v>357</v>
      </c>
      <c r="D154" s="18" t="s">
        <v>16</v>
      </c>
      <c r="E154" s="21">
        <v>19111</v>
      </c>
      <c r="F154" s="19">
        <v>98.201873500000005</v>
      </c>
      <c r="G154" s="20">
        <v>0.29421125306485701</v>
      </c>
      <c r="H154" s="22"/>
    </row>
    <row r="155" spans="2:8" x14ac:dyDescent="0.2">
      <c r="B155" s="18" t="s">
        <v>358</v>
      </c>
      <c r="C155" s="18" t="s">
        <v>359</v>
      </c>
      <c r="D155" s="18" t="s">
        <v>47</v>
      </c>
      <c r="E155" s="21">
        <v>83384</v>
      </c>
      <c r="F155" s="19">
        <v>98.051245600000001</v>
      </c>
      <c r="G155" s="20">
        <v>0.29375997426918798</v>
      </c>
      <c r="H155" s="22"/>
    </row>
    <row r="156" spans="2:8" x14ac:dyDescent="0.2">
      <c r="B156" s="18" t="s">
        <v>360</v>
      </c>
      <c r="C156" s="18" t="s">
        <v>361</v>
      </c>
      <c r="D156" s="18" t="s">
        <v>362</v>
      </c>
      <c r="E156" s="21">
        <v>6409</v>
      </c>
      <c r="F156" s="19">
        <v>96.910488999999998</v>
      </c>
      <c r="G156" s="20">
        <v>0.290342285616558</v>
      </c>
      <c r="H156" s="22"/>
    </row>
    <row r="157" spans="2:8" x14ac:dyDescent="0.2">
      <c r="B157" s="18" t="s">
        <v>363</v>
      </c>
      <c r="C157" s="18" t="s">
        <v>364</v>
      </c>
      <c r="D157" s="18" t="s">
        <v>25</v>
      </c>
      <c r="E157" s="21">
        <v>5768</v>
      </c>
      <c r="F157" s="19">
        <v>96.908168000000003</v>
      </c>
      <c r="G157" s="20">
        <v>0.290335331937427</v>
      </c>
      <c r="H157" s="22"/>
    </row>
    <row r="158" spans="2:8" x14ac:dyDescent="0.2">
      <c r="B158" s="18" t="s">
        <v>365</v>
      </c>
      <c r="C158" s="18" t="s">
        <v>366</v>
      </c>
      <c r="D158" s="18" t="s">
        <v>10</v>
      </c>
      <c r="E158" s="21">
        <v>74821</v>
      </c>
      <c r="F158" s="19">
        <v>96.5340542</v>
      </c>
      <c r="G158" s="20">
        <v>0.28921449293544099</v>
      </c>
      <c r="H158" s="22"/>
    </row>
    <row r="159" spans="2:8" x14ac:dyDescent="0.2">
      <c r="B159" s="18" t="s">
        <v>367</v>
      </c>
      <c r="C159" s="18" t="s">
        <v>368</v>
      </c>
      <c r="D159" s="18" t="s">
        <v>55</v>
      </c>
      <c r="E159" s="21">
        <v>10452</v>
      </c>
      <c r="F159" s="19">
        <v>93.984384000000006</v>
      </c>
      <c r="G159" s="20">
        <v>0.28157572151786597</v>
      </c>
      <c r="H159" s="22"/>
    </row>
    <row r="160" spans="2:8" x14ac:dyDescent="0.2">
      <c r="B160" s="18" t="s">
        <v>369</v>
      </c>
      <c r="C160" s="18" t="s">
        <v>370</v>
      </c>
      <c r="D160" s="18" t="s">
        <v>55</v>
      </c>
      <c r="E160" s="21">
        <v>72669</v>
      </c>
      <c r="F160" s="19">
        <v>93.713942399999993</v>
      </c>
      <c r="G160" s="20">
        <v>0.28076548278024299</v>
      </c>
      <c r="H160" s="22"/>
    </row>
    <row r="161" spans="2:8" x14ac:dyDescent="0.2">
      <c r="B161" s="18" t="s">
        <v>371</v>
      </c>
      <c r="C161" s="18" t="s">
        <v>372</v>
      </c>
      <c r="D161" s="18" t="s">
        <v>23</v>
      </c>
      <c r="E161" s="21">
        <v>90696</v>
      </c>
      <c r="F161" s="19">
        <v>93.217348799999996</v>
      </c>
      <c r="G161" s="20">
        <v>0.27927769624305498</v>
      </c>
      <c r="H161" s="22"/>
    </row>
    <row r="162" spans="2:8" x14ac:dyDescent="0.2">
      <c r="B162" s="18" t="s">
        <v>373</v>
      </c>
      <c r="C162" s="18" t="s">
        <v>374</v>
      </c>
      <c r="D162" s="18" t="s">
        <v>44</v>
      </c>
      <c r="E162" s="21">
        <v>8205</v>
      </c>
      <c r="F162" s="19">
        <v>92.683679999999995</v>
      </c>
      <c r="G162" s="20">
        <v>0.27767883299560697</v>
      </c>
      <c r="H162" s="22"/>
    </row>
    <row r="163" spans="2:8" x14ac:dyDescent="0.2">
      <c r="B163" s="18" t="s">
        <v>375</v>
      </c>
      <c r="C163" s="18" t="s">
        <v>376</v>
      </c>
      <c r="D163" s="18" t="s">
        <v>31</v>
      </c>
      <c r="E163" s="21">
        <v>6679</v>
      </c>
      <c r="F163" s="19">
        <v>92.216953000000004</v>
      </c>
      <c r="G163" s="20">
        <v>0.27628052631758698</v>
      </c>
      <c r="H163" s="22"/>
    </row>
    <row r="164" spans="2:8" x14ac:dyDescent="0.2">
      <c r="B164" s="18" t="s">
        <v>377</v>
      </c>
      <c r="C164" s="18" t="s">
        <v>378</v>
      </c>
      <c r="D164" s="18" t="s">
        <v>19</v>
      </c>
      <c r="E164" s="21">
        <v>15424</v>
      </c>
      <c r="F164" s="19">
        <v>91.240672000000004</v>
      </c>
      <c r="G164" s="20">
        <v>0.27335560394985398</v>
      </c>
      <c r="H164" s="22"/>
    </row>
    <row r="165" spans="2:8" x14ac:dyDescent="0.2">
      <c r="B165" s="18" t="s">
        <v>379</v>
      </c>
      <c r="C165" s="18" t="s">
        <v>380</v>
      </c>
      <c r="D165" s="18" t="s">
        <v>23</v>
      </c>
      <c r="E165" s="21">
        <v>47206</v>
      </c>
      <c r="F165" s="19">
        <v>91.168947799999998</v>
      </c>
      <c r="G165" s="20">
        <v>0.27314071938599599</v>
      </c>
      <c r="H165" s="22"/>
    </row>
    <row r="166" spans="2:8" x14ac:dyDescent="0.2">
      <c r="B166" s="18" t="s">
        <v>381</v>
      </c>
      <c r="C166" s="18" t="s">
        <v>382</v>
      </c>
      <c r="D166" s="18" t="s">
        <v>14</v>
      </c>
      <c r="E166" s="21">
        <v>8070</v>
      </c>
      <c r="F166" s="19">
        <v>91.057845</v>
      </c>
      <c r="G166" s="20">
        <v>0.27280785716206901</v>
      </c>
      <c r="H166" s="22"/>
    </row>
    <row r="167" spans="2:8" x14ac:dyDescent="0.2">
      <c r="B167" s="18" t="s">
        <v>383</v>
      </c>
      <c r="C167" s="18" t="s">
        <v>384</v>
      </c>
      <c r="D167" s="18" t="s">
        <v>47</v>
      </c>
      <c r="E167" s="21">
        <v>11989</v>
      </c>
      <c r="F167" s="19">
        <v>90.840653000000003</v>
      </c>
      <c r="G167" s="20">
        <v>0.27215715338017399</v>
      </c>
      <c r="H167" s="22"/>
    </row>
    <row r="168" spans="2:8" x14ac:dyDescent="0.2">
      <c r="B168" s="18" t="s">
        <v>385</v>
      </c>
      <c r="C168" s="18" t="s">
        <v>386</v>
      </c>
      <c r="D168" s="18" t="s">
        <v>31</v>
      </c>
      <c r="E168" s="21">
        <v>64851</v>
      </c>
      <c r="F168" s="19">
        <v>90.188285699999994</v>
      </c>
      <c r="G168" s="20">
        <v>0.270202671312257</v>
      </c>
      <c r="H168" s="22"/>
    </row>
    <row r="169" spans="2:8" x14ac:dyDescent="0.2">
      <c r="B169" s="18" t="s">
        <v>387</v>
      </c>
      <c r="C169" s="18" t="s">
        <v>388</v>
      </c>
      <c r="D169" s="18" t="s">
        <v>23</v>
      </c>
      <c r="E169" s="21">
        <v>37147</v>
      </c>
      <c r="F169" s="19">
        <v>88.859338699999995</v>
      </c>
      <c r="G169" s="20">
        <v>0.26622116721063999</v>
      </c>
      <c r="H169" s="22"/>
    </row>
    <row r="170" spans="2:8" x14ac:dyDescent="0.2">
      <c r="B170" s="18" t="s">
        <v>389</v>
      </c>
      <c r="C170" s="18" t="s">
        <v>390</v>
      </c>
      <c r="D170" s="18" t="s">
        <v>31</v>
      </c>
      <c r="E170" s="21">
        <v>13286</v>
      </c>
      <c r="F170" s="19">
        <v>88.145966999999999</v>
      </c>
      <c r="G170" s="20">
        <v>0.26408391692938099</v>
      </c>
      <c r="H170" s="22"/>
    </row>
    <row r="171" spans="2:8" x14ac:dyDescent="0.2">
      <c r="B171" s="18" t="s">
        <v>391</v>
      </c>
      <c r="C171" s="18" t="s">
        <v>392</v>
      </c>
      <c r="D171" s="18" t="s">
        <v>13</v>
      </c>
      <c r="E171" s="21">
        <v>25898</v>
      </c>
      <c r="F171" s="19">
        <v>87.975505999999996</v>
      </c>
      <c r="G171" s="20">
        <v>0.263573218481162</v>
      </c>
      <c r="H171" s="22"/>
    </row>
    <row r="172" spans="2:8" x14ac:dyDescent="0.2">
      <c r="B172" s="18" t="s">
        <v>393</v>
      </c>
      <c r="C172" s="18" t="s">
        <v>394</v>
      </c>
      <c r="D172" s="18" t="s">
        <v>31</v>
      </c>
      <c r="E172" s="21">
        <v>17936</v>
      </c>
      <c r="F172" s="19">
        <v>87.635295999999997</v>
      </c>
      <c r="G172" s="20">
        <v>0.26255395472541299</v>
      </c>
      <c r="H172" s="22"/>
    </row>
    <row r="173" spans="2:8" x14ac:dyDescent="0.2">
      <c r="B173" s="18" t="s">
        <v>395</v>
      </c>
      <c r="C173" s="18" t="s">
        <v>396</v>
      </c>
      <c r="D173" s="18" t="s">
        <v>46</v>
      </c>
      <c r="E173" s="21">
        <v>38999</v>
      </c>
      <c r="F173" s="19">
        <v>86.870272499999999</v>
      </c>
      <c r="G173" s="20">
        <v>0.26026195647184502</v>
      </c>
      <c r="H173" s="22"/>
    </row>
    <row r="174" spans="2:8" x14ac:dyDescent="0.2">
      <c r="B174" s="18" t="s">
        <v>397</v>
      </c>
      <c r="C174" s="18" t="s">
        <v>398</v>
      </c>
      <c r="D174" s="18" t="s">
        <v>56</v>
      </c>
      <c r="E174" s="21">
        <v>5311</v>
      </c>
      <c r="F174" s="19">
        <v>86.569299999999998</v>
      </c>
      <c r="G174" s="20">
        <v>0.25936024764280702</v>
      </c>
      <c r="H174" s="22"/>
    </row>
    <row r="175" spans="2:8" x14ac:dyDescent="0.2">
      <c r="B175" s="18" t="s">
        <v>399</v>
      </c>
      <c r="C175" s="18" t="s">
        <v>400</v>
      </c>
      <c r="D175" s="18" t="s">
        <v>46</v>
      </c>
      <c r="E175" s="21">
        <v>5507</v>
      </c>
      <c r="F175" s="19">
        <v>86.514970000000005</v>
      </c>
      <c r="G175" s="20">
        <v>0.25919747582584102</v>
      </c>
      <c r="H175" s="22"/>
    </row>
    <row r="176" spans="2:8" x14ac:dyDescent="0.2">
      <c r="B176" s="18" t="s">
        <v>401</v>
      </c>
      <c r="C176" s="18" t="s">
        <v>402</v>
      </c>
      <c r="D176" s="18" t="s">
        <v>44</v>
      </c>
      <c r="E176" s="21">
        <v>17301</v>
      </c>
      <c r="F176" s="19">
        <v>86.461747500000001</v>
      </c>
      <c r="G176" s="20">
        <v>0.25903802206128301</v>
      </c>
      <c r="H176" s="22"/>
    </row>
    <row r="177" spans="2:8" x14ac:dyDescent="0.2">
      <c r="B177" s="18" t="s">
        <v>403</v>
      </c>
      <c r="C177" s="18" t="s">
        <v>404</v>
      </c>
      <c r="D177" s="18" t="s">
        <v>21</v>
      </c>
      <c r="E177" s="21">
        <v>28375</v>
      </c>
      <c r="F177" s="19">
        <v>86.396199999999993</v>
      </c>
      <c r="G177" s="20">
        <v>0.25884164279250799</v>
      </c>
      <c r="H177" s="22"/>
    </row>
    <row r="178" spans="2:8" x14ac:dyDescent="0.2">
      <c r="B178" s="18" t="s">
        <v>405</v>
      </c>
      <c r="C178" s="18" t="s">
        <v>406</v>
      </c>
      <c r="D178" s="18" t="s">
        <v>55</v>
      </c>
      <c r="E178" s="21">
        <v>20591</v>
      </c>
      <c r="F178" s="19">
        <v>86.307176499999997</v>
      </c>
      <c r="G178" s="20">
        <v>0.25857492980065</v>
      </c>
      <c r="H178" s="22"/>
    </row>
    <row r="179" spans="2:8" x14ac:dyDescent="0.2">
      <c r="B179" s="18" t="s">
        <v>407</v>
      </c>
      <c r="C179" s="18" t="s">
        <v>408</v>
      </c>
      <c r="D179" s="18" t="s">
        <v>23</v>
      </c>
      <c r="E179" s="21">
        <v>56590</v>
      </c>
      <c r="F179" s="19">
        <v>85.824393999999998</v>
      </c>
      <c r="G179" s="20">
        <v>0.25712852109967199</v>
      </c>
      <c r="H179" s="22"/>
    </row>
    <row r="180" spans="2:8" x14ac:dyDescent="0.2">
      <c r="B180" s="18" t="s">
        <v>409</v>
      </c>
      <c r="C180" s="18" t="s">
        <v>410</v>
      </c>
      <c r="D180" s="18" t="s">
        <v>10</v>
      </c>
      <c r="E180" s="21">
        <v>244993</v>
      </c>
      <c r="F180" s="19">
        <v>85.747550000000004</v>
      </c>
      <c r="G180" s="20">
        <v>0.25689829769634198</v>
      </c>
      <c r="H180" s="22"/>
    </row>
    <row r="181" spans="2:8" x14ac:dyDescent="0.2">
      <c r="B181" s="18" t="s">
        <v>411</v>
      </c>
      <c r="C181" s="18" t="s">
        <v>412</v>
      </c>
      <c r="D181" s="18" t="s">
        <v>51</v>
      </c>
      <c r="E181" s="21">
        <v>29449</v>
      </c>
      <c r="F181" s="19">
        <v>85.572904199999996</v>
      </c>
      <c r="G181" s="20">
        <v>0.25637506165379798</v>
      </c>
      <c r="H181" s="22"/>
    </row>
    <row r="182" spans="2:8" x14ac:dyDescent="0.2">
      <c r="B182" s="18" t="s">
        <v>413</v>
      </c>
      <c r="C182" s="18" t="s">
        <v>414</v>
      </c>
      <c r="D182" s="18" t="s">
        <v>12</v>
      </c>
      <c r="E182" s="21">
        <v>6866</v>
      </c>
      <c r="F182" s="19">
        <v>85.522896000000003</v>
      </c>
      <c r="G182" s="20">
        <v>0.256225237880981</v>
      </c>
      <c r="H182" s="22"/>
    </row>
    <row r="183" spans="2:8" x14ac:dyDescent="0.2">
      <c r="B183" s="18" t="s">
        <v>415</v>
      </c>
      <c r="C183" s="18" t="s">
        <v>416</v>
      </c>
      <c r="D183" s="18" t="s">
        <v>24</v>
      </c>
      <c r="E183" s="21">
        <v>2894</v>
      </c>
      <c r="F183" s="19">
        <v>85.393258000000003</v>
      </c>
      <c r="G183" s="20">
        <v>0.255836844492286</v>
      </c>
      <c r="H183" s="22"/>
    </row>
    <row r="184" spans="2:8" x14ac:dyDescent="0.2">
      <c r="B184" s="18" t="s">
        <v>417</v>
      </c>
      <c r="C184" s="18" t="s">
        <v>418</v>
      </c>
      <c r="D184" s="18" t="s">
        <v>20</v>
      </c>
      <c r="E184" s="21">
        <v>20986</v>
      </c>
      <c r="F184" s="19">
        <v>85.224146000000005</v>
      </c>
      <c r="G184" s="20">
        <v>0.25533018762663801</v>
      </c>
      <c r="H184" s="22"/>
    </row>
    <row r="185" spans="2:8" x14ac:dyDescent="0.2">
      <c r="B185" s="18" t="s">
        <v>419</v>
      </c>
      <c r="C185" s="18" t="s">
        <v>420</v>
      </c>
      <c r="D185" s="18" t="s">
        <v>421</v>
      </c>
      <c r="E185" s="21">
        <v>77573</v>
      </c>
      <c r="F185" s="19">
        <v>84.228763400000005</v>
      </c>
      <c r="G185" s="20">
        <v>0.252348037168735</v>
      </c>
      <c r="H185" s="22"/>
    </row>
    <row r="186" spans="2:8" x14ac:dyDescent="0.2">
      <c r="B186" s="18" t="s">
        <v>422</v>
      </c>
      <c r="C186" s="18" t="s">
        <v>423</v>
      </c>
      <c r="D186" s="18" t="s">
        <v>47</v>
      </c>
      <c r="E186" s="21">
        <v>67446</v>
      </c>
      <c r="F186" s="19">
        <v>84.125395800000007</v>
      </c>
      <c r="G186" s="20">
        <v>0.25203834948113402</v>
      </c>
      <c r="H186" s="22"/>
    </row>
    <row r="187" spans="2:8" x14ac:dyDescent="0.2">
      <c r="B187" s="18" t="s">
        <v>424</v>
      </c>
      <c r="C187" s="18" t="s">
        <v>425</v>
      </c>
      <c r="D187" s="18" t="s">
        <v>46</v>
      </c>
      <c r="E187" s="21">
        <v>13993</v>
      </c>
      <c r="F187" s="19">
        <v>83.405276499999999</v>
      </c>
      <c r="G187" s="20">
        <v>0.24988088349746099</v>
      </c>
      <c r="H187" s="22"/>
    </row>
    <row r="188" spans="2:8" x14ac:dyDescent="0.2">
      <c r="B188" s="18" t="s">
        <v>426</v>
      </c>
      <c r="C188" s="18" t="s">
        <v>427</v>
      </c>
      <c r="D188" s="18" t="s">
        <v>16</v>
      </c>
      <c r="E188" s="21">
        <v>32669</v>
      </c>
      <c r="F188" s="19">
        <v>83.315750699999995</v>
      </c>
      <c r="G188" s="20">
        <v>0.249612665622782</v>
      </c>
      <c r="H188" s="22"/>
    </row>
    <row r="189" spans="2:8" x14ac:dyDescent="0.2">
      <c r="B189" s="18" t="s">
        <v>428</v>
      </c>
      <c r="C189" s="18" t="s">
        <v>429</v>
      </c>
      <c r="D189" s="18" t="s">
        <v>13</v>
      </c>
      <c r="E189" s="21">
        <v>54675</v>
      </c>
      <c r="F189" s="19">
        <v>83.215350000000001</v>
      </c>
      <c r="G189" s="20">
        <v>0.249311866720452</v>
      </c>
      <c r="H189" s="22"/>
    </row>
    <row r="190" spans="2:8" x14ac:dyDescent="0.2">
      <c r="B190" s="18" t="s">
        <v>430</v>
      </c>
      <c r="C190" s="18" t="s">
        <v>431</v>
      </c>
      <c r="D190" s="18" t="s">
        <v>19</v>
      </c>
      <c r="E190" s="21">
        <v>193310</v>
      </c>
      <c r="F190" s="19">
        <v>82.582031999999998</v>
      </c>
      <c r="G190" s="20">
        <v>0.24741445605273699</v>
      </c>
      <c r="H190" s="22"/>
    </row>
    <row r="191" spans="2:8" x14ac:dyDescent="0.2">
      <c r="B191" s="18" t="s">
        <v>432</v>
      </c>
      <c r="C191" s="18" t="s">
        <v>433</v>
      </c>
      <c r="D191" s="18" t="s">
        <v>17</v>
      </c>
      <c r="E191" s="21">
        <v>16146</v>
      </c>
      <c r="F191" s="19">
        <v>82.110483000000002</v>
      </c>
      <c r="G191" s="20">
        <v>0.24600170273931399</v>
      </c>
      <c r="H191" s="22"/>
    </row>
    <row r="192" spans="2:8" x14ac:dyDescent="0.2">
      <c r="B192" s="18" t="s">
        <v>434</v>
      </c>
      <c r="C192" s="18" t="s">
        <v>435</v>
      </c>
      <c r="D192" s="18" t="s">
        <v>59</v>
      </c>
      <c r="E192" s="21">
        <v>6661</v>
      </c>
      <c r="F192" s="19">
        <v>81.763774999999995</v>
      </c>
      <c r="G192" s="20">
        <v>0.24496297107878601</v>
      </c>
      <c r="H192" s="22"/>
    </row>
    <row r="193" spans="2:8" x14ac:dyDescent="0.2">
      <c r="B193" s="18" t="s">
        <v>436</v>
      </c>
      <c r="C193" s="18" t="s">
        <v>437</v>
      </c>
      <c r="D193" s="18" t="s">
        <v>47</v>
      </c>
      <c r="E193" s="21">
        <v>39709</v>
      </c>
      <c r="F193" s="19">
        <v>81.645674900000003</v>
      </c>
      <c r="G193" s="20">
        <v>0.244609145055211</v>
      </c>
      <c r="H193" s="22"/>
    </row>
    <row r="194" spans="2:8" x14ac:dyDescent="0.2">
      <c r="B194" s="18" t="s">
        <v>438</v>
      </c>
      <c r="C194" s="18" t="s">
        <v>439</v>
      </c>
      <c r="D194" s="18" t="s">
        <v>27</v>
      </c>
      <c r="E194" s="21">
        <v>103772</v>
      </c>
      <c r="F194" s="19">
        <v>81.274230399999993</v>
      </c>
      <c r="G194" s="20">
        <v>0.24349630323362301</v>
      </c>
      <c r="H194" s="22"/>
    </row>
    <row r="195" spans="2:8" x14ac:dyDescent="0.2">
      <c r="B195" s="18" t="s">
        <v>440</v>
      </c>
      <c r="C195" s="18" t="s">
        <v>441</v>
      </c>
      <c r="D195" s="18" t="s">
        <v>20</v>
      </c>
      <c r="E195" s="21">
        <v>12969</v>
      </c>
      <c r="F195" s="19">
        <v>80.634757500000006</v>
      </c>
      <c r="G195" s="20">
        <v>0.24158045258327901</v>
      </c>
      <c r="H195" s="22"/>
    </row>
    <row r="196" spans="2:8" x14ac:dyDescent="0.2">
      <c r="B196" s="18" t="s">
        <v>442</v>
      </c>
      <c r="C196" s="18" t="s">
        <v>443</v>
      </c>
      <c r="D196" s="18" t="s">
        <v>51</v>
      </c>
      <c r="E196" s="21">
        <v>10565</v>
      </c>
      <c r="F196" s="19">
        <v>80.008745000000005</v>
      </c>
      <c r="G196" s="20">
        <v>0.239704929077516</v>
      </c>
      <c r="H196" s="22"/>
    </row>
    <row r="197" spans="2:8" x14ac:dyDescent="0.2">
      <c r="B197" s="18" t="s">
        <v>444</v>
      </c>
      <c r="C197" s="18" t="s">
        <v>445</v>
      </c>
      <c r="D197" s="18" t="s">
        <v>46</v>
      </c>
      <c r="E197" s="21">
        <v>11188</v>
      </c>
      <c r="F197" s="19">
        <v>79.110348000000002</v>
      </c>
      <c r="G197" s="20">
        <v>0.23701334593659201</v>
      </c>
      <c r="H197" s="22"/>
    </row>
    <row r="198" spans="2:8" x14ac:dyDescent="0.2">
      <c r="B198" s="18" t="s">
        <v>446</v>
      </c>
      <c r="C198" s="18" t="s">
        <v>447</v>
      </c>
      <c r="D198" s="18" t="s">
        <v>51</v>
      </c>
      <c r="E198" s="21">
        <v>23409</v>
      </c>
      <c r="F198" s="19">
        <v>78.291400499999995</v>
      </c>
      <c r="G198" s="20">
        <v>0.23455979223560999</v>
      </c>
      <c r="H198" s="22"/>
    </row>
    <row r="199" spans="2:8" x14ac:dyDescent="0.2">
      <c r="B199" s="18" t="s">
        <v>448</v>
      </c>
      <c r="C199" s="18" t="s">
        <v>449</v>
      </c>
      <c r="D199" s="18" t="s">
        <v>50</v>
      </c>
      <c r="E199" s="21">
        <v>22805</v>
      </c>
      <c r="F199" s="19">
        <v>77.673829999999995</v>
      </c>
      <c r="G199" s="20">
        <v>0.23270956082774399</v>
      </c>
      <c r="H199" s="22"/>
    </row>
    <row r="200" spans="2:8" x14ac:dyDescent="0.2">
      <c r="B200" s="18" t="s">
        <v>450</v>
      </c>
      <c r="C200" s="18" t="s">
        <v>451</v>
      </c>
      <c r="D200" s="18" t="s">
        <v>24</v>
      </c>
      <c r="E200" s="21">
        <v>10709</v>
      </c>
      <c r="F200" s="19">
        <v>76.938810500000002</v>
      </c>
      <c r="G200" s="20">
        <v>0.23050745408156201</v>
      </c>
      <c r="H200" s="22"/>
    </row>
    <row r="201" spans="2:8" x14ac:dyDescent="0.2">
      <c r="B201" s="18" t="s">
        <v>452</v>
      </c>
      <c r="C201" s="18" t="s">
        <v>453</v>
      </c>
      <c r="D201" s="18" t="s">
        <v>53</v>
      </c>
      <c r="E201" s="21">
        <v>3303</v>
      </c>
      <c r="F201" s="19">
        <v>76.814567999999994</v>
      </c>
      <c r="G201" s="20">
        <v>0.23013522552516</v>
      </c>
      <c r="H201" s="22"/>
    </row>
    <row r="202" spans="2:8" x14ac:dyDescent="0.2">
      <c r="B202" s="18" t="s">
        <v>454</v>
      </c>
      <c r="C202" s="18" t="s">
        <v>455</v>
      </c>
      <c r="D202" s="18" t="s">
        <v>13</v>
      </c>
      <c r="E202" s="21">
        <v>9319</v>
      </c>
      <c r="F202" s="19">
        <v>75.973147499999996</v>
      </c>
      <c r="G202" s="20">
        <v>0.227614343073162</v>
      </c>
      <c r="H202" s="22"/>
    </row>
    <row r="203" spans="2:8" x14ac:dyDescent="0.2">
      <c r="B203" s="18" t="s">
        <v>456</v>
      </c>
      <c r="C203" s="18" t="s">
        <v>457</v>
      </c>
      <c r="D203" s="18" t="s">
        <v>48</v>
      </c>
      <c r="E203" s="21">
        <v>14741</v>
      </c>
      <c r="F203" s="19">
        <v>74.685276500000001</v>
      </c>
      <c r="G203" s="20">
        <v>0.22375590201505</v>
      </c>
      <c r="H203" s="22"/>
    </row>
    <row r="204" spans="2:8" x14ac:dyDescent="0.2">
      <c r="B204" s="18" t="s">
        <v>458</v>
      </c>
      <c r="C204" s="18" t="s">
        <v>459</v>
      </c>
      <c r="D204" s="18" t="s">
        <v>17</v>
      </c>
      <c r="E204" s="21">
        <v>10993</v>
      </c>
      <c r="F204" s="19">
        <v>74.384134500000002</v>
      </c>
      <c r="G204" s="20">
        <v>0.222853685366704</v>
      </c>
      <c r="H204" s="22"/>
    </row>
    <row r="205" spans="2:8" x14ac:dyDescent="0.2">
      <c r="B205" s="18" t="s">
        <v>460</v>
      </c>
      <c r="C205" s="18" t="s">
        <v>461</v>
      </c>
      <c r="D205" s="18" t="s">
        <v>47</v>
      </c>
      <c r="E205" s="21">
        <v>5729</v>
      </c>
      <c r="F205" s="19">
        <v>71.921865999999994</v>
      </c>
      <c r="G205" s="20">
        <v>0.215476768053949</v>
      </c>
      <c r="H205" s="22"/>
    </row>
    <row r="206" spans="2:8" x14ac:dyDescent="0.2">
      <c r="B206" s="18" t="s">
        <v>462</v>
      </c>
      <c r="C206" s="18" t="s">
        <v>463</v>
      </c>
      <c r="D206" s="18" t="s">
        <v>10</v>
      </c>
      <c r="E206" s="21">
        <v>94067</v>
      </c>
      <c r="F206" s="19">
        <v>71.378039599999994</v>
      </c>
      <c r="G206" s="20">
        <v>0.213847472798256</v>
      </c>
      <c r="H206" s="22"/>
    </row>
    <row r="207" spans="2:8" x14ac:dyDescent="0.2">
      <c r="B207" s="18" t="s">
        <v>464</v>
      </c>
      <c r="C207" s="18" t="s">
        <v>465</v>
      </c>
      <c r="D207" s="18" t="s">
        <v>20</v>
      </c>
      <c r="E207" s="21">
        <v>13485</v>
      </c>
      <c r="F207" s="19">
        <v>70.135485000000003</v>
      </c>
      <c r="G207" s="20">
        <v>0.21012479895469099</v>
      </c>
      <c r="H207" s="22"/>
    </row>
    <row r="208" spans="2:8" x14ac:dyDescent="0.2">
      <c r="B208" s="18" t="s">
        <v>466</v>
      </c>
      <c r="C208" s="18" t="s">
        <v>467</v>
      </c>
      <c r="D208" s="18" t="s">
        <v>468</v>
      </c>
      <c r="E208" s="21">
        <v>3024</v>
      </c>
      <c r="F208" s="19">
        <v>69.285888</v>
      </c>
      <c r="G208" s="20">
        <v>0.207579419838577</v>
      </c>
      <c r="H208" s="22"/>
    </row>
    <row r="209" spans="2:8" x14ac:dyDescent="0.2">
      <c r="B209" s="18" t="s">
        <v>469</v>
      </c>
      <c r="C209" s="18" t="s">
        <v>470</v>
      </c>
      <c r="D209" s="18" t="s">
        <v>57</v>
      </c>
      <c r="E209" s="21">
        <v>53311</v>
      </c>
      <c r="F209" s="19">
        <v>68.749865600000007</v>
      </c>
      <c r="G209" s="20">
        <v>0.20597350524291699</v>
      </c>
      <c r="H209" s="22"/>
    </row>
    <row r="210" spans="2:8" x14ac:dyDescent="0.2">
      <c r="B210" s="18" t="s">
        <v>471</v>
      </c>
      <c r="C210" s="18" t="s">
        <v>472</v>
      </c>
      <c r="D210" s="18" t="s">
        <v>22</v>
      </c>
      <c r="E210" s="21">
        <v>7049</v>
      </c>
      <c r="F210" s="19">
        <v>66.965500000000006</v>
      </c>
      <c r="G210" s="20">
        <v>0.20062757425004399</v>
      </c>
      <c r="H210" s="22"/>
    </row>
    <row r="211" spans="2:8" x14ac:dyDescent="0.2">
      <c r="B211" s="18" t="s">
        <v>473</v>
      </c>
      <c r="C211" s="18" t="s">
        <v>474</v>
      </c>
      <c r="D211" s="18" t="s">
        <v>51</v>
      </c>
      <c r="E211" s="21">
        <v>8065</v>
      </c>
      <c r="F211" s="19">
        <v>66.056382499999998</v>
      </c>
      <c r="G211" s="20">
        <v>0.19790387266141601</v>
      </c>
      <c r="H211" s="22"/>
    </row>
    <row r="212" spans="2:8" x14ac:dyDescent="0.2">
      <c r="B212" s="18" t="s">
        <v>475</v>
      </c>
      <c r="C212" s="18" t="s">
        <v>476</v>
      </c>
      <c r="D212" s="18" t="s">
        <v>31</v>
      </c>
      <c r="E212" s="21">
        <v>111220</v>
      </c>
      <c r="F212" s="19">
        <v>65.275018000000003</v>
      </c>
      <c r="G212" s="20">
        <v>0.195562917031426</v>
      </c>
      <c r="H212" s="22"/>
    </row>
    <row r="213" spans="2:8" x14ac:dyDescent="0.2">
      <c r="B213" s="18" t="s">
        <v>477</v>
      </c>
      <c r="C213" s="18" t="s">
        <v>478</v>
      </c>
      <c r="D213" s="18" t="s">
        <v>53</v>
      </c>
      <c r="E213" s="21">
        <v>22788</v>
      </c>
      <c r="F213" s="19">
        <v>64.656392400000001</v>
      </c>
      <c r="G213" s="20">
        <v>0.19370952456072199</v>
      </c>
      <c r="H213" s="22"/>
    </row>
    <row r="214" spans="2:8" x14ac:dyDescent="0.2">
      <c r="B214" s="18" t="s">
        <v>479</v>
      </c>
      <c r="C214" s="18" t="s">
        <v>480</v>
      </c>
      <c r="D214" s="18" t="s">
        <v>31</v>
      </c>
      <c r="E214" s="21">
        <v>69243</v>
      </c>
      <c r="F214" s="19">
        <v>63.918213299999998</v>
      </c>
      <c r="G214" s="20">
        <v>0.19149795170313</v>
      </c>
      <c r="H214" s="22"/>
    </row>
    <row r="215" spans="2:8" x14ac:dyDescent="0.2">
      <c r="B215" s="18" t="s">
        <v>481</v>
      </c>
      <c r="C215" s="18" t="s">
        <v>482</v>
      </c>
      <c r="D215" s="18" t="s">
        <v>25</v>
      </c>
      <c r="E215" s="21">
        <v>5552</v>
      </c>
      <c r="F215" s="19">
        <v>63.403840000000002</v>
      </c>
      <c r="G215" s="20">
        <v>0.18995689746717201</v>
      </c>
      <c r="H215" s="22"/>
    </row>
    <row r="216" spans="2:8" x14ac:dyDescent="0.2">
      <c r="B216" s="18" t="s">
        <v>483</v>
      </c>
      <c r="C216" s="18" t="s">
        <v>484</v>
      </c>
      <c r="D216" s="18" t="s">
        <v>18</v>
      </c>
      <c r="E216" s="21">
        <v>6906</v>
      </c>
      <c r="F216" s="19">
        <v>61.301108999999997</v>
      </c>
      <c r="G216" s="20">
        <v>0.18365714879314801</v>
      </c>
      <c r="H216" s="22"/>
    </row>
    <row r="217" spans="2:8" x14ac:dyDescent="0.2">
      <c r="B217" s="18" t="s">
        <v>485</v>
      </c>
      <c r="C217" s="18" t="s">
        <v>486</v>
      </c>
      <c r="D217" s="18" t="s">
        <v>51</v>
      </c>
      <c r="E217" s="21">
        <v>4546</v>
      </c>
      <c r="F217" s="19">
        <v>61.089148000000002</v>
      </c>
      <c r="G217" s="20">
        <v>0.18302211700415799</v>
      </c>
      <c r="H217" s="22"/>
    </row>
    <row r="218" spans="2:8" x14ac:dyDescent="0.2">
      <c r="B218" s="18" t="s">
        <v>487</v>
      </c>
      <c r="C218" s="18" t="s">
        <v>488</v>
      </c>
      <c r="D218" s="18" t="s">
        <v>48</v>
      </c>
      <c r="E218" s="21">
        <v>17976</v>
      </c>
      <c r="F218" s="19">
        <v>60.075792</v>
      </c>
      <c r="G218" s="20">
        <v>0.179986118525363</v>
      </c>
      <c r="H218" s="22"/>
    </row>
    <row r="219" spans="2:8" x14ac:dyDescent="0.2">
      <c r="B219" s="18" t="s">
        <v>489</v>
      </c>
      <c r="C219" s="18" t="s">
        <v>490</v>
      </c>
      <c r="D219" s="18" t="s">
        <v>10</v>
      </c>
      <c r="E219" s="21">
        <v>163372</v>
      </c>
      <c r="F219" s="19">
        <v>59.500082399999997</v>
      </c>
      <c r="G219" s="20">
        <v>0.178261301708936</v>
      </c>
      <c r="H219" s="22"/>
    </row>
    <row r="220" spans="2:8" x14ac:dyDescent="0.2">
      <c r="B220" s="18" t="s">
        <v>491</v>
      </c>
      <c r="C220" s="18" t="s">
        <v>492</v>
      </c>
      <c r="D220" s="18" t="s">
        <v>126</v>
      </c>
      <c r="E220" s="21">
        <v>17048</v>
      </c>
      <c r="F220" s="19">
        <v>58.977556</v>
      </c>
      <c r="G220" s="20">
        <v>0.176695820914891</v>
      </c>
      <c r="H220" s="22"/>
    </row>
    <row r="221" spans="2:8" x14ac:dyDescent="0.2">
      <c r="B221" s="18" t="s">
        <v>493</v>
      </c>
      <c r="C221" s="18" t="s">
        <v>494</v>
      </c>
      <c r="D221" s="18" t="s">
        <v>47</v>
      </c>
      <c r="E221" s="21">
        <v>13538</v>
      </c>
      <c r="F221" s="19">
        <v>57.976484999999997</v>
      </c>
      <c r="G221" s="20">
        <v>0.17369662810094899</v>
      </c>
      <c r="H221" s="22"/>
    </row>
    <row r="222" spans="2:8" x14ac:dyDescent="0.2">
      <c r="B222" s="18" t="s">
        <v>495</v>
      </c>
      <c r="C222" s="18" t="s">
        <v>496</v>
      </c>
      <c r="D222" s="18" t="s">
        <v>54</v>
      </c>
      <c r="E222" s="21">
        <v>29697</v>
      </c>
      <c r="F222" s="19">
        <v>57.5260587</v>
      </c>
      <c r="G222" s="20">
        <v>0.172347158061191</v>
      </c>
      <c r="H222" s="22"/>
    </row>
    <row r="223" spans="2:8" x14ac:dyDescent="0.2">
      <c r="B223" s="18" t="s">
        <v>497</v>
      </c>
      <c r="C223" s="18" t="s">
        <v>498</v>
      </c>
      <c r="D223" s="18" t="s">
        <v>499</v>
      </c>
      <c r="E223" s="21">
        <v>13793</v>
      </c>
      <c r="F223" s="19">
        <v>57.261639500000001</v>
      </c>
      <c r="G223" s="20">
        <v>0.171554962338301</v>
      </c>
      <c r="H223" s="22"/>
    </row>
    <row r="224" spans="2:8" x14ac:dyDescent="0.2">
      <c r="B224" s="18" t="s">
        <v>500</v>
      </c>
      <c r="C224" s="18" t="s">
        <v>501</v>
      </c>
      <c r="D224" s="18" t="s">
        <v>52</v>
      </c>
      <c r="E224" s="21">
        <v>6574</v>
      </c>
      <c r="F224" s="19">
        <v>57.144494999999999</v>
      </c>
      <c r="G224" s="20">
        <v>0.171203999277147</v>
      </c>
      <c r="H224" s="22"/>
    </row>
    <row r="225" spans="2:8" x14ac:dyDescent="0.2">
      <c r="B225" s="18" t="s">
        <v>502</v>
      </c>
      <c r="C225" s="18" t="s">
        <v>503</v>
      </c>
      <c r="D225" s="18" t="s">
        <v>25</v>
      </c>
      <c r="E225" s="21">
        <v>3337</v>
      </c>
      <c r="F225" s="19">
        <v>57.029330000000002</v>
      </c>
      <c r="G225" s="20">
        <v>0.17085896676654799</v>
      </c>
      <c r="H225" s="22"/>
    </row>
    <row r="226" spans="2:8" x14ac:dyDescent="0.2">
      <c r="B226" s="18" t="s">
        <v>504</v>
      </c>
      <c r="C226" s="18" t="s">
        <v>505</v>
      </c>
      <c r="D226" s="18" t="s">
        <v>47</v>
      </c>
      <c r="E226" s="21">
        <v>20348</v>
      </c>
      <c r="F226" s="19">
        <v>56.630518799999997</v>
      </c>
      <c r="G226" s="20">
        <v>0.16966413474648201</v>
      </c>
      <c r="H226" s="22"/>
    </row>
    <row r="227" spans="2:8" x14ac:dyDescent="0.2">
      <c r="B227" s="18" t="s">
        <v>506</v>
      </c>
      <c r="C227" s="18" t="s">
        <v>507</v>
      </c>
      <c r="D227" s="18" t="s">
        <v>57</v>
      </c>
      <c r="E227" s="21">
        <v>209591</v>
      </c>
      <c r="F227" s="19">
        <v>54.430782700000002</v>
      </c>
      <c r="G227" s="20">
        <v>0.16307376033378801</v>
      </c>
      <c r="H227" s="22"/>
    </row>
    <row r="228" spans="2:8" x14ac:dyDescent="0.2">
      <c r="B228" s="18" t="s">
        <v>508</v>
      </c>
      <c r="C228" s="18" t="s">
        <v>509</v>
      </c>
      <c r="D228" s="18" t="s">
        <v>21</v>
      </c>
      <c r="E228" s="21">
        <v>992</v>
      </c>
      <c r="F228" s="19">
        <v>54.219743999999999</v>
      </c>
      <c r="G228" s="20">
        <v>0.16244149174094699</v>
      </c>
      <c r="H228" s="22"/>
    </row>
    <row r="229" spans="2:8" x14ac:dyDescent="0.2">
      <c r="B229" s="18" t="s">
        <v>510</v>
      </c>
      <c r="C229" s="18" t="s">
        <v>511</v>
      </c>
      <c r="D229" s="18" t="s">
        <v>16</v>
      </c>
      <c r="E229" s="21">
        <v>10668</v>
      </c>
      <c r="F229" s="19">
        <v>53.953409999999998</v>
      </c>
      <c r="G229" s="20">
        <v>0.16164355930767499</v>
      </c>
      <c r="H229" s="22"/>
    </row>
    <row r="230" spans="2:8" x14ac:dyDescent="0.2">
      <c r="B230" s="18" t="s">
        <v>512</v>
      </c>
      <c r="C230" s="18" t="s">
        <v>513</v>
      </c>
      <c r="D230" s="18" t="s">
        <v>23</v>
      </c>
      <c r="E230" s="21">
        <v>81692</v>
      </c>
      <c r="F230" s="19">
        <v>52.446263999999999</v>
      </c>
      <c r="G230" s="20">
        <v>0.15712817383275601</v>
      </c>
      <c r="H230" s="22"/>
    </row>
    <row r="231" spans="2:8" x14ac:dyDescent="0.2">
      <c r="B231" s="18" t="s">
        <v>514</v>
      </c>
      <c r="C231" s="18" t="s">
        <v>515</v>
      </c>
      <c r="D231" s="18" t="s">
        <v>29</v>
      </c>
      <c r="E231" s="21">
        <v>42488</v>
      </c>
      <c r="F231" s="19">
        <v>52.035053599999998</v>
      </c>
      <c r="G231" s="20">
        <v>0.15589619400645199</v>
      </c>
      <c r="H231" s="22"/>
    </row>
    <row r="232" spans="2:8" x14ac:dyDescent="0.2">
      <c r="B232" s="18" t="s">
        <v>516</v>
      </c>
      <c r="C232" s="18" t="s">
        <v>517</v>
      </c>
      <c r="D232" s="18" t="s">
        <v>15</v>
      </c>
      <c r="E232" s="21">
        <v>16920</v>
      </c>
      <c r="F232" s="19">
        <v>51.242220000000003</v>
      </c>
      <c r="G232" s="20">
        <v>0.153520877135049</v>
      </c>
      <c r="H232" s="22"/>
    </row>
    <row r="233" spans="2:8" x14ac:dyDescent="0.2">
      <c r="B233" s="18" t="s">
        <v>518</v>
      </c>
      <c r="C233" s="18" t="s">
        <v>519</v>
      </c>
      <c r="D233" s="18" t="s">
        <v>10</v>
      </c>
      <c r="E233" s="21">
        <v>190765</v>
      </c>
      <c r="F233" s="19">
        <v>51.105943500000002</v>
      </c>
      <c r="G233" s="20">
        <v>0.153112594905807</v>
      </c>
      <c r="H233" s="22"/>
    </row>
    <row r="234" spans="2:8" x14ac:dyDescent="0.2">
      <c r="B234" s="18" t="s">
        <v>520</v>
      </c>
      <c r="C234" s="18" t="s">
        <v>521</v>
      </c>
      <c r="D234" s="18" t="s">
        <v>29</v>
      </c>
      <c r="E234" s="21">
        <v>16815</v>
      </c>
      <c r="F234" s="19">
        <v>49.890104999999998</v>
      </c>
      <c r="G234" s="20">
        <v>0.149469962073456</v>
      </c>
      <c r="H234" s="22"/>
    </row>
    <row r="235" spans="2:8" x14ac:dyDescent="0.2">
      <c r="B235" s="18" t="s">
        <v>522</v>
      </c>
      <c r="C235" s="18" t="s">
        <v>523</v>
      </c>
      <c r="D235" s="18" t="s">
        <v>14</v>
      </c>
      <c r="E235" s="21">
        <v>29564</v>
      </c>
      <c r="F235" s="19">
        <v>49.534481999999997</v>
      </c>
      <c r="G235" s="20">
        <v>0.14840452121454301</v>
      </c>
      <c r="H235" s="22"/>
    </row>
    <row r="236" spans="2:8" x14ac:dyDescent="0.2">
      <c r="B236" s="18" t="s">
        <v>524</v>
      </c>
      <c r="C236" s="18" t="s">
        <v>525</v>
      </c>
      <c r="D236" s="18" t="s">
        <v>13</v>
      </c>
      <c r="E236" s="21">
        <v>22478</v>
      </c>
      <c r="F236" s="19">
        <v>49.206589800000003</v>
      </c>
      <c r="G236" s="20">
        <v>0.14742216139192499</v>
      </c>
      <c r="H236" s="22"/>
    </row>
    <row r="237" spans="2:8" x14ac:dyDescent="0.2">
      <c r="B237" s="18" t="s">
        <v>526</v>
      </c>
      <c r="C237" s="18" t="s">
        <v>527</v>
      </c>
      <c r="D237" s="18" t="s">
        <v>499</v>
      </c>
      <c r="E237" s="21">
        <v>16130</v>
      </c>
      <c r="F237" s="19">
        <v>48.209344000000002</v>
      </c>
      <c r="G237" s="20">
        <v>0.14443442881641899</v>
      </c>
      <c r="H237" s="22"/>
    </row>
    <row r="238" spans="2:8" x14ac:dyDescent="0.2">
      <c r="B238" s="18" t="s">
        <v>528</v>
      </c>
      <c r="C238" s="18" t="s">
        <v>529</v>
      </c>
      <c r="D238" s="18" t="s">
        <v>30</v>
      </c>
      <c r="E238" s="21">
        <v>8983</v>
      </c>
      <c r="F238" s="19">
        <v>47.771594</v>
      </c>
      <c r="G238" s="20">
        <v>0.14312293677009799</v>
      </c>
      <c r="H238" s="22"/>
    </row>
    <row r="239" spans="2:8" x14ac:dyDescent="0.2">
      <c r="B239" s="18" t="s">
        <v>530</v>
      </c>
      <c r="C239" s="18" t="s">
        <v>531</v>
      </c>
      <c r="D239" s="18" t="s">
        <v>27</v>
      </c>
      <c r="E239" s="21">
        <v>33587</v>
      </c>
      <c r="F239" s="19">
        <v>47.458430999999997</v>
      </c>
      <c r="G239" s="20">
        <v>0.142184705396706</v>
      </c>
      <c r="H239" s="22"/>
    </row>
    <row r="240" spans="2:8" x14ac:dyDescent="0.2">
      <c r="B240" s="18" t="s">
        <v>532</v>
      </c>
      <c r="C240" s="18" t="s">
        <v>533</v>
      </c>
      <c r="D240" s="18" t="s">
        <v>11</v>
      </c>
      <c r="E240" s="21">
        <v>14663</v>
      </c>
      <c r="F240" s="19">
        <v>47.442136499999997</v>
      </c>
      <c r="G240" s="20">
        <v>0.14213588733354501</v>
      </c>
      <c r="H240" s="22"/>
    </row>
    <row r="241" spans="2:8" x14ac:dyDescent="0.2">
      <c r="B241" s="18" t="s">
        <v>534</v>
      </c>
      <c r="C241" s="18" t="s">
        <v>535</v>
      </c>
      <c r="D241" s="18" t="s">
        <v>53</v>
      </c>
      <c r="E241" s="21">
        <v>2796</v>
      </c>
      <c r="F241" s="19">
        <v>46.508664000000003</v>
      </c>
      <c r="G241" s="20">
        <v>0.13933921855179701</v>
      </c>
      <c r="H241" s="22"/>
    </row>
    <row r="242" spans="2:8" x14ac:dyDescent="0.2">
      <c r="B242" s="18" t="s">
        <v>536</v>
      </c>
      <c r="C242" s="18" t="s">
        <v>537</v>
      </c>
      <c r="D242" s="18" t="s">
        <v>26</v>
      </c>
      <c r="E242" s="21">
        <v>24212</v>
      </c>
      <c r="F242" s="19">
        <v>45.9107944</v>
      </c>
      <c r="G242" s="20">
        <v>0.13754801072738199</v>
      </c>
      <c r="H242" s="22"/>
    </row>
    <row r="243" spans="2:8" x14ac:dyDescent="0.2">
      <c r="B243" s="18" t="s">
        <v>538</v>
      </c>
      <c r="C243" s="18" t="s">
        <v>539</v>
      </c>
      <c r="D243" s="18" t="s">
        <v>29</v>
      </c>
      <c r="E243" s="21">
        <v>11541</v>
      </c>
      <c r="F243" s="19">
        <v>45.690818999999998</v>
      </c>
      <c r="G243" s="20">
        <v>0.13688896792330099</v>
      </c>
      <c r="H243" s="22"/>
    </row>
    <row r="244" spans="2:8" x14ac:dyDescent="0.2">
      <c r="B244" s="18" t="s">
        <v>540</v>
      </c>
      <c r="C244" s="18" t="s">
        <v>541</v>
      </c>
      <c r="D244" s="18" t="s">
        <v>48</v>
      </c>
      <c r="E244" s="21">
        <v>17349</v>
      </c>
      <c r="F244" s="19">
        <v>45.523775999999998</v>
      </c>
      <c r="G244" s="20">
        <v>0.136388509748787</v>
      </c>
      <c r="H244" s="22"/>
    </row>
    <row r="245" spans="2:8" x14ac:dyDescent="0.2">
      <c r="B245" s="18" t="s">
        <v>542</v>
      </c>
      <c r="C245" s="18" t="s">
        <v>543</v>
      </c>
      <c r="D245" s="18" t="s">
        <v>46</v>
      </c>
      <c r="E245" s="21">
        <v>5086</v>
      </c>
      <c r="F245" s="19">
        <v>43.833691000000002</v>
      </c>
      <c r="G245" s="20">
        <v>0.131325041935863</v>
      </c>
      <c r="H245" s="22"/>
    </row>
    <row r="246" spans="2:8" x14ac:dyDescent="0.2">
      <c r="B246" s="18" t="s">
        <v>544</v>
      </c>
      <c r="C246" s="18" t="s">
        <v>545</v>
      </c>
      <c r="D246" s="18" t="s">
        <v>17</v>
      </c>
      <c r="E246" s="21">
        <v>2896</v>
      </c>
      <c r="F246" s="19">
        <v>43.471856000000002</v>
      </c>
      <c r="G246" s="20">
        <v>0.13024099002362799</v>
      </c>
      <c r="H246" s="22"/>
    </row>
    <row r="247" spans="2:8" x14ac:dyDescent="0.2">
      <c r="B247" s="18" t="s">
        <v>546</v>
      </c>
      <c r="C247" s="18" t="s">
        <v>547</v>
      </c>
      <c r="D247" s="18" t="s">
        <v>20</v>
      </c>
      <c r="E247" s="21">
        <v>6761</v>
      </c>
      <c r="F247" s="19">
        <v>42.6044415</v>
      </c>
      <c r="G247" s="20">
        <v>0.127642229960546</v>
      </c>
      <c r="H247" s="22"/>
    </row>
    <row r="248" spans="2:8" x14ac:dyDescent="0.2">
      <c r="B248" s="18" t="s">
        <v>548</v>
      </c>
      <c r="C248" s="18" t="s">
        <v>549</v>
      </c>
      <c r="D248" s="18" t="s">
        <v>241</v>
      </c>
      <c r="E248" s="21">
        <v>12269</v>
      </c>
      <c r="F248" s="19">
        <v>42.186956500000001</v>
      </c>
      <c r="G248" s="20">
        <v>0.12639145153231399</v>
      </c>
      <c r="H248" s="22"/>
    </row>
    <row r="249" spans="2:8" x14ac:dyDescent="0.2">
      <c r="B249" s="18" t="s">
        <v>550</v>
      </c>
      <c r="C249" s="18" t="s">
        <v>551</v>
      </c>
      <c r="D249" s="18" t="s">
        <v>28</v>
      </c>
      <c r="E249" s="21">
        <v>8990</v>
      </c>
      <c r="F249" s="19">
        <v>41.259605000000001</v>
      </c>
      <c r="G249" s="20">
        <v>0.123613121169333</v>
      </c>
      <c r="H249" s="22"/>
    </row>
    <row r="250" spans="2:8" x14ac:dyDescent="0.2">
      <c r="B250" s="18" t="s">
        <v>552</v>
      </c>
      <c r="C250" s="18" t="s">
        <v>553</v>
      </c>
      <c r="D250" s="18" t="s">
        <v>46</v>
      </c>
      <c r="E250" s="21">
        <v>10175</v>
      </c>
      <c r="F250" s="19">
        <v>41.096825000000003</v>
      </c>
      <c r="G250" s="20">
        <v>0.123125434875101</v>
      </c>
      <c r="H250" s="22"/>
    </row>
    <row r="251" spans="2:8" x14ac:dyDescent="0.2">
      <c r="B251" s="18" t="s">
        <v>554</v>
      </c>
      <c r="C251" s="18" t="s">
        <v>555</v>
      </c>
      <c r="D251" s="18" t="s">
        <v>47</v>
      </c>
      <c r="E251" s="21">
        <v>3059</v>
      </c>
      <c r="F251" s="19">
        <v>38.537281999999998</v>
      </c>
      <c r="G251" s="20">
        <v>0.115457084705556</v>
      </c>
      <c r="H251" s="22"/>
    </row>
    <row r="252" spans="2:8" x14ac:dyDescent="0.2">
      <c r="B252" s="18" t="s">
        <v>556</v>
      </c>
      <c r="C252" s="18" t="s">
        <v>557</v>
      </c>
      <c r="D252" s="18" t="s">
        <v>11</v>
      </c>
      <c r="E252" s="21">
        <v>84332</v>
      </c>
      <c r="F252" s="19">
        <v>36.203727600000001</v>
      </c>
      <c r="G252" s="20">
        <v>0.108465792791772</v>
      </c>
      <c r="H252" s="22"/>
    </row>
    <row r="253" spans="2:8" x14ac:dyDescent="0.2">
      <c r="B253" s="18" t="s">
        <v>558</v>
      </c>
      <c r="C253" s="18" t="s">
        <v>559</v>
      </c>
      <c r="D253" s="18" t="s">
        <v>16</v>
      </c>
      <c r="E253" s="21">
        <v>12139</v>
      </c>
      <c r="F253" s="19">
        <v>35.488366499999998</v>
      </c>
      <c r="G253" s="20">
        <v>0.106322582299715</v>
      </c>
      <c r="H253" s="22"/>
    </row>
    <row r="254" spans="2:8" x14ac:dyDescent="0.2">
      <c r="B254" s="18" t="s">
        <v>560</v>
      </c>
      <c r="C254" s="18" t="s">
        <v>561</v>
      </c>
      <c r="D254" s="18" t="s">
        <v>16</v>
      </c>
      <c r="E254" s="21">
        <v>2908</v>
      </c>
      <c r="F254" s="19">
        <v>26.744876000000001</v>
      </c>
      <c r="G254" s="20">
        <v>8.0127223652451299E-2</v>
      </c>
      <c r="H254" s="22"/>
    </row>
    <row r="255" spans="2:8" x14ac:dyDescent="0.2">
      <c r="B255" s="18" t="s">
        <v>562</v>
      </c>
      <c r="C255" s="18" t="s">
        <v>563</v>
      </c>
      <c r="D255" s="18" t="s">
        <v>25</v>
      </c>
      <c r="E255" s="21">
        <v>5892</v>
      </c>
      <c r="F255" s="19">
        <v>26.192886000000001</v>
      </c>
      <c r="G255" s="20">
        <v>7.8473470380837101E-2</v>
      </c>
      <c r="H255" s="22"/>
    </row>
    <row r="256" spans="2:8" x14ac:dyDescent="0.2">
      <c r="B256" s="18" t="s">
        <v>564</v>
      </c>
      <c r="C256" s="18" t="s">
        <v>565</v>
      </c>
      <c r="D256" s="18" t="s">
        <v>126</v>
      </c>
      <c r="E256" s="21">
        <v>25380</v>
      </c>
      <c r="F256" s="19">
        <v>16.441164000000001</v>
      </c>
      <c r="G256" s="20">
        <v>4.9257466175376199E-2</v>
      </c>
      <c r="H256" s="22"/>
    </row>
    <row r="257" spans="2:9" ht="10.5" x14ac:dyDescent="0.25">
      <c r="B257" s="17" t="s">
        <v>32</v>
      </c>
      <c r="C257" s="17"/>
      <c r="D257" s="17"/>
      <c r="E257" s="17"/>
      <c r="F257" s="23">
        <f>SUM(F7:F256)</f>
        <v>33459.766275499976</v>
      </c>
      <c r="G257" s="24">
        <f>SUM(G7:G256)</f>
        <v>100.24492825151766</v>
      </c>
      <c r="H257" s="17"/>
      <c r="I257" s="11"/>
    </row>
    <row r="258" spans="2:9" ht="10.5" x14ac:dyDescent="0.25">
      <c r="B258" s="17" t="s">
        <v>33</v>
      </c>
      <c r="C258" s="17"/>
      <c r="D258" s="17"/>
      <c r="E258" s="17"/>
      <c r="F258" s="25" t="s">
        <v>34</v>
      </c>
      <c r="G258" s="26" t="s">
        <v>34</v>
      </c>
      <c r="H258" s="17"/>
      <c r="I258" s="11"/>
    </row>
    <row r="259" spans="2:9" ht="10.5" x14ac:dyDescent="0.25">
      <c r="B259" s="17" t="s">
        <v>32</v>
      </c>
      <c r="C259" s="17"/>
      <c r="D259" s="17"/>
      <c r="E259" s="17"/>
      <c r="F259" s="27" t="s">
        <v>34</v>
      </c>
      <c r="G259" s="28" t="s">
        <v>34</v>
      </c>
      <c r="H259" s="17"/>
      <c r="I259" s="11"/>
    </row>
    <row r="260" spans="2:9" ht="10.5" x14ac:dyDescent="0.25">
      <c r="B260" s="29" t="s">
        <v>35</v>
      </c>
      <c r="C260" s="29"/>
      <c r="D260" s="29"/>
      <c r="E260" s="29"/>
      <c r="F260" s="30">
        <f>F257</f>
        <v>33459.766275499976</v>
      </c>
      <c r="G260" s="31">
        <f>G257</f>
        <v>100.24492825151766</v>
      </c>
      <c r="H260" s="17"/>
      <c r="I260" s="11"/>
    </row>
    <row r="261" spans="2:9" ht="10.5" x14ac:dyDescent="0.25">
      <c r="B261" s="17" t="s">
        <v>36</v>
      </c>
      <c r="C261" s="17"/>
      <c r="D261" s="17"/>
      <c r="E261" s="17"/>
      <c r="F261" s="23">
        <v>304.4099483</v>
      </c>
      <c r="G261" s="24">
        <v>0.912007369541188</v>
      </c>
      <c r="H261" s="22">
        <v>5.2499999999999998E-2</v>
      </c>
      <c r="I261" s="12"/>
    </row>
    <row r="262" spans="2:9" x14ac:dyDescent="0.2">
      <c r="B262" s="18"/>
      <c r="C262" s="18"/>
      <c r="D262" s="18"/>
      <c r="E262" s="18"/>
      <c r="F262" s="19"/>
      <c r="G262" s="20"/>
      <c r="H262" s="18"/>
    </row>
    <row r="263" spans="2:9" ht="10.5" x14ac:dyDescent="0.25">
      <c r="B263" s="36" t="s">
        <v>38</v>
      </c>
      <c r="C263" s="36"/>
      <c r="D263" s="36"/>
      <c r="E263" s="36"/>
      <c r="F263" s="23">
        <f>F264-(F257+F261)</f>
        <v>-386.16213459998107</v>
      </c>
      <c r="G263" s="24">
        <f>G264-(G257+G261)</f>
        <v>-1.1569356210588495</v>
      </c>
      <c r="H263" s="17"/>
      <c r="I263" s="11"/>
    </row>
    <row r="264" spans="2:9" ht="10.5" x14ac:dyDescent="0.25">
      <c r="B264" s="32" t="s">
        <v>37</v>
      </c>
      <c r="C264" s="32"/>
      <c r="D264" s="32"/>
      <c r="E264" s="32"/>
      <c r="F264" s="33">
        <v>33378.014089199998</v>
      </c>
      <c r="G264" s="34">
        <v>100</v>
      </c>
      <c r="H264" s="35"/>
      <c r="I264" s="11"/>
    </row>
    <row r="266" spans="2:9" ht="10.5" x14ac:dyDescent="0.2">
      <c r="B266" s="39" t="s">
        <v>40</v>
      </c>
    </row>
    <row r="267" spans="2:9" ht="10.5" x14ac:dyDescent="0.2">
      <c r="B267" s="39"/>
    </row>
    <row r="268" spans="2:9" x14ac:dyDescent="0.2">
      <c r="B268" s="41" t="s">
        <v>569</v>
      </c>
    </row>
    <row r="269" spans="2:9" x14ac:dyDescent="0.2">
      <c r="B269" s="41" t="s">
        <v>573</v>
      </c>
    </row>
    <row r="270" spans="2:9" x14ac:dyDescent="0.2">
      <c r="B270" s="41" t="s">
        <v>574</v>
      </c>
    </row>
    <row r="271" spans="2:9" ht="10.5" x14ac:dyDescent="0.2">
      <c r="B271" s="39"/>
    </row>
    <row r="272" spans="2:9" ht="10.5" x14ac:dyDescent="0.2">
      <c r="B272" s="45" t="s">
        <v>570</v>
      </c>
      <c r="C272" s="42" t="s">
        <v>575</v>
      </c>
      <c r="D272" s="47" t="s">
        <v>571</v>
      </c>
    </row>
    <row r="273" spans="2:4" x14ac:dyDescent="0.2">
      <c r="B273" s="43" t="s">
        <v>572</v>
      </c>
      <c r="C273" s="48">
        <v>8.4553999999999991</v>
      </c>
      <c r="D273" s="46">
        <v>9.9062000000000001</v>
      </c>
    </row>
    <row r="274" spans="2:4" ht="10.5" x14ac:dyDescent="0.2">
      <c r="B274" s="39"/>
    </row>
    <row r="275" spans="2:4" x14ac:dyDescent="0.2">
      <c r="B275" s="41" t="s">
        <v>576</v>
      </c>
    </row>
    <row r="276" spans="2:4" x14ac:dyDescent="0.2">
      <c r="B276" s="41" t="s">
        <v>577</v>
      </c>
    </row>
    <row r="277" spans="2:4" x14ac:dyDescent="0.2">
      <c r="B277" s="41" t="s">
        <v>578</v>
      </c>
    </row>
    <row r="278" spans="2:4" x14ac:dyDescent="0.2">
      <c r="B278" s="44" t="s">
        <v>580</v>
      </c>
    </row>
    <row r="279" spans="2:4" x14ac:dyDescent="0.2">
      <c r="B279" s="41" t="s">
        <v>579</v>
      </c>
    </row>
    <row r="282" spans="2:4" ht="10.5" x14ac:dyDescent="0.25">
      <c r="B282" s="11" t="s">
        <v>41</v>
      </c>
    </row>
    <row r="300" spans="2:2" ht="10.5" x14ac:dyDescent="0.2">
      <c r="B300" s="39" t="s">
        <v>566</v>
      </c>
    </row>
    <row r="301" spans="2:2" ht="10.5" x14ac:dyDescent="0.25">
      <c r="B301" s="40" t="s">
        <v>567</v>
      </c>
    </row>
  </sheetData>
  <mergeCells count="1">
    <mergeCell ref="B1:C1"/>
  </mergeCells>
  <conditionalFormatting sqref="G1:G3 G5:G318">
    <cfRule type="cellIs" dxfId="0" priority="2" stopIfTrue="1" operator="between">
      <formula>0.009</formula>
      <formula>-0.009</formula>
    </cfRule>
  </conditionalFormatting>
  <hyperlinks>
    <hyperlink ref="A2" location="Index!A1" display="-" xr:uid="{49C21313-52C8-4277-9622-C0A6567987FF}"/>
  </hyperlinks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92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JBNS250</vt:lpstr>
      <vt:lpstr>JBNS250!Print_Area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