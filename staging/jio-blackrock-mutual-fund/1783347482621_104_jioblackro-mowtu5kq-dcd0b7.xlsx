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973FB75A-1727-4C73-A71A-EB05932D33E6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SHORT" sheetId="22" r:id="rId1"/>
  </sheets>
  <definedNames>
    <definedName name="_xlnm.Print_Area" localSheetId="0">JBSHORT!$B$1:$I$105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2" l="1"/>
  <c r="F26" i="22"/>
  <c r="G22" i="22"/>
  <c r="G23" i="22" s="1"/>
  <c r="F22" i="22"/>
  <c r="F23" i="22" s="1"/>
  <c r="G12" i="22"/>
  <c r="G30" i="22" s="1"/>
  <c r="F12" i="22"/>
  <c r="F30" i="22" s="1"/>
  <c r="F15" i="22" l="1"/>
  <c r="G15" i="22"/>
</calcChain>
</file>

<file path=xl/sharedStrings.xml><?xml version="1.0" encoding="utf-8"?>
<sst xmlns="http://schemas.openxmlformats.org/spreadsheetml/2006/main" count="75" uniqueCount="64">
  <si>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</si>
  <si>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</si>
  <si>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</si>
  <si>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</si>
  <si>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</si>
  <si>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</si>
  <si>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</si>
  <si>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Short Duration Fund</t>
  </si>
  <si>
    <t>(a) Listed / awaiting listing on Stock Exchanges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</si>
  <si>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</si>
  <si>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</si>
  <si>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</si>
  <si>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</si>
  <si>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</si>
  <si>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</si>
  <si>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</si>
  <si>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Yield to Call ^</t>
  </si>
  <si>
    <t>Money Market Instruments</t>
  </si>
  <si>
    <t>Certificate of Deposit</t>
  </si>
  <si>
    <t>Union Bank of India (16-Mar-2027)</t>
  </si>
  <si>
    <t>INE692A16LS3</t>
  </si>
  <si>
    <t>ICRA A1+</t>
  </si>
  <si>
    <t>CRISIL A1+</t>
  </si>
  <si>
    <t>Canara Bank (25-Mar-2027) **</t>
  </si>
  <si>
    <t>INE476A16I26</t>
  </si>
  <si>
    <t>National Bank For Agriculture &amp; Rural Development (02-Mar-2027) **</t>
  </si>
  <si>
    <t>INE261F16AM2</t>
  </si>
  <si>
    <t>Canara Bank (12-Mar-2027)</t>
  </si>
  <si>
    <t>INE476A16H92</t>
  </si>
  <si>
    <t>Government Securities</t>
  </si>
  <si>
    <t>5.74% GOI 2026 (15-NOV-2026)</t>
  </si>
  <si>
    <t>IN0020210186</t>
  </si>
  <si>
    <t>SOVEREIGN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</si>
  <si>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</si>
  <si>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</si>
  <si>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</si>
  <si>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Debt Instruments</t>
  </si>
  <si>
    <t>CRISIL AAA</t>
  </si>
  <si>
    <t>(b) Privately Placed / Unlisted</t>
  </si>
  <si>
    <t>Nil</t>
  </si>
  <si>
    <t>7.64% REC Ltd (30-Apr-2027) **</t>
  </si>
  <si>
    <t>INE020B08EX7</t>
  </si>
  <si>
    <t>7.74% LIC Housing Finance Ltd (22-Oct-2027)</t>
  </si>
  <si>
    <t>INE115A07QZ8</t>
  </si>
  <si>
    <t>7.5% Indian Railway Finance Corporation Ltd (07-Sep-2029) **</t>
  </si>
  <si>
    <t>INE053F07BW9</t>
  </si>
  <si>
    <t>6.92% Power Finance Corporation Ltd (16-Feb-2028) **</t>
  </si>
  <si>
    <t>INE134E08OA7</t>
  </si>
  <si>
    <t>7.01% National Bank For Agriculture &amp; Rural Development (16-Mar-2029)</t>
  </si>
  <si>
    <t>INE261F08ES8</t>
  </si>
  <si>
    <t>Benchmark Risk-O-Meter</t>
  </si>
  <si>
    <t>Benchmark Name - NIFTY Short Duration Debt Index A-II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</si>
  <si>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</si>
  <si>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</si>
  <si>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</si>
  <si>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</si>
  <si>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</si>
  <si>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</si>
  <si>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(4) Total outstanding exposure in derivative instruments as on April 30, 2026 is Rs. Nil.</t>
  </si>
  <si>
    <t>(5) Total market value of investments in foreign securities/ American Depository Receipts/ Global Depository Receipts as at April 30, 2026 is Rs. Nil.</t>
  </si>
  <si>
    <t>(7) Repo transactions in corporate debt securities as on April 30, 2026 is Rs. Nil.</t>
  </si>
  <si>
    <t>(6) The average maturity period of the portfolio is 1.45 years.</t>
  </si>
  <si>
    <t>As on March 31, 2026</t>
  </si>
  <si>
    <t>(3) There was no distribution (of income and capital) during the month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</si>
</sst>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%"/>
    <numFmt numFmtId="168" formatCode="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/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165" fontId="6" fillId="2" borderId="1" xfId="0" applyNumberFormat="1" applyFont="1" applyFill="1" applyBorder="1"/>
    <xf numFmtId="10" fontId="5" fillId="2" borderId="1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4" xfId="0" applyFont="1" applyFill="1" applyBorder="1"/>
    <xf numFmtId="4" fontId="6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2" borderId="3" xfId="0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/>
    <xf numFmtId="0" fontId="6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78</xdr:row>
      <xdr:rowOff>63500</xdr:rowOff>
    </xdr:from>
    <xdr:to>
      <xdr:col>5</xdr:col>
      <xdr:colOff>69850</xdr:colOff>
      <xdr:row>98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860D1-F728-4907-A2F1-015AABAC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0" y="11055350"/>
          <a:ext cx="5734050" cy="2578100"/>
        </a:xfrm>
        <a:prstGeom prst="rect">
          <a:avLst/>
        </a:prstGeom>
      </xdr:spPr>
    </xdr:pic>
    <xdr:clientData/>
  </xdr:twoCellAnchor>
  <xdr:twoCellAnchor editAs="oneCell">
    <xdr:from>
      <xdr:col>1</xdr:col>
      <xdr:colOff>1682750</xdr:colOff>
      <xdr:row>53</xdr:row>
      <xdr:rowOff>31750</xdr:rowOff>
    </xdr:from>
    <xdr:to>
      <xdr:col>5</xdr:col>
      <xdr:colOff>31750</xdr:colOff>
      <xdr:row>73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2F7423-20F1-482A-88F0-27DEB2212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4400" y="7835900"/>
          <a:ext cx="5289550" cy="252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CB06-4C3E-4CFB-9CAF-C2519BB1509C}">
  <dimension ref="A1:J383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26953125" style="6" customWidth="1"/>
    <col min="4" max="4" width="17.1796875" style="6" customWidth="1"/>
    <col min="5" max="5" width="13.54296875" style="6" bestFit="1" customWidth="1"/>
    <col min="6" max="6" width="12.7265625" style="8" bestFit="1" customWidth="1"/>
    <col min="7" max="7" width="8.26953125" style="13" customWidth="1"/>
    <col min="8" max="8" width="11.81640625" style="11" bestFit="1" customWidth="1"/>
    <col min="9" max="9" width="12" style="6" customWidth="1"/>
    <col min="10" max="16384" width="9.1796875" style="6"/>
  </cols>
  <sheetData>
    <row r="1" spans="1:10" s="1" customFormat="1" ht="16.75" customHeight="1" x14ac:dyDescent="0.35">
      <c r="B1" s="54" t="s">
        <v>7</v>
      </c>
      <c r="C1" s="55"/>
      <c r="D1" s="10"/>
      <c r="F1" s="5"/>
      <c r="G1" s="13"/>
      <c r="H1" s="12"/>
    </row>
    <row r="2" spans="1:10" s="1" customFormat="1" ht="14.5" x14ac:dyDescent="0.35">
      <c r="A2" s="33" t="s">
        <v>52</v>
      </c>
      <c r="F2" s="5"/>
      <c r="G2" s="13"/>
      <c r="H2" s="12"/>
    </row>
    <row r="3" spans="1:10" s="1" customFormat="1" ht="11.5" x14ac:dyDescent="0.25">
      <c r="B3" s="7" t="s">
        <v>6</v>
      </c>
      <c r="C3" s="2"/>
      <c r="D3" s="3"/>
      <c r="E3" s="3"/>
      <c r="F3" s="4"/>
      <c r="G3" s="13"/>
      <c r="H3" s="12"/>
    </row>
    <row r="4" spans="1:10" s="1" customFormat="1" ht="38.5" customHeight="1" x14ac:dyDescent="0.25">
      <c r="B4" s="35" t="s">
        <v>4</v>
      </c>
      <c r="C4" s="35" t="s">
        <v>5</v>
      </c>
      <c r="D4" s="36" t="s">
        <v>33</v>
      </c>
      <c r="E4" s="36" t="s">
        <v>0</v>
      </c>
      <c r="F4" s="37" t="s">
        <v>1</v>
      </c>
      <c r="G4" s="38" t="s">
        <v>2</v>
      </c>
      <c r="H4" s="39" t="s">
        <v>3</v>
      </c>
      <c r="I4" s="37" t="s">
        <v>16</v>
      </c>
      <c r="J4" s="9"/>
    </row>
    <row r="5" spans="1:10" ht="10.5" x14ac:dyDescent="0.25">
      <c r="B5" s="15" t="s">
        <v>36</v>
      </c>
      <c r="C5" s="16"/>
      <c r="D5" s="16"/>
      <c r="E5" s="16"/>
      <c r="F5" s="17"/>
      <c r="G5" s="18"/>
      <c r="H5" s="19"/>
      <c r="I5" s="16"/>
    </row>
    <row r="6" spans="1:10" ht="10.5" x14ac:dyDescent="0.25">
      <c r="B6" s="15" t="s">
        <v>8</v>
      </c>
      <c r="C6" s="16"/>
      <c r="D6" s="16"/>
      <c r="E6" s="16"/>
      <c r="F6" s="17"/>
      <c r="G6" s="18"/>
      <c r="H6" s="19"/>
      <c r="I6" s="16"/>
    </row>
    <row r="7" spans="1:10" x14ac:dyDescent="0.2">
      <c r="B7" s="16" t="s">
        <v>40</v>
      </c>
      <c r="C7" s="16" t="s">
        <v>41</v>
      </c>
      <c r="D7" s="16" t="s">
        <v>37</v>
      </c>
      <c r="E7" s="20">
        <v>2500</v>
      </c>
      <c r="F7" s="17">
        <v>2506.4675000000002</v>
      </c>
      <c r="G7" s="18">
        <v>11.146035095897901</v>
      </c>
      <c r="H7" s="21">
        <v>7.3599999999999999E-2</v>
      </c>
      <c r="I7" s="30"/>
    </row>
    <row r="8" spans="1:10" x14ac:dyDescent="0.2">
      <c r="B8" s="16" t="s">
        <v>42</v>
      </c>
      <c r="C8" s="16" t="s">
        <v>43</v>
      </c>
      <c r="D8" s="16" t="s">
        <v>37</v>
      </c>
      <c r="E8" s="20">
        <v>2500</v>
      </c>
      <c r="F8" s="17">
        <v>2501.4549999999999</v>
      </c>
      <c r="G8" s="18">
        <v>11.1237449601119</v>
      </c>
      <c r="H8" s="21">
        <v>7.6440999999999995E-2</v>
      </c>
      <c r="I8" s="30"/>
    </row>
    <row r="9" spans="1:10" x14ac:dyDescent="0.2">
      <c r="B9" s="16" t="s">
        <v>44</v>
      </c>
      <c r="C9" s="16" t="s">
        <v>45</v>
      </c>
      <c r="D9" s="16" t="s">
        <v>37</v>
      </c>
      <c r="E9" s="20">
        <v>250</v>
      </c>
      <c r="F9" s="17">
        <v>2498.84</v>
      </c>
      <c r="G9" s="18">
        <v>11.112116290769199</v>
      </c>
      <c r="H9" s="21">
        <v>7.5300000000000006E-2</v>
      </c>
      <c r="I9" s="30"/>
    </row>
    <row r="10" spans="1:10" x14ac:dyDescent="0.2">
      <c r="B10" s="16" t="s">
        <v>46</v>
      </c>
      <c r="C10" s="16" t="s">
        <v>47</v>
      </c>
      <c r="D10" s="16" t="s">
        <v>37</v>
      </c>
      <c r="E10" s="20">
        <v>2500</v>
      </c>
      <c r="F10" s="17">
        <v>2477.4549999999999</v>
      </c>
      <c r="G10" s="18">
        <v>11.0170191229321</v>
      </c>
      <c r="H10" s="21">
        <v>7.4499999999999997E-2</v>
      </c>
      <c r="I10" s="30"/>
    </row>
    <row r="11" spans="1:10" x14ac:dyDescent="0.2">
      <c r="B11" s="16" t="s">
        <v>48</v>
      </c>
      <c r="C11" s="16" t="s">
        <v>49</v>
      </c>
      <c r="D11" s="16" t="s">
        <v>37</v>
      </c>
      <c r="E11" s="20">
        <v>2500</v>
      </c>
      <c r="F11" s="17">
        <v>2456.2775000000001</v>
      </c>
      <c r="G11" s="18">
        <v>10.9228446888956</v>
      </c>
      <c r="H11" s="21">
        <v>7.6999999999999999E-2</v>
      </c>
      <c r="I11" s="30"/>
    </row>
    <row r="12" spans="1:10" ht="10.5" x14ac:dyDescent="0.25">
      <c r="B12" s="15" t="s">
        <v>9</v>
      </c>
      <c r="C12" s="15"/>
      <c r="D12" s="15"/>
      <c r="E12" s="15"/>
      <c r="F12" s="31">
        <f>SUM(F6:F11)</f>
        <v>12440.495000000001</v>
      </c>
      <c r="G12" s="32">
        <f>SUM(G6:G11)</f>
        <v>55.3217601586067</v>
      </c>
      <c r="H12" s="22"/>
      <c r="I12" s="15"/>
    </row>
    <row r="13" spans="1:10" ht="10.5" x14ac:dyDescent="0.25">
      <c r="B13" s="25" t="s">
        <v>38</v>
      </c>
      <c r="C13" s="43"/>
      <c r="D13" s="43"/>
      <c r="E13" s="43"/>
      <c r="F13" s="44"/>
      <c r="G13" s="45"/>
      <c r="H13" s="19"/>
      <c r="I13" s="16"/>
    </row>
    <row r="14" spans="1:10" ht="10.5" x14ac:dyDescent="0.25">
      <c r="B14" s="15" t="s">
        <v>9</v>
      </c>
      <c r="C14" s="15"/>
      <c r="D14" s="15"/>
      <c r="E14" s="15"/>
      <c r="F14" s="23" t="s">
        <v>39</v>
      </c>
      <c r="G14" s="24" t="s">
        <v>39</v>
      </c>
      <c r="H14" s="22"/>
      <c r="I14" s="15"/>
    </row>
    <row r="15" spans="1:10" ht="10.5" x14ac:dyDescent="0.25">
      <c r="B15" s="25" t="s">
        <v>10</v>
      </c>
      <c r="C15" s="25"/>
      <c r="D15" s="25"/>
      <c r="E15" s="25"/>
      <c r="F15" s="46">
        <f>F12</f>
        <v>12440.495000000001</v>
      </c>
      <c r="G15" s="47">
        <f>G12</f>
        <v>55.3217601586067</v>
      </c>
      <c r="H15" s="22"/>
      <c r="I15" s="15"/>
    </row>
    <row r="16" spans="1:10" ht="10.5" x14ac:dyDescent="0.25">
      <c r="B16" s="15" t="s">
        <v>17</v>
      </c>
      <c r="C16" s="16"/>
      <c r="D16" s="16"/>
      <c r="E16" s="16"/>
      <c r="F16" s="17"/>
      <c r="G16" s="18"/>
      <c r="H16" s="19"/>
      <c r="I16" s="16"/>
    </row>
    <row r="17" spans="2:9" ht="10.5" x14ac:dyDescent="0.25">
      <c r="B17" s="15" t="s">
        <v>18</v>
      </c>
      <c r="C17" s="16"/>
      <c r="D17" s="16"/>
      <c r="E17" s="16"/>
      <c r="F17" s="17"/>
      <c r="G17" s="18"/>
      <c r="H17" s="19"/>
      <c r="I17" s="16"/>
    </row>
    <row r="18" spans="2:9" x14ac:dyDescent="0.2">
      <c r="B18" s="16" t="s">
        <v>19</v>
      </c>
      <c r="C18" s="16" t="s">
        <v>20</v>
      </c>
      <c r="D18" s="16" t="s">
        <v>21</v>
      </c>
      <c r="E18" s="20">
        <v>700</v>
      </c>
      <c r="F18" s="17">
        <v>3294.1509999999998</v>
      </c>
      <c r="G18" s="18">
        <v>14.6487926363247</v>
      </c>
      <c r="H18" s="21">
        <v>7.1499999999999994E-2</v>
      </c>
      <c r="I18" s="30"/>
    </row>
    <row r="19" spans="2:9" x14ac:dyDescent="0.2">
      <c r="B19" s="16" t="s">
        <v>23</v>
      </c>
      <c r="C19" s="16" t="s">
        <v>24</v>
      </c>
      <c r="D19" s="16" t="s">
        <v>21</v>
      </c>
      <c r="E19" s="20">
        <v>300</v>
      </c>
      <c r="F19" s="17">
        <v>1408.941</v>
      </c>
      <c r="G19" s="18">
        <v>6.2654336567497797</v>
      </c>
      <c r="H19" s="21">
        <v>7.1919999999999998E-2</v>
      </c>
      <c r="I19" s="30"/>
    </row>
    <row r="20" spans="2:9" x14ac:dyDescent="0.2">
      <c r="B20" s="16" t="s">
        <v>25</v>
      </c>
      <c r="C20" s="16" t="s">
        <v>26</v>
      </c>
      <c r="D20" s="16" t="s">
        <v>22</v>
      </c>
      <c r="E20" s="20">
        <v>200</v>
      </c>
      <c r="F20" s="17">
        <v>942.80499999999995</v>
      </c>
      <c r="G20" s="18">
        <v>4.1925688717639504</v>
      </c>
      <c r="H20" s="21">
        <v>7.2598999999999997E-2</v>
      </c>
      <c r="I20" s="30"/>
    </row>
    <row r="21" spans="2:9" x14ac:dyDescent="0.2">
      <c r="B21" s="16" t="s">
        <v>27</v>
      </c>
      <c r="C21" s="16" t="s">
        <v>28</v>
      </c>
      <c r="D21" s="16" t="s">
        <v>21</v>
      </c>
      <c r="E21" s="20">
        <v>200</v>
      </c>
      <c r="F21" s="17">
        <v>941.67700000000002</v>
      </c>
      <c r="G21" s="18">
        <v>4.1875527574165003</v>
      </c>
      <c r="H21" s="21">
        <v>7.1766999999999997E-2</v>
      </c>
      <c r="I21" s="30"/>
    </row>
    <row r="22" spans="2:9" ht="10.5" x14ac:dyDescent="0.25">
      <c r="B22" s="15" t="s">
        <v>9</v>
      </c>
      <c r="C22" s="15"/>
      <c r="D22" s="15"/>
      <c r="E22" s="15"/>
      <c r="F22" s="31">
        <f>SUM(F17:F21)</f>
        <v>6587.5739999999996</v>
      </c>
      <c r="G22" s="32">
        <f>SUM(G17:G21)</f>
        <v>29.294347922254929</v>
      </c>
      <c r="H22" s="22"/>
      <c r="I22" s="15"/>
    </row>
    <row r="23" spans="2:9" ht="10.5" x14ac:dyDescent="0.25">
      <c r="B23" s="25" t="s">
        <v>10</v>
      </c>
      <c r="C23" s="25"/>
      <c r="D23" s="25"/>
      <c r="E23" s="25"/>
      <c r="F23" s="26">
        <f>+F22</f>
        <v>6587.5739999999996</v>
      </c>
      <c r="G23" s="27">
        <f>+G22</f>
        <v>29.294347922254929</v>
      </c>
      <c r="H23" s="22"/>
      <c r="I23" s="15"/>
    </row>
    <row r="24" spans="2:9" ht="10.5" x14ac:dyDescent="0.25">
      <c r="B24" s="15" t="s">
        <v>29</v>
      </c>
      <c r="C24" s="16"/>
      <c r="D24" s="16"/>
      <c r="E24" s="16"/>
      <c r="F24" s="17"/>
      <c r="G24" s="18"/>
      <c r="H24" s="19"/>
      <c r="I24" s="16"/>
    </row>
    <row r="25" spans="2:9" x14ac:dyDescent="0.2">
      <c r="B25" s="16" t="s">
        <v>30</v>
      </c>
      <c r="C25" s="16" t="s">
        <v>31</v>
      </c>
      <c r="D25" s="16" t="s">
        <v>32</v>
      </c>
      <c r="E25" s="20">
        <v>500000</v>
      </c>
      <c r="F25" s="17">
        <v>500.30200000000002</v>
      </c>
      <c r="G25" s="18">
        <v>2.22479790803109</v>
      </c>
      <c r="H25" s="21">
        <v>5.69811926079999E-2</v>
      </c>
      <c r="I25" s="30"/>
    </row>
    <row r="26" spans="2:9" ht="10.5" x14ac:dyDescent="0.25">
      <c r="B26" s="15" t="s">
        <v>10</v>
      </c>
      <c r="C26" s="15"/>
      <c r="D26" s="15"/>
      <c r="E26" s="15"/>
      <c r="F26" s="26">
        <f>SUM(F25:F25)</f>
        <v>500.30200000000002</v>
      </c>
      <c r="G26" s="27">
        <f>SUM(G25:G25)</f>
        <v>2.22479790803109</v>
      </c>
      <c r="H26" s="22"/>
      <c r="I26" s="15"/>
    </row>
    <row r="27" spans="2:9" ht="10.5" x14ac:dyDescent="0.25">
      <c r="B27" s="15"/>
      <c r="C27" s="16"/>
      <c r="D27" s="16"/>
      <c r="E27" s="16"/>
      <c r="F27" s="17"/>
      <c r="G27" s="18"/>
      <c r="H27" s="19"/>
      <c r="I27" s="16"/>
    </row>
    <row r="28" spans="2:9" ht="10.5" x14ac:dyDescent="0.25">
      <c r="B28" s="15" t="s">
        <v>11</v>
      </c>
      <c r="C28" s="15"/>
      <c r="D28" s="15"/>
      <c r="E28" s="15"/>
      <c r="F28" s="26">
        <v>1786.1245984</v>
      </c>
      <c r="G28" s="27">
        <v>7.9427351279890699</v>
      </c>
      <c r="H28" s="21">
        <v>5.2499999999999998E-2</v>
      </c>
      <c r="I28" s="21"/>
    </row>
    <row r="29" spans="2:9" x14ac:dyDescent="0.2">
      <c r="B29" s="16"/>
      <c r="C29" s="16"/>
      <c r="D29" s="16"/>
      <c r="E29" s="16"/>
      <c r="F29" s="17"/>
      <c r="G29" s="18"/>
      <c r="H29" s="19"/>
      <c r="I29" s="16"/>
    </row>
    <row r="30" spans="2:9" ht="10.5" x14ac:dyDescent="0.25">
      <c r="B30" s="25" t="s">
        <v>13</v>
      </c>
      <c r="C30" s="25"/>
      <c r="D30" s="25"/>
      <c r="E30" s="25"/>
      <c r="F30" s="26">
        <f>F31-(F12+F22+F26+F28)</f>
        <v>1173.0300413000004</v>
      </c>
      <c r="G30" s="27">
        <f>G31-(G12+G22+G26+G28)</f>
        <v>5.2163588831182039</v>
      </c>
      <c r="H30" s="22"/>
      <c r="I30" s="15"/>
    </row>
    <row r="31" spans="2:9" ht="10.5" x14ac:dyDescent="0.25">
      <c r="B31" s="25" t="s">
        <v>12</v>
      </c>
      <c r="C31" s="25"/>
      <c r="D31" s="25"/>
      <c r="E31" s="25"/>
      <c r="F31" s="26">
        <v>22487.525639700001</v>
      </c>
      <c r="G31" s="27">
        <v>100</v>
      </c>
      <c r="H31" s="28"/>
      <c r="I31" s="29"/>
    </row>
    <row r="33" spans="2:9" ht="10.5" x14ac:dyDescent="0.25">
      <c r="B33" s="14" t="s">
        <v>34</v>
      </c>
    </row>
    <row r="34" spans="2:9" ht="40" customHeight="1" x14ac:dyDescent="0.2">
      <c r="B34" s="56" t="s">
        <v>35</v>
      </c>
      <c r="C34" s="56"/>
      <c r="D34" s="56"/>
      <c r="E34" s="56"/>
      <c r="F34" s="56"/>
      <c r="G34" s="56"/>
      <c r="H34" s="56"/>
      <c r="I34" s="56"/>
    </row>
    <row r="35" spans="2:9" ht="10.5" x14ac:dyDescent="0.25">
      <c r="B35" s="14"/>
    </row>
    <row r="36" spans="2:9" ht="10.5" x14ac:dyDescent="0.2">
      <c r="B36" s="57"/>
      <c r="C36" s="57"/>
      <c r="D36" s="57"/>
      <c r="E36" s="57"/>
      <c r="F36" s="57"/>
      <c r="G36" s="57"/>
      <c r="H36" s="57"/>
      <c r="I36" s="57"/>
    </row>
    <row r="37" spans="2:9" ht="10.5" x14ac:dyDescent="0.25">
      <c r="B37" s="14"/>
    </row>
    <row r="38" spans="2:9" ht="10.5" x14ac:dyDescent="0.2">
      <c r="B38" s="34" t="s">
        <v>14</v>
      </c>
    </row>
    <row r="39" spans="2:9" ht="10.5" x14ac:dyDescent="0.2">
      <c r="B39" s="34"/>
    </row>
    <row r="40" spans="2:9" x14ac:dyDescent="0.2">
      <c r="B40" s="40" t="s">
        <v>53</v>
      </c>
    </row>
    <row r="41" spans="2:9" x14ac:dyDescent="0.2">
      <c r="B41" s="40" t="s">
        <v>54</v>
      </c>
    </row>
    <row r="42" spans="2:9" ht="10.5" x14ac:dyDescent="0.2">
      <c r="B42" s="34"/>
    </row>
    <row r="43" spans="2:9" ht="10.5" x14ac:dyDescent="0.2">
      <c r="B43" s="42" t="s">
        <v>55</v>
      </c>
      <c r="C43" s="48" t="s">
        <v>62</v>
      </c>
      <c r="D43" s="48" t="s">
        <v>56</v>
      </c>
    </row>
    <row r="44" spans="2:9" x14ac:dyDescent="0.2">
      <c r="B44" s="41" t="s">
        <v>57</v>
      </c>
      <c r="C44" s="49">
        <v>1007.7134</v>
      </c>
      <c r="D44" s="50">
        <v>1013.4167</v>
      </c>
    </row>
    <row r="45" spans="2:9" ht="10.5" x14ac:dyDescent="0.2">
      <c r="B45" s="34"/>
      <c r="C45" s="51"/>
      <c r="D45" s="51"/>
    </row>
    <row r="46" spans="2:9" x14ac:dyDescent="0.2">
      <c r="B46" s="40" t="s">
        <v>63</v>
      </c>
    </row>
    <row r="47" spans="2:9" x14ac:dyDescent="0.2">
      <c r="B47" s="52" t="s">
        <v>58</v>
      </c>
    </row>
    <row r="48" spans="2:9" x14ac:dyDescent="0.2">
      <c r="B48" s="52" t="s">
        <v>59</v>
      </c>
    </row>
    <row r="49" spans="2:9" x14ac:dyDescent="0.2">
      <c r="B49" s="53" t="s">
        <v>61</v>
      </c>
    </row>
    <row r="50" spans="2:9" x14ac:dyDescent="0.2">
      <c r="B50" s="52" t="s">
        <v>60</v>
      </c>
    </row>
    <row r="51" spans="2:9" ht="10.5" x14ac:dyDescent="0.25">
      <c r="B51" s="14"/>
    </row>
    <row r="53" spans="2:9" ht="10.5" x14ac:dyDescent="0.25">
      <c r="B53" s="14" t="s">
        <v>15</v>
      </c>
      <c r="I53" s="11"/>
    </row>
    <row r="54" spans="2:9" x14ac:dyDescent="0.2">
      <c r="I54" s="11"/>
    </row>
    <row r="55" spans="2:9" x14ac:dyDescent="0.2">
      <c r="I55" s="11"/>
    </row>
    <row r="56" spans="2:9" x14ac:dyDescent="0.2">
      <c r="I56" s="11"/>
    </row>
    <row r="57" spans="2:9" x14ac:dyDescent="0.2">
      <c r="I57" s="11"/>
    </row>
    <row r="58" spans="2:9" x14ac:dyDescent="0.2">
      <c r="I58" s="11"/>
    </row>
    <row r="59" spans="2:9" x14ac:dyDescent="0.2">
      <c r="I59" s="11"/>
    </row>
    <row r="60" spans="2:9" x14ac:dyDescent="0.2">
      <c r="I60" s="11"/>
    </row>
    <row r="61" spans="2:9" x14ac:dyDescent="0.2">
      <c r="I61" s="11"/>
    </row>
    <row r="62" spans="2:9" x14ac:dyDescent="0.2">
      <c r="I62" s="11"/>
    </row>
    <row r="63" spans="2:9" x14ac:dyDescent="0.2">
      <c r="I63" s="11"/>
    </row>
    <row r="64" spans="2:9" x14ac:dyDescent="0.2">
      <c r="I64" s="11"/>
    </row>
    <row r="65" spans="2:9" x14ac:dyDescent="0.2">
      <c r="I65" s="11"/>
    </row>
    <row r="66" spans="2:9" x14ac:dyDescent="0.2">
      <c r="I66" s="11"/>
    </row>
    <row r="67" spans="2:9" x14ac:dyDescent="0.2">
      <c r="I67" s="11"/>
    </row>
    <row r="68" spans="2:9" x14ac:dyDescent="0.2">
      <c r="I68" s="11"/>
    </row>
    <row r="69" spans="2:9" x14ac:dyDescent="0.2">
      <c r="I69" s="11"/>
    </row>
    <row r="70" spans="2:9" x14ac:dyDescent="0.2">
      <c r="I70" s="11"/>
    </row>
    <row r="71" spans="2:9" x14ac:dyDescent="0.2">
      <c r="I71" s="11"/>
    </row>
    <row r="72" spans="2:9" x14ac:dyDescent="0.2">
      <c r="I72" s="11"/>
    </row>
    <row r="73" spans="2:9" x14ac:dyDescent="0.2">
      <c r="I73" s="11"/>
    </row>
    <row r="74" spans="2:9" x14ac:dyDescent="0.2">
      <c r="I74" s="11"/>
    </row>
    <row r="75" spans="2:9" x14ac:dyDescent="0.2">
      <c r="I75" s="11"/>
    </row>
    <row r="76" spans="2:9" ht="10.5" x14ac:dyDescent="0.25">
      <c r="B76" s="14" t="s">
        <v>50</v>
      </c>
      <c r="I76" s="11"/>
    </row>
    <row r="77" spans="2:9" ht="10.5" x14ac:dyDescent="0.25">
      <c r="B77" s="14" t="s">
        <v>51</v>
      </c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9:9" x14ac:dyDescent="0.2">
      <c r="I81" s="11"/>
    </row>
    <row r="82" spans="9:9" x14ac:dyDescent="0.2">
      <c r="I82" s="11"/>
    </row>
    <row r="83" spans="9:9" x14ac:dyDescent="0.2">
      <c r="I83" s="11"/>
    </row>
    <row r="84" spans="9:9" x14ac:dyDescent="0.2">
      <c r="I84" s="11"/>
    </row>
    <row r="85" spans="9:9" x14ac:dyDescent="0.2">
      <c r="I85" s="11"/>
    </row>
    <row r="86" spans="9:9" x14ac:dyDescent="0.2">
      <c r="I86" s="11"/>
    </row>
    <row r="87" spans="9:9" x14ac:dyDescent="0.2">
      <c r="I87" s="11"/>
    </row>
    <row r="88" spans="9:9" x14ac:dyDescent="0.2">
      <c r="I88" s="11"/>
    </row>
    <row r="89" spans="9:9" x14ac:dyDescent="0.2">
      <c r="I89" s="11"/>
    </row>
    <row r="90" spans="9:9" x14ac:dyDescent="0.2">
      <c r="I90" s="11"/>
    </row>
    <row r="91" spans="9:9" x14ac:dyDescent="0.2">
      <c r="I91" s="11"/>
    </row>
    <row r="92" spans="9:9" x14ac:dyDescent="0.2">
      <c r="I92" s="11"/>
    </row>
    <row r="93" spans="9:9" x14ac:dyDescent="0.2">
      <c r="I93" s="11"/>
    </row>
    <row r="94" spans="9:9" x14ac:dyDescent="0.2">
      <c r="I94" s="11"/>
    </row>
    <row r="95" spans="9:9" x14ac:dyDescent="0.2">
      <c r="I95" s="11"/>
    </row>
    <row r="96" spans="9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</sheetData>
  <mergeCells count="3">
    <mergeCell ref="B1:C1"/>
    <mergeCell ref="B34:I34"/>
    <mergeCell ref="B36:I36"/>
  </mergeCells>
  <conditionalFormatting sqref="G1:G3 G5:G33 G35 G37:G179">
    <cfRule type="cellIs" dxfId="0" priority="1" stopIfTrue="1" operator="between">
      <formula>0.009</formula>
      <formula>-0.009</formula>
    </cfRule>
  </conditionalFormatting>
  <hyperlinks>
    <hyperlink ref="A2" location="Index!A1" display="-" xr:uid="{57CBA4DF-F174-4877-A28C-A003D7A7499F}"/>
  </hyperlinks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JBSHORT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