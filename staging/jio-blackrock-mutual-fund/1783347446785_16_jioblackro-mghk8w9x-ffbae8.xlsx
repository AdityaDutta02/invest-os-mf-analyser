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14796CB7-680B-4480-971F-95CAAA4663D4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N50" sheetId="7" r:id="rId1"/>
  </sheets>
  <definedNames>
    <definedName name="_xlnm.Print_Area" localSheetId="0">'JBN50'!$B$1:$H$101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G57" i="7" l="1"/>
  <c r="G63" i="7" s="1"/>
  <c r="G60" i="7"/>
  <c r="F57" i="7"/>
  <c r="F63" i="7" s="1"/>
  <c r="F60" i="7"/>
</calcChain>
</file>

<file path=xl/sharedStrings.xml><?xml version="1.0" encoding="utf-8"?>
<sst xmlns="http://schemas.openxmlformats.org/spreadsheetml/2006/main" count="175" uniqueCount="146">
  <si>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</si>
  <si>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</si>
  <si>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</si>
  <si>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</si>
  <si>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</si>
  <si>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</si>
  <si>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</si>
  <si>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</si>
  <si>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</si>
  <si>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</si>
  <si>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</si>
  <si>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</si>
  <si>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</si>
  <si>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</si>
  <si>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</si>
  <si>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</si>
  <si>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</si>
  <si>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</si>
  <si>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</si>
  <si>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</si>
  <si>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</si>
  <si>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</si>
  <si>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</si>
  <si>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</si>
  <si>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</si>
  <si>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</si>
  <si>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</si>
  <si>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</si>
  <si>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</si>
  <si>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</si>
  <si>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</si>
  <si>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</si>
  <si>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ITC Ltd</t>
  </si>
  <si>
    <t>INE154A01025</t>
  </si>
  <si>
    <t>Diversified Fmcg</t>
  </si>
  <si>
    <t>State Bank of India</t>
  </si>
  <si>
    <t>INE062A01020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</si>
  <si>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</si>
  <si>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</si>
  <si>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</si>
  <si>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</si>
  <si>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</si>
  <si>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</si>
  <si>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</si>
  <si>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</si>
  <si>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</si>
  <si>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Bajaj Finance Ltd</t>
  </si>
  <si>
    <t>INE296A01032</t>
  </si>
  <si>
    <t>Finance</t>
  </si>
  <si>
    <t>Eternal Ltd</t>
  </si>
  <si>
    <t>INE758T01015</t>
  </si>
  <si>
    <t>Retailing</t>
  </si>
  <si>
    <t>Hindustan Unilever Ltd</t>
  </si>
  <si>
    <t>INE030A01027</t>
  </si>
  <si>
    <t>Maruti Suzuki India Ltd</t>
  </si>
  <si>
    <t>INE585B01010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</si>
  <si>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</si>
  <si>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</si>
  <si>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</si>
  <si>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</si>
  <si>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</si>
  <si>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</si>
  <si>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HCL Technologies Ltd</t>
  </si>
  <si>
    <t>INE860A01027</t>
  </si>
  <si>
    <t>Ultratech Cement Ltd</t>
  </si>
  <si>
    <t>INE481G01011</t>
  </si>
  <si>
    <t>Cement &amp; Cement Products</t>
  </si>
  <si>
    <t>Bharat Electronics Ltd</t>
  </si>
  <si>
    <t>INE263A01024</t>
  </si>
  <si>
    <t>Aerospace &amp; Defense</t>
  </si>
  <si>
    <t>Tata Motors Ltd</t>
  </si>
  <si>
    <t>INE155A01022</t>
  </si>
  <si>
    <t>Tata Steel Ltd</t>
  </si>
  <si>
    <t>INE081A01020</t>
  </si>
  <si>
    <t>Ferrous Metals</t>
  </si>
  <si>
    <t>Titan Co Ltd</t>
  </si>
  <si>
    <t>INE280A01028</t>
  </si>
  <si>
    <t>Consumer Durables</t>
  </si>
  <si>
    <t>Power Grid Corporation of India Ltd</t>
  </si>
  <si>
    <t>INE752E01010</t>
  </si>
  <si>
    <t>Interglobe Aviation Ltd</t>
  </si>
  <si>
    <t>INE646L01027</t>
  </si>
  <si>
    <t>Transport Services</t>
  </si>
  <si>
    <t>Bajaj Finserv Ltd</t>
  </si>
  <si>
    <t>INE918I01026</t>
  </si>
  <si>
    <t>Hindalco Industries Ltd</t>
  </si>
  <si>
    <t>INE038A01020</t>
  </si>
  <si>
    <t>Non - Ferrous Metals</t>
  </si>
  <si>
    <t>JSW Steel Ltd</t>
  </si>
  <si>
    <t>INE019A01038</t>
  </si>
  <si>
    <t>Asian Paints Ltd</t>
  </si>
  <si>
    <t>INE021A01026</t>
  </si>
  <si>
    <t>Grasim Industries Ltd</t>
  </si>
  <si>
    <t>INE047A01021</t>
  </si>
  <si>
    <t>Trent Ltd</t>
  </si>
  <si>
    <t>INE849A01020</t>
  </si>
  <si>
    <t>Adani Ports and Special Economic Zone Ltd</t>
  </si>
  <si>
    <t>INE742F01042</t>
  </si>
  <si>
    <t>Transport Infrastructure</t>
  </si>
  <si>
    <t>Eicher Motors Ltd</t>
  </si>
  <si>
    <t>INE066A01021</t>
  </si>
  <si>
    <t>Bajaj Auto Ltd</t>
  </si>
  <si>
    <t>INE917I01010</t>
  </si>
  <si>
    <t>Jio Financial Services Ltd</t>
  </si>
  <si>
    <t>INE758E01017</t>
  </si>
  <si>
    <t>Oil &amp; Natural Gas Corporation Ltd</t>
  </si>
  <si>
    <t>INE213A01029</t>
  </si>
  <si>
    <t>Oil</t>
  </si>
  <si>
    <t>Tech Mahindra Ltd</t>
  </si>
  <si>
    <t>INE669C01036</t>
  </si>
  <si>
    <t>Coal India Ltd</t>
  </si>
  <si>
    <t>INE522F01014</t>
  </si>
  <si>
    <t>Consumable Fuels</t>
  </si>
  <si>
    <t>Shriram Finance Ltd</t>
  </si>
  <si>
    <t>INE721A01047</t>
  </si>
  <si>
    <t>Cipla Ltd</t>
  </si>
  <si>
    <t>INE059A01026</t>
  </si>
  <si>
    <t>Max Healthcare Institute Ltd</t>
  </si>
  <si>
    <t>INE027H01010</t>
  </si>
  <si>
    <t>Healthcare Services</t>
  </si>
  <si>
    <t>Nestle India Ltd</t>
  </si>
  <si>
    <t>INE239A01024</t>
  </si>
  <si>
    <t>Food Products</t>
  </si>
  <si>
    <t>HDFC Life Insurance Co Ltd</t>
  </si>
  <si>
    <t>INE795G01014</t>
  </si>
  <si>
    <t>Insurance</t>
  </si>
  <si>
    <t>SBI Life Insurance Co Ltd</t>
  </si>
  <si>
    <t>INE123W01016</t>
  </si>
  <si>
    <t>Apollo Hospitals Enterprise Ltd</t>
  </si>
  <si>
    <t>INE437A01024</t>
  </si>
  <si>
    <t>Dr. Reddy's Laboratories Ltd</t>
  </si>
  <si>
    <t>INE089A01031</t>
  </si>
  <si>
    <t>Tata Consumer Products Ltd</t>
  </si>
  <si>
    <t>INE192A01025</t>
  </si>
  <si>
    <t>Agricultural Food &amp; Other Products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</si>
  <si>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</si>
  <si>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</si>
  <si>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</si>
  <si>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</si>
  <si>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</si>
  <si>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</si>
  <si>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</si>
  <si>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</si>
  <si>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Benchmark Risk-O-Meter</t>
  </si>
  <si>
    <t>Benchmark Name - NIFTY 50 Index (TRI)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</si>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</sst>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2</xdr:col>
      <xdr:colOff>304800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C46CE-9E5A-43C1-ACFB-2E2A7096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172700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9525</xdr:rowOff>
    </xdr:from>
    <xdr:to>
      <xdr:col>2</xdr:col>
      <xdr:colOff>66675</xdr:colOff>
      <xdr:row>99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462CEF-A569-4BD7-B396-1B8B48D7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2458700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1D2E0-13AA-4EB2-8460-12C3A39DDE5B}">
  <dimension ref="A1:J187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1.42578125" style="8" bestFit="1" customWidth="1"/>
    <col min="4" max="4" width="25.5703125" style="8" bestFit="1" customWidth="1"/>
    <col min="5" max="5" width="15.4257812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25.7109375" style="8" customWidth="1"/>
    <col min="10" max="16384" width="9.140625" style="8"/>
  </cols>
  <sheetData>
    <row r="1" spans="1:10" s="1" customFormat="1" ht="16.899999999999999" customHeight="1" x14ac:dyDescent="0.2">
      <c r="B1" s="57" t="s">
        <v>6</v>
      </c>
      <c r="C1" s="58"/>
      <c r="D1" s="13"/>
      <c r="E1" s="6"/>
      <c r="F1" s="7"/>
      <c r="G1" s="17"/>
      <c r="H1" s="15"/>
    </row>
    <row r="2" spans="1:10" s="1" customFormat="1" ht="15" x14ac:dyDescent="0.25">
      <c r="A2" s="53" t="str">
        <f>HYPERLINK("[Monthly-Portfolio-ISIN-30-Sep-2025.xls]index!A1","")</f>
        <v/>
      </c>
      <c r="E2" s="6"/>
      <c r="F2" s="7"/>
      <c r="G2" s="17"/>
      <c r="H2" s="15"/>
    </row>
    <row r="3" spans="1:10" s="1" customFormat="1" ht="12" x14ac:dyDescent="0.2">
      <c r="B3" s="10" t="s">
        <v>145</v>
      </c>
      <c r="C3" s="2"/>
      <c r="D3" s="3"/>
      <c r="E3" s="4"/>
      <c r="F3" s="5"/>
      <c r="G3" s="17"/>
      <c r="H3" s="15"/>
    </row>
    <row r="4" spans="1:10" s="1" customFormat="1" ht="25.5" customHeight="1" x14ac:dyDescent="0.2">
      <c r="B4" s="20" t="s">
        <v>4</v>
      </c>
      <c r="C4" s="20" t="s">
        <v>5</v>
      </c>
      <c r="D4" s="21" t="s">
        <v>142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x14ac:dyDescent="0.2">
      <c r="B5" s="26" t="s">
        <v>14</v>
      </c>
      <c r="C5" s="27"/>
      <c r="D5" s="27"/>
      <c r="E5" s="28"/>
      <c r="F5" s="29"/>
      <c r="G5" s="30"/>
      <c r="H5" s="31"/>
    </row>
    <row r="6" spans="1:10" x14ac:dyDescent="0.2">
      <c r="B6" s="26" t="s">
        <v>13</v>
      </c>
      <c r="C6" s="27"/>
      <c r="D6" s="27"/>
      <c r="E6" s="28"/>
      <c r="F6" s="29"/>
      <c r="G6" s="30"/>
      <c r="H6" s="31"/>
    </row>
    <row r="7" spans="1:10" x14ac:dyDescent="0.2">
      <c r="B7" s="27" t="s">
        <v>15</v>
      </c>
      <c r="C7" s="27" t="s">
        <v>16</v>
      </c>
      <c r="D7" s="27" t="s">
        <v>17</v>
      </c>
      <c r="E7" s="32">
        <v>126155</v>
      </c>
      <c r="F7" s="29">
        <v>1199.73405</v>
      </c>
      <c r="G7" s="30">
        <v>12.969468408925</v>
      </c>
      <c r="H7" s="31"/>
    </row>
    <row r="8" spans="1:10" x14ac:dyDescent="0.2">
      <c r="B8" s="27" t="s">
        <v>18</v>
      </c>
      <c r="C8" s="27" t="s">
        <v>19</v>
      </c>
      <c r="D8" s="27" t="s">
        <v>17</v>
      </c>
      <c r="E8" s="32">
        <v>58883</v>
      </c>
      <c r="F8" s="29">
        <v>793.74284</v>
      </c>
      <c r="G8" s="30">
        <v>8.5805872461404409</v>
      </c>
      <c r="H8" s="31"/>
    </row>
    <row r="9" spans="1:10" x14ac:dyDescent="0.2">
      <c r="B9" s="27" t="s">
        <v>20</v>
      </c>
      <c r="C9" s="27" t="s">
        <v>21</v>
      </c>
      <c r="D9" s="27" t="s">
        <v>22</v>
      </c>
      <c r="E9" s="32">
        <v>55917</v>
      </c>
      <c r="F9" s="29">
        <v>762.70788000000005</v>
      </c>
      <c r="G9" s="30">
        <v>8.2450904472521795</v>
      </c>
      <c r="H9" s="31"/>
    </row>
    <row r="10" spans="1:10" x14ac:dyDescent="0.2">
      <c r="B10" s="27" t="s">
        <v>23</v>
      </c>
      <c r="C10" s="27" t="s">
        <v>24</v>
      </c>
      <c r="D10" s="27" t="s">
        <v>25</v>
      </c>
      <c r="E10" s="32">
        <v>29758</v>
      </c>
      <c r="F10" s="29">
        <v>429.05084399999998</v>
      </c>
      <c r="G10" s="30">
        <v>4.6381624053102604</v>
      </c>
      <c r="H10" s="31"/>
    </row>
    <row r="11" spans="1:10" x14ac:dyDescent="0.2">
      <c r="B11" s="27" t="s">
        <v>26</v>
      </c>
      <c r="C11" s="27" t="s">
        <v>27</v>
      </c>
      <c r="D11" s="27" t="s">
        <v>28</v>
      </c>
      <c r="E11" s="32">
        <v>22513</v>
      </c>
      <c r="F11" s="29">
        <v>422.88419199999998</v>
      </c>
      <c r="G11" s="30">
        <v>4.5714991324767196</v>
      </c>
      <c r="H11" s="31"/>
    </row>
    <row r="12" spans="1:10" x14ac:dyDescent="0.2">
      <c r="B12" s="27" t="s">
        <v>29</v>
      </c>
      <c r="C12" s="27" t="s">
        <v>30</v>
      </c>
      <c r="D12" s="27" t="s">
        <v>31</v>
      </c>
      <c r="E12" s="32">
        <v>9700</v>
      </c>
      <c r="F12" s="29">
        <v>354.923</v>
      </c>
      <c r="G12" s="30">
        <v>3.8368191984722699</v>
      </c>
      <c r="H12" s="31"/>
    </row>
    <row r="13" spans="1:10" x14ac:dyDescent="0.2">
      <c r="B13" s="27" t="s">
        <v>32</v>
      </c>
      <c r="C13" s="27" t="s">
        <v>33</v>
      </c>
      <c r="D13" s="27" t="s">
        <v>34</v>
      </c>
      <c r="E13" s="32">
        <v>79582</v>
      </c>
      <c r="F13" s="29">
        <v>319.56152100000003</v>
      </c>
      <c r="G13" s="30">
        <v>3.45455149107215</v>
      </c>
      <c r="H13" s="31"/>
    </row>
    <row r="14" spans="1:10" x14ac:dyDescent="0.2">
      <c r="B14" s="27" t="s">
        <v>35</v>
      </c>
      <c r="C14" s="27" t="s">
        <v>36</v>
      </c>
      <c r="D14" s="27" t="s">
        <v>17</v>
      </c>
      <c r="E14" s="32">
        <v>34271</v>
      </c>
      <c r="F14" s="29">
        <v>298.99733950000001</v>
      </c>
      <c r="G14" s="30">
        <v>3.23224680419621</v>
      </c>
      <c r="H14" s="31"/>
    </row>
    <row r="15" spans="1:10" x14ac:dyDescent="0.2">
      <c r="B15" s="27" t="s">
        <v>37</v>
      </c>
      <c r="C15" s="27" t="s">
        <v>38</v>
      </c>
      <c r="D15" s="27" t="s">
        <v>17</v>
      </c>
      <c r="E15" s="32">
        <v>23655</v>
      </c>
      <c r="F15" s="29">
        <v>267.67998</v>
      </c>
      <c r="G15" s="30">
        <v>2.8936971858985601</v>
      </c>
      <c r="H15" s="31"/>
    </row>
    <row r="16" spans="1:10" x14ac:dyDescent="0.2">
      <c r="B16" s="27" t="s">
        <v>39</v>
      </c>
      <c r="C16" s="27" t="s">
        <v>40</v>
      </c>
      <c r="D16" s="27" t="s">
        <v>41</v>
      </c>
      <c r="E16" s="32">
        <v>7320</v>
      </c>
      <c r="F16" s="29">
        <v>250.85640000000001</v>
      </c>
      <c r="G16" s="30">
        <v>2.71182947168721</v>
      </c>
      <c r="H16" s="31"/>
    </row>
    <row r="17" spans="2:8" x14ac:dyDescent="0.2">
      <c r="B17" s="27" t="s">
        <v>42</v>
      </c>
      <c r="C17" s="27" t="s">
        <v>43</v>
      </c>
      <c r="D17" s="27" t="s">
        <v>25</v>
      </c>
      <c r="E17" s="32">
        <v>8436</v>
      </c>
      <c r="F17" s="29">
        <v>243.665424</v>
      </c>
      <c r="G17" s="30">
        <v>2.6340929632824199</v>
      </c>
      <c r="H17" s="31"/>
    </row>
    <row r="18" spans="2:8" x14ac:dyDescent="0.2">
      <c r="B18" s="27" t="s">
        <v>44</v>
      </c>
      <c r="C18" s="27" t="s">
        <v>45</v>
      </c>
      <c r="D18" s="27" t="s">
        <v>17</v>
      </c>
      <c r="E18" s="32">
        <v>12147</v>
      </c>
      <c r="F18" s="29">
        <v>242.053269</v>
      </c>
      <c r="G18" s="30">
        <v>2.6166651063813098</v>
      </c>
      <c r="H18" s="31"/>
    </row>
    <row r="19" spans="2:8" x14ac:dyDescent="0.2">
      <c r="B19" s="27" t="s">
        <v>46</v>
      </c>
      <c r="C19" s="27" t="s">
        <v>47</v>
      </c>
      <c r="D19" s="27" t="s">
        <v>48</v>
      </c>
      <c r="E19" s="32">
        <v>21977</v>
      </c>
      <c r="F19" s="29">
        <v>219.52825300000001</v>
      </c>
      <c r="G19" s="30">
        <v>2.37316323742749</v>
      </c>
      <c r="H19" s="31"/>
    </row>
    <row r="20" spans="2:8" x14ac:dyDescent="0.2">
      <c r="B20" s="27" t="s">
        <v>49</v>
      </c>
      <c r="C20" s="27" t="s">
        <v>50</v>
      </c>
      <c r="D20" s="27" t="s">
        <v>51</v>
      </c>
      <c r="E20" s="32">
        <v>57515</v>
      </c>
      <c r="F20" s="29">
        <v>187.21132499999999</v>
      </c>
      <c r="G20" s="30">
        <v>2.02380799759788</v>
      </c>
      <c r="H20" s="31"/>
    </row>
    <row r="21" spans="2:8" x14ac:dyDescent="0.2">
      <c r="B21" s="27" t="s">
        <v>52</v>
      </c>
      <c r="C21" s="27" t="s">
        <v>53</v>
      </c>
      <c r="D21" s="27" t="s">
        <v>34</v>
      </c>
      <c r="E21" s="32">
        <v>7331</v>
      </c>
      <c r="F21" s="29">
        <v>184.33066400000001</v>
      </c>
      <c r="G21" s="30">
        <v>1.9926672278278399</v>
      </c>
      <c r="H21" s="31"/>
    </row>
    <row r="22" spans="2:8" x14ac:dyDescent="0.2">
      <c r="B22" s="27" t="s">
        <v>54</v>
      </c>
      <c r="C22" s="27" t="s">
        <v>55</v>
      </c>
      <c r="D22" s="27" t="s">
        <v>41</v>
      </c>
      <c r="E22" s="32">
        <v>1084</v>
      </c>
      <c r="F22" s="29">
        <v>173.75435999999999</v>
      </c>
      <c r="G22" s="30">
        <v>1.87833435496224</v>
      </c>
      <c r="H22" s="31"/>
    </row>
    <row r="23" spans="2:8" x14ac:dyDescent="0.2">
      <c r="B23" s="27" t="s">
        <v>56</v>
      </c>
      <c r="C23" s="27" t="s">
        <v>57</v>
      </c>
      <c r="D23" s="27" t="s">
        <v>58</v>
      </c>
      <c r="E23" s="32">
        <v>8705</v>
      </c>
      <c r="F23" s="29">
        <v>138.783815</v>
      </c>
      <c r="G23" s="30">
        <v>1.5002927559758701</v>
      </c>
      <c r="H23" s="31"/>
    </row>
    <row r="24" spans="2:8" x14ac:dyDescent="0.2">
      <c r="B24" s="27" t="s">
        <v>59</v>
      </c>
      <c r="C24" s="27" t="s">
        <v>60</v>
      </c>
      <c r="D24" s="27" t="s">
        <v>61</v>
      </c>
      <c r="E24" s="32">
        <v>39130</v>
      </c>
      <c r="F24" s="29">
        <v>133.218085</v>
      </c>
      <c r="G24" s="30">
        <v>1.44012562192845</v>
      </c>
      <c r="H24" s="31"/>
    </row>
    <row r="25" spans="2:8" x14ac:dyDescent="0.2">
      <c r="B25" s="27" t="s">
        <v>62</v>
      </c>
      <c r="C25" s="27" t="s">
        <v>63</v>
      </c>
      <c r="D25" s="27" t="s">
        <v>25</v>
      </c>
      <c r="E25" s="32">
        <v>8751</v>
      </c>
      <c r="F25" s="29">
        <v>121.21010099999999</v>
      </c>
      <c r="G25" s="30">
        <v>1.31031587855834</v>
      </c>
      <c r="H25" s="31"/>
    </row>
    <row r="26" spans="2:8" x14ac:dyDescent="0.2">
      <c r="B26" s="27" t="s">
        <v>64</v>
      </c>
      <c r="C26" s="27" t="s">
        <v>65</v>
      </c>
      <c r="D26" s="27" t="s">
        <v>66</v>
      </c>
      <c r="E26" s="32">
        <v>981</v>
      </c>
      <c r="F26" s="29">
        <v>119.89782</v>
      </c>
      <c r="G26" s="30">
        <v>1.29612974541231</v>
      </c>
      <c r="H26" s="31"/>
    </row>
    <row r="27" spans="2:8" x14ac:dyDescent="0.2">
      <c r="B27" s="27" t="s">
        <v>67</v>
      </c>
      <c r="C27" s="27" t="s">
        <v>68</v>
      </c>
      <c r="D27" s="27" t="s">
        <v>69</v>
      </c>
      <c r="E27" s="32">
        <v>29585</v>
      </c>
      <c r="F27" s="29">
        <v>119.5086075</v>
      </c>
      <c r="G27" s="30">
        <v>1.29192224690619</v>
      </c>
      <c r="H27" s="31"/>
    </row>
    <row r="28" spans="2:8" x14ac:dyDescent="0.2">
      <c r="B28" s="27" t="s">
        <v>70</v>
      </c>
      <c r="C28" s="27" t="s">
        <v>71</v>
      </c>
      <c r="D28" s="27" t="s">
        <v>41</v>
      </c>
      <c r="E28" s="32">
        <v>17253</v>
      </c>
      <c r="F28" s="29">
        <v>117.354906</v>
      </c>
      <c r="G28" s="30">
        <v>1.26864011736548</v>
      </c>
      <c r="H28" s="31"/>
    </row>
    <row r="29" spans="2:8" x14ac:dyDescent="0.2">
      <c r="B29" s="27" t="s">
        <v>72</v>
      </c>
      <c r="C29" s="27" t="s">
        <v>73</v>
      </c>
      <c r="D29" s="27" t="s">
        <v>74</v>
      </c>
      <c r="E29" s="32">
        <v>68307</v>
      </c>
      <c r="F29" s="29">
        <v>115.2817239</v>
      </c>
      <c r="G29" s="30">
        <v>1.2462284255810401</v>
      </c>
      <c r="H29" s="31"/>
    </row>
    <row r="30" spans="2:8" x14ac:dyDescent="0.2">
      <c r="B30" s="27" t="s">
        <v>75</v>
      </c>
      <c r="C30" s="27" t="s">
        <v>76</v>
      </c>
      <c r="D30" s="27" t="s">
        <v>77</v>
      </c>
      <c r="E30" s="32">
        <v>3409</v>
      </c>
      <c r="F30" s="29">
        <v>114.78103</v>
      </c>
      <c r="G30" s="30">
        <v>1.2408157812382501</v>
      </c>
      <c r="H30" s="31"/>
    </row>
    <row r="31" spans="2:8" x14ac:dyDescent="0.2">
      <c r="B31" s="27" t="s">
        <v>78</v>
      </c>
      <c r="C31" s="27" t="s">
        <v>79</v>
      </c>
      <c r="D31" s="27" t="s">
        <v>61</v>
      </c>
      <c r="E31" s="32">
        <v>37414</v>
      </c>
      <c r="F31" s="29">
        <v>104.852735</v>
      </c>
      <c r="G31" s="30">
        <v>1.1334880711036599</v>
      </c>
      <c r="H31" s="31"/>
    </row>
    <row r="32" spans="2:8" x14ac:dyDescent="0.2">
      <c r="B32" s="27" t="s">
        <v>80</v>
      </c>
      <c r="C32" s="27" t="s">
        <v>81</v>
      </c>
      <c r="D32" s="27" t="s">
        <v>82</v>
      </c>
      <c r="E32" s="32">
        <v>1804</v>
      </c>
      <c r="F32" s="29">
        <v>100.92478</v>
      </c>
      <c r="G32" s="30">
        <v>1.09102575348904</v>
      </c>
      <c r="H32" s="31"/>
    </row>
    <row r="33" spans="2:8" x14ac:dyDescent="0.2">
      <c r="B33" s="27" t="s">
        <v>83</v>
      </c>
      <c r="C33" s="27" t="s">
        <v>84</v>
      </c>
      <c r="D33" s="27" t="s">
        <v>48</v>
      </c>
      <c r="E33" s="32">
        <v>4715</v>
      </c>
      <c r="F33" s="29">
        <v>94.601759999999999</v>
      </c>
      <c r="G33" s="30">
        <v>1.0226720978276</v>
      </c>
      <c r="H33" s="31"/>
    </row>
    <row r="34" spans="2:8" x14ac:dyDescent="0.2">
      <c r="B34" s="27" t="s">
        <v>85</v>
      </c>
      <c r="C34" s="27" t="s">
        <v>86</v>
      </c>
      <c r="D34" s="27" t="s">
        <v>87</v>
      </c>
      <c r="E34" s="32">
        <v>11963</v>
      </c>
      <c r="F34" s="29">
        <v>91.152078500000002</v>
      </c>
      <c r="G34" s="30">
        <v>0.98538005361571801</v>
      </c>
      <c r="H34" s="31"/>
    </row>
    <row r="35" spans="2:8" x14ac:dyDescent="0.2">
      <c r="B35" s="27" t="s">
        <v>88</v>
      </c>
      <c r="C35" s="27" t="s">
        <v>89</v>
      </c>
      <c r="D35" s="27" t="s">
        <v>74</v>
      </c>
      <c r="E35" s="32">
        <v>7738</v>
      </c>
      <c r="F35" s="29">
        <v>88.422126000000006</v>
      </c>
      <c r="G35" s="30">
        <v>0.95586848585900097</v>
      </c>
      <c r="H35" s="31"/>
    </row>
    <row r="36" spans="2:8" x14ac:dyDescent="0.2">
      <c r="B36" s="27" t="s">
        <v>90</v>
      </c>
      <c r="C36" s="27" t="s">
        <v>91</v>
      </c>
      <c r="D36" s="27" t="s">
        <v>77</v>
      </c>
      <c r="E36" s="32">
        <v>3735</v>
      </c>
      <c r="F36" s="29">
        <v>87.772499999999994</v>
      </c>
      <c r="G36" s="30">
        <v>0.94884584289524099</v>
      </c>
      <c r="H36" s="31"/>
    </row>
    <row r="37" spans="2:8" x14ac:dyDescent="0.2">
      <c r="B37" s="27" t="s">
        <v>92</v>
      </c>
      <c r="C37" s="27" t="s">
        <v>93</v>
      </c>
      <c r="D37" s="27" t="s">
        <v>66</v>
      </c>
      <c r="E37" s="32">
        <v>3156</v>
      </c>
      <c r="F37" s="29">
        <v>87.007763999999995</v>
      </c>
      <c r="G37" s="30">
        <v>0.94057882789040004</v>
      </c>
      <c r="H37" s="31"/>
    </row>
    <row r="38" spans="2:8" x14ac:dyDescent="0.2">
      <c r="B38" s="27" t="s">
        <v>94</v>
      </c>
      <c r="C38" s="27" t="s">
        <v>95</v>
      </c>
      <c r="D38" s="27" t="s">
        <v>51</v>
      </c>
      <c r="E38" s="32">
        <v>1833</v>
      </c>
      <c r="F38" s="29">
        <v>85.738574999999997</v>
      </c>
      <c r="G38" s="30">
        <v>0.92685853159602205</v>
      </c>
      <c r="H38" s="31"/>
    </row>
    <row r="39" spans="2:8" x14ac:dyDescent="0.2">
      <c r="B39" s="27" t="s">
        <v>96</v>
      </c>
      <c r="C39" s="27" t="s">
        <v>97</v>
      </c>
      <c r="D39" s="27" t="s">
        <v>98</v>
      </c>
      <c r="E39" s="32">
        <v>6096</v>
      </c>
      <c r="F39" s="29">
        <v>85.557360000000003</v>
      </c>
      <c r="G39" s="30">
        <v>0.92489954558764498</v>
      </c>
      <c r="H39" s="31"/>
    </row>
    <row r="40" spans="2:8" x14ac:dyDescent="0.2">
      <c r="B40" s="27" t="s">
        <v>99</v>
      </c>
      <c r="C40" s="27" t="s">
        <v>100</v>
      </c>
      <c r="D40" s="27" t="s">
        <v>41</v>
      </c>
      <c r="E40" s="32">
        <v>1137</v>
      </c>
      <c r="F40" s="29">
        <v>79.652535</v>
      </c>
      <c r="G40" s="30">
        <v>0.86106669755125598</v>
      </c>
      <c r="H40" s="31"/>
    </row>
    <row r="41" spans="2:8" x14ac:dyDescent="0.2">
      <c r="B41" s="27" t="s">
        <v>101</v>
      </c>
      <c r="C41" s="27" t="s">
        <v>102</v>
      </c>
      <c r="D41" s="27" t="s">
        <v>41</v>
      </c>
      <c r="E41" s="32">
        <v>916</v>
      </c>
      <c r="F41" s="29">
        <v>79.495059999999995</v>
      </c>
      <c r="G41" s="30">
        <v>0.859364347736566</v>
      </c>
      <c r="H41" s="31"/>
    </row>
    <row r="42" spans="2:8" x14ac:dyDescent="0.2">
      <c r="B42" s="27" t="s">
        <v>103</v>
      </c>
      <c r="C42" s="27" t="s">
        <v>104</v>
      </c>
      <c r="D42" s="27" t="s">
        <v>48</v>
      </c>
      <c r="E42" s="32">
        <v>27070</v>
      </c>
      <c r="F42" s="29">
        <v>79.369240000000005</v>
      </c>
      <c r="G42" s="30">
        <v>0.85800419753060098</v>
      </c>
      <c r="H42" s="31"/>
    </row>
    <row r="43" spans="2:8" x14ac:dyDescent="0.2">
      <c r="B43" s="27" t="s">
        <v>105</v>
      </c>
      <c r="C43" s="27" t="s">
        <v>106</v>
      </c>
      <c r="D43" s="27" t="s">
        <v>107</v>
      </c>
      <c r="E43" s="32">
        <v>32086</v>
      </c>
      <c r="F43" s="29">
        <v>76.845969999999994</v>
      </c>
      <c r="G43" s="30">
        <v>0.83072692674530602</v>
      </c>
      <c r="H43" s="31"/>
    </row>
    <row r="44" spans="2:8" x14ac:dyDescent="0.2">
      <c r="B44" s="27" t="s">
        <v>108</v>
      </c>
      <c r="C44" s="27" t="s">
        <v>109</v>
      </c>
      <c r="D44" s="27" t="s">
        <v>25</v>
      </c>
      <c r="E44" s="32">
        <v>5244</v>
      </c>
      <c r="F44" s="29">
        <v>73.431731999999997</v>
      </c>
      <c r="G44" s="30">
        <v>0.79381803691130404</v>
      </c>
      <c r="H44" s="31"/>
    </row>
    <row r="45" spans="2:8" x14ac:dyDescent="0.2">
      <c r="B45" s="27" t="s">
        <v>110</v>
      </c>
      <c r="C45" s="27" t="s">
        <v>111</v>
      </c>
      <c r="D45" s="27" t="s">
        <v>112</v>
      </c>
      <c r="E45" s="32">
        <v>18758</v>
      </c>
      <c r="F45" s="29">
        <v>73.146821000000003</v>
      </c>
      <c r="G45" s="30">
        <v>0.79073806746819697</v>
      </c>
      <c r="H45" s="31"/>
    </row>
    <row r="46" spans="2:8" x14ac:dyDescent="0.2">
      <c r="B46" s="27" t="s">
        <v>113</v>
      </c>
      <c r="C46" s="27" t="s">
        <v>114</v>
      </c>
      <c r="D46" s="27" t="s">
        <v>48</v>
      </c>
      <c r="E46" s="32">
        <v>11565</v>
      </c>
      <c r="F46" s="29">
        <v>71.251964999999998</v>
      </c>
      <c r="G46" s="30">
        <v>0.770254131856415</v>
      </c>
      <c r="H46" s="31"/>
    </row>
    <row r="47" spans="2:8" x14ac:dyDescent="0.2">
      <c r="B47" s="27" t="s">
        <v>115</v>
      </c>
      <c r="C47" s="27" t="s">
        <v>116</v>
      </c>
      <c r="D47" s="27" t="s">
        <v>58</v>
      </c>
      <c r="E47" s="32">
        <v>4646</v>
      </c>
      <c r="F47" s="29">
        <v>69.843317999999996</v>
      </c>
      <c r="G47" s="30">
        <v>0.755026254673278</v>
      </c>
      <c r="H47" s="31"/>
    </row>
    <row r="48" spans="2:8" x14ac:dyDescent="0.2">
      <c r="B48" s="27" t="s">
        <v>117</v>
      </c>
      <c r="C48" s="27" t="s">
        <v>118</v>
      </c>
      <c r="D48" s="27" t="s">
        <v>119</v>
      </c>
      <c r="E48" s="32">
        <v>6140</v>
      </c>
      <c r="F48" s="29">
        <v>68.442580000000007</v>
      </c>
      <c r="G48" s="30">
        <v>0.73988387604346395</v>
      </c>
      <c r="H48" s="31"/>
    </row>
    <row r="49" spans="2:9" x14ac:dyDescent="0.2">
      <c r="B49" s="27" t="s">
        <v>120</v>
      </c>
      <c r="C49" s="27" t="s">
        <v>121</v>
      </c>
      <c r="D49" s="27" t="s">
        <v>122</v>
      </c>
      <c r="E49" s="32">
        <v>5922</v>
      </c>
      <c r="F49" s="29">
        <v>68.274737999999999</v>
      </c>
      <c r="G49" s="30">
        <v>0.73806945599204399</v>
      </c>
      <c r="H49" s="31"/>
    </row>
    <row r="50" spans="2:9" x14ac:dyDescent="0.2">
      <c r="B50" s="27" t="s">
        <v>123</v>
      </c>
      <c r="C50" s="27" t="s">
        <v>124</v>
      </c>
      <c r="D50" s="27" t="s">
        <v>125</v>
      </c>
      <c r="E50" s="32">
        <v>8863</v>
      </c>
      <c r="F50" s="29">
        <v>67.044163499999996</v>
      </c>
      <c r="G50" s="30">
        <v>0.72476659349299399</v>
      </c>
      <c r="H50" s="31"/>
    </row>
    <row r="51" spans="2:9" x14ac:dyDescent="0.2">
      <c r="B51" s="27" t="s">
        <v>126</v>
      </c>
      <c r="C51" s="27" t="s">
        <v>127</v>
      </c>
      <c r="D51" s="27" t="s">
        <v>125</v>
      </c>
      <c r="E51" s="32">
        <v>3706</v>
      </c>
      <c r="F51" s="29">
        <v>66.359635999999995</v>
      </c>
      <c r="G51" s="30">
        <v>0.71736665532645605</v>
      </c>
      <c r="H51" s="31"/>
    </row>
    <row r="52" spans="2:9" x14ac:dyDescent="0.2">
      <c r="B52" s="27" t="s">
        <v>128</v>
      </c>
      <c r="C52" s="27" t="s">
        <v>129</v>
      </c>
      <c r="D52" s="27" t="s">
        <v>119</v>
      </c>
      <c r="E52" s="32">
        <v>835</v>
      </c>
      <c r="F52" s="29">
        <v>61.86515</v>
      </c>
      <c r="G52" s="30">
        <v>0.66877997547740498</v>
      </c>
      <c r="H52" s="31"/>
    </row>
    <row r="53" spans="2:9" x14ac:dyDescent="0.2">
      <c r="B53" s="27" t="s">
        <v>130</v>
      </c>
      <c r="C53" s="27" t="s">
        <v>131</v>
      </c>
      <c r="D53" s="27" t="s">
        <v>58</v>
      </c>
      <c r="E53" s="32">
        <v>5032</v>
      </c>
      <c r="F53" s="29">
        <v>61.576583999999997</v>
      </c>
      <c r="G53" s="30">
        <v>0.66566049443834496</v>
      </c>
      <c r="H53" s="31"/>
    </row>
    <row r="54" spans="2:9" x14ac:dyDescent="0.2">
      <c r="B54" s="27" t="s">
        <v>132</v>
      </c>
      <c r="C54" s="27" t="s">
        <v>133</v>
      </c>
      <c r="D54" s="27" t="s">
        <v>134</v>
      </c>
      <c r="E54" s="32">
        <v>5380</v>
      </c>
      <c r="F54" s="29">
        <v>60.756340000000002</v>
      </c>
      <c r="G54" s="30">
        <v>0.65679342206875502</v>
      </c>
      <c r="H54" s="31"/>
    </row>
    <row r="55" spans="2:9" x14ac:dyDescent="0.2">
      <c r="B55" s="27" t="s">
        <v>135</v>
      </c>
      <c r="C55" s="27" t="s">
        <v>136</v>
      </c>
      <c r="D55" s="27" t="s">
        <v>25</v>
      </c>
      <c r="E55" s="32">
        <v>23567</v>
      </c>
      <c r="F55" s="29">
        <v>56.412327900000001</v>
      </c>
      <c r="G55" s="30">
        <v>0.60983340813988696</v>
      </c>
      <c r="H55" s="31"/>
    </row>
    <row r="56" spans="2:9" x14ac:dyDescent="0.2">
      <c r="B56" s="27" t="s">
        <v>137</v>
      </c>
      <c r="C56" s="27" t="s">
        <v>138</v>
      </c>
      <c r="D56" s="27" t="s">
        <v>139</v>
      </c>
      <c r="E56" s="32">
        <v>2152</v>
      </c>
      <c r="F56" s="29">
        <v>53.926968000000002</v>
      </c>
      <c r="G56" s="30">
        <v>0.58296595638434201</v>
      </c>
      <c r="H56" s="31"/>
    </row>
    <row r="57" spans="2:9" x14ac:dyDescent="0.2">
      <c r="B57" s="26" t="s">
        <v>7</v>
      </c>
      <c r="C57" s="26"/>
      <c r="D57" s="26"/>
      <c r="E57" s="33"/>
      <c r="F57" s="34">
        <f>SUM(F7:F56)</f>
        <v>9324.442236799996</v>
      </c>
      <c r="G57" s="35">
        <f>SUM(G7:G56)</f>
        <v>100.79988895957706</v>
      </c>
      <c r="H57" s="36"/>
      <c r="I57" s="18"/>
    </row>
    <row r="58" spans="2:9" x14ac:dyDescent="0.2">
      <c r="B58" s="26" t="s">
        <v>140</v>
      </c>
      <c r="C58" s="26"/>
      <c r="D58" s="26"/>
      <c r="E58" s="33"/>
      <c r="F58" s="51" t="s">
        <v>141</v>
      </c>
      <c r="G58" s="52" t="s">
        <v>141</v>
      </c>
      <c r="H58" s="36"/>
      <c r="I58" s="18"/>
    </row>
    <row r="59" spans="2:9" x14ac:dyDescent="0.2">
      <c r="B59" s="26" t="s">
        <v>7</v>
      </c>
      <c r="C59" s="26"/>
      <c r="D59" s="26"/>
      <c r="E59" s="33"/>
      <c r="F59" s="49" t="s">
        <v>141</v>
      </c>
      <c r="G59" s="50" t="s">
        <v>141</v>
      </c>
      <c r="H59" s="36"/>
      <c r="I59" s="18"/>
    </row>
    <row r="60" spans="2:9" x14ac:dyDescent="0.2">
      <c r="B60" s="37" t="s">
        <v>8</v>
      </c>
      <c r="C60" s="37"/>
      <c r="D60" s="37"/>
      <c r="E60" s="38"/>
      <c r="F60" s="39">
        <f>F57</f>
        <v>9324.442236799996</v>
      </c>
      <c r="G60" s="40">
        <f>G57</f>
        <v>100.79988895957706</v>
      </c>
      <c r="H60" s="36"/>
      <c r="I60" s="18"/>
    </row>
    <row r="61" spans="2:9" x14ac:dyDescent="0.2">
      <c r="B61" s="26" t="s">
        <v>9</v>
      </c>
      <c r="C61" s="26"/>
      <c r="D61" s="26"/>
      <c r="E61" s="33"/>
      <c r="F61" s="34">
        <v>123.5826192</v>
      </c>
      <c r="G61" s="35">
        <v>1.33596347924493</v>
      </c>
      <c r="H61" s="41">
        <v>5.4942360000000003E-2</v>
      </c>
      <c r="I61" s="19"/>
    </row>
    <row r="62" spans="2:9" x14ac:dyDescent="0.2">
      <c r="B62" s="27"/>
      <c r="C62" s="27"/>
      <c r="D62" s="27"/>
      <c r="E62" s="28"/>
      <c r="F62" s="29"/>
      <c r="G62" s="30"/>
      <c r="H62" s="31"/>
    </row>
    <row r="63" spans="2:9" x14ac:dyDescent="0.2">
      <c r="B63" s="47" t="s">
        <v>11</v>
      </c>
      <c r="C63" s="47"/>
      <c r="D63" s="47"/>
      <c r="E63" s="48"/>
      <c r="F63" s="34">
        <f>F64-(F57+F61)</f>
        <v>-197.57593879999695</v>
      </c>
      <c r="G63" s="35">
        <f>G64-(G57+G61)</f>
        <v>-2.1358524388219848</v>
      </c>
      <c r="H63" s="36"/>
      <c r="I63" s="18"/>
    </row>
    <row r="64" spans="2:9" x14ac:dyDescent="0.2">
      <c r="B64" s="42" t="s">
        <v>10</v>
      </c>
      <c r="C64" s="42"/>
      <c r="D64" s="42"/>
      <c r="E64" s="43"/>
      <c r="F64" s="44">
        <v>9250.4489171999994</v>
      </c>
      <c r="G64" s="45">
        <v>100</v>
      </c>
      <c r="H64" s="46"/>
      <c r="I64" s="18"/>
    </row>
    <row r="67" spans="2:8" x14ac:dyDescent="0.2">
      <c r="B67" s="18" t="s">
        <v>12</v>
      </c>
      <c r="E67" s="8"/>
      <c r="G67" s="54"/>
      <c r="H67" s="8"/>
    </row>
    <row r="68" spans="2:8" x14ac:dyDescent="0.2">
      <c r="E68" s="8"/>
      <c r="G68" s="54"/>
      <c r="H68" s="8"/>
    </row>
    <row r="69" spans="2:8" x14ac:dyDescent="0.2">
      <c r="E69" s="8"/>
      <c r="G69" s="54"/>
      <c r="H69" s="8"/>
    </row>
    <row r="70" spans="2:8" x14ac:dyDescent="0.2">
      <c r="E70" s="8"/>
      <c r="G70" s="54"/>
      <c r="H70" s="8"/>
    </row>
    <row r="71" spans="2:8" x14ac:dyDescent="0.2">
      <c r="E71" s="8"/>
      <c r="G71" s="54"/>
      <c r="H71" s="8"/>
    </row>
    <row r="72" spans="2:8" x14ac:dyDescent="0.2">
      <c r="E72" s="8"/>
      <c r="G72" s="54"/>
      <c r="H72" s="8"/>
    </row>
    <row r="73" spans="2:8" x14ac:dyDescent="0.2">
      <c r="E73" s="8"/>
      <c r="G73" s="54"/>
      <c r="H73" s="8"/>
    </row>
    <row r="74" spans="2:8" x14ac:dyDescent="0.2">
      <c r="E74" s="8"/>
      <c r="G74" s="54"/>
      <c r="H74" s="8"/>
    </row>
    <row r="75" spans="2:8" x14ac:dyDescent="0.2">
      <c r="E75" s="8"/>
      <c r="G75" s="54"/>
      <c r="H75" s="8"/>
    </row>
    <row r="76" spans="2:8" x14ac:dyDescent="0.2">
      <c r="E76" s="8"/>
      <c r="G76" s="54"/>
      <c r="H76" s="8"/>
    </row>
    <row r="77" spans="2:8" x14ac:dyDescent="0.2">
      <c r="E77" s="8"/>
      <c r="G77" s="54"/>
      <c r="H77" s="8"/>
    </row>
    <row r="78" spans="2:8" x14ac:dyDescent="0.2">
      <c r="E78" s="8"/>
      <c r="G78" s="54"/>
      <c r="H78" s="8"/>
    </row>
    <row r="79" spans="2:8" x14ac:dyDescent="0.2">
      <c r="E79" s="8"/>
      <c r="G79" s="54"/>
      <c r="H79" s="8"/>
    </row>
    <row r="80" spans="2:8" x14ac:dyDescent="0.2">
      <c r="E80" s="8"/>
      <c r="G80" s="54"/>
      <c r="H80" s="8"/>
    </row>
    <row r="81" spans="2:8" x14ac:dyDescent="0.2">
      <c r="E81" s="8"/>
      <c r="G81" s="54"/>
      <c r="H81" s="8"/>
    </row>
    <row r="82" spans="2:8" x14ac:dyDescent="0.2">
      <c r="E82" s="8"/>
      <c r="G82" s="54"/>
      <c r="H82" s="8"/>
    </row>
    <row r="83" spans="2:8" x14ac:dyDescent="0.2">
      <c r="E83" s="8"/>
      <c r="G83" s="54"/>
      <c r="H83" s="8"/>
    </row>
    <row r="84" spans="2:8" x14ac:dyDescent="0.2">
      <c r="B84" s="55" t="s">
        <v>143</v>
      </c>
      <c r="E84" s="8"/>
      <c r="G84" s="54"/>
      <c r="H84" s="8"/>
    </row>
    <row r="85" spans="2:8" x14ac:dyDescent="0.2">
      <c r="B85" s="56" t="s">
        <v>144</v>
      </c>
      <c r="E85" s="8"/>
      <c r="G85" s="54"/>
      <c r="H85" s="8"/>
    </row>
    <row r="86" spans="2:8" x14ac:dyDescent="0.2">
      <c r="E86" s="8"/>
      <c r="G86" s="54"/>
      <c r="H86" s="8"/>
    </row>
    <row r="87" spans="2:8" x14ac:dyDescent="0.2">
      <c r="E87" s="8"/>
      <c r="G87" s="54"/>
      <c r="H87" s="8"/>
    </row>
    <row r="88" spans="2:8" x14ac:dyDescent="0.2">
      <c r="E88" s="8"/>
      <c r="G88" s="54"/>
      <c r="H88" s="8"/>
    </row>
    <row r="89" spans="2:8" x14ac:dyDescent="0.2">
      <c r="E89" s="8"/>
      <c r="G89" s="54"/>
      <c r="H89" s="8"/>
    </row>
    <row r="90" spans="2:8" x14ac:dyDescent="0.2">
      <c r="E90" s="8"/>
      <c r="G90" s="54"/>
      <c r="H90" s="8"/>
    </row>
    <row r="91" spans="2:8" x14ac:dyDescent="0.2">
      <c r="E91" s="8"/>
      <c r="G91" s="54"/>
      <c r="H91" s="8"/>
    </row>
    <row r="92" spans="2:8" x14ac:dyDescent="0.2">
      <c r="E92" s="8"/>
      <c r="G92" s="54"/>
      <c r="H92" s="8"/>
    </row>
    <row r="93" spans="2:8" x14ac:dyDescent="0.2">
      <c r="E93" s="8"/>
      <c r="G93" s="54"/>
      <c r="H93" s="8"/>
    </row>
    <row r="94" spans="2:8" x14ac:dyDescent="0.2">
      <c r="E94" s="8"/>
      <c r="G94" s="54"/>
      <c r="H94" s="8"/>
    </row>
    <row r="95" spans="2:8" x14ac:dyDescent="0.2">
      <c r="E95" s="8"/>
      <c r="G95" s="54"/>
      <c r="H95" s="8"/>
    </row>
    <row r="96" spans="2:8" x14ac:dyDescent="0.2">
      <c r="E96" s="8"/>
      <c r="G96" s="54"/>
      <c r="H96" s="8"/>
    </row>
    <row r="97" spans="5:8" x14ac:dyDescent="0.2">
      <c r="E97" s="8"/>
      <c r="G97" s="54"/>
      <c r="H97" s="8"/>
    </row>
    <row r="98" spans="5:8" x14ac:dyDescent="0.2">
      <c r="E98" s="8"/>
      <c r="G98" s="54"/>
      <c r="H98" s="8"/>
    </row>
    <row r="99" spans="5:8" x14ac:dyDescent="0.2">
      <c r="E99" s="8"/>
      <c r="G99" s="54"/>
      <c r="H99" s="8"/>
    </row>
    <row r="100" spans="5:8" x14ac:dyDescent="0.2">
      <c r="E100" s="8"/>
      <c r="G100" s="54"/>
      <c r="H100" s="8"/>
    </row>
    <row r="101" spans="5:8" x14ac:dyDescent="0.2">
      <c r="E101" s="8"/>
      <c r="G101" s="54"/>
      <c r="H101" s="8"/>
    </row>
    <row r="102" spans="5:8" x14ac:dyDescent="0.2">
      <c r="E102" s="8"/>
      <c r="G102" s="54"/>
      <c r="H102" s="8"/>
    </row>
    <row r="103" spans="5:8" x14ac:dyDescent="0.2">
      <c r="E103" s="8"/>
      <c r="G103" s="54"/>
      <c r="H103" s="8"/>
    </row>
    <row r="104" spans="5:8" x14ac:dyDescent="0.2">
      <c r="E104" s="8"/>
      <c r="G104" s="54"/>
      <c r="H104" s="8"/>
    </row>
    <row r="105" spans="5:8" x14ac:dyDescent="0.2">
      <c r="E105" s="8"/>
      <c r="G105" s="54"/>
      <c r="H105" s="8"/>
    </row>
    <row r="106" spans="5:8" x14ac:dyDescent="0.2">
      <c r="E106" s="8"/>
      <c r="G106" s="54"/>
      <c r="H106" s="8"/>
    </row>
    <row r="107" spans="5:8" x14ac:dyDescent="0.2">
      <c r="E107" s="8"/>
      <c r="G107" s="54"/>
      <c r="H107" s="8"/>
    </row>
    <row r="108" spans="5:8" x14ac:dyDescent="0.2">
      <c r="E108" s="8"/>
      <c r="G108" s="54"/>
      <c r="H108" s="8"/>
    </row>
    <row r="109" spans="5:8" x14ac:dyDescent="0.2">
      <c r="E109" s="8"/>
      <c r="G109" s="54"/>
      <c r="H109" s="8"/>
    </row>
    <row r="110" spans="5:8" x14ac:dyDescent="0.2">
      <c r="E110" s="8"/>
      <c r="G110" s="54"/>
      <c r="H110" s="8"/>
    </row>
    <row r="111" spans="5:8" x14ac:dyDescent="0.2">
      <c r="E111" s="8"/>
      <c r="G111" s="54"/>
      <c r="H111" s="8"/>
    </row>
    <row r="112" spans="5:8" x14ac:dyDescent="0.2">
      <c r="E112" s="8"/>
      <c r="G112" s="54"/>
      <c r="H112" s="8"/>
    </row>
    <row r="113" spans="5:8" x14ac:dyDescent="0.2">
      <c r="E113" s="8"/>
      <c r="G113" s="54"/>
      <c r="H113" s="8"/>
    </row>
    <row r="114" spans="5:8" x14ac:dyDescent="0.2">
      <c r="E114" s="8"/>
      <c r="G114" s="54"/>
      <c r="H114" s="8"/>
    </row>
    <row r="115" spans="5:8" x14ac:dyDescent="0.2">
      <c r="E115" s="8"/>
      <c r="G115" s="54"/>
      <c r="H115" s="8"/>
    </row>
    <row r="116" spans="5:8" x14ac:dyDescent="0.2">
      <c r="E116" s="8"/>
      <c r="G116" s="54"/>
      <c r="H116" s="8"/>
    </row>
    <row r="117" spans="5:8" x14ac:dyDescent="0.2">
      <c r="E117" s="8"/>
      <c r="G117" s="54"/>
      <c r="H117" s="8"/>
    </row>
    <row r="118" spans="5:8" x14ac:dyDescent="0.2">
      <c r="E118" s="8"/>
      <c r="G118" s="54"/>
      <c r="H118" s="8"/>
    </row>
    <row r="119" spans="5:8" x14ac:dyDescent="0.2">
      <c r="E119" s="8"/>
      <c r="G119" s="54"/>
      <c r="H119" s="8"/>
    </row>
    <row r="120" spans="5:8" x14ac:dyDescent="0.2">
      <c r="E120" s="8"/>
      <c r="G120" s="54"/>
      <c r="H120" s="8"/>
    </row>
    <row r="121" spans="5:8" x14ac:dyDescent="0.2">
      <c r="E121" s="8"/>
      <c r="G121" s="54"/>
      <c r="H121" s="8"/>
    </row>
    <row r="122" spans="5:8" x14ac:dyDescent="0.2">
      <c r="E122" s="8"/>
      <c r="G122" s="54"/>
      <c r="H122" s="8"/>
    </row>
    <row r="123" spans="5:8" x14ac:dyDescent="0.2">
      <c r="E123" s="8"/>
      <c r="G123" s="54"/>
      <c r="H123" s="8"/>
    </row>
    <row r="124" spans="5:8" x14ac:dyDescent="0.2">
      <c r="E124" s="8"/>
      <c r="G124" s="54"/>
      <c r="H124" s="8"/>
    </row>
    <row r="125" spans="5:8" x14ac:dyDescent="0.2">
      <c r="E125" s="8"/>
      <c r="G125" s="54"/>
      <c r="H125" s="8"/>
    </row>
    <row r="126" spans="5:8" x14ac:dyDescent="0.2">
      <c r="E126" s="8"/>
      <c r="G126" s="54"/>
      <c r="H126" s="8"/>
    </row>
    <row r="127" spans="5:8" x14ac:dyDescent="0.2">
      <c r="E127" s="8"/>
      <c r="G127" s="54"/>
      <c r="H127" s="8"/>
    </row>
    <row r="128" spans="5:8" x14ac:dyDescent="0.2">
      <c r="E128" s="8"/>
      <c r="G128" s="54"/>
      <c r="H128" s="8"/>
    </row>
    <row r="129" spans="5:8" x14ac:dyDescent="0.2">
      <c r="E129" s="8"/>
      <c r="G129" s="54"/>
      <c r="H129" s="8"/>
    </row>
    <row r="130" spans="5:8" x14ac:dyDescent="0.2">
      <c r="E130" s="8"/>
      <c r="G130" s="54"/>
      <c r="H130" s="8"/>
    </row>
    <row r="131" spans="5:8" x14ac:dyDescent="0.2">
      <c r="E131" s="8"/>
      <c r="G131" s="54"/>
      <c r="H131" s="8"/>
    </row>
    <row r="132" spans="5:8" x14ac:dyDescent="0.2">
      <c r="E132" s="8"/>
      <c r="G132" s="54"/>
      <c r="H132" s="8"/>
    </row>
    <row r="133" spans="5:8" x14ac:dyDescent="0.2">
      <c r="E133" s="8"/>
      <c r="G133" s="54"/>
      <c r="H133" s="8"/>
    </row>
    <row r="134" spans="5:8" x14ac:dyDescent="0.2">
      <c r="E134" s="8"/>
      <c r="G134" s="54"/>
      <c r="H134" s="8"/>
    </row>
    <row r="135" spans="5:8" x14ac:dyDescent="0.2">
      <c r="E135" s="8"/>
      <c r="G135" s="54"/>
      <c r="H135" s="8"/>
    </row>
    <row r="136" spans="5:8" x14ac:dyDescent="0.2">
      <c r="E136" s="8"/>
      <c r="G136" s="54"/>
      <c r="H136" s="8"/>
    </row>
    <row r="137" spans="5:8" x14ac:dyDescent="0.2">
      <c r="E137" s="8"/>
      <c r="G137" s="54"/>
      <c r="H137" s="8"/>
    </row>
    <row r="138" spans="5:8" x14ac:dyDescent="0.2">
      <c r="E138" s="8"/>
      <c r="G138" s="54"/>
      <c r="H138" s="8"/>
    </row>
    <row r="139" spans="5:8" x14ac:dyDescent="0.2">
      <c r="E139" s="8"/>
      <c r="G139" s="54"/>
      <c r="H139" s="8"/>
    </row>
    <row r="140" spans="5:8" x14ac:dyDescent="0.2">
      <c r="E140" s="8"/>
      <c r="G140" s="54"/>
      <c r="H140" s="8"/>
    </row>
    <row r="141" spans="5:8" x14ac:dyDescent="0.2">
      <c r="E141" s="8"/>
      <c r="G141" s="54"/>
      <c r="H141" s="8"/>
    </row>
    <row r="142" spans="5:8" x14ac:dyDescent="0.2">
      <c r="E142" s="8"/>
      <c r="G142" s="54"/>
      <c r="H142" s="8"/>
    </row>
    <row r="143" spans="5:8" x14ac:dyDescent="0.2">
      <c r="E143" s="8"/>
      <c r="G143" s="54"/>
      <c r="H143" s="8"/>
    </row>
    <row r="144" spans="5:8" x14ac:dyDescent="0.2">
      <c r="E144" s="8"/>
      <c r="G144" s="54"/>
      <c r="H144" s="8"/>
    </row>
    <row r="145" spans="5:8" x14ac:dyDescent="0.2">
      <c r="E145" s="8"/>
      <c r="G145" s="54"/>
      <c r="H145" s="8"/>
    </row>
    <row r="146" spans="5:8" x14ac:dyDescent="0.2">
      <c r="E146" s="8"/>
      <c r="G146" s="54"/>
      <c r="H146" s="8"/>
    </row>
    <row r="147" spans="5:8" x14ac:dyDescent="0.2">
      <c r="E147" s="8"/>
      <c r="G147" s="54"/>
      <c r="H147" s="8"/>
    </row>
    <row r="148" spans="5:8" x14ac:dyDescent="0.2">
      <c r="E148" s="8"/>
      <c r="G148" s="54"/>
      <c r="H148" s="8"/>
    </row>
    <row r="149" spans="5:8" x14ac:dyDescent="0.2">
      <c r="E149" s="8"/>
      <c r="G149" s="54"/>
      <c r="H149" s="8"/>
    </row>
    <row r="150" spans="5:8" x14ac:dyDescent="0.2">
      <c r="E150" s="8"/>
      <c r="G150" s="54"/>
      <c r="H150" s="8"/>
    </row>
    <row r="151" spans="5:8" x14ac:dyDescent="0.2">
      <c r="E151" s="8"/>
      <c r="G151" s="54"/>
      <c r="H151" s="8"/>
    </row>
    <row r="152" spans="5:8" x14ac:dyDescent="0.2">
      <c r="E152" s="8"/>
      <c r="G152" s="54"/>
      <c r="H152" s="8"/>
    </row>
    <row r="153" spans="5:8" x14ac:dyDescent="0.2">
      <c r="E153" s="8"/>
      <c r="G153" s="54"/>
      <c r="H153" s="8"/>
    </row>
    <row r="154" spans="5:8" x14ac:dyDescent="0.2">
      <c r="E154" s="8"/>
      <c r="G154" s="54"/>
      <c r="H154" s="8"/>
    </row>
    <row r="155" spans="5:8" x14ac:dyDescent="0.2">
      <c r="E155" s="8"/>
      <c r="G155" s="54"/>
      <c r="H155" s="8"/>
    </row>
    <row r="156" spans="5:8" x14ac:dyDescent="0.2">
      <c r="E156" s="8"/>
      <c r="G156" s="54"/>
      <c r="H156" s="8"/>
    </row>
    <row r="157" spans="5:8" x14ac:dyDescent="0.2">
      <c r="E157" s="8"/>
      <c r="G157" s="54"/>
      <c r="H157" s="8"/>
    </row>
    <row r="158" spans="5:8" x14ac:dyDescent="0.2">
      <c r="E158" s="8"/>
      <c r="G158" s="54"/>
      <c r="H158" s="8"/>
    </row>
    <row r="159" spans="5:8" x14ac:dyDescent="0.2">
      <c r="E159" s="8"/>
      <c r="G159" s="54"/>
      <c r="H159" s="8"/>
    </row>
    <row r="160" spans="5:8" x14ac:dyDescent="0.2">
      <c r="E160" s="8"/>
      <c r="G160" s="54"/>
      <c r="H160" s="8"/>
    </row>
    <row r="161" spans="5:8" x14ac:dyDescent="0.2">
      <c r="E161" s="8"/>
      <c r="G161" s="54"/>
      <c r="H161" s="8"/>
    </row>
    <row r="162" spans="5:8" x14ac:dyDescent="0.2">
      <c r="E162" s="8"/>
      <c r="G162" s="54"/>
      <c r="H162" s="8"/>
    </row>
    <row r="163" spans="5:8" x14ac:dyDescent="0.2">
      <c r="E163" s="8"/>
      <c r="G163" s="54"/>
      <c r="H163" s="8"/>
    </row>
    <row r="164" spans="5:8" x14ac:dyDescent="0.2">
      <c r="E164" s="8"/>
      <c r="G164" s="54"/>
      <c r="H164" s="8"/>
    </row>
    <row r="165" spans="5:8" x14ac:dyDescent="0.2">
      <c r="E165" s="8"/>
      <c r="G165" s="54"/>
      <c r="H165" s="8"/>
    </row>
    <row r="166" spans="5:8" x14ac:dyDescent="0.2">
      <c r="E166" s="8"/>
      <c r="G166" s="54"/>
      <c r="H166" s="8"/>
    </row>
    <row r="167" spans="5:8" x14ac:dyDescent="0.2">
      <c r="E167" s="8"/>
      <c r="G167" s="54"/>
      <c r="H167" s="8"/>
    </row>
    <row r="168" spans="5:8" x14ac:dyDescent="0.2">
      <c r="E168" s="8"/>
      <c r="G168" s="54"/>
      <c r="H168" s="8"/>
    </row>
    <row r="169" spans="5:8" x14ac:dyDescent="0.2">
      <c r="E169" s="8"/>
      <c r="G169" s="54"/>
      <c r="H169" s="8"/>
    </row>
    <row r="170" spans="5:8" x14ac:dyDescent="0.2">
      <c r="E170" s="8"/>
      <c r="G170" s="54"/>
      <c r="H170" s="8"/>
    </row>
    <row r="171" spans="5:8" x14ac:dyDescent="0.2">
      <c r="E171" s="8"/>
      <c r="G171" s="54"/>
      <c r="H171" s="8"/>
    </row>
    <row r="172" spans="5:8" x14ac:dyDescent="0.2">
      <c r="E172" s="8"/>
      <c r="G172" s="54"/>
      <c r="H172" s="8"/>
    </row>
    <row r="173" spans="5:8" x14ac:dyDescent="0.2">
      <c r="E173" s="8"/>
      <c r="G173" s="54"/>
      <c r="H173" s="8"/>
    </row>
    <row r="174" spans="5:8" x14ac:dyDescent="0.2">
      <c r="E174" s="8"/>
      <c r="G174" s="54"/>
      <c r="H174" s="8"/>
    </row>
    <row r="175" spans="5:8" x14ac:dyDescent="0.2">
      <c r="E175" s="8"/>
      <c r="G175" s="54"/>
      <c r="H175" s="8"/>
    </row>
    <row r="176" spans="5:8" x14ac:dyDescent="0.2">
      <c r="E176" s="8"/>
      <c r="G176" s="54"/>
      <c r="H176" s="8"/>
    </row>
    <row r="177" spans="5:8" x14ac:dyDescent="0.2">
      <c r="E177" s="8"/>
      <c r="G177" s="54"/>
      <c r="H177" s="8"/>
    </row>
    <row r="178" spans="5:8" x14ac:dyDescent="0.2">
      <c r="E178" s="8"/>
      <c r="G178" s="54"/>
      <c r="H178" s="8"/>
    </row>
    <row r="179" spans="5:8" x14ac:dyDescent="0.2">
      <c r="E179" s="8"/>
      <c r="G179" s="54"/>
      <c r="H179" s="8"/>
    </row>
    <row r="180" spans="5:8" x14ac:dyDescent="0.2">
      <c r="E180" s="8"/>
      <c r="G180" s="54"/>
      <c r="H180" s="8"/>
    </row>
    <row r="181" spans="5:8" x14ac:dyDescent="0.2">
      <c r="E181" s="8"/>
      <c r="G181" s="54"/>
      <c r="H181" s="8"/>
    </row>
    <row r="182" spans="5:8" x14ac:dyDescent="0.2">
      <c r="E182" s="8"/>
      <c r="G182" s="54"/>
      <c r="H182" s="8"/>
    </row>
    <row r="183" spans="5:8" x14ac:dyDescent="0.2">
      <c r="E183" s="8"/>
      <c r="G183" s="54"/>
      <c r="H183" s="8"/>
    </row>
    <row r="184" spans="5:8" x14ac:dyDescent="0.2">
      <c r="E184" s="8"/>
      <c r="G184" s="54"/>
      <c r="H184" s="8"/>
    </row>
    <row r="185" spans="5:8" x14ac:dyDescent="0.2">
      <c r="E185" s="8"/>
      <c r="G185" s="54"/>
      <c r="H185" s="8"/>
    </row>
    <row r="186" spans="5:8" x14ac:dyDescent="0.2">
      <c r="E186" s="8"/>
      <c r="G186" s="54"/>
      <c r="H186" s="8"/>
    </row>
    <row r="187" spans="5:8" x14ac:dyDescent="0.2">
      <c r="E187" s="8"/>
      <c r="G187" s="54"/>
      <c r="H187" s="8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6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