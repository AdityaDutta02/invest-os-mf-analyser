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8_{6AC27D02-D80B-400B-B587-21D16E8918E2}" xr6:coauthVersionLast="47" xr6:coauthVersionMax="47" xr10:uidLastSave="{00000000-0000-0000-0000-000000000000}"/>
  <bookViews>
    <workbookView xWindow="16830" yWindow="10720" windowWidth="2370" windowHeight="560" tabRatio="669" xr2:uid="{7291B499-DD8C-4F12-BA28-9EE7F24AB421}"/>
  </bookViews>
  <sheets>
    <sheet name="JBLARGE" sheetId="3" r:id="rId1"/>
  </sheets>
  <definedNames>
    <definedName name="_xlnm.Print_Area" localSheetId="0">JBLARGE!$B$1:$H$199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3" i="3" l="1"/>
  <c r="F83" i="3"/>
  <c r="G75" i="3"/>
  <c r="G69" i="3"/>
  <c r="F69" i="3"/>
  <c r="F76" i="3" s="1"/>
  <c r="G76" i="3" l="1"/>
  <c r="F72" i="3"/>
  <c r="G72" i="3"/>
</calcChain>
</file>

<file path=xl/sharedStrings.xml><?xml version="1.0" encoding="utf-8"?>
<sst xmlns="http://schemas.openxmlformats.org/spreadsheetml/2006/main" count="296" uniqueCount="229">
  <si>
    <t>Quantity</t>
  </si>
  <si>
    <t>Market/Fair Value
 (Rs. in Lakhs)</t>
  </si>
  <si>
    <t>% to Net
 Assets</t>
  </si>
  <si>
    <t xml:space="preserve">Yield to Maturity </t>
  </si>
  <si>
    <t xml:space="preserve">Name of the Instrument </t>
  </si>
  <si>
    <t>ISIN</t>
  </si>
  <si>
    <t>Monthly Portfolio Statement as on April 30, 2026</t>
  </si>
  <si>
    <t>JioBlackRock Large Cap Fund</t>
  </si>
  <si>
    <t>Equity &amp; Equity related</t>
  </si>
  <si>
    <t>(a) Listed / awaiting listing on Stock Exchanges</t>
  </si>
  <si>
    <t>HDFC Bank Ltd</t>
  </si>
  <si>
    <t>INE040A01034</t>
  </si>
  <si>
    <t>Banks</t>
  </si>
  <si>
    <t>ICICI Bank Ltd</t>
  </si>
  <si>
    <t>INE090A01021</t>
  </si>
  <si>
    <t>Bharti Airtel Ltd</t>
  </si>
  <si>
    <t>INE397D01024</t>
  </si>
  <si>
    <t>Telecom - Services</t>
  </si>
  <si>
    <t>State Bank of India</t>
  </si>
  <si>
    <t>INE062A01020</t>
  </si>
  <si>
    <t>Mahindra &amp; Mahindra Ltd</t>
  </si>
  <si>
    <t>INE101A01026</t>
  </si>
  <si>
    <t>Automobiles</t>
  </si>
  <si>
    <t>Larsen &amp; Toubro Ltd</t>
  </si>
  <si>
    <t>INE018A01030</t>
  </si>
  <si>
    <t>Construction</t>
  </si>
  <si>
    <t>Reliance Industries Ltd</t>
  </si>
  <si>
    <t>INE002A01018</t>
  </si>
  <si>
    <t>Petroleum Products</t>
  </si>
  <si>
    <t>NTPC Ltd</t>
  </si>
  <si>
    <t>INE733E01010</t>
  </si>
  <si>
    <t>Power</t>
  </si>
  <si>
    <t>Infosys Ltd</t>
  </si>
  <si>
    <t>INE009A01021</t>
  </si>
  <si>
    <t>IT - Software</t>
  </si>
  <si>
    <t>Britannia Industries Ltd</t>
  </si>
  <si>
    <t>INE216A01030</t>
  </si>
  <si>
    <t>Food Products</t>
  </si>
  <si>
    <t>Indian Oil Corporation Ltd</t>
  </si>
  <si>
    <t>INE242A01010</t>
  </si>
  <si>
    <t>Escorts Kubota Ltd</t>
  </si>
  <si>
    <t>INE042A01014</t>
  </si>
  <si>
    <t>Agricultural, Commercial &amp; Construction Vehicles</t>
  </si>
  <si>
    <t>ITC Ltd</t>
  </si>
  <si>
    <t>INE154A01025</t>
  </si>
  <si>
    <t>Diversified FMCG</t>
  </si>
  <si>
    <t>Tata Steel Ltd</t>
  </si>
  <si>
    <t>INE081A01020</t>
  </si>
  <si>
    <t>Ferrous Metals</t>
  </si>
  <si>
    <t>Apollo Tyres Ltd</t>
  </si>
  <si>
    <t>INE438A01022</t>
  </si>
  <si>
    <t>Auto Components</t>
  </si>
  <si>
    <t>Interglobe Aviation Ltd</t>
  </si>
  <si>
    <t>INE646L01027</t>
  </si>
  <si>
    <t>Transport Services</t>
  </si>
  <si>
    <t>Nestle India Ltd</t>
  </si>
  <si>
    <t>INE239A01024</t>
  </si>
  <si>
    <t>Tata Consultancy Services Ltd</t>
  </si>
  <si>
    <t>INE467B01029</t>
  </si>
  <si>
    <t>Axis Bank Ltd</t>
  </si>
  <si>
    <t>INE238A01034</t>
  </si>
  <si>
    <t>Multi Commodity Exchange Of India Ltd</t>
  </si>
  <si>
    <t>INE745G01043</t>
  </si>
  <si>
    <t>Capital Markets</t>
  </si>
  <si>
    <t>Kotak Mahindra Bank Ltd</t>
  </si>
  <si>
    <t>INE237A01036</t>
  </si>
  <si>
    <t>Eternal Ltd</t>
  </si>
  <si>
    <t>INE758T01015</t>
  </si>
  <si>
    <t>Retailing</t>
  </si>
  <si>
    <t>Titan Co Ltd</t>
  </si>
  <si>
    <t>INE280A01028</t>
  </si>
  <si>
    <t>Consumer Durables</t>
  </si>
  <si>
    <t>ICICI Prudential Asset Management Co Ltd</t>
  </si>
  <si>
    <t>INE346A01027</t>
  </si>
  <si>
    <t>Federal Bank Ltd</t>
  </si>
  <si>
    <t>INE171A01029</t>
  </si>
  <si>
    <t>Sun Pharmaceutical Industries Ltd</t>
  </si>
  <si>
    <t>INE044A01036</t>
  </si>
  <si>
    <t>Pharmaceuticals &amp; Biotechnology</t>
  </si>
  <si>
    <t>Oil &amp; Natural Gas Corporation Ltd</t>
  </si>
  <si>
    <t>INE213A01029</t>
  </si>
  <si>
    <t>Oil</t>
  </si>
  <si>
    <t>SBI Life Insurance Co Ltd</t>
  </si>
  <si>
    <t>INE123W01016</t>
  </si>
  <si>
    <t>Insurance</t>
  </si>
  <si>
    <t>Samvardhana Motherson International Ltd</t>
  </si>
  <si>
    <t>INE775A01035</t>
  </si>
  <si>
    <t>Lenskart Solutions Ltd</t>
  </si>
  <si>
    <t>INE956O01016</t>
  </si>
  <si>
    <t>Tech Mahindra Ltd</t>
  </si>
  <si>
    <t>INE669C01036</t>
  </si>
  <si>
    <t>Vedanta Ltd</t>
  </si>
  <si>
    <t>INE205A01025</t>
  </si>
  <si>
    <t>Diversified Metals</t>
  </si>
  <si>
    <t>Life Insurance Corporation Of India</t>
  </si>
  <si>
    <t>INE0J1Y01017</t>
  </si>
  <si>
    <t>Hero MotoCorp Ltd</t>
  </si>
  <si>
    <t>INE158A01026</t>
  </si>
  <si>
    <t>Yes Bank Ltd</t>
  </si>
  <si>
    <t>INE528G01035</t>
  </si>
  <si>
    <t>Max Financial Services Ltd</t>
  </si>
  <si>
    <t>INE180A01020</t>
  </si>
  <si>
    <t>JSW Steel Ltd</t>
  </si>
  <si>
    <t>INE019A01038</t>
  </si>
  <si>
    <t>Ultratech Cement Ltd</t>
  </si>
  <si>
    <t>INE481G01011</t>
  </si>
  <si>
    <t>Cement &amp; Cement Products</t>
  </si>
  <si>
    <t>Billionbrains Garage Ventures Ltd</t>
  </si>
  <si>
    <t>INE0HOQ01053</t>
  </si>
  <si>
    <t>IPCA Laboratories Ltd</t>
  </si>
  <si>
    <t>INE571A01038</t>
  </si>
  <si>
    <t>Bharat Petroleum Corporation Ltd</t>
  </si>
  <si>
    <t>INE029A01011</t>
  </si>
  <si>
    <t>United Spirits Ltd</t>
  </si>
  <si>
    <t>INE854D01024</t>
  </si>
  <si>
    <t>Beverages</t>
  </si>
  <si>
    <t>INE704J01044</t>
  </si>
  <si>
    <t>INE694L01019</t>
  </si>
  <si>
    <t>INE1CDF01017</t>
  </si>
  <si>
    <t>Metals &amp; Minerals Trading</t>
  </si>
  <si>
    <t>INE1CLE01013</t>
  </si>
  <si>
    <t>Ashok Leyland Ltd</t>
  </si>
  <si>
    <t>INE208A01029</t>
  </si>
  <si>
    <t>Dr. Reddy's Laboratories Ltd</t>
  </si>
  <si>
    <t>INE089A01031</t>
  </si>
  <si>
    <t>Hindustan Petroleum Corporation Ltd</t>
  </si>
  <si>
    <t>INE094A01015</t>
  </si>
  <si>
    <t>Power Grid Corporation of India Ltd</t>
  </si>
  <si>
    <t>INE752E01010</t>
  </si>
  <si>
    <t>Steel Authority of India Ltd</t>
  </si>
  <si>
    <t>INE114A01011</t>
  </si>
  <si>
    <t>Asian Paints Ltd</t>
  </si>
  <si>
    <t>INE021A01026</t>
  </si>
  <si>
    <t>Schaeffler India Ltd</t>
  </si>
  <si>
    <t>INE513A01022</t>
  </si>
  <si>
    <t>Adani Enterprises Ltd</t>
  </si>
  <si>
    <t>INE423A01024</t>
  </si>
  <si>
    <t>MRF Ltd</t>
  </si>
  <si>
    <t>INE883A01011</t>
  </si>
  <si>
    <t>Ltm Ltd</t>
  </si>
  <si>
    <t>INE214T01019</t>
  </si>
  <si>
    <t>Eicher Motors Ltd</t>
  </si>
  <si>
    <t>INE066A01021</t>
  </si>
  <si>
    <t>United Breweries Ltd</t>
  </si>
  <si>
    <t>INE686F01025</t>
  </si>
  <si>
    <t>Laurus Labs Ltd</t>
  </si>
  <si>
    <t>INE947Q01028</t>
  </si>
  <si>
    <t>Mahindra &amp; Mahindra Financial Services Ltd</t>
  </si>
  <si>
    <t>INE774D01024</t>
  </si>
  <si>
    <t>Finance</t>
  </si>
  <si>
    <t>Nippon Life India Asset Management Ltd</t>
  </si>
  <si>
    <t>INE298J01013</t>
  </si>
  <si>
    <t>Oracle Financial Services Software Ltd</t>
  </si>
  <si>
    <t>INE881D01027</t>
  </si>
  <si>
    <t>Sub Total</t>
  </si>
  <si>
    <t xml:space="preserve">(b) Unlisted </t>
  </si>
  <si>
    <t>NIL</t>
  </si>
  <si>
    <t>Total</t>
  </si>
  <si>
    <t>TREPS</t>
  </si>
  <si>
    <t>Grand Total</t>
  </si>
  <si>
    <t>Margin on Derivatives</t>
  </si>
  <si>
    <t>Net Receivables / (Payables)</t>
  </si>
  <si>
    <t>Derivatives</t>
  </si>
  <si>
    <t>Long / Short</t>
  </si>
  <si>
    <t>Industry Classification</t>
  </si>
  <si>
    <t>Market/Fair Value (Rs. in Lakhs)</t>
  </si>
  <si>
    <t xml:space="preserve">% to Net Assets </t>
  </si>
  <si>
    <t>NIFTY 26-MAY-26 FUT</t>
  </si>
  <si>
    <t>Long</t>
  </si>
  <si>
    <t>Index</t>
  </si>
  <si>
    <t>Notes</t>
  </si>
  <si>
    <t xml:space="preserve">Scheme Risk-O-Meter </t>
  </si>
  <si>
    <t>** Non Traded Security</t>
  </si>
  <si>
    <t>Nil</t>
  </si>
  <si>
    <t>Benchmark Risk-O-Meter</t>
  </si>
  <si>
    <t>-</t>
  </si>
  <si>
    <t>(1) There is no security which is in default beyond its maturity/ interest payment date.</t>
  </si>
  <si>
    <t>Plan/ Option</t>
  </si>
  <si>
    <t>As on April 30, 2026</t>
  </si>
  <si>
    <t>Direct Plan - Growth Option</t>
  </si>
  <si>
    <t>(2) Aggregate value of illiquid equity shares of the fund amounts to Rs. Nil and their percentage to net asset value is Nil.</t>
  </si>
  <si>
    <t>(3) Plan/ Option wise per unit net asset value are as follows:</t>
  </si>
  <si>
    <t>N.A.</t>
  </si>
  <si>
    <t>Underlying</t>
  </si>
  <si>
    <t>Long/Short</t>
  </si>
  <si>
    <t>Futures Price When purchased</t>
  </si>
  <si>
    <t>Current price of the contract</t>
  </si>
  <si>
    <t>Margin maintained
in Rs. Lakhs</t>
  </si>
  <si>
    <t>Total percentage of existing assets hedged through futures: Nil</t>
  </si>
  <si>
    <t>Number of contracts bought</t>
  </si>
  <si>
    <t>Number of contracts Sold</t>
  </si>
  <si>
    <t>Gross Notional Value of contracts where futures were bought  in Rs. Lakhs</t>
  </si>
  <si>
    <t>Gross Notional Value of contracts where futures were  sold in Rs. Lakhs</t>
  </si>
  <si>
    <t>Net Profit/Loss value on all contracts in Rs. Lakhs</t>
  </si>
  <si>
    <t xml:space="preserve">     </t>
  </si>
  <si>
    <t>Number of Contracts</t>
  </si>
  <si>
    <t>Option Price when purchased</t>
  </si>
  <si>
    <t>Current Option Price</t>
  </si>
  <si>
    <t>Total percentage of existing assets hedged through put options: Nil</t>
  </si>
  <si>
    <t>Number of contracts entered</t>
  </si>
  <si>
    <t>Gross Notional Value of contracts in Rs. Lakhs</t>
  </si>
  <si>
    <t>Net profit/ (loss) on all contracts (premium paid treated as (loss))</t>
  </si>
  <si>
    <t>Call/ put</t>
  </si>
  <si>
    <t>Number of contracts</t>
  </si>
  <si>
    <t>Option price when purchased</t>
  </si>
  <si>
    <t>Current price</t>
  </si>
  <si>
    <t>Total exposure through options as a percentage of net assets: Nil</t>
  </si>
  <si>
    <t>(4) There was no distribution (of income and capital) during the month ended April 30, 2026.</t>
  </si>
  <si>
    <t>(6) Total market value of investments in foreign securities/ American Depository Receipts/ Global Depository Receipts as at April 30, 2026 is Rs. Nil.</t>
  </si>
  <si>
    <t>(8) Repo transactions in corporate debt securities as on April 30, 2026 is Rs. Nil.</t>
  </si>
  <si>
    <t>Benchmark Name - BSE 100 Index (TRI)</t>
  </si>
  <si>
    <t>e) Hedging positions through Swaps as on April 30, 2026  - Nil</t>
  </si>
  <si>
    <t>(5) Exposure to Derivative Instruments as on April 30, 2026:</t>
  </si>
  <si>
    <t>a)  Hedging positions through futures as on April 30, 2026 is :</t>
  </si>
  <si>
    <t>b) Other than Hedging Positions through Futures as on April 30, 2026 is :</t>
  </si>
  <si>
    <t>c) Hedging positions through Put options as on April 30, 2026</t>
  </si>
  <si>
    <t>d) Other than hedging positions through options as on April 30, 2026</t>
  </si>
  <si>
    <t>For the period ended April 30, 2026, following details specified for non-hedging transactions through options which have already been exercised/ expired:</t>
  </si>
  <si>
    <t>* Scheme Introduced during the month ended April 30, 2026, hence there are no NAVs at the beginning of the period.</t>
  </si>
  <si>
    <t>As on March 31, 2026*</t>
  </si>
  <si>
    <t>For the Month ended April 30, 2026 following were the non-hedging transactions through futures which have been squared off/expired:</t>
  </si>
  <si>
    <t>For the Month ended April 30, 2026, following details specified for hedging transactions through Put options which have already been exercised/ expired:</t>
  </si>
  <si>
    <t>Vedanta Iron And Steel Ltd **</t>
  </si>
  <si>
    <t>Talwandi Sabo Power Ltd **</t>
  </si>
  <si>
    <t>Malco Energy Ltd **</t>
  </si>
  <si>
    <t>Vedanta Aluminium Metal Ltd **</t>
  </si>
  <si>
    <t>For the Month ended April 30, 2026 following were the hedging transactions through futures which have been squared off/expired:</t>
  </si>
  <si>
    <t>(7) During the period, the portfolio turnover ratio is 0.13 times.</t>
  </si>
  <si>
    <t>Total exposure due to futures (non hedging positions) as a percentage of net assets: 0.46%.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</si>
</sst>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_);_(* \(#,##0.00\);_(* &quot;-&quot;??_);_(@_)"/>
    <numFmt numFmtId="165" formatCode="#,##0.00%"/>
    <numFmt numFmtId="166" formatCode="#,##0;\(#,##0.\)"/>
    <numFmt numFmtId="169" formatCode="#,##0.0000_ ;\-#,##0.0000\ "/>
  </numFmts>
  <fonts count="14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9"/>
      <color theme="1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8"/>
      <color rgb="FFFF0000"/>
      <name val="Arial"/>
      <family val="2"/>
    </font>
    <font>
      <b/>
      <sz val="8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43" fontId="10" fillId="0" borderId="0" applyFont="0" applyFill="0" applyBorder="0" applyAlignment="0" applyProtection="0"/>
  </cellStyleXfs>
  <cellXfs count="107">
    <xf numFmtId="0" fontId="0" fillId="0" borderId="0" xfId="0"/>
    <xf numFmtId="0" fontId="4" fillId="2" borderId="0" xfId="0" applyFont="1" applyFill="1"/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4" fontId="2" fillId="2" borderId="0" xfId="0" applyNumberFormat="1" applyFont="1" applyFill="1" applyAlignment="1">
      <alignment horizontal="left" vertical="top" wrapText="1"/>
    </xf>
    <xf numFmtId="4" fontId="4" fillId="2" borderId="0" xfId="0" applyNumberFormat="1" applyFont="1" applyFill="1"/>
    <xf numFmtId="0" fontId="6" fillId="2" borderId="0" xfId="0" applyFont="1" applyFill="1"/>
    <xf numFmtId="0" fontId="3" fillId="2" borderId="0" xfId="0" applyFont="1" applyFill="1" applyAlignment="1">
      <alignment horizontal="left" vertical="top"/>
    </xf>
    <xf numFmtId="39" fontId="6" fillId="2" borderId="0" xfId="0" applyNumberFormat="1" applyFont="1" applyFill="1"/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wrapText="1"/>
    </xf>
    <xf numFmtId="10" fontId="6" fillId="2" borderId="0" xfId="0" applyNumberFormat="1" applyFont="1" applyFill="1"/>
    <xf numFmtId="10" fontId="4" fillId="2" borderId="0" xfId="0" applyNumberFormat="1" applyFont="1" applyFill="1"/>
    <xf numFmtId="0" fontId="4" fillId="2" borderId="0" xfId="0" applyFont="1" applyFill="1" applyAlignment="1">
      <alignment horizontal="center" vertical="center" wrapText="1"/>
    </xf>
    <xf numFmtId="39" fontId="6" fillId="3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5" fillId="0" borderId="5" xfId="0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2" fontId="5" fillId="0" borderId="5" xfId="0" applyNumberFormat="1" applyFont="1" applyBorder="1" applyAlignment="1">
      <alignment horizontal="center" vertical="center" wrapText="1"/>
    </xf>
    <xf numFmtId="39" fontId="5" fillId="0" borderId="5" xfId="0" applyNumberFormat="1" applyFont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 wrapText="1"/>
    </xf>
    <xf numFmtId="0" fontId="5" fillId="2" borderId="6" xfId="0" applyFont="1" applyFill="1" applyBorder="1"/>
    <xf numFmtId="0" fontId="6" fillId="2" borderId="6" xfId="0" applyFont="1" applyFill="1" applyBorder="1"/>
    <xf numFmtId="39" fontId="6" fillId="2" borderId="6" xfId="0" applyNumberFormat="1" applyFont="1" applyFill="1" applyBorder="1"/>
    <xf numFmtId="39" fontId="6" fillId="3" borderId="6" xfId="0" applyNumberFormat="1" applyFont="1" applyFill="1" applyBorder="1"/>
    <xf numFmtId="10" fontId="6" fillId="2" borderId="6" xfId="0" applyNumberFormat="1" applyFont="1" applyFill="1" applyBorder="1"/>
    <xf numFmtId="3" fontId="6" fillId="2" borderId="6" xfId="0" applyNumberFormat="1" applyFont="1" applyFill="1" applyBorder="1"/>
    <xf numFmtId="165" fontId="6" fillId="2" borderId="6" xfId="0" applyNumberFormat="1" applyFont="1" applyFill="1" applyBorder="1"/>
    <xf numFmtId="39" fontId="5" fillId="2" borderId="7" xfId="0" applyNumberFormat="1" applyFont="1" applyFill="1" applyBorder="1"/>
    <xf numFmtId="39" fontId="5" fillId="3" borderId="7" xfId="0" applyNumberFormat="1" applyFont="1" applyFill="1" applyBorder="1"/>
    <xf numFmtId="10" fontId="5" fillId="2" borderId="6" xfId="0" applyNumberFormat="1" applyFont="1" applyFill="1" applyBorder="1"/>
    <xf numFmtId="39" fontId="5" fillId="2" borderId="6" xfId="0" applyNumberFormat="1" applyFont="1" applyFill="1" applyBorder="1" applyAlignment="1">
      <alignment horizontal="right"/>
    </xf>
    <xf numFmtId="39" fontId="5" fillId="3" borderId="6" xfId="0" applyNumberFormat="1" applyFont="1" applyFill="1" applyBorder="1" applyAlignment="1">
      <alignment horizontal="right"/>
    </xf>
    <xf numFmtId="39" fontId="5" fillId="2" borderId="8" xfId="0" applyNumberFormat="1" applyFont="1" applyFill="1" applyBorder="1" applyAlignment="1">
      <alignment horizontal="right"/>
    </xf>
    <xf numFmtId="39" fontId="5" fillId="3" borderId="8" xfId="0" applyNumberFormat="1" applyFont="1" applyFill="1" applyBorder="1" applyAlignment="1">
      <alignment horizontal="right"/>
    </xf>
    <xf numFmtId="0" fontId="5" fillId="2" borderId="9" xfId="0" applyFont="1" applyFill="1" applyBorder="1"/>
    <xf numFmtId="39" fontId="5" fillId="2" borderId="9" xfId="0" applyNumberFormat="1" applyFont="1" applyFill="1" applyBorder="1"/>
    <xf numFmtId="39" fontId="5" fillId="3" borderId="9" xfId="0" applyNumberFormat="1" applyFont="1" applyFill="1" applyBorder="1"/>
    <xf numFmtId="0" fontId="5" fillId="2" borderId="10" xfId="0" applyFont="1" applyFill="1" applyBorder="1"/>
    <xf numFmtId="39" fontId="5" fillId="2" borderId="10" xfId="0" applyNumberFormat="1" applyFont="1" applyFill="1" applyBorder="1"/>
    <xf numFmtId="39" fontId="5" fillId="3" borderId="10" xfId="0" applyNumberFormat="1" applyFont="1" applyFill="1" applyBorder="1"/>
    <xf numFmtId="10" fontId="5" fillId="2" borderId="11" xfId="0" applyNumberFormat="1" applyFont="1" applyFill="1" applyBorder="1"/>
    <xf numFmtId="0" fontId="5" fillId="2" borderId="7" xfId="0" applyFont="1" applyFill="1" applyBorder="1"/>
    <xf numFmtId="0" fontId="5" fillId="2" borderId="1" xfId="0" applyFont="1" applyFill="1" applyBorder="1"/>
    <xf numFmtId="39" fontId="5" fillId="2" borderId="1" xfId="0" applyNumberFormat="1" applyFont="1" applyFill="1" applyBorder="1"/>
    <xf numFmtId="39" fontId="5" fillId="3" borderId="1" xfId="0" applyNumberFormat="1" applyFont="1" applyFill="1" applyBorder="1"/>
    <xf numFmtId="0" fontId="6" fillId="2" borderId="1" xfId="0" applyFont="1" applyFill="1" applyBorder="1"/>
    <xf numFmtId="166" fontId="6" fillId="2" borderId="1" xfId="0" applyNumberFormat="1" applyFont="1" applyFill="1" applyBorder="1"/>
    <xf numFmtId="39" fontId="6" fillId="2" borderId="1" xfId="0" applyNumberFormat="1" applyFont="1" applyFill="1" applyBorder="1"/>
    <xf numFmtId="39" fontId="6" fillId="3" borderId="1" xfId="0" applyNumberFormat="1" applyFont="1" applyFill="1" applyBorder="1"/>
    <xf numFmtId="0" fontId="9" fillId="2" borderId="0" xfId="1" applyFill="1"/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/>
    <xf numFmtId="0" fontId="6" fillId="2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5" fillId="2" borderId="10" xfId="0" applyFont="1" applyFill="1" applyBorder="1" applyAlignment="1">
      <alignment vertical="center"/>
    </xf>
    <xf numFmtId="0" fontId="6" fillId="2" borderId="10" xfId="0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5" fillId="2" borderId="10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0" fontId="11" fillId="3" borderId="0" xfId="0" applyFont="1" applyFill="1"/>
    <xf numFmtId="0" fontId="11" fillId="3" borderId="0" xfId="0" applyFont="1" applyFill="1" applyAlignment="1">
      <alignment horizontal="left"/>
    </xf>
    <xf numFmtId="0" fontId="11" fillId="3" borderId="12" xfId="0" applyFont="1" applyFill="1" applyBorder="1" applyAlignment="1">
      <alignment horizontal="justify" vertical="center"/>
    </xf>
    <xf numFmtId="43" fontId="11" fillId="3" borderId="11" xfId="2" applyFont="1" applyFill="1" applyBorder="1" applyAlignment="1">
      <alignment horizontal="justify" vertical="center"/>
    </xf>
    <xf numFmtId="43" fontId="11" fillId="3" borderId="13" xfId="2" applyFont="1" applyFill="1" applyBorder="1" applyAlignment="1">
      <alignment horizontal="center" vertical="center"/>
    </xf>
    <xf numFmtId="43" fontId="11" fillId="3" borderId="11" xfId="2" applyFont="1" applyFill="1" applyBorder="1" applyAlignment="1">
      <alignment horizontal="right" vertical="center"/>
    </xf>
    <xf numFmtId="43" fontId="11" fillId="3" borderId="0" xfId="2" applyFont="1" applyFill="1" applyAlignment="1">
      <alignment horizontal="justify" vertical="center"/>
    </xf>
    <xf numFmtId="2" fontId="11" fillId="3" borderId="0" xfId="0" applyNumberFormat="1" applyFont="1" applyFill="1" applyAlignment="1">
      <alignment horizontal="center" vertical="center"/>
    </xf>
    <xf numFmtId="0" fontId="11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justify" vertical="center"/>
    </xf>
    <xf numFmtId="0" fontId="6" fillId="3" borderId="0" xfId="0" applyFont="1" applyFill="1"/>
    <xf numFmtId="0" fontId="3" fillId="3" borderId="0" xfId="0" applyFont="1" applyFill="1" applyAlignment="1">
      <alignment vertical="top"/>
    </xf>
    <xf numFmtId="169" fontId="12" fillId="3" borderId="0" xfId="0" applyNumberFormat="1" applyFont="1" applyFill="1" applyAlignment="1">
      <alignment horizontal="center" vertical="top"/>
    </xf>
    <xf numFmtId="0" fontId="12" fillId="3" borderId="0" xfId="0" applyFont="1" applyFill="1" applyAlignment="1">
      <alignment vertical="top"/>
    </xf>
    <xf numFmtId="0" fontId="13" fillId="3" borderId="0" xfId="0" applyFont="1" applyFill="1" applyAlignment="1">
      <alignment vertical="top"/>
    </xf>
    <xf numFmtId="0" fontId="11" fillId="3" borderId="0" xfId="0" applyFont="1" applyFill="1" applyAlignment="1">
      <alignment vertical="top"/>
    </xf>
    <xf numFmtId="169" fontId="11" fillId="3" borderId="0" xfId="0" applyNumberFormat="1" applyFont="1" applyFill="1" applyAlignment="1">
      <alignment horizontal="center" vertical="top"/>
    </xf>
    <xf numFmtId="3" fontId="11" fillId="3" borderId="0" xfId="0" applyNumberFormat="1" applyFont="1" applyFill="1" applyAlignment="1">
      <alignment horizontal="center" vertical="center"/>
    </xf>
    <xf numFmtId="3" fontId="11" fillId="3" borderId="0" xfId="0" applyNumberFormat="1" applyFont="1" applyFill="1" applyAlignment="1">
      <alignment horizontal="left" vertical="center"/>
    </xf>
    <xf numFmtId="3" fontId="3" fillId="3" borderId="0" xfId="0" applyNumberFormat="1" applyFont="1" applyFill="1" applyAlignment="1">
      <alignment horizontal="left" vertical="center"/>
    </xf>
    <xf numFmtId="39" fontId="6" fillId="0" borderId="6" xfId="0" applyNumberFormat="1" applyFont="1" applyBorder="1"/>
    <xf numFmtId="0" fontId="5" fillId="2" borderId="1" xfId="0" applyFont="1" applyFill="1" applyBorder="1" applyAlignment="1">
      <alignment vertical="center" wrapText="1"/>
    </xf>
    <xf numFmtId="39" fontId="5" fillId="3" borderId="1" xfId="0" applyNumberFormat="1" applyFont="1" applyFill="1" applyBorder="1" applyAlignment="1">
      <alignment vertical="center" wrapText="1"/>
    </xf>
    <xf numFmtId="39" fontId="5" fillId="2" borderId="1" xfId="0" applyNumberFormat="1" applyFont="1" applyFill="1" applyBorder="1" applyAlignment="1">
      <alignment vertical="center" wrapText="1"/>
    </xf>
    <xf numFmtId="3" fontId="11" fillId="0" borderId="12" xfId="0" applyNumberFormat="1" applyFont="1" applyFill="1" applyBorder="1" applyAlignment="1">
      <alignment horizontal="center" vertical="center"/>
    </xf>
    <xf numFmtId="4" fontId="11" fillId="0" borderId="12" xfId="0" applyNumberFormat="1" applyFont="1" applyFill="1" applyBorder="1" applyAlignment="1">
      <alignment horizontal="center" vertical="center"/>
    </xf>
    <xf numFmtId="43" fontId="11" fillId="0" borderId="11" xfId="2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vertical="center"/>
    </xf>
    <xf numFmtId="0" fontId="11" fillId="0" borderId="12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3" fontId="11" fillId="3" borderId="10" xfId="0" applyNumberFormat="1" applyFont="1" applyFill="1" applyBorder="1" applyAlignment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0" fontId="3" fillId="0" borderId="11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0" fontId="8" fillId="0" borderId="0" xfId="0" applyFont="1"/>
  </cellXfs>
  <cellStyles count="3">
    <cellStyle name="Comma" xfId="2" builtinId="3"/>
    <cellStyle name="Hyperlink" xfId="1" builtinId="8"/>
    <cellStyle name="Normal" xfId="0" builtinId="0"/>
  </cellStyles>
  <dxfs count="2">
    <dxf>
      <numFmt numFmtId="172" formatCode="&quot;0.00*&quot;"/>
    </dxf>
    <dxf>
      <numFmt numFmtId="172" formatCode="&quot;0.00*&quot;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1393825</xdr:colOff>
      <xdr:row>154</xdr:row>
      <xdr:rowOff>120650</xdr:rowOff>
    </xdr:from>
    <xdr:to>
      <xdr:col>3</xdr:col>
      <xdr:colOff>625701</xdr:colOff>
      <xdr:row>172</xdr:row>
      <xdr:rowOff>117475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7BD087-5B3C-4291-91E1-126C939BF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93888" y="20972463"/>
          <a:ext cx="5169126" cy="2282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1468437</xdr:colOff>
      <xdr:row>181</xdr:row>
      <xdr:rowOff>123825</xdr:rowOff>
    </xdr:from>
    <xdr:to>
      <xdr:col>3</xdr:col>
      <xdr:colOff>889000</xdr:colOff>
      <xdr:row>197</xdr:row>
      <xdr:rowOff>19050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643C72-2215-4878-9B71-ED723581D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68500" y="24420513"/>
          <a:ext cx="5357813" cy="1927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904EF-26EE-443D-82BE-FC3A39FD743E}">
  <dimension ref="A1:J198"/>
  <sheetViews>
    <sheetView tabSelected="1" view="pageBreakPreview" topLeftCell="B107" zoomScaleNormal="100" zoomScaleSheetLayoutView="100" workbookViewId="0">
      <selection activeCell="B135" sqref="B135"/>
    </sheetView>
  </sheetViews>
  <sheetFormatPr defaultColWidth="9.1796875" defaultRowHeight="10" x14ac:dyDescent="0.2"/>
  <cols>
    <col min="1" max="1" width="7.1796875" style="6" customWidth="1"/>
    <col min="2" max="2" width="65.54296875" style="6" bestFit="1" customWidth="1"/>
    <col min="3" max="3" width="19.453125" style="6" customWidth="1"/>
    <col min="4" max="4" width="33.7265625" style="6" customWidth="1"/>
    <col min="5" max="5" width="22.7265625" style="6" customWidth="1"/>
    <col min="6" max="6" width="22.81640625" style="8" bestFit="1" customWidth="1"/>
    <col min="7" max="7" width="12.1796875" style="14" bestFit="1" customWidth="1"/>
    <col min="8" max="8" width="11.81640625" style="11" bestFit="1" customWidth="1"/>
    <col min="9" max="9" width="25.81640625" style="6" customWidth="1"/>
    <col min="10" max="16384" width="9.1796875" style="6"/>
  </cols>
  <sheetData>
    <row r="1" spans="1:10" s="1" customFormat="1" ht="16.75" customHeight="1" x14ac:dyDescent="0.35">
      <c r="B1" s="105" t="s">
        <v>7</v>
      </c>
      <c r="C1" s="106"/>
      <c r="D1" s="10"/>
      <c r="F1" s="5"/>
      <c r="G1" s="14"/>
      <c r="H1" s="12"/>
    </row>
    <row r="2" spans="1:10" s="1" customFormat="1" ht="14.5" x14ac:dyDescent="0.35">
      <c r="A2" s="51" t="s">
        <v>175</v>
      </c>
      <c r="F2" s="5"/>
      <c r="G2" s="14"/>
      <c r="H2" s="12"/>
    </row>
    <row r="3" spans="1:10" s="1" customFormat="1" ht="11.5" x14ac:dyDescent="0.25">
      <c r="B3" s="7" t="s">
        <v>6</v>
      </c>
      <c r="C3" s="2"/>
      <c r="D3" s="3"/>
      <c r="E3" s="3"/>
      <c r="F3" s="4"/>
      <c r="G3" s="14"/>
      <c r="H3" s="12"/>
    </row>
    <row r="4" spans="1:10" s="1" customFormat="1" ht="25.5" customHeight="1" x14ac:dyDescent="0.25">
      <c r="B4" s="17" t="s">
        <v>4</v>
      </c>
      <c r="C4" s="17" t="s">
        <v>5</v>
      </c>
      <c r="D4" s="18" t="s">
        <v>164</v>
      </c>
      <c r="E4" s="18" t="s">
        <v>0</v>
      </c>
      <c r="F4" s="19" t="s">
        <v>1</v>
      </c>
      <c r="G4" s="20" t="s">
        <v>2</v>
      </c>
      <c r="H4" s="21" t="s">
        <v>3</v>
      </c>
      <c r="I4" s="13"/>
      <c r="J4" s="9"/>
    </row>
    <row r="5" spans="1:10" ht="10.5" x14ac:dyDescent="0.25">
      <c r="B5" s="22" t="s">
        <v>8</v>
      </c>
      <c r="C5" s="23"/>
      <c r="D5" s="23"/>
      <c r="E5" s="23"/>
      <c r="F5" s="24"/>
      <c r="G5" s="25"/>
      <c r="H5" s="26"/>
    </row>
    <row r="6" spans="1:10" ht="10.5" x14ac:dyDescent="0.25">
      <c r="B6" s="22" t="s">
        <v>9</v>
      </c>
      <c r="C6" s="23"/>
      <c r="D6" s="23"/>
      <c r="E6" s="23"/>
      <c r="F6" s="24"/>
      <c r="G6" s="25"/>
      <c r="H6" s="26"/>
    </row>
    <row r="7" spans="1:10" x14ac:dyDescent="0.2">
      <c r="B7" s="23" t="s">
        <v>10</v>
      </c>
      <c r="C7" s="23" t="s">
        <v>11</v>
      </c>
      <c r="D7" s="23" t="s">
        <v>12</v>
      </c>
      <c r="E7" s="27">
        <v>40210</v>
      </c>
      <c r="F7" s="24">
        <v>310.30056999999999</v>
      </c>
      <c r="G7" s="25">
        <v>9.1807738163936907</v>
      </c>
      <c r="H7" s="28"/>
    </row>
    <row r="8" spans="1:10" x14ac:dyDescent="0.2">
      <c r="B8" s="23" t="s">
        <v>13</v>
      </c>
      <c r="C8" s="23" t="s">
        <v>14</v>
      </c>
      <c r="D8" s="23" t="s">
        <v>12</v>
      </c>
      <c r="E8" s="27">
        <v>21116</v>
      </c>
      <c r="F8" s="24">
        <v>266.77954399999999</v>
      </c>
      <c r="G8" s="25">
        <v>7.8931297235601203</v>
      </c>
      <c r="H8" s="28"/>
    </row>
    <row r="9" spans="1:10" x14ac:dyDescent="0.2">
      <c r="B9" s="23" t="s">
        <v>15</v>
      </c>
      <c r="C9" s="23" t="s">
        <v>16</v>
      </c>
      <c r="D9" s="23" t="s">
        <v>17</v>
      </c>
      <c r="E9" s="27">
        <v>11482</v>
      </c>
      <c r="F9" s="24">
        <v>216.64237600000001</v>
      </c>
      <c r="G9" s="25">
        <v>6.4097357381654696</v>
      </c>
      <c r="H9" s="28"/>
    </row>
    <row r="10" spans="1:10" x14ac:dyDescent="0.2">
      <c r="B10" s="23" t="s">
        <v>18</v>
      </c>
      <c r="C10" s="23" t="s">
        <v>19</v>
      </c>
      <c r="D10" s="23" t="s">
        <v>12</v>
      </c>
      <c r="E10" s="27">
        <v>17669</v>
      </c>
      <c r="F10" s="24">
        <v>188.78443050000001</v>
      </c>
      <c r="G10" s="25">
        <v>5.5855107081408004</v>
      </c>
      <c r="H10" s="28"/>
    </row>
    <row r="11" spans="1:10" x14ac:dyDescent="0.2">
      <c r="B11" s="23" t="s">
        <v>20</v>
      </c>
      <c r="C11" s="23" t="s">
        <v>21</v>
      </c>
      <c r="D11" s="23" t="s">
        <v>22</v>
      </c>
      <c r="E11" s="27">
        <v>4759</v>
      </c>
      <c r="F11" s="24">
        <v>147.41002499999999</v>
      </c>
      <c r="G11" s="25">
        <v>4.3613780593246698</v>
      </c>
      <c r="H11" s="28"/>
    </row>
    <row r="12" spans="1:10" x14ac:dyDescent="0.2">
      <c r="B12" s="23" t="s">
        <v>23</v>
      </c>
      <c r="C12" s="23" t="s">
        <v>24</v>
      </c>
      <c r="D12" s="23" t="s">
        <v>25</v>
      </c>
      <c r="E12" s="27">
        <v>3556</v>
      </c>
      <c r="F12" s="24">
        <v>142.73784000000001</v>
      </c>
      <c r="G12" s="25">
        <v>4.2231434640309997</v>
      </c>
      <c r="H12" s="28"/>
    </row>
    <row r="13" spans="1:10" x14ac:dyDescent="0.2">
      <c r="B13" s="23" t="s">
        <v>26</v>
      </c>
      <c r="C13" s="23" t="s">
        <v>27</v>
      </c>
      <c r="D13" s="23" t="s">
        <v>28</v>
      </c>
      <c r="E13" s="27">
        <v>9425</v>
      </c>
      <c r="F13" s="24">
        <v>134.85290000000001</v>
      </c>
      <c r="G13" s="25">
        <v>3.98985400956485</v>
      </c>
      <c r="H13" s="28"/>
    </row>
    <row r="14" spans="1:10" x14ac:dyDescent="0.2">
      <c r="B14" s="23" t="s">
        <v>29</v>
      </c>
      <c r="C14" s="23" t="s">
        <v>30</v>
      </c>
      <c r="D14" s="23" t="s">
        <v>31</v>
      </c>
      <c r="E14" s="27">
        <v>30950</v>
      </c>
      <c r="F14" s="24">
        <v>123.536925</v>
      </c>
      <c r="G14" s="25">
        <v>3.6550515082772499</v>
      </c>
      <c r="H14" s="28"/>
    </row>
    <row r="15" spans="1:10" x14ac:dyDescent="0.2">
      <c r="B15" s="23" t="s">
        <v>32</v>
      </c>
      <c r="C15" s="23" t="s">
        <v>33</v>
      </c>
      <c r="D15" s="23" t="s">
        <v>34</v>
      </c>
      <c r="E15" s="27">
        <v>10164</v>
      </c>
      <c r="F15" s="24">
        <v>120.11815199999999</v>
      </c>
      <c r="G15" s="25">
        <v>3.5539012537269801</v>
      </c>
      <c r="H15" s="28"/>
    </row>
    <row r="16" spans="1:10" x14ac:dyDescent="0.2">
      <c r="B16" s="23" t="s">
        <v>35</v>
      </c>
      <c r="C16" s="23" t="s">
        <v>36</v>
      </c>
      <c r="D16" s="23" t="s">
        <v>37</v>
      </c>
      <c r="E16" s="27">
        <v>1877</v>
      </c>
      <c r="F16" s="24">
        <v>107.47702</v>
      </c>
      <c r="G16" s="25">
        <v>3.17989171299305</v>
      </c>
      <c r="H16" s="28"/>
    </row>
    <row r="17" spans="2:8" x14ac:dyDescent="0.2">
      <c r="B17" s="23" t="s">
        <v>38</v>
      </c>
      <c r="C17" s="23" t="s">
        <v>39</v>
      </c>
      <c r="D17" s="23" t="s">
        <v>28</v>
      </c>
      <c r="E17" s="27">
        <v>70827</v>
      </c>
      <c r="F17" s="24">
        <v>100.7514075</v>
      </c>
      <c r="G17" s="25">
        <v>2.9809029481989402</v>
      </c>
      <c r="H17" s="28"/>
    </row>
    <row r="18" spans="2:8" x14ac:dyDescent="0.2">
      <c r="B18" s="23" t="s">
        <v>40</v>
      </c>
      <c r="C18" s="23" t="s">
        <v>41</v>
      </c>
      <c r="D18" s="23" t="s">
        <v>42</v>
      </c>
      <c r="E18" s="27">
        <v>2946</v>
      </c>
      <c r="F18" s="24">
        <v>95.497535999999997</v>
      </c>
      <c r="G18" s="25">
        <v>2.8254581615461198</v>
      </c>
      <c r="H18" s="28"/>
    </row>
    <row r="19" spans="2:8" x14ac:dyDescent="0.2">
      <c r="B19" s="23" t="s">
        <v>43</v>
      </c>
      <c r="C19" s="23" t="s">
        <v>44</v>
      </c>
      <c r="D19" s="23" t="s">
        <v>45</v>
      </c>
      <c r="E19" s="27">
        <v>28086</v>
      </c>
      <c r="F19" s="24">
        <v>88.442813999999998</v>
      </c>
      <c r="G19" s="25">
        <v>2.6167321285274401</v>
      </c>
      <c r="H19" s="28"/>
    </row>
    <row r="20" spans="2:8" x14ac:dyDescent="0.2">
      <c r="B20" s="23" t="s">
        <v>46</v>
      </c>
      <c r="C20" s="23" t="s">
        <v>47</v>
      </c>
      <c r="D20" s="23" t="s">
        <v>48</v>
      </c>
      <c r="E20" s="27">
        <v>40152</v>
      </c>
      <c r="F20" s="24">
        <v>84.865267200000005</v>
      </c>
      <c r="G20" s="25">
        <v>2.5108842791716901</v>
      </c>
      <c r="H20" s="28"/>
    </row>
    <row r="21" spans="2:8" x14ac:dyDescent="0.2">
      <c r="B21" s="23" t="s">
        <v>49</v>
      </c>
      <c r="C21" s="23" t="s">
        <v>50</v>
      </c>
      <c r="D21" s="23" t="s">
        <v>51</v>
      </c>
      <c r="E21" s="27">
        <v>20682</v>
      </c>
      <c r="F21" s="24">
        <v>84.465288000000001</v>
      </c>
      <c r="G21" s="25">
        <v>2.4990502094938201</v>
      </c>
      <c r="H21" s="28"/>
    </row>
    <row r="22" spans="2:8" x14ac:dyDescent="0.2">
      <c r="B22" s="23" t="s">
        <v>52</v>
      </c>
      <c r="C22" s="23" t="s">
        <v>53</v>
      </c>
      <c r="D22" s="23" t="s">
        <v>54</v>
      </c>
      <c r="E22" s="27">
        <v>1718</v>
      </c>
      <c r="F22" s="24">
        <v>73.793254000000005</v>
      </c>
      <c r="G22" s="25">
        <v>2.1832998055713801</v>
      </c>
      <c r="H22" s="28"/>
    </row>
    <row r="23" spans="2:8" x14ac:dyDescent="0.2">
      <c r="B23" s="23" t="s">
        <v>55</v>
      </c>
      <c r="C23" s="23" t="s">
        <v>56</v>
      </c>
      <c r="D23" s="23" t="s">
        <v>37</v>
      </c>
      <c r="E23" s="27">
        <v>4739</v>
      </c>
      <c r="F23" s="24">
        <v>69.123053999999996</v>
      </c>
      <c r="G23" s="25">
        <v>2.0451239399024201</v>
      </c>
      <c r="H23" s="28"/>
    </row>
    <row r="24" spans="2:8" x14ac:dyDescent="0.2">
      <c r="B24" s="23" t="s">
        <v>57</v>
      </c>
      <c r="C24" s="23" t="s">
        <v>58</v>
      </c>
      <c r="D24" s="23" t="s">
        <v>34</v>
      </c>
      <c r="E24" s="27">
        <v>2603</v>
      </c>
      <c r="F24" s="24">
        <v>64.395617000000001</v>
      </c>
      <c r="G24" s="25">
        <v>1.9052546195584401</v>
      </c>
      <c r="H24" s="28"/>
    </row>
    <row r="25" spans="2:8" x14ac:dyDescent="0.2">
      <c r="B25" s="23" t="s">
        <v>59</v>
      </c>
      <c r="C25" s="23" t="s">
        <v>60</v>
      </c>
      <c r="D25" s="23" t="s">
        <v>12</v>
      </c>
      <c r="E25" s="27">
        <v>4766</v>
      </c>
      <c r="F25" s="24">
        <v>60.447178000000001</v>
      </c>
      <c r="G25" s="25">
        <v>1.7884332892372301</v>
      </c>
      <c r="H25" s="28"/>
    </row>
    <row r="26" spans="2:8" x14ac:dyDescent="0.2">
      <c r="B26" s="23" t="s">
        <v>61</v>
      </c>
      <c r="C26" s="23" t="s">
        <v>62</v>
      </c>
      <c r="D26" s="23" t="s">
        <v>63</v>
      </c>
      <c r="E26" s="27">
        <v>2014</v>
      </c>
      <c r="F26" s="24">
        <v>59.84601</v>
      </c>
      <c r="G26" s="25">
        <v>1.77064670433456</v>
      </c>
      <c r="H26" s="28"/>
    </row>
    <row r="27" spans="2:8" x14ac:dyDescent="0.2">
      <c r="B27" s="23" t="s">
        <v>64</v>
      </c>
      <c r="C27" s="23" t="s">
        <v>65</v>
      </c>
      <c r="D27" s="23" t="s">
        <v>12</v>
      </c>
      <c r="E27" s="27">
        <v>14276</v>
      </c>
      <c r="F27" s="24">
        <v>54.719907999999997</v>
      </c>
      <c r="G27" s="25">
        <v>1.61898219717054</v>
      </c>
      <c r="H27" s="28"/>
    </row>
    <row r="28" spans="2:8" x14ac:dyDescent="0.2">
      <c r="B28" s="23" t="s">
        <v>66</v>
      </c>
      <c r="C28" s="23" t="s">
        <v>67</v>
      </c>
      <c r="D28" s="23" t="s">
        <v>68</v>
      </c>
      <c r="E28" s="27">
        <v>20528</v>
      </c>
      <c r="F28" s="24">
        <v>50.710318399999998</v>
      </c>
      <c r="G28" s="25">
        <v>1.50035162161548</v>
      </c>
      <c r="H28" s="28"/>
    </row>
    <row r="29" spans="2:8" x14ac:dyDescent="0.2">
      <c r="B29" s="23" t="s">
        <v>69</v>
      </c>
      <c r="C29" s="23" t="s">
        <v>70</v>
      </c>
      <c r="D29" s="23" t="s">
        <v>71</v>
      </c>
      <c r="E29" s="27">
        <v>1147</v>
      </c>
      <c r="F29" s="24">
        <v>50.298243999999997</v>
      </c>
      <c r="G29" s="25">
        <v>1.4881596947301201</v>
      </c>
      <c r="H29" s="28"/>
    </row>
    <row r="30" spans="2:8" x14ac:dyDescent="0.2">
      <c r="B30" s="23" t="s">
        <v>72</v>
      </c>
      <c r="C30" s="23" t="s">
        <v>73</v>
      </c>
      <c r="D30" s="23" t="s">
        <v>63</v>
      </c>
      <c r="E30" s="27">
        <v>1411</v>
      </c>
      <c r="F30" s="24">
        <v>46.424722000000003</v>
      </c>
      <c r="G30" s="25">
        <v>1.3735549121645401</v>
      </c>
      <c r="H30" s="28"/>
    </row>
    <row r="31" spans="2:8" x14ac:dyDescent="0.2">
      <c r="B31" s="23" t="s">
        <v>74</v>
      </c>
      <c r="C31" s="23" t="s">
        <v>75</v>
      </c>
      <c r="D31" s="23" t="s">
        <v>12</v>
      </c>
      <c r="E31" s="27">
        <v>15710</v>
      </c>
      <c r="F31" s="24">
        <v>45.079844999999999</v>
      </c>
      <c r="G31" s="25">
        <v>1.33376442274368</v>
      </c>
      <c r="H31" s="28"/>
    </row>
    <row r="32" spans="2:8" x14ac:dyDescent="0.2">
      <c r="B32" s="23" t="s">
        <v>76</v>
      </c>
      <c r="C32" s="23" t="s">
        <v>77</v>
      </c>
      <c r="D32" s="23" t="s">
        <v>78</v>
      </c>
      <c r="E32" s="27">
        <v>2307</v>
      </c>
      <c r="F32" s="24">
        <v>41.717480999999999</v>
      </c>
      <c r="G32" s="25">
        <v>1.2342831250703199</v>
      </c>
      <c r="H32" s="28"/>
    </row>
    <row r="33" spans="2:8" x14ac:dyDescent="0.2">
      <c r="B33" s="23" t="s">
        <v>79</v>
      </c>
      <c r="C33" s="23" t="s">
        <v>80</v>
      </c>
      <c r="D33" s="23" t="s">
        <v>81</v>
      </c>
      <c r="E33" s="27">
        <v>13350</v>
      </c>
      <c r="F33" s="24">
        <v>39.989924999999999</v>
      </c>
      <c r="G33" s="25">
        <v>1.18317042201871</v>
      </c>
      <c r="H33" s="28"/>
    </row>
    <row r="34" spans="2:8" x14ac:dyDescent="0.2">
      <c r="B34" s="23" t="s">
        <v>82</v>
      </c>
      <c r="C34" s="23" t="s">
        <v>83</v>
      </c>
      <c r="D34" s="23" t="s">
        <v>84</v>
      </c>
      <c r="E34" s="27">
        <v>1951</v>
      </c>
      <c r="F34" s="24">
        <v>35.488689999999998</v>
      </c>
      <c r="G34" s="25">
        <v>1.04999367526174</v>
      </c>
      <c r="H34" s="28"/>
    </row>
    <row r="35" spans="2:8" x14ac:dyDescent="0.2">
      <c r="B35" s="23" t="s">
        <v>85</v>
      </c>
      <c r="C35" s="23" t="s">
        <v>86</v>
      </c>
      <c r="D35" s="23" t="s">
        <v>51</v>
      </c>
      <c r="E35" s="27">
        <v>26956</v>
      </c>
      <c r="F35" s="24">
        <v>32.673367599999999</v>
      </c>
      <c r="G35" s="25">
        <v>0.966697540244563</v>
      </c>
      <c r="H35" s="28"/>
    </row>
    <row r="36" spans="2:8" x14ac:dyDescent="0.2">
      <c r="B36" s="23" t="s">
        <v>87</v>
      </c>
      <c r="C36" s="23" t="s">
        <v>88</v>
      </c>
      <c r="D36" s="23" t="s">
        <v>68</v>
      </c>
      <c r="E36" s="27">
        <v>6074</v>
      </c>
      <c r="F36" s="24">
        <v>31.338802999999999</v>
      </c>
      <c r="G36" s="25">
        <v>0.92721216083979496</v>
      </c>
      <c r="H36" s="28"/>
    </row>
    <row r="37" spans="2:8" x14ac:dyDescent="0.2">
      <c r="B37" s="23" t="s">
        <v>89</v>
      </c>
      <c r="C37" s="23" t="s">
        <v>90</v>
      </c>
      <c r="D37" s="23" t="s">
        <v>34</v>
      </c>
      <c r="E37" s="27">
        <v>2063</v>
      </c>
      <c r="F37" s="24">
        <v>30.398305000000001</v>
      </c>
      <c r="G37" s="25">
        <v>0.89938591671536205</v>
      </c>
      <c r="H37" s="28"/>
    </row>
    <row r="38" spans="2:8" x14ac:dyDescent="0.2">
      <c r="B38" s="23" t="s">
        <v>91</v>
      </c>
      <c r="C38" s="23" t="s">
        <v>92</v>
      </c>
      <c r="D38" s="23" t="s">
        <v>93</v>
      </c>
      <c r="E38" s="27">
        <v>10447</v>
      </c>
      <c r="F38" s="24">
        <v>28.368828499999999</v>
      </c>
      <c r="G38" s="25">
        <v>0.83934037857089105</v>
      </c>
      <c r="H38" s="28"/>
    </row>
    <row r="39" spans="2:8" x14ac:dyDescent="0.2">
      <c r="B39" s="23" t="s">
        <v>94</v>
      </c>
      <c r="C39" s="23" t="s">
        <v>95</v>
      </c>
      <c r="D39" s="23" t="s">
        <v>84</v>
      </c>
      <c r="E39" s="27">
        <v>3431</v>
      </c>
      <c r="F39" s="24">
        <v>27.375948999999999</v>
      </c>
      <c r="G39" s="25">
        <v>0.80996433805496704</v>
      </c>
      <c r="H39" s="28"/>
    </row>
    <row r="40" spans="2:8" x14ac:dyDescent="0.2">
      <c r="B40" s="23" t="s">
        <v>96</v>
      </c>
      <c r="C40" s="23" t="s">
        <v>97</v>
      </c>
      <c r="D40" s="23" t="s">
        <v>22</v>
      </c>
      <c r="E40" s="27">
        <v>527</v>
      </c>
      <c r="F40" s="24">
        <v>26.871729999999999</v>
      </c>
      <c r="G40" s="25">
        <v>0.79504615536220502</v>
      </c>
      <c r="H40" s="28"/>
    </row>
    <row r="41" spans="2:8" x14ac:dyDescent="0.2">
      <c r="B41" s="23" t="s">
        <v>98</v>
      </c>
      <c r="C41" s="23" t="s">
        <v>99</v>
      </c>
      <c r="D41" s="23" t="s">
        <v>12</v>
      </c>
      <c r="E41" s="27">
        <v>122149</v>
      </c>
      <c r="F41" s="24">
        <v>24.3442957</v>
      </c>
      <c r="G41" s="25">
        <v>0.72026768285055198</v>
      </c>
      <c r="H41" s="28"/>
    </row>
    <row r="42" spans="2:8" x14ac:dyDescent="0.2">
      <c r="B42" s="23" t="s">
        <v>100</v>
      </c>
      <c r="C42" s="23" t="s">
        <v>101</v>
      </c>
      <c r="D42" s="23" t="s">
        <v>84</v>
      </c>
      <c r="E42" s="27">
        <v>1420</v>
      </c>
      <c r="F42" s="24">
        <v>22.516940000000002</v>
      </c>
      <c r="G42" s="25">
        <v>0.66620223474712803</v>
      </c>
      <c r="H42" s="28"/>
    </row>
    <row r="43" spans="2:8" x14ac:dyDescent="0.2">
      <c r="B43" s="23" t="s">
        <v>102</v>
      </c>
      <c r="C43" s="23" t="s">
        <v>103</v>
      </c>
      <c r="D43" s="23" t="s">
        <v>48</v>
      </c>
      <c r="E43" s="27">
        <v>1654</v>
      </c>
      <c r="F43" s="24">
        <v>20.914829999999998</v>
      </c>
      <c r="G43" s="25">
        <v>0.618801066457355</v>
      </c>
      <c r="H43" s="28"/>
    </row>
    <row r="44" spans="2:8" x14ac:dyDescent="0.2">
      <c r="B44" s="23" t="s">
        <v>104</v>
      </c>
      <c r="C44" s="23" t="s">
        <v>105</v>
      </c>
      <c r="D44" s="23" t="s">
        <v>106</v>
      </c>
      <c r="E44" s="27">
        <v>169</v>
      </c>
      <c r="F44" s="24">
        <v>19.58034</v>
      </c>
      <c r="G44" s="25">
        <v>0.57931789422135505</v>
      </c>
      <c r="H44" s="28"/>
    </row>
    <row r="45" spans="2:8" x14ac:dyDescent="0.2">
      <c r="B45" s="23" t="s">
        <v>107</v>
      </c>
      <c r="C45" s="23" t="s">
        <v>108</v>
      </c>
      <c r="D45" s="23" t="s">
        <v>63</v>
      </c>
      <c r="E45" s="27">
        <v>7086</v>
      </c>
      <c r="F45" s="24">
        <v>15.2341914</v>
      </c>
      <c r="G45" s="25">
        <v>0.45072964422543599</v>
      </c>
      <c r="H45" s="28"/>
    </row>
    <row r="46" spans="2:8" x14ac:dyDescent="0.2">
      <c r="B46" s="23" t="s">
        <v>109</v>
      </c>
      <c r="C46" s="23" t="s">
        <v>110</v>
      </c>
      <c r="D46" s="23" t="s">
        <v>78</v>
      </c>
      <c r="E46" s="27">
        <v>885</v>
      </c>
      <c r="F46" s="24">
        <v>13.548465</v>
      </c>
      <c r="G46" s="25">
        <v>0.40085454153154298</v>
      </c>
      <c r="H46" s="28"/>
    </row>
    <row r="47" spans="2:8" x14ac:dyDescent="0.2">
      <c r="B47" s="23" t="s">
        <v>111</v>
      </c>
      <c r="C47" s="23" t="s">
        <v>112</v>
      </c>
      <c r="D47" s="23" t="s">
        <v>28</v>
      </c>
      <c r="E47" s="27">
        <v>4478</v>
      </c>
      <c r="F47" s="24">
        <v>13.454151</v>
      </c>
      <c r="G47" s="25">
        <v>0.39806410030960299</v>
      </c>
      <c r="H47" s="28"/>
    </row>
    <row r="48" spans="2:8" x14ac:dyDescent="0.2">
      <c r="B48" s="23" t="s">
        <v>113</v>
      </c>
      <c r="C48" s="23" t="s">
        <v>114</v>
      </c>
      <c r="D48" s="23" t="s">
        <v>115</v>
      </c>
      <c r="E48" s="27">
        <v>955</v>
      </c>
      <c r="F48" s="24">
        <v>12.65948</v>
      </c>
      <c r="G48" s="25">
        <v>0.37455239773861698</v>
      </c>
      <c r="H48" s="28"/>
    </row>
    <row r="49" spans="2:8" x14ac:dyDescent="0.2">
      <c r="B49" s="23" t="s">
        <v>224</v>
      </c>
      <c r="C49" s="23" t="s">
        <v>116</v>
      </c>
      <c r="D49" s="23" t="s">
        <v>31</v>
      </c>
      <c r="E49" s="27">
        <v>10447</v>
      </c>
      <c r="F49" s="24">
        <v>12.6434818</v>
      </c>
      <c r="G49" s="25">
        <v>0.37407906359144</v>
      </c>
      <c r="H49" s="28"/>
    </row>
    <row r="50" spans="2:8" x14ac:dyDescent="0.2">
      <c r="B50" s="23" t="s">
        <v>223</v>
      </c>
      <c r="C50" s="23" t="s">
        <v>117</v>
      </c>
      <c r="D50" s="23" t="s">
        <v>31</v>
      </c>
      <c r="E50" s="27">
        <v>10447</v>
      </c>
      <c r="F50" s="24">
        <v>12.6434818</v>
      </c>
      <c r="G50" s="25">
        <v>0.37407906359144</v>
      </c>
      <c r="H50" s="28"/>
    </row>
    <row r="51" spans="2:8" x14ac:dyDescent="0.2">
      <c r="B51" s="23" t="s">
        <v>225</v>
      </c>
      <c r="C51" s="23" t="s">
        <v>118</v>
      </c>
      <c r="D51" s="23" t="s">
        <v>119</v>
      </c>
      <c r="E51" s="27">
        <v>10447</v>
      </c>
      <c r="F51" s="24">
        <v>12.6434818</v>
      </c>
      <c r="G51" s="25">
        <v>0.37407906359144</v>
      </c>
      <c r="H51" s="28"/>
    </row>
    <row r="52" spans="2:8" x14ac:dyDescent="0.2">
      <c r="B52" s="23" t="s">
        <v>222</v>
      </c>
      <c r="C52" s="23" t="s">
        <v>120</v>
      </c>
      <c r="D52" s="23" t="s">
        <v>119</v>
      </c>
      <c r="E52" s="27">
        <v>10447</v>
      </c>
      <c r="F52" s="24">
        <v>12.6434818</v>
      </c>
      <c r="G52" s="25">
        <v>0.37407906359144</v>
      </c>
      <c r="H52" s="28"/>
    </row>
    <row r="53" spans="2:8" x14ac:dyDescent="0.2">
      <c r="B53" s="23" t="s">
        <v>121</v>
      </c>
      <c r="C53" s="23" t="s">
        <v>122</v>
      </c>
      <c r="D53" s="23" t="s">
        <v>42</v>
      </c>
      <c r="E53" s="27">
        <v>7199</v>
      </c>
      <c r="F53" s="24">
        <v>11.668859100000001</v>
      </c>
      <c r="G53" s="25">
        <v>0.34524318177200702</v>
      </c>
      <c r="H53" s="28"/>
    </row>
    <row r="54" spans="2:8" x14ac:dyDescent="0.2">
      <c r="B54" s="23" t="s">
        <v>123</v>
      </c>
      <c r="C54" s="23" t="s">
        <v>124</v>
      </c>
      <c r="D54" s="23" t="s">
        <v>78</v>
      </c>
      <c r="E54" s="27">
        <v>872</v>
      </c>
      <c r="F54" s="24">
        <v>11.535688</v>
      </c>
      <c r="G54" s="25">
        <v>0.34130308669586701</v>
      </c>
      <c r="H54" s="28"/>
    </row>
    <row r="55" spans="2:8" x14ac:dyDescent="0.2">
      <c r="B55" s="23" t="s">
        <v>125</v>
      </c>
      <c r="C55" s="23" t="s">
        <v>126</v>
      </c>
      <c r="D55" s="23" t="s">
        <v>28</v>
      </c>
      <c r="E55" s="27">
        <v>3006</v>
      </c>
      <c r="F55" s="24">
        <v>11.258972999999999</v>
      </c>
      <c r="G55" s="25">
        <v>0.33311599949005399</v>
      </c>
      <c r="H55" s="28"/>
    </row>
    <row r="56" spans="2:8" x14ac:dyDescent="0.2">
      <c r="B56" s="23" t="s">
        <v>127</v>
      </c>
      <c r="C56" s="23" t="s">
        <v>128</v>
      </c>
      <c r="D56" s="23" t="s">
        <v>31</v>
      </c>
      <c r="E56" s="27">
        <v>3163</v>
      </c>
      <c r="F56" s="24">
        <v>10.0694105</v>
      </c>
      <c r="G56" s="25">
        <v>0.29792075555942299</v>
      </c>
      <c r="H56" s="28"/>
    </row>
    <row r="57" spans="2:8" x14ac:dyDescent="0.2">
      <c r="B57" s="23" t="s">
        <v>129</v>
      </c>
      <c r="C57" s="23" t="s">
        <v>130</v>
      </c>
      <c r="D57" s="23" t="s">
        <v>48</v>
      </c>
      <c r="E57" s="27">
        <v>5086</v>
      </c>
      <c r="F57" s="24">
        <v>9.3897732000000005</v>
      </c>
      <c r="G57" s="25">
        <v>0.27781252202158402</v>
      </c>
      <c r="H57" s="28"/>
    </row>
    <row r="58" spans="2:8" x14ac:dyDescent="0.2">
      <c r="B58" s="23" t="s">
        <v>131</v>
      </c>
      <c r="C58" s="23" t="s">
        <v>132</v>
      </c>
      <c r="D58" s="23" t="s">
        <v>71</v>
      </c>
      <c r="E58" s="27">
        <v>297</v>
      </c>
      <c r="F58" s="24">
        <v>7.2601649999999998</v>
      </c>
      <c r="G58" s="25">
        <v>0.21480441603667699</v>
      </c>
      <c r="H58" s="28"/>
    </row>
    <row r="59" spans="2:8" x14ac:dyDescent="0.2">
      <c r="B59" s="23" t="s">
        <v>133</v>
      </c>
      <c r="C59" s="23" t="s">
        <v>134</v>
      </c>
      <c r="D59" s="23" t="s">
        <v>51</v>
      </c>
      <c r="E59" s="27">
        <v>161</v>
      </c>
      <c r="F59" s="24">
        <v>6.6409279999999997</v>
      </c>
      <c r="G59" s="25">
        <v>0.19648322882215699</v>
      </c>
      <c r="H59" s="28"/>
    </row>
    <row r="60" spans="2:8" x14ac:dyDescent="0.2">
      <c r="B60" s="23" t="s">
        <v>135</v>
      </c>
      <c r="C60" s="23" t="s">
        <v>136</v>
      </c>
      <c r="D60" s="23" t="s">
        <v>119</v>
      </c>
      <c r="E60" s="27">
        <v>267</v>
      </c>
      <c r="F60" s="24">
        <v>6.430428</v>
      </c>
      <c r="G60" s="25">
        <v>0.19025522579802201</v>
      </c>
      <c r="H60" s="28"/>
    </row>
    <row r="61" spans="2:8" x14ac:dyDescent="0.2">
      <c r="B61" s="23" t="s">
        <v>137</v>
      </c>
      <c r="C61" s="23" t="s">
        <v>138</v>
      </c>
      <c r="D61" s="23" t="s">
        <v>51</v>
      </c>
      <c r="E61" s="27">
        <v>4</v>
      </c>
      <c r="F61" s="24">
        <v>5.1883999999999997</v>
      </c>
      <c r="G61" s="25">
        <v>0.153507700192033</v>
      </c>
      <c r="H61" s="28"/>
    </row>
    <row r="62" spans="2:8" x14ac:dyDescent="0.2">
      <c r="B62" s="23" t="s">
        <v>139</v>
      </c>
      <c r="C62" s="23" t="s">
        <v>140</v>
      </c>
      <c r="D62" s="23" t="s">
        <v>34</v>
      </c>
      <c r="E62" s="27">
        <v>78</v>
      </c>
      <c r="F62" s="24">
        <v>3.3302879999999999</v>
      </c>
      <c r="G62" s="25">
        <v>9.8532274276679904E-2</v>
      </c>
      <c r="H62" s="28"/>
    </row>
    <row r="63" spans="2:8" x14ac:dyDescent="0.2">
      <c r="B63" s="23" t="s">
        <v>141</v>
      </c>
      <c r="C63" s="23" t="s">
        <v>142</v>
      </c>
      <c r="D63" s="23" t="s">
        <v>22</v>
      </c>
      <c r="E63" s="27">
        <v>36</v>
      </c>
      <c r="F63" s="24">
        <v>2.55924</v>
      </c>
      <c r="G63" s="25">
        <v>7.5719498619894202E-2</v>
      </c>
      <c r="H63" s="28"/>
    </row>
    <row r="64" spans="2:8" x14ac:dyDescent="0.2">
      <c r="B64" s="23" t="s">
        <v>143</v>
      </c>
      <c r="C64" s="23" t="s">
        <v>144</v>
      </c>
      <c r="D64" s="23" t="s">
        <v>115</v>
      </c>
      <c r="E64" s="27">
        <v>165</v>
      </c>
      <c r="F64" s="24">
        <v>2.4066900000000002</v>
      </c>
      <c r="G64" s="25">
        <v>7.1206045596940201E-2</v>
      </c>
      <c r="H64" s="28"/>
    </row>
    <row r="65" spans="2:9" x14ac:dyDescent="0.2">
      <c r="B65" s="23" t="s">
        <v>145</v>
      </c>
      <c r="C65" s="23" t="s">
        <v>146</v>
      </c>
      <c r="D65" s="23" t="s">
        <v>78</v>
      </c>
      <c r="E65" s="27">
        <v>203</v>
      </c>
      <c r="F65" s="24">
        <v>2.2349285000000001</v>
      </c>
      <c r="G65" s="25">
        <v>6.6124187442878499E-2</v>
      </c>
      <c r="H65" s="28"/>
    </row>
    <row r="66" spans="2:9" x14ac:dyDescent="0.2">
      <c r="B66" s="23" t="s">
        <v>147</v>
      </c>
      <c r="C66" s="23" t="s">
        <v>148</v>
      </c>
      <c r="D66" s="23" t="s">
        <v>149</v>
      </c>
      <c r="E66" s="27">
        <v>659</v>
      </c>
      <c r="F66" s="24">
        <v>2.0475129999999999</v>
      </c>
      <c r="G66" s="25">
        <v>6.05791788881525E-2</v>
      </c>
      <c r="H66" s="28"/>
    </row>
    <row r="67" spans="2:9" x14ac:dyDescent="0.2">
      <c r="B67" s="23" t="s">
        <v>150</v>
      </c>
      <c r="C67" s="23" t="s">
        <v>151</v>
      </c>
      <c r="D67" s="23" t="s">
        <v>63</v>
      </c>
      <c r="E67" s="27">
        <v>156</v>
      </c>
      <c r="F67" s="24">
        <v>1.5755220000000001</v>
      </c>
      <c r="G67" s="25">
        <v>4.66145167724063E-2</v>
      </c>
      <c r="H67" s="28"/>
    </row>
    <row r="68" spans="2:9" x14ac:dyDescent="0.2">
      <c r="B68" s="23" t="s">
        <v>152</v>
      </c>
      <c r="C68" s="23" t="s">
        <v>153</v>
      </c>
      <c r="D68" s="23" t="s">
        <v>34</v>
      </c>
      <c r="E68" s="27">
        <v>11</v>
      </c>
      <c r="F68" s="24">
        <v>1.0699149999999999</v>
      </c>
      <c r="G68" s="25">
        <v>3.1655267722411402E-2</v>
      </c>
      <c r="H68" s="28"/>
    </row>
    <row r="69" spans="2:9" ht="10.5" x14ac:dyDescent="0.25">
      <c r="B69" s="22" t="s">
        <v>154</v>
      </c>
      <c r="C69" s="22"/>
      <c r="D69" s="22"/>
      <c r="E69" s="22"/>
      <c r="F69" s="29">
        <f>SUM(F7:F68)</f>
        <v>3369.2166662999998</v>
      </c>
      <c r="G69" s="30">
        <f>SUM(G7:G68)</f>
        <v>99.684045542437346</v>
      </c>
      <c r="H69" s="31"/>
      <c r="I69" s="15"/>
    </row>
    <row r="70" spans="2:9" ht="10.5" x14ac:dyDescent="0.25">
      <c r="B70" s="22" t="s">
        <v>155</v>
      </c>
      <c r="C70" s="22"/>
      <c r="D70" s="22"/>
      <c r="E70" s="22"/>
      <c r="F70" s="32" t="s">
        <v>156</v>
      </c>
      <c r="G70" s="33" t="s">
        <v>156</v>
      </c>
      <c r="H70" s="31"/>
      <c r="I70" s="15"/>
    </row>
    <row r="71" spans="2:9" ht="10.5" x14ac:dyDescent="0.25">
      <c r="B71" s="22" t="s">
        <v>154</v>
      </c>
      <c r="C71" s="22"/>
      <c r="D71" s="22"/>
      <c r="E71" s="22"/>
      <c r="F71" s="34" t="s">
        <v>156</v>
      </c>
      <c r="G71" s="35" t="s">
        <v>156</v>
      </c>
      <c r="H71" s="31"/>
      <c r="I71" s="15"/>
    </row>
    <row r="72" spans="2:9" ht="10.5" x14ac:dyDescent="0.25">
      <c r="B72" s="36" t="s">
        <v>157</v>
      </c>
      <c r="C72" s="36"/>
      <c r="D72" s="36"/>
      <c r="E72" s="36"/>
      <c r="F72" s="37">
        <f>F69</f>
        <v>3369.2166662999998</v>
      </c>
      <c r="G72" s="38">
        <f>G69</f>
        <v>99.684045542437346</v>
      </c>
      <c r="H72" s="31"/>
      <c r="I72" s="15"/>
    </row>
    <row r="73" spans="2:9" ht="10.5" x14ac:dyDescent="0.25">
      <c r="B73" s="22" t="s">
        <v>158</v>
      </c>
      <c r="C73" s="22"/>
      <c r="D73" s="22"/>
      <c r="E73" s="22"/>
      <c r="F73" s="29">
        <v>42.395221900000003</v>
      </c>
      <c r="G73" s="30">
        <v>1.25433525036619</v>
      </c>
      <c r="H73" s="28">
        <v>5.2499999999999998E-2</v>
      </c>
      <c r="I73" s="16"/>
    </row>
    <row r="74" spans="2:9" x14ac:dyDescent="0.2">
      <c r="B74" s="23"/>
      <c r="C74" s="23"/>
      <c r="D74" s="23"/>
      <c r="E74" s="23"/>
      <c r="F74" s="24"/>
      <c r="G74" s="25"/>
      <c r="H74" s="26"/>
    </row>
    <row r="75" spans="2:9" ht="10.5" x14ac:dyDescent="0.25">
      <c r="B75" s="22" t="s">
        <v>160</v>
      </c>
      <c r="C75" s="23"/>
      <c r="D75" s="23"/>
      <c r="E75" s="23"/>
      <c r="F75" s="87">
        <v>8</v>
      </c>
      <c r="G75" s="87">
        <f>F75/F77*100</f>
        <v>0.2366937016298408</v>
      </c>
      <c r="H75" s="26"/>
    </row>
    <row r="76" spans="2:9" ht="10.5" x14ac:dyDescent="0.25">
      <c r="B76" s="43" t="s">
        <v>161</v>
      </c>
      <c r="C76" s="43"/>
      <c r="D76" s="43"/>
      <c r="E76" s="43"/>
      <c r="F76" s="29">
        <f>F77-(F69+F73+F75)</f>
        <v>-39.71629109999958</v>
      </c>
      <c r="G76" s="30">
        <f>G77-(G69+G73+G75)</f>
        <v>-1.1750744944333888</v>
      </c>
      <c r="H76" s="31"/>
      <c r="I76" s="15"/>
    </row>
    <row r="77" spans="2:9" ht="10.5" x14ac:dyDescent="0.25">
      <c r="B77" s="39" t="s">
        <v>159</v>
      </c>
      <c r="C77" s="39"/>
      <c r="D77" s="39"/>
      <c r="E77" s="39"/>
      <c r="F77" s="40">
        <v>3379.8955971</v>
      </c>
      <c r="G77" s="41">
        <v>100</v>
      </c>
      <c r="H77" s="42"/>
      <c r="I77" s="15"/>
    </row>
    <row r="79" spans="2:9" ht="10.5" x14ac:dyDescent="0.25">
      <c r="B79" s="15" t="s">
        <v>162</v>
      </c>
    </row>
    <row r="81" spans="2:8" ht="30.75" customHeight="1" x14ac:dyDescent="0.2">
      <c r="B81" s="88" t="s">
        <v>4</v>
      </c>
      <c r="C81" s="88" t="s">
        <v>163</v>
      </c>
      <c r="D81" s="88" t="s">
        <v>164</v>
      </c>
      <c r="E81" s="88" t="s">
        <v>0</v>
      </c>
      <c r="F81" s="90" t="s">
        <v>165</v>
      </c>
      <c r="G81" s="89" t="s">
        <v>166</v>
      </c>
    </row>
    <row r="82" spans="2:8" x14ac:dyDescent="0.2">
      <c r="B82" s="47" t="s">
        <v>167</v>
      </c>
      <c r="C82" s="47" t="s">
        <v>168</v>
      </c>
      <c r="D82" s="47" t="s">
        <v>169</v>
      </c>
      <c r="E82" s="48">
        <v>65</v>
      </c>
      <c r="F82" s="49">
        <v>15.663830000000001</v>
      </c>
      <c r="G82" s="50">
        <v>0.46344123805006865</v>
      </c>
    </row>
    <row r="83" spans="2:8" ht="10.5" x14ac:dyDescent="0.25">
      <c r="B83" s="44"/>
      <c r="C83" s="44"/>
      <c r="D83" s="44"/>
      <c r="E83" s="44"/>
      <c r="F83" s="45">
        <f>SUM(F82:F82)</f>
        <v>15.663830000000001</v>
      </c>
      <c r="G83" s="46">
        <f>SUM(G82:G82)</f>
        <v>0.46344123805006865</v>
      </c>
    </row>
    <row r="85" spans="2:8" ht="10.5" x14ac:dyDescent="0.25">
      <c r="B85" s="15" t="s">
        <v>172</v>
      </c>
    </row>
    <row r="87" spans="2:8" ht="10.5" x14ac:dyDescent="0.2">
      <c r="B87" s="52" t="s">
        <v>170</v>
      </c>
      <c r="H87" s="6"/>
    </row>
    <row r="88" spans="2:8" ht="10.5" x14ac:dyDescent="0.2">
      <c r="B88" s="52"/>
      <c r="H88" s="6"/>
    </row>
    <row r="89" spans="2:8" x14ac:dyDescent="0.2">
      <c r="B89" s="55" t="s">
        <v>176</v>
      </c>
      <c r="H89" s="6"/>
    </row>
    <row r="90" spans="2:8" x14ac:dyDescent="0.2">
      <c r="B90" s="55" t="s">
        <v>180</v>
      </c>
      <c r="H90" s="6"/>
    </row>
    <row r="91" spans="2:8" x14ac:dyDescent="0.2">
      <c r="B91" s="55" t="s">
        <v>181</v>
      </c>
      <c r="H91" s="6"/>
    </row>
    <row r="92" spans="2:8" ht="10.5" x14ac:dyDescent="0.2">
      <c r="B92" s="52"/>
      <c r="H92" s="6"/>
    </row>
    <row r="93" spans="2:8" ht="10.5" x14ac:dyDescent="0.2">
      <c r="B93" s="59" t="s">
        <v>177</v>
      </c>
      <c r="C93" s="56" t="s">
        <v>219</v>
      </c>
      <c r="D93" s="62" t="s">
        <v>178</v>
      </c>
      <c r="H93" s="6"/>
    </row>
    <row r="94" spans="2:8" x14ac:dyDescent="0.2">
      <c r="B94" s="57" t="s">
        <v>179</v>
      </c>
      <c r="C94" s="60" t="s">
        <v>182</v>
      </c>
      <c r="D94" s="60">
        <v>9.9116</v>
      </c>
      <c r="H94" s="6"/>
    </row>
    <row r="95" spans="2:8" ht="10.5" x14ac:dyDescent="0.2">
      <c r="B95" s="52"/>
      <c r="H95" s="6"/>
    </row>
    <row r="96" spans="2:8" ht="10.5" x14ac:dyDescent="0.2">
      <c r="B96" s="52" t="s">
        <v>218</v>
      </c>
      <c r="H96" s="6"/>
    </row>
    <row r="97" spans="2:8" ht="10.5" x14ac:dyDescent="0.2">
      <c r="B97" s="52"/>
      <c r="H97" s="6"/>
    </row>
    <row r="98" spans="2:8" x14ac:dyDescent="0.2">
      <c r="B98" s="55" t="s">
        <v>207</v>
      </c>
      <c r="H98" s="6"/>
    </row>
    <row r="99" spans="2:8" x14ac:dyDescent="0.2">
      <c r="B99" s="55"/>
      <c r="H99" s="6"/>
    </row>
    <row r="100" spans="2:8" ht="10.5" x14ac:dyDescent="0.2">
      <c r="B100" s="63" t="s">
        <v>212</v>
      </c>
      <c r="H100" s="6"/>
    </row>
    <row r="101" spans="2:8" x14ac:dyDescent="0.2">
      <c r="B101" s="58"/>
      <c r="H101" s="6"/>
    </row>
    <row r="102" spans="2:8" ht="10.5" x14ac:dyDescent="0.2">
      <c r="B102" s="63" t="s">
        <v>213</v>
      </c>
      <c r="H102" s="6"/>
    </row>
    <row r="103" spans="2:8" ht="21" x14ac:dyDescent="0.2">
      <c r="B103" s="64" t="s">
        <v>183</v>
      </c>
      <c r="C103" s="65" t="s">
        <v>184</v>
      </c>
      <c r="D103" s="65" t="s">
        <v>185</v>
      </c>
      <c r="E103" s="65" t="s">
        <v>186</v>
      </c>
      <c r="F103" s="65" t="s">
        <v>187</v>
      </c>
      <c r="H103" s="6"/>
    </row>
    <row r="104" spans="2:8" x14ac:dyDescent="0.2">
      <c r="B104" s="100" t="s">
        <v>173</v>
      </c>
      <c r="C104" s="101"/>
      <c r="D104" s="101"/>
      <c r="E104" s="101"/>
      <c r="F104" s="102"/>
      <c r="H104" s="6"/>
    </row>
    <row r="105" spans="2:8" x14ac:dyDescent="0.2">
      <c r="B105" s="58" t="s">
        <v>188</v>
      </c>
      <c r="H105" s="6"/>
    </row>
    <row r="106" spans="2:8" x14ac:dyDescent="0.2">
      <c r="B106" s="58" t="s">
        <v>226</v>
      </c>
      <c r="H106" s="6"/>
    </row>
    <row r="107" spans="2:8" x14ac:dyDescent="0.2">
      <c r="B107" s="58"/>
      <c r="H107" s="6"/>
    </row>
    <row r="108" spans="2:8" x14ac:dyDescent="0.2">
      <c r="B108" s="97" t="s">
        <v>189</v>
      </c>
      <c r="C108" s="97" t="s">
        <v>190</v>
      </c>
      <c r="D108" s="97" t="s">
        <v>191</v>
      </c>
      <c r="E108" s="97" t="s">
        <v>192</v>
      </c>
      <c r="F108" s="97" t="s">
        <v>193</v>
      </c>
      <c r="H108" s="6"/>
    </row>
    <row r="109" spans="2:8" x14ac:dyDescent="0.2">
      <c r="B109" s="98"/>
      <c r="C109" s="98"/>
      <c r="D109" s="98"/>
      <c r="E109" s="98"/>
      <c r="F109" s="98"/>
      <c r="H109" s="6"/>
    </row>
    <row r="110" spans="2:8" x14ac:dyDescent="0.2">
      <c r="B110" s="100" t="s">
        <v>173</v>
      </c>
      <c r="C110" s="101"/>
      <c r="D110" s="101"/>
      <c r="E110" s="101"/>
      <c r="F110" s="102"/>
      <c r="H110" s="6"/>
    </row>
    <row r="111" spans="2:8" x14ac:dyDescent="0.2">
      <c r="B111" s="58"/>
      <c r="H111" s="6"/>
    </row>
    <row r="112" spans="2:8" ht="10.5" x14ac:dyDescent="0.25">
      <c r="B112" s="66" t="s">
        <v>214</v>
      </c>
      <c r="C112" s="67"/>
      <c r="D112" s="67"/>
      <c r="E112" s="67"/>
      <c r="F112" s="67"/>
      <c r="H112" s="6"/>
    </row>
    <row r="113" spans="2:8" x14ac:dyDescent="0.2">
      <c r="B113" s="68"/>
      <c r="C113" s="67"/>
      <c r="D113" s="67"/>
      <c r="E113" s="67"/>
      <c r="F113" s="67"/>
      <c r="H113" s="6"/>
    </row>
    <row r="114" spans="2:8" ht="21" x14ac:dyDescent="0.2">
      <c r="B114" s="64" t="s">
        <v>183</v>
      </c>
      <c r="C114" s="65" t="s">
        <v>184</v>
      </c>
      <c r="D114" s="65" t="s">
        <v>185</v>
      </c>
      <c r="E114" s="65" t="s">
        <v>186</v>
      </c>
      <c r="F114" s="65" t="s">
        <v>187</v>
      </c>
      <c r="H114" s="6"/>
    </row>
    <row r="115" spans="2:8" x14ac:dyDescent="0.2">
      <c r="B115" s="69" t="s">
        <v>167</v>
      </c>
      <c r="C115" s="70" t="s">
        <v>168</v>
      </c>
      <c r="D115" s="71">
        <v>24102.2</v>
      </c>
      <c r="E115" s="72">
        <v>24098.2</v>
      </c>
      <c r="F115" s="72">
        <v>1.7753766</v>
      </c>
      <c r="H115" s="6"/>
    </row>
    <row r="116" spans="2:8" x14ac:dyDescent="0.2">
      <c r="B116" s="68"/>
      <c r="C116" s="67"/>
      <c r="D116" s="67"/>
      <c r="E116" s="67"/>
      <c r="F116" s="67"/>
      <c r="H116" s="6"/>
    </row>
    <row r="117" spans="2:8" x14ac:dyDescent="0.2">
      <c r="B117" s="68" t="s">
        <v>228</v>
      </c>
      <c r="C117" s="67"/>
      <c r="D117" s="67"/>
      <c r="E117" s="67"/>
      <c r="F117" s="67"/>
      <c r="H117" s="6"/>
    </row>
    <row r="118" spans="2:8" ht="10.5" x14ac:dyDescent="0.2">
      <c r="B118" s="67" t="s">
        <v>220</v>
      </c>
      <c r="C118" s="73"/>
      <c r="D118" s="74"/>
      <c r="E118" s="75"/>
      <c r="F118" s="76"/>
      <c r="H118" s="6"/>
    </row>
    <row r="119" spans="2:8" ht="10.5" x14ac:dyDescent="0.2">
      <c r="B119" s="67" t="s">
        <v>194</v>
      </c>
      <c r="C119" s="73"/>
      <c r="D119" s="74"/>
      <c r="E119" s="75"/>
      <c r="F119" s="76"/>
      <c r="H119" s="6"/>
    </row>
    <row r="120" spans="2:8" x14ac:dyDescent="0.2">
      <c r="B120" s="103" t="s">
        <v>189</v>
      </c>
      <c r="C120" s="103" t="s">
        <v>190</v>
      </c>
      <c r="D120" s="103" t="s">
        <v>191</v>
      </c>
      <c r="E120" s="103" t="s">
        <v>192</v>
      </c>
      <c r="F120" s="103" t="s">
        <v>193</v>
      </c>
      <c r="H120" s="6"/>
    </row>
    <row r="121" spans="2:8" ht="30" customHeight="1" x14ac:dyDescent="0.2">
      <c r="B121" s="104"/>
      <c r="C121" s="104"/>
      <c r="D121" s="104"/>
      <c r="E121" s="104"/>
      <c r="F121" s="104"/>
      <c r="H121" s="6"/>
    </row>
    <row r="122" spans="2:8" x14ac:dyDescent="0.2">
      <c r="B122" s="91">
        <v>21</v>
      </c>
      <c r="C122" s="95">
        <v>21</v>
      </c>
      <c r="D122" s="92">
        <v>331.52112499999998</v>
      </c>
      <c r="E122" s="93">
        <v>331.2780247</v>
      </c>
      <c r="F122" s="94">
        <v>-0.24310029999999999</v>
      </c>
      <c r="H122" s="6"/>
    </row>
    <row r="123" spans="2:8" x14ac:dyDescent="0.2">
      <c r="B123" s="61"/>
      <c r="C123" s="77"/>
      <c r="D123" s="77"/>
      <c r="E123" s="77"/>
      <c r="F123" s="14"/>
      <c r="H123" s="6"/>
    </row>
    <row r="124" spans="2:8" ht="10.5" x14ac:dyDescent="0.2">
      <c r="B124" s="78" t="s">
        <v>215</v>
      </c>
      <c r="C124" s="79"/>
      <c r="D124" s="79"/>
      <c r="E124" s="80"/>
      <c r="F124" s="14"/>
      <c r="H124" s="77"/>
    </row>
    <row r="125" spans="2:8" ht="10.5" x14ac:dyDescent="0.2">
      <c r="B125" s="81"/>
      <c r="C125" s="79"/>
      <c r="D125" s="79"/>
      <c r="E125" s="80"/>
      <c r="F125" s="14"/>
      <c r="H125" s="77"/>
    </row>
    <row r="126" spans="2:8" ht="10.5" x14ac:dyDescent="0.2">
      <c r="B126" s="64" t="s">
        <v>183</v>
      </c>
      <c r="C126" s="65" t="s">
        <v>195</v>
      </c>
      <c r="D126" s="65" t="s">
        <v>196</v>
      </c>
      <c r="E126" s="65" t="s">
        <v>197</v>
      </c>
      <c r="F126" s="14"/>
      <c r="H126" s="77"/>
    </row>
    <row r="127" spans="2:8" x14ac:dyDescent="0.2">
      <c r="B127" s="100" t="s">
        <v>173</v>
      </c>
      <c r="C127" s="101"/>
      <c r="D127" s="101"/>
      <c r="E127" s="102"/>
      <c r="F127" s="14"/>
      <c r="H127" s="77"/>
    </row>
    <row r="128" spans="2:8" x14ac:dyDescent="0.2">
      <c r="B128" s="68" t="s">
        <v>198</v>
      </c>
      <c r="C128" s="67"/>
      <c r="D128" s="67"/>
      <c r="E128" s="67"/>
      <c r="F128" s="14"/>
      <c r="H128" s="77"/>
    </row>
    <row r="129" spans="2:8" x14ac:dyDescent="0.2">
      <c r="B129" s="82"/>
      <c r="C129" s="83"/>
      <c r="D129" s="83"/>
      <c r="E129" s="82"/>
      <c r="F129" s="14"/>
      <c r="H129" s="77"/>
    </row>
    <row r="130" spans="2:8" x14ac:dyDescent="0.2">
      <c r="B130" s="82" t="s">
        <v>221</v>
      </c>
      <c r="C130" s="83"/>
      <c r="D130" s="83"/>
      <c r="E130" s="82"/>
      <c r="F130" s="14"/>
      <c r="H130" s="77"/>
    </row>
    <row r="131" spans="2:8" x14ac:dyDescent="0.2">
      <c r="B131" s="82"/>
      <c r="C131" s="83"/>
      <c r="D131" s="83"/>
      <c r="E131" s="82"/>
      <c r="F131" s="14"/>
      <c r="H131" s="77"/>
    </row>
    <row r="132" spans="2:8" x14ac:dyDescent="0.2">
      <c r="B132" s="97" t="s">
        <v>199</v>
      </c>
      <c r="C132" s="97" t="s">
        <v>200</v>
      </c>
      <c r="D132" s="97" t="s">
        <v>201</v>
      </c>
      <c r="E132" s="82"/>
      <c r="F132" s="14"/>
      <c r="H132" s="77"/>
    </row>
    <row r="133" spans="2:8" x14ac:dyDescent="0.2">
      <c r="B133" s="98"/>
      <c r="C133" s="98"/>
      <c r="D133" s="98"/>
      <c r="E133" s="82"/>
      <c r="F133" s="14"/>
      <c r="H133" s="77"/>
    </row>
    <row r="134" spans="2:8" x14ac:dyDescent="0.2">
      <c r="B134" s="99" t="s">
        <v>173</v>
      </c>
      <c r="C134" s="99"/>
      <c r="D134" s="99"/>
      <c r="E134" s="77"/>
      <c r="F134" s="14"/>
      <c r="H134" s="6"/>
    </row>
    <row r="135" spans="2:8" x14ac:dyDescent="0.2">
      <c r="B135" s="84"/>
      <c r="C135" s="84"/>
      <c r="D135" s="84"/>
      <c r="E135" s="77"/>
      <c r="F135" s="14"/>
      <c r="H135" s="6"/>
    </row>
    <row r="136" spans="2:8" ht="10.5" x14ac:dyDescent="0.2">
      <c r="B136" s="78" t="s">
        <v>216</v>
      </c>
      <c r="C136" s="84"/>
      <c r="D136" s="84"/>
      <c r="E136" s="77"/>
      <c r="F136" s="14"/>
      <c r="H136" s="6"/>
    </row>
    <row r="137" spans="2:8" x14ac:dyDescent="0.2">
      <c r="B137" s="84"/>
      <c r="C137" s="84"/>
      <c r="D137" s="84"/>
      <c r="E137" s="77"/>
      <c r="F137" s="14"/>
      <c r="H137" s="6"/>
    </row>
    <row r="138" spans="2:8" ht="10.5" x14ac:dyDescent="0.2">
      <c r="B138" s="65" t="s">
        <v>183</v>
      </c>
      <c r="C138" s="65" t="s">
        <v>202</v>
      </c>
      <c r="D138" s="65" t="s">
        <v>203</v>
      </c>
      <c r="E138" s="65" t="s">
        <v>204</v>
      </c>
      <c r="F138" s="65" t="s">
        <v>205</v>
      </c>
      <c r="H138" s="6"/>
    </row>
    <row r="139" spans="2:8" x14ac:dyDescent="0.2">
      <c r="B139" s="96" t="s">
        <v>173</v>
      </c>
      <c r="C139" s="96"/>
      <c r="D139" s="96"/>
      <c r="E139" s="96"/>
      <c r="F139" s="96"/>
      <c r="H139" s="6"/>
    </row>
    <row r="140" spans="2:8" x14ac:dyDescent="0.2">
      <c r="B140" s="85" t="s">
        <v>206</v>
      </c>
      <c r="C140" s="84"/>
      <c r="D140" s="84"/>
      <c r="E140" s="77"/>
      <c r="F140" s="14"/>
      <c r="H140" s="6"/>
    </row>
    <row r="141" spans="2:8" x14ac:dyDescent="0.2">
      <c r="B141" s="84"/>
      <c r="C141" s="84"/>
      <c r="D141" s="84"/>
      <c r="E141" s="77"/>
      <c r="F141" s="14"/>
      <c r="H141" s="6"/>
    </row>
    <row r="142" spans="2:8" x14ac:dyDescent="0.2">
      <c r="B142" s="82" t="s">
        <v>217</v>
      </c>
      <c r="C142" s="83"/>
      <c r="D142" s="83"/>
      <c r="E142" s="77"/>
      <c r="F142" s="14"/>
      <c r="H142" s="6"/>
    </row>
    <row r="143" spans="2:8" x14ac:dyDescent="0.2">
      <c r="B143" s="82"/>
      <c r="C143" s="83"/>
      <c r="D143" s="83"/>
      <c r="E143" s="77"/>
      <c r="F143" s="14"/>
      <c r="H143" s="6"/>
    </row>
    <row r="144" spans="2:8" x14ac:dyDescent="0.2">
      <c r="B144" s="97" t="s">
        <v>199</v>
      </c>
      <c r="C144" s="97" t="s">
        <v>200</v>
      </c>
      <c r="D144" s="97" t="s">
        <v>201</v>
      </c>
      <c r="E144" s="77"/>
      <c r="F144" s="14"/>
      <c r="H144" s="6"/>
    </row>
    <row r="145" spans="2:8" x14ac:dyDescent="0.2">
      <c r="B145" s="98"/>
      <c r="C145" s="98"/>
      <c r="D145" s="98"/>
      <c r="E145" s="77"/>
      <c r="F145" s="14"/>
      <c r="H145" s="6"/>
    </row>
    <row r="146" spans="2:8" x14ac:dyDescent="0.2">
      <c r="B146" s="99" t="s">
        <v>173</v>
      </c>
      <c r="C146" s="99"/>
      <c r="D146" s="99"/>
      <c r="E146" s="77"/>
      <c r="F146" s="14"/>
      <c r="H146" s="6"/>
    </row>
    <row r="147" spans="2:8" x14ac:dyDescent="0.2">
      <c r="B147" s="84"/>
      <c r="C147" s="84"/>
      <c r="D147" s="84"/>
      <c r="E147" s="77"/>
      <c r="F147" s="14"/>
      <c r="H147" s="6"/>
    </row>
    <row r="148" spans="2:8" ht="10.5" x14ac:dyDescent="0.2">
      <c r="B148" s="86" t="s">
        <v>211</v>
      </c>
      <c r="C148" s="84"/>
      <c r="D148" s="84"/>
      <c r="E148" s="77"/>
      <c r="F148" s="14"/>
      <c r="H148" s="6"/>
    </row>
    <row r="149" spans="2:8" x14ac:dyDescent="0.2">
      <c r="B149" s="58"/>
      <c r="H149" s="6"/>
    </row>
    <row r="150" spans="2:8" x14ac:dyDescent="0.2">
      <c r="B150" s="55" t="s">
        <v>208</v>
      </c>
      <c r="H150" s="6"/>
    </row>
    <row r="151" spans="2:8" x14ac:dyDescent="0.2">
      <c r="B151" s="6" t="s">
        <v>227</v>
      </c>
    </row>
    <row r="152" spans="2:8" x14ac:dyDescent="0.2">
      <c r="B152" s="6" t="s">
        <v>209</v>
      </c>
    </row>
    <row r="154" spans="2:8" ht="10.5" x14ac:dyDescent="0.25">
      <c r="B154" s="15" t="s">
        <v>171</v>
      </c>
      <c r="H154" s="6"/>
    </row>
    <row r="155" spans="2:8" x14ac:dyDescent="0.2">
      <c r="H155" s="6"/>
    </row>
    <row r="156" spans="2:8" x14ac:dyDescent="0.2">
      <c r="H156" s="6"/>
    </row>
    <row r="157" spans="2:8" x14ac:dyDescent="0.2">
      <c r="H157" s="6"/>
    </row>
    <row r="158" spans="2:8" x14ac:dyDescent="0.2">
      <c r="H158" s="6"/>
    </row>
    <row r="159" spans="2:8" x14ac:dyDescent="0.2">
      <c r="H159" s="6"/>
    </row>
    <row r="160" spans="2:8" x14ac:dyDescent="0.2">
      <c r="H160" s="6"/>
    </row>
    <row r="161" spans="2:8" x14ac:dyDescent="0.2">
      <c r="H161" s="6"/>
    </row>
    <row r="162" spans="2:8" x14ac:dyDescent="0.2">
      <c r="H162" s="6"/>
    </row>
    <row r="163" spans="2:8" x14ac:dyDescent="0.2">
      <c r="H163" s="6"/>
    </row>
    <row r="164" spans="2:8" x14ac:dyDescent="0.2">
      <c r="H164" s="6"/>
    </row>
    <row r="165" spans="2:8" x14ac:dyDescent="0.2">
      <c r="H165" s="6"/>
    </row>
    <row r="166" spans="2:8" x14ac:dyDescent="0.2">
      <c r="H166" s="6"/>
    </row>
    <row r="167" spans="2:8" x14ac:dyDescent="0.2">
      <c r="H167" s="6"/>
    </row>
    <row r="168" spans="2:8" x14ac:dyDescent="0.2">
      <c r="H168" s="6"/>
    </row>
    <row r="169" spans="2:8" x14ac:dyDescent="0.2">
      <c r="H169" s="6"/>
    </row>
    <row r="170" spans="2:8" x14ac:dyDescent="0.2">
      <c r="H170" s="6"/>
    </row>
    <row r="171" spans="2:8" x14ac:dyDescent="0.2">
      <c r="H171" s="6"/>
    </row>
    <row r="172" spans="2:8" x14ac:dyDescent="0.2">
      <c r="H172" s="6"/>
    </row>
    <row r="173" spans="2:8" x14ac:dyDescent="0.2">
      <c r="H173" s="6"/>
    </row>
    <row r="174" spans="2:8" x14ac:dyDescent="0.2">
      <c r="H174" s="6"/>
    </row>
    <row r="175" spans="2:8" x14ac:dyDescent="0.2">
      <c r="H175" s="6"/>
    </row>
    <row r="176" spans="2:8" ht="10.5" x14ac:dyDescent="0.2">
      <c r="B176" s="53" t="s">
        <v>174</v>
      </c>
      <c r="H176" s="6"/>
    </row>
    <row r="177" spans="2:8" ht="10.5" x14ac:dyDescent="0.25">
      <c r="B177" s="54" t="s">
        <v>210</v>
      </c>
      <c r="H177" s="6"/>
    </row>
    <row r="178" spans="2:8" x14ac:dyDescent="0.2">
      <c r="H178" s="6"/>
    </row>
    <row r="179" spans="2:8" x14ac:dyDescent="0.2">
      <c r="H179" s="6"/>
    </row>
    <row r="180" spans="2:8" x14ac:dyDescent="0.2">
      <c r="H180" s="6"/>
    </row>
    <row r="181" spans="2:8" x14ac:dyDescent="0.2">
      <c r="H181" s="6"/>
    </row>
    <row r="182" spans="2:8" x14ac:dyDescent="0.2">
      <c r="H182" s="6"/>
    </row>
    <row r="183" spans="2:8" x14ac:dyDescent="0.2">
      <c r="H183" s="6"/>
    </row>
    <row r="184" spans="2:8" x14ac:dyDescent="0.2">
      <c r="H184" s="6"/>
    </row>
    <row r="185" spans="2:8" x14ac:dyDescent="0.2">
      <c r="H185" s="6"/>
    </row>
    <row r="186" spans="2:8" x14ac:dyDescent="0.2">
      <c r="H186" s="6"/>
    </row>
    <row r="187" spans="2:8" x14ac:dyDescent="0.2">
      <c r="H187" s="6"/>
    </row>
    <row r="188" spans="2:8" x14ac:dyDescent="0.2">
      <c r="H188" s="6"/>
    </row>
    <row r="189" spans="2:8" x14ac:dyDescent="0.2">
      <c r="H189" s="6"/>
    </row>
    <row r="190" spans="2:8" x14ac:dyDescent="0.2">
      <c r="H190" s="6"/>
    </row>
    <row r="191" spans="2:8" x14ac:dyDescent="0.2">
      <c r="H191" s="6"/>
    </row>
    <row r="192" spans="2:8" x14ac:dyDescent="0.2">
      <c r="H192" s="6"/>
    </row>
    <row r="193" spans="8:8" x14ac:dyDescent="0.2">
      <c r="H193" s="6"/>
    </row>
    <row r="194" spans="8:8" x14ac:dyDescent="0.2">
      <c r="H194" s="6"/>
    </row>
    <row r="195" spans="8:8" x14ac:dyDescent="0.2">
      <c r="H195" s="6"/>
    </row>
    <row r="196" spans="8:8" x14ac:dyDescent="0.2">
      <c r="H196" s="6"/>
    </row>
    <row r="197" spans="8:8" x14ac:dyDescent="0.2">
      <c r="H197" s="6"/>
    </row>
    <row r="198" spans="8:8" x14ac:dyDescent="0.2">
      <c r="H198" s="6"/>
    </row>
  </sheetData>
  <mergeCells count="23">
    <mergeCell ref="B1:C1"/>
    <mergeCell ref="B104:F104"/>
    <mergeCell ref="B108:B109"/>
    <mergeCell ref="C108:C109"/>
    <mergeCell ref="D108:D109"/>
    <mergeCell ref="E108:E109"/>
    <mergeCell ref="F108:F109"/>
    <mergeCell ref="B110:F110"/>
    <mergeCell ref="B120:B121"/>
    <mergeCell ref="C120:C121"/>
    <mergeCell ref="D120:D121"/>
    <mergeCell ref="E120:E121"/>
    <mergeCell ref="F120:F121"/>
    <mergeCell ref="B127:E127"/>
    <mergeCell ref="B132:B133"/>
    <mergeCell ref="C132:C133"/>
    <mergeCell ref="D132:D133"/>
    <mergeCell ref="B134:D134"/>
    <mergeCell ref="B139:F139"/>
    <mergeCell ref="B144:B145"/>
    <mergeCell ref="C144:C145"/>
    <mergeCell ref="D144:D145"/>
    <mergeCell ref="B146:D146"/>
  </mergeCells>
  <conditionalFormatting sqref="G1:G3">
    <cfRule type="cellIs" dxfId="1" priority="3" stopIfTrue="1" operator="between">
      <formula>0.009</formula>
      <formula>-0.009</formula>
    </cfRule>
  </conditionalFormatting>
  <conditionalFormatting sqref="G5:G65537">
    <cfRule type="cellIs" dxfId="0" priority="1" stopIfTrue="1" operator="between">
      <formula>0.009</formula>
      <formula>-0.009</formula>
    </cfRule>
  </conditionalFormatting>
  <hyperlinks>
    <hyperlink ref="A2" location="Index!A1" display="-" xr:uid="{DAD9BEC2-A256-4F74-85D0-1FA991FDE711}"/>
  </hyperlinks>
  <pageMargins left="0.7" right="0.7" top="0.75" bottom="0.75" header="0.3" footer="0.3"/>
  <pageSetup paperSize="9" scale="46" orientation="portrait" r:id="rId1"/>
  <headerFooter>
    <oddFooter>&amp;C&amp;1#&amp;"Calibri"&amp;10&amp;K000000RESTRICTED</oddFooter>
    <evenFooter>&amp;LPUBLIC</evenFooter>
    <firstFooter>&amp;LPUBLIC</firstFooter>
  </headerFooter>
  <rowBreaks count="1" manualBreakCount="1">
    <brk id="135" min="1" max="7" man="1"/>
  </rowBreaks>
  <colBreaks count="1" manualBreakCount="1">
    <brk id="8" max="96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JBLARGE</vt:lpstr>
      <vt:lpstr>JBLARGE!Print_Area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keywords>PUBLIC</cp:keywords>
  <dc:description>PUBLIC</dc:description>
  <cp:lastModifiedBy/>
  <dcterms:created xsi:type="dcterms:W3CDTF">2006-09-16T00:00:00Z</dcterms:created>
  <dcterms:modified xsi:type="dcterms:W3CDTF">2026-05-08T09:07:43Z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ource">
    <vt:lpwstr>Internal</vt:lpwstr>
  </property>
  <property fmtid="{D5CDD505-2E9C-101B-9397-08002B2CF9AE}" pid="3" name="Footers">
    <vt:lpwstr>Footers</vt:lpwstr>
  </property>
  <property fmtid="{D5CDD505-2E9C-101B-9397-08002B2CF9AE}" pid="4" name="MSIP_Label_f851b4f6-a95e-46a7-8457-84c26f440032_Enabled">
    <vt:lpwstr>true</vt:lpwstr>
  </property>
  <property fmtid="{D5CDD505-2E9C-101B-9397-08002B2CF9AE}" pid="5" name="MSIP_Label_f851b4f6-a95e-46a7-8457-84c26f440032_SetDate">
    <vt:lpwstr>2025-12-04T08:50:42Z</vt:lpwstr>
  </property>
  <property fmtid="{D5CDD505-2E9C-101B-9397-08002B2CF9AE}" pid="6" name="MSIP_Label_f851b4f6-a95e-46a7-8457-84c26f440032_Method">
    <vt:lpwstr>Privileged</vt:lpwstr>
  </property>
  <property fmtid="{D5CDD505-2E9C-101B-9397-08002B2CF9AE}" pid="7" name="MSIP_Label_f851b4f6-a95e-46a7-8457-84c26f440032_Name">
    <vt:lpwstr>CLARESTRI</vt:lpwstr>
  </property>
  <property fmtid="{D5CDD505-2E9C-101B-9397-08002B2CF9AE}" pid="8" name="MSIP_Label_f851b4f6-a95e-46a7-8457-84c26f440032_SiteId">
    <vt:lpwstr>e0fd434d-ba64-497b-90d2-859c472e1a92</vt:lpwstr>
  </property>
  <property fmtid="{D5CDD505-2E9C-101B-9397-08002B2CF9AE}" pid="9" name="MSIP_Label_f851b4f6-a95e-46a7-8457-84c26f440032_ActionId">
    <vt:lpwstr>49350c0e-e69c-418e-b18a-2209837d064f</vt:lpwstr>
  </property>
  <property fmtid="{D5CDD505-2E9C-101B-9397-08002B2CF9AE}" pid="10" name="MSIP_Label_f851b4f6-a95e-46a7-8457-84c26f440032_ContentBits">
    <vt:lpwstr>2</vt:lpwstr>
  </property>
  <property fmtid="{D5CDD505-2E9C-101B-9397-08002B2CF9AE}" pid="11" name="Classification">
    <vt:lpwstr>RESTRICTED</vt:lpwstr>
  </property>
</Properties>
</file>