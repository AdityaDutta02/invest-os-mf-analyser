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227"/>
  <workbookPr filterPrivacy="1" defaultThemeVersion="124226"/>
  <xr:revisionPtr revIDLastSave="0" documentId="13_ncr:1_{233B5320-0C36-4C40-AF77-D0BCE3816F32}" xr6:coauthVersionLast="47" xr6:coauthVersionMax="47" xr10:uidLastSave="{00000000-0000-0000-0000-000000000000}"/>
  <bookViews>
    <workbookView xWindow="-120" yWindow="-120" windowWidth="51840" windowHeight="21120" xr2:uid="{89728DBC-F07D-4157-8807-01DBF0F4A3D6}"/>
  </bookViews>
  <sheets>
    <sheet name="Index" sheetId="2" r:id="rId1"/>
    <sheet name="JBMMF" sheetId="3" r:id="rId2"/>
    <sheet name="JBOF" sheetId="4" r:id="rId3"/>
    <sheet name="JBLF" sheetId="5" r:id="rId4"/>
    <sheet name="JBN8-13" sheetId="6" r:id="rId5"/>
    <sheet name="JBN50" sheetId="7" r:id="rId6"/>
    <sheet name="JBNNX50" sheetId="8" r:id="rId7"/>
    <sheet name="JBNM150" sheetId="9" r:id="rId8"/>
    <sheet name="JBNS250" sheetId="10" r:id="rId9"/>
    <sheet name="JBFLEXI" sheetId="11" r:id="rId10"/>
  </sheets>
  <definedNames>
    <definedName name="_xlnm.Print_Area" localSheetId="9">JBFLEXI!$B$1:$H$203</definedName>
    <definedName name="_xlnm.Print_Area" localSheetId="3">JBLF!$B$1:$I$134</definedName>
    <definedName name="_xlnm.Print_Area" localSheetId="1">JBMMF!$B$1:$I$96</definedName>
    <definedName name="_xlnm.Print_Area" localSheetId="5">'JBN50'!$B$1:$H$105</definedName>
    <definedName name="_xlnm.Print_Area" localSheetId="4">'JBN8-13'!$B$1:$I$56</definedName>
    <definedName name="_xlnm.Print_Area" localSheetId="7">JBNM150!$B$1:$H$205</definedName>
    <definedName name="_xlnm.Print_Area" localSheetId="6">JBNNX50!$B$1:$H$112</definedName>
    <definedName name="_xlnm.Print_Area" localSheetId="8">JBNS250!$B$1:$H$307</definedName>
    <definedName name="_xlnm.Print_Area" localSheetId="2">JBOF!$B$1:$I$72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2" i="11" l="1"/>
  <c r="A2" i="10"/>
  <c r="A2" i="9"/>
  <c r="A2" i="8"/>
  <c r="A2" i="7"/>
  <c r="A2" i="6"/>
  <c r="A2" i="5"/>
  <c r="A2" i="4"/>
  <c r="A2" i="3"/>
  <c r="B2" i="2"/>
  <c r="B10" i="2"/>
  <c r="B9" i="2"/>
  <c r="B8" i="2"/>
  <c r="B7" i="2"/>
  <c r="B6" i="2"/>
  <c r="B5" i="2"/>
  <c r="B4" i="2"/>
  <c r="B3" i="2"/>
  <c r="G154" i="11"/>
  <c r="F154" i="11"/>
  <c r="G162" i="11"/>
  <c r="F161" i="11"/>
  <c r="F162" i="11" s="1"/>
  <c r="G67" i="8"/>
  <c r="F67" i="8"/>
  <c r="G65" i="8"/>
  <c r="F65" i="8"/>
  <c r="G148" i="11" l="1"/>
  <c r="G155" i="11" s="1"/>
  <c r="F148" i="11"/>
  <c r="F155" i="11" s="1"/>
  <c r="G258" i="10"/>
  <c r="G261" i="10"/>
  <c r="G264" i="10"/>
  <c r="F258" i="10"/>
  <c r="F264" i="10" s="1"/>
  <c r="F261" i="10"/>
  <c r="G157" i="9"/>
  <c r="G163" i="9"/>
  <c r="F157" i="9"/>
  <c r="F163" i="9"/>
  <c r="G57" i="8"/>
  <c r="F57" i="8"/>
  <c r="G58" i="7"/>
  <c r="G64" i="7" s="1"/>
  <c r="F58" i="7"/>
  <c r="F61" i="7"/>
  <c r="G9" i="6"/>
  <c r="G13" i="6" s="1"/>
  <c r="F9" i="6"/>
  <c r="F13" i="6" s="1"/>
  <c r="G71" i="5"/>
  <c r="F71" i="5"/>
  <c r="G66" i="5"/>
  <c r="F66" i="5"/>
  <c r="G59" i="5"/>
  <c r="F59" i="5"/>
  <c r="G42" i="5"/>
  <c r="F42" i="5"/>
  <c r="G8" i="5"/>
  <c r="G11" i="5" s="1"/>
  <c r="F8" i="5"/>
  <c r="F11" i="5"/>
  <c r="G10" i="4"/>
  <c r="G11" i="4" s="1"/>
  <c r="F10" i="4"/>
  <c r="F11" i="4" s="1"/>
  <c r="G42" i="3"/>
  <c r="F42" i="3"/>
  <c r="G38" i="3"/>
  <c r="F38" i="3"/>
  <c r="G33" i="3"/>
  <c r="F33" i="3"/>
  <c r="G23" i="3"/>
  <c r="F23" i="3"/>
  <c r="F160" i="9"/>
  <c r="G160" i="9"/>
  <c r="F64" i="7"/>
  <c r="G60" i="8" l="1"/>
  <c r="G71" i="8"/>
  <c r="F60" i="8"/>
  <c r="F71" i="8"/>
  <c r="F151" i="11"/>
  <c r="G151" i="11"/>
  <c r="G87" i="5"/>
  <c r="F23" i="4"/>
  <c r="F87" i="5"/>
  <c r="G67" i="5"/>
  <c r="G23" i="4"/>
  <c r="F39" i="3"/>
  <c r="G46" i="3"/>
  <c r="F46" i="3"/>
  <c r="G39" i="3"/>
  <c r="G61" i="7"/>
  <c r="F67" i="5"/>
</calcChain>
</file>

<file path=xl/sharedStrings.xml><?xml version="1.0" encoding="utf-8"?>
<sst xmlns="http://schemas.openxmlformats.org/spreadsheetml/2006/main" count="2474" uniqueCount="1344">
  <si>
    <t>Quantity</t>
  </si>
  <si>
    <t>Sr No.</t>
  </si>
  <si>
    <t>Short Name</t>
  </si>
  <si>
    <t>Scheme Name</t>
  </si>
  <si>
    <t>Market/Fair Value
 (Rs. in Lakhs)</t>
  </si>
  <si>
    <t>% to Net
 Assets</t>
  </si>
  <si>
    <t xml:space="preserve">Yield to Maturity </t>
  </si>
  <si>
    <t xml:space="preserve">Name of the Instrument </t>
  </si>
  <si>
    <t>ISIN</t>
  </si>
  <si>
    <t>JioBlackRock Money Market Fund</t>
  </si>
  <si>
    <t>JioBlackRock Overnight Fund</t>
  </si>
  <si>
    <t>JioBlackRock Liquid Fund</t>
  </si>
  <si>
    <t>JioBlackRock Nifty 8-13 yr G-Sec Index Fund</t>
  </si>
  <si>
    <t>JioBlackRock Nifty 50 Index Fund</t>
  </si>
  <si>
    <t>JioBlackRock Nifty Next 50 Index Fund</t>
  </si>
  <si>
    <t>JioBlackRock Nifty Midcap 150 Index Fund</t>
  </si>
  <si>
    <t>JioBlackRock Nifty Smallcap 250 Index Fund</t>
  </si>
  <si>
    <t>JioBlackRock Flexi Cap Fund</t>
  </si>
  <si>
    <t>Yield to Call ^</t>
  </si>
  <si>
    <t>Money Market Instruments</t>
  </si>
  <si>
    <t>Certificate of Deposit</t>
  </si>
  <si>
    <t>Bank of India (10-Mar-2026) **</t>
  </si>
  <si>
    <t>INE084A16EK5</t>
  </si>
  <si>
    <t>CRISIL A1+</t>
  </si>
  <si>
    <t>HDFC Bank Ltd (12-Mar-2026) **</t>
  </si>
  <si>
    <t>INE040A16GN6</t>
  </si>
  <si>
    <t>CARE A1+</t>
  </si>
  <si>
    <t>Axis Bank Ltd (04-Mar-2026) **</t>
  </si>
  <si>
    <t>INE238AD6AN0</t>
  </si>
  <si>
    <t>ICRA A1+</t>
  </si>
  <si>
    <t>Export-Import Bank Of India (04-Mar-2026)</t>
  </si>
  <si>
    <t>INE514E16CJ9</t>
  </si>
  <si>
    <t>Small Industries Development Bank of India (27-Feb-2026) **</t>
  </si>
  <si>
    <t>INE556F16BB6</t>
  </si>
  <si>
    <t>Canara Bank (12-Mar-2026) **</t>
  </si>
  <si>
    <t>INE476A16B23</t>
  </si>
  <si>
    <t>National Bank For Agriculture &amp; Rural Development (10-Mar-2026) **</t>
  </si>
  <si>
    <t>INE261F16975</t>
  </si>
  <si>
    <t>Canara Bank (18-Mar-2026) **</t>
  </si>
  <si>
    <t>INE476A16B64</t>
  </si>
  <si>
    <t>National Bank For Agriculture &amp; Rural Development (25-Mar-2026) **</t>
  </si>
  <si>
    <t>INE261F16AA7</t>
  </si>
  <si>
    <t>Export-Import Bank Of India (28-May-2026) **</t>
  </si>
  <si>
    <t>INE514E16CL5</t>
  </si>
  <si>
    <t>Bank of Baroda (27-Jan-2026) **</t>
  </si>
  <si>
    <t>INE028A16JH7</t>
  </si>
  <si>
    <t>Indian Bank (06-Mar-2026) **</t>
  </si>
  <si>
    <t>INE562A16OG7</t>
  </si>
  <si>
    <t>Canara Bank (06-Mar-2026) **</t>
  </si>
  <si>
    <t>INE476A16A99</t>
  </si>
  <si>
    <t>HDFC Bank Ltd (09-Mar-2026) **</t>
  </si>
  <si>
    <t>INE040A16HM6</t>
  </si>
  <si>
    <t>Punjab National Bank (18-Mar-2026) **</t>
  </si>
  <si>
    <t>INE160A16RK5</t>
  </si>
  <si>
    <t>Canara Bank (04-Mar-2026) **</t>
  </si>
  <si>
    <t>INE476A16A73</t>
  </si>
  <si>
    <t>Sub Total</t>
  </si>
  <si>
    <t>Commercial Paper</t>
  </si>
  <si>
    <t>NTPC Ltd (10-Mar-2026) **</t>
  </si>
  <si>
    <t>INE733E14BU9</t>
  </si>
  <si>
    <t>Small Industries Development Bank Of India (03-Mar-2026) **</t>
  </si>
  <si>
    <t>INE556F14LG9</t>
  </si>
  <si>
    <t>National Bank For Agriculture &amp; Rural Development (02-Mar-2026) **</t>
  </si>
  <si>
    <t>INE261F14OD7</t>
  </si>
  <si>
    <t>ICICI Securities Ltd (23-Dec-2025)</t>
  </si>
  <si>
    <t>INE763G14ZH7</t>
  </si>
  <si>
    <t>Power Finance Corporation Ltd (15-Apr-2026) **</t>
  </si>
  <si>
    <t>INE134E14AX6</t>
  </si>
  <si>
    <t>Kotak Mahindra Prime Ltd (05-Jun-2026)</t>
  </si>
  <si>
    <t>INE916D145K4</t>
  </si>
  <si>
    <t>Bajaj Finance Ltd (14-May-2026) **</t>
  </si>
  <si>
    <t>INE296A14A65</t>
  </si>
  <si>
    <t>LIC Housing Finance Ltd (18-Mar-2026) **</t>
  </si>
  <si>
    <t>INE115A14FL7</t>
  </si>
  <si>
    <t>Treasury Bill</t>
  </si>
  <si>
    <t>182 DTB (19-MAR-2026)</t>
  </si>
  <si>
    <t>IN002025Y255</t>
  </si>
  <si>
    <t xml:space="preserve"> SOVEREIGN</t>
  </si>
  <si>
    <t>182 DTB (26-MAR-2026)</t>
  </si>
  <si>
    <t>IN002025Y263</t>
  </si>
  <si>
    <t>364 DTB (16-JUL-2026)</t>
  </si>
  <si>
    <t>IN002025Z161</t>
  </si>
  <si>
    <t>Total</t>
  </si>
  <si>
    <t>Government Securities</t>
  </si>
  <si>
    <t>5.63% GOI 2026 (12-APR-2026)</t>
  </si>
  <si>
    <t>IN0020210012</t>
  </si>
  <si>
    <t>SOVEREIGN</t>
  </si>
  <si>
    <t>TREPS</t>
  </si>
  <si>
    <t>Grand Total</t>
  </si>
  <si>
    <t>Net Receivables / (Payables)</t>
  </si>
  <si>
    <t>Rating</t>
  </si>
  <si>
    <t>** Non Traded Security</t>
  </si>
  <si>
    <t>^ It is disclosed for Perpetual Bond issued by Banks (i.e. AT-1 Bond / Tier 1 Bond / Tier 2 Bond), as per AMFI Best Practices Guidelines Circular no. 91/2020-21 dated March 24, 2021 on Valuation of AT-1 Bonds and Tier 2 Bonds. As per SEBI Circular SEBI/HO/IMD/PoD1/CIR/P/2024/106 dated August 05, 2024, valuation of AT-1 Bonds are done on Yield to Call basis w.e.f. August 07, 2024. YTC of AT-1 Bonds are now same as it’s YTM% and hence it is not disclosed separately under YTC%.</t>
  </si>
  <si>
    <t>Notes</t>
  </si>
  <si>
    <t xml:space="preserve">Scheme Risk-O-Meter </t>
  </si>
  <si>
    <t>91 DTB (06-NOV-2025)</t>
  </si>
  <si>
    <t>IN002025X190</t>
  </si>
  <si>
    <t>182 DTB (13-NOV-2025)</t>
  </si>
  <si>
    <t>IN002025Y073</t>
  </si>
  <si>
    <t>91 DTB (20-NOV-2025)</t>
  </si>
  <si>
    <t>IN002025X216</t>
  </si>
  <si>
    <t>Reverse Repo</t>
  </si>
  <si>
    <t>Reverse Repo (03-Nov-2025)</t>
  </si>
  <si>
    <t>Debt Instruments</t>
  </si>
  <si>
    <t>(a) Listed / awaiting listing on Stock Exchanges</t>
  </si>
  <si>
    <t>7.82% LIC Housing Finance Ltd (28-Nov-2025) **</t>
  </si>
  <si>
    <t>INE115A07QD5</t>
  </si>
  <si>
    <t>CRISIL AAA</t>
  </si>
  <si>
    <t>(b) Privately Placed / Unlisted</t>
  </si>
  <si>
    <t>Nil</t>
  </si>
  <si>
    <t>Axis Bank Ltd (18-Dec-2025) **</t>
  </si>
  <si>
    <t>INE238AD6BH0</t>
  </si>
  <si>
    <t>HDFC Bank Ltd (22-Dec-2025) **</t>
  </si>
  <si>
    <t>INE040A16HQ7</t>
  </si>
  <si>
    <t>Bank of Baroda (22-Dec-2025) **</t>
  </si>
  <si>
    <t>INE028A16KD4</t>
  </si>
  <si>
    <t>Export-Import Bank Of India (30-Dec-2025)</t>
  </si>
  <si>
    <t>INE514E16CI1</t>
  </si>
  <si>
    <t>Bank of Baroda (12-Dec-2025)</t>
  </si>
  <si>
    <t>INE028A16HY6</t>
  </si>
  <si>
    <t>Canara Bank (18-Dec-2025)</t>
  </si>
  <si>
    <t>INE476A16ZT9</t>
  </si>
  <si>
    <t>Punjab National Bank (11-Dec-2025)</t>
  </si>
  <si>
    <t>INE160A16QL5</t>
  </si>
  <si>
    <t>Union Bank of India (05-Dec-2025) **</t>
  </si>
  <si>
    <t>INE692A16ID1</t>
  </si>
  <si>
    <t>Union Bank of India (18-Dec-2025)</t>
  </si>
  <si>
    <t>INE692A16II0</t>
  </si>
  <si>
    <t>IND A1+</t>
  </si>
  <si>
    <t>HDFC Bank Ltd (04-Dec-2025)</t>
  </si>
  <si>
    <t>INE040A16FY5</t>
  </si>
  <si>
    <t>HDFC Bank Ltd (03-Dec-2025) **</t>
  </si>
  <si>
    <t>INE040A16HI4</t>
  </si>
  <si>
    <t>Punjab &amp; Sind Bank (04-Dec-2025) **</t>
  </si>
  <si>
    <t>INE608A16SH7</t>
  </si>
  <si>
    <t>Bank of Baroda (16-Dec-2025) **</t>
  </si>
  <si>
    <t>INE028A16ID8</t>
  </si>
  <si>
    <t>Canara Bank (17-Dec-2025) **</t>
  </si>
  <si>
    <t>INE476A16E04</t>
  </si>
  <si>
    <t>Punjab National Bank (18-Dec-2025) **</t>
  </si>
  <si>
    <t>INE160A16SR8</t>
  </si>
  <si>
    <t>Punjab National Bank (19-Nov-2025) **</t>
  </si>
  <si>
    <t>INE160A16SV0</t>
  </si>
  <si>
    <t>Canara Bank (19-Nov-2025) **</t>
  </si>
  <si>
    <t>INE476A16D62</t>
  </si>
  <si>
    <t>HDFC Bank Ltd (18-Dec-2025)</t>
  </si>
  <si>
    <t>INE040A16GA3</t>
  </si>
  <si>
    <t>Canara Bank (26-Dec-2025)</t>
  </si>
  <si>
    <t>INE476A16ZW3</t>
  </si>
  <si>
    <t>Canara Bank (04-Dec-2025) **</t>
  </si>
  <si>
    <t>INE476A16ZO0</t>
  </si>
  <si>
    <t>Canara Bank (05-Dec-2025) **</t>
  </si>
  <si>
    <t>INE476A16ZP7</t>
  </si>
  <si>
    <t>Small Industries Development Bank of India (05-Dec-2025) **</t>
  </si>
  <si>
    <t>INE556F16AX2</t>
  </si>
  <si>
    <t>Axis Bank Ltd (17-Dec-2025) **</t>
  </si>
  <si>
    <t>INE238AD6AY7</t>
  </si>
  <si>
    <t>Union Bank of India (23-Dec-2025)</t>
  </si>
  <si>
    <t>INE692A16JW9</t>
  </si>
  <si>
    <t>Union Bank of India (04-Dec-2025) **</t>
  </si>
  <si>
    <t>INE692A16IC3</t>
  </si>
  <si>
    <t>ICICI Bank Ltd (14-Nov-2025) **</t>
  </si>
  <si>
    <t>INE090AD6204</t>
  </si>
  <si>
    <t>Bank of India (26-Dec-2025)</t>
  </si>
  <si>
    <t>INE084A16CY0</t>
  </si>
  <si>
    <t>Bank of India (04-Dec-2025) **</t>
  </si>
  <si>
    <t>INE084A16EF5</t>
  </si>
  <si>
    <t>Kotak Securities Ltd (30-Dec-2025)</t>
  </si>
  <si>
    <t>INE028E14TC4</t>
  </si>
  <si>
    <t>Reliance Retail Ventures Ltd (03-Dec-2025) **</t>
  </si>
  <si>
    <t>INE929O14EA8</t>
  </si>
  <si>
    <t>Reliance Retail Ventures Ltd (13-Nov-2025)</t>
  </si>
  <si>
    <t>INE929O14DU8</t>
  </si>
  <si>
    <t>Bajaj Financial Securities Ltd (17-Dec-2025) **</t>
  </si>
  <si>
    <t>INE01C314CV7</t>
  </si>
  <si>
    <t>HDFC Securities Ltd (18-Dec-2025) **</t>
  </si>
  <si>
    <t>INE700G14PZ2</t>
  </si>
  <si>
    <t>Indian Oil Corporation Ltd (10-Dec-2025)</t>
  </si>
  <si>
    <t>INE242A14YK2</t>
  </si>
  <si>
    <t>Grasim Industries Ltd (11-Dec-2025) **</t>
  </si>
  <si>
    <t>INE047A14AM1</t>
  </si>
  <si>
    <t>HDFC Securities Ltd (29-Dec-2025) **</t>
  </si>
  <si>
    <t>INE700G14QJ4</t>
  </si>
  <si>
    <t>ICICI Securities Ltd (16-Dec-2025) **</t>
  </si>
  <si>
    <t>INE763G14B13</t>
  </si>
  <si>
    <t>ICICI Securities Ltd (04-Dec-2025) **</t>
  </si>
  <si>
    <t>INE763G14A48</t>
  </si>
  <si>
    <t>ICICI Securities Ltd (10-Dec-2025)</t>
  </si>
  <si>
    <t>INE763G14A71</t>
  </si>
  <si>
    <t>Indian Oil Corporation Ltd (19-Dec-2025) **</t>
  </si>
  <si>
    <t>INE242A14YL0</t>
  </si>
  <si>
    <t>L&amp;T Finance Ltd (17-Dec-2025) **</t>
  </si>
  <si>
    <t>INE498L14ES2</t>
  </si>
  <si>
    <t>Indian Oil Corporation Ltd (07-Nov-2025)</t>
  </si>
  <si>
    <t>INE242A14YG0</t>
  </si>
  <si>
    <t>Indian Oil Corporation Ltd (04-Nov-2025) **</t>
  </si>
  <si>
    <t>INE242A14YF2</t>
  </si>
  <si>
    <t>91 DTB (02-JAN-2026)</t>
  </si>
  <si>
    <t>IN002025X273</t>
  </si>
  <si>
    <t>91 DTB (23-JAN-2026)</t>
  </si>
  <si>
    <t>IN002025X307</t>
  </si>
  <si>
    <t>182 DTB (25-DEC-2025)</t>
  </si>
  <si>
    <t>IN002025Y131</t>
  </si>
  <si>
    <t>182 DTB (20-NOV-2025)</t>
  </si>
  <si>
    <t>IN002025Y081</t>
  </si>
  <si>
    <t>8.16% KARNATAKA SDL 26-NOV-25</t>
  </si>
  <si>
    <t>IN1920150043</t>
  </si>
  <si>
    <t>8.21% MAHARASHTRA SDL 09-DEC-25</t>
  </si>
  <si>
    <t>IN2220150147</t>
  </si>
  <si>
    <t>6.33% GOI 2035 (05-MAY-2035)</t>
  </si>
  <si>
    <t>IN0020250026</t>
  </si>
  <si>
    <t>6.79% GOI 2034 (07-OCT-2034)</t>
  </si>
  <si>
    <t>IN0020240126</t>
  </si>
  <si>
    <t>6.48% GOI 2035 (06-OCT-2035)</t>
  </si>
  <si>
    <t>IN0020250091</t>
  </si>
  <si>
    <t>Equity &amp; Equity related</t>
  </si>
  <si>
    <t>HDFC Bank Ltd</t>
  </si>
  <si>
    <t>INE040A01034</t>
  </si>
  <si>
    <t>Banks</t>
  </si>
  <si>
    <t>Reliance Industries Ltd</t>
  </si>
  <si>
    <t>INE002A01018</t>
  </si>
  <si>
    <t>Petroleum Products</t>
  </si>
  <si>
    <t>ICICI Bank Ltd</t>
  </si>
  <si>
    <t>INE090A01021</t>
  </si>
  <si>
    <t>Bharti Airtel Ltd</t>
  </si>
  <si>
    <t>INE397D01024</t>
  </si>
  <si>
    <t>Telecom - Services</t>
  </si>
  <si>
    <t>Infosys Ltd</t>
  </si>
  <si>
    <t>INE009A01021</t>
  </si>
  <si>
    <t>IT - Software</t>
  </si>
  <si>
    <t>Larsen &amp; Toubro Ltd</t>
  </si>
  <si>
    <t>INE018A01030</t>
  </si>
  <si>
    <t>Construction</t>
  </si>
  <si>
    <t>ITC Ltd</t>
  </si>
  <si>
    <t>INE154A01025</t>
  </si>
  <si>
    <t>Diversified Fmcg</t>
  </si>
  <si>
    <t>State Bank of India</t>
  </si>
  <si>
    <t>INE062A01020</t>
  </si>
  <si>
    <t>Axis Bank Ltd</t>
  </si>
  <si>
    <t>INE238A01034</t>
  </si>
  <si>
    <t>Tata Consultancy Services Ltd</t>
  </si>
  <si>
    <t>INE467B01029</t>
  </si>
  <si>
    <t>Kotak Mahindra Bank Ltd</t>
  </si>
  <si>
    <t>INE237A01028</t>
  </si>
  <si>
    <t>Mahindra &amp; Mahindra Ltd</t>
  </si>
  <si>
    <t>INE101A01026</t>
  </si>
  <si>
    <t>Automobiles</t>
  </si>
  <si>
    <t>Bajaj Finance Ltd</t>
  </si>
  <si>
    <t>INE296A01032</t>
  </si>
  <si>
    <t>Finance</t>
  </si>
  <si>
    <t>Eternal Ltd</t>
  </si>
  <si>
    <t>INE758T01015</t>
  </si>
  <si>
    <t>Retailing</t>
  </si>
  <si>
    <t>Hindustan Unilever Ltd</t>
  </si>
  <si>
    <t>INE030A01027</t>
  </si>
  <si>
    <t>Maruti Suzuki India Ltd</t>
  </si>
  <si>
    <t>INE585B01010</t>
  </si>
  <si>
    <t>Sun Pharmaceutical Industries Ltd</t>
  </si>
  <si>
    <t>INE044A01036</t>
  </si>
  <si>
    <t>Pharmaceuticals &amp; Biotechnology</t>
  </si>
  <si>
    <t>HCL Technologies Ltd</t>
  </si>
  <si>
    <t>INE860A01027</t>
  </si>
  <si>
    <t>NTPC Ltd</t>
  </si>
  <si>
    <t>INE733E01010</t>
  </si>
  <si>
    <t>Power</t>
  </si>
  <si>
    <t>Titan Co Ltd</t>
  </si>
  <si>
    <t>INE280A01028</t>
  </si>
  <si>
    <t>Consumer Durables</t>
  </si>
  <si>
    <t>Bharat Electronics Ltd</t>
  </si>
  <si>
    <t>INE263A01024</t>
  </si>
  <si>
    <t>Aerospace &amp; Defense</t>
  </si>
  <si>
    <t>Tata Steel Ltd</t>
  </si>
  <si>
    <t>INE081A01020</t>
  </si>
  <si>
    <t>Ferrous Metals</t>
  </si>
  <si>
    <t>Ultratech Cement Ltd</t>
  </si>
  <si>
    <t>INE481G01011</t>
  </si>
  <si>
    <t>Cement &amp; Cement Products</t>
  </si>
  <si>
    <t>Power Grid Corporation of India Ltd</t>
  </si>
  <si>
    <t>INE752E01010</t>
  </si>
  <si>
    <t>Interglobe Aviation Ltd</t>
  </si>
  <si>
    <t>INE646L01027</t>
  </si>
  <si>
    <t>Transport Services</t>
  </si>
  <si>
    <t>Hindalco Industries Ltd</t>
  </si>
  <si>
    <t>INE038A01020</t>
  </si>
  <si>
    <t>Non - Ferrous Metals</t>
  </si>
  <si>
    <t>Bajaj Finserv Ltd</t>
  </si>
  <si>
    <t>INE918I01026</t>
  </si>
  <si>
    <t>Asian Paints Ltd</t>
  </si>
  <si>
    <t>INE021A01026</t>
  </si>
  <si>
    <t>JSW Steel Ltd</t>
  </si>
  <si>
    <t>INE019A01038</t>
  </si>
  <si>
    <t>Grasim Industries Ltd</t>
  </si>
  <si>
    <t>INE047A01021</t>
  </si>
  <si>
    <t>Adani Ports and Special Economic Zone Ltd</t>
  </si>
  <si>
    <t>INE742F01042</t>
  </si>
  <si>
    <t>Transport Infrastructure</t>
  </si>
  <si>
    <t>Shriram Finance Ltd</t>
  </si>
  <si>
    <t>INE721A01047</t>
  </si>
  <si>
    <t>Trent Ltd</t>
  </si>
  <si>
    <t>INE849A01020</t>
  </si>
  <si>
    <t>Jio Financial Services Ltd</t>
  </si>
  <si>
    <t>INE758E01017</t>
  </si>
  <si>
    <t>Oil &amp; Natural Gas Corporation Ltd</t>
  </si>
  <si>
    <t>INE213A01029</t>
  </si>
  <si>
    <t>Oil</t>
  </si>
  <si>
    <t>Bajaj Auto Ltd</t>
  </si>
  <si>
    <t>INE917I01010</t>
  </si>
  <si>
    <t>Eicher Motors Ltd</t>
  </si>
  <si>
    <t>INE066A01021</t>
  </si>
  <si>
    <t>Nestle India Ltd</t>
  </si>
  <si>
    <t>INE239A01024</t>
  </si>
  <si>
    <t>Food Products</t>
  </si>
  <si>
    <t>Tech Mahindra Ltd</t>
  </si>
  <si>
    <t>INE669C01036</t>
  </si>
  <si>
    <t>Coal India Ltd</t>
  </si>
  <si>
    <t>INE522F01014</t>
  </si>
  <si>
    <t>Consumable Fuels</t>
  </si>
  <si>
    <t>SBI Life Insurance Co Ltd</t>
  </si>
  <si>
    <t>INE123W01016</t>
  </si>
  <si>
    <t>Insurance</t>
  </si>
  <si>
    <t>Tata Motors Passenger Vehicles Ltd</t>
  </si>
  <si>
    <t>INE155A01022</t>
  </si>
  <si>
    <t>Max Healthcare Institute Ltd</t>
  </si>
  <si>
    <t>INE027H01010</t>
  </si>
  <si>
    <t>Healthcare Services</t>
  </si>
  <si>
    <t>Cipla Ltd</t>
  </si>
  <si>
    <t>INE059A01026</t>
  </si>
  <si>
    <t>HDFC Life Insurance Co Ltd</t>
  </si>
  <si>
    <t>INE795G01014</t>
  </si>
  <si>
    <t>Apollo Hospitals Enterprise Ltd</t>
  </si>
  <si>
    <t>INE437A01024</t>
  </si>
  <si>
    <t>Tata Consumer Products Ltd</t>
  </si>
  <si>
    <t>INE192A01025</t>
  </si>
  <si>
    <t>Agricultural Food &amp; Other Products</t>
  </si>
  <si>
    <t>Dr. Reddy's Laboratories Ltd</t>
  </si>
  <si>
    <t>INE089A01031</t>
  </si>
  <si>
    <t>Wipro Ltd</t>
  </si>
  <si>
    <t>INE075A01022</t>
  </si>
  <si>
    <t>Adani Enterprises Ltd</t>
  </si>
  <si>
    <t>INE423A01024</t>
  </si>
  <si>
    <t>Metals &amp; Minerals Trading</t>
  </si>
  <si>
    <t>INE1TAE01010</t>
  </si>
  <si>
    <t xml:space="preserve">(b) Unlisted </t>
  </si>
  <si>
    <t>NIL</t>
  </si>
  <si>
    <t>Industry Classification</t>
  </si>
  <si>
    <t>Hindustan Aeronautics Ltd</t>
  </si>
  <si>
    <t>INE066F01020</t>
  </si>
  <si>
    <t>Divi's Laboratories Ltd</t>
  </si>
  <si>
    <t>INE361B01024</t>
  </si>
  <si>
    <t>Vedanta Ltd</t>
  </si>
  <si>
    <t>INE205A01025</t>
  </si>
  <si>
    <t>Diversified Metals</t>
  </si>
  <si>
    <t>TVS Motor Co Ltd</t>
  </si>
  <si>
    <t>INE494B01023</t>
  </si>
  <si>
    <t>Cholamandalam Investment and Finance Co Ltd</t>
  </si>
  <si>
    <t>INE121A01024</t>
  </si>
  <si>
    <t>Bharat Petroleum Corporation Ltd</t>
  </si>
  <si>
    <t>INE029A01011</t>
  </si>
  <si>
    <t>Britannia Industries Ltd</t>
  </si>
  <si>
    <t>INE216A01030</t>
  </si>
  <si>
    <t>Tata Power Co Ltd</t>
  </si>
  <si>
    <t>INE245A01021</t>
  </si>
  <si>
    <t>Indian Hotels Co Ltd</t>
  </si>
  <si>
    <t>INE053A01029</t>
  </si>
  <si>
    <t>Leisure Services</t>
  </si>
  <si>
    <t>Varun Beverages Ltd</t>
  </si>
  <si>
    <t>INE200M01039</t>
  </si>
  <si>
    <t>Beverages</t>
  </si>
  <si>
    <t>Adani Power Ltd</t>
  </si>
  <si>
    <t>INE814H01029</t>
  </si>
  <si>
    <t>Indian Oil Corporation Ltd</t>
  </si>
  <si>
    <t>INE242A01010</t>
  </si>
  <si>
    <t>Avenue Supermarts Ltd</t>
  </si>
  <si>
    <t>INE192R01011</t>
  </si>
  <si>
    <t>Power Finance Corporation Ltd</t>
  </si>
  <si>
    <t>INE134E01011</t>
  </si>
  <si>
    <t>Info Edge (India) Ltd</t>
  </si>
  <si>
    <t>INE663F01032</t>
  </si>
  <si>
    <t>Bajaj Holdings &amp; Investment Ltd</t>
  </si>
  <si>
    <t>INE118A01012</t>
  </si>
  <si>
    <t>Ltimindtree Ltd</t>
  </si>
  <si>
    <t>INE214T01019</t>
  </si>
  <si>
    <t>Bank of Baroda</t>
  </si>
  <si>
    <t>INE028A01039</t>
  </si>
  <si>
    <t>CG Power and Industrial Solutions Ltd</t>
  </si>
  <si>
    <t>INE067A01029</t>
  </si>
  <si>
    <t>Electrical Equipment</t>
  </si>
  <si>
    <t>GAIL (India) Ltd</t>
  </si>
  <si>
    <t>INE129A01019</t>
  </si>
  <si>
    <t>Gas</t>
  </si>
  <si>
    <t>DLF Ltd</t>
  </si>
  <si>
    <t>INE271C01023</t>
  </si>
  <si>
    <t>Realty</t>
  </si>
  <si>
    <t>ICICI Lombard General Insurance Co Ltd</t>
  </si>
  <si>
    <t>INE765G01017</t>
  </si>
  <si>
    <t>REC Ltd</t>
  </si>
  <si>
    <t>INE020B01018</t>
  </si>
  <si>
    <t>Samvardhana Motherson International Ltd</t>
  </si>
  <si>
    <t>INE775A01035</t>
  </si>
  <si>
    <t>Auto Components</t>
  </si>
  <si>
    <t>Canara Bank</t>
  </si>
  <si>
    <t>INE476A01022</t>
  </si>
  <si>
    <t>Godrej Consumer Products Ltd</t>
  </si>
  <si>
    <t>INE102D01028</t>
  </si>
  <si>
    <t>Personal Products</t>
  </si>
  <si>
    <t>Pidilite Industries Ltd</t>
  </si>
  <si>
    <t>INE318A01026</t>
  </si>
  <si>
    <t>Chemicals &amp; Petrochemicals</t>
  </si>
  <si>
    <t>Punjab National Bank</t>
  </si>
  <si>
    <t>INE160A01022</t>
  </si>
  <si>
    <t>United Spirits Ltd</t>
  </si>
  <si>
    <t>INE854D01024</t>
  </si>
  <si>
    <t>Jindal Steel Ltd</t>
  </si>
  <si>
    <t>INE749A01030</t>
  </si>
  <si>
    <t>Shree Cement Ltd</t>
  </si>
  <si>
    <t>INE070A01015</t>
  </si>
  <si>
    <t>Havells India Ltd</t>
  </si>
  <si>
    <t>INE176B01034</t>
  </si>
  <si>
    <t>Torrent Pharmaceuticals Ltd</t>
  </si>
  <si>
    <t>INE685A01028</t>
  </si>
  <si>
    <t>Ambuja Cements Ltd</t>
  </si>
  <si>
    <t>INE079A01024</t>
  </si>
  <si>
    <t>Adani Green Energy Ltd</t>
  </si>
  <si>
    <t>INE364U01010</t>
  </si>
  <si>
    <t>Hyundai Motor India Ltd</t>
  </si>
  <si>
    <t>INE0V6F01027</t>
  </si>
  <si>
    <t>Adani Energy Solutions Ltd</t>
  </si>
  <si>
    <t>INE931S01010</t>
  </si>
  <si>
    <t>Solar Industries India Ltd</t>
  </si>
  <si>
    <t>INE343H01029</t>
  </si>
  <si>
    <t>Lodha Developers Ltd</t>
  </si>
  <si>
    <t>INE670K01029</t>
  </si>
  <si>
    <t>Bosch Ltd</t>
  </si>
  <si>
    <t>INE323A01026</t>
  </si>
  <si>
    <t>JSW Energy Ltd</t>
  </si>
  <si>
    <t>INE121E01018</t>
  </si>
  <si>
    <t>Siemens Energy India ltd</t>
  </si>
  <si>
    <t>INE1NPP01017</t>
  </si>
  <si>
    <t>ABB India Ltd</t>
  </si>
  <si>
    <t>INE117A01022</t>
  </si>
  <si>
    <t>Siemens Ltd</t>
  </si>
  <si>
    <t>INE003A01024</t>
  </si>
  <si>
    <t>Zydus Lifesciences Ltd</t>
  </si>
  <si>
    <t>INE010B01027</t>
  </si>
  <si>
    <t>Indian Railway Finance Corporation Ltd</t>
  </si>
  <si>
    <t>INE053F01010</t>
  </si>
  <si>
    <t>Mazagon Dock Shipbuilders Ltd</t>
  </si>
  <si>
    <t>INE249Z01020</t>
  </si>
  <si>
    <t>Industrial Manufacturing</t>
  </si>
  <si>
    <t>Hindustan Zinc Ltd</t>
  </si>
  <si>
    <t>INE267A01025</t>
  </si>
  <si>
    <t>Life Insurance Corporation Of India</t>
  </si>
  <si>
    <t>INE0J1Y01017</t>
  </si>
  <si>
    <t>Bajaj Housing Finance Ltd</t>
  </si>
  <si>
    <t>INE377Y01014</t>
  </si>
  <si>
    <t>6.00% TVS Motor Co Ltd Cumulative NCRPS (01-Sep-2026) **</t>
  </si>
  <si>
    <t>INE494B04019</t>
  </si>
  <si>
    <t>** Non- Traded Security</t>
  </si>
  <si>
    <t>BSE Ltd</t>
  </si>
  <si>
    <t>INE118H01025</t>
  </si>
  <si>
    <t>Capital Markets</t>
  </si>
  <si>
    <t>Hero MotoCorp Ltd</t>
  </si>
  <si>
    <t>INE158A01026</t>
  </si>
  <si>
    <t>Suzlon Energy Ltd</t>
  </si>
  <si>
    <t>INE040H01021</t>
  </si>
  <si>
    <t>Dixon Technologies (India) Ltd</t>
  </si>
  <si>
    <t>INE935N01020</t>
  </si>
  <si>
    <t>Persistent Systems Ltd</t>
  </si>
  <si>
    <t>INE262H01021</t>
  </si>
  <si>
    <t>PB Fintech Ltd</t>
  </si>
  <si>
    <t>INE417T01026</t>
  </si>
  <si>
    <t>Financial Technology (Fintech)</t>
  </si>
  <si>
    <t>Coforge Ltd</t>
  </si>
  <si>
    <t>INE591G01025</t>
  </si>
  <si>
    <t>Cummins India Ltd</t>
  </si>
  <si>
    <t>INE298A01020</t>
  </si>
  <si>
    <t>Industrial Products</t>
  </si>
  <si>
    <t>Federal Bank Ltd</t>
  </si>
  <si>
    <t>INE171A01029</t>
  </si>
  <si>
    <t>HDFC Asset Management Co Ltd</t>
  </si>
  <si>
    <t>INE127D01025</t>
  </si>
  <si>
    <t>IDFC First Bank Ltd</t>
  </si>
  <si>
    <t>INE092T01019</t>
  </si>
  <si>
    <t>Fortis Healthcare Ltd</t>
  </si>
  <si>
    <t>INE061F01013</t>
  </si>
  <si>
    <t>IndusInd Bank Ltd</t>
  </si>
  <si>
    <t>INE095A01012</t>
  </si>
  <si>
    <t>AU Small Finance Bank Ltd</t>
  </si>
  <si>
    <t>INE949L01017</t>
  </si>
  <si>
    <t>Indus Towers Ltd</t>
  </si>
  <si>
    <t>INE121J01017</t>
  </si>
  <si>
    <t>One 97 Communications Ltd</t>
  </si>
  <si>
    <t>INE982J01020</t>
  </si>
  <si>
    <t>Lupin Ltd</t>
  </si>
  <si>
    <t>INE326A01037</t>
  </si>
  <si>
    <t>Hindustan Petroleum Corporation Ltd</t>
  </si>
  <si>
    <t>INE094A01015</t>
  </si>
  <si>
    <t>Yes Bank Ltd</t>
  </si>
  <si>
    <t>INE528G01035</t>
  </si>
  <si>
    <t>SRF Ltd</t>
  </si>
  <si>
    <t>INE647A01010</t>
  </si>
  <si>
    <t>UPL Ltd</t>
  </si>
  <si>
    <t>INE628A01036</t>
  </si>
  <si>
    <t>Fertilizers &amp; Agrochemicals</t>
  </si>
  <si>
    <t>Max Financial Services Ltd</t>
  </si>
  <si>
    <t>INE180A01020</t>
  </si>
  <si>
    <t>Ashok Leyland Ltd</t>
  </si>
  <si>
    <t>INE208A01029</t>
  </si>
  <si>
    <t>Agricultural, Commercial &amp; Construction Vehicles</t>
  </si>
  <si>
    <t>Polycab India Ltd</t>
  </si>
  <si>
    <t>INE455K01017</t>
  </si>
  <si>
    <t>Marico Ltd</t>
  </si>
  <si>
    <t>INE196A01026</t>
  </si>
  <si>
    <t>Ge Vernova T&amp;D India Ltd</t>
  </si>
  <si>
    <t>INE200A01026</t>
  </si>
  <si>
    <t>Bharat Forge Ltd</t>
  </si>
  <si>
    <t>INE465A01025</t>
  </si>
  <si>
    <t>Swiggy Ltd</t>
  </si>
  <si>
    <t>INE00H001014</t>
  </si>
  <si>
    <t>Godrej Properties Ltd</t>
  </si>
  <si>
    <t>INE484J01027</t>
  </si>
  <si>
    <t>Bharat Heavy Electricals Ltd</t>
  </si>
  <si>
    <t>INE257A01026</t>
  </si>
  <si>
    <t>Muthoot Finance Ltd</t>
  </si>
  <si>
    <t>INE414G01012</t>
  </si>
  <si>
    <t>FSN E-Commerce Ventures Ltd</t>
  </si>
  <si>
    <t>INE388Y01029</t>
  </si>
  <si>
    <t>GMR Airports Ltd</t>
  </si>
  <si>
    <t>INE776C01039</t>
  </si>
  <si>
    <t>APL Apollo Tubes Ltd</t>
  </si>
  <si>
    <t>INE702C01027</t>
  </si>
  <si>
    <t>Waaree Energies Ltd</t>
  </si>
  <si>
    <t>INE377N01017</t>
  </si>
  <si>
    <t>Tube Investments of India Ltd</t>
  </si>
  <si>
    <t>INE974X01010</t>
  </si>
  <si>
    <t>Aurobindo Pharma Ltd</t>
  </si>
  <si>
    <t>INE406A01037</t>
  </si>
  <si>
    <t>MRF Ltd</t>
  </si>
  <si>
    <t>INE883A01011</t>
  </si>
  <si>
    <t>Sundaram Finance Ltd</t>
  </si>
  <si>
    <t>INE660A01013</t>
  </si>
  <si>
    <t>Voltas Ltd</t>
  </si>
  <si>
    <t>INE226A01021</t>
  </si>
  <si>
    <t>Mphasis Ltd</t>
  </si>
  <si>
    <t>INE356A01018</t>
  </si>
  <si>
    <t>Phoenix Mills Ltd</t>
  </si>
  <si>
    <t>INE211B01039</t>
  </si>
  <si>
    <t>Alkem Laboratories Ltd</t>
  </si>
  <si>
    <t>INE540L01014</t>
  </si>
  <si>
    <t>Indian Bank</t>
  </si>
  <si>
    <t>INE562A01011</t>
  </si>
  <si>
    <t>Vishal Mega Mart Ltd</t>
  </si>
  <si>
    <t>INE01EA01019</t>
  </si>
  <si>
    <t>Colgate Palmolive (India) Ltd</t>
  </si>
  <si>
    <t>INE259A01022</t>
  </si>
  <si>
    <t>Prestige Estates Projects Ltd</t>
  </si>
  <si>
    <t>INE811K01011</t>
  </si>
  <si>
    <t>PI Industries Ltd</t>
  </si>
  <si>
    <t>INE603J01030</t>
  </si>
  <si>
    <t>Dabur India Ltd</t>
  </si>
  <si>
    <t>INE016A01026</t>
  </si>
  <si>
    <t>Union Bank Of India</t>
  </si>
  <si>
    <t>INE692A01016</t>
  </si>
  <si>
    <t>Glenmark Pharmaceuticals Ltd</t>
  </si>
  <si>
    <t>INE935A01035</t>
  </si>
  <si>
    <t>Mankind Pharma Ltd</t>
  </si>
  <si>
    <t>INE634S01028</t>
  </si>
  <si>
    <t>NHPC Ltd</t>
  </si>
  <si>
    <t>INE848E01016</t>
  </si>
  <si>
    <t>SBI Cards and Payment Services Ltd</t>
  </si>
  <si>
    <t>INE018E01016</t>
  </si>
  <si>
    <t>NMDC Ltd</t>
  </si>
  <si>
    <t>INE584A01023</t>
  </si>
  <si>
    <t>Minerals &amp; Mining</t>
  </si>
  <si>
    <t>J.K. Cement Ltd</t>
  </si>
  <si>
    <t>INE823G01014</t>
  </si>
  <si>
    <t>Page Industries Ltd</t>
  </si>
  <si>
    <t>INE761H01022</t>
  </si>
  <si>
    <t>Textiles &amp; Apparels</t>
  </si>
  <si>
    <t>Blue Star Ltd</t>
  </si>
  <si>
    <t>INE472A01039</t>
  </si>
  <si>
    <t>Coromandel International Ltd</t>
  </si>
  <si>
    <t>INE169A01031</t>
  </si>
  <si>
    <t>Torrent Power Ltd</t>
  </si>
  <si>
    <t>INE813H01021</t>
  </si>
  <si>
    <t>360 One Wam Ltd</t>
  </si>
  <si>
    <t>INE466L01038</t>
  </si>
  <si>
    <t>KEI Industries Ltd</t>
  </si>
  <si>
    <t>INE878B01027</t>
  </si>
  <si>
    <t>Aditya Birla Capital Ltd</t>
  </si>
  <si>
    <t>INE674K01013</t>
  </si>
  <si>
    <t>Supreme Industries Ltd</t>
  </si>
  <si>
    <t>INE195A01028</t>
  </si>
  <si>
    <t>Jindal Stainless Ltd</t>
  </si>
  <si>
    <t>INE220G01021</t>
  </si>
  <si>
    <t>Vodafone Idea Ltd</t>
  </si>
  <si>
    <t>INE669E01016</t>
  </si>
  <si>
    <t>Oil India Ltd</t>
  </si>
  <si>
    <t>INE274J01014</t>
  </si>
  <si>
    <t>Jubilant Foodworks Ltd</t>
  </si>
  <si>
    <t>INE797F01020</t>
  </si>
  <si>
    <t>ICICI Prudential Life Insurance Co Ltd</t>
  </si>
  <si>
    <t>INE726G01019</t>
  </si>
  <si>
    <t>Hitachi Energy India Ltd</t>
  </si>
  <si>
    <t>INE07Y701011</t>
  </si>
  <si>
    <t>Biocon Ltd</t>
  </si>
  <si>
    <t>INE376G01013</t>
  </si>
  <si>
    <t>Uno Minda Ltd</t>
  </si>
  <si>
    <t>INE405E01023</t>
  </si>
  <si>
    <t>L&amp;T Finance Ltd</t>
  </si>
  <si>
    <t>INE498L01015</t>
  </si>
  <si>
    <t>Tata Communications Ltd</t>
  </si>
  <si>
    <t>INE151A01013</t>
  </si>
  <si>
    <t>Indian Railway Catering And Tourism Corporation Ltd</t>
  </si>
  <si>
    <t>INE335Y01020</t>
  </si>
  <si>
    <t>Sona Blw Precision Forgings Ltd</t>
  </si>
  <si>
    <t>INE073K01018</t>
  </si>
  <si>
    <t>Petronet LNG Ltd</t>
  </si>
  <si>
    <t>INE347G01014</t>
  </si>
  <si>
    <t>National Aluminium Co Ltd</t>
  </si>
  <si>
    <t>INE139A01034</t>
  </si>
  <si>
    <t>Oberoi Realty Ltd</t>
  </si>
  <si>
    <t>INE093I01010</t>
  </si>
  <si>
    <t>Mahindra &amp; Mahindra Financial Services Ltd</t>
  </si>
  <si>
    <t>INE774D01024</t>
  </si>
  <si>
    <t>Patanjali Foods Ltd</t>
  </si>
  <si>
    <t>INE619A01035</t>
  </si>
  <si>
    <t>Agricultural Food &amp; other Products</t>
  </si>
  <si>
    <t>Oracle Financial Services Software Ltd</t>
  </si>
  <si>
    <t>INE881D01027</t>
  </si>
  <si>
    <t>ITC Hotels Ltd</t>
  </si>
  <si>
    <t>INE379A01028</t>
  </si>
  <si>
    <t>Steel Authority of India Ltd</t>
  </si>
  <si>
    <t>INE114A01011</t>
  </si>
  <si>
    <t>Kalyan Jewellers India Ltd</t>
  </si>
  <si>
    <t>INE303R01014</t>
  </si>
  <si>
    <t>KPIT Technologies Ltd</t>
  </si>
  <si>
    <t>INE04I401011</t>
  </si>
  <si>
    <t>Tata Elxsi Ltd</t>
  </si>
  <si>
    <t>INE670A01012</t>
  </si>
  <si>
    <t>Container Corporation Of India Ltd</t>
  </si>
  <si>
    <t>INE111A01025</t>
  </si>
  <si>
    <t>Rail Vikas Nigam Ltd</t>
  </si>
  <si>
    <t>INE415G01027</t>
  </si>
  <si>
    <t>Balkrishna Industries Ltd</t>
  </si>
  <si>
    <t>INE787D01026</t>
  </si>
  <si>
    <t>Astral Ltd</t>
  </si>
  <si>
    <t>INE006I01046</t>
  </si>
  <si>
    <t>IPCA Laboratories Ltd</t>
  </si>
  <si>
    <t>INE571A01038</t>
  </si>
  <si>
    <t>Adani Total Gas Ltd</t>
  </si>
  <si>
    <t>INE399L01023</t>
  </si>
  <si>
    <t>Exide Industries Ltd</t>
  </si>
  <si>
    <t>INE302A01020</t>
  </si>
  <si>
    <t>LIC Housing Finance Ltd</t>
  </si>
  <si>
    <t>INE115A01026</t>
  </si>
  <si>
    <t>Lloyds Metals And Energy Ltd</t>
  </si>
  <si>
    <t>INE281B01032</t>
  </si>
  <si>
    <t>Bank of India</t>
  </si>
  <si>
    <t>INE084A01016</t>
  </si>
  <si>
    <t>Dalmia Bharat Ltd</t>
  </si>
  <si>
    <t>INE00R701025</t>
  </si>
  <si>
    <t>Apollo Tyres Ltd</t>
  </si>
  <si>
    <t>INE438A01022</t>
  </si>
  <si>
    <t>Schaeffler India Ltd</t>
  </si>
  <si>
    <t>INE513A01022</t>
  </si>
  <si>
    <t>Nippon Life India Asset Management Ltd</t>
  </si>
  <si>
    <t>INE298J01013</t>
  </si>
  <si>
    <t>Berger Paints India Ltd</t>
  </si>
  <si>
    <t>INE463A01038</t>
  </si>
  <si>
    <t>Gujarat Fluorochemicals Ltd</t>
  </si>
  <si>
    <t>INE09N301011</t>
  </si>
  <si>
    <t>Cochin Shipyard Ltd</t>
  </si>
  <si>
    <t>INE704P01025</t>
  </si>
  <si>
    <t>Abbott India Ltd</t>
  </si>
  <si>
    <t>INE358A01014</t>
  </si>
  <si>
    <t>Motilal Oswal Financial Services Ltd</t>
  </si>
  <si>
    <t>INE338I01027</t>
  </si>
  <si>
    <t>Indraprastha Gas Ltd</t>
  </si>
  <si>
    <t>INE203G01027</t>
  </si>
  <si>
    <t>Apar Industries Ltd</t>
  </si>
  <si>
    <t>INE372A01015</t>
  </si>
  <si>
    <t>Bharat Dynamics Ltd</t>
  </si>
  <si>
    <t>INE171Z01026</t>
  </si>
  <si>
    <t>Bharti Hexacom Ltd</t>
  </si>
  <si>
    <t>INE343G01021</t>
  </si>
  <si>
    <t>United Breweries Ltd</t>
  </si>
  <si>
    <t>INE686F01025</t>
  </si>
  <si>
    <t>Linde India Ltd</t>
  </si>
  <si>
    <t>INE473A01011</t>
  </si>
  <si>
    <t>Procter &amp; Gamble Hygiene and Health Care Ltd</t>
  </si>
  <si>
    <t>INE179A01014</t>
  </si>
  <si>
    <t>AIA Engineering Ltd</t>
  </si>
  <si>
    <t>INE212H01026</t>
  </si>
  <si>
    <t>Escorts Kubota Ltd</t>
  </si>
  <si>
    <t>INE042A01014</t>
  </si>
  <si>
    <t>Godfrey Phillips India Ltd</t>
  </si>
  <si>
    <t>INE260B01028</t>
  </si>
  <si>
    <t>Cigarettes &amp; Tobacco Products</t>
  </si>
  <si>
    <t>Premier Energies Ltd</t>
  </si>
  <si>
    <t>INE0BS701011</t>
  </si>
  <si>
    <t>Thermax Ltd</t>
  </si>
  <si>
    <t>INE152A01029</t>
  </si>
  <si>
    <t>Syngene International Ltd</t>
  </si>
  <si>
    <t>INE398R01022</t>
  </si>
  <si>
    <t>Indian Renewable Energy Development Agency Ltd</t>
  </si>
  <si>
    <t>INE202E01016</t>
  </si>
  <si>
    <t>CRISIL Ltd</t>
  </si>
  <si>
    <t>INE007A01025</t>
  </si>
  <si>
    <t>K.P.R. Mill Ltd</t>
  </si>
  <si>
    <t>INE930H01031</t>
  </si>
  <si>
    <t>Housing &amp; Urban Development Corporation Ltd</t>
  </si>
  <si>
    <t>INE031A01017</t>
  </si>
  <si>
    <t>Tata Technologies Ltd</t>
  </si>
  <si>
    <t>INE142M01025</t>
  </si>
  <si>
    <t>IT - Services</t>
  </si>
  <si>
    <t>Deepak Nitrite Ltd</t>
  </si>
  <si>
    <t>INE288B01029</t>
  </si>
  <si>
    <t>ACC Ltd</t>
  </si>
  <si>
    <t>INE012A01025</t>
  </si>
  <si>
    <t>General Insurance Corporation Of India</t>
  </si>
  <si>
    <t>INE481Y01014</t>
  </si>
  <si>
    <t>L&amp;T Technology Services Ltd</t>
  </si>
  <si>
    <t>INE010V01017</t>
  </si>
  <si>
    <t>Global Health Ltd</t>
  </si>
  <si>
    <t>INE474Q01031</t>
  </si>
  <si>
    <t>Glaxosmithkline Pharmaceuticals Ltd</t>
  </si>
  <si>
    <t>INE159A01016</t>
  </si>
  <si>
    <t>Tata Investment Corporation Ltd</t>
  </si>
  <si>
    <t>INE672A01026</t>
  </si>
  <si>
    <t>Ajanta Pharma Ltd</t>
  </si>
  <si>
    <t>INE031B01049</t>
  </si>
  <si>
    <t>Endurance Technologies Ltd</t>
  </si>
  <si>
    <t>INE913H01037</t>
  </si>
  <si>
    <t>NTPC Green Energy Ltd</t>
  </si>
  <si>
    <t>INE0ONG01011</t>
  </si>
  <si>
    <t>JSW Infrastructure Ltd</t>
  </si>
  <si>
    <t>INE880J01026</t>
  </si>
  <si>
    <t>Bank Of Maharashtra</t>
  </si>
  <si>
    <t>INE457A01014</t>
  </si>
  <si>
    <t>Hexaware Technologies Ltd</t>
  </si>
  <si>
    <t>INE093A01041</t>
  </si>
  <si>
    <t>Awl Agri Business Ltd</t>
  </si>
  <si>
    <t>INE699H01024</t>
  </si>
  <si>
    <t>IRB Infrastructure Developers Ltd</t>
  </si>
  <si>
    <t>INE821I01022</t>
  </si>
  <si>
    <t>NLC India Ltd</t>
  </si>
  <si>
    <t>INE589A01014</t>
  </si>
  <si>
    <t>3M India Ltd</t>
  </si>
  <si>
    <t>INE470A01017</t>
  </si>
  <si>
    <t>Diversified</t>
  </si>
  <si>
    <t>Honeywell Automation India Ltd</t>
  </si>
  <si>
    <t>INE671A01010</t>
  </si>
  <si>
    <t>Gujarat Gas Ltd</t>
  </si>
  <si>
    <t>INE844O01030</t>
  </si>
  <si>
    <t>SJVN Ltd</t>
  </si>
  <si>
    <t>INE002L01015</t>
  </si>
  <si>
    <t>IDBI Bank Ltd</t>
  </si>
  <si>
    <t>INE008A01015</t>
  </si>
  <si>
    <t>Fertilizers And Chemicals Travancore Ltd</t>
  </si>
  <si>
    <t>INE188A01015</t>
  </si>
  <si>
    <t>Godrej Industries Ltd</t>
  </si>
  <si>
    <t>INE233A01035</t>
  </si>
  <si>
    <t>The New India Assurance Co Ltd</t>
  </si>
  <si>
    <t>INE470Y01017</t>
  </si>
  <si>
    <t>Indian Overseas Bank</t>
  </si>
  <si>
    <t>INE565A01014</t>
  </si>
  <si>
    <t>UCO Bank</t>
  </si>
  <si>
    <t>INE691A01018</t>
  </si>
  <si>
    <t>Multi Commodity Exchange Of India Ltd</t>
  </si>
  <si>
    <t>INE745G01035</t>
  </si>
  <si>
    <t>Laurus Labs Ltd</t>
  </si>
  <si>
    <t>INE947Q01028</t>
  </si>
  <si>
    <t>Central Depository Services (India) Ltd</t>
  </si>
  <si>
    <t>INE736A01011</t>
  </si>
  <si>
    <t>Delhivery Ltd</t>
  </si>
  <si>
    <t>INE148O01028</t>
  </si>
  <si>
    <t>Radico Khaitan Ltd</t>
  </si>
  <si>
    <t>INE944F01028</t>
  </si>
  <si>
    <t>Karur Vysya Bank Ltd</t>
  </si>
  <si>
    <t>INE036D01028</t>
  </si>
  <si>
    <t>Kaynes Technology India Ltd</t>
  </si>
  <si>
    <t>INE918Z01012</t>
  </si>
  <si>
    <t>Navin Fluorine International Ltd</t>
  </si>
  <si>
    <t>INE048G01026</t>
  </si>
  <si>
    <t>RBL Bank Ltd</t>
  </si>
  <si>
    <t>INE976G01028</t>
  </si>
  <si>
    <t>Cholamandalam Financial Holdings Ltd</t>
  </si>
  <si>
    <t>INE149A01033</t>
  </si>
  <si>
    <t>Computer Age Management Services Ltd</t>
  </si>
  <si>
    <t>INE596I01012</t>
  </si>
  <si>
    <t>Crompton Greaves Consumer Electricals Ltd</t>
  </si>
  <si>
    <t>INE299U01018</t>
  </si>
  <si>
    <t>Krishna Institute Of Medical Sciences Ltd</t>
  </si>
  <si>
    <t>INE967H01025</t>
  </si>
  <si>
    <t>PNB Housing Finance Ltd</t>
  </si>
  <si>
    <t>INE572E01012</t>
  </si>
  <si>
    <t>Amber Enterprises India Ltd</t>
  </si>
  <si>
    <t>INE371P01015</t>
  </si>
  <si>
    <t>City Union Bank Ltd</t>
  </si>
  <si>
    <t>INE491A01021</t>
  </si>
  <si>
    <t>Angel One Ltd</t>
  </si>
  <si>
    <t>INE732I01013</t>
  </si>
  <si>
    <t>Gland Pharma Ltd</t>
  </si>
  <si>
    <t>INE068V01023</t>
  </si>
  <si>
    <t>Aster DM Healthcare Ltd</t>
  </si>
  <si>
    <t>INE914M01019</t>
  </si>
  <si>
    <t>Redington Ltd</t>
  </si>
  <si>
    <t>INE891D01026</t>
  </si>
  <si>
    <t>Commercial Services &amp; Supplies</t>
  </si>
  <si>
    <t>Inox Wind Ltd</t>
  </si>
  <si>
    <t>INE066P01011</t>
  </si>
  <si>
    <t>Manappuram Finance Ltd</t>
  </si>
  <si>
    <t>INE522D01027</t>
  </si>
  <si>
    <t>Kfin Technologies Ltd</t>
  </si>
  <si>
    <t>INE138Y01010</t>
  </si>
  <si>
    <t>Sammaan Capital Ltd</t>
  </si>
  <si>
    <t>INE148I01020</t>
  </si>
  <si>
    <t>Brigade Enterprises Ltd</t>
  </si>
  <si>
    <t>INE791I01019</t>
  </si>
  <si>
    <t>Kalpataru Projects International Ltd</t>
  </si>
  <si>
    <t>INE220B01022</t>
  </si>
  <si>
    <t>Neuland Laboratories Ltd</t>
  </si>
  <si>
    <t>INE794A01010</t>
  </si>
  <si>
    <t>Tata Chemicals Ltd</t>
  </si>
  <si>
    <t>INE092A01019</t>
  </si>
  <si>
    <t>Poonawalla Fincorp Ltd</t>
  </si>
  <si>
    <t>INE511C01022</t>
  </si>
  <si>
    <t>J.B. Chemicals &amp; Pharmaceuticals Ltd</t>
  </si>
  <si>
    <t>INE572A01036</t>
  </si>
  <si>
    <t>Bandhan Bank Ltd</t>
  </si>
  <si>
    <t>INE545U01014</t>
  </si>
  <si>
    <t>Reliance Power Ltd</t>
  </si>
  <si>
    <t>INE614G01033</t>
  </si>
  <si>
    <t>The Ramco Cements Ltd</t>
  </si>
  <si>
    <t>INE331A01037</t>
  </si>
  <si>
    <t>Welspun Corp Ltd</t>
  </si>
  <si>
    <t>INE191B01025</t>
  </si>
  <si>
    <t>IIFL Finance Ltd</t>
  </si>
  <si>
    <t>INE530B01024</t>
  </si>
  <si>
    <t>Authum Investment &amp; Infrastructure Ltd</t>
  </si>
  <si>
    <t>INE206F01022</t>
  </si>
  <si>
    <t>Piramal Pharma Ltd</t>
  </si>
  <si>
    <t>INE0DK501011</t>
  </si>
  <si>
    <t>Amara Raja Energy And Mobility Ltd</t>
  </si>
  <si>
    <t>INE885A01032</t>
  </si>
  <si>
    <t>Affle 3i Ltd</t>
  </si>
  <si>
    <t>INE00WC01027</t>
  </si>
  <si>
    <t>Five-Star Business Finance Ltd</t>
  </si>
  <si>
    <t>INE128S01021</t>
  </si>
  <si>
    <t>NBCC (India) Ltd</t>
  </si>
  <si>
    <t>INE095N01031</t>
  </si>
  <si>
    <t>Motherson Sumi Wiring India Ltd</t>
  </si>
  <si>
    <t>INE0FS801015</t>
  </si>
  <si>
    <t>Dr. Lal Path Labs Ltd</t>
  </si>
  <si>
    <t>INE600L01024</t>
  </si>
  <si>
    <t>Narayana Hrudayalaya Ltd</t>
  </si>
  <si>
    <t>INE410P01011</t>
  </si>
  <si>
    <t>Anand Rathi Wealth Ltd</t>
  </si>
  <si>
    <t>INE463V01026</t>
  </si>
  <si>
    <t>CESC Ltd</t>
  </si>
  <si>
    <t>INE486A01021</t>
  </si>
  <si>
    <t>HBL Engineering Ltd</t>
  </si>
  <si>
    <t>INE292B01021</t>
  </si>
  <si>
    <t>Himadri Speciality Chemical Ltd</t>
  </si>
  <si>
    <t>INE019C01026</t>
  </si>
  <si>
    <t>Timken India Ltd</t>
  </si>
  <si>
    <t>INE325A01013</t>
  </si>
  <si>
    <t>Firstsource Solutions Ltd</t>
  </si>
  <si>
    <t>INE684F01012</t>
  </si>
  <si>
    <t>Star Health And Allied Insurance Co Ltd</t>
  </si>
  <si>
    <t>INE575P01011</t>
  </si>
  <si>
    <t>Hindustan Copper Ltd</t>
  </si>
  <si>
    <t>INE531E01026</t>
  </si>
  <si>
    <t>Indian Energy Exchange Ltd</t>
  </si>
  <si>
    <t>INE022Q01020</t>
  </si>
  <si>
    <t>EID Parry India Ltd</t>
  </si>
  <si>
    <t>INE126A01031</t>
  </si>
  <si>
    <t>Great Eastern Shipping Co Ltd</t>
  </si>
  <si>
    <t>INE017A01032</t>
  </si>
  <si>
    <t>Elgi Equipments Ltd</t>
  </si>
  <si>
    <t>INE285A01027</t>
  </si>
  <si>
    <t>Asahi India Glass Ltd</t>
  </si>
  <si>
    <t>INE439A01020</t>
  </si>
  <si>
    <t>Nuvama Wealth Management Ltd</t>
  </si>
  <si>
    <t>INE531F01015</t>
  </si>
  <si>
    <t>KEC International Ltd</t>
  </si>
  <si>
    <t>INE389H01022</t>
  </si>
  <si>
    <t>Wockhardt Ltd</t>
  </si>
  <si>
    <t>INE049B01025</t>
  </si>
  <si>
    <t>Emami Ltd</t>
  </si>
  <si>
    <t>INE548C01032</t>
  </si>
  <si>
    <t>Sundram Fasteners Ltd</t>
  </si>
  <si>
    <t>INE387A01021</t>
  </si>
  <si>
    <t>PTC Industries Ltd</t>
  </si>
  <si>
    <t>INE596F01018</t>
  </si>
  <si>
    <t>Carborundum Universal Ltd</t>
  </si>
  <si>
    <t>INE120A01034</t>
  </si>
  <si>
    <t>Intellect Design Arena Ltd</t>
  </si>
  <si>
    <t>INE306R01017</t>
  </si>
  <si>
    <t>Onesource Specialty Pharma Ltd</t>
  </si>
  <si>
    <t>INE013P01021</t>
  </si>
  <si>
    <t>eClerx Services Ltd</t>
  </si>
  <si>
    <t>INE738I01010</t>
  </si>
  <si>
    <t>Kajaria Ceramics Ltd</t>
  </si>
  <si>
    <t>INE217B01036</t>
  </si>
  <si>
    <t>Deepak Fertilizers and Petrochemicals Corporation Ltd</t>
  </si>
  <si>
    <t>INE501A01019</t>
  </si>
  <si>
    <t>Cyient Ltd</t>
  </si>
  <si>
    <t>INE136B01020</t>
  </si>
  <si>
    <t>Aditya Birla Real Estate Ltd</t>
  </si>
  <si>
    <t>INE055A01016</t>
  </si>
  <si>
    <t>Paper, Forest &amp; Jute Products</t>
  </si>
  <si>
    <t>Cohance Lifesciences Ltd</t>
  </si>
  <si>
    <t>INE03QK01018</t>
  </si>
  <si>
    <t>Castrol India Ltd</t>
  </si>
  <si>
    <t>INE172A01027</t>
  </si>
  <si>
    <t>Home First Finance Co India Ltd</t>
  </si>
  <si>
    <t>INE481N01025</t>
  </si>
  <si>
    <t>Aegis Logistics Ltd</t>
  </si>
  <si>
    <t>INE208C01025</t>
  </si>
  <si>
    <t>ZF Commercial Vehicle Control Systems India Ltd</t>
  </si>
  <si>
    <t>INE342J01019</t>
  </si>
  <si>
    <t>Zee Entertainment Enterprises Ltd</t>
  </si>
  <si>
    <t>INE256A01028</t>
  </si>
  <si>
    <t>Entertainment</t>
  </si>
  <si>
    <t>Sai Life Sciences Ltd</t>
  </si>
  <si>
    <t>INE570L01029</t>
  </si>
  <si>
    <t>Atul Ltd</t>
  </si>
  <si>
    <t>INE100A01010</t>
  </si>
  <si>
    <t>PG Electroplast Ltd</t>
  </si>
  <si>
    <t>INE457L01029</t>
  </si>
  <si>
    <t>Zensar Technologies Ltd</t>
  </si>
  <si>
    <t>INE520A01027</t>
  </si>
  <si>
    <t>Gujarat State Petronet Ltd</t>
  </si>
  <si>
    <t>INE246F01010</t>
  </si>
  <si>
    <t>Jubilant Pharmova Ltd</t>
  </si>
  <si>
    <t>INE700A01033</t>
  </si>
  <si>
    <t>Anant Raj Ltd</t>
  </si>
  <si>
    <t>INE242C01024</t>
  </si>
  <si>
    <t>NCC Ltd</t>
  </si>
  <si>
    <t>INE868B01028</t>
  </si>
  <si>
    <t>Whirlpool Of India Ltd</t>
  </si>
  <si>
    <t>INE716A01013</t>
  </si>
  <si>
    <t>PVR Inox Ltd</t>
  </si>
  <si>
    <t>INE191H01014</t>
  </si>
  <si>
    <t>Go Digit General Insurance Ltd</t>
  </si>
  <si>
    <t>INE03JT01014</t>
  </si>
  <si>
    <t>Eris Lifesciences Ltd</t>
  </si>
  <si>
    <t>INE406M01024</t>
  </si>
  <si>
    <t>Jaiprakash Power Ventures Ltd</t>
  </si>
  <si>
    <t>INE351F01018</t>
  </si>
  <si>
    <t>Nava Ltd</t>
  </si>
  <si>
    <t>INE725A01030</t>
  </si>
  <si>
    <t>Aptus Value Housing Finance India Ltd</t>
  </si>
  <si>
    <t>INE852O01025</t>
  </si>
  <si>
    <t>Force Motors Ltd</t>
  </si>
  <si>
    <t>INE451A01017</t>
  </si>
  <si>
    <t>CEAT Ltd</t>
  </si>
  <si>
    <t>INE482A01020</t>
  </si>
  <si>
    <t>BEML Ltd</t>
  </si>
  <si>
    <t>INE258A01016</t>
  </si>
  <si>
    <t>Kirloskar Oil Engines Ltd</t>
  </si>
  <si>
    <t>INE146L01010</t>
  </si>
  <si>
    <t>Maharashtra Scooters Ltd</t>
  </si>
  <si>
    <t>INE288A01013</t>
  </si>
  <si>
    <t>Lemon Tree Hotels Ltd</t>
  </si>
  <si>
    <t>INE970X01018</t>
  </si>
  <si>
    <t>Granules India Ltd</t>
  </si>
  <si>
    <t>INE101D01020</t>
  </si>
  <si>
    <t>Usha Martin Ltd</t>
  </si>
  <si>
    <t>INE228A01035</t>
  </si>
  <si>
    <t>Craftsman Automation Ltd</t>
  </si>
  <si>
    <t>INE00LO01017</t>
  </si>
  <si>
    <t>Data Patterns India Ltd</t>
  </si>
  <si>
    <t>INE0IX101010</t>
  </si>
  <si>
    <t>Sagility Ltd</t>
  </si>
  <si>
    <t>INE0W2G01015</t>
  </si>
  <si>
    <t>Ather Energy Ltd</t>
  </si>
  <si>
    <t>INE0LEZ01016</t>
  </si>
  <si>
    <t>Pfizer Ltd</t>
  </si>
  <si>
    <t>INE182A01018</t>
  </si>
  <si>
    <t>Capri Global Capital Ltd</t>
  </si>
  <si>
    <t>INE180C01042</t>
  </si>
  <si>
    <t>Inventurus Knowledge Solutions Ltd</t>
  </si>
  <si>
    <t>INE115Q01022</t>
  </si>
  <si>
    <t>Aarti Industries Ltd</t>
  </si>
  <si>
    <t>INE769A01020</t>
  </si>
  <si>
    <t>EIH Ltd</t>
  </si>
  <si>
    <t>INE230A01023</t>
  </si>
  <si>
    <t>Creditaccess Grameen Ltd</t>
  </si>
  <si>
    <t>INE741K01010</t>
  </si>
  <si>
    <t>Poly Medicure Ltd</t>
  </si>
  <si>
    <t>INE205C01021</t>
  </si>
  <si>
    <t>Healthcare Equipment &amp; Supplies</t>
  </si>
  <si>
    <t>Indiamart Intermesh Ltd</t>
  </si>
  <si>
    <t>INE933S01016</t>
  </si>
  <si>
    <t>Garden Reach Shipbuilders &amp; Engineers Ltd</t>
  </si>
  <si>
    <t>INE382Z01011</t>
  </si>
  <si>
    <t>Brainbees Solutions Ltd</t>
  </si>
  <si>
    <t>INE02RE01045</t>
  </si>
  <si>
    <t>Jyoti CNC Automation Ltd</t>
  </si>
  <si>
    <t>INE980O01024</t>
  </si>
  <si>
    <t>Natco Pharma Ltd</t>
  </si>
  <si>
    <t>INE987B01026</t>
  </si>
  <si>
    <t>Can Fin Homes Ltd</t>
  </si>
  <si>
    <t>INE477A01020</t>
  </si>
  <si>
    <t>Gillette India Ltd</t>
  </si>
  <si>
    <t>INE322A01010</t>
  </si>
  <si>
    <t>Chambal Fertilizers &amp; Chemicals Ltd</t>
  </si>
  <si>
    <t>INE085A01013</t>
  </si>
  <si>
    <t>Mahanagar Gas Ltd</t>
  </si>
  <si>
    <t>INE002S01010</t>
  </si>
  <si>
    <t>HFCL Ltd</t>
  </si>
  <si>
    <t>INE548A01028</t>
  </si>
  <si>
    <t>Sobha Ltd</t>
  </si>
  <si>
    <t>INE671H01015</t>
  </si>
  <si>
    <t>Sonata Software Ltd</t>
  </si>
  <si>
    <t>INE269A01021</t>
  </si>
  <si>
    <t>Titagarh Rail Systems Ltd</t>
  </si>
  <si>
    <t>INE615H01020</t>
  </si>
  <si>
    <t>Godawari Power &amp; Ispat Ltd</t>
  </si>
  <si>
    <t>INE177H01039</t>
  </si>
  <si>
    <t>Rainbow Childrens Medicare Ltd</t>
  </si>
  <si>
    <t>INE961O01016</t>
  </si>
  <si>
    <t>Bata India Ltd</t>
  </si>
  <si>
    <t>INE176A01028</t>
  </si>
  <si>
    <t>Chalet Hotels Ltd</t>
  </si>
  <si>
    <t>INE427F01016</t>
  </si>
  <si>
    <t>Sapphire Foods India Ltd</t>
  </si>
  <si>
    <t>INE806T01020</t>
  </si>
  <si>
    <t>V-Guard Industries Ltd</t>
  </si>
  <si>
    <t>INE951I01027</t>
  </si>
  <si>
    <t>Afcons Infrastructure Ltd</t>
  </si>
  <si>
    <t>INE101I01011</t>
  </si>
  <si>
    <t>Choice International Ltd</t>
  </si>
  <si>
    <t>INE102B01014</t>
  </si>
  <si>
    <t>Netweb Technologies India Ltd</t>
  </si>
  <si>
    <t>INE0NT901020</t>
  </si>
  <si>
    <t>Devyani International Ltd</t>
  </si>
  <si>
    <t>INE872J01023</t>
  </si>
  <si>
    <t>Techno Electric &amp; Engineering Co Ltd</t>
  </si>
  <si>
    <t>INE285K01026</t>
  </si>
  <si>
    <t>Aavas Financiers Ltd</t>
  </si>
  <si>
    <t>INE216P01012</t>
  </si>
  <si>
    <t>Swan Corp Ltd</t>
  </si>
  <si>
    <t>INE665A01038</t>
  </si>
  <si>
    <t>JM Financial Ltd</t>
  </si>
  <si>
    <t>INE780C01023</t>
  </si>
  <si>
    <t>PCBL Chemical Ltd</t>
  </si>
  <si>
    <t>INE602A01031</t>
  </si>
  <si>
    <t>Olectra Greentech Ltd</t>
  </si>
  <si>
    <t>INE260D01016</t>
  </si>
  <si>
    <t>Aditya Birla Lifestyle Brands Ltd</t>
  </si>
  <si>
    <t>INE14LE01019</t>
  </si>
  <si>
    <t>Bayer Cropscience Ltd</t>
  </si>
  <si>
    <t>INE462A01022</t>
  </si>
  <si>
    <t>Syrma SGS Technology Ltd</t>
  </si>
  <si>
    <t>INE0DYJ01015</t>
  </si>
  <si>
    <t>Reliance Infrastructure Ltd</t>
  </si>
  <si>
    <t>INE036A01016</t>
  </si>
  <si>
    <t>Zen Technologies Ltd</t>
  </si>
  <si>
    <t>INE251B01027</t>
  </si>
  <si>
    <t>Sumitomo Chemical India Ltd</t>
  </si>
  <si>
    <t>INE258G01013</t>
  </si>
  <si>
    <t>Newgen Software Technologies Ltd</t>
  </si>
  <si>
    <t>INE619B01017</t>
  </si>
  <si>
    <t>Ola Electric Mobility Ltd</t>
  </si>
  <si>
    <t>INE0LXG01040</t>
  </si>
  <si>
    <t>Triveni Turbine Ltd</t>
  </si>
  <si>
    <t>INE152M01016</t>
  </si>
  <si>
    <t>Shyam Metalics And Energy Ltd</t>
  </si>
  <si>
    <t>INE810G01011</t>
  </si>
  <si>
    <t>Birlasoft Ltd</t>
  </si>
  <si>
    <t>INE836A01035</t>
  </si>
  <si>
    <t>CCL Products (India) Ltd</t>
  </si>
  <si>
    <t>INE421D01022</t>
  </si>
  <si>
    <t>Finolex Cables Ltd</t>
  </si>
  <si>
    <t>INE235A01022</t>
  </si>
  <si>
    <t>AstraZenca Pharma India Ltd</t>
  </si>
  <si>
    <t>INE203A01020</t>
  </si>
  <si>
    <t>Jubilant Ingrevia Ltd</t>
  </si>
  <si>
    <t>INE0BY001018</t>
  </si>
  <si>
    <t>LT Foods Ltd</t>
  </si>
  <si>
    <t>INE818H01020</t>
  </si>
  <si>
    <t>INE2J8701016</t>
  </si>
  <si>
    <t>Ramkrishna Forgings Ltd</t>
  </si>
  <si>
    <t>INE399G01023</t>
  </si>
  <si>
    <t>Sun TV Network Ltd</t>
  </si>
  <si>
    <t>INE424H01027</t>
  </si>
  <si>
    <t>Indegene Ltd</t>
  </si>
  <si>
    <t>INE065X01017</t>
  </si>
  <si>
    <t>Engineers India Ltd</t>
  </si>
  <si>
    <t>INE510A01028</t>
  </si>
  <si>
    <t>Aditya Birla Sun Life AMC Ltd</t>
  </si>
  <si>
    <t>INE404A01024</t>
  </si>
  <si>
    <t>IRCON International Ltd</t>
  </si>
  <si>
    <t>INE962Y01021</t>
  </si>
  <si>
    <t>Aadhar Housing Finance Ltd</t>
  </si>
  <si>
    <t>INE883F01010</t>
  </si>
  <si>
    <t>Finolex Industries Ltd</t>
  </si>
  <si>
    <t>INE183A01024</t>
  </si>
  <si>
    <t>Gravita India Ltd</t>
  </si>
  <si>
    <t>INE024L01027</t>
  </si>
  <si>
    <t>Balrampur Chini Mills Ltd</t>
  </si>
  <si>
    <t>INE119A01028</t>
  </si>
  <si>
    <t>JK Tyre &amp; Industries Ltd</t>
  </si>
  <si>
    <t>INE573A01042</t>
  </si>
  <si>
    <t>UTI Asset Management Co Ltd</t>
  </si>
  <si>
    <t>INE094J01016</t>
  </si>
  <si>
    <t>Metropolis Healthcare Ltd</t>
  </si>
  <si>
    <t>INE112L01020</t>
  </si>
  <si>
    <t>Dcm Shriram Ltd</t>
  </si>
  <si>
    <t>INE499A01024</t>
  </si>
  <si>
    <t>BASF India Ltd</t>
  </si>
  <si>
    <t>INE373A01013</t>
  </si>
  <si>
    <t>Alembic Pharmaceuticals Ltd</t>
  </si>
  <si>
    <t>INE901L01018</t>
  </si>
  <si>
    <t>SKF India Ltd</t>
  </si>
  <si>
    <t>INE640A01023</t>
  </si>
  <si>
    <t>Heg Ltd</t>
  </si>
  <si>
    <t>INE545A01024</t>
  </si>
  <si>
    <t>NMDC Steel Ltd</t>
  </si>
  <si>
    <t>INE0NNS01018</t>
  </si>
  <si>
    <t>Elecon Engineering Co Ltd</t>
  </si>
  <si>
    <t>INE205B01031</t>
  </si>
  <si>
    <t>TBO Tek Ltd</t>
  </si>
  <si>
    <t>INE673O01025</t>
  </si>
  <si>
    <t>Gujarat Mineral Development Corporation Ltd</t>
  </si>
  <si>
    <t>INE131A01031</t>
  </si>
  <si>
    <t>Schneider Electric Infrastructure Ltd</t>
  </si>
  <si>
    <t>INE839M01018</t>
  </si>
  <si>
    <t>Sarda Energy &amp; Minerals Ltd</t>
  </si>
  <si>
    <t>INE385C01021</t>
  </si>
  <si>
    <t>Vijaya Diagnostic Centre Ltd</t>
  </si>
  <si>
    <t>INE043W01024</t>
  </si>
  <si>
    <t>Concord Biotech Ltd</t>
  </si>
  <si>
    <t>INE338H01029</t>
  </si>
  <si>
    <t>Transformers And Rectifiers India Ltd</t>
  </si>
  <si>
    <t>INE763I01026</t>
  </si>
  <si>
    <t>Kirloskar Brothers Ltd</t>
  </si>
  <si>
    <t>INE732A01036</t>
  </si>
  <si>
    <t>The Jammu &amp; Kashmir Bank Ltd</t>
  </si>
  <si>
    <t>INE168A01041</t>
  </si>
  <si>
    <t>Chennai Petroleum Corporation Ltd</t>
  </si>
  <si>
    <t>INE178A01016</t>
  </si>
  <si>
    <t>Doms Industries Ltd</t>
  </si>
  <si>
    <t>INE321T01012</t>
  </si>
  <si>
    <t>Household Products</t>
  </si>
  <si>
    <t>Niva Bupa Health Insurance Co Ltd</t>
  </si>
  <si>
    <t>INE995S01015</t>
  </si>
  <si>
    <t>Bikaji Foods International Ltd</t>
  </si>
  <si>
    <t>INE00E101023</t>
  </si>
  <si>
    <t>R R Kabel Ltd</t>
  </si>
  <si>
    <t>INE777K01022</t>
  </si>
  <si>
    <t>Century Plyboards (India) Ltd</t>
  </si>
  <si>
    <t>INE348B01021</t>
  </si>
  <si>
    <t>Action Construction Equipment Ltd</t>
  </si>
  <si>
    <t>INE731H01025</t>
  </si>
  <si>
    <t>Minda Corporation Ltd</t>
  </si>
  <si>
    <t>INE842C01021</t>
  </si>
  <si>
    <t>Vardhman Textiles Ltd</t>
  </si>
  <si>
    <t>INE825A01020</t>
  </si>
  <si>
    <t>Aditya Birla Fashion and Retail Ltd</t>
  </si>
  <si>
    <t>INE647O01011</t>
  </si>
  <si>
    <t>Shipping Corporation of India Ltd</t>
  </si>
  <si>
    <t>INE109A01011</t>
  </si>
  <si>
    <t>Jupiter Wagons Ltd</t>
  </si>
  <si>
    <t>INE209L01016</t>
  </si>
  <si>
    <t>Tejas Networks Ltd</t>
  </si>
  <si>
    <t>INE010J01012</t>
  </si>
  <si>
    <t>Telecom - Equipment &amp; Accessories</t>
  </si>
  <si>
    <t>Jyothy Labs Ltd</t>
  </si>
  <si>
    <t>INE668F01031</t>
  </si>
  <si>
    <t>SBFC Finance Ltd</t>
  </si>
  <si>
    <t>INE423Y01016</t>
  </si>
  <si>
    <t>Signatureglobal (India) Ltd</t>
  </si>
  <si>
    <t>INE903U01023</t>
  </si>
  <si>
    <t>Happiest Minds Technologies Ltd</t>
  </si>
  <si>
    <t>INE419U01012</t>
  </si>
  <si>
    <t>Praj Industries Ltd</t>
  </si>
  <si>
    <t>INE074A01025</t>
  </si>
  <si>
    <t>Nuvoco Vistas Corporation Ltd</t>
  </si>
  <si>
    <t>INE118D01016</t>
  </si>
  <si>
    <t>Graphite India Ltd</t>
  </si>
  <si>
    <t>INE371A01025</t>
  </si>
  <si>
    <t>KSB Ltd</t>
  </si>
  <si>
    <t>INE999A01023</t>
  </si>
  <si>
    <t>Welspun Living Ltd</t>
  </si>
  <si>
    <t>INE192B01031</t>
  </si>
  <si>
    <t>Caplin Point Laboratories Ltd</t>
  </si>
  <si>
    <t>INE475E01026</t>
  </si>
  <si>
    <t>Jindal Saw Ltd</t>
  </si>
  <si>
    <t>INE324A01032</t>
  </si>
  <si>
    <t>Vedant Fashions Ltd</t>
  </si>
  <si>
    <t>INE825V01034</t>
  </si>
  <si>
    <t>Honasa Consumer Ltd</t>
  </si>
  <si>
    <t>INE0J5401028</t>
  </si>
  <si>
    <t>Blue Dart Express Ltd</t>
  </si>
  <si>
    <t>INE233B01017</t>
  </si>
  <si>
    <t>Dr. Agarwals Health Care Ltd</t>
  </si>
  <si>
    <t>INE943P01029</t>
  </si>
  <si>
    <t>Central Bank of India</t>
  </si>
  <si>
    <t>INE483A01010</t>
  </si>
  <si>
    <t>IFCI Ltd</t>
  </si>
  <si>
    <t>INE039A01010</t>
  </si>
  <si>
    <t>BLS International Services Ltd</t>
  </si>
  <si>
    <t>INE153T01027</t>
  </si>
  <si>
    <t>Valor Estate Ltd</t>
  </si>
  <si>
    <t>INE879I01012</t>
  </si>
  <si>
    <t>Cera Sanitaryware Ltd</t>
  </si>
  <si>
    <t>INE739E01017</t>
  </si>
  <si>
    <t>Trident Ltd</t>
  </si>
  <si>
    <t>INE064C01022</t>
  </si>
  <si>
    <t>Bombay Burmah Trading Corporation Ltd</t>
  </si>
  <si>
    <t>INE050A01025</t>
  </si>
  <si>
    <t>International Gemmological Institute India Ltd</t>
  </si>
  <si>
    <t>INE0Q9301021</t>
  </si>
  <si>
    <t>Saregama India Ltd</t>
  </si>
  <si>
    <t>INE979A01025</t>
  </si>
  <si>
    <t>Emcure Pharmaceuticals Ltd</t>
  </si>
  <si>
    <t>INE168P01015</t>
  </si>
  <si>
    <t>Rites Ltd</t>
  </si>
  <si>
    <t>INE320J01015</t>
  </si>
  <si>
    <t>Latent View Analytics Ltd</t>
  </si>
  <si>
    <t>INE0I7C01011</t>
  </si>
  <si>
    <t>Railtel Corporation Of India Ltd</t>
  </si>
  <si>
    <t>INE0DD101019</t>
  </si>
  <si>
    <t>Aegis Vopak Terminals Ltd</t>
  </si>
  <si>
    <t>INE0INX01018</t>
  </si>
  <si>
    <t>ITI Ltd</t>
  </si>
  <si>
    <t>INE248A01017</t>
  </si>
  <si>
    <t>CE Info Systems Ltd</t>
  </si>
  <si>
    <t>INE0BV301023</t>
  </si>
  <si>
    <t>Triveni Engineering &amp; Industries Ltd</t>
  </si>
  <si>
    <t>INE256C01024</t>
  </si>
  <si>
    <t>Mangalore Refinery &amp; Petrochemicals Ltd</t>
  </si>
  <si>
    <t>INE103A01014</t>
  </si>
  <si>
    <t>Akzo Nobel India Ltd</t>
  </si>
  <si>
    <t>INE133A01011</t>
  </si>
  <si>
    <t>Godrej Agrovet Ltd</t>
  </si>
  <si>
    <t>INE850D01014</t>
  </si>
  <si>
    <t>Rhi Magnesita India Ltd</t>
  </si>
  <si>
    <t>INE743M01012</t>
  </si>
  <si>
    <t>Acme Solar Holdings Ltd</t>
  </si>
  <si>
    <t>INE622W01025</t>
  </si>
  <si>
    <t>Tata Teleservices Maharashtra Ltd</t>
  </si>
  <si>
    <t>INE517B01013</t>
  </si>
  <si>
    <t>Leela Palaces Hotels &amp; Resorts Ltd</t>
  </si>
  <si>
    <t>INE0AQ201015</t>
  </si>
  <si>
    <t>JBM Auto Ltd</t>
  </si>
  <si>
    <t>INE927D01051</t>
  </si>
  <si>
    <t>Inox India Ltd</t>
  </si>
  <si>
    <t>INE616N01034</t>
  </si>
  <si>
    <t>Alkyl Amines Chemicals Ltd</t>
  </si>
  <si>
    <t>INE150B01039</t>
  </si>
  <si>
    <t>Campus Activewear Ltd</t>
  </si>
  <si>
    <t>INE278Y01022</t>
  </si>
  <si>
    <t>Maharashtra Seamless Ltd</t>
  </si>
  <si>
    <t>INE271B01025</t>
  </si>
  <si>
    <t>Blue Jet Healthcare Ltd</t>
  </si>
  <si>
    <t>INE0KBH01020</t>
  </si>
  <si>
    <t>Clean Science And Technology Ltd</t>
  </si>
  <si>
    <t>INE227W01023</t>
  </si>
  <si>
    <t>Alok Industries Ltd</t>
  </si>
  <si>
    <t>INE270A01029</t>
  </si>
  <si>
    <t>Rashtriya Chemicals and Fertilizers Ltd</t>
  </si>
  <si>
    <t>INE027A01015</t>
  </si>
  <si>
    <t>The India Cements Ltd</t>
  </si>
  <si>
    <t>INE383A01012</t>
  </si>
  <si>
    <t>Ventive Hospitality Ltd</t>
  </si>
  <si>
    <t>INE781S01027</t>
  </si>
  <si>
    <t>Akums Drugs And Pharmaceuticals Ltd</t>
  </si>
  <si>
    <t>INE09XN01023</t>
  </si>
  <si>
    <t>MMTC Ltd</t>
  </si>
  <si>
    <t>INE123F01029</t>
  </si>
  <si>
    <t>Thomas Cook (India) Ltd</t>
  </si>
  <si>
    <t>INE332A01027</t>
  </si>
  <si>
    <t>GMM Pfaudler Ltd</t>
  </si>
  <si>
    <t>INE541A01023</t>
  </si>
  <si>
    <t>Thyrocare Technologies Ltd</t>
  </si>
  <si>
    <t>INE594H01019</t>
  </si>
  <si>
    <t>Fiem Industries Ltd</t>
  </si>
  <si>
    <t>INE737H01014</t>
  </si>
  <si>
    <t>PTC India Ltd</t>
  </si>
  <si>
    <t>INE877F01012</t>
  </si>
  <si>
    <t>KRBL Ltd</t>
  </si>
  <si>
    <t>INE001B01026</t>
  </si>
  <si>
    <t>Shriram Pistons &amp; Rings Ltd</t>
  </si>
  <si>
    <t>INE526E01018</t>
  </si>
  <si>
    <t>Allcargo Logistics Ltd</t>
  </si>
  <si>
    <t>INE418H01029</t>
  </si>
  <si>
    <t>CarTrade Tech Ltd</t>
  </si>
  <si>
    <t>INE290S01011</t>
  </si>
  <si>
    <t>Patel Engineering Ltd</t>
  </si>
  <si>
    <t>INE244B01030</t>
  </si>
  <si>
    <t>Arvind Fashions Ltd</t>
  </si>
  <si>
    <t>INE955V01021</t>
  </si>
  <si>
    <t>Sharda Cropchem Ltd</t>
  </si>
  <si>
    <t>INE221J01015</t>
  </si>
  <si>
    <t>GHCL Ltd</t>
  </si>
  <si>
    <t>INE539A01019</t>
  </si>
  <si>
    <t>Advanced Enzyme Technologies Ltd</t>
  </si>
  <si>
    <t>INE837H01020</t>
  </si>
  <si>
    <t>National Fertilizers Ltd</t>
  </si>
  <si>
    <t>INE870D01012</t>
  </si>
  <si>
    <t>V-Mart Retail Ltd</t>
  </si>
  <si>
    <t>INE665J01013</t>
  </si>
  <si>
    <t>TVS Supply Chain Solutions Ltd</t>
  </si>
  <si>
    <t>INE395N01027</t>
  </si>
  <si>
    <t>Awfis Space Solutions Ltd</t>
  </si>
  <si>
    <t>INE108V01019</t>
  </si>
  <si>
    <t>Dodla Dairy Ltd</t>
  </si>
  <si>
    <t>INE021O01019</t>
  </si>
  <si>
    <t>Le Travenues Technology Ltd</t>
  </si>
  <si>
    <t>INE0HV901016</t>
  </si>
  <si>
    <t>Indian Metals &amp; Ferro Alloys Ltd</t>
  </si>
  <si>
    <t>INE919H01018</t>
  </si>
  <si>
    <t>Gulf Oil Lubricants India Ltd</t>
  </si>
  <si>
    <t>INE635Q01029</t>
  </si>
  <si>
    <t>Jamna Auto Industries Ltd</t>
  </si>
  <si>
    <t>INE039C01032</t>
  </si>
  <si>
    <t>Scheme Risk-O-Meter</t>
  </si>
  <si>
    <t>Benchmark Risk-O-Meter</t>
  </si>
  <si>
    <t>Benchmark Name - NIFTY Money Market Index A-I</t>
  </si>
  <si>
    <t>Benchmark Name - NIFTY 1D Rate Index</t>
  </si>
  <si>
    <t>Benchmark Name - NIFTY Liquid Index A-I</t>
  </si>
  <si>
    <t>Benchmark Name - NIFTY 8-13 yr G-Sec</t>
  </si>
  <si>
    <t>Benchmark Name - NIFTY 50 Index (TRI)</t>
  </si>
  <si>
    <t>Benchmark Name - NIFTY Next 50 Index (TRI)</t>
  </si>
  <si>
    <t>Benchmark Name - NIFTY Midcap 150 Index (TRI)</t>
  </si>
  <si>
    <t>Benchmark Name - NIFTY Smallcap 250 Index (TRI)</t>
  </si>
  <si>
    <t>Cumulative Non-Convertible Redeemable Preference Shares</t>
  </si>
  <si>
    <t>Benchmark Name - Nifty 500 Index (TRI)</t>
  </si>
  <si>
    <t>Derivatives</t>
  </si>
  <si>
    <t>SKF India Industrial Ltd **</t>
  </si>
  <si>
    <t>Monthly Portfolio Statement as on October 31, 2025</t>
  </si>
  <si>
    <t>TATA Motors Ltd **</t>
  </si>
  <si>
    <t>Rating / Industry Classification</t>
  </si>
  <si>
    <t>Long</t>
  </si>
  <si>
    <t>Long / Short</t>
  </si>
  <si>
    <t>Margin on Derivatives</t>
  </si>
  <si>
    <t>Debt Index Replication Factor (DIRF) : 97.40%</t>
  </si>
  <si>
    <t>Nifty Index 25-Nov-2025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</si>
</sst>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#,##0.00%"/>
    <numFmt numFmtId="165" formatCode="#,##0.0000"/>
  </numFmts>
  <fonts count="14" x14ac:knownFonts="1">
    <font>
      <sz val="11"/>
      <color theme="1"/>
      <name val="Calibri"/>
      <family val="2"/>
      <scheme val="minor"/>
    </font>
    <font>
      <b/>
      <sz val="9"/>
      <name val="Arial"/>
      <family val="2"/>
    </font>
    <font>
      <sz val="9"/>
      <name val="Arial"/>
      <family val="2"/>
    </font>
    <font>
      <b/>
      <sz val="8"/>
      <name val="Arial"/>
      <family val="2"/>
    </font>
    <font>
      <u/>
      <sz val="11"/>
      <color theme="10"/>
      <name val="Calibri"/>
      <family val="2"/>
      <scheme val="minor"/>
    </font>
    <font>
      <sz val="9"/>
      <color theme="1"/>
      <name val="Arial"/>
      <family val="2"/>
    </font>
    <font>
      <sz val="8"/>
      <color theme="1"/>
      <name val="Arial"/>
      <family val="2"/>
    </font>
    <font>
      <b/>
      <sz val="10"/>
      <color rgb="FF000000"/>
      <name val="Arial"/>
      <family val="2"/>
    </font>
    <font>
      <sz val="10"/>
      <color theme="1"/>
      <name val="Arial"/>
      <family val="2"/>
    </font>
    <font>
      <b/>
      <sz val="8"/>
      <color theme="1"/>
      <name val="Arial"/>
      <family val="2"/>
    </font>
    <font>
      <b/>
      <sz val="9"/>
      <color theme="1"/>
      <name val="Arial"/>
      <family val="2"/>
    </font>
    <font>
      <b/>
      <sz val="12"/>
      <color rgb="FF000000"/>
      <name val="Arial"/>
      <family val="2"/>
    </font>
    <font>
      <sz val="12"/>
      <color theme="1"/>
      <name val="Arial"/>
      <family val="2"/>
    </font>
    <font>
      <b/>
      <sz val="8"/>
      <color rgb="FF000000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indexed="65"/>
        <bgColor indexed="64"/>
      </patternFill>
    </fill>
    <fill>
      <patternFill patternType="solid">
        <fgColor rgb="FFCCCCCC"/>
      </patternFill>
    </fill>
    <fill>
      <patternFill patternType="solid">
        <fgColor theme="0"/>
        <bgColor indexed="64"/>
      </patternFill>
    </fill>
  </fills>
  <borders count="15">
    <border>
      <left/>
      <right/>
      <top/>
      <bottom/>
      <diagonal/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  <diagonal/>
    </border>
    <border>
      <left style="thin">
        <color indexed="0"/>
      </left>
      <right style="thin">
        <color indexed="0"/>
      </right>
      <top/>
      <bottom/>
      <diagonal/>
    </border>
    <border>
      <left style="thin">
        <color indexed="0"/>
      </left>
      <right style="thin">
        <color indexed="0"/>
      </right>
      <top style="thin">
        <color indexed="64"/>
      </top>
      <bottom style="thin">
        <color indexed="64"/>
      </bottom>
      <diagonal/>
    </border>
    <border>
      <left style="thin">
        <color indexed="0"/>
      </left>
      <right style="thin">
        <color indexed="0"/>
      </right>
      <top style="thin">
        <color indexed="64"/>
      </top>
      <bottom/>
      <diagonal/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64"/>
      </bottom>
      <diagonal/>
    </border>
    <border>
      <left style="thin">
        <color indexed="0"/>
      </left>
      <right style="thin">
        <color indexed="0"/>
      </right>
      <top style="thin">
        <color indexed="64"/>
      </top>
      <bottom style="thin">
        <color indexed="0"/>
      </bottom>
      <diagonal/>
    </border>
    <border>
      <left style="thin">
        <color indexed="0"/>
      </left>
      <right style="thin">
        <color indexed="0"/>
      </right>
      <top/>
      <bottom style="thin">
        <color indexed="0"/>
      </bottom>
      <diagonal/>
    </border>
    <border>
      <left style="thin">
        <color indexed="0"/>
      </left>
      <right style="thin">
        <color indexed="0"/>
      </right>
      <top/>
      <bottom style="thin">
        <color indexed="64"/>
      </bottom>
      <diagonal/>
    </border>
    <border>
      <left style="thin">
        <color indexed="0"/>
      </left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0"/>
      </left>
      <right/>
      <top style="thin">
        <color indexed="64"/>
      </top>
      <bottom style="thin">
        <color indexed="64"/>
      </bottom>
      <diagonal/>
    </border>
    <border>
      <left style="thin">
        <color indexed="0"/>
      </left>
      <right/>
      <top style="thin">
        <color indexed="0"/>
      </top>
      <bottom style="thin">
        <color indexed="64"/>
      </bottom>
      <diagonal/>
    </border>
    <border>
      <left style="thin">
        <color indexed="0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4" fillId="0" borderId="0" applyNumberFormat="0" applyFill="0" applyBorder="0" applyAlignment="0" applyProtection="0"/>
  </cellStyleXfs>
  <cellXfs count="93">
    <xf numFmtId="0" fontId="0" fillId="0" borderId="0" xfId="0"/>
    <xf numFmtId="0" fontId="5" fillId="2" borderId="0" xfId="0" applyFont="1" applyFill="1"/>
    <xf numFmtId="0" fontId="1" fillId="2" borderId="0" xfId="0" applyFont="1" applyFill="1" applyAlignment="1">
      <alignment horizontal="left" vertical="top" wrapText="1"/>
    </xf>
    <xf numFmtId="0" fontId="2" fillId="2" borderId="0" xfId="0" applyFont="1" applyFill="1" applyAlignment="1">
      <alignment horizontal="left" vertical="top" wrapText="1"/>
    </xf>
    <xf numFmtId="4" fontId="2" fillId="2" borderId="0" xfId="0" applyNumberFormat="1" applyFont="1" applyFill="1" applyAlignment="1">
      <alignment horizontal="left" vertical="top" wrapText="1"/>
    </xf>
    <xf numFmtId="4" fontId="5" fillId="2" borderId="0" xfId="0" applyNumberFormat="1" applyFont="1" applyFill="1"/>
    <xf numFmtId="0" fontId="6" fillId="2" borderId="0" xfId="0" applyFont="1" applyFill="1"/>
    <xf numFmtId="0" fontId="3" fillId="2" borderId="0" xfId="0" applyFont="1" applyFill="1" applyAlignment="1">
      <alignment horizontal="left" vertical="top"/>
    </xf>
    <xf numFmtId="39" fontId="6" fillId="2" borderId="0" xfId="0" applyNumberFormat="1" applyFont="1" applyFill="1"/>
    <xf numFmtId="0" fontId="5" fillId="2" borderId="0" xfId="0" applyFont="1" applyFill="1" applyAlignment="1">
      <alignment vertical="center"/>
    </xf>
    <xf numFmtId="0" fontId="5" fillId="2" borderId="0" xfId="0" applyFont="1" applyFill="1" applyAlignment="1">
      <alignment wrapText="1"/>
    </xf>
    <xf numFmtId="10" fontId="6" fillId="2" borderId="0" xfId="0" applyNumberFormat="1" applyFont="1" applyFill="1"/>
    <xf numFmtId="10" fontId="5" fillId="2" borderId="0" xfId="0" applyNumberFormat="1" applyFont="1" applyFill="1"/>
    <xf numFmtId="0" fontId="5" fillId="2" borderId="0" xfId="0" applyFont="1" applyFill="1" applyAlignment="1">
      <alignment horizontal="center" vertical="center" wrapText="1"/>
    </xf>
    <xf numFmtId="39" fontId="6" fillId="4" borderId="0" xfId="0" applyNumberFormat="1" applyFont="1" applyFill="1"/>
    <xf numFmtId="0" fontId="8" fillId="0" borderId="0" xfId="0" applyFont="1"/>
    <xf numFmtId="0" fontId="9" fillId="2" borderId="0" xfId="0" applyFont="1" applyFill="1"/>
    <xf numFmtId="164" fontId="6" fillId="2" borderId="0" xfId="0" applyNumberFormat="1" applyFont="1" applyFill="1"/>
    <xf numFmtId="0" fontId="9" fillId="0" borderId="1" xfId="0" applyFont="1" applyBorder="1" applyAlignment="1">
      <alignment vertical="center"/>
    </xf>
    <xf numFmtId="0" fontId="9" fillId="0" borderId="1" xfId="0" applyFont="1" applyBorder="1" applyAlignment="1">
      <alignment horizontal="center" vertical="center"/>
    </xf>
    <xf numFmtId="2" fontId="9" fillId="0" borderId="1" xfId="0" applyNumberFormat="1" applyFont="1" applyBorder="1" applyAlignment="1">
      <alignment horizontal="center" vertical="center" wrapText="1"/>
    </xf>
    <xf numFmtId="39" fontId="9" fillId="0" borderId="1" xfId="0" applyNumberFormat="1" applyFont="1" applyBorder="1" applyAlignment="1">
      <alignment horizontal="center" vertical="center" wrapText="1"/>
    </xf>
    <xf numFmtId="10" fontId="9" fillId="0" borderId="1" xfId="0" applyNumberFormat="1" applyFont="1" applyBorder="1" applyAlignment="1">
      <alignment horizontal="center" vertical="center" wrapText="1"/>
    </xf>
    <xf numFmtId="0" fontId="9" fillId="2" borderId="2" xfId="0" applyFont="1" applyFill="1" applyBorder="1"/>
    <xf numFmtId="0" fontId="6" fillId="2" borderId="2" xfId="0" applyFont="1" applyFill="1" applyBorder="1"/>
    <xf numFmtId="39" fontId="6" fillId="2" borderId="2" xfId="0" applyNumberFormat="1" applyFont="1" applyFill="1" applyBorder="1"/>
    <xf numFmtId="39" fontId="6" fillId="4" borderId="2" xfId="0" applyNumberFormat="1" applyFont="1" applyFill="1" applyBorder="1"/>
    <xf numFmtId="10" fontId="6" fillId="2" borderId="2" xfId="0" applyNumberFormat="1" applyFont="1" applyFill="1" applyBorder="1"/>
    <xf numFmtId="3" fontId="6" fillId="2" borderId="2" xfId="0" applyNumberFormat="1" applyFont="1" applyFill="1" applyBorder="1"/>
    <xf numFmtId="4" fontId="6" fillId="2" borderId="2" xfId="0" applyNumberFormat="1" applyFont="1" applyFill="1" applyBorder="1"/>
    <xf numFmtId="39" fontId="9" fillId="2" borderId="3" xfId="0" applyNumberFormat="1" applyFont="1" applyFill="1" applyBorder="1"/>
    <xf numFmtId="39" fontId="9" fillId="4" borderId="3" xfId="0" applyNumberFormat="1" applyFont="1" applyFill="1" applyBorder="1"/>
    <xf numFmtId="10" fontId="9" fillId="2" borderId="2" xfId="0" applyNumberFormat="1" applyFont="1" applyFill="1" applyBorder="1"/>
    <xf numFmtId="39" fontId="9" fillId="2" borderId="4" xfId="0" applyNumberFormat="1" applyFont="1" applyFill="1" applyBorder="1"/>
    <xf numFmtId="39" fontId="9" fillId="4" borderId="4" xfId="0" applyNumberFormat="1" applyFont="1" applyFill="1" applyBorder="1"/>
    <xf numFmtId="0" fontId="9" fillId="2" borderId="5" xfId="0" applyFont="1" applyFill="1" applyBorder="1"/>
    <xf numFmtId="39" fontId="9" fillId="2" borderId="5" xfId="0" applyNumberFormat="1" applyFont="1" applyFill="1" applyBorder="1"/>
    <xf numFmtId="39" fontId="9" fillId="4" borderId="5" xfId="0" applyNumberFormat="1" applyFont="1" applyFill="1" applyBorder="1"/>
    <xf numFmtId="164" fontId="6" fillId="2" borderId="2" xfId="0" applyNumberFormat="1" applyFont="1" applyFill="1" applyBorder="1"/>
    <xf numFmtId="0" fontId="9" fillId="2" borderId="6" xfId="0" applyFont="1" applyFill="1" applyBorder="1"/>
    <xf numFmtId="39" fontId="9" fillId="2" borderId="6" xfId="0" applyNumberFormat="1" applyFont="1" applyFill="1" applyBorder="1"/>
    <xf numFmtId="39" fontId="9" fillId="4" borderId="6" xfId="0" applyNumberFormat="1" applyFont="1" applyFill="1" applyBorder="1"/>
    <xf numFmtId="10" fontId="9" fillId="2" borderId="7" xfId="0" applyNumberFormat="1" applyFont="1" applyFill="1" applyBorder="1"/>
    <xf numFmtId="0" fontId="9" fillId="2" borderId="3" xfId="0" applyFont="1" applyFill="1" applyBorder="1"/>
    <xf numFmtId="0" fontId="6" fillId="2" borderId="5" xfId="0" applyFont="1" applyFill="1" applyBorder="1"/>
    <xf numFmtId="39" fontId="6" fillId="2" borderId="5" xfId="0" applyNumberFormat="1" applyFont="1" applyFill="1" applyBorder="1"/>
    <xf numFmtId="39" fontId="6" fillId="4" borderId="5" xfId="0" applyNumberFormat="1" applyFont="1" applyFill="1" applyBorder="1"/>
    <xf numFmtId="39" fontId="9" fillId="2" borderId="4" xfId="0" applyNumberFormat="1" applyFont="1" applyFill="1" applyBorder="1" applyAlignment="1">
      <alignment horizontal="right"/>
    </xf>
    <xf numFmtId="39" fontId="9" fillId="4" borderId="4" xfId="0" applyNumberFormat="1" applyFont="1" applyFill="1" applyBorder="1" applyAlignment="1">
      <alignment horizontal="right"/>
    </xf>
    <xf numFmtId="39" fontId="9" fillId="2" borderId="5" xfId="0" applyNumberFormat="1" applyFont="1" applyFill="1" applyBorder="1" applyAlignment="1">
      <alignment horizontal="right"/>
    </xf>
    <xf numFmtId="39" fontId="9" fillId="4" borderId="5" xfId="0" applyNumberFormat="1" applyFont="1" applyFill="1" applyBorder="1" applyAlignment="1">
      <alignment horizontal="right"/>
    </xf>
    <xf numFmtId="39" fontId="9" fillId="2" borderId="2" xfId="0" applyNumberFormat="1" applyFont="1" applyFill="1" applyBorder="1" applyAlignment="1">
      <alignment horizontal="right"/>
    </xf>
    <xf numFmtId="39" fontId="9" fillId="4" borderId="2" xfId="0" applyNumberFormat="1" applyFont="1" applyFill="1" applyBorder="1" applyAlignment="1">
      <alignment horizontal="right"/>
    </xf>
    <xf numFmtId="0" fontId="9" fillId="2" borderId="7" xfId="0" applyFont="1" applyFill="1" applyBorder="1"/>
    <xf numFmtId="0" fontId="10" fillId="2" borderId="1" xfId="0" applyFont="1" applyFill="1" applyBorder="1" applyAlignment="1">
      <alignment horizontal="center" vertical="center" wrapText="1"/>
    </xf>
    <xf numFmtId="0" fontId="10" fillId="2" borderId="1" xfId="0" applyFont="1" applyFill="1" applyBorder="1" applyAlignment="1">
      <alignment vertical="center"/>
    </xf>
    <xf numFmtId="0" fontId="10" fillId="2" borderId="0" xfId="0" applyFont="1" applyFill="1"/>
    <xf numFmtId="0" fontId="4" fillId="2" borderId="0" xfId="1" applyFill="1"/>
    <xf numFmtId="0" fontId="9" fillId="2" borderId="0" xfId="0" applyFont="1" applyFill="1" applyAlignment="1">
      <alignment horizontal="right"/>
    </xf>
    <xf numFmtId="165" fontId="6" fillId="2" borderId="0" xfId="0" applyNumberFormat="1" applyFont="1" applyFill="1"/>
    <xf numFmtId="0" fontId="9" fillId="2" borderId="0" xfId="0" applyFont="1" applyFill="1" applyAlignment="1">
      <alignment vertical="center"/>
    </xf>
    <xf numFmtId="0" fontId="9" fillId="0" borderId="0" xfId="0" applyFont="1"/>
    <xf numFmtId="39" fontId="9" fillId="2" borderId="8" xfId="0" applyNumberFormat="1" applyFont="1" applyFill="1" applyBorder="1"/>
    <xf numFmtId="0" fontId="9" fillId="4" borderId="0" xfId="0" applyFont="1" applyFill="1"/>
    <xf numFmtId="0" fontId="6" fillId="4" borderId="0" xfId="0" applyFont="1" applyFill="1"/>
    <xf numFmtId="0" fontId="6" fillId="4" borderId="10" xfId="0" applyFont="1" applyFill="1" applyBorder="1"/>
    <xf numFmtId="0" fontId="0" fillId="4" borderId="10" xfId="0" applyFill="1" applyBorder="1"/>
    <xf numFmtId="39" fontId="9" fillId="4" borderId="11" xfId="0" applyNumberFormat="1" applyFont="1" applyFill="1" applyBorder="1"/>
    <xf numFmtId="39" fontId="9" fillId="4" borderId="9" xfId="0" applyNumberFormat="1" applyFont="1" applyFill="1" applyBorder="1" applyAlignment="1">
      <alignment horizontal="right"/>
    </xf>
    <xf numFmtId="39" fontId="9" fillId="4" borderId="12" xfId="0" applyNumberFormat="1" applyFont="1" applyFill="1" applyBorder="1"/>
    <xf numFmtId="39" fontId="9" fillId="4" borderId="13" xfId="0" applyNumberFormat="1" applyFont="1" applyFill="1" applyBorder="1"/>
    <xf numFmtId="39" fontId="6" fillId="4" borderId="9" xfId="0" applyNumberFormat="1" applyFont="1" applyFill="1" applyBorder="1"/>
    <xf numFmtId="39" fontId="9" fillId="2" borderId="0" xfId="0" applyNumberFormat="1" applyFont="1" applyFill="1"/>
    <xf numFmtId="39" fontId="9" fillId="4" borderId="0" xfId="0" applyNumberFormat="1" applyFont="1" applyFill="1"/>
    <xf numFmtId="0" fontId="9" fillId="0" borderId="0" xfId="0" applyFont="1" applyAlignment="1">
      <alignment vertical="center"/>
    </xf>
    <xf numFmtId="0" fontId="6" fillId="0" borderId="14" xfId="0" applyFont="1" applyBorder="1" applyAlignment="1">
      <alignment vertical="center"/>
    </xf>
    <xf numFmtId="0" fontId="6" fillId="0" borderId="14" xfId="0" applyFont="1" applyBorder="1"/>
    <xf numFmtId="39" fontId="6" fillId="2" borderId="14" xfId="0" applyNumberFormat="1" applyFont="1" applyFill="1" applyBorder="1"/>
    <xf numFmtId="39" fontId="6" fillId="4" borderId="14" xfId="0" applyNumberFormat="1" applyFont="1" applyFill="1" applyBorder="1"/>
    <xf numFmtId="0" fontId="6" fillId="2" borderId="14" xfId="0" applyFont="1" applyFill="1" applyBorder="1"/>
    <xf numFmtId="39" fontId="9" fillId="2" borderId="14" xfId="0" applyNumberFormat="1" applyFont="1" applyFill="1" applyBorder="1"/>
    <xf numFmtId="0" fontId="9" fillId="4" borderId="0" xfId="0" applyFont="1" applyFill="1" applyAlignment="1">
      <alignment vertical="center"/>
    </xf>
    <xf numFmtId="0" fontId="13" fillId="0" borderId="14" xfId="0" applyFont="1" applyBorder="1" applyAlignment="1">
      <alignment vertical="center"/>
    </xf>
    <xf numFmtId="0" fontId="13" fillId="0" borderId="14" xfId="0" applyFont="1" applyBorder="1" applyAlignment="1">
      <alignment horizontal="center" vertical="center"/>
    </xf>
    <xf numFmtId="39" fontId="9" fillId="2" borderId="2" xfId="0" applyNumberFormat="1" applyFont="1" applyFill="1" applyBorder="1"/>
    <xf numFmtId="39" fontId="9" fillId="4" borderId="2" xfId="0" applyNumberFormat="1" applyFont="1" applyFill="1" applyBorder="1"/>
    <xf numFmtId="0" fontId="9" fillId="2" borderId="0" xfId="0" applyFont="1" applyFill="1" applyAlignment="1">
      <alignment vertical="center" wrapText="1"/>
    </xf>
    <xf numFmtId="0" fontId="8" fillId="0" borderId="14" xfId="0" applyFont="1" applyBorder="1"/>
    <xf numFmtId="0" fontId="4" fillId="0" borderId="14" xfId="1" applyBorder="1"/>
    <xf numFmtId="0" fontId="7" fillId="3" borderId="14" xfId="0" applyFont="1" applyFill="1" applyBorder="1" applyAlignment="1">
      <alignment horizontal="left" vertical="center" wrapText="1"/>
    </xf>
    <xf numFmtId="0" fontId="11" fillId="0" borderId="0" xfId="0" applyFont="1" applyAlignment="1">
      <alignment horizontal="left" vertical="top" wrapText="1"/>
    </xf>
    <xf numFmtId="0" fontId="12" fillId="0" borderId="0" xfId="0" applyFont="1"/>
    <xf numFmtId="0" fontId="9" fillId="2" borderId="0" xfId="0" applyFont="1" applyFill="1" applyAlignment="1">
      <alignment vertical="center" wrapText="1"/>
    </xf>
  </cellXfs>
  <cellStyles count="2">
    <cellStyle name="Hyperlink" xfId="1" builtinId="8"/>
    <cellStyle name="Normal" xfId="0" builtinId="0"/>
  </cellStyles>
  <dxfs count="14">
    <dxf>
      <numFmt numFmtId="166" formatCode="&quot;0.00*&quot;"/>
    </dxf>
    <dxf>
      <numFmt numFmtId="166" formatCode="&quot;0.00*&quot;"/>
    </dxf>
    <dxf>
      <numFmt numFmtId="166" formatCode="&quot;0.00*&quot;"/>
    </dxf>
    <dxf>
      <numFmt numFmtId="166" formatCode="&quot;0.00*&quot;"/>
    </dxf>
    <dxf>
      <numFmt numFmtId="166" formatCode="&quot;0.00*&quot;"/>
    </dxf>
    <dxf>
      <numFmt numFmtId="166" formatCode="&quot;0.00*&quot;"/>
    </dxf>
    <dxf>
      <numFmt numFmtId="166" formatCode="&quot;0.00*&quot;"/>
    </dxf>
    <dxf>
      <numFmt numFmtId="166" formatCode="&quot;0.00*&quot;"/>
    </dxf>
    <dxf>
      <numFmt numFmtId="166" formatCode="&quot;0.00*&quot;"/>
    </dxf>
    <dxf>
      <numFmt numFmtId="166" formatCode="&quot;0.00*&quot;"/>
    </dxf>
    <dxf>
      <numFmt numFmtId="166" formatCode="&quot;0.00*&quot;"/>
    </dxf>
    <dxf>
      <numFmt numFmtId="166" formatCode="&quot;0.00*&quot;"/>
    </dxf>
    <dxf>
      <numFmt numFmtId="166" formatCode="&quot;0.00*&quot;"/>
    </dxf>
    <dxf>
      <numFmt numFmtId="166" formatCode="&quot;0.00*&quot;"/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alcChain" Target="calcChain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4.png"/><Relationship Id="rId1" Type="http://schemas.openxmlformats.org/officeDocument/2006/relationships/image" Target="../media/image3.png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4.xml.rels><?xml version="1.0" encoding="UTF-8" standalone="yes"?>
<Relationships xmlns="http://schemas.openxmlformats.org/package/2006/relationships"><Relationship Id="rId2" Type="http://schemas.openxmlformats.org/officeDocument/2006/relationships/image" Target="../media/image6.png"/><Relationship Id="rId1" Type="http://schemas.openxmlformats.org/officeDocument/2006/relationships/image" Target="../media/image5.png"/></Relationships>
</file>

<file path=xl/drawings/_rels/drawing5.xml.rels><?xml version="1.0" encoding="UTF-8" standalone="yes"?>
<Relationships xmlns="http://schemas.openxmlformats.org/package/2006/relationships"><Relationship Id="rId2" Type="http://schemas.openxmlformats.org/officeDocument/2006/relationships/image" Target="../media/image8.png"/><Relationship Id="rId1" Type="http://schemas.openxmlformats.org/officeDocument/2006/relationships/image" Target="../media/image7.png"/></Relationships>
</file>

<file path=xl/drawings/_rels/drawing6.xml.rels><?xml version="1.0" encoding="UTF-8" standalone="yes"?>
<Relationships xmlns="http://schemas.openxmlformats.org/package/2006/relationships"><Relationship Id="rId2" Type="http://schemas.openxmlformats.org/officeDocument/2006/relationships/image" Target="../media/image8.png"/><Relationship Id="rId1" Type="http://schemas.openxmlformats.org/officeDocument/2006/relationships/image" Target="../media/image7.png"/></Relationships>
</file>

<file path=xl/drawings/_rels/drawing7.xml.rels><?xml version="1.0" encoding="UTF-8" standalone="yes"?>
<Relationships xmlns="http://schemas.openxmlformats.org/package/2006/relationships"><Relationship Id="rId2" Type="http://schemas.openxmlformats.org/officeDocument/2006/relationships/image" Target="../media/image8.png"/><Relationship Id="rId1" Type="http://schemas.openxmlformats.org/officeDocument/2006/relationships/image" Target="../media/image7.png"/></Relationships>
</file>

<file path=xl/drawings/_rels/drawing8.xml.rels><?xml version="1.0" encoding="UTF-8" standalone="yes"?>
<Relationships xmlns="http://schemas.openxmlformats.org/package/2006/relationships"><Relationship Id="rId2" Type="http://schemas.openxmlformats.org/officeDocument/2006/relationships/image" Target="../media/image8.png"/><Relationship Id="rId1" Type="http://schemas.openxmlformats.org/officeDocument/2006/relationships/image" Target="../media/image7.png"/></Relationships>
</file>

<file path=xl/drawings/_rels/drawing9.xml.rels><?xml version="1.0" encoding="UTF-8" standalone="yes"?>
<Relationships xmlns="http://schemas.openxmlformats.org/package/2006/relationships"><Relationship Id="rId2" Type="http://schemas.openxmlformats.org/officeDocument/2006/relationships/image" Target="../media/image8.png"/><Relationship Id="rId1" Type="http://schemas.openxmlformats.org/officeDocument/2006/relationships/image" Target="../media/image7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400050</xdr:colOff>
      <xdr:row>54</xdr:row>
      <xdr:rowOff>9525</xdr:rowOff>
    </xdr:from>
    <xdr:to>
      <xdr:col>3</xdr:col>
      <xdr:colOff>447675</xdr:colOff>
      <xdr:row>71</xdr:row>
      <xdr:rowOff>47625</xdr:rowOff>
    </xdr:to>
    <xdr:pic>
      <xdr:nvPicPr>
        <xdr:cNvPr id="2" name="Picture 5">
          <a:extLst>
            <a:ext uri="{FF2B5EF4-FFF2-40B4-BE49-F238E27FC236}">
              <a16:creationId xmlns:a16="http://schemas.microsoft.com/office/drawing/2014/main" id="{555DD405-784D-4C86-A327-89F8D6EBDD0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85825" y="8105775"/>
          <a:ext cx="4800600" cy="24669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476250</xdr:colOff>
      <xdr:row>77</xdr:row>
      <xdr:rowOff>47625</xdr:rowOff>
    </xdr:from>
    <xdr:to>
      <xdr:col>3</xdr:col>
      <xdr:colOff>647700</xdr:colOff>
      <xdr:row>94</xdr:row>
      <xdr:rowOff>0</xdr:rowOff>
    </xdr:to>
    <xdr:pic>
      <xdr:nvPicPr>
        <xdr:cNvPr id="3" name="Picture 4">
          <a:extLst>
            <a:ext uri="{FF2B5EF4-FFF2-40B4-BE49-F238E27FC236}">
              <a16:creationId xmlns:a16="http://schemas.microsoft.com/office/drawing/2014/main" id="{D102B447-A47E-4E2B-B8EB-8EA55621857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62025" y="11430000"/>
          <a:ext cx="4924425" cy="23812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561975</xdr:colOff>
      <xdr:row>29</xdr:row>
      <xdr:rowOff>104775</xdr:rowOff>
    </xdr:from>
    <xdr:to>
      <xdr:col>3</xdr:col>
      <xdr:colOff>276225</xdr:colOff>
      <xdr:row>46</xdr:row>
      <xdr:rowOff>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A47A74F-5B1E-433E-9859-D9854E99886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47750" y="4772025"/>
          <a:ext cx="4429125" cy="2324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238125</xdr:colOff>
      <xdr:row>53</xdr:row>
      <xdr:rowOff>28575</xdr:rowOff>
    </xdr:from>
    <xdr:to>
      <xdr:col>3</xdr:col>
      <xdr:colOff>371475</xdr:colOff>
      <xdr:row>70</xdr:row>
      <xdr:rowOff>28575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A32298A2-57D0-4669-8C5A-B83F3C70B23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23900" y="8124825"/>
          <a:ext cx="4848225" cy="24288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352425</xdr:colOff>
      <xdr:row>95</xdr:row>
      <xdr:rowOff>0</xdr:rowOff>
    </xdr:from>
    <xdr:to>
      <xdr:col>3</xdr:col>
      <xdr:colOff>390525</xdr:colOff>
      <xdr:row>112</xdr:row>
      <xdr:rowOff>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8DD87CEA-0FF1-40D7-AFD5-12677C30BC8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38200" y="12382500"/>
          <a:ext cx="4800600" cy="24288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323850</xdr:colOff>
      <xdr:row>116</xdr:row>
      <xdr:rowOff>76200</xdr:rowOff>
    </xdr:from>
    <xdr:to>
      <xdr:col>3</xdr:col>
      <xdr:colOff>485775</xdr:colOff>
      <xdr:row>133</xdr:row>
      <xdr:rowOff>38100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C377BC1D-4B9C-4A0F-9F05-54CFABA136E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09625" y="15459075"/>
          <a:ext cx="4924425" cy="23907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638175</xdr:colOff>
      <xdr:row>21</xdr:row>
      <xdr:rowOff>95250</xdr:rowOff>
    </xdr:from>
    <xdr:to>
      <xdr:col>2</xdr:col>
      <xdr:colOff>628650</xdr:colOff>
      <xdr:row>36</xdr:row>
      <xdr:rowOff>76200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9511F61F-2A00-4254-937E-FC4AE61CDC6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23950" y="3762375"/>
          <a:ext cx="3962400" cy="2124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533400</xdr:colOff>
      <xdr:row>40</xdr:row>
      <xdr:rowOff>114300</xdr:rowOff>
    </xdr:from>
    <xdr:to>
      <xdr:col>2</xdr:col>
      <xdr:colOff>676275</xdr:colOff>
      <xdr:row>54</xdr:row>
      <xdr:rowOff>57150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FE50E319-B8DD-47BE-A8A5-8B5D3BE6E5C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19175" y="6496050"/>
          <a:ext cx="4114800" cy="1943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466725</xdr:colOff>
      <xdr:row>72</xdr:row>
      <xdr:rowOff>9525</xdr:rowOff>
    </xdr:from>
    <xdr:to>
      <xdr:col>2</xdr:col>
      <xdr:colOff>333375</xdr:colOff>
      <xdr:row>86</xdr:row>
      <xdr:rowOff>47625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1A6085C7-2D2C-402D-B68C-D101D7DA43B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0" y="10029825"/>
          <a:ext cx="3838575" cy="20383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609600</xdr:colOff>
      <xdr:row>89</xdr:row>
      <xdr:rowOff>9525</xdr:rowOff>
    </xdr:from>
    <xdr:to>
      <xdr:col>2</xdr:col>
      <xdr:colOff>95250</xdr:colOff>
      <xdr:row>103</xdr:row>
      <xdr:rowOff>95251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BF846806-5D43-4F22-B319-499791E1B48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095375" y="12458700"/>
          <a:ext cx="3457575" cy="2085976"/>
        </a:xfrm>
        <a:prstGeom prst="rect">
          <a:avLst/>
        </a:prstGeom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476250</xdr:colOff>
      <xdr:row>78</xdr:row>
      <xdr:rowOff>104775</xdr:rowOff>
    </xdr:from>
    <xdr:to>
      <xdr:col>2</xdr:col>
      <xdr:colOff>342900</xdr:colOff>
      <xdr:row>92</xdr:row>
      <xdr:rowOff>85725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76FB04A1-608C-4901-8D6D-5C18BAAE86F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62025" y="11268075"/>
          <a:ext cx="3838575" cy="1981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762000</xdr:colOff>
      <xdr:row>95</xdr:row>
      <xdr:rowOff>19050</xdr:rowOff>
    </xdr:from>
    <xdr:to>
      <xdr:col>2</xdr:col>
      <xdr:colOff>247650</xdr:colOff>
      <xdr:row>109</xdr:row>
      <xdr:rowOff>104776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55749AAC-E8E6-4354-9AEC-EEBD81ADCFF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247775" y="13611225"/>
          <a:ext cx="3457575" cy="2085976"/>
        </a:xfrm>
        <a:prstGeom prst="rect">
          <a:avLst/>
        </a:prstGeom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371475</xdr:colOff>
      <xdr:row>168</xdr:row>
      <xdr:rowOff>85725</xdr:rowOff>
    </xdr:from>
    <xdr:to>
      <xdr:col>2</xdr:col>
      <xdr:colOff>238125</xdr:colOff>
      <xdr:row>182</xdr:row>
      <xdr:rowOff>123825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9B708421-A4CD-4303-A2BD-1541ED84EB2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57250" y="24250650"/>
          <a:ext cx="3838575" cy="20383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542925</xdr:colOff>
      <xdr:row>187</xdr:row>
      <xdr:rowOff>47625</xdr:rowOff>
    </xdr:from>
    <xdr:to>
      <xdr:col>2</xdr:col>
      <xdr:colOff>142875</xdr:colOff>
      <xdr:row>203</xdr:row>
      <xdr:rowOff>47625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9B2FB7BE-3027-41DA-B07C-693A47539B5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028700" y="26927175"/>
          <a:ext cx="3571875" cy="2286000"/>
        </a:xfrm>
        <a:prstGeom prst="rect">
          <a:avLst/>
        </a:prstGeom>
      </xdr:spPr>
    </xdr:pic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428625</xdr:colOff>
      <xdr:row>272</xdr:row>
      <xdr:rowOff>47625</xdr:rowOff>
    </xdr:from>
    <xdr:to>
      <xdr:col>2</xdr:col>
      <xdr:colOff>304800</xdr:colOff>
      <xdr:row>286</xdr:row>
      <xdr:rowOff>28575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E3F127A8-0870-43D0-8976-0E17F8C29F8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14400" y="38642925"/>
          <a:ext cx="3848100" cy="1981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666750</xdr:colOff>
      <xdr:row>291</xdr:row>
      <xdr:rowOff>19050</xdr:rowOff>
    </xdr:from>
    <xdr:to>
      <xdr:col>2</xdr:col>
      <xdr:colOff>152400</xdr:colOff>
      <xdr:row>305</xdr:row>
      <xdr:rowOff>104776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CCBB1FA9-78EA-4334-B844-A45654A859B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152525" y="41328975"/>
          <a:ext cx="3457575" cy="2085976"/>
        </a:xfrm>
        <a:prstGeom prst="rect">
          <a:avLst/>
        </a:prstGeom>
      </xdr:spPr>
    </xdr:pic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904875</xdr:colOff>
      <xdr:row>169</xdr:row>
      <xdr:rowOff>0</xdr:rowOff>
    </xdr:from>
    <xdr:to>
      <xdr:col>1</xdr:col>
      <xdr:colOff>4752975</xdr:colOff>
      <xdr:row>182</xdr:row>
      <xdr:rowOff>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B3C2F93-4BD0-4B3D-BACF-A53A8FE45C8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90650" y="23745825"/>
          <a:ext cx="3848100" cy="1981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1104900</xdr:colOff>
      <xdr:row>187</xdr:row>
      <xdr:rowOff>47625</xdr:rowOff>
    </xdr:from>
    <xdr:to>
      <xdr:col>1</xdr:col>
      <xdr:colOff>4562475</xdr:colOff>
      <xdr:row>201</xdr:row>
      <xdr:rowOff>47626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BED214E5-884F-49B6-BD6B-AFBBA2AA0C8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590675" y="26365200"/>
          <a:ext cx="3457575" cy="2085976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9.xml"/><Relationship Id="rId1" Type="http://schemas.openxmlformats.org/officeDocument/2006/relationships/printerSettings" Target="../printerSettings/printerSettings10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BA5736-02B5-4298-AA20-874752F5E6CB}">
  <dimension ref="A1:C10"/>
  <sheetViews>
    <sheetView tabSelected="1" workbookViewId="0"/>
  </sheetViews>
  <sheetFormatPr defaultColWidth="8.85546875" defaultRowHeight="12.75" x14ac:dyDescent="0.2"/>
  <cols>
    <col min="1" max="1" width="6.5703125" style="15" bestFit="1" customWidth="1"/>
    <col min="2" max="2" width="11.7109375" style="15" bestFit="1" customWidth="1"/>
    <col min="3" max="3" width="39.42578125" style="15" bestFit="1" customWidth="1"/>
    <col min="4" max="16384" width="8.85546875" style="15"/>
  </cols>
  <sheetData>
    <row r="1" spans="1:3" ht="16.149999999999999" customHeight="1" x14ac:dyDescent="0.2">
      <c r="A1" s="89" t="s">
        <v>1</v>
      </c>
      <c r="B1" s="89" t="s">
        <v>2</v>
      </c>
      <c r="C1" s="89" t="s">
        <v>3</v>
      </c>
    </row>
    <row r="2" spans="1:3" ht="15" x14ac:dyDescent="0.25">
      <c r="A2" s="87">
        <v>1</v>
      </c>
      <c r="B2" s="88" t="str">
        <f>HYPERLINK("[JioBlackRock Mutual Fund-Monthly-Portfolio-31-10-2025.xlsx]JBMMF!A1","JBMMF")</f>
        <v>JBMMF</v>
      </c>
      <c r="C2" s="87" t="s">
        <v>9</v>
      </c>
    </row>
    <row r="3" spans="1:3" ht="15" x14ac:dyDescent="0.25">
      <c r="A3" s="87">
        <v>2</v>
      </c>
      <c r="B3" s="88" t="str">
        <f>HYPERLINK("[JioBlackRock Mutual Fund-Monthly-Portfolio-31-10-2025.xlsx]JBOF!A1","JBOF")</f>
        <v>JBOF</v>
      </c>
      <c r="C3" s="87" t="s">
        <v>10</v>
      </c>
    </row>
    <row r="4" spans="1:3" ht="15" x14ac:dyDescent="0.25">
      <c r="A4" s="87">
        <v>3</v>
      </c>
      <c r="B4" s="88" t="str">
        <f>HYPERLINK("[JioBlackRock Mutual Fund-Monthly-Portfolio-31-10-2025.xlsx]JBLF!A1","JBLF")</f>
        <v>JBLF</v>
      </c>
      <c r="C4" s="87" t="s">
        <v>11</v>
      </c>
    </row>
    <row r="5" spans="1:3" ht="15" x14ac:dyDescent="0.25">
      <c r="A5" s="87">
        <v>4</v>
      </c>
      <c r="B5" s="88" t="str">
        <f>HYPERLINK("[JioBlackRock Mutual Fund-Monthly-Portfolio-31-10-2025.xlsx]JBN8-13!A1","JBN8-13")</f>
        <v>JBN8-13</v>
      </c>
      <c r="C5" s="87" t="s">
        <v>12</v>
      </c>
    </row>
    <row r="6" spans="1:3" ht="15" x14ac:dyDescent="0.25">
      <c r="A6" s="87">
        <v>5</v>
      </c>
      <c r="B6" s="88" t="str">
        <f>HYPERLINK("[JioBlackRock Mutual Fund-Monthly-Portfolio-31-10-2025.xlsx]JBN50!A1","JBN50")</f>
        <v>JBN50</v>
      </c>
      <c r="C6" s="87" t="s">
        <v>13</v>
      </c>
    </row>
    <row r="7" spans="1:3" ht="15" x14ac:dyDescent="0.25">
      <c r="A7" s="87">
        <v>6</v>
      </c>
      <c r="B7" s="88" t="str">
        <f>HYPERLINK("[JioBlackRock Mutual Fund-Monthly-Portfolio-31-10-2025.xlsx]JBNNX50!A1","JBNNX50")</f>
        <v>JBNNX50</v>
      </c>
      <c r="C7" s="87" t="s">
        <v>14</v>
      </c>
    </row>
    <row r="8" spans="1:3" ht="15" x14ac:dyDescent="0.25">
      <c r="A8" s="87">
        <v>7</v>
      </c>
      <c r="B8" s="88" t="str">
        <f>HYPERLINK("[JioBlackRock Mutual Fund-Monthly-Portfolio-31-10-2025.xlsx]JBNM150!A1","JBNM150")</f>
        <v>JBNM150</v>
      </c>
      <c r="C8" s="87" t="s">
        <v>15</v>
      </c>
    </row>
    <row r="9" spans="1:3" ht="15" x14ac:dyDescent="0.25">
      <c r="A9" s="87">
        <v>8</v>
      </c>
      <c r="B9" s="88" t="str">
        <f>HYPERLINK("[JioBlackRock Mutual Fund-Monthly-Portfolio-31-10-2025.xlsx]JBNS250!A1","JBNS250")</f>
        <v>JBNS250</v>
      </c>
      <c r="C9" s="87" t="s">
        <v>16</v>
      </c>
    </row>
    <row r="10" spans="1:3" ht="15" x14ac:dyDescent="0.25">
      <c r="A10" s="87">
        <v>9</v>
      </c>
      <c r="B10" s="88" t="str">
        <f>HYPERLINK("[JioBlackRock Mutual Fund-Monthly-Portfolio-31-10-2025.xlsx]JBFLEXI!A1","JBFLEXI")</f>
        <v>JBFLEXI</v>
      </c>
      <c r="C10" s="87" t="s">
        <v>17</v>
      </c>
    </row>
  </sheetData>
  <pageMargins left="0.7" right="0.7" top="0.75" bottom="0.75" header="0.3" footer="0.3"/>
  <pageSetup paperSize="9" orientation="portrait" r:id="rId1"/>
  <headerFooter>
    <oddFooter>&amp;C&amp;1#&amp;"Calibri"&amp;10&amp;K000000RESTRICTED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D2DA7C-67AE-42D5-9CC1-11BC4B921D5E}">
  <dimension ref="A1:K74"/>
  <sheetViews>
    <sheetView view="pageBreakPreview" zoomScaleNormal="100" zoomScaleSheetLayoutView="100" workbookViewId="0">
      <selection activeCell="B1" sqref="B1:C1"/>
    </sheetView>
  </sheetViews>
  <sheetFormatPr defaultRowHeight="11.25" x14ac:dyDescent="0.2"/>
  <cols>
    <col min="1" max="1" width="7.28515625" style="6" customWidth="1"/>
    <col min="2" max="2" width="59.5703125" style="6" bestFit="1" customWidth="1"/>
    <col min="3" max="3" width="11.7109375" style="6" bestFit="1" customWidth="1"/>
    <col min="4" max="5" width="15" style="6" bestFit="1" customWidth="1"/>
    <col min="6" max="6" width="14.85546875" style="8" bestFit="1" customWidth="1"/>
    <col min="7" max="7" width="7.28515625" style="14" bestFit="1" customWidth="1"/>
    <col min="8" max="8" width="7.42578125" style="11" bestFit="1" customWidth="1"/>
    <col min="9" max="9" width="11.42578125" style="11" bestFit="1" customWidth="1"/>
    <col min="10" max="10" width="25.7109375" style="6" customWidth="1"/>
    <col min="11" max="16384" width="9.140625" style="6"/>
  </cols>
  <sheetData>
    <row r="1" spans="1:11" s="1" customFormat="1" ht="16.899999999999999" customHeight="1" x14ac:dyDescent="0.2">
      <c r="B1" s="90" t="s">
        <v>9</v>
      </c>
      <c r="C1" s="91"/>
      <c r="D1" s="10"/>
      <c r="F1" s="5"/>
      <c r="G1" s="14"/>
      <c r="H1" s="11"/>
      <c r="I1" s="12"/>
    </row>
    <row r="2" spans="1:11" s="1" customFormat="1" ht="15" x14ac:dyDescent="0.25">
      <c r="A2" s="57" t="str">
        <f>HYPERLINK("[JioBlackRock Mutual Fund-Monthly-Portfolio-31-10-2025.xlsx]index!A1","")</f>
        <v/>
      </c>
      <c r="F2" s="5"/>
      <c r="G2" s="14"/>
      <c r="H2" s="11"/>
      <c r="I2" s="12"/>
    </row>
    <row r="3" spans="1:11" s="1" customFormat="1" ht="12" x14ac:dyDescent="0.2">
      <c r="B3" s="7" t="s">
        <v>1336</v>
      </c>
      <c r="C3" s="2"/>
      <c r="D3" s="3"/>
      <c r="E3" s="3"/>
      <c r="F3" s="4"/>
      <c r="G3" s="14"/>
      <c r="H3" s="11"/>
      <c r="I3" s="12"/>
    </row>
    <row r="4" spans="1:11" s="1" customFormat="1" ht="25.5" customHeight="1" x14ac:dyDescent="0.2">
      <c r="B4" s="18" t="s">
        <v>7</v>
      </c>
      <c r="C4" s="18" t="s">
        <v>8</v>
      </c>
      <c r="D4" s="19" t="s">
        <v>90</v>
      </c>
      <c r="E4" s="19" t="s">
        <v>0</v>
      </c>
      <c r="F4" s="20" t="s">
        <v>4</v>
      </c>
      <c r="G4" s="21" t="s">
        <v>5</v>
      </c>
      <c r="H4" s="22" t="s">
        <v>6</v>
      </c>
      <c r="I4" s="22" t="s">
        <v>18</v>
      </c>
      <c r="J4" s="13"/>
      <c r="K4" s="9"/>
    </row>
    <row r="5" spans="1:11" x14ac:dyDescent="0.2">
      <c r="B5" s="23" t="s">
        <v>19</v>
      </c>
      <c r="C5" s="24"/>
      <c r="D5" s="24"/>
      <c r="E5" s="24"/>
      <c r="F5" s="25"/>
      <c r="G5" s="26"/>
      <c r="H5" s="27"/>
      <c r="I5" s="27"/>
    </row>
    <row r="6" spans="1:11" x14ac:dyDescent="0.2">
      <c r="B6" s="23" t="s">
        <v>20</v>
      </c>
      <c r="C6" s="24"/>
      <c r="D6" s="24"/>
      <c r="E6" s="24"/>
      <c r="F6" s="25"/>
      <c r="G6" s="26"/>
      <c r="H6" s="27"/>
      <c r="I6" s="27"/>
    </row>
    <row r="7" spans="1:11" x14ac:dyDescent="0.2">
      <c r="B7" s="24" t="s">
        <v>21</v>
      </c>
      <c r="C7" s="24" t="s">
        <v>22</v>
      </c>
      <c r="D7" s="24" t="s">
        <v>23</v>
      </c>
      <c r="E7" s="28">
        <v>6000</v>
      </c>
      <c r="F7" s="25">
        <v>29365.86</v>
      </c>
      <c r="G7" s="26">
        <v>8.6500152843028406</v>
      </c>
      <c r="H7" s="27">
        <v>6.1101000000000003E-2</v>
      </c>
      <c r="I7" s="29"/>
    </row>
    <row r="8" spans="1:11" x14ac:dyDescent="0.2">
      <c r="B8" s="24" t="s">
        <v>24</v>
      </c>
      <c r="C8" s="24" t="s">
        <v>25</v>
      </c>
      <c r="D8" s="24" t="s">
        <v>26</v>
      </c>
      <c r="E8" s="28">
        <v>5000</v>
      </c>
      <c r="F8" s="25">
        <v>24465.275000000001</v>
      </c>
      <c r="G8" s="26">
        <v>7.2064977046363401</v>
      </c>
      <c r="H8" s="27">
        <v>6.0899000000000002E-2</v>
      </c>
      <c r="I8" s="29"/>
    </row>
    <row r="9" spans="1:11" x14ac:dyDescent="0.2">
      <c r="B9" s="24" t="s">
        <v>27</v>
      </c>
      <c r="C9" s="24" t="s">
        <v>28</v>
      </c>
      <c r="D9" s="24" t="s">
        <v>29</v>
      </c>
      <c r="E9" s="28">
        <v>4500</v>
      </c>
      <c r="F9" s="25">
        <v>22047.974999999999</v>
      </c>
      <c r="G9" s="26">
        <v>6.4944571940997804</v>
      </c>
      <c r="H9" s="27">
        <v>6.0838999999999997E-2</v>
      </c>
      <c r="I9" s="29"/>
    </row>
    <row r="10" spans="1:11" x14ac:dyDescent="0.2">
      <c r="B10" s="24" t="s">
        <v>30</v>
      </c>
      <c r="C10" s="24" t="s">
        <v>31</v>
      </c>
      <c r="D10" s="24" t="s">
        <v>29</v>
      </c>
      <c r="E10" s="28">
        <v>3000</v>
      </c>
      <c r="F10" s="25">
        <v>14699.805</v>
      </c>
      <c r="G10" s="26">
        <v>4.3299783464972998</v>
      </c>
      <c r="H10" s="27">
        <v>6.0601000000000002E-2</v>
      </c>
      <c r="I10" s="29"/>
    </row>
    <row r="11" spans="1:11" x14ac:dyDescent="0.2">
      <c r="B11" s="24" t="s">
        <v>32</v>
      </c>
      <c r="C11" s="24" t="s">
        <v>33</v>
      </c>
      <c r="D11" s="24" t="s">
        <v>23</v>
      </c>
      <c r="E11" s="28">
        <v>2500</v>
      </c>
      <c r="F11" s="25">
        <v>12258.262500000001</v>
      </c>
      <c r="G11" s="26">
        <v>3.6107969589174802</v>
      </c>
      <c r="H11" s="27">
        <v>6.0998999999999998E-2</v>
      </c>
      <c r="I11" s="29"/>
    </row>
    <row r="12" spans="1:11" x14ac:dyDescent="0.2">
      <c r="B12" s="24" t="s">
        <v>34</v>
      </c>
      <c r="C12" s="24" t="s">
        <v>35</v>
      </c>
      <c r="D12" s="24" t="s">
        <v>23</v>
      </c>
      <c r="E12" s="28">
        <v>2000</v>
      </c>
      <c r="F12" s="25">
        <v>9786.7900000000009</v>
      </c>
      <c r="G12" s="26">
        <v>2.8827993828296599</v>
      </c>
      <c r="H12" s="27">
        <v>6.0699999999999997E-2</v>
      </c>
      <c r="I12" s="29"/>
    </row>
    <row r="13" spans="1:11" x14ac:dyDescent="0.2">
      <c r="B13" s="24" t="s">
        <v>36</v>
      </c>
      <c r="C13" s="24" t="s">
        <v>37</v>
      </c>
      <c r="D13" s="24" t="s">
        <v>23</v>
      </c>
      <c r="E13" s="28">
        <v>1500</v>
      </c>
      <c r="F13" s="25">
        <v>7341.72</v>
      </c>
      <c r="G13" s="26">
        <v>2.1625789339413801</v>
      </c>
      <c r="H13" s="27">
        <v>6.0999999999999999E-2</v>
      </c>
      <c r="I13" s="29"/>
    </row>
    <row r="14" spans="1:11" x14ac:dyDescent="0.2">
      <c r="B14" s="24" t="s">
        <v>38</v>
      </c>
      <c r="C14" s="24" t="s">
        <v>39</v>
      </c>
      <c r="D14" s="24" t="s">
        <v>23</v>
      </c>
      <c r="E14" s="28">
        <v>1500</v>
      </c>
      <c r="F14" s="25">
        <v>7332.93</v>
      </c>
      <c r="G14" s="26">
        <v>2.1599897492776599</v>
      </c>
      <c r="H14" s="27">
        <v>6.0700999999999998E-2</v>
      </c>
      <c r="I14" s="29"/>
    </row>
    <row r="15" spans="1:11" x14ac:dyDescent="0.2">
      <c r="B15" s="24" t="s">
        <v>40</v>
      </c>
      <c r="C15" s="24" t="s">
        <v>41</v>
      </c>
      <c r="D15" s="24" t="s">
        <v>23</v>
      </c>
      <c r="E15" s="28">
        <v>1500</v>
      </c>
      <c r="F15" s="25">
        <v>7323.75</v>
      </c>
      <c r="G15" s="26">
        <v>2.1572856861135001</v>
      </c>
      <c r="H15" s="27">
        <v>6.0998999999999998E-2</v>
      </c>
      <c r="I15" s="29"/>
    </row>
    <row r="16" spans="1:11" x14ac:dyDescent="0.2">
      <c r="B16" s="24" t="s">
        <v>42</v>
      </c>
      <c r="C16" s="24" t="s">
        <v>43</v>
      </c>
      <c r="D16" s="24" t="s">
        <v>23</v>
      </c>
      <c r="E16" s="28">
        <v>1500</v>
      </c>
      <c r="F16" s="25">
        <v>7243.26</v>
      </c>
      <c r="G16" s="26">
        <v>2.1335765309846</v>
      </c>
      <c r="H16" s="27">
        <v>6.2199999999999998E-2</v>
      </c>
      <c r="I16" s="29"/>
    </row>
    <row r="17" spans="2:9" x14ac:dyDescent="0.2">
      <c r="B17" s="24" t="s">
        <v>44</v>
      </c>
      <c r="C17" s="24" t="s">
        <v>45</v>
      </c>
      <c r="D17" s="24" t="s">
        <v>23</v>
      </c>
      <c r="E17" s="28">
        <v>1000</v>
      </c>
      <c r="F17" s="25">
        <v>4929.2700000000004</v>
      </c>
      <c r="G17" s="26">
        <v>1.4519670406538601</v>
      </c>
      <c r="H17" s="27">
        <v>6.0199999999999997E-2</v>
      </c>
      <c r="I17" s="29"/>
    </row>
    <row r="18" spans="2:9" x14ac:dyDescent="0.2">
      <c r="B18" s="24" t="s">
        <v>46</v>
      </c>
      <c r="C18" s="24" t="s">
        <v>47</v>
      </c>
      <c r="D18" s="24" t="s">
        <v>23</v>
      </c>
      <c r="E18" s="28">
        <v>1000</v>
      </c>
      <c r="F18" s="25">
        <v>4898.5050000000001</v>
      </c>
      <c r="G18" s="26">
        <v>1.44290489433083</v>
      </c>
      <c r="H18" s="27">
        <v>6.0500999999999999E-2</v>
      </c>
      <c r="I18" s="29"/>
    </row>
    <row r="19" spans="2:9" x14ac:dyDescent="0.2">
      <c r="B19" s="24" t="s">
        <v>48</v>
      </c>
      <c r="C19" s="24" t="s">
        <v>49</v>
      </c>
      <c r="D19" s="24" t="s">
        <v>23</v>
      </c>
      <c r="E19" s="28">
        <v>1000</v>
      </c>
      <c r="F19" s="25">
        <v>4898.18</v>
      </c>
      <c r="G19" s="26">
        <v>1.44280916224713</v>
      </c>
      <c r="H19" s="27">
        <v>6.0699000000000003E-2</v>
      </c>
      <c r="I19" s="29"/>
    </row>
    <row r="20" spans="2:9" x14ac:dyDescent="0.2">
      <c r="B20" s="24" t="s">
        <v>50</v>
      </c>
      <c r="C20" s="24" t="s">
        <v>51</v>
      </c>
      <c r="D20" s="24" t="s">
        <v>23</v>
      </c>
      <c r="E20" s="28">
        <v>1000</v>
      </c>
      <c r="F20" s="25">
        <v>4895.45</v>
      </c>
      <c r="G20" s="26">
        <v>1.44200501274406</v>
      </c>
      <c r="H20" s="27">
        <v>6.0900000000000003E-2</v>
      </c>
      <c r="I20" s="29"/>
    </row>
    <row r="21" spans="2:9" x14ac:dyDescent="0.2">
      <c r="B21" s="24" t="s">
        <v>52</v>
      </c>
      <c r="C21" s="24" t="s">
        <v>53</v>
      </c>
      <c r="D21" s="24" t="s">
        <v>23</v>
      </c>
      <c r="E21" s="28">
        <v>1000</v>
      </c>
      <c r="F21" s="25">
        <v>4888.3549999999996</v>
      </c>
      <c r="G21" s="26">
        <v>1.4399151077168599</v>
      </c>
      <c r="H21" s="27">
        <v>6.0850000000000001E-2</v>
      </c>
      <c r="I21" s="29"/>
    </row>
    <row r="22" spans="2:9" x14ac:dyDescent="0.2">
      <c r="B22" s="24" t="s">
        <v>54</v>
      </c>
      <c r="C22" s="24" t="s">
        <v>55</v>
      </c>
      <c r="D22" s="24" t="s">
        <v>23</v>
      </c>
      <c r="E22" s="28">
        <v>500</v>
      </c>
      <c r="F22" s="25">
        <v>2449.8874999999998</v>
      </c>
      <c r="G22" s="26">
        <v>0.72163949292894802</v>
      </c>
      <c r="H22" s="27">
        <v>6.0699999999999997E-2</v>
      </c>
      <c r="I22" s="29"/>
    </row>
    <row r="23" spans="2:9" x14ac:dyDescent="0.2">
      <c r="B23" s="23" t="s">
        <v>56</v>
      </c>
      <c r="C23" s="23"/>
      <c r="D23" s="23"/>
      <c r="E23" s="23"/>
      <c r="F23" s="30">
        <f>SUM(F6:F22)</f>
        <v>168825.27500000002</v>
      </c>
      <c r="G23" s="31">
        <f>SUM(G6:G22)</f>
        <v>49.729216482222235</v>
      </c>
      <c r="H23" s="32"/>
      <c r="I23" s="32"/>
    </row>
    <row r="24" spans="2:9" x14ac:dyDescent="0.2">
      <c r="B24" s="23" t="s">
        <v>57</v>
      </c>
      <c r="C24" s="24"/>
      <c r="D24" s="24"/>
      <c r="E24" s="24"/>
      <c r="F24" s="25"/>
      <c r="G24" s="26"/>
      <c r="H24" s="27"/>
      <c r="I24" s="27"/>
    </row>
    <row r="25" spans="2:9" x14ac:dyDescent="0.2">
      <c r="B25" s="24" t="s">
        <v>58</v>
      </c>
      <c r="C25" s="24" t="s">
        <v>59</v>
      </c>
      <c r="D25" s="24" t="s">
        <v>26</v>
      </c>
      <c r="E25" s="28">
        <v>7000</v>
      </c>
      <c r="F25" s="25">
        <v>34264.93</v>
      </c>
      <c r="G25" s="26">
        <v>10.093086605179201</v>
      </c>
      <c r="H25" s="27">
        <v>6.0699000000000003E-2</v>
      </c>
      <c r="I25" s="29"/>
    </row>
    <row r="26" spans="2:9" x14ac:dyDescent="0.2">
      <c r="B26" s="24" t="s">
        <v>60</v>
      </c>
      <c r="C26" s="24" t="s">
        <v>61</v>
      </c>
      <c r="D26" s="24" t="s">
        <v>23</v>
      </c>
      <c r="E26" s="28">
        <v>3000</v>
      </c>
      <c r="F26" s="25">
        <v>14699.79</v>
      </c>
      <c r="G26" s="26">
        <v>4.3299739280934402</v>
      </c>
      <c r="H26" s="27">
        <v>6.1101000000000003E-2</v>
      </c>
      <c r="I26" s="29"/>
    </row>
    <row r="27" spans="2:9" x14ac:dyDescent="0.2">
      <c r="B27" s="24" t="s">
        <v>62</v>
      </c>
      <c r="C27" s="24" t="s">
        <v>63</v>
      </c>
      <c r="D27" s="24" t="s">
        <v>23</v>
      </c>
      <c r="E27" s="28">
        <v>2500</v>
      </c>
      <c r="F27" s="25">
        <v>12250.65</v>
      </c>
      <c r="G27" s="26">
        <v>3.6085546189570001</v>
      </c>
      <c r="H27" s="27">
        <v>6.1400000000000003E-2</v>
      </c>
      <c r="I27" s="29"/>
    </row>
    <row r="28" spans="2:9" x14ac:dyDescent="0.2">
      <c r="B28" s="24" t="s">
        <v>64</v>
      </c>
      <c r="C28" s="24" t="s">
        <v>65</v>
      </c>
      <c r="D28" s="24" t="s">
        <v>23</v>
      </c>
      <c r="E28" s="28">
        <v>2000</v>
      </c>
      <c r="F28" s="25">
        <v>9908.94</v>
      </c>
      <c r="G28" s="26">
        <v>2.9187799182874201</v>
      </c>
      <c r="H28" s="27">
        <v>6.4504000000000006E-2</v>
      </c>
      <c r="I28" s="29"/>
    </row>
    <row r="29" spans="2:9" x14ac:dyDescent="0.2">
      <c r="B29" s="24" t="s">
        <v>66</v>
      </c>
      <c r="C29" s="24" t="s">
        <v>67</v>
      </c>
      <c r="D29" s="24" t="s">
        <v>23</v>
      </c>
      <c r="E29" s="28">
        <v>2000</v>
      </c>
      <c r="F29" s="25">
        <v>9725.1299999999992</v>
      </c>
      <c r="G29" s="26">
        <v>2.8646367973501201</v>
      </c>
      <c r="H29" s="27">
        <v>6.2523999999999996E-2</v>
      </c>
      <c r="I29" s="29"/>
    </row>
    <row r="30" spans="2:9" x14ac:dyDescent="0.2">
      <c r="B30" s="24" t="s">
        <v>68</v>
      </c>
      <c r="C30" s="24" t="s">
        <v>69</v>
      </c>
      <c r="D30" s="24" t="s">
        <v>23</v>
      </c>
      <c r="E30" s="28">
        <v>2000</v>
      </c>
      <c r="F30" s="25">
        <v>9618.6299999999992</v>
      </c>
      <c r="G30" s="26">
        <v>2.8332661299227699</v>
      </c>
      <c r="H30" s="27">
        <v>6.7000000000000004E-2</v>
      </c>
      <c r="I30" s="29"/>
    </row>
    <row r="31" spans="2:9" x14ac:dyDescent="0.2">
      <c r="B31" s="24" t="s">
        <v>70</v>
      </c>
      <c r="C31" s="24" t="s">
        <v>71</v>
      </c>
      <c r="D31" s="24" t="s">
        <v>23</v>
      </c>
      <c r="E31" s="28">
        <v>1000</v>
      </c>
      <c r="F31" s="25">
        <v>4828.07</v>
      </c>
      <c r="G31" s="26">
        <v>1.4221575425914299</v>
      </c>
      <c r="H31" s="27">
        <v>6.7000000000000004E-2</v>
      </c>
      <c r="I31" s="29"/>
    </row>
    <row r="32" spans="2:9" x14ac:dyDescent="0.2">
      <c r="B32" s="24" t="s">
        <v>72</v>
      </c>
      <c r="C32" s="24" t="s">
        <v>73</v>
      </c>
      <c r="D32" s="24" t="s">
        <v>23</v>
      </c>
      <c r="E32" s="28">
        <v>500</v>
      </c>
      <c r="F32" s="25">
        <v>2443.5500000000002</v>
      </c>
      <c r="G32" s="26">
        <v>0.71977271729682701</v>
      </c>
      <c r="H32" s="27">
        <v>6.1550000000000001E-2</v>
      </c>
      <c r="I32" s="29"/>
    </row>
    <row r="33" spans="2:9" x14ac:dyDescent="0.2">
      <c r="B33" s="23" t="s">
        <v>56</v>
      </c>
      <c r="C33" s="23"/>
      <c r="D33" s="23"/>
      <c r="E33" s="23"/>
      <c r="F33" s="30">
        <f>SUM(F24:F32)</f>
        <v>97739.690000000017</v>
      </c>
      <c r="G33" s="31">
        <f>SUM(G24:G32)</f>
        <v>28.790228257678208</v>
      </c>
      <c r="H33" s="32"/>
      <c r="I33" s="32"/>
    </row>
    <row r="34" spans="2:9" x14ac:dyDescent="0.2">
      <c r="B34" s="23" t="s">
        <v>74</v>
      </c>
      <c r="C34" s="24"/>
      <c r="D34" s="24"/>
      <c r="E34" s="24"/>
      <c r="F34" s="25"/>
      <c r="G34" s="26"/>
      <c r="H34" s="27"/>
      <c r="I34" s="27"/>
    </row>
    <row r="35" spans="2:9" x14ac:dyDescent="0.2">
      <c r="B35" s="24" t="s">
        <v>75</v>
      </c>
      <c r="C35" s="24" t="s">
        <v>76</v>
      </c>
      <c r="D35" s="24" t="s">
        <v>86</v>
      </c>
      <c r="E35" s="28">
        <v>7500000</v>
      </c>
      <c r="F35" s="25">
        <v>7347.4875000000002</v>
      </c>
      <c r="G35" s="26">
        <v>2.16427781022671</v>
      </c>
      <c r="H35" s="27">
        <v>5.4900999999999998E-2</v>
      </c>
      <c r="I35" s="29"/>
    </row>
    <row r="36" spans="2:9" x14ac:dyDescent="0.2">
      <c r="B36" s="24" t="s">
        <v>78</v>
      </c>
      <c r="C36" s="24" t="s">
        <v>79</v>
      </c>
      <c r="D36" s="24" t="s">
        <v>86</v>
      </c>
      <c r="E36" s="28">
        <v>5000000</v>
      </c>
      <c r="F36" s="25">
        <v>4893.2</v>
      </c>
      <c r="G36" s="26">
        <v>1.44134225216461</v>
      </c>
      <c r="H36" s="27">
        <v>5.4942999999999999E-2</v>
      </c>
      <c r="I36" s="29"/>
    </row>
    <row r="37" spans="2:9" x14ac:dyDescent="0.2">
      <c r="B37" s="24" t="s">
        <v>80</v>
      </c>
      <c r="C37" s="24" t="s">
        <v>81</v>
      </c>
      <c r="D37" s="24" t="s">
        <v>86</v>
      </c>
      <c r="E37" s="28">
        <v>2500000</v>
      </c>
      <c r="F37" s="25">
        <v>2405.6774999999998</v>
      </c>
      <c r="G37" s="26">
        <v>0.70861698394337702</v>
      </c>
      <c r="H37" s="27">
        <v>5.5685999999999999E-2</v>
      </c>
      <c r="I37" s="29"/>
    </row>
    <row r="38" spans="2:9" x14ac:dyDescent="0.2">
      <c r="B38" s="23" t="s">
        <v>56</v>
      </c>
      <c r="C38" s="23"/>
      <c r="D38" s="23"/>
      <c r="E38" s="23"/>
      <c r="F38" s="33">
        <f>SUM(F34:F37)</f>
        <v>14646.365</v>
      </c>
      <c r="G38" s="34">
        <f>SUM(G34:G37)</f>
        <v>4.3142370463346964</v>
      </c>
      <c r="H38" s="32"/>
      <c r="I38" s="32"/>
    </row>
    <row r="39" spans="2:9" x14ac:dyDescent="0.2">
      <c r="B39" s="35" t="s">
        <v>82</v>
      </c>
      <c r="C39" s="35"/>
      <c r="D39" s="35"/>
      <c r="E39" s="35"/>
      <c r="F39" s="36">
        <f>+F23+F33+F38</f>
        <v>281211.33</v>
      </c>
      <c r="G39" s="37">
        <f>+G23+G33+G38</f>
        <v>82.833681786235147</v>
      </c>
      <c r="H39" s="32"/>
      <c r="I39" s="32"/>
    </row>
    <row r="40" spans="2:9" x14ac:dyDescent="0.2">
      <c r="B40" s="23" t="s">
        <v>83</v>
      </c>
      <c r="C40" s="24"/>
      <c r="D40" s="24"/>
      <c r="E40" s="24"/>
      <c r="F40" s="25"/>
      <c r="G40" s="26"/>
      <c r="H40" s="27"/>
      <c r="I40" s="27"/>
    </row>
    <row r="41" spans="2:9" x14ac:dyDescent="0.2">
      <c r="B41" s="24" t="s">
        <v>84</v>
      </c>
      <c r="C41" s="24" t="s">
        <v>85</v>
      </c>
      <c r="D41" s="24" t="s">
        <v>86</v>
      </c>
      <c r="E41" s="28">
        <v>30500000</v>
      </c>
      <c r="F41" s="25">
        <v>30498.536</v>
      </c>
      <c r="G41" s="26">
        <v>8.9836566185652504</v>
      </c>
      <c r="H41" s="27">
        <v>5.6673000000000001E-2</v>
      </c>
      <c r="I41" s="29"/>
    </row>
    <row r="42" spans="2:9" x14ac:dyDescent="0.2">
      <c r="B42" s="23" t="s">
        <v>82</v>
      </c>
      <c r="C42" s="23"/>
      <c r="D42" s="23"/>
      <c r="E42" s="23"/>
      <c r="F42" s="30">
        <f>SUM(F41:F41)</f>
        <v>30498.536</v>
      </c>
      <c r="G42" s="31">
        <f>SUM(G41:G41)</f>
        <v>8.9836566185652504</v>
      </c>
      <c r="H42" s="32"/>
      <c r="I42" s="32"/>
    </row>
    <row r="43" spans="2:9" x14ac:dyDescent="0.2">
      <c r="B43" s="23"/>
      <c r="C43" s="24"/>
      <c r="D43" s="24"/>
      <c r="E43" s="24"/>
      <c r="F43" s="25"/>
      <c r="G43" s="26"/>
      <c r="H43" s="27"/>
      <c r="I43" s="27"/>
    </row>
    <row r="44" spans="2:9" x14ac:dyDescent="0.2">
      <c r="B44" s="23" t="s">
        <v>87</v>
      </c>
      <c r="C44" s="23"/>
      <c r="D44" s="23"/>
      <c r="E44" s="23"/>
      <c r="F44" s="30">
        <v>20774.341440200002</v>
      </c>
      <c r="G44" s="31">
        <v>6.1192953647213404</v>
      </c>
      <c r="H44" s="38">
        <v>5.4149999999999997E-2</v>
      </c>
      <c r="I44" s="38"/>
    </row>
    <row r="45" spans="2:9" x14ac:dyDescent="0.2">
      <c r="B45" s="24"/>
      <c r="C45" s="24"/>
      <c r="D45" s="24"/>
      <c r="E45" s="24"/>
      <c r="F45" s="25"/>
      <c r="G45" s="26"/>
      <c r="H45" s="27"/>
      <c r="I45" s="27"/>
    </row>
    <row r="46" spans="2:9" x14ac:dyDescent="0.2">
      <c r="B46" s="43" t="s">
        <v>89</v>
      </c>
      <c r="C46" s="43"/>
      <c r="D46" s="43"/>
      <c r="E46" s="43"/>
      <c r="F46" s="30">
        <f>F47-(F23+F33+F38+F42+F44)</f>
        <v>7004.9036748999497</v>
      </c>
      <c r="G46" s="31">
        <f>G47-(G23+G33+G38+G42+G44)</f>
        <v>2.0633662304782661</v>
      </c>
      <c r="H46" s="32"/>
      <c r="I46" s="32"/>
    </row>
    <row r="47" spans="2:9" x14ac:dyDescent="0.2">
      <c r="B47" s="39" t="s">
        <v>88</v>
      </c>
      <c r="C47" s="39"/>
      <c r="D47" s="39"/>
      <c r="E47" s="39"/>
      <c r="F47" s="40">
        <v>339489.11111509998</v>
      </c>
      <c r="G47" s="41">
        <v>100</v>
      </c>
      <c r="H47" s="42"/>
      <c r="I47" s="42"/>
    </row>
    <row r="49" spans="2:9" x14ac:dyDescent="0.2">
      <c r="B49" s="16" t="s">
        <v>91</v>
      </c>
    </row>
    <row r="50" spans="2:9" ht="39.950000000000003" customHeight="1" x14ac:dyDescent="0.2">
      <c r="B50" s="92" t="s">
        <v>92</v>
      </c>
      <c r="C50" s="92"/>
      <c r="D50" s="92"/>
      <c r="E50" s="92"/>
      <c r="F50" s="92"/>
      <c r="G50" s="92"/>
      <c r="H50" s="92"/>
      <c r="I50" s="92"/>
    </row>
    <row r="52" spans="2:9" x14ac:dyDescent="0.2">
      <c r="B52" s="16" t="s">
        <v>1322</v>
      </c>
      <c r="C52" s="16"/>
      <c r="D52" s="58"/>
      <c r="E52" s="16"/>
    </row>
    <row r="53" spans="2:9" x14ac:dyDescent="0.2">
      <c r="D53" s="59"/>
      <c r="E53" s="59"/>
    </row>
    <row r="57" spans="2:9" x14ac:dyDescent="0.2">
      <c r="B57" s="16"/>
    </row>
    <row r="73" spans="2:2" x14ac:dyDescent="0.2">
      <c r="B73" s="16" t="s">
        <v>1323</v>
      </c>
    </row>
    <row r="74" spans="2:2" x14ac:dyDescent="0.2">
      <c r="B74" s="60" t="s">
        <v>1324</v>
      </c>
    </row>
  </sheetData>
  <mergeCells count="2">
    <mergeCell ref="B1:C1"/>
    <mergeCell ref="B50:I50"/>
  </mergeCells>
  <conditionalFormatting sqref="G1:G3 G5:G49 G51:G65535">
    <cfRule type="cellIs" dxfId="13" priority="2" stopIfTrue="1" operator="between">
      <formula>0.009</formula>
      <formula>-0.009</formula>
    </cfRule>
  </conditionalFormatting>
  <pageMargins left="0.7" right="0.7" top="0.75" bottom="0.75" header="0.3" footer="0.3"/>
  <pageSetup paperSize="9" scale="61" orientation="portrait" r:id="rId1"/>
  <headerFooter>
    <oddFooter>&amp;C&amp;1#&amp;"Calibri"&amp;10&amp;K000000RESTRICTED</oddFooter>
    <evenFooter>&amp;LPUBLIC</evenFooter>
    <firstFooter>&amp;LPUBLIC</firstFooter>
  </headerFooter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E07866-60C1-4294-AF1B-FA79811847B5}">
  <dimension ref="A1:K50"/>
  <sheetViews>
    <sheetView view="pageBreakPreview" zoomScaleNormal="100" zoomScaleSheetLayoutView="100" workbookViewId="0">
      <selection activeCell="B1" sqref="B1:C1"/>
    </sheetView>
  </sheetViews>
  <sheetFormatPr defaultRowHeight="11.25" x14ac:dyDescent="0.2"/>
  <cols>
    <col min="1" max="1" width="7.28515625" style="6" customWidth="1"/>
    <col min="2" max="2" width="59.5703125" style="6" bestFit="1" customWidth="1"/>
    <col min="3" max="3" width="11.140625" style="6" bestFit="1" customWidth="1"/>
    <col min="4" max="5" width="15" style="6" bestFit="1" customWidth="1"/>
    <col min="6" max="6" width="14.85546875" style="8" bestFit="1" customWidth="1"/>
    <col min="7" max="7" width="7.28515625" style="14" bestFit="1" customWidth="1"/>
    <col min="8" max="8" width="7.42578125" style="11" bestFit="1" customWidth="1"/>
    <col min="9" max="9" width="11.42578125" style="11" bestFit="1" customWidth="1"/>
    <col min="10" max="10" width="25.7109375" style="6" customWidth="1"/>
    <col min="11" max="16384" width="9.140625" style="6"/>
  </cols>
  <sheetData>
    <row r="1" spans="1:11" s="1" customFormat="1" ht="16.899999999999999" customHeight="1" x14ac:dyDescent="0.2">
      <c r="B1" s="90" t="s">
        <v>10</v>
      </c>
      <c r="C1" s="91"/>
      <c r="D1" s="10"/>
      <c r="F1" s="5"/>
      <c r="G1" s="14"/>
      <c r="H1" s="11"/>
      <c r="I1" s="12"/>
    </row>
    <row r="2" spans="1:11" s="1" customFormat="1" ht="15" x14ac:dyDescent="0.25">
      <c r="A2" s="57" t="str">
        <f>HYPERLINK("[JioBlackRock Mutual Fund-Monthly-Portfolio-31-10-2025.xlsx]index!A1","")</f>
        <v/>
      </c>
      <c r="F2" s="5"/>
      <c r="G2" s="14"/>
      <c r="H2" s="11"/>
      <c r="I2" s="12"/>
    </row>
    <row r="3" spans="1:11" s="1" customFormat="1" ht="12" x14ac:dyDescent="0.2">
      <c r="B3" s="7" t="s">
        <v>1336</v>
      </c>
      <c r="C3" s="2"/>
      <c r="D3" s="3"/>
      <c r="E3" s="3"/>
      <c r="F3" s="4"/>
      <c r="G3" s="14"/>
      <c r="H3" s="11"/>
      <c r="I3" s="12"/>
    </row>
    <row r="4" spans="1:11" s="1" customFormat="1" ht="25.5" customHeight="1" x14ac:dyDescent="0.2">
      <c r="B4" s="18" t="s">
        <v>7</v>
      </c>
      <c r="C4" s="18" t="s">
        <v>8</v>
      </c>
      <c r="D4" s="19" t="s">
        <v>90</v>
      </c>
      <c r="E4" s="19" t="s">
        <v>0</v>
      </c>
      <c r="F4" s="20" t="s">
        <v>4</v>
      </c>
      <c r="G4" s="21" t="s">
        <v>5</v>
      </c>
      <c r="H4" s="22" t="s">
        <v>6</v>
      </c>
      <c r="I4" s="22" t="s">
        <v>18</v>
      </c>
      <c r="J4" s="13"/>
      <c r="K4" s="9"/>
    </row>
    <row r="5" spans="1:11" x14ac:dyDescent="0.2">
      <c r="B5" s="23" t="s">
        <v>19</v>
      </c>
      <c r="C5" s="24"/>
      <c r="D5" s="24"/>
      <c r="E5" s="24"/>
      <c r="F5" s="25"/>
      <c r="G5" s="26"/>
      <c r="H5" s="27"/>
      <c r="I5" s="27"/>
    </row>
    <row r="6" spans="1:11" x14ac:dyDescent="0.2">
      <c r="B6" s="23" t="s">
        <v>74</v>
      </c>
      <c r="C6" s="24"/>
      <c r="D6" s="24"/>
      <c r="E6" s="24"/>
      <c r="F6" s="25"/>
      <c r="G6" s="26"/>
      <c r="H6" s="27"/>
      <c r="I6" s="27"/>
    </row>
    <row r="7" spans="1:11" x14ac:dyDescent="0.2">
      <c r="B7" s="24" t="s">
        <v>95</v>
      </c>
      <c r="C7" s="24" t="s">
        <v>96</v>
      </c>
      <c r="D7" s="24" t="s">
        <v>86</v>
      </c>
      <c r="E7" s="28">
        <v>2500000</v>
      </c>
      <c r="F7" s="25">
        <v>2498.11</v>
      </c>
      <c r="G7" s="26">
        <v>2.1160326672179499</v>
      </c>
      <c r="H7" s="27">
        <v>5.5230000000000001E-2</v>
      </c>
      <c r="I7" s="29"/>
    </row>
    <row r="8" spans="1:11" x14ac:dyDescent="0.2">
      <c r="B8" s="24" t="s">
        <v>97</v>
      </c>
      <c r="C8" s="24" t="s">
        <v>98</v>
      </c>
      <c r="D8" s="24" t="s">
        <v>86</v>
      </c>
      <c r="E8" s="28">
        <v>2500000</v>
      </c>
      <c r="F8" s="25">
        <v>2495.5425</v>
      </c>
      <c r="G8" s="26">
        <v>2.1138578575125799</v>
      </c>
      <c r="H8" s="27">
        <v>5.4330000000000003E-2</v>
      </c>
      <c r="I8" s="29"/>
    </row>
    <row r="9" spans="1:11" x14ac:dyDescent="0.2">
      <c r="B9" s="24" t="s">
        <v>99</v>
      </c>
      <c r="C9" s="24" t="s">
        <v>100</v>
      </c>
      <c r="D9" s="24" t="s">
        <v>86</v>
      </c>
      <c r="E9" s="28">
        <v>2000000</v>
      </c>
      <c r="F9" s="25">
        <v>1994.434</v>
      </c>
      <c r="G9" s="26">
        <v>1.6893921791314901</v>
      </c>
      <c r="H9" s="27">
        <v>5.3612E-2</v>
      </c>
      <c r="I9" s="29"/>
    </row>
    <row r="10" spans="1:11" x14ac:dyDescent="0.2">
      <c r="B10" s="23" t="s">
        <v>56</v>
      </c>
      <c r="C10" s="23"/>
      <c r="D10" s="23"/>
      <c r="E10" s="23"/>
      <c r="F10" s="33">
        <f>SUM(F6:F9)</f>
        <v>6988.0865000000003</v>
      </c>
      <c r="G10" s="34">
        <f>SUM(G6:G9)</f>
        <v>5.9192827038620202</v>
      </c>
      <c r="H10" s="32"/>
      <c r="I10" s="32"/>
    </row>
    <row r="11" spans="1:11" x14ac:dyDescent="0.2">
      <c r="B11" s="35" t="s">
        <v>82</v>
      </c>
      <c r="C11" s="35"/>
      <c r="D11" s="35"/>
      <c r="E11" s="35"/>
      <c r="F11" s="36">
        <f>+F10</f>
        <v>6988.0865000000003</v>
      </c>
      <c r="G11" s="37">
        <f>+G10</f>
        <v>5.9192827038620202</v>
      </c>
      <c r="H11" s="32"/>
      <c r="I11" s="32"/>
    </row>
    <row r="12" spans="1:11" x14ac:dyDescent="0.2">
      <c r="B12" s="23"/>
      <c r="C12" s="24"/>
      <c r="D12" s="24"/>
      <c r="E12" s="24"/>
      <c r="F12" s="25"/>
      <c r="G12" s="26"/>
      <c r="H12" s="27"/>
      <c r="I12" s="27"/>
    </row>
    <row r="13" spans="1:11" x14ac:dyDescent="0.2">
      <c r="B13" s="23" t="s">
        <v>87</v>
      </c>
      <c r="C13" s="23"/>
      <c r="D13" s="23"/>
      <c r="E13" s="23"/>
      <c r="F13" s="30">
        <v>6517.9864473999996</v>
      </c>
      <c r="G13" s="31">
        <v>5.5210828374980503</v>
      </c>
      <c r="H13" s="38">
        <v>5.4149999999999997E-2</v>
      </c>
      <c r="I13" s="38"/>
    </row>
    <row r="14" spans="1:11" x14ac:dyDescent="0.2">
      <c r="B14" s="24"/>
      <c r="C14" s="24"/>
      <c r="D14" s="24"/>
      <c r="E14" s="24"/>
      <c r="F14" s="25"/>
      <c r="G14" s="26"/>
      <c r="H14" s="27"/>
      <c r="I14" s="27"/>
    </row>
    <row r="15" spans="1:11" x14ac:dyDescent="0.2">
      <c r="B15" s="23" t="s">
        <v>101</v>
      </c>
      <c r="C15" s="24"/>
      <c r="D15" s="24"/>
      <c r="E15" s="24"/>
      <c r="F15" s="25"/>
      <c r="G15" s="26"/>
      <c r="H15" s="27"/>
      <c r="I15" s="27"/>
    </row>
    <row r="16" spans="1:11" x14ac:dyDescent="0.2">
      <c r="B16" s="24" t="s">
        <v>102</v>
      </c>
      <c r="C16" s="24"/>
      <c r="D16" s="24"/>
      <c r="E16" s="24"/>
      <c r="F16" s="25">
        <v>53623.208333299997</v>
      </c>
      <c r="G16" s="26">
        <v>45.421723044340098</v>
      </c>
      <c r="H16" s="27">
        <v>5.6000000000000001E-2</v>
      </c>
      <c r="I16" s="27"/>
    </row>
    <row r="17" spans="2:9" x14ac:dyDescent="0.2">
      <c r="B17" s="24" t="s">
        <v>102</v>
      </c>
      <c r="C17" s="24"/>
      <c r="D17" s="24"/>
      <c r="E17" s="24"/>
      <c r="F17" s="25">
        <v>27648.443749999999</v>
      </c>
      <c r="G17" s="26">
        <v>23.419709369378399</v>
      </c>
      <c r="H17" s="27">
        <v>5.6500000000000002E-2</v>
      </c>
      <c r="I17" s="27"/>
    </row>
    <row r="18" spans="2:9" x14ac:dyDescent="0.2">
      <c r="B18" s="24" t="s">
        <v>102</v>
      </c>
      <c r="C18" s="24"/>
      <c r="D18" s="24"/>
      <c r="E18" s="24"/>
      <c r="F18" s="25">
        <v>9668.5300000000007</v>
      </c>
      <c r="G18" s="26">
        <v>8.1897615893522495</v>
      </c>
      <c r="H18" s="27">
        <v>5.6500000000000002E-2</v>
      </c>
      <c r="I18" s="27"/>
    </row>
    <row r="19" spans="2:9" x14ac:dyDescent="0.2">
      <c r="B19" s="24" t="s">
        <v>102</v>
      </c>
      <c r="C19" s="24"/>
      <c r="D19" s="24"/>
      <c r="E19" s="24"/>
      <c r="F19" s="25">
        <v>9636.2537499999999</v>
      </c>
      <c r="G19" s="26">
        <v>8.1624218807824498</v>
      </c>
      <c r="H19" s="27">
        <v>5.6500000000000002E-2</v>
      </c>
      <c r="I19" s="27"/>
    </row>
    <row r="20" spans="2:9" x14ac:dyDescent="0.2">
      <c r="B20" s="24" t="s">
        <v>102</v>
      </c>
      <c r="C20" s="24"/>
      <c r="D20" s="24"/>
      <c r="E20" s="24"/>
      <c r="F20" s="25">
        <v>3960.7355556000002</v>
      </c>
      <c r="G20" s="26">
        <v>3.3549546744784</v>
      </c>
      <c r="H20" s="27">
        <v>5.7000000000000002E-2</v>
      </c>
      <c r="I20" s="27"/>
    </row>
    <row r="21" spans="2:9" x14ac:dyDescent="0.2">
      <c r="B21" s="23" t="s">
        <v>82</v>
      </c>
      <c r="C21" s="23"/>
      <c r="D21" s="23"/>
      <c r="E21" s="23"/>
      <c r="F21" s="30">
        <v>104537.17138889999</v>
      </c>
      <c r="G21" s="31">
        <v>88.548570558331591</v>
      </c>
      <c r="H21" s="27"/>
      <c r="I21" s="27"/>
    </row>
    <row r="22" spans="2:9" x14ac:dyDescent="0.2">
      <c r="B22" s="24"/>
      <c r="C22" s="24"/>
      <c r="D22" s="24"/>
      <c r="E22" s="24"/>
      <c r="F22" s="25"/>
      <c r="G22" s="26"/>
      <c r="H22" s="27"/>
      <c r="I22" s="27"/>
    </row>
    <row r="23" spans="2:9" x14ac:dyDescent="0.2">
      <c r="B23" s="43" t="s">
        <v>89</v>
      </c>
      <c r="C23" s="43"/>
      <c r="D23" s="43"/>
      <c r="E23" s="43"/>
      <c r="F23" s="30">
        <f>F24-(F10+F13+F21)</f>
        <v>13.061632000011741</v>
      </c>
      <c r="G23" s="31">
        <f>G24-(G10+G13+G21)</f>
        <v>1.1063900308343477E-2</v>
      </c>
      <c r="H23" s="32"/>
      <c r="I23" s="32"/>
    </row>
    <row r="24" spans="2:9" x14ac:dyDescent="0.2">
      <c r="B24" s="39" t="s">
        <v>88</v>
      </c>
      <c r="C24" s="39"/>
      <c r="D24" s="39"/>
      <c r="E24" s="39"/>
      <c r="F24" s="40">
        <v>118056.3059683</v>
      </c>
      <c r="G24" s="41">
        <v>100</v>
      </c>
      <c r="H24" s="42"/>
      <c r="I24" s="42"/>
    </row>
    <row r="26" spans="2:9" ht="39.950000000000003" customHeight="1" x14ac:dyDescent="0.2">
      <c r="B26" s="92" t="s">
        <v>92</v>
      </c>
      <c r="C26" s="92"/>
      <c r="D26" s="92"/>
      <c r="E26" s="92"/>
      <c r="F26" s="92"/>
      <c r="G26" s="92"/>
      <c r="H26" s="92"/>
      <c r="I26" s="92"/>
    </row>
    <row r="27" spans="2:9" x14ac:dyDescent="0.2">
      <c r="B27" s="16"/>
    </row>
    <row r="28" spans="2:9" x14ac:dyDescent="0.2">
      <c r="B28" s="16" t="s">
        <v>1322</v>
      </c>
    </row>
    <row r="29" spans="2:9" x14ac:dyDescent="0.2">
      <c r="B29" s="16"/>
      <c r="C29" s="16"/>
      <c r="D29" s="58"/>
      <c r="E29" s="16"/>
    </row>
    <row r="30" spans="2:9" x14ac:dyDescent="0.2">
      <c r="D30" s="59"/>
      <c r="E30" s="59"/>
    </row>
    <row r="34" spans="2:2" x14ac:dyDescent="0.2">
      <c r="B34" s="16"/>
    </row>
    <row r="49" spans="2:2" x14ac:dyDescent="0.2">
      <c r="B49" s="16" t="s">
        <v>1323</v>
      </c>
    </row>
    <row r="50" spans="2:2" x14ac:dyDescent="0.2">
      <c r="B50" s="61" t="s">
        <v>1325</v>
      </c>
    </row>
  </sheetData>
  <mergeCells count="2">
    <mergeCell ref="B1:C1"/>
    <mergeCell ref="B26:I26"/>
  </mergeCells>
  <conditionalFormatting sqref="G1:G3 G5:G25 G27:G65535">
    <cfRule type="cellIs" dxfId="12" priority="2" stopIfTrue="1" operator="between">
      <formula>0.009</formula>
      <formula>-0.009</formula>
    </cfRule>
  </conditionalFormatting>
  <pageMargins left="0.7" right="0.7" top="0.75" bottom="0.75" header="0.3" footer="0.3"/>
  <pageSetup paperSize="9" scale="61" orientation="portrait" r:id="rId1"/>
  <headerFooter>
    <oddFooter>&amp;C&amp;1#&amp;"Calibri"&amp;10&amp;K000000RESTRICTED</oddFooter>
    <evenFooter>&amp;LPUBLIC</evenFooter>
    <firstFooter>&amp;LPUBLIC</firstFooter>
  </headerFooter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04407C-326A-4A74-9E06-3AF208349E50}">
  <dimension ref="A1:K115"/>
  <sheetViews>
    <sheetView view="pageBreakPreview" zoomScaleNormal="100" zoomScaleSheetLayoutView="100" workbookViewId="0">
      <selection activeCell="B1" sqref="B1:C1"/>
    </sheetView>
  </sheetViews>
  <sheetFormatPr defaultRowHeight="11.25" x14ac:dyDescent="0.2"/>
  <cols>
    <col min="1" max="1" width="7.28515625" style="6" customWidth="1"/>
    <col min="2" max="2" width="59.5703125" style="6" bestFit="1" customWidth="1"/>
    <col min="3" max="3" width="11.85546875" style="6" bestFit="1" customWidth="1"/>
    <col min="4" max="5" width="15" style="6" bestFit="1" customWidth="1"/>
    <col min="6" max="6" width="14.85546875" style="8" bestFit="1" customWidth="1"/>
    <col min="7" max="7" width="7.28515625" style="14" bestFit="1" customWidth="1"/>
    <col min="8" max="8" width="7.42578125" style="11" bestFit="1" customWidth="1"/>
    <col min="9" max="9" width="11.42578125" style="11" bestFit="1" customWidth="1"/>
    <col min="10" max="10" width="25.7109375" style="6" customWidth="1"/>
    <col min="11" max="16384" width="9.140625" style="6"/>
  </cols>
  <sheetData>
    <row r="1" spans="1:11" s="1" customFormat="1" ht="16.899999999999999" customHeight="1" x14ac:dyDescent="0.2">
      <c r="B1" s="90" t="s">
        <v>11</v>
      </c>
      <c r="C1" s="91"/>
      <c r="D1" s="10"/>
      <c r="F1" s="5"/>
      <c r="G1" s="14"/>
      <c r="H1" s="11"/>
      <c r="I1" s="12"/>
    </row>
    <row r="2" spans="1:11" s="1" customFormat="1" ht="15" x14ac:dyDescent="0.25">
      <c r="A2" s="57" t="str">
        <f>HYPERLINK("[JioBlackRock Mutual Fund-Monthly-Portfolio-31-10-2025.xlsx]index!A1","")</f>
        <v/>
      </c>
      <c r="F2" s="5"/>
      <c r="G2" s="14"/>
      <c r="H2" s="11"/>
      <c r="I2" s="12"/>
    </row>
    <row r="3" spans="1:11" s="1" customFormat="1" ht="12" x14ac:dyDescent="0.2">
      <c r="B3" s="7" t="s">
        <v>1336</v>
      </c>
      <c r="C3" s="2"/>
      <c r="D3" s="3"/>
      <c r="E3" s="3"/>
      <c r="F3" s="4"/>
      <c r="G3" s="14"/>
      <c r="H3" s="11"/>
      <c r="I3" s="12"/>
    </row>
    <row r="4" spans="1:11" s="1" customFormat="1" ht="25.5" customHeight="1" x14ac:dyDescent="0.2">
      <c r="B4" s="18" t="s">
        <v>7</v>
      </c>
      <c r="C4" s="18" t="s">
        <v>8</v>
      </c>
      <c r="D4" s="19" t="s">
        <v>90</v>
      </c>
      <c r="E4" s="19" t="s">
        <v>0</v>
      </c>
      <c r="F4" s="20" t="s">
        <v>4</v>
      </c>
      <c r="G4" s="21" t="s">
        <v>5</v>
      </c>
      <c r="H4" s="22" t="s">
        <v>6</v>
      </c>
      <c r="I4" s="22" t="s">
        <v>18</v>
      </c>
      <c r="J4" s="13"/>
      <c r="K4" s="9"/>
    </row>
    <row r="5" spans="1:11" x14ac:dyDescent="0.2">
      <c r="B5" s="23" t="s">
        <v>103</v>
      </c>
      <c r="C5" s="24"/>
      <c r="D5" s="24"/>
      <c r="E5" s="24"/>
      <c r="F5" s="25"/>
      <c r="G5" s="26"/>
      <c r="H5" s="27"/>
      <c r="I5" s="27"/>
    </row>
    <row r="6" spans="1:11" x14ac:dyDescent="0.2">
      <c r="B6" s="23" t="s">
        <v>104</v>
      </c>
      <c r="C6" s="24"/>
      <c r="D6" s="24"/>
      <c r="E6" s="24"/>
      <c r="F6" s="25"/>
      <c r="G6" s="26"/>
      <c r="H6" s="27"/>
      <c r="I6" s="27"/>
    </row>
    <row r="7" spans="1:11" x14ac:dyDescent="0.2">
      <c r="B7" s="24" t="s">
        <v>105</v>
      </c>
      <c r="C7" s="24" t="s">
        <v>106</v>
      </c>
      <c r="D7" s="24" t="s">
        <v>107</v>
      </c>
      <c r="E7" s="28">
        <v>50</v>
      </c>
      <c r="F7" s="25">
        <v>500.447</v>
      </c>
      <c r="G7" s="26">
        <v>8.2940030263261702E-2</v>
      </c>
      <c r="H7" s="27">
        <v>6.1605E-2</v>
      </c>
      <c r="I7" s="29"/>
    </row>
    <row r="8" spans="1:11" x14ac:dyDescent="0.2">
      <c r="B8" s="23" t="s">
        <v>56</v>
      </c>
      <c r="C8" s="23"/>
      <c r="D8" s="23"/>
      <c r="E8" s="23"/>
      <c r="F8" s="33">
        <f>SUM(F6:F7)</f>
        <v>500.447</v>
      </c>
      <c r="G8" s="34">
        <f>SUM(G6:G7)</f>
        <v>8.2940030263261702E-2</v>
      </c>
      <c r="H8" s="32"/>
      <c r="I8" s="32"/>
    </row>
    <row r="9" spans="1:11" x14ac:dyDescent="0.2">
      <c r="B9" s="35" t="s">
        <v>108</v>
      </c>
      <c r="C9" s="44"/>
      <c r="D9" s="44"/>
      <c r="E9" s="44"/>
      <c r="F9" s="45"/>
      <c r="G9" s="46"/>
      <c r="H9" s="27"/>
      <c r="I9" s="27"/>
    </row>
    <row r="10" spans="1:11" x14ac:dyDescent="0.2">
      <c r="B10" s="23" t="s">
        <v>56</v>
      </c>
      <c r="C10" s="23"/>
      <c r="D10" s="23"/>
      <c r="E10" s="23"/>
      <c r="F10" s="47" t="s">
        <v>109</v>
      </c>
      <c r="G10" s="48" t="s">
        <v>109</v>
      </c>
      <c r="H10" s="32"/>
      <c r="I10" s="32"/>
    </row>
    <row r="11" spans="1:11" x14ac:dyDescent="0.2">
      <c r="B11" s="35" t="s">
        <v>82</v>
      </c>
      <c r="C11" s="35"/>
      <c r="D11" s="35"/>
      <c r="E11" s="35"/>
      <c r="F11" s="49">
        <f>F8</f>
        <v>500.447</v>
      </c>
      <c r="G11" s="50">
        <f>G8</f>
        <v>8.2940030263261702E-2</v>
      </c>
      <c r="H11" s="32"/>
      <c r="I11" s="32"/>
    </row>
    <row r="12" spans="1:11" x14ac:dyDescent="0.2">
      <c r="B12" s="23" t="s">
        <v>19</v>
      </c>
      <c r="C12" s="24"/>
      <c r="D12" s="24"/>
      <c r="E12" s="24"/>
      <c r="F12" s="25"/>
      <c r="G12" s="26"/>
      <c r="H12" s="27"/>
      <c r="I12" s="27"/>
    </row>
    <row r="13" spans="1:11" x14ac:dyDescent="0.2">
      <c r="B13" s="23" t="s">
        <v>20</v>
      </c>
      <c r="C13" s="24"/>
      <c r="D13" s="24"/>
      <c r="E13" s="24"/>
      <c r="F13" s="25"/>
      <c r="G13" s="26"/>
      <c r="H13" s="27"/>
      <c r="I13" s="27"/>
    </row>
    <row r="14" spans="1:11" x14ac:dyDescent="0.2">
      <c r="B14" s="24" t="s">
        <v>110</v>
      </c>
      <c r="C14" s="24" t="s">
        <v>111</v>
      </c>
      <c r="D14" s="24" t="s">
        <v>23</v>
      </c>
      <c r="E14" s="28">
        <v>4000</v>
      </c>
      <c r="F14" s="25">
        <v>19848.439999999999</v>
      </c>
      <c r="G14" s="26">
        <v>3.2895195980364198</v>
      </c>
      <c r="H14" s="27">
        <v>5.9299999999999999E-2</v>
      </c>
      <c r="I14" s="29"/>
    </row>
    <row r="15" spans="1:11" x14ac:dyDescent="0.2">
      <c r="B15" s="24" t="s">
        <v>112</v>
      </c>
      <c r="C15" s="24" t="s">
        <v>113</v>
      </c>
      <c r="D15" s="24" t="s">
        <v>23</v>
      </c>
      <c r="E15" s="28">
        <v>4000</v>
      </c>
      <c r="F15" s="25">
        <v>19836.62</v>
      </c>
      <c r="G15" s="26">
        <v>3.2875606470232102</v>
      </c>
      <c r="H15" s="27">
        <v>5.8950000000000002E-2</v>
      </c>
      <c r="I15" s="29"/>
    </row>
    <row r="16" spans="1:11" x14ac:dyDescent="0.2">
      <c r="B16" s="24" t="s">
        <v>114</v>
      </c>
      <c r="C16" s="24" t="s">
        <v>115</v>
      </c>
      <c r="D16" s="24" t="s">
        <v>23</v>
      </c>
      <c r="E16" s="28">
        <v>4000</v>
      </c>
      <c r="F16" s="25">
        <v>19835.86</v>
      </c>
      <c r="G16" s="26">
        <v>3.2874346907820899</v>
      </c>
      <c r="H16" s="27">
        <v>5.9226000000000001E-2</v>
      </c>
      <c r="I16" s="29"/>
    </row>
    <row r="17" spans="2:9" x14ac:dyDescent="0.2">
      <c r="B17" s="24" t="s">
        <v>116</v>
      </c>
      <c r="C17" s="24" t="s">
        <v>117</v>
      </c>
      <c r="D17" s="24" t="s">
        <v>23</v>
      </c>
      <c r="E17" s="28">
        <v>4000</v>
      </c>
      <c r="F17" s="25">
        <v>19809.16</v>
      </c>
      <c r="G17" s="26">
        <v>3.2830096491532399</v>
      </c>
      <c r="H17" s="27">
        <v>5.96E-2</v>
      </c>
      <c r="I17" s="29"/>
    </row>
    <row r="18" spans="2:9" x14ac:dyDescent="0.2">
      <c r="B18" s="24" t="s">
        <v>118</v>
      </c>
      <c r="C18" s="24" t="s">
        <v>119</v>
      </c>
      <c r="D18" s="24" t="s">
        <v>23</v>
      </c>
      <c r="E18" s="28">
        <v>3000</v>
      </c>
      <c r="F18" s="25">
        <v>14900.834999999999</v>
      </c>
      <c r="G18" s="26">
        <v>2.4695436396818602</v>
      </c>
      <c r="H18" s="27">
        <v>5.9246E-2</v>
      </c>
      <c r="I18" s="29"/>
    </row>
    <row r="19" spans="2:9" x14ac:dyDescent="0.2">
      <c r="B19" s="24" t="s">
        <v>120</v>
      </c>
      <c r="C19" s="24" t="s">
        <v>121</v>
      </c>
      <c r="D19" s="24" t="s">
        <v>23</v>
      </c>
      <c r="E19" s="28">
        <v>3000</v>
      </c>
      <c r="F19" s="25">
        <v>14887.665000000001</v>
      </c>
      <c r="G19" s="26">
        <v>2.4673609506087599</v>
      </c>
      <c r="H19" s="27">
        <v>5.8597999999999997E-2</v>
      </c>
      <c r="I19" s="29"/>
    </row>
    <row r="20" spans="2:9" x14ac:dyDescent="0.2">
      <c r="B20" s="24" t="s">
        <v>122</v>
      </c>
      <c r="C20" s="24" t="s">
        <v>123</v>
      </c>
      <c r="D20" s="24" t="s">
        <v>23</v>
      </c>
      <c r="E20" s="28">
        <v>2600</v>
      </c>
      <c r="F20" s="25">
        <v>12915.786</v>
      </c>
      <c r="G20" s="26">
        <v>2.1405577048394999</v>
      </c>
      <c r="H20" s="27">
        <v>5.9497000000000001E-2</v>
      </c>
      <c r="I20" s="29"/>
    </row>
    <row r="21" spans="2:9" x14ac:dyDescent="0.2">
      <c r="B21" s="24" t="s">
        <v>124</v>
      </c>
      <c r="C21" s="24" t="s">
        <v>125</v>
      </c>
      <c r="D21" s="24" t="s">
        <v>23</v>
      </c>
      <c r="E21" s="28">
        <v>2500</v>
      </c>
      <c r="F21" s="25">
        <v>12432.137500000001</v>
      </c>
      <c r="G21" s="26">
        <v>2.0604017218347401</v>
      </c>
      <c r="H21" s="27">
        <v>5.8599999999999999E-2</v>
      </c>
      <c r="I21" s="29"/>
    </row>
    <row r="22" spans="2:9" x14ac:dyDescent="0.2">
      <c r="B22" s="24" t="s">
        <v>126</v>
      </c>
      <c r="C22" s="24" t="s">
        <v>127</v>
      </c>
      <c r="D22" s="24" t="s">
        <v>128</v>
      </c>
      <c r="E22" s="28">
        <v>2500</v>
      </c>
      <c r="F22" s="25">
        <v>12406.387500000001</v>
      </c>
      <c r="G22" s="26">
        <v>2.0561341255072998</v>
      </c>
      <c r="H22" s="27">
        <v>5.8597999999999997E-2</v>
      </c>
      <c r="I22" s="29"/>
    </row>
    <row r="23" spans="2:9" x14ac:dyDescent="0.2">
      <c r="B23" s="24" t="s">
        <v>129</v>
      </c>
      <c r="C23" s="24" t="s">
        <v>130</v>
      </c>
      <c r="D23" s="24" t="s">
        <v>23</v>
      </c>
      <c r="E23" s="28">
        <v>2100</v>
      </c>
      <c r="F23" s="25">
        <v>10443.719999999999</v>
      </c>
      <c r="G23" s="26">
        <v>1.73085751909999</v>
      </c>
      <c r="H23" s="27">
        <v>5.9603999999999997E-2</v>
      </c>
      <c r="I23" s="29"/>
    </row>
    <row r="24" spans="2:9" x14ac:dyDescent="0.2">
      <c r="B24" s="24" t="s">
        <v>131</v>
      </c>
      <c r="C24" s="24" t="s">
        <v>132</v>
      </c>
      <c r="D24" s="24" t="s">
        <v>26</v>
      </c>
      <c r="E24" s="28">
        <v>2000</v>
      </c>
      <c r="F24" s="25">
        <v>9948.2000000000007</v>
      </c>
      <c r="G24" s="26">
        <v>1.6487340498893599</v>
      </c>
      <c r="H24" s="27">
        <v>5.9397999999999999E-2</v>
      </c>
      <c r="I24" s="29"/>
    </row>
    <row r="25" spans="2:9" x14ac:dyDescent="0.2">
      <c r="B25" s="24" t="s">
        <v>133</v>
      </c>
      <c r="C25" s="24" t="s">
        <v>134</v>
      </c>
      <c r="D25" s="24" t="s">
        <v>29</v>
      </c>
      <c r="E25" s="28">
        <v>2000</v>
      </c>
      <c r="F25" s="25">
        <v>9946.09</v>
      </c>
      <c r="G25" s="26">
        <v>1.6483843555883499</v>
      </c>
      <c r="H25" s="27">
        <v>5.9950999999999997E-2</v>
      </c>
      <c r="I25" s="29"/>
    </row>
    <row r="26" spans="2:9" x14ac:dyDescent="0.2">
      <c r="B26" s="24" t="s">
        <v>135</v>
      </c>
      <c r="C26" s="24" t="s">
        <v>136</v>
      </c>
      <c r="D26" s="24" t="s">
        <v>23</v>
      </c>
      <c r="E26" s="28">
        <v>2000</v>
      </c>
      <c r="F26" s="25">
        <v>9927.51</v>
      </c>
      <c r="G26" s="26">
        <v>1.64530505695675</v>
      </c>
      <c r="H26" s="27">
        <v>5.9227000000000002E-2</v>
      </c>
      <c r="I26" s="29"/>
    </row>
    <row r="27" spans="2:9" x14ac:dyDescent="0.2">
      <c r="B27" s="24" t="s">
        <v>137</v>
      </c>
      <c r="C27" s="24" t="s">
        <v>138</v>
      </c>
      <c r="D27" s="24" t="s">
        <v>23</v>
      </c>
      <c r="E27" s="28">
        <v>2000</v>
      </c>
      <c r="F27" s="25">
        <v>9926.69</v>
      </c>
      <c r="G27" s="26">
        <v>1.6451691568018501</v>
      </c>
      <c r="H27" s="27">
        <v>5.8598999999999998E-2</v>
      </c>
      <c r="I27" s="29"/>
    </row>
    <row r="28" spans="2:9" x14ac:dyDescent="0.2">
      <c r="B28" s="24" t="s">
        <v>139</v>
      </c>
      <c r="C28" s="24" t="s">
        <v>140</v>
      </c>
      <c r="D28" s="24" t="s">
        <v>23</v>
      </c>
      <c r="E28" s="28">
        <v>2000</v>
      </c>
      <c r="F28" s="25">
        <v>9923.9699999999993</v>
      </c>
      <c r="G28" s="26">
        <v>1.64471836604416</v>
      </c>
      <c r="H28" s="27">
        <v>5.9497000000000001E-2</v>
      </c>
      <c r="I28" s="29"/>
    </row>
    <row r="29" spans="2:9" x14ac:dyDescent="0.2">
      <c r="B29" s="24" t="s">
        <v>141</v>
      </c>
      <c r="C29" s="24" t="s">
        <v>142</v>
      </c>
      <c r="D29" s="24" t="s">
        <v>23</v>
      </c>
      <c r="E29" s="28">
        <v>1500</v>
      </c>
      <c r="F29" s="25">
        <v>7478.4449999999997</v>
      </c>
      <c r="G29" s="26">
        <v>1.2394168705619899</v>
      </c>
      <c r="H29" s="27">
        <v>5.8457000000000002E-2</v>
      </c>
      <c r="I29" s="29"/>
    </row>
    <row r="30" spans="2:9" x14ac:dyDescent="0.2">
      <c r="B30" s="24" t="s">
        <v>143</v>
      </c>
      <c r="C30" s="24" t="s">
        <v>144</v>
      </c>
      <c r="D30" s="24" t="s">
        <v>23</v>
      </c>
      <c r="E30" s="28">
        <v>1500</v>
      </c>
      <c r="F30" s="25">
        <v>7478.4224999999997</v>
      </c>
      <c r="G30" s="26">
        <v>1.2394131415943299</v>
      </c>
      <c r="H30" s="27">
        <v>5.8507000000000003E-2</v>
      </c>
      <c r="I30" s="29"/>
    </row>
    <row r="31" spans="2:9" x14ac:dyDescent="0.2">
      <c r="B31" s="24" t="s">
        <v>145</v>
      </c>
      <c r="C31" s="24" t="s">
        <v>146</v>
      </c>
      <c r="D31" s="24" t="s">
        <v>26</v>
      </c>
      <c r="E31" s="28">
        <v>1500</v>
      </c>
      <c r="F31" s="25">
        <v>7443.7349999999997</v>
      </c>
      <c r="G31" s="26">
        <v>1.2336643164445</v>
      </c>
      <c r="H31" s="27">
        <v>5.8701000000000003E-2</v>
      </c>
      <c r="I31" s="29"/>
    </row>
    <row r="32" spans="2:9" x14ac:dyDescent="0.2">
      <c r="B32" s="24" t="s">
        <v>147</v>
      </c>
      <c r="C32" s="24" t="s">
        <v>148</v>
      </c>
      <c r="D32" s="24" t="s">
        <v>23</v>
      </c>
      <c r="E32" s="28">
        <v>1500</v>
      </c>
      <c r="F32" s="25">
        <v>7434.3525</v>
      </c>
      <c r="G32" s="26">
        <v>1.2321093369283</v>
      </c>
      <c r="H32" s="27">
        <v>5.8601E-2</v>
      </c>
      <c r="I32" s="29"/>
    </row>
    <row r="33" spans="2:9" x14ac:dyDescent="0.2">
      <c r="B33" s="24" t="s">
        <v>149</v>
      </c>
      <c r="C33" s="24" t="s">
        <v>150</v>
      </c>
      <c r="D33" s="24" t="s">
        <v>23</v>
      </c>
      <c r="E33" s="28">
        <v>1000</v>
      </c>
      <c r="F33" s="25">
        <v>4973.45</v>
      </c>
      <c r="G33" s="26">
        <v>0.82425929921214203</v>
      </c>
      <c r="H33" s="27">
        <v>5.9050999999999999E-2</v>
      </c>
      <c r="I33" s="29"/>
    </row>
    <row r="34" spans="2:9" x14ac:dyDescent="0.2">
      <c r="B34" s="24" t="s">
        <v>151</v>
      </c>
      <c r="C34" s="24" t="s">
        <v>152</v>
      </c>
      <c r="D34" s="24" t="s">
        <v>23</v>
      </c>
      <c r="E34" s="28">
        <v>1000</v>
      </c>
      <c r="F34" s="25">
        <v>4972.6499999999996</v>
      </c>
      <c r="G34" s="26">
        <v>0.82412671369517299</v>
      </c>
      <c r="H34" s="27">
        <v>5.9049999999999998E-2</v>
      </c>
      <c r="I34" s="29"/>
    </row>
    <row r="35" spans="2:9" x14ac:dyDescent="0.2">
      <c r="B35" s="24" t="s">
        <v>153</v>
      </c>
      <c r="C35" s="24" t="s">
        <v>154</v>
      </c>
      <c r="D35" s="24" t="s">
        <v>23</v>
      </c>
      <c r="E35" s="28">
        <v>1000</v>
      </c>
      <c r="F35" s="25">
        <v>4972.4399999999996</v>
      </c>
      <c r="G35" s="26">
        <v>0.82409190999696902</v>
      </c>
      <c r="H35" s="27">
        <v>5.9500999999999998E-2</v>
      </c>
      <c r="I35" s="29"/>
    </row>
    <row r="36" spans="2:9" x14ac:dyDescent="0.2">
      <c r="B36" s="24" t="s">
        <v>155</v>
      </c>
      <c r="C36" s="24" t="s">
        <v>156</v>
      </c>
      <c r="D36" s="24" t="s">
        <v>23</v>
      </c>
      <c r="E36" s="28">
        <v>1000</v>
      </c>
      <c r="F36" s="25">
        <v>4962.91</v>
      </c>
      <c r="G36" s="26">
        <v>0.82251248502607499</v>
      </c>
      <c r="H36" s="27">
        <v>5.9304000000000003E-2</v>
      </c>
      <c r="I36" s="29"/>
    </row>
    <row r="37" spans="2:9" x14ac:dyDescent="0.2">
      <c r="B37" s="24" t="s">
        <v>157</v>
      </c>
      <c r="C37" s="24" t="s">
        <v>158</v>
      </c>
      <c r="D37" s="24" t="s">
        <v>23</v>
      </c>
      <c r="E37" s="28">
        <v>1000</v>
      </c>
      <c r="F37" s="25">
        <v>4958.6049999999996</v>
      </c>
      <c r="G37" s="26">
        <v>0.82179900921288596</v>
      </c>
      <c r="H37" s="27">
        <v>5.8597000000000003E-2</v>
      </c>
      <c r="I37" s="29"/>
    </row>
    <row r="38" spans="2:9" x14ac:dyDescent="0.2">
      <c r="B38" s="24" t="s">
        <v>159</v>
      </c>
      <c r="C38" s="24" t="s">
        <v>160</v>
      </c>
      <c r="D38" s="24" t="s">
        <v>23</v>
      </c>
      <c r="E38" s="28">
        <v>500</v>
      </c>
      <c r="F38" s="25">
        <v>2486.8249999999998</v>
      </c>
      <c r="G38" s="26">
        <v>0.41214622279569202</v>
      </c>
      <c r="H38" s="27">
        <v>5.8597999999999997E-2</v>
      </c>
      <c r="I38" s="29"/>
    </row>
    <row r="39" spans="2:9" x14ac:dyDescent="0.2">
      <c r="B39" s="24" t="s">
        <v>161</v>
      </c>
      <c r="C39" s="24" t="s">
        <v>162</v>
      </c>
      <c r="D39" s="24" t="s">
        <v>29</v>
      </c>
      <c r="E39" s="28">
        <v>300</v>
      </c>
      <c r="F39" s="25">
        <v>1496.904</v>
      </c>
      <c r="G39" s="26">
        <v>0.24808473836629599</v>
      </c>
      <c r="H39" s="27">
        <v>5.8084999999999998E-2</v>
      </c>
      <c r="I39" s="29"/>
    </row>
    <row r="40" spans="2:9" x14ac:dyDescent="0.2">
      <c r="B40" s="24" t="s">
        <v>163</v>
      </c>
      <c r="C40" s="24" t="s">
        <v>164</v>
      </c>
      <c r="D40" s="24" t="s">
        <v>23</v>
      </c>
      <c r="E40" s="28">
        <v>200</v>
      </c>
      <c r="F40" s="25">
        <v>991.03899999999999</v>
      </c>
      <c r="G40" s="26">
        <v>0.164246772689361</v>
      </c>
      <c r="H40" s="27">
        <v>6.0005999999999997E-2</v>
      </c>
      <c r="I40" s="29"/>
    </row>
    <row r="41" spans="2:9" x14ac:dyDescent="0.2">
      <c r="B41" s="24" t="s">
        <v>165</v>
      </c>
      <c r="C41" s="24" t="s">
        <v>166</v>
      </c>
      <c r="D41" s="24" t="s">
        <v>23</v>
      </c>
      <c r="E41" s="28">
        <v>100</v>
      </c>
      <c r="F41" s="25">
        <v>497.31599999999997</v>
      </c>
      <c r="G41" s="26">
        <v>8.2421123696224105E-2</v>
      </c>
      <c r="H41" s="27">
        <v>5.9699000000000002E-2</v>
      </c>
      <c r="I41" s="29"/>
    </row>
    <row r="42" spans="2:9" x14ac:dyDescent="0.2">
      <c r="B42" s="23" t="s">
        <v>56</v>
      </c>
      <c r="C42" s="23"/>
      <c r="D42" s="23"/>
      <c r="E42" s="23"/>
      <c r="F42" s="30">
        <f>SUM(F13:F41)</f>
        <v>267136.16500000004</v>
      </c>
      <c r="G42" s="31">
        <f>SUM(G13:G41)</f>
        <v>44.272983172067512</v>
      </c>
      <c r="H42" s="32"/>
      <c r="I42" s="32"/>
    </row>
    <row r="43" spans="2:9" x14ac:dyDescent="0.2">
      <c r="B43" s="23" t="s">
        <v>57</v>
      </c>
      <c r="C43" s="24"/>
      <c r="D43" s="24"/>
      <c r="E43" s="24"/>
      <c r="F43" s="25"/>
      <c r="G43" s="26"/>
      <c r="H43" s="27"/>
      <c r="I43" s="27"/>
    </row>
    <row r="44" spans="2:9" x14ac:dyDescent="0.2">
      <c r="B44" s="24" t="s">
        <v>167</v>
      </c>
      <c r="C44" s="24" t="s">
        <v>168</v>
      </c>
      <c r="D44" s="24" t="s">
        <v>23</v>
      </c>
      <c r="E44" s="28">
        <v>7000</v>
      </c>
      <c r="F44" s="25">
        <v>34640.269999999997</v>
      </c>
      <c r="G44" s="26">
        <v>5.7409976323717702</v>
      </c>
      <c r="H44" s="27">
        <v>6.4248E-2</v>
      </c>
      <c r="I44" s="29"/>
    </row>
    <row r="45" spans="2:9" x14ac:dyDescent="0.2">
      <c r="B45" s="24" t="s">
        <v>169</v>
      </c>
      <c r="C45" s="24" t="s">
        <v>170</v>
      </c>
      <c r="D45" s="24" t="s">
        <v>23</v>
      </c>
      <c r="E45" s="28">
        <v>5000</v>
      </c>
      <c r="F45" s="25">
        <v>24868.65</v>
      </c>
      <c r="G45" s="26">
        <v>4.12152852071541</v>
      </c>
      <c r="H45" s="27">
        <v>6.0250999999999999E-2</v>
      </c>
      <c r="I45" s="29"/>
    </row>
    <row r="46" spans="2:9" x14ac:dyDescent="0.2">
      <c r="B46" s="24" t="s">
        <v>171</v>
      </c>
      <c r="C46" s="24" t="s">
        <v>172</v>
      </c>
      <c r="D46" s="24" t="s">
        <v>23</v>
      </c>
      <c r="E46" s="28">
        <v>3500</v>
      </c>
      <c r="F46" s="25">
        <v>17465.490000000002</v>
      </c>
      <c r="G46" s="26">
        <v>2.8945887759596798</v>
      </c>
      <c r="H46" s="27">
        <v>6.0100000000000001E-2</v>
      </c>
      <c r="I46" s="29"/>
    </row>
    <row r="47" spans="2:9" x14ac:dyDescent="0.2">
      <c r="B47" s="24" t="s">
        <v>173</v>
      </c>
      <c r="C47" s="24" t="s">
        <v>174</v>
      </c>
      <c r="D47" s="24" t="s">
        <v>23</v>
      </c>
      <c r="E47" s="28">
        <v>3500</v>
      </c>
      <c r="F47" s="25">
        <v>17357.8125</v>
      </c>
      <c r="G47" s="26">
        <v>2.87674317970539</v>
      </c>
      <c r="H47" s="27">
        <v>6.4998E-2</v>
      </c>
      <c r="I47" s="29"/>
    </row>
    <row r="48" spans="2:9" x14ac:dyDescent="0.2">
      <c r="B48" s="24" t="s">
        <v>175</v>
      </c>
      <c r="C48" s="24" t="s">
        <v>176</v>
      </c>
      <c r="D48" s="24" t="s">
        <v>23</v>
      </c>
      <c r="E48" s="28">
        <v>3500</v>
      </c>
      <c r="F48" s="25">
        <v>17354.75</v>
      </c>
      <c r="G48" s="26">
        <v>2.8762356257732402</v>
      </c>
      <c r="H48" s="27">
        <v>6.5001000000000003E-2</v>
      </c>
      <c r="I48" s="29"/>
    </row>
    <row r="49" spans="2:9" x14ac:dyDescent="0.2">
      <c r="B49" s="24" t="s">
        <v>177</v>
      </c>
      <c r="C49" s="24" t="s">
        <v>178</v>
      </c>
      <c r="D49" s="24" t="s">
        <v>23</v>
      </c>
      <c r="E49" s="28">
        <v>3000</v>
      </c>
      <c r="F49" s="25">
        <v>14905.245000000001</v>
      </c>
      <c r="G49" s="26">
        <v>2.47027451734415</v>
      </c>
      <c r="H49" s="27">
        <v>5.9496E-2</v>
      </c>
      <c r="I49" s="29"/>
    </row>
    <row r="50" spans="2:9" x14ac:dyDescent="0.2">
      <c r="B50" s="24" t="s">
        <v>179</v>
      </c>
      <c r="C50" s="24" t="s">
        <v>180</v>
      </c>
      <c r="D50" s="24" t="s">
        <v>23</v>
      </c>
      <c r="E50" s="28">
        <v>3000</v>
      </c>
      <c r="F50" s="25">
        <v>14901.855</v>
      </c>
      <c r="G50" s="26">
        <v>2.4697126862159999</v>
      </c>
      <c r="H50" s="27">
        <v>6.0097999999999999E-2</v>
      </c>
      <c r="I50" s="29"/>
    </row>
    <row r="51" spans="2:9" x14ac:dyDescent="0.2">
      <c r="B51" s="24" t="s">
        <v>181</v>
      </c>
      <c r="C51" s="24" t="s">
        <v>182</v>
      </c>
      <c r="D51" s="24" t="s">
        <v>23</v>
      </c>
      <c r="E51" s="28">
        <v>2600</v>
      </c>
      <c r="F51" s="25">
        <v>12867.101000000001</v>
      </c>
      <c r="G51" s="26">
        <v>2.13248904747245</v>
      </c>
      <c r="H51" s="27">
        <v>6.5002000000000004E-2</v>
      </c>
      <c r="I51" s="29"/>
    </row>
    <row r="52" spans="2:9" x14ac:dyDescent="0.2">
      <c r="B52" s="24" t="s">
        <v>183</v>
      </c>
      <c r="C52" s="24" t="s">
        <v>184</v>
      </c>
      <c r="D52" s="24" t="s">
        <v>23</v>
      </c>
      <c r="E52" s="28">
        <v>2000</v>
      </c>
      <c r="F52" s="25">
        <v>9920.99</v>
      </c>
      <c r="G52" s="26">
        <v>1.64422448499345</v>
      </c>
      <c r="H52" s="27">
        <v>6.4600000000000005E-2</v>
      </c>
      <c r="I52" s="29"/>
    </row>
    <row r="53" spans="2:9" x14ac:dyDescent="0.2">
      <c r="B53" s="24" t="s">
        <v>185</v>
      </c>
      <c r="C53" s="24" t="s">
        <v>186</v>
      </c>
      <c r="D53" s="24" t="s">
        <v>23</v>
      </c>
      <c r="E53" s="28">
        <v>1000</v>
      </c>
      <c r="F53" s="25">
        <v>4970.9250000000002</v>
      </c>
      <c r="G53" s="26">
        <v>0.82384082617420895</v>
      </c>
      <c r="H53" s="27">
        <v>6.4699000000000007E-2</v>
      </c>
      <c r="I53" s="29"/>
    </row>
    <row r="54" spans="2:9" x14ac:dyDescent="0.2">
      <c r="B54" s="24" t="s">
        <v>187</v>
      </c>
      <c r="C54" s="24" t="s">
        <v>188</v>
      </c>
      <c r="D54" s="24" t="s">
        <v>23</v>
      </c>
      <c r="E54" s="28">
        <v>1000</v>
      </c>
      <c r="F54" s="25">
        <v>4965.5150000000003</v>
      </c>
      <c r="G54" s="26">
        <v>0.82294421661570505</v>
      </c>
      <c r="H54" s="27">
        <v>6.4996999999999999E-2</v>
      </c>
      <c r="I54" s="29"/>
    </row>
    <row r="55" spans="2:9" x14ac:dyDescent="0.2">
      <c r="B55" s="24" t="s">
        <v>189</v>
      </c>
      <c r="C55" s="24" t="s">
        <v>190</v>
      </c>
      <c r="D55" s="24" t="s">
        <v>23</v>
      </c>
      <c r="E55" s="28">
        <v>1000</v>
      </c>
      <c r="F55" s="25">
        <v>4961.18</v>
      </c>
      <c r="G55" s="26">
        <v>0.82222576884563003</v>
      </c>
      <c r="H55" s="27">
        <v>5.9500999999999998E-2</v>
      </c>
      <c r="I55" s="29"/>
    </row>
    <row r="56" spans="2:9" x14ac:dyDescent="0.2">
      <c r="B56" s="24" t="s">
        <v>191</v>
      </c>
      <c r="C56" s="24" t="s">
        <v>192</v>
      </c>
      <c r="D56" s="24" t="s">
        <v>23</v>
      </c>
      <c r="E56" s="28">
        <v>1000</v>
      </c>
      <c r="F56" s="25">
        <v>4960.12</v>
      </c>
      <c r="G56" s="26">
        <v>0.82205009303564602</v>
      </c>
      <c r="H56" s="27">
        <v>6.3800999999999997E-2</v>
      </c>
      <c r="I56" s="29"/>
    </row>
    <row r="57" spans="2:9" x14ac:dyDescent="0.2">
      <c r="B57" s="24" t="s">
        <v>193</v>
      </c>
      <c r="C57" s="24" t="s">
        <v>194</v>
      </c>
      <c r="D57" s="24" t="s">
        <v>23</v>
      </c>
      <c r="E57" s="28">
        <v>600</v>
      </c>
      <c r="F57" s="25">
        <v>2997.0540000000001</v>
      </c>
      <c r="G57" s="26">
        <v>0.49670744246769299</v>
      </c>
      <c r="H57" s="27">
        <v>5.9797000000000003E-2</v>
      </c>
      <c r="I57" s="29"/>
    </row>
    <row r="58" spans="2:9" x14ac:dyDescent="0.2">
      <c r="B58" s="24" t="s">
        <v>195</v>
      </c>
      <c r="C58" s="24" t="s">
        <v>196</v>
      </c>
      <c r="D58" s="24" t="s">
        <v>23</v>
      </c>
      <c r="E58" s="28">
        <v>100</v>
      </c>
      <c r="F58" s="25">
        <v>499.75450000000001</v>
      </c>
      <c r="G58" s="26">
        <v>8.2825260925135397E-2</v>
      </c>
      <c r="H58" s="27">
        <v>5.9768000000000002E-2</v>
      </c>
      <c r="I58" s="29"/>
    </row>
    <row r="59" spans="2:9" x14ac:dyDescent="0.2">
      <c r="B59" s="23" t="s">
        <v>56</v>
      </c>
      <c r="C59" s="23"/>
      <c r="D59" s="23"/>
      <c r="E59" s="23"/>
      <c r="F59" s="30">
        <f>SUM(F43:F58)</f>
        <v>187636.712</v>
      </c>
      <c r="G59" s="31">
        <f>SUM(G43:G58)</f>
        <v>31.097388078615559</v>
      </c>
      <c r="H59" s="32"/>
      <c r="I59" s="32"/>
    </row>
    <row r="60" spans="2:9" x14ac:dyDescent="0.2">
      <c r="B60" s="23" t="s">
        <v>74</v>
      </c>
      <c r="C60" s="24"/>
      <c r="D60" s="24"/>
      <c r="E60" s="24"/>
      <c r="F60" s="25"/>
      <c r="G60" s="26"/>
      <c r="H60" s="27"/>
      <c r="I60" s="27"/>
    </row>
    <row r="61" spans="2:9" x14ac:dyDescent="0.2">
      <c r="B61" s="24" t="s">
        <v>197</v>
      </c>
      <c r="C61" s="24" t="s">
        <v>198</v>
      </c>
      <c r="D61" s="24" t="s">
        <v>77</v>
      </c>
      <c r="E61" s="28">
        <v>47500000</v>
      </c>
      <c r="F61" s="25">
        <v>47067.464999999997</v>
      </c>
      <c r="G61" s="26">
        <v>7.8005802243094902</v>
      </c>
      <c r="H61" s="27">
        <v>5.4101000000000003E-2</v>
      </c>
      <c r="I61" s="29"/>
    </row>
    <row r="62" spans="2:9" x14ac:dyDescent="0.2">
      <c r="B62" s="24" t="s">
        <v>199</v>
      </c>
      <c r="C62" s="24" t="s">
        <v>200</v>
      </c>
      <c r="D62" s="24" t="s">
        <v>77</v>
      </c>
      <c r="E62" s="28">
        <v>16500000</v>
      </c>
      <c r="F62" s="25">
        <v>16298.815500000001</v>
      </c>
      <c r="G62" s="26">
        <v>2.7012335988133001</v>
      </c>
      <c r="H62" s="27">
        <v>5.4283999999999999E-2</v>
      </c>
      <c r="I62" s="29"/>
    </row>
    <row r="63" spans="2:9" x14ac:dyDescent="0.2">
      <c r="B63" s="24" t="s">
        <v>201</v>
      </c>
      <c r="C63" s="24" t="s">
        <v>202</v>
      </c>
      <c r="D63" s="24" t="s">
        <v>77</v>
      </c>
      <c r="E63" s="28">
        <v>5000000</v>
      </c>
      <c r="F63" s="25">
        <v>4960.335</v>
      </c>
      <c r="G63" s="26">
        <v>0.82208572539333102</v>
      </c>
      <c r="H63" s="27">
        <v>5.4050000000000001E-2</v>
      </c>
      <c r="I63" s="29"/>
    </row>
    <row r="64" spans="2:9" x14ac:dyDescent="0.2">
      <c r="B64" s="24" t="s">
        <v>95</v>
      </c>
      <c r="C64" s="24" t="s">
        <v>96</v>
      </c>
      <c r="D64" s="24" t="s">
        <v>77</v>
      </c>
      <c r="E64" s="28">
        <v>2500000</v>
      </c>
      <c r="F64" s="25">
        <v>2498.11</v>
      </c>
      <c r="G64" s="26">
        <v>0.414016507244437</v>
      </c>
      <c r="H64" s="27">
        <v>5.5230000000000001E-2</v>
      </c>
      <c r="I64" s="29"/>
    </row>
    <row r="65" spans="2:9" x14ac:dyDescent="0.2">
      <c r="B65" s="24" t="s">
        <v>203</v>
      </c>
      <c r="C65" s="24" t="s">
        <v>204</v>
      </c>
      <c r="D65" s="24" t="s">
        <v>77</v>
      </c>
      <c r="E65" s="28">
        <v>2500000</v>
      </c>
      <c r="F65" s="25">
        <v>2493.0425</v>
      </c>
      <c r="G65" s="26">
        <v>0.41317666086038601</v>
      </c>
      <c r="H65" s="27">
        <v>5.3612E-2</v>
      </c>
      <c r="I65" s="29"/>
    </row>
    <row r="66" spans="2:9" x14ac:dyDescent="0.2">
      <c r="B66" s="23" t="s">
        <v>56</v>
      </c>
      <c r="C66" s="23"/>
      <c r="D66" s="23"/>
      <c r="E66" s="23"/>
      <c r="F66" s="33">
        <f>SUM(F60:F65)</f>
        <v>73317.767999999996</v>
      </c>
      <c r="G66" s="34">
        <f>SUM(G60:G65)</f>
        <v>12.151092716620944</v>
      </c>
      <c r="H66" s="32"/>
      <c r="I66" s="32"/>
    </row>
    <row r="67" spans="2:9" x14ac:dyDescent="0.2">
      <c r="B67" s="35" t="s">
        <v>82</v>
      </c>
      <c r="C67" s="35"/>
      <c r="D67" s="35"/>
      <c r="E67" s="35"/>
      <c r="F67" s="36">
        <f>+F42+F59+F66</f>
        <v>528090.64500000002</v>
      </c>
      <c r="G67" s="37">
        <f>+G42+G59+G66</f>
        <v>87.521463967304015</v>
      </c>
      <c r="H67" s="32"/>
      <c r="I67" s="32"/>
    </row>
    <row r="68" spans="2:9" x14ac:dyDescent="0.2">
      <c r="B68" s="23" t="s">
        <v>83</v>
      </c>
      <c r="C68" s="24"/>
      <c r="D68" s="24"/>
      <c r="E68" s="24"/>
      <c r="F68" s="25"/>
      <c r="G68" s="26"/>
      <c r="H68" s="27"/>
      <c r="I68" s="27"/>
    </row>
    <row r="69" spans="2:9" x14ac:dyDescent="0.2">
      <c r="B69" s="24" t="s">
        <v>205</v>
      </c>
      <c r="C69" s="24" t="s">
        <v>206</v>
      </c>
      <c r="D69" s="24" t="s">
        <v>86</v>
      </c>
      <c r="E69" s="28">
        <v>5000000</v>
      </c>
      <c r="F69" s="25">
        <v>5008.3950000000004</v>
      </c>
      <c r="G69" s="26">
        <v>0.83005080032524703</v>
      </c>
      <c r="H69" s="27">
        <v>5.6149999999999999E-2</v>
      </c>
      <c r="I69" s="29"/>
    </row>
    <row r="70" spans="2:9" x14ac:dyDescent="0.2">
      <c r="B70" s="24" t="s">
        <v>207</v>
      </c>
      <c r="C70" s="24" t="s">
        <v>208</v>
      </c>
      <c r="D70" s="24" t="s">
        <v>86</v>
      </c>
      <c r="E70" s="28">
        <v>3500000</v>
      </c>
      <c r="F70" s="25">
        <v>3509.317</v>
      </c>
      <c r="G70" s="26">
        <v>0.58160576081658799</v>
      </c>
      <c r="H70" s="27">
        <v>5.5724999999999997E-2</v>
      </c>
      <c r="I70" s="29"/>
    </row>
    <row r="71" spans="2:9" x14ac:dyDescent="0.2">
      <c r="B71" s="23" t="s">
        <v>82</v>
      </c>
      <c r="C71" s="23"/>
      <c r="D71" s="23"/>
      <c r="E71" s="23"/>
      <c r="F71" s="30">
        <f>SUM(F69:F70)</f>
        <v>8517.7119999999995</v>
      </c>
      <c r="G71" s="31">
        <f>SUM(G69:G70)</f>
        <v>1.411656561141835</v>
      </c>
      <c r="H71" s="32"/>
      <c r="I71" s="32"/>
    </row>
    <row r="72" spans="2:9" x14ac:dyDescent="0.2">
      <c r="B72" s="23"/>
      <c r="C72" s="24"/>
      <c r="D72" s="24"/>
      <c r="E72" s="24"/>
      <c r="F72" s="25"/>
      <c r="G72" s="26"/>
      <c r="H72" s="27"/>
      <c r="I72" s="27"/>
    </row>
    <row r="73" spans="2:9" x14ac:dyDescent="0.2">
      <c r="B73" s="23" t="s">
        <v>87</v>
      </c>
      <c r="C73" s="23"/>
      <c r="D73" s="23"/>
      <c r="E73" s="23"/>
      <c r="F73" s="30">
        <v>38288.431472600001</v>
      </c>
      <c r="G73" s="31">
        <v>6.3456143509108198</v>
      </c>
      <c r="H73" s="38">
        <v>5.4149999999999997E-2</v>
      </c>
      <c r="I73" s="38"/>
    </row>
    <row r="74" spans="2:9" x14ac:dyDescent="0.2">
      <c r="B74" s="24"/>
      <c r="C74" s="24"/>
      <c r="D74" s="24"/>
      <c r="E74" s="24"/>
      <c r="F74" s="25"/>
      <c r="G74" s="26"/>
      <c r="H74" s="27"/>
      <c r="I74" s="27"/>
    </row>
    <row r="75" spans="2:9" x14ac:dyDescent="0.2">
      <c r="B75" s="23" t="s">
        <v>101</v>
      </c>
      <c r="C75" s="24"/>
      <c r="D75" s="24"/>
      <c r="E75" s="24"/>
      <c r="F75" s="25"/>
      <c r="G75" s="26"/>
      <c r="H75" s="27"/>
      <c r="I75" s="27"/>
    </row>
    <row r="76" spans="2:9" x14ac:dyDescent="0.2">
      <c r="B76" s="24" t="s">
        <v>102</v>
      </c>
      <c r="C76" s="24"/>
      <c r="D76" s="24"/>
      <c r="E76" s="24"/>
      <c r="F76" s="25">
        <v>9918.25</v>
      </c>
      <c r="G76" s="26">
        <v>1.64377037959783</v>
      </c>
      <c r="H76" s="27">
        <v>5.6500000000000002E-2</v>
      </c>
      <c r="I76" s="27"/>
    </row>
    <row r="77" spans="2:9" x14ac:dyDescent="0.2">
      <c r="B77" s="24" t="s">
        <v>102</v>
      </c>
      <c r="C77" s="24"/>
      <c r="D77" s="24"/>
      <c r="E77" s="24"/>
      <c r="F77" s="25">
        <v>5131.4333333000004</v>
      </c>
      <c r="G77" s="26">
        <v>0.85044217660973498</v>
      </c>
      <c r="H77" s="27">
        <v>5.6000000000000001E-2</v>
      </c>
      <c r="I77" s="27"/>
    </row>
    <row r="78" spans="2:9" x14ac:dyDescent="0.2">
      <c r="B78" s="24" t="s">
        <v>102</v>
      </c>
      <c r="C78" s="24"/>
      <c r="D78" s="24"/>
      <c r="E78" s="24"/>
      <c r="F78" s="25">
        <v>5099.3616889000004</v>
      </c>
      <c r="G78" s="26">
        <v>0.84512688216870802</v>
      </c>
      <c r="H78" s="27">
        <v>5.6500000000000002E-2</v>
      </c>
      <c r="I78" s="27"/>
    </row>
    <row r="79" spans="2:9" x14ac:dyDescent="0.2">
      <c r="B79" s="24" t="s">
        <v>102</v>
      </c>
      <c r="C79" s="24"/>
      <c r="D79" s="24"/>
      <c r="E79" s="24"/>
      <c r="F79" s="25">
        <v>5031.625</v>
      </c>
      <c r="G79" s="26">
        <v>0.83390075227423499</v>
      </c>
      <c r="H79" s="27">
        <v>5.6500000000000002E-2</v>
      </c>
      <c r="I79" s="27"/>
    </row>
    <row r="80" spans="2:9" x14ac:dyDescent="0.2">
      <c r="B80" s="24" t="s">
        <v>102</v>
      </c>
      <c r="C80" s="24"/>
      <c r="D80" s="24"/>
      <c r="E80" s="24"/>
      <c r="F80" s="25">
        <v>499.62423000000001</v>
      </c>
      <c r="G80" s="26">
        <v>8.2803671031015894E-2</v>
      </c>
      <c r="H80" s="27">
        <v>5.6599999999999998E-2</v>
      </c>
      <c r="I80" s="27"/>
    </row>
    <row r="81" spans="2:9" x14ac:dyDescent="0.2">
      <c r="B81" s="24" t="s">
        <v>102</v>
      </c>
      <c r="C81" s="24"/>
      <c r="D81" s="24"/>
      <c r="E81" s="24"/>
      <c r="F81" s="25">
        <v>499.5604075</v>
      </c>
      <c r="G81" s="26">
        <v>8.2793093607070004E-2</v>
      </c>
      <c r="H81" s="27">
        <v>5.6599999999999998E-2</v>
      </c>
      <c r="I81" s="27"/>
    </row>
    <row r="82" spans="2:9" x14ac:dyDescent="0.2">
      <c r="B82" s="24" t="s">
        <v>102</v>
      </c>
      <c r="C82" s="24"/>
      <c r="D82" s="24"/>
      <c r="E82" s="24"/>
      <c r="F82" s="25">
        <v>499.25118220000002</v>
      </c>
      <c r="G82" s="26">
        <v>8.2741845111744497E-2</v>
      </c>
      <c r="H82" s="27">
        <v>5.6599999999999998E-2</v>
      </c>
      <c r="I82" s="27"/>
    </row>
    <row r="83" spans="2:9" x14ac:dyDescent="0.2">
      <c r="B83" s="24" t="s">
        <v>102</v>
      </c>
      <c r="C83" s="24"/>
      <c r="D83" s="24"/>
      <c r="E83" s="24"/>
      <c r="F83" s="25">
        <v>499.22094440000001</v>
      </c>
      <c r="G83" s="26">
        <v>8.2736833743813201E-2</v>
      </c>
      <c r="H83" s="27">
        <v>5.6599999999999998E-2</v>
      </c>
      <c r="I83" s="27"/>
    </row>
    <row r="84" spans="2:9" x14ac:dyDescent="0.2">
      <c r="B84" s="24" t="s">
        <v>102</v>
      </c>
      <c r="C84" s="24"/>
      <c r="D84" s="24"/>
      <c r="E84" s="24"/>
      <c r="F84" s="25">
        <v>499.10917060000003</v>
      </c>
      <c r="G84" s="26">
        <v>8.2718309259992504E-2</v>
      </c>
      <c r="H84" s="27">
        <v>5.6599999999999998E-2</v>
      </c>
      <c r="I84" s="27"/>
    </row>
    <row r="85" spans="2:9" x14ac:dyDescent="0.2">
      <c r="B85" s="23" t="s">
        <v>82</v>
      </c>
      <c r="C85" s="23"/>
      <c r="D85" s="23"/>
      <c r="E85" s="23"/>
      <c r="F85" s="30">
        <v>27677.435956900004</v>
      </c>
      <c r="G85" s="31">
        <v>4.5870339434041441</v>
      </c>
      <c r="H85" s="27"/>
      <c r="I85" s="27"/>
    </row>
    <row r="86" spans="2:9" x14ac:dyDescent="0.2">
      <c r="B86" s="24"/>
      <c r="C86" s="24"/>
      <c r="D86" s="24"/>
      <c r="E86" s="24"/>
      <c r="F86" s="25"/>
      <c r="G86" s="26"/>
      <c r="H86" s="27"/>
      <c r="I86" s="27"/>
    </row>
    <row r="87" spans="2:9" x14ac:dyDescent="0.2">
      <c r="B87" s="43" t="s">
        <v>89</v>
      </c>
      <c r="C87" s="43"/>
      <c r="D87" s="43"/>
      <c r="E87" s="43"/>
      <c r="F87" s="30">
        <f>F88-(F8+F42+F59+F66+F71+F73+F85)</f>
        <v>309.48265330004506</v>
      </c>
      <c r="G87" s="31">
        <f>G88-(G8+G42+G59+G66+G71+G73+G85)</f>
        <v>5.1291146975898982E-2</v>
      </c>
      <c r="H87" s="32"/>
      <c r="I87" s="32"/>
    </row>
    <row r="88" spans="2:9" x14ac:dyDescent="0.2">
      <c r="B88" s="39" t="s">
        <v>88</v>
      </c>
      <c r="C88" s="39"/>
      <c r="D88" s="39"/>
      <c r="E88" s="39"/>
      <c r="F88" s="40">
        <v>603384.15408280003</v>
      </c>
      <c r="G88" s="41">
        <v>100</v>
      </c>
      <c r="H88" s="42"/>
      <c r="I88" s="42"/>
    </row>
    <row r="90" spans="2:9" x14ac:dyDescent="0.2">
      <c r="B90" s="16" t="s">
        <v>91</v>
      </c>
    </row>
    <row r="91" spans="2:9" ht="39.950000000000003" customHeight="1" x14ac:dyDescent="0.2">
      <c r="B91" s="92" t="s">
        <v>92</v>
      </c>
      <c r="C91" s="92"/>
      <c r="D91" s="92"/>
      <c r="E91" s="92"/>
      <c r="F91" s="92"/>
      <c r="G91" s="92"/>
      <c r="H91" s="92"/>
      <c r="I91" s="92"/>
    </row>
    <row r="93" spans="2:9" x14ac:dyDescent="0.2">
      <c r="B93" s="16" t="s">
        <v>1322</v>
      </c>
    </row>
    <row r="94" spans="2:9" x14ac:dyDescent="0.2">
      <c r="B94" s="16"/>
      <c r="C94" s="16"/>
      <c r="D94" s="58"/>
      <c r="E94" s="16"/>
    </row>
    <row r="95" spans="2:9" x14ac:dyDescent="0.2">
      <c r="D95" s="59"/>
      <c r="E95" s="59"/>
    </row>
    <row r="114" spans="2:2" x14ac:dyDescent="0.2">
      <c r="B114" s="16" t="s">
        <v>1323</v>
      </c>
    </row>
    <row r="115" spans="2:2" x14ac:dyDescent="0.2">
      <c r="B115" s="16" t="s">
        <v>1326</v>
      </c>
    </row>
  </sheetData>
  <mergeCells count="2">
    <mergeCell ref="B1:C1"/>
    <mergeCell ref="B91:I91"/>
  </mergeCells>
  <conditionalFormatting sqref="G1:G3 G5:G90 G92:G65535">
    <cfRule type="cellIs" dxfId="11" priority="2" stopIfTrue="1" operator="between">
      <formula>0.009</formula>
      <formula>-0.009</formula>
    </cfRule>
  </conditionalFormatting>
  <pageMargins left="0.7" right="0.7" top="0.75" bottom="0.75" header="0.3" footer="0.3"/>
  <pageSetup paperSize="9" scale="48" orientation="portrait" r:id="rId1"/>
  <headerFooter>
    <oddFooter>&amp;C&amp;1#&amp;"Calibri"&amp;10&amp;K000000RESTRICTED</oddFooter>
    <evenFooter>&amp;LPUBLIC</evenFooter>
    <firstFooter>&amp;LPUBLIC</firstFooter>
  </headerFooter>
  <colBreaks count="1" manualBreakCount="1">
    <brk id="9" max="98" man="1"/>
  </colBreaks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615470-9721-486E-A0F9-43F7FE9E53E2}">
  <dimension ref="A1:K39"/>
  <sheetViews>
    <sheetView view="pageBreakPreview" zoomScaleNormal="100" zoomScaleSheetLayoutView="100" workbookViewId="0">
      <selection activeCell="B1" sqref="B1:C1"/>
    </sheetView>
  </sheetViews>
  <sheetFormatPr defaultRowHeight="11.25" x14ac:dyDescent="0.2"/>
  <cols>
    <col min="1" max="1" width="7.28515625" style="6" customWidth="1"/>
    <col min="2" max="2" width="59.5703125" style="6" bestFit="1" customWidth="1"/>
    <col min="3" max="3" width="10.85546875" style="6" bestFit="1" customWidth="1"/>
    <col min="4" max="5" width="15" style="6" bestFit="1" customWidth="1"/>
    <col min="6" max="6" width="14.85546875" style="8" bestFit="1" customWidth="1"/>
    <col min="7" max="7" width="7.28515625" style="14" bestFit="1" customWidth="1"/>
    <col min="8" max="8" width="7.42578125" style="11" bestFit="1" customWidth="1"/>
    <col min="9" max="9" width="11.42578125" style="11" bestFit="1" customWidth="1"/>
    <col min="10" max="10" width="25.7109375" style="6" customWidth="1"/>
    <col min="11" max="16384" width="9.140625" style="6"/>
  </cols>
  <sheetData>
    <row r="1" spans="1:11" s="1" customFormat="1" ht="16.899999999999999" customHeight="1" x14ac:dyDescent="0.2">
      <c r="B1" s="90" t="s">
        <v>12</v>
      </c>
      <c r="C1" s="91"/>
      <c r="D1" s="10"/>
      <c r="F1" s="5"/>
      <c r="G1" s="14"/>
      <c r="H1" s="11"/>
      <c r="I1" s="12"/>
    </row>
    <row r="2" spans="1:11" s="1" customFormat="1" ht="15" x14ac:dyDescent="0.25">
      <c r="A2" s="57" t="str">
        <f>HYPERLINK("[JioBlackRock Mutual Fund-Monthly-Portfolio-31-10-2025.xlsx]index!A1","")</f>
        <v/>
      </c>
      <c r="F2" s="5"/>
      <c r="G2" s="14"/>
      <c r="H2" s="11"/>
      <c r="I2" s="12"/>
    </row>
    <row r="3" spans="1:11" s="1" customFormat="1" ht="12" x14ac:dyDescent="0.2">
      <c r="B3" s="7" t="s">
        <v>1336</v>
      </c>
      <c r="C3" s="2"/>
      <c r="D3" s="3"/>
      <c r="E3" s="3"/>
      <c r="F3" s="4"/>
      <c r="G3" s="14"/>
      <c r="H3" s="11"/>
      <c r="I3" s="12"/>
    </row>
    <row r="4" spans="1:11" s="1" customFormat="1" ht="25.5" customHeight="1" x14ac:dyDescent="0.2">
      <c r="B4" s="18" t="s">
        <v>7</v>
      </c>
      <c r="C4" s="18" t="s">
        <v>8</v>
      </c>
      <c r="D4" s="19" t="s">
        <v>90</v>
      </c>
      <c r="E4" s="19" t="s">
        <v>0</v>
      </c>
      <c r="F4" s="20" t="s">
        <v>4</v>
      </c>
      <c r="G4" s="21" t="s">
        <v>5</v>
      </c>
      <c r="H4" s="22" t="s">
        <v>6</v>
      </c>
      <c r="I4" s="22" t="s">
        <v>18</v>
      </c>
      <c r="J4" s="13"/>
      <c r="K4" s="9"/>
    </row>
    <row r="5" spans="1:11" x14ac:dyDescent="0.2">
      <c r="B5" s="23" t="s">
        <v>83</v>
      </c>
      <c r="C5" s="24"/>
      <c r="D5" s="24"/>
      <c r="E5" s="24"/>
      <c r="F5" s="25"/>
      <c r="G5" s="26"/>
      <c r="H5" s="27"/>
      <c r="I5" s="27"/>
    </row>
    <row r="6" spans="1:11" x14ac:dyDescent="0.2">
      <c r="B6" s="24" t="s">
        <v>209</v>
      </c>
      <c r="C6" s="24" t="s">
        <v>210</v>
      </c>
      <c r="D6" s="24" t="s">
        <v>86</v>
      </c>
      <c r="E6" s="28">
        <v>2162000</v>
      </c>
      <c r="F6" s="25">
        <v>2131.2650079999999</v>
      </c>
      <c r="G6" s="26">
        <v>55.498502586690698</v>
      </c>
      <c r="H6" s="27">
        <v>6.6395984780125206E-2</v>
      </c>
      <c r="I6" s="29"/>
    </row>
    <row r="7" spans="1:11" x14ac:dyDescent="0.2">
      <c r="B7" s="24" t="s">
        <v>211</v>
      </c>
      <c r="C7" s="24" t="s">
        <v>212</v>
      </c>
      <c r="D7" s="24" t="s">
        <v>86</v>
      </c>
      <c r="E7" s="28">
        <v>1175000</v>
      </c>
      <c r="F7" s="25">
        <v>1190.9506249999999</v>
      </c>
      <c r="G7" s="26">
        <v>31.0125564367092</v>
      </c>
      <c r="H7" s="27">
        <v>6.6940126592000104E-2</v>
      </c>
      <c r="I7" s="29"/>
    </row>
    <row r="8" spans="1:11" x14ac:dyDescent="0.2">
      <c r="B8" s="24" t="s">
        <v>213</v>
      </c>
      <c r="C8" s="24" t="s">
        <v>214</v>
      </c>
      <c r="D8" s="24" t="s">
        <v>86</v>
      </c>
      <c r="E8" s="28">
        <v>418000</v>
      </c>
      <c r="F8" s="25">
        <v>418.329384</v>
      </c>
      <c r="G8" s="26">
        <v>10.8933681700144</v>
      </c>
      <c r="H8" s="27">
        <v>6.5728986311125004E-2</v>
      </c>
      <c r="I8" s="29"/>
    </row>
    <row r="9" spans="1:11" x14ac:dyDescent="0.2">
      <c r="B9" s="23" t="s">
        <v>82</v>
      </c>
      <c r="C9" s="23"/>
      <c r="D9" s="23"/>
      <c r="E9" s="23"/>
      <c r="F9" s="30">
        <f>SUM(F6:F8)</f>
        <v>3740.5450169999999</v>
      </c>
      <c r="G9" s="31">
        <f>SUM(G6:G8)</f>
        <v>97.404427193414293</v>
      </c>
      <c r="H9" s="32"/>
      <c r="I9" s="32"/>
    </row>
    <row r="10" spans="1:11" x14ac:dyDescent="0.2">
      <c r="B10" s="23"/>
      <c r="C10" s="24"/>
      <c r="D10" s="24"/>
      <c r="E10" s="24"/>
      <c r="F10" s="25"/>
      <c r="G10" s="26"/>
      <c r="H10" s="27"/>
      <c r="I10" s="27"/>
    </row>
    <row r="11" spans="1:11" x14ac:dyDescent="0.2">
      <c r="B11" s="23" t="s">
        <v>87</v>
      </c>
      <c r="C11" s="23"/>
      <c r="D11" s="23"/>
      <c r="E11" s="23"/>
      <c r="F11" s="30">
        <v>52.057492199999999</v>
      </c>
      <c r="G11" s="31">
        <v>1.3555859335529099</v>
      </c>
      <c r="H11" s="38">
        <v>5.4149999999999997E-2</v>
      </c>
      <c r="I11" s="38"/>
    </row>
    <row r="12" spans="1:11" x14ac:dyDescent="0.2">
      <c r="B12" s="24"/>
      <c r="C12" s="24"/>
      <c r="D12" s="24"/>
      <c r="E12" s="24"/>
      <c r="F12" s="25"/>
      <c r="G12" s="26"/>
      <c r="H12" s="27"/>
      <c r="I12" s="27"/>
    </row>
    <row r="13" spans="1:11" x14ac:dyDescent="0.2">
      <c r="B13" s="43" t="s">
        <v>89</v>
      </c>
      <c r="C13" s="43"/>
      <c r="D13" s="43"/>
      <c r="E13" s="43"/>
      <c r="F13" s="30">
        <f>F14-(F9+F11)</f>
        <v>47.618233099999998</v>
      </c>
      <c r="G13" s="31">
        <f>G14-(G9+G11)</f>
        <v>1.239986873032791</v>
      </c>
      <c r="H13" s="32"/>
      <c r="I13" s="32"/>
    </row>
    <row r="14" spans="1:11" x14ac:dyDescent="0.2">
      <c r="B14" s="39" t="s">
        <v>88</v>
      </c>
      <c r="C14" s="39"/>
      <c r="D14" s="39"/>
      <c r="E14" s="39"/>
      <c r="F14" s="40">
        <v>3840.2207423</v>
      </c>
      <c r="G14" s="41">
        <v>100</v>
      </c>
      <c r="H14" s="42"/>
      <c r="I14" s="42"/>
    </row>
    <row r="16" spans="1:11" ht="39.950000000000003" customHeight="1" x14ac:dyDescent="0.2">
      <c r="B16" s="92" t="s">
        <v>92</v>
      </c>
      <c r="C16" s="92"/>
      <c r="D16" s="92"/>
      <c r="E16" s="92"/>
      <c r="F16" s="92"/>
      <c r="G16" s="92"/>
      <c r="H16" s="92"/>
      <c r="I16" s="92"/>
    </row>
    <row r="17" spans="2:9" x14ac:dyDescent="0.2">
      <c r="B17" s="86"/>
      <c r="C17" s="86"/>
      <c r="D17" s="86"/>
      <c r="E17" s="86"/>
      <c r="F17" s="86"/>
      <c r="G17" s="86"/>
      <c r="H17" s="86"/>
      <c r="I17" s="86"/>
    </row>
    <row r="18" spans="2:9" x14ac:dyDescent="0.2">
      <c r="B18" s="86" t="s">
        <v>1342</v>
      </c>
      <c r="C18" s="86"/>
      <c r="D18" s="86"/>
      <c r="E18" s="86"/>
      <c r="F18" s="86"/>
      <c r="G18" s="86"/>
      <c r="H18" s="86"/>
      <c r="I18" s="86"/>
    </row>
    <row r="20" spans="2:9" x14ac:dyDescent="0.2">
      <c r="B20" s="16" t="s">
        <v>94</v>
      </c>
    </row>
    <row r="38" spans="2:2" x14ac:dyDescent="0.2">
      <c r="B38" s="16" t="s">
        <v>1323</v>
      </c>
    </row>
    <row r="39" spans="2:2" x14ac:dyDescent="0.2">
      <c r="B39" s="16" t="s">
        <v>1327</v>
      </c>
    </row>
  </sheetData>
  <mergeCells count="2">
    <mergeCell ref="B1:C1"/>
    <mergeCell ref="B16:I16"/>
  </mergeCells>
  <conditionalFormatting sqref="G1:G3 G5:G15 G19:G65537">
    <cfRule type="cellIs" dxfId="10" priority="2" stopIfTrue="1" operator="between">
      <formula>0.009</formula>
      <formula>-0.009</formula>
    </cfRule>
  </conditionalFormatting>
  <pageMargins left="0.7" right="0.7" top="0.75" bottom="0.75" header="0.3" footer="0.3"/>
  <pageSetup paperSize="9" scale="59" orientation="portrait" r:id="rId1"/>
  <headerFooter>
    <oddFooter>&amp;C&amp;1#&amp;"Calibri"&amp;10&amp;K000000RESTRICTED</oddFooter>
    <evenFooter>&amp;LPUBLIC</evenFooter>
    <firstFooter>&amp;LPUBLIC</firstFooter>
  </headerFooter>
  <colBreaks count="1" manualBreakCount="1">
    <brk id="9" max="23" man="1"/>
  </colBreaks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0EAD4C-8289-48A9-8F6B-1BC833115A44}">
  <dimension ref="A1:J191"/>
  <sheetViews>
    <sheetView view="pageBreakPreview" zoomScaleNormal="100" zoomScaleSheetLayoutView="100" workbookViewId="0">
      <selection activeCell="B1" sqref="B1:C1"/>
    </sheetView>
  </sheetViews>
  <sheetFormatPr defaultRowHeight="11.25" x14ac:dyDescent="0.2"/>
  <cols>
    <col min="1" max="1" width="7.28515625" style="6" customWidth="1"/>
    <col min="2" max="2" width="59.5703125" style="6" bestFit="1" customWidth="1"/>
    <col min="3" max="3" width="11.42578125" style="6" bestFit="1" customWidth="1"/>
    <col min="4" max="4" width="25.5703125" style="6" bestFit="1" customWidth="1"/>
    <col min="5" max="5" width="15" style="6" bestFit="1" customWidth="1"/>
    <col min="6" max="6" width="14.85546875" style="8" bestFit="1" customWidth="1"/>
    <col min="7" max="7" width="7.28515625" style="14" bestFit="1" customWidth="1"/>
    <col min="8" max="8" width="7.42578125" style="11" bestFit="1" customWidth="1"/>
    <col min="9" max="9" width="25.7109375" style="6" customWidth="1"/>
    <col min="10" max="16384" width="9.140625" style="6"/>
  </cols>
  <sheetData>
    <row r="1" spans="1:10" s="1" customFormat="1" ht="16.899999999999999" customHeight="1" x14ac:dyDescent="0.2">
      <c r="B1" s="90" t="s">
        <v>13</v>
      </c>
      <c r="C1" s="91"/>
      <c r="D1" s="10"/>
      <c r="F1" s="5"/>
      <c r="G1" s="14"/>
      <c r="H1" s="12"/>
    </row>
    <row r="2" spans="1:10" s="1" customFormat="1" ht="15" x14ac:dyDescent="0.25">
      <c r="A2" s="57" t="str">
        <f>HYPERLINK("[JioBlackRock Mutual Fund-Monthly-Portfolio-31-10-2025.xlsx]index!A1","")</f>
        <v/>
      </c>
      <c r="F2" s="5"/>
      <c r="G2" s="14"/>
      <c r="H2" s="12"/>
    </row>
    <row r="3" spans="1:10" s="1" customFormat="1" ht="12" x14ac:dyDescent="0.2">
      <c r="B3" s="7" t="s">
        <v>1336</v>
      </c>
      <c r="C3" s="2"/>
      <c r="D3" s="3"/>
      <c r="E3" s="3"/>
      <c r="F3" s="4"/>
      <c r="G3" s="14"/>
      <c r="H3" s="12"/>
    </row>
    <row r="4" spans="1:10" s="1" customFormat="1" ht="25.5" customHeight="1" x14ac:dyDescent="0.2">
      <c r="B4" s="18" t="s">
        <v>7</v>
      </c>
      <c r="C4" s="18" t="s">
        <v>8</v>
      </c>
      <c r="D4" s="19" t="s">
        <v>344</v>
      </c>
      <c r="E4" s="19" t="s">
        <v>0</v>
      </c>
      <c r="F4" s="20" t="s">
        <v>4</v>
      </c>
      <c r="G4" s="21" t="s">
        <v>5</v>
      </c>
      <c r="H4" s="22" t="s">
        <v>6</v>
      </c>
      <c r="I4" s="13"/>
      <c r="J4" s="9"/>
    </row>
    <row r="5" spans="1:10" x14ac:dyDescent="0.2">
      <c r="B5" s="23" t="s">
        <v>215</v>
      </c>
      <c r="C5" s="24"/>
      <c r="D5" s="24"/>
      <c r="E5" s="24"/>
      <c r="F5" s="25"/>
      <c r="G5" s="26"/>
      <c r="H5" s="27"/>
    </row>
    <row r="6" spans="1:10" x14ac:dyDescent="0.2">
      <c r="B6" s="23" t="s">
        <v>104</v>
      </c>
      <c r="C6" s="24"/>
      <c r="D6" s="24"/>
      <c r="E6" s="24"/>
      <c r="F6" s="25"/>
      <c r="G6" s="26"/>
      <c r="H6" s="27"/>
    </row>
    <row r="7" spans="1:10" x14ac:dyDescent="0.2">
      <c r="B7" s="24" t="s">
        <v>216</v>
      </c>
      <c r="C7" s="24" t="s">
        <v>217</v>
      </c>
      <c r="D7" s="24" t="s">
        <v>218</v>
      </c>
      <c r="E7" s="28">
        <v>165164</v>
      </c>
      <c r="F7" s="25">
        <v>1630.664172</v>
      </c>
      <c r="G7" s="26">
        <v>13.0180714617016</v>
      </c>
      <c r="H7" s="27"/>
    </row>
    <row r="8" spans="1:10" x14ac:dyDescent="0.2">
      <c r="B8" s="24" t="s">
        <v>219</v>
      </c>
      <c r="C8" s="24" t="s">
        <v>220</v>
      </c>
      <c r="D8" s="24" t="s">
        <v>221</v>
      </c>
      <c r="E8" s="28">
        <v>73208</v>
      </c>
      <c r="F8" s="25">
        <v>1088.163712</v>
      </c>
      <c r="G8" s="26">
        <v>8.6871308072417204</v>
      </c>
      <c r="H8" s="27"/>
    </row>
    <row r="9" spans="1:10" x14ac:dyDescent="0.2">
      <c r="B9" s="24" t="s">
        <v>222</v>
      </c>
      <c r="C9" s="24" t="s">
        <v>223</v>
      </c>
      <c r="D9" s="24" t="s">
        <v>218</v>
      </c>
      <c r="E9" s="28">
        <v>77169</v>
      </c>
      <c r="F9" s="25">
        <v>1038.1545570000001</v>
      </c>
      <c r="G9" s="26">
        <v>8.2878930213701896</v>
      </c>
      <c r="H9" s="27"/>
    </row>
    <row r="10" spans="1:10" x14ac:dyDescent="0.2">
      <c r="B10" s="24" t="s">
        <v>224</v>
      </c>
      <c r="C10" s="24" t="s">
        <v>225</v>
      </c>
      <c r="D10" s="24" t="s">
        <v>226</v>
      </c>
      <c r="E10" s="28">
        <v>29474</v>
      </c>
      <c r="F10" s="25">
        <v>605.54332999999997</v>
      </c>
      <c r="G10" s="26">
        <v>4.8342304187798</v>
      </c>
      <c r="H10" s="27"/>
    </row>
    <row r="11" spans="1:10" x14ac:dyDescent="0.2">
      <c r="B11" s="24" t="s">
        <v>227</v>
      </c>
      <c r="C11" s="24" t="s">
        <v>228</v>
      </c>
      <c r="D11" s="24" t="s">
        <v>229</v>
      </c>
      <c r="E11" s="28">
        <v>38959</v>
      </c>
      <c r="F11" s="25">
        <v>577.48925699999995</v>
      </c>
      <c r="G11" s="26">
        <v>4.6102665067881201</v>
      </c>
      <c r="H11" s="27"/>
    </row>
    <row r="12" spans="1:10" x14ac:dyDescent="0.2">
      <c r="B12" s="24" t="s">
        <v>230</v>
      </c>
      <c r="C12" s="24" t="s">
        <v>231</v>
      </c>
      <c r="D12" s="24" t="s">
        <v>232</v>
      </c>
      <c r="E12" s="28">
        <v>12700</v>
      </c>
      <c r="F12" s="25">
        <v>511.92430000000002</v>
      </c>
      <c r="G12" s="26">
        <v>4.0868421805134103</v>
      </c>
      <c r="H12" s="27"/>
    </row>
    <row r="13" spans="1:10" x14ac:dyDescent="0.2">
      <c r="B13" s="24" t="s">
        <v>233</v>
      </c>
      <c r="C13" s="24" t="s">
        <v>234</v>
      </c>
      <c r="D13" s="24" t="s">
        <v>235</v>
      </c>
      <c r="E13" s="28">
        <v>104191</v>
      </c>
      <c r="F13" s="25">
        <v>437.96686849999998</v>
      </c>
      <c r="G13" s="26">
        <v>3.4964182631165799</v>
      </c>
      <c r="H13" s="27"/>
    </row>
    <row r="14" spans="1:10" x14ac:dyDescent="0.2">
      <c r="B14" s="24" t="s">
        <v>236</v>
      </c>
      <c r="C14" s="24" t="s">
        <v>237</v>
      </c>
      <c r="D14" s="24" t="s">
        <v>218</v>
      </c>
      <c r="E14" s="28">
        <v>44868</v>
      </c>
      <c r="F14" s="25">
        <v>420.41316</v>
      </c>
      <c r="G14" s="26">
        <v>3.35628184778674</v>
      </c>
      <c r="H14" s="27"/>
    </row>
    <row r="15" spans="1:10" x14ac:dyDescent="0.2">
      <c r="B15" s="24" t="s">
        <v>238</v>
      </c>
      <c r="C15" s="24" t="s">
        <v>239</v>
      </c>
      <c r="D15" s="24" t="s">
        <v>218</v>
      </c>
      <c r="E15" s="28">
        <v>30969</v>
      </c>
      <c r="F15" s="25">
        <v>381.78583200000003</v>
      </c>
      <c r="G15" s="26">
        <v>3.0479085328436399</v>
      </c>
      <c r="H15" s="27"/>
    </row>
    <row r="16" spans="1:10" x14ac:dyDescent="0.2">
      <c r="B16" s="24" t="s">
        <v>240</v>
      </c>
      <c r="C16" s="24" t="s">
        <v>241</v>
      </c>
      <c r="D16" s="24" t="s">
        <v>229</v>
      </c>
      <c r="E16" s="28">
        <v>11044</v>
      </c>
      <c r="F16" s="25">
        <v>337.72552000000002</v>
      </c>
      <c r="G16" s="26">
        <v>2.6961621094599901</v>
      </c>
      <c r="H16" s="27"/>
    </row>
    <row r="17" spans="2:8" x14ac:dyDescent="0.2">
      <c r="B17" s="24" t="s">
        <v>242</v>
      </c>
      <c r="C17" s="24" t="s">
        <v>243</v>
      </c>
      <c r="D17" s="24" t="s">
        <v>218</v>
      </c>
      <c r="E17" s="28">
        <v>15903</v>
      </c>
      <c r="F17" s="25">
        <v>334.31286599999999</v>
      </c>
      <c r="G17" s="26">
        <v>2.6689178893385801</v>
      </c>
      <c r="H17" s="27"/>
    </row>
    <row r="18" spans="2:8" x14ac:dyDescent="0.2">
      <c r="B18" s="24" t="s">
        <v>244</v>
      </c>
      <c r="C18" s="24" t="s">
        <v>245</v>
      </c>
      <c r="D18" s="24" t="s">
        <v>246</v>
      </c>
      <c r="E18" s="28">
        <v>9584</v>
      </c>
      <c r="F18" s="25">
        <v>334.21324800000002</v>
      </c>
      <c r="G18" s="26">
        <v>2.6681226095592501</v>
      </c>
      <c r="H18" s="27"/>
    </row>
    <row r="19" spans="2:8" x14ac:dyDescent="0.2">
      <c r="B19" s="24" t="s">
        <v>247</v>
      </c>
      <c r="C19" s="24" t="s">
        <v>248</v>
      </c>
      <c r="D19" s="24" t="s">
        <v>249</v>
      </c>
      <c r="E19" s="28">
        <v>28772</v>
      </c>
      <c r="F19" s="25">
        <v>300.03441600000002</v>
      </c>
      <c r="G19" s="26">
        <v>2.39526294593656</v>
      </c>
      <c r="H19" s="27"/>
    </row>
    <row r="20" spans="2:8" x14ac:dyDescent="0.2">
      <c r="B20" s="24" t="s">
        <v>250</v>
      </c>
      <c r="C20" s="24" t="s">
        <v>251</v>
      </c>
      <c r="D20" s="24" t="s">
        <v>252</v>
      </c>
      <c r="E20" s="28">
        <v>75300</v>
      </c>
      <c r="F20" s="25">
        <v>239.26575</v>
      </c>
      <c r="G20" s="26">
        <v>1.9101288207107501</v>
      </c>
      <c r="H20" s="27"/>
    </row>
    <row r="21" spans="2:8" x14ac:dyDescent="0.2">
      <c r="B21" s="24" t="s">
        <v>253</v>
      </c>
      <c r="C21" s="24" t="s">
        <v>254</v>
      </c>
      <c r="D21" s="24" t="s">
        <v>235</v>
      </c>
      <c r="E21" s="28">
        <v>9597</v>
      </c>
      <c r="F21" s="25">
        <v>236.614035</v>
      </c>
      <c r="G21" s="26">
        <v>1.8889594003243799</v>
      </c>
      <c r="H21" s="27"/>
    </row>
    <row r="22" spans="2:8" x14ac:dyDescent="0.2">
      <c r="B22" s="24" t="s">
        <v>255</v>
      </c>
      <c r="C22" s="24" t="s">
        <v>256</v>
      </c>
      <c r="D22" s="24" t="s">
        <v>246</v>
      </c>
      <c r="E22" s="28">
        <v>1419</v>
      </c>
      <c r="F22" s="25">
        <v>229.67934</v>
      </c>
      <c r="G22" s="26">
        <v>1.83359769150338</v>
      </c>
      <c r="H22" s="27"/>
    </row>
    <row r="23" spans="2:8" x14ac:dyDescent="0.2">
      <c r="B23" s="24" t="s">
        <v>257</v>
      </c>
      <c r="C23" s="24" t="s">
        <v>258</v>
      </c>
      <c r="D23" s="24" t="s">
        <v>259</v>
      </c>
      <c r="E23" s="28">
        <v>11396</v>
      </c>
      <c r="F23" s="25">
        <v>192.67217199999999</v>
      </c>
      <c r="G23" s="26">
        <v>1.5381585901289201</v>
      </c>
      <c r="H23" s="27"/>
    </row>
    <row r="24" spans="2:8" x14ac:dyDescent="0.2">
      <c r="B24" s="24" t="s">
        <v>260</v>
      </c>
      <c r="C24" s="24" t="s">
        <v>261</v>
      </c>
      <c r="D24" s="24" t="s">
        <v>229</v>
      </c>
      <c r="E24" s="28">
        <v>11457</v>
      </c>
      <c r="F24" s="25">
        <v>176.609655</v>
      </c>
      <c r="G24" s="26">
        <v>1.4099267949185501</v>
      </c>
      <c r="H24" s="27"/>
    </row>
    <row r="25" spans="2:8" x14ac:dyDescent="0.2">
      <c r="B25" s="24" t="s">
        <v>262</v>
      </c>
      <c r="C25" s="24" t="s">
        <v>263</v>
      </c>
      <c r="D25" s="24" t="s">
        <v>264</v>
      </c>
      <c r="E25" s="28">
        <v>51271</v>
      </c>
      <c r="F25" s="25">
        <v>172.75763449999999</v>
      </c>
      <c r="G25" s="26">
        <v>1.3791749828643001</v>
      </c>
      <c r="H25" s="27"/>
    </row>
    <row r="26" spans="2:8" x14ac:dyDescent="0.2">
      <c r="B26" s="24" t="s">
        <v>265</v>
      </c>
      <c r="C26" s="24" t="s">
        <v>266</v>
      </c>
      <c r="D26" s="24" t="s">
        <v>267</v>
      </c>
      <c r="E26" s="28">
        <v>4463</v>
      </c>
      <c r="F26" s="25">
        <v>167.21522100000001</v>
      </c>
      <c r="G26" s="26">
        <v>1.33492826655557</v>
      </c>
      <c r="H26" s="27"/>
    </row>
    <row r="27" spans="2:8" x14ac:dyDescent="0.2">
      <c r="B27" s="24" t="s">
        <v>268</v>
      </c>
      <c r="C27" s="24" t="s">
        <v>269</v>
      </c>
      <c r="D27" s="24" t="s">
        <v>270</v>
      </c>
      <c r="E27" s="28">
        <v>38733</v>
      </c>
      <c r="F27" s="25">
        <v>165.041313</v>
      </c>
      <c r="G27" s="26">
        <v>1.31757331991413</v>
      </c>
      <c r="H27" s="27"/>
    </row>
    <row r="28" spans="2:8" x14ac:dyDescent="0.2">
      <c r="B28" s="24" t="s">
        <v>271</v>
      </c>
      <c r="C28" s="24" t="s">
        <v>272</v>
      </c>
      <c r="D28" s="24" t="s">
        <v>273</v>
      </c>
      <c r="E28" s="28">
        <v>89428</v>
      </c>
      <c r="F28" s="25">
        <v>163.51015520000001</v>
      </c>
      <c r="G28" s="26">
        <v>1.3053496370726201</v>
      </c>
      <c r="H28" s="27"/>
    </row>
    <row r="29" spans="2:8" x14ac:dyDescent="0.2">
      <c r="B29" s="24" t="s">
        <v>274</v>
      </c>
      <c r="C29" s="24" t="s">
        <v>275</v>
      </c>
      <c r="D29" s="24" t="s">
        <v>276</v>
      </c>
      <c r="E29" s="28">
        <v>1284</v>
      </c>
      <c r="F29" s="25">
        <v>153.39948000000001</v>
      </c>
      <c r="G29" s="26">
        <v>1.2246331446520999</v>
      </c>
      <c r="H29" s="27"/>
    </row>
    <row r="30" spans="2:8" x14ac:dyDescent="0.2">
      <c r="B30" s="24" t="s">
        <v>277</v>
      </c>
      <c r="C30" s="24" t="s">
        <v>278</v>
      </c>
      <c r="D30" s="24" t="s">
        <v>264</v>
      </c>
      <c r="E30" s="28">
        <v>48984</v>
      </c>
      <c r="F30" s="25">
        <v>141.14739599999999</v>
      </c>
      <c r="G30" s="26">
        <v>1.1268211562577299</v>
      </c>
      <c r="H30" s="27"/>
    </row>
    <row r="31" spans="2:8" x14ac:dyDescent="0.2">
      <c r="B31" s="24" t="s">
        <v>279</v>
      </c>
      <c r="C31" s="24" t="s">
        <v>280</v>
      </c>
      <c r="D31" s="24" t="s">
        <v>281</v>
      </c>
      <c r="E31" s="28">
        <v>2362</v>
      </c>
      <c r="F31" s="25">
        <v>132.86250000000001</v>
      </c>
      <c r="G31" s="26">
        <v>1.06068039592663</v>
      </c>
      <c r="H31" s="27"/>
    </row>
    <row r="32" spans="2:8" x14ac:dyDescent="0.2">
      <c r="B32" s="24" t="s">
        <v>282</v>
      </c>
      <c r="C32" s="24" t="s">
        <v>283</v>
      </c>
      <c r="D32" s="24" t="s">
        <v>284</v>
      </c>
      <c r="E32" s="28">
        <v>15663</v>
      </c>
      <c r="F32" s="25">
        <v>132.7987455</v>
      </c>
      <c r="G32" s="26">
        <v>1.0601714250108201</v>
      </c>
      <c r="H32" s="27"/>
    </row>
    <row r="33" spans="2:8" x14ac:dyDescent="0.2">
      <c r="B33" s="24" t="s">
        <v>285</v>
      </c>
      <c r="C33" s="24" t="s">
        <v>286</v>
      </c>
      <c r="D33" s="24" t="s">
        <v>249</v>
      </c>
      <c r="E33" s="28">
        <v>6173</v>
      </c>
      <c r="F33" s="25">
        <v>128.91075900000001</v>
      </c>
      <c r="G33" s="26">
        <v>1.02913248580542</v>
      </c>
      <c r="H33" s="27"/>
    </row>
    <row r="34" spans="2:8" x14ac:dyDescent="0.2">
      <c r="B34" s="24" t="s">
        <v>287</v>
      </c>
      <c r="C34" s="24" t="s">
        <v>288</v>
      </c>
      <c r="D34" s="24" t="s">
        <v>267</v>
      </c>
      <c r="E34" s="28">
        <v>4890</v>
      </c>
      <c r="F34" s="25">
        <v>122.77812</v>
      </c>
      <c r="G34" s="26">
        <v>0.98017382581787504</v>
      </c>
      <c r="H34" s="27"/>
    </row>
    <row r="35" spans="2:8" x14ac:dyDescent="0.2">
      <c r="B35" s="24" t="s">
        <v>289</v>
      </c>
      <c r="C35" s="24" t="s">
        <v>290</v>
      </c>
      <c r="D35" s="24" t="s">
        <v>273</v>
      </c>
      <c r="E35" s="28">
        <v>10130</v>
      </c>
      <c r="F35" s="25">
        <v>122.1678</v>
      </c>
      <c r="G35" s="26">
        <v>0.97530146183825805</v>
      </c>
      <c r="H35" s="27"/>
    </row>
    <row r="36" spans="2:8" x14ac:dyDescent="0.2">
      <c r="B36" s="24" t="s">
        <v>291</v>
      </c>
      <c r="C36" s="24" t="s">
        <v>292</v>
      </c>
      <c r="D36" s="24" t="s">
        <v>276</v>
      </c>
      <c r="E36" s="28">
        <v>4132</v>
      </c>
      <c r="F36" s="25">
        <v>119.485044</v>
      </c>
      <c r="G36" s="26">
        <v>0.95388423202356498</v>
      </c>
      <c r="H36" s="27"/>
    </row>
    <row r="37" spans="2:8" x14ac:dyDescent="0.2">
      <c r="B37" s="24" t="s">
        <v>293</v>
      </c>
      <c r="C37" s="24" t="s">
        <v>294</v>
      </c>
      <c r="D37" s="24" t="s">
        <v>295</v>
      </c>
      <c r="E37" s="28">
        <v>7981</v>
      </c>
      <c r="F37" s="25">
        <v>115.84421500000001</v>
      </c>
      <c r="G37" s="26">
        <v>0.92481842379911405</v>
      </c>
      <c r="H37" s="27"/>
    </row>
    <row r="38" spans="2:8" x14ac:dyDescent="0.2">
      <c r="B38" s="24" t="s">
        <v>296</v>
      </c>
      <c r="C38" s="24" t="s">
        <v>297</v>
      </c>
      <c r="D38" s="24" t="s">
        <v>249</v>
      </c>
      <c r="E38" s="28">
        <v>15141</v>
      </c>
      <c r="F38" s="25">
        <v>113.39094900000001</v>
      </c>
      <c r="G38" s="26">
        <v>0.90523328011904403</v>
      </c>
      <c r="H38" s="27"/>
    </row>
    <row r="39" spans="2:8" x14ac:dyDescent="0.2">
      <c r="B39" s="24" t="s">
        <v>298</v>
      </c>
      <c r="C39" s="24" t="s">
        <v>299</v>
      </c>
      <c r="D39" s="24" t="s">
        <v>252</v>
      </c>
      <c r="E39" s="28">
        <v>2400</v>
      </c>
      <c r="F39" s="25">
        <v>112.6632</v>
      </c>
      <c r="G39" s="26">
        <v>0.89942344591108303</v>
      </c>
      <c r="H39" s="27"/>
    </row>
    <row r="40" spans="2:8" x14ac:dyDescent="0.2">
      <c r="B40" s="24" t="s">
        <v>300</v>
      </c>
      <c r="C40" s="24" t="s">
        <v>301</v>
      </c>
      <c r="D40" s="24" t="s">
        <v>249</v>
      </c>
      <c r="E40" s="28">
        <v>35440</v>
      </c>
      <c r="F40" s="25">
        <v>108.72992000000001</v>
      </c>
      <c r="G40" s="26">
        <v>0.86802291537996801</v>
      </c>
      <c r="H40" s="27"/>
    </row>
    <row r="41" spans="2:8" x14ac:dyDescent="0.2">
      <c r="B41" s="24" t="s">
        <v>302</v>
      </c>
      <c r="C41" s="24" t="s">
        <v>303</v>
      </c>
      <c r="D41" s="24" t="s">
        <v>304</v>
      </c>
      <c r="E41" s="28">
        <v>42007</v>
      </c>
      <c r="F41" s="25">
        <v>107.2732759</v>
      </c>
      <c r="G41" s="26">
        <v>0.85639409731081895</v>
      </c>
      <c r="H41" s="27"/>
    </row>
    <row r="42" spans="2:8" x14ac:dyDescent="0.2">
      <c r="B42" s="24" t="s">
        <v>305</v>
      </c>
      <c r="C42" s="24" t="s">
        <v>306</v>
      </c>
      <c r="D42" s="24" t="s">
        <v>246</v>
      </c>
      <c r="E42" s="28">
        <v>1199</v>
      </c>
      <c r="F42" s="25">
        <v>106.621075</v>
      </c>
      <c r="G42" s="26">
        <v>0.85118738579451003</v>
      </c>
      <c r="H42" s="27"/>
    </row>
    <row r="43" spans="2:8" x14ac:dyDescent="0.2">
      <c r="B43" s="24" t="s">
        <v>307</v>
      </c>
      <c r="C43" s="24" t="s">
        <v>308</v>
      </c>
      <c r="D43" s="24" t="s">
        <v>246</v>
      </c>
      <c r="E43" s="28">
        <v>1488</v>
      </c>
      <c r="F43" s="25">
        <v>104.26416</v>
      </c>
      <c r="G43" s="26">
        <v>0.83237144047235001</v>
      </c>
      <c r="H43" s="27"/>
    </row>
    <row r="44" spans="2:8" x14ac:dyDescent="0.2">
      <c r="B44" s="24" t="s">
        <v>309</v>
      </c>
      <c r="C44" s="24" t="s">
        <v>310</v>
      </c>
      <c r="D44" s="24" t="s">
        <v>311</v>
      </c>
      <c r="E44" s="28">
        <v>7754</v>
      </c>
      <c r="F44" s="25">
        <v>98.599863999999997</v>
      </c>
      <c r="G44" s="26">
        <v>0.78715170033555004</v>
      </c>
      <c r="H44" s="27"/>
    </row>
    <row r="45" spans="2:8" x14ac:dyDescent="0.2">
      <c r="B45" s="24" t="s">
        <v>312</v>
      </c>
      <c r="C45" s="24" t="s">
        <v>313</v>
      </c>
      <c r="D45" s="24" t="s">
        <v>229</v>
      </c>
      <c r="E45" s="28">
        <v>6865</v>
      </c>
      <c r="F45" s="25">
        <v>97.785060000000001</v>
      </c>
      <c r="G45" s="26">
        <v>0.78064688047048203</v>
      </c>
      <c r="H45" s="27"/>
    </row>
    <row r="46" spans="2:8" x14ac:dyDescent="0.2">
      <c r="B46" s="24" t="s">
        <v>314</v>
      </c>
      <c r="C46" s="24" t="s">
        <v>315</v>
      </c>
      <c r="D46" s="24" t="s">
        <v>316</v>
      </c>
      <c r="E46" s="28">
        <v>24558</v>
      </c>
      <c r="F46" s="25">
        <v>95.444666999999995</v>
      </c>
      <c r="G46" s="26">
        <v>0.76196283513139895</v>
      </c>
      <c r="H46" s="27"/>
    </row>
    <row r="47" spans="2:8" x14ac:dyDescent="0.2">
      <c r="B47" s="24" t="s">
        <v>317</v>
      </c>
      <c r="C47" s="24" t="s">
        <v>318</v>
      </c>
      <c r="D47" s="24" t="s">
        <v>319</v>
      </c>
      <c r="E47" s="28">
        <v>4852</v>
      </c>
      <c r="F47" s="25">
        <v>94.890563999999998</v>
      </c>
      <c r="G47" s="26">
        <v>0.75753926798924698</v>
      </c>
      <c r="H47" s="27"/>
    </row>
    <row r="48" spans="2:8" x14ac:dyDescent="0.2">
      <c r="B48" s="24" t="s">
        <v>320</v>
      </c>
      <c r="C48" s="24" t="s">
        <v>321</v>
      </c>
      <c r="D48" s="24" t="s">
        <v>246</v>
      </c>
      <c r="E48" s="28">
        <v>22589</v>
      </c>
      <c r="F48" s="25">
        <v>92.614900000000006</v>
      </c>
      <c r="G48" s="26">
        <v>0.73937197328595605</v>
      </c>
      <c r="H48" s="27"/>
    </row>
    <row r="49" spans="2:9" x14ac:dyDescent="0.2">
      <c r="B49" s="24" t="s">
        <v>322</v>
      </c>
      <c r="C49" s="24" t="s">
        <v>323</v>
      </c>
      <c r="D49" s="24" t="s">
        <v>324</v>
      </c>
      <c r="E49" s="28">
        <v>8038</v>
      </c>
      <c r="F49" s="25">
        <v>92.260164000000003</v>
      </c>
      <c r="G49" s="26">
        <v>0.73654001151397797</v>
      </c>
      <c r="H49" s="27"/>
    </row>
    <row r="50" spans="2:9" x14ac:dyDescent="0.2">
      <c r="B50" s="24" t="s">
        <v>325</v>
      </c>
      <c r="C50" s="24" t="s">
        <v>326</v>
      </c>
      <c r="D50" s="24" t="s">
        <v>259</v>
      </c>
      <c r="E50" s="28">
        <v>6082</v>
      </c>
      <c r="F50" s="25">
        <v>91.309066000000001</v>
      </c>
      <c r="G50" s="26">
        <v>0.72894711657970401</v>
      </c>
      <c r="H50" s="27"/>
    </row>
    <row r="51" spans="2:9" x14ac:dyDescent="0.2">
      <c r="B51" s="24" t="s">
        <v>327</v>
      </c>
      <c r="C51" s="24" t="s">
        <v>328</v>
      </c>
      <c r="D51" s="24" t="s">
        <v>319</v>
      </c>
      <c r="E51" s="28">
        <v>11604</v>
      </c>
      <c r="F51" s="25">
        <v>84.923873999999998</v>
      </c>
      <c r="G51" s="26">
        <v>0.67797225174856202</v>
      </c>
      <c r="H51" s="27"/>
    </row>
    <row r="52" spans="2:9" x14ac:dyDescent="0.2">
      <c r="B52" s="24" t="s">
        <v>329</v>
      </c>
      <c r="C52" s="24" t="s">
        <v>330</v>
      </c>
      <c r="D52" s="24" t="s">
        <v>324</v>
      </c>
      <c r="E52" s="28">
        <v>1093</v>
      </c>
      <c r="F52" s="25">
        <v>83.953329999999994</v>
      </c>
      <c r="G52" s="26">
        <v>0.67022411367962498</v>
      </c>
      <c r="H52" s="27"/>
    </row>
    <row r="53" spans="2:9" x14ac:dyDescent="0.2">
      <c r="B53" s="24" t="s">
        <v>331</v>
      </c>
      <c r="C53" s="24" t="s">
        <v>332</v>
      </c>
      <c r="D53" s="24" t="s">
        <v>333</v>
      </c>
      <c r="E53" s="28">
        <v>7043</v>
      </c>
      <c r="F53" s="25">
        <v>82.05095</v>
      </c>
      <c r="G53" s="26">
        <v>0.65503685488498398</v>
      </c>
      <c r="H53" s="27"/>
    </row>
    <row r="54" spans="2:9" x14ac:dyDescent="0.2">
      <c r="B54" s="24" t="s">
        <v>334</v>
      </c>
      <c r="C54" s="24" t="s">
        <v>335</v>
      </c>
      <c r="D54" s="24" t="s">
        <v>259</v>
      </c>
      <c r="E54" s="28">
        <v>6588</v>
      </c>
      <c r="F54" s="25">
        <v>78.897887999999995</v>
      </c>
      <c r="G54" s="26">
        <v>0.62986503401347205</v>
      </c>
      <c r="H54" s="27"/>
    </row>
    <row r="55" spans="2:9" x14ac:dyDescent="0.2">
      <c r="B55" s="24" t="s">
        <v>336</v>
      </c>
      <c r="C55" s="24" t="s">
        <v>337</v>
      </c>
      <c r="D55" s="24" t="s">
        <v>229</v>
      </c>
      <c r="E55" s="28">
        <v>30855</v>
      </c>
      <c r="F55" s="25">
        <v>74.258728500000004</v>
      </c>
      <c r="G55" s="26">
        <v>0.59282925992201096</v>
      </c>
      <c r="H55" s="27"/>
    </row>
    <row r="56" spans="2:9" x14ac:dyDescent="0.2">
      <c r="B56" s="24" t="s">
        <v>338</v>
      </c>
      <c r="C56" s="24" t="s">
        <v>339</v>
      </c>
      <c r="D56" s="24" t="s">
        <v>340</v>
      </c>
      <c r="E56" s="28">
        <v>2817</v>
      </c>
      <c r="F56" s="25">
        <v>69.889769999999999</v>
      </c>
      <c r="G56" s="26">
        <v>0.55795057984624097</v>
      </c>
      <c r="H56" s="27"/>
    </row>
    <row r="57" spans="2:9" x14ac:dyDescent="0.2">
      <c r="B57" s="24" t="s">
        <v>1337</v>
      </c>
      <c r="C57" s="24" t="s">
        <v>341</v>
      </c>
      <c r="D57" s="24" t="s">
        <v>246</v>
      </c>
      <c r="E57" s="28">
        <v>19519</v>
      </c>
      <c r="F57" s="25">
        <v>50.895792499999999</v>
      </c>
      <c r="G57" s="26">
        <v>0.406316073684446</v>
      </c>
      <c r="H57" s="27"/>
    </row>
    <row r="58" spans="2:9" x14ac:dyDescent="0.2">
      <c r="B58" s="23" t="s">
        <v>56</v>
      </c>
      <c r="C58" s="23"/>
      <c r="D58" s="23"/>
      <c r="E58" s="23"/>
      <c r="F58" s="30">
        <f>SUM(F7:F57)</f>
        <v>12751.8677716</v>
      </c>
      <c r="G58" s="31">
        <f>SUM(G7:G57)</f>
        <v>101.80190916763372</v>
      </c>
      <c r="H58" s="32"/>
      <c r="I58" s="16"/>
    </row>
    <row r="59" spans="2:9" x14ac:dyDescent="0.2">
      <c r="B59" s="23" t="s">
        <v>342</v>
      </c>
      <c r="C59" s="23"/>
      <c r="D59" s="23"/>
      <c r="E59" s="23"/>
      <c r="F59" s="51" t="s">
        <v>343</v>
      </c>
      <c r="G59" s="52" t="s">
        <v>343</v>
      </c>
      <c r="H59" s="32"/>
      <c r="I59" s="16"/>
    </row>
    <row r="60" spans="2:9" x14ac:dyDescent="0.2">
      <c r="B60" s="23" t="s">
        <v>56</v>
      </c>
      <c r="C60" s="23"/>
      <c r="D60" s="23"/>
      <c r="E60" s="23"/>
      <c r="F60" s="47" t="s">
        <v>343</v>
      </c>
      <c r="G60" s="48" t="s">
        <v>343</v>
      </c>
      <c r="H60" s="32"/>
      <c r="I60" s="16"/>
    </row>
    <row r="61" spans="2:9" x14ac:dyDescent="0.2">
      <c r="B61" s="35" t="s">
        <v>82</v>
      </c>
      <c r="C61" s="35"/>
      <c r="D61" s="35"/>
      <c r="E61" s="35"/>
      <c r="F61" s="36">
        <f>F58</f>
        <v>12751.8677716</v>
      </c>
      <c r="G61" s="37">
        <f>G58</f>
        <v>101.80190916763372</v>
      </c>
      <c r="H61" s="32"/>
      <c r="I61" s="16"/>
    </row>
    <row r="62" spans="2:9" x14ac:dyDescent="0.2">
      <c r="B62" s="23" t="s">
        <v>87</v>
      </c>
      <c r="C62" s="23"/>
      <c r="D62" s="23"/>
      <c r="E62" s="23"/>
      <c r="F62" s="30">
        <v>303.94706239999999</v>
      </c>
      <c r="G62" s="31">
        <v>2.4264987523730799</v>
      </c>
      <c r="H62" s="38">
        <v>5.4149999999999997E-2</v>
      </c>
      <c r="I62" s="17"/>
    </row>
    <row r="63" spans="2:9" x14ac:dyDescent="0.2">
      <c r="B63" s="24"/>
      <c r="C63" s="24"/>
      <c r="D63" s="24"/>
      <c r="E63" s="24"/>
      <c r="F63" s="25"/>
      <c r="G63" s="26"/>
      <c r="H63" s="27"/>
    </row>
    <row r="64" spans="2:9" x14ac:dyDescent="0.2">
      <c r="B64" s="43" t="s">
        <v>89</v>
      </c>
      <c r="C64" s="43"/>
      <c r="D64" s="43"/>
      <c r="E64" s="43"/>
      <c r="F64" s="30">
        <f>F65-(F58+F62)</f>
        <v>-529.65704790000018</v>
      </c>
      <c r="G64" s="31">
        <f>G65-(G58+G62)</f>
        <v>-4.2284079200068021</v>
      </c>
      <c r="H64" s="32"/>
      <c r="I64" s="16"/>
    </row>
    <row r="65" spans="2:9" x14ac:dyDescent="0.2">
      <c r="B65" s="39" t="s">
        <v>88</v>
      </c>
      <c r="C65" s="39"/>
      <c r="D65" s="39"/>
      <c r="E65" s="39"/>
      <c r="F65" s="40">
        <v>12526.157786100001</v>
      </c>
      <c r="G65" s="41">
        <v>100</v>
      </c>
      <c r="H65" s="42"/>
      <c r="I65" s="16"/>
    </row>
    <row r="67" spans="2:9" x14ac:dyDescent="0.2">
      <c r="B67" s="16" t="s">
        <v>457</v>
      </c>
    </row>
    <row r="69" spans="2:9" x14ac:dyDescent="0.2">
      <c r="B69" s="16" t="s">
        <v>93</v>
      </c>
    </row>
    <row r="71" spans="2:9" x14ac:dyDescent="0.2">
      <c r="B71" s="16" t="s">
        <v>94</v>
      </c>
      <c r="H71" s="6"/>
    </row>
    <row r="72" spans="2:9" x14ac:dyDescent="0.2">
      <c r="H72" s="6"/>
    </row>
    <row r="73" spans="2:9" x14ac:dyDescent="0.2">
      <c r="H73" s="6"/>
    </row>
    <row r="74" spans="2:9" x14ac:dyDescent="0.2">
      <c r="H74" s="6"/>
    </row>
    <row r="75" spans="2:9" x14ac:dyDescent="0.2">
      <c r="H75" s="6"/>
    </row>
    <row r="76" spans="2:9" x14ac:dyDescent="0.2">
      <c r="H76" s="6"/>
    </row>
    <row r="77" spans="2:9" x14ac:dyDescent="0.2">
      <c r="H77" s="6"/>
    </row>
    <row r="78" spans="2:9" x14ac:dyDescent="0.2">
      <c r="H78" s="6"/>
    </row>
    <row r="79" spans="2:9" x14ac:dyDescent="0.2">
      <c r="H79" s="6"/>
    </row>
    <row r="80" spans="2:9" x14ac:dyDescent="0.2">
      <c r="H80" s="6"/>
    </row>
    <row r="81" spans="2:8" x14ac:dyDescent="0.2">
      <c r="H81" s="6"/>
    </row>
    <row r="82" spans="2:8" x14ac:dyDescent="0.2">
      <c r="H82" s="6"/>
    </row>
    <row r="83" spans="2:8" x14ac:dyDescent="0.2">
      <c r="H83" s="6"/>
    </row>
    <row r="84" spans="2:8" x14ac:dyDescent="0.2">
      <c r="H84" s="6"/>
    </row>
    <row r="85" spans="2:8" x14ac:dyDescent="0.2">
      <c r="H85" s="6"/>
    </row>
    <row r="86" spans="2:8" x14ac:dyDescent="0.2">
      <c r="H86" s="6"/>
    </row>
    <row r="87" spans="2:8" x14ac:dyDescent="0.2">
      <c r="H87" s="6"/>
    </row>
    <row r="88" spans="2:8" x14ac:dyDescent="0.2">
      <c r="B88" s="60" t="s">
        <v>1323</v>
      </c>
      <c r="H88" s="6"/>
    </row>
    <row r="89" spans="2:8" x14ac:dyDescent="0.2">
      <c r="B89" s="61" t="s">
        <v>1328</v>
      </c>
      <c r="H89" s="6"/>
    </row>
    <row r="90" spans="2:8" x14ac:dyDescent="0.2">
      <c r="H90" s="6"/>
    </row>
    <row r="91" spans="2:8" x14ac:dyDescent="0.2">
      <c r="H91" s="6"/>
    </row>
    <row r="92" spans="2:8" x14ac:dyDescent="0.2">
      <c r="H92" s="6"/>
    </row>
    <row r="93" spans="2:8" x14ac:dyDescent="0.2">
      <c r="H93" s="6"/>
    </row>
    <row r="94" spans="2:8" x14ac:dyDescent="0.2">
      <c r="H94" s="6"/>
    </row>
    <row r="95" spans="2:8" x14ac:dyDescent="0.2">
      <c r="H95" s="6"/>
    </row>
    <row r="96" spans="2:8" x14ac:dyDescent="0.2">
      <c r="H96" s="6"/>
    </row>
    <row r="97" spans="8:8" x14ac:dyDescent="0.2">
      <c r="H97" s="6"/>
    </row>
    <row r="98" spans="8:8" x14ac:dyDescent="0.2">
      <c r="H98" s="6"/>
    </row>
    <row r="99" spans="8:8" x14ac:dyDescent="0.2">
      <c r="H99" s="6"/>
    </row>
    <row r="100" spans="8:8" x14ac:dyDescent="0.2">
      <c r="H100" s="6"/>
    </row>
    <row r="101" spans="8:8" x14ac:dyDescent="0.2">
      <c r="H101" s="6"/>
    </row>
    <row r="102" spans="8:8" x14ac:dyDescent="0.2">
      <c r="H102" s="6"/>
    </row>
    <row r="103" spans="8:8" x14ac:dyDescent="0.2">
      <c r="H103" s="6"/>
    </row>
    <row r="104" spans="8:8" x14ac:dyDescent="0.2">
      <c r="H104" s="6"/>
    </row>
    <row r="105" spans="8:8" x14ac:dyDescent="0.2">
      <c r="H105" s="6"/>
    </row>
    <row r="106" spans="8:8" x14ac:dyDescent="0.2">
      <c r="H106" s="6"/>
    </row>
    <row r="107" spans="8:8" x14ac:dyDescent="0.2">
      <c r="H107" s="6"/>
    </row>
    <row r="108" spans="8:8" x14ac:dyDescent="0.2">
      <c r="H108" s="6"/>
    </row>
    <row r="109" spans="8:8" x14ac:dyDescent="0.2">
      <c r="H109" s="6"/>
    </row>
    <row r="110" spans="8:8" x14ac:dyDescent="0.2">
      <c r="H110" s="6"/>
    </row>
    <row r="111" spans="8:8" x14ac:dyDescent="0.2">
      <c r="H111" s="6"/>
    </row>
    <row r="112" spans="8:8" x14ac:dyDescent="0.2">
      <c r="H112" s="6"/>
    </row>
    <row r="113" spans="8:8" x14ac:dyDescent="0.2">
      <c r="H113" s="6"/>
    </row>
    <row r="114" spans="8:8" x14ac:dyDescent="0.2">
      <c r="H114" s="6"/>
    </row>
    <row r="115" spans="8:8" x14ac:dyDescent="0.2">
      <c r="H115" s="6"/>
    </row>
    <row r="116" spans="8:8" x14ac:dyDescent="0.2">
      <c r="H116" s="6"/>
    </row>
    <row r="117" spans="8:8" x14ac:dyDescent="0.2">
      <c r="H117" s="6"/>
    </row>
    <row r="118" spans="8:8" x14ac:dyDescent="0.2">
      <c r="H118" s="6"/>
    </row>
    <row r="119" spans="8:8" x14ac:dyDescent="0.2">
      <c r="H119" s="6"/>
    </row>
    <row r="120" spans="8:8" x14ac:dyDescent="0.2">
      <c r="H120" s="6"/>
    </row>
    <row r="121" spans="8:8" x14ac:dyDescent="0.2">
      <c r="H121" s="6"/>
    </row>
    <row r="122" spans="8:8" x14ac:dyDescent="0.2">
      <c r="H122" s="6"/>
    </row>
    <row r="123" spans="8:8" x14ac:dyDescent="0.2">
      <c r="H123" s="6"/>
    </row>
    <row r="124" spans="8:8" x14ac:dyDescent="0.2">
      <c r="H124" s="6"/>
    </row>
    <row r="125" spans="8:8" x14ac:dyDescent="0.2">
      <c r="H125" s="6"/>
    </row>
    <row r="126" spans="8:8" x14ac:dyDescent="0.2">
      <c r="H126" s="6"/>
    </row>
    <row r="127" spans="8:8" x14ac:dyDescent="0.2">
      <c r="H127" s="6"/>
    </row>
    <row r="128" spans="8:8" x14ac:dyDescent="0.2">
      <c r="H128" s="6"/>
    </row>
    <row r="129" spans="8:8" x14ac:dyDescent="0.2">
      <c r="H129" s="6"/>
    </row>
    <row r="130" spans="8:8" x14ac:dyDescent="0.2">
      <c r="H130" s="6"/>
    </row>
    <row r="131" spans="8:8" x14ac:dyDescent="0.2">
      <c r="H131" s="6"/>
    </row>
    <row r="132" spans="8:8" x14ac:dyDescent="0.2">
      <c r="H132" s="6"/>
    </row>
    <row r="133" spans="8:8" x14ac:dyDescent="0.2">
      <c r="H133" s="6"/>
    </row>
    <row r="134" spans="8:8" x14ac:dyDescent="0.2">
      <c r="H134" s="6"/>
    </row>
    <row r="135" spans="8:8" x14ac:dyDescent="0.2">
      <c r="H135" s="6"/>
    </row>
    <row r="136" spans="8:8" x14ac:dyDescent="0.2">
      <c r="H136" s="6"/>
    </row>
    <row r="137" spans="8:8" x14ac:dyDescent="0.2">
      <c r="H137" s="6"/>
    </row>
    <row r="138" spans="8:8" x14ac:dyDescent="0.2">
      <c r="H138" s="6"/>
    </row>
    <row r="139" spans="8:8" x14ac:dyDescent="0.2">
      <c r="H139" s="6"/>
    </row>
    <row r="140" spans="8:8" x14ac:dyDescent="0.2">
      <c r="H140" s="6"/>
    </row>
    <row r="141" spans="8:8" x14ac:dyDescent="0.2">
      <c r="H141" s="6"/>
    </row>
    <row r="142" spans="8:8" x14ac:dyDescent="0.2">
      <c r="H142" s="6"/>
    </row>
    <row r="143" spans="8:8" x14ac:dyDescent="0.2">
      <c r="H143" s="6"/>
    </row>
    <row r="144" spans="8:8" x14ac:dyDescent="0.2">
      <c r="H144" s="6"/>
    </row>
    <row r="145" spans="8:8" x14ac:dyDescent="0.2">
      <c r="H145" s="6"/>
    </row>
    <row r="146" spans="8:8" x14ac:dyDescent="0.2">
      <c r="H146" s="6"/>
    </row>
    <row r="147" spans="8:8" x14ac:dyDescent="0.2">
      <c r="H147" s="6"/>
    </row>
    <row r="148" spans="8:8" x14ac:dyDescent="0.2">
      <c r="H148" s="6"/>
    </row>
    <row r="149" spans="8:8" x14ac:dyDescent="0.2">
      <c r="H149" s="6"/>
    </row>
    <row r="150" spans="8:8" x14ac:dyDescent="0.2">
      <c r="H150" s="6"/>
    </row>
    <row r="151" spans="8:8" x14ac:dyDescent="0.2">
      <c r="H151" s="6"/>
    </row>
    <row r="152" spans="8:8" x14ac:dyDescent="0.2">
      <c r="H152" s="6"/>
    </row>
    <row r="153" spans="8:8" x14ac:dyDescent="0.2">
      <c r="H153" s="6"/>
    </row>
    <row r="154" spans="8:8" x14ac:dyDescent="0.2">
      <c r="H154" s="6"/>
    </row>
    <row r="155" spans="8:8" x14ac:dyDescent="0.2">
      <c r="H155" s="6"/>
    </row>
    <row r="156" spans="8:8" x14ac:dyDescent="0.2">
      <c r="H156" s="6"/>
    </row>
    <row r="157" spans="8:8" x14ac:dyDescent="0.2">
      <c r="H157" s="6"/>
    </row>
    <row r="158" spans="8:8" x14ac:dyDescent="0.2">
      <c r="H158" s="6"/>
    </row>
    <row r="159" spans="8:8" x14ac:dyDescent="0.2">
      <c r="H159" s="6"/>
    </row>
    <row r="160" spans="8:8" x14ac:dyDescent="0.2">
      <c r="H160" s="6"/>
    </row>
    <row r="161" spans="8:8" x14ac:dyDescent="0.2">
      <c r="H161" s="6"/>
    </row>
    <row r="162" spans="8:8" x14ac:dyDescent="0.2">
      <c r="H162" s="6"/>
    </row>
    <row r="163" spans="8:8" x14ac:dyDescent="0.2">
      <c r="H163" s="6"/>
    </row>
    <row r="164" spans="8:8" x14ac:dyDescent="0.2">
      <c r="H164" s="6"/>
    </row>
    <row r="165" spans="8:8" x14ac:dyDescent="0.2">
      <c r="H165" s="6"/>
    </row>
    <row r="166" spans="8:8" x14ac:dyDescent="0.2">
      <c r="H166" s="6"/>
    </row>
    <row r="167" spans="8:8" x14ac:dyDescent="0.2">
      <c r="H167" s="6"/>
    </row>
    <row r="168" spans="8:8" x14ac:dyDescent="0.2">
      <c r="H168" s="6"/>
    </row>
    <row r="169" spans="8:8" x14ac:dyDescent="0.2">
      <c r="H169" s="6"/>
    </row>
    <row r="170" spans="8:8" x14ac:dyDescent="0.2">
      <c r="H170" s="6"/>
    </row>
    <row r="171" spans="8:8" x14ac:dyDescent="0.2">
      <c r="H171" s="6"/>
    </row>
    <row r="172" spans="8:8" x14ac:dyDescent="0.2">
      <c r="H172" s="6"/>
    </row>
    <row r="173" spans="8:8" x14ac:dyDescent="0.2">
      <c r="H173" s="6"/>
    </row>
    <row r="174" spans="8:8" x14ac:dyDescent="0.2">
      <c r="H174" s="6"/>
    </row>
    <row r="175" spans="8:8" x14ac:dyDescent="0.2">
      <c r="H175" s="6"/>
    </row>
    <row r="176" spans="8:8" x14ac:dyDescent="0.2">
      <c r="H176" s="6"/>
    </row>
    <row r="177" spans="8:8" x14ac:dyDescent="0.2">
      <c r="H177" s="6"/>
    </row>
    <row r="178" spans="8:8" x14ac:dyDescent="0.2">
      <c r="H178" s="6"/>
    </row>
    <row r="179" spans="8:8" x14ac:dyDescent="0.2">
      <c r="H179" s="6"/>
    </row>
    <row r="180" spans="8:8" x14ac:dyDescent="0.2">
      <c r="H180" s="6"/>
    </row>
    <row r="181" spans="8:8" x14ac:dyDescent="0.2">
      <c r="H181" s="6"/>
    </row>
    <row r="182" spans="8:8" x14ac:dyDescent="0.2">
      <c r="H182" s="6"/>
    </row>
    <row r="183" spans="8:8" x14ac:dyDescent="0.2">
      <c r="H183" s="6"/>
    </row>
    <row r="184" spans="8:8" x14ac:dyDescent="0.2">
      <c r="H184" s="6"/>
    </row>
    <row r="185" spans="8:8" x14ac:dyDescent="0.2">
      <c r="H185" s="6"/>
    </row>
    <row r="186" spans="8:8" x14ac:dyDescent="0.2">
      <c r="H186" s="6"/>
    </row>
    <row r="187" spans="8:8" x14ac:dyDescent="0.2">
      <c r="H187" s="6"/>
    </row>
    <row r="188" spans="8:8" x14ac:dyDescent="0.2">
      <c r="H188" s="6"/>
    </row>
    <row r="189" spans="8:8" x14ac:dyDescent="0.2">
      <c r="H189" s="6"/>
    </row>
    <row r="190" spans="8:8" x14ac:dyDescent="0.2">
      <c r="H190" s="6"/>
    </row>
    <row r="191" spans="8:8" x14ac:dyDescent="0.2">
      <c r="H191" s="6"/>
    </row>
  </sheetData>
  <mergeCells count="1">
    <mergeCell ref="B1:C1"/>
  </mergeCells>
  <conditionalFormatting sqref="G1:G3">
    <cfRule type="cellIs" dxfId="9" priority="2" stopIfTrue="1" operator="between">
      <formula>0.009</formula>
      <formula>-0.009</formula>
    </cfRule>
  </conditionalFormatting>
  <conditionalFormatting sqref="G5:G65538">
    <cfRule type="cellIs" dxfId="8" priority="1" stopIfTrue="1" operator="between">
      <formula>0.009</formula>
      <formula>-0.009</formula>
    </cfRule>
  </conditionalFormatting>
  <pageMargins left="0.7" right="0.7" top="0.75" bottom="0.75" header="0.3" footer="0.3"/>
  <pageSetup paperSize="9" scale="59" orientation="portrait" r:id="rId1"/>
  <headerFooter>
    <oddFooter>&amp;C&amp;1#&amp;"Calibri"&amp;10&amp;K000000RESTRICTED</oddFooter>
    <evenFooter>&amp;LPUBLIC</evenFooter>
    <firstFooter>&amp;LPUBLIC</firstFooter>
  </headerFooter>
  <colBreaks count="1" manualBreakCount="1">
    <brk id="8" max="73" man="1"/>
  </colBreaks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B494E4-B443-498A-9FF1-D8DE905CD769}">
  <dimension ref="A1:I95"/>
  <sheetViews>
    <sheetView view="pageBreakPreview" zoomScaleNormal="100" zoomScaleSheetLayoutView="100" workbookViewId="0">
      <selection activeCell="B1" sqref="B1:C1"/>
    </sheetView>
  </sheetViews>
  <sheetFormatPr defaultRowHeight="11.25" x14ac:dyDescent="0.2"/>
  <cols>
    <col min="1" max="1" width="7.28515625" style="6" customWidth="1"/>
    <col min="2" max="2" width="59.5703125" style="6" bestFit="1" customWidth="1"/>
    <col min="3" max="3" width="11.140625" style="6" bestFit="1" customWidth="1"/>
    <col min="4" max="4" width="24.28515625" style="6" bestFit="1" customWidth="1"/>
    <col min="5" max="5" width="15" style="6" bestFit="1" customWidth="1"/>
    <col min="6" max="6" width="14.85546875" style="8" bestFit="1" customWidth="1"/>
    <col min="7" max="7" width="7.28515625" style="14" bestFit="1" customWidth="1"/>
    <col min="8" max="8" width="7.42578125" style="6" bestFit="1" customWidth="1"/>
    <col min="9" max="16384" width="9.140625" style="6"/>
  </cols>
  <sheetData>
    <row r="1" spans="1:9" s="1" customFormat="1" ht="16.899999999999999" customHeight="1" x14ac:dyDescent="0.2">
      <c r="B1" s="90" t="s">
        <v>14</v>
      </c>
      <c r="C1" s="91"/>
      <c r="D1" s="10"/>
      <c r="F1" s="5"/>
      <c r="G1" s="14"/>
    </row>
    <row r="2" spans="1:9" s="1" customFormat="1" ht="15" x14ac:dyDescent="0.25">
      <c r="A2" s="57" t="str">
        <f>HYPERLINK("[JioBlackRock Mutual Fund-Monthly-Portfolio-31-10-2025.xlsx]index!A1","")</f>
        <v/>
      </c>
      <c r="F2" s="5"/>
      <c r="G2" s="14"/>
    </row>
    <row r="3" spans="1:9" s="1" customFormat="1" ht="12" x14ac:dyDescent="0.2">
      <c r="B3" s="7" t="s">
        <v>1336</v>
      </c>
      <c r="C3" s="2"/>
      <c r="D3" s="3"/>
      <c r="E3" s="3"/>
      <c r="F3" s="4"/>
      <c r="G3" s="14"/>
    </row>
    <row r="4" spans="1:9" s="1" customFormat="1" ht="25.5" customHeight="1" x14ac:dyDescent="0.2">
      <c r="B4" s="18" t="s">
        <v>7</v>
      </c>
      <c r="C4" s="18" t="s">
        <v>8</v>
      </c>
      <c r="D4" s="19" t="s">
        <v>1338</v>
      </c>
      <c r="E4" s="19" t="s">
        <v>0</v>
      </c>
      <c r="F4" s="20" t="s">
        <v>4</v>
      </c>
      <c r="G4" s="21" t="s">
        <v>5</v>
      </c>
      <c r="H4" s="20" t="s">
        <v>6</v>
      </c>
      <c r="I4" s="9"/>
    </row>
    <row r="5" spans="1:9" x14ac:dyDescent="0.2">
      <c r="B5" s="23" t="s">
        <v>215</v>
      </c>
      <c r="C5" s="24"/>
      <c r="D5" s="24"/>
      <c r="E5" s="24"/>
      <c r="F5" s="25"/>
      <c r="G5" s="26"/>
      <c r="H5" s="24"/>
    </row>
    <row r="6" spans="1:9" x14ac:dyDescent="0.2">
      <c r="B6" s="23" t="s">
        <v>104</v>
      </c>
      <c r="C6" s="24"/>
      <c r="D6" s="24"/>
      <c r="E6" s="24"/>
      <c r="F6" s="25"/>
      <c r="G6" s="26"/>
      <c r="H6" s="24"/>
    </row>
    <row r="7" spans="1:9" x14ac:dyDescent="0.2">
      <c r="B7" s="24" t="s">
        <v>345</v>
      </c>
      <c r="C7" s="24" t="s">
        <v>346</v>
      </c>
      <c r="D7" s="24" t="s">
        <v>270</v>
      </c>
      <c r="E7" s="28">
        <v>9829</v>
      </c>
      <c r="F7" s="25">
        <v>459.97754200000003</v>
      </c>
      <c r="G7" s="26">
        <v>3.8227916127904802</v>
      </c>
      <c r="H7" s="24"/>
    </row>
    <row r="8" spans="1:9" x14ac:dyDescent="0.2">
      <c r="B8" s="24" t="s">
        <v>347</v>
      </c>
      <c r="C8" s="24" t="s">
        <v>348</v>
      </c>
      <c r="D8" s="24" t="s">
        <v>259</v>
      </c>
      <c r="E8" s="28">
        <v>6577</v>
      </c>
      <c r="F8" s="25">
        <v>443.15825999999998</v>
      </c>
      <c r="G8" s="26">
        <v>3.6830095489027701</v>
      </c>
      <c r="H8" s="24"/>
    </row>
    <row r="9" spans="1:9" x14ac:dyDescent="0.2">
      <c r="B9" s="24" t="s">
        <v>349</v>
      </c>
      <c r="C9" s="24" t="s">
        <v>350</v>
      </c>
      <c r="D9" s="24" t="s">
        <v>351</v>
      </c>
      <c r="E9" s="28">
        <v>87833</v>
      </c>
      <c r="F9" s="25">
        <v>433.49977150000001</v>
      </c>
      <c r="G9" s="26">
        <v>3.6027395673086802</v>
      </c>
      <c r="H9" s="24"/>
    </row>
    <row r="10" spans="1:9" x14ac:dyDescent="0.2">
      <c r="B10" s="24" t="s">
        <v>352</v>
      </c>
      <c r="C10" s="24" t="s">
        <v>353</v>
      </c>
      <c r="D10" s="24" t="s">
        <v>246</v>
      </c>
      <c r="E10" s="28">
        <v>12153</v>
      </c>
      <c r="F10" s="25">
        <v>426.41231099999999</v>
      </c>
      <c r="G10" s="26">
        <v>3.54383694254666</v>
      </c>
      <c r="H10" s="24"/>
    </row>
    <row r="11" spans="1:9" x14ac:dyDescent="0.2">
      <c r="B11" s="24" t="s">
        <v>354</v>
      </c>
      <c r="C11" s="24" t="s">
        <v>355</v>
      </c>
      <c r="D11" s="24" t="s">
        <v>249</v>
      </c>
      <c r="E11" s="28">
        <v>21821</v>
      </c>
      <c r="F11" s="25">
        <v>370.25872800000002</v>
      </c>
      <c r="G11" s="26">
        <v>3.07715449281842</v>
      </c>
      <c r="H11" s="24"/>
    </row>
    <row r="12" spans="1:9" x14ac:dyDescent="0.2">
      <c r="B12" s="24" t="s">
        <v>356</v>
      </c>
      <c r="C12" s="24" t="s">
        <v>357</v>
      </c>
      <c r="D12" s="24" t="s">
        <v>221</v>
      </c>
      <c r="E12" s="28">
        <v>100358</v>
      </c>
      <c r="F12" s="25">
        <v>358.07734399999998</v>
      </c>
      <c r="G12" s="26">
        <v>2.9759171750465399</v>
      </c>
      <c r="H12" s="24"/>
    </row>
    <row r="13" spans="1:9" x14ac:dyDescent="0.2">
      <c r="B13" s="24" t="s">
        <v>358</v>
      </c>
      <c r="C13" s="24" t="s">
        <v>359</v>
      </c>
      <c r="D13" s="24" t="s">
        <v>311</v>
      </c>
      <c r="E13" s="28">
        <v>6106</v>
      </c>
      <c r="F13" s="25">
        <v>356.37669</v>
      </c>
      <c r="G13" s="26">
        <v>2.96178334186158</v>
      </c>
      <c r="H13" s="24"/>
    </row>
    <row r="14" spans="1:9" x14ac:dyDescent="0.2">
      <c r="B14" s="24" t="s">
        <v>360</v>
      </c>
      <c r="C14" s="24" t="s">
        <v>361</v>
      </c>
      <c r="D14" s="24" t="s">
        <v>264</v>
      </c>
      <c r="E14" s="28">
        <v>86945</v>
      </c>
      <c r="F14" s="25">
        <v>352.04030499999999</v>
      </c>
      <c r="G14" s="26">
        <v>2.9257444167093798</v>
      </c>
      <c r="H14" s="24"/>
    </row>
    <row r="15" spans="1:9" x14ac:dyDescent="0.2">
      <c r="B15" s="24" t="s">
        <v>362</v>
      </c>
      <c r="C15" s="24" t="s">
        <v>363</v>
      </c>
      <c r="D15" s="24" t="s">
        <v>364</v>
      </c>
      <c r="E15" s="28">
        <v>45477</v>
      </c>
      <c r="F15" s="25">
        <v>337.348386</v>
      </c>
      <c r="G15" s="26">
        <v>2.8036424886787299</v>
      </c>
      <c r="H15" s="24"/>
    </row>
    <row r="16" spans="1:9" x14ac:dyDescent="0.2">
      <c r="B16" s="24" t="s">
        <v>365</v>
      </c>
      <c r="C16" s="24" t="s">
        <v>366</v>
      </c>
      <c r="D16" s="24" t="s">
        <v>367</v>
      </c>
      <c r="E16" s="28">
        <v>70147</v>
      </c>
      <c r="F16" s="25">
        <v>329.44538549999999</v>
      </c>
      <c r="G16" s="26">
        <v>2.7379620558995201</v>
      </c>
      <c r="H16" s="24"/>
    </row>
    <row r="17" spans="2:8" x14ac:dyDescent="0.2">
      <c r="B17" s="24" t="s">
        <v>368</v>
      </c>
      <c r="C17" s="24" t="s">
        <v>369</v>
      </c>
      <c r="D17" s="24" t="s">
        <v>264</v>
      </c>
      <c r="E17" s="28">
        <v>203784</v>
      </c>
      <c r="F17" s="25">
        <v>321.673044</v>
      </c>
      <c r="G17" s="26">
        <v>2.6733675068509801</v>
      </c>
      <c r="H17" s="24"/>
    </row>
    <row r="18" spans="2:8" x14ac:dyDescent="0.2">
      <c r="B18" s="24" t="s">
        <v>370</v>
      </c>
      <c r="C18" s="24" t="s">
        <v>371</v>
      </c>
      <c r="D18" s="24" t="s">
        <v>221</v>
      </c>
      <c r="E18" s="28">
        <v>193456</v>
      </c>
      <c r="F18" s="25">
        <v>320.94350400000002</v>
      </c>
      <c r="G18" s="26">
        <v>2.6673044295514501</v>
      </c>
      <c r="H18" s="24"/>
    </row>
    <row r="19" spans="2:8" x14ac:dyDescent="0.2">
      <c r="B19" s="24" t="s">
        <v>372</v>
      </c>
      <c r="C19" s="24" t="s">
        <v>373</v>
      </c>
      <c r="D19" s="24" t="s">
        <v>252</v>
      </c>
      <c r="E19" s="28">
        <v>7621</v>
      </c>
      <c r="F19" s="25">
        <v>316.53823499999999</v>
      </c>
      <c r="G19" s="26">
        <v>2.6306930217160498</v>
      </c>
      <c r="H19" s="24"/>
    </row>
    <row r="20" spans="2:8" x14ac:dyDescent="0.2">
      <c r="B20" s="24" t="s">
        <v>374</v>
      </c>
      <c r="C20" s="24" t="s">
        <v>375</v>
      </c>
      <c r="D20" s="24" t="s">
        <v>249</v>
      </c>
      <c r="E20" s="28">
        <v>75389</v>
      </c>
      <c r="F20" s="25">
        <v>304.00614250000001</v>
      </c>
      <c r="G20" s="26">
        <v>2.5265410279221601</v>
      </c>
      <c r="H20" s="24"/>
    </row>
    <row r="21" spans="2:8" x14ac:dyDescent="0.2">
      <c r="B21" s="24" t="s">
        <v>376</v>
      </c>
      <c r="C21" s="24" t="s">
        <v>377</v>
      </c>
      <c r="D21" s="24" t="s">
        <v>252</v>
      </c>
      <c r="E21" s="28">
        <v>20125</v>
      </c>
      <c r="F21" s="25">
        <v>277.38287500000001</v>
      </c>
      <c r="G21" s="26">
        <v>2.3052797827284199</v>
      </c>
      <c r="H21" s="24"/>
    </row>
    <row r="22" spans="2:8" x14ac:dyDescent="0.2">
      <c r="B22" s="24" t="s">
        <v>378</v>
      </c>
      <c r="C22" s="24" t="s">
        <v>379</v>
      </c>
      <c r="D22" s="24" t="s">
        <v>249</v>
      </c>
      <c r="E22" s="28">
        <v>2242</v>
      </c>
      <c r="F22" s="25">
        <v>275.83326</v>
      </c>
      <c r="G22" s="26">
        <v>2.2924012078325702</v>
      </c>
      <c r="H22" s="24"/>
    </row>
    <row r="23" spans="2:8" x14ac:dyDescent="0.2">
      <c r="B23" s="24" t="s">
        <v>380</v>
      </c>
      <c r="C23" s="24" t="s">
        <v>381</v>
      </c>
      <c r="D23" s="24" t="s">
        <v>229</v>
      </c>
      <c r="E23" s="28">
        <v>4801</v>
      </c>
      <c r="F23" s="25">
        <v>272.912845</v>
      </c>
      <c r="G23" s="26">
        <v>2.26813015773015</v>
      </c>
      <c r="H23" s="24"/>
    </row>
    <row r="24" spans="2:8" x14ac:dyDescent="0.2">
      <c r="B24" s="24" t="s">
        <v>382</v>
      </c>
      <c r="C24" s="24" t="s">
        <v>383</v>
      </c>
      <c r="D24" s="24" t="s">
        <v>218</v>
      </c>
      <c r="E24" s="28">
        <v>95581</v>
      </c>
      <c r="F24" s="25">
        <v>266.09750400000001</v>
      </c>
      <c r="G24" s="26">
        <v>2.2114890697765399</v>
      </c>
      <c r="H24" s="24"/>
    </row>
    <row r="25" spans="2:8" x14ac:dyDescent="0.2">
      <c r="B25" s="24" t="s">
        <v>384</v>
      </c>
      <c r="C25" s="24" t="s">
        <v>385</v>
      </c>
      <c r="D25" s="24" t="s">
        <v>386</v>
      </c>
      <c r="E25" s="28">
        <v>35542</v>
      </c>
      <c r="F25" s="25">
        <v>261.82014299999997</v>
      </c>
      <c r="G25" s="26">
        <v>2.1759406825996801</v>
      </c>
      <c r="H25" s="24"/>
    </row>
    <row r="26" spans="2:8" x14ac:dyDescent="0.2">
      <c r="B26" s="24" t="s">
        <v>387</v>
      </c>
      <c r="C26" s="24" t="s">
        <v>388</v>
      </c>
      <c r="D26" s="24" t="s">
        <v>389</v>
      </c>
      <c r="E26" s="28">
        <v>139659</v>
      </c>
      <c r="F26" s="25">
        <v>255.24078840000001</v>
      </c>
      <c r="G26" s="26">
        <v>2.1212608356813001</v>
      </c>
      <c r="H26" s="24"/>
    </row>
    <row r="27" spans="2:8" x14ac:dyDescent="0.2">
      <c r="B27" s="24" t="s">
        <v>390</v>
      </c>
      <c r="C27" s="24" t="s">
        <v>391</v>
      </c>
      <c r="D27" s="24" t="s">
        <v>392</v>
      </c>
      <c r="E27" s="28">
        <v>33214</v>
      </c>
      <c r="F27" s="25">
        <v>251.18087499999999</v>
      </c>
      <c r="G27" s="26">
        <v>2.0875196168672399</v>
      </c>
      <c r="H27" s="24"/>
    </row>
    <row r="28" spans="2:8" x14ac:dyDescent="0.2">
      <c r="B28" s="24" t="s">
        <v>393</v>
      </c>
      <c r="C28" s="24" t="s">
        <v>394</v>
      </c>
      <c r="D28" s="24" t="s">
        <v>319</v>
      </c>
      <c r="E28" s="28">
        <v>12497</v>
      </c>
      <c r="F28" s="25">
        <v>249.15268900000001</v>
      </c>
      <c r="G28" s="26">
        <v>2.0706637234332499</v>
      </c>
      <c r="H28" s="24"/>
    </row>
    <row r="29" spans="2:8" x14ac:dyDescent="0.2">
      <c r="B29" s="24" t="s">
        <v>395</v>
      </c>
      <c r="C29" s="24" t="s">
        <v>396</v>
      </c>
      <c r="D29" s="24" t="s">
        <v>249</v>
      </c>
      <c r="E29" s="28">
        <v>64669</v>
      </c>
      <c r="F29" s="25">
        <v>242.41174649999999</v>
      </c>
      <c r="G29" s="26">
        <v>2.0146409481924099</v>
      </c>
      <c r="H29" s="24"/>
    </row>
    <row r="30" spans="2:8" x14ac:dyDescent="0.2">
      <c r="B30" s="24" t="s">
        <v>397</v>
      </c>
      <c r="C30" s="24" t="s">
        <v>398</v>
      </c>
      <c r="D30" s="24" t="s">
        <v>399</v>
      </c>
      <c r="E30" s="28">
        <v>229886</v>
      </c>
      <c r="F30" s="25">
        <v>242.27685539999999</v>
      </c>
      <c r="G30" s="26">
        <v>2.0135198922306801</v>
      </c>
      <c r="H30" s="24"/>
    </row>
    <row r="31" spans="2:8" x14ac:dyDescent="0.2">
      <c r="B31" s="24" t="s">
        <v>400</v>
      </c>
      <c r="C31" s="24" t="s">
        <v>401</v>
      </c>
      <c r="D31" s="24" t="s">
        <v>218</v>
      </c>
      <c r="E31" s="28">
        <v>174558</v>
      </c>
      <c r="F31" s="25">
        <v>239.12700419999999</v>
      </c>
      <c r="G31" s="26">
        <v>1.9873420386412599</v>
      </c>
      <c r="H31" s="24"/>
    </row>
    <row r="32" spans="2:8" x14ac:dyDescent="0.2">
      <c r="B32" s="24" t="s">
        <v>402</v>
      </c>
      <c r="C32" s="24" t="s">
        <v>403</v>
      </c>
      <c r="D32" s="24" t="s">
        <v>404</v>
      </c>
      <c r="E32" s="28">
        <v>20827</v>
      </c>
      <c r="F32" s="25">
        <v>232.970822</v>
      </c>
      <c r="G32" s="26">
        <v>1.9361791023408399</v>
      </c>
      <c r="H32" s="24"/>
    </row>
    <row r="33" spans="2:8" x14ac:dyDescent="0.2">
      <c r="B33" s="24" t="s">
        <v>405</v>
      </c>
      <c r="C33" s="24" t="s">
        <v>406</v>
      </c>
      <c r="D33" s="24" t="s">
        <v>407</v>
      </c>
      <c r="E33" s="28">
        <v>16072</v>
      </c>
      <c r="F33" s="25">
        <v>232.17611199999999</v>
      </c>
      <c r="G33" s="26">
        <v>1.9295744087521201</v>
      </c>
      <c r="H33" s="24"/>
    </row>
    <row r="34" spans="2:8" x14ac:dyDescent="0.2">
      <c r="B34" s="24" t="s">
        <v>408</v>
      </c>
      <c r="C34" s="24" t="s">
        <v>409</v>
      </c>
      <c r="D34" s="24" t="s">
        <v>218</v>
      </c>
      <c r="E34" s="28">
        <v>178524</v>
      </c>
      <c r="F34" s="25">
        <v>219.38814360000001</v>
      </c>
      <c r="G34" s="26">
        <v>1.8232958758229001</v>
      </c>
      <c r="H34" s="24"/>
    </row>
    <row r="35" spans="2:8" x14ac:dyDescent="0.2">
      <c r="B35" s="24" t="s">
        <v>410</v>
      </c>
      <c r="C35" s="24" t="s">
        <v>411</v>
      </c>
      <c r="D35" s="24" t="s">
        <v>367</v>
      </c>
      <c r="E35" s="28">
        <v>15292</v>
      </c>
      <c r="F35" s="25">
        <v>218.88968800000001</v>
      </c>
      <c r="G35" s="26">
        <v>1.81915329990768</v>
      </c>
      <c r="H35" s="24"/>
    </row>
    <row r="36" spans="2:8" x14ac:dyDescent="0.2">
      <c r="B36" s="24" t="s">
        <v>412</v>
      </c>
      <c r="C36" s="24" t="s">
        <v>413</v>
      </c>
      <c r="D36" s="24" t="s">
        <v>273</v>
      </c>
      <c r="E36" s="28">
        <v>19352</v>
      </c>
      <c r="F36" s="25">
        <v>206.447136</v>
      </c>
      <c r="G36" s="26">
        <v>1.71574546129779</v>
      </c>
      <c r="H36" s="24"/>
    </row>
    <row r="37" spans="2:8" x14ac:dyDescent="0.2">
      <c r="B37" s="24" t="s">
        <v>414</v>
      </c>
      <c r="C37" s="24" t="s">
        <v>415</v>
      </c>
      <c r="D37" s="24" t="s">
        <v>276</v>
      </c>
      <c r="E37" s="28">
        <v>692</v>
      </c>
      <c r="F37" s="25">
        <v>195.90520000000001</v>
      </c>
      <c r="G37" s="26">
        <v>1.62813330452129</v>
      </c>
      <c r="H37" s="24"/>
    </row>
    <row r="38" spans="2:8" x14ac:dyDescent="0.2">
      <c r="B38" s="24" t="s">
        <v>416</v>
      </c>
      <c r="C38" s="24" t="s">
        <v>417</v>
      </c>
      <c r="D38" s="24" t="s">
        <v>267</v>
      </c>
      <c r="E38" s="28">
        <v>13053</v>
      </c>
      <c r="F38" s="25">
        <v>194.99876699999999</v>
      </c>
      <c r="G38" s="26">
        <v>1.62060010093294</v>
      </c>
      <c r="H38" s="24"/>
    </row>
    <row r="39" spans="2:8" x14ac:dyDescent="0.2">
      <c r="B39" s="24" t="s">
        <v>418</v>
      </c>
      <c r="C39" s="24" t="s">
        <v>419</v>
      </c>
      <c r="D39" s="24" t="s">
        <v>259</v>
      </c>
      <c r="E39" s="28">
        <v>5415</v>
      </c>
      <c r="F39" s="25">
        <v>192.779415</v>
      </c>
      <c r="G39" s="26">
        <v>1.60215546084347</v>
      </c>
      <c r="H39" s="24"/>
    </row>
    <row r="40" spans="2:8" x14ac:dyDescent="0.2">
      <c r="B40" s="24" t="s">
        <v>420</v>
      </c>
      <c r="C40" s="24" t="s">
        <v>421</v>
      </c>
      <c r="D40" s="24" t="s">
        <v>276</v>
      </c>
      <c r="E40" s="28">
        <v>32405</v>
      </c>
      <c r="F40" s="25">
        <v>183.21787</v>
      </c>
      <c r="G40" s="26">
        <v>1.5226911594508601</v>
      </c>
      <c r="H40" s="24"/>
    </row>
    <row r="41" spans="2:8" x14ac:dyDescent="0.2">
      <c r="B41" s="24" t="s">
        <v>422</v>
      </c>
      <c r="C41" s="24" t="s">
        <v>423</v>
      </c>
      <c r="D41" s="24" t="s">
        <v>264</v>
      </c>
      <c r="E41" s="28">
        <v>15850</v>
      </c>
      <c r="F41" s="25">
        <v>180.69</v>
      </c>
      <c r="G41" s="26">
        <v>1.50168248108755</v>
      </c>
      <c r="H41" s="24"/>
    </row>
    <row r="42" spans="2:8" x14ac:dyDescent="0.2">
      <c r="B42" s="24" t="s">
        <v>424</v>
      </c>
      <c r="C42" s="24" t="s">
        <v>425</v>
      </c>
      <c r="D42" s="24" t="s">
        <v>246</v>
      </c>
      <c r="E42" s="28">
        <v>7383</v>
      </c>
      <c r="F42" s="25">
        <v>180.04922099999999</v>
      </c>
      <c r="G42" s="26">
        <v>1.49635708068604</v>
      </c>
      <c r="H42" s="24"/>
    </row>
    <row r="43" spans="2:8" x14ac:dyDescent="0.2">
      <c r="B43" s="24" t="s">
        <v>426</v>
      </c>
      <c r="C43" s="24" t="s">
        <v>427</v>
      </c>
      <c r="D43" s="24" t="s">
        <v>264</v>
      </c>
      <c r="E43" s="28">
        <v>17961</v>
      </c>
      <c r="F43" s="25">
        <v>177.131382</v>
      </c>
      <c r="G43" s="26">
        <v>1.4721074392618601</v>
      </c>
      <c r="H43" s="24"/>
    </row>
    <row r="44" spans="2:8" x14ac:dyDescent="0.2">
      <c r="B44" s="24" t="s">
        <v>428</v>
      </c>
      <c r="C44" s="24" t="s">
        <v>429</v>
      </c>
      <c r="D44" s="24" t="s">
        <v>407</v>
      </c>
      <c r="E44" s="28">
        <v>1261</v>
      </c>
      <c r="F44" s="25">
        <v>175.00157999999999</v>
      </c>
      <c r="G44" s="26">
        <v>1.4544070333092101</v>
      </c>
      <c r="H44" s="24"/>
    </row>
    <row r="45" spans="2:8" x14ac:dyDescent="0.2">
      <c r="B45" s="24" t="s">
        <v>430</v>
      </c>
      <c r="C45" s="24" t="s">
        <v>431</v>
      </c>
      <c r="D45" s="24" t="s">
        <v>392</v>
      </c>
      <c r="E45" s="28">
        <v>14546</v>
      </c>
      <c r="F45" s="25">
        <v>174.246534</v>
      </c>
      <c r="G45" s="26">
        <v>1.4481319801761301</v>
      </c>
      <c r="H45" s="24"/>
    </row>
    <row r="46" spans="2:8" x14ac:dyDescent="0.2">
      <c r="B46" s="24" t="s">
        <v>432</v>
      </c>
      <c r="C46" s="24" t="s">
        <v>433</v>
      </c>
      <c r="D46" s="24" t="s">
        <v>399</v>
      </c>
      <c r="E46" s="28">
        <v>449</v>
      </c>
      <c r="F46" s="25">
        <v>167.23005000000001</v>
      </c>
      <c r="G46" s="26">
        <v>1.38981922849297</v>
      </c>
      <c r="H46" s="24"/>
    </row>
    <row r="47" spans="2:8" x14ac:dyDescent="0.2">
      <c r="B47" s="24" t="s">
        <v>434</v>
      </c>
      <c r="C47" s="24" t="s">
        <v>435</v>
      </c>
      <c r="D47" s="24" t="s">
        <v>264</v>
      </c>
      <c r="E47" s="28">
        <v>27723</v>
      </c>
      <c r="F47" s="25">
        <v>146.2249635</v>
      </c>
      <c r="G47" s="26">
        <v>1.2152496872301499</v>
      </c>
      <c r="H47" s="24"/>
    </row>
    <row r="48" spans="2:8" x14ac:dyDescent="0.2">
      <c r="B48" s="24" t="s">
        <v>436</v>
      </c>
      <c r="C48" s="24" t="s">
        <v>437</v>
      </c>
      <c r="D48" s="24" t="s">
        <v>386</v>
      </c>
      <c r="E48" s="28">
        <v>4579</v>
      </c>
      <c r="F48" s="25">
        <v>145.86862400000001</v>
      </c>
      <c r="G48" s="26">
        <v>1.2122882129677699</v>
      </c>
      <c r="H48" s="24"/>
    </row>
    <row r="49" spans="2:9" x14ac:dyDescent="0.2">
      <c r="B49" s="24" t="s">
        <v>438</v>
      </c>
      <c r="C49" s="24" t="s">
        <v>439</v>
      </c>
      <c r="D49" s="24" t="s">
        <v>386</v>
      </c>
      <c r="E49" s="28">
        <v>2716</v>
      </c>
      <c r="F49" s="25">
        <v>141.77520000000001</v>
      </c>
      <c r="G49" s="26">
        <v>1.178268493512</v>
      </c>
      <c r="H49" s="24"/>
    </row>
    <row r="50" spans="2:9" x14ac:dyDescent="0.2">
      <c r="B50" s="24" t="s">
        <v>440</v>
      </c>
      <c r="C50" s="24" t="s">
        <v>441</v>
      </c>
      <c r="D50" s="24" t="s">
        <v>386</v>
      </c>
      <c r="E50" s="28">
        <v>4576</v>
      </c>
      <c r="F50" s="25">
        <v>141.686688</v>
      </c>
      <c r="G50" s="26">
        <v>1.17753288600873</v>
      </c>
      <c r="H50" s="24"/>
    </row>
    <row r="51" spans="2:9" x14ac:dyDescent="0.2">
      <c r="B51" s="24" t="s">
        <v>442</v>
      </c>
      <c r="C51" s="24" t="s">
        <v>443</v>
      </c>
      <c r="D51" s="24" t="s">
        <v>259</v>
      </c>
      <c r="E51" s="28">
        <v>12932</v>
      </c>
      <c r="F51" s="25">
        <v>126.015874</v>
      </c>
      <c r="G51" s="26">
        <v>1.0472955355843501</v>
      </c>
      <c r="H51" s="24"/>
    </row>
    <row r="52" spans="2:9" x14ac:dyDescent="0.2">
      <c r="B52" s="24" t="s">
        <v>444</v>
      </c>
      <c r="C52" s="24" t="s">
        <v>445</v>
      </c>
      <c r="D52" s="24" t="s">
        <v>249</v>
      </c>
      <c r="E52" s="28">
        <v>92512</v>
      </c>
      <c r="F52" s="25">
        <v>114.07654719999999</v>
      </c>
      <c r="G52" s="26">
        <v>0.94806991218770698</v>
      </c>
      <c r="H52" s="24"/>
    </row>
    <row r="53" spans="2:9" x14ac:dyDescent="0.2">
      <c r="B53" s="24" t="s">
        <v>446</v>
      </c>
      <c r="C53" s="24" t="s">
        <v>447</v>
      </c>
      <c r="D53" s="24" t="s">
        <v>448</v>
      </c>
      <c r="E53" s="28">
        <v>3934</v>
      </c>
      <c r="F53" s="25">
        <v>107.35886000000001</v>
      </c>
      <c r="G53" s="26">
        <v>0.89224040761265599</v>
      </c>
      <c r="H53" s="24"/>
    </row>
    <row r="54" spans="2:9" x14ac:dyDescent="0.2">
      <c r="B54" s="24" t="s">
        <v>449</v>
      </c>
      <c r="C54" s="24" t="s">
        <v>450</v>
      </c>
      <c r="D54" s="24" t="s">
        <v>284</v>
      </c>
      <c r="E54" s="28">
        <v>22445</v>
      </c>
      <c r="F54" s="25">
        <v>106.950425</v>
      </c>
      <c r="G54" s="26">
        <v>0.88884597690723199</v>
      </c>
      <c r="H54" s="24"/>
    </row>
    <row r="55" spans="2:9" x14ac:dyDescent="0.2">
      <c r="B55" s="24" t="s">
        <v>451</v>
      </c>
      <c r="C55" s="24" t="s">
        <v>452</v>
      </c>
      <c r="D55" s="24" t="s">
        <v>319</v>
      </c>
      <c r="E55" s="28">
        <v>11493</v>
      </c>
      <c r="F55" s="25">
        <v>102.827871</v>
      </c>
      <c r="G55" s="26">
        <v>0.85458416319790997</v>
      </c>
      <c r="H55" s="24"/>
    </row>
    <row r="56" spans="2:9" x14ac:dyDescent="0.2">
      <c r="B56" s="24" t="s">
        <v>453</v>
      </c>
      <c r="C56" s="24" t="s">
        <v>454</v>
      </c>
      <c r="D56" s="24" t="s">
        <v>249</v>
      </c>
      <c r="E56" s="28">
        <v>48220</v>
      </c>
      <c r="F56" s="25">
        <v>53.143262</v>
      </c>
      <c r="G56" s="26">
        <v>0.44166420683627</v>
      </c>
      <c r="H56" s="24"/>
    </row>
    <row r="57" spans="2:9" x14ac:dyDescent="0.2">
      <c r="B57" s="23" t="s">
        <v>56</v>
      </c>
      <c r="C57" s="23"/>
      <c r="D57" s="23"/>
      <c r="E57" s="23"/>
      <c r="F57" s="30">
        <f>SUM(F7:F56)</f>
        <v>12080.242469299999</v>
      </c>
      <c r="G57" s="31">
        <f>SUM(G7:G56)</f>
        <v>100.39674848324532</v>
      </c>
      <c r="H57" s="23"/>
      <c r="I57" s="16"/>
    </row>
    <row r="58" spans="2:9" x14ac:dyDescent="0.2">
      <c r="B58" s="23" t="s">
        <v>342</v>
      </c>
      <c r="C58" s="23"/>
      <c r="D58" s="23"/>
      <c r="E58" s="23"/>
      <c r="F58" s="51" t="s">
        <v>343</v>
      </c>
      <c r="G58" s="52" t="s">
        <v>343</v>
      </c>
      <c r="H58" s="24"/>
    </row>
    <row r="59" spans="2:9" x14ac:dyDescent="0.2">
      <c r="B59" s="23" t="s">
        <v>56</v>
      </c>
      <c r="C59" s="23"/>
      <c r="D59" s="23"/>
      <c r="E59" s="23"/>
      <c r="F59" s="47" t="s">
        <v>343</v>
      </c>
      <c r="G59" s="48" t="s">
        <v>343</v>
      </c>
      <c r="H59" s="24"/>
    </row>
    <row r="60" spans="2:9" x14ac:dyDescent="0.2">
      <c r="B60" s="35" t="s">
        <v>82</v>
      </c>
      <c r="C60" s="35"/>
      <c r="D60" s="35"/>
      <c r="E60" s="35"/>
      <c r="F60" s="36">
        <f>F57</f>
        <v>12080.242469299999</v>
      </c>
      <c r="G60" s="37">
        <f>G57</f>
        <v>100.39674848324532</v>
      </c>
      <c r="H60" s="23"/>
      <c r="I60" s="16"/>
    </row>
    <row r="61" spans="2:9" ht="15" x14ac:dyDescent="0.25">
      <c r="B61" s="63" t="s">
        <v>103</v>
      </c>
      <c r="C61" s="65"/>
      <c r="D61" s="65"/>
      <c r="E61" s="66"/>
      <c r="F61" s="25"/>
      <c r="G61" s="71"/>
      <c r="H61" s="23"/>
      <c r="I61" s="16"/>
    </row>
    <row r="62" spans="2:9" ht="15" x14ac:dyDescent="0.25">
      <c r="B62" s="63" t="s">
        <v>104</v>
      </c>
      <c r="C62" s="65"/>
      <c r="D62" s="65"/>
      <c r="E62" s="66"/>
      <c r="F62" s="25"/>
      <c r="G62" s="71"/>
      <c r="H62" s="23"/>
      <c r="I62" s="16"/>
    </row>
    <row r="63" spans="2:9" ht="15" x14ac:dyDescent="0.25">
      <c r="B63" s="63" t="s">
        <v>1332</v>
      </c>
      <c r="C63" s="65"/>
      <c r="D63" s="65"/>
      <c r="E63" s="66"/>
      <c r="F63" s="25"/>
      <c r="G63" s="71"/>
      <c r="H63" s="23"/>
      <c r="I63" s="16"/>
    </row>
    <row r="64" spans="2:9" x14ac:dyDescent="0.2">
      <c r="B64" s="64" t="s">
        <v>455</v>
      </c>
      <c r="C64" s="65" t="s">
        <v>456</v>
      </c>
      <c r="D64" s="65" t="s">
        <v>26</v>
      </c>
      <c r="E64" s="28">
        <v>26520</v>
      </c>
      <c r="F64" s="25">
        <v>2.6762657999999999</v>
      </c>
      <c r="G64" s="26">
        <v>2.2241969486932099E-2</v>
      </c>
      <c r="H64" s="38">
        <v>6.0499999999999998E-2</v>
      </c>
      <c r="I64" s="16"/>
    </row>
    <row r="65" spans="2:9" x14ac:dyDescent="0.2">
      <c r="B65" s="23" t="s">
        <v>56</v>
      </c>
      <c r="C65" s="23"/>
      <c r="D65" s="23"/>
      <c r="E65" s="23"/>
      <c r="F65" s="30">
        <f>F64</f>
        <v>2.6762657999999999</v>
      </c>
      <c r="G65" s="67">
        <f>G64</f>
        <v>2.2241969486932099E-2</v>
      </c>
      <c r="H65" s="23"/>
      <c r="I65" s="16"/>
    </row>
    <row r="66" spans="2:9" x14ac:dyDescent="0.2">
      <c r="B66" s="23" t="s">
        <v>342</v>
      </c>
      <c r="C66" s="23"/>
      <c r="D66" s="23"/>
      <c r="E66" s="23"/>
      <c r="F66" s="51" t="s">
        <v>343</v>
      </c>
      <c r="G66" s="68" t="s">
        <v>343</v>
      </c>
      <c r="H66" s="23"/>
      <c r="I66" s="16"/>
    </row>
    <row r="67" spans="2:9" x14ac:dyDescent="0.2">
      <c r="B67" s="35" t="s">
        <v>82</v>
      </c>
      <c r="C67" s="35"/>
      <c r="D67" s="35"/>
      <c r="E67" s="35"/>
      <c r="F67" s="36">
        <f>F64</f>
        <v>2.6762657999999999</v>
      </c>
      <c r="G67" s="69">
        <f>G64</f>
        <v>2.2241969486932099E-2</v>
      </c>
      <c r="H67" s="23"/>
      <c r="I67" s="16"/>
    </row>
    <row r="68" spans="2:9" x14ac:dyDescent="0.2">
      <c r="B68" s="23"/>
      <c r="C68" s="23"/>
      <c r="D68" s="23"/>
      <c r="E68" s="23"/>
      <c r="F68" s="62"/>
      <c r="G68" s="70"/>
      <c r="H68" s="23"/>
      <c r="I68" s="16"/>
    </row>
    <row r="69" spans="2:9" x14ac:dyDescent="0.2">
      <c r="B69" s="23" t="s">
        <v>87</v>
      </c>
      <c r="C69" s="23"/>
      <c r="D69" s="23"/>
      <c r="E69" s="23"/>
      <c r="F69" s="30">
        <v>118.55266020000001</v>
      </c>
      <c r="G69" s="31">
        <v>0.98527009191800896</v>
      </c>
      <c r="H69" s="38">
        <v>5.4149999999999997E-2</v>
      </c>
      <c r="I69" s="17"/>
    </row>
    <row r="70" spans="2:9" x14ac:dyDescent="0.2">
      <c r="B70" s="24"/>
      <c r="C70" s="24"/>
      <c r="D70" s="24"/>
      <c r="E70" s="24"/>
      <c r="F70" s="25"/>
      <c r="G70" s="26"/>
      <c r="H70" s="24"/>
    </row>
    <row r="71" spans="2:9" x14ac:dyDescent="0.2">
      <c r="B71" s="43" t="s">
        <v>89</v>
      </c>
      <c r="C71" s="43"/>
      <c r="D71" s="43"/>
      <c r="E71" s="43"/>
      <c r="F71" s="30">
        <f>F72-(F57+F69+F64)</f>
        <v>-168.96770190000098</v>
      </c>
      <c r="G71" s="30">
        <f>G72-(G57+G69+G64)</f>
        <v>-1.4042605446502563</v>
      </c>
      <c r="H71" s="23"/>
      <c r="I71" s="16"/>
    </row>
    <row r="72" spans="2:9" x14ac:dyDescent="0.2">
      <c r="B72" s="39" t="s">
        <v>88</v>
      </c>
      <c r="C72" s="39"/>
      <c r="D72" s="39"/>
      <c r="E72" s="39"/>
      <c r="F72" s="40">
        <v>12032.5036934</v>
      </c>
      <c r="G72" s="41">
        <v>100</v>
      </c>
      <c r="H72" s="53"/>
      <c r="I72" s="16"/>
    </row>
    <row r="73" spans="2:9" x14ac:dyDescent="0.2">
      <c r="B73" s="16"/>
      <c r="C73" s="16"/>
      <c r="D73" s="16"/>
      <c r="E73" s="16"/>
      <c r="F73" s="72"/>
      <c r="G73" s="73"/>
      <c r="H73" s="16"/>
      <c r="I73" s="16"/>
    </row>
    <row r="74" spans="2:9" x14ac:dyDescent="0.2">
      <c r="B74" s="16" t="s">
        <v>457</v>
      </c>
    </row>
    <row r="76" spans="2:9" x14ac:dyDescent="0.2">
      <c r="B76" s="16" t="s">
        <v>93</v>
      </c>
    </row>
    <row r="78" spans="2:9" x14ac:dyDescent="0.2">
      <c r="B78" s="16" t="s">
        <v>94</v>
      </c>
    </row>
    <row r="94" spans="2:2" x14ac:dyDescent="0.2">
      <c r="B94" s="60" t="s">
        <v>1323</v>
      </c>
    </row>
    <row r="95" spans="2:2" x14ac:dyDescent="0.2">
      <c r="B95" s="61" t="s">
        <v>1329</v>
      </c>
    </row>
  </sheetData>
  <mergeCells count="1">
    <mergeCell ref="B1:C1"/>
  </mergeCells>
  <conditionalFormatting sqref="G1:G3 G72:G65544">
    <cfRule type="cellIs" dxfId="7" priority="7" stopIfTrue="1" operator="between">
      <formula>0.009</formula>
      <formula>-0.009</formula>
    </cfRule>
  </conditionalFormatting>
  <conditionalFormatting sqref="G5:G70">
    <cfRule type="cellIs" dxfId="6" priority="1" stopIfTrue="1" operator="between">
      <formula>0.009</formula>
      <formula>-0.009</formula>
    </cfRule>
  </conditionalFormatting>
  <pageMargins left="0.7" right="0.7" top="0.75" bottom="0.75" header="0.3" footer="0.3"/>
  <pageSetup paperSize="9" scale="59" orientation="portrait" r:id="rId1"/>
  <headerFooter>
    <oddFooter>&amp;C&amp;1#&amp;"Calibri"&amp;10&amp;K000000RESTRICTED</oddFooter>
    <evenFooter>&amp;LPUBLIC</evenFooter>
    <firstFooter>&amp;LPUBLIC</firstFooter>
  </headerFooter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F75DD4-4EA0-4814-8FF8-E974331864A1}">
  <dimension ref="A1:I186"/>
  <sheetViews>
    <sheetView view="pageBreakPreview" zoomScaleNormal="100" zoomScaleSheetLayoutView="100" workbookViewId="0">
      <selection activeCell="B1" sqref="B1:C1"/>
    </sheetView>
  </sheetViews>
  <sheetFormatPr defaultRowHeight="11.25" x14ac:dyDescent="0.2"/>
  <cols>
    <col min="1" max="1" width="7.28515625" style="6" customWidth="1"/>
    <col min="2" max="2" width="59.5703125" style="6" bestFit="1" customWidth="1"/>
    <col min="3" max="3" width="11.5703125" style="6" bestFit="1" customWidth="1"/>
    <col min="4" max="4" width="35.42578125" style="6" bestFit="1" customWidth="1"/>
    <col min="5" max="5" width="15" style="6" bestFit="1" customWidth="1"/>
    <col min="6" max="6" width="14.85546875" style="8" bestFit="1" customWidth="1"/>
    <col min="7" max="7" width="7.28515625" style="14" bestFit="1" customWidth="1"/>
    <col min="8" max="8" width="14" style="6" bestFit="1" customWidth="1"/>
    <col min="9" max="16384" width="9.140625" style="6"/>
  </cols>
  <sheetData>
    <row r="1" spans="1:9" s="1" customFormat="1" ht="16.899999999999999" customHeight="1" x14ac:dyDescent="0.2">
      <c r="B1" s="90" t="s">
        <v>15</v>
      </c>
      <c r="C1" s="91"/>
      <c r="D1" s="10"/>
      <c r="F1" s="5"/>
      <c r="G1" s="14"/>
    </row>
    <row r="2" spans="1:9" s="1" customFormat="1" ht="15" x14ac:dyDescent="0.25">
      <c r="A2" s="57" t="str">
        <f>HYPERLINK("[JioBlackRock Mutual Fund-Monthly-Portfolio-31-10-2025.xlsx]index!A1","")</f>
        <v/>
      </c>
      <c r="F2" s="5"/>
      <c r="G2" s="14"/>
    </row>
    <row r="3" spans="1:9" s="1" customFormat="1" ht="12" x14ac:dyDescent="0.2">
      <c r="B3" s="7" t="s">
        <v>1336</v>
      </c>
      <c r="C3" s="2"/>
      <c r="D3" s="3"/>
      <c r="E3" s="3"/>
      <c r="F3" s="4"/>
      <c r="G3" s="14"/>
    </row>
    <row r="4" spans="1:9" s="1" customFormat="1" ht="25.5" customHeight="1" x14ac:dyDescent="0.2">
      <c r="B4" s="18" t="s">
        <v>7</v>
      </c>
      <c r="C4" s="18" t="s">
        <v>8</v>
      </c>
      <c r="D4" s="19" t="s">
        <v>344</v>
      </c>
      <c r="E4" s="19" t="s">
        <v>0</v>
      </c>
      <c r="F4" s="20" t="s">
        <v>4</v>
      </c>
      <c r="G4" s="21" t="s">
        <v>5</v>
      </c>
      <c r="H4" s="54" t="s">
        <v>6</v>
      </c>
      <c r="I4" s="9"/>
    </row>
    <row r="5" spans="1:9" x14ac:dyDescent="0.2">
      <c r="B5" s="23" t="s">
        <v>215</v>
      </c>
      <c r="C5" s="24"/>
      <c r="D5" s="24"/>
      <c r="E5" s="24"/>
      <c r="F5" s="25"/>
      <c r="G5" s="26"/>
      <c r="H5" s="24"/>
    </row>
    <row r="6" spans="1:9" x14ac:dyDescent="0.2">
      <c r="B6" s="23" t="s">
        <v>104</v>
      </c>
      <c r="C6" s="24"/>
      <c r="D6" s="24"/>
      <c r="E6" s="24"/>
      <c r="F6" s="25"/>
      <c r="G6" s="26"/>
      <c r="H6" s="24"/>
    </row>
    <row r="7" spans="1:9" x14ac:dyDescent="0.2">
      <c r="B7" s="24" t="s">
        <v>458</v>
      </c>
      <c r="C7" s="24" t="s">
        <v>459</v>
      </c>
      <c r="D7" s="24" t="s">
        <v>460</v>
      </c>
      <c r="E7" s="28">
        <v>15762</v>
      </c>
      <c r="F7" s="25">
        <v>390.73998</v>
      </c>
      <c r="G7" s="26">
        <v>2.7006448907041301</v>
      </c>
      <c r="H7" s="24"/>
    </row>
    <row r="8" spans="1:9" x14ac:dyDescent="0.2">
      <c r="B8" s="24" t="s">
        <v>461</v>
      </c>
      <c r="C8" s="24" t="s">
        <v>462</v>
      </c>
      <c r="D8" s="24" t="s">
        <v>246</v>
      </c>
      <c r="E8" s="28">
        <v>5010</v>
      </c>
      <c r="F8" s="25">
        <v>277.75439999999998</v>
      </c>
      <c r="G8" s="26">
        <v>1.9197318923714699</v>
      </c>
      <c r="H8" s="24"/>
    </row>
    <row r="9" spans="1:9" x14ac:dyDescent="0.2">
      <c r="B9" s="24" t="s">
        <v>463</v>
      </c>
      <c r="C9" s="24" t="s">
        <v>464</v>
      </c>
      <c r="D9" s="24" t="s">
        <v>386</v>
      </c>
      <c r="E9" s="28">
        <v>468149</v>
      </c>
      <c r="F9" s="25">
        <v>277.61235699999997</v>
      </c>
      <c r="G9" s="26">
        <v>1.91875014562979</v>
      </c>
      <c r="H9" s="24"/>
    </row>
    <row r="10" spans="1:9" x14ac:dyDescent="0.2">
      <c r="B10" s="24" t="s">
        <v>465</v>
      </c>
      <c r="C10" s="24" t="s">
        <v>466</v>
      </c>
      <c r="D10" s="24" t="s">
        <v>267</v>
      </c>
      <c r="E10" s="28">
        <v>1582</v>
      </c>
      <c r="F10" s="25">
        <v>245.11508000000001</v>
      </c>
      <c r="G10" s="26">
        <v>1.6941414299006099</v>
      </c>
      <c r="H10" s="24"/>
    </row>
    <row r="11" spans="1:9" x14ac:dyDescent="0.2">
      <c r="B11" s="24" t="s">
        <v>467</v>
      </c>
      <c r="C11" s="24" t="s">
        <v>468</v>
      </c>
      <c r="D11" s="24" t="s">
        <v>229</v>
      </c>
      <c r="E11" s="28">
        <v>4142</v>
      </c>
      <c r="F11" s="25">
        <v>245.065572</v>
      </c>
      <c r="G11" s="26">
        <v>1.69379924959121</v>
      </c>
      <c r="H11" s="24"/>
    </row>
    <row r="12" spans="1:9" x14ac:dyDescent="0.2">
      <c r="B12" s="24" t="s">
        <v>469</v>
      </c>
      <c r="C12" s="24" t="s">
        <v>470</v>
      </c>
      <c r="D12" s="24" t="s">
        <v>471</v>
      </c>
      <c r="E12" s="28">
        <v>13016</v>
      </c>
      <c r="F12" s="25">
        <v>232.387664</v>
      </c>
      <c r="G12" s="26">
        <v>1.6061744115467</v>
      </c>
      <c r="H12" s="24"/>
    </row>
    <row r="13" spans="1:9" x14ac:dyDescent="0.2">
      <c r="B13" s="24" t="s">
        <v>472</v>
      </c>
      <c r="C13" s="24" t="s">
        <v>473</v>
      </c>
      <c r="D13" s="24" t="s">
        <v>229</v>
      </c>
      <c r="E13" s="28">
        <v>12902</v>
      </c>
      <c r="F13" s="25">
        <v>229.410462</v>
      </c>
      <c r="G13" s="26">
        <v>1.58559713309699</v>
      </c>
      <c r="H13" s="24"/>
    </row>
    <row r="14" spans="1:9" x14ac:dyDescent="0.2">
      <c r="B14" s="24" t="s">
        <v>474</v>
      </c>
      <c r="C14" s="24" t="s">
        <v>475</v>
      </c>
      <c r="D14" s="24" t="s">
        <v>476</v>
      </c>
      <c r="E14" s="28">
        <v>5216</v>
      </c>
      <c r="F14" s="25">
        <v>226.588256</v>
      </c>
      <c r="G14" s="26">
        <v>1.5660911275574101</v>
      </c>
      <c r="H14" s="24"/>
    </row>
    <row r="15" spans="1:9" x14ac:dyDescent="0.2">
      <c r="B15" s="24" t="s">
        <v>477</v>
      </c>
      <c r="C15" s="24" t="s">
        <v>478</v>
      </c>
      <c r="D15" s="24" t="s">
        <v>218</v>
      </c>
      <c r="E15" s="28">
        <v>94871</v>
      </c>
      <c r="F15" s="25">
        <v>224.4742731</v>
      </c>
      <c r="G15" s="26">
        <v>1.5514800884773501</v>
      </c>
      <c r="H15" s="24"/>
    </row>
    <row r="16" spans="1:9" x14ac:dyDescent="0.2">
      <c r="B16" s="24" t="s">
        <v>479</v>
      </c>
      <c r="C16" s="24" t="s">
        <v>480</v>
      </c>
      <c r="D16" s="24" t="s">
        <v>460</v>
      </c>
      <c r="E16" s="28">
        <v>3923</v>
      </c>
      <c r="F16" s="25">
        <v>211.01817</v>
      </c>
      <c r="G16" s="26">
        <v>1.4584766643439899</v>
      </c>
      <c r="H16" s="24"/>
    </row>
    <row r="17" spans="2:8" x14ac:dyDescent="0.2">
      <c r="B17" s="24" t="s">
        <v>481</v>
      </c>
      <c r="C17" s="24" t="s">
        <v>482</v>
      </c>
      <c r="D17" s="24" t="s">
        <v>218</v>
      </c>
      <c r="E17" s="28">
        <v>255248</v>
      </c>
      <c r="F17" s="25">
        <v>208.71628960000001</v>
      </c>
      <c r="G17" s="26">
        <v>1.4425669498037099</v>
      </c>
      <c r="H17" s="24"/>
    </row>
    <row r="18" spans="2:8" x14ac:dyDescent="0.2">
      <c r="B18" s="24" t="s">
        <v>483</v>
      </c>
      <c r="C18" s="24" t="s">
        <v>484</v>
      </c>
      <c r="D18" s="24" t="s">
        <v>324</v>
      </c>
      <c r="E18" s="28">
        <v>20113</v>
      </c>
      <c r="F18" s="25">
        <v>205.76604649999999</v>
      </c>
      <c r="G18" s="26">
        <v>1.42217600093191</v>
      </c>
      <c r="H18" s="24"/>
    </row>
    <row r="19" spans="2:8" x14ac:dyDescent="0.2">
      <c r="B19" s="24" t="s">
        <v>485</v>
      </c>
      <c r="C19" s="24" t="s">
        <v>486</v>
      </c>
      <c r="D19" s="24" t="s">
        <v>218</v>
      </c>
      <c r="E19" s="28">
        <v>25420</v>
      </c>
      <c r="F19" s="25">
        <v>202.03816</v>
      </c>
      <c r="G19" s="26">
        <v>1.3964102791100701</v>
      </c>
      <c r="H19" s="24"/>
    </row>
    <row r="20" spans="2:8" x14ac:dyDescent="0.2">
      <c r="B20" s="24" t="s">
        <v>487</v>
      </c>
      <c r="C20" s="24" t="s">
        <v>488</v>
      </c>
      <c r="D20" s="24" t="s">
        <v>218</v>
      </c>
      <c r="E20" s="28">
        <v>21721</v>
      </c>
      <c r="F20" s="25">
        <v>190.67779849999999</v>
      </c>
      <c r="G20" s="26">
        <v>1.3178918171868099</v>
      </c>
      <c r="H20" s="24"/>
    </row>
    <row r="21" spans="2:8" x14ac:dyDescent="0.2">
      <c r="B21" s="24" t="s">
        <v>489</v>
      </c>
      <c r="C21" s="24" t="s">
        <v>490</v>
      </c>
      <c r="D21" s="24" t="s">
        <v>226</v>
      </c>
      <c r="E21" s="28">
        <v>51012</v>
      </c>
      <c r="F21" s="25">
        <v>185.47963200000001</v>
      </c>
      <c r="G21" s="26">
        <v>1.2819640838659101</v>
      </c>
      <c r="H21" s="24"/>
    </row>
    <row r="22" spans="2:8" x14ac:dyDescent="0.2">
      <c r="B22" s="24" t="s">
        <v>491</v>
      </c>
      <c r="C22" s="24" t="s">
        <v>492</v>
      </c>
      <c r="D22" s="24" t="s">
        <v>471</v>
      </c>
      <c r="E22" s="28">
        <v>14179</v>
      </c>
      <c r="F22" s="25">
        <v>184.78072800000001</v>
      </c>
      <c r="G22" s="26">
        <v>1.27713352745166</v>
      </c>
      <c r="H22" s="24"/>
    </row>
    <row r="23" spans="2:8" x14ac:dyDescent="0.2">
      <c r="B23" s="24" t="s">
        <v>493</v>
      </c>
      <c r="C23" s="24" t="s">
        <v>494</v>
      </c>
      <c r="D23" s="24" t="s">
        <v>259</v>
      </c>
      <c r="E23" s="28">
        <v>9337</v>
      </c>
      <c r="F23" s="25">
        <v>183.33199500000001</v>
      </c>
      <c r="G23" s="26">
        <v>1.26712044055319</v>
      </c>
      <c r="H23" s="24"/>
    </row>
    <row r="24" spans="2:8" x14ac:dyDescent="0.2">
      <c r="B24" s="24" t="s">
        <v>495</v>
      </c>
      <c r="C24" s="24" t="s">
        <v>496</v>
      </c>
      <c r="D24" s="24" t="s">
        <v>221</v>
      </c>
      <c r="E24" s="28">
        <v>37066</v>
      </c>
      <c r="F24" s="25">
        <v>176.43415999999999</v>
      </c>
      <c r="G24" s="26">
        <v>1.21944525039305</v>
      </c>
      <c r="H24" s="24"/>
    </row>
    <row r="25" spans="2:8" x14ac:dyDescent="0.2">
      <c r="B25" s="24" t="s">
        <v>497</v>
      </c>
      <c r="C25" s="24" t="s">
        <v>498</v>
      </c>
      <c r="D25" s="24" t="s">
        <v>218</v>
      </c>
      <c r="E25" s="28">
        <v>760082</v>
      </c>
      <c r="F25" s="25">
        <v>172.84264680000001</v>
      </c>
      <c r="G25" s="26">
        <v>1.19462208852086</v>
      </c>
      <c r="H25" s="24"/>
    </row>
    <row r="26" spans="2:8" x14ac:dyDescent="0.2">
      <c r="B26" s="24" t="s">
        <v>499</v>
      </c>
      <c r="C26" s="24" t="s">
        <v>500</v>
      </c>
      <c r="D26" s="24" t="s">
        <v>407</v>
      </c>
      <c r="E26" s="28">
        <v>5603</v>
      </c>
      <c r="F26" s="25">
        <v>164.19591500000001</v>
      </c>
      <c r="G26" s="26">
        <v>1.1348591943912201</v>
      </c>
      <c r="H26" s="24"/>
    </row>
    <row r="27" spans="2:8" x14ac:dyDescent="0.2">
      <c r="B27" s="24" t="s">
        <v>501</v>
      </c>
      <c r="C27" s="24" t="s">
        <v>502</v>
      </c>
      <c r="D27" s="24" t="s">
        <v>503</v>
      </c>
      <c r="E27" s="28">
        <v>21944</v>
      </c>
      <c r="F27" s="25">
        <v>158.018744</v>
      </c>
      <c r="G27" s="26">
        <v>1.0921649574202399</v>
      </c>
      <c r="H27" s="24"/>
    </row>
    <row r="28" spans="2:8" x14ac:dyDescent="0.2">
      <c r="B28" s="24" t="s">
        <v>504</v>
      </c>
      <c r="C28" s="24" t="s">
        <v>505</v>
      </c>
      <c r="D28" s="24" t="s">
        <v>319</v>
      </c>
      <c r="E28" s="28">
        <v>10171</v>
      </c>
      <c r="F28" s="25">
        <v>157.29451499999999</v>
      </c>
      <c r="G28" s="26">
        <v>1.08715936431827</v>
      </c>
      <c r="H28" s="24"/>
    </row>
    <row r="29" spans="2:8" x14ac:dyDescent="0.2">
      <c r="B29" s="24" t="s">
        <v>506</v>
      </c>
      <c r="C29" s="24" t="s">
        <v>507</v>
      </c>
      <c r="D29" s="24" t="s">
        <v>508</v>
      </c>
      <c r="E29" s="28">
        <v>110430</v>
      </c>
      <c r="F29" s="25">
        <v>156.29157900000001</v>
      </c>
      <c r="G29" s="26">
        <v>1.08022745531806</v>
      </c>
      <c r="H29" s="24"/>
    </row>
    <row r="30" spans="2:8" x14ac:dyDescent="0.2">
      <c r="B30" s="24" t="s">
        <v>509</v>
      </c>
      <c r="C30" s="24" t="s">
        <v>510</v>
      </c>
      <c r="D30" s="24" t="s">
        <v>476</v>
      </c>
      <c r="E30" s="28">
        <v>1940</v>
      </c>
      <c r="F30" s="25">
        <v>149.45760000000001</v>
      </c>
      <c r="G30" s="26">
        <v>1.03299361334077</v>
      </c>
      <c r="H30" s="24"/>
    </row>
    <row r="31" spans="2:8" x14ac:dyDescent="0.2">
      <c r="B31" s="24" t="s">
        <v>511</v>
      </c>
      <c r="C31" s="24" t="s">
        <v>512</v>
      </c>
      <c r="D31" s="24" t="s">
        <v>333</v>
      </c>
      <c r="E31" s="28">
        <v>20427</v>
      </c>
      <c r="F31" s="25">
        <v>147.06418650000001</v>
      </c>
      <c r="G31" s="26">
        <v>1.0164512571167801</v>
      </c>
      <c r="H31" s="24"/>
    </row>
    <row r="32" spans="2:8" x14ac:dyDescent="0.2">
      <c r="B32" s="24" t="s">
        <v>513</v>
      </c>
      <c r="C32" s="24" t="s">
        <v>514</v>
      </c>
      <c r="D32" s="24" t="s">
        <v>386</v>
      </c>
      <c r="E32" s="28">
        <v>4785</v>
      </c>
      <c r="F32" s="25">
        <v>145.33958999999999</v>
      </c>
      <c r="G32" s="26">
        <v>1.0045315075015699</v>
      </c>
      <c r="H32" s="24"/>
    </row>
    <row r="33" spans="2:8" x14ac:dyDescent="0.2">
      <c r="B33" s="24" t="s">
        <v>515</v>
      </c>
      <c r="C33" s="24" t="s">
        <v>516</v>
      </c>
      <c r="D33" s="24" t="s">
        <v>399</v>
      </c>
      <c r="E33" s="28">
        <v>10291</v>
      </c>
      <c r="F33" s="25">
        <v>136.32487699999999</v>
      </c>
      <c r="G33" s="26">
        <v>0.94222526844045795</v>
      </c>
      <c r="H33" s="24"/>
    </row>
    <row r="34" spans="2:8" x14ac:dyDescent="0.2">
      <c r="B34" s="24" t="s">
        <v>517</v>
      </c>
      <c r="C34" s="24" t="s">
        <v>518</v>
      </c>
      <c r="D34" s="24" t="s">
        <v>252</v>
      </c>
      <c r="E34" s="28">
        <v>32792</v>
      </c>
      <c r="F34" s="25">
        <v>134.43080399999999</v>
      </c>
      <c r="G34" s="26">
        <v>0.92913416225247403</v>
      </c>
      <c r="H34" s="24"/>
    </row>
    <row r="35" spans="2:8" x14ac:dyDescent="0.2">
      <c r="B35" s="24" t="s">
        <v>519</v>
      </c>
      <c r="C35" s="24" t="s">
        <v>520</v>
      </c>
      <c r="D35" s="24" t="s">
        <v>392</v>
      </c>
      <c r="E35" s="28">
        <v>5799</v>
      </c>
      <c r="F35" s="25">
        <v>132.68111999999999</v>
      </c>
      <c r="G35" s="26">
        <v>0.917041017458469</v>
      </c>
      <c r="H35" s="24"/>
    </row>
    <row r="36" spans="2:8" x14ac:dyDescent="0.2">
      <c r="B36" s="24" t="s">
        <v>521</v>
      </c>
      <c r="C36" s="24" t="s">
        <v>522</v>
      </c>
      <c r="D36" s="24" t="s">
        <v>386</v>
      </c>
      <c r="E36" s="28">
        <v>49598</v>
      </c>
      <c r="F36" s="25">
        <v>131.67773020000001</v>
      </c>
      <c r="G36" s="26">
        <v>0.91010597196669496</v>
      </c>
      <c r="H36" s="24"/>
    </row>
    <row r="37" spans="2:8" x14ac:dyDescent="0.2">
      <c r="B37" s="24" t="s">
        <v>523</v>
      </c>
      <c r="C37" s="24" t="s">
        <v>524</v>
      </c>
      <c r="D37" s="24" t="s">
        <v>249</v>
      </c>
      <c r="E37" s="28">
        <v>4139</v>
      </c>
      <c r="F37" s="25">
        <v>131.56639300000001</v>
      </c>
      <c r="G37" s="26">
        <v>0.90933645193875901</v>
      </c>
      <c r="H37" s="24"/>
    </row>
    <row r="38" spans="2:8" x14ac:dyDescent="0.2">
      <c r="B38" s="24" t="s">
        <v>525</v>
      </c>
      <c r="C38" s="24" t="s">
        <v>526</v>
      </c>
      <c r="D38" s="24" t="s">
        <v>252</v>
      </c>
      <c r="E38" s="28">
        <v>52674</v>
      </c>
      <c r="F38" s="25">
        <v>130.5999156</v>
      </c>
      <c r="G38" s="26">
        <v>0.90265653079966601</v>
      </c>
      <c r="H38" s="24"/>
    </row>
    <row r="39" spans="2:8" x14ac:dyDescent="0.2">
      <c r="B39" s="24" t="s">
        <v>527</v>
      </c>
      <c r="C39" s="24" t="s">
        <v>528</v>
      </c>
      <c r="D39" s="24" t="s">
        <v>295</v>
      </c>
      <c r="E39" s="28">
        <v>137714</v>
      </c>
      <c r="F39" s="25">
        <v>129.4098458</v>
      </c>
      <c r="G39" s="26">
        <v>0.89443122474075798</v>
      </c>
      <c r="H39" s="24"/>
    </row>
    <row r="40" spans="2:8" x14ac:dyDescent="0.2">
      <c r="B40" s="24" t="s">
        <v>529</v>
      </c>
      <c r="C40" s="24" t="s">
        <v>530</v>
      </c>
      <c r="D40" s="24" t="s">
        <v>476</v>
      </c>
      <c r="E40" s="28">
        <v>7000</v>
      </c>
      <c r="F40" s="25">
        <v>125.405</v>
      </c>
      <c r="G40" s="26">
        <v>0.86675126645282496</v>
      </c>
      <c r="H40" s="24"/>
    </row>
    <row r="41" spans="2:8" x14ac:dyDescent="0.2">
      <c r="B41" s="24" t="s">
        <v>531</v>
      </c>
      <c r="C41" s="24" t="s">
        <v>532</v>
      </c>
      <c r="D41" s="24" t="s">
        <v>386</v>
      </c>
      <c r="E41" s="28">
        <v>3658</v>
      </c>
      <c r="F41" s="25">
        <v>125.374292</v>
      </c>
      <c r="G41" s="26">
        <v>0.86653902453352205</v>
      </c>
      <c r="H41" s="24"/>
    </row>
    <row r="42" spans="2:8" x14ac:dyDescent="0.2">
      <c r="B42" s="24" t="s">
        <v>533</v>
      </c>
      <c r="C42" s="24" t="s">
        <v>534</v>
      </c>
      <c r="D42" s="24" t="s">
        <v>399</v>
      </c>
      <c r="E42" s="28">
        <v>4121</v>
      </c>
      <c r="F42" s="25">
        <v>124.57783000000001</v>
      </c>
      <c r="G42" s="26">
        <v>0.86103418463733306</v>
      </c>
      <c r="H42" s="24"/>
    </row>
    <row r="43" spans="2:8" x14ac:dyDescent="0.2">
      <c r="B43" s="24" t="s">
        <v>535</v>
      </c>
      <c r="C43" s="24" t="s">
        <v>536</v>
      </c>
      <c r="D43" s="24" t="s">
        <v>259</v>
      </c>
      <c r="E43" s="28">
        <v>10794</v>
      </c>
      <c r="F43" s="25">
        <v>122.932866</v>
      </c>
      <c r="G43" s="26">
        <v>0.84966482432259804</v>
      </c>
      <c r="H43" s="24"/>
    </row>
    <row r="44" spans="2:8" x14ac:dyDescent="0.2">
      <c r="B44" s="24" t="s">
        <v>537</v>
      </c>
      <c r="C44" s="24" t="s">
        <v>538</v>
      </c>
      <c r="D44" s="24" t="s">
        <v>399</v>
      </c>
      <c r="E44" s="28">
        <v>78</v>
      </c>
      <c r="F44" s="25">
        <v>122.8617</v>
      </c>
      <c r="G44" s="26">
        <v>0.84917295222317302</v>
      </c>
      <c r="H44" s="24"/>
    </row>
    <row r="45" spans="2:8" x14ac:dyDescent="0.2">
      <c r="B45" s="24" t="s">
        <v>539</v>
      </c>
      <c r="C45" s="24" t="s">
        <v>540</v>
      </c>
      <c r="D45" s="24" t="s">
        <v>249</v>
      </c>
      <c r="E45" s="28">
        <v>2657</v>
      </c>
      <c r="F45" s="25">
        <v>122.07586499999999</v>
      </c>
      <c r="G45" s="26">
        <v>0.84374156207546802</v>
      </c>
      <c r="H45" s="24"/>
    </row>
    <row r="46" spans="2:8" x14ac:dyDescent="0.2">
      <c r="B46" s="24" t="s">
        <v>541</v>
      </c>
      <c r="C46" s="24" t="s">
        <v>542</v>
      </c>
      <c r="D46" s="24" t="s">
        <v>267</v>
      </c>
      <c r="E46" s="28">
        <v>8787</v>
      </c>
      <c r="F46" s="25">
        <v>121.576932</v>
      </c>
      <c r="G46" s="26">
        <v>0.84029312852317695</v>
      </c>
      <c r="H46" s="24"/>
    </row>
    <row r="47" spans="2:8" x14ac:dyDescent="0.2">
      <c r="B47" s="24" t="s">
        <v>543</v>
      </c>
      <c r="C47" s="24" t="s">
        <v>544</v>
      </c>
      <c r="D47" s="24" t="s">
        <v>229</v>
      </c>
      <c r="E47" s="28">
        <v>4395</v>
      </c>
      <c r="F47" s="25">
        <v>121.49538</v>
      </c>
      <c r="G47" s="26">
        <v>0.83972947237484297</v>
      </c>
      <c r="H47" s="24"/>
    </row>
    <row r="48" spans="2:8" x14ac:dyDescent="0.2">
      <c r="B48" s="24" t="s">
        <v>545</v>
      </c>
      <c r="C48" s="24" t="s">
        <v>546</v>
      </c>
      <c r="D48" s="24" t="s">
        <v>392</v>
      </c>
      <c r="E48" s="28">
        <v>7201</v>
      </c>
      <c r="F48" s="25">
        <v>121.16402600000001</v>
      </c>
      <c r="G48" s="26">
        <v>0.83743928060302997</v>
      </c>
      <c r="H48" s="24"/>
    </row>
    <row r="49" spans="2:8" x14ac:dyDescent="0.2">
      <c r="B49" s="24" t="s">
        <v>547</v>
      </c>
      <c r="C49" s="24" t="s">
        <v>548</v>
      </c>
      <c r="D49" s="24" t="s">
        <v>259</v>
      </c>
      <c r="E49" s="28">
        <v>2173</v>
      </c>
      <c r="F49" s="25">
        <v>119.656245</v>
      </c>
      <c r="G49" s="26">
        <v>0.82701807657381698</v>
      </c>
      <c r="H49" s="24"/>
    </row>
    <row r="50" spans="2:8" x14ac:dyDescent="0.2">
      <c r="B50" s="24" t="s">
        <v>549</v>
      </c>
      <c r="C50" s="24" t="s">
        <v>550</v>
      </c>
      <c r="D50" s="24" t="s">
        <v>218</v>
      </c>
      <c r="E50" s="28">
        <v>13639</v>
      </c>
      <c r="F50" s="25">
        <v>117.118093</v>
      </c>
      <c r="G50" s="26">
        <v>0.80947534334587701</v>
      </c>
      <c r="H50" s="24"/>
    </row>
    <row r="51" spans="2:8" x14ac:dyDescent="0.2">
      <c r="B51" s="24" t="s">
        <v>551</v>
      </c>
      <c r="C51" s="24" t="s">
        <v>552</v>
      </c>
      <c r="D51" s="24" t="s">
        <v>252</v>
      </c>
      <c r="E51" s="28">
        <v>80886</v>
      </c>
      <c r="F51" s="25">
        <v>117.0339534</v>
      </c>
      <c r="G51" s="26">
        <v>0.80889380269870303</v>
      </c>
      <c r="H51" s="24"/>
    </row>
    <row r="52" spans="2:8" x14ac:dyDescent="0.2">
      <c r="B52" s="24" t="s">
        <v>553</v>
      </c>
      <c r="C52" s="24" t="s">
        <v>554</v>
      </c>
      <c r="D52" s="24" t="s">
        <v>404</v>
      </c>
      <c r="E52" s="28">
        <v>5083</v>
      </c>
      <c r="F52" s="25">
        <v>114.01169</v>
      </c>
      <c r="G52" s="26">
        <v>0.78800507713350298</v>
      </c>
      <c r="H52" s="24"/>
    </row>
    <row r="53" spans="2:8" x14ac:dyDescent="0.2">
      <c r="B53" s="24" t="s">
        <v>555</v>
      </c>
      <c r="C53" s="24" t="s">
        <v>556</v>
      </c>
      <c r="D53" s="24" t="s">
        <v>392</v>
      </c>
      <c r="E53" s="28">
        <v>6511</v>
      </c>
      <c r="F53" s="25">
        <v>113.59741699999999</v>
      </c>
      <c r="G53" s="26">
        <v>0.78514178103360899</v>
      </c>
      <c r="H53" s="24"/>
    </row>
    <row r="54" spans="2:8" x14ac:dyDescent="0.2">
      <c r="B54" s="24" t="s">
        <v>557</v>
      </c>
      <c r="C54" s="24" t="s">
        <v>558</v>
      </c>
      <c r="D54" s="24" t="s">
        <v>503</v>
      </c>
      <c r="E54" s="28">
        <v>3127</v>
      </c>
      <c r="F54" s="25">
        <v>111.865298</v>
      </c>
      <c r="G54" s="26">
        <v>0.77317003878332402</v>
      </c>
      <c r="H54" s="24"/>
    </row>
    <row r="55" spans="2:8" x14ac:dyDescent="0.2">
      <c r="B55" s="24" t="s">
        <v>559</v>
      </c>
      <c r="C55" s="24" t="s">
        <v>560</v>
      </c>
      <c r="D55" s="24" t="s">
        <v>404</v>
      </c>
      <c r="E55" s="28">
        <v>22758</v>
      </c>
      <c r="F55" s="25">
        <v>110.95662900000001</v>
      </c>
      <c r="G55" s="26">
        <v>0.76688966713517204</v>
      </c>
      <c r="H55" s="24"/>
    </row>
    <row r="56" spans="2:8" x14ac:dyDescent="0.2">
      <c r="B56" s="24" t="s">
        <v>561</v>
      </c>
      <c r="C56" s="24" t="s">
        <v>562</v>
      </c>
      <c r="D56" s="24" t="s">
        <v>218</v>
      </c>
      <c r="E56" s="28">
        <v>74577</v>
      </c>
      <c r="F56" s="25">
        <v>110.87362589999999</v>
      </c>
      <c r="G56" s="26">
        <v>0.76631598154014402</v>
      </c>
      <c r="H56" s="24"/>
    </row>
    <row r="57" spans="2:8" x14ac:dyDescent="0.2">
      <c r="B57" s="24" t="s">
        <v>563</v>
      </c>
      <c r="C57" s="24" t="s">
        <v>564</v>
      </c>
      <c r="D57" s="24" t="s">
        <v>259</v>
      </c>
      <c r="E57" s="28">
        <v>5812</v>
      </c>
      <c r="F57" s="25">
        <v>109.916544</v>
      </c>
      <c r="G57" s="26">
        <v>0.759700998493821</v>
      </c>
      <c r="H57" s="24"/>
    </row>
    <row r="58" spans="2:8" x14ac:dyDescent="0.2">
      <c r="B58" s="24" t="s">
        <v>565</v>
      </c>
      <c r="C58" s="24" t="s">
        <v>566</v>
      </c>
      <c r="D58" s="24" t="s">
        <v>259</v>
      </c>
      <c r="E58" s="28">
        <v>4364</v>
      </c>
      <c r="F58" s="25">
        <v>104.03776000000001</v>
      </c>
      <c r="G58" s="26">
        <v>0.71906909803369101</v>
      </c>
      <c r="H58" s="24"/>
    </row>
    <row r="59" spans="2:8" x14ac:dyDescent="0.2">
      <c r="B59" s="24" t="s">
        <v>567</v>
      </c>
      <c r="C59" s="24" t="s">
        <v>568</v>
      </c>
      <c r="D59" s="24" t="s">
        <v>264</v>
      </c>
      <c r="E59" s="28">
        <v>122107</v>
      </c>
      <c r="F59" s="25">
        <v>103.5955788</v>
      </c>
      <c r="G59" s="26">
        <v>0.71601291115835497</v>
      </c>
      <c r="H59" s="24"/>
    </row>
    <row r="60" spans="2:8" x14ac:dyDescent="0.2">
      <c r="B60" s="24" t="s">
        <v>569</v>
      </c>
      <c r="C60" s="24" t="s">
        <v>570</v>
      </c>
      <c r="D60" s="24" t="s">
        <v>249</v>
      </c>
      <c r="E60" s="28">
        <v>11568</v>
      </c>
      <c r="F60" s="25">
        <v>101.64223200000001</v>
      </c>
      <c r="G60" s="26">
        <v>0.70251212719661804</v>
      </c>
      <c r="H60" s="24"/>
    </row>
    <row r="61" spans="2:8" x14ac:dyDescent="0.2">
      <c r="B61" s="24" t="s">
        <v>571</v>
      </c>
      <c r="C61" s="24" t="s">
        <v>572</v>
      </c>
      <c r="D61" s="24" t="s">
        <v>573</v>
      </c>
      <c r="E61" s="28">
        <v>133399</v>
      </c>
      <c r="F61" s="25">
        <v>101.1031021</v>
      </c>
      <c r="G61" s="26">
        <v>0.69878586808727206</v>
      </c>
      <c r="H61" s="24"/>
    </row>
    <row r="62" spans="2:8" x14ac:dyDescent="0.2">
      <c r="B62" s="24" t="s">
        <v>574</v>
      </c>
      <c r="C62" s="24" t="s">
        <v>575</v>
      </c>
      <c r="D62" s="24" t="s">
        <v>276</v>
      </c>
      <c r="E62" s="28">
        <v>1615</v>
      </c>
      <c r="F62" s="25">
        <v>100.3561</v>
      </c>
      <c r="G62" s="26">
        <v>0.69362287605172301</v>
      </c>
      <c r="H62" s="24"/>
    </row>
    <row r="63" spans="2:8" x14ac:dyDescent="0.2">
      <c r="B63" s="24" t="s">
        <v>576</v>
      </c>
      <c r="C63" s="24" t="s">
        <v>577</v>
      </c>
      <c r="D63" s="24" t="s">
        <v>578</v>
      </c>
      <c r="E63" s="28">
        <v>243</v>
      </c>
      <c r="F63" s="25">
        <v>100.116</v>
      </c>
      <c r="G63" s="26">
        <v>0.69196339693147002</v>
      </c>
      <c r="H63" s="24"/>
    </row>
    <row r="64" spans="2:8" x14ac:dyDescent="0.2">
      <c r="B64" s="24" t="s">
        <v>579</v>
      </c>
      <c r="C64" s="24" t="s">
        <v>580</v>
      </c>
      <c r="D64" s="24" t="s">
        <v>267</v>
      </c>
      <c r="E64" s="28">
        <v>5008</v>
      </c>
      <c r="F64" s="25">
        <v>97.024991999999997</v>
      </c>
      <c r="G64" s="26">
        <v>0.67059953505502301</v>
      </c>
      <c r="H64" s="24"/>
    </row>
    <row r="65" spans="2:8" x14ac:dyDescent="0.2">
      <c r="B65" s="24" t="s">
        <v>581</v>
      </c>
      <c r="C65" s="24" t="s">
        <v>582</v>
      </c>
      <c r="D65" s="24" t="s">
        <v>503</v>
      </c>
      <c r="E65" s="28">
        <v>4557</v>
      </c>
      <c r="F65" s="25">
        <v>96.818021999999999</v>
      </c>
      <c r="G65" s="26">
        <v>0.66916903778922299</v>
      </c>
      <c r="H65" s="24"/>
    </row>
    <row r="66" spans="2:8" x14ac:dyDescent="0.2">
      <c r="B66" s="24" t="s">
        <v>583</v>
      </c>
      <c r="C66" s="24" t="s">
        <v>584</v>
      </c>
      <c r="D66" s="24" t="s">
        <v>264</v>
      </c>
      <c r="E66" s="28">
        <v>7343</v>
      </c>
      <c r="F66" s="25">
        <v>96.670595000000006</v>
      </c>
      <c r="G66" s="26">
        <v>0.66815007890433498</v>
      </c>
      <c r="H66" s="24"/>
    </row>
    <row r="67" spans="2:8" x14ac:dyDescent="0.2">
      <c r="B67" s="24" t="s">
        <v>585</v>
      </c>
      <c r="C67" s="24" t="s">
        <v>586</v>
      </c>
      <c r="D67" s="24" t="s">
        <v>460</v>
      </c>
      <c r="E67" s="28">
        <v>8905</v>
      </c>
      <c r="F67" s="25">
        <v>96.236334999999997</v>
      </c>
      <c r="G67" s="26">
        <v>0.66514864032557197</v>
      </c>
      <c r="H67" s="24"/>
    </row>
    <row r="68" spans="2:8" x14ac:dyDescent="0.2">
      <c r="B68" s="24" t="s">
        <v>587</v>
      </c>
      <c r="C68" s="24" t="s">
        <v>588</v>
      </c>
      <c r="D68" s="24" t="s">
        <v>476</v>
      </c>
      <c r="E68" s="28">
        <v>2379</v>
      </c>
      <c r="F68" s="25">
        <v>95.921279999999996</v>
      </c>
      <c r="G68" s="26">
        <v>0.66297110099099699</v>
      </c>
      <c r="H68" s="24"/>
    </row>
    <row r="69" spans="2:8" x14ac:dyDescent="0.2">
      <c r="B69" s="24" t="s">
        <v>589</v>
      </c>
      <c r="C69" s="24" t="s">
        <v>590</v>
      </c>
      <c r="D69" s="24" t="s">
        <v>249</v>
      </c>
      <c r="E69" s="28">
        <v>29502</v>
      </c>
      <c r="F69" s="25">
        <v>95.645483999999996</v>
      </c>
      <c r="G69" s="26">
        <v>0.66106490480836799</v>
      </c>
      <c r="H69" s="24"/>
    </row>
    <row r="70" spans="2:8" x14ac:dyDescent="0.2">
      <c r="B70" s="24" t="s">
        <v>591</v>
      </c>
      <c r="C70" s="24" t="s">
        <v>592</v>
      </c>
      <c r="D70" s="24" t="s">
        <v>476</v>
      </c>
      <c r="E70" s="28">
        <v>2492</v>
      </c>
      <c r="F70" s="25">
        <v>95.007499999999993</v>
      </c>
      <c r="G70" s="26">
        <v>0.65665540407094403</v>
      </c>
      <c r="H70" s="24"/>
    </row>
    <row r="71" spans="2:8" x14ac:dyDescent="0.2">
      <c r="B71" s="24" t="s">
        <v>593</v>
      </c>
      <c r="C71" s="24" t="s">
        <v>594</v>
      </c>
      <c r="D71" s="24" t="s">
        <v>273</v>
      </c>
      <c r="E71" s="28">
        <v>12395</v>
      </c>
      <c r="F71" s="25">
        <v>93.421115</v>
      </c>
      <c r="G71" s="26">
        <v>0.64569091933882194</v>
      </c>
      <c r="H71" s="24"/>
    </row>
    <row r="72" spans="2:8" x14ac:dyDescent="0.2">
      <c r="B72" s="24" t="s">
        <v>595</v>
      </c>
      <c r="C72" s="24" t="s">
        <v>596</v>
      </c>
      <c r="D72" s="24" t="s">
        <v>226</v>
      </c>
      <c r="E72" s="28">
        <v>1065623</v>
      </c>
      <c r="F72" s="25">
        <v>93.028887900000001</v>
      </c>
      <c r="G72" s="26">
        <v>0.642979996044997</v>
      </c>
      <c r="H72" s="24"/>
    </row>
    <row r="73" spans="2:8" x14ac:dyDescent="0.2">
      <c r="B73" s="24" t="s">
        <v>597</v>
      </c>
      <c r="C73" s="24" t="s">
        <v>598</v>
      </c>
      <c r="D73" s="24" t="s">
        <v>304</v>
      </c>
      <c r="E73" s="28">
        <v>21051</v>
      </c>
      <c r="F73" s="25">
        <v>91.224508499999999</v>
      </c>
      <c r="G73" s="26">
        <v>0.63050881762219602</v>
      </c>
      <c r="H73" s="24"/>
    </row>
    <row r="74" spans="2:8" x14ac:dyDescent="0.2">
      <c r="B74" s="24" t="s">
        <v>599</v>
      </c>
      <c r="C74" s="24" t="s">
        <v>600</v>
      </c>
      <c r="D74" s="24" t="s">
        <v>364</v>
      </c>
      <c r="E74" s="28">
        <v>15113</v>
      </c>
      <c r="F74" s="25">
        <v>90.353070500000001</v>
      </c>
      <c r="G74" s="26">
        <v>0.62448577236774006</v>
      </c>
      <c r="H74" s="24"/>
    </row>
    <row r="75" spans="2:8" x14ac:dyDescent="0.2">
      <c r="B75" s="24" t="s">
        <v>601</v>
      </c>
      <c r="C75" s="24" t="s">
        <v>602</v>
      </c>
      <c r="D75" s="24" t="s">
        <v>319</v>
      </c>
      <c r="E75" s="28">
        <v>15140</v>
      </c>
      <c r="F75" s="25">
        <v>89.500110000000006</v>
      </c>
      <c r="G75" s="26">
        <v>0.61859043650705403</v>
      </c>
      <c r="H75" s="24"/>
    </row>
    <row r="76" spans="2:8" x14ac:dyDescent="0.2">
      <c r="B76" s="24" t="s">
        <v>603</v>
      </c>
      <c r="C76" s="24" t="s">
        <v>604</v>
      </c>
      <c r="D76" s="24" t="s">
        <v>386</v>
      </c>
      <c r="E76" s="28">
        <v>491</v>
      </c>
      <c r="F76" s="25">
        <v>87.28998</v>
      </c>
      <c r="G76" s="26">
        <v>0.60331486554476899</v>
      </c>
      <c r="H76" s="24"/>
    </row>
    <row r="77" spans="2:8" x14ac:dyDescent="0.2">
      <c r="B77" s="24" t="s">
        <v>605</v>
      </c>
      <c r="C77" s="24" t="s">
        <v>606</v>
      </c>
      <c r="D77" s="24" t="s">
        <v>259</v>
      </c>
      <c r="E77" s="28">
        <v>23182</v>
      </c>
      <c r="F77" s="25">
        <v>86.260221999999999</v>
      </c>
      <c r="G77" s="26">
        <v>0.59619757316695399</v>
      </c>
      <c r="H77" s="24"/>
    </row>
    <row r="78" spans="2:8" x14ac:dyDescent="0.2">
      <c r="B78" s="24" t="s">
        <v>607</v>
      </c>
      <c r="C78" s="24" t="s">
        <v>608</v>
      </c>
      <c r="D78" s="24" t="s">
        <v>399</v>
      </c>
      <c r="E78" s="28">
        <v>6930</v>
      </c>
      <c r="F78" s="25">
        <v>85.599360000000004</v>
      </c>
      <c r="G78" s="26">
        <v>0.59162994846737604</v>
      </c>
      <c r="H78" s="24"/>
    </row>
    <row r="79" spans="2:8" x14ac:dyDescent="0.2">
      <c r="B79" s="24" t="s">
        <v>609</v>
      </c>
      <c r="C79" s="24" t="s">
        <v>610</v>
      </c>
      <c r="D79" s="24" t="s">
        <v>249</v>
      </c>
      <c r="E79" s="28">
        <v>31467</v>
      </c>
      <c r="F79" s="25">
        <v>85.115088299999996</v>
      </c>
      <c r="G79" s="26">
        <v>0.58828284819799104</v>
      </c>
      <c r="H79" s="24"/>
    </row>
    <row r="80" spans="2:8" x14ac:dyDescent="0.2">
      <c r="B80" s="24" t="s">
        <v>611</v>
      </c>
      <c r="C80" s="24" t="s">
        <v>612</v>
      </c>
      <c r="D80" s="24" t="s">
        <v>226</v>
      </c>
      <c r="E80" s="28">
        <v>4533</v>
      </c>
      <c r="F80" s="25">
        <v>85.011882</v>
      </c>
      <c r="G80" s="26">
        <v>0.58756952583260702</v>
      </c>
      <c r="H80" s="24"/>
    </row>
    <row r="81" spans="2:8" x14ac:dyDescent="0.2">
      <c r="B81" s="24" t="s">
        <v>613</v>
      </c>
      <c r="C81" s="24" t="s">
        <v>614</v>
      </c>
      <c r="D81" s="24" t="s">
        <v>364</v>
      </c>
      <c r="E81" s="28">
        <v>11643</v>
      </c>
      <c r="F81" s="25">
        <v>83.678241</v>
      </c>
      <c r="G81" s="26">
        <v>0.57835191069969105</v>
      </c>
      <c r="H81" s="24"/>
    </row>
    <row r="82" spans="2:8" x14ac:dyDescent="0.2">
      <c r="B82" s="24" t="s">
        <v>615</v>
      </c>
      <c r="C82" s="24" t="s">
        <v>616</v>
      </c>
      <c r="D82" s="24" t="s">
        <v>399</v>
      </c>
      <c r="E82" s="28">
        <v>17299</v>
      </c>
      <c r="F82" s="25">
        <v>81.781022500000006</v>
      </c>
      <c r="G82" s="26">
        <v>0.56523906402202495</v>
      </c>
      <c r="H82" s="24"/>
    </row>
    <row r="83" spans="2:8" x14ac:dyDescent="0.2">
      <c r="B83" s="24" t="s">
        <v>617</v>
      </c>
      <c r="C83" s="24" t="s">
        <v>618</v>
      </c>
      <c r="D83" s="24" t="s">
        <v>389</v>
      </c>
      <c r="E83" s="28">
        <v>28928</v>
      </c>
      <c r="F83" s="25">
        <v>81.36</v>
      </c>
      <c r="G83" s="26">
        <v>0.56232911796660301</v>
      </c>
      <c r="H83" s="24"/>
    </row>
    <row r="84" spans="2:8" x14ac:dyDescent="0.2">
      <c r="B84" s="24" t="s">
        <v>619</v>
      </c>
      <c r="C84" s="24" t="s">
        <v>620</v>
      </c>
      <c r="D84" s="24" t="s">
        <v>284</v>
      </c>
      <c r="E84" s="28">
        <v>34611</v>
      </c>
      <c r="F84" s="25">
        <v>81.038195400000006</v>
      </c>
      <c r="G84" s="26">
        <v>0.56010492798533995</v>
      </c>
      <c r="H84" s="24"/>
    </row>
    <row r="85" spans="2:8" x14ac:dyDescent="0.2">
      <c r="B85" s="24" t="s">
        <v>621</v>
      </c>
      <c r="C85" s="24" t="s">
        <v>622</v>
      </c>
      <c r="D85" s="24" t="s">
        <v>392</v>
      </c>
      <c r="E85" s="28">
        <v>4543</v>
      </c>
      <c r="F85" s="25">
        <v>80.788168999999996</v>
      </c>
      <c r="G85" s="26">
        <v>0.55837684139511901</v>
      </c>
      <c r="H85" s="24"/>
    </row>
    <row r="86" spans="2:8" x14ac:dyDescent="0.2">
      <c r="B86" s="24" t="s">
        <v>623</v>
      </c>
      <c r="C86" s="24" t="s">
        <v>624</v>
      </c>
      <c r="D86" s="24" t="s">
        <v>249</v>
      </c>
      <c r="E86" s="28">
        <v>25530</v>
      </c>
      <c r="F86" s="25">
        <v>80.559915000000004</v>
      </c>
      <c r="G86" s="26">
        <v>0.55679923728385605</v>
      </c>
      <c r="H86" s="24"/>
    </row>
    <row r="87" spans="2:8" x14ac:dyDescent="0.2">
      <c r="B87" s="24" t="s">
        <v>625</v>
      </c>
      <c r="C87" s="24" t="s">
        <v>626</v>
      </c>
      <c r="D87" s="24" t="s">
        <v>627</v>
      </c>
      <c r="E87" s="28">
        <v>13125</v>
      </c>
      <c r="F87" s="25">
        <v>79.064999999999998</v>
      </c>
      <c r="G87" s="26">
        <v>0.54646695811245605</v>
      </c>
      <c r="H87" s="24"/>
    </row>
    <row r="88" spans="2:8" x14ac:dyDescent="0.2">
      <c r="B88" s="24" t="s">
        <v>628</v>
      </c>
      <c r="C88" s="24" t="s">
        <v>629</v>
      </c>
      <c r="D88" s="24" t="s">
        <v>229</v>
      </c>
      <c r="E88" s="28">
        <v>916</v>
      </c>
      <c r="F88" s="25">
        <v>77.997399999999999</v>
      </c>
      <c r="G88" s="26">
        <v>0.53908811634326803</v>
      </c>
      <c r="H88" s="24"/>
    </row>
    <row r="89" spans="2:8" x14ac:dyDescent="0.2">
      <c r="B89" s="24" t="s">
        <v>630</v>
      </c>
      <c r="C89" s="24" t="s">
        <v>631</v>
      </c>
      <c r="D89" s="24" t="s">
        <v>364</v>
      </c>
      <c r="E89" s="28">
        <v>35960</v>
      </c>
      <c r="F89" s="25">
        <v>77.990048000000002</v>
      </c>
      <c r="G89" s="26">
        <v>0.53903730213880297</v>
      </c>
      <c r="H89" s="24"/>
    </row>
    <row r="90" spans="2:8" x14ac:dyDescent="0.2">
      <c r="B90" s="24" t="s">
        <v>632</v>
      </c>
      <c r="C90" s="24" t="s">
        <v>633</v>
      </c>
      <c r="D90" s="24" t="s">
        <v>273</v>
      </c>
      <c r="E90" s="28">
        <v>55796</v>
      </c>
      <c r="F90" s="25">
        <v>76.356825999999998</v>
      </c>
      <c r="G90" s="26">
        <v>0.52774909802494296</v>
      </c>
      <c r="H90" s="24"/>
    </row>
    <row r="91" spans="2:8" x14ac:dyDescent="0.2">
      <c r="B91" s="24" t="s">
        <v>634</v>
      </c>
      <c r="C91" s="24" t="s">
        <v>635</v>
      </c>
      <c r="D91" s="24" t="s">
        <v>267</v>
      </c>
      <c r="E91" s="28">
        <v>14847</v>
      </c>
      <c r="F91" s="25">
        <v>75.675158999999994</v>
      </c>
      <c r="G91" s="26">
        <v>0.52303767714420402</v>
      </c>
      <c r="H91" s="24"/>
    </row>
    <row r="92" spans="2:8" x14ac:dyDescent="0.2">
      <c r="B92" s="24" t="s">
        <v>636</v>
      </c>
      <c r="C92" s="24" t="s">
        <v>637</v>
      </c>
      <c r="D92" s="24" t="s">
        <v>229</v>
      </c>
      <c r="E92" s="28">
        <v>6316</v>
      </c>
      <c r="F92" s="25">
        <v>73.688772</v>
      </c>
      <c r="G92" s="26">
        <v>0.50930853199117598</v>
      </c>
      <c r="H92" s="24"/>
    </row>
    <row r="93" spans="2:8" x14ac:dyDescent="0.2">
      <c r="B93" s="24" t="s">
        <v>638</v>
      </c>
      <c r="C93" s="24" t="s">
        <v>639</v>
      </c>
      <c r="D93" s="24" t="s">
        <v>229</v>
      </c>
      <c r="E93" s="28">
        <v>1338</v>
      </c>
      <c r="F93" s="25">
        <v>72.981210000000004</v>
      </c>
      <c r="G93" s="26">
        <v>0.50441813480132003</v>
      </c>
      <c r="H93" s="24"/>
    </row>
    <row r="94" spans="2:8" x14ac:dyDescent="0.2">
      <c r="B94" s="24" t="s">
        <v>640</v>
      </c>
      <c r="C94" s="24" t="s">
        <v>641</v>
      </c>
      <c r="D94" s="24" t="s">
        <v>281</v>
      </c>
      <c r="E94" s="28">
        <v>13299</v>
      </c>
      <c r="F94" s="25">
        <v>72.512797500000005</v>
      </c>
      <c r="G94" s="26">
        <v>0.50118064724024003</v>
      </c>
      <c r="H94" s="24"/>
    </row>
    <row r="95" spans="2:8" x14ac:dyDescent="0.2">
      <c r="B95" s="24" t="s">
        <v>642</v>
      </c>
      <c r="C95" s="24" t="s">
        <v>643</v>
      </c>
      <c r="D95" s="24" t="s">
        <v>232</v>
      </c>
      <c r="E95" s="28">
        <v>21909</v>
      </c>
      <c r="F95" s="25">
        <v>72.036792000000005</v>
      </c>
      <c r="G95" s="26">
        <v>0.49789067977511903</v>
      </c>
      <c r="H95" s="24"/>
    </row>
    <row r="96" spans="2:8" x14ac:dyDescent="0.2">
      <c r="B96" s="24" t="s">
        <v>644</v>
      </c>
      <c r="C96" s="24" t="s">
        <v>645</v>
      </c>
      <c r="D96" s="24" t="s">
        <v>399</v>
      </c>
      <c r="E96" s="28">
        <v>3090</v>
      </c>
      <c r="F96" s="25">
        <v>70.445819999999998</v>
      </c>
      <c r="G96" s="26">
        <v>0.48689449145813801</v>
      </c>
      <c r="H96" s="24"/>
    </row>
    <row r="97" spans="2:8" x14ac:dyDescent="0.2">
      <c r="B97" s="24" t="s">
        <v>646</v>
      </c>
      <c r="C97" s="24" t="s">
        <v>647</v>
      </c>
      <c r="D97" s="24" t="s">
        <v>476</v>
      </c>
      <c r="E97" s="28">
        <v>4751</v>
      </c>
      <c r="F97" s="25">
        <v>68.894250999999997</v>
      </c>
      <c r="G97" s="26">
        <v>0.47617064156587702</v>
      </c>
      <c r="H97" s="24"/>
    </row>
    <row r="98" spans="2:8" x14ac:dyDescent="0.2">
      <c r="B98" s="24" t="s">
        <v>648</v>
      </c>
      <c r="C98" s="24" t="s">
        <v>649</v>
      </c>
      <c r="D98" s="24" t="s">
        <v>259</v>
      </c>
      <c r="E98" s="28">
        <v>5364</v>
      </c>
      <c r="F98" s="25">
        <v>68.187168</v>
      </c>
      <c r="G98" s="26">
        <v>0.47128355504032199</v>
      </c>
      <c r="H98" s="24"/>
    </row>
    <row r="99" spans="2:8" x14ac:dyDescent="0.2">
      <c r="B99" s="24" t="s">
        <v>650</v>
      </c>
      <c r="C99" s="24" t="s">
        <v>651</v>
      </c>
      <c r="D99" s="24" t="s">
        <v>389</v>
      </c>
      <c r="E99" s="28">
        <v>10706</v>
      </c>
      <c r="F99" s="25">
        <v>67.619095999999999</v>
      </c>
      <c r="G99" s="26">
        <v>0.46735725923523902</v>
      </c>
      <c r="H99" s="24"/>
    </row>
    <row r="100" spans="2:8" x14ac:dyDescent="0.2">
      <c r="B100" s="24" t="s">
        <v>652</v>
      </c>
      <c r="C100" s="24" t="s">
        <v>653</v>
      </c>
      <c r="D100" s="24" t="s">
        <v>399</v>
      </c>
      <c r="E100" s="28">
        <v>17566</v>
      </c>
      <c r="F100" s="25">
        <v>67.084553999999997</v>
      </c>
      <c r="G100" s="26">
        <v>0.46366270993120601</v>
      </c>
      <c r="H100" s="24"/>
    </row>
    <row r="101" spans="2:8" x14ac:dyDescent="0.2">
      <c r="B101" s="24" t="s">
        <v>654</v>
      </c>
      <c r="C101" s="24" t="s">
        <v>655</v>
      </c>
      <c r="D101" s="24" t="s">
        <v>249</v>
      </c>
      <c r="E101" s="28">
        <v>11606</v>
      </c>
      <c r="F101" s="25">
        <v>66.264456999999993</v>
      </c>
      <c r="G101" s="26">
        <v>0.45799451397917801</v>
      </c>
      <c r="H101" s="24"/>
    </row>
    <row r="102" spans="2:8" x14ac:dyDescent="0.2">
      <c r="B102" s="24" t="s">
        <v>656</v>
      </c>
      <c r="C102" s="24" t="s">
        <v>657</v>
      </c>
      <c r="D102" s="24" t="s">
        <v>573</v>
      </c>
      <c r="E102" s="28">
        <v>5058</v>
      </c>
      <c r="F102" s="25">
        <v>65.996784000000005</v>
      </c>
      <c r="G102" s="26">
        <v>0.45614446085733101</v>
      </c>
      <c r="H102" s="24"/>
    </row>
    <row r="103" spans="2:8" x14ac:dyDescent="0.2">
      <c r="B103" s="24" t="s">
        <v>658</v>
      </c>
      <c r="C103" s="24" t="s">
        <v>659</v>
      </c>
      <c r="D103" s="24" t="s">
        <v>218</v>
      </c>
      <c r="E103" s="28">
        <v>46901</v>
      </c>
      <c r="F103" s="25">
        <v>65.6051188</v>
      </c>
      <c r="G103" s="26">
        <v>0.45343742120081398</v>
      </c>
      <c r="H103" s="24"/>
    </row>
    <row r="104" spans="2:8" x14ac:dyDescent="0.2">
      <c r="B104" s="24" t="s">
        <v>660</v>
      </c>
      <c r="C104" s="24" t="s">
        <v>661</v>
      </c>
      <c r="D104" s="24" t="s">
        <v>276</v>
      </c>
      <c r="E104" s="28">
        <v>3074</v>
      </c>
      <c r="F104" s="25">
        <v>64.455631999999994</v>
      </c>
      <c r="G104" s="26">
        <v>0.44549260927409001</v>
      </c>
      <c r="H104" s="24"/>
    </row>
    <row r="105" spans="2:8" x14ac:dyDescent="0.2">
      <c r="B105" s="24" t="s">
        <v>662</v>
      </c>
      <c r="C105" s="24" t="s">
        <v>663</v>
      </c>
      <c r="D105" s="24" t="s">
        <v>399</v>
      </c>
      <c r="E105" s="28">
        <v>12495</v>
      </c>
      <c r="F105" s="25">
        <v>62.662424999999999</v>
      </c>
      <c r="G105" s="26">
        <v>0.433098650195408</v>
      </c>
      <c r="H105" s="24"/>
    </row>
    <row r="106" spans="2:8" x14ac:dyDescent="0.2">
      <c r="B106" s="24" t="s">
        <v>664</v>
      </c>
      <c r="C106" s="24" t="s">
        <v>665</v>
      </c>
      <c r="D106" s="24" t="s">
        <v>399</v>
      </c>
      <c r="E106" s="28">
        <v>1553</v>
      </c>
      <c r="F106" s="25">
        <v>62.452342000000002</v>
      </c>
      <c r="G106" s="26">
        <v>0.43164663706746098</v>
      </c>
      <c r="H106" s="24"/>
    </row>
    <row r="107" spans="2:8" x14ac:dyDescent="0.2">
      <c r="B107" s="24" t="s">
        <v>666</v>
      </c>
      <c r="C107" s="24" t="s">
        <v>667</v>
      </c>
      <c r="D107" s="24" t="s">
        <v>460</v>
      </c>
      <c r="E107" s="28">
        <v>6818</v>
      </c>
      <c r="F107" s="25">
        <v>59.643864000000001</v>
      </c>
      <c r="G107" s="26">
        <v>0.41223551419911503</v>
      </c>
      <c r="H107" s="24"/>
    </row>
    <row r="108" spans="2:8" x14ac:dyDescent="0.2">
      <c r="B108" s="24" t="s">
        <v>668</v>
      </c>
      <c r="C108" s="24" t="s">
        <v>669</v>
      </c>
      <c r="D108" s="24" t="s">
        <v>267</v>
      </c>
      <c r="E108" s="28">
        <v>10991</v>
      </c>
      <c r="F108" s="25">
        <v>59.582211000000001</v>
      </c>
      <c r="G108" s="26">
        <v>0.41180939230739999</v>
      </c>
      <c r="H108" s="24"/>
    </row>
    <row r="109" spans="2:8" x14ac:dyDescent="0.2">
      <c r="B109" s="24" t="s">
        <v>670</v>
      </c>
      <c r="C109" s="24" t="s">
        <v>671</v>
      </c>
      <c r="D109" s="24" t="s">
        <v>407</v>
      </c>
      <c r="E109" s="28">
        <v>1577</v>
      </c>
      <c r="F109" s="25">
        <v>59.036572</v>
      </c>
      <c r="G109" s="26">
        <v>0.40803814479513101</v>
      </c>
      <c r="H109" s="24"/>
    </row>
    <row r="110" spans="2:8" x14ac:dyDescent="0.2">
      <c r="B110" s="24" t="s">
        <v>672</v>
      </c>
      <c r="C110" s="24" t="s">
        <v>673</v>
      </c>
      <c r="D110" s="24" t="s">
        <v>448</v>
      </c>
      <c r="E110" s="28">
        <v>3267</v>
      </c>
      <c r="F110" s="25">
        <v>58.462964999999997</v>
      </c>
      <c r="G110" s="26">
        <v>0.40407359319275299</v>
      </c>
      <c r="H110" s="24"/>
    </row>
    <row r="111" spans="2:8" x14ac:dyDescent="0.2">
      <c r="B111" s="24" t="s">
        <v>674</v>
      </c>
      <c r="C111" s="24" t="s">
        <v>675</v>
      </c>
      <c r="D111" s="24" t="s">
        <v>259</v>
      </c>
      <c r="E111" s="28">
        <v>201</v>
      </c>
      <c r="F111" s="25">
        <v>58.279949999999999</v>
      </c>
      <c r="G111" s="26">
        <v>0.40280866370007001</v>
      </c>
      <c r="H111" s="24"/>
    </row>
    <row r="112" spans="2:8" x14ac:dyDescent="0.2">
      <c r="B112" s="24" t="s">
        <v>676</v>
      </c>
      <c r="C112" s="24" t="s">
        <v>677</v>
      </c>
      <c r="D112" s="24" t="s">
        <v>460</v>
      </c>
      <c r="E112" s="28">
        <v>5958</v>
      </c>
      <c r="F112" s="25">
        <v>58.269240000000003</v>
      </c>
      <c r="G112" s="26">
        <v>0.40273464028741801</v>
      </c>
      <c r="H112" s="24"/>
    </row>
    <row r="113" spans="2:8" x14ac:dyDescent="0.2">
      <c r="B113" s="24" t="s">
        <v>678</v>
      </c>
      <c r="C113" s="24" t="s">
        <v>679</v>
      </c>
      <c r="D113" s="24" t="s">
        <v>389</v>
      </c>
      <c r="E113" s="28">
        <v>27073</v>
      </c>
      <c r="F113" s="25">
        <v>57.3785162</v>
      </c>
      <c r="G113" s="26">
        <v>0.39657829897957803</v>
      </c>
      <c r="H113" s="24"/>
    </row>
    <row r="114" spans="2:8" x14ac:dyDescent="0.2">
      <c r="B114" s="24" t="s">
        <v>680</v>
      </c>
      <c r="C114" s="24" t="s">
        <v>681</v>
      </c>
      <c r="D114" s="24" t="s">
        <v>386</v>
      </c>
      <c r="E114" s="28">
        <v>652</v>
      </c>
      <c r="F114" s="25">
        <v>56.53492</v>
      </c>
      <c r="G114" s="26">
        <v>0.39074768556922901</v>
      </c>
      <c r="H114" s="24"/>
    </row>
    <row r="115" spans="2:8" x14ac:dyDescent="0.2">
      <c r="B115" s="24" t="s">
        <v>682</v>
      </c>
      <c r="C115" s="24" t="s">
        <v>683</v>
      </c>
      <c r="D115" s="24" t="s">
        <v>270</v>
      </c>
      <c r="E115" s="28">
        <v>3557</v>
      </c>
      <c r="F115" s="25">
        <v>54.418543</v>
      </c>
      <c r="G115" s="26">
        <v>0.37612009938812302</v>
      </c>
      <c r="H115" s="24"/>
    </row>
    <row r="116" spans="2:8" x14ac:dyDescent="0.2">
      <c r="B116" s="24" t="s">
        <v>684</v>
      </c>
      <c r="C116" s="24" t="s">
        <v>685</v>
      </c>
      <c r="D116" s="24" t="s">
        <v>226</v>
      </c>
      <c r="E116" s="28">
        <v>2903</v>
      </c>
      <c r="F116" s="25">
        <v>54.019024000000002</v>
      </c>
      <c r="G116" s="26">
        <v>0.373358777277984</v>
      </c>
      <c r="H116" s="24"/>
    </row>
    <row r="117" spans="2:8" x14ac:dyDescent="0.2">
      <c r="B117" s="24" t="s">
        <v>686</v>
      </c>
      <c r="C117" s="24" t="s">
        <v>687</v>
      </c>
      <c r="D117" s="24" t="s">
        <v>367</v>
      </c>
      <c r="E117" s="28">
        <v>2787</v>
      </c>
      <c r="F117" s="25">
        <v>50.093538000000002</v>
      </c>
      <c r="G117" s="26">
        <v>0.34622732349270502</v>
      </c>
      <c r="H117" s="24"/>
    </row>
    <row r="118" spans="2:8" x14ac:dyDescent="0.2">
      <c r="B118" s="24" t="s">
        <v>688</v>
      </c>
      <c r="C118" s="24" t="s">
        <v>689</v>
      </c>
      <c r="D118" s="24" t="s">
        <v>407</v>
      </c>
      <c r="E118" s="28">
        <v>812</v>
      </c>
      <c r="F118" s="25">
        <v>48.829619999999998</v>
      </c>
      <c r="G118" s="26">
        <v>0.33749160699661301</v>
      </c>
      <c r="H118" s="24"/>
    </row>
    <row r="119" spans="2:8" x14ac:dyDescent="0.2">
      <c r="B119" s="24" t="s">
        <v>690</v>
      </c>
      <c r="C119" s="24" t="s">
        <v>691</v>
      </c>
      <c r="D119" s="24" t="s">
        <v>404</v>
      </c>
      <c r="E119" s="28">
        <v>365</v>
      </c>
      <c r="F119" s="25">
        <v>48.73115</v>
      </c>
      <c r="G119" s="26">
        <v>0.33681102012043102</v>
      </c>
      <c r="H119" s="24"/>
    </row>
    <row r="120" spans="2:8" x14ac:dyDescent="0.2">
      <c r="B120" s="24" t="s">
        <v>692</v>
      </c>
      <c r="C120" s="24" t="s">
        <v>693</v>
      </c>
      <c r="D120" s="24" t="s">
        <v>476</v>
      </c>
      <c r="E120" s="28">
        <v>1499</v>
      </c>
      <c r="F120" s="25">
        <v>48.716000999999999</v>
      </c>
      <c r="G120" s="26">
        <v>0.33670631604216</v>
      </c>
      <c r="H120" s="24"/>
    </row>
    <row r="121" spans="2:8" x14ac:dyDescent="0.2">
      <c r="B121" s="24" t="s">
        <v>694</v>
      </c>
      <c r="C121" s="24" t="s">
        <v>695</v>
      </c>
      <c r="D121" s="24" t="s">
        <v>508</v>
      </c>
      <c r="E121" s="28">
        <v>1281</v>
      </c>
      <c r="F121" s="25">
        <v>48.505065000000002</v>
      </c>
      <c r="G121" s="26">
        <v>0.335248407305344</v>
      </c>
      <c r="H121" s="24"/>
    </row>
    <row r="122" spans="2:8" x14ac:dyDescent="0.2">
      <c r="B122" s="24" t="s">
        <v>696</v>
      </c>
      <c r="C122" s="24" t="s">
        <v>697</v>
      </c>
      <c r="D122" s="24" t="s">
        <v>698</v>
      </c>
      <c r="E122" s="28">
        <v>1571</v>
      </c>
      <c r="F122" s="25">
        <v>48.350667000000001</v>
      </c>
      <c r="G122" s="26">
        <v>0.33418126754187499</v>
      </c>
      <c r="H122" s="24"/>
    </row>
    <row r="123" spans="2:8" x14ac:dyDescent="0.2">
      <c r="B123" s="24" t="s">
        <v>699</v>
      </c>
      <c r="C123" s="24" t="s">
        <v>700</v>
      </c>
      <c r="D123" s="24" t="s">
        <v>386</v>
      </c>
      <c r="E123" s="28">
        <v>4410</v>
      </c>
      <c r="F123" s="25">
        <v>48.210120000000003</v>
      </c>
      <c r="G123" s="26">
        <v>0.33320986057846702</v>
      </c>
      <c r="H123" s="24"/>
    </row>
    <row r="124" spans="2:8" x14ac:dyDescent="0.2">
      <c r="B124" s="24" t="s">
        <v>701</v>
      </c>
      <c r="C124" s="24" t="s">
        <v>702</v>
      </c>
      <c r="D124" s="24" t="s">
        <v>386</v>
      </c>
      <c r="E124" s="28">
        <v>1495</v>
      </c>
      <c r="F124" s="25">
        <v>48.12106</v>
      </c>
      <c r="G124" s="26">
        <v>0.33259431201349499</v>
      </c>
      <c r="H124" s="24"/>
    </row>
    <row r="125" spans="2:8" x14ac:dyDescent="0.2">
      <c r="B125" s="24" t="s">
        <v>703</v>
      </c>
      <c r="C125" s="24" t="s">
        <v>704</v>
      </c>
      <c r="D125" s="24" t="s">
        <v>324</v>
      </c>
      <c r="E125" s="28">
        <v>7321</v>
      </c>
      <c r="F125" s="25">
        <v>47.593820999999998</v>
      </c>
      <c r="G125" s="26">
        <v>0.32895023824471997</v>
      </c>
      <c r="H125" s="24"/>
    </row>
    <row r="126" spans="2:8" x14ac:dyDescent="0.2">
      <c r="B126" s="24" t="s">
        <v>705</v>
      </c>
      <c r="C126" s="24" t="s">
        <v>706</v>
      </c>
      <c r="D126" s="24" t="s">
        <v>249</v>
      </c>
      <c r="E126" s="28">
        <v>30706</v>
      </c>
      <c r="F126" s="25">
        <v>46.651625799999998</v>
      </c>
      <c r="G126" s="26">
        <v>0.322438146359661</v>
      </c>
      <c r="H126" s="24"/>
    </row>
    <row r="127" spans="2:8" x14ac:dyDescent="0.2">
      <c r="B127" s="24" t="s">
        <v>707</v>
      </c>
      <c r="C127" s="24" t="s">
        <v>708</v>
      </c>
      <c r="D127" s="24" t="s">
        <v>249</v>
      </c>
      <c r="E127" s="28">
        <v>941</v>
      </c>
      <c r="F127" s="25">
        <v>46.383772</v>
      </c>
      <c r="G127" s="26">
        <v>0.32058684361755202</v>
      </c>
      <c r="H127" s="24"/>
    </row>
    <row r="128" spans="2:8" x14ac:dyDescent="0.2">
      <c r="B128" s="24" t="s">
        <v>709</v>
      </c>
      <c r="C128" s="24" t="s">
        <v>710</v>
      </c>
      <c r="D128" s="24" t="s">
        <v>578</v>
      </c>
      <c r="E128" s="28">
        <v>4293</v>
      </c>
      <c r="F128" s="25">
        <v>45.909342000000002</v>
      </c>
      <c r="G128" s="26">
        <v>0.31730776540421701</v>
      </c>
      <c r="H128" s="24"/>
    </row>
    <row r="129" spans="2:8" x14ac:dyDescent="0.2">
      <c r="B129" s="24" t="s">
        <v>711</v>
      </c>
      <c r="C129" s="24" t="s">
        <v>712</v>
      </c>
      <c r="D129" s="24" t="s">
        <v>249</v>
      </c>
      <c r="E129" s="28">
        <v>19369</v>
      </c>
      <c r="F129" s="25">
        <v>45.904530000000001</v>
      </c>
      <c r="G129" s="26">
        <v>0.317274506705647</v>
      </c>
      <c r="H129" s="24"/>
    </row>
    <row r="130" spans="2:8" x14ac:dyDescent="0.2">
      <c r="B130" s="24" t="s">
        <v>713</v>
      </c>
      <c r="C130" s="24" t="s">
        <v>714</v>
      </c>
      <c r="D130" s="24" t="s">
        <v>715</v>
      </c>
      <c r="E130" s="28">
        <v>6623</v>
      </c>
      <c r="F130" s="25">
        <v>45.847717500000002</v>
      </c>
      <c r="G130" s="26">
        <v>0.31688184049357199</v>
      </c>
      <c r="H130" s="24"/>
    </row>
    <row r="131" spans="2:8" x14ac:dyDescent="0.2">
      <c r="B131" s="24" t="s">
        <v>716</v>
      </c>
      <c r="C131" s="24" t="s">
        <v>717</v>
      </c>
      <c r="D131" s="24" t="s">
        <v>407</v>
      </c>
      <c r="E131" s="28">
        <v>2651</v>
      </c>
      <c r="F131" s="25">
        <v>45.819884000000002</v>
      </c>
      <c r="G131" s="26">
        <v>0.31668946601588099</v>
      </c>
      <c r="H131" s="24"/>
    </row>
    <row r="132" spans="2:8" x14ac:dyDescent="0.2">
      <c r="B132" s="24" t="s">
        <v>718</v>
      </c>
      <c r="C132" s="24" t="s">
        <v>719</v>
      </c>
      <c r="D132" s="24" t="s">
        <v>276</v>
      </c>
      <c r="E132" s="28">
        <v>2418</v>
      </c>
      <c r="F132" s="25">
        <v>45.494669999999999</v>
      </c>
      <c r="G132" s="26">
        <v>0.31444171156934198</v>
      </c>
      <c r="H132" s="24"/>
    </row>
    <row r="133" spans="2:8" x14ac:dyDescent="0.2">
      <c r="B133" s="24" t="s">
        <v>720</v>
      </c>
      <c r="C133" s="24" t="s">
        <v>721</v>
      </c>
      <c r="D133" s="24" t="s">
        <v>319</v>
      </c>
      <c r="E133" s="28">
        <v>11935</v>
      </c>
      <c r="F133" s="25">
        <v>44.660769999999999</v>
      </c>
      <c r="G133" s="26">
        <v>0.30867811457484401</v>
      </c>
      <c r="H133" s="24"/>
    </row>
    <row r="134" spans="2:8" x14ac:dyDescent="0.2">
      <c r="B134" s="24" t="s">
        <v>722</v>
      </c>
      <c r="C134" s="24" t="s">
        <v>723</v>
      </c>
      <c r="D134" s="24" t="s">
        <v>715</v>
      </c>
      <c r="E134" s="28">
        <v>1063</v>
      </c>
      <c r="F134" s="25">
        <v>43.782843999999997</v>
      </c>
      <c r="G134" s="26">
        <v>0.30261022675257299</v>
      </c>
      <c r="H134" s="24"/>
    </row>
    <row r="135" spans="2:8" x14ac:dyDescent="0.2">
      <c r="B135" s="24" t="s">
        <v>724</v>
      </c>
      <c r="C135" s="24" t="s">
        <v>725</v>
      </c>
      <c r="D135" s="24" t="s">
        <v>324</v>
      </c>
      <c r="E135" s="28">
        <v>3257</v>
      </c>
      <c r="F135" s="25">
        <v>42.715555000000002</v>
      </c>
      <c r="G135" s="26">
        <v>0.295233534496115</v>
      </c>
      <c r="H135" s="24"/>
    </row>
    <row r="136" spans="2:8" x14ac:dyDescent="0.2">
      <c r="B136" s="24" t="s">
        <v>726</v>
      </c>
      <c r="C136" s="24" t="s">
        <v>727</v>
      </c>
      <c r="D136" s="24" t="s">
        <v>259</v>
      </c>
      <c r="E136" s="28">
        <v>1598</v>
      </c>
      <c r="F136" s="25">
        <v>41.845227999999999</v>
      </c>
      <c r="G136" s="26">
        <v>0.28921816804758399</v>
      </c>
      <c r="H136" s="24"/>
    </row>
    <row r="137" spans="2:8" x14ac:dyDescent="0.2">
      <c r="B137" s="24" t="s">
        <v>728</v>
      </c>
      <c r="C137" s="24" t="s">
        <v>729</v>
      </c>
      <c r="D137" s="24" t="s">
        <v>249</v>
      </c>
      <c r="E137" s="28">
        <v>5017</v>
      </c>
      <c r="F137" s="25">
        <v>40.085830000000001</v>
      </c>
      <c r="G137" s="26">
        <v>0.27705788381095398</v>
      </c>
      <c r="H137" s="24"/>
    </row>
    <row r="138" spans="2:8" x14ac:dyDescent="0.2">
      <c r="B138" s="24" t="s">
        <v>730</v>
      </c>
      <c r="C138" s="24" t="s">
        <v>731</v>
      </c>
      <c r="D138" s="24" t="s">
        <v>259</v>
      </c>
      <c r="E138" s="28">
        <v>1625</v>
      </c>
      <c r="F138" s="25">
        <v>40.061124999999997</v>
      </c>
      <c r="G138" s="26">
        <v>0.27688713232546502</v>
      </c>
      <c r="H138" s="24"/>
    </row>
    <row r="139" spans="2:8" x14ac:dyDescent="0.2">
      <c r="B139" s="24" t="s">
        <v>732</v>
      </c>
      <c r="C139" s="24" t="s">
        <v>733</v>
      </c>
      <c r="D139" s="24" t="s">
        <v>399</v>
      </c>
      <c r="E139" s="28">
        <v>1361</v>
      </c>
      <c r="F139" s="25">
        <v>38.633346000000003</v>
      </c>
      <c r="G139" s="26">
        <v>0.26701887143901898</v>
      </c>
      <c r="H139" s="24"/>
    </row>
    <row r="140" spans="2:8" x14ac:dyDescent="0.2">
      <c r="B140" s="24" t="s">
        <v>734</v>
      </c>
      <c r="C140" s="24" t="s">
        <v>735</v>
      </c>
      <c r="D140" s="24" t="s">
        <v>264</v>
      </c>
      <c r="E140" s="28">
        <v>35852</v>
      </c>
      <c r="F140" s="25">
        <v>36.977752799999998</v>
      </c>
      <c r="G140" s="26">
        <v>0.25557604617024399</v>
      </c>
      <c r="H140" s="24"/>
    </row>
    <row r="141" spans="2:8" x14ac:dyDescent="0.2">
      <c r="B141" s="24" t="s">
        <v>736</v>
      </c>
      <c r="C141" s="24" t="s">
        <v>737</v>
      </c>
      <c r="D141" s="24" t="s">
        <v>295</v>
      </c>
      <c r="E141" s="28">
        <v>12434</v>
      </c>
      <c r="F141" s="25">
        <v>36.039949</v>
      </c>
      <c r="G141" s="26">
        <v>0.249094305957858</v>
      </c>
      <c r="H141" s="24"/>
    </row>
    <row r="142" spans="2:8" x14ac:dyDescent="0.2">
      <c r="B142" s="24" t="s">
        <v>738</v>
      </c>
      <c r="C142" s="24" t="s">
        <v>739</v>
      </c>
      <c r="D142" s="24" t="s">
        <v>218</v>
      </c>
      <c r="E142" s="28">
        <v>60723</v>
      </c>
      <c r="F142" s="25">
        <v>35.844786900000003</v>
      </c>
      <c r="G142" s="26">
        <v>0.24774542036845901</v>
      </c>
      <c r="H142" s="24"/>
    </row>
    <row r="143" spans="2:8" x14ac:dyDescent="0.2">
      <c r="B143" s="24" t="s">
        <v>740</v>
      </c>
      <c r="C143" s="24" t="s">
        <v>741</v>
      </c>
      <c r="D143" s="24" t="s">
        <v>229</v>
      </c>
      <c r="E143" s="28">
        <v>5122</v>
      </c>
      <c r="F143" s="25">
        <v>35.208627999999997</v>
      </c>
      <c r="G143" s="26">
        <v>0.243348534022299</v>
      </c>
      <c r="H143" s="24"/>
    </row>
    <row r="144" spans="2:8" x14ac:dyDescent="0.2">
      <c r="B144" s="24" t="s">
        <v>742</v>
      </c>
      <c r="C144" s="24" t="s">
        <v>743</v>
      </c>
      <c r="D144" s="24" t="s">
        <v>333</v>
      </c>
      <c r="E144" s="28">
        <v>12727</v>
      </c>
      <c r="F144" s="25">
        <v>34.980159499999999</v>
      </c>
      <c r="G144" s="26">
        <v>0.24176944736929801</v>
      </c>
      <c r="H144" s="24"/>
    </row>
    <row r="145" spans="2:9" x14ac:dyDescent="0.2">
      <c r="B145" s="24" t="s">
        <v>744</v>
      </c>
      <c r="C145" s="24" t="s">
        <v>745</v>
      </c>
      <c r="D145" s="24" t="s">
        <v>232</v>
      </c>
      <c r="E145" s="28">
        <v>76566</v>
      </c>
      <c r="F145" s="25">
        <v>34.293911399999999</v>
      </c>
      <c r="G145" s="26">
        <v>0.23702636368223701</v>
      </c>
      <c r="H145" s="24"/>
    </row>
    <row r="146" spans="2:9" x14ac:dyDescent="0.2">
      <c r="B146" s="24" t="s">
        <v>746</v>
      </c>
      <c r="C146" s="24" t="s">
        <v>747</v>
      </c>
      <c r="D146" s="24" t="s">
        <v>264</v>
      </c>
      <c r="E146" s="28">
        <v>12591</v>
      </c>
      <c r="F146" s="25">
        <v>33.026192999999999</v>
      </c>
      <c r="G146" s="26">
        <v>0.22826438027882001</v>
      </c>
      <c r="H146" s="24"/>
    </row>
    <row r="147" spans="2:9" x14ac:dyDescent="0.2">
      <c r="B147" s="24" t="s">
        <v>748</v>
      </c>
      <c r="C147" s="24" t="s">
        <v>749</v>
      </c>
      <c r="D147" s="24" t="s">
        <v>750</v>
      </c>
      <c r="E147" s="28">
        <v>109</v>
      </c>
      <c r="F147" s="25">
        <v>32.220399999999998</v>
      </c>
      <c r="G147" s="26">
        <v>0.22269504808912399</v>
      </c>
      <c r="H147" s="24"/>
    </row>
    <row r="148" spans="2:9" x14ac:dyDescent="0.2">
      <c r="B148" s="24" t="s">
        <v>751</v>
      </c>
      <c r="C148" s="24" t="s">
        <v>752</v>
      </c>
      <c r="D148" s="24" t="s">
        <v>448</v>
      </c>
      <c r="E148" s="28">
        <v>85</v>
      </c>
      <c r="F148" s="25">
        <v>31.02075</v>
      </c>
      <c r="G148" s="26">
        <v>0.21440352736187901</v>
      </c>
      <c r="H148" s="24"/>
    </row>
    <row r="149" spans="2:9" x14ac:dyDescent="0.2">
      <c r="B149" s="24" t="s">
        <v>753</v>
      </c>
      <c r="C149" s="24" t="s">
        <v>754</v>
      </c>
      <c r="D149" s="24" t="s">
        <v>389</v>
      </c>
      <c r="E149" s="28">
        <v>6655</v>
      </c>
      <c r="F149" s="25">
        <v>27.112469999999998</v>
      </c>
      <c r="G149" s="26">
        <v>0.18739099484999999</v>
      </c>
      <c r="H149" s="24"/>
    </row>
    <row r="150" spans="2:9" x14ac:dyDescent="0.2">
      <c r="B150" s="24" t="s">
        <v>755</v>
      </c>
      <c r="C150" s="24" t="s">
        <v>756</v>
      </c>
      <c r="D150" s="24" t="s">
        <v>264</v>
      </c>
      <c r="E150" s="28">
        <v>27607</v>
      </c>
      <c r="F150" s="25">
        <v>24.3024421</v>
      </c>
      <c r="G150" s="26">
        <v>0.16796915966725001</v>
      </c>
      <c r="H150" s="24"/>
    </row>
    <row r="151" spans="2:9" x14ac:dyDescent="0.2">
      <c r="B151" s="24" t="s">
        <v>757</v>
      </c>
      <c r="C151" s="24" t="s">
        <v>758</v>
      </c>
      <c r="D151" s="24" t="s">
        <v>218</v>
      </c>
      <c r="E151" s="28">
        <v>21635</v>
      </c>
      <c r="F151" s="25">
        <v>22.457129999999999</v>
      </c>
      <c r="G151" s="26">
        <v>0.15521507011997701</v>
      </c>
      <c r="H151" s="24"/>
    </row>
    <row r="152" spans="2:9" x14ac:dyDescent="0.2">
      <c r="B152" s="24" t="s">
        <v>759</v>
      </c>
      <c r="C152" s="24" t="s">
        <v>760</v>
      </c>
      <c r="D152" s="24" t="s">
        <v>503</v>
      </c>
      <c r="E152" s="28">
        <v>2404</v>
      </c>
      <c r="F152" s="25">
        <v>21.716533999999999</v>
      </c>
      <c r="G152" s="26">
        <v>0.15009635459085199</v>
      </c>
      <c r="H152" s="24"/>
    </row>
    <row r="153" spans="2:9" x14ac:dyDescent="0.2">
      <c r="B153" s="24" t="s">
        <v>761</v>
      </c>
      <c r="C153" s="24" t="s">
        <v>762</v>
      </c>
      <c r="D153" s="24" t="s">
        <v>750</v>
      </c>
      <c r="E153" s="28">
        <v>1710</v>
      </c>
      <c r="F153" s="25">
        <v>18.893789999999999</v>
      </c>
      <c r="G153" s="26">
        <v>0.130586630601601</v>
      </c>
      <c r="H153" s="24"/>
    </row>
    <row r="154" spans="2:9" x14ac:dyDescent="0.2">
      <c r="B154" s="24" t="s">
        <v>763</v>
      </c>
      <c r="C154" s="24" t="s">
        <v>764</v>
      </c>
      <c r="D154" s="24" t="s">
        <v>319</v>
      </c>
      <c r="E154" s="28">
        <v>9289</v>
      </c>
      <c r="F154" s="25">
        <v>17.3769323</v>
      </c>
      <c r="G154" s="26">
        <v>0.120102691902954</v>
      </c>
      <c r="H154" s="24"/>
    </row>
    <row r="155" spans="2:9" x14ac:dyDescent="0.2">
      <c r="B155" s="24" t="s">
        <v>765</v>
      </c>
      <c r="C155" s="24" t="s">
        <v>766</v>
      </c>
      <c r="D155" s="24" t="s">
        <v>218</v>
      </c>
      <c r="E155" s="28">
        <v>40184</v>
      </c>
      <c r="F155" s="25">
        <v>16.117802399999999</v>
      </c>
      <c r="G155" s="26">
        <v>0.111400068917797</v>
      </c>
      <c r="H155" s="24"/>
    </row>
    <row r="156" spans="2:9" x14ac:dyDescent="0.2">
      <c r="B156" s="24" t="s">
        <v>767</v>
      </c>
      <c r="C156" s="24" t="s">
        <v>768</v>
      </c>
      <c r="D156" s="24" t="s">
        <v>218</v>
      </c>
      <c r="E156" s="28">
        <v>43915</v>
      </c>
      <c r="F156" s="25">
        <v>14.5841715</v>
      </c>
      <c r="G156" s="26">
        <v>0.100800200293371</v>
      </c>
      <c r="H156" s="24"/>
    </row>
    <row r="157" spans="2:9" x14ac:dyDescent="0.2">
      <c r="B157" s="23" t="s">
        <v>56</v>
      </c>
      <c r="C157" s="23"/>
      <c r="D157" s="23"/>
      <c r="E157" s="23"/>
      <c r="F157" s="30">
        <f>SUM(F7:F156)</f>
        <v>14573.983161599999</v>
      </c>
      <c r="G157" s="31">
        <f>SUM(G7:G156)</f>
        <v>100.72978240563731</v>
      </c>
      <c r="H157" s="23"/>
      <c r="I157" s="16"/>
    </row>
    <row r="158" spans="2:9" x14ac:dyDescent="0.2">
      <c r="B158" s="23" t="s">
        <v>342</v>
      </c>
      <c r="C158" s="23"/>
      <c r="D158" s="23"/>
      <c r="E158" s="23"/>
      <c r="F158" s="51" t="s">
        <v>343</v>
      </c>
      <c r="G158" s="52" t="s">
        <v>343</v>
      </c>
      <c r="H158" s="23"/>
      <c r="I158" s="16"/>
    </row>
    <row r="159" spans="2:9" x14ac:dyDescent="0.2">
      <c r="B159" s="23" t="s">
        <v>56</v>
      </c>
      <c r="C159" s="23"/>
      <c r="D159" s="23"/>
      <c r="E159" s="23"/>
      <c r="F159" s="47" t="s">
        <v>343</v>
      </c>
      <c r="G159" s="48" t="s">
        <v>343</v>
      </c>
      <c r="H159" s="23"/>
      <c r="I159" s="16"/>
    </row>
    <row r="160" spans="2:9" x14ac:dyDescent="0.2">
      <c r="B160" s="35" t="s">
        <v>82</v>
      </c>
      <c r="C160" s="35"/>
      <c r="D160" s="35"/>
      <c r="E160" s="35"/>
      <c r="F160" s="36">
        <f>F157</f>
        <v>14573.983161599999</v>
      </c>
      <c r="G160" s="37">
        <f>G157</f>
        <v>100.72978240563731</v>
      </c>
      <c r="H160" s="23"/>
      <c r="I160" s="16"/>
    </row>
    <row r="161" spans="2:9" x14ac:dyDescent="0.2">
      <c r="B161" s="23" t="s">
        <v>87</v>
      </c>
      <c r="C161" s="23"/>
      <c r="D161" s="23"/>
      <c r="E161" s="23"/>
      <c r="F161" s="30">
        <v>167.0674588</v>
      </c>
      <c r="G161" s="31">
        <v>1.15470620388306</v>
      </c>
      <c r="H161" s="38">
        <v>5.4149999999999997E-2</v>
      </c>
      <c r="I161" s="17"/>
    </row>
    <row r="162" spans="2:9" x14ac:dyDescent="0.2">
      <c r="B162" s="24"/>
      <c r="C162" s="24"/>
      <c r="D162" s="24"/>
      <c r="E162" s="24"/>
      <c r="F162" s="25"/>
      <c r="G162" s="26"/>
      <c r="H162" s="24"/>
    </row>
    <row r="163" spans="2:9" x14ac:dyDescent="0.2">
      <c r="B163" s="43" t="s">
        <v>89</v>
      </c>
      <c r="C163" s="43"/>
      <c r="D163" s="43"/>
      <c r="E163" s="43"/>
      <c r="F163" s="30">
        <f>F164-(F157+F161)</f>
        <v>-272.65526249999857</v>
      </c>
      <c r="G163" s="31">
        <f>G164-(G157+G161)</f>
        <v>-1.8844886095203748</v>
      </c>
      <c r="H163" s="23"/>
      <c r="I163" s="16"/>
    </row>
    <row r="164" spans="2:9" x14ac:dyDescent="0.2">
      <c r="B164" s="39" t="s">
        <v>88</v>
      </c>
      <c r="C164" s="39"/>
      <c r="D164" s="39"/>
      <c r="E164" s="39"/>
      <c r="F164" s="40">
        <v>14468.395357900001</v>
      </c>
      <c r="G164" s="41">
        <v>100</v>
      </c>
      <c r="H164" s="53"/>
      <c r="I164" s="16"/>
    </row>
    <row r="166" spans="2:9" x14ac:dyDescent="0.2">
      <c r="B166" s="16" t="s">
        <v>93</v>
      </c>
    </row>
    <row r="168" spans="2:9" x14ac:dyDescent="0.2">
      <c r="B168" s="16" t="s">
        <v>94</v>
      </c>
    </row>
    <row r="185" spans="2:2" x14ac:dyDescent="0.2">
      <c r="B185" s="60" t="s">
        <v>1323</v>
      </c>
    </row>
    <row r="186" spans="2:2" x14ac:dyDescent="0.2">
      <c r="B186" s="61" t="s">
        <v>1330</v>
      </c>
    </row>
  </sheetData>
  <mergeCells count="1">
    <mergeCell ref="B1:C1"/>
  </mergeCells>
  <conditionalFormatting sqref="G1:G3">
    <cfRule type="cellIs" dxfId="5" priority="2" stopIfTrue="1" operator="between">
      <formula>0.009</formula>
      <formula>-0.009</formula>
    </cfRule>
  </conditionalFormatting>
  <conditionalFormatting sqref="G5:G65536">
    <cfRule type="cellIs" dxfId="4" priority="1" stopIfTrue="1" operator="between">
      <formula>0.009</formula>
      <formula>-0.009</formula>
    </cfRule>
  </conditionalFormatting>
  <pageMargins left="0.7" right="0.7" top="0.75" bottom="0.75" header="0.3" footer="0.3"/>
  <pageSetup paperSize="9" scale="52" orientation="portrait" r:id="rId1"/>
  <headerFooter>
    <oddFooter>&amp;C&amp;1#&amp;"Calibri"&amp;10&amp;K000000RESTRICTED</oddFooter>
    <evenFooter>&amp;LPUBLIC</evenFooter>
    <firstFooter>&amp;LPUBLIC</firstFooter>
  </headerFooter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9D11D8-1AAC-4C94-A119-DE6E9C816BB8}">
  <dimension ref="A1:I290"/>
  <sheetViews>
    <sheetView view="pageBreakPreview" zoomScaleNormal="100" zoomScaleSheetLayoutView="100" workbookViewId="0">
      <selection activeCell="B1" sqref="B1:C1"/>
    </sheetView>
  </sheetViews>
  <sheetFormatPr defaultRowHeight="11.25" x14ac:dyDescent="0.2"/>
  <cols>
    <col min="1" max="1" width="7.28515625" style="6" customWidth="1"/>
    <col min="2" max="2" width="59.5703125" style="6" bestFit="1" customWidth="1"/>
    <col min="3" max="3" width="11.7109375" style="6" bestFit="1" customWidth="1"/>
    <col min="4" max="4" width="35.42578125" style="6" bestFit="1" customWidth="1"/>
    <col min="5" max="5" width="15" style="6" bestFit="1" customWidth="1"/>
    <col min="6" max="6" width="14.85546875" style="8" bestFit="1" customWidth="1"/>
    <col min="7" max="7" width="7.28515625" style="14" bestFit="1" customWidth="1"/>
    <col min="8" max="8" width="14.42578125" style="6" bestFit="1" customWidth="1"/>
    <col min="9" max="16384" width="9.140625" style="6"/>
  </cols>
  <sheetData>
    <row r="1" spans="1:8" s="1" customFormat="1" ht="16.899999999999999" customHeight="1" x14ac:dyDescent="0.2">
      <c r="B1" s="90" t="s">
        <v>16</v>
      </c>
      <c r="C1" s="91"/>
      <c r="D1" s="10"/>
      <c r="F1" s="5"/>
      <c r="G1" s="14"/>
    </row>
    <row r="2" spans="1:8" s="1" customFormat="1" ht="15" x14ac:dyDescent="0.25">
      <c r="A2" s="57" t="str">
        <f>HYPERLINK("[JioBlackRock Mutual Fund-Monthly-Portfolio-31-10-2025.xlsx]index!A1","")</f>
        <v/>
      </c>
      <c r="F2" s="5"/>
      <c r="G2" s="14"/>
    </row>
    <row r="3" spans="1:8" s="1" customFormat="1" ht="12" x14ac:dyDescent="0.2">
      <c r="B3" s="7" t="s">
        <v>1336</v>
      </c>
      <c r="C3" s="2"/>
      <c r="D3" s="3"/>
      <c r="E3" s="3"/>
      <c r="F3" s="4"/>
      <c r="G3" s="14"/>
    </row>
    <row r="4" spans="1:8" s="1" customFormat="1" ht="25.5" customHeight="1" x14ac:dyDescent="0.2">
      <c r="B4" s="18" t="s">
        <v>7</v>
      </c>
      <c r="C4" s="18" t="s">
        <v>8</v>
      </c>
      <c r="D4" s="19" t="s">
        <v>344</v>
      </c>
      <c r="E4" s="19" t="s">
        <v>0</v>
      </c>
      <c r="F4" s="20" t="s">
        <v>4</v>
      </c>
      <c r="G4" s="21" t="s">
        <v>5</v>
      </c>
      <c r="H4" s="55" t="s">
        <v>6</v>
      </c>
    </row>
    <row r="5" spans="1:8" x14ac:dyDescent="0.2">
      <c r="B5" s="23" t="s">
        <v>215</v>
      </c>
      <c r="C5" s="24"/>
      <c r="D5" s="24"/>
      <c r="E5" s="24"/>
      <c r="F5" s="25"/>
      <c r="G5" s="26"/>
      <c r="H5" s="24"/>
    </row>
    <row r="6" spans="1:8" x14ac:dyDescent="0.2">
      <c r="B6" s="23" t="s">
        <v>104</v>
      </c>
      <c r="C6" s="24"/>
      <c r="D6" s="24"/>
      <c r="E6" s="24"/>
      <c r="F6" s="25"/>
      <c r="G6" s="26"/>
      <c r="H6" s="24"/>
    </row>
    <row r="7" spans="1:8" x14ac:dyDescent="0.2">
      <c r="B7" s="24" t="s">
        <v>769</v>
      </c>
      <c r="C7" s="24" t="s">
        <v>770</v>
      </c>
      <c r="D7" s="24" t="s">
        <v>460</v>
      </c>
      <c r="E7" s="28">
        <v>4165</v>
      </c>
      <c r="F7" s="25">
        <v>384.99177500000002</v>
      </c>
      <c r="G7" s="26">
        <v>2.30046639006689</v>
      </c>
      <c r="H7" s="24"/>
    </row>
    <row r="8" spans="1:8" x14ac:dyDescent="0.2">
      <c r="B8" s="24" t="s">
        <v>771</v>
      </c>
      <c r="C8" s="24" t="s">
        <v>772</v>
      </c>
      <c r="D8" s="24" t="s">
        <v>259</v>
      </c>
      <c r="E8" s="28">
        <v>31709</v>
      </c>
      <c r="F8" s="25">
        <v>302.39287849999999</v>
      </c>
      <c r="G8" s="26">
        <v>1.80690783221234</v>
      </c>
      <c r="H8" s="24"/>
    </row>
    <row r="9" spans="1:8" x14ac:dyDescent="0.2">
      <c r="B9" s="24" t="s">
        <v>773</v>
      </c>
      <c r="C9" s="24" t="s">
        <v>774</v>
      </c>
      <c r="D9" s="24" t="s">
        <v>460</v>
      </c>
      <c r="E9" s="28">
        <v>14539</v>
      </c>
      <c r="F9" s="25">
        <v>230.76300800000001</v>
      </c>
      <c r="G9" s="26">
        <v>1.37889320875683</v>
      </c>
      <c r="H9" s="24"/>
    </row>
    <row r="10" spans="1:8" x14ac:dyDescent="0.2">
      <c r="B10" s="24" t="s">
        <v>775</v>
      </c>
      <c r="C10" s="24" t="s">
        <v>776</v>
      </c>
      <c r="D10" s="24" t="s">
        <v>281</v>
      </c>
      <c r="E10" s="28">
        <v>43650</v>
      </c>
      <c r="F10" s="25">
        <v>203.38717500000001</v>
      </c>
      <c r="G10" s="26">
        <v>1.21531261351792</v>
      </c>
      <c r="H10" s="24"/>
    </row>
    <row r="11" spans="1:8" x14ac:dyDescent="0.2">
      <c r="B11" s="24" t="s">
        <v>777</v>
      </c>
      <c r="C11" s="24" t="s">
        <v>778</v>
      </c>
      <c r="D11" s="24" t="s">
        <v>367</v>
      </c>
      <c r="E11" s="28">
        <v>6386</v>
      </c>
      <c r="F11" s="25">
        <v>199.97758999999999</v>
      </c>
      <c r="G11" s="26">
        <v>1.1949390985341899</v>
      </c>
      <c r="H11" s="24"/>
    </row>
    <row r="12" spans="1:8" x14ac:dyDescent="0.2">
      <c r="B12" s="24" t="s">
        <v>779</v>
      </c>
      <c r="C12" s="24" t="s">
        <v>780</v>
      </c>
      <c r="D12" s="24" t="s">
        <v>218</v>
      </c>
      <c r="E12" s="28">
        <v>77059</v>
      </c>
      <c r="F12" s="25">
        <v>187.36895849999999</v>
      </c>
      <c r="G12" s="26">
        <v>1.1195979227636501</v>
      </c>
      <c r="H12" s="24"/>
    </row>
    <row r="13" spans="1:8" x14ac:dyDescent="0.2">
      <c r="B13" s="24" t="s">
        <v>781</v>
      </c>
      <c r="C13" s="24" t="s">
        <v>782</v>
      </c>
      <c r="D13" s="24" t="s">
        <v>448</v>
      </c>
      <c r="E13" s="28">
        <v>2549</v>
      </c>
      <c r="F13" s="25">
        <v>170.897705</v>
      </c>
      <c r="G13" s="26">
        <v>1.0211761705612199</v>
      </c>
      <c r="H13" s="24"/>
    </row>
    <row r="14" spans="1:8" x14ac:dyDescent="0.2">
      <c r="B14" s="24" t="s">
        <v>783</v>
      </c>
      <c r="C14" s="24" t="s">
        <v>784</v>
      </c>
      <c r="D14" s="24" t="s">
        <v>407</v>
      </c>
      <c r="E14" s="28">
        <v>3000</v>
      </c>
      <c r="F14" s="25">
        <v>170.62200000000001</v>
      </c>
      <c r="G14" s="26">
        <v>1.01952873254498</v>
      </c>
      <c r="H14" s="24"/>
    </row>
    <row r="15" spans="1:8" x14ac:dyDescent="0.2">
      <c r="B15" s="24" t="s">
        <v>785</v>
      </c>
      <c r="C15" s="24" t="s">
        <v>786</v>
      </c>
      <c r="D15" s="24" t="s">
        <v>218</v>
      </c>
      <c r="E15" s="28">
        <v>48818</v>
      </c>
      <c r="F15" s="25">
        <v>159.317543</v>
      </c>
      <c r="G15" s="26">
        <v>0.95198047547778697</v>
      </c>
      <c r="H15" s="24"/>
    </row>
    <row r="16" spans="1:8" x14ac:dyDescent="0.2">
      <c r="B16" s="24" t="s">
        <v>787</v>
      </c>
      <c r="C16" s="24" t="s">
        <v>788</v>
      </c>
      <c r="D16" s="24" t="s">
        <v>249</v>
      </c>
      <c r="E16" s="28">
        <v>8084</v>
      </c>
      <c r="F16" s="25">
        <v>154.61458400000001</v>
      </c>
      <c r="G16" s="26">
        <v>0.92387857872073897</v>
      </c>
      <c r="H16" s="24"/>
    </row>
    <row r="17" spans="2:8" x14ac:dyDescent="0.2">
      <c r="B17" s="24" t="s">
        <v>789</v>
      </c>
      <c r="C17" s="24" t="s">
        <v>790</v>
      </c>
      <c r="D17" s="24" t="s">
        <v>460</v>
      </c>
      <c r="E17" s="28">
        <v>3916</v>
      </c>
      <c r="F17" s="25">
        <v>154.341308</v>
      </c>
      <c r="G17" s="26">
        <v>0.92224565486616605</v>
      </c>
      <c r="H17" s="24"/>
    </row>
    <row r="18" spans="2:8" x14ac:dyDescent="0.2">
      <c r="B18" s="24" t="s">
        <v>791</v>
      </c>
      <c r="C18" s="24" t="s">
        <v>792</v>
      </c>
      <c r="D18" s="24" t="s">
        <v>267</v>
      </c>
      <c r="E18" s="28">
        <v>52455</v>
      </c>
      <c r="F18" s="25">
        <v>148.29028500000001</v>
      </c>
      <c r="G18" s="26">
        <v>0.88608858362218501</v>
      </c>
      <c r="H18" s="24"/>
    </row>
    <row r="19" spans="2:8" x14ac:dyDescent="0.2">
      <c r="B19" s="24" t="s">
        <v>793</v>
      </c>
      <c r="C19" s="24" t="s">
        <v>794</v>
      </c>
      <c r="D19" s="24" t="s">
        <v>324</v>
      </c>
      <c r="E19" s="28">
        <v>20109</v>
      </c>
      <c r="F19" s="25">
        <v>144.99594450000001</v>
      </c>
      <c r="G19" s="26">
        <v>0.86640369659392003</v>
      </c>
      <c r="H19" s="24"/>
    </row>
    <row r="20" spans="2:8" x14ac:dyDescent="0.2">
      <c r="B20" s="24" t="s">
        <v>795</v>
      </c>
      <c r="C20" s="24" t="s">
        <v>796</v>
      </c>
      <c r="D20" s="24" t="s">
        <v>249</v>
      </c>
      <c r="E20" s="28">
        <v>15332</v>
      </c>
      <c r="F20" s="25">
        <v>142.388284</v>
      </c>
      <c r="G20" s="26">
        <v>0.85082197322605002</v>
      </c>
      <c r="H20" s="24"/>
    </row>
    <row r="21" spans="2:8" x14ac:dyDescent="0.2">
      <c r="B21" s="24" t="s">
        <v>797</v>
      </c>
      <c r="C21" s="24" t="s">
        <v>798</v>
      </c>
      <c r="D21" s="24" t="s">
        <v>267</v>
      </c>
      <c r="E21" s="28">
        <v>1735</v>
      </c>
      <c r="F21" s="25">
        <v>139.43327500000001</v>
      </c>
      <c r="G21" s="26">
        <v>0.83316471577725104</v>
      </c>
      <c r="H21" s="24"/>
    </row>
    <row r="22" spans="2:8" x14ac:dyDescent="0.2">
      <c r="B22" s="24" t="s">
        <v>799</v>
      </c>
      <c r="C22" s="24" t="s">
        <v>800</v>
      </c>
      <c r="D22" s="24" t="s">
        <v>218</v>
      </c>
      <c r="E22" s="28">
        <v>58825</v>
      </c>
      <c r="F22" s="25">
        <v>134.51512750000001</v>
      </c>
      <c r="G22" s="26">
        <v>0.80377698918194496</v>
      </c>
      <c r="H22" s="24"/>
    </row>
    <row r="23" spans="2:8" x14ac:dyDescent="0.2">
      <c r="B23" s="24" t="s">
        <v>801</v>
      </c>
      <c r="C23" s="24" t="s">
        <v>802</v>
      </c>
      <c r="D23" s="24" t="s">
        <v>460</v>
      </c>
      <c r="E23" s="28">
        <v>5246</v>
      </c>
      <c r="F23" s="25">
        <v>130.751304</v>
      </c>
      <c r="G23" s="26">
        <v>0.78128676985221102</v>
      </c>
      <c r="H23" s="24"/>
    </row>
    <row r="24" spans="2:8" x14ac:dyDescent="0.2">
      <c r="B24" s="24" t="s">
        <v>803</v>
      </c>
      <c r="C24" s="24" t="s">
        <v>804</v>
      </c>
      <c r="D24" s="24" t="s">
        <v>259</v>
      </c>
      <c r="E24" s="28">
        <v>6496</v>
      </c>
      <c r="F24" s="25">
        <v>125.301344</v>
      </c>
      <c r="G24" s="26">
        <v>0.74872126944065198</v>
      </c>
      <c r="H24" s="24"/>
    </row>
    <row r="25" spans="2:8" x14ac:dyDescent="0.2">
      <c r="B25" s="24" t="s">
        <v>805</v>
      </c>
      <c r="C25" s="24" t="s">
        <v>806</v>
      </c>
      <c r="D25" s="24" t="s">
        <v>324</v>
      </c>
      <c r="E25" s="28">
        <v>18447</v>
      </c>
      <c r="F25" s="25">
        <v>125.07988349999999</v>
      </c>
      <c r="G25" s="26">
        <v>0.74739796211291198</v>
      </c>
      <c r="H25" s="24"/>
    </row>
    <row r="26" spans="2:8" x14ac:dyDescent="0.2">
      <c r="B26" s="24" t="s">
        <v>807</v>
      </c>
      <c r="C26" s="24" t="s">
        <v>808</v>
      </c>
      <c r="D26" s="24" t="s">
        <v>809</v>
      </c>
      <c r="E26" s="28">
        <v>48492</v>
      </c>
      <c r="F26" s="25">
        <v>123.04845</v>
      </c>
      <c r="G26" s="26">
        <v>0.73525940541152301</v>
      </c>
      <c r="H26" s="24"/>
    </row>
    <row r="27" spans="2:8" x14ac:dyDescent="0.2">
      <c r="B27" s="24" t="s">
        <v>810</v>
      </c>
      <c r="C27" s="24" t="s">
        <v>811</v>
      </c>
      <c r="D27" s="24" t="s">
        <v>386</v>
      </c>
      <c r="E27" s="28">
        <v>78705</v>
      </c>
      <c r="F27" s="25">
        <v>122.0950665</v>
      </c>
      <c r="G27" s="26">
        <v>0.72956259098322895</v>
      </c>
      <c r="H27" s="24"/>
    </row>
    <row r="28" spans="2:8" x14ac:dyDescent="0.2">
      <c r="B28" s="24" t="s">
        <v>812</v>
      </c>
      <c r="C28" s="24" t="s">
        <v>813</v>
      </c>
      <c r="D28" s="24" t="s">
        <v>249</v>
      </c>
      <c r="E28" s="28">
        <v>44796</v>
      </c>
      <c r="F28" s="25">
        <v>120.72521999999999</v>
      </c>
      <c r="G28" s="26">
        <v>0.72137725810747899</v>
      </c>
      <c r="H28" s="24"/>
    </row>
    <row r="29" spans="2:8" x14ac:dyDescent="0.2">
      <c r="B29" s="24" t="s">
        <v>814</v>
      </c>
      <c r="C29" s="24" t="s">
        <v>815</v>
      </c>
      <c r="D29" s="24" t="s">
        <v>460</v>
      </c>
      <c r="E29" s="28">
        <v>10870</v>
      </c>
      <c r="F29" s="25">
        <v>119.36347000000001</v>
      </c>
      <c r="G29" s="26">
        <v>0.71324030477471401</v>
      </c>
      <c r="H29" s="24"/>
    </row>
    <row r="30" spans="2:8" x14ac:dyDescent="0.2">
      <c r="B30" s="24" t="s">
        <v>816</v>
      </c>
      <c r="C30" s="24" t="s">
        <v>817</v>
      </c>
      <c r="D30" s="24" t="s">
        <v>249</v>
      </c>
      <c r="E30" s="28">
        <v>62941</v>
      </c>
      <c r="F30" s="25">
        <v>118.7004319</v>
      </c>
      <c r="G30" s="26">
        <v>0.70927841009687598</v>
      </c>
      <c r="H30" s="24"/>
    </row>
    <row r="31" spans="2:8" x14ac:dyDescent="0.2">
      <c r="B31" s="24" t="s">
        <v>818</v>
      </c>
      <c r="C31" s="24" t="s">
        <v>819</v>
      </c>
      <c r="D31" s="24" t="s">
        <v>392</v>
      </c>
      <c r="E31" s="28">
        <v>11334</v>
      </c>
      <c r="F31" s="25">
        <v>117.61291799999999</v>
      </c>
      <c r="G31" s="26">
        <v>0.70278011756665104</v>
      </c>
      <c r="H31" s="24"/>
    </row>
    <row r="32" spans="2:8" x14ac:dyDescent="0.2">
      <c r="B32" s="24" t="s">
        <v>820</v>
      </c>
      <c r="C32" s="24" t="s">
        <v>821</v>
      </c>
      <c r="D32" s="24" t="s">
        <v>232</v>
      </c>
      <c r="E32" s="28">
        <v>9275</v>
      </c>
      <c r="F32" s="25">
        <v>116.5311</v>
      </c>
      <c r="G32" s="26">
        <v>0.69631586011811297</v>
      </c>
      <c r="H32" s="24"/>
    </row>
    <row r="33" spans="2:8" x14ac:dyDescent="0.2">
      <c r="B33" s="24" t="s">
        <v>822</v>
      </c>
      <c r="C33" s="24" t="s">
        <v>823</v>
      </c>
      <c r="D33" s="24" t="s">
        <v>259</v>
      </c>
      <c r="E33" s="28">
        <v>699</v>
      </c>
      <c r="F33" s="25">
        <v>115.14627</v>
      </c>
      <c r="G33" s="26">
        <v>0.68804099536040197</v>
      </c>
      <c r="H33" s="24"/>
    </row>
    <row r="34" spans="2:8" x14ac:dyDescent="0.2">
      <c r="B34" s="24" t="s">
        <v>824</v>
      </c>
      <c r="C34" s="24" t="s">
        <v>825</v>
      </c>
      <c r="D34" s="24" t="s">
        <v>407</v>
      </c>
      <c r="E34" s="28">
        <v>12778</v>
      </c>
      <c r="F34" s="25">
        <v>113.80725700000001</v>
      </c>
      <c r="G34" s="26">
        <v>0.68003990390237601</v>
      </c>
      <c r="H34" s="24"/>
    </row>
    <row r="35" spans="2:8" x14ac:dyDescent="0.2">
      <c r="B35" s="24" t="s">
        <v>826</v>
      </c>
      <c r="C35" s="24" t="s">
        <v>827</v>
      </c>
      <c r="D35" s="24" t="s">
        <v>249</v>
      </c>
      <c r="E35" s="28">
        <v>23442</v>
      </c>
      <c r="F35" s="25">
        <v>112.955277</v>
      </c>
      <c r="G35" s="26">
        <v>0.674949012402138</v>
      </c>
      <c r="H35" s="24"/>
    </row>
    <row r="36" spans="2:8" x14ac:dyDescent="0.2">
      <c r="B36" s="24" t="s">
        <v>828</v>
      </c>
      <c r="C36" s="24" t="s">
        <v>829</v>
      </c>
      <c r="D36" s="24" t="s">
        <v>259</v>
      </c>
      <c r="E36" s="28">
        <v>6644</v>
      </c>
      <c r="F36" s="25">
        <v>111.772012</v>
      </c>
      <c r="G36" s="26">
        <v>0.66787857209716595</v>
      </c>
      <c r="H36" s="24"/>
    </row>
    <row r="37" spans="2:8" x14ac:dyDescent="0.2">
      <c r="B37" s="24" t="s">
        <v>830</v>
      </c>
      <c r="C37" s="24" t="s">
        <v>831</v>
      </c>
      <c r="D37" s="24" t="s">
        <v>218</v>
      </c>
      <c r="E37" s="28">
        <v>71181</v>
      </c>
      <c r="F37" s="25">
        <v>111.44097360000001</v>
      </c>
      <c r="G37" s="26">
        <v>0.66590049681745</v>
      </c>
      <c r="H37" s="24"/>
    </row>
    <row r="38" spans="2:8" x14ac:dyDescent="0.2">
      <c r="B38" s="24" t="s">
        <v>832</v>
      </c>
      <c r="C38" s="24" t="s">
        <v>833</v>
      </c>
      <c r="D38" s="24" t="s">
        <v>264</v>
      </c>
      <c r="E38" s="28">
        <v>233869</v>
      </c>
      <c r="F38" s="25">
        <v>108.56198980000001</v>
      </c>
      <c r="G38" s="26">
        <v>0.64869751769030604</v>
      </c>
      <c r="H38" s="24"/>
    </row>
    <row r="39" spans="2:8" x14ac:dyDescent="0.2">
      <c r="B39" s="24" t="s">
        <v>834</v>
      </c>
      <c r="C39" s="24" t="s">
        <v>835</v>
      </c>
      <c r="D39" s="24" t="s">
        <v>276</v>
      </c>
      <c r="E39" s="28">
        <v>10312</v>
      </c>
      <c r="F39" s="25">
        <v>107.703684</v>
      </c>
      <c r="G39" s="26">
        <v>0.64356882722594699</v>
      </c>
      <c r="H39" s="24"/>
    </row>
    <row r="40" spans="2:8" x14ac:dyDescent="0.2">
      <c r="B40" s="24" t="s">
        <v>836</v>
      </c>
      <c r="C40" s="24" t="s">
        <v>837</v>
      </c>
      <c r="D40" s="24" t="s">
        <v>476</v>
      </c>
      <c r="E40" s="28">
        <v>10679</v>
      </c>
      <c r="F40" s="25">
        <v>103.1324425</v>
      </c>
      <c r="G40" s="26">
        <v>0.61625399061254404</v>
      </c>
      <c r="H40" s="24"/>
    </row>
    <row r="41" spans="2:8" x14ac:dyDescent="0.2">
      <c r="B41" s="24" t="s">
        <v>838</v>
      </c>
      <c r="C41" s="24" t="s">
        <v>839</v>
      </c>
      <c r="D41" s="24" t="s">
        <v>249</v>
      </c>
      <c r="E41" s="28">
        <v>18945</v>
      </c>
      <c r="F41" s="25">
        <v>101.27997000000001</v>
      </c>
      <c r="G41" s="26">
        <v>0.60518479121270397</v>
      </c>
      <c r="H41" s="24"/>
    </row>
    <row r="42" spans="2:8" x14ac:dyDescent="0.2">
      <c r="B42" s="24" t="s">
        <v>840</v>
      </c>
      <c r="C42" s="24" t="s">
        <v>841</v>
      </c>
      <c r="D42" s="24" t="s">
        <v>249</v>
      </c>
      <c r="E42" s="28">
        <v>3468</v>
      </c>
      <c r="F42" s="25">
        <v>100.852908</v>
      </c>
      <c r="G42" s="26">
        <v>0.60263293987126998</v>
      </c>
      <c r="H42" s="24"/>
    </row>
    <row r="43" spans="2:8" x14ac:dyDescent="0.2">
      <c r="B43" s="24" t="s">
        <v>842</v>
      </c>
      <c r="C43" s="24" t="s">
        <v>843</v>
      </c>
      <c r="D43" s="24" t="s">
        <v>259</v>
      </c>
      <c r="E43" s="28">
        <v>50438</v>
      </c>
      <c r="F43" s="25">
        <v>100.68937940000001</v>
      </c>
      <c r="G43" s="26">
        <v>0.60165579679304504</v>
      </c>
      <c r="H43" s="24"/>
    </row>
    <row r="44" spans="2:8" x14ac:dyDescent="0.2">
      <c r="B44" s="24" t="s">
        <v>844</v>
      </c>
      <c r="C44" s="24" t="s">
        <v>845</v>
      </c>
      <c r="D44" s="24" t="s">
        <v>399</v>
      </c>
      <c r="E44" s="28">
        <v>9998</v>
      </c>
      <c r="F44" s="25">
        <v>100.454905</v>
      </c>
      <c r="G44" s="26">
        <v>0.60025472666231094</v>
      </c>
      <c r="H44" s="24"/>
    </row>
    <row r="45" spans="2:8" x14ac:dyDescent="0.2">
      <c r="B45" s="24" t="s">
        <v>846</v>
      </c>
      <c r="C45" s="24" t="s">
        <v>847</v>
      </c>
      <c r="D45" s="24" t="s">
        <v>715</v>
      </c>
      <c r="E45" s="28">
        <v>5166</v>
      </c>
      <c r="F45" s="25">
        <v>99.734796000000003</v>
      </c>
      <c r="G45" s="26">
        <v>0.59595181252425</v>
      </c>
      <c r="H45" s="24"/>
    </row>
    <row r="46" spans="2:8" x14ac:dyDescent="0.2">
      <c r="B46" s="24" t="s">
        <v>848</v>
      </c>
      <c r="C46" s="24" t="s">
        <v>849</v>
      </c>
      <c r="D46" s="24" t="s">
        <v>249</v>
      </c>
      <c r="E46" s="28">
        <v>15217</v>
      </c>
      <c r="F46" s="25">
        <v>99.328967500000005</v>
      </c>
      <c r="G46" s="26">
        <v>0.59352683909623005</v>
      </c>
      <c r="H46" s="24"/>
    </row>
    <row r="47" spans="2:8" x14ac:dyDescent="0.2">
      <c r="B47" s="24" t="s">
        <v>850</v>
      </c>
      <c r="C47" s="24" t="s">
        <v>851</v>
      </c>
      <c r="D47" s="24" t="s">
        <v>232</v>
      </c>
      <c r="E47" s="28">
        <v>84510</v>
      </c>
      <c r="F47" s="25">
        <v>99.223191</v>
      </c>
      <c r="G47" s="26">
        <v>0.59289478589688804</v>
      </c>
      <c r="H47" s="24"/>
    </row>
    <row r="48" spans="2:8" x14ac:dyDescent="0.2">
      <c r="B48" s="24" t="s">
        <v>852</v>
      </c>
      <c r="C48" s="24" t="s">
        <v>853</v>
      </c>
      <c r="D48" s="24" t="s">
        <v>399</v>
      </c>
      <c r="E48" s="28">
        <v>207523</v>
      </c>
      <c r="F48" s="25">
        <v>97.9716083</v>
      </c>
      <c r="G48" s="26">
        <v>0.58541612239624796</v>
      </c>
      <c r="H48" s="24"/>
    </row>
    <row r="49" spans="2:8" x14ac:dyDescent="0.2">
      <c r="B49" s="24" t="s">
        <v>854</v>
      </c>
      <c r="C49" s="24" t="s">
        <v>855</v>
      </c>
      <c r="D49" s="24" t="s">
        <v>324</v>
      </c>
      <c r="E49" s="28">
        <v>3117</v>
      </c>
      <c r="F49" s="25">
        <v>97.733535000000003</v>
      </c>
      <c r="G49" s="26">
        <v>0.583993547524298</v>
      </c>
      <c r="H49" s="24"/>
    </row>
    <row r="50" spans="2:8" x14ac:dyDescent="0.2">
      <c r="B50" s="24" t="s">
        <v>856</v>
      </c>
      <c r="C50" s="24" t="s">
        <v>857</v>
      </c>
      <c r="D50" s="24" t="s">
        <v>324</v>
      </c>
      <c r="E50" s="28">
        <v>5543</v>
      </c>
      <c r="F50" s="25">
        <v>97.412682000000004</v>
      </c>
      <c r="G50" s="26">
        <v>0.58207633372758205</v>
      </c>
      <c r="H50" s="24"/>
    </row>
    <row r="51" spans="2:8" x14ac:dyDescent="0.2">
      <c r="B51" s="24" t="s">
        <v>858</v>
      </c>
      <c r="C51" s="24" t="s">
        <v>859</v>
      </c>
      <c r="D51" s="24" t="s">
        <v>460</v>
      </c>
      <c r="E51" s="28">
        <v>3146</v>
      </c>
      <c r="F51" s="25">
        <v>97.161063999999996</v>
      </c>
      <c r="G51" s="26">
        <v>0.58057282432887902</v>
      </c>
      <c r="H51" s="24"/>
    </row>
    <row r="52" spans="2:8" x14ac:dyDescent="0.2">
      <c r="B52" s="24" t="s">
        <v>860</v>
      </c>
      <c r="C52" s="24" t="s">
        <v>861</v>
      </c>
      <c r="D52" s="24" t="s">
        <v>264</v>
      </c>
      <c r="E52" s="28">
        <v>51458</v>
      </c>
      <c r="F52" s="25">
        <v>92.603816800000004</v>
      </c>
      <c r="G52" s="26">
        <v>0.55334160876634797</v>
      </c>
      <c r="H52" s="24"/>
    </row>
    <row r="53" spans="2:8" x14ac:dyDescent="0.2">
      <c r="B53" s="24" t="s">
        <v>862</v>
      </c>
      <c r="C53" s="24" t="s">
        <v>863</v>
      </c>
      <c r="D53" s="24" t="s">
        <v>476</v>
      </c>
      <c r="E53" s="28">
        <v>9197</v>
      </c>
      <c r="F53" s="25">
        <v>92.356273999999999</v>
      </c>
      <c r="G53" s="26">
        <v>0.55186245017522495</v>
      </c>
      <c r="H53" s="24"/>
    </row>
    <row r="54" spans="2:8" x14ac:dyDescent="0.2">
      <c r="B54" s="24" t="s">
        <v>864</v>
      </c>
      <c r="C54" s="24" t="s">
        <v>865</v>
      </c>
      <c r="D54" s="24" t="s">
        <v>407</v>
      </c>
      <c r="E54" s="28">
        <v>19150</v>
      </c>
      <c r="F54" s="25">
        <v>92.350875000000002</v>
      </c>
      <c r="G54" s="26">
        <v>0.55183018917941595</v>
      </c>
      <c r="H54" s="24"/>
    </row>
    <row r="55" spans="2:8" x14ac:dyDescent="0.2">
      <c r="B55" s="24" t="s">
        <v>866</v>
      </c>
      <c r="C55" s="24" t="s">
        <v>867</v>
      </c>
      <c r="D55" s="24" t="s">
        <v>476</v>
      </c>
      <c r="E55" s="28">
        <v>2931</v>
      </c>
      <c r="F55" s="25">
        <v>92.150639999999996</v>
      </c>
      <c r="G55" s="26">
        <v>0.55063371196216804</v>
      </c>
      <c r="H55" s="24"/>
    </row>
    <row r="56" spans="2:8" x14ac:dyDescent="0.2">
      <c r="B56" s="24" t="s">
        <v>868</v>
      </c>
      <c r="C56" s="24" t="s">
        <v>869</v>
      </c>
      <c r="D56" s="24" t="s">
        <v>809</v>
      </c>
      <c r="E56" s="28">
        <v>25917</v>
      </c>
      <c r="F56" s="25">
        <v>91.720263000000003</v>
      </c>
      <c r="G56" s="26">
        <v>0.54806205228565197</v>
      </c>
      <c r="H56" s="24"/>
    </row>
    <row r="57" spans="2:8" x14ac:dyDescent="0.2">
      <c r="B57" s="24" t="s">
        <v>870</v>
      </c>
      <c r="C57" s="24" t="s">
        <v>871</v>
      </c>
      <c r="D57" s="24" t="s">
        <v>319</v>
      </c>
      <c r="E57" s="28">
        <v>18551</v>
      </c>
      <c r="F57" s="25">
        <v>91.716144</v>
      </c>
      <c r="G57" s="26">
        <v>0.54803743975708397</v>
      </c>
      <c r="H57" s="24"/>
    </row>
    <row r="58" spans="2:8" x14ac:dyDescent="0.2">
      <c r="B58" s="24" t="s">
        <v>872</v>
      </c>
      <c r="C58" s="24" t="s">
        <v>873</v>
      </c>
      <c r="D58" s="24" t="s">
        <v>284</v>
      </c>
      <c r="E58" s="28">
        <v>26786</v>
      </c>
      <c r="F58" s="25">
        <v>91.139364999999998</v>
      </c>
      <c r="G58" s="26">
        <v>0.544590974689106</v>
      </c>
      <c r="H58" s="24"/>
    </row>
    <row r="59" spans="2:8" x14ac:dyDescent="0.2">
      <c r="B59" s="24" t="s">
        <v>874</v>
      </c>
      <c r="C59" s="24" t="s">
        <v>875</v>
      </c>
      <c r="D59" s="24" t="s">
        <v>460</v>
      </c>
      <c r="E59" s="28">
        <v>64904</v>
      </c>
      <c r="F59" s="25">
        <v>90.255502399999997</v>
      </c>
      <c r="G59" s="26">
        <v>0.53930957301568805</v>
      </c>
      <c r="H59" s="24"/>
    </row>
    <row r="60" spans="2:8" x14ac:dyDescent="0.2">
      <c r="B60" s="24" t="s">
        <v>876</v>
      </c>
      <c r="C60" s="24" t="s">
        <v>877</v>
      </c>
      <c r="D60" s="24" t="s">
        <v>311</v>
      </c>
      <c r="E60" s="28">
        <v>8387</v>
      </c>
      <c r="F60" s="25">
        <v>89.942188000000002</v>
      </c>
      <c r="G60" s="26">
        <v>0.53743740510580496</v>
      </c>
      <c r="H60" s="24"/>
    </row>
    <row r="61" spans="2:8" x14ac:dyDescent="0.2">
      <c r="B61" s="24" t="s">
        <v>878</v>
      </c>
      <c r="C61" s="24" t="s">
        <v>879</v>
      </c>
      <c r="D61" s="24" t="s">
        <v>281</v>
      </c>
      <c r="E61" s="28">
        <v>8093</v>
      </c>
      <c r="F61" s="25">
        <v>88.990628000000001</v>
      </c>
      <c r="G61" s="26">
        <v>0.53175148675564798</v>
      </c>
      <c r="H61" s="24"/>
    </row>
    <row r="62" spans="2:8" x14ac:dyDescent="0.2">
      <c r="B62" s="24" t="s">
        <v>880</v>
      </c>
      <c r="C62" s="24" t="s">
        <v>881</v>
      </c>
      <c r="D62" s="24" t="s">
        <v>476</v>
      </c>
      <c r="E62" s="28">
        <v>17572</v>
      </c>
      <c r="F62" s="25">
        <v>87.403127999999995</v>
      </c>
      <c r="G62" s="26">
        <v>0.52226559476683498</v>
      </c>
      <c r="H62" s="24"/>
    </row>
    <row r="63" spans="2:8" x14ac:dyDescent="0.2">
      <c r="B63" s="24" t="s">
        <v>882</v>
      </c>
      <c r="C63" s="24" t="s">
        <v>883</v>
      </c>
      <c r="D63" s="24" t="s">
        <v>399</v>
      </c>
      <c r="E63" s="28">
        <v>9450</v>
      </c>
      <c r="F63" s="25">
        <v>87.21405</v>
      </c>
      <c r="G63" s="26">
        <v>0.52113578469725397</v>
      </c>
      <c r="H63" s="24"/>
    </row>
    <row r="64" spans="2:8" x14ac:dyDescent="0.2">
      <c r="B64" s="24" t="s">
        <v>884</v>
      </c>
      <c r="C64" s="24" t="s">
        <v>885</v>
      </c>
      <c r="D64" s="24" t="s">
        <v>460</v>
      </c>
      <c r="E64" s="28">
        <v>1228</v>
      </c>
      <c r="F64" s="25">
        <v>87.089759999999998</v>
      </c>
      <c r="G64" s="26">
        <v>0.52039310657738602</v>
      </c>
      <c r="H64" s="24"/>
    </row>
    <row r="65" spans="2:8" x14ac:dyDescent="0.2">
      <c r="B65" s="24" t="s">
        <v>886</v>
      </c>
      <c r="C65" s="24" t="s">
        <v>887</v>
      </c>
      <c r="D65" s="24" t="s">
        <v>232</v>
      </c>
      <c r="E65" s="28">
        <v>10591</v>
      </c>
      <c r="F65" s="25">
        <v>86.607902499999994</v>
      </c>
      <c r="G65" s="26">
        <v>0.51751383212132396</v>
      </c>
      <c r="H65" s="24"/>
    </row>
    <row r="66" spans="2:8" x14ac:dyDescent="0.2">
      <c r="B66" s="24" t="s">
        <v>888</v>
      </c>
      <c r="C66" s="24" t="s">
        <v>889</v>
      </c>
      <c r="D66" s="24" t="s">
        <v>259</v>
      </c>
      <c r="E66" s="28">
        <v>6742</v>
      </c>
      <c r="F66" s="25">
        <v>86.39873</v>
      </c>
      <c r="G66" s="26">
        <v>0.51626395007909998</v>
      </c>
      <c r="H66" s="24"/>
    </row>
    <row r="67" spans="2:8" x14ac:dyDescent="0.2">
      <c r="B67" s="24" t="s">
        <v>890</v>
      </c>
      <c r="C67" s="24" t="s">
        <v>891</v>
      </c>
      <c r="D67" s="24" t="s">
        <v>404</v>
      </c>
      <c r="E67" s="28">
        <v>16092</v>
      </c>
      <c r="F67" s="25">
        <v>85.995648000000003</v>
      </c>
      <c r="G67" s="26">
        <v>0.51385538799114205</v>
      </c>
      <c r="H67" s="24"/>
    </row>
    <row r="68" spans="2:8" x14ac:dyDescent="0.2">
      <c r="B68" s="24" t="s">
        <v>892</v>
      </c>
      <c r="C68" s="24" t="s">
        <v>893</v>
      </c>
      <c r="D68" s="24" t="s">
        <v>399</v>
      </c>
      <c r="E68" s="28">
        <v>9024</v>
      </c>
      <c r="F68" s="25">
        <v>85.673856000000001</v>
      </c>
      <c r="G68" s="26">
        <v>0.51193256332666004</v>
      </c>
      <c r="H68" s="24"/>
    </row>
    <row r="69" spans="2:8" x14ac:dyDescent="0.2">
      <c r="B69" s="24" t="s">
        <v>894</v>
      </c>
      <c r="C69" s="24" t="s">
        <v>895</v>
      </c>
      <c r="D69" s="24" t="s">
        <v>476</v>
      </c>
      <c r="E69" s="28">
        <v>494</v>
      </c>
      <c r="F69" s="25">
        <v>85.378020000000006</v>
      </c>
      <c r="G69" s="26">
        <v>0.51016483523695799</v>
      </c>
      <c r="H69" s="24"/>
    </row>
    <row r="70" spans="2:8" x14ac:dyDescent="0.2">
      <c r="B70" s="24" t="s">
        <v>896</v>
      </c>
      <c r="C70" s="24" t="s">
        <v>897</v>
      </c>
      <c r="D70" s="24" t="s">
        <v>476</v>
      </c>
      <c r="E70" s="28">
        <v>9376</v>
      </c>
      <c r="F70" s="25">
        <v>84.430880000000002</v>
      </c>
      <c r="G70" s="26">
        <v>0.50450532800024395</v>
      </c>
      <c r="H70" s="24"/>
    </row>
    <row r="71" spans="2:8" x14ac:dyDescent="0.2">
      <c r="B71" s="24" t="s">
        <v>898</v>
      </c>
      <c r="C71" s="24" t="s">
        <v>899</v>
      </c>
      <c r="D71" s="24" t="s">
        <v>229</v>
      </c>
      <c r="E71" s="28">
        <v>7428</v>
      </c>
      <c r="F71" s="25">
        <v>84.196380000000005</v>
      </c>
      <c r="G71" s="26">
        <v>0.503104104900164</v>
      </c>
      <c r="H71" s="24"/>
    </row>
    <row r="72" spans="2:8" x14ac:dyDescent="0.2">
      <c r="B72" s="24" t="s">
        <v>900</v>
      </c>
      <c r="C72" s="24" t="s">
        <v>901</v>
      </c>
      <c r="D72" s="24" t="s">
        <v>259</v>
      </c>
      <c r="E72" s="28">
        <v>4513</v>
      </c>
      <c r="F72" s="25">
        <v>83.675533000000001</v>
      </c>
      <c r="G72" s="26">
        <v>0.499991853949174</v>
      </c>
      <c r="H72" s="24"/>
    </row>
    <row r="73" spans="2:8" x14ac:dyDescent="0.2">
      <c r="B73" s="24" t="s">
        <v>902</v>
      </c>
      <c r="C73" s="24" t="s">
        <v>903</v>
      </c>
      <c r="D73" s="24" t="s">
        <v>809</v>
      </c>
      <c r="E73" s="28">
        <v>1746</v>
      </c>
      <c r="F73" s="25">
        <v>82.543896000000004</v>
      </c>
      <c r="G73" s="26">
        <v>0.49322990979009101</v>
      </c>
      <c r="H73" s="24"/>
    </row>
    <row r="74" spans="2:8" x14ac:dyDescent="0.2">
      <c r="B74" s="24" t="s">
        <v>904</v>
      </c>
      <c r="C74" s="24" t="s">
        <v>905</v>
      </c>
      <c r="D74" s="24" t="s">
        <v>267</v>
      </c>
      <c r="E74" s="28">
        <v>6787</v>
      </c>
      <c r="F74" s="25">
        <v>81.959811999999999</v>
      </c>
      <c r="G74" s="26">
        <v>0.48973979468055201</v>
      </c>
      <c r="H74" s="24"/>
    </row>
    <row r="75" spans="2:8" x14ac:dyDescent="0.2">
      <c r="B75" s="24" t="s">
        <v>906</v>
      </c>
      <c r="C75" s="24" t="s">
        <v>907</v>
      </c>
      <c r="D75" s="24" t="s">
        <v>407</v>
      </c>
      <c r="E75" s="28">
        <v>5480</v>
      </c>
      <c r="F75" s="25">
        <v>81.739680000000007</v>
      </c>
      <c r="G75" s="26">
        <v>0.48842442562525701</v>
      </c>
      <c r="H75" s="24"/>
    </row>
    <row r="76" spans="2:8" x14ac:dyDescent="0.2">
      <c r="B76" s="24" t="s">
        <v>908</v>
      </c>
      <c r="C76" s="24" t="s">
        <v>909</v>
      </c>
      <c r="D76" s="24" t="s">
        <v>715</v>
      </c>
      <c r="E76" s="28">
        <v>6905</v>
      </c>
      <c r="F76" s="25">
        <v>80.270624999999995</v>
      </c>
      <c r="G76" s="26">
        <v>0.47964628574769802</v>
      </c>
      <c r="H76" s="24"/>
    </row>
    <row r="77" spans="2:8" x14ac:dyDescent="0.2">
      <c r="B77" s="24" t="s">
        <v>910</v>
      </c>
      <c r="C77" s="24" t="s">
        <v>911</v>
      </c>
      <c r="D77" s="24" t="s">
        <v>912</v>
      </c>
      <c r="E77" s="28">
        <v>4269</v>
      </c>
      <c r="F77" s="25">
        <v>80.116322999999994</v>
      </c>
      <c r="G77" s="26">
        <v>0.47872427497247999</v>
      </c>
      <c r="H77" s="24"/>
    </row>
    <row r="78" spans="2:8" x14ac:dyDescent="0.2">
      <c r="B78" s="24" t="s">
        <v>913</v>
      </c>
      <c r="C78" s="24" t="s">
        <v>914</v>
      </c>
      <c r="D78" s="24" t="s">
        <v>259</v>
      </c>
      <c r="E78" s="28">
        <v>10426</v>
      </c>
      <c r="F78" s="25">
        <v>78.549484000000007</v>
      </c>
      <c r="G78" s="26">
        <v>0.46936184000060099</v>
      </c>
      <c r="H78" s="24"/>
    </row>
    <row r="79" spans="2:8" x14ac:dyDescent="0.2">
      <c r="B79" s="24" t="s">
        <v>915</v>
      </c>
      <c r="C79" s="24" t="s">
        <v>916</v>
      </c>
      <c r="D79" s="24" t="s">
        <v>221</v>
      </c>
      <c r="E79" s="28">
        <v>39493</v>
      </c>
      <c r="F79" s="25">
        <v>77.015299299999995</v>
      </c>
      <c r="G79" s="26">
        <v>0.46019452639109598</v>
      </c>
      <c r="H79" s="24"/>
    </row>
    <row r="80" spans="2:8" x14ac:dyDescent="0.2">
      <c r="B80" s="24" t="s">
        <v>917</v>
      </c>
      <c r="C80" s="24" t="s">
        <v>918</v>
      </c>
      <c r="D80" s="24" t="s">
        <v>249</v>
      </c>
      <c r="E80" s="28">
        <v>6441</v>
      </c>
      <c r="F80" s="25">
        <v>76.976391000000007</v>
      </c>
      <c r="G80" s="26">
        <v>0.45996203509580902</v>
      </c>
      <c r="H80" s="24"/>
    </row>
    <row r="81" spans="2:8" x14ac:dyDescent="0.2">
      <c r="B81" s="24" t="s">
        <v>919</v>
      </c>
      <c r="C81" s="24" t="s">
        <v>920</v>
      </c>
      <c r="D81" s="24" t="s">
        <v>389</v>
      </c>
      <c r="E81" s="28">
        <v>10251</v>
      </c>
      <c r="F81" s="25">
        <v>76.897876499999995</v>
      </c>
      <c r="G81" s="26">
        <v>0.45949288229797802</v>
      </c>
      <c r="H81" s="24"/>
    </row>
    <row r="82" spans="2:8" x14ac:dyDescent="0.2">
      <c r="B82" s="24" t="s">
        <v>921</v>
      </c>
      <c r="C82" s="24" t="s">
        <v>922</v>
      </c>
      <c r="D82" s="24" t="s">
        <v>399</v>
      </c>
      <c r="E82" s="28">
        <v>617</v>
      </c>
      <c r="F82" s="25">
        <v>76.656080000000003</v>
      </c>
      <c r="G82" s="26">
        <v>0.45804805994693998</v>
      </c>
      <c r="H82" s="24"/>
    </row>
    <row r="83" spans="2:8" x14ac:dyDescent="0.2">
      <c r="B83" s="24" t="s">
        <v>923</v>
      </c>
      <c r="C83" s="24" t="s">
        <v>924</v>
      </c>
      <c r="D83" s="24" t="s">
        <v>925</v>
      </c>
      <c r="E83" s="28">
        <v>75155</v>
      </c>
      <c r="F83" s="25">
        <v>75.590898999999993</v>
      </c>
      <c r="G83" s="26">
        <v>0.45168321464644601</v>
      </c>
      <c r="H83" s="24"/>
    </row>
    <row r="84" spans="2:8" x14ac:dyDescent="0.2">
      <c r="B84" s="24" t="s">
        <v>926</v>
      </c>
      <c r="C84" s="24" t="s">
        <v>927</v>
      </c>
      <c r="D84" s="24" t="s">
        <v>259</v>
      </c>
      <c r="E84" s="28">
        <v>8170</v>
      </c>
      <c r="F84" s="25">
        <v>75.016940000000005</v>
      </c>
      <c r="G84" s="26">
        <v>0.44825360010785897</v>
      </c>
      <c r="H84" s="24"/>
    </row>
    <row r="85" spans="2:8" x14ac:dyDescent="0.2">
      <c r="B85" s="24" t="s">
        <v>928</v>
      </c>
      <c r="C85" s="24" t="s">
        <v>929</v>
      </c>
      <c r="D85" s="24" t="s">
        <v>407</v>
      </c>
      <c r="E85" s="28">
        <v>1300</v>
      </c>
      <c r="F85" s="25">
        <v>74.912499999999994</v>
      </c>
      <c r="G85" s="26">
        <v>0.44762953298388303</v>
      </c>
      <c r="H85" s="24"/>
    </row>
    <row r="86" spans="2:8" x14ac:dyDescent="0.2">
      <c r="B86" s="24" t="s">
        <v>930</v>
      </c>
      <c r="C86" s="24" t="s">
        <v>931</v>
      </c>
      <c r="D86" s="24" t="s">
        <v>267</v>
      </c>
      <c r="E86" s="28">
        <v>13061</v>
      </c>
      <c r="F86" s="25">
        <v>74.571779500000005</v>
      </c>
      <c r="G86" s="26">
        <v>0.44559360362238798</v>
      </c>
      <c r="H86" s="24"/>
    </row>
    <row r="87" spans="2:8" x14ac:dyDescent="0.2">
      <c r="B87" s="24" t="s">
        <v>932</v>
      </c>
      <c r="C87" s="24" t="s">
        <v>933</v>
      </c>
      <c r="D87" s="24" t="s">
        <v>229</v>
      </c>
      <c r="E87" s="28">
        <v>9350</v>
      </c>
      <c r="F87" s="25">
        <v>74.570925000000003</v>
      </c>
      <c r="G87" s="26">
        <v>0.44558849767296699</v>
      </c>
      <c r="H87" s="24"/>
    </row>
    <row r="88" spans="2:8" x14ac:dyDescent="0.2">
      <c r="B88" s="24" t="s">
        <v>934</v>
      </c>
      <c r="C88" s="24" t="s">
        <v>935</v>
      </c>
      <c r="D88" s="24" t="s">
        <v>389</v>
      </c>
      <c r="E88" s="28">
        <v>23500</v>
      </c>
      <c r="F88" s="25">
        <v>72.767750000000007</v>
      </c>
      <c r="G88" s="26">
        <v>0.43481386883080902</v>
      </c>
      <c r="H88" s="24"/>
    </row>
    <row r="89" spans="2:8" x14ac:dyDescent="0.2">
      <c r="B89" s="24" t="s">
        <v>936</v>
      </c>
      <c r="C89" s="24" t="s">
        <v>937</v>
      </c>
      <c r="D89" s="24" t="s">
        <v>259</v>
      </c>
      <c r="E89" s="28">
        <v>6584</v>
      </c>
      <c r="F89" s="25">
        <v>72.489840000000001</v>
      </c>
      <c r="G89" s="26">
        <v>0.43315325513467601</v>
      </c>
      <c r="H89" s="24"/>
    </row>
    <row r="90" spans="2:8" x14ac:dyDescent="0.2">
      <c r="B90" s="24" t="s">
        <v>938</v>
      </c>
      <c r="C90" s="24" t="s">
        <v>939</v>
      </c>
      <c r="D90" s="24" t="s">
        <v>392</v>
      </c>
      <c r="E90" s="28">
        <v>11114</v>
      </c>
      <c r="F90" s="25">
        <v>71.618616000000003</v>
      </c>
      <c r="G90" s="26">
        <v>0.427947373709755</v>
      </c>
      <c r="H90" s="24"/>
    </row>
    <row r="91" spans="2:8" x14ac:dyDescent="0.2">
      <c r="B91" s="24" t="s">
        <v>940</v>
      </c>
      <c r="C91" s="24" t="s">
        <v>941</v>
      </c>
      <c r="D91" s="24" t="s">
        <v>232</v>
      </c>
      <c r="E91" s="28">
        <v>33382</v>
      </c>
      <c r="F91" s="25">
        <v>70.893353399999995</v>
      </c>
      <c r="G91" s="26">
        <v>0.42361366493046398</v>
      </c>
      <c r="H91" s="24"/>
    </row>
    <row r="92" spans="2:8" x14ac:dyDescent="0.2">
      <c r="B92" s="24" t="s">
        <v>942</v>
      </c>
      <c r="C92" s="24" t="s">
        <v>943</v>
      </c>
      <c r="D92" s="24" t="s">
        <v>267</v>
      </c>
      <c r="E92" s="28">
        <v>5056</v>
      </c>
      <c r="F92" s="25">
        <v>70.738495999999998</v>
      </c>
      <c r="G92" s="26">
        <v>0.422688335437507</v>
      </c>
      <c r="H92" s="24"/>
    </row>
    <row r="93" spans="2:8" x14ac:dyDescent="0.2">
      <c r="B93" s="24" t="s">
        <v>944</v>
      </c>
      <c r="C93" s="24" t="s">
        <v>945</v>
      </c>
      <c r="D93" s="24" t="s">
        <v>925</v>
      </c>
      <c r="E93" s="28">
        <v>5822</v>
      </c>
      <c r="F93" s="25">
        <v>70.248251999999994</v>
      </c>
      <c r="G93" s="26">
        <v>0.41975894858260099</v>
      </c>
      <c r="H93" s="24"/>
    </row>
    <row r="94" spans="2:8" x14ac:dyDescent="0.2">
      <c r="B94" s="24" t="s">
        <v>946</v>
      </c>
      <c r="C94" s="24" t="s">
        <v>947</v>
      </c>
      <c r="D94" s="24" t="s">
        <v>319</v>
      </c>
      <c r="E94" s="28">
        <v>19577</v>
      </c>
      <c r="F94" s="25">
        <v>70.212910500000007</v>
      </c>
      <c r="G94" s="26">
        <v>0.419547770219312</v>
      </c>
      <c r="H94" s="24"/>
    </row>
    <row r="95" spans="2:8" x14ac:dyDescent="0.2">
      <c r="B95" s="24" t="s">
        <v>948</v>
      </c>
      <c r="C95" s="24" t="s">
        <v>949</v>
      </c>
      <c r="D95" s="24" t="s">
        <v>259</v>
      </c>
      <c r="E95" s="28">
        <v>4407</v>
      </c>
      <c r="F95" s="25">
        <v>70.146219000000002</v>
      </c>
      <c r="G95" s="26">
        <v>0.41914926416225801</v>
      </c>
      <c r="H95" s="24"/>
    </row>
    <row r="96" spans="2:8" x14ac:dyDescent="0.2">
      <c r="B96" s="24" t="s">
        <v>950</v>
      </c>
      <c r="C96" s="24" t="s">
        <v>951</v>
      </c>
      <c r="D96" s="24" t="s">
        <v>264</v>
      </c>
      <c r="E96" s="28">
        <v>389096</v>
      </c>
      <c r="F96" s="25">
        <v>70.115099200000003</v>
      </c>
      <c r="G96" s="26">
        <v>0.41896331199752601</v>
      </c>
      <c r="H96" s="24"/>
    </row>
    <row r="97" spans="2:8" x14ac:dyDescent="0.2">
      <c r="B97" s="24" t="s">
        <v>952</v>
      </c>
      <c r="C97" s="24" t="s">
        <v>953</v>
      </c>
      <c r="D97" s="24" t="s">
        <v>264</v>
      </c>
      <c r="E97" s="28">
        <v>11315</v>
      </c>
      <c r="F97" s="25">
        <v>70.017219999999995</v>
      </c>
      <c r="G97" s="26">
        <v>0.41837844804845398</v>
      </c>
      <c r="H97" s="24"/>
    </row>
    <row r="98" spans="2:8" x14ac:dyDescent="0.2">
      <c r="B98" s="24" t="s">
        <v>954</v>
      </c>
      <c r="C98" s="24" t="s">
        <v>955</v>
      </c>
      <c r="D98" s="24" t="s">
        <v>249</v>
      </c>
      <c r="E98" s="28">
        <v>22038</v>
      </c>
      <c r="F98" s="25">
        <v>69.992688000000001</v>
      </c>
      <c r="G98" s="26">
        <v>0.41823186039348098</v>
      </c>
      <c r="H98" s="24"/>
    </row>
    <row r="99" spans="2:8" x14ac:dyDescent="0.2">
      <c r="B99" s="24" t="s">
        <v>956</v>
      </c>
      <c r="C99" s="24" t="s">
        <v>957</v>
      </c>
      <c r="D99" s="24" t="s">
        <v>246</v>
      </c>
      <c r="E99" s="28">
        <v>393</v>
      </c>
      <c r="F99" s="25">
        <v>69.380219999999994</v>
      </c>
      <c r="G99" s="26">
        <v>0.41457214052286401</v>
      </c>
      <c r="H99" s="24"/>
    </row>
    <row r="100" spans="2:8" x14ac:dyDescent="0.2">
      <c r="B100" s="24" t="s">
        <v>958</v>
      </c>
      <c r="C100" s="24" t="s">
        <v>959</v>
      </c>
      <c r="D100" s="24" t="s">
        <v>399</v>
      </c>
      <c r="E100" s="28">
        <v>1719</v>
      </c>
      <c r="F100" s="25">
        <v>69.322113000000002</v>
      </c>
      <c r="G100" s="26">
        <v>0.414224929986931</v>
      </c>
      <c r="H100" s="24"/>
    </row>
    <row r="101" spans="2:8" x14ac:dyDescent="0.2">
      <c r="B101" s="24" t="s">
        <v>960</v>
      </c>
      <c r="C101" s="24" t="s">
        <v>961</v>
      </c>
      <c r="D101" s="24" t="s">
        <v>508</v>
      </c>
      <c r="E101" s="28">
        <v>1561</v>
      </c>
      <c r="F101" s="25">
        <v>68.680878000000007</v>
      </c>
      <c r="G101" s="26">
        <v>0.41039331679042901</v>
      </c>
      <c r="H101" s="24"/>
    </row>
    <row r="102" spans="2:8" x14ac:dyDescent="0.2">
      <c r="B102" s="24" t="s">
        <v>962</v>
      </c>
      <c r="C102" s="24" t="s">
        <v>963</v>
      </c>
      <c r="D102" s="24" t="s">
        <v>476</v>
      </c>
      <c r="E102" s="28">
        <v>6790</v>
      </c>
      <c r="F102" s="25">
        <v>67.893209999999996</v>
      </c>
      <c r="G102" s="26">
        <v>0.40568671296615</v>
      </c>
      <c r="H102" s="24"/>
    </row>
    <row r="103" spans="2:8" x14ac:dyDescent="0.2">
      <c r="B103" s="24" t="s">
        <v>964</v>
      </c>
      <c r="C103" s="24" t="s">
        <v>965</v>
      </c>
      <c r="D103" s="24" t="s">
        <v>249</v>
      </c>
      <c r="E103" s="28">
        <v>444</v>
      </c>
      <c r="F103" s="25">
        <v>67.079520000000002</v>
      </c>
      <c r="G103" s="26">
        <v>0.40082461819299903</v>
      </c>
      <c r="H103" s="24"/>
    </row>
    <row r="104" spans="2:8" x14ac:dyDescent="0.2">
      <c r="B104" s="24" t="s">
        <v>966</v>
      </c>
      <c r="C104" s="24" t="s">
        <v>967</v>
      </c>
      <c r="D104" s="24" t="s">
        <v>364</v>
      </c>
      <c r="E104" s="28">
        <v>40561</v>
      </c>
      <c r="F104" s="25">
        <v>67.035164699999996</v>
      </c>
      <c r="G104" s="26">
        <v>0.400559579084381</v>
      </c>
      <c r="H104" s="24"/>
    </row>
    <row r="105" spans="2:8" x14ac:dyDescent="0.2">
      <c r="B105" s="24" t="s">
        <v>968</v>
      </c>
      <c r="C105" s="24" t="s">
        <v>969</v>
      </c>
      <c r="D105" s="24" t="s">
        <v>259</v>
      </c>
      <c r="E105" s="28">
        <v>11841</v>
      </c>
      <c r="F105" s="25">
        <v>66.972695999999999</v>
      </c>
      <c r="G105" s="26">
        <v>0.400186305798786</v>
      </c>
      <c r="H105" s="24"/>
    </row>
    <row r="106" spans="2:8" x14ac:dyDescent="0.2">
      <c r="B106" s="24" t="s">
        <v>970</v>
      </c>
      <c r="C106" s="24" t="s">
        <v>971</v>
      </c>
      <c r="D106" s="24" t="s">
        <v>476</v>
      </c>
      <c r="E106" s="28">
        <v>14406</v>
      </c>
      <c r="F106" s="25">
        <v>66.966290999999998</v>
      </c>
      <c r="G106" s="26">
        <v>0.40014803358575401</v>
      </c>
      <c r="H106" s="24"/>
    </row>
    <row r="107" spans="2:8" x14ac:dyDescent="0.2">
      <c r="B107" s="24" t="s">
        <v>972</v>
      </c>
      <c r="C107" s="24" t="s">
        <v>973</v>
      </c>
      <c r="D107" s="24" t="s">
        <v>399</v>
      </c>
      <c r="E107" s="28">
        <v>1002</v>
      </c>
      <c r="F107" s="25">
        <v>66.933599999999998</v>
      </c>
      <c r="G107" s="26">
        <v>0.39995269292748298</v>
      </c>
      <c r="H107" s="24"/>
    </row>
    <row r="108" spans="2:8" x14ac:dyDescent="0.2">
      <c r="B108" s="24" t="s">
        <v>974</v>
      </c>
      <c r="C108" s="24" t="s">
        <v>975</v>
      </c>
      <c r="D108" s="24" t="s">
        <v>270</v>
      </c>
      <c r="E108" s="28">
        <v>2417</v>
      </c>
      <c r="F108" s="25">
        <v>66.322479999999999</v>
      </c>
      <c r="G108" s="26">
        <v>0.39630102784892901</v>
      </c>
      <c r="H108" s="24"/>
    </row>
    <row r="109" spans="2:8" x14ac:dyDescent="0.2">
      <c r="B109" s="24" t="s">
        <v>976</v>
      </c>
      <c r="C109" s="24" t="s">
        <v>977</v>
      </c>
      <c r="D109" s="24" t="s">
        <v>715</v>
      </c>
      <c r="E109" s="28">
        <v>124996</v>
      </c>
      <c r="F109" s="25">
        <v>65.672898399999994</v>
      </c>
      <c r="G109" s="26">
        <v>0.39241954067064899</v>
      </c>
      <c r="H109" s="24"/>
    </row>
    <row r="110" spans="2:8" x14ac:dyDescent="0.2">
      <c r="B110" s="24" t="s">
        <v>978</v>
      </c>
      <c r="C110" s="24" t="s">
        <v>979</v>
      </c>
      <c r="D110" s="24" t="s">
        <v>246</v>
      </c>
      <c r="E110" s="28">
        <v>9381</v>
      </c>
      <c r="F110" s="25">
        <v>64.911829499999996</v>
      </c>
      <c r="G110" s="26">
        <v>0.38787187617840102</v>
      </c>
      <c r="H110" s="24"/>
    </row>
    <row r="111" spans="2:8" x14ac:dyDescent="0.2">
      <c r="B111" s="24" t="s">
        <v>980</v>
      </c>
      <c r="C111" s="24" t="s">
        <v>981</v>
      </c>
      <c r="D111" s="24" t="s">
        <v>259</v>
      </c>
      <c r="E111" s="28">
        <v>1238</v>
      </c>
      <c r="F111" s="25">
        <v>64.48742</v>
      </c>
      <c r="G111" s="26">
        <v>0.385335874492715</v>
      </c>
      <c r="H111" s="24"/>
    </row>
    <row r="112" spans="2:8" x14ac:dyDescent="0.2">
      <c r="B112" s="24" t="s">
        <v>982</v>
      </c>
      <c r="C112" s="24" t="s">
        <v>983</v>
      </c>
      <c r="D112" s="24" t="s">
        <v>249</v>
      </c>
      <c r="E112" s="28">
        <v>31508</v>
      </c>
      <c r="F112" s="25">
        <v>63.970692399999997</v>
      </c>
      <c r="G112" s="26">
        <v>0.38224823846043898</v>
      </c>
      <c r="H112" s="24"/>
    </row>
    <row r="113" spans="2:8" x14ac:dyDescent="0.2">
      <c r="B113" s="24" t="s">
        <v>984</v>
      </c>
      <c r="C113" s="24" t="s">
        <v>985</v>
      </c>
      <c r="D113" s="24" t="s">
        <v>715</v>
      </c>
      <c r="E113" s="28">
        <v>3886</v>
      </c>
      <c r="F113" s="25">
        <v>63.959674</v>
      </c>
      <c r="G113" s="26">
        <v>0.38218239949836702</v>
      </c>
      <c r="H113" s="24"/>
    </row>
    <row r="114" spans="2:8" x14ac:dyDescent="0.2">
      <c r="B114" s="24" t="s">
        <v>986</v>
      </c>
      <c r="C114" s="24" t="s">
        <v>987</v>
      </c>
      <c r="D114" s="24" t="s">
        <v>407</v>
      </c>
      <c r="E114" s="28">
        <v>16746</v>
      </c>
      <c r="F114" s="25">
        <v>63.626427</v>
      </c>
      <c r="G114" s="26">
        <v>0.38019112702744001</v>
      </c>
      <c r="H114" s="24"/>
    </row>
    <row r="115" spans="2:8" x14ac:dyDescent="0.2">
      <c r="B115" s="24" t="s">
        <v>988</v>
      </c>
      <c r="C115" s="24" t="s">
        <v>989</v>
      </c>
      <c r="D115" s="24" t="s">
        <v>364</v>
      </c>
      <c r="E115" s="28">
        <v>16182</v>
      </c>
      <c r="F115" s="25">
        <v>63.077435999999999</v>
      </c>
      <c r="G115" s="26">
        <v>0.37691070540298</v>
      </c>
      <c r="H115" s="24"/>
    </row>
    <row r="116" spans="2:8" x14ac:dyDescent="0.2">
      <c r="B116" s="24" t="s">
        <v>990</v>
      </c>
      <c r="C116" s="24" t="s">
        <v>991</v>
      </c>
      <c r="D116" s="24" t="s">
        <v>249</v>
      </c>
      <c r="E116" s="28">
        <v>4391</v>
      </c>
      <c r="F116" s="25">
        <v>62.510275999999998</v>
      </c>
      <c r="G116" s="26">
        <v>0.37352171737124801</v>
      </c>
      <c r="H116" s="24"/>
    </row>
    <row r="117" spans="2:8" x14ac:dyDescent="0.2">
      <c r="B117" s="24" t="s">
        <v>992</v>
      </c>
      <c r="C117" s="24" t="s">
        <v>993</v>
      </c>
      <c r="D117" s="24" t="s">
        <v>994</v>
      </c>
      <c r="E117" s="28">
        <v>3115</v>
      </c>
      <c r="F117" s="25">
        <v>62.290655000000001</v>
      </c>
      <c r="G117" s="26">
        <v>0.37220940172748401</v>
      </c>
      <c r="H117" s="24"/>
    </row>
    <row r="118" spans="2:8" x14ac:dyDescent="0.2">
      <c r="B118" s="24" t="s">
        <v>995</v>
      </c>
      <c r="C118" s="24" t="s">
        <v>996</v>
      </c>
      <c r="D118" s="24" t="s">
        <v>252</v>
      </c>
      <c r="E118" s="28">
        <v>2493</v>
      </c>
      <c r="F118" s="25">
        <v>61.275447</v>
      </c>
      <c r="G118" s="26">
        <v>0.36614316334375002</v>
      </c>
      <c r="H118" s="24"/>
    </row>
    <row r="119" spans="2:8" x14ac:dyDescent="0.2">
      <c r="B119" s="24" t="s">
        <v>997</v>
      </c>
      <c r="C119" s="24" t="s">
        <v>998</v>
      </c>
      <c r="D119" s="24" t="s">
        <v>270</v>
      </c>
      <c r="E119" s="28">
        <v>2391</v>
      </c>
      <c r="F119" s="25">
        <v>61.116351000000002</v>
      </c>
      <c r="G119" s="26">
        <v>0.36519250666856801</v>
      </c>
      <c r="H119" s="24"/>
    </row>
    <row r="120" spans="2:8" x14ac:dyDescent="0.2">
      <c r="B120" s="24" t="s">
        <v>999</v>
      </c>
      <c r="C120" s="24" t="s">
        <v>1000</v>
      </c>
      <c r="D120" s="24" t="s">
        <v>252</v>
      </c>
      <c r="E120" s="28">
        <v>17492</v>
      </c>
      <c r="F120" s="25">
        <v>60.942127999999997</v>
      </c>
      <c r="G120" s="26">
        <v>0.36415146064654103</v>
      </c>
      <c r="H120" s="24"/>
    </row>
    <row r="121" spans="2:8" x14ac:dyDescent="0.2">
      <c r="B121" s="24" t="s">
        <v>1001</v>
      </c>
      <c r="C121" s="24" t="s">
        <v>1002</v>
      </c>
      <c r="D121" s="24" t="s">
        <v>448</v>
      </c>
      <c r="E121" s="28">
        <v>6957</v>
      </c>
      <c r="F121" s="25">
        <v>60.10848</v>
      </c>
      <c r="G121" s="26">
        <v>0.35917010953807499</v>
      </c>
      <c r="H121" s="24"/>
    </row>
    <row r="122" spans="2:8" x14ac:dyDescent="0.2">
      <c r="B122" s="24" t="s">
        <v>1003</v>
      </c>
      <c r="C122" s="24" t="s">
        <v>1004</v>
      </c>
      <c r="D122" s="24" t="s">
        <v>259</v>
      </c>
      <c r="E122" s="28">
        <v>7310</v>
      </c>
      <c r="F122" s="25">
        <v>59.934690000000003</v>
      </c>
      <c r="G122" s="26">
        <v>0.35813165084910797</v>
      </c>
      <c r="H122" s="24"/>
    </row>
    <row r="123" spans="2:8" x14ac:dyDescent="0.2">
      <c r="B123" s="24" t="s">
        <v>1005</v>
      </c>
      <c r="C123" s="24" t="s">
        <v>1006</v>
      </c>
      <c r="D123" s="24" t="s">
        <v>249</v>
      </c>
      <c r="E123" s="28">
        <v>6901</v>
      </c>
      <c r="F123" s="25">
        <v>59.893779000000002</v>
      </c>
      <c r="G123" s="26">
        <v>0.35788719269027103</v>
      </c>
      <c r="H123" s="24"/>
    </row>
    <row r="124" spans="2:8" x14ac:dyDescent="0.2">
      <c r="B124" s="24" t="s">
        <v>1007</v>
      </c>
      <c r="C124" s="24" t="s">
        <v>1008</v>
      </c>
      <c r="D124" s="24" t="s">
        <v>404</v>
      </c>
      <c r="E124" s="28">
        <v>664</v>
      </c>
      <c r="F124" s="25">
        <v>59.86956</v>
      </c>
      <c r="G124" s="26">
        <v>0.357742475324553</v>
      </c>
      <c r="H124" s="24"/>
    </row>
    <row r="125" spans="2:8" x14ac:dyDescent="0.2">
      <c r="B125" s="24" t="s">
        <v>1009</v>
      </c>
      <c r="C125" s="24" t="s">
        <v>1010</v>
      </c>
      <c r="D125" s="24" t="s">
        <v>503</v>
      </c>
      <c r="E125" s="28">
        <v>12408</v>
      </c>
      <c r="F125" s="25">
        <v>59.663868000000001</v>
      </c>
      <c r="G125" s="26">
        <v>0.35651339054032399</v>
      </c>
      <c r="H125" s="24"/>
    </row>
    <row r="126" spans="2:8" x14ac:dyDescent="0.2">
      <c r="B126" s="24" t="s">
        <v>1011</v>
      </c>
      <c r="C126" s="24" t="s">
        <v>1012</v>
      </c>
      <c r="D126" s="24" t="s">
        <v>389</v>
      </c>
      <c r="E126" s="28">
        <v>4648</v>
      </c>
      <c r="F126" s="25">
        <v>59.350312000000002</v>
      </c>
      <c r="G126" s="26">
        <v>0.35463977898224902</v>
      </c>
      <c r="H126" s="24"/>
    </row>
    <row r="127" spans="2:8" x14ac:dyDescent="0.2">
      <c r="B127" s="24" t="s">
        <v>1013</v>
      </c>
      <c r="C127" s="24" t="s">
        <v>1014</v>
      </c>
      <c r="D127" s="24" t="s">
        <v>226</v>
      </c>
      <c r="E127" s="28">
        <v>80591</v>
      </c>
      <c r="F127" s="25">
        <v>59.2424441</v>
      </c>
      <c r="G127" s="26">
        <v>0.35399522890447899</v>
      </c>
      <c r="H127" s="24"/>
    </row>
    <row r="128" spans="2:8" x14ac:dyDescent="0.2">
      <c r="B128" s="24" t="s">
        <v>1015</v>
      </c>
      <c r="C128" s="24" t="s">
        <v>1016</v>
      </c>
      <c r="D128" s="24" t="s">
        <v>392</v>
      </c>
      <c r="E128" s="28">
        <v>3634</v>
      </c>
      <c r="F128" s="25">
        <v>58.819924</v>
      </c>
      <c r="G128" s="26">
        <v>0.35147051707348598</v>
      </c>
      <c r="H128" s="24"/>
    </row>
    <row r="129" spans="2:8" x14ac:dyDescent="0.2">
      <c r="B129" s="24" t="s">
        <v>1017</v>
      </c>
      <c r="C129" s="24" t="s">
        <v>1018</v>
      </c>
      <c r="D129" s="24" t="s">
        <v>229</v>
      </c>
      <c r="E129" s="28">
        <v>15898</v>
      </c>
      <c r="F129" s="25">
        <v>58.798752999999998</v>
      </c>
      <c r="G129" s="26">
        <v>0.351344012620386</v>
      </c>
      <c r="H129" s="24"/>
    </row>
    <row r="130" spans="2:8" x14ac:dyDescent="0.2">
      <c r="B130" s="24" t="s">
        <v>1019</v>
      </c>
      <c r="C130" s="24" t="s">
        <v>1020</v>
      </c>
      <c r="D130" s="24" t="s">
        <v>448</v>
      </c>
      <c r="E130" s="28">
        <v>6539</v>
      </c>
      <c r="F130" s="25">
        <v>57.8407245</v>
      </c>
      <c r="G130" s="26">
        <v>0.345619442621518</v>
      </c>
      <c r="H130" s="24"/>
    </row>
    <row r="131" spans="2:8" x14ac:dyDescent="0.2">
      <c r="B131" s="24" t="s">
        <v>1021</v>
      </c>
      <c r="C131" s="24" t="s">
        <v>1022</v>
      </c>
      <c r="D131" s="24" t="s">
        <v>476</v>
      </c>
      <c r="E131" s="28">
        <v>19982</v>
      </c>
      <c r="F131" s="25">
        <v>56.6969268</v>
      </c>
      <c r="G131" s="26">
        <v>0.33878483384088598</v>
      </c>
      <c r="H131" s="24"/>
    </row>
    <row r="132" spans="2:8" x14ac:dyDescent="0.2">
      <c r="B132" s="24" t="s">
        <v>1023</v>
      </c>
      <c r="C132" s="24" t="s">
        <v>1024</v>
      </c>
      <c r="D132" s="24" t="s">
        <v>324</v>
      </c>
      <c r="E132" s="28">
        <v>4079</v>
      </c>
      <c r="F132" s="25">
        <v>55.857826000000003</v>
      </c>
      <c r="G132" s="26">
        <v>0.33377090026197198</v>
      </c>
      <c r="H132" s="24"/>
    </row>
    <row r="133" spans="2:8" x14ac:dyDescent="0.2">
      <c r="B133" s="24" t="s">
        <v>1025</v>
      </c>
      <c r="C133" s="24" t="s">
        <v>1026</v>
      </c>
      <c r="D133" s="24" t="s">
        <v>267</v>
      </c>
      <c r="E133" s="28">
        <v>5211</v>
      </c>
      <c r="F133" s="25">
        <v>55.788966000000002</v>
      </c>
      <c r="G133" s="26">
        <v>0.33335943662584699</v>
      </c>
      <c r="H133" s="24"/>
    </row>
    <row r="134" spans="2:8" x14ac:dyDescent="0.2">
      <c r="B134" s="24" t="s">
        <v>1027</v>
      </c>
      <c r="C134" s="24" t="s">
        <v>1028</v>
      </c>
      <c r="D134" s="24" t="s">
        <v>364</v>
      </c>
      <c r="E134" s="28">
        <v>5830</v>
      </c>
      <c r="F134" s="25">
        <v>55.370424999999997</v>
      </c>
      <c r="G134" s="26">
        <v>0.33085850136985301</v>
      </c>
      <c r="H134" s="24"/>
    </row>
    <row r="135" spans="2:8" x14ac:dyDescent="0.2">
      <c r="B135" s="24" t="s">
        <v>1029</v>
      </c>
      <c r="C135" s="24" t="s">
        <v>1030</v>
      </c>
      <c r="D135" s="24" t="s">
        <v>364</v>
      </c>
      <c r="E135" s="28">
        <v>19316</v>
      </c>
      <c r="F135" s="25">
        <v>55.253418000000003</v>
      </c>
      <c r="G135" s="26">
        <v>0.33015934183351597</v>
      </c>
      <c r="H135" s="24"/>
    </row>
    <row r="136" spans="2:8" x14ac:dyDescent="0.2">
      <c r="B136" s="24" t="s">
        <v>1031</v>
      </c>
      <c r="C136" s="24" t="s">
        <v>1032</v>
      </c>
      <c r="D136" s="24" t="s">
        <v>267</v>
      </c>
      <c r="E136" s="28">
        <v>14999</v>
      </c>
      <c r="F136" s="25">
        <v>54.3338775</v>
      </c>
      <c r="G136" s="26">
        <v>0.32466475168401099</v>
      </c>
      <c r="H136" s="24"/>
    </row>
    <row r="137" spans="2:8" x14ac:dyDescent="0.2">
      <c r="B137" s="24" t="s">
        <v>1033</v>
      </c>
      <c r="C137" s="24" t="s">
        <v>1034</v>
      </c>
      <c r="D137" s="24" t="s">
        <v>232</v>
      </c>
      <c r="E137" s="28">
        <v>12125</v>
      </c>
      <c r="F137" s="25">
        <v>54.326062499999999</v>
      </c>
      <c r="G137" s="26">
        <v>0.32461805420628398</v>
      </c>
      <c r="H137" s="24"/>
    </row>
    <row r="138" spans="2:8" x14ac:dyDescent="0.2">
      <c r="B138" s="24" t="s">
        <v>1035</v>
      </c>
      <c r="C138" s="24" t="s">
        <v>1036</v>
      </c>
      <c r="D138" s="24" t="s">
        <v>249</v>
      </c>
      <c r="E138" s="28">
        <v>6492</v>
      </c>
      <c r="F138" s="25">
        <v>54.312072000000001</v>
      </c>
      <c r="G138" s="26">
        <v>0.32453445586179902</v>
      </c>
      <c r="H138" s="24"/>
    </row>
    <row r="139" spans="2:8" x14ac:dyDescent="0.2">
      <c r="B139" s="24" t="s">
        <v>1037</v>
      </c>
      <c r="C139" s="24" t="s">
        <v>1038</v>
      </c>
      <c r="D139" s="24" t="s">
        <v>715</v>
      </c>
      <c r="E139" s="28">
        <v>1343</v>
      </c>
      <c r="F139" s="25">
        <v>54.227654000000001</v>
      </c>
      <c r="G139" s="26">
        <v>0.32403002749650101</v>
      </c>
      <c r="H139" s="24"/>
    </row>
    <row r="140" spans="2:8" x14ac:dyDescent="0.2">
      <c r="B140" s="24" t="s">
        <v>1039</v>
      </c>
      <c r="C140" s="24" t="s">
        <v>1040</v>
      </c>
      <c r="D140" s="24" t="s">
        <v>364</v>
      </c>
      <c r="E140" s="28">
        <v>33449</v>
      </c>
      <c r="F140" s="25">
        <v>54.120482000000003</v>
      </c>
      <c r="G140" s="26">
        <v>0.32338963567525603</v>
      </c>
      <c r="H140" s="24"/>
    </row>
    <row r="141" spans="2:8" x14ac:dyDescent="0.2">
      <c r="B141" s="24" t="s">
        <v>1041</v>
      </c>
      <c r="C141" s="24" t="s">
        <v>1042</v>
      </c>
      <c r="D141" s="24" t="s">
        <v>232</v>
      </c>
      <c r="E141" s="28">
        <v>4093</v>
      </c>
      <c r="F141" s="25">
        <v>53.990763000000001</v>
      </c>
      <c r="G141" s="26">
        <v>0.322614517298629</v>
      </c>
      <c r="H141" s="24"/>
    </row>
    <row r="142" spans="2:8" x14ac:dyDescent="0.2">
      <c r="B142" s="24" t="s">
        <v>1043</v>
      </c>
      <c r="C142" s="24" t="s">
        <v>1044</v>
      </c>
      <c r="D142" s="24" t="s">
        <v>249</v>
      </c>
      <c r="E142" s="28">
        <v>3245</v>
      </c>
      <c r="F142" s="25">
        <v>53.542499999999997</v>
      </c>
      <c r="G142" s="26">
        <v>0.31993598224314401</v>
      </c>
      <c r="H142" s="24"/>
    </row>
    <row r="143" spans="2:8" x14ac:dyDescent="0.2">
      <c r="B143" s="24" t="s">
        <v>1045</v>
      </c>
      <c r="C143" s="24" t="s">
        <v>1046</v>
      </c>
      <c r="D143" s="24" t="s">
        <v>407</v>
      </c>
      <c r="E143" s="28">
        <v>11387</v>
      </c>
      <c r="F143" s="25">
        <v>53.473351999999998</v>
      </c>
      <c r="G143" s="26">
        <v>0.31952279770188902</v>
      </c>
      <c r="H143" s="24"/>
    </row>
    <row r="144" spans="2:8" x14ac:dyDescent="0.2">
      <c r="B144" s="24" t="s">
        <v>1047</v>
      </c>
      <c r="C144" s="24" t="s">
        <v>1048</v>
      </c>
      <c r="D144" s="24" t="s">
        <v>249</v>
      </c>
      <c r="E144" s="28">
        <v>31845</v>
      </c>
      <c r="F144" s="25">
        <v>52.232168999999999</v>
      </c>
      <c r="G144" s="26">
        <v>0.312106276204976</v>
      </c>
      <c r="H144" s="24"/>
    </row>
    <row r="145" spans="2:8" x14ac:dyDescent="0.2">
      <c r="B145" s="24" t="s">
        <v>1049</v>
      </c>
      <c r="C145" s="24" t="s">
        <v>1050</v>
      </c>
      <c r="D145" s="24" t="s">
        <v>407</v>
      </c>
      <c r="E145" s="28">
        <v>14345</v>
      </c>
      <c r="F145" s="25">
        <v>51.943244999999997</v>
      </c>
      <c r="G145" s="26">
        <v>0.31037984983837702</v>
      </c>
      <c r="H145" s="24"/>
    </row>
    <row r="146" spans="2:8" x14ac:dyDescent="0.2">
      <c r="B146" s="24" t="s">
        <v>1051</v>
      </c>
      <c r="C146" s="24" t="s">
        <v>1052</v>
      </c>
      <c r="D146" s="24" t="s">
        <v>246</v>
      </c>
      <c r="E146" s="28">
        <v>3340</v>
      </c>
      <c r="F146" s="25">
        <v>51.719900000000003</v>
      </c>
      <c r="G146" s="26">
        <v>0.30904528193523301</v>
      </c>
      <c r="H146" s="24"/>
    </row>
    <row r="147" spans="2:8" x14ac:dyDescent="0.2">
      <c r="B147" s="24" t="s">
        <v>1053</v>
      </c>
      <c r="C147" s="24" t="s">
        <v>1054</v>
      </c>
      <c r="D147" s="24" t="s">
        <v>252</v>
      </c>
      <c r="E147" s="28">
        <v>38332</v>
      </c>
      <c r="F147" s="25">
        <v>51.211551999999998</v>
      </c>
      <c r="G147" s="26">
        <v>0.30600771707178198</v>
      </c>
      <c r="H147" s="24"/>
    </row>
    <row r="148" spans="2:8" x14ac:dyDescent="0.2">
      <c r="B148" s="24" t="s">
        <v>1055</v>
      </c>
      <c r="C148" s="24" t="s">
        <v>1056</v>
      </c>
      <c r="D148" s="24" t="s">
        <v>503</v>
      </c>
      <c r="E148" s="28">
        <v>1041</v>
      </c>
      <c r="F148" s="25">
        <v>50.848686000000001</v>
      </c>
      <c r="G148" s="26">
        <v>0.30383946026396302</v>
      </c>
      <c r="H148" s="24"/>
    </row>
    <row r="149" spans="2:8" x14ac:dyDescent="0.2">
      <c r="B149" s="24" t="s">
        <v>1057</v>
      </c>
      <c r="C149" s="24" t="s">
        <v>1058</v>
      </c>
      <c r="D149" s="24" t="s">
        <v>448</v>
      </c>
      <c r="E149" s="28">
        <v>6227</v>
      </c>
      <c r="F149" s="25">
        <v>50.675325999999998</v>
      </c>
      <c r="G149" s="26">
        <v>0.30280357098195898</v>
      </c>
      <c r="H149" s="24"/>
    </row>
    <row r="150" spans="2:8" x14ac:dyDescent="0.2">
      <c r="B150" s="24" t="s">
        <v>1059</v>
      </c>
      <c r="C150" s="24" t="s">
        <v>1060</v>
      </c>
      <c r="D150" s="24" t="s">
        <v>264</v>
      </c>
      <c r="E150" s="28">
        <v>23460</v>
      </c>
      <c r="F150" s="25">
        <v>50.664216000000003</v>
      </c>
      <c r="G150" s="26">
        <v>0.30273718467645</v>
      </c>
      <c r="H150" s="24"/>
    </row>
    <row r="151" spans="2:8" x14ac:dyDescent="0.2">
      <c r="B151" s="24" t="s">
        <v>1061</v>
      </c>
      <c r="C151" s="24" t="s">
        <v>1062</v>
      </c>
      <c r="D151" s="24" t="s">
        <v>270</v>
      </c>
      <c r="E151" s="28">
        <v>3722</v>
      </c>
      <c r="F151" s="25">
        <v>50.514983999999998</v>
      </c>
      <c r="G151" s="26">
        <v>0.30184546900194698</v>
      </c>
      <c r="H151" s="24"/>
    </row>
    <row r="152" spans="2:8" x14ac:dyDescent="0.2">
      <c r="B152" s="24" t="s">
        <v>1063</v>
      </c>
      <c r="C152" s="24" t="s">
        <v>1064</v>
      </c>
      <c r="D152" s="24" t="s">
        <v>503</v>
      </c>
      <c r="E152" s="28">
        <v>10043</v>
      </c>
      <c r="F152" s="25">
        <v>50.435946000000001</v>
      </c>
      <c r="G152" s="26">
        <v>0.30137318810052199</v>
      </c>
      <c r="H152" s="24"/>
    </row>
    <row r="153" spans="2:8" x14ac:dyDescent="0.2">
      <c r="B153" s="24" t="s">
        <v>1065</v>
      </c>
      <c r="C153" s="24" t="s">
        <v>1066</v>
      </c>
      <c r="D153" s="24" t="s">
        <v>229</v>
      </c>
      <c r="E153" s="28">
        <v>5166</v>
      </c>
      <c r="F153" s="25">
        <v>50.425325999999998</v>
      </c>
      <c r="G153" s="26">
        <v>0.30130972972387898</v>
      </c>
      <c r="H153" s="24"/>
    </row>
    <row r="154" spans="2:8" x14ac:dyDescent="0.2">
      <c r="B154" s="24" t="s">
        <v>1067</v>
      </c>
      <c r="C154" s="24" t="s">
        <v>1068</v>
      </c>
      <c r="D154" s="24" t="s">
        <v>246</v>
      </c>
      <c r="E154" s="28">
        <v>100554</v>
      </c>
      <c r="F154" s="25">
        <v>50.417775599999999</v>
      </c>
      <c r="G154" s="26">
        <v>0.30126461332773902</v>
      </c>
      <c r="H154" s="24"/>
    </row>
    <row r="155" spans="2:8" x14ac:dyDescent="0.2">
      <c r="B155" s="24" t="s">
        <v>1069</v>
      </c>
      <c r="C155" s="24" t="s">
        <v>1070</v>
      </c>
      <c r="D155" s="24" t="s">
        <v>386</v>
      </c>
      <c r="E155" s="28">
        <v>9412</v>
      </c>
      <c r="F155" s="25">
        <v>50.382435999999998</v>
      </c>
      <c r="G155" s="26">
        <v>0.30105344631764203</v>
      </c>
      <c r="H155" s="24"/>
    </row>
    <row r="156" spans="2:8" x14ac:dyDescent="0.2">
      <c r="B156" s="24" t="s">
        <v>1071</v>
      </c>
      <c r="C156" s="24" t="s">
        <v>1072</v>
      </c>
      <c r="D156" s="24" t="s">
        <v>476</v>
      </c>
      <c r="E156" s="28">
        <v>5732</v>
      </c>
      <c r="F156" s="25">
        <v>50.318362</v>
      </c>
      <c r="G156" s="26">
        <v>0.30067058077856101</v>
      </c>
      <c r="H156" s="24"/>
    </row>
    <row r="157" spans="2:8" x14ac:dyDescent="0.2">
      <c r="B157" s="24" t="s">
        <v>1073</v>
      </c>
      <c r="C157" s="24" t="s">
        <v>1074</v>
      </c>
      <c r="D157" s="24" t="s">
        <v>229</v>
      </c>
      <c r="E157" s="28">
        <v>13481</v>
      </c>
      <c r="F157" s="25">
        <v>50.095396000000001</v>
      </c>
      <c r="G157" s="26">
        <v>0.29933827753876402</v>
      </c>
      <c r="H157" s="24"/>
    </row>
    <row r="158" spans="2:8" x14ac:dyDescent="0.2">
      <c r="B158" s="24" t="s">
        <v>1075</v>
      </c>
      <c r="C158" s="24" t="s">
        <v>1076</v>
      </c>
      <c r="D158" s="24" t="s">
        <v>333</v>
      </c>
      <c r="E158" s="28">
        <v>5760</v>
      </c>
      <c r="F158" s="25">
        <v>49.521599999999999</v>
      </c>
      <c r="G158" s="26">
        <v>0.29590963698467798</v>
      </c>
      <c r="H158" s="24"/>
    </row>
    <row r="159" spans="2:8" x14ac:dyDescent="0.2">
      <c r="B159" s="24" t="s">
        <v>1077</v>
      </c>
      <c r="C159" s="24" t="s">
        <v>1078</v>
      </c>
      <c r="D159" s="24" t="s">
        <v>476</v>
      </c>
      <c r="E159" s="28">
        <v>6179</v>
      </c>
      <c r="F159" s="25">
        <v>48.560760999999999</v>
      </c>
      <c r="G159" s="26">
        <v>0.29016827322238598</v>
      </c>
      <c r="H159" s="24"/>
    </row>
    <row r="160" spans="2:8" x14ac:dyDescent="0.2">
      <c r="B160" s="24" t="s">
        <v>1079</v>
      </c>
      <c r="C160" s="24" t="s">
        <v>1080</v>
      </c>
      <c r="D160" s="24" t="s">
        <v>259</v>
      </c>
      <c r="E160" s="28">
        <v>503</v>
      </c>
      <c r="F160" s="25">
        <v>48.06165</v>
      </c>
      <c r="G160" s="26">
        <v>0.28718590280573802</v>
      </c>
      <c r="H160" s="24"/>
    </row>
    <row r="161" spans="2:8" x14ac:dyDescent="0.2">
      <c r="B161" s="24" t="s">
        <v>1081</v>
      </c>
      <c r="C161" s="24" t="s">
        <v>1082</v>
      </c>
      <c r="D161" s="24" t="s">
        <v>407</v>
      </c>
      <c r="E161" s="28">
        <v>6882</v>
      </c>
      <c r="F161" s="25">
        <v>47.482359000000002</v>
      </c>
      <c r="G161" s="26">
        <v>0.28372442762079902</v>
      </c>
      <c r="H161" s="24"/>
    </row>
    <row r="162" spans="2:8" x14ac:dyDescent="0.2">
      <c r="B162" s="24" t="s">
        <v>1083</v>
      </c>
      <c r="C162" s="24" t="s">
        <v>1084</v>
      </c>
      <c r="D162" s="24" t="s">
        <v>333</v>
      </c>
      <c r="E162" s="28">
        <v>11220</v>
      </c>
      <c r="F162" s="25">
        <v>47.180100000000003</v>
      </c>
      <c r="G162" s="26">
        <v>0.28191831976149401</v>
      </c>
      <c r="H162" s="24"/>
    </row>
    <row r="163" spans="2:8" x14ac:dyDescent="0.2">
      <c r="B163" s="24" t="s">
        <v>1335</v>
      </c>
      <c r="C163" s="24" t="s">
        <v>1085</v>
      </c>
      <c r="D163" s="24" t="s">
        <v>476</v>
      </c>
      <c r="E163" s="28">
        <v>1717</v>
      </c>
      <c r="F163" s="25">
        <v>46.503228</v>
      </c>
      <c r="G163" s="26">
        <v>0.277873762481335</v>
      </c>
      <c r="H163" s="24"/>
    </row>
    <row r="164" spans="2:8" x14ac:dyDescent="0.2">
      <c r="B164" s="24" t="s">
        <v>1086</v>
      </c>
      <c r="C164" s="24" t="s">
        <v>1087</v>
      </c>
      <c r="D164" s="24" t="s">
        <v>399</v>
      </c>
      <c r="E164" s="28">
        <v>8393</v>
      </c>
      <c r="F164" s="25">
        <v>45.573990000000002</v>
      </c>
      <c r="G164" s="26">
        <v>0.27232122622943</v>
      </c>
      <c r="H164" s="24"/>
    </row>
    <row r="165" spans="2:8" x14ac:dyDescent="0.2">
      <c r="B165" s="24" t="s">
        <v>1088</v>
      </c>
      <c r="C165" s="24" t="s">
        <v>1089</v>
      </c>
      <c r="D165" s="24" t="s">
        <v>925</v>
      </c>
      <c r="E165" s="28">
        <v>8063</v>
      </c>
      <c r="F165" s="25">
        <v>45.297933999999998</v>
      </c>
      <c r="G165" s="26">
        <v>0.27067169086006698</v>
      </c>
      <c r="H165" s="24"/>
    </row>
    <row r="166" spans="2:8" x14ac:dyDescent="0.2">
      <c r="B166" s="24" t="s">
        <v>1090</v>
      </c>
      <c r="C166" s="24" t="s">
        <v>1091</v>
      </c>
      <c r="D166" s="24" t="s">
        <v>324</v>
      </c>
      <c r="E166" s="28">
        <v>8382</v>
      </c>
      <c r="F166" s="25">
        <v>45.212508</v>
      </c>
      <c r="G166" s="26">
        <v>0.27016123932681602</v>
      </c>
      <c r="H166" s="24"/>
    </row>
    <row r="167" spans="2:8" x14ac:dyDescent="0.2">
      <c r="B167" s="24" t="s">
        <v>1092</v>
      </c>
      <c r="C167" s="24" t="s">
        <v>1093</v>
      </c>
      <c r="D167" s="24" t="s">
        <v>232</v>
      </c>
      <c r="E167" s="28">
        <v>22355</v>
      </c>
      <c r="F167" s="25">
        <v>45.197338999999999</v>
      </c>
      <c r="G167" s="26">
        <v>0.27007059901463998</v>
      </c>
      <c r="H167" s="24"/>
    </row>
    <row r="168" spans="2:8" x14ac:dyDescent="0.2">
      <c r="B168" s="24" t="s">
        <v>1094</v>
      </c>
      <c r="C168" s="24" t="s">
        <v>1095</v>
      </c>
      <c r="D168" s="24" t="s">
        <v>460</v>
      </c>
      <c r="E168" s="28">
        <v>5924</v>
      </c>
      <c r="F168" s="25">
        <v>45.140880000000003</v>
      </c>
      <c r="G168" s="26">
        <v>0.26973323588027998</v>
      </c>
      <c r="H168" s="24"/>
    </row>
    <row r="169" spans="2:8" x14ac:dyDescent="0.2">
      <c r="B169" s="24" t="s">
        <v>1096</v>
      </c>
      <c r="C169" s="24" t="s">
        <v>1097</v>
      </c>
      <c r="D169" s="24" t="s">
        <v>232</v>
      </c>
      <c r="E169" s="28">
        <v>26596</v>
      </c>
      <c r="F169" s="25">
        <v>45.112135199999997</v>
      </c>
      <c r="G169" s="26">
        <v>0.26956147520749901</v>
      </c>
      <c r="H169" s="24"/>
    </row>
    <row r="170" spans="2:8" x14ac:dyDescent="0.2">
      <c r="B170" s="24" t="s">
        <v>1098</v>
      </c>
      <c r="C170" s="24" t="s">
        <v>1099</v>
      </c>
      <c r="D170" s="24" t="s">
        <v>249</v>
      </c>
      <c r="E170" s="28">
        <v>8616</v>
      </c>
      <c r="F170" s="25">
        <v>43.928676000000003</v>
      </c>
      <c r="G170" s="26">
        <v>0.26248987448663902</v>
      </c>
      <c r="H170" s="24"/>
    </row>
    <row r="171" spans="2:8" x14ac:dyDescent="0.2">
      <c r="B171" s="24" t="s">
        <v>1100</v>
      </c>
      <c r="C171" s="24" t="s">
        <v>1101</v>
      </c>
      <c r="D171" s="24" t="s">
        <v>476</v>
      </c>
      <c r="E171" s="28">
        <v>22975</v>
      </c>
      <c r="F171" s="25">
        <v>43.195297500000002</v>
      </c>
      <c r="G171" s="26">
        <v>0.25810767024228098</v>
      </c>
      <c r="H171" s="24"/>
    </row>
    <row r="172" spans="2:8" x14ac:dyDescent="0.2">
      <c r="B172" s="24" t="s">
        <v>1102</v>
      </c>
      <c r="C172" s="24" t="s">
        <v>1103</v>
      </c>
      <c r="D172" s="24" t="s">
        <v>573</v>
      </c>
      <c r="E172" s="28">
        <v>2583</v>
      </c>
      <c r="F172" s="25">
        <v>43.061193000000003</v>
      </c>
      <c r="G172" s="26">
        <v>0.25730634690230397</v>
      </c>
      <c r="H172" s="24"/>
    </row>
    <row r="173" spans="2:8" x14ac:dyDescent="0.2">
      <c r="B173" s="24" t="s">
        <v>1104</v>
      </c>
      <c r="C173" s="24" t="s">
        <v>1105</v>
      </c>
      <c r="D173" s="24" t="s">
        <v>333</v>
      </c>
      <c r="E173" s="28">
        <v>9369</v>
      </c>
      <c r="F173" s="25">
        <v>42.999025500000002</v>
      </c>
      <c r="G173" s="26">
        <v>0.25693487339665699</v>
      </c>
      <c r="H173" s="24"/>
    </row>
    <row r="174" spans="2:8" x14ac:dyDescent="0.2">
      <c r="B174" s="24" t="s">
        <v>1106</v>
      </c>
      <c r="C174" s="24" t="s">
        <v>1107</v>
      </c>
      <c r="D174" s="24" t="s">
        <v>399</v>
      </c>
      <c r="E174" s="28">
        <v>9911</v>
      </c>
      <c r="F174" s="25">
        <v>42.820475500000001</v>
      </c>
      <c r="G174" s="26">
        <v>0.255867971970136</v>
      </c>
      <c r="H174" s="24"/>
    </row>
    <row r="175" spans="2:8" x14ac:dyDescent="0.2">
      <c r="B175" s="24" t="s">
        <v>1108</v>
      </c>
      <c r="C175" s="24" t="s">
        <v>1109</v>
      </c>
      <c r="D175" s="24" t="s">
        <v>460</v>
      </c>
      <c r="E175" s="28">
        <v>3396</v>
      </c>
      <c r="F175" s="25">
        <v>42.368496</v>
      </c>
      <c r="G175" s="26">
        <v>0.25316722947050901</v>
      </c>
      <c r="H175" s="24"/>
    </row>
    <row r="176" spans="2:8" x14ac:dyDescent="0.2">
      <c r="B176" s="24" t="s">
        <v>1110</v>
      </c>
      <c r="C176" s="24" t="s">
        <v>1111</v>
      </c>
      <c r="D176" s="24" t="s">
        <v>324</v>
      </c>
      <c r="E176" s="28">
        <v>2121</v>
      </c>
      <c r="F176" s="25">
        <v>41.792183999999999</v>
      </c>
      <c r="G176" s="26">
        <v>0.24972355489800099</v>
      </c>
      <c r="H176" s="24"/>
    </row>
    <row r="177" spans="2:8" x14ac:dyDescent="0.2">
      <c r="B177" s="24" t="s">
        <v>1112</v>
      </c>
      <c r="C177" s="24" t="s">
        <v>1113</v>
      </c>
      <c r="D177" s="24" t="s">
        <v>750</v>
      </c>
      <c r="E177" s="28">
        <v>3228</v>
      </c>
      <c r="F177" s="25">
        <v>41.357135999999997</v>
      </c>
      <c r="G177" s="26">
        <v>0.24712398429141899</v>
      </c>
      <c r="H177" s="24"/>
    </row>
    <row r="178" spans="2:8" x14ac:dyDescent="0.2">
      <c r="B178" s="24" t="s">
        <v>1114</v>
      </c>
      <c r="C178" s="24" t="s">
        <v>1115</v>
      </c>
      <c r="D178" s="24" t="s">
        <v>407</v>
      </c>
      <c r="E178" s="28">
        <v>930</v>
      </c>
      <c r="F178" s="25">
        <v>41.031599999999997</v>
      </c>
      <c r="G178" s="26">
        <v>0.24517878786025701</v>
      </c>
      <c r="H178" s="24"/>
    </row>
    <row r="179" spans="2:8" x14ac:dyDescent="0.2">
      <c r="B179" s="24" t="s">
        <v>1116</v>
      </c>
      <c r="C179" s="24" t="s">
        <v>1117</v>
      </c>
      <c r="D179" s="24" t="s">
        <v>259</v>
      </c>
      <c r="E179" s="28">
        <v>4556</v>
      </c>
      <c r="F179" s="25">
        <v>40.885544000000003</v>
      </c>
      <c r="G179" s="26">
        <v>0.244306049945096</v>
      </c>
      <c r="H179" s="24"/>
    </row>
    <row r="180" spans="2:8" x14ac:dyDescent="0.2">
      <c r="B180" s="24" t="s">
        <v>1118</v>
      </c>
      <c r="C180" s="24" t="s">
        <v>1119</v>
      </c>
      <c r="D180" s="24" t="s">
        <v>399</v>
      </c>
      <c r="E180" s="28">
        <v>1897</v>
      </c>
      <c r="F180" s="25">
        <v>40.610976000000001</v>
      </c>
      <c r="G180" s="26">
        <v>0.24266540591890101</v>
      </c>
      <c r="H180" s="24"/>
    </row>
    <row r="181" spans="2:8" x14ac:dyDescent="0.2">
      <c r="B181" s="24" t="s">
        <v>1120</v>
      </c>
      <c r="C181" s="24" t="s">
        <v>1121</v>
      </c>
      <c r="D181" s="24" t="s">
        <v>476</v>
      </c>
      <c r="E181" s="28">
        <v>6867</v>
      </c>
      <c r="F181" s="25">
        <v>40.583970000000001</v>
      </c>
      <c r="G181" s="26">
        <v>0.24250403521083799</v>
      </c>
      <c r="H181" s="24"/>
    </row>
    <row r="182" spans="2:8" x14ac:dyDescent="0.2">
      <c r="B182" s="24" t="s">
        <v>1122</v>
      </c>
      <c r="C182" s="24" t="s">
        <v>1123</v>
      </c>
      <c r="D182" s="24" t="s">
        <v>273</v>
      </c>
      <c r="E182" s="28">
        <v>94033</v>
      </c>
      <c r="F182" s="25">
        <v>40.481206499999999</v>
      </c>
      <c r="G182" s="26">
        <v>0.241889985786339</v>
      </c>
      <c r="H182" s="24"/>
    </row>
    <row r="183" spans="2:8" x14ac:dyDescent="0.2">
      <c r="B183" s="24" t="s">
        <v>1124</v>
      </c>
      <c r="C183" s="24" t="s">
        <v>1125</v>
      </c>
      <c r="D183" s="24" t="s">
        <v>386</v>
      </c>
      <c r="E183" s="28">
        <v>7183</v>
      </c>
      <c r="F183" s="25">
        <v>40.328953499999997</v>
      </c>
      <c r="G183" s="26">
        <v>0.240980218534073</v>
      </c>
      <c r="H183" s="24"/>
    </row>
    <row r="184" spans="2:8" x14ac:dyDescent="0.2">
      <c r="B184" s="24" t="s">
        <v>1126</v>
      </c>
      <c r="C184" s="24" t="s">
        <v>1127</v>
      </c>
      <c r="D184" s="24" t="s">
        <v>364</v>
      </c>
      <c r="E184" s="28">
        <v>2718</v>
      </c>
      <c r="F184" s="25">
        <v>40.313375999999998</v>
      </c>
      <c r="G184" s="26">
        <v>0.24088713728528199</v>
      </c>
      <c r="H184" s="24"/>
    </row>
    <row r="185" spans="2:8" x14ac:dyDescent="0.2">
      <c r="B185" s="24" t="s">
        <v>1128</v>
      </c>
      <c r="C185" s="24" t="s">
        <v>1129</v>
      </c>
      <c r="D185" s="24" t="s">
        <v>573</v>
      </c>
      <c r="E185" s="28">
        <v>6754</v>
      </c>
      <c r="F185" s="25">
        <v>40.139021999999997</v>
      </c>
      <c r="G185" s="26">
        <v>0.239845308490436</v>
      </c>
      <c r="H185" s="24"/>
    </row>
    <row r="186" spans="2:8" x14ac:dyDescent="0.2">
      <c r="B186" s="24" t="s">
        <v>1130</v>
      </c>
      <c r="C186" s="24" t="s">
        <v>1131</v>
      </c>
      <c r="D186" s="24" t="s">
        <v>386</v>
      </c>
      <c r="E186" s="28">
        <v>4774</v>
      </c>
      <c r="F186" s="25">
        <v>39.934510000000003</v>
      </c>
      <c r="G186" s="26">
        <v>0.23862327463694599</v>
      </c>
      <c r="H186" s="24"/>
    </row>
    <row r="187" spans="2:8" x14ac:dyDescent="0.2">
      <c r="B187" s="24" t="s">
        <v>1132</v>
      </c>
      <c r="C187" s="24" t="s">
        <v>1133</v>
      </c>
      <c r="D187" s="24" t="s">
        <v>273</v>
      </c>
      <c r="E187" s="28">
        <v>7503</v>
      </c>
      <c r="F187" s="25">
        <v>39.728385000000003</v>
      </c>
      <c r="G187" s="26">
        <v>0.23739160251965799</v>
      </c>
      <c r="H187" s="24"/>
    </row>
    <row r="188" spans="2:8" x14ac:dyDescent="0.2">
      <c r="B188" s="24" t="s">
        <v>1134</v>
      </c>
      <c r="C188" s="24" t="s">
        <v>1135</v>
      </c>
      <c r="D188" s="24" t="s">
        <v>324</v>
      </c>
      <c r="E188" s="28">
        <v>3982</v>
      </c>
      <c r="F188" s="25">
        <v>39.368043</v>
      </c>
      <c r="G188" s="26">
        <v>0.235238427533181</v>
      </c>
      <c r="H188" s="24"/>
    </row>
    <row r="189" spans="2:8" x14ac:dyDescent="0.2">
      <c r="B189" s="24" t="s">
        <v>1136</v>
      </c>
      <c r="C189" s="24" t="s">
        <v>1137</v>
      </c>
      <c r="D189" s="24" t="s">
        <v>259</v>
      </c>
      <c r="E189" s="28">
        <v>2700</v>
      </c>
      <c r="F189" s="25">
        <v>38.982599999999998</v>
      </c>
      <c r="G189" s="26">
        <v>0.232935264909027</v>
      </c>
      <c r="H189" s="24"/>
    </row>
    <row r="190" spans="2:8" x14ac:dyDescent="0.2">
      <c r="B190" s="24" t="s">
        <v>1138</v>
      </c>
      <c r="C190" s="24" t="s">
        <v>1139</v>
      </c>
      <c r="D190" s="24" t="s">
        <v>386</v>
      </c>
      <c r="E190" s="28">
        <v>8744</v>
      </c>
      <c r="F190" s="25">
        <v>38.945776000000002</v>
      </c>
      <c r="G190" s="26">
        <v>0.23271522806707701</v>
      </c>
      <c r="H190" s="24"/>
    </row>
    <row r="191" spans="2:8" x14ac:dyDescent="0.2">
      <c r="B191" s="24" t="s">
        <v>1140</v>
      </c>
      <c r="C191" s="24" t="s">
        <v>1141</v>
      </c>
      <c r="D191" s="24" t="s">
        <v>476</v>
      </c>
      <c r="E191" s="28">
        <v>2064</v>
      </c>
      <c r="F191" s="25">
        <v>38.689680000000003</v>
      </c>
      <c r="G191" s="26">
        <v>0.23118496098375901</v>
      </c>
      <c r="H191" s="24"/>
    </row>
    <row r="192" spans="2:8" x14ac:dyDescent="0.2">
      <c r="B192" s="24" t="s">
        <v>1142</v>
      </c>
      <c r="C192" s="24" t="s">
        <v>1143</v>
      </c>
      <c r="D192" s="24" t="s">
        <v>218</v>
      </c>
      <c r="E192" s="28">
        <v>36395</v>
      </c>
      <c r="F192" s="25">
        <v>38.626013499999999</v>
      </c>
      <c r="G192" s="26">
        <v>0.23080453040592899</v>
      </c>
      <c r="H192" s="24"/>
    </row>
    <row r="193" spans="2:8" x14ac:dyDescent="0.2">
      <c r="B193" s="24" t="s">
        <v>1144</v>
      </c>
      <c r="C193" s="24" t="s">
        <v>1145</v>
      </c>
      <c r="D193" s="24" t="s">
        <v>221</v>
      </c>
      <c r="E193" s="28">
        <v>3931</v>
      </c>
      <c r="F193" s="25">
        <v>38.498248500000003</v>
      </c>
      <c r="G193" s="26">
        <v>0.23004108789257399</v>
      </c>
      <c r="H193" s="24"/>
    </row>
    <row r="194" spans="2:8" x14ac:dyDescent="0.2">
      <c r="B194" s="24" t="s">
        <v>1146</v>
      </c>
      <c r="C194" s="24" t="s">
        <v>1147</v>
      </c>
      <c r="D194" s="24" t="s">
        <v>1148</v>
      </c>
      <c r="E194" s="28">
        <v>1471</v>
      </c>
      <c r="F194" s="25">
        <v>37.835591000000001</v>
      </c>
      <c r="G194" s="26">
        <v>0.226081467438668</v>
      </c>
      <c r="H194" s="24"/>
    </row>
    <row r="195" spans="2:8" x14ac:dyDescent="0.2">
      <c r="B195" s="24" t="s">
        <v>1149</v>
      </c>
      <c r="C195" s="24" t="s">
        <v>1150</v>
      </c>
      <c r="D195" s="24" t="s">
        <v>319</v>
      </c>
      <c r="E195" s="28">
        <v>50314</v>
      </c>
      <c r="F195" s="25">
        <v>37.765688400000002</v>
      </c>
      <c r="G195" s="26">
        <v>0.22566377388695899</v>
      </c>
      <c r="H195" s="24"/>
    </row>
    <row r="196" spans="2:8" x14ac:dyDescent="0.2">
      <c r="B196" s="24" t="s">
        <v>1151</v>
      </c>
      <c r="C196" s="24" t="s">
        <v>1152</v>
      </c>
      <c r="D196" s="24" t="s">
        <v>311</v>
      </c>
      <c r="E196" s="28">
        <v>5139</v>
      </c>
      <c r="F196" s="25">
        <v>37.545534000000004</v>
      </c>
      <c r="G196" s="26">
        <v>0.224348270983487</v>
      </c>
      <c r="H196" s="24"/>
    </row>
    <row r="197" spans="2:8" x14ac:dyDescent="0.2">
      <c r="B197" s="24" t="s">
        <v>1153</v>
      </c>
      <c r="C197" s="24" t="s">
        <v>1154</v>
      </c>
      <c r="D197" s="24" t="s">
        <v>476</v>
      </c>
      <c r="E197" s="28">
        <v>2654</v>
      </c>
      <c r="F197" s="25">
        <v>37.47448</v>
      </c>
      <c r="G197" s="26">
        <v>0.22392369739648099</v>
      </c>
      <c r="H197" s="24"/>
    </row>
    <row r="198" spans="2:8" x14ac:dyDescent="0.2">
      <c r="B198" s="24" t="s">
        <v>1155</v>
      </c>
      <c r="C198" s="24" t="s">
        <v>1156</v>
      </c>
      <c r="D198" s="24" t="s">
        <v>267</v>
      </c>
      <c r="E198" s="28">
        <v>4957</v>
      </c>
      <c r="F198" s="25">
        <v>37.398086499999998</v>
      </c>
      <c r="G198" s="26">
        <v>0.22346721834788399</v>
      </c>
      <c r="H198" s="24"/>
    </row>
    <row r="199" spans="2:8" x14ac:dyDescent="0.2">
      <c r="B199" s="24" t="s">
        <v>1157</v>
      </c>
      <c r="C199" s="24" t="s">
        <v>1158</v>
      </c>
      <c r="D199" s="24" t="s">
        <v>508</v>
      </c>
      <c r="E199" s="28">
        <v>3360</v>
      </c>
      <c r="F199" s="25">
        <v>36.99024</v>
      </c>
      <c r="G199" s="26">
        <v>0.22103018663322899</v>
      </c>
      <c r="H199" s="24"/>
    </row>
    <row r="200" spans="2:8" x14ac:dyDescent="0.2">
      <c r="B200" s="24" t="s">
        <v>1159</v>
      </c>
      <c r="C200" s="24" t="s">
        <v>1160</v>
      </c>
      <c r="D200" s="24" t="s">
        <v>399</v>
      </c>
      <c r="E200" s="28">
        <v>6552</v>
      </c>
      <c r="F200" s="25">
        <v>36.933624000000002</v>
      </c>
      <c r="G200" s="26">
        <v>0.22069188536655901</v>
      </c>
      <c r="H200" s="24"/>
    </row>
    <row r="201" spans="2:8" x14ac:dyDescent="0.2">
      <c r="B201" s="24" t="s">
        <v>1161</v>
      </c>
      <c r="C201" s="24" t="s">
        <v>1162</v>
      </c>
      <c r="D201" s="24" t="s">
        <v>578</v>
      </c>
      <c r="E201" s="28">
        <v>8365</v>
      </c>
      <c r="F201" s="25">
        <v>36.475582500000002</v>
      </c>
      <c r="G201" s="26">
        <v>0.21795492020410601</v>
      </c>
      <c r="H201" s="24"/>
    </row>
    <row r="202" spans="2:8" x14ac:dyDescent="0.2">
      <c r="B202" s="24" t="s">
        <v>1163</v>
      </c>
      <c r="C202" s="24" t="s">
        <v>1164</v>
      </c>
      <c r="D202" s="24" t="s">
        <v>252</v>
      </c>
      <c r="E202" s="28">
        <v>44338</v>
      </c>
      <c r="F202" s="25">
        <v>36.197543199999998</v>
      </c>
      <c r="G202" s="26">
        <v>0.21629353389327499</v>
      </c>
      <c r="H202" s="24"/>
    </row>
    <row r="203" spans="2:8" x14ac:dyDescent="0.2">
      <c r="B203" s="24" t="s">
        <v>1165</v>
      </c>
      <c r="C203" s="24" t="s">
        <v>1166</v>
      </c>
      <c r="D203" s="24" t="s">
        <v>281</v>
      </c>
      <c r="E203" s="28">
        <v>13803</v>
      </c>
      <c r="F203" s="25">
        <v>35.843630400000002</v>
      </c>
      <c r="G203" s="26">
        <v>0.21417877572366301</v>
      </c>
      <c r="H203" s="24"/>
    </row>
    <row r="204" spans="2:8" x14ac:dyDescent="0.2">
      <c r="B204" s="24" t="s">
        <v>1167</v>
      </c>
      <c r="C204" s="24" t="s">
        <v>1168</v>
      </c>
      <c r="D204" s="24" t="s">
        <v>448</v>
      </c>
      <c r="E204" s="28">
        <v>11081</v>
      </c>
      <c r="F204" s="25">
        <v>35.752846499999997</v>
      </c>
      <c r="G204" s="26">
        <v>0.21363630878210499</v>
      </c>
      <c r="H204" s="24"/>
    </row>
    <row r="205" spans="2:8" x14ac:dyDescent="0.2">
      <c r="B205" s="24" t="s">
        <v>1169</v>
      </c>
      <c r="C205" s="24" t="s">
        <v>1170</v>
      </c>
      <c r="D205" s="24" t="s">
        <v>1171</v>
      </c>
      <c r="E205" s="28">
        <v>6603</v>
      </c>
      <c r="F205" s="25">
        <v>35.227004999999998</v>
      </c>
      <c r="G205" s="26">
        <v>0.21049421387046099</v>
      </c>
      <c r="H205" s="24"/>
    </row>
    <row r="206" spans="2:8" x14ac:dyDescent="0.2">
      <c r="B206" s="24" t="s">
        <v>1172</v>
      </c>
      <c r="C206" s="24" t="s">
        <v>1173</v>
      </c>
      <c r="D206" s="24" t="s">
        <v>1148</v>
      </c>
      <c r="E206" s="28">
        <v>11110</v>
      </c>
      <c r="F206" s="25">
        <v>34.940950000000001</v>
      </c>
      <c r="G206" s="26">
        <v>0.20878493082614</v>
      </c>
      <c r="H206" s="24"/>
    </row>
    <row r="207" spans="2:8" x14ac:dyDescent="0.2">
      <c r="B207" s="24" t="s">
        <v>1174</v>
      </c>
      <c r="C207" s="24" t="s">
        <v>1175</v>
      </c>
      <c r="D207" s="24" t="s">
        <v>249</v>
      </c>
      <c r="E207" s="28">
        <v>30498</v>
      </c>
      <c r="F207" s="25">
        <v>34.7921184</v>
      </c>
      <c r="G207" s="26">
        <v>0.207895607687795</v>
      </c>
      <c r="H207" s="24"/>
    </row>
    <row r="208" spans="2:8" x14ac:dyDescent="0.2">
      <c r="B208" s="24" t="s">
        <v>1176</v>
      </c>
      <c r="C208" s="24" t="s">
        <v>1177</v>
      </c>
      <c r="D208" s="24" t="s">
        <v>392</v>
      </c>
      <c r="E208" s="28">
        <v>3198</v>
      </c>
      <c r="F208" s="25">
        <v>34.675913999999999</v>
      </c>
      <c r="G208" s="26">
        <v>0.20720124397943299</v>
      </c>
      <c r="H208" s="24"/>
    </row>
    <row r="209" spans="2:8" x14ac:dyDescent="0.2">
      <c r="B209" s="24" t="s">
        <v>1178</v>
      </c>
      <c r="C209" s="24" t="s">
        <v>1179</v>
      </c>
      <c r="D209" s="24" t="s">
        <v>229</v>
      </c>
      <c r="E209" s="28">
        <v>6693</v>
      </c>
      <c r="F209" s="25">
        <v>34.505761499999998</v>
      </c>
      <c r="G209" s="26">
        <v>0.20618452068077101</v>
      </c>
      <c r="H209" s="24"/>
    </row>
    <row r="210" spans="2:8" x14ac:dyDescent="0.2">
      <c r="B210" s="24" t="s">
        <v>1180</v>
      </c>
      <c r="C210" s="24" t="s">
        <v>1181</v>
      </c>
      <c r="D210" s="24" t="s">
        <v>448</v>
      </c>
      <c r="E210" s="28">
        <v>10066</v>
      </c>
      <c r="F210" s="25">
        <v>33.982816</v>
      </c>
      <c r="G210" s="26">
        <v>0.20305973042625999</v>
      </c>
      <c r="H210" s="24"/>
    </row>
    <row r="211" spans="2:8" x14ac:dyDescent="0.2">
      <c r="B211" s="24" t="s">
        <v>1182</v>
      </c>
      <c r="C211" s="24" t="s">
        <v>1183</v>
      </c>
      <c r="D211" s="24" t="s">
        <v>276</v>
      </c>
      <c r="E211" s="28">
        <v>8180</v>
      </c>
      <c r="F211" s="25">
        <v>33.918370000000003</v>
      </c>
      <c r="G211" s="26">
        <v>0.20267464205138699</v>
      </c>
      <c r="H211" s="24"/>
    </row>
    <row r="212" spans="2:8" x14ac:dyDescent="0.2">
      <c r="B212" s="24" t="s">
        <v>1184</v>
      </c>
      <c r="C212" s="24" t="s">
        <v>1185</v>
      </c>
      <c r="D212" s="24" t="s">
        <v>476</v>
      </c>
      <c r="E212" s="28">
        <v>5443</v>
      </c>
      <c r="F212" s="25">
        <v>33.918054499999997</v>
      </c>
      <c r="G212" s="26">
        <v>0.20267275682371999</v>
      </c>
      <c r="H212" s="24"/>
    </row>
    <row r="213" spans="2:8" x14ac:dyDescent="0.2">
      <c r="B213" s="24" t="s">
        <v>1186</v>
      </c>
      <c r="C213" s="24" t="s">
        <v>1187</v>
      </c>
      <c r="D213" s="24" t="s">
        <v>476</v>
      </c>
      <c r="E213" s="28">
        <v>4278</v>
      </c>
      <c r="F213" s="25">
        <v>33.824007000000002</v>
      </c>
      <c r="G213" s="26">
        <v>0.20211078868084201</v>
      </c>
      <c r="H213" s="24"/>
    </row>
    <row r="214" spans="2:8" x14ac:dyDescent="0.2">
      <c r="B214" s="24" t="s">
        <v>1188</v>
      </c>
      <c r="C214" s="24" t="s">
        <v>1189</v>
      </c>
      <c r="D214" s="24" t="s">
        <v>578</v>
      </c>
      <c r="E214" s="28">
        <v>25934</v>
      </c>
      <c r="F214" s="25">
        <v>33.623430999999997</v>
      </c>
      <c r="G214" s="26">
        <v>0.200912273864119</v>
      </c>
      <c r="H214" s="24"/>
    </row>
    <row r="215" spans="2:8" x14ac:dyDescent="0.2">
      <c r="B215" s="24" t="s">
        <v>1190</v>
      </c>
      <c r="C215" s="24" t="s">
        <v>1191</v>
      </c>
      <c r="D215" s="24" t="s">
        <v>259</v>
      </c>
      <c r="E215" s="28">
        <v>1647</v>
      </c>
      <c r="F215" s="25">
        <v>33.480215999999999</v>
      </c>
      <c r="G215" s="26">
        <v>0.20005651196101501</v>
      </c>
      <c r="H215" s="24"/>
    </row>
    <row r="216" spans="2:8" x14ac:dyDescent="0.2">
      <c r="B216" s="24" t="s">
        <v>1192</v>
      </c>
      <c r="C216" s="24" t="s">
        <v>1193</v>
      </c>
      <c r="D216" s="24" t="s">
        <v>476</v>
      </c>
      <c r="E216" s="28">
        <v>18964</v>
      </c>
      <c r="F216" s="25">
        <v>33.234409999999997</v>
      </c>
      <c r="G216" s="26">
        <v>0.19858773138388</v>
      </c>
      <c r="H216" s="24"/>
    </row>
    <row r="217" spans="2:8" x14ac:dyDescent="0.2">
      <c r="B217" s="24" t="s">
        <v>1194</v>
      </c>
      <c r="C217" s="24" t="s">
        <v>1195</v>
      </c>
      <c r="D217" s="24" t="s">
        <v>252</v>
      </c>
      <c r="E217" s="28">
        <v>4982</v>
      </c>
      <c r="F217" s="25">
        <v>32.171264999999998</v>
      </c>
      <c r="G217" s="26">
        <v>0.19223505192659099</v>
      </c>
      <c r="H217" s="24"/>
    </row>
    <row r="218" spans="2:8" x14ac:dyDescent="0.2">
      <c r="B218" s="24" t="s">
        <v>1196</v>
      </c>
      <c r="C218" s="24" t="s">
        <v>1197</v>
      </c>
      <c r="D218" s="24" t="s">
        <v>404</v>
      </c>
      <c r="E218" s="28">
        <v>11237</v>
      </c>
      <c r="F218" s="25">
        <v>31.946791000000001</v>
      </c>
      <c r="G218" s="26">
        <v>0.19089373783632499</v>
      </c>
      <c r="H218" s="24"/>
    </row>
    <row r="219" spans="2:8" x14ac:dyDescent="0.2">
      <c r="B219" s="24" t="s">
        <v>1198</v>
      </c>
      <c r="C219" s="24" t="s">
        <v>1199</v>
      </c>
      <c r="D219" s="24" t="s">
        <v>281</v>
      </c>
      <c r="E219" s="28">
        <v>483</v>
      </c>
      <c r="F219" s="25">
        <v>31.742760000000001</v>
      </c>
      <c r="G219" s="26">
        <v>0.18967457813341501</v>
      </c>
      <c r="H219" s="24"/>
    </row>
    <row r="220" spans="2:8" x14ac:dyDescent="0.2">
      <c r="B220" s="24" t="s">
        <v>1200</v>
      </c>
      <c r="C220" s="24" t="s">
        <v>1201</v>
      </c>
      <c r="D220" s="24" t="s">
        <v>324</v>
      </c>
      <c r="E220" s="28">
        <v>6263</v>
      </c>
      <c r="F220" s="25">
        <v>31.7064375</v>
      </c>
      <c r="G220" s="26">
        <v>0.18945753793702899</v>
      </c>
      <c r="H220" s="24"/>
    </row>
    <row r="221" spans="2:8" x14ac:dyDescent="0.2">
      <c r="B221" s="24" t="s">
        <v>1202</v>
      </c>
      <c r="C221" s="24" t="s">
        <v>1203</v>
      </c>
      <c r="D221" s="24" t="s">
        <v>218</v>
      </c>
      <c r="E221" s="28">
        <v>79470</v>
      </c>
      <c r="F221" s="25">
        <v>31.374756000000001</v>
      </c>
      <c r="G221" s="26">
        <v>0.18747561990006101</v>
      </c>
      <c r="H221" s="24"/>
    </row>
    <row r="222" spans="2:8" x14ac:dyDescent="0.2">
      <c r="B222" s="24" t="s">
        <v>1204</v>
      </c>
      <c r="C222" s="24" t="s">
        <v>1205</v>
      </c>
      <c r="D222" s="24" t="s">
        <v>249</v>
      </c>
      <c r="E222" s="28">
        <v>53708</v>
      </c>
      <c r="F222" s="25">
        <v>31.123785999999999</v>
      </c>
      <c r="G222" s="26">
        <v>0.18597598253789799</v>
      </c>
      <c r="H222" s="24"/>
    </row>
    <row r="223" spans="2:8" x14ac:dyDescent="0.2">
      <c r="B223" s="24" t="s">
        <v>1206</v>
      </c>
      <c r="C223" s="24" t="s">
        <v>1207</v>
      </c>
      <c r="D223" s="24" t="s">
        <v>364</v>
      </c>
      <c r="E223" s="28">
        <v>9889</v>
      </c>
      <c r="F223" s="25">
        <v>31.110793999999999</v>
      </c>
      <c r="G223" s="26">
        <v>0.185898350595398</v>
      </c>
      <c r="H223" s="24"/>
    </row>
    <row r="224" spans="2:8" x14ac:dyDescent="0.2">
      <c r="B224" s="24" t="s">
        <v>1208</v>
      </c>
      <c r="C224" s="24" t="s">
        <v>1209</v>
      </c>
      <c r="D224" s="24" t="s">
        <v>364</v>
      </c>
      <c r="E224" s="28">
        <v>19971</v>
      </c>
      <c r="F224" s="25">
        <v>29.732824799999999</v>
      </c>
      <c r="G224" s="26">
        <v>0.17766448162210099</v>
      </c>
      <c r="H224" s="24"/>
    </row>
    <row r="225" spans="2:8" x14ac:dyDescent="0.2">
      <c r="B225" s="24" t="s">
        <v>1210</v>
      </c>
      <c r="C225" s="24" t="s">
        <v>1211</v>
      </c>
      <c r="D225" s="24" t="s">
        <v>267</v>
      </c>
      <c r="E225" s="28">
        <v>471</v>
      </c>
      <c r="F225" s="25">
        <v>29.326815</v>
      </c>
      <c r="G225" s="26">
        <v>0.1752384248604</v>
      </c>
      <c r="H225" s="24"/>
    </row>
    <row r="226" spans="2:8" x14ac:dyDescent="0.2">
      <c r="B226" s="24" t="s">
        <v>1212</v>
      </c>
      <c r="C226" s="24" t="s">
        <v>1213</v>
      </c>
      <c r="D226" s="24" t="s">
        <v>578</v>
      </c>
      <c r="E226" s="28">
        <v>101955</v>
      </c>
      <c r="F226" s="25">
        <v>29.189716499999999</v>
      </c>
      <c r="G226" s="26">
        <v>0.174419211277516</v>
      </c>
      <c r="H226" s="24"/>
    </row>
    <row r="227" spans="2:8" x14ac:dyDescent="0.2">
      <c r="B227" s="24" t="s">
        <v>1214</v>
      </c>
      <c r="C227" s="24" t="s">
        <v>1215</v>
      </c>
      <c r="D227" s="24" t="s">
        <v>311</v>
      </c>
      <c r="E227" s="28">
        <v>1414</v>
      </c>
      <c r="F227" s="25">
        <v>28.008512</v>
      </c>
      <c r="G227" s="26">
        <v>0.16736108321219401</v>
      </c>
      <c r="H227" s="24"/>
    </row>
    <row r="228" spans="2:8" x14ac:dyDescent="0.2">
      <c r="B228" s="24" t="s">
        <v>1216</v>
      </c>
      <c r="C228" s="24" t="s">
        <v>1217</v>
      </c>
      <c r="D228" s="24" t="s">
        <v>809</v>
      </c>
      <c r="E228" s="28">
        <v>8293</v>
      </c>
      <c r="F228" s="25">
        <v>28.005461</v>
      </c>
      <c r="G228" s="26">
        <v>0.16734285237348001</v>
      </c>
      <c r="H228" s="24"/>
    </row>
    <row r="229" spans="2:8" x14ac:dyDescent="0.2">
      <c r="B229" s="24" t="s">
        <v>1218</v>
      </c>
      <c r="C229" s="24" t="s">
        <v>1219</v>
      </c>
      <c r="D229" s="24" t="s">
        <v>925</v>
      </c>
      <c r="E229" s="28">
        <v>6112</v>
      </c>
      <c r="F229" s="25">
        <v>27.803488000000002</v>
      </c>
      <c r="G229" s="26">
        <v>0.16613598997180701</v>
      </c>
      <c r="H229" s="24"/>
    </row>
    <row r="230" spans="2:8" x14ac:dyDescent="0.2">
      <c r="B230" s="24" t="s">
        <v>1220</v>
      </c>
      <c r="C230" s="24" t="s">
        <v>1221</v>
      </c>
      <c r="D230" s="24" t="s">
        <v>259</v>
      </c>
      <c r="E230" s="28">
        <v>2050</v>
      </c>
      <c r="F230" s="25">
        <v>27.03745</v>
      </c>
      <c r="G230" s="26">
        <v>0.16155863329317699</v>
      </c>
      <c r="H230" s="24"/>
    </row>
    <row r="231" spans="2:8" x14ac:dyDescent="0.2">
      <c r="B231" s="24" t="s">
        <v>1222</v>
      </c>
      <c r="C231" s="24" t="s">
        <v>1223</v>
      </c>
      <c r="D231" s="24" t="s">
        <v>232</v>
      </c>
      <c r="E231" s="28">
        <v>10934</v>
      </c>
      <c r="F231" s="25">
        <v>26.840783200000001</v>
      </c>
      <c r="G231" s="26">
        <v>0.160383477373438</v>
      </c>
      <c r="H231" s="24"/>
    </row>
    <row r="232" spans="2:8" x14ac:dyDescent="0.2">
      <c r="B232" s="24" t="s">
        <v>1224</v>
      </c>
      <c r="C232" s="24" t="s">
        <v>1225</v>
      </c>
      <c r="D232" s="24" t="s">
        <v>229</v>
      </c>
      <c r="E232" s="28">
        <v>5870</v>
      </c>
      <c r="F232" s="25">
        <v>26.318145000000001</v>
      </c>
      <c r="G232" s="26">
        <v>0.15726052334860199</v>
      </c>
      <c r="H232" s="24"/>
    </row>
    <row r="233" spans="2:8" x14ac:dyDescent="0.2">
      <c r="B233" s="24" t="s">
        <v>1226</v>
      </c>
      <c r="C233" s="24" t="s">
        <v>1227</v>
      </c>
      <c r="D233" s="24" t="s">
        <v>226</v>
      </c>
      <c r="E233" s="28">
        <v>7133</v>
      </c>
      <c r="F233" s="25">
        <v>26.256572999999999</v>
      </c>
      <c r="G233" s="26">
        <v>0.15689260817283099</v>
      </c>
      <c r="H233" s="24"/>
    </row>
    <row r="234" spans="2:8" x14ac:dyDescent="0.2">
      <c r="B234" s="24" t="s">
        <v>1228</v>
      </c>
      <c r="C234" s="24" t="s">
        <v>1229</v>
      </c>
      <c r="D234" s="24" t="s">
        <v>304</v>
      </c>
      <c r="E234" s="28">
        <v>9212</v>
      </c>
      <c r="F234" s="25">
        <v>25.696874000000001</v>
      </c>
      <c r="G234" s="26">
        <v>0.15354820233960501</v>
      </c>
      <c r="H234" s="24"/>
    </row>
    <row r="235" spans="2:8" x14ac:dyDescent="0.2">
      <c r="B235" s="24" t="s">
        <v>1230</v>
      </c>
      <c r="C235" s="24" t="s">
        <v>1231</v>
      </c>
      <c r="D235" s="24" t="s">
        <v>1171</v>
      </c>
      <c r="E235" s="28">
        <v>7844</v>
      </c>
      <c r="F235" s="25">
        <v>25.469467999999999</v>
      </c>
      <c r="G235" s="26">
        <v>0.152189368479065</v>
      </c>
      <c r="H235" s="24"/>
    </row>
    <row r="236" spans="2:8" x14ac:dyDescent="0.2">
      <c r="B236" s="24" t="s">
        <v>1232</v>
      </c>
      <c r="C236" s="24" t="s">
        <v>1233</v>
      </c>
      <c r="D236" s="24" t="s">
        <v>229</v>
      </c>
      <c r="E236" s="28">
        <v>1393</v>
      </c>
      <c r="F236" s="25">
        <v>25.342849000000001</v>
      </c>
      <c r="G236" s="26">
        <v>0.15143277373403699</v>
      </c>
      <c r="H236" s="24"/>
    </row>
    <row r="237" spans="2:8" x14ac:dyDescent="0.2">
      <c r="B237" s="24" t="s">
        <v>1234</v>
      </c>
      <c r="C237" s="24" t="s">
        <v>1235</v>
      </c>
      <c r="D237" s="24" t="s">
        <v>627</v>
      </c>
      <c r="E237" s="28">
        <v>6980</v>
      </c>
      <c r="F237" s="25">
        <v>24.922090000000001</v>
      </c>
      <c r="G237" s="26">
        <v>0.148918585118402</v>
      </c>
      <c r="H237" s="24"/>
    </row>
    <row r="238" spans="2:8" x14ac:dyDescent="0.2">
      <c r="B238" s="24" t="s">
        <v>1236</v>
      </c>
      <c r="C238" s="24" t="s">
        <v>1237</v>
      </c>
      <c r="D238" s="24" t="s">
        <v>221</v>
      </c>
      <c r="E238" s="28">
        <v>14571</v>
      </c>
      <c r="F238" s="25">
        <v>24.246144000000001</v>
      </c>
      <c r="G238" s="26">
        <v>0.14487956102626401</v>
      </c>
      <c r="H238" s="24"/>
    </row>
    <row r="239" spans="2:8" x14ac:dyDescent="0.2">
      <c r="B239" s="24" t="s">
        <v>1238</v>
      </c>
      <c r="C239" s="24" t="s">
        <v>1239</v>
      </c>
      <c r="D239" s="24" t="s">
        <v>267</v>
      </c>
      <c r="E239" s="28">
        <v>738</v>
      </c>
      <c r="F239" s="25">
        <v>23.923746000000001</v>
      </c>
      <c r="G239" s="26">
        <v>0.142953115290573</v>
      </c>
      <c r="H239" s="24"/>
    </row>
    <row r="240" spans="2:8" x14ac:dyDescent="0.2">
      <c r="B240" s="24" t="s">
        <v>1240</v>
      </c>
      <c r="C240" s="24" t="s">
        <v>1241</v>
      </c>
      <c r="D240" s="24" t="s">
        <v>311</v>
      </c>
      <c r="E240" s="28">
        <v>3578</v>
      </c>
      <c r="F240" s="25">
        <v>23.731085</v>
      </c>
      <c r="G240" s="26">
        <v>0.141801895488081</v>
      </c>
      <c r="H240" s="24"/>
    </row>
    <row r="241" spans="2:8" x14ac:dyDescent="0.2">
      <c r="B241" s="24" t="s">
        <v>1242</v>
      </c>
      <c r="C241" s="24" t="s">
        <v>1243</v>
      </c>
      <c r="D241" s="24" t="s">
        <v>476</v>
      </c>
      <c r="E241" s="28">
        <v>4947</v>
      </c>
      <c r="F241" s="25">
        <v>23.587295999999998</v>
      </c>
      <c r="G241" s="26">
        <v>0.14094270372544801</v>
      </c>
      <c r="H241" s="24"/>
    </row>
    <row r="242" spans="2:8" x14ac:dyDescent="0.2">
      <c r="B242" s="24" t="s">
        <v>1244</v>
      </c>
      <c r="C242" s="24" t="s">
        <v>1245</v>
      </c>
      <c r="D242" s="24" t="s">
        <v>264</v>
      </c>
      <c r="E242" s="28">
        <v>8213</v>
      </c>
      <c r="F242" s="25">
        <v>23.144234000000001</v>
      </c>
      <c r="G242" s="26">
        <v>0.13829524654349701</v>
      </c>
      <c r="H242" s="24"/>
    </row>
    <row r="243" spans="2:8" x14ac:dyDescent="0.2">
      <c r="B243" s="24" t="s">
        <v>1246</v>
      </c>
      <c r="C243" s="24" t="s">
        <v>1247</v>
      </c>
      <c r="D243" s="24" t="s">
        <v>226</v>
      </c>
      <c r="E243" s="28">
        <v>41022</v>
      </c>
      <c r="F243" s="25">
        <v>22.389807600000001</v>
      </c>
      <c r="G243" s="26">
        <v>0.13378727341347599</v>
      </c>
      <c r="H243" s="24"/>
    </row>
    <row r="244" spans="2:8" x14ac:dyDescent="0.2">
      <c r="B244" s="24" t="s">
        <v>1248</v>
      </c>
      <c r="C244" s="24" t="s">
        <v>1249</v>
      </c>
      <c r="D244" s="24" t="s">
        <v>364</v>
      </c>
      <c r="E244" s="28">
        <v>5104</v>
      </c>
      <c r="F244" s="25">
        <v>22.136047999999999</v>
      </c>
      <c r="G244" s="26">
        <v>0.13227096717301901</v>
      </c>
      <c r="H244" s="24"/>
    </row>
    <row r="245" spans="2:8" x14ac:dyDescent="0.2">
      <c r="B245" s="24" t="s">
        <v>1250</v>
      </c>
      <c r="C245" s="24" t="s">
        <v>1251</v>
      </c>
      <c r="D245" s="24" t="s">
        <v>399</v>
      </c>
      <c r="E245" s="28">
        <v>3291</v>
      </c>
      <c r="F245" s="25">
        <v>21.885149999999999</v>
      </c>
      <c r="G245" s="26">
        <v>0.13077176003714</v>
      </c>
      <c r="H245" s="24"/>
    </row>
    <row r="246" spans="2:8" x14ac:dyDescent="0.2">
      <c r="B246" s="24" t="s">
        <v>1252</v>
      </c>
      <c r="C246" s="24" t="s">
        <v>1253</v>
      </c>
      <c r="D246" s="24" t="s">
        <v>476</v>
      </c>
      <c r="E246" s="28">
        <v>1837</v>
      </c>
      <c r="F246" s="25">
        <v>21.80519</v>
      </c>
      <c r="G246" s="26">
        <v>0.13029396984915501</v>
      </c>
      <c r="H246" s="24"/>
    </row>
    <row r="247" spans="2:8" x14ac:dyDescent="0.2">
      <c r="B247" s="24" t="s">
        <v>1254</v>
      </c>
      <c r="C247" s="24" t="s">
        <v>1255</v>
      </c>
      <c r="D247" s="24" t="s">
        <v>407</v>
      </c>
      <c r="E247" s="28">
        <v>1131</v>
      </c>
      <c r="F247" s="25">
        <v>21.0366</v>
      </c>
      <c r="G247" s="26">
        <v>0.12570136403896201</v>
      </c>
      <c r="H247" s="24"/>
    </row>
    <row r="248" spans="2:8" x14ac:dyDescent="0.2">
      <c r="B248" s="24" t="s">
        <v>1256</v>
      </c>
      <c r="C248" s="24" t="s">
        <v>1257</v>
      </c>
      <c r="D248" s="24" t="s">
        <v>267</v>
      </c>
      <c r="E248" s="28">
        <v>6968</v>
      </c>
      <c r="F248" s="25">
        <v>19.499948</v>
      </c>
      <c r="G248" s="26">
        <v>0.116519307411313</v>
      </c>
      <c r="H248" s="24"/>
    </row>
    <row r="249" spans="2:8" x14ac:dyDescent="0.2">
      <c r="B249" s="24" t="s">
        <v>1258</v>
      </c>
      <c r="C249" s="24" t="s">
        <v>1259</v>
      </c>
      <c r="D249" s="24" t="s">
        <v>476</v>
      </c>
      <c r="E249" s="28">
        <v>3324</v>
      </c>
      <c r="F249" s="25">
        <v>18.880320000000001</v>
      </c>
      <c r="G249" s="26">
        <v>0.112816803927065</v>
      </c>
      <c r="H249" s="24"/>
    </row>
    <row r="250" spans="2:8" x14ac:dyDescent="0.2">
      <c r="B250" s="24" t="s">
        <v>1260</v>
      </c>
      <c r="C250" s="24" t="s">
        <v>1261</v>
      </c>
      <c r="D250" s="24" t="s">
        <v>259</v>
      </c>
      <c r="E250" s="28">
        <v>2866</v>
      </c>
      <c r="F250" s="25">
        <v>18.812424</v>
      </c>
      <c r="G250" s="26">
        <v>0.112411100542831</v>
      </c>
      <c r="H250" s="24"/>
    </row>
    <row r="251" spans="2:8" x14ac:dyDescent="0.2">
      <c r="B251" s="24" t="s">
        <v>1262</v>
      </c>
      <c r="C251" s="24" t="s">
        <v>1263</v>
      </c>
      <c r="D251" s="24" t="s">
        <v>407</v>
      </c>
      <c r="E251" s="28">
        <v>1836</v>
      </c>
      <c r="F251" s="25">
        <v>18.521567999999998</v>
      </c>
      <c r="G251" s="26">
        <v>0.110673129770989</v>
      </c>
      <c r="H251" s="24"/>
    </row>
    <row r="252" spans="2:8" x14ac:dyDescent="0.2">
      <c r="B252" s="24" t="s">
        <v>1264</v>
      </c>
      <c r="C252" s="24" t="s">
        <v>1265</v>
      </c>
      <c r="D252" s="24" t="s">
        <v>578</v>
      </c>
      <c r="E252" s="28">
        <v>101332</v>
      </c>
      <c r="F252" s="25">
        <v>17.652034400000002</v>
      </c>
      <c r="G252" s="26">
        <v>0.105477349103119</v>
      </c>
      <c r="H252" s="24"/>
    </row>
    <row r="253" spans="2:8" x14ac:dyDescent="0.2">
      <c r="B253" s="24" t="s">
        <v>1266</v>
      </c>
      <c r="C253" s="24" t="s">
        <v>1267</v>
      </c>
      <c r="D253" s="24" t="s">
        <v>503</v>
      </c>
      <c r="E253" s="28">
        <v>11271</v>
      </c>
      <c r="F253" s="25">
        <v>16.8253488</v>
      </c>
      <c r="G253" s="26">
        <v>0.100537600876155</v>
      </c>
      <c r="H253" s="24"/>
    </row>
    <row r="254" spans="2:8" x14ac:dyDescent="0.2">
      <c r="B254" s="24" t="s">
        <v>1268</v>
      </c>
      <c r="C254" s="24" t="s">
        <v>1269</v>
      </c>
      <c r="D254" s="24" t="s">
        <v>276</v>
      </c>
      <c r="E254" s="28">
        <v>3973</v>
      </c>
      <c r="F254" s="25">
        <v>15.9853655</v>
      </c>
      <c r="G254" s="26">
        <v>9.5518394037599499E-2</v>
      </c>
      <c r="H254" s="24"/>
    </row>
    <row r="255" spans="2:8" x14ac:dyDescent="0.2">
      <c r="B255" s="24" t="s">
        <v>1270</v>
      </c>
      <c r="C255" s="24" t="s">
        <v>1271</v>
      </c>
      <c r="D255" s="24" t="s">
        <v>364</v>
      </c>
      <c r="E255" s="28">
        <v>2106</v>
      </c>
      <c r="F255" s="25">
        <v>15.561234000000001</v>
      </c>
      <c r="G255" s="26">
        <v>9.2984053503392894E-2</v>
      </c>
      <c r="H255" s="24"/>
    </row>
    <row r="256" spans="2:8" x14ac:dyDescent="0.2">
      <c r="B256" s="24" t="s">
        <v>1272</v>
      </c>
      <c r="C256" s="24" t="s">
        <v>1273</v>
      </c>
      <c r="D256" s="24" t="s">
        <v>259</v>
      </c>
      <c r="E256" s="28">
        <v>2240</v>
      </c>
      <c r="F256" s="25">
        <v>10.3208</v>
      </c>
      <c r="G256" s="26">
        <v>6.16705474255973E-2</v>
      </c>
      <c r="H256" s="24"/>
    </row>
    <row r="257" spans="2:9" x14ac:dyDescent="0.2">
      <c r="B257" s="24" t="s">
        <v>1274</v>
      </c>
      <c r="C257" s="24" t="s">
        <v>1275</v>
      </c>
      <c r="D257" s="24" t="s">
        <v>809</v>
      </c>
      <c r="E257" s="28">
        <v>12352</v>
      </c>
      <c r="F257" s="25">
        <v>8.4895295999999991</v>
      </c>
      <c r="G257" s="26">
        <v>5.07280383127095E-2</v>
      </c>
      <c r="H257" s="24"/>
    </row>
    <row r="258" spans="2:9" x14ac:dyDescent="0.2">
      <c r="B258" s="23" t="s">
        <v>56</v>
      </c>
      <c r="C258" s="23"/>
      <c r="D258" s="23"/>
      <c r="E258" s="23"/>
      <c r="F258" s="30">
        <f>SUM(F7:F257)</f>
        <v>16822.329948599996</v>
      </c>
      <c r="G258" s="31">
        <f>SUM(G7:G257)</f>
        <v>100.51956213706119</v>
      </c>
      <c r="H258" s="23"/>
      <c r="I258" s="16"/>
    </row>
    <row r="259" spans="2:9" x14ac:dyDescent="0.2">
      <c r="B259" s="23" t="s">
        <v>342</v>
      </c>
      <c r="C259" s="23"/>
      <c r="D259" s="23"/>
      <c r="E259" s="23"/>
      <c r="F259" s="51" t="s">
        <v>343</v>
      </c>
      <c r="G259" s="52" t="s">
        <v>343</v>
      </c>
      <c r="H259" s="23"/>
      <c r="I259" s="16"/>
    </row>
    <row r="260" spans="2:9" x14ac:dyDescent="0.2">
      <c r="B260" s="23" t="s">
        <v>56</v>
      </c>
      <c r="C260" s="23"/>
      <c r="D260" s="23"/>
      <c r="E260" s="23"/>
      <c r="F260" s="47" t="s">
        <v>343</v>
      </c>
      <c r="G260" s="48" t="s">
        <v>343</v>
      </c>
      <c r="H260" s="23"/>
      <c r="I260" s="16"/>
    </row>
    <row r="261" spans="2:9" x14ac:dyDescent="0.2">
      <c r="B261" s="35" t="s">
        <v>82</v>
      </c>
      <c r="C261" s="35"/>
      <c r="D261" s="35"/>
      <c r="E261" s="35"/>
      <c r="F261" s="36">
        <f>F258</f>
        <v>16822.329948599996</v>
      </c>
      <c r="G261" s="37">
        <f>G258</f>
        <v>100.51956213706119</v>
      </c>
      <c r="H261" s="23"/>
      <c r="I261" s="16"/>
    </row>
    <row r="262" spans="2:9" x14ac:dyDescent="0.2">
      <c r="B262" s="23" t="s">
        <v>87</v>
      </c>
      <c r="C262" s="23"/>
      <c r="D262" s="23"/>
      <c r="E262" s="23"/>
      <c r="F262" s="30">
        <v>245.40918149999999</v>
      </c>
      <c r="G262" s="31">
        <v>1.46640944174606</v>
      </c>
      <c r="H262" s="38">
        <v>5.4149999999999997E-2</v>
      </c>
      <c r="I262" s="17"/>
    </row>
    <row r="263" spans="2:9" x14ac:dyDescent="0.2">
      <c r="B263" s="24"/>
      <c r="C263" s="24"/>
      <c r="D263" s="24"/>
      <c r="E263" s="24"/>
      <c r="F263" s="25"/>
      <c r="G263" s="26"/>
      <c r="H263" s="24"/>
    </row>
    <row r="264" spans="2:9" x14ac:dyDescent="0.2">
      <c r="B264" s="43" t="s">
        <v>89</v>
      </c>
      <c r="C264" s="43"/>
      <c r="D264" s="43"/>
      <c r="E264" s="43"/>
      <c r="F264" s="30">
        <f>F265-(F258+F262)</f>
        <v>-332.35987559999558</v>
      </c>
      <c r="G264" s="31">
        <f>G265-(G258+G262)</f>
        <v>-1.9859715788072521</v>
      </c>
      <c r="H264" s="23"/>
      <c r="I264" s="16"/>
    </row>
    <row r="265" spans="2:9" x14ac:dyDescent="0.2">
      <c r="B265" s="39" t="s">
        <v>88</v>
      </c>
      <c r="C265" s="39"/>
      <c r="D265" s="39"/>
      <c r="E265" s="39"/>
      <c r="F265" s="40">
        <v>16735.3792545</v>
      </c>
      <c r="G265" s="41">
        <v>100</v>
      </c>
      <c r="H265" s="53"/>
      <c r="I265" s="16"/>
    </row>
    <row r="266" spans="2:9" x14ac:dyDescent="0.2">
      <c r="B266" s="16"/>
      <c r="C266" s="16"/>
      <c r="D266" s="16"/>
      <c r="E266" s="16"/>
      <c r="F266" s="72"/>
      <c r="G266" s="73"/>
      <c r="H266" s="16"/>
      <c r="I266" s="16"/>
    </row>
    <row r="267" spans="2:9" x14ac:dyDescent="0.2">
      <c r="B267" s="6" t="s">
        <v>91</v>
      </c>
    </row>
    <row r="269" spans="2:9" x14ac:dyDescent="0.2">
      <c r="B269" s="16" t="s">
        <v>93</v>
      </c>
    </row>
    <row r="271" spans="2:9" x14ac:dyDescent="0.2">
      <c r="B271" s="16" t="s">
        <v>94</v>
      </c>
    </row>
    <row r="289" spans="2:2" x14ac:dyDescent="0.2">
      <c r="B289" s="60" t="s">
        <v>1323</v>
      </c>
    </row>
    <row r="290" spans="2:2" x14ac:dyDescent="0.2">
      <c r="B290" s="61" t="s">
        <v>1331</v>
      </c>
    </row>
  </sheetData>
  <mergeCells count="1">
    <mergeCell ref="B1:C1"/>
  </mergeCells>
  <conditionalFormatting sqref="G1:G3">
    <cfRule type="cellIs" dxfId="3" priority="2" stopIfTrue="1" operator="between">
      <formula>0.009</formula>
      <formula>-0.009</formula>
    </cfRule>
  </conditionalFormatting>
  <conditionalFormatting sqref="G5:G65538">
    <cfRule type="cellIs" dxfId="2" priority="1" stopIfTrue="1" operator="between">
      <formula>0.009</formula>
      <formula>-0.009</formula>
    </cfRule>
  </conditionalFormatting>
  <pageMargins left="0.7" right="0.7" top="0.75" bottom="0.75" header="0.3" footer="0.3"/>
  <pageSetup paperSize="9" scale="47" orientation="portrait" r:id="rId1"/>
  <headerFooter>
    <oddFooter>&amp;C&amp;1#&amp;"Calibri"&amp;10&amp;K000000RESTRICTED</oddFooter>
    <evenFooter>&amp;LPUBLIC</evenFooter>
    <firstFooter>&amp;LPUBLIC</firstFooter>
  </headerFooter>
  <rowBreaks count="2" manualBreakCount="2">
    <brk id="125" min="1" max="7" man="1"/>
    <brk id="268" min="1" max="7" man="1"/>
  </rowBreaks>
  <colBreaks count="1" manualBreakCount="1">
    <brk id="8" max="273" man="1"/>
  </colBreaks>
  <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AE3B9B-7C49-4366-9E8E-06CF36544AD5}">
  <dimension ref="A1:P196"/>
  <sheetViews>
    <sheetView view="pageBreakPreview" zoomScaleNormal="100" zoomScaleSheetLayoutView="100" workbookViewId="0">
      <selection activeCell="B1" sqref="B1:C1"/>
    </sheetView>
  </sheetViews>
  <sheetFormatPr defaultRowHeight="11.25" x14ac:dyDescent="0.2"/>
  <cols>
    <col min="1" max="1" width="7.28515625" style="6" customWidth="1"/>
    <col min="2" max="2" width="78.140625" style="6" bestFit="1" customWidth="1"/>
    <col min="3" max="3" width="11.7109375" style="6" bestFit="1" customWidth="1"/>
    <col min="4" max="4" width="35.42578125" style="6" bestFit="1" customWidth="1"/>
    <col min="5" max="5" width="15" style="6" bestFit="1" customWidth="1"/>
    <col min="6" max="6" width="14.85546875" style="8" bestFit="1" customWidth="1"/>
    <col min="7" max="7" width="12.5703125" style="14" bestFit="1" customWidth="1"/>
    <col min="8" max="8" width="14.42578125" style="6" bestFit="1" customWidth="1"/>
    <col min="9" max="16384" width="9.140625" style="6"/>
  </cols>
  <sheetData>
    <row r="1" spans="1:16" s="1" customFormat="1" ht="16.899999999999999" customHeight="1" x14ac:dyDescent="0.2">
      <c r="B1" s="90" t="s">
        <v>17</v>
      </c>
      <c r="C1" s="91"/>
      <c r="D1" s="10"/>
      <c r="F1" s="5"/>
      <c r="G1" s="14"/>
    </row>
    <row r="2" spans="1:16" s="1" customFormat="1" ht="15" x14ac:dyDescent="0.25">
      <c r="A2" s="57" t="str">
        <f>HYPERLINK("[JioBlackRock Mutual Fund-Monthly-Portfolio-31-10-2025.xlsx]index!A1","")</f>
        <v/>
      </c>
      <c r="F2" s="5"/>
      <c r="G2" s="14"/>
    </row>
    <row r="3" spans="1:16" s="1" customFormat="1" ht="12" x14ac:dyDescent="0.2">
      <c r="B3" s="7" t="s">
        <v>1336</v>
      </c>
      <c r="C3" s="2"/>
      <c r="D3" s="3"/>
      <c r="E3" s="3"/>
      <c r="F3" s="4"/>
      <c r="G3" s="14"/>
    </row>
    <row r="4" spans="1:16" s="1" customFormat="1" ht="22.5" x14ac:dyDescent="0.2">
      <c r="A4" s="56"/>
      <c r="B4" s="18" t="s">
        <v>7</v>
      </c>
      <c r="C4" s="18" t="s">
        <v>8</v>
      </c>
      <c r="D4" s="19" t="s">
        <v>344</v>
      </c>
      <c r="E4" s="19" t="s">
        <v>0</v>
      </c>
      <c r="F4" s="20" t="s">
        <v>4</v>
      </c>
      <c r="G4" s="21" t="s">
        <v>5</v>
      </c>
      <c r="H4" s="54" t="s">
        <v>6</v>
      </c>
      <c r="I4" s="56"/>
    </row>
    <row r="5" spans="1:16" ht="12" x14ac:dyDescent="0.2">
      <c r="B5" s="23" t="s">
        <v>215</v>
      </c>
      <c r="C5" s="24"/>
      <c r="D5" s="24"/>
      <c r="E5" s="24"/>
      <c r="F5" s="25"/>
      <c r="G5" s="26"/>
      <c r="H5" s="24"/>
      <c r="J5" s="1"/>
    </row>
    <row r="6" spans="1:16" ht="12" x14ac:dyDescent="0.2">
      <c r="B6" s="23" t="s">
        <v>104</v>
      </c>
      <c r="C6" s="24"/>
      <c r="D6" s="24"/>
      <c r="E6" s="24"/>
      <c r="F6" s="25"/>
      <c r="G6" s="26"/>
      <c r="H6" s="24"/>
      <c r="J6" s="1"/>
    </row>
    <row r="7" spans="1:16" ht="12" x14ac:dyDescent="0.2">
      <c r="B7" s="24" t="s">
        <v>216</v>
      </c>
      <c r="C7" s="24" t="s">
        <v>217</v>
      </c>
      <c r="D7" s="24" t="s">
        <v>218</v>
      </c>
      <c r="E7" s="28">
        <v>1624239</v>
      </c>
      <c r="F7" s="25">
        <v>16036.111647</v>
      </c>
      <c r="G7" s="26">
        <v>8.8668361212234803</v>
      </c>
      <c r="H7" s="29"/>
      <c r="J7" s="1"/>
      <c r="K7" s="1"/>
      <c r="L7" s="1"/>
      <c r="M7" s="1"/>
      <c r="N7" s="1"/>
      <c r="O7" s="1"/>
      <c r="P7" s="1"/>
    </row>
    <row r="8" spans="1:16" ht="12" x14ac:dyDescent="0.2">
      <c r="B8" s="24" t="s">
        <v>222</v>
      </c>
      <c r="C8" s="24" t="s">
        <v>223</v>
      </c>
      <c r="D8" s="24" t="s">
        <v>218</v>
      </c>
      <c r="E8" s="28">
        <v>728271</v>
      </c>
      <c r="F8" s="25">
        <v>9797.4297630000001</v>
      </c>
      <c r="G8" s="26">
        <v>5.4172860622338099</v>
      </c>
      <c r="H8" s="29"/>
      <c r="J8" s="1"/>
      <c r="K8" s="1"/>
      <c r="L8" s="1"/>
      <c r="M8" s="1"/>
      <c r="N8" s="1"/>
      <c r="O8" s="1"/>
      <c r="P8" s="1"/>
    </row>
    <row r="9" spans="1:16" ht="12" x14ac:dyDescent="0.2">
      <c r="B9" s="24" t="s">
        <v>219</v>
      </c>
      <c r="C9" s="24" t="s">
        <v>220</v>
      </c>
      <c r="D9" s="24" t="s">
        <v>221</v>
      </c>
      <c r="E9" s="28">
        <v>629173</v>
      </c>
      <c r="F9" s="25">
        <v>9352.0274719999998</v>
      </c>
      <c r="G9" s="26">
        <v>5.17101008154411</v>
      </c>
      <c r="H9" s="29"/>
      <c r="J9" s="1"/>
      <c r="K9" s="1"/>
      <c r="L9" s="1"/>
      <c r="M9" s="1"/>
      <c r="N9" s="1"/>
      <c r="O9" s="1"/>
      <c r="P9" s="1"/>
    </row>
    <row r="10" spans="1:16" ht="12" x14ac:dyDescent="0.2">
      <c r="B10" s="24" t="s">
        <v>227</v>
      </c>
      <c r="C10" s="24" t="s">
        <v>228</v>
      </c>
      <c r="D10" s="24" t="s">
        <v>229</v>
      </c>
      <c r="E10" s="28">
        <v>502617</v>
      </c>
      <c r="F10" s="25">
        <v>7450.2917909999996</v>
      </c>
      <c r="G10" s="26">
        <v>4.1194846868288</v>
      </c>
      <c r="H10" s="29"/>
      <c r="J10" s="1"/>
      <c r="K10" s="1"/>
      <c r="L10" s="1"/>
      <c r="M10" s="1"/>
      <c r="N10" s="1"/>
      <c r="O10" s="1"/>
      <c r="P10" s="1"/>
    </row>
    <row r="11" spans="1:16" ht="12" x14ac:dyDescent="0.2">
      <c r="B11" s="24" t="s">
        <v>236</v>
      </c>
      <c r="C11" s="24" t="s">
        <v>237</v>
      </c>
      <c r="D11" s="24" t="s">
        <v>218</v>
      </c>
      <c r="E11" s="28">
        <v>652574</v>
      </c>
      <c r="F11" s="25">
        <v>6114.6183799999999</v>
      </c>
      <c r="G11" s="26">
        <v>3.3809517115343701</v>
      </c>
      <c r="H11" s="29"/>
      <c r="J11" s="1"/>
      <c r="K11" s="1"/>
      <c r="L11" s="1"/>
      <c r="M11" s="1"/>
      <c r="N11" s="1"/>
      <c r="O11" s="1"/>
      <c r="P11" s="1"/>
    </row>
    <row r="12" spans="1:16" ht="12" x14ac:dyDescent="0.2">
      <c r="B12" s="24" t="s">
        <v>230</v>
      </c>
      <c r="C12" s="24" t="s">
        <v>231</v>
      </c>
      <c r="D12" s="24" t="s">
        <v>232</v>
      </c>
      <c r="E12" s="28">
        <v>145239</v>
      </c>
      <c r="F12" s="25">
        <v>5854.4388509999999</v>
      </c>
      <c r="G12" s="26">
        <v>3.23709082452367</v>
      </c>
      <c r="H12" s="29"/>
      <c r="J12" s="1"/>
      <c r="K12" s="1"/>
      <c r="L12" s="1"/>
      <c r="M12" s="1"/>
      <c r="N12" s="1"/>
      <c r="O12" s="1"/>
      <c r="P12" s="1"/>
    </row>
    <row r="13" spans="1:16" ht="12" x14ac:dyDescent="0.2">
      <c r="B13" s="24" t="s">
        <v>240</v>
      </c>
      <c r="C13" s="24" t="s">
        <v>241</v>
      </c>
      <c r="D13" s="24" t="s">
        <v>229</v>
      </c>
      <c r="E13" s="28">
        <v>159558</v>
      </c>
      <c r="F13" s="25">
        <v>4879.2836399999997</v>
      </c>
      <c r="G13" s="26">
        <v>2.6978989281943799</v>
      </c>
      <c r="H13" s="29"/>
      <c r="J13" s="1"/>
      <c r="K13" s="1"/>
      <c r="L13" s="1"/>
      <c r="M13" s="1"/>
      <c r="N13" s="1"/>
      <c r="O13" s="1"/>
      <c r="P13" s="1"/>
    </row>
    <row r="14" spans="1:16" ht="12" x14ac:dyDescent="0.2">
      <c r="B14" s="24" t="s">
        <v>224</v>
      </c>
      <c r="C14" s="24" t="s">
        <v>225</v>
      </c>
      <c r="D14" s="24" t="s">
        <v>226</v>
      </c>
      <c r="E14" s="28">
        <v>210000</v>
      </c>
      <c r="F14" s="25">
        <v>4314.45</v>
      </c>
      <c r="G14" s="26">
        <v>2.3855858543095998</v>
      </c>
      <c r="H14" s="29"/>
      <c r="J14" s="1"/>
      <c r="K14" s="1"/>
      <c r="L14" s="1"/>
      <c r="M14" s="1"/>
      <c r="N14" s="1"/>
      <c r="O14" s="1"/>
      <c r="P14" s="1"/>
    </row>
    <row r="15" spans="1:16" ht="12" x14ac:dyDescent="0.2">
      <c r="B15" s="24" t="s">
        <v>260</v>
      </c>
      <c r="C15" s="24" t="s">
        <v>261</v>
      </c>
      <c r="D15" s="24" t="s">
        <v>229</v>
      </c>
      <c r="E15" s="28">
        <v>268023</v>
      </c>
      <c r="F15" s="25">
        <v>4131.5745450000004</v>
      </c>
      <c r="G15" s="26">
        <v>2.2844686554665401</v>
      </c>
      <c r="H15" s="29"/>
      <c r="J15" s="1"/>
      <c r="K15" s="1"/>
      <c r="L15" s="1"/>
      <c r="M15" s="1"/>
      <c r="N15" s="1"/>
      <c r="O15" s="1"/>
      <c r="P15" s="1"/>
    </row>
    <row r="16" spans="1:16" ht="12" x14ac:dyDescent="0.2">
      <c r="B16" s="24" t="s">
        <v>293</v>
      </c>
      <c r="C16" s="24" t="s">
        <v>294</v>
      </c>
      <c r="D16" s="24" t="s">
        <v>295</v>
      </c>
      <c r="E16" s="28">
        <v>249801</v>
      </c>
      <c r="F16" s="25">
        <v>3625.8615150000001</v>
      </c>
      <c r="G16" s="26">
        <v>2.0048450995769</v>
      </c>
      <c r="H16" s="29"/>
      <c r="J16" s="1"/>
      <c r="K16" s="1"/>
      <c r="L16" s="1"/>
      <c r="M16" s="1"/>
      <c r="N16" s="1"/>
      <c r="O16" s="1"/>
      <c r="P16" s="1"/>
    </row>
    <row r="17" spans="2:16" ht="12" x14ac:dyDescent="0.2">
      <c r="B17" s="24" t="s">
        <v>233</v>
      </c>
      <c r="C17" s="24" t="s">
        <v>234</v>
      </c>
      <c r="D17" s="24" t="s">
        <v>235</v>
      </c>
      <c r="E17" s="28">
        <v>813932</v>
      </c>
      <c r="F17" s="25">
        <v>3421.3631620000001</v>
      </c>
      <c r="G17" s="26">
        <v>1.8917719666986901</v>
      </c>
      <c r="H17" s="29"/>
      <c r="J17" s="1"/>
      <c r="K17" s="1"/>
      <c r="L17" s="1"/>
      <c r="M17" s="1"/>
      <c r="N17" s="1"/>
      <c r="O17" s="1"/>
      <c r="P17" s="1"/>
    </row>
    <row r="18" spans="2:16" ht="12" x14ac:dyDescent="0.2">
      <c r="B18" s="24" t="s">
        <v>271</v>
      </c>
      <c r="C18" s="24" t="s">
        <v>272</v>
      </c>
      <c r="D18" s="24" t="s">
        <v>273</v>
      </c>
      <c r="E18" s="28">
        <v>1857070</v>
      </c>
      <c r="F18" s="25">
        <v>3395.4667880000002</v>
      </c>
      <c r="G18" s="26">
        <v>1.8774531025347001</v>
      </c>
      <c r="H18" s="29"/>
      <c r="J18" s="1"/>
      <c r="K18" s="1"/>
      <c r="L18" s="1"/>
      <c r="M18" s="1"/>
      <c r="N18" s="1"/>
      <c r="O18" s="1"/>
      <c r="P18" s="1"/>
    </row>
    <row r="19" spans="2:16" ht="12" x14ac:dyDescent="0.2">
      <c r="B19" s="24" t="s">
        <v>509</v>
      </c>
      <c r="C19" s="24" t="s">
        <v>510</v>
      </c>
      <c r="D19" s="24" t="s">
        <v>476</v>
      </c>
      <c r="E19" s="28">
        <v>39124</v>
      </c>
      <c r="F19" s="25">
        <v>3014.1129599999999</v>
      </c>
      <c r="G19" s="26">
        <v>1.66659139419097</v>
      </c>
      <c r="H19" s="29"/>
      <c r="J19" s="1"/>
      <c r="K19" s="1"/>
      <c r="L19" s="1"/>
      <c r="M19" s="1"/>
      <c r="N19" s="1"/>
      <c r="O19" s="1"/>
      <c r="P19" s="1"/>
    </row>
    <row r="20" spans="2:16" ht="12" x14ac:dyDescent="0.2">
      <c r="B20" s="24" t="s">
        <v>483</v>
      </c>
      <c r="C20" s="24" t="s">
        <v>484</v>
      </c>
      <c r="D20" s="24" t="s">
        <v>324</v>
      </c>
      <c r="E20" s="28">
        <v>284921</v>
      </c>
      <c r="F20" s="25">
        <v>2914.8842905000001</v>
      </c>
      <c r="G20" s="26">
        <v>1.61172495459817</v>
      </c>
      <c r="H20" s="29"/>
      <c r="J20" s="1"/>
      <c r="K20" s="1"/>
      <c r="L20" s="1"/>
      <c r="M20" s="1"/>
      <c r="N20" s="1"/>
      <c r="O20" s="1"/>
      <c r="P20" s="1"/>
    </row>
    <row r="21" spans="2:16" ht="12" x14ac:dyDescent="0.2">
      <c r="B21" s="24" t="s">
        <v>574</v>
      </c>
      <c r="C21" s="24" t="s">
        <v>575</v>
      </c>
      <c r="D21" s="24" t="s">
        <v>276</v>
      </c>
      <c r="E21" s="28">
        <v>46264</v>
      </c>
      <c r="F21" s="25">
        <v>2874.8449599999999</v>
      </c>
      <c r="G21" s="26">
        <v>1.5895860352789499</v>
      </c>
      <c r="H21" s="29"/>
      <c r="J21" s="1"/>
      <c r="K21" s="1"/>
      <c r="L21" s="1"/>
      <c r="M21" s="1"/>
      <c r="N21" s="1"/>
      <c r="O21" s="1"/>
      <c r="P21" s="1"/>
    </row>
    <row r="22" spans="2:16" ht="12" x14ac:dyDescent="0.2">
      <c r="B22" s="24" t="s">
        <v>265</v>
      </c>
      <c r="C22" s="24" t="s">
        <v>266</v>
      </c>
      <c r="D22" s="24" t="s">
        <v>267</v>
      </c>
      <c r="E22" s="28">
        <v>73620</v>
      </c>
      <c r="F22" s="25">
        <v>2758.3205400000002</v>
      </c>
      <c r="G22" s="26">
        <v>1.52515626832519</v>
      </c>
      <c r="H22" s="29"/>
      <c r="J22" s="1"/>
      <c r="K22" s="1"/>
      <c r="L22" s="1"/>
      <c r="M22" s="1"/>
      <c r="N22" s="1"/>
      <c r="O22" s="1"/>
      <c r="P22" s="1"/>
    </row>
    <row r="23" spans="2:16" ht="12" x14ac:dyDescent="0.2">
      <c r="B23" s="24" t="s">
        <v>387</v>
      </c>
      <c r="C23" s="24" t="s">
        <v>388</v>
      </c>
      <c r="D23" s="24" t="s">
        <v>389</v>
      </c>
      <c r="E23" s="28">
        <v>1361302</v>
      </c>
      <c r="F23" s="25">
        <v>2487.9155351999998</v>
      </c>
      <c r="G23" s="26">
        <v>1.3756414160530801</v>
      </c>
      <c r="H23" s="29"/>
      <c r="J23" s="1"/>
      <c r="K23" s="1"/>
      <c r="L23" s="1"/>
      <c r="M23" s="1"/>
      <c r="N23" s="1"/>
      <c r="O23" s="1"/>
      <c r="P23" s="1"/>
    </row>
    <row r="24" spans="2:16" ht="12" x14ac:dyDescent="0.2">
      <c r="B24" s="24" t="s">
        <v>356</v>
      </c>
      <c r="C24" s="24" t="s">
        <v>357</v>
      </c>
      <c r="D24" s="24" t="s">
        <v>221</v>
      </c>
      <c r="E24" s="28">
        <v>634743</v>
      </c>
      <c r="F24" s="25">
        <v>2264.7630239999999</v>
      </c>
      <c r="G24" s="26">
        <v>1.2522538523839299</v>
      </c>
      <c r="H24" s="29"/>
      <c r="J24" s="1"/>
      <c r="K24" s="1"/>
      <c r="L24" s="1"/>
      <c r="M24" s="1"/>
      <c r="N24" s="1"/>
      <c r="O24" s="1"/>
      <c r="P24" s="1"/>
    </row>
    <row r="25" spans="2:16" ht="12" x14ac:dyDescent="0.2">
      <c r="B25" s="24" t="s">
        <v>504</v>
      </c>
      <c r="C25" s="24" t="s">
        <v>505</v>
      </c>
      <c r="D25" s="24" t="s">
        <v>319</v>
      </c>
      <c r="E25" s="28">
        <v>143483</v>
      </c>
      <c r="F25" s="25">
        <v>2218.9645949999999</v>
      </c>
      <c r="G25" s="26">
        <v>1.2269305587145101</v>
      </c>
      <c r="H25" s="29"/>
      <c r="J25" s="1"/>
      <c r="K25" s="1"/>
      <c r="L25" s="1"/>
      <c r="M25" s="1"/>
      <c r="N25" s="1"/>
      <c r="O25" s="1"/>
      <c r="P25" s="1"/>
    </row>
    <row r="26" spans="2:16" ht="12" x14ac:dyDescent="0.2">
      <c r="B26" s="24" t="s">
        <v>412</v>
      </c>
      <c r="C26" s="24" t="s">
        <v>413</v>
      </c>
      <c r="D26" s="24" t="s">
        <v>273</v>
      </c>
      <c r="E26" s="28">
        <v>206607</v>
      </c>
      <c r="F26" s="25">
        <v>2204.0834759999998</v>
      </c>
      <c r="G26" s="26">
        <v>1.2187023518787199</v>
      </c>
      <c r="H26" s="29"/>
      <c r="J26" s="1"/>
      <c r="K26" s="1"/>
      <c r="L26" s="1"/>
      <c r="M26" s="1"/>
      <c r="N26" s="1"/>
      <c r="O26" s="1"/>
      <c r="P26" s="1"/>
    </row>
    <row r="27" spans="2:16" ht="12" x14ac:dyDescent="0.2">
      <c r="B27" s="24" t="s">
        <v>279</v>
      </c>
      <c r="C27" s="24" t="s">
        <v>280</v>
      </c>
      <c r="D27" s="24" t="s">
        <v>281</v>
      </c>
      <c r="E27" s="28">
        <v>37882</v>
      </c>
      <c r="F27" s="25">
        <v>2130.8625000000002</v>
      </c>
      <c r="G27" s="26">
        <v>1.1782163282640401</v>
      </c>
      <c r="H27" s="29"/>
      <c r="J27" s="1"/>
      <c r="K27" s="1"/>
      <c r="L27" s="1"/>
      <c r="M27" s="1"/>
      <c r="N27" s="1"/>
      <c r="O27" s="1"/>
      <c r="P27" s="1"/>
    </row>
    <row r="28" spans="2:16" ht="12" x14ac:dyDescent="0.2">
      <c r="B28" s="24" t="s">
        <v>551</v>
      </c>
      <c r="C28" s="24" t="s">
        <v>552</v>
      </c>
      <c r="D28" s="24" t="s">
        <v>252</v>
      </c>
      <c r="E28" s="28">
        <v>1383842</v>
      </c>
      <c r="F28" s="25">
        <v>2002.2809898</v>
      </c>
      <c r="G28" s="26">
        <v>1.10711984276557</v>
      </c>
      <c r="H28" s="29"/>
      <c r="J28" s="1"/>
      <c r="K28" s="1"/>
      <c r="L28" s="1"/>
      <c r="M28" s="1"/>
      <c r="N28" s="1"/>
      <c r="O28" s="1"/>
      <c r="P28" s="1"/>
    </row>
    <row r="29" spans="2:16" ht="12" x14ac:dyDescent="0.2">
      <c r="B29" s="24" t="s">
        <v>320</v>
      </c>
      <c r="C29" s="24" t="s">
        <v>321</v>
      </c>
      <c r="D29" s="24" t="s">
        <v>246</v>
      </c>
      <c r="E29" s="28">
        <v>469876</v>
      </c>
      <c r="F29" s="25">
        <v>1926.4916000000001</v>
      </c>
      <c r="G29" s="26">
        <v>1.06521366788496</v>
      </c>
      <c r="H29" s="29"/>
      <c r="J29" s="1"/>
      <c r="K29" s="1"/>
      <c r="L29" s="1"/>
      <c r="M29" s="1"/>
      <c r="N29" s="1"/>
      <c r="O29" s="1"/>
      <c r="P29" s="1"/>
    </row>
    <row r="30" spans="2:16" ht="12" x14ac:dyDescent="0.2">
      <c r="B30" s="24" t="s">
        <v>244</v>
      </c>
      <c r="C30" s="24" t="s">
        <v>245</v>
      </c>
      <c r="D30" s="24" t="s">
        <v>246</v>
      </c>
      <c r="E30" s="28">
        <v>55126</v>
      </c>
      <c r="F30" s="25">
        <v>1922.3538719999999</v>
      </c>
      <c r="G30" s="26">
        <v>1.0629257968038801</v>
      </c>
      <c r="H30" s="29"/>
      <c r="J30" s="1"/>
      <c r="K30" s="1"/>
      <c r="L30" s="1"/>
      <c r="M30" s="1"/>
      <c r="N30" s="1"/>
      <c r="O30" s="1"/>
      <c r="P30" s="1"/>
    </row>
    <row r="31" spans="2:16" ht="12" x14ac:dyDescent="0.2">
      <c r="B31" s="24" t="s">
        <v>513</v>
      </c>
      <c r="C31" s="24" t="s">
        <v>514</v>
      </c>
      <c r="D31" s="24" t="s">
        <v>386</v>
      </c>
      <c r="E31" s="28">
        <v>63276</v>
      </c>
      <c r="F31" s="25">
        <v>1921.9452240000001</v>
      </c>
      <c r="G31" s="26">
        <v>1.06269984334789</v>
      </c>
      <c r="H31" s="29"/>
      <c r="J31" s="1"/>
      <c r="K31" s="1"/>
      <c r="L31" s="1"/>
      <c r="M31" s="1"/>
      <c r="N31" s="1"/>
      <c r="O31" s="1"/>
      <c r="P31" s="1"/>
    </row>
    <row r="32" spans="2:16" ht="12" x14ac:dyDescent="0.2">
      <c r="B32" s="24" t="s">
        <v>511</v>
      </c>
      <c r="C32" s="24" t="s">
        <v>512</v>
      </c>
      <c r="D32" s="24" t="s">
        <v>333</v>
      </c>
      <c r="E32" s="28">
        <v>263521</v>
      </c>
      <c r="F32" s="25">
        <v>1897.2194394999999</v>
      </c>
      <c r="G32" s="26">
        <v>1.0490282324264699</v>
      </c>
      <c r="H32" s="29"/>
      <c r="J32" s="1"/>
      <c r="K32" s="1"/>
      <c r="L32" s="1"/>
      <c r="M32" s="1"/>
      <c r="N32" s="1"/>
      <c r="O32" s="1"/>
      <c r="P32" s="1"/>
    </row>
    <row r="33" spans="2:16" ht="12" x14ac:dyDescent="0.2">
      <c r="B33" s="24" t="s">
        <v>777</v>
      </c>
      <c r="C33" s="24" t="s">
        <v>778</v>
      </c>
      <c r="D33" s="24" t="s">
        <v>367</v>
      </c>
      <c r="E33" s="28">
        <v>59604</v>
      </c>
      <c r="F33" s="25">
        <v>1866.49926</v>
      </c>
      <c r="G33" s="26">
        <v>1.0320421448238699</v>
      </c>
      <c r="H33" s="29"/>
      <c r="J33" s="1"/>
      <c r="K33" s="1"/>
      <c r="L33" s="1"/>
      <c r="M33" s="1"/>
      <c r="N33" s="1"/>
      <c r="O33" s="1"/>
      <c r="P33" s="1"/>
    </row>
    <row r="34" spans="2:16" ht="12" x14ac:dyDescent="0.2">
      <c r="B34" s="24" t="s">
        <v>607</v>
      </c>
      <c r="C34" s="24" t="s">
        <v>608</v>
      </c>
      <c r="D34" s="24" t="s">
        <v>399</v>
      </c>
      <c r="E34" s="28">
        <v>148832</v>
      </c>
      <c r="F34" s="25">
        <v>1838.3728639999999</v>
      </c>
      <c r="G34" s="26">
        <v>1.01649023613787</v>
      </c>
      <c r="H34" s="29"/>
      <c r="J34" s="1"/>
      <c r="K34" s="1"/>
      <c r="L34" s="1"/>
      <c r="M34" s="1"/>
      <c r="N34" s="1"/>
      <c r="O34" s="1"/>
      <c r="P34" s="1"/>
    </row>
    <row r="35" spans="2:16" ht="12" x14ac:dyDescent="0.2">
      <c r="B35" s="24" t="s">
        <v>609</v>
      </c>
      <c r="C35" s="24" t="s">
        <v>610</v>
      </c>
      <c r="D35" s="24" t="s">
        <v>249</v>
      </c>
      <c r="E35" s="28">
        <v>640447</v>
      </c>
      <c r="F35" s="25">
        <v>1732.3450903</v>
      </c>
      <c r="G35" s="26">
        <v>0.95786437256252099</v>
      </c>
      <c r="H35" s="29"/>
      <c r="J35" s="1"/>
      <c r="K35" s="1"/>
      <c r="L35" s="1"/>
      <c r="M35" s="1"/>
      <c r="N35" s="1"/>
      <c r="O35" s="1"/>
      <c r="P35" s="1"/>
    </row>
    <row r="36" spans="2:16" ht="12" x14ac:dyDescent="0.2">
      <c r="B36" s="24" t="s">
        <v>414</v>
      </c>
      <c r="C36" s="24" t="s">
        <v>415</v>
      </c>
      <c r="D36" s="24" t="s">
        <v>276</v>
      </c>
      <c r="E36" s="28">
        <v>5925</v>
      </c>
      <c r="F36" s="25">
        <v>1677.3675000000001</v>
      </c>
      <c r="G36" s="26">
        <v>0.92746565158447902</v>
      </c>
      <c r="H36" s="29"/>
      <c r="J36" s="1"/>
      <c r="K36" s="1"/>
      <c r="L36" s="1"/>
      <c r="M36" s="1"/>
      <c r="N36" s="1"/>
      <c r="O36" s="1"/>
      <c r="P36" s="1"/>
    </row>
    <row r="37" spans="2:16" ht="12" x14ac:dyDescent="0.2">
      <c r="B37" s="24" t="s">
        <v>465</v>
      </c>
      <c r="C37" s="24" t="s">
        <v>466</v>
      </c>
      <c r="D37" s="24" t="s">
        <v>267</v>
      </c>
      <c r="E37" s="28">
        <v>10779</v>
      </c>
      <c r="F37" s="25">
        <v>1670.09826</v>
      </c>
      <c r="G37" s="26">
        <v>0.92344627573922</v>
      </c>
      <c r="H37" s="29"/>
      <c r="J37" s="1"/>
      <c r="K37" s="1"/>
      <c r="L37" s="1"/>
      <c r="M37" s="1"/>
      <c r="N37" s="1"/>
      <c r="O37" s="1"/>
      <c r="P37" s="1"/>
    </row>
    <row r="38" spans="2:16" ht="12" x14ac:dyDescent="0.2">
      <c r="B38" s="24" t="s">
        <v>451</v>
      </c>
      <c r="C38" s="24" t="s">
        <v>452</v>
      </c>
      <c r="D38" s="24" t="s">
        <v>319</v>
      </c>
      <c r="E38" s="28">
        <v>168248</v>
      </c>
      <c r="F38" s="25">
        <v>1505.314856</v>
      </c>
      <c r="G38" s="26">
        <v>0.832332702141801</v>
      </c>
      <c r="H38" s="29"/>
      <c r="J38" s="1"/>
      <c r="K38" s="1"/>
      <c r="L38" s="1"/>
      <c r="M38" s="1"/>
      <c r="N38" s="1"/>
      <c r="O38" s="1"/>
      <c r="P38" s="1"/>
    </row>
    <row r="39" spans="2:16" ht="12" x14ac:dyDescent="0.2">
      <c r="B39" s="24" t="s">
        <v>352</v>
      </c>
      <c r="C39" s="24" t="s">
        <v>353</v>
      </c>
      <c r="D39" s="24" t="s">
        <v>246</v>
      </c>
      <c r="E39" s="28">
        <v>42629</v>
      </c>
      <c r="F39" s="25">
        <v>1495.7237230000001</v>
      </c>
      <c r="G39" s="26">
        <v>0.827029483606043</v>
      </c>
      <c r="H39" s="29"/>
      <c r="J39" s="1"/>
      <c r="K39" s="1"/>
      <c r="L39" s="1"/>
      <c r="M39" s="1"/>
      <c r="N39" s="1"/>
      <c r="O39" s="1"/>
      <c r="P39" s="1"/>
    </row>
    <row r="40" spans="2:16" ht="12" x14ac:dyDescent="0.2">
      <c r="B40" s="24" t="s">
        <v>479</v>
      </c>
      <c r="C40" s="24" t="s">
        <v>480</v>
      </c>
      <c r="D40" s="24" t="s">
        <v>460</v>
      </c>
      <c r="E40" s="28">
        <v>27483</v>
      </c>
      <c r="F40" s="25">
        <v>1478.3105700000001</v>
      </c>
      <c r="G40" s="26">
        <v>0.81740124096196798</v>
      </c>
      <c r="H40" s="29"/>
      <c r="J40" s="1"/>
      <c r="K40" s="1"/>
      <c r="L40" s="1"/>
      <c r="M40" s="1"/>
      <c r="N40" s="1"/>
      <c r="O40" s="1"/>
      <c r="P40" s="1"/>
    </row>
    <row r="41" spans="2:16" ht="12" x14ac:dyDescent="0.2">
      <c r="B41" s="24" t="s">
        <v>336</v>
      </c>
      <c r="C41" s="24" t="s">
        <v>337</v>
      </c>
      <c r="D41" s="24" t="s">
        <v>229</v>
      </c>
      <c r="E41" s="28">
        <v>571260</v>
      </c>
      <c r="F41" s="25">
        <v>1374.8514419999999</v>
      </c>
      <c r="G41" s="26">
        <v>0.76019565687685697</v>
      </c>
      <c r="H41" s="29"/>
      <c r="J41" s="1"/>
      <c r="K41" s="1"/>
      <c r="L41" s="1"/>
      <c r="M41" s="1"/>
      <c r="N41" s="1"/>
      <c r="O41" s="1"/>
      <c r="P41" s="1"/>
    </row>
    <row r="42" spans="2:16" ht="12" x14ac:dyDescent="0.2">
      <c r="B42" s="24" t="s">
        <v>779</v>
      </c>
      <c r="C42" s="24" t="s">
        <v>780</v>
      </c>
      <c r="D42" s="24" t="s">
        <v>218</v>
      </c>
      <c r="E42" s="28">
        <v>546736</v>
      </c>
      <c r="F42" s="25">
        <v>1329.388584</v>
      </c>
      <c r="G42" s="26">
        <v>0.73505791024836797</v>
      </c>
      <c r="H42" s="29"/>
      <c r="J42" s="1"/>
      <c r="K42" s="1"/>
      <c r="L42" s="1"/>
      <c r="M42" s="1"/>
      <c r="N42" s="1"/>
      <c r="O42" s="1"/>
      <c r="P42" s="1"/>
    </row>
    <row r="43" spans="2:16" ht="12" x14ac:dyDescent="0.2">
      <c r="B43" s="24" t="s">
        <v>549</v>
      </c>
      <c r="C43" s="24" t="s">
        <v>550</v>
      </c>
      <c r="D43" s="24" t="s">
        <v>218</v>
      </c>
      <c r="E43" s="28">
        <v>152229</v>
      </c>
      <c r="F43" s="25">
        <v>1307.190423</v>
      </c>
      <c r="G43" s="26">
        <v>0.72278389644051599</v>
      </c>
      <c r="H43" s="29"/>
      <c r="J43" s="1"/>
      <c r="K43" s="1"/>
      <c r="L43" s="1"/>
      <c r="M43" s="1"/>
      <c r="N43" s="1"/>
      <c r="O43" s="1"/>
      <c r="P43" s="1"/>
    </row>
    <row r="44" spans="2:16" ht="12" x14ac:dyDescent="0.2">
      <c r="B44" s="24" t="s">
        <v>277</v>
      </c>
      <c r="C44" s="24" t="s">
        <v>278</v>
      </c>
      <c r="D44" s="24" t="s">
        <v>264</v>
      </c>
      <c r="E44" s="28">
        <v>451293</v>
      </c>
      <c r="F44" s="25">
        <v>1300.4007795</v>
      </c>
      <c r="G44" s="26">
        <v>0.71902970355627605</v>
      </c>
      <c r="H44" s="29"/>
      <c r="J44" s="1"/>
      <c r="K44" s="1"/>
      <c r="L44" s="1"/>
      <c r="M44" s="1"/>
      <c r="N44" s="1"/>
      <c r="O44" s="1"/>
      <c r="P44" s="1"/>
    </row>
    <row r="45" spans="2:16" ht="12" x14ac:dyDescent="0.2">
      <c r="B45" s="24" t="s">
        <v>854</v>
      </c>
      <c r="C45" s="24" t="s">
        <v>855</v>
      </c>
      <c r="D45" s="24" t="s">
        <v>324</v>
      </c>
      <c r="E45" s="28">
        <v>37319</v>
      </c>
      <c r="F45" s="25">
        <v>1170.1372449999999</v>
      </c>
      <c r="G45" s="26">
        <v>0.64700317752501602</v>
      </c>
      <c r="H45" s="29"/>
      <c r="J45" s="1"/>
      <c r="K45" s="1"/>
      <c r="L45" s="1"/>
      <c r="M45" s="1"/>
      <c r="N45" s="1"/>
      <c r="O45" s="1"/>
      <c r="P45" s="1"/>
    </row>
    <row r="46" spans="2:16" ht="12" x14ac:dyDescent="0.2">
      <c r="B46" s="24" t="s">
        <v>312</v>
      </c>
      <c r="C46" s="24" t="s">
        <v>313</v>
      </c>
      <c r="D46" s="24" t="s">
        <v>229</v>
      </c>
      <c r="E46" s="28">
        <v>81713</v>
      </c>
      <c r="F46" s="25">
        <v>1163.9199719999999</v>
      </c>
      <c r="G46" s="26">
        <v>0.64356546506544898</v>
      </c>
      <c r="H46" s="29"/>
      <c r="J46" s="1"/>
      <c r="K46" s="1"/>
      <c r="L46" s="1"/>
      <c r="M46" s="1"/>
      <c r="N46" s="1"/>
      <c r="O46" s="1"/>
      <c r="P46" s="1"/>
    </row>
    <row r="47" spans="2:16" ht="12" x14ac:dyDescent="0.2">
      <c r="B47" s="24" t="s">
        <v>345</v>
      </c>
      <c r="C47" s="24" t="s">
        <v>346</v>
      </c>
      <c r="D47" s="24" t="s">
        <v>270</v>
      </c>
      <c r="E47" s="28">
        <v>24374</v>
      </c>
      <c r="F47" s="25">
        <v>1140.654452</v>
      </c>
      <c r="G47" s="26">
        <v>0.63070127718399105</v>
      </c>
      <c r="H47" s="29"/>
      <c r="J47" s="1"/>
      <c r="K47" s="1"/>
      <c r="L47" s="1"/>
      <c r="M47" s="1"/>
      <c r="N47" s="1"/>
      <c r="O47" s="1"/>
      <c r="P47" s="1"/>
    </row>
    <row r="48" spans="2:16" ht="12" x14ac:dyDescent="0.2">
      <c r="B48" s="24" t="s">
        <v>349</v>
      </c>
      <c r="C48" s="24" t="s">
        <v>350</v>
      </c>
      <c r="D48" s="24" t="s">
        <v>351</v>
      </c>
      <c r="E48" s="28">
        <v>226734</v>
      </c>
      <c r="F48" s="25">
        <v>1119.0456569999999</v>
      </c>
      <c r="G48" s="26">
        <v>0.61875314111086999</v>
      </c>
      <c r="H48" s="29"/>
      <c r="J48" s="1"/>
      <c r="K48" s="1"/>
      <c r="L48" s="1"/>
      <c r="M48" s="1"/>
      <c r="N48" s="1"/>
      <c r="O48" s="1"/>
      <c r="P48" s="1"/>
    </row>
    <row r="49" spans="2:16" ht="12" x14ac:dyDescent="0.2">
      <c r="B49" s="24" t="s">
        <v>307</v>
      </c>
      <c r="C49" s="24" t="s">
        <v>308</v>
      </c>
      <c r="D49" s="24" t="s">
        <v>246</v>
      </c>
      <c r="E49" s="28">
        <v>15818</v>
      </c>
      <c r="F49" s="25">
        <v>1108.36726</v>
      </c>
      <c r="G49" s="26">
        <v>0.61284874244362297</v>
      </c>
      <c r="H49" s="29"/>
      <c r="J49" s="1"/>
      <c r="K49" s="1"/>
      <c r="L49" s="1"/>
      <c r="M49" s="1"/>
      <c r="N49" s="1"/>
      <c r="O49" s="1"/>
      <c r="P49" s="1"/>
    </row>
    <row r="50" spans="2:16" ht="12" x14ac:dyDescent="0.2">
      <c r="B50" s="24" t="s">
        <v>769</v>
      </c>
      <c r="C50" s="24" t="s">
        <v>770</v>
      </c>
      <c r="D50" s="24" t="s">
        <v>460</v>
      </c>
      <c r="E50" s="28">
        <v>11956</v>
      </c>
      <c r="F50" s="25">
        <v>1105.1528599999999</v>
      </c>
      <c r="G50" s="26">
        <v>0.61107140647493796</v>
      </c>
      <c r="H50" s="29"/>
      <c r="J50" s="1"/>
      <c r="K50" s="1"/>
      <c r="L50" s="1"/>
      <c r="M50" s="1"/>
      <c r="N50" s="1"/>
      <c r="O50" s="1"/>
      <c r="P50" s="1"/>
    </row>
    <row r="51" spans="2:16" ht="12" x14ac:dyDescent="0.2">
      <c r="B51" s="24" t="s">
        <v>978</v>
      </c>
      <c r="C51" s="24" t="s">
        <v>979</v>
      </c>
      <c r="D51" s="24" t="s">
        <v>246</v>
      </c>
      <c r="E51" s="28">
        <v>153202</v>
      </c>
      <c r="F51" s="25">
        <v>1060.0812390000001</v>
      </c>
      <c r="G51" s="26">
        <v>0.58614998625025105</v>
      </c>
      <c r="H51" s="29"/>
      <c r="J51" s="1"/>
      <c r="K51" s="1"/>
      <c r="L51" s="1"/>
      <c r="M51" s="1"/>
      <c r="N51" s="1"/>
      <c r="O51" s="1"/>
      <c r="P51" s="1"/>
    </row>
    <row r="52" spans="2:16" ht="12" x14ac:dyDescent="0.2">
      <c r="B52" s="24" t="s">
        <v>771</v>
      </c>
      <c r="C52" s="24" t="s">
        <v>772</v>
      </c>
      <c r="D52" s="24" t="s">
        <v>259</v>
      </c>
      <c r="E52" s="28">
        <v>103719</v>
      </c>
      <c r="F52" s="25">
        <v>989.1162435</v>
      </c>
      <c r="G52" s="26">
        <v>0.546911360373037</v>
      </c>
      <c r="H52" s="29"/>
      <c r="J52" s="1"/>
      <c r="K52" s="1"/>
      <c r="L52" s="1"/>
      <c r="M52" s="1"/>
      <c r="N52" s="1"/>
      <c r="O52" s="1"/>
      <c r="P52" s="1"/>
    </row>
    <row r="53" spans="2:16" ht="12" x14ac:dyDescent="0.2">
      <c r="B53" s="24" t="s">
        <v>378</v>
      </c>
      <c r="C53" s="24" t="s">
        <v>379</v>
      </c>
      <c r="D53" s="24" t="s">
        <v>249</v>
      </c>
      <c r="E53" s="28">
        <v>7988</v>
      </c>
      <c r="F53" s="25">
        <v>982.76364000000001</v>
      </c>
      <c r="G53" s="26">
        <v>0.54339881971370896</v>
      </c>
      <c r="H53" s="29"/>
      <c r="J53" s="1"/>
      <c r="K53" s="1"/>
      <c r="L53" s="1"/>
      <c r="M53" s="1"/>
      <c r="N53" s="1"/>
      <c r="O53" s="1"/>
      <c r="P53" s="1"/>
    </row>
    <row r="54" spans="2:16" ht="12" x14ac:dyDescent="0.2">
      <c r="B54" s="24" t="s">
        <v>944</v>
      </c>
      <c r="C54" s="24" t="s">
        <v>945</v>
      </c>
      <c r="D54" s="24" t="s">
        <v>925</v>
      </c>
      <c r="E54" s="28">
        <v>78564</v>
      </c>
      <c r="F54" s="25">
        <v>947.95322399999998</v>
      </c>
      <c r="G54" s="26">
        <v>0.52415112047226897</v>
      </c>
      <c r="H54" s="29"/>
      <c r="J54" s="1"/>
      <c r="K54" s="1"/>
      <c r="L54" s="1"/>
      <c r="M54" s="1"/>
      <c r="N54" s="1"/>
      <c r="O54" s="1"/>
      <c r="P54" s="1"/>
    </row>
    <row r="55" spans="2:16" ht="12" x14ac:dyDescent="0.2">
      <c r="B55" s="24" t="s">
        <v>268</v>
      </c>
      <c r="C55" s="24" t="s">
        <v>269</v>
      </c>
      <c r="D55" s="24" t="s">
        <v>270</v>
      </c>
      <c r="E55" s="28">
        <v>214329</v>
      </c>
      <c r="F55" s="25">
        <v>913.25586899999996</v>
      </c>
      <c r="G55" s="26">
        <v>0.50496593597135697</v>
      </c>
      <c r="H55" s="29"/>
      <c r="J55" s="1"/>
      <c r="K55" s="1"/>
      <c r="L55" s="1"/>
      <c r="M55" s="1"/>
      <c r="N55" s="1"/>
      <c r="O55" s="1"/>
      <c r="P55" s="1"/>
    </row>
    <row r="56" spans="2:16" ht="12" x14ac:dyDescent="0.2">
      <c r="B56" s="24" t="s">
        <v>1011</v>
      </c>
      <c r="C56" s="24" t="s">
        <v>1012</v>
      </c>
      <c r="D56" s="24" t="s">
        <v>389</v>
      </c>
      <c r="E56" s="28">
        <v>71399</v>
      </c>
      <c r="F56" s="25">
        <v>911.69383100000005</v>
      </c>
      <c r="G56" s="26">
        <v>0.50410223938043697</v>
      </c>
      <c r="H56" s="29"/>
      <c r="J56" s="1"/>
      <c r="K56" s="1"/>
      <c r="L56" s="1"/>
      <c r="M56" s="1"/>
      <c r="N56" s="1"/>
      <c r="O56" s="1"/>
      <c r="P56" s="1"/>
    </row>
    <row r="57" spans="2:16" ht="12" x14ac:dyDescent="0.2">
      <c r="B57" s="24" t="s">
        <v>783</v>
      </c>
      <c r="C57" s="24" t="s">
        <v>784</v>
      </c>
      <c r="D57" s="24" t="s">
        <v>407</v>
      </c>
      <c r="E57" s="28">
        <v>15224</v>
      </c>
      <c r="F57" s="25">
        <v>865.84977600000002</v>
      </c>
      <c r="G57" s="26">
        <v>0.47875371775840198</v>
      </c>
      <c r="H57" s="29"/>
      <c r="J57" s="1"/>
      <c r="K57" s="1"/>
      <c r="L57" s="1"/>
      <c r="M57" s="1"/>
      <c r="N57" s="1"/>
      <c r="O57" s="1"/>
      <c r="P57" s="1"/>
    </row>
    <row r="58" spans="2:16" ht="12" x14ac:dyDescent="0.2">
      <c r="B58" s="24" t="s">
        <v>493</v>
      </c>
      <c r="C58" s="24" t="s">
        <v>494</v>
      </c>
      <c r="D58" s="24" t="s">
        <v>259</v>
      </c>
      <c r="E58" s="28">
        <v>39616</v>
      </c>
      <c r="F58" s="25">
        <v>777.86015999999995</v>
      </c>
      <c r="G58" s="26">
        <v>0.43010168024360002</v>
      </c>
      <c r="H58" s="29"/>
      <c r="J58" s="1"/>
      <c r="K58" s="1"/>
      <c r="L58" s="1"/>
      <c r="M58" s="1"/>
      <c r="N58" s="1"/>
      <c r="O58" s="1"/>
      <c r="P58" s="1"/>
    </row>
    <row r="59" spans="2:16" ht="12" x14ac:dyDescent="0.2">
      <c r="B59" s="24" t="s">
        <v>850</v>
      </c>
      <c r="C59" s="24" t="s">
        <v>851</v>
      </c>
      <c r="D59" s="24" t="s">
        <v>232</v>
      </c>
      <c r="E59" s="28">
        <v>661865</v>
      </c>
      <c r="F59" s="25">
        <v>777.09569650000003</v>
      </c>
      <c r="G59" s="26">
        <v>0.42967898596930498</v>
      </c>
      <c r="H59" s="29"/>
      <c r="J59" s="1"/>
      <c r="K59" s="1"/>
      <c r="L59" s="1"/>
      <c r="M59" s="1"/>
      <c r="N59" s="1"/>
      <c r="O59" s="1"/>
      <c r="P59" s="1"/>
    </row>
    <row r="60" spans="2:16" ht="12" x14ac:dyDescent="0.2">
      <c r="B60" s="24" t="s">
        <v>676</v>
      </c>
      <c r="C60" s="24" t="s">
        <v>677</v>
      </c>
      <c r="D60" s="24" t="s">
        <v>460</v>
      </c>
      <c r="E60" s="28">
        <v>78400</v>
      </c>
      <c r="F60" s="25">
        <v>766.75199999999995</v>
      </c>
      <c r="G60" s="26">
        <v>0.42395965301801902</v>
      </c>
      <c r="H60" s="29"/>
      <c r="J60" s="1"/>
      <c r="K60" s="1"/>
      <c r="L60" s="1"/>
      <c r="M60" s="1"/>
      <c r="N60" s="1"/>
      <c r="O60" s="1"/>
      <c r="P60" s="1"/>
    </row>
    <row r="61" spans="2:16" ht="12" x14ac:dyDescent="0.2">
      <c r="B61" s="24" t="s">
        <v>1176</v>
      </c>
      <c r="C61" s="24" t="s">
        <v>1177</v>
      </c>
      <c r="D61" s="24" t="s">
        <v>392</v>
      </c>
      <c r="E61" s="28">
        <v>68132</v>
      </c>
      <c r="F61" s="25">
        <v>738.75527599999998</v>
      </c>
      <c r="G61" s="26">
        <v>0.40847944378128898</v>
      </c>
      <c r="H61" s="29"/>
      <c r="J61" s="1"/>
      <c r="K61" s="1"/>
      <c r="L61" s="1"/>
      <c r="M61" s="1"/>
      <c r="N61" s="1"/>
      <c r="O61" s="1"/>
      <c r="P61" s="1"/>
    </row>
    <row r="62" spans="2:16" ht="12" x14ac:dyDescent="0.2">
      <c r="B62" s="24" t="s">
        <v>380</v>
      </c>
      <c r="C62" s="24" t="s">
        <v>381</v>
      </c>
      <c r="D62" s="24" t="s">
        <v>229</v>
      </c>
      <c r="E62" s="28">
        <v>12105</v>
      </c>
      <c r="F62" s="25">
        <v>688.10872500000005</v>
      </c>
      <c r="G62" s="26">
        <v>0.38047548136773301</v>
      </c>
      <c r="H62" s="29"/>
      <c r="J62" s="1"/>
      <c r="K62" s="1"/>
      <c r="L62" s="1"/>
      <c r="M62" s="1"/>
      <c r="N62" s="1"/>
      <c r="O62" s="1"/>
      <c r="P62" s="1"/>
    </row>
    <row r="63" spans="2:16" ht="12" x14ac:dyDescent="0.2">
      <c r="B63" s="24" t="s">
        <v>1276</v>
      </c>
      <c r="C63" s="24" t="s">
        <v>1277</v>
      </c>
      <c r="D63" s="24" t="s">
        <v>364</v>
      </c>
      <c r="E63" s="28">
        <v>420932</v>
      </c>
      <c r="F63" s="25">
        <v>681.23634879999997</v>
      </c>
      <c r="G63" s="26">
        <v>0.376675543148907</v>
      </c>
      <c r="H63" s="29"/>
      <c r="J63" s="1"/>
      <c r="K63" s="1"/>
      <c r="L63" s="1"/>
      <c r="M63" s="1"/>
      <c r="N63" s="1"/>
      <c r="O63" s="1"/>
      <c r="P63" s="1"/>
    </row>
    <row r="64" spans="2:16" ht="12" x14ac:dyDescent="0.2">
      <c r="B64" s="24" t="s">
        <v>1009</v>
      </c>
      <c r="C64" s="24" t="s">
        <v>1010</v>
      </c>
      <c r="D64" s="24" t="s">
        <v>503</v>
      </c>
      <c r="E64" s="28">
        <v>141484</v>
      </c>
      <c r="F64" s="25">
        <v>680.32581400000004</v>
      </c>
      <c r="G64" s="26">
        <v>0.376172081771736</v>
      </c>
      <c r="H64" s="29"/>
      <c r="J64" s="1"/>
      <c r="K64" s="1"/>
      <c r="L64" s="1"/>
      <c r="M64" s="1"/>
      <c r="N64" s="1"/>
      <c r="O64" s="1"/>
      <c r="P64" s="1"/>
    </row>
    <row r="65" spans="2:16" ht="12" x14ac:dyDescent="0.2">
      <c r="B65" s="24" t="s">
        <v>876</v>
      </c>
      <c r="C65" s="24" t="s">
        <v>877</v>
      </c>
      <c r="D65" s="24" t="s">
        <v>311</v>
      </c>
      <c r="E65" s="28">
        <v>59632</v>
      </c>
      <c r="F65" s="25">
        <v>639.49356799999998</v>
      </c>
      <c r="G65" s="26">
        <v>0.35359473623353499</v>
      </c>
      <c r="H65" s="29"/>
      <c r="J65" s="1"/>
      <c r="K65" s="1"/>
      <c r="L65" s="1"/>
      <c r="M65" s="1"/>
      <c r="N65" s="1"/>
      <c r="O65" s="1"/>
      <c r="P65" s="1"/>
    </row>
    <row r="66" spans="2:16" ht="12" x14ac:dyDescent="0.2">
      <c r="B66" s="24" t="s">
        <v>1337</v>
      </c>
      <c r="C66" s="24" t="s">
        <v>341</v>
      </c>
      <c r="D66" s="24" t="s">
        <v>246</v>
      </c>
      <c r="E66" s="28">
        <v>242206</v>
      </c>
      <c r="F66" s="25">
        <v>631.552145</v>
      </c>
      <c r="G66" s="26">
        <v>0.34920369070701601</v>
      </c>
      <c r="H66" s="29"/>
      <c r="J66" s="1"/>
      <c r="K66" s="1"/>
      <c r="L66" s="1"/>
      <c r="M66" s="1"/>
      <c r="N66" s="1"/>
      <c r="O66" s="1"/>
      <c r="P66" s="1"/>
    </row>
    <row r="67" spans="2:16" ht="12" x14ac:dyDescent="0.2">
      <c r="B67" s="24" t="s">
        <v>1278</v>
      </c>
      <c r="C67" s="24" t="s">
        <v>1279</v>
      </c>
      <c r="D67" s="24" t="s">
        <v>448</v>
      </c>
      <c r="E67" s="28">
        <v>48120</v>
      </c>
      <c r="F67" s="25">
        <v>620.45928000000004</v>
      </c>
      <c r="G67" s="26">
        <v>0.34307012053520602</v>
      </c>
      <c r="H67" s="29"/>
      <c r="J67" s="1"/>
      <c r="K67" s="1"/>
      <c r="L67" s="1"/>
      <c r="M67" s="1"/>
      <c r="N67" s="1"/>
      <c r="O67" s="1"/>
      <c r="P67" s="1"/>
    </row>
    <row r="68" spans="2:16" ht="12" x14ac:dyDescent="0.2">
      <c r="B68" s="24" t="s">
        <v>1106</v>
      </c>
      <c r="C68" s="24" t="s">
        <v>1107</v>
      </c>
      <c r="D68" s="24" t="s">
        <v>399</v>
      </c>
      <c r="E68" s="28">
        <v>143565</v>
      </c>
      <c r="F68" s="25">
        <v>620.2725825</v>
      </c>
      <c r="G68" s="26">
        <v>0.34296689001566499</v>
      </c>
      <c r="H68" s="29"/>
      <c r="J68" s="1"/>
      <c r="K68" s="1"/>
      <c r="L68" s="1"/>
      <c r="M68" s="1"/>
      <c r="N68" s="1"/>
      <c r="O68" s="1"/>
      <c r="P68" s="1"/>
    </row>
    <row r="69" spans="2:16" ht="12" x14ac:dyDescent="0.2">
      <c r="B69" s="24" t="s">
        <v>664</v>
      </c>
      <c r="C69" s="24" t="s">
        <v>665</v>
      </c>
      <c r="D69" s="24" t="s">
        <v>399</v>
      </c>
      <c r="E69" s="28">
        <v>15337</v>
      </c>
      <c r="F69" s="25">
        <v>616.76211799999999</v>
      </c>
      <c r="G69" s="26">
        <v>0.34102585130777502</v>
      </c>
      <c r="H69" s="29"/>
      <c r="J69" s="1"/>
      <c r="K69" s="1"/>
      <c r="L69" s="1"/>
      <c r="M69" s="1"/>
      <c r="N69" s="1"/>
      <c r="O69" s="1"/>
      <c r="P69" s="1"/>
    </row>
    <row r="70" spans="2:16" ht="12" x14ac:dyDescent="0.2">
      <c r="B70" s="24" t="s">
        <v>1280</v>
      </c>
      <c r="C70" s="24" t="s">
        <v>1281</v>
      </c>
      <c r="D70" s="24" t="s">
        <v>324</v>
      </c>
      <c r="E70" s="28">
        <v>43201</v>
      </c>
      <c r="F70" s="25">
        <v>603.64757299999997</v>
      </c>
      <c r="G70" s="26">
        <v>0.33377443501190701</v>
      </c>
      <c r="H70" s="29"/>
      <c r="J70" s="1"/>
      <c r="K70" s="1"/>
      <c r="L70" s="1"/>
      <c r="M70" s="1"/>
      <c r="N70" s="1"/>
      <c r="O70" s="1"/>
      <c r="P70" s="1"/>
    </row>
    <row r="71" spans="2:16" ht="12" x14ac:dyDescent="0.2">
      <c r="B71" s="24" t="s">
        <v>430</v>
      </c>
      <c r="C71" s="24" t="s">
        <v>431</v>
      </c>
      <c r="D71" s="24" t="s">
        <v>392</v>
      </c>
      <c r="E71" s="28">
        <v>49721</v>
      </c>
      <c r="F71" s="25">
        <v>595.60785899999996</v>
      </c>
      <c r="G71" s="26">
        <v>0.32932904151074299</v>
      </c>
      <c r="H71" s="29"/>
      <c r="J71" s="1"/>
      <c r="K71" s="1"/>
      <c r="L71" s="1"/>
      <c r="M71" s="1"/>
      <c r="N71" s="1"/>
      <c r="O71" s="1"/>
      <c r="P71" s="1"/>
    </row>
    <row r="72" spans="2:16" ht="12" x14ac:dyDescent="0.2">
      <c r="B72" s="24" t="s">
        <v>1007</v>
      </c>
      <c r="C72" s="24" t="s">
        <v>1008</v>
      </c>
      <c r="D72" s="24" t="s">
        <v>404</v>
      </c>
      <c r="E72" s="28">
        <v>6445</v>
      </c>
      <c r="F72" s="25">
        <v>581.11342500000001</v>
      </c>
      <c r="G72" s="26">
        <v>0.32131464414453798</v>
      </c>
      <c r="H72" s="29"/>
      <c r="J72" s="1"/>
      <c r="K72" s="1"/>
      <c r="L72" s="1"/>
      <c r="M72" s="1"/>
      <c r="N72" s="1"/>
      <c r="O72" s="1"/>
      <c r="P72" s="1"/>
    </row>
    <row r="73" spans="2:16" ht="12" x14ac:dyDescent="0.2">
      <c r="B73" s="24" t="s">
        <v>495</v>
      </c>
      <c r="C73" s="24" t="s">
        <v>496</v>
      </c>
      <c r="D73" s="24" t="s">
        <v>221</v>
      </c>
      <c r="E73" s="28">
        <v>120290</v>
      </c>
      <c r="F73" s="25">
        <v>572.58040000000005</v>
      </c>
      <c r="G73" s="26">
        <v>0.31659648453335498</v>
      </c>
      <c r="H73" s="29"/>
      <c r="J73" s="1"/>
      <c r="K73" s="1"/>
      <c r="L73" s="1"/>
      <c r="M73" s="1"/>
      <c r="N73" s="1"/>
      <c r="O73" s="1"/>
      <c r="P73" s="1"/>
    </row>
    <row r="74" spans="2:16" ht="12" x14ac:dyDescent="0.2">
      <c r="B74" s="24" t="s">
        <v>1094</v>
      </c>
      <c r="C74" s="24" t="s">
        <v>1095</v>
      </c>
      <c r="D74" s="24" t="s">
        <v>460</v>
      </c>
      <c r="E74" s="28">
        <v>72759</v>
      </c>
      <c r="F74" s="25">
        <v>554.42358000000002</v>
      </c>
      <c r="G74" s="26">
        <v>0.30655704660934502</v>
      </c>
      <c r="H74" s="29"/>
      <c r="J74" s="1"/>
      <c r="K74" s="1"/>
      <c r="L74" s="1"/>
      <c r="M74" s="1"/>
      <c r="N74" s="1"/>
      <c r="O74" s="1"/>
      <c r="P74" s="1"/>
    </row>
    <row r="75" spans="2:16" ht="12" x14ac:dyDescent="0.2">
      <c r="B75" s="24" t="s">
        <v>1282</v>
      </c>
      <c r="C75" s="24" t="s">
        <v>1283</v>
      </c>
      <c r="D75" s="24" t="s">
        <v>399</v>
      </c>
      <c r="E75" s="28">
        <v>26416</v>
      </c>
      <c r="F75" s="25">
        <v>551.61891200000002</v>
      </c>
      <c r="G75" s="26">
        <v>0.30500626347201898</v>
      </c>
      <c r="H75" s="29"/>
      <c r="J75" s="1"/>
      <c r="K75" s="1"/>
      <c r="L75" s="1"/>
      <c r="M75" s="1"/>
      <c r="N75" s="1"/>
      <c r="O75" s="1"/>
      <c r="P75" s="1"/>
    </row>
    <row r="76" spans="2:16" ht="12" x14ac:dyDescent="0.2">
      <c r="B76" s="24" t="s">
        <v>1108</v>
      </c>
      <c r="C76" s="24" t="s">
        <v>1109</v>
      </c>
      <c r="D76" s="24" t="s">
        <v>460</v>
      </c>
      <c r="E76" s="28">
        <v>43272</v>
      </c>
      <c r="F76" s="25">
        <v>539.86147200000005</v>
      </c>
      <c r="G76" s="26">
        <v>0.29850523030512799</v>
      </c>
      <c r="H76" s="29"/>
      <c r="J76" s="1"/>
      <c r="K76" s="1"/>
      <c r="L76" s="1"/>
      <c r="M76" s="1"/>
      <c r="N76" s="1"/>
      <c r="O76" s="1"/>
      <c r="P76" s="1"/>
    </row>
    <row r="77" spans="2:16" ht="12" x14ac:dyDescent="0.2">
      <c r="B77" s="24" t="s">
        <v>767</v>
      </c>
      <c r="C77" s="24" t="s">
        <v>768</v>
      </c>
      <c r="D77" s="24" t="s">
        <v>218</v>
      </c>
      <c r="E77" s="28">
        <v>1592123</v>
      </c>
      <c r="F77" s="25">
        <v>528.74404830000003</v>
      </c>
      <c r="G77" s="26">
        <v>0.292358080908313</v>
      </c>
      <c r="H77" s="29"/>
      <c r="J77" s="1"/>
      <c r="K77" s="1"/>
      <c r="L77" s="1"/>
      <c r="M77" s="1"/>
      <c r="N77" s="1"/>
      <c r="O77" s="1"/>
      <c r="P77" s="1"/>
    </row>
    <row r="78" spans="2:16" ht="12" x14ac:dyDescent="0.2">
      <c r="B78" s="24" t="s">
        <v>458</v>
      </c>
      <c r="C78" s="24" t="s">
        <v>459</v>
      </c>
      <c r="D78" s="24" t="s">
        <v>460</v>
      </c>
      <c r="E78" s="28">
        <v>20965</v>
      </c>
      <c r="F78" s="25">
        <v>519.72235000000001</v>
      </c>
      <c r="G78" s="26">
        <v>0.28736971950736301</v>
      </c>
      <c r="H78" s="29"/>
      <c r="J78" s="1"/>
      <c r="K78" s="1"/>
      <c r="L78" s="1"/>
      <c r="M78" s="1"/>
      <c r="N78" s="1"/>
      <c r="O78" s="1"/>
      <c r="P78" s="1"/>
    </row>
    <row r="79" spans="2:16" ht="12" x14ac:dyDescent="0.2">
      <c r="B79" s="24" t="s">
        <v>302</v>
      </c>
      <c r="C79" s="24" t="s">
        <v>303</v>
      </c>
      <c r="D79" s="24" t="s">
        <v>304</v>
      </c>
      <c r="E79" s="28">
        <v>199129</v>
      </c>
      <c r="F79" s="25">
        <v>508.51572729999998</v>
      </c>
      <c r="G79" s="26">
        <v>0.28117324936917498</v>
      </c>
      <c r="H79" s="29"/>
      <c r="J79" s="1"/>
      <c r="K79" s="1"/>
      <c r="L79" s="1"/>
      <c r="M79" s="1"/>
      <c r="N79" s="1"/>
      <c r="O79" s="1"/>
      <c r="P79" s="1"/>
    </row>
    <row r="80" spans="2:16" ht="12" x14ac:dyDescent="0.2">
      <c r="B80" s="24" t="s">
        <v>797</v>
      </c>
      <c r="C80" s="24" t="s">
        <v>798</v>
      </c>
      <c r="D80" s="24" t="s">
        <v>267</v>
      </c>
      <c r="E80" s="28">
        <v>6235</v>
      </c>
      <c r="F80" s="25">
        <v>501.07577500000002</v>
      </c>
      <c r="G80" s="26">
        <v>0.27705948168995298</v>
      </c>
      <c r="H80" s="29"/>
      <c r="J80" s="1"/>
      <c r="K80" s="1"/>
      <c r="L80" s="1"/>
      <c r="M80" s="1"/>
      <c r="N80" s="1"/>
      <c r="O80" s="1"/>
      <c r="P80" s="1"/>
    </row>
    <row r="81" spans="2:16" ht="12" x14ac:dyDescent="0.2">
      <c r="B81" s="24" t="s">
        <v>1284</v>
      </c>
      <c r="C81" s="24" t="s">
        <v>1285</v>
      </c>
      <c r="D81" s="24" t="s">
        <v>264</v>
      </c>
      <c r="E81" s="28">
        <v>290867</v>
      </c>
      <c r="F81" s="25">
        <v>488.88925360000002</v>
      </c>
      <c r="G81" s="26">
        <v>0.27032119684134398</v>
      </c>
      <c r="H81" s="29"/>
      <c r="J81" s="1"/>
      <c r="K81" s="1"/>
      <c r="L81" s="1"/>
      <c r="M81" s="1"/>
      <c r="N81" s="1"/>
      <c r="O81" s="1"/>
      <c r="P81" s="1"/>
    </row>
    <row r="82" spans="2:16" ht="12" x14ac:dyDescent="0.2">
      <c r="B82" s="24" t="s">
        <v>799</v>
      </c>
      <c r="C82" s="24" t="s">
        <v>800</v>
      </c>
      <c r="D82" s="24" t="s">
        <v>218</v>
      </c>
      <c r="E82" s="28">
        <v>212177</v>
      </c>
      <c r="F82" s="25">
        <v>485.18514590000001</v>
      </c>
      <c r="G82" s="26">
        <v>0.268273087132816</v>
      </c>
      <c r="H82" s="29"/>
      <c r="J82" s="1"/>
      <c r="K82" s="1"/>
      <c r="L82" s="1"/>
      <c r="M82" s="1"/>
      <c r="N82" s="1"/>
      <c r="O82" s="1"/>
      <c r="P82" s="1"/>
    </row>
    <row r="83" spans="2:16" ht="12" x14ac:dyDescent="0.2">
      <c r="B83" s="24" t="s">
        <v>238</v>
      </c>
      <c r="C83" s="24" t="s">
        <v>239</v>
      </c>
      <c r="D83" s="24" t="s">
        <v>218</v>
      </c>
      <c r="E83" s="28">
        <v>38828</v>
      </c>
      <c r="F83" s="25">
        <v>478.671584</v>
      </c>
      <c r="G83" s="26">
        <v>0.26467154785670699</v>
      </c>
      <c r="H83" s="29"/>
      <c r="J83" s="1"/>
      <c r="K83" s="1"/>
      <c r="L83" s="1"/>
      <c r="M83" s="1"/>
      <c r="N83" s="1"/>
      <c r="O83" s="1"/>
      <c r="P83" s="1"/>
    </row>
    <row r="84" spans="2:16" ht="12" x14ac:dyDescent="0.2">
      <c r="B84" s="24" t="s">
        <v>428</v>
      </c>
      <c r="C84" s="24" t="s">
        <v>429</v>
      </c>
      <c r="D84" s="24" t="s">
        <v>407</v>
      </c>
      <c r="E84" s="28">
        <v>3437</v>
      </c>
      <c r="F84" s="25">
        <v>476.98685999999998</v>
      </c>
      <c r="G84" s="26">
        <v>0.26374001458066598</v>
      </c>
      <c r="H84" s="29"/>
      <c r="J84" s="1"/>
      <c r="K84" s="1"/>
      <c r="L84" s="1"/>
      <c r="M84" s="1"/>
      <c r="N84" s="1"/>
      <c r="O84" s="1"/>
      <c r="P84" s="1"/>
    </row>
    <row r="85" spans="2:16" ht="12" x14ac:dyDescent="0.2">
      <c r="B85" s="24" t="s">
        <v>860</v>
      </c>
      <c r="C85" s="24" t="s">
        <v>861</v>
      </c>
      <c r="D85" s="24" t="s">
        <v>264</v>
      </c>
      <c r="E85" s="28">
        <v>265013</v>
      </c>
      <c r="F85" s="25">
        <v>476.91739480000001</v>
      </c>
      <c r="G85" s="26">
        <v>0.26370160523567698</v>
      </c>
      <c r="H85" s="29"/>
      <c r="J85" s="1"/>
      <c r="K85" s="1"/>
      <c r="L85" s="1"/>
      <c r="M85" s="1"/>
      <c r="N85" s="1"/>
      <c r="O85" s="1"/>
      <c r="P85" s="1"/>
    </row>
    <row r="86" spans="2:16" ht="12" x14ac:dyDescent="0.2">
      <c r="B86" s="24" t="s">
        <v>946</v>
      </c>
      <c r="C86" s="24" t="s">
        <v>947</v>
      </c>
      <c r="D86" s="24" t="s">
        <v>319</v>
      </c>
      <c r="E86" s="28">
        <v>130011</v>
      </c>
      <c r="F86" s="25">
        <v>466.28445149999999</v>
      </c>
      <c r="G86" s="26">
        <v>0.25782233925133202</v>
      </c>
      <c r="H86" s="29"/>
      <c r="J86" s="1"/>
      <c r="K86" s="1"/>
      <c r="L86" s="1"/>
      <c r="M86" s="1"/>
      <c r="N86" s="1"/>
      <c r="O86" s="1"/>
      <c r="P86" s="1"/>
    </row>
    <row r="87" spans="2:16" ht="12" x14ac:dyDescent="0.2">
      <c r="B87" s="24" t="s">
        <v>1286</v>
      </c>
      <c r="C87" s="24" t="s">
        <v>1287</v>
      </c>
      <c r="D87" s="24" t="s">
        <v>627</v>
      </c>
      <c r="E87" s="28">
        <v>124714</v>
      </c>
      <c r="F87" s="25">
        <v>465.49500499999999</v>
      </c>
      <c r="G87" s="26">
        <v>0.257385831144127</v>
      </c>
      <c r="H87" s="29"/>
      <c r="J87" s="1"/>
      <c r="K87" s="1"/>
      <c r="L87" s="1"/>
      <c r="M87" s="1"/>
      <c r="N87" s="1"/>
      <c r="O87" s="1"/>
      <c r="P87" s="1"/>
    </row>
    <row r="88" spans="2:16" ht="12" x14ac:dyDescent="0.2">
      <c r="B88" s="24" t="s">
        <v>255</v>
      </c>
      <c r="C88" s="24" t="s">
        <v>256</v>
      </c>
      <c r="D88" s="24" t="s">
        <v>246</v>
      </c>
      <c r="E88" s="28">
        <v>2781</v>
      </c>
      <c r="F88" s="25">
        <v>450.13265999999999</v>
      </c>
      <c r="G88" s="26">
        <v>0.24889154034900199</v>
      </c>
      <c r="H88" s="29"/>
      <c r="J88" s="1"/>
      <c r="K88" s="1"/>
      <c r="L88" s="1"/>
      <c r="M88" s="1"/>
      <c r="N88" s="1"/>
      <c r="O88" s="1"/>
      <c r="P88" s="1"/>
    </row>
    <row r="89" spans="2:16" ht="12" x14ac:dyDescent="0.2">
      <c r="B89" s="24" t="s">
        <v>474</v>
      </c>
      <c r="C89" s="24" t="s">
        <v>475</v>
      </c>
      <c r="D89" s="24" t="s">
        <v>476</v>
      </c>
      <c r="E89" s="28">
        <v>10132</v>
      </c>
      <c r="F89" s="25">
        <v>440.14421199999998</v>
      </c>
      <c r="G89" s="26">
        <v>0.243368634705106</v>
      </c>
      <c r="H89" s="29"/>
      <c r="J89" s="1"/>
      <c r="K89" s="1"/>
      <c r="L89" s="1"/>
      <c r="M89" s="1"/>
      <c r="N89" s="1"/>
      <c r="O89" s="1"/>
      <c r="P89" s="1"/>
    </row>
    <row r="90" spans="2:16" ht="12" x14ac:dyDescent="0.2">
      <c r="B90" s="24" t="s">
        <v>461</v>
      </c>
      <c r="C90" s="24" t="s">
        <v>462</v>
      </c>
      <c r="D90" s="24" t="s">
        <v>246</v>
      </c>
      <c r="E90" s="28">
        <v>7783</v>
      </c>
      <c r="F90" s="25">
        <v>431.48952000000003</v>
      </c>
      <c r="G90" s="26">
        <v>0.238583201843767</v>
      </c>
      <c r="H90" s="29"/>
      <c r="J90" s="1"/>
      <c r="K90" s="1"/>
      <c r="L90" s="1"/>
      <c r="M90" s="1"/>
      <c r="N90" s="1"/>
      <c r="O90" s="1"/>
      <c r="P90" s="1"/>
    </row>
    <row r="91" spans="2:16" ht="12" x14ac:dyDescent="0.2">
      <c r="B91" s="24" t="s">
        <v>1124</v>
      </c>
      <c r="C91" s="24" t="s">
        <v>1125</v>
      </c>
      <c r="D91" s="24" t="s">
        <v>386</v>
      </c>
      <c r="E91" s="28">
        <v>75510</v>
      </c>
      <c r="F91" s="25">
        <v>423.950895</v>
      </c>
      <c r="G91" s="26">
        <v>0.234414875136783</v>
      </c>
      <c r="H91" s="29"/>
      <c r="J91" s="1"/>
      <c r="K91" s="1"/>
      <c r="L91" s="1"/>
      <c r="M91" s="1"/>
      <c r="N91" s="1"/>
      <c r="O91" s="1"/>
      <c r="P91" s="1"/>
    </row>
    <row r="92" spans="2:16" ht="12" x14ac:dyDescent="0.2">
      <c r="B92" s="24" t="s">
        <v>432</v>
      </c>
      <c r="C92" s="24" t="s">
        <v>433</v>
      </c>
      <c r="D92" s="24" t="s">
        <v>399</v>
      </c>
      <c r="E92" s="28">
        <v>1131</v>
      </c>
      <c r="F92" s="25">
        <v>421.24095</v>
      </c>
      <c r="G92" s="26">
        <v>0.23291646712233</v>
      </c>
      <c r="H92" s="29"/>
      <c r="J92" s="1"/>
      <c r="K92" s="1"/>
      <c r="L92" s="1"/>
      <c r="M92" s="1"/>
      <c r="N92" s="1"/>
      <c r="O92" s="1"/>
      <c r="P92" s="1"/>
    </row>
    <row r="93" spans="2:16" ht="12" x14ac:dyDescent="0.2">
      <c r="B93" s="24" t="s">
        <v>1288</v>
      </c>
      <c r="C93" s="24" t="s">
        <v>1289</v>
      </c>
      <c r="D93" s="24" t="s">
        <v>399</v>
      </c>
      <c r="E93" s="28">
        <v>15790</v>
      </c>
      <c r="F93" s="25">
        <v>412.76639</v>
      </c>
      <c r="G93" s="26">
        <v>0.228230634523158</v>
      </c>
      <c r="H93" s="29"/>
      <c r="J93" s="1"/>
      <c r="K93" s="1"/>
      <c r="L93" s="1"/>
      <c r="M93" s="1"/>
      <c r="N93" s="1"/>
      <c r="O93" s="1"/>
      <c r="P93" s="1"/>
    </row>
    <row r="94" spans="2:16" ht="12" x14ac:dyDescent="0.2">
      <c r="B94" s="24" t="s">
        <v>904</v>
      </c>
      <c r="C94" s="24" t="s">
        <v>905</v>
      </c>
      <c r="D94" s="24" t="s">
        <v>267</v>
      </c>
      <c r="E94" s="28">
        <v>33831</v>
      </c>
      <c r="F94" s="25">
        <v>408.54315600000001</v>
      </c>
      <c r="G94" s="26">
        <v>0.22589548466863699</v>
      </c>
      <c r="H94" s="29"/>
      <c r="J94" s="1"/>
      <c r="K94" s="1"/>
      <c r="L94" s="1"/>
      <c r="M94" s="1"/>
      <c r="N94" s="1"/>
      <c r="O94" s="1"/>
      <c r="P94" s="1"/>
    </row>
    <row r="95" spans="2:16" ht="12" x14ac:dyDescent="0.2">
      <c r="B95" s="24" t="s">
        <v>442</v>
      </c>
      <c r="C95" s="24" t="s">
        <v>443</v>
      </c>
      <c r="D95" s="24" t="s">
        <v>259</v>
      </c>
      <c r="E95" s="28">
        <v>41747</v>
      </c>
      <c r="F95" s="25">
        <v>406.80364150000003</v>
      </c>
      <c r="G95" s="26">
        <v>0.224933656119328</v>
      </c>
      <c r="H95" s="29"/>
      <c r="J95" s="1"/>
      <c r="K95" s="1"/>
      <c r="L95" s="1"/>
      <c r="M95" s="1"/>
      <c r="N95" s="1"/>
      <c r="O95" s="1"/>
      <c r="P95" s="1"/>
    </row>
    <row r="96" spans="2:16" ht="12" x14ac:dyDescent="0.2">
      <c r="B96" s="24" t="s">
        <v>674</v>
      </c>
      <c r="C96" s="24" t="s">
        <v>675</v>
      </c>
      <c r="D96" s="24" t="s">
        <v>259</v>
      </c>
      <c r="E96" s="28">
        <v>1393</v>
      </c>
      <c r="F96" s="25">
        <v>403.90035</v>
      </c>
      <c r="G96" s="26">
        <v>0.223328341158362</v>
      </c>
      <c r="H96" s="29"/>
      <c r="J96" s="1"/>
      <c r="K96" s="1"/>
      <c r="L96" s="1"/>
      <c r="M96" s="1"/>
      <c r="N96" s="1"/>
      <c r="O96" s="1"/>
      <c r="P96" s="1"/>
    </row>
    <row r="97" spans="2:16" ht="12" x14ac:dyDescent="0.2">
      <c r="B97" s="24" t="s">
        <v>1266</v>
      </c>
      <c r="C97" s="24" t="s">
        <v>1267</v>
      </c>
      <c r="D97" s="24" t="s">
        <v>503</v>
      </c>
      <c r="E97" s="28">
        <v>269184</v>
      </c>
      <c r="F97" s="25">
        <v>401.83787519999998</v>
      </c>
      <c r="G97" s="26">
        <v>0.222187938393757</v>
      </c>
      <c r="H97" s="29"/>
      <c r="J97" s="1"/>
      <c r="K97" s="1"/>
      <c r="L97" s="1"/>
      <c r="M97" s="1"/>
      <c r="N97" s="1"/>
      <c r="O97" s="1"/>
      <c r="P97" s="1"/>
    </row>
    <row r="98" spans="2:16" ht="12" x14ac:dyDescent="0.2">
      <c r="B98" s="24" t="s">
        <v>1240</v>
      </c>
      <c r="C98" s="24" t="s">
        <v>1241</v>
      </c>
      <c r="D98" s="24" t="s">
        <v>311</v>
      </c>
      <c r="E98" s="28">
        <v>58290</v>
      </c>
      <c r="F98" s="25">
        <v>386.60842500000001</v>
      </c>
      <c r="G98" s="26">
        <v>0.213767129028477</v>
      </c>
      <c r="H98" s="29"/>
      <c r="J98" s="1"/>
      <c r="K98" s="1"/>
      <c r="L98" s="1"/>
      <c r="M98" s="1"/>
      <c r="N98" s="1"/>
      <c r="O98" s="1"/>
      <c r="P98" s="1"/>
    </row>
    <row r="99" spans="2:16" ht="12" x14ac:dyDescent="0.2">
      <c r="B99" s="24" t="s">
        <v>995</v>
      </c>
      <c r="C99" s="24" t="s">
        <v>996</v>
      </c>
      <c r="D99" s="24" t="s">
        <v>252</v>
      </c>
      <c r="E99" s="28">
        <v>14703</v>
      </c>
      <c r="F99" s="25">
        <v>361.38503700000001</v>
      </c>
      <c r="G99" s="26">
        <v>0.19982037854798401</v>
      </c>
      <c r="H99" s="29"/>
      <c r="J99" s="1"/>
      <c r="K99" s="1"/>
      <c r="L99" s="1"/>
      <c r="M99" s="1"/>
      <c r="N99" s="1"/>
      <c r="O99" s="1"/>
      <c r="P99" s="1"/>
    </row>
    <row r="100" spans="2:16" ht="12" x14ac:dyDescent="0.2">
      <c r="B100" s="24" t="s">
        <v>980</v>
      </c>
      <c r="C100" s="24" t="s">
        <v>981</v>
      </c>
      <c r="D100" s="24" t="s">
        <v>259</v>
      </c>
      <c r="E100" s="28">
        <v>6692</v>
      </c>
      <c r="F100" s="25">
        <v>348.58627999999999</v>
      </c>
      <c r="G100" s="26">
        <v>0.19274357069253401</v>
      </c>
      <c r="H100" s="29"/>
      <c r="J100" s="1"/>
      <c r="K100" s="1"/>
      <c r="L100" s="1"/>
      <c r="M100" s="1"/>
      <c r="N100" s="1"/>
      <c r="O100" s="1"/>
      <c r="P100" s="1"/>
    </row>
    <row r="101" spans="2:16" ht="12" x14ac:dyDescent="0.2">
      <c r="B101" s="24" t="s">
        <v>1258</v>
      </c>
      <c r="C101" s="24" t="s">
        <v>1259</v>
      </c>
      <c r="D101" s="24" t="s">
        <v>476</v>
      </c>
      <c r="E101" s="28">
        <v>59537</v>
      </c>
      <c r="F101" s="25">
        <v>338.17016000000001</v>
      </c>
      <c r="G101" s="26">
        <v>0.18698419266548799</v>
      </c>
      <c r="H101" s="29"/>
      <c r="J101" s="1"/>
      <c r="K101" s="1"/>
      <c r="L101" s="1"/>
      <c r="M101" s="1"/>
      <c r="N101" s="1"/>
      <c r="O101" s="1"/>
      <c r="P101" s="1"/>
    </row>
    <row r="102" spans="2:16" ht="12" x14ac:dyDescent="0.2">
      <c r="B102" s="24" t="s">
        <v>491</v>
      </c>
      <c r="C102" s="24" t="s">
        <v>492</v>
      </c>
      <c r="D102" s="24" t="s">
        <v>471</v>
      </c>
      <c r="E102" s="28">
        <v>24811</v>
      </c>
      <c r="F102" s="25">
        <v>323.336952</v>
      </c>
      <c r="G102" s="26">
        <v>0.178782477225784</v>
      </c>
      <c r="H102" s="29"/>
      <c r="J102" s="1"/>
      <c r="K102" s="1"/>
      <c r="L102" s="1"/>
      <c r="M102" s="1"/>
      <c r="N102" s="1"/>
      <c r="O102" s="1"/>
      <c r="P102" s="1"/>
    </row>
    <row r="103" spans="2:16" ht="12" x14ac:dyDescent="0.2">
      <c r="B103" s="24" t="s">
        <v>724</v>
      </c>
      <c r="C103" s="24" t="s">
        <v>725</v>
      </c>
      <c r="D103" s="24" t="s">
        <v>324</v>
      </c>
      <c r="E103" s="28">
        <v>24521</v>
      </c>
      <c r="F103" s="25">
        <v>321.592915</v>
      </c>
      <c r="G103" s="26">
        <v>0.17781814805367799</v>
      </c>
      <c r="H103" s="29"/>
      <c r="J103" s="1"/>
      <c r="K103" s="1"/>
      <c r="L103" s="1"/>
      <c r="M103" s="1"/>
      <c r="N103" s="1"/>
      <c r="O103" s="1"/>
      <c r="P103" s="1"/>
    </row>
    <row r="104" spans="2:16" ht="12" x14ac:dyDescent="0.2">
      <c r="B104" s="24" t="s">
        <v>617</v>
      </c>
      <c r="C104" s="24" t="s">
        <v>618</v>
      </c>
      <c r="D104" s="24" t="s">
        <v>389</v>
      </c>
      <c r="E104" s="28">
        <v>113025</v>
      </c>
      <c r="F104" s="25">
        <v>317.8828125</v>
      </c>
      <c r="G104" s="26">
        <v>0.175766723644532</v>
      </c>
      <c r="H104" s="29"/>
      <c r="J104" s="1"/>
      <c r="K104" s="1"/>
      <c r="L104" s="1"/>
      <c r="M104" s="1"/>
      <c r="N104" s="1"/>
      <c r="O104" s="1"/>
      <c r="P104" s="1"/>
    </row>
    <row r="105" spans="2:16" ht="12" x14ac:dyDescent="0.2">
      <c r="B105" s="24" t="s">
        <v>619</v>
      </c>
      <c r="C105" s="24" t="s">
        <v>620</v>
      </c>
      <c r="D105" s="24" t="s">
        <v>284</v>
      </c>
      <c r="E105" s="28">
        <v>130717</v>
      </c>
      <c r="F105" s="25">
        <v>306.06078380000002</v>
      </c>
      <c r="G105" s="26">
        <v>0.16922997749242399</v>
      </c>
      <c r="H105" s="29"/>
      <c r="J105" s="1"/>
      <c r="K105" s="1"/>
      <c r="L105" s="1"/>
      <c r="M105" s="1"/>
      <c r="N105" s="1"/>
      <c r="O105" s="1"/>
      <c r="P105" s="1"/>
    </row>
    <row r="106" spans="2:16" ht="12" x14ac:dyDescent="0.2">
      <c r="B106" s="24" t="s">
        <v>820</v>
      </c>
      <c r="C106" s="24" t="s">
        <v>821</v>
      </c>
      <c r="D106" s="24" t="s">
        <v>232</v>
      </c>
      <c r="E106" s="28">
        <v>24338</v>
      </c>
      <c r="F106" s="25">
        <v>305.78263199999998</v>
      </c>
      <c r="G106" s="26">
        <v>0.16907617921004001</v>
      </c>
      <c r="H106" s="29"/>
      <c r="J106" s="1"/>
      <c r="K106" s="1"/>
      <c r="L106" s="1"/>
      <c r="M106" s="1"/>
      <c r="N106" s="1"/>
      <c r="O106" s="1"/>
      <c r="P106" s="1"/>
    </row>
    <row r="107" spans="2:16" ht="12" x14ac:dyDescent="0.2">
      <c r="B107" s="24" t="s">
        <v>1290</v>
      </c>
      <c r="C107" s="24" t="s">
        <v>1291</v>
      </c>
      <c r="D107" s="24" t="s">
        <v>281</v>
      </c>
      <c r="E107" s="28">
        <v>884320</v>
      </c>
      <c r="F107" s="25">
        <v>304.20607999999999</v>
      </c>
      <c r="G107" s="26">
        <v>0.168204457403139</v>
      </c>
      <c r="H107" s="29"/>
      <c r="J107" s="1"/>
      <c r="K107" s="1"/>
      <c r="L107" s="1"/>
      <c r="M107" s="1"/>
      <c r="N107" s="1"/>
      <c r="O107" s="1"/>
      <c r="P107" s="1"/>
    </row>
    <row r="108" spans="2:16" ht="12" x14ac:dyDescent="0.2">
      <c r="B108" s="24" t="s">
        <v>1292</v>
      </c>
      <c r="C108" s="24" t="s">
        <v>1293</v>
      </c>
      <c r="D108" s="24" t="s">
        <v>252</v>
      </c>
      <c r="E108" s="28">
        <v>9927</v>
      </c>
      <c r="F108" s="25">
        <v>299.74576500000001</v>
      </c>
      <c r="G108" s="26">
        <v>0.16573821851527101</v>
      </c>
      <c r="H108" s="29"/>
      <c r="J108" s="1"/>
      <c r="K108" s="1"/>
      <c r="L108" s="1"/>
      <c r="M108" s="1"/>
      <c r="N108" s="1"/>
      <c r="O108" s="1"/>
      <c r="P108" s="1"/>
    </row>
    <row r="109" spans="2:16" ht="12" x14ac:dyDescent="0.2">
      <c r="B109" s="24" t="s">
        <v>858</v>
      </c>
      <c r="C109" s="24" t="s">
        <v>859</v>
      </c>
      <c r="D109" s="24" t="s">
        <v>460</v>
      </c>
      <c r="E109" s="28">
        <v>9682</v>
      </c>
      <c r="F109" s="25">
        <v>299.018888</v>
      </c>
      <c r="G109" s="26">
        <v>0.16533630691842199</v>
      </c>
      <c r="H109" s="29"/>
      <c r="J109" s="1"/>
      <c r="K109" s="1"/>
      <c r="L109" s="1"/>
      <c r="M109" s="1"/>
      <c r="N109" s="1"/>
      <c r="O109" s="1"/>
      <c r="P109" s="1"/>
    </row>
    <row r="110" spans="2:16" ht="12" x14ac:dyDescent="0.2">
      <c r="B110" s="24" t="s">
        <v>1294</v>
      </c>
      <c r="C110" s="24" t="s">
        <v>1295</v>
      </c>
      <c r="D110" s="24" t="s">
        <v>232</v>
      </c>
      <c r="E110" s="28">
        <v>791867</v>
      </c>
      <c r="F110" s="25">
        <v>295.52476439999998</v>
      </c>
      <c r="G110" s="26">
        <v>0.16340430357306701</v>
      </c>
      <c r="H110" s="29"/>
      <c r="J110" s="1"/>
      <c r="K110" s="1"/>
      <c r="L110" s="1"/>
      <c r="M110" s="1"/>
      <c r="N110" s="1"/>
      <c r="O110" s="1"/>
      <c r="P110" s="1"/>
    </row>
    <row r="111" spans="2:16" ht="12" x14ac:dyDescent="0.2">
      <c r="B111" s="24" t="s">
        <v>497</v>
      </c>
      <c r="C111" s="24" t="s">
        <v>498</v>
      </c>
      <c r="D111" s="24" t="s">
        <v>218</v>
      </c>
      <c r="E111" s="28">
        <v>1216858</v>
      </c>
      <c r="F111" s="25">
        <v>276.71350919999998</v>
      </c>
      <c r="G111" s="26">
        <v>0.153003009246576</v>
      </c>
      <c r="H111" s="29"/>
      <c r="J111" s="1"/>
      <c r="K111" s="1"/>
      <c r="L111" s="1"/>
      <c r="M111" s="1"/>
      <c r="N111" s="1"/>
      <c r="O111" s="1"/>
      <c r="P111" s="1"/>
    </row>
    <row r="112" spans="2:16" ht="12" x14ac:dyDescent="0.2">
      <c r="B112" s="24" t="s">
        <v>1296</v>
      </c>
      <c r="C112" s="24" t="s">
        <v>1297</v>
      </c>
      <c r="D112" s="24" t="s">
        <v>252</v>
      </c>
      <c r="E112" s="28">
        <v>54455</v>
      </c>
      <c r="F112" s="25">
        <v>273.82696750000002</v>
      </c>
      <c r="G112" s="26">
        <v>0.15140695574093899</v>
      </c>
      <c r="H112" s="29"/>
      <c r="J112" s="1"/>
      <c r="K112" s="1"/>
      <c r="L112" s="1"/>
      <c r="M112" s="1"/>
      <c r="N112" s="1"/>
      <c r="O112" s="1"/>
      <c r="P112" s="1"/>
    </row>
    <row r="113" spans="2:16" ht="12" x14ac:dyDescent="0.2">
      <c r="B113" s="24" t="s">
        <v>926</v>
      </c>
      <c r="C113" s="24" t="s">
        <v>927</v>
      </c>
      <c r="D113" s="24" t="s">
        <v>259</v>
      </c>
      <c r="E113" s="28">
        <v>29664</v>
      </c>
      <c r="F113" s="25">
        <v>272.37484799999999</v>
      </c>
      <c r="G113" s="26">
        <v>0.150604036310197</v>
      </c>
      <c r="H113" s="29"/>
      <c r="J113" s="1"/>
      <c r="K113" s="1"/>
      <c r="L113" s="1"/>
      <c r="M113" s="1"/>
      <c r="N113" s="1"/>
      <c r="O113" s="1"/>
      <c r="P113" s="1"/>
    </row>
    <row r="114" spans="2:16" ht="12" x14ac:dyDescent="0.2">
      <c r="B114" s="24" t="s">
        <v>976</v>
      </c>
      <c r="C114" s="24" t="s">
        <v>977</v>
      </c>
      <c r="D114" s="24" t="s">
        <v>715</v>
      </c>
      <c r="E114" s="28">
        <v>512795</v>
      </c>
      <c r="F114" s="25">
        <v>269.42249299999997</v>
      </c>
      <c r="G114" s="26">
        <v>0.14897159270211199</v>
      </c>
      <c r="H114" s="29"/>
      <c r="J114" s="1"/>
      <c r="K114" s="1"/>
      <c r="L114" s="1"/>
      <c r="M114" s="1"/>
      <c r="N114" s="1"/>
      <c r="O114" s="1"/>
      <c r="P114" s="1"/>
    </row>
    <row r="115" spans="2:16" ht="12" x14ac:dyDescent="0.2">
      <c r="B115" s="24" t="s">
        <v>1298</v>
      </c>
      <c r="C115" s="24" t="s">
        <v>1299</v>
      </c>
      <c r="D115" s="24" t="s">
        <v>503</v>
      </c>
      <c r="E115" s="28">
        <v>31091</v>
      </c>
      <c r="F115" s="25">
        <v>268.84387700000002</v>
      </c>
      <c r="G115" s="26">
        <v>0.148651658957445</v>
      </c>
      <c r="H115" s="29"/>
      <c r="J115" s="1"/>
      <c r="K115" s="1"/>
      <c r="L115" s="1"/>
      <c r="M115" s="1"/>
      <c r="N115" s="1"/>
      <c r="O115" s="1"/>
      <c r="P115" s="1"/>
    </row>
    <row r="116" spans="2:16" ht="12" x14ac:dyDescent="0.2">
      <c r="B116" s="24" t="s">
        <v>694</v>
      </c>
      <c r="C116" s="24" t="s">
        <v>695</v>
      </c>
      <c r="D116" s="24" t="s">
        <v>508</v>
      </c>
      <c r="E116" s="28">
        <v>6579</v>
      </c>
      <c r="F116" s="25">
        <v>249.11383499999999</v>
      </c>
      <c r="G116" s="26">
        <v>0.13774234048113099</v>
      </c>
      <c r="H116" s="29"/>
      <c r="J116" s="1"/>
      <c r="K116" s="1"/>
      <c r="L116" s="1"/>
      <c r="M116" s="1"/>
      <c r="N116" s="1"/>
      <c r="O116" s="1"/>
      <c r="P116" s="1"/>
    </row>
    <row r="117" spans="2:16" ht="12" x14ac:dyDescent="0.2">
      <c r="B117" s="24" t="s">
        <v>1300</v>
      </c>
      <c r="C117" s="24" t="s">
        <v>1301</v>
      </c>
      <c r="D117" s="24" t="s">
        <v>407</v>
      </c>
      <c r="E117" s="28">
        <v>37991</v>
      </c>
      <c r="F117" s="25">
        <v>243.21838199999999</v>
      </c>
      <c r="G117" s="26">
        <v>0.134482571731569</v>
      </c>
      <c r="H117" s="29"/>
      <c r="J117" s="1"/>
      <c r="K117" s="1"/>
      <c r="L117" s="1"/>
      <c r="M117" s="1"/>
      <c r="N117" s="1"/>
      <c r="O117" s="1"/>
      <c r="P117" s="1"/>
    </row>
    <row r="118" spans="2:16" ht="12" x14ac:dyDescent="0.2">
      <c r="B118" s="24" t="s">
        <v>890</v>
      </c>
      <c r="C118" s="24" t="s">
        <v>891</v>
      </c>
      <c r="D118" s="24" t="s">
        <v>404</v>
      </c>
      <c r="E118" s="28">
        <v>44080</v>
      </c>
      <c r="F118" s="25">
        <v>235.56352000000001</v>
      </c>
      <c r="G118" s="26">
        <v>0.13024997418057399</v>
      </c>
      <c r="H118" s="29"/>
      <c r="J118" s="1"/>
      <c r="K118" s="1"/>
      <c r="L118" s="1"/>
      <c r="M118" s="1"/>
      <c r="N118" s="1"/>
      <c r="O118" s="1"/>
      <c r="P118" s="1"/>
    </row>
    <row r="119" spans="2:16" ht="12" x14ac:dyDescent="0.2">
      <c r="B119" s="24" t="s">
        <v>678</v>
      </c>
      <c r="C119" s="24" t="s">
        <v>679</v>
      </c>
      <c r="D119" s="24" t="s">
        <v>389</v>
      </c>
      <c r="E119" s="28">
        <v>102990</v>
      </c>
      <c r="F119" s="25">
        <v>218.277006</v>
      </c>
      <c r="G119" s="26">
        <v>0.120691753951176</v>
      </c>
      <c r="H119" s="29"/>
      <c r="J119" s="1"/>
      <c r="K119" s="1"/>
      <c r="L119" s="1"/>
      <c r="M119" s="1"/>
      <c r="N119" s="1"/>
      <c r="O119" s="1"/>
      <c r="P119" s="1"/>
    </row>
    <row r="120" spans="2:16" ht="12" x14ac:dyDescent="0.2">
      <c r="B120" s="24" t="s">
        <v>1182</v>
      </c>
      <c r="C120" s="24" t="s">
        <v>1183</v>
      </c>
      <c r="D120" s="24" t="s">
        <v>276</v>
      </c>
      <c r="E120" s="28">
        <v>51988</v>
      </c>
      <c r="F120" s="25">
        <v>215.568242</v>
      </c>
      <c r="G120" s="26">
        <v>0.119193998946236</v>
      </c>
      <c r="H120" s="29"/>
      <c r="J120" s="1"/>
      <c r="K120" s="1"/>
      <c r="L120" s="1"/>
      <c r="M120" s="1"/>
      <c r="N120" s="1"/>
      <c r="O120" s="1"/>
      <c r="P120" s="1"/>
    </row>
    <row r="121" spans="2:16" ht="12" x14ac:dyDescent="0.2">
      <c r="B121" s="24" t="s">
        <v>472</v>
      </c>
      <c r="C121" s="24" t="s">
        <v>473</v>
      </c>
      <c r="D121" s="24" t="s">
        <v>229</v>
      </c>
      <c r="E121" s="28">
        <v>11849</v>
      </c>
      <c r="F121" s="25">
        <v>210.68706900000001</v>
      </c>
      <c r="G121" s="26">
        <v>0.116495055335524</v>
      </c>
      <c r="H121" s="29"/>
      <c r="J121" s="1"/>
      <c r="K121" s="1"/>
      <c r="L121" s="1"/>
      <c r="M121" s="1"/>
      <c r="N121" s="1"/>
      <c r="O121" s="1"/>
      <c r="P121" s="1"/>
    </row>
    <row r="122" spans="2:16" ht="12" x14ac:dyDescent="0.2">
      <c r="B122" s="24" t="s">
        <v>1302</v>
      </c>
      <c r="C122" s="24" t="s">
        <v>1303</v>
      </c>
      <c r="D122" s="24" t="s">
        <v>259</v>
      </c>
      <c r="E122" s="28">
        <v>67881</v>
      </c>
      <c r="F122" s="25">
        <v>209.10742049999999</v>
      </c>
      <c r="G122" s="26">
        <v>0.11562162138302</v>
      </c>
      <c r="H122" s="29"/>
      <c r="J122" s="1"/>
      <c r="K122" s="1"/>
      <c r="L122" s="1"/>
      <c r="M122" s="1"/>
      <c r="N122" s="1"/>
      <c r="O122" s="1"/>
      <c r="P122" s="1"/>
    </row>
    <row r="123" spans="2:16" ht="12" x14ac:dyDescent="0.2">
      <c r="B123" s="24" t="s">
        <v>1304</v>
      </c>
      <c r="C123" s="24" t="s">
        <v>1305</v>
      </c>
      <c r="D123" s="24" t="s">
        <v>503</v>
      </c>
      <c r="E123" s="28">
        <v>221398</v>
      </c>
      <c r="F123" s="25">
        <v>206.89643100000001</v>
      </c>
      <c r="G123" s="26">
        <v>0.11439910048806699</v>
      </c>
      <c r="H123" s="29"/>
      <c r="J123" s="1"/>
      <c r="K123" s="1"/>
      <c r="L123" s="1"/>
      <c r="M123" s="1"/>
      <c r="N123" s="1"/>
      <c r="O123" s="1"/>
      <c r="P123" s="1"/>
    </row>
    <row r="124" spans="2:16" ht="12" x14ac:dyDescent="0.2">
      <c r="B124" s="24" t="s">
        <v>958</v>
      </c>
      <c r="C124" s="24" t="s">
        <v>959</v>
      </c>
      <c r="D124" s="24" t="s">
        <v>399</v>
      </c>
      <c r="E124" s="28">
        <v>5099</v>
      </c>
      <c r="F124" s="25">
        <v>205.62737300000001</v>
      </c>
      <c r="G124" s="26">
        <v>0.113697401125901</v>
      </c>
      <c r="H124" s="29"/>
      <c r="J124" s="1"/>
      <c r="K124" s="1"/>
      <c r="L124" s="1"/>
      <c r="M124" s="1"/>
      <c r="N124" s="1"/>
      <c r="O124" s="1"/>
      <c r="P124" s="1"/>
    </row>
    <row r="125" spans="2:16" ht="12" x14ac:dyDescent="0.2">
      <c r="B125" s="24" t="s">
        <v>902</v>
      </c>
      <c r="C125" s="24" t="s">
        <v>903</v>
      </c>
      <c r="D125" s="24" t="s">
        <v>809</v>
      </c>
      <c r="E125" s="28">
        <v>4297</v>
      </c>
      <c r="F125" s="25">
        <v>203.144972</v>
      </c>
      <c r="G125" s="26">
        <v>0.112324808857982</v>
      </c>
      <c r="H125" s="29"/>
      <c r="J125" s="1"/>
      <c r="K125" s="1"/>
      <c r="L125" s="1"/>
      <c r="M125" s="1"/>
      <c r="N125" s="1"/>
      <c r="O125" s="1"/>
      <c r="P125" s="1"/>
    </row>
    <row r="126" spans="2:16" ht="12" x14ac:dyDescent="0.2">
      <c r="B126" s="24" t="s">
        <v>1306</v>
      </c>
      <c r="C126" s="24" t="s">
        <v>1307</v>
      </c>
      <c r="D126" s="24" t="s">
        <v>252</v>
      </c>
      <c r="E126" s="28">
        <v>23142</v>
      </c>
      <c r="F126" s="25">
        <v>191.95131900000001</v>
      </c>
      <c r="G126" s="26">
        <v>0.106135510047044</v>
      </c>
      <c r="H126" s="29"/>
      <c r="J126" s="1"/>
      <c r="K126" s="1"/>
      <c r="L126" s="1"/>
      <c r="M126" s="1"/>
      <c r="N126" s="1"/>
      <c r="O126" s="1"/>
      <c r="P126" s="1"/>
    </row>
    <row r="127" spans="2:16" ht="12" x14ac:dyDescent="0.2">
      <c r="B127" s="24" t="s">
        <v>1057</v>
      </c>
      <c r="C127" s="24" t="s">
        <v>1058</v>
      </c>
      <c r="D127" s="24" t="s">
        <v>448</v>
      </c>
      <c r="E127" s="28">
        <v>22831</v>
      </c>
      <c r="F127" s="25">
        <v>185.798678</v>
      </c>
      <c r="G127" s="26">
        <v>0.102733534514532</v>
      </c>
      <c r="H127" s="29"/>
      <c r="J127" s="1"/>
      <c r="K127" s="1"/>
      <c r="L127" s="1"/>
      <c r="M127" s="1"/>
      <c r="N127" s="1"/>
      <c r="O127" s="1"/>
      <c r="P127" s="1"/>
    </row>
    <row r="128" spans="2:16" ht="12" x14ac:dyDescent="0.2">
      <c r="B128" s="24" t="s">
        <v>730</v>
      </c>
      <c r="C128" s="24" t="s">
        <v>731</v>
      </c>
      <c r="D128" s="24" t="s">
        <v>259</v>
      </c>
      <c r="E128" s="28">
        <v>7423</v>
      </c>
      <c r="F128" s="25">
        <v>182.99921900000001</v>
      </c>
      <c r="G128" s="26">
        <v>0.101185631585974</v>
      </c>
      <c r="H128" s="29"/>
      <c r="J128" s="1"/>
      <c r="K128" s="1"/>
      <c r="L128" s="1"/>
      <c r="M128" s="1"/>
      <c r="N128" s="1"/>
      <c r="O128" s="1"/>
      <c r="P128" s="1"/>
    </row>
    <row r="129" spans="2:16" ht="12" x14ac:dyDescent="0.2">
      <c r="B129" s="24" t="s">
        <v>1308</v>
      </c>
      <c r="C129" s="24" t="s">
        <v>1309</v>
      </c>
      <c r="D129" s="24" t="s">
        <v>281</v>
      </c>
      <c r="E129" s="28">
        <v>136204</v>
      </c>
      <c r="F129" s="25">
        <v>175.77126200000001</v>
      </c>
      <c r="G129" s="26">
        <v>9.7189082321349499E-2</v>
      </c>
      <c r="H129" s="29"/>
      <c r="J129" s="1"/>
      <c r="K129" s="1"/>
      <c r="L129" s="1"/>
      <c r="M129" s="1"/>
      <c r="N129" s="1"/>
      <c r="O129" s="1"/>
      <c r="P129" s="1"/>
    </row>
    <row r="130" spans="2:16" ht="12" x14ac:dyDescent="0.2">
      <c r="B130" s="24" t="s">
        <v>1310</v>
      </c>
      <c r="C130" s="24" t="s">
        <v>1311</v>
      </c>
      <c r="D130" s="24" t="s">
        <v>809</v>
      </c>
      <c r="E130" s="28">
        <v>26238</v>
      </c>
      <c r="F130" s="25">
        <v>157.454238</v>
      </c>
      <c r="G130" s="26">
        <v>8.70610629104282E-2</v>
      </c>
      <c r="H130" s="29"/>
      <c r="J130" s="1"/>
      <c r="K130" s="1"/>
      <c r="L130" s="1"/>
      <c r="M130" s="1"/>
      <c r="N130" s="1"/>
      <c r="O130" s="1"/>
      <c r="P130" s="1"/>
    </row>
    <row r="131" spans="2:16" ht="12" x14ac:dyDescent="0.2">
      <c r="B131" s="24" t="s">
        <v>242</v>
      </c>
      <c r="C131" s="24" t="s">
        <v>243</v>
      </c>
      <c r="D131" s="24" t="s">
        <v>218</v>
      </c>
      <c r="E131" s="28">
        <v>7450</v>
      </c>
      <c r="F131" s="25">
        <v>156.6139</v>
      </c>
      <c r="G131" s="26">
        <v>8.6596415401327703E-2</v>
      </c>
      <c r="H131" s="29"/>
      <c r="J131" s="1"/>
      <c r="K131" s="1"/>
      <c r="L131" s="1"/>
      <c r="M131" s="1"/>
      <c r="N131" s="1"/>
      <c r="O131" s="1"/>
      <c r="P131" s="1"/>
    </row>
    <row r="132" spans="2:16" ht="12" x14ac:dyDescent="0.2">
      <c r="B132" s="24" t="s">
        <v>1312</v>
      </c>
      <c r="C132" s="24" t="s">
        <v>1313</v>
      </c>
      <c r="D132" s="24" t="s">
        <v>311</v>
      </c>
      <c r="E132" s="28">
        <v>11640</v>
      </c>
      <c r="F132" s="25">
        <v>150.35388</v>
      </c>
      <c r="G132" s="26">
        <v>8.3135066872617194E-2</v>
      </c>
      <c r="H132" s="29"/>
      <c r="J132" s="1"/>
      <c r="K132" s="1"/>
      <c r="L132" s="1"/>
      <c r="M132" s="1"/>
      <c r="N132" s="1"/>
      <c r="O132" s="1"/>
      <c r="P132" s="1"/>
    </row>
    <row r="133" spans="2:16" ht="12" x14ac:dyDescent="0.2">
      <c r="B133" s="24" t="s">
        <v>250</v>
      </c>
      <c r="C133" s="24" t="s">
        <v>251</v>
      </c>
      <c r="D133" s="24" t="s">
        <v>252</v>
      </c>
      <c r="E133" s="28">
        <v>42791</v>
      </c>
      <c r="F133" s="25">
        <v>135.9684025</v>
      </c>
      <c r="G133" s="26">
        <v>7.5180914748594604E-2</v>
      </c>
      <c r="H133" s="29"/>
      <c r="J133" s="1"/>
      <c r="K133" s="1"/>
      <c r="L133" s="1"/>
      <c r="M133" s="1"/>
      <c r="N133" s="1"/>
      <c r="O133" s="1"/>
      <c r="P133" s="1"/>
    </row>
    <row r="134" spans="2:16" ht="12" x14ac:dyDescent="0.2">
      <c r="B134" s="24" t="s">
        <v>1047</v>
      </c>
      <c r="C134" s="24" t="s">
        <v>1048</v>
      </c>
      <c r="D134" s="24" t="s">
        <v>249</v>
      </c>
      <c r="E134" s="28">
        <v>80303</v>
      </c>
      <c r="F134" s="25">
        <v>131.71298060000001</v>
      </c>
      <c r="G134" s="26">
        <v>7.2827967260789897E-2</v>
      </c>
      <c r="H134" s="29"/>
      <c r="J134" s="1"/>
      <c r="K134" s="1"/>
      <c r="L134" s="1"/>
      <c r="M134" s="1"/>
      <c r="N134" s="1"/>
      <c r="O134" s="1"/>
      <c r="P134" s="1"/>
    </row>
    <row r="135" spans="2:16" ht="12" x14ac:dyDescent="0.2">
      <c r="B135" s="24" t="s">
        <v>836</v>
      </c>
      <c r="C135" s="24" t="s">
        <v>837</v>
      </c>
      <c r="D135" s="24" t="s">
        <v>476</v>
      </c>
      <c r="E135" s="28">
        <v>11956</v>
      </c>
      <c r="F135" s="25">
        <v>115.46507</v>
      </c>
      <c r="G135" s="26">
        <v>6.3844021290979797E-2</v>
      </c>
      <c r="H135" s="29"/>
      <c r="J135" s="1"/>
      <c r="K135" s="1"/>
      <c r="L135" s="1"/>
      <c r="M135" s="1"/>
      <c r="N135" s="1"/>
      <c r="O135" s="1"/>
      <c r="P135" s="1"/>
    </row>
    <row r="136" spans="2:16" ht="12" x14ac:dyDescent="0.2">
      <c r="B136" s="24" t="s">
        <v>1314</v>
      </c>
      <c r="C136" s="24" t="s">
        <v>1315</v>
      </c>
      <c r="D136" s="24" t="s">
        <v>364</v>
      </c>
      <c r="E136" s="28">
        <v>41041</v>
      </c>
      <c r="F136" s="25">
        <v>110.6670565</v>
      </c>
      <c r="G136" s="26">
        <v>6.1191059005083197E-2</v>
      </c>
      <c r="H136" s="29"/>
      <c r="J136" s="1"/>
      <c r="K136" s="1"/>
      <c r="L136" s="1"/>
      <c r="M136" s="1"/>
      <c r="N136" s="1"/>
      <c r="O136" s="1"/>
      <c r="P136" s="1"/>
    </row>
    <row r="137" spans="2:16" ht="12" x14ac:dyDescent="0.2">
      <c r="B137" s="24" t="s">
        <v>634</v>
      </c>
      <c r="C137" s="24" t="s">
        <v>635</v>
      </c>
      <c r="D137" s="24" t="s">
        <v>267</v>
      </c>
      <c r="E137" s="28">
        <v>19568</v>
      </c>
      <c r="F137" s="25">
        <v>99.738095999999999</v>
      </c>
      <c r="G137" s="26">
        <v>5.5148116435089697E-2</v>
      </c>
      <c r="H137" s="29"/>
      <c r="J137" s="1"/>
      <c r="K137" s="1"/>
      <c r="L137" s="1"/>
      <c r="M137" s="1"/>
      <c r="N137" s="1"/>
      <c r="O137" s="1"/>
      <c r="P137" s="1"/>
    </row>
    <row r="138" spans="2:16" ht="12" x14ac:dyDescent="0.2">
      <c r="B138" s="24" t="s">
        <v>1316</v>
      </c>
      <c r="C138" s="24" t="s">
        <v>1317</v>
      </c>
      <c r="D138" s="24" t="s">
        <v>273</v>
      </c>
      <c r="E138" s="28">
        <v>7849</v>
      </c>
      <c r="F138" s="25">
        <v>94.392073999999994</v>
      </c>
      <c r="G138" s="26">
        <v>5.2192144188331097E-2</v>
      </c>
      <c r="H138" s="29"/>
      <c r="J138" s="1"/>
      <c r="K138" s="1"/>
      <c r="L138" s="1"/>
      <c r="M138" s="1"/>
      <c r="N138" s="1"/>
      <c r="O138" s="1"/>
      <c r="P138" s="1"/>
    </row>
    <row r="139" spans="2:16" ht="12" x14ac:dyDescent="0.2">
      <c r="B139" s="24" t="s">
        <v>1318</v>
      </c>
      <c r="C139" s="24" t="s">
        <v>1319</v>
      </c>
      <c r="D139" s="24" t="s">
        <v>221</v>
      </c>
      <c r="E139" s="28">
        <v>6301</v>
      </c>
      <c r="F139" s="25">
        <v>77.930768</v>
      </c>
      <c r="G139" s="26">
        <v>4.3090205647598898E-2</v>
      </c>
      <c r="H139" s="29"/>
      <c r="J139" s="1"/>
      <c r="K139" s="1"/>
      <c r="L139" s="1"/>
      <c r="M139" s="1"/>
      <c r="N139" s="1"/>
      <c r="O139" s="1"/>
      <c r="P139" s="1"/>
    </row>
    <row r="140" spans="2:16" ht="12" x14ac:dyDescent="0.2">
      <c r="B140" s="24" t="s">
        <v>816</v>
      </c>
      <c r="C140" s="24" t="s">
        <v>817</v>
      </c>
      <c r="D140" s="24" t="s">
        <v>249</v>
      </c>
      <c r="E140" s="28">
        <v>39229</v>
      </c>
      <c r="F140" s="25">
        <v>73.981971099999996</v>
      </c>
      <c r="G140" s="26">
        <v>4.09068001089598E-2</v>
      </c>
      <c r="H140" s="29"/>
      <c r="J140" s="1"/>
      <c r="K140" s="1"/>
      <c r="L140" s="1"/>
      <c r="M140" s="1"/>
      <c r="N140" s="1"/>
      <c r="O140" s="1"/>
      <c r="P140" s="1"/>
    </row>
    <row r="141" spans="2:16" ht="12" x14ac:dyDescent="0.2">
      <c r="B141" s="24" t="s">
        <v>1161</v>
      </c>
      <c r="C141" s="24" t="s">
        <v>1162</v>
      </c>
      <c r="D141" s="24" t="s">
        <v>578</v>
      </c>
      <c r="E141" s="28">
        <v>15571</v>
      </c>
      <c r="F141" s="25">
        <v>67.8973455</v>
      </c>
      <c r="G141" s="26">
        <v>3.7542432284525598E-2</v>
      </c>
      <c r="H141" s="29"/>
      <c r="J141" s="1"/>
      <c r="K141" s="1"/>
      <c r="L141" s="1"/>
      <c r="M141" s="1"/>
      <c r="N141" s="1"/>
      <c r="O141" s="1"/>
      <c r="P141" s="1"/>
    </row>
    <row r="142" spans="2:16" ht="12" x14ac:dyDescent="0.2">
      <c r="B142" s="24" t="s">
        <v>1212</v>
      </c>
      <c r="C142" s="24" t="s">
        <v>1213</v>
      </c>
      <c r="D142" s="24" t="s">
        <v>578</v>
      </c>
      <c r="E142" s="28">
        <v>229150</v>
      </c>
      <c r="F142" s="25">
        <v>65.605644999999996</v>
      </c>
      <c r="G142" s="26">
        <v>3.6275283912168999E-2</v>
      </c>
      <c r="H142" s="29"/>
      <c r="J142" s="1"/>
      <c r="K142" s="1"/>
      <c r="L142" s="1"/>
      <c r="M142" s="1"/>
      <c r="N142" s="1"/>
      <c r="O142" s="1"/>
      <c r="P142" s="1"/>
    </row>
    <row r="143" spans="2:16" ht="12" x14ac:dyDescent="0.2">
      <c r="B143" s="24" t="s">
        <v>1196</v>
      </c>
      <c r="C143" s="24" t="s">
        <v>1197</v>
      </c>
      <c r="D143" s="24" t="s">
        <v>404</v>
      </c>
      <c r="E143" s="28">
        <v>21181</v>
      </c>
      <c r="F143" s="25">
        <v>60.217582999999998</v>
      </c>
      <c r="G143" s="26">
        <v>3.3296066517288198E-2</v>
      </c>
      <c r="H143" s="29"/>
      <c r="J143" s="1"/>
      <c r="K143" s="1"/>
      <c r="L143" s="1"/>
      <c r="M143" s="1"/>
      <c r="N143" s="1"/>
      <c r="O143" s="1"/>
      <c r="P143" s="1"/>
    </row>
    <row r="144" spans="2:16" ht="12" x14ac:dyDescent="0.2">
      <c r="B144" s="24" t="s">
        <v>1081</v>
      </c>
      <c r="C144" s="24" t="s">
        <v>1082</v>
      </c>
      <c r="D144" s="24" t="s">
        <v>407</v>
      </c>
      <c r="E144" s="28">
        <v>7980</v>
      </c>
      <c r="F144" s="25">
        <v>55.058010000000003</v>
      </c>
      <c r="G144" s="26">
        <v>3.0443187387137801E-2</v>
      </c>
      <c r="H144" s="29"/>
      <c r="J144" s="1"/>
      <c r="K144" s="1"/>
      <c r="L144" s="1"/>
      <c r="M144" s="1"/>
      <c r="N144" s="1"/>
      <c r="O144" s="1"/>
      <c r="P144" s="1"/>
    </row>
    <row r="145" spans="2:16" ht="12" x14ac:dyDescent="0.2">
      <c r="B145" s="24" t="s">
        <v>1248</v>
      </c>
      <c r="C145" s="24" t="s">
        <v>1249</v>
      </c>
      <c r="D145" s="24" t="s">
        <v>364</v>
      </c>
      <c r="E145" s="28">
        <v>11594</v>
      </c>
      <c r="F145" s="25">
        <v>50.283177999999999</v>
      </c>
      <c r="G145" s="26">
        <v>2.78030428320022E-2</v>
      </c>
      <c r="H145" s="29"/>
      <c r="J145" s="1"/>
      <c r="K145" s="1"/>
      <c r="L145" s="1"/>
      <c r="M145" s="1"/>
      <c r="N145" s="1"/>
      <c r="O145" s="1"/>
      <c r="P145" s="1"/>
    </row>
    <row r="146" spans="2:16" ht="12" x14ac:dyDescent="0.2">
      <c r="B146" s="24" t="s">
        <v>1320</v>
      </c>
      <c r="C146" s="24" t="s">
        <v>1321</v>
      </c>
      <c r="D146" s="24" t="s">
        <v>399</v>
      </c>
      <c r="E146" s="28">
        <v>49446</v>
      </c>
      <c r="F146" s="25">
        <v>46.756137600000002</v>
      </c>
      <c r="G146" s="26">
        <v>2.58528388231903E-2</v>
      </c>
      <c r="H146" s="29"/>
      <c r="J146" s="1"/>
      <c r="K146" s="1"/>
      <c r="L146" s="1"/>
      <c r="M146" s="1"/>
      <c r="N146" s="1"/>
      <c r="O146" s="1"/>
      <c r="P146" s="1"/>
    </row>
    <row r="147" spans="2:16" ht="12" x14ac:dyDescent="0.2">
      <c r="B147" s="24" t="s">
        <v>952</v>
      </c>
      <c r="C147" s="24" t="s">
        <v>953</v>
      </c>
      <c r="D147" s="24" t="s">
        <v>264</v>
      </c>
      <c r="E147" s="28">
        <v>7052</v>
      </c>
      <c r="F147" s="25">
        <v>43.637776000000002</v>
      </c>
      <c r="G147" s="26">
        <v>2.4128605300590099E-2</v>
      </c>
      <c r="H147" s="29"/>
      <c r="J147" s="1"/>
      <c r="K147" s="1"/>
      <c r="L147" s="1"/>
      <c r="M147" s="1"/>
      <c r="N147" s="1"/>
      <c r="O147" s="1"/>
      <c r="P147" s="1"/>
    </row>
    <row r="148" spans="2:16" ht="12" x14ac:dyDescent="0.2">
      <c r="B148" s="23" t="s">
        <v>56</v>
      </c>
      <c r="C148" s="23"/>
      <c r="D148" s="23"/>
      <c r="E148" s="23"/>
      <c r="F148" s="30">
        <f>SUM(F7:F147)</f>
        <v>174997.18138990007</v>
      </c>
      <c r="G148" s="31">
        <f>SUM(G7:G147)</f>
        <v>96.761070465017909</v>
      </c>
      <c r="H148" s="23"/>
      <c r="J148" s="1"/>
      <c r="K148" s="1"/>
      <c r="L148" s="1"/>
      <c r="M148" s="1"/>
      <c r="N148" s="1"/>
      <c r="O148" s="1"/>
      <c r="P148" s="1"/>
    </row>
    <row r="149" spans="2:16" ht="12" x14ac:dyDescent="0.2">
      <c r="B149" s="23" t="s">
        <v>342</v>
      </c>
      <c r="C149" s="23"/>
      <c r="D149" s="23"/>
      <c r="E149" s="23"/>
      <c r="F149" s="51" t="s">
        <v>343</v>
      </c>
      <c r="G149" s="52" t="s">
        <v>343</v>
      </c>
      <c r="H149" s="23"/>
      <c r="J149" s="1"/>
      <c r="K149" s="1"/>
      <c r="L149" s="1"/>
      <c r="M149" s="1"/>
      <c r="N149" s="1"/>
      <c r="O149" s="1"/>
      <c r="P149" s="1"/>
    </row>
    <row r="150" spans="2:16" ht="12" x14ac:dyDescent="0.2">
      <c r="B150" s="23" t="s">
        <v>56</v>
      </c>
      <c r="C150" s="23"/>
      <c r="D150" s="23"/>
      <c r="E150" s="23"/>
      <c r="F150" s="47" t="s">
        <v>343</v>
      </c>
      <c r="G150" s="48" t="s">
        <v>343</v>
      </c>
      <c r="H150" s="23"/>
      <c r="J150" s="1"/>
      <c r="K150" s="1"/>
      <c r="L150" s="1"/>
      <c r="M150" s="1"/>
      <c r="N150" s="1"/>
      <c r="O150" s="1"/>
      <c r="P150" s="1"/>
    </row>
    <row r="151" spans="2:16" ht="12" x14ac:dyDescent="0.2">
      <c r="B151" s="35" t="s">
        <v>82</v>
      </c>
      <c r="C151" s="35"/>
      <c r="D151" s="35"/>
      <c r="E151" s="35"/>
      <c r="F151" s="36">
        <f>F148</f>
        <v>174997.18138990007</v>
      </c>
      <c r="G151" s="37">
        <f>G148</f>
        <v>96.761070465017909</v>
      </c>
      <c r="H151" s="23"/>
      <c r="J151" s="1"/>
      <c r="K151" s="1"/>
      <c r="L151" s="1"/>
      <c r="M151" s="1"/>
      <c r="N151" s="1"/>
      <c r="O151" s="1"/>
      <c r="P151" s="1"/>
    </row>
    <row r="152" spans="2:16" ht="12" x14ac:dyDescent="0.2">
      <c r="B152" s="23" t="s">
        <v>87</v>
      </c>
      <c r="C152" s="23"/>
      <c r="D152" s="23"/>
      <c r="E152" s="23"/>
      <c r="F152" s="30">
        <v>8180.0297946000001</v>
      </c>
      <c r="G152" s="31">
        <v>4.52297821641897</v>
      </c>
      <c r="H152" s="38">
        <v>5.4149999999999997E-2</v>
      </c>
      <c r="J152" s="1"/>
      <c r="K152" s="1"/>
      <c r="L152" s="1"/>
      <c r="M152" s="1"/>
      <c r="N152" s="1"/>
      <c r="O152" s="1"/>
      <c r="P152" s="1"/>
    </row>
    <row r="153" spans="2:16" ht="12" x14ac:dyDescent="0.2">
      <c r="B153" s="23"/>
      <c r="C153" s="23"/>
      <c r="D153" s="23"/>
      <c r="E153" s="23"/>
      <c r="F153" s="84"/>
      <c r="G153" s="85"/>
      <c r="H153" s="38"/>
      <c r="J153" s="1"/>
      <c r="K153" s="1"/>
      <c r="L153" s="1"/>
      <c r="M153" s="1"/>
      <c r="N153" s="1"/>
      <c r="O153" s="1"/>
      <c r="P153" s="1"/>
    </row>
    <row r="154" spans="2:16" ht="12" x14ac:dyDescent="0.2">
      <c r="B154" s="23" t="s">
        <v>1341</v>
      </c>
      <c r="C154" s="23"/>
      <c r="D154" s="23"/>
      <c r="E154" s="23"/>
      <c r="F154" s="84">
        <f>120000000/100000</f>
        <v>1200</v>
      </c>
      <c r="G154" s="85">
        <f>ROUND(F154/F156*100,2)</f>
        <v>0.66</v>
      </c>
      <c r="H154" s="24"/>
      <c r="J154" s="1"/>
      <c r="K154" s="1"/>
      <c r="L154" s="1"/>
      <c r="M154" s="1"/>
      <c r="N154" s="1"/>
      <c r="O154" s="1"/>
      <c r="P154" s="1"/>
    </row>
    <row r="155" spans="2:16" ht="12" x14ac:dyDescent="0.2">
      <c r="B155" s="43" t="s">
        <v>89</v>
      </c>
      <c r="C155" s="43"/>
      <c r="D155" s="43"/>
      <c r="E155" s="43"/>
      <c r="F155" s="30">
        <f>F156-(F148+F152+F154)</f>
        <v>-3522.2655448000878</v>
      </c>
      <c r="G155" s="31">
        <f>G156-(G148+G152+G154)</f>
        <v>-1.9440486814368683</v>
      </c>
      <c r="H155" s="23"/>
      <c r="J155" s="1"/>
      <c r="K155" s="1"/>
      <c r="L155" s="1"/>
      <c r="M155" s="1"/>
      <c r="N155" s="1"/>
      <c r="O155" s="1"/>
      <c r="P155" s="1"/>
    </row>
    <row r="156" spans="2:16" ht="12" x14ac:dyDescent="0.2">
      <c r="B156" s="39" t="s">
        <v>88</v>
      </c>
      <c r="C156" s="39"/>
      <c r="D156" s="39"/>
      <c r="E156" s="39"/>
      <c r="F156" s="40">
        <v>180854.94563969999</v>
      </c>
      <c r="G156" s="41">
        <v>100</v>
      </c>
      <c r="H156" s="53"/>
      <c r="J156" s="1"/>
      <c r="K156" s="1"/>
      <c r="L156" s="1"/>
      <c r="M156" s="1"/>
      <c r="N156" s="1"/>
      <c r="O156" s="1"/>
      <c r="P156" s="1"/>
    </row>
    <row r="157" spans="2:16" ht="12" x14ac:dyDescent="0.2">
      <c r="J157" s="1"/>
      <c r="K157" s="1"/>
      <c r="L157" s="1"/>
      <c r="M157" s="1"/>
      <c r="N157" s="1"/>
      <c r="O157" s="1"/>
      <c r="P157" s="1"/>
    </row>
    <row r="158" spans="2:16" ht="12" x14ac:dyDescent="0.2">
      <c r="B158" s="74" t="s">
        <v>1334</v>
      </c>
      <c r="F158" s="6"/>
      <c r="G158" s="6"/>
      <c r="J158" s="1"/>
      <c r="K158" s="1"/>
      <c r="L158" s="1"/>
      <c r="M158" s="1"/>
      <c r="N158" s="1"/>
      <c r="O158" s="1"/>
      <c r="P158" s="1"/>
    </row>
    <row r="159" spans="2:16" s="64" customFormat="1" ht="12" x14ac:dyDescent="0.2">
      <c r="B159" s="81"/>
      <c r="J159" s="1"/>
      <c r="K159" s="1"/>
      <c r="L159" s="1"/>
      <c r="M159" s="1"/>
      <c r="N159" s="1"/>
      <c r="O159" s="1"/>
      <c r="P159" s="1"/>
    </row>
    <row r="160" spans="2:16" ht="22.5" x14ac:dyDescent="0.2">
      <c r="B160" s="82" t="s">
        <v>7</v>
      </c>
      <c r="C160" s="82" t="s">
        <v>1340</v>
      </c>
      <c r="D160" s="83" t="s">
        <v>344</v>
      </c>
      <c r="E160" s="83" t="s">
        <v>0</v>
      </c>
      <c r="F160" s="20" t="s">
        <v>4</v>
      </c>
      <c r="G160" s="21" t="s">
        <v>5</v>
      </c>
      <c r="J160" s="1"/>
      <c r="K160" s="1"/>
      <c r="L160" s="1"/>
      <c r="M160" s="1"/>
      <c r="N160" s="1"/>
      <c r="O160" s="1"/>
      <c r="P160" s="1"/>
    </row>
    <row r="161" spans="2:16" ht="12" x14ac:dyDescent="0.2">
      <c r="B161" s="75" t="s">
        <v>1343</v>
      </c>
      <c r="C161" s="76" t="s">
        <v>1339</v>
      </c>
      <c r="D161" s="76"/>
      <c r="E161" s="76">
        <v>26775</v>
      </c>
      <c r="F161" s="77">
        <f>693619762.5/100000</f>
        <v>6936.1976249999998</v>
      </c>
      <c r="G161" s="78">
        <v>3.8352269552076956</v>
      </c>
      <c r="J161" s="1"/>
      <c r="K161" s="1"/>
      <c r="L161" s="1"/>
      <c r="M161" s="1"/>
      <c r="N161" s="1"/>
      <c r="O161" s="1"/>
      <c r="P161" s="1"/>
    </row>
    <row r="162" spans="2:16" ht="12" x14ac:dyDescent="0.2">
      <c r="B162" s="79"/>
      <c r="C162" s="79"/>
      <c r="D162" s="79"/>
      <c r="E162" s="79"/>
      <c r="F162" s="80">
        <f>SUM(F161)</f>
        <v>6936.1976249999998</v>
      </c>
      <c r="G162" s="80">
        <f>SUM(G161)</f>
        <v>3.8352269552076956</v>
      </c>
      <c r="J162" s="1"/>
      <c r="K162" s="1"/>
      <c r="L162" s="1"/>
      <c r="M162" s="1"/>
      <c r="N162" s="1"/>
      <c r="O162" s="1"/>
      <c r="P162" s="1"/>
    </row>
    <row r="163" spans="2:16" ht="12" x14ac:dyDescent="0.2">
      <c r="J163" s="1"/>
      <c r="K163" s="1"/>
      <c r="L163" s="1"/>
      <c r="M163" s="1"/>
      <c r="N163" s="1"/>
      <c r="O163" s="1"/>
      <c r="P163" s="1"/>
    </row>
    <row r="164" spans="2:16" ht="12" x14ac:dyDescent="0.2">
      <c r="B164" s="16" t="s">
        <v>91</v>
      </c>
      <c r="J164" s="1"/>
      <c r="K164" s="1"/>
      <c r="L164" s="1"/>
      <c r="M164" s="1"/>
      <c r="N164" s="1"/>
      <c r="O164" s="1"/>
      <c r="P164" s="1"/>
    </row>
    <row r="165" spans="2:16" ht="12" x14ac:dyDescent="0.2">
      <c r="J165" s="1"/>
      <c r="K165" s="1"/>
      <c r="L165" s="1"/>
      <c r="M165" s="1"/>
      <c r="N165" s="1"/>
      <c r="O165" s="1"/>
      <c r="P165" s="1"/>
    </row>
    <row r="166" spans="2:16" ht="12" x14ac:dyDescent="0.2">
      <c r="B166" s="16" t="s">
        <v>93</v>
      </c>
      <c r="J166" s="1"/>
      <c r="K166" s="1"/>
      <c r="L166" s="1"/>
      <c r="M166" s="1"/>
      <c r="N166" s="1"/>
      <c r="O166" s="1"/>
      <c r="P166" s="1"/>
    </row>
    <row r="167" spans="2:16" ht="12" x14ac:dyDescent="0.2">
      <c r="J167" s="1"/>
      <c r="K167" s="1"/>
      <c r="L167" s="1"/>
      <c r="M167" s="1"/>
      <c r="N167" s="1"/>
      <c r="O167" s="1"/>
      <c r="P167" s="1"/>
    </row>
    <row r="168" spans="2:16" ht="12" x14ac:dyDescent="0.2">
      <c r="B168" s="16" t="s">
        <v>94</v>
      </c>
      <c r="J168" s="1"/>
      <c r="K168" s="1"/>
      <c r="L168" s="1"/>
      <c r="M168" s="1"/>
      <c r="N168" s="1"/>
      <c r="O168" s="1"/>
      <c r="P168" s="1"/>
    </row>
    <row r="169" spans="2:16" ht="12" x14ac:dyDescent="0.2">
      <c r="J169" s="1"/>
      <c r="K169" s="1"/>
      <c r="L169" s="1"/>
      <c r="M169" s="1"/>
      <c r="N169" s="1"/>
      <c r="O169" s="1"/>
      <c r="P169" s="1"/>
    </row>
    <row r="170" spans="2:16" ht="12" x14ac:dyDescent="0.2">
      <c r="J170" s="1"/>
      <c r="K170" s="1"/>
      <c r="L170" s="1"/>
      <c r="M170" s="1"/>
      <c r="N170" s="1"/>
      <c r="O170" s="1"/>
      <c r="P170" s="1"/>
    </row>
    <row r="171" spans="2:16" ht="12" x14ac:dyDescent="0.2">
      <c r="J171" s="1"/>
      <c r="K171" s="1"/>
      <c r="L171" s="1"/>
      <c r="M171" s="1"/>
      <c r="N171" s="1"/>
      <c r="O171" s="1"/>
      <c r="P171" s="1"/>
    </row>
    <row r="172" spans="2:16" ht="12" x14ac:dyDescent="0.2">
      <c r="J172" s="1"/>
      <c r="K172" s="1"/>
      <c r="L172" s="1"/>
      <c r="M172" s="1"/>
      <c r="N172" s="1"/>
      <c r="O172" s="1"/>
      <c r="P172" s="1"/>
    </row>
    <row r="173" spans="2:16" ht="12" x14ac:dyDescent="0.2">
      <c r="J173" s="1"/>
      <c r="K173" s="1"/>
      <c r="L173" s="1"/>
      <c r="M173" s="1"/>
      <c r="N173" s="1"/>
      <c r="O173" s="1"/>
      <c r="P173" s="1"/>
    </row>
    <row r="174" spans="2:16" ht="12" x14ac:dyDescent="0.2">
      <c r="J174" s="1"/>
      <c r="K174" s="1"/>
      <c r="L174" s="1"/>
      <c r="M174" s="1"/>
      <c r="N174" s="1"/>
      <c r="O174" s="1"/>
      <c r="P174" s="1"/>
    </row>
    <row r="175" spans="2:16" ht="12" x14ac:dyDescent="0.2">
      <c r="J175" s="1"/>
      <c r="K175" s="1"/>
      <c r="L175" s="1"/>
      <c r="M175" s="1"/>
      <c r="N175" s="1"/>
      <c r="O175" s="1"/>
      <c r="P175" s="1"/>
    </row>
    <row r="176" spans="2:16" ht="12" x14ac:dyDescent="0.2">
      <c r="J176" s="1"/>
      <c r="K176" s="1"/>
      <c r="L176" s="1"/>
      <c r="M176" s="1"/>
      <c r="N176" s="1"/>
      <c r="O176" s="1"/>
      <c r="P176" s="1"/>
    </row>
    <row r="177" spans="2:16" ht="12" x14ac:dyDescent="0.2">
      <c r="J177" s="1"/>
      <c r="K177" s="1"/>
      <c r="L177" s="1"/>
      <c r="M177" s="1"/>
      <c r="N177" s="1"/>
      <c r="O177" s="1"/>
      <c r="P177" s="1"/>
    </row>
    <row r="178" spans="2:16" ht="12" x14ac:dyDescent="0.2">
      <c r="J178" s="1"/>
      <c r="K178" s="1"/>
      <c r="L178" s="1"/>
      <c r="M178" s="1"/>
      <c r="N178" s="1"/>
      <c r="O178" s="1"/>
      <c r="P178" s="1"/>
    </row>
    <row r="179" spans="2:16" ht="12" x14ac:dyDescent="0.2">
      <c r="J179" s="1"/>
      <c r="K179" s="1"/>
      <c r="L179" s="1"/>
      <c r="M179" s="1"/>
      <c r="N179" s="1"/>
      <c r="O179" s="1"/>
      <c r="P179" s="1"/>
    </row>
    <row r="180" spans="2:16" ht="12" x14ac:dyDescent="0.2">
      <c r="J180" s="1"/>
      <c r="K180" s="1"/>
      <c r="L180" s="1"/>
      <c r="M180" s="1"/>
      <c r="N180" s="1"/>
      <c r="O180" s="1"/>
      <c r="P180" s="1"/>
    </row>
    <row r="181" spans="2:16" ht="12" x14ac:dyDescent="0.2">
      <c r="J181" s="1"/>
      <c r="K181" s="1"/>
      <c r="L181" s="1"/>
      <c r="M181" s="1"/>
      <c r="N181" s="1"/>
      <c r="O181" s="1"/>
      <c r="P181" s="1"/>
    </row>
    <row r="182" spans="2:16" ht="12" x14ac:dyDescent="0.2">
      <c r="J182" s="1"/>
      <c r="K182" s="1"/>
      <c r="L182" s="1"/>
      <c r="M182" s="1"/>
      <c r="N182" s="1"/>
      <c r="O182" s="1"/>
      <c r="P182" s="1"/>
    </row>
    <row r="183" spans="2:16" ht="12" x14ac:dyDescent="0.2">
      <c r="J183" s="1"/>
      <c r="K183" s="1"/>
      <c r="L183" s="1"/>
      <c r="M183" s="1"/>
      <c r="N183" s="1"/>
      <c r="O183" s="1"/>
      <c r="P183" s="1"/>
    </row>
    <row r="184" spans="2:16" ht="12" x14ac:dyDescent="0.2">
      <c r="J184" s="1"/>
      <c r="K184" s="1"/>
      <c r="L184" s="1"/>
      <c r="M184" s="1"/>
      <c r="N184" s="1"/>
      <c r="O184" s="1"/>
      <c r="P184" s="1"/>
    </row>
    <row r="185" spans="2:16" ht="12" x14ac:dyDescent="0.2">
      <c r="B185" s="60" t="s">
        <v>1323</v>
      </c>
      <c r="J185" s="1"/>
      <c r="K185" s="1"/>
      <c r="L185" s="1"/>
      <c r="M185" s="1"/>
      <c r="N185" s="1"/>
      <c r="O185" s="1"/>
      <c r="P185" s="1"/>
    </row>
    <row r="186" spans="2:16" ht="12" x14ac:dyDescent="0.2">
      <c r="B186" s="61" t="s">
        <v>1333</v>
      </c>
      <c r="J186" s="1"/>
      <c r="K186" s="1"/>
      <c r="L186" s="1"/>
      <c r="M186" s="1"/>
      <c r="N186" s="1"/>
      <c r="O186" s="1"/>
      <c r="P186" s="1"/>
    </row>
    <row r="187" spans="2:16" ht="12" x14ac:dyDescent="0.2">
      <c r="J187" s="1"/>
      <c r="K187" s="1"/>
      <c r="L187" s="1"/>
      <c r="M187" s="1"/>
      <c r="N187" s="1"/>
      <c r="O187" s="1"/>
      <c r="P187" s="1"/>
    </row>
    <row r="188" spans="2:16" ht="12" x14ac:dyDescent="0.2">
      <c r="J188" s="1"/>
      <c r="K188" s="1"/>
      <c r="L188" s="1"/>
      <c r="M188" s="1"/>
      <c r="N188" s="1"/>
      <c r="O188" s="1"/>
      <c r="P188" s="1"/>
    </row>
    <row r="189" spans="2:16" ht="12" x14ac:dyDescent="0.2">
      <c r="J189" s="1"/>
      <c r="K189" s="1"/>
      <c r="L189" s="1"/>
      <c r="M189" s="1"/>
      <c r="N189" s="1"/>
      <c r="O189" s="1"/>
      <c r="P189" s="1"/>
    </row>
    <row r="190" spans="2:16" ht="12" x14ac:dyDescent="0.2">
      <c r="J190" s="1"/>
      <c r="K190" s="1"/>
      <c r="L190" s="1"/>
      <c r="M190" s="1"/>
      <c r="N190" s="1"/>
      <c r="O190" s="1"/>
      <c r="P190" s="1"/>
    </row>
    <row r="191" spans="2:16" ht="12" x14ac:dyDescent="0.2">
      <c r="J191" s="1"/>
      <c r="K191" s="1"/>
      <c r="L191" s="1"/>
      <c r="M191" s="1"/>
      <c r="N191" s="1"/>
      <c r="O191" s="1"/>
      <c r="P191" s="1"/>
    </row>
    <row r="192" spans="2:16" ht="12" x14ac:dyDescent="0.2">
      <c r="J192" s="1"/>
      <c r="K192" s="1"/>
      <c r="L192" s="1"/>
      <c r="M192" s="1"/>
      <c r="N192" s="1"/>
      <c r="O192" s="1"/>
      <c r="P192" s="1"/>
    </row>
    <row r="193" spans="10:16" ht="12" x14ac:dyDescent="0.2">
      <c r="J193" s="1"/>
      <c r="K193" s="1"/>
      <c r="L193" s="1"/>
      <c r="M193" s="1"/>
      <c r="N193" s="1"/>
      <c r="O193" s="1"/>
      <c r="P193" s="1"/>
    </row>
    <row r="194" spans="10:16" ht="12" x14ac:dyDescent="0.2">
      <c r="J194" s="1"/>
      <c r="K194" s="1"/>
      <c r="L194" s="1"/>
      <c r="M194" s="1"/>
      <c r="N194" s="1"/>
      <c r="O194" s="1"/>
      <c r="P194" s="1"/>
    </row>
    <row r="195" spans="10:16" ht="12" x14ac:dyDescent="0.2">
      <c r="J195" s="1"/>
      <c r="K195" s="1"/>
      <c r="L195" s="1"/>
      <c r="M195" s="1"/>
      <c r="N195" s="1"/>
      <c r="O195" s="1"/>
      <c r="P195" s="1"/>
    </row>
    <row r="196" spans="10:16" ht="12" x14ac:dyDescent="0.2">
      <c r="J196" s="1"/>
      <c r="K196" s="1"/>
      <c r="L196" s="1"/>
      <c r="M196" s="1"/>
      <c r="N196" s="1"/>
      <c r="O196" s="1"/>
      <c r="P196" s="1"/>
    </row>
  </sheetData>
  <mergeCells count="1">
    <mergeCell ref="B1:C1"/>
  </mergeCells>
  <conditionalFormatting sqref="G1:G3 G5:G157 G163:G65544">
    <cfRule type="cellIs" dxfId="1" priority="5" stopIfTrue="1" operator="between">
      <formula>0.009</formula>
      <formula>-0.009</formula>
    </cfRule>
  </conditionalFormatting>
  <conditionalFormatting sqref="G161">
    <cfRule type="cellIs" dxfId="0" priority="1" stopIfTrue="1" operator="between">
      <formula>0.009</formula>
      <formula>-0.009</formula>
    </cfRule>
  </conditionalFormatting>
  <pageMargins left="0.7" right="0.7" top="0.75" bottom="0.75" header="0.3" footer="0.3"/>
  <pageSetup paperSize="9" scale="26" orientation="portrait" r:id="rId1"/>
  <headerFooter>
    <oddFooter>&amp;C&amp;1#&amp;"Calibri"&amp;10&amp;K000000RESTRICTED</oddFooter>
    <evenFooter>&amp;LPUBLIC</evenFooter>
    <firstFooter>&amp;LPUBLIC</firstFooter>
  </headerFooter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10</vt:i4>
      </vt:variant>
      <vt:variant>
        <vt:lpstr>Named Ranges</vt:lpstr>
      </vt:variant>
      <vt:variant>
        <vt:i4>9</vt:i4>
      </vt:variant>
    </vt:vector>
  </HeadingPairs>
  <TitlesOfParts>
    <vt:vector size="19" baseType="lpstr">
      <vt:lpstr>Index</vt:lpstr>
      <vt:lpstr>JBMMF</vt:lpstr>
      <vt:lpstr>JBOF</vt:lpstr>
      <vt:lpstr>JBLF</vt:lpstr>
      <vt:lpstr>JBN8-13</vt:lpstr>
      <vt:lpstr>JBN50</vt:lpstr>
      <vt:lpstr>JBNNX50</vt:lpstr>
      <vt:lpstr>JBNM150</vt:lpstr>
      <vt:lpstr>JBNS250</vt:lpstr>
      <vt:lpstr>JBFLEXI</vt:lpstr>
      <vt:lpstr>JBFLEXI!Print_Area</vt:lpstr>
      <vt:lpstr>JBLF!Print_Area</vt:lpstr>
      <vt:lpstr>JBMMF!Print_Area</vt:lpstr>
      <vt:lpstr>'JBN50'!Print_Area</vt:lpstr>
      <vt:lpstr>'JBN8-13'!Print_Area</vt:lpstr>
      <vt:lpstr>JBNM150!Print_Area</vt:lpstr>
      <vt:lpstr>JBNNX50!Print_Area</vt:lpstr>
      <vt:lpstr>JBNS250!Print_Area</vt:lpstr>
      <vt:lpstr>JBOF!Print_Area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keywords>PUBLIC</cp:keywords>
  <dc:description>PUBLIC</dc:description>
  <cp:lastModifiedBy/>
  <dcterms:created xsi:type="dcterms:W3CDTF">2006-09-16T00:00:00Z</dcterms:created>
  <dcterms:modified xsi:type="dcterms:W3CDTF">2025-11-13T07:19:51Z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Source">
    <vt:lpwstr>Internal</vt:lpwstr>
  </property>
  <property fmtid="{D5CDD505-2E9C-101B-9397-08002B2CF9AE}" pid="3" name="Footers">
    <vt:lpwstr>Footers</vt:lpwstr>
  </property>
  <property fmtid="{D5CDD505-2E9C-101B-9397-08002B2CF9AE}" pid="4" name="MSIP_Label_f851b4f6-a95e-46a7-8457-84c26f440032_Enabled">
    <vt:lpwstr>true</vt:lpwstr>
  </property>
  <property fmtid="{D5CDD505-2E9C-101B-9397-08002B2CF9AE}" pid="5" name="MSIP_Label_f851b4f6-a95e-46a7-8457-84c26f440032_SetDate">
    <vt:lpwstr>2025-11-06T08:45:51Z</vt:lpwstr>
  </property>
  <property fmtid="{D5CDD505-2E9C-101B-9397-08002B2CF9AE}" pid="6" name="MSIP_Label_f851b4f6-a95e-46a7-8457-84c26f440032_Method">
    <vt:lpwstr>Privileged</vt:lpwstr>
  </property>
  <property fmtid="{D5CDD505-2E9C-101B-9397-08002B2CF9AE}" pid="7" name="MSIP_Label_f851b4f6-a95e-46a7-8457-84c26f440032_Name">
    <vt:lpwstr>CLARESTRI</vt:lpwstr>
  </property>
  <property fmtid="{D5CDD505-2E9C-101B-9397-08002B2CF9AE}" pid="8" name="MSIP_Label_f851b4f6-a95e-46a7-8457-84c26f440032_SiteId">
    <vt:lpwstr>e0fd434d-ba64-497b-90d2-859c472e1a92</vt:lpwstr>
  </property>
  <property fmtid="{D5CDD505-2E9C-101B-9397-08002B2CF9AE}" pid="9" name="MSIP_Label_f851b4f6-a95e-46a7-8457-84c26f440032_ActionId">
    <vt:lpwstr>ef336553-7af8-4207-9dd3-8f85d68daaa6</vt:lpwstr>
  </property>
  <property fmtid="{D5CDD505-2E9C-101B-9397-08002B2CF9AE}" pid="10" name="MSIP_Label_f851b4f6-a95e-46a7-8457-84c26f440032_ContentBits">
    <vt:lpwstr>2</vt:lpwstr>
  </property>
  <property fmtid="{D5CDD505-2E9C-101B-9397-08002B2CF9AE}" pid="11" name="Classification">
    <vt:lpwstr>RESTRICTED</vt:lpwstr>
  </property>
  <property fmtid="{D5CDD505-2E9C-101B-9397-08002B2CF9AE}" pid="12" name="MSIP_Label_defa4170-0d19-0005-0004-bc88714345d2_Enabled">
    <vt:lpwstr>true</vt:lpwstr>
  </property>
  <property fmtid="{D5CDD505-2E9C-101B-9397-08002B2CF9AE}" pid="13" name="MSIP_Label_defa4170-0d19-0005-0004-bc88714345d2_SetDate">
    <vt:lpwstr>2025-11-07T06:02:59Z</vt:lpwstr>
  </property>
  <property fmtid="{D5CDD505-2E9C-101B-9397-08002B2CF9AE}" pid="14" name="MSIP_Label_defa4170-0d19-0005-0004-bc88714345d2_Method">
    <vt:lpwstr>Standard</vt:lpwstr>
  </property>
  <property fmtid="{D5CDD505-2E9C-101B-9397-08002B2CF9AE}" pid="15" name="MSIP_Label_defa4170-0d19-0005-0004-bc88714345d2_Name">
    <vt:lpwstr>defa4170-0d19-0005-0004-bc88714345d2</vt:lpwstr>
  </property>
  <property fmtid="{D5CDD505-2E9C-101B-9397-08002B2CF9AE}" pid="16" name="MSIP_Label_defa4170-0d19-0005-0004-bc88714345d2_SiteId">
    <vt:lpwstr>c0116485-0978-4b0a-9f1f-fae6c3d6539a</vt:lpwstr>
  </property>
  <property fmtid="{D5CDD505-2E9C-101B-9397-08002B2CF9AE}" pid="17" name="MSIP_Label_defa4170-0d19-0005-0004-bc88714345d2_ActionId">
    <vt:lpwstr>d2da209d-2716-4891-8070-bb9be7bcc9e4</vt:lpwstr>
  </property>
  <property fmtid="{D5CDD505-2E9C-101B-9397-08002B2CF9AE}" pid="18" name="MSIP_Label_defa4170-0d19-0005-0004-bc88714345d2_ContentBits">
    <vt:lpwstr>0</vt:lpwstr>
  </property>
</Properties>
</file>