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defaultThemeVersion="124226"/>
  <xr:revisionPtr revIDLastSave="0" documentId="8_{411ADB25-8197-4E38-AF91-C38DC6654CD1}" xr6:coauthVersionLast="47" xr6:coauthVersionMax="47" xr10:uidLastSave="{00000000-0000-0000-0000-000000000000}"/>
  <bookViews>
    <workbookView xWindow="-110" yWindow="-110" windowWidth="19420" windowHeight="11500" xr2:uid="{7291B499-DD8C-4F12-BA28-9EE7F24AB421}"/>
  </bookViews>
  <sheets>
    <sheet name="JBLOW" sheetId="7" r:id="rId1"/>
  </sheets>
  <definedNames>
    <definedName name="_xlnm.Print_Area" localSheetId="0">JBLOW!$B$1:$I$92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0" i="7" l="1"/>
  <c r="F30" i="7"/>
  <c r="G26" i="7"/>
  <c r="F26" i="7"/>
  <c r="G23" i="7"/>
  <c r="G31" i="7" s="1"/>
  <c r="F23" i="7"/>
  <c r="F31" i="7" s="1"/>
  <c r="G10" i="7"/>
  <c r="G13" i="7" s="1"/>
  <c r="F10" i="7"/>
  <c r="F13" i="7" s="1"/>
  <c r="F35" i="7" l="1"/>
  <c r="G35" i="7"/>
</calcChain>
</file>

<file path=xl/sharedStrings.xml><?xml version="1.0" encoding="utf-8"?>
<sst xmlns="http://schemas.openxmlformats.org/spreadsheetml/2006/main" count="74" uniqueCount="59">
  <si>
    <t>Quantity</t>
  </si>
  <si>
    <t>Market/Fair Value
 (Rs. in Lakhs)</t>
  </si>
  <si>
    <t>% to Net
 Assets</t>
  </si>
  <si>
    <t xml:space="preserve">Yield to Maturity </t>
  </si>
  <si>
    <t xml:space="preserve">Name of the Instrument </t>
  </si>
  <si>
    <t>ISIN</t>
  </si>
  <si>
    <t>Monthly Portfolio Statement as on January 31, 2026</t>
  </si>
  <si>
    <t>JioBlackRock Low Duration Fund</t>
  </si>
  <si>
    <t>Yield to Call ^</t>
  </si>
  <si>
    <t>Money Market Instruments</t>
  </si>
  <si>
    <t>Certificate of Deposit</t>
  </si>
  <si>
    <t>CRISIL A1+</t>
  </si>
  <si>
    <t>Sub Total</t>
  </si>
  <si>
    <t>Commercial Paper</t>
  </si>
  <si>
    <t>ICRA A1+</t>
  </si>
  <si>
    <t>Treasury Bill</t>
  </si>
  <si>
    <t>Total</t>
  </si>
  <si>
    <t>SOVEREIGN</t>
  </si>
  <si>
    <t>TREPS</t>
  </si>
  <si>
    <t>Grand Total</t>
  </si>
  <si>
    <t>Net Receivables / (Payables)</t>
  </si>
  <si>
    <t>Rating</t>
  </si>
  <si>
    <t>** Non Traded Security</t>
  </si>
  <si>
    <t>^ It is disclosed for Perpetual Bond issued by Banks (i.e. AT-1 Bond / Tier 1 Bond / Tier 2 Bond), as per AMFI Best Practices Guidelines Circular no. 91/2020-21 dated March 24, 2021 on Valuation of AT-1 Bonds and Tier 2 Bonds. 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</si>
  <si>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 xml:space="preserve">Scheme Risk-O-Meter </t>
  </si>
  <si>
    <t>Axis Bank Ltd (04-Mar-2026)</t>
  </si>
  <si>
    <t>INE238AD6AN0</t>
  </si>
  <si>
    <t>ICICI Securities Ltd (27-Feb-2026) **</t>
  </si>
  <si>
    <t>INE763G14XI0</t>
  </si>
  <si>
    <t>91 DTB (30-APR-2026)</t>
  </si>
  <si>
    <t>IN002025X430</t>
  </si>
  <si>
    <t>Debt Instruments</t>
  </si>
  <si>
    <t>(a) Listed / awaiting listing on Stock Exchanges</t>
  </si>
  <si>
    <t>7.8% National Bank For Agriculture &amp; Rural Development (15-Mar-2027) **</t>
  </si>
  <si>
    <t>INE261F08EF5</t>
  </si>
  <si>
    <t>CRISIL AAA</t>
  </si>
  <si>
    <t>7.37% Power Finance Corporation Ltd (22-May-2026) **</t>
  </si>
  <si>
    <t>INE134E08MO2</t>
  </si>
  <si>
    <t>6.65% LIC Housing Finance Ltd (15-Feb-2027) **</t>
  </si>
  <si>
    <t>INE115A07PR7</t>
  </si>
  <si>
    <t>(b) Privately Placed / Unlisted</t>
  </si>
  <si>
    <t>Nil</t>
  </si>
  <si>
    <t>Kotak Mahindra Bank Ltd (27-Feb-2026)</t>
  </si>
  <si>
    <t>INE237A166Z3</t>
  </si>
  <si>
    <t>Union Bank of India (19-Jan-2027) **</t>
  </si>
  <si>
    <t>INE692A16KU1</t>
  </si>
  <si>
    <t>Indian Bank (22-Jan-2027) **</t>
  </si>
  <si>
    <t>INE562A16QG2</t>
  </si>
  <si>
    <t>Bank of Baroda (25-Jan-2027) **</t>
  </si>
  <si>
    <t>INE028A16LD2</t>
  </si>
  <si>
    <t>ICICI Bank Ltd (27-Jan-2027) **</t>
  </si>
  <si>
    <t>INE090AD6279</t>
  </si>
  <si>
    <t>Small Industries Development Bank of India (29-Jan-2027)</t>
  </si>
  <si>
    <t>INE556F16BX0</t>
  </si>
  <si>
    <t>182 DTB (08-MAY-2026)</t>
  </si>
  <si>
    <t>IN002025Y321</t>
  </si>
  <si>
    <t>Benchmark Risk-O-Meter</t>
  </si>
  <si>
    <t>-</t>
  </si>
  <si>
    <t>Benchmark Name - NIFTY Low Duration Debt Index A-I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</si>
</sst>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0" x14ac:knownFonts="1">
    <font>
      <sz val="11"/>
      <color theme="1"/>
      <name val="Calibri"/>
      <family val="2"/>
      <scheme val="minor"/>
    </font>
    <font>
      <b/>
      <sz val="9"/>
      <name val="Arial"/>
      <family val="2"/>
    </font>
    <font>
      <sz val="9"/>
      <name val="Arial"/>
      <family val="2"/>
    </font>
    <font>
      <b/>
      <sz val="8"/>
      <name val="Arial"/>
      <family val="2"/>
    </font>
    <font>
      <sz val="9"/>
      <color theme="1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sz val="12"/>
      <color rgb="FF000000"/>
      <name val="Arial"/>
      <family val="2"/>
    </font>
    <font>
      <sz val="12"/>
      <color theme="1"/>
      <name val="Arial"/>
      <family val="2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63">
    <xf numFmtId="0" fontId="0" fillId="0" borderId="0" xfId="0"/>
    <xf numFmtId="0" fontId="4" fillId="2" borderId="0" xfId="0" applyFont="1" applyFill="1"/>
    <xf numFmtId="0" fontId="1" fillId="2" borderId="0" xfId="0" applyFont="1" applyFill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0" fontId="2" fillId="2" borderId="0" xfId="0" applyNumberFormat="1" applyFont="1" applyFill="1" applyAlignment="1">
      <alignment horizontal="left" vertical="top" wrapText="1"/>
    </xf>
    <xf numFmtId="4" fontId="2" fillId="2" borderId="0" xfId="0" applyNumberFormat="1" applyFont="1" applyFill="1" applyAlignment="1">
      <alignment horizontal="left" vertical="top" wrapText="1"/>
    </xf>
    <xf numFmtId="0" fontId="4" fillId="2" borderId="0" xfId="0" applyNumberFormat="1" applyFont="1" applyFill="1"/>
    <xf numFmtId="4" fontId="4" fillId="2" borderId="0" xfId="0" applyNumberFormat="1" applyFont="1" applyFill="1"/>
    <xf numFmtId="0" fontId="6" fillId="2" borderId="0" xfId="0" applyFont="1" applyFill="1"/>
    <xf numFmtId="0" fontId="6" fillId="2" borderId="0" xfId="0" applyNumberFormat="1" applyFont="1" applyFill="1"/>
    <xf numFmtId="0" fontId="3" fillId="2" borderId="0" xfId="0" applyFont="1" applyFill="1" applyAlignment="1">
      <alignment horizontal="left" vertical="top"/>
    </xf>
    <xf numFmtId="39" fontId="6" fillId="2" borderId="0" xfId="0" applyNumberFormat="1" applyFont="1" applyFill="1"/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wrapText="1"/>
    </xf>
    <xf numFmtId="10" fontId="6" fillId="2" borderId="0" xfId="0" applyNumberFormat="1" applyFont="1" applyFill="1"/>
    <xf numFmtId="10" fontId="4" fillId="2" borderId="0" xfId="0" applyNumberFormat="1" applyFont="1" applyFill="1"/>
    <xf numFmtId="0" fontId="4" fillId="2" borderId="0" xfId="0" applyFont="1" applyFill="1" applyAlignment="1">
      <alignment horizontal="center" vertical="center" wrapText="1"/>
    </xf>
    <xf numFmtId="39" fontId="6" fillId="3" borderId="0" xfId="0" applyNumberFormat="1" applyFont="1" applyFill="1" applyBorder="1"/>
    <xf numFmtId="0" fontId="5" fillId="2" borderId="0" xfId="0" applyFont="1" applyFill="1"/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 wrapText="1"/>
    </xf>
    <xf numFmtId="39" fontId="5" fillId="0" borderId="1" xfId="0" applyNumberFormat="1" applyFont="1" applyBorder="1" applyAlignment="1">
      <alignment horizontal="center" vertical="center" wrapText="1"/>
    </xf>
    <xf numFmtId="10" fontId="5" fillId="0" borderId="1" xfId="0" applyNumberFormat="1" applyFont="1" applyBorder="1" applyAlignment="1">
      <alignment horizontal="center" vertical="center" wrapText="1"/>
    </xf>
    <xf numFmtId="0" fontId="5" fillId="2" borderId="2" xfId="0" applyFont="1" applyFill="1" applyBorder="1"/>
    <xf numFmtId="0" fontId="6" fillId="2" borderId="2" xfId="0" applyFont="1" applyFill="1" applyBorder="1"/>
    <xf numFmtId="0" fontId="6" fillId="2" borderId="2" xfId="0" applyNumberFormat="1" applyFont="1" applyFill="1" applyBorder="1"/>
    <xf numFmtId="39" fontId="6" fillId="2" borderId="2" xfId="0" applyNumberFormat="1" applyFont="1" applyFill="1" applyBorder="1"/>
    <xf numFmtId="39" fontId="6" fillId="3" borderId="2" xfId="0" applyNumberFormat="1" applyFont="1" applyFill="1" applyBorder="1"/>
    <xf numFmtId="10" fontId="6" fillId="2" borderId="2" xfId="0" applyNumberFormat="1" applyFont="1" applyFill="1" applyBorder="1"/>
    <xf numFmtId="3" fontId="6" fillId="2" borderId="2" xfId="0" applyNumberFormat="1" applyFont="1" applyFill="1" applyBorder="1"/>
    <xf numFmtId="164" fontId="6" fillId="2" borderId="2" xfId="0" applyNumberFormat="1" applyFont="1" applyFill="1" applyBorder="1"/>
    <xf numFmtId="4" fontId="6" fillId="2" borderId="2" xfId="0" applyNumberFormat="1" applyFont="1" applyFill="1" applyBorder="1"/>
    <xf numFmtId="0" fontId="5" fillId="2" borderId="2" xfId="0" applyNumberFormat="1" applyFont="1" applyFill="1" applyBorder="1"/>
    <xf numFmtId="39" fontId="5" fillId="2" borderId="3" xfId="0" applyNumberFormat="1" applyFont="1" applyFill="1" applyBorder="1"/>
    <xf numFmtId="39" fontId="5" fillId="3" borderId="3" xfId="0" applyNumberFormat="1" applyFont="1" applyFill="1" applyBorder="1"/>
    <xf numFmtId="10" fontId="5" fillId="2" borderId="2" xfId="0" applyNumberFormat="1" applyFont="1" applyFill="1" applyBorder="1"/>
    <xf numFmtId="39" fontId="5" fillId="2" borderId="4" xfId="0" applyNumberFormat="1" applyFont="1" applyFill="1" applyBorder="1"/>
    <xf numFmtId="39" fontId="5" fillId="3" borderId="4" xfId="0" applyNumberFormat="1" applyFont="1" applyFill="1" applyBorder="1"/>
    <xf numFmtId="0" fontId="5" fillId="2" borderId="5" xfId="0" applyFont="1" applyFill="1" applyBorder="1"/>
    <xf numFmtId="0" fontId="5" fillId="2" borderId="5" xfId="0" applyNumberFormat="1" applyFont="1" applyFill="1" applyBorder="1"/>
    <xf numFmtId="39" fontId="5" fillId="2" borderId="5" xfId="0" applyNumberFormat="1" applyFont="1" applyFill="1" applyBorder="1"/>
    <xf numFmtId="39" fontId="5" fillId="3" borderId="5" xfId="0" applyNumberFormat="1" applyFont="1" applyFill="1" applyBorder="1"/>
    <xf numFmtId="0" fontId="5" fillId="2" borderId="6" xfId="0" applyFont="1" applyFill="1" applyBorder="1"/>
    <xf numFmtId="0" fontId="5" fillId="2" borderId="6" xfId="0" applyNumberFormat="1" applyFont="1" applyFill="1" applyBorder="1"/>
    <xf numFmtId="39" fontId="5" fillId="2" borderId="6" xfId="0" applyNumberFormat="1" applyFont="1" applyFill="1" applyBorder="1"/>
    <xf numFmtId="39" fontId="5" fillId="3" borderId="6" xfId="0" applyNumberFormat="1" applyFont="1" applyFill="1" applyBorder="1"/>
    <xf numFmtId="10" fontId="5" fillId="2" borderId="7" xfId="0" applyNumberFormat="1" applyFont="1" applyFill="1" applyBorder="1"/>
    <xf numFmtId="0" fontId="5" fillId="2" borderId="3" xfId="0" applyFont="1" applyFill="1" applyBorder="1"/>
    <xf numFmtId="0" fontId="5" fillId="2" borderId="3" xfId="0" applyNumberFormat="1" applyFont="1" applyFill="1" applyBorder="1"/>
    <xf numFmtId="0" fontId="6" fillId="2" borderId="5" xfId="0" applyFont="1" applyFill="1" applyBorder="1"/>
    <xf numFmtId="0" fontId="6" fillId="2" borderId="5" xfId="0" applyNumberFormat="1" applyFont="1" applyFill="1" applyBorder="1"/>
    <xf numFmtId="39" fontId="6" fillId="2" borderId="5" xfId="0" applyNumberFormat="1" applyFont="1" applyFill="1" applyBorder="1"/>
    <xf numFmtId="39" fontId="6" fillId="3" borderId="5" xfId="0" applyNumberFormat="1" applyFont="1" applyFill="1" applyBorder="1"/>
    <xf numFmtId="39" fontId="5" fillId="2" borderId="4" xfId="0" applyNumberFormat="1" applyFont="1" applyFill="1" applyBorder="1" applyAlignment="1">
      <alignment horizontal="right"/>
    </xf>
    <xf numFmtId="39" fontId="5" fillId="3" borderId="4" xfId="0" applyNumberFormat="1" applyFont="1" applyFill="1" applyBorder="1" applyAlignment="1">
      <alignment horizontal="right"/>
    </xf>
    <xf numFmtId="39" fontId="5" fillId="2" borderId="5" xfId="0" applyNumberFormat="1" applyFont="1" applyFill="1" applyBorder="1" applyAlignment="1">
      <alignment horizontal="right"/>
    </xf>
    <xf numFmtId="39" fontId="5" fillId="3" borderId="5" xfId="0" applyNumberFormat="1" applyFont="1" applyFill="1" applyBorder="1" applyAlignment="1">
      <alignment horizontal="right"/>
    </xf>
    <xf numFmtId="0" fontId="9" fillId="2" borderId="0" xfId="1" applyFill="1"/>
    <xf numFmtId="0" fontId="7" fillId="0" borderId="0" xfId="0" applyFont="1" applyAlignment="1">
      <alignment horizontal="left" vertical="top" wrapText="1"/>
    </xf>
    <xf numFmtId="0" fontId="8" fillId="0" borderId="0" xfId="0" applyFont="1" applyAlignment="1"/>
    <xf numFmtId="0" fontId="5" fillId="2" borderId="0" xfId="0" applyFont="1" applyFill="1" applyAlignment="1">
      <alignment vertical="center" wrapText="1"/>
    </xf>
  </cellXfs>
  <cellStyles count="2">
    <cellStyle name="Hyperlink" xfId="1" builtinId="8"/>
    <cellStyle name="Normal" xfId="0" builtinId="0"/>
  </cellStyles>
  <dxfs count="1">
    <dxf>
      <numFmt numFmtId="167" formatCode="&quot;0.00*&quot;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920750</xdr:colOff>
      <xdr:row>45</xdr:row>
      <xdr:rowOff>74084</xdr:rowOff>
    </xdr:from>
    <xdr:to>
      <xdr:col>4</xdr:col>
      <xdr:colOff>549275</xdr:colOff>
      <xdr:row>63</xdr:row>
      <xdr:rowOff>11643</xdr:rowOff>
    </xdr:to>
    <xdr:pic>
      <xdr:nvPicPr>
        <xdr:cNvPr id="2" name="Picture 5">
          <a:extLst>
            <a:ext uri="{FF2B5EF4-FFF2-40B4-BE49-F238E27FC236}">
              <a16:creationId xmlns:a16="http://schemas.microsoft.com/office/drawing/2014/main" id="{E0863D7A-4CF8-4948-947C-E291DD2E6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18167" y="7281334"/>
          <a:ext cx="5026025" cy="222038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1123950</xdr:colOff>
      <xdr:row>71</xdr:row>
      <xdr:rowOff>69850</xdr:rowOff>
    </xdr:from>
    <xdr:to>
      <xdr:col>4</xdr:col>
      <xdr:colOff>876300</xdr:colOff>
      <xdr:row>88</xdr:row>
      <xdr:rowOff>25400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7190EC5-B4D9-4BD6-8854-0487820BEB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25600" y="9963150"/>
          <a:ext cx="5156200" cy="211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A59F4-5B13-4CCF-9E07-1C19CD1D548F}">
  <dimension ref="A1:K66"/>
  <sheetViews>
    <sheetView tabSelected="1" view="pageBreakPreview" zoomScaleNormal="100" zoomScaleSheetLayoutView="100" workbookViewId="0"/>
  </sheetViews>
  <sheetFormatPr defaultColWidth="9.08984375" defaultRowHeight="10" x14ac:dyDescent="0.2"/>
  <cols>
    <col min="1" max="1" width="7.1796875" style="8" customWidth="1"/>
    <col min="2" max="2" width="52.453125" style="8" bestFit="1" customWidth="1"/>
    <col min="3" max="3" width="11.26953125" style="8" bestFit="1" customWidth="1"/>
    <col min="4" max="4" width="13.6328125" style="8" bestFit="1" customWidth="1"/>
    <col min="5" max="5" width="13.6328125" style="9" bestFit="1" customWidth="1"/>
    <col min="6" max="6" width="13.7265625" style="11" customWidth="1"/>
    <col min="7" max="7" width="8.81640625" style="17" customWidth="1"/>
    <col min="8" max="8" width="11.81640625" style="14" bestFit="1" customWidth="1"/>
    <col min="9" max="9" width="10.90625" style="14" customWidth="1"/>
    <col min="10" max="10" width="25.81640625" style="8" customWidth="1"/>
    <col min="11" max="16384" width="9.08984375" style="8"/>
  </cols>
  <sheetData>
    <row r="1" spans="1:11" s="1" customFormat="1" ht="16.75" customHeight="1" x14ac:dyDescent="0.35">
      <c r="B1" s="60" t="s">
        <v>7</v>
      </c>
      <c r="C1" s="61"/>
      <c r="D1" s="13"/>
      <c r="E1" s="6"/>
      <c r="F1" s="7"/>
      <c r="G1" s="17"/>
      <c r="H1" s="14"/>
      <c r="I1" s="15"/>
    </row>
    <row r="2" spans="1:11" s="1" customFormat="1" ht="14.5" x14ac:dyDescent="0.35">
      <c r="A2" s="59" t="s">
        <v>57</v>
      </c>
      <c r="E2" s="6"/>
      <c r="F2" s="7"/>
      <c r="G2" s="17"/>
      <c r="H2" s="14"/>
      <c r="I2" s="15"/>
    </row>
    <row r="3" spans="1:11" s="1" customFormat="1" ht="11.5" x14ac:dyDescent="0.25">
      <c r="B3" s="10" t="s">
        <v>6</v>
      </c>
      <c r="C3" s="2"/>
      <c r="D3" s="3"/>
      <c r="E3" s="4"/>
      <c r="F3" s="5"/>
      <c r="G3" s="17"/>
      <c r="H3" s="14"/>
      <c r="I3" s="15"/>
    </row>
    <row r="4" spans="1:11" s="1" customFormat="1" ht="21" x14ac:dyDescent="0.25">
      <c r="B4" s="19" t="s">
        <v>4</v>
      </c>
      <c r="C4" s="19" t="s">
        <v>5</v>
      </c>
      <c r="D4" s="20" t="s">
        <v>21</v>
      </c>
      <c r="E4" s="21" t="s">
        <v>0</v>
      </c>
      <c r="F4" s="22" t="s">
        <v>1</v>
      </c>
      <c r="G4" s="23" t="s">
        <v>2</v>
      </c>
      <c r="H4" s="24" t="s">
        <v>3</v>
      </c>
      <c r="I4" s="24" t="s">
        <v>8</v>
      </c>
      <c r="J4" s="16"/>
      <c r="K4" s="12"/>
    </row>
    <row r="5" spans="1:11" ht="10.5" x14ac:dyDescent="0.25">
      <c r="B5" s="25" t="s">
        <v>31</v>
      </c>
      <c r="C5" s="26"/>
      <c r="D5" s="26"/>
      <c r="E5" s="27"/>
      <c r="F5" s="28"/>
      <c r="G5" s="29"/>
      <c r="H5" s="30"/>
      <c r="I5" s="30"/>
    </row>
    <row r="6" spans="1:11" ht="10.5" x14ac:dyDescent="0.25">
      <c r="B6" s="25" t="s">
        <v>32</v>
      </c>
      <c r="C6" s="26"/>
      <c r="D6" s="26"/>
      <c r="E6" s="27"/>
      <c r="F6" s="28"/>
      <c r="G6" s="29"/>
      <c r="H6" s="30"/>
      <c r="I6" s="30"/>
    </row>
    <row r="7" spans="1:11" x14ac:dyDescent="0.2">
      <c r="B7" s="26" t="s">
        <v>33</v>
      </c>
      <c r="C7" s="26" t="s">
        <v>34</v>
      </c>
      <c r="D7" s="26" t="s">
        <v>35</v>
      </c>
      <c r="E7" s="31">
        <v>2500</v>
      </c>
      <c r="F7" s="28">
        <v>2515.1075000000001</v>
      </c>
      <c r="G7" s="29">
        <v>7.5895486934267504</v>
      </c>
      <c r="H7" s="32">
        <v>7.1900000000000006E-2</v>
      </c>
      <c r="I7" s="33"/>
    </row>
    <row r="8" spans="1:11" x14ac:dyDescent="0.2">
      <c r="B8" s="26" t="s">
        <v>36</v>
      </c>
      <c r="C8" s="26" t="s">
        <v>37</v>
      </c>
      <c r="D8" s="26" t="s">
        <v>35</v>
      </c>
      <c r="E8" s="31">
        <v>2500</v>
      </c>
      <c r="F8" s="28">
        <v>2497.3649999999998</v>
      </c>
      <c r="G8" s="29">
        <v>7.5360092054751897</v>
      </c>
      <c r="H8" s="32">
        <v>7.3492000000000002E-2</v>
      </c>
      <c r="I8" s="33"/>
    </row>
    <row r="9" spans="1:11" x14ac:dyDescent="0.2">
      <c r="B9" s="26" t="s">
        <v>38</v>
      </c>
      <c r="C9" s="26" t="s">
        <v>39</v>
      </c>
      <c r="D9" s="26" t="s">
        <v>35</v>
      </c>
      <c r="E9" s="31">
        <v>250</v>
      </c>
      <c r="F9" s="28">
        <v>2485.6424999999999</v>
      </c>
      <c r="G9" s="29">
        <v>7.5006355745036704</v>
      </c>
      <c r="H9" s="32">
        <v>7.2349999999999998E-2</v>
      </c>
      <c r="I9" s="33"/>
    </row>
    <row r="10" spans="1:11" ht="10.5" x14ac:dyDescent="0.25">
      <c r="B10" s="25" t="s">
        <v>12</v>
      </c>
      <c r="C10" s="25"/>
      <c r="D10" s="25"/>
      <c r="E10" s="34"/>
      <c r="F10" s="38">
        <f>SUM(F6:F9)</f>
        <v>7498.1149999999998</v>
      </c>
      <c r="G10" s="39">
        <f>SUM(G6:G9)</f>
        <v>22.62619347340561</v>
      </c>
      <c r="H10" s="37"/>
      <c r="I10" s="37"/>
    </row>
    <row r="11" spans="1:11" ht="10.5" x14ac:dyDescent="0.25">
      <c r="B11" s="40" t="s">
        <v>40</v>
      </c>
      <c r="C11" s="51"/>
      <c r="D11" s="51"/>
      <c r="E11" s="52"/>
      <c r="F11" s="53"/>
      <c r="G11" s="54"/>
      <c r="H11" s="30"/>
      <c r="I11" s="30"/>
    </row>
    <row r="12" spans="1:11" ht="10.5" x14ac:dyDescent="0.25">
      <c r="B12" s="25" t="s">
        <v>12</v>
      </c>
      <c r="C12" s="25"/>
      <c r="D12" s="25"/>
      <c r="E12" s="34"/>
      <c r="F12" s="55" t="s">
        <v>41</v>
      </c>
      <c r="G12" s="56" t="s">
        <v>41</v>
      </c>
      <c r="H12" s="37"/>
      <c r="I12" s="37"/>
    </row>
    <row r="13" spans="1:11" ht="10.5" x14ac:dyDescent="0.25">
      <c r="B13" s="40" t="s">
        <v>16</v>
      </c>
      <c r="C13" s="40"/>
      <c r="D13" s="40"/>
      <c r="E13" s="41"/>
      <c r="F13" s="57">
        <f>F10</f>
        <v>7498.1149999999998</v>
      </c>
      <c r="G13" s="58">
        <f>G10</f>
        <v>22.62619347340561</v>
      </c>
      <c r="H13" s="37"/>
      <c r="I13" s="37"/>
    </row>
    <row r="14" spans="1:11" ht="10.5" x14ac:dyDescent="0.25">
      <c r="B14" s="25" t="s">
        <v>9</v>
      </c>
      <c r="C14" s="26"/>
      <c r="D14" s="26"/>
      <c r="E14" s="27"/>
      <c r="F14" s="28"/>
      <c r="G14" s="29"/>
      <c r="H14" s="30"/>
      <c r="I14" s="30"/>
    </row>
    <row r="15" spans="1:11" ht="10.5" x14ac:dyDescent="0.25">
      <c r="B15" s="25" t="s">
        <v>10</v>
      </c>
      <c r="C15" s="26"/>
      <c r="D15" s="26"/>
      <c r="E15" s="27"/>
      <c r="F15" s="28"/>
      <c r="G15" s="29"/>
      <c r="H15" s="30"/>
      <c r="I15" s="30"/>
    </row>
    <row r="16" spans="1:11" x14ac:dyDescent="0.2">
      <c r="B16" s="26" t="s">
        <v>42</v>
      </c>
      <c r="C16" s="26" t="s">
        <v>43</v>
      </c>
      <c r="D16" s="26" t="s">
        <v>11</v>
      </c>
      <c r="E16" s="31">
        <v>500</v>
      </c>
      <c r="F16" s="28">
        <v>2488.5675000000001</v>
      </c>
      <c r="G16" s="29">
        <v>7.5094620083353396</v>
      </c>
      <c r="H16" s="32">
        <v>6.4492999999999995E-2</v>
      </c>
      <c r="I16" s="33"/>
    </row>
    <row r="17" spans="2:9" x14ac:dyDescent="0.2">
      <c r="B17" s="26" t="s">
        <v>25</v>
      </c>
      <c r="C17" s="26" t="s">
        <v>26</v>
      </c>
      <c r="D17" s="26" t="s">
        <v>14</v>
      </c>
      <c r="E17" s="31">
        <v>500</v>
      </c>
      <c r="F17" s="28">
        <v>2485.855</v>
      </c>
      <c r="G17" s="29">
        <v>7.5012768111495696</v>
      </c>
      <c r="H17" s="32">
        <v>6.6997000000000001E-2</v>
      </c>
      <c r="I17" s="33"/>
    </row>
    <row r="18" spans="2:9" x14ac:dyDescent="0.2">
      <c r="B18" s="26" t="s">
        <v>44</v>
      </c>
      <c r="C18" s="26" t="s">
        <v>45</v>
      </c>
      <c r="D18" s="26" t="s">
        <v>14</v>
      </c>
      <c r="E18" s="31">
        <v>500</v>
      </c>
      <c r="F18" s="28">
        <v>2341.5875000000001</v>
      </c>
      <c r="G18" s="29">
        <v>7.0659374802744699</v>
      </c>
      <c r="H18" s="32">
        <v>7.0150000000000004E-2</v>
      </c>
      <c r="I18" s="33"/>
    </row>
    <row r="19" spans="2:9" x14ac:dyDescent="0.2">
      <c r="B19" s="26" t="s">
        <v>46</v>
      </c>
      <c r="C19" s="26" t="s">
        <v>47</v>
      </c>
      <c r="D19" s="26" t="s">
        <v>11</v>
      </c>
      <c r="E19" s="31">
        <v>500</v>
      </c>
      <c r="F19" s="28">
        <v>2341.0725000000002</v>
      </c>
      <c r="G19" s="29">
        <v>7.0643834244032497</v>
      </c>
      <c r="H19" s="32">
        <v>6.9800000000000001E-2</v>
      </c>
      <c r="I19" s="33"/>
    </row>
    <row r="20" spans="2:9" x14ac:dyDescent="0.2">
      <c r="B20" s="26" t="s">
        <v>48</v>
      </c>
      <c r="C20" s="26" t="s">
        <v>49</v>
      </c>
      <c r="D20" s="26" t="s">
        <v>11</v>
      </c>
      <c r="E20" s="31">
        <v>500</v>
      </c>
      <c r="F20" s="28">
        <v>2339.3825000000002</v>
      </c>
      <c r="G20" s="29">
        <v>7.0592837070782899</v>
      </c>
      <c r="H20" s="32">
        <v>7.0000999999999994E-2</v>
      </c>
      <c r="I20" s="33"/>
    </row>
    <row r="21" spans="2:9" x14ac:dyDescent="0.2">
      <c r="B21" s="26" t="s">
        <v>50</v>
      </c>
      <c r="C21" s="26" t="s">
        <v>51</v>
      </c>
      <c r="D21" s="26" t="s">
        <v>11</v>
      </c>
      <c r="E21" s="31">
        <v>500</v>
      </c>
      <c r="F21" s="28">
        <v>2338.7600000000002</v>
      </c>
      <c r="G21" s="29">
        <v>7.0574052609038596</v>
      </c>
      <c r="H21" s="32">
        <v>6.9900000000000004E-2</v>
      </c>
      <c r="I21" s="33"/>
    </row>
    <row r="22" spans="2:9" x14ac:dyDescent="0.2">
      <c r="B22" s="26" t="s">
        <v>52</v>
      </c>
      <c r="C22" s="26" t="s">
        <v>53</v>
      </c>
      <c r="D22" s="26" t="s">
        <v>11</v>
      </c>
      <c r="E22" s="31">
        <v>500</v>
      </c>
      <c r="F22" s="28">
        <v>2333.3775000000001</v>
      </c>
      <c r="G22" s="29">
        <v>7.0411631138614901</v>
      </c>
      <c r="H22" s="32">
        <v>7.1999999999999995E-2</v>
      </c>
      <c r="I22" s="33"/>
    </row>
    <row r="23" spans="2:9" ht="10.5" x14ac:dyDescent="0.25">
      <c r="B23" s="25" t="s">
        <v>12</v>
      </c>
      <c r="C23" s="25"/>
      <c r="D23" s="25"/>
      <c r="E23" s="34"/>
      <c r="F23" s="35">
        <f>SUM(F15:F22)</f>
        <v>16668.602500000001</v>
      </c>
      <c r="G23" s="36">
        <f>SUM(G15:G22)</f>
        <v>50.298911806006274</v>
      </c>
      <c r="H23" s="37"/>
      <c r="I23" s="37"/>
    </row>
    <row r="24" spans="2:9" ht="10.5" x14ac:dyDescent="0.25">
      <c r="B24" s="25" t="s">
        <v>13</v>
      </c>
      <c r="C24" s="26"/>
      <c r="D24" s="26"/>
      <c r="E24" s="27"/>
      <c r="F24" s="28"/>
      <c r="G24" s="29"/>
      <c r="H24" s="30"/>
      <c r="I24" s="30"/>
    </row>
    <row r="25" spans="2:9" x14ac:dyDescent="0.2">
      <c r="B25" s="26" t="s">
        <v>27</v>
      </c>
      <c r="C25" s="26" t="s">
        <v>28</v>
      </c>
      <c r="D25" s="26" t="s">
        <v>11</v>
      </c>
      <c r="E25" s="31">
        <v>500</v>
      </c>
      <c r="F25" s="28">
        <v>2487.1574999999998</v>
      </c>
      <c r="G25" s="29">
        <v>7.5052072145908504</v>
      </c>
      <c r="H25" s="32">
        <v>7.2495000000000004E-2</v>
      </c>
      <c r="I25" s="33"/>
    </row>
    <row r="26" spans="2:9" ht="10.5" x14ac:dyDescent="0.25">
      <c r="B26" s="25" t="s">
        <v>12</v>
      </c>
      <c r="C26" s="25"/>
      <c r="D26" s="25"/>
      <c r="E26" s="34"/>
      <c r="F26" s="35">
        <f>SUM(F24:F25)</f>
        <v>2487.1574999999998</v>
      </c>
      <c r="G26" s="36">
        <f>SUM(G24:G25)</f>
        <v>7.5052072145908504</v>
      </c>
      <c r="H26" s="37"/>
      <c r="I26" s="37"/>
    </row>
    <row r="27" spans="2:9" ht="10.5" x14ac:dyDescent="0.25">
      <c r="B27" s="25" t="s">
        <v>15</v>
      </c>
      <c r="C27" s="26"/>
      <c r="D27" s="26"/>
      <c r="E27" s="27"/>
      <c r="F27" s="28"/>
      <c r="G27" s="29"/>
      <c r="H27" s="30"/>
      <c r="I27" s="30"/>
    </row>
    <row r="28" spans="2:9" x14ac:dyDescent="0.2">
      <c r="B28" s="26" t="s">
        <v>54</v>
      </c>
      <c r="C28" s="26" t="s">
        <v>55</v>
      </c>
      <c r="D28" s="26" t="s">
        <v>17</v>
      </c>
      <c r="E28" s="31">
        <v>2500000</v>
      </c>
      <c r="F28" s="28">
        <v>2464.1750000000002</v>
      </c>
      <c r="G28" s="29">
        <v>7.4358555853476904</v>
      </c>
      <c r="H28" s="32">
        <v>5.5278000000000001E-2</v>
      </c>
      <c r="I28" s="33"/>
    </row>
    <row r="29" spans="2:9" x14ac:dyDescent="0.2">
      <c r="B29" s="26" t="s">
        <v>29</v>
      </c>
      <c r="C29" s="26" t="s">
        <v>30</v>
      </c>
      <c r="D29" s="26" t="s">
        <v>17</v>
      </c>
      <c r="E29" s="31">
        <v>2000000</v>
      </c>
      <c r="F29" s="28">
        <v>1974.202</v>
      </c>
      <c r="G29" s="29">
        <v>5.9573207943042101</v>
      </c>
      <c r="H29" s="32">
        <v>5.4200999999999999E-2</v>
      </c>
      <c r="I29" s="33"/>
    </row>
    <row r="30" spans="2:9" ht="10.5" x14ac:dyDescent="0.25">
      <c r="B30" s="25" t="s">
        <v>12</v>
      </c>
      <c r="C30" s="25"/>
      <c r="D30" s="25"/>
      <c r="E30" s="34"/>
      <c r="F30" s="38">
        <f>SUM(F27:F29)</f>
        <v>4438.3770000000004</v>
      </c>
      <c r="G30" s="39">
        <f>SUM(G27:G29)</f>
        <v>13.393176379651901</v>
      </c>
      <c r="H30" s="37"/>
      <c r="I30" s="37"/>
    </row>
    <row r="31" spans="2:9" ht="10.5" x14ac:dyDescent="0.25">
      <c r="B31" s="40" t="s">
        <v>16</v>
      </c>
      <c r="C31" s="40"/>
      <c r="D31" s="40"/>
      <c r="E31" s="41"/>
      <c r="F31" s="42">
        <f>+F23+F26+F30</f>
        <v>23594.137000000002</v>
      </c>
      <c r="G31" s="43">
        <f>+G23+G26+G30</f>
        <v>71.197295400249033</v>
      </c>
      <c r="H31" s="37"/>
      <c r="I31" s="37"/>
    </row>
    <row r="32" spans="2:9" ht="10.5" x14ac:dyDescent="0.25">
      <c r="B32" s="25"/>
      <c r="C32" s="26"/>
      <c r="D32" s="26"/>
      <c r="E32" s="27"/>
      <c r="F32" s="28"/>
      <c r="G32" s="29"/>
      <c r="H32" s="30"/>
      <c r="I32" s="30"/>
    </row>
    <row r="33" spans="2:9" ht="10.5" x14ac:dyDescent="0.25">
      <c r="B33" s="25" t="s">
        <v>18</v>
      </c>
      <c r="C33" s="25"/>
      <c r="D33" s="25"/>
      <c r="E33" s="34"/>
      <c r="F33" s="35">
        <v>2375.3339111999999</v>
      </c>
      <c r="G33" s="36">
        <v>7.1677701180566702</v>
      </c>
      <c r="H33" s="32">
        <v>5.04819029E-2</v>
      </c>
      <c r="I33" s="32"/>
    </row>
    <row r="34" spans="2:9" x14ac:dyDescent="0.2">
      <c r="B34" s="26"/>
      <c r="C34" s="26"/>
      <c r="D34" s="26"/>
      <c r="E34" s="27"/>
      <c r="F34" s="28"/>
      <c r="G34" s="29"/>
      <c r="H34" s="30"/>
      <c r="I34" s="30"/>
    </row>
    <row r="35" spans="2:9" ht="10.5" x14ac:dyDescent="0.25">
      <c r="B35" s="49" t="s">
        <v>20</v>
      </c>
      <c r="C35" s="49"/>
      <c r="D35" s="49"/>
      <c r="E35" s="50"/>
      <c r="F35" s="35">
        <f>F36-(F10+F23+F26+F30+F33)</f>
        <v>-328.49422610000329</v>
      </c>
      <c r="G35" s="36">
        <f>G36-(G10+G23+G26+G30+G33)</f>
        <v>-0.99125899171130527</v>
      </c>
      <c r="H35" s="37"/>
      <c r="I35" s="37"/>
    </row>
    <row r="36" spans="2:9" ht="10.5" x14ac:dyDescent="0.25">
      <c r="B36" s="44" t="s">
        <v>19</v>
      </c>
      <c r="C36" s="44"/>
      <c r="D36" s="44"/>
      <c r="E36" s="45"/>
      <c r="F36" s="46">
        <v>33139.0916851</v>
      </c>
      <c r="G36" s="47">
        <v>100</v>
      </c>
      <c r="H36" s="48"/>
      <c r="I36" s="48"/>
    </row>
    <row r="38" spans="2:9" ht="10.5" x14ac:dyDescent="0.25">
      <c r="B38" s="18" t="s">
        <v>22</v>
      </c>
    </row>
    <row r="39" spans="2:9" ht="40" customHeight="1" x14ac:dyDescent="0.2">
      <c r="B39" s="62" t="s">
        <v>23</v>
      </c>
      <c r="C39" s="62"/>
      <c r="D39" s="62"/>
      <c r="E39" s="62"/>
      <c r="F39" s="62"/>
      <c r="G39" s="62"/>
      <c r="H39" s="62"/>
      <c r="I39" s="62"/>
    </row>
    <row r="43" spans="2:9" ht="10.5" x14ac:dyDescent="0.25">
      <c r="B43" s="18" t="s">
        <v>24</v>
      </c>
    </row>
    <row r="65" spans="2:2" ht="10.5" x14ac:dyDescent="0.25">
      <c r="B65" s="18" t="s">
        <v>56</v>
      </c>
    </row>
    <row r="66" spans="2:2" ht="10.5" x14ac:dyDescent="0.25">
      <c r="B66" s="18" t="s">
        <v>58</v>
      </c>
    </row>
  </sheetData>
  <mergeCells count="2">
    <mergeCell ref="B1:C1"/>
    <mergeCell ref="B39:I39"/>
  </mergeCells>
  <conditionalFormatting sqref="G1:G3 G5:G38 G40:G65532">
    <cfRule type="cellIs" dxfId="0" priority="1" stopIfTrue="1" operator="between">
      <formula>0.009</formula>
      <formula>-0.009</formula>
    </cfRule>
  </conditionalFormatting>
  <hyperlinks>
    <hyperlink ref="A2" location="Index!A1" display="-" xr:uid="{63DA3E7B-DE05-4D64-B08A-503E8448C9FE}"/>
  </hyperlinks>
  <pageMargins left="0.7" right="0.7" top="0.75" bottom="0.75" header="0.3" footer="0.3"/>
  <pageSetup paperSize="9" scale="65" orientation="portrait" r:id="rId1"/>
  <headerFooter>
    <oddFooter>&amp;C&amp;1#&amp;"Calibri"&amp;10&amp;K000000RESTRICTED</oddFooter>
    <evenFooter>&amp;LPUBLIC</evenFooter>
    <firstFooter>&amp;LPUBLIC</firstFooter>
  </headerFooter>
  <colBreaks count="1" manualBreakCount="1">
    <brk id="9" max="46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JBLOW</vt:lpstr>
      <vt:lpstr>JBLOW!Print_Area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keywords>PUBLIC</cp:keywords>
  <dc:description>PUBLIC</dc:description>
  <cp:lastModifiedBy/>
  <dcterms:created xsi:type="dcterms:W3CDTF">2006-09-16T00:00:00Z</dcterms:created>
  <dcterms:modified xsi:type="dcterms:W3CDTF">2026-02-06T08:53:20Z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ource">
    <vt:lpwstr>Internal</vt:lpwstr>
  </property>
  <property fmtid="{D5CDD505-2E9C-101B-9397-08002B2CF9AE}" pid="3" name="Footers">
    <vt:lpwstr>Footers</vt:lpwstr>
  </property>
  <property fmtid="{D5CDD505-2E9C-101B-9397-08002B2CF9AE}" pid="4" name="MSIP_Label_f851b4f6-a95e-46a7-8457-84c26f440032_Enabled">
    <vt:lpwstr>true</vt:lpwstr>
  </property>
  <property fmtid="{D5CDD505-2E9C-101B-9397-08002B2CF9AE}" pid="5" name="MSIP_Label_f851b4f6-a95e-46a7-8457-84c26f440032_SetDate">
    <vt:lpwstr>2026-02-04T15:19:06Z</vt:lpwstr>
  </property>
  <property fmtid="{D5CDD505-2E9C-101B-9397-08002B2CF9AE}" pid="6" name="MSIP_Label_f851b4f6-a95e-46a7-8457-84c26f440032_Method">
    <vt:lpwstr>Privileged</vt:lpwstr>
  </property>
  <property fmtid="{D5CDD505-2E9C-101B-9397-08002B2CF9AE}" pid="7" name="MSIP_Label_f851b4f6-a95e-46a7-8457-84c26f440032_Name">
    <vt:lpwstr>CLARESTRI</vt:lpwstr>
  </property>
  <property fmtid="{D5CDD505-2E9C-101B-9397-08002B2CF9AE}" pid="8" name="MSIP_Label_f851b4f6-a95e-46a7-8457-84c26f440032_SiteId">
    <vt:lpwstr>e0fd434d-ba64-497b-90d2-859c472e1a92</vt:lpwstr>
  </property>
  <property fmtid="{D5CDD505-2E9C-101B-9397-08002B2CF9AE}" pid="9" name="MSIP_Label_f851b4f6-a95e-46a7-8457-84c26f440032_ActionId">
    <vt:lpwstr>9ceee4da-86e6-4b02-811e-245f12d2a74a</vt:lpwstr>
  </property>
  <property fmtid="{D5CDD505-2E9C-101B-9397-08002B2CF9AE}" pid="10" name="MSIP_Label_f851b4f6-a95e-46a7-8457-84c26f440032_ContentBits">
    <vt:lpwstr>2</vt:lpwstr>
  </property>
  <property fmtid="{D5CDD505-2E9C-101B-9397-08002B2CF9AE}" pid="11" name="Classification">
    <vt:lpwstr>RESTRICTED</vt:lpwstr>
  </property>
</Properties>
</file>