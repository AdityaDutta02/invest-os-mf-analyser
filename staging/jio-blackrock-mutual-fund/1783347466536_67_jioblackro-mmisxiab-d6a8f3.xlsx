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C0DF7B26-33EA-4B1B-AB1C-16A730289FFC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NNX50" sheetId="10" r:id="rId1"/>
  </sheets>
  <definedNames>
    <definedName name="_xlnm.Print_Area" localSheetId="0">JBNNX50!$B$1:$H$108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0" l="1"/>
  <c r="F70" i="10"/>
  <c r="G60" i="10"/>
  <c r="F60" i="10"/>
  <c r="G65" i="10"/>
  <c r="G67" i="10" s="1"/>
  <c r="F65" i="10"/>
  <c r="F67" i="10" s="1"/>
  <c r="G57" i="10" l="1"/>
  <c r="F57" i="10"/>
</calcChain>
</file>

<file path=xl/sharedStrings.xml><?xml version="1.0" encoding="utf-8"?>
<sst xmlns="http://schemas.openxmlformats.org/spreadsheetml/2006/main" count="188" uniqueCount="153">
  <si>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</si>
  <si>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</si>
  <si>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</si>
  <si>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</si>
  <si>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</si>
  <si>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</si>
  <si>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</si>
  <si>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Nifty Next 50 Index Fund</t>
  </si>
  <si>
    <t>CARE A1+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</si>
  <si>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</si>
  <si>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</si>
  <si>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</si>
  <si>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</si>
  <si>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</si>
  <si>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</si>
  <si>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Debt Instruments</t>
  </si>
  <si>
    <t>(a) Listed / awaiting listing on Stock Exchanges</t>
  </si>
  <si>
    <t>Equity &amp; Equity related</t>
  </si>
  <si>
    <t>Banks</t>
  </si>
  <si>
    <t>Petroleum Products</t>
  </si>
  <si>
    <t>IT - Software</t>
  </si>
  <si>
    <t>Automobiles</t>
  </si>
  <si>
    <t>Finance</t>
  </si>
  <si>
    <t>Pharmaceuticals &amp; Biotechnology</t>
  </si>
  <si>
    <t>Power</t>
  </si>
  <si>
    <t>Consumer Durables</t>
  </si>
  <si>
    <t>Retailing</t>
  </si>
  <si>
    <t>Ferrous Metals</t>
  </si>
  <si>
    <t>Aerospace &amp; Defense</t>
  </si>
  <si>
    <t>Cement &amp; Cement Products</t>
  </si>
  <si>
    <t>Non - Ferrous Metals</t>
  </si>
  <si>
    <t>Food Products</t>
  </si>
  <si>
    <t>Insurance</t>
  </si>
  <si>
    <t xml:space="preserve">(b) Unlisted </t>
  </si>
  <si>
    <t>NIL</t>
  </si>
  <si>
    <t>Vedanta Ltd</t>
  </si>
  <si>
    <t>INE205A01025</t>
  </si>
  <si>
    <t>Diversified Metals</t>
  </si>
  <si>
    <t>TVS Motor Co Ltd</t>
  </si>
  <si>
    <t>INE494B01023</t>
  </si>
  <si>
    <t>Divi's Laboratories Ltd</t>
  </si>
  <si>
    <t>INE361B01024</t>
  </si>
  <si>
    <t>Bharat Petroleum Corporation Ltd</t>
  </si>
  <si>
    <t>INE029A01011</t>
  </si>
  <si>
    <t>Hindustan Aeronautics Ltd</t>
  </si>
  <si>
    <t>INE066F01020</t>
  </si>
  <si>
    <t>Cholamandalam Investment and Finance Co Ltd</t>
  </si>
  <si>
    <t>INE121A01024</t>
  </si>
  <si>
    <t>Britannia Industries Ltd</t>
  </si>
  <si>
    <t>INE216A01030</t>
  </si>
  <si>
    <t>Indian Oil Corporation Ltd</t>
  </si>
  <si>
    <t>INE242A01010</t>
  </si>
  <si>
    <t>Tata Power Co Ltd</t>
  </si>
  <si>
    <t>INE245A01021</t>
  </si>
  <si>
    <t>Varun Beverages Ltd</t>
  </si>
  <si>
    <t>INE200M01039</t>
  </si>
  <si>
    <t>Beverages</t>
  </si>
  <si>
    <t>Power Finance Corporation Ltd</t>
  </si>
  <si>
    <t>INE134E01011</t>
  </si>
  <si>
    <t>Bank of Baroda</t>
  </si>
  <si>
    <t>INE028A01039</t>
  </si>
  <si>
    <t>Samvardhana Motherson International Ltd</t>
  </si>
  <si>
    <t>INE775A01035</t>
  </si>
  <si>
    <t>Auto Components</t>
  </si>
  <si>
    <t>Indian Hotels Co Ltd</t>
  </si>
  <si>
    <t>INE053A01029</t>
  </si>
  <si>
    <t>Leisure Services</t>
  </si>
  <si>
    <t>Avenue Supermarts Ltd</t>
  </si>
  <si>
    <t>INE192R01011</t>
  </si>
  <si>
    <t>Adani Power Ltd</t>
  </si>
  <si>
    <t>INE814H01029</t>
  </si>
  <si>
    <t>Canara Bank</t>
  </si>
  <si>
    <t>INE476A01022</t>
  </si>
  <si>
    <t>CG Power and Industrial Solutions Ltd</t>
  </si>
  <si>
    <t>INE067A01029</t>
  </si>
  <si>
    <t>Electrical Equipment</t>
  </si>
  <si>
    <t>Godrej Consumer Products Ltd</t>
  </si>
  <si>
    <t>INE102D01028</t>
  </si>
  <si>
    <t>Personal Products</t>
  </si>
  <si>
    <t>Bajaj Holdings &amp; Investment Ltd</t>
  </si>
  <si>
    <t>INE118A01012</t>
  </si>
  <si>
    <t>Jindal Steel Ltd</t>
  </si>
  <si>
    <t>INE749A01030</t>
  </si>
  <si>
    <t>Pidilite Industries Ltd</t>
  </si>
  <si>
    <t>INE318A01026</t>
  </si>
  <si>
    <t>Chemicals &amp; Petrochemicals</t>
  </si>
  <si>
    <t>ICICI Lombard General Insurance Co Ltd</t>
  </si>
  <si>
    <t>INE765G01017</t>
  </si>
  <si>
    <t>GAIL (India) Ltd</t>
  </si>
  <si>
    <t>INE129A01019</t>
  </si>
  <si>
    <t>Gas</t>
  </si>
  <si>
    <t>Torrent Pharmaceuticals Ltd</t>
  </si>
  <si>
    <t>INE685A01028</t>
  </si>
  <si>
    <t>Punjab National Bank</t>
  </si>
  <si>
    <t>INE160A01022</t>
  </si>
  <si>
    <t>REC Ltd</t>
  </si>
  <si>
    <t>INE020B01018</t>
  </si>
  <si>
    <t>Ltimindtree Ltd</t>
  </si>
  <si>
    <t>INE214T01019</t>
  </si>
  <si>
    <t>United Spirits Ltd</t>
  </si>
  <si>
    <t>INE854D01024</t>
  </si>
  <si>
    <t>Info Edge (India) Ltd</t>
  </si>
  <si>
    <t>INE663F01032</t>
  </si>
  <si>
    <t>DLF Ltd</t>
  </si>
  <si>
    <t>INE271C01023</t>
  </si>
  <si>
    <t>Realty</t>
  </si>
  <si>
    <t>Havells India Ltd</t>
  </si>
  <si>
    <t>INE176B01034</t>
  </si>
  <si>
    <t>Adani Energy Solutions Ltd</t>
  </si>
  <si>
    <t>INE931S01010</t>
  </si>
  <si>
    <t>Shree Cement Ltd</t>
  </si>
  <si>
    <t>INE070A01015</t>
  </si>
  <si>
    <t>Solar Industries India Ltd</t>
  </si>
  <si>
    <t>INE343H01029</t>
  </si>
  <si>
    <t>ABB India Ltd</t>
  </si>
  <si>
    <t>INE117A01022</t>
  </si>
  <si>
    <t>Bosch Ltd</t>
  </si>
  <si>
    <t>INE323A01026</t>
  </si>
  <si>
    <t>Hyundai Motor India Ltd</t>
  </si>
  <si>
    <t>INE0V6F01027</t>
  </si>
  <si>
    <t>Ambuja Cements Ltd</t>
  </si>
  <si>
    <t>INE079A01024</t>
  </si>
  <si>
    <t>Siemens Ltd</t>
  </si>
  <si>
    <t>INE003A01024</t>
  </si>
  <si>
    <t>Adani Green Energy Ltd</t>
  </si>
  <si>
    <t>INE364U01010</t>
  </si>
  <si>
    <t>Lodha Developers Ltd</t>
  </si>
  <si>
    <t>INE670K01029</t>
  </si>
  <si>
    <t>Hindustan Zinc Ltd</t>
  </si>
  <si>
    <t>INE267A01025</t>
  </si>
  <si>
    <t>JSW Energy Ltd</t>
  </si>
  <si>
    <t>INE121E01018</t>
  </si>
  <si>
    <t>Siemens Energy India ltd</t>
  </si>
  <si>
    <t>INE1NPP01017</t>
  </si>
  <si>
    <t>Zydus Lifesciences Ltd</t>
  </si>
  <si>
    <t>INE010B01027</t>
  </si>
  <si>
    <t>Life Insurance Corporation Of India</t>
  </si>
  <si>
    <t>INE0J1Y01017</t>
  </si>
  <si>
    <t>Indian Railway Finance Corporation Ltd</t>
  </si>
  <si>
    <t>INE053F01010</t>
  </si>
  <si>
    <t>Mazagon Dock Shipbuilders Ltd</t>
  </si>
  <si>
    <t>INE249Z01020</t>
  </si>
  <si>
    <t>Industrial Manufacturing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</si>
  <si>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</si>
  <si>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</si>
  <si>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</si>
  <si>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</si>
  <si>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</si>
  <si>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Industry Classification / Rating</t>
  </si>
  <si>
    <t>Benchmark Risk-O-Meter</t>
  </si>
  <si>
    <t>Benchmark Name - NIFTY Next 50 Index (TRI)</t>
  </si>
  <si>
    <t>-</t>
  </si>
  <si>
    <t>Cumulative Non-Convertible Redeemable Preference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</si>
</sst>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3" borderId="0" xfId="0" applyFont="1" applyFill="1"/>
    <xf numFmtId="0" fontId="6" fillId="3" borderId="0" xfId="0" applyFont="1" applyFill="1"/>
    <xf numFmtId="0" fontId="5" fillId="2" borderId="8" xfId="0" applyFont="1" applyFill="1" applyBorder="1"/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10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7" formatCode="&quot;0.00*&quot;"/>
    </dxf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75</xdr:row>
      <xdr:rowOff>104775</xdr:rowOff>
    </xdr:from>
    <xdr:to>
      <xdr:col>2</xdr:col>
      <xdr:colOff>812800</xdr:colOff>
      <xdr:row>89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D75C0-3CC3-4CAB-979A-BAAD67B7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0188575"/>
          <a:ext cx="4041775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92</xdr:row>
      <xdr:rowOff>19050</xdr:rowOff>
    </xdr:from>
    <xdr:to>
      <xdr:col>2</xdr:col>
      <xdr:colOff>708025</xdr:colOff>
      <xdr:row>106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9F7A9D-0373-4094-80C4-A9D202241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2274550"/>
          <a:ext cx="3616325" cy="186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0F1B-4DD6-4F40-AFE9-E8460C458D14}">
  <dimension ref="A1:I413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3.26953125" style="8" customWidth="1"/>
    <col min="4" max="4" width="23.81640625" style="8" customWidth="1"/>
    <col min="5" max="5" width="13.7265625" style="9" bestFit="1" customWidth="1"/>
    <col min="6" max="6" width="12.7265625" style="11" bestFit="1" customWidth="1"/>
    <col min="7" max="7" width="11.453125" style="14" customWidth="1"/>
    <col min="8" max="8" width="11.81640625" style="8" bestFit="1" customWidth="1"/>
    <col min="9" max="16384" width="9.1796875" style="8"/>
  </cols>
  <sheetData>
    <row r="1" spans="1:9" s="1" customFormat="1" ht="16.75" customHeight="1" x14ac:dyDescent="0.35">
      <c r="B1" s="60" t="s">
        <v>7</v>
      </c>
      <c r="C1" s="61"/>
      <c r="D1" s="13"/>
      <c r="E1" s="6"/>
      <c r="F1" s="7"/>
      <c r="G1" s="14"/>
    </row>
    <row r="2" spans="1:9" s="1" customFormat="1" ht="14.5" x14ac:dyDescent="0.35">
      <c r="A2" s="47" t="s">
        <v>151</v>
      </c>
      <c r="E2" s="6"/>
      <c r="F2" s="7"/>
      <c r="G2" s="14"/>
    </row>
    <row r="3" spans="1:9" s="1" customFormat="1" ht="11.5" x14ac:dyDescent="0.25">
      <c r="B3" s="10" t="s">
        <v>6</v>
      </c>
      <c r="C3" s="2"/>
      <c r="D3" s="3"/>
      <c r="E3" s="4"/>
      <c r="F3" s="5"/>
      <c r="G3" s="14"/>
    </row>
    <row r="4" spans="1:9" s="1" customFormat="1" ht="21" x14ac:dyDescent="0.25">
      <c r="B4" s="17" t="s">
        <v>4</v>
      </c>
      <c r="C4" s="17" t="s">
        <v>5</v>
      </c>
      <c r="D4" s="59" t="s">
        <v>148</v>
      </c>
      <c r="E4" s="18" t="s">
        <v>0</v>
      </c>
      <c r="F4" s="19" t="s">
        <v>1</v>
      </c>
      <c r="G4" s="20" t="s">
        <v>2</v>
      </c>
      <c r="H4" s="19" t="s">
        <v>3</v>
      </c>
      <c r="I4" s="12"/>
    </row>
    <row r="5" spans="1:9" ht="10.5" x14ac:dyDescent="0.25">
      <c r="B5" s="21" t="s">
        <v>17</v>
      </c>
      <c r="C5" s="22"/>
      <c r="D5" s="22"/>
      <c r="E5" s="23"/>
      <c r="F5" s="24"/>
      <c r="G5" s="25"/>
      <c r="H5" s="22"/>
    </row>
    <row r="6" spans="1:9" ht="10.5" x14ac:dyDescent="0.25">
      <c r="B6" s="21" t="s">
        <v>16</v>
      </c>
      <c r="C6" s="22"/>
      <c r="D6" s="22"/>
      <c r="E6" s="23"/>
      <c r="F6" s="24"/>
      <c r="G6" s="25"/>
      <c r="H6" s="22"/>
    </row>
    <row r="7" spans="1:9" x14ac:dyDescent="0.2">
      <c r="B7" s="22" t="s">
        <v>35</v>
      </c>
      <c r="C7" s="22" t="s">
        <v>36</v>
      </c>
      <c r="D7" s="22" t="s">
        <v>37</v>
      </c>
      <c r="E7" s="27">
        <v>125236</v>
      </c>
      <c r="F7" s="24">
        <v>899.695424</v>
      </c>
      <c r="G7" s="25">
        <v>5.22940881775079</v>
      </c>
      <c r="H7" s="28"/>
    </row>
    <row r="8" spans="1:9" x14ac:dyDescent="0.2">
      <c r="B8" s="22" t="s">
        <v>38</v>
      </c>
      <c r="C8" s="22" t="s">
        <v>39</v>
      </c>
      <c r="D8" s="22" t="s">
        <v>21</v>
      </c>
      <c r="E8" s="27">
        <v>17333</v>
      </c>
      <c r="F8" s="24">
        <v>670.73510099999999</v>
      </c>
      <c r="G8" s="25">
        <v>3.89859496667215</v>
      </c>
      <c r="H8" s="28"/>
    </row>
    <row r="9" spans="1:9" x14ac:dyDescent="0.2">
      <c r="B9" s="22" t="s">
        <v>40</v>
      </c>
      <c r="C9" s="22" t="s">
        <v>41</v>
      </c>
      <c r="D9" s="22" t="s">
        <v>23</v>
      </c>
      <c r="E9" s="27">
        <v>9380</v>
      </c>
      <c r="F9" s="24">
        <v>601.1173</v>
      </c>
      <c r="G9" s="25">
        <v>3.4939469794641802</v>
      </c>
      <c r="H9" s="28"/>
    </row>
    <row r="10" spans="1:9" x14ac:dyDescent="0.2">
      <c r="B10" s="22" t="s">
        <v>42</v>
      </c>
      <c r="C10" s="22" t="s">
        <v>43</v>
      </c>
      <c r="D10" s="22" t="s">
        <v>19</v>
      </c>
      <c r="E10" s="27">
        <v>143091</v>
      </c>
      <c r="F10" s="24">
        <v>551.472714</v>
      </c>
      <c r="G10" s="25">
        <v>3.2053917319252299</v>
      </c>
      <c r="H10" s="28"/>
    </row>
    <row r="11" spans="1:9" x14ac:dyDescent="0.2">
      <c r="B11" s="22" t="s">
        <v>44</v>
      </c>
      <c r="C11" s="22" t="s">
        <v>45</v>
      </c>
      <c r="D11" s="22" t="s">
        <v>28</v>
      </c>
      <c r="E11" s="27">
        <v>14007</v>
      </c>
      <c r="F11" s="24">
        <v>548.12192400000004</v>
      </c>
      <c r="G11" s="25">
        <v>3.1859155288625001</v>
      </c>
      <c r="H11" s="28"/>
    </row>
    <row r="12" spans="1:9" x14ac:dyDescent="0.2">
      <c r="B12" s="22" t="s">
        <v>46</v>
      </c>
      <c r="C12" s="22" t="s">
        <v>47</v>
      </c>
      <c r="D12" s="22" t="s">
        <v>22</v>
      </c>
      <c r="E12" s="27">
        <v>31222</v>
      </c>
      <c r="F12" s="24">
        <v>540.39037599999995</v>
      </c>
      <c r="G12" s="25">
        <v>3.1409765148278299</v>
      </c>
      <c r="H12" s="28"/>
    </row>
    <row r="13" spans="1:9" x14ac:dyDescent="0.2">
      <c r="B13" s="22" t="s">
        <v>48</v>
      </c>
      <c r="C13" s="22" t="s">
        <v>49</v>
      </c>
      <c r="D13" s="22" t="s">
        <v>31</v>
      </c>
      <c r="E13" s="27">
        <v>8707</v>
      </c>
      <c r="F13" s="24">
        <v>522.63767499999994</v>
      </c>
      <c r="G13" s="25">
        <v>3.03779033795972</v>
      </c>
      <c r="H13" s="28"/>
    </row>
    <row r="14" spans="1:9" x14ac:dyDescent="0.2">
      <c r="B14" s="22" t="s">
        <v>50</v>
      </c>
      <c r="C14" s="22" t="s">
        <v>51</v>
      </c>
      <c r="D14" s="22" t="s">
        <v>19</v>
      </c>
      <c r="E14" s="27">
        <v>275836</v>
      </c>
      <c r="F14" s="24">
        <v>517.10974920000001</v>
      </c>
      <c r="G14" s="25">
        <v>3.0056597044683602</v>
      </c>
      <c r="H14" s="28"/>
    </row>
    <row r="15" spans="1:9" x14ac:dyDescent="0.2">
      <c r="B15" s="22" t="s">
        <v>52</v>
      </c>
      <c r="C15" s="22" t="s">
        <v>53</v>
      </c>
      <c r="D15" s="22" t="s">
        <v>24</v>
      </c>
      <c r="E15" s="27">
        <v>123969</v>
      </c>
      <c r="F15" s="24">
        <v>468.0449595</v>
      </c>
      <c r="G15" s="25">
        <v>2.7204744772749998</v>
      </c>
      <c r="H15" s="28"/>
    </row>
    <row r="16" spans="1:9" x14ac:dyDescent="0.2">
      <c r="B16" s="22" t="s">
        <v>54</v>
      </c>
      <c r="C16" s="22" t="s">
        <v>55</v>
      </c>
      <c r="D16" s="22" t="s">
        <v>56</v>
      </c>
      <c r="E16" s="27">
        <v>101027</v>
      </c>
      <c r="F16" s="24">
        <v>456.03587800000003</v>
      </c>
      <c r="G16" s="25">
        <v>2.6506726365476401</v>
      </c>
      <c r="H16" s="28"/>
    </row>
    <row r="17" spans="2:8" x14ac:dyDescent="0.2">
      <c r="B17" s="22" t="s">
        <v>57</v>
      </c>
      <c r="C17" s="22" t="s">
        <v>58</v>
      </c>
      <c r="D17" s="22" t="s">
        <v>22</v>
      </c>
      <c r="E17" s="27">
        <v>107491</v>
      </c>
      <c r="F17" s="24">
        <v>444.79775799999999</v>
      </c>
      <c r="G17" s="25">
        <v>2.5853519488401702</v>
      </c>
      <c r="H17" s="28"/>
    </row>
    <row r="18" spans="2:8" x14ac:dyDescent="0.2">
      <c r="B18" s="22" t="s">
        <v>59</v>
      </c>
      <c r="C18" s="22" t="s">
        <v>60</v>
      </c>
      <c r="D18" s="22" t="s">
        <v>18</v>
      </c>
      <c r="E18" s="27">
        <v>136956</v>
      </c>
      <c r="F18" s="24">
        <v>440.92984200000001</v>
      </c>
      <c r="G18" s="25">
        <v>2.5628699916164801</v>
      </c>
      <c r="H18" s="28"/>
    </row>
    <row r="19" spans="2:8" x14ac:dyDescent="0.2">
      <c r="B19" s="22" t="s">
        <v>61</v>
      </c>
      <c r="C19" s="22" t="s">
        <v>62</v>
      </c>
      <c r="D19" s="22" t="s">
        <v>63</v>
      </c>
      <c r="E19" s="27">
        <v>327876</v>
      </c>
      <c r="F19" s="24">
        <v>437.18985839999999</v>
      </c>
      <c r="G19" s="25">
        <v>2.5411316313954901</v>
      </c>
      <c r="H19" s="28"/>
    </row>
    <row r="20" spans="2:8" x14ac:dyDescent="0.2">
      <c r="B20" s="22" t="s">
        <v>64</v>
      </c>
      <c r="C20" s="22" t="s">
        <v>65</v>
      </c>
      <c r="D20" s="22" t="s">
        <v>66</v>
      </c>
      <c r="E20" s="27">
        <v>64841</v>
      </c>
      <c r="F20" s="24">
        <v>432.52189049999998</v>
      </c>
      <c r="G20" s="25">
        <v>2.5139994354922299</v>
      </c>
      <c r="H20" s="28"/>
    </row>
    <row r="21" spans="2:8" x14ac:dyDescent="0.2">
      <c r="B21" s="22" t="s">
        <v>67</v>
      </c>
      <c r="C21" s="22" t="s">
        <v>68</v>
      </c>
      <c r="D21" s="22" t="s">
        <v>26</v>
      </c>
      <c r="E21" s="27">
        <v>10870</v>
      </c>
      <c r="F21" s="24">
        <v>418.23412000000002</v>
      </c>
      <c r="G21" s="25">
        <v>2.4309528943566598</v>
      </c>
      <c r="H21" s="28"/>
    </row>
    <row r="22" spans="2:8" x14ac:dyDescent="0.2">
      <c r="B22" s="22" t="s">
        <v>69</v>
      </c>
      <c r="C22" s="22" t="s">
        <v>70</v>
      </c>
      <c r="D22" s="22" t="s">
        <v>24</v>
      </c>
      <c r="E22" s="27">
        <v>291232</v>
      </c>
      <c r="F22" s="24">
        <v>408.04515520000001</v>
      </c>
      <c r="G22" s="25">
        <v>2.3717303386477702</v>
      </c>
      <c r="H22" s="28"/>
    </row>
    <row r="23" spans="2:8" x14ac:dyDescent="0.2">
      <c r="B23" s="22" t="s">
        <v>71</v>
      </c>
      <c r="C23" s="22" t="s">
        <v>72</v>
      </c>
      <c r="D23" s="22" t="s">
        <v>18</v>
      </c>
      <c r="E23" s="27">
        <v>248888</v>
      </c>
      <c r="F23" s="24">
        <v>391.67504559999998</v>
      </c>
      <c r="G23" s="25">
        <v>2.2765803654388499</v>
      </c>
      <c r="H23" s="28"/>
    </row>
    <row r="24" spans="2:8" x14ac:dyDescent="0.2">
      <c r="B24" s="22" t="s">
        <v>73</v>
      </c>
      <c r="C24" s="22" t="s">
        <v>74</v>
      </c>
      <c r="D24" s="22" t="s">
        <v>75</v>
      </c>
      <c r="E24" s="27">
        <v>50690</v>
      </c>
      <c r="F24" s="24">
        <v>367.60388</v>
      </c>
      <c r="G24" s="25">
        <v>2.1366686105445898</v>
      </c>
      <c r="H24" s="28"/>
    </row>
    <row r="25" spans="2:8" x14ac:dyDescent="0.2">
      <c r="B25" s="22" t="s">
        <v>76</v>
      </c>
      <c r="C25" s="22" t="s">
        <v>77</v>
      </c>
      <c r="D25" s="22" t="s">
        <v>78</v>
      </c>
      <c r="E25" s="27">
        <v>29704</v>
      </c>
      <c r="F25" s="24">
        <v>361.64620000000002</v>
      </c>
      <c r="G25" s="25">
        <v>2.1020400646008701</v>
      </c>
      <c r="H25" s="28"/>
    </row>
    <row r="26" spans="2:8" x14ac:dyDescent="0.2">
      <c r="B26" s="22" t="s">
        <v>79</v>
      </c>
      <c r="C26" s="22" t="s">
        <v>80</v>
      </c>
      <c r="D26" s="22" t="s">
        <v>22</v>
      </c>
      <c r="E26" s="27">
        <v>3196</v>
      </c>
      <c r="F26" s="24">
        <v>345.29584</v>
      </c>
      <c r="G26" s="25">
        <v>2.0070048843870398</v>
      </c>
      <c r="H26" s="28"/>
    </row>
    <row r="27" spans="2:8" x14ac:dyDescent="0.2">
      <c r="B27" s="22" t="s">
        <v>81</v>
      </c>
      <c r="C27" s="22" t="s">
        <v>82</v>
      </c>
      <c r="D27" s="22" t="s">
        <v>27</v>
      </c>
      <c r="E27" s="27">
        <v>27587</v>
      </c>
      <c r="F27" s="24">
        <v>343.23745400000001</v>
      </c>
      <c r="G27" s="25">
        <v>1.9950406778215799</v>
      </c>
      <c r="H27" s="28"/>
    </row>
    <row r="28" spans="2:8" x14ac:dyDescent="0.2">
      <c r="B28" s="22" t="s">
        <v>83</v>
      </c>
      <c r="C28" s="22" t="s">
        <v>84</v>
      </c>
      <c r="D28" s="22" t="s">
        <v>85</v>
      </c>
      <c r="E28" s="27">
        <v>22925</v>
      </c>
      <c r="F28" s="24">
        <v>342.041</v>
      </c>
      <c r="G28" s="25">
        <v>1.9880863831450299</v>
      </c>
      <c r="H28" s="28"/>
    </row>
    <row r="29" spans="2:8" x14ac:dyDescent="0.2">
      <c r="B29" s="22" t="s">
        <v>86</v>
      </c>
      <c r="C29" s="22" t="s">
        <v>87</v>
      </c>
      <c r="D29" s="22" t="s">
        <v>32</v>
      </c>
      <c r="E29" s="27">
        <v>17869</v>
      </c>
      <c r="F29" s="24">
        <v>339.77903500000002</v>
      </c>
      <c r="G29" s="25">
        <v>1.9749388896701301</v>
      </c>
      <c r="H29" s="28"/>
    </row>
    <row r="30" spans="2:8" x14ac:dyDescent="0.2">
      <c r="B30" s="22" t="s">
        <v>88</v>
      </c>
      <c r="C30" s="22" t="s">
        <v>89</v>
      </c>
      <c r="D30" s="22" t="s">
        <v>90</v>
      </c>
      <c r="E30" s="27">
        <v>199129</v>
      </c>
      <c r="F30" s="24">
        <v>337.58339369999999</v>
      </c>
      <c r="G30" s="25">
        <v>1.96217689747971</v>
      </c>
      <c r="H30" s="28"/>
    </row>
    <row r="31" spans="2:8" x14ac:dyDescent="0.2">
      <c r="B31" s="22" t="s">
        <v>91</v>
      </c>
      <c r="C31" s="22" t="s">
        <v>92</v>
      </c>
      <c r="D31" s="22" t="s">
        <v>23</v>
      </c>
      <c r="E31" s="27">
        <v>7721</v>
      </c>
      <c r="F31" s="24">
        <v>334.574093</v>
      </c>
      <c r="G31" s="25">
        <v>1.9446855740873199</v>
      </c>
      <c r="H31" s="28"/>
    </row>
    <row r="32" spans="2:8" x14ac:dyDescent="0.2">
      <c r="B32" s="22" t="s">
        <v>93</v>
      </c>
      <c r="C32" s="22" t="s">
        <v>94</v>
      </c>
      <c r="D32" s="22" t="s">
        <v>18</v>
      </c>
      <c r="E32" s="27">
        <v>254543</v>
      </c>
      <c r="F32" s="24">
        <v>329.48045919999998</v>
      </c>
      <c r="G32" s="25">
        <v>1.9150792286535601</v>
      </c>
      <c r="H32" s="28"/>
    </row>
    <row r="33" spans="2:8" x14ac:dyDescent="0.2">
      <c r="B33" s="22" t="s">
        <v>95</v>
      </c>
      <c r="C33" s="22" t="s">
        <v>96</v>
      </c>
      <c r="D33" s="22" t="s">
        <v>22</v>
      </c>
      <c r="E33" s="27">
        <v>92206</v>
      </c>
      <c r="F33" s="24">
        <v>322.53658799999999</v>
      </c>
      <c r="G33" s="25">
        <v>1.8747185240040201</v>
      </c>
      <c r="H33" s="28"/>
    </row>
    <row r="34" spans="2:8" x14ac:dyDescent="0.2">
      <c r="B34" s="22" t="s">
        <v>97</v>
      </c>
      <c r="C34" s="22" t="s">
        <v>98</v>
      </c>
      <c r="D34" s="22" t="s">
        <v>20</v>
      </c>
      <c r="E34" s="27">
        <v>6846</v>
      </c>
      <c r="F34" s="24">
        <v>305.46852000000001</v>
      </c>
      <c r="G34" s="25">
        <v>1.7755117225463199</v>
      </c>
      <c r="H34" s="28"/>
    </row>
    <row r="35" spans="2:8" x14ac:dyDescent="0.2">
      <c r="B35" s="22" t="s">
        <v>99</v>
      </c>
      <c r="C35" s="22" t="s">
        <v>100</v>
      </c>
      <c r="D35" s="22" t="s">
        <v>56</v>
      </c>
      <c r="E35" s="27">
        <v>21804</v>
      </c>
      <c r="F35" s="24">
        <v>301.06963200000001</v>
      </c>
      <c r="G35" s="25">
        <v>1.74994353237678</v>
      </c>
      <c r="H35" s="28"/>
    </row>
    <row r="36" spans="2:8" x14ac:dyDescent="0.2">
      <c r="B36" s="22" t="s">
        <v>101</v>
      </c>
      <c r="C36" s="22" t="s">
        <v>102</v>
      </c>
      <c r="D36" s="22" t="s">
        <v>26</v>
      </c>
      <c r="E36" s="27">
        <v>28682</v>
      </c>
      <c r="F36" s="24">
        <v>295.30987199999998</v>
      </c>
      <c r="G36" s="25">
        <v>1.7164653808505499</v>
      </c>
      <c r="H36" s="28"/>
    </row>
    <row r="37" spans="2:8" x14ac:dyDescent="0.2">
      <c r="B37" s="22" t="s">
        <v>103</v>
      </c>
      <c r="C37" s="22" t="s">
        <v>104</v>
      </c>
      <c r="D37" s="22" t="s">
        <v>105</v>
      </c>
      <c r="E37" s="27">
        <v>47358</v>
      </c>
      <c r="F37" s="24">
        <v>285.97128300000003</v>
      </c>
      <c r="G37" s="25">
        <v>1.66218556752791</v>
      </c>
      <c r="H37" s="28"/>
    </row>
    <row r="38" spans="2:8" x14ac:dyDescent="0.2">
      <c r="B38" s="22" t="s">
        <v>106</v>
      </c>
      <c r="C38" s="22" t="s">
        <v>107</v>
      </c>
      <c r="D38" s="22" t="s">
        <v>25</v>
      </c>
      <c r="E38" s="27">
        <v>18619</v>
      </c>
      <c r="F38" s="24">
        <v>260.12604900000002</v>
      </c>
      <c r="G38" s="25">
        <v>1.5119621797334799</v>
      </c>
      <c r="H38" s="28"/>
    </row>
    <row r="39" spans="2:8" x14ac:dyDescent="0.2">
      <c r="B39" s="22" t="s">
        <v>108</v>
      </c>
      <c r="C39" s="22" t="s">
        <v>109</v>
      </c>
      <c r="D39" s="22" t="s">
        <v>24</v>
      </c>
      <c r="E39" s="27">
        <v>25610</v>
      </c>
      <c r="F39" s="24">
        <v>259.05795499999999</v>
      </c>
      <c r="G39" s="25">
        <v>1.5057539674509799</v>
      </c>
      <c r="H39" s="28"/>
    </row>
    <row r="40" spans="2:8" x14ac:dyDescent="0.2">
      <c r="B40" s="22" t="s">
        <v>110</v>
      </c>
      <c r="C40" s="22" t="s">
        <v>111</v>
      </c>
      <c r="D40" s="22" t="s">
        <v>29</v>
      </c>
      <c r="E40" s="27">
        <v>987</v>
      </c>
      <c r="F40" s="24">
        <v>257.36025000000001</v>
      </c>
      <c r="G40" s="25">
        <v>1.4958861908011101</v>
      </c>
      <c r="H40" s="28"/>
    </row>
    <row r="41" spans="2:8" x14ac:dyDescent="0.2">
      <c r="B41" s="22" t="s">
        <v>112</v>
      </c>
      <c r="C41" s="22" t="s">
        <v>113</v>
      </c>
      <c r="D41" s="22" t="s">
        <v>85</v>
      </c>
      <c r="E41" s="27">
        <v>1798</v>
      </c>
      <c r="F41" s="24">
        <v>242.80192</v>
      </c>
      <c r="G41" s="25">
        <v>1.4112670438733099</v>
      </c>
      <c r="H41" s="28"/>
    </row>
    <row r="42" spans="2:8" x14ac:dyDescent="0.2">
      <c r="B42" s="22" t="s">
        <v>114</v>
      </c>
      <c r="C42" s="22" t="s">
        <v>115</v>
      </c>
      <c r="D42" s="22" t="s">
        <v>75</v>
      </c>
      <c r="E42" s="27">
        <v>3871</v>
      </c>
      <c r="F42" s="24">
        <v>235.08582999999999</v>
      </c>
      <c r="G42" s="25">
        <v>1.3664178782466101</v>
      </c>
      <c r="H42" s="28"/>
    </row>
    <row r="43" spans="2:8" x14ac:dyDescent="0.2">
      <c r="B43" s="22" t="s">
        <v>116</v>
      </c>
      <c r="C43" s="22" t="s">
        <v>117</v>
      </c>
      <c r="D43" s="22" t="s">
        <v>63</v>
      </c>
      <c r="E43" s="27">
        <v>640</v>
      </c>
      <c r="F43" s="24">
        <v>233.12</v>
      </c>
      <c r="G43" s="25">
        <v>1.3549916461440901</v>
      </c>
      <c r="H43" s="28"/>
    </row>
    <row r="44" spans="2:8" x14ac:dyDescent="0.2">
      <c r="B44" s="22" t="s">
        <v>118</v>
      </c>
      <c r="C44" s="22" t="s">
        <v>119</v>
      </c>
      <c r="D44" s="22" t="s">
        <v>21</v>
      </c>
      <c r="E44" s="27">
        <v>10526</v>
      </c>
      <c r="F44" s="24">
        <v>227.930004</v>
      </c>
      <c r="G44" s="25">
        <v>1.32482520300956</v>
      </c>
      <c r="H44" s="28"/>
    </row>
    <row r="45" spans="2:8" x14ac:dyDescent="0.2">
      <c r="B45" s="22" t="s">
        <v>120</v>
      </c>
      <c r="C45" s="22" t="s">
        <v>121</v>
      </c>
      <c r="D45" s="22" t="s">
        <v>29</v>
      </c>
      <c r="E45" s="27">
        <v>45020</v>
      </c>
      <c r="F45" s="24">
        <v>225.28008</v>
      </c>
      <c r="G45" s="25">
        <v>1.3094227283916999</v>
      </c>
      <c r="H45" s="28"/>
    </row>
    <row r="46" spans="2:8" x14ac:dyDescent="0.2">
      <c r="B46" s="22" t="s">
        <v>122</v>
      </c>
      <c r="C46" s="22" t="s">
        <v>123</v>
      </c>
      <c r="D46" s="22" t="s">
        <v>75</v>
      </c>
      <c r="E46" s="27">
        <v>6525</v>
      </c>
      <c r="F46" s="24">
        <v>223.06365</v>
      </c>
      <c r="G46" s="25">
        <v>1.29653990351926</v>
      </c>
      <c r="H46" s="28"/>
    </row>
    <row r="47" spans="2:8" x14ac:dyDescent="0.2">
      <c r="B47" s="22" t="s">
        <v>124</v>
      </c>
      <c r="C47" s="22" t="s">
        <v>125</v>
      </c>
      <c r="D47" s="22" t="s">
        <v>24</v>
      </c>
      <c r="E47" s="27">
        <v>22629</v>
      </c>
      <c r="F47" s="24">
        <v>214.3758315</v>
      </c>
      <c r="G47" s="25">
        <v>1.2460426424918201</v>
      </c>
      <c r="H47" s="28"/>
    </row>
    <row r="48" spans="2:8" x14ac:dyDescent="0.2">
      <c r="B48" s="22" t="s">
        <v>126</v>
      </c>
      <c r="C48" s="22" t="s">
        <v>127</v>
      </c>
      <c r="D48" s="22" t="s">
        <v>105</v>
      </c>
      <c r="E48" s="27">
        <v>20767</v>
      </c>
      <c r="F48" s="24">
        <v>205.22987749999999</v>
      </c>
      <c r="G48" s="25">
        <v>1.19288250494027</v>
      </c>
      <c r="H48" s="28"/>
    </row>
    <row r="49" spans="2:9" x14ac:dyDescent="0.2">
      <c r="B49" s="22" t="s">
        <v>128</v>
      </c>
      <c r="C49" s="22" t="s">
        <v>129</v>
      </c>
      <c r="D49" s="22" t="s">
        <v>30</v>
      </c>
      <c r="E49" s="27">
        <v>32003</v>
      </c>
      <c r="F49" s="24">
        <v>193.23411400000001</v>
      </c>
      <c r="G49" s="25">
        <v>1.1231580740393601</v>
      </c>
      <c r="H49" s="28"/>
    </row>
    <row r="50" spans="2:9" x14ac:dyDescent="0.2">
      <c r="B50" s="22" t="s">
        <v>130</v>
      </c>
      <c r="C50" s="22" t="s">
        <v>131</v>
      </c>
      <c r="D50" s="22" t="s">
        <v>24</v>
      </c>
      <c r="E50" s="27">
        <v>39613</v>
      </c>
      <c r="F50" s="24">
        <v>193.21240750000001</v>
      </c>
      <c r="G50" s="25">
        <v>1.12303190671709</v>
      </c>
      <c r="H50" s="28"/>
    </row>
    <row r="51" spans="2:9" x14ac:dyDescent="0.2">
      <c r="B51" s="22" t="s">
        <v>132</v>
      </c>
      <c r="C51" s="22" t="s">
        <v>133</v>
      </c>
      <c r="D51" s="22" t="s">
        <v>75</v>
      </c>
      <c r="E51" s="27">
        <v>6529</v>
      </c>
      <c r="F51" s="24">
        <v>191.35846100000001</v>
      </c>
      <c r="G51" s="25">
        <v>1.11225598864958</v>
      </c>
      <c r="H51" s="28"/>
    </row>
    <row r="52" spans="2:9" x14ac:dyDescent="0.2">
      <c r="B52" s="22" t="s">
        <v>134</v>
      </c>
      <c r="C52" s="22" t="s">
        <v>135</v>
      </c>
      <c r="D52" s="22" t="s">
        <v>23</v>
      </c>
      <c r="E52" s="27">
        <v>18473</v>
      </c>
      <c r="F52" s="24">
        <v>170.26564099999999</v>
      </c>
      <c r="G52" s="25">
        <v>0.98965563306609705</v>
      </c>
      <c r="H52" s="28"/>
    </row>
    <row r="53" spans="2:9" x14ac:dyDescent="0.2">
      <c r="B53" s="22" t="s">
        <v>136</v>
      </c>
      <c r="C53" s="22" t="s">
        <v>137</v>
      </c>
      <c r="D53" s="22" t="s">
        <v>32</v>
      </c>
      <c r="E53" s="27">
        <v>16388</v>
      </c>
      <c r="F53" s="24">
        <v>139.19967199999999</v>
      </c>
      <c r="G53" s="25">
        <v>0.80908713411975497</v>
      </c>
      <c r="H53" s="28"/>
    </row>
    <row r="54" spans="2:9" x14ac:dyDescent="0.2">
      <c r="B54" s="22" t="s">
        <v>138</v>
      </c>
      <c r="C54" s="22" t="s">
        <v>139</v>
      </c>
      <c r="D54" s="22" t="s">
        <v>22</v>
      </c>
      <c r="E54" s="27">
        <v>131905</v>
      </c>
      <c r="F54" s="24">
        <v>136.5876275</v>
      </c>
      <c r="G54" s="25">
        <v>0.79390483111333499</v>
      </c>
      <c r="H54" s="28"/>
    </row>
    <row r="55" spans="2:9" x14ac:dyDescent="0.2">
      <c r="B55" s="22" t="s">
        <v>140</v>
      </c>
      <c r="C55" s="22" t="s">
        <v>141</v>
      </c>
      <c r="D55" s="22" t="s">
        <v>142</v>
      </c>
      <c r="E55" s="27">
        <v>5609</v>
      </c>
      <c r="F55" s="24">
        <v>124.794641</v>
      </c>
      <c r="G55" s="25">
        <v>0.72535902556001497</v>
      </c>
      <c r="H55" s="28"/>
    </row>
    <row r="56" spans="2:9" x14ac:dyDescent="0.2">
      <c r="B56" s="22" t="s">
        <v>143</v>
      </c>
      <c r="C56" s="22" t="s">
        <v>144</v>
      </c>
      <c r="D56" s="22" t="s">
        <v>22</v>
      </c>
      <c r="E56" s="27">
        <v>69129</v>
      </c>
      <c r="F56" s="24">
        <v>60.169881599999997</v>
      </c>
      <c r="G56" s="25">
        <v>0.34973269954306302</v>
      </c>
      <c r="H56" s="28"/>
    </row>
    <row r="57" spans="2:9" ht="10.5" x14ac:dyDescent="0.25">
      <c r="B57" s="21" t="s">
        <v>9</v>
      </c>
      <c r="C57" s="21"/>
      <c r="D57" s="21"/>
      <c r="E57" s="29"/>
      <c r="F57" s="30">
        <f>SUM(F7:F56)</f>
        <v>17152.605912900002</v>
      </c>
      <c r="G57" s="31">
        <f>SUM(G7:G56)</f>
        <v>99.698171420646929</v>
      </c>
      <c r="H57" s="21"/>
      <c r="I57" s="15"/>
    </row>
    <row r="58" spans="2:9" ht="10.5" x14ac:dyDescent="0.25">
      <c r="B58" s="21" t="s">
        <v>33</v>
      </c>
      <c r="C58" s="22"/>
      <c r="D58" s="22"/>
      <c r="E58" s="23"/>
      <c r="F58" s="44" t="s">
        <v>34</v>
      </c>
      <c r="G58" s="45" t="s">
        <v>34</v>
      </c>
      <c r="H58" s="22"/>
    </row>
    <row r="59" spans="2:9" ht="10.5" x14ac:dyDescent="0.25">
      <c r="B59" s="21" t="s">
        <v>9</v>
      </c>
      <c r="C59" s="21"/>
      <c r="D59" s="21"/>
      <c r="E59" s="29"/>
      <c r="F59" s="44" t="s">
        <v>34</v>
      </c>
      <c r="G59" s="45" t="s">
        <v>34</v>
      </c>
      <c r="H59" s="21"/>
      <c r="I59" s="15"/>
    </row>
    <row r="60" spans="2:9" ht="10.5" x14ac:dyDescent="0.25">
      <c r="B60" s="35" t="s">
        <v>10</v>
      </c>
      <c r="C60" s="35"/>
      <c r="D60" s="35"/>
      <c r="E60" s="36"/>
      <c r="F60" s="37">
        <f>F57</f>
        <v>17152.605912900002</v>
      </c>
      <c r="G60" s="37">
        <f>G57</f>
        <v>99.698171420646929</v>
      </c>
      <c r="H60" s="21"/>
      <c r="I60" s="15"/>
    </row>
    <row r="61" spans="2:9" ht="10.5" x14ac:dyDescent="0.25">
      <c r="B61" s="51" t="s">
        <v>15</v>
      </c>
      <c r="C61" s="21"/>
      <c r="D61" s="21"/>
      <c r="E61" s="29"/>
      <c r="F61" s="40"/>
      <c r="G61" s="41"/>
      <c r="H61" s="21"/>
      <c r="I61" s="15"/>
    </row>
    <row r="62" spans="2:9" ht="10.5" x14ac:dyDescent="0.25">
      <c r="B62" s="51" t="s">
        <v>16</v>
      </c>
      <c r="C62" s="21"/>
      <c r="D62" s="21"/>
      <c r="E62" s="29"/>
      <c r="F62" s="40"/>
      <c r="G62" s="41"/>
      <c r="H62" s="21"/>
      <c r="I62" s="15"/>
    </row>
    <row r="63" spans="2:9" ht="10.5" x14ac:dyDescent="0.25">
      <c r="B63" s="51" t="s">
        <v>152</v>
      </c>
      <c r="C63" s="21"/>
      <c r="D63" s="21"/>
      <c r="E63" s="29"/>
      <c r="F63" s="40"/>
      <c r="G63" s="41"/>
      <c r="H63" s="21"/>
      <c r="I63" s="15"/>
    </row>
    <row r="64" spans="2:9" ht="10.5" x14ac:dyDescent="0.25">
      <c r="B64" s="52" t="s">
        <v>145</v>
      </c>
      <c r="C64" s="22" t="s">
        <v>146</v>
      </c>
      <c r="D64" s="22" t="s">
        <v>8</v>
      </c>
      <c r="E64" s="27">
        <v>26520</v>
      </c>
      <c r="F64" s="24">
        <v>2.7242139999999999</v>
      </c>
      <c r="G64" s="25">
        <v>1.5834279393912E-2</v>
      </c>
      <c r="H64" s="26">
        <v>6.3299999999999995E-2</v>
      </c>
      <c r="I64" s="15"/>
    </row>
    <row r="65" spans="2:9" ht="10.5" x14ac:dyDescent="0.25">
      <c r="B65" s="51" t="s">
        <v>9</v>
      </c>
      <c r="C65" s="21"/>
      <c r="D65" s="21"/>
      <c r="E65" s="29"/>
      <c r="F65" s="33">
        <f>SUM(F63:F64)</f>
        <v>2.7242139999999999</v>
      </c>
      <c r="G65" s="34">
        <f>SUM(G63:G64)</f>
        <v>1.5834279393912E-2</v>
      </c>
      <c r="H65" s="32"/>
      <c r="I65" s="15"/>
    </row>
    <row r="66" spans="2:9" ht="10.5" x14ac:dyDescent="0.25">
      <c r="B66" s="21" t="s">
        <v>33</v>
      </c>
      <c r="C66" s="21"/>
      <c r="D66" s="21"/>
      <c r="E66" s="29"/>
      <c r="F66" s="57" t="s">
        <v>34</v>
      </c>
      <c r="G66" s="58" t="s">
        <v>34</v>
      </c>
      <c r="H66" s="21"/>
      <c r="I66" s="15"/>
    </row>
    <row r="67" spans="2:9" ht="10.5" x14ac:dyDescent="0.25">
      <c r="B67" s="53" t="s">
        <v>10</v>
      </c>
      <c r="C67" s="54"/>
      <c r="D67" s="54"/>
      <c r="E67" s="54"/>
      <c r="F67" s="55">
        <f>F65</f>
        <v>2.7242139999999999</v>
      </c>
      <c r="G67" s="56">
        <f>G65</f>
        <v>1.5834279393912E-2</v>
      </c>
      <c r="H67" s="21"/>
      <c r="I67" s="15"/>
    </row>
    <row r="68" spans="2:9" ht="10.5" x14ac:dyDescent="0.25">
      <c r="B68" s="21" t="s">
        <v>11</v>
      </c>
      <c r="C68" s="21"/>
      <c r="D68" s="21"/>
      <c r="E68" s="29"/>
      <c r="F68" s="30">
        <v>107.5331391</v>
      </c>
      <c r="G68" s="31">
        <v>0.62502790478787895</v>
      </c>
      <c r="H68" s="28">
        <v>4.9299999999999997E-2</v>
      </c>
      <c r="I68" s="16"/>
    </row>
    <row r="69" spans="2:9" x14ac:dyDescent="0.2">
      <c r="B69" s="22"/>
      <c r="C69" s="22"/>
      <c r="D69" s="22"/>
      <c r="E69" s="23"/>
      <c r="F69" s="24"/>
      <c r="G69" s="25"/>
      <c r="H69" s="22"/>
    </row>
    <row r="70" spans="2:9" ht="10.5" x14ac:dyDescent="0.25">
      <c r="B70" s="42" t="s">
        <v>13</v>
      </c>
      <c r="C70" s="42"/>
      <c r="D70" s="42"/>
      <c r="E70" s="43"/>
      <c r="F70" s="30">
        <f>F71-(F57+F67+F68)</f>
        <v>-58.329152200003591</v>
      </c>
      <c r="G70" s="30">
        <f>G71-(G57+G67+G68)</f>
        <v>-0.33903360482872813</v>
      </c>
      <c r="H70" s="21"/>
      <c r="I70" s="15"/>
    </row>
    <row r="71" spans="2:9" ht="10.5" x14ac:dyDescent="0.25">
      <c r="B71" s="38" t="s">
        <v>12</v>
      </c>
      <c r="C71" s="38"/>
      <c r="D71" s="38"/>
      <c r="E71" s="39"/>
      <c r="F71" s="40">
        <v>17204.5341138</v>
      </c>
      <c r="G71" s="41">
        <v>100</v>
      </c>
      <c r="H71" s="46"/>
      <c r="I71" s="15"/>
    </row>
    <row r="72" spans="2:9" ht="10.5" x14ac:dyDescent="0.25">
      <c r="B72" s="15" t="s">
        <v>147</v>
      </c>
    </row>
    <row r="75" spans="2:9" ht="10.5" x14ac:dyDescent="0.25">
      <c r="B75" s="15" t="s">
        <v>14</v>
      </c>
      <c r="E75" s="8"/>
      <c r="G75" s="48"/>
    </row>
    <row r="76" spans="2:9" x14ac:dyDescent="0.2">
      <c r="E76" s="8"/>
      <c r="G76" s="48"/>
    </row>
    <row r="77" spans="2:9" x14ac:dyDescent="0.2">
      <c r="E77" s="8"/>
      <c r="G77" s="48"/>
    </row>
    <row r="78" spans="2:9" x14ac:dyDescent="0.2">
      <c r="E78" s="8"/>
      <c r="G78" s="48"/>
    </row>
    <row r="79" spans="2:9" x14ac:dyDescent="0.2">
      <c r="E79" s="8"/>
      <c r="G79" s="48"/>
    </row>
    <row r="80" spans="2:9" x14ac:dyDescent="0.2">
      <c r="E80" s="8"/>
      <c r="G80" s="48"/>
    </row>
    <row r="81" spans="2:7" x14ac:dyDescent="0.2">
      <c r="E81" s="8"/>
      <c r="G81" s="48"/>
    </row>
    <row r="82" spans="2:7" x14ac:dyDescent="0.2">
      <c r="E82" s="8"/>
      <c r="G82" s="48"/>
    </row>
    <row r="83" spans="2:7" x14ac:dyDescent="0.2">
      <c r="E83" s="8"/>
      <c r="G83" s="48"/>
    </row>
    <row r="84" spans="2:7" x14ac:dyDescent="0.2">
      <c r="E84" s="8"/>
      <c r="G84" s="48"/>
    </row>
    <row r="85" spans="2:7" x14ac:dyDescent="0.2">
      <c r="E85" s="8"/>
      <c r="G85" s="48"/>
    </row>
    <row r="86" spans="2:7" x14ac:dyDescent="0.2">
      <c r="E86" s="8"/>
      <c r="G86" s="48"/>
    </row>
    <row r="87" spans="2:7" x14ac:dyDescent="0.2">
      <c r="E87" s="8"/>
      <c r="G87" s="48"/>
    </row>
    <row r="88" spans="2:7" x14ac:dyDescent="0.2">
      <c r="E88" s="8"/>
      <c r="G88" s="48"/>
    </row>
    <row r="89" spans="2:7" x14ac:dyDescent="0.2">
      <c r="E89" s="8"/>
      <c r="G89" s="48"/>
    </row>
    <row r="90" spans="2:7" x14ac:dyDescent="0.2">
      <c r="E90" s="8"/>
      <c r="G90" s="48"/>
    </row>
    <row r="91" spans="2:7" ht="10.5" x14ac:dyDescent="0.2">
      <c r="B91" s="49" t="s">
        <v>149</v>
      </c>
      <c r="E91" s="8"/>
      <c r="G91" s="48"/>
    </row>
    <row r="92" spans="2:7" ht="10.5" x14ac:dyDescent="0.25">
      <c r="B92" s="50" t="s">
        <v>150</v>
      </c>
      <c r="E92" s="8"/>
      <c r="G92" s="48"/>
    </row>
    <row r="93" spans="2:7" x14ac:dyDescent="0.2">
      <c r="E93" s="8"/>
      <c r="G93" s="48"/>
    </row>
    <row r="94" spans="2:7" x14ac:dyDescent="0.2">
      <c r="E94" s="8"/>
      <c r="G94" s="48"/>
    </row>
    <row r="95" spans="2:7" x14ac:dyDescent="0.2">
      <c r="E95" s="8"/>
      <c r="G95" s="48"/>
    </row>
    <row r="96" spans="2:7" x14ac:dyDescent="0.2">
      <c r="E96" s="8"/>
      <c r="G96" s="48"/>
    </row>
    <row r="97" spans="5:7" x14ac:dyDescent="0.2">
      <c r="E97" s="8"/>
      <c r="G97" s="48"/>
    </row>
    <row r="98" spans="5:7" x14ac:dyDescent="0.2">
      <c r="E98" s="8"/>
      <c r="G98" s="48"/>
    </row>
    <row r="99" spans="5:7" x14ac:dyDescent="0.2">
      <c r="E99" s="8"/>
      <c r="G99" s="48"/>
    </row>
    <row r="100" spans="5:7" x14ac:dyDescent="0.2">
      <c r="E100" s="8"/>
      <c r="G100" s="48"/>
    </row>
    <row r="101" spans="5:7" x14ac:dyDescent="0.2">
      <c r="E101" s="8"/>
      <c r="G101" s="48"/>
    </row>
    <row r="102" spans="5:7" x14ac:dyDescent="0.2">
      <c r="E102" s="8"/>
      <c r="G102" s="48"/>
    </row>
    <row r="103" spans="5:7" x14ac:dyDescent="0.2">
      <c r="E103" s="8"/>
      <c r="G103" s="48"/>
    </row>
    <row r="104" spans="5:7" x14ac:dyDescent="0.2">
      <c r="E104" s="8"/>
      <c r="G104" s="48"/>
    </row>
    <row r="105" spans="5:7" x14ac:dyDescent="0.2">
      <c r="E105" s="8"/>
      <c r="G105" s="48"/>
    </row>
    <row r="106" spans="5:7" x14ac:dyDescent="0.2">
      <c r="E106" s="8"/>
      <c r="G106" s="48"/>
    </row>
    <row r="107" spans="5:7" x14ac:dyDescent="0.2">
      <c r="E107" s="8"/>
      <c r="G107" s="48"/>
    </row>
    <row r="108" spans="5:7" x14ac:dyDescent="0.2">
      <c r="E108" s="8"/>
      <c r="G108" s="48"/>
    </row>
    <row r="109" spans="5:7" x14ac:dyDescent="0.2">
      <c r="E109" s="8"/>
      <c r="G109" s="48"/>
    </row>
    <row r="110" spans="5:7" x14ac:dyDescent="0.2">
      <c r="E110" s="8"/>
      <c r="G110" s="48"/>
    </row>
    <row r="111" spans="5:7" x14ac:dyDescent="0.2">
      <c r="E111" s="8"/>
      <c r="G111" s="48"/>
    </row>
    <row r="112" spans="5:7" x14ac:dyDescent="0.2">
      <c r="E112" s="8"/>
      <c r="G112" s="48"/>
    </row>
    <row r="113" spans="5:7" x14ac:dyDescent="0.2">
      <c r="E113" s="8"/>
      <c r="G113" s="48"/>
    </row>
    <row r="114" spans="5:7" x14ac:dyDescent="0.2">
      <c r="E114" s="8"/>
      <c r="G114" s="48"/>
    </row>
    <row r="115" spans="5:7" x14ac:dyDescent="0.2">
      <c r="E115" s="8"/>
      <c r="G115" s="48"/>
    </row>
    <row r="116" spans="5:7" x14ac:dyDescent="0.2">
      <c r="E116" s="8"/>
      <c r="G116" s="48"/>
    </row>
    <row r="117" spans="5:7" x14ac:dyDescent="0.2">
      <c r="E117" s="8"/>
      <c r="G117" s="48"/>
    </row>
    <row r="118" spans="5:7" x14ac:dyDescent="0.2">
      <c r="E118" s="8"/>
      <c r="G118" s="48"/>
    </row>
    <row r="119" spans="5:7" x14ac:dyDescent="0.2">
      <c r="E119" s="8"/>
      <c r="G119" s="48"/>
    </row>
    <row r="120" spans="5:7" x14ac:dyDescent="0.2">
      <c r="E120" s="8"/>
      <c r="G120" s="48"/>
    </row>
    <row r="121" spans="5:7" x14ac:dyDescent="0.2">
      <c r="E121" s="8"/>
      <c r="G121" s="48"/>
    </row>
    <row r="122" spans="5:7" x14ac:dyDescent="0.2">
      <c r="E122" s="8"/>
      <c r="G122" s="48"/>
    </row>
    <row r="123" spans="5:7" x14ac:dyDescent="0.2">
      <c r="E123" s="8"/>
      <c r="G123" s="48"/>
    </row>
    <row r="124" spans="5:7" x14ac:dyDescent="0.2">
      <c r="E124" s="8"/>
      <c r="G124" s="48"/>
    </row>
    <row r="125" spans="5:7" x14ac:dyDescent="0.2">
      <c r="E125" s="8"/>
      <c r="G125" s="48"/>
    </row>
    <row r="126" spans="5:7" x14ac:dyDescent="0.2">
      <c r="E126" s="8"/>
      <c r="G126" s="48"/>
    </row>
    <row r="127" spans="5:7" x14ac:dyDescent="0.2">
      <c r="E127" s="8"/>
      <c r="G127" s="48"/>
    </row>
    <row r="128" spans="5:7" x14ac:dyDescent="0.2">
      <c r="E128" s="8"/>
      <c r="G128" s="48"/>
    </row>
    <row r="129" spans="5:7" x14ac:dyDescent="0.2">
      <c r="E129" s="8"/>
      <c r="G129" s="48"/>
    </row>
    <row r="130" spans="5:7" x14ac:dyDescent="0.2">
      <c r="E130" s="8"/>
      <c r="G130" s="48"/>
    </row>
    <row r="131" spans="5:7" x14ac:dyDescent="0.2">
      <c r="E131" s="8"/>
      <c r="G131" s="48"/>
    </row>
    <row r="132" spans="5:7" x14ac:dyDescent="0.2">
      <c r="E132" s="8"/>
      <c r="G132" s="48"/>
    </row>
    <row r="133" spans="5:7" x14ac:dyDescent="0.2">
      <c r="E133" s="8"/>
      <c r="G133" s="48"/>
    </row>
    <row r="134" spans="5:7" x14ac:dyDescent="0.2">
      <c r="E134" s="8"/>
      <c r="G134" s="48"/>
    </row>
    <row r="135" spans="5:7" x14ac:dyDescent="0.2">
      <c r="E135" s="8"/>
      <c r="G135" s="48"/>
    </row>
    <row r="136" spans="5:7" x14ac:dyDescent="0.2">
      <c r="E136" s="8"/>
      <c r="G136" s="48"/>
    </row>
    <row r="137" spans="5:7" x14ac:dyDescent="0.2">
      <c r="E137" s="8"/>
      <c r="G137" s="48"/>
    </row>
    <row r="138" spans="5:7" x14ac:dyDescent="0.2">
      <c r="E138" s="8"/>
      <c r="G138" s="48"/>
    </row>
    <row r="139" spans="5:7" x14ac:dyDescent="0.2">
      <c r="E139" s="8"/>
      <c r="G139" s="48"/>
    </row>
    <row r="140" spans="5:7" x14ac:dyDescent="0.2">
      <c r="E140" s="8"/>
      <c r="G140" s="48"/>
    </row>
    <row r="141" spans="5:7" x14ac:dyDescent="0.2">
      <c r="E141" s="8"/>
      <c r="G141" s="48"/>
    </row>
    <row r="142" spans="5:7" x14ac:dyDescent="0.2">
      <c r="E142" s="8"/>
      <c r="G142" s="48"/>
    </row>
    <row r="143" spans="5:7" x14ac:dyDescent="0.2">
      <c r="E143" s="8"/>
      <c r="G143" s="48"/>
    </row>
    <row r="144" spans="5:7" x14ac:dyDescent="0.2">
      <c r="E144" s="8"/>
      <c r="G144" s="48"/>
    </row>
    <row r="145" spans="5:7" x14ac:dyDescent="0.2">
      <c r="E145" s="8"/>
      <c r="G145" s="48"/>
    </row>
    <row r="146" spans="5:7" x14ac:dyDescent="0.2">
      <c r="E146" s="8"/>
      <c r="G146" s="48"/>
    </row>
    <row r="147" spans="5:7" x14ac:dyDescent="0.2">
      <c r="E147" s="8"/>
      <c r="G147" s="48"/>
    </row>
    <row r="148" spans="5:7" x14ac:dyDescent="0.2">
      <c r="E148" s="8"/>
      <c r="G148" s="48"/>
    </row>
    <row r="149" spans="5:7" x14ac:dyDescent="0.2">
      <c r="E149" s="8"/>
      <c r="G149" s="48"/>
    </row>
    <row r="150" spans="5:7" x14ac:dyDescent="0.2">
      <c r="E150" s="8"/>
      <c r="G150" s="48"/>
    </row>
    <row r="151" spans="5:7" x14ac:dyDescent="0.2">
      <c r="E151" s="8"/>
      <c r="G151" s="48"/>
    </row>
    <row r="152" spans="5:7" x14ac:dyDescent="0.2">
      <c r="E152" s="8"/>
      <c r="G152" s="48"/>
    </row>
    <row r="153" spans="5:7" x14ac:dyDescent="0.2">
      <c r="E153" s="8"/>
      <c r="G153" s="48"/>
    </row>
    <row r="154" spans="5:7" x14ac:dyDescent="0.2">
      <c r="E154" s="8"/>
      <c r="G154" s="48"/>
    </row>
    <row r="155" spans="5:7" x14ac:dyDescent="0.2">
      <c r="E155" s="8"/>
      <c r="G155" s="48"/>
    </row>
    <row r="156" spans="5:7" x14ac:dyDescent="0.2">
      <c r="E156" s="8"/>
      <c r="G156" s="48"/>
    </row>
    <row r="157" spans="5:7" x14ac:dyDescent="0.2">
      <c r="E157" s="8"/>
      <c r="G157" s="48"/>
    </row>
    <row r="158" spans="5:7" x14ac:dyDescent="0.2">
      <c r="E158" s="8"/>
      <c r="G158" s="48"/>
    </row>
    <row r="159" spans="5:7" x14ac:dyDescent="0.2">
      <c r="E159" s="8"/>
      <c r="G159" s="48"/>
    </row>
    <row r="160" spans="5:7" x14ac:dyDescent="0.2">
      <c r="E160" s="8"/>
      <c r="G160" s="48"/>
    </row>
    <row r="161" spans="5:7" x14ac:dyDescent="0.2">
      <c r="E161" s="8"/>
      <c r="G161" s="48"/>
    </row>
    <row r="162" spans="5:7" x14ac:dyDescent="0.2">
      <c r="E162" s="8"/>
      <c r="G162" s="48"/>
    </row>
    <row r="163" spans="5:7" x14ac:dyDescent="0.2">
      <c r="E163" s="8"/>
      <c r="G163" s="48"/>
    </row>
    <row r="164" spans="5:7" x14ac:dyDescent="0.2">
      <c r="E164" s="8"/>
      <c r="G164" s="48"/>
    </row>
    <row r="165" spans="5:7" x14ac:dyDescent="0.2">
      <c r="E165" s="8"/>
      <c r="G165" s="48"/>
    </row>
    <row r="166" spans="5:7" x14ac:dyDescent="0.2">
      <c r="E166" s="8"/>
      <c r="G166" s="48"/>
    </row>
    <row r="167" spans="5:7" x14ac:dyDescent="0.2">
      <c r="E167" s="8"/>
      <c r="G167" s="48"/>
    </row>
    <row r="168" spans="5:7" x14ac:dyDescent="0.2">
      <c r="E168" s="8"/>
      <c r="G168" s="48"/>
    </row>
    <row r="169" spans="5:7" x14ac:dyDescent="0.2">
      <c r="E169" s="8"/>
      <c r="G169" s="48"/>
    </row>
    <row r="170" spans="5:7" x14ac:dyDescent="0.2">
      <c r="E170" s="8"/>
      <c r="G170" s="48"/>
    </row>
    <row r="171" spans="5:7" x14ac:dyDescent="0.2">
      <c r="E171" s="8"/>
      <c r="G171" s="48"/>
    </row>
    <row r="172" spans="5:7" x14ac:dyDescent="0.2">
      <c r="E172" s="8"/>
      <c r="G172" s="48"/>
    </row>
    <row r="173" spans="5:7" x14ac:dyDescent="0.2">
      <c r="E173" s="8"/>
      <c r="G173" s="48"/>
    </row>
    <row r="174" spans="5:7" x14ac:dyDescent="0.2">
      <c r="E174" s="8"/>
      <c r="G174" s="48"/>
    </row>
    <row r="175" spans="5:7" x14ac:dyDescent="0.2">
      <c r="E175" s="8"/>
      <c r="G175" s="48"/>
    </row>
    <row r="176" spans="5:7" x14ac:dyDescent="0.2">
      <c r="E176" s="8"/>
      <c r="G176" s="48"/>
    </row>
    <row r="177" spans="5:7" x14ac:dyDescent="0.2">
      <c r="E177" s="8"/>
      <c r="G177" s="48"/>
    </row>
    <row r="178" spans="5:7" x14ac:dyDescent="0.2">
      <c r="E178" s="8"/>
      <c r="G178" s="48"/>
    </row>
    <row r="179" spans="5:7" x14ac:dyDescent="0.2">
      <c r="E179" s="8"/>
      <c r="G179" s="48"/>
    </row>
    <row r="180" spans="5:7" x14ac:dyDescent="0.2">
      <c r="E180" s="8"/>
      <c r="G180" s="48"/>
    </row>
    <row r="181" spans="5:7" x14ac:dyDescent="0.2">
      <c r="E181" s="8"/>
      <c r="G181" s="48"/>
    </row>
    <row r="182" spans="5:7" x14ac:dyDescent="0.2">
      <c r="E182" s="8"/>
      <c r="G182" s="48"/>
    </row>
    <row r="183" spans="5:7" x14ac:dyDescent="0.2">
      <c r="E183" s="8"/>
      <c r="G183" s="48"/>
    </row>
    <row r="184" spans="5:7" x14ac:dyDescent="0.2">
      <c r="E184" s="8"/>
      <c r="G184" s="48"/>
    </row>
    <row r="185" spans="5:7" x14ac:dyDescent="0.2">
      <c r="E185" s="8"/>
      <c r="G185" s="48"/>
    </row>
    <row r="186" spans="5:7" x14ac:dyDescent="0.2">
      <c r="E186" s="8"/>
      <c r="G186" s="48"/>
    </row>
    <row r="187" spans="5:7" x14ac:dyDescent="0.2">
      <c r="E187" s="8"/>
      <c r="G187" s="48"/>
    </row>
    <row r="188" spans="5:7" x14ac:dyDescent="0.2">
      <c r="E188" s="8"/>
      <c r="G188" s="48"/>
    </row>
    <row r="189" spans="5:7" x14ac:dyDescent="0.2">
      <c r="E189" s="8"/>
      <c r="G189" s="48"/>
    </row>
    <row r="190" spans="5:7" x14ac:dyDescent="0.2">
      <c r="E190" s="8"/>
      <c r="G190" s="48"/>
    </row>
    <row r="191" spans="5:7" x14ac:dyDescent="0.2">
      <c r="E191" s="8"/>
      <c r="G191" s="48"/>
    </row>
    <row r="192" spans="5:7" x14ac:dyDescent="0.2">
      <c r="E192" s="8"/>
      <c r="G192" s="48"/>
    </row>
    <row r="193" spans="5:7" x14ac:dyDescent="0.2">
      <c r="E193" s="8"/>
      <c r="G193" s="48"/>
    </row>
    <row r="194" spans="5:7" x14ac:dyDescent="0.2">
      <c r="E194" s="8"/>
      <c r="G194" s="48"/>
    </row>
    <row r="195" spans="5:7" x14ac:dyDescent="0.2">
      <c r="E195" s="8"/>
      <c r="G195" s="48"/>
    </row>
    <row r="196" spans="5:7" x14ac:dyDescent="0.2">
      <c r="E196" s="8"/>
      <c r="G196" s="48"/>
    </row>
    <row r="197" spans="5:7" x14ac:dyDescent="0.2">
      <c r="E197" s="8"/>
      <c r="G197" s="48"/>
    </row>
    <row r="198" spans="5:7" x14ac:dyDescent="0.2">
      <c r="E198" s="8"/>
      <c r="G198" s="48"/>
    </row>
    <row r="199" spans="5:7" x14ac:dyDescent="0.2">
      <c r="E199" s="8"/>
      <c r="G199" s="48"/>
    </row>
    <row r="200" spans="5:7" x14ac:dyDescent="0.2">
      <c r="E200" s="8"/>
      <c r="G200" s="48"/>
    </row>
    <row r="201" spans="5:7" x14ac:dyDescent="0.2">
      <c r="E201" s="8"/>
      <c r="G201" s="48"/>
    </row>
    <row r="202" spans="5:7" x14ac:dyDescent="0.2">
      <c r="E202" s="8"/>
      <c r="G202" s="48"/>
    </row>
    <row r="203" spans="5:7" x14ac:dyDescent="0.2">
      <c r="E203" s="8"/>
      <c r="G203" s="48"/>
    </row>
    <row r="204" spans="5:7" x14ac:dyDescent="0.2">
      <c r="E204" s="8"/>
      <c r="G204" s="48"/>
    </row>
    <row r="205" spans="5:7" x14ac:dyDescent="0.2">
      <c r="E205" s="8"/>
      <c r="G205" s="48"/>
    </row>
    <row r="206" spans="5:7" x14ac:dyDescent="0.2">
      <c r="E206" s="8"/>
      <c r="G206" s="48"/>
    </row>
    <row r="207" spans="5:7" x14ac:dyDescent="0.2">
      <c r="E207" s="8"/>
      <c r="G207" s="48"/>
    </row>
    <row r="208" spans="5:7" x14ac:dyDescent="0.2">
      <c r="E208" s="8"/>
      <c r="G208" s="48"/>
    </row>
    <row r="209" spans="5:7" x14ac:dyDescent="0.2">
      <c r="E209" s="8"/>
      <c r="G209" s="48"/>
    </row>
    <row r="210" spans="5:7" x14ac:dyDescent="0.2">
      <c r="E210" s="8"/>
      <c r="G210" s="48"/>
    </row>
    <row r="211" spans="5:7" x14ac:dyDescent="0.2">
      <c r="E211" s="8"/>
      <c r="G211" s="48"/>
    </row>
    <row r="212" spans="5:7" x14ac:dyDescent="0.2">
      <c r="E212" s="8"/>
      <c r="G212" s="48"/>
    </row>
    <row r="213" spans="5:7" x14ac:dyDescent="0.2">
      <c r="E213" s="8"/>
      <c r="G213" s="48"/>
    </row>
    <row r="214" spans="5:7" x14ac:dyDescent="0.2">
      <c r="E214" s="8"/>
      <c r="G214" s="48"/>
    </row>
    <row r="215" spans="5:7" x14ac:dyDescent="0.2">
      <c r="E215" s="8"/>
      <c r="G215" s="48"/>
    </row>
    <row r="216" spans="5:7" x14ac:dyDescent="0.2">
      <c r="E216" s="8"/>
      <c r="G216" s="48"/>
    </row>
    <row r="217" spans="5:7" x14ac:dyDescent="0.2">
      <c r="E217" s="8"/>
      <c r="G217" s="48"/>
    </row>
    <row r="218" spans="5:7" x14ac:dyDescent="0.2">
      <c r="E218" s="8"/>
      <c r="G218" s="48"/>
    </row>
    <row r="219" spans="5:7" x14ac:dyDescent="0.2">
      <c r="E219" s="8"/>
      <c r="G219" s="48"/>
    </row>
    <row r="220" spans="5:7" x14ac:dyDescent="0.2">
      <c r="E220" s="8"/>
      <c r="G220" s="48"/>
    </row>
    <row r="221" spans="5:7" x14ac:dyDescent="0.2">
      <c r="E221" s="8"/>
      <c r="G221" s="48"/>
    </row>
    <row r="222" spans="5:7" x14ac:dyDescent="0.2">
      <c r="E222" s="8"/>
      <c r="G222" s="48"/>
    </row>
    <row r="223" spans="5:7" x14ac:dyDescent="0.2">
      <c r="E223" s="8"/>
      <c r="G223" s="48"/>
    </row>
    <row r="224" spans="5:7" x14ac:dyDescent="0.2">
      <c r="E224" s="8"/>
      <c r="G224" s="48"/>
    </row>
    <row r="225" spans="5:7" x14ac:dyDescent="0.2">
      <c r="E225" s="8"/>
      <c r="G225" s="48"/>
    </row>
    <row r="226" spans="5:7" x14ac:dyDescent="0.2">
      <c r="E226" s="8"/>
      <c r="G226" s="48"/>
    </row>
    <row r="227" spans="5:7" x14ac:dyDescent="0.2">
      <c r="E227" s="8"/>
      <c r="G227" s="48"/>
    </row>
    <row r="228" spans="5:7" x14ac:dyDescent="0.2">
      <c r="E228" s="8"/>
      <c r="G228" s="48"/>
    </row>
    <row r="229" spans="5:7" x14ac:dyDescent="0.2">
      <c r="E229" s="8"/>
      <c r="G229" s="48"/>
    </row>
    <row r="230" spans="5:7" x14ac:dyDescent="0.2">
      <c r="E230" s="8"/>
      <c r="G230" s="48"/>
    </row>
    <row r="231" spans="5:7" x14ac:dyDescent="0.2">
      <c r="E231" s="8"/>
      <c r="G231" s="48"/>
    </row>
    <row r="232" spans="5:7" x14ac:dyDescent="0.2">
      <c r="E232" s="8"/>
      <c r="G232" s="48"/>
    </row>
    <row r="233" spans="5:7" x14ac:dyDescent="0.2">
      <c r="E233" s="8"/>
      <c r="G233" s="48"/>
    </row>
    <row r="234" spans="5:7" x14ac:dyDescent="0.2">
      <c r="E234" s="8"/>
      <c r="G234" s="48"/>
    </row>
    <row r="235" spans="5:7" x14ac:dyDescent="0.2">
      <c r="E235" s="8"/>
      <c r="G235" s="48"/>
    </row>
    <row r="236" spans="5:7" x14ac:dyDescent="0.2">
      <c r="E236" s="8"/>
      <c r="G236" s="48"/>
    </row>
    <row r="237" spans="5:7" x14ac:dyDescent="0.2">
      <c r="E237" s="8"/>
      <c r="G237" s="48"/>
    </row>
    <row r="238" spans="5:7" x14ac:dyDescent="0.2">
      <c r="E238" s="8"/>
      <c r="G238" s="48"/>
    </row>
    <row r="239" spans="5:7" x14ac:dyDescent="0.2">
      <c r="E239" s="8"/>
      <c r="G239" s="48"/>
    </row>
    <row r="240" spans="5:7" x14ac:dyDescent="0.2">
      <c r="E240" s="8"/>
      <c r="G240" s="48"/>
    </row>
    <row r="241" spans="5:7" x14ac:dyDescent="0.2">
      <c r="E241" s="8"/>
      <c r="G241" s="48"/>
    </row>
    <row r="242" spans="5:7" x14ac:dyDescent="0.2">
      <c r="E242" s="8"/>
      <c r="G242" s="48"/>
    </row>
    <row r="243" spans="5:7" x14ac:dyDescent="0.2">
      <c r="E243" s="8"/>
      <c r="G243" s="48"/>
    </row>
    <row r="244" spans="5:7" x14ac:dyDescent="0.2">
      <c r="E244" s="8"/>
      <c r="G244" s="48"/>
    </row>
    <row r="245" spans="5:7" x14ac:dyDescent="0.2">
      <c r="E245" s="8"/>
      <c r="G245" s="48"/>
    </row>
    <row r="246" spans="5:7" x14ac:dyDescent="0.2">
      <c r="E246" s="8"/>
      <c r="G246" s="48"/>
    </row>
    <row r="247" spans="5:7" x14ac:dyDescent="0.2">
      <c r="E247" s="8"/>
      <c r="G247" s="48"/>
    </row>
    <row r="248" spans="5:7" x14ac:dyDescent="0.2">
      <c r="E248" s="8"/>
      <c r="G248" s="48"/>
    </row>
    <row r="249" spans="5:7" x14ac:dyDescent="0.2">
      <c r="E249" s="8"/>
      <c r="G249" s="48"/>
    </row>
    <row r="250" spans="5:7" x14ac:dyDescent="0.2">
      <c r="E250" s="8"/>
      <c r="G250" s="48"/>
    </row>
    <row r="251" spans="5:7" x14ac:dyDescent="0.2">
      <c r="E251" s="8"/>
      <c r="G251" s="48"/>
    </row>
    <row r="252" spans="5:7" x14ac:dyDescent="0.2">
      <c r="E252" s="8"/>
      <c r="G252" s="48"/>
    </row>
    <row r="253" spans="5:7" x14ac:dyDescent="0.2">
      <c r="E253" s="8"/>
      <c r="G253" s="48"/>
    </row>
    <row r="254" spans="5:7" x14ac:dyDescent="0.2">
      <c r="E254" s="8"/>
      <c r="G254" s="48"/>
    </row>
    <row r="255" spans="5:7" x14ac:dyDescent="0.2">
      <c r="E255" s="8"/>
      <c r="G255" s="48"/>
    </row>
    <row r="256" spans="5:7" x14ac:dyDescent="0.2">
      <c r="E256" s="8"/>
      <c r="G256" s="48"/>
    </row>
    <row r="257" spans="5:7" x14ac:dyDescent="0.2">
      <c r="E257" s="8"/>
      <c r="G257" s="48"/>
    </row>
    <row r="258" spans="5:7" x14ac:dyDescent="0.2">
      <c r="E258" s="8"/>
      <c r="G258" s="48"/>
    </row>
    <row r="259" spans="5:7" x14ac:dyDescent="0.2">
      <c r="E259" s="8"/>
      <c r="G259" s="48"/>
    </row>
    <row r="260" spans="5:7" x14ac:dyDescent="0.2">
      <c r="E260" s="8"/>
      <c r="G260" s="48"/>
    </row>
    <row r="261" spans="5:7" x14ac:dyDescent="0.2">
      <c r="E261" s="8"/>
      <c r="G261" s="48"/>
    </row>
    <row r="262" spans="5:7" x14ac:dyDescent="0.2">
      <c r="E262" s="8"/>
      <c r="G262" s="48"/>
    </row>
    <row r="263" spans="5:7" x14ac:dyDescent="0.2">
      <c r="E263" s="8"/>
      <c r="G263" s="48"/>
    </row>
    <row r="264" spans="5:7" x14ac:dyDescent="0.2">
      <c r="E264" s="8"/>
      <c r="G264" s="48"/>
    </row>
    <row r="265" spans="5:7" x14ac:dyDescent="0.2">
      <c r="E265" s="8"/>
      <c r="G265" s="48"/>
    </row>
    <row r="266" spans="5:7" x14ac:dyDescent="0.2">
      <c r="E266" s="8"/>
      <c r="G266" s="48"/>
    </row>
    <row r="267" spans="5:7" x14ac:dyDescent="0.2">
      <c r="E267" s="8"/>
      <c r="G267" s="48"/>
    </row>
    <row r="268" spans="5:7" x14ac:dyDescent="0.2">
      <c r="E268" s="8"/>
      <c r="G268" s="48"/>
    </row>
    <row r="269" spans="5:7" x14ac:dyDescent="0.2">
      <c r="E269" s="8"/>
      <c r="G269" s="48"/>
    </row>
    <row r="270" spans="5:7" x14ac:dyDescent="0.2">
      <c r="E270" s="8"/>
      <c r="G270" s="48"/>
    </row>
    <row r="271" spans="5:7" x14ac:dyDescent="0.2">
      <c r="E271" s="8"/>
      <c r="G271" s="48"/>
    </row>
    <row r="272" spans="5:7" x14ac:dyDescent="0.2">
      <c r="E272" s="8"/>
      <c r="G272" s="48"/>
    </row>
    <row r="273" spans="5:7" x14ac:dyDescent="0.2">
      <c r="E273" s="8"/>
      <c r="G273" s="48"/>
    </row>
    <row r="274" spans="5:7" x14ac:dyDescent="0.2">
      <c r="E274" s="8"/>
      <c r="G274" s="48"/>
    </row>
    <row r="275" spans="5:7" x14ac:dyDescent="0.2">
      <c r="E275" s="8"/>
      <c r="G275" s="48"/>
    </row>
    <row r="276" spans="5:7" x14ac:dyDescent="0.2">
      <c r="E276" s="8"/>
      <c r="G276" s="48"/>
    </row>
    <row r="277" spans="5:7" x14ac:dyDescent="0.2">
      <c r="E277" s="8"/>
      <c r="G277" s="48"/>
    </row>
    <row r="278" spans="5:7" x14ac:dyDescent="0.2">
      <c r="E278" s="8"/>
      <c r="G278" s="48"/>
    </row>
    <row r="279" spans="5:7" x14ac:dyDescent="0.2">
      <c r="E279" s="8"/>
      <c r="G279" s="48"/>
    </row>
    <row r="280" spans="5:7" x14ac:dyDescent="0.2">
      <c r="E280" s="8"/>
      <c r="G280" s="48"/>
    </row>
    <row r="281" spans="5:7" x14ac:dyDescent="0.2">
      <c r="E281" s="8"/>
      <c r="G281" s="48"/>
    </row>
    <row r="282" spans="5:7" x14ac:dyDescent="0.2">
      <c r="E282" s="8"/>
      <c r="G282" s="48"/>
    </row>
    <row r="283" spans="5:7" x14ac:dyDescent="0.2">
      <c r="E283" s="8"/>
      <c r="G283" s="48"/>
    </row>
    <row r="284" spans="5:7" x14ac:dyDescent="0.2">
      <c r="E284" s="8"/>
      <c r="G284" s="48"/>
    </row>
    <row r="285" spans="5:7" x14ac:dyDescent="0.2">
      <c r="E285" s="8"/>
      <c r="G285" s="48"/>
    </row>
    <row r="286" spans="5:7" x14ac:dyDescent="0.2">
      <c r="E286" s="8"/>
      <c r="G286" s="48"/>
    </row>
    <row r="287" spans="5:7" x14ac:dyDescent="0.2">
      <c r="E287" s="8"/>
      <c r="G287" s="48"/>
    </row>
    <row r="288" spans="5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  <row r="407" spans="5:7" x14ac:dyDescent="0.2">
      <c r="E407" s="8"/>
      <c r="G407" s="48"/>
    </row>
    <row r="408" spans="5:7" x14ac:dyDescent="0.2">
      <c r="E408" s="8"/>
      <c r="G408" s="48"/>
    </row>
    <row r="409" spans="5:7" x14ac:dyDescent="0.2">
      <c r="E409" s="8"/>
      <c r="G409" s="48"/>
    </row>
    <row r="410" spans="5:7" x14ac:dyDescent="0.2">
      <c r="E410" s="8"/>
      <c r="G410" s="48"/>
    </row>
    <row r="411" spans="5:7" x14ac:dyDescent="0.2">
      <c r="E411" s="8"/>
      <c r="G411" s="48"/>
    </row>
    <row r="412" spans="5:7" x14ac:dyDescent="0.2">
      <c r="E412" s="8"/>
      <c r="G412" s="48"/>
    </row>
    <row r="413" spans="5:7" x14ac:dyDescent="0.2">
      <c r="E413" s="8"/>
      <c r="G413" s="48"/>
    </row>
  </sheetData>
  <mergeCells count="1">
    <mergeCell ref="B1:C1"/>
  </mergeCells>
  <conditionalFormatting sqref="G1:G3 G5:G59 G71:G107">
    <cfRule type="cellIs" dxfId="1" priority="3" stopIfTrue="1" operator="between">
      <formula>0.009</formula>
      <formula>-0.009</formula>
    </cfRule>
  </conditionalFormatting>
  <conditionalFormatting sqref="G61:G69">
    <cfRule type="cellIs" dxfId="0" priority="1" stopIfTrue="1" operator="between">
      <formula>0.009</formula>
      <formula>-0.009</formula>
    </cfRule>
  </conditionalFormatting>
  <hyperlinks>
    <hyperlink ref="A2" location="Index!A1" display="-" xr:uid="{36BC494F-72E5-44A3-A2FE-C3291C5D72E1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8" min="1" max="7" man="1"/>
  </rowBreaks>
  <colBreaks count="1" manualBreakCount="1">
    <brk id="8" max="4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