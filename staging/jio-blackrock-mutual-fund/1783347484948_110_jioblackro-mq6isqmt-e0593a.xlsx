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7C3AFB44-3D3D-40F7-9C1C-E0D258421EB8}" xr6:coauthVersionLast="47" xr6:coauthVersionMax="47" xr10:uidLastSave="{00000000-0000-0000-0000-000000000000}"/>
  <bookViews>
    <workbookView xWindow="-110" yWindow="-110" windowWidth="19420" windowHeight="11500" xr2:uid="{7291B499-DD8C-4F12-BA28-9EE7F24AB421}"/>
  </bookViews>
  <sheets>
    <sheet name="JBNNX50" sheetId="11" r:id="rId1"/>
  </sheets>
  <definedNames>
    <definedName name="_xlnm.Print_Area" localSheetId="0">JBNNX50!$B$1:$H$128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1" i="11" l="1"/>
  <c r="G64" i="11" s="1"/>
  <c r="F61" i="11"/>
  <c r="F67" i="11" s="1"/>
  <c r="G67" i="11" l="1"/>
  <c r="F64" i="11"/>
</calcChain>
</file>

<file path=xl/sharedStrings.xml><?xml version="1.0" encoding="utf-8"?>
<sst xmlns="http://schemas.openxmlformats.org/spreadsheetml/2006/main" count="202" uniqueCount="171">
  <si>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</si>
  <si>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</si>
  <si>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</si>
  <si>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</si>
  <si>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</si>
  <si>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</si>
  <si>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May 31, 2026</t>
  </si>
  <si>
    <t>JioBlackRock Nifty Next 50 Index Fund</t>
  </si>
  <si>
    <t>Equity &amp; Equity related</t>
  </si>
  <si>
    <t>(a) Listed / awaiting listing on Stock Exchanges</t>
  </si>
  <si>
    <t>Banks</t>
  </si>
  <si>
    <t>Petroleum Products</t>
  </si>
  <si>
    <t>Automobiles</t>
  </si>
  <si>
    <t>IT - Software</t>
  </si>
  <si>
    <t>Power</t>
  </si>
  <si>
    <t>Indian Oil Corporation Ltd</t>
  </si>
  <si>
    <t>INE242A01010</t>
  </si>
  <si>
    <t>Food Products</t>
  </si>
  <si>
    <t>Britannia Industries Ltd</t>
  </si>
  <si>
    <t>INE216A01030</t>
  </si>
  <si>
    <t>Ferrous Metals</t>
  </si>
  <si>
    <t>Auto Components</t>
  </si>
  <si>
    <t>Cement &amp; Cement Products</t>
  </si>
  <si>
    <t>Capital Markets</t>
  </si>
  <si>
    <t>Pharmaceuticals &amp; Biotechnology</t>
  </si>
  <si>
    <t>Retailing</t>
  </si>
  <si>
    <t>Agricultural, Commercial &amp; Construction Vehicles</t>
  </si>
  <si>
    <t>Oil</t>
  </si>
  <si>
    <t>Samvardhana Motherson International Ltd</t>
  </si>
  <si>
    <t>INE775A01035</t>
  </si>
  <si>
    <t>Vedanta Ltd</t>
  </si>
  <si>
    <t>INE205A01025</t>
  </si>
  <si>
    <t>Diversified Metals</t>
  </si>
  <si>
    <t>Tata Motors Ltd</t>
  </si>
  <si>
    <t>INE1TAE01010</t>
  </si>
  <si>
    <t>Finance</t>
  </si>
  <si>
    <t>Bharat Petroleum Corporation Ltd</t>
  </si>
  <si>
    <t>INE029A01011</t>
  </si>
  <si>
    <t>INE1CDF01017</t>
  </si>
  <si>
    <t>Non - Ferrous Metals</t>
  </si>
  <si>
    <t>INE694L01019</t>
  </si>
  <si>
    <t>INE704J01044</t>
  </si>
  <si>
    <t>INE1CLE01013</t>
  </si>
  <si>
    <t>Beverages</t>
  </si>
  <si>
    <t>United Spirits Ltd</t>
  </si>
  <si>
    <t>INE854D01024</t>
  </si>
  <si>
    <t>Ltm Ltd</t>
  </si>
  <si>
    <t>INE214T01019</t>
  </si>
  <si>
    <t>Electrical Equipment</t>
  </si>
  <si>
    <t>Sub Total</t>
  </si>
  <si>
    <t xml:space="preserve">(b) Unlisted </t>
  </si>
  <si>
    <t>NIL</t>
  </si>
  <si>
    <t>Total</t>
  </si>
  <si>
    <t>TREPS</t>
  </si>
  <si>
    <t>Grand Total</t>
  </si>
  <si>
    <t>Net Receivables / (Payables)</t>
  </si>
  <si>
    <t>Industry Classification</t>
  </si>
  <si>
    <t>Notes</t>
  </si>
  <si>
    <t xml:space="preserve">Scheme Risk-O-Meter </t>
  </si>
  <si>
    <t>** Non Traded Security</t>
  </si>
  <si>
    <t>Aerospace &amp; Defense</t>
  </si>
  <si>
    <t>Adani Power Ltd</t>
  </si>
  <si>
    <t>INE814H01029</t>
  </si>
  <si>
    <t>Divi's Laboratories Ltd</t>
  </si>
  <si>
    <t>INE361B01024</t>
  </si>
  <si>
    <t>Hindustan Aeronautics Ltd</t>
  </si>
  <si>
    <t>INE066F01020</t>
  </si>
  <si>
    <t>Cummins India Ltd</t>
  </si>
  <si>
    <t>INE298A01020</t>
  </si>
  <si>
    <t>Industrial Products</t>
  </si>
  <si>
    <t>TVS Motor Co Ltd</t>
  </si>
  <si>
    <t>INE494B01023</t>
  </si>
  <si>
    <t>Varun Beverages Ltd</t>
  </si>
  <si>
    <t>INE200M01039</t>
  </si>
  <si>
    <t>Tata Power Co Ltd</t>
  </si>
  <si>
    <t>INE245A01021</t>
  </si>
  <si>
    <t>Cholamandalam Investment and Finance Co Ltd</t>
  </si>
  <si>
    <t>INE121A01024</t>
  </si>
  <si>
    <t>CG Power and Industrial Solutions Ltd</t>
  </si>
  <si>
    <t>INE067A01029</t>
  </si>
  <si>
    <t>Power Finance Corporation Ltd</t>
  </si>
  <si>
    <t>INE134E01011</t>
  </si>
  <si>
    <t>Avenue Supermarts Ltd</t>
  </si>
  <si>
    <t>INE192R01011</t>
  </si>
  <si>
    <t>Indian Hotels Co Ltd</t>
  </si>
  <si>
    <t>INE053A01029</t>
  </si>
  <si>
    <t>Leisure Services</t>
  </si>
  <si>
    <t>HDFC Asset Management Co Ltd</t>
  </si>
  <si>
    <t>INE127D01025</t>
  </si>
  <si>
    <t>Adani Energy Solutions Ltd</t>
  </si>
  <si>
    <t>INE931S01010</t>
  </si>
  <si>
    <t>Bank of Baroda</t>
  </si>
  <si>
    <t>INE028A01039</t>
  </si>
  <si>
    <t>Adani Green Energy Ltd</t>
  </si>
  <si>
    <t>INE364U01010</t>
  </si>
  <si>
    <t>Torrent Pharmaceuticals Ltd</t>
  </si>
  <si>
    <t>INE685A01028</t>
  </si>
  <si>
    <t>Pidilite Industries Ltd</t>
  </si>
  <si>
    <t>INE318A01026</t>
  </si>
  <si>
    <t>Chemicals &amp; Petrochemicals</t>
  </si>
  <si>
    <t>Bajaj Holdings &amp; Investment Ltd</t>
  </si>
  <si>
    <t>INE118A01012</t>
  </si>
  <si>
    <t>Jindal Steel Ltd</t>
  </si>
  <si>
    <t>INE749A01030</t>
  </si>
  <si>
    <t>Solar Industries India Ltd</t>
  </si>
  <si>
    <t>INE343H01029</t>
  </si>
  <si>
    <t>GAIL (India) Ltd</t>
  </si>
  <si>
    <t>INE129A01019</t>
  </si>
  <si>
    <t>Gas</t>
  </si>
  <si>
    <t>Canara Bank</t>
  </si>
  <si>
    <t>INE476A01022</t>
  </si>
  <si>
    <t>REC Ltd</t>
  </si>
  <si>
    <t>INE020B01018</t>
  </si>
  <si>
    <t>Godrej Consumer Products Ltd</t>
  </si>
  <si>
    <t>INE102D01028</t>
  </si>
  <si>
    <t>Personal Products</t>
  </si>
  <si>
    <t>ABB India Ltd</t>
  </si>
  <si>
    <t>INE117A01022</t>
  </si>
  <si>
    <t>DLF Ltd</t>
  </si>
  <si>
    <t>INE271C01023</t>
  </si>
  <si>
    <t>Realty</t>
  </si>
  <si>
    <t>Punjab National Bank</t>
  </si>
  <si>
    <t>INE160A01022</t>
  </si>
  <si>
    <t>Muthoot Finance Ltd</t>
  </si>
  <si>
    <t>INE414G01012</t>
  </si>
  <si>
    <t>Siemens Energy India ltd</t>
  </si>
  <si>
    <t>INE1NPP01017</t>
  </si>
  <si>
    <t>Siemens Ltd</t>
  </si>
  <si>
    <t>INE003A01024</t>
  </si>
  <si>
    <t>Shree Cement Ltd</t>
  </si>
  <si>
    <t>INE070A01015</t>
  </si>
  <si>
    <t>Union Bank Of India</t>
  </si>
  <si>
    <t>INE692A01016</t>
  </si>
  <si>
    <t>Bosch Ltd</t>
  </si>
  <si>
    <t>INE323A01026</t>
  </si>
  <si>
    <t>Hindustan Zinc Ltd</t>
  </si>
  <si>
    <t>INE267A01025</t>
  </si>
  <si>
    <t>Hyundai Motor India Ltd</t>
  </si>
  <si>
    <t>INE0V6F01027</t>
  </si>
  <si>
    <t>Ambuja Cements Ltd</t>
  </si>
  <si>
    <t>INE079A01024</t>
  </si>
  <si>
    <t>Zydus Lifesciences Ltd</t>
  </si>
  <si>
    <t>INE010B01027</t>
  </si>
  <si>
    <t>Lodha Developers Ltd</t>
  </si>
  <si>
    <t>INE670K01029</t>
  </si>
  <si>
    <t>Indian Railway Finance Corporation Ltd</t>
  </si>
  <si>
    <t>INE053F01010</t>
  </si>
  <si>
    <t>Mazagon Dock Shipbuilders Ltd</t>
  </si>
  <si>
    <t>INE249Z01020</t>
  </si>
  <si>
    <t>Industrial Manufacturing</t>
  </si>
  <si>
    <t>Tata Capital Ltd</t>
  </si>
  <si>
    <t>INE976I01016</t>
  </si>
  <si>
    <t>Benchmark Risk-O-Meter</t>
  </si>
  <si>
    <t>Benchmark Name - NIFTY Next 50 Index (TRI)</t>
  </si>
  <si>
    <t>-</t>
  </si>
  <si>
    <t>(1) There is no security which is in default beyond its maturity/ interest payment date.</t>
  </si>
  <si>
    <t>Plan/ Option</t>
  </si>
  <si>
    <t>As on April 30, 2026</t>
  </si>
  <si>
    <t>Direct Plan - Growth Option</t>
  </si>
  <si>
    <t>(2) Aggregate value of illiquid equity shares of the fund amounts to Rs. Nil and their percentage to net asset value is Nil.</t>
  </si>
  <si>
    <t>(3) Plan/ Option wise per unit net asset value are as follows:</t>
  </si>
  <si>
    <t>(4) There was no distribution (of income and capital) during the month ended May 31, 2026.</t>
  </si>
  <si>
    <t>(6) Total market value of investments in foreign securities/ American Depository Receipts/ Global Depository Receipts as at May 31, 2026 is Rs. Nil.</t>
  </si>
  <si>
    <t>(8) Repo transactions in corporate debt securities as on May 31, 2026 is Rs. Nil.</t>
  </si>
  <si>
    <t>As on May 29, 2026</t>
  </si>
  <si>
    <t>(5) Total outstanding exposure in derivative instruments as on May 31, 2026 is Rs. Nil.</t>
  </si>
  <si>
    <t>(7) During the period, the portfolio turnover ratio is 0.32 times.</t>
  </si>
  <si>
    <t>Vedanta Aluminium Metal Ltd **</t>
  </si>
  <si>
    <t>Talwandi Sabo Power Ltd **</t>
  </si>
  <si>
    <t>Malco Energy Ltd **</t>
  </si>
  <si>
    <t>Vedanta Iron And Steel Ltd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</si>
</sst>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6" formatCode="#,##0.0000"/>
  </numFmts>
  <fonts count="12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4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39" fontId="6" fillId="3" borderId="0" xfId="0" applyNumberFormat="1" applyFont="1" applyFill="1" applyBorder="1"/>
    <xf numFmtId="0" fontId="5" fillId="2" borderId="0" xfId="0" applyFont="1" applyFill="1"/>
    <xf numFmtId="164" fontId="6" fillId="2" borderId="0" xfId="0" applyNumberFormat="1" applyFont="1" applyFill="1"/>
    <xf numFmtId="0" fontId="5" fillId="2" borderId="0" xfId="0" applyNumberFormat="1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3" fontId="6" fillId="2" borderId="2" xfId="0" applyNumberFormat="1" applyFont="1" applyFill="1" applyBorder="1"/>
    <xf numFmtId="164" fontId="6" fillId="2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39" fontId="5" fillId="2" borderId="2" xfId="0" applyNumberFormat="1" applyFont="1" applyFill="1" applyBorder="1" applyAlignment="1">
      <alignment horizontal="right"/>
    </xf>
    <xf numFmtId="39" fontId="5" fillId="3" borderId="2" xfId="0" applyNumberFormat="1" applyFont="1" applyFill="1" applyBorder="1" applyAlignment="1">
      <alignment horizontal="right"/>
    </xf>
    <xf numFmtId="39" fontId="5" fillId="2" borderId="4" xfId="0" applyNumberFormat="1" applyFont="1" applyFill="1" applyBorder="1" applyAlignment="1">
      <alignment horizontal="right"/>
    </xf>
    <xf numFmtId="39" fontId="5" fillId="3" borderId="4" xfId="0" applyNumberFormat="1" applyFont="1" applyFill="1" applyBorder="1" applyAlignment="1">
      <alignment horizontal="right"/>
    </xf>
    <xf numFmtId="0" fontId="5" fillId="2" borderId="5" xfId="0" applyFont="1" applyFill="1" applyBorder="1"/>
    <xf numFmtId="0" fontId="5" fillId="2" borderId="5" xfId="0" applyNumberFormat="1" applyFont="1" applyFill="1" applyBorder="1"/>
    <xf numFmtId="39" fontId="5" fillId="2" borderId="5" xfId="0" applyNumberFormat="1" applyFont="1" applyFill="1" applyBorder="1"/>
    <xf numFmtId="39" fontId="5" fillId="3" borderId="5" xfId="0" applyNumberFormat="1" applyFont="1" applyFill="1" applyBorder="1"/>
    <xf numFmtId="0" fontId="5" fillId="2" borderId="6" xfId="0" applyFont="1" applyFill="1" applyBorder="1"/>
    <xf numFmtId="0" fontId="5" fillId="2" borderId="6" xfId="0" applyNumberFormat="1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0" fontId="5" fillId="2" borderId="7" xfId="0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0" fontId="5" fillId="2" borderId="0" xfId="0" applyFont="1" applyFill="1" applyAlignment="1">
      <alignment horizontal="right"/>
    </xf>
    <xf numFmtId="166" fontId="6" fillId="2" borderId="0" xfId="0" applyNumberFormat="1" applyFont="1" applyFill="1"/>
    <xf numFmtId="0" fontId="10" fillId="2" borderId="1" xfId="0" applyFont="1" applyFill="1" applyBorder="1" applyAlignment="1">
      <alignment horizontal="center" vertical="center" wrapText="1"/>
    </xf>
    <xf numFmtId="0" fontId="9" fillId="2" borderId="0" xfId="1" applyFill="1"/>
    <xf numFmtId="39" fontId="6" fillId="3" borderId="0" xfId="0" applyNumberFormat="1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6" fillId="2" borderId="0" xfId="0" applyFont="1" applyFill="1" applyAlignment="1">
      <alignment vertical="center"/>
    </xf>
    <xf numFmtId="0" fontId="6" fillId="2" borderId="6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5" fillId="0" borderId="6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/>
    </xf>
    <xf numFmtId="2" fontId="6" fillId="0" borderId="6" xfId="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/>
  </cellXfs>
  <cellStyles count="2">
    <cellStyle name="Hyperlink" xfId="1" builtinId="8"/>
    <cellStyle name="Normal" xfId="0" builtinId="0"/>
  </cellStyles>
  <dxfs count="2">
    <dxf>
      <numFmt numFmtId="172" formatCode="&quot;0.00*&quot;"/>
    </dxf>
    <dxf>
      <numFmt numFmtId="172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95</xdr:row>
      <xdr:rowOff>104775</xdr:rowOff>
    </xdr:from>
    <xdr:to>
      <xdr:col>2</xdr:col>
      <xdr:colOff>804333</xdr:colOff>
      <xdr:row>109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A6D9BF-11BE-484D-88A9-A4E557158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900" y="11750675"/>
          <a:ext cx="4013200" cy="175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762000</xdr:colOff>
      <xdr:row>112</xdr:row>
      <xdr:rowOff>19050</xdr:rowOff>
    </xdr:from>
    <xdr:to>
      <xdr:col>2</xdr:col>
      <xdr:colOff>701675</xdr:colOff>
      <xdr:row>126</xdr:row>
      <xdr:rowOff>101601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2062B2-F669-433A-90E5-49E95B8CC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3650" y="13836650"/>
          <a:ext cx="3622675" cy="1860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241DA-4AF1-4D1B-AFBF-B7B50D3E947C}">
  <dimension ref="A1:I128"/>
  <sheetViews>
    <sheetView tabSelected="1" view="pageBreakPreview" zoomScaleNormal="100" zoomScaleSheetLayoutView="100" workbookViewId="0"/>
  </sheetViews>
  <sheetFormatPr defaultColWidth="9.08984375" defaultRowHeight="10" x14ac:dyDescent="0.2"/>
  <cols>
    <col min="1" max="1" width="7.1796875" style="8" customWidth="1"/>
    <col min="2" max="2" width="52.7265625" style="8" bestFit="1" customWidth="1"/>
    <col min="3" max="3" width="18.453125" style="8" bestFit="1" customWidth="1"/>
    <col min="4" max="4" width="35.54296875" style="8" bestFit="1" customWidth="1"/>
    <col min="5" max="5" width="13.90625" style="9" bestFit="1" customWidth="1"/>
    <col min="6" max="6" width="12.7265625" style="11" bestFit="1" customWidth="1"/>
    <col min="7" max="7" width="6.7265625" style="14" bestFit="1" customWidth="1"/>
    <col min="8" max="8" width="13.90625" style="8" bestFit="1" customWidth="1"/>
    <col min="9" max="16384" width="9.08984375" style="8"/>
  </cols>
  <sheetData>
    <row r="1" spans="1:9" s="1" customFormat="1" ht="16.75" customHeight="1" x14ac:dyDescent="0.35">
      <c r="B1" s="62" t="s">
        <v>7</v>
      </c>
      <c r="C1" s="63"/>
      <c r="D1" s="13"/>
      <c r="E1" s="6"/>
      <c r="F1" s="7"/>
      <c r="G1" s="14"/>
    </row>
    <row r="2" spans="1:9" s="1" customFormat="1" ht="14.5" x14ac:dyDescent="0.35">
      <c r="A2" s="51" t="s">
        <v>154</v>
      </c>
      <c r="E2" s="6"/>
      <c r="F2" s="7"/>
      <c r="G2" s="14"/>
    </row>
    <row r="3" spans="1:9" s="1" customFormat="1" ht="11.5" x14ac:dyDescent="0.25">
      <c r="B3" s="10" t="s">
        <v>6</v>
      </c>
      <c r="C3" s="2"/>
      <c r="D3" s="3"/>
      <c r="E3" s="4"/>
      <c r="F3" s="5"/>
      <c r="G3" s="14"/>
    </row>
    <row r="4" spans="1:9" s="1" customFormat="1" ht="25.5" customHeight="1" x14ac:dyDescent="0.25">
      <c r="B4" s="18" t="s">
        <v>4</v>
      </c>
      <c r="C4" s="18" t="s">
        <v>5</v>
      </c>
      <c r="D4" s="19" t="s">
        <v>56</v>
      </c>
      <c r="E4" s="20" t="s">
        <v>0</v>
      </c>
      <c r="F4" s="21" t="s">
        <v>1</v>
      </c>
      <c r="G4" s="22" t="s">
        <v>2</v>
      </c>
      <c r="H4" s="50" t="s">
        <v>3</v>
      </c>
      <c r="I4" s="12"/>
    </row>
    <row r="5" spans="1:9" ht="10.5" x14ac:dyDescent="0.25">
      <c r="B5" s="23" t="s">
        <v>8</v>
      </c>
      <c r="C5" s="24"/>
      <c r="D5" s="24"/>
      <c r="E5" s="25"/>
      <c r="F5" s="26"/>
      <c r="G5" s="27"/>
      <c r="H5" s="24"/>
    </row>
    <row r="6" spans="1:9" ht="10.5" x14ac:dyDescent="0.25">
      <c r="B6" s="23" t="s">
        <v>9</v>
      </c>
      <c r="C6" s="24"/>
      <c r="D6" s="24"/>
      <c r="E6" s="25"/>
      <c r="F6" s="26"/>
      <c r="G6" s="27"/>
      <c r="H6" s="24"/>
    </row>
    <row r="7" spans="1:9" x14ac:dyDescent="0.2">
      <c r="B7" s="24" t="s">
        <v>61</v>
      </c>
      <c r="C7" s="24" t="s">
        <v>62</v>
      </c>
      <c r="D7" s="24" t="s">
        <v>14</v>
      </c>
      <c r="E7" s="28">
        <v>324092</v>
      </c>
      <c r="F7" s="26">
        <v>788.74270039999999</v>
      </c>
      <c r="G7" s="27">
        <v>4.0016958929032</v>
      </c>
      <c r="H7" s="29"/>
    </row>
    <row r="8" spans="1:9" x14ac:dyDescent="0.2">
      <c r="B8" s="24" t="s">
        <v>63</v>
      </c>
      <c r="C8" s="24" t="s">
        <v>64</v>
      </c>
      <c r="D8" s="24" t="s">
        <v>24</v>
      </c>
      <c r="E8" s="28">
        <v>9957</v>
      </c>
      <c r="F8" s="26">
        <v>663.83318999999995</v>
      </c>
      <c r="G8" s="27">
        <v>3.36796593952457</v>
      </c>
      <c r="H8" s="29"/>
    </row>
    <row r="9" spans="1:9" x14ac:dyDescent="0.2">
      <c r="B9" s="24" t="s">
        <v>65</v>
      </c>
      <c r="C9" s="24" t="s">
        <v>66</v>
      </c>
      <c r="D9" s="24" t="s">
        <v>60</v>
      </c>
      <c r="E9" s="28">
        <v>14866</v>
      </c>
      <c r="F9" s="26">
        <v>639.802908</v>
      </c>
      <c r="G9" s="27">
        <v>3.24604800515137</v>
      </c>
      <c r="H9" s="29"/>
    </row>
    <row r="10" spans="1:9" x14ac:dyDescent="0.2">
      <c r="B10" s="24" t="s">
        <v>67</v>
      </c>
      <c r="C10" s="24" t="s">
        <v>68</v>
      </c>
      <c r="D10" s="24" t="s">
        <v>69</v>
      </c>
      <c r="E10" s="28">
        <v>10584</v>
      </c>
      <c r="F10" s="26">
        <v>622.44503999999995</v>
      </c>
      <c r="G10" s="27">
        <v>3.1579826461313401</v>
      </c>
      <c r="H10" s="29"/>
    </row>
    <row r="11" spans="1:9" x14ac:dyDescent="0.2">
      <c r="B11" s="24" t="s">
        <v>33</v>
      </c>
      <c r="C11" s="24" t="s">
        <v>34</v>
      </c>
      <c r="D11" s="24" t="s">
        <v>26</v>
      </c>
      <c r="E11" s="28">
        <v>163760</v>
      </c>
      <c r="F11" s="26">
        <v>621.4692</v>
      </c>
      <c r="G11" s="27">
        <v>3.15303170976369</v>
      </c>
      <c r="H11" s="29"/>
    </row>
    <row r="12" spans="1:9" x14ac:dyDescent="0.2">
      <c r="B12" s="24" t="s">
        <v>70</v>
      </c>
      <c r="C12" s="24" t="s">
        <v>71</v>
      </c>
      <c r="D12" s="24" t="s">
        <v>12</v>
      </c>
      <c r="E12" s="28">
        <v>18402</v>
      </c>
      <c r="F12" s="26">
        <v>617.51591399999995</v>
      </c>
      <c r="G12" s="27">
        <v>3.1329746641115999</v>
      </c>
      <c r="H12" s="29"/>
    </row>
    <row r="13" spans="1:9" x14ac:dyDescent="0.2">
      <c r="B13" s="24" t="s">
        <v>72</v>
      </c>
      <c r="C13" s="24" t="s">
        <v>73</v>
      </c>
      <c r="D13" s="24" t="s">
        <v>43</v>
      </c>
      <c r="E13" s="28">
        <v>107238</v>
      </c>
      <c r="F13" s="26">
        <v>566.21663999999998</v>
      </c>
      <c r="G13" s="27">
        <v>2.87270715992981</v>
      </c>
      <c r="H13" s="29"/>
    </row>
    <row r="14" spans="1:9" x14ac:dyDescent="0.2">
      <c r="B14" s="24" t="s">
        <v>74</v>
      </c>
      <c r="C14" s="24" t="s">
        <v>75</v>
      </c>
      <c r="D14" s="24" t="s">
        <v>14</v>
      </c>
      <c r="E14" s="28">
        <v>131175</v>
      </c>
      <c r="F14" s="26">
        <v>551.91881249999994</v>
      </c>
      <c r="G14" s="27">
        <v>2.8001669544164298</v>
      </c>
      <c r="H14" s="29"/>
    </row>
    <row r="15" spans="1:9" x14ac:dyDescent="0.2">
      <c r="B15" s="24" t="s">
        <v>76</v>
      </c>
      <c r="C15" s="24" t="s">
        <v>77</v>
      </c>
      <c r="D15" s="24" t="s">
        <v>35</v>
      </c>
      <c r="E15" s="28">
        <v>33557</v>
      </c>
      <c r="F15" s="26">
        <v>516.005989</v>
      </c>
      <c r="G15" s="27">
        <v>2.6179627980678202</v>
      </c>
      <c r="H15" s="29"/>
    </row>
    <row r="16" spans="1:9" x14ac:dyDescent="0.2">
      <c r="B16" s="24" t="s">
        <v>28</v>
      </c>
      <c r="C16" s="24" t="s">
        <v>29</v>
      </c>
      <c r="D16" s="24" t="s">
        <v>21</v>
      </c>
      <c r="E16" s="28">
        <v>346784</v>
      </c>
      <c r="F16" s="26">
        <v>505.40300159999998</v>
      </c>
      <c r="G16" s="27">
        <v>2.5641684097209398</v>
      </c>
      <c r="H16" s="29"/>
    </row>
    <row r="17" spans="2:8" x14ac:dyDescent="0.2">
      <c r="B17" s="24" t="s">
        <v>78</v>
      </c>
      <c r="C17" s="24" t="s">
        <v>79</v>
      </c>
      <c r="D17" s="24" t="s">
        <v>48</v>
      </c>
      <c r="E17" s="28">
        <v>53759</v>
      </c>
      <c r="F17" s="26">
        <v>493.21194550000001</v>
      </c>
      <c r="G17" s="27">
        <v>2.5023169350882402</v>
      </c>
      <c r="H17" s="29"/>
    </row>
    <row r="18" spans="2:8" x14ac:dyDescent="0.2">
      <c r="B18" s="24" t="s">
        <v>80</v>
      </c>
      <c r="C18" s="24" t="s">
        <v>81</v>
      </c>
      <c r="D18" s="24" t="s">
        <v>35</v>
      </c>
      <c r="E18" s="28">
        <v>114094</v>
      </c>
      <c r="F18" s="26">
        <v>489.00688400000001</v>
      </c>
      <c r="G18" s="27">
        <v>2.4809825033078599</v>
      </c>
      <c r="H18" s="29"/>
    </row>
    <row r="19" spans="2:8" x14ac:dyDescent="0.2">
      <c r="B19" s="24" t="s">
        <v>18</v>
      </c>
      <c r="C19" s="24" t="s">
        <v>19</v>
      </c>
      <c r="D19" s="24" t="s">
        <v>17</v>
      </c>
      <c r="E19" s="28">
        <v>9232</v>
      </c>
      <c r="F19" s="26">
        <v>480.47944000000001</v>
      </c>
      <c r="G19" s="27">
        <v>2.4377184101955498</v>
      </c>
      <c r="H19" s="29"/>
    </row>
    <row r="20" spans="2:8" x14ac:dyDescent="0.2">
      <c r="B20" s="24" t="s">
        <v>36</v>
      </c>
      <c r="C20" s="24" t="s">
        <v>37</v>
      </c>
      <c r="D20" s="24" t="s">
        <v>11</v>
      </c>
      <c r="E20" s="28">
        <v>158804</v>
      </c>
      <c r="F20" s="26">
        <v>473.394724</v>
      </c>
      <c r="G20" s="27">
        <v>2.4017740155213301</v>
      </c>
      <c r="H20" s="29"/>
    </row>
    <row r="21" spans="2:8" x14ac:dyDescent="0.2">
      <c r="B21" s="24" t="s">
        <v>30</v>
      </c>
      <c r="C21" s="24" t="s">
        <v>31</v>
      </c>
      <c r="D21" s="24" t="s">
        <v>32</v>
      </c>
      <c r="E21" s="28">
        <v>133141</v>
      </c>
      <c r="F21" s="26">
        <v>469.45516600000002</v>
      </c>
      <c r="G21" s="27">
        <v>2.3817866190478498</v>
      </c>
      <c r="H21" s="29"/>
    </row>
    <row r="22" spans="2:8" x14ac:dyDescent="0.2">
      <c r="B22" s="24" t="s">
        <v>82</v>
      </c>
      <c r="C22" s="24" t="s">
        <v>83</v>
      </c>
      <c r="D22" s="24" t="s">
        <v>25</v>
      </c>
      <c r="E22" s="28">
        <v>11536</v>
      </c>
      <c r="F22" s="26">
        <v>467.72712000000001</v>
      </c>
      <c r="G22" s="27">
        <v>2.3730193561908499</v>
      </c>
      <c r="H22" s="29"/>
    </row>
    <row r="23" spans="2:8" x14ac:dyDescent="0.2">
      <c r="B23" s="24" t="s">
        <v>84</v>
      </c>
      <c r="C23" s="24" t="s">
        <v>85</v>
      </c>
      <c r="D23" s="24" t="s">
        <v>86</v>
      </c>
      <c r="E23" s="28">
        <v>68805</v>
      </c>
      <c r="F23" s="26">
        <v>450.15671250000003</v>
      </c>
      <c r="G23" s="27">
        <v>2.2838756753761502</v>
      </c>
      <c r="H23" s="29"/>
    </row>
    <row r="24" spans="2:8" x14ac:dyDescent="0.2">
      <c r="B24" s="24" t="s">
        <v>87</v>
      </c>
      <c r="C24" s="24" t="s">
        <v>88</v>
      </c>
      <c r="D24" s="24" t="s">
        <v>23</v>
      </c>
      <c r="E24" s="28">
        <v>15964</v>
      </c>
      <c r="F24" s="26">
        <v>426.925252</v>
      </c>
      <c r="G24" s="27">
        <v>2.16601057181088</v>
      </c>
      <c r="H24" s="29"/>
    </row>
    <row r="25" spans="2:8" x14ac:dyDescent="0.2">
      <c r="B25" s="24" t="s">
        <v>89</v>
      </c>
      <c r="C25" s="24" t="s">
        <v>90</v>
      </c>
      <c r="D25" s="24" t="s">
        <v>14</v>
      </c>
      <c r="E25" s="28">
        <v>27183</v>
      </c>
      <c r="F25" s="26">
        <v>411.36033900000001</v>
      </c>
      <c r="G25" s="27">
        <v>2.08704179226604</v>
      </c>
      <c r="H25" s="29"/>
    </row>
    <row r="26" spans="2:8" x14ac:dyDescent="0.2">
      <c r="B26" s="24" t="s">
        <v>15</v>
      </c>
      <c r="C26" s="24" t="s">
        <v>16</v>
      </c>
      <c r="D26" s="24" t="s">
        <v>11</v>
      </c>
      <c r="E26" s="28">
        <v>292760</v>
      </c>
      <c r="F26" s="26">
        <v>410.56662399999999</v>
      </c>
      <c r="G26" s="27">
        <v>2.08301486934932</v>
      </c>
      <c r="H26" s="29"/>
    </row>
    <row r="27" spans="2:8" x14ac:dyDescent="0.2">
      <c r="B27" s="24" t="s">
        <v>91</v>
      </c>
      <c r="C27" s="24" t="s">
        <v>92</v>
      </c>
      <c r="D27" s="24" t="s">
        <v>10</v>
      </c>
      <c r="E27" s="28">
        <v>145369</v>
      </c>
      <c r="F27" s="26">
        <v>390.315765</v>
      </c>
      <c r="G27" s="27">
        <v>1.98027188453695</v>
      </c>
      <c r="H27" s="29"/>
    </row>
    <row r="28" spans="2:8" x14ac:dyDescent="0.2">
      <c r="B28" s="24" t="s">
        <v>93</v>
      </c>
      <c r="C28" s="24" t="s">
        <v>94</v>
      </c>
      <c r="D28" s="24" t="s">
        <v>14</v>
      </c>
      <c r="E28" s="28">
        <v>26270</v>
      </c>
      <c r="F28" s="26">
        <v>387.58758</v>
      </c>
      <c r="G28" s="27">
        <v>1.9664304040338101</v>
      </c>
      <c r="H28" s="29"/>
    </row>
    <row r="29" spans="2:8" x14ac:dyDescent="0.2">
      <c r="B29" s="24" t="s">
        <v>95</v>
      </c>
      <c r="C29" s="24" t="s">
        <v>96</v>
      </c>
      <c r="D29" s="24" t="s">
        <v>24</v>
      </c>
      <c r="E29" s="28">
        <v>8196</v>
      </c>
      <c r="F29" s="26">
        <v>361.50916799999999</v>
      </c>
      <c r="G29" s="27">
        <v>1.8341212566516401</v>
      </c>
      <c r="H29" s="29"/>
    </row>
    <row r="30" spans="2:8" x14ac:dyDescent="0.2">
      <c r="B30" s="24" t="s">
        <v>97</v>
      </c>
      <c r="C30" s="24" t="s">
        <v>98</v>
      </c>
      <c r="D30" s="24" t="s">
        <v>99</v>
      </c>
      <c r="E30" s="28">
        <v>24302</v>
      </c>
      <c r="F30" s="26">
        <v>360.350056</v>
      </c>
      <c r="G30" s="27">
        <v>1.8282404875142999</v>
      </c>
      <c r="H30" s="29"/>
    </row>
    <row r="31" spans="2:8" x14ac:dyDescent="0.2">
      <c r="B31" s="24" t="s">
        <v>100</v>
      </c>
      <c r="C31" s="24" t="s">
        <v>101</v>
      </c>
      <c r="D31" s="24" t="s">
        <v>35</v>
      </c>
      <c r="E31" s="28">
        <v>3392</v>
      </c>
      <c r="F31" s="26">
        <v>351.44511999999997</v>
      </c>
      <c r="G31" s="27">
        <v>1.78306118404855</v>
      </c>
      <c r="H31" s="29"/>
    </row>
    <row r="32" spans="2:8" x14ac:dyDescent="0.2">
      <c r="B32" s="24" t="s">
        <v>102</v>
      </c>
      <c r="C32" s="24" t="s">
        <v>103</v>
      </c>
      <c r="D32" s="24" t="s">
        <v>20</v>
      </c>
      <c r="E32" s="28">
        <v>29019</v>
      </c>
      <c r="F32" s="26">
        <v>350.31736799999999</v>
      </c>
      <c r="G32" s="27">
        <v>1.7773395202609501</v>
      </c>
      <c r="H32" s="29"/>
    </row>
    <row r="33" spans="2:8" x14ac:dyDescent="0.2">
      <c r="B33" s="24" t="s">
        <v>104</v>
      </c>
      <c r="C33" s="24" t="s">
        <v>105</v>
      </c>
      <c r="D33" s="24" t="s">
        <v>99</v>
      </c>
      <c r="E33" s="28">
        <v>1909</v>
      </c>
      <c r="F33" s="26">
        <v>348.33523000000002</v>
      </c>
      <c r="G33" s="27">
        <v>1.76728311848411</v>
      </c>
      <c r="H33" s="29"/>
    </row>
    <row r="34" spans="2:8" x14ac:dyDescent="0.2">
      <c r="B34" s="24" t="s">
        <v>106</v>
      </c>
      <c r="C34" s="24" t="s">
        <v>107</v>
      </c>
      <c r="D34" s="24" t="s">
        <v>108</v>
      </c>
      <c r="E34" s="28">
        <v>211358</v>
      </c>
      <c r="F34" s="26">
        <v>347.70504579999999</v>
      </c>
      <c r="G34" s="27">
        <v>1.7640858711135401</v>
      </c>
      <c r="H34" s="29"/>
    </row>
    <row r="35" spans="2:8" x14ac:dyDescent="0.2">
      <c r="B35" s="24" t="s">
        <v>109</v>
      </c>
      <c r="C35" s="24" t="s">
        <v>110</v>
      </c>
      <c r="D35" s="24" t="s">
        <v>10</v>
      </c>
      <c r="E35" s="28">
        <v>264175</v>
      </c>
      <c r="F35" s="26">
        <v>345.54090000000002</v>
      </c>
      <c r="G35" s="27">
        <v>1.75310605050143</v>
      </c>
      <c r="H35" s="29"/>
    </row>
    <row r="36" spans="2:8" x14ac:dyDescent="0.2">
      <c r="B36" s="24" t="s">
        <v>111</v>
      </c>
      <c r="C36" s="24" t="s">
        <v>112</v>
      </c>
      <c r="D36" s="24" t="s">
        <v>35</v>
      </c>
      <c r="E36" s="28">
        <v>97869</v>
      </c>
      <c r="F36" s="26">
        <v>330.4546785</v>
      </c>
      <c r="G36" s="27">
        <v>1.67656591823097</v>
      </c>
      <c r="H36" s="29"/>
    </row>
    <row r="37" spans="2:8" x14ac:dyDescent="0.2">
      <c r="B37" s="24" t="s">
        <v>113</v>
      </c>
      <c r="C37" s="24" t="s">
        <v>114</v>
      </c>
      <c r="D37" s="24" t="s">
        <v>115</v>
      </c>
      <c r="E37" s="28">
        <v>31520</v>
      </c>
      <c r="F37" s="26">
        <v>324.43536</v>
      </c>
      <c r="G37" s="27">
        <v>1.6460268310136601</v>
      </c>
      <c r="H37" s="29"/>
    </row>
    <row r="38" spans="2:8" x14ac:dyDescent="0.2">
      <c r="B38" s="24" t="s">
        <v>116</v>
      </c>
      <c r="C38" s="24" t="s">
        <v>117</v>
      </c>
      <c r="D38" s="24" t="s">
        <v>48</v>
      </c>
      <c r="E38" s="28">
        <v>4110</v>
      </c>
      <c r="F38" s="26">
        <v>298.09829999999999</v>
      </c>
      <c r="G38" s="27">
        <v>1.5124054297890399</v>
      </c>
      <c r="H38" s="29"/>
    </row>
    <row r="39" spans="2:8" x14ac:dyDescent="0.2">
      <c r="B39" s="24" t="s">
        <v>118</v>
      </c>
      <c r="C39" s="24" t="s">
        <v>119</v>
      </c>
      <c r="D39" s="24" t="s">
        <v>120</v>
      </c>
      <c r="E39" s="28">
        <v>50265</v>
      </c>
      <c r="F39" s="26">
        <v>296.86509000000001</v>
      </c>
      <c r="G39" s="27">
        <v>1.5061487235278099</v>
      </c>
      <c r="H39" s="29"/>
    </row>
    <row r="40" spans="2:8" x14ac:dyDescent="0.2">
      <c r="B40" s="24" t="s">
        <v>46</v>
      </c>
      <c r="C40" s="24" t="s">
        <v>47</v>
      </c>
      <c r="D40" s="24" t="s">
        <v>13</v>
      </c>
      <c r="E40" s="28">
        <v>7270</v>
      </c>
      <c r="F40" s="26">
        <v>295.27832000000001</v>
      </c>
      <c r="G40" s="27">
        <v>1.4980982262125799</v>
      </c>
      <c r="H40" s="29"/>
    </row>
    <row r="41" spans="2:8" x14ac:dyDescent="0.2">
      <c r="B41" s="24" t="s">
        <v>44</v>
      </c>
      <c r="C41" s="24" t="s">
        <v>45</v>
      </c>
      <c r="D41" s="24" t="s">
        <v>43</v>
      </c>
      <c r="E41" s="28">
        <v>23144</v>
      </c>
      <c r="F41" s="26">
        <v>293.92880000000002</v>
      </c>
      <c r="G41" s="27">
        <v>1.4912514197208599</v>
      </c>
      <c r="H41" s="29"/>
    </row>
    <row r="42" spans="2:8" x14ac:dyDescent="0.2">
      <c r="B42" s="24" t="s">
        <v>121</v>
      </c>
      <c r="C42" s="24" t="s">
        <v>122</v>
      </c>
      <c r="D42" s="24" t="s">
        <v>10</v>
      </c>
      <c r="E42" s="28">
        <v>270175</v>
      </c>
      <c r="F42" s="26">
        <v>286.52058749999998</v>
      </c>
      <c r="G42" s="27">
        <v>1.45366576153351</v>
      </c>
      <c r="H42" s="29"/>
    </row>
    <row r="43" spans="2:8" x14ac:dyDescent="0.2">
      <c r="B43" s="24" t="s">
        <v>123</v>
      </c>
      <c r="C43" s="24" t="s">
        <v>124</v>
      </c>
      <c r="D43" s="24" t="s">
        <v>35</v>
      </c>
      <c r="E43" s="28">
        <v>8403</v>
      </c>
      <c r="F43" s="26">
        <v>280.903887</v>
      </c>
      <c r="G43" s="27">
        <v>1.42516936174291</v>
      </c>
      <c r="H43" s="29"/>
    </row>
    <row r="44" spans="2:8" x14ac:dyDescent="0.2">
      <c r="B44" s="24" t="s">
        <v>125</v>
      </c>
      <c r="C44" s="24" t="s">
        <v>126</v>
      </c>
      <c r="D44" s="24" t="s">
        <v>48</v>
      </c>
      <c r="E44" s="28">
        <v>6930</v>
      </c>
      <c r="F44" s="26">
        <v>268.33652999999998</v>
      </c>
      <c r="G44" s="27">
        <v>1.3614087198174201</v>
      </c>
      <c r="H44" s="29"/>
    </row>
    <row r="45" spans="2:8" x14ac:dyDescent="0.2">
      <c r="B45" s="24" t="s">
        <v>127</v>
      </c>
      <c r="C45" s="24" t="s">
        <v>128</v>
      </c>
      <c r="D45" s="24" t="s">
        <v>48</v>
      </c>
      <c r="E45" s="28">
        <v>6925</v>
      </c>
      <c r="F45" s="26">
        <v>266.197</v>
      </c>
      <c r="G45" s="27">
        <v>1.35055378777253</v>
      </c>
      <c r="H45" s="29"/>
    </row>
    <row r="46" spans="2:8" x14ac:dyDescent="0.2">
      <c r="B46" s="24" t="s">
        <v>129</v>
      </c>
      <c r="C46" s="24" t="s">
        <v>130</v>
      </c>
      <c r="D46" s="24" t="s">
        <v>22</v>
      </c>
      <c r="E46" s="28">
        <v>1048</v>
      </c>
      <c r="F46" s="26">
        <v>264.88200000000001</v>
      </c>
      <c r="G46" s="27">
        <v>1.34388211892983</v>
      </c>
      <c r="H46" s="29"/>
    </row>
    <row r="47" spans="2:8" x14ac:dyDescent="0.2">
      <c r="B47" s="24" t="s">
        <v>131</v>
      </c>
      <c r="C47" s="24" t="s">
        <v>132</v>
      </c>
      <c r="D47" s="24" t="s">
        <v>10</v>
      </c>
      <c r="E47" s="28">
        <v>151409</v>
      </c>
      <c r="F47" s="26">
        <v>254.18542919999999</v>
      </c>
      <c r="G47" s="27">
        <v>1.28961293404</v>
      </c>
      <c r="H47" s="29"/>
    </row>
    <row r="48" spans="2:8" x14ac:dyDescent="0.2">
      <c r="B48" s="24" t="s">
        <v>133</v>
      </c>
      <c r="C48" s="24" t="s">
        <v>134</v>
      </c>
      <c r="D48" s="24" t="s">
        <v>21</v>
      </c>
      <c r="E48" s="28">
        <v>680</v>
      </c>
      <c r="F48" s="26">
        <v>249.05</v>
      </c>
      <c r="G48" s="27">
        <v>1.2635582701711501</v>
      </c>
      <c r="H48" s="29"/>
    </row>
    <row r="49" spans="2:9" x14ac:dyDescent="0.2">
      <c r="B49" s="24" t="s">
        <v>135</v>
      </c>
      <c r="C49" s="24" t="s">
        <v>136</v>
      </c>
      <c r="D49" s="24" t="s">
        <v>39</v>
      </c>
      <c r="E49" s="28">
        <v>33968</v>
      </c>
      <c r="F49" s="26">
        <v>215.00045600000001</v>
      </c>
      <c r="G49" s="27">
        <v>1.0908074855224601</v>
      </c>
      <c r="H49" s="29"/>
    </row>
    <row r="50" spans="2:9" x14ac:dyDescent="0.2">
      <c r="B50" s="24" t="s">
        <v>137</v>
      </c>
      <c r="C50" s="24" t="s">
        <v>138</v>
      </c>
      <c r="D50" s="24" t="s">
        <v>12</v>
      </c>
      <c r="E50" s="28">
        <v>11173</v>
      </c>
      <c r="F50" s="26">
        <v>214.96852000000001</v>
      </c>
      <c r="G50" s="27">
        <v>1.0906454578295599</v>
      </c>
      <c r="H50" s="29"/>
    </row>
    <row r="51" spans="2:9" x14ac:dyDescent="0.2">
      <c r="B51" s="24" t="s">
        <v>139</v>
      </c>
      <c r="C51" s="24" t="s">
        <v>140</v>
      </c>
      <c r="D51" s="24" t="s">
        <v>22</v>
      </c>
      <c r="E51" s="28">
        <v>47787</v>
      </c>
      <c r="F51" s="26">
        <v>214.01407950000001</v>
      </c>
      <c r="G51" s="27">
        <v>1.0858030920911099</v>
      </c>
      <c r="H51" s="29"/>
    </row>
    <row r="52" spans="2:9" x14ac:dyDescent="0.2">
      <c r="B52" s="24" t="s">
        <v>141</v>
      </c>
      <c r="C52" s="24" t="s">
        <v>142</v>
      </c>
      <c r="D52" s="24" t="s">
        <v>24</v>
      </c>
      <c r="E52" s="28">
        <v>19601</v>
      </c>
      <c r="F52" s="26">
        <v>211.23997700000001</v>
      </c>
      <c r="G52" s="27">
        <v>1.07172864858106</v>
      </c>
      <c r="H52" s="29"/>
    </row>
    <row r="53" spans="2:9" x14ac:dyDescent="0.2">
      <c r="B53" s="24" t="s">
        <v>143</v>
      </c>
      <c r="C53" s="24" t="s">
        <v>144</v>
      </c>
      <c r="D53" s="24" t="s">
        <v>120</v>
      </c>
      <c r="E53" s="28">
        <v>22061</v>
      </c>
      <c r="F53" s="26">
        <v>206.954241</v>
      </c>
      <c r="G53" s="27">
        <v>1.0499849137223101</v>
      </c>
      <c r="H53" s="29"/>
    </row>
    <row r="54" spans="2:9" x14ac:dyDescent="0.2">
      <c r="B54" s="24" t="s">
        <v>145</v>
      </c>
      <c r="C54" s="24" t="s">
        <v>146</v>
      </c>
      <c r="D54" s="24" t="s">
        <v>35</v>
      </c>
      <c r="E54" s="28">
        <v>157613</v>
      </c>
      <c r="F54" s="26">
        <v>153.68843630000001</v>
      </c>
      <c r="G54" s="27">
        <v>0.77974019159420305</v>
      </c>
      <c r="H54" s="29"/>
    </row>
    <row r="55" spans="2:9" x14ac:dyDescent="0.2">
      <c r="B55" s="24" t="s">
        <v>167</v>
      </c>
      <c r="C55" s="24" t="s">
        <v>38</v>
      </c>
      <c r="D55" s="24" t="s">
        <v>39</v>
      </c>
      <c r="E55" s="28">
        <v>126917</v>
      </c>
      <c r="F55" s="26">
        <v>153.60129929999999</v>
      </c>
      <c r="G55" s="27">
        <v>0.77929810094177299</v>
      </c>
      <c r="H55" s="29"/>
    </row>
    <row r="56" spans="2:9" x14ac:dyDescent="0.2">
      <c r="B56" s="24" t="s">
        <v>169</v>
      </c>
      <c r="C56" s="24" t="s">
        <v>41</v>
      </c>
      <c r="D56" s="24" t="s">
        <v>27</v>
      </c>
      <c r="E56" s="28">
        <v>126917</v>
      </c>
      <c r="F56" s="26">
        <v>153.60129929999999</v>
      </c>
      <c r="G56" s="27">
        <v>0.77929810094177299</v>
      </c>
      <c r="H56" s="29"/>
    </row>
    <row r="57" spans="2:9" x14ac:dyDescent="0.2">
      <c r="B57" s="24" t="s">
        <v>170</v>
      </c>
      <c r="C57" s="24" t="s">
        <v>42</v>
      </c>
      <c r="D57" s="24" t="s">
        <v>20</v>
      </c>
      <c r="E57" s="28">
        <v>126917</v>
      </c>
      <c r="F57" s="26">
        <v>153.60129929999999</v>
      </c>
      <c r="G57" s="27">
        <v>0.77929810094177299</v>
      </c>
      <c r="H57" s="29"/>
    </row>
    <row r="58" spans="2:9" x14ac:dyDescent="0.2">
      <c r="B58" s="24" t="s">
        <v>168</v>
      </c>
      <c r="C58" s="24" t="s">
        <v>40</v>
      </c>
      <c r="D58" s="24" t="s">
        <v>14</v>
      </c>
      <c r="E58" s="28">
        <v>126917</v>
      </c>
      <c r="F58" s="26">
        <v>153.60129929999999</v>
      </c>
      <c r="G58" s="27">
        <v>0.77929810094177299</v>
      </c>
      <c r="H58" s="29"/>
    </row>
    <row r="59" spans="2:9" x14ac:dyDescent="0.2">
      <c r="B59" s="24" t="s">
        <v>147</v>
      </c>
      <c r="C59" s="24" t="s">
        <v>148</v>
      </c>
      <c r="D59" s="24" t="s">
        <v>149</v>
      </c>
      <c r="E59" s="28">
        <v>5953</v>
      </c>
      <c r="F59" s="26">
        <v>146.235445</v>
      </c>
      <c r="G59" s="27">
        <v>0.74192734760854395</v>
      </c>
      <c r="H59" s="29"/>
    </row>
    <row r="60" spans="2:9" x14ac:dyDescent="0.2">
      <c r="B60" s="24" t="s">
        <v>150</v>
      </c>
      <c r="C60" s="24" t="s">
        <v>151</v>
      </c>
      <c r="D60" s="24" t="s">
        <v>35</v>
      </c>
      <c r="E60" s="28">
        <v>33847</v>
      </c>
      <c r="F60" s="26">
        <v>103.53797299999999</v>
      </c>
      <c r="G60" s="27">
        <v>0.52530119277617704</v>
      </c>
      <c r="H60" s="29"/>
    </row>
    <row r="61" spans="2:9" ht="10.5" x14ac:dyDescent="0.25">
      <c r="B61" s="23" t="s">
        <v>49</v>
      </c>
      <c r="C61" s="23"/>
      <c r="D61" s="23"/>
      <c r="E61" s="30"/>
      <c r="F61" s="31">
        <f>SUM(F7:F60)</f>
        <v>19697.924142499996</v>
      </c>
      <c r="G61" s="32">
        <f>SUM(G7:G60)</f>
        <v>99.937662941014892</v>
      </c>
      <c r="H61" s="23"/>
      <c r="I61" s="15"/>
    </row>
    <row r="62" spans="2:9" ht="10.5" x14ac:dyDescent="0.25">
      <c r="B62" s="23" t="s">
        <v>50</v>
      </c>
      <c r="C62" s="23"/>
      <c r="D62" s="23"/>
      <c r="E62" s="30"/>
      <c r="F62" s="33" t="s">
        <v>51</v>
      </c>
      <c r="G62" s="34" t="s">
        <v>51</v>
      </c>
      <c r="H62" s="23"/>
      <c r="I62" s="15"/>
    </row>
    <row r="63" spans="2:9" ht="10.5" x14ac:dyDescent="0.25">
      <c r="B63" s="23" t="s">
        <v>49</v>
      </c>
      <c r="C63" s="23"/>
      <c r="D63" s="23"/>
      <c r="E63" s="30"/>
      <c r="F63" s="35" t="s">
        <v>51</v>
      </c>
      <c r="G63" s="36" t="s">
        <v>51</v>
      </c>
      <c r="H63" s="23"/>
      <c r="I63" s="15"/>
    </row>
    <row r="64" spans="2:9" ht="10.5" x14ac:dyDescent="0.25">
      <c r="B64" s="37" t="s">
        <v>52</v>
      </c>
      <c r="C64" s="37"/>
      <c r="D64" s="37"/>
      <c r="E64" s="38"/>
      <c r="F64" s="39">
        <f>F61</f>
        <v>19697.924142499996</v>
      </c>
      <c r="G64" s="40">
        <f>G61</f>
        <v>99.937662941014892</v>
      </c>
      <c r="H64" s="23"/>
      <c r="I64" s="15"/>
    </row>
    <row r="65" spans="2:9" ht="10.5" x14ac:dyDescent="0.25">
      <c r="B65" s="23" t="s">
        <v>53</v>
      </c>
      <c r="C65" s="23"/>
      <c r="D65" s="23"/>
      <c r="E65" s="30"/>
      <c r="F65" s="31">
        <v>98.188711299999994</v>
      </c>
      <c r="G65" s="32">
        <v>0.49816164706108002</v>
      </c>
      <c r="H65" s="29">
        <v>5.3499999999999999E-2</v>
      </c>
      <c r="I65" s="16"/>
    </row>
    <row r="66" spans="2:9" x14ac:dyDescent="0.2">
      <c r="B66" s="24"/>
      <c r="C66" s="24"/>
      <c r="D66" s="24"/>
      <c r="E66" s="25"/>
      <c r="F66" s="26"/>
      <c r="G66" s="27"/>
      <c r="H66" s="24"/>
    </row>
    <row r="67" spans="2:9" ht="10.5" x14ac:dyDescent="0.25">
      <c r="B67" s="46" t="s">
        <v>55</v>
      </c>
      <c r="C67" s="46"/>
      <c r="D67" s="46"/>
      <c r="E67" s="47"/>
      <c r="F67" s="31">
        <f>F68-(F61+F65)</f>
        <v>-85.901945499997964</v>
      </c>
      <c r="G67" s="32">
        <f>G68-(G61+G65)</f>
        <v>-0.43582458807597391</v>
      </c>
      <c r="H67" s="23"/>
      <c r="I67" s="15"/>
    </row>
    <row r="68" spans="2:9" ht="10.5" x14ac:dyDescent="0.25">
      <c r="B68" s="41" t="s">
        <v>54</v>
      </c>
      <c r="C68" s="41"/>
      <c r="D68" s="41"/>
      <c r="E68" s="42"/>
      <c r="F68" s="43">
        <v>19710.2109083</v>
      </c>
      <c r="G68" s="44">
        <v>100</v>
      </c>
      <c r="H68" s="45"/>
      <c r="I68" s="15"/>
    </row>
    <row r="70" spans="2:9" ht="10.5" x14ac:dyDescent="0.25">
      <c r="B70" s="15" t="s">
        <v>59</v>
      </c>
    </row>
    <row r="71" spans="2:9" ht="10.5" x14ac:dyDescent="0.25">
      <c r="B71" s="15"/>
    </row>
    <row r="72" spans="2:9" ht="10.5" x14ac:dyDescent="0.2">
      <c r="B72" s="53" t="s">
        <v>57</v>
      </c>
    </row>
    <row r="73" spans="2:9" ht="10.5" x14ac:dyDescent="0.2">
      <c r="B73" s="53"/>
    </row>
    <row r="74" spans="2:9" x14ac:dyDescent="0.2">
      <c r="B74" s="55" t="s">
        <v>155</v>
      </c>
    </row>
    <row r="75" spans="2:9" x14ac:dyDescent="0.2">
      <c r="B75" s="55" t="s">
        <v>159</v>
      </c>
    </row>
    <row r="76" spans="2:9" x14ac:dyDescent="0.2">
      <c r="B76" s="55" t="s">
        <v>160</v>
      </c>
    </row>
    <row r="77" spans="2:9" ht="10.5" x14ac:dyDescent="0.2">
      <c r="B77" s="53"/>
    </row>
    <row r="78" spans="2:9" ht="10.5" x14ac:dyDescent="0.2">
      <c r="B78" s="57" t="s">
        <v>156</v>
      </c>
      <c r="C78" s="58" t="s">
        <v>157</v>
      </c>
      <c r="D78" s="58" t="s">
        <v>164</v>
      </c>
    </row>
    <row r="79" spans="2:9" x14ac:dyDescent="0.2">
      <c r="B79" s="56" t="s">
        <v>158</v>
      </c>
      <c r="C79" s="60">
        <v>10.37</v>
      </c>
      <c r="D79" s="59">
        <v>10.5845</v>
      </c>
    </row>
    <row r="80" spans="2:9" ht="10.5" x14ac:dyDescent="0.2">
      <c r="B80" s="53"/>
    </row>
    <row r="81" spans="2:7" x14ac:dyDescent="0.2">
      <c r="B81" s="55" t="s">
        <v>161</v>
      </c>
    </row>
    <row r="82" spans="2:7" x14ac:dyDescent="0.2">
      <c r="B82" s="55" t="s">
        <v>165</v>
      </c>
    </row>
    <row r="83" spans="2:7" x14ac:dyDescent="0.2">
      <c r="B83" s="55" t="s">
        <v>162</v>
      </c>
    </row>
    <row r="84" spans="2:7" x14ac:dyDescent="0.2">
      <c r="B84" s="61" t="s">
        <v>166</v>
      </c>
    </row>
    <row r="85" spans="2:7" x14ac:dyDescent="0.2">
      <c r="B85" s="55" t="s">
        <v>163</v>
      </c>
    </row>
    <row r="86" spans="2:7" ht="10.5" x14ac:dyDescent="0.25">
      <c r="B86" s="15"/>
    </row>
    <row r="87" spans="2:7" ht="10.5" x14ac:dyDescent="0.25">
      <c r="B87" s="15"/>
    </row>
    <row r="88" spans="2:7" ht="10.5" x14ac:dyDescent="0.25">
      <c r="B88" s="15"/>
    </row>
    <row r="89" spans="2:7" ht="10.5" x14ac:dyDescent="0.25">
      <c r="B89" s="15"/>
    </row>
    <row r="90" spans="2:7" ht="10.5" x14ac:dyDescent="0.25">
      <c r="B90" s="15"/>
      <c r="C90" s="15"/>
      <c r="D90" s="48"/>
      <c r="E90" s="17"/>
    </row>
    <row r="91" spans="2:7" x14ac:dyDescent="0.2">
      <c r="D91" s="49"/>
      <c r="E91" s="49"/>
    </row>
    <row r="95" spans="2:7" ht="10.5" x14ac:dyDescent="0.25">
      <c r="B95" s="15" t="s">
        <v>58</v>
      </c>
      <c r="E95" s="8"/>
      <c r="G95" s="52"/>
    </row>
    <row r="96" spans="2:7" x14ac:dyDescent="0.2">
      <c r="E96" s="8"/>
      <c r="G96" s="52"/>
    </row>
    <row r="97" spans="2:7" x14ac:dyDescent="0.2">
      <c r="E97" s="8"/>
      <c r="G97" s="52"/>
    </row>
    <row r="98" spans="2:7" x14ac:dyDescent="0.2">
      <c r="E98" s="8"/>
      <c r="G98" s="52"/>
    </row>
    <row r="99" spans="2:7" x14ac:dyDescent="0.2">
      <c r="E99" s="8"/>
      <c r="G99" s="52"/>
    </row>
    <row r="100" spans="2:7" x14ac:dyDescent="0.2">
      <c r="E100" s="8"/>
      <c r="G100" s="52"/>
    </row>
    <row r="101" spans="2:7" x14ac:dyDescent="0.2">
      <c r="E101" s="8"/>
      <c r="G101" s="52"/>
    </row>
    <row r="102" spans="2:7" x14ac:dyDescent="0.2">
      <c r="E102" s="8"/>
      <c r="G102" s="52"/>
    </row>
    <row r="103" spans="2:7" x14ac:dyDescent="0.2">
      <c r="E103" s="8"/>
      <c r="G103" s="52"/>
    </row>
    <row r="104" spans="2:7" x14ac:dyDescent="0.2">
      <c r="E104" s="8"/>
      <c r="G104" s="52"/>
    </row>
    <row r="105" spans="2:7" x14ac:dyDescent="0.2">
      <c r="E105" s="8"/>
      <c r="G105" s="52"/>
    </row>
    <row r="106" spans="2:7" x14ac:dyDescent="0.2">
      <c r="E106" s="8"/>
      <c r="G106" s="52"/>
    </row>
    <row r="107" spans="2:7" x14ac:dyDescent="0.2">
      <c r="E107" s="8"/>
      <c r="G107" s="52"/>
    </row>
    <row r="108" spans="2:7" x14ac:dyDescent="0.2">
      <c r="E108" s="8"/>
      <c r="G108" s="52"/>
    </row>
    <row r="109" spans="2:7" x14ac:dyDescent="0.2">
      <c r="E109" s="8"/>
      <c r="G109" s="52"/>
    </row>
    <row r="110" spans="2:7" x14ac:dyDescent="0.2">
      <c r="E110" s="8"/>
      <c r="G110" s="52"/>
    </row>
    <row r="111" spans="2:7" ht="10.5" x14ac:dyDescent="0.2">
      <c r="B111" s="53" t="s">
        <v>152</v>
      </c>
      <c r="E111" s="8"/>
      <c r="G111" s="52"/>
    </row>
    <row r="112" spans="2:7" ht="10.5" x14ac:dyDescent="0.25">
      <c r="B112" s="54" t="s">
        <v>153</v>
      </c>
      <c r="E112" s="8"/>
      <c r="G112" s="52"/>
    </row>
    <row r="113" spans="5:7" x14ac:dyDescent="0.2">
      <c r="E113" s="8"/>
      <c r="G113" s="52"/>
    </row>
    <row r="114" spans="5:7" x14ac:dyDescent="0.2">
      <c r="E114" s="8"/>
      <c r="G114" s="52"/>
    </row>
    <row r="115" spans="5:7" x14ac:dyDescent="0.2">
      <c r="E115" s="8"/>
      <c r="G115" s="52"/>
    </row>
    <row r="116" spans="5:7" x14ac:dyDescent="0.2">
      <c r="E116" s="8"/>
      <c r="G116" s="52"/>
    </row>
    <row r="117" spans="5:7" x14ac:dyDescent="0.2">
      <c r="E117" s="8"/>
      <c r="G117" s="52"/>
    </row>
    <row r="118" spans="5:7" x14ac:dyDescent="0.2">
      <c r="E118" s="8"/>
      <c r="G118" s="52"/>
    </row>
    <row r="119" spans="5:7" x14ac:dyDescent="0.2">
      <c r="E119" s="8"/>
      <c r="G119" s="52"/>
    </row>
    <row r="120" spans="5:7" x14ac:dyDescent="0.2">
      <c r="E120" s="8"/>
      <c r="G120" s="52"/>
    </row>
    <row r="121" spans="5:7" x14ac:dyDescent="0.2">
      <c r="E121" s="8"/>
      <c r="G121" s="52"/>
    </row>
    <row r="122" spans="5:7" x14ac:dyDescent="0.2">
      <c r="E122" s="8"/>
      <c r="G122" s="52"/>
    </row>
    <row r="123" spans="5:7" x14ac:dyDescent="0.2">
      <c r="E123" s="8"/>
      <c r="G123" s="52"/>
    </row>
    <row r="124" spans="5:7" x14ac:dyDescent="0.2">
      <c r="E124" s="8"/>
      <c r="G124" s="52"/>
    </row>
    <row r="125" spans="5:7" x14ac:dyDescent="0.2">
      <c r="E125" s="8"/>
      <c r="G125" s="52"/>
    </row>
    <row r="126" spans="5:7" x14ac:dyDescent="0.2">
      <c r="E126" s="8"/>
      <c r="G126" s="52"/>
    </row>
    <row r="127" spans="5:7" x14ac:dyDescent="0.2">
      <c r="E127" s="8"/>
      <c r="G127" s="52"/>
    </row>
    <row r="128" spans="5:7" x14ac:dyDescent="0.2">
      <c r="E128" s="8"/>
      <c r="G128" s="52"/>
    </row>
  </sheetData>
  <mergeCells count="1">
    <mergeCell ref="B1:C1"/>
  </mergeCells>
  <conditionalFormatting sqref="G1:G3">
    <cfRule type="cellIs" dxfId="1" priority="2" stopIfTrue="1" operator="between">
      <formula>0.009</formula>
      <formula>-0.009</formula>
    </cfRule>
  </conditionalFormatting>
  <conditionalFormatting sqref="G5:G127">
    <cfRule type="cellIs" dxfId="0" priority="1" stopIfTrue="1" operator="between">
      <formula>0.009</formula>
      <formula>-0.009</formula>
    </cfRule>
  </conditionalFormatting>
  <hyperlinks>
    <hyperlink ref="A2" location="Index!A1" display="-" xr:uid="{4EEA4DC4-9201-4574-9FDD-7A42FE0EE5DE}"/>
  </hyperlinks>
  <pageMargins left="0.7" right="0.7" top="0.75" bottom="0.75" header="0.3" footer="0.3"/>
  <pageSetup paperSize="9" scale="61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19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JBNNX50</vt:lpstr>
      <vt:lpstr>JBNNX50!Print_Area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2026-06-09T06:43:11Z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