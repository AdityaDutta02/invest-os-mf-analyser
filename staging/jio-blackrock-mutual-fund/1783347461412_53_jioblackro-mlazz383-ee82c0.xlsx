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C265BEFA-187B-4153-9C64-A7F4E44BCE26}" xr6:coauthVersionLast="47" xr6:coauthVersionMax="47" xr10:uidLastSave="{00000000-0000-0000-0000-000000000000}"/>
  <bookViews>
    <workbookView xWindow="-108" yWindow="-108" windowWidth="23256" windowHeight="13896" xr2:uid="{7291B499-DD8C-4F12-BA28-9EE7F24AB421}"/>
  </bookViews>
  <sheets>
    <sheet name="JBLF" sheetId="5" r:id="rId1"/>
  </sheets>
  <definedNames>
    <definedName name="_xlnm.Print_Area" localSheetId="0">JBLF!$B$1:$I$152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5" l="1"/>
  <c r="F83" i="5"/>
  <c r="G79" i="5"/>
  <c r="F79" i="5"/>
  <c r="G73" i="5"/>
  <c r="F73" i="5"/>
  <c r="G44" i="5"/>
  <c r="F44" i="5"/>
  <c r="F101" i="5" l="1"/>
  <c r="G80" i="5"/>
  <c r="G101" i="5"/>
  <c r="F80" i="5"/>
</calcChain>
</file>

<file path=xl/sharedStrings.xml><?xml version="1.0" encoding="utf-8"?>
<sst xmlns="http://schemas.openxmlformats.org/spreadsheetml/2006/main" count="249" uniqueCount="174">
  <si>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</si>
  <si>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</si>
  <si>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</si>
  <si>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</si>
  <si>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</si>
  <si>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</si>
  <si>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January 31, 2026</t>
  </si>
  <si>
    <t>JioBlackRock Liquid Fund</t>
  </si>
  <si>
    <t>Yield to Call ^</t>
  </si>
  <si>
    <t>Money Market Instruments</t>
  </si>
  <si>
    <t>Certificate of Deposit</t>
  </si>
  <si>
    <t>HDFC Bank Ltd (12-Mar-2026)</t>
  </si>
  <si>
    <t>INE040A16GN6</t>
  </si>
  <si>
    <t>CARE A1+</t>
  </si>
  <si>
    <t>IND A1+</t>
  </si>
  <si>
    <t>HDFC Bank Ltd (24-Mar-2026)</t>
  </si>
  <si>
    <t>INE040A16GS5</t>
  </si>
  <si>
    <t>CRISIL A1+</t>
  </si>
  <si>
    <t>Canara Bank (12-Mar-2026)</t>
  </si>
  <si>
    <t>INE476A16B23</t>
  </si>
  <si>
    <t>Punjab National Bank (18-Mar-2026)</t>
  </si>
  <si>
    <t>INE160A16RK5</t>
  </si>
  <si>
    <t>Sub Total</t>
  </si>
  <si>
    <t>Commercial Paper</t>
  </si>
  <si>
    <t>NTPC Ltd (10-Mar-2026) **</t>
  </si>
  <si>
    <t>INE733E14BU9</t>
  </si>
  <si>
    <t>LIC Housing Finance Ltd (18-Mar-2026) **</t>
  </si>
  <si>
    <t>INE115A14FL7</t>
  </si>
  <si>
    <t>Kotak Securities Ltd (06-Mar-2026) **</t>
  </si>
  <si>
    <t>INE028E14TR2</t>
  </si>
  <si>
    <t>ICICI Securities Ltd (12-Mar-2026) **</t>
  </si>
  <si>
    <t>INE763G14D60</t>
  </si>
  <si>
    <t>Kotak Securities Ltd (12-Mar-2026) **</t>
  </si>
  <si>
    <t>INE028E14TZ5</t>
  </si>
  <si>
    <t>ICICI Securities Ltd (17-Mar-2026) **</t>
  </si>
  <si>
    <t>INE763G14XS9</t>
  </si>
  <si>
    <t>Small Industries Development Bank Of India (20-Mar-2026) **</t>
  </si>
  <si>
    <t>INE556F14LX4</t>
  </si>
  <si>
    <t>ICICI Securities Ltd (06-Mar-2026) **</t>
  </si>
  <si>
    <t>INE763G14XX9</t>
  </si>
  <si>
    <t>ICRA A1+</t>
  </si>
  <si>
    <t>Treasury Bill</t>
  </si>
  <si>
    <t>Total</t>
  </si>
  <si>
    <t>SOVEREIGN</t>
  </si>
  <si>
    <t>Alternative Investment Fund</t>
  </si>
  <si>
    <t>Corporate Debt Market Development Fund Class A2</t>
  </si>
  <si>
    <t>INF0RQ622028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</si>
  <si>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</si>
  <si>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</si>
  <si>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</si>
  <si>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</si>
  <si>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</si>
  <si>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</si>
  <si>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Reverse Repo</t>
  </si>
  <si>
    <t>Reverse Repo (02-Feb-2026)</t>
  </si>
  <si>
    <t>Canara Bank (24-Feb-2026)</t>
  </si>
  <si>
    <t>INE476A16A65</t>
  </si>
  <si>
    <t>Bank of Baroda (24-Feb-2026) **</t>
  </si>
  <si>
    <t>INE028A16JJ3</t>
  </si>
  <si>
    <t>Axis Bank Ltd (18-Feb-2026) **</t>
  </si>
  <si>
    <t>INE238AD6BM0</t>
  </si>
  <si>
    <t>Federal Bank Ltd (20-Feb-2026) **</t>
  </si>
  <si>
    <t>INE171A16MU2</t>
  </si>
  <si>
    <t>Union Bank of India (06-Mar-2026) **</t>
  </si>
  <si>
    <t>INE692A16JB3</t>
  </si>
  <si>
    <t>Indian Bank (13-Mar-2026) **</t>
  </si>
  <si>
    <t>INE562A16QB3</t>
  </si>
  <si>
    <t>Federal Bank Ltd (24-Feb-2026) **</t>
  </si>
  <si>
    <t>INE171A16NA2</t>
  </si>
  <si>
    <t>Bank of India (26-Mar-2026) **</t>
  </si>
  <si>
    <t>INE084A16DJ9</t>
  </si>
  <si>
    <t>Union Bank of India (02-Apr-2026)</t>
  </si>
  <si>
    <t>INE692A16KR7</t>
  </si>
  <si>
    <t>Axis Bank Ltd (04-Mar-2026)</t>
  </si>
  <si>
    <t>INE238AD6AN0</t>
  </si>
  <si>
    <t>HDFC Bank Ltd (12-Feb-2026)</t>
  </si>
  <si>
    <t>INE040A16HV7</t>
  </si>
  <si>
    <t>Indian Bank (17-Feb-2026) **</t>
  </si>
  <si>
    <t>INE562A16PW1</t>
  </si>
  <si>
    <t>Bank of India (18-Feb-2026)</t>
  </si>
  <si>
    <t>INE084A16ET6</t>
  </si>
  <si>
    <t>Punjab National Bank (05-Mar-2026) **</t>
  </si>
  <si>
    <t>INE160A16TS4</t>
  </si>
  <si>
    <t>National Bank For Agriculture &amp; Rural Development (13-Mar-2026) **</t>
  </si>
  <si>
    <t>INE261F16983</t>
  </si>
  <si>
    <t>Punjab National Bank (25-Mar-2026)</t>
  </si>
  <si>
    <t>INE160A16RP4</t>
  </si>
  <si>
    <t>HDFC Bank Ltd (02-Apr-2026) **</t>
  </si>
  <si>
    <t>INE040A16HC7</t>
  </si>
  <si>
    <t>National Bank For Agriculture &amp; Rural Development (17-Feb-2026)</t>
  </si>
  <si>
    <t>INE261F16959</t>
  </si>
  <si>
    <t>HDFC Bank Ltd (25-Feb-2026) **</t>
  </si>
  <si>
    <t>INE040A16GJ4</t>
  </si>
  <si>
    <t>HDFC Bank Ltd (09-Mar-2026)</t>
  </si>
  <si>
    <t>INE040A16HM6</t>
  </si>
  <si>
    <t>Kotak Mahindra Bank Ltd (18-Feb-2026)</t>
  </si>
  <si>
    <t>INE237A165Z5</t>
  </si>
  <si>
    <t>Small Industries Development Bank of India (27-Feb-2026)</t>
  </si>
  <si>
    <t>INE556F16BB6</t>
  </si>
  <si>
    <t>Canara Bank (04-Mar-2026) **</t>
  </si>
  <si>
    <t>INE476A16A73</t>
  </si>
  <si>
    <t>Union Bank of India (12-Mar-2026) **</t>
  </si>
  <si>
    <t>INE692A16KM8</t>
  </si>
  <si>
    <t>HDFC Bank Ltd (18-Mar-2026) **</t>
  </si>
  <si>
    <t>INE040A16IC5</t>
  </si>
  <si>
    <t>Canara Bank (20-Mar-2026)</t>
  </si>
  <si>
    <t>INE476A16F86</t>
  </si>
  <si>
    <t>National Bank For Agriculture &amp; Rural Development (04-Feb-2026) **</t>
  </si>
  <si>
    <t>INE261F16926</t>
  </si>
  <si>
    <t>Bank of Baroda (09-Feb-2026) **</t>
  </si>
  <si>
    <t>INE028A16JN5</t>
  </si>
  <si>
    <t>Bank of Baroda (23-Feb-2026) **</t>
  </si>
  <si>
    <t>INE028A16JO3</t>
  </si>
  <si>
    <t>National Bank For Agriculture &amp; Rural Development (27-Feb-2026) **</t>
  </si>
  <si>
    <t>INE261F16967</t>
  </si>
  <si>
    <t>Union Bank of India (05-Mar-2026)</t>
  </si>
  <si>
    <t>INE692A16IY7</t>
  </si>
  <si>
    <t>Axis Bank Ltd (05-Mar-2026)</t>
  </si>
  <si>
    <t>INE238AD6AO8</t>
  </si>
  <si>
    <t>Bank of Baroda (05-Mar-2026)</t>
  </si>
  <si>
    <t>INE028A16KP8</t>
  </si>
  <si>
    <t>Bajaj Finance Ltd (16-Mar-2026) **</t>
  </si>
  <si>
    <t>INE296A14E12</t>
  </si>
  <si>
    <t>ICICI Home Finance Co Ltd (11-Feb-2026) **</t>
  </si>
  <si>
    <t>INE071G14HF7</t>
  </si>
  <si>
    <t>Godrej Housing Finance Ltd (13-Feb-2026)</t>
  </si>
  <si>
    <t>INE02JD14591</t>
  </si>
  <si>
    <t>LIC Housing Finance Ltd (11-Mar-2026) **</t>
  </si>
  <si>
    <t>INE115A14FK9</t>
  </si>
  <si>
    <t>HDFC Securities Ltd (09-Mar-2026) **</t>
  </si>
  <si>
    <t>INE700G14RF0</t>
  </si>
  <si>
    <t>Kotak Securities Ltd (06-Feb-2026) **</t>
  </si>
  <si>
    <t>INE028E14TL5</t>
  </si>
  <si>
    <t>Julius Baer Capital (India) Pvt Ltd (13-Feb-2026) **</t>
  </si>
  <si>
    <t>INE824H14SV1</t>
  </si>
  <si>
    <t>Small Industries Development Bank Of India (18-Feb-2026) **</t>
  </si>
  <si>
    <t>INE556F14LR6</t>
  </si>
  <si>
    <t>Kotak Securities Ltd (18-Feb-2026) **</t>
  </si>
  <si>
    <t>INE028E14TS0</t>
  </si>
  <si>
    <t>Small Industries Development Bank Of India (24-Feb-2026) **</t>
  </si>
  <si>
    <t>INE556F14LS4</t>
  </si>
  <si>
    <t>Kotak Securities Ltd (02-Mar-2026) **</t>
  </si>
  <si>
    <t>INE028E14TV4</t>
  </si>
  <si>
    <t>ICICI Securities Ltd (10-Mar-2026) **</t>
  </si>
  <si>
    <t>INE763G14A63</t>
  </si>
  <si>
    <t>ICICI Securities Ltd (18-Mar-2026) **</t>
  </si>
  <si>
    <t>INE763G14D94</t>
  </si>
  <si>
    <t>ICICI Securities Ltd (20-Apr-2026) **</t>
  </si>
  <si>
    <t>INE763G14B54</t>
  </si>
  <si>
    <t>LIC Housing Finance Ltd (18-Feb-2026) **</t>
  </si>
  <si>
    <t>INE115A14FJ1</t>
  </si>
  <si>
    <t>Axis Securities Ltd (27-Feb-2026)</t>
  </si>
  <si>
    <t>INE110O14GQ6</t>
  </si>
  <si>
    <t>Small Industries Development Bank Of India (06-Mar-2026)</t>
  </si>
  <si>
    <t>INE556F14LU0</t>
  </si>
  <si>
    <t>Aditya Birla Capital Ltd (06-Feb-2026) **</t>
  </si>
  <si>
    <t>INE860H144V6</t>
  </si>
  <si>
    <t>ICICI Securities Ltd (27-Feb-2026) **</t>
  </si>
  <si>
    <t>INE763G14XI0</t>
  </si>
  <si>
    <t>91 DTB (30-APR-2026)</t>
  </si>
  <si>
    <t>IN002025X430</t>
  </si>
  <si>
    <t>91 DTB (23-APR-2026)</t>
  </si>
  <si>
    <t>IN002025X422</t>
  </si>
  <si>
    <t>364 DTB (12-MAR-2026)</t>
  </si>
  <si>
    <t>IN002024Z487</t>
  </si>
  <si>
    <t>91 DTB (17-APR-2026)</t>
  </si>
  <si>
    <t>IN002025X414</t>
  </si>
  <si>
    <t>Reverse Repo (16-Feb-2026)</t>
  </si>
  <si>
    <t>Reverse Repo (20-Feb-2026)</t>
  </si>
  <si>
    <t>Scheme Risk-O-Meter</t>
  </si>
  <si>
    <t>Benchmark Risk-O-Meter</t>
  </si>
  <si>
    <t>Benchmark Name - NIFTY Liquid Index A-I</t>
  </si>
  <si>
    <t>-</t>
  </si>
  <si>
    <t>Aggregate Investments by other schemes (at NAV) as on January 31, 2026, is Rs.1,513.18 Lakh's.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</si>
</sst>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9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4" fontId="6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3" xfId="0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1" applyFill="1"/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112</xdr:row>
      <xdr:rowOff>0</xdr:rowOff>
    </xdr:from>
    <xdr:to>
      <xdr:col>3</xdr:col>
      <xdr:colOff>882650</xdr:colOff>
      <xdr:row>129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DF990-4C76-4367-9D08-D6CF0C30C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075" y="14255750"/>
          <a:ext cx="4997450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133</xdr:row>
      <xdr:rowOff>76200</xdr:rowOff>
    </xdr:from>
    <xdr:to>
      <xdr:col>4</xdr:col>
      <xdr:colOff>66675</xdr:colOff>
      <xdr:row>150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B1FCB8-83C1-40C3-ADA0-5DD832A3F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011650"/>
          <a:ext cx="5162550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ABC3-61E6-4B24-9B2C-0485F39F58B3}">
  <dimension ref="A1:K132"/>
  <sheetViews>
    <sheetView tabSelected="1" view="pageBreakPreview" zoomScaleNormal="100" zoomScaleSheetLayoutView="100" workbookViewId="0"/>
  </sheetViews>
  <sheetFormatPr defaultColWidth="9.109375" defaultRowHeight="10.199999999999999" x14ac:dyDescent="0.2"/>
  <cols>
    <col min="1" max="1" width="7.21875" style="6" customWidth="1"/>
    <col min="2" max="2" width="52.44140625" style="6" bestFit="1" customWidth="1"/>
    <col min="3" max="3" width="11.44140625" style="6" bestFit="1" customWidth="1"/>
    <col min="4" max="5" width="13.6640625" style="6" bestFit="1" customWidth="1"/>
    <col min="6" max="6" width="12.77734375" style="8" bestFit="1" customWidth="1"/>
    <col min="7" max="7" width="8.5546875" style="14" customWidth="1"/>
    <col min="8" max="8" width="11.77734375" style="11" bestFit="1" customWidth="1"/>
    <col min="9" max="9" width="10.109375" style="11" bestFit="1" customWidth="1"/>
    <col min="10" max="10" width="25.77734375" style="6" customWidth="1"/>
    <col min="11" max="16384" width="9.109375" style="6"/>
  </cols>
  <sheetData>
    <row r="1" spans="1:11" s="1" customFormat="1" ht="16.8" customHeight="1" x14ac:dyDescent="0.25">
      <c r="B1" s="46" t="s">
        <v>7</v>
      </c>
      <c r="C1" s="47"/>
      <c r="D1" s="10"/>
      <c r="F1" s="5"/>
      <c r="G1" s="14"/>
      <c r="H1" s="11"/>
      <c r="I1" s="12"/>
    </row>
    <row r="2" spans="1:11" s="1" customFormat="1" ht="14.4" x14ac:dyDescent="0.3">
      <c r="A2" s="44" t="s">
        <v>172</v>
      </c>
      <c r="F2" s="5"/>
      <c r="G2" s="14"/>
      <c r="H2" s="11"/>
      <c r="I2" s="12"/>
    </row>
    <row r="3" spans="1:11" s="1" customFormat="1" ht="12" x14ac:dyDescent="0.2">
      <c r="B3" s="7" t="s">
        <v>6</v>
      </c>
      <c r="C3" s="2"/>
      <c r="D3" s="3"/>
      <c r="E3" s="3"/>
      <c r="F3" s="4"/>
      <c r="G3" s="14"/>
      <c r="H3" s="11"/>
      <c r="I3" s="12"/>
    </row>
    <row r="4" spans="1:11" s="1" customFormat="1" ht="30.6" x14ac:dyDescent="0.2">
      <c r="B4" s="16" t="s">
        <v>4</v>
      </c>
      <c r="C4" s="16" t="s">
        <v>5</v>
      </c>
      <c r="D4" s="17" t="s">
        <v>50</v>
      </c>
      <c r="E4" s="17" t="s">
        <v>0</v>
      </c>
      <c r="F4" s="18" t="s">
        <v>1</v>
      </c>
      <c r="G4" s="19" t="s">
        <v>2</v>
      </c>
      <c r="H4" s="20" t="s">
        <v>3</v>
      </c>
      <c r="I4" s="20" t="s">
        <v>8</v>
      </c>
      <c r="J4" s="13"/>
      <c r="K4" s="9"/>
    </row>
    <row r="5" spans="1:11" x14ac:dyDescent="0.2">
      <c r="B5" s="21" t="s">
        <v>9</v>
      </c>
      <c r="C5" s="22"/>
      <c r="D5" s="22"/>
      <c r="E5" s="22"/>
      <c r="F5" s="23"/>
      <c r="G5" s="24"/>
      <c r="H5" s="25"/>
      <c r="I5" s="25"/>
    </row>
    <row r="6" spans="1:11" x14ac:dyDescent="0.2">
      <c r="B6" s="21" t="s">
        <v>10</v>
      </c>
      <c r="C6" s="22"/>
      <c r="D6" s="22"/>
      <c r="E6" s="22"/>
      <c r="F6" s="23"/>
      <c r="G6" s="24"/>
      <c r="H6" s="25"/>
      <c r="I6" s="25"/>
    </row>
    <row r="7" spans="1:11" x14ac:dyDescent="0.2">
      <c r="B7" s="22" t="s">
        <v>55</v>
      </c>
      <c r="C7" s="22" t="s">
        <v>56</v>
      </c>
      <c r="D7" s="22" t="s">
        <v>17</v>
      </c>
      <c r="E7" s="26">
        <v>7000</v>
      </c>
      <c r="F7" s="23">
        <v>34859.440000000002</v>
      </c>
      <c r="G7" s="24">
        <v>3.9662736877543798</v>
      </c>
      <c r="H7" s="27">
        <v>6.3989000000000004E-2</v>
      </c>
      <c r="I7" s="28"/>
    </row>
    <row r="8" spans="1:11" x14ac:dyDescent="0.2">
      <c r="B8" s="22" t="s">
        <v>57</v>
      </c>
      <c r="C8" s="22" t="s">
        <v>58</v>
      </c>
      <c r="D8" s="22" t="s">
        <v>17</v>
      </c>
      <c r="E8" s="26">
        <v>4300</v>
      </c>
      <c r="F8" s="23">
        <v>21413.1185</v>
      </c>
      <c r="G8" s="24">
        <v>2.4363641090997601</v>
      </c>
      <c r="H8" s="27">
        <v>6.4396999999999996E-2</v>
      </c>
      <c r="I8" s="28"/>
    </row>
    <row r="9" spans="1:11" x14ac:dyDescent="0.2">
      <c r="B9" s="22" t="s">
        <v>59</v>
      </c>
      <c r="C9" s="22" t="s">
        <v>60</v>
      </c>
      <c r="D9" s="22" t="s">
        <v>17</v>
      </c>
      <c r="E9" s="26">
        <v>4000</v>
      </c>
      <c r="F9" s="23">
        <v>19939.599999999999</v>
      </c>
      <c r="G9" s="24">
        <v>2.2687085858047999</v>
      </c>
      <c r="H9" s="27">
        <v>6.5047999999999995E-2</v>
      </c>
      <c r="I9" s="28"/>
    </row>
    <row r="10" spans="1:11" x14ac:dyDescent="0.2">
      <c r="B10" s="22" t="s">
        <v>61</v>
      </c>
      <c r="C10" s="22" t="s">
        <v>62</v>
      </c>
      <c r="D10" s="22" t="s">
        <v>17</v>
      </c>
      <c r="E10" s="26">
        <v>4000</v>
      </c>
      <c r="F10" s="23">
        <v>19932.099999999999</v>
      </c>
      <c r="G10" s="24">
        <v>2.2678552429898202</v>
      </c>
      <c r="H10" s="27">
        <v>6.5451999999999996E-2</v>
      </c>
      <c r="I10" s="28"/>
    </row>
    <row r="11" spans="1:11" x14ac:dyDescent="0.2">
      <c r="B11" s="22" t="s">
        <v>63</v>
      </c>
      <c r="C11" s="22" t="s">
        <v>64</v>
      </c>
      <c r="D11" s="22" t="s">
        <v>17</v>
      </c>
      <c r="E11" s="26">
        <v>4000</v>
      </c>
      <c r="F11" s="23">
        <v>19880.28</v>
      </c>
      <c r="G11" s="24">
        <v>2.26195921303353</v>
      </c>
      <c r="H11" s="27">
        <v>6.6613000000000006E-2</v>
      </c>
      <c r="I11" s="28"/>
    </row>
    <row r="12" spans="1:11" x14ac:dyDescent="0.2">
      <c r="B12" s="22" t="s">
        <v>65</v>
      </c>
      <c r="C12" s="22" t="s">
        <v>66</v>
      </c>
      <c r="D12" s="22" t="s">
        <v>17</v>
      </c>
      <c r="E12" s="26">
        <v>3500</v>
      </c>
      <c r="F12" s="23">
        <v>17373.737499999999</v>
      </c>
      <c r="G12" s="24">
        <v>1.9767672086585899</v>
      </c>
      <c r="H12" s="27">
        <v>6.6314999999999999E-2</v>
      </c>
      <c r="I12" s="28"/>
    </row>
    <row r="13" spans="1:11" x14ac:dyDescent="0.2">
      <c r="B13" s="22" t="s">
        <v>15</v>
      </c>
      <c r="C13" s="22" t="s">
        <v>16</v>
      </c>
      <c r="D13" s="22" t="s">
        <v>13</v>
      </c>
      <c r="E13" s="26">
        <v>3500</v>
      </c>
      <c r="F13" s="23">
        <v>17337.6875</v>
      </c>
      <c r="G13" s="24">
        <v>1.9726654741945899</v>
      </c>
      <c r="H13" s="27">
        <v>6.7001000000000005E-2</v>
      </c>
      <c r="I13" s="28"/>
    </row>
    <row r="14" spans="1:11" x14ac:dyDescent="0.2">
      <c r="B14" s="22" t="s">
        <v>67</v>
      </c>
      <c r="C14" s="22" t="s">
        <v>68</v>
      </c>
      <c r="D14" s="22" t="s">
        <v>17</v>
      </c>
      <c r="E14" s="26">
        <v>3000</v>
      </c>
      <c r="F14" s="23">
        <v>14938.11</v>
      </c>
      <c r="G14" s="24">
        <v>1.69964384504687</v>
      </c>
      <c r="H14" s="27">
        <v>6.5749000000000002E-2</v>
      </c>
      <c r="I14" s="28"/>
    </row>
    <row r="15" spans="1:11" x14ac:dyDescent="0.2">
      <c r="B15" s="22" t="s">
        <v>69</v>
      </c>
      <c r="C15" s="22" t="s">
        <v>70</v>
      </c>
      <c r="D15" s="22" t="s">
        <v>17</v>
      </c>
      <c r="E15" s="26">
        <v>3000</v>
      </c>
      <c r="F15" s="23">
        <v>14855.16</v>
      </c>
      <c r="G15" s="24">
        <v>1.6902058735132099</v>
      </c>
      <c r="H15" s="27">
        <v>6.7151000000000002E-2</v>
      </c>
      <c r="I15" s="28"/>
    </row>
    <row r="16" spans="1:11" x14ac:dyDescent="0.2">
      <c r="B16" s="22" t="s">
        <v>71</v>
      </c>
      <c r="C16" s="22" t="s">
        <v>72</v>
      </c>
      <c r="D16" s="22" t="s">
        <v>40</v>
      </c>
      <c r="E16" s="26">
        <v>3000</v>
      </c>
      <c r="F16" s="23">
        <v>14823.344999999999</v>
      </c>
      <c r="G16" s="24">
        <v>1.6865859932920699</v>
      </c>
      <c r="H16" s="27">
        <v>7.2497000000000006E-2</v>
      </c>
      <c r="I16" s="28"/>
    </row>
    <row r="17" spans="2:9" x14ac:dyDescent="0.2">
      <c r="B17" s="22" t="s">
        <v>73</v>
      </c>
      <c r="C17" s="22" t="s">
        <v>74</v>
      </c>
      <c r="D17" s="22" t="s">
        <v>40</v>
      </c>
      <c r="E17" s="26">
        <v>2500</v>
      </c>
      <c r="F17" s="23">
        <v>12429.275</v>
      </c>
      <c r="G17" s="24">
        <v>1.4141910022181501</v>
      </c>
      <c r="H17" s="27">
        <v>6.6997000000000001E-2</v>
      </c>
      <c r="I17" s="28"/>
    </row>
    <row r="18" spans="2:9" x14ac:dyDescent="0.2">
      <c r="B18" s="22" t="s">
        <v>75</v>
      </c>
      <c r="C18" s="22" t="s">
        <v>76</v>
      </c>
      <c r="D18" s="22" t="s">
        <v>17</v>
      </c>
      <c r="E18" s="26">
        <v>2000</v>
      </c>
      <c r="F18" s="23">
        <v>9980.3799999999992</v>
      </c>
      <c r="G18" s="24">
        <v>1.13555807516673</v>
      </c>
      <c r="H18" s="27">
        <v>6.5230999999999997E-2</v>
      </c>
      <c r="I18" s="28"/>
    </row>
    <row r="19" spans="2:9" x14ac:dyDescent="0.2">
      <c r="B19" s="22" t="s">
        <v>77</v>
      </c>
      <c r="C19" s="22" t="s">
        <v>78</v>
      </c>
      <c r="D19" s="22" t="s">
        <v>17</v>
      </c>
      <c r="E19" s="26">
        <v>2000</v>
      </c>
      <c r="F19" s="23">
        <v>9971.85</v>
      </c>
      <c r="G19" s="24">
        <v>1.1345875399384899</v>
      </c>
      <c r="H19" s="27">
        <v>6.4409999999999995E-2</v>
      </c>
      <c r="I19" s="28"/>
    </row>
    <row r="20" spans="2:9" x14ac:dyDescent="0.2">
      <c r="B20" s="22" t="s">
        <v>79</v>
      </c>
      <c r="C20" s="22" t="s">
        <v>80</v>
      </c>
      <c r="D20" s="22" t="s">
        <v>17</v>
      </c>
      <c r="E20" s="26">
        <v>2000</v>
      </c>
      <c r="F20" s="23">
        <v>9969.68</v>
      </c>
      <c r="G20" s="24">
        <v>1.1343406394173601</v>
      </c>
      <c r="H20" s="27">
        <v>6.5296999999999994E-2</v>
      </c>
      <c r="I20" s="28"/>
    </row>
    <row r="21" spans="2:9" x14ac:dyDescent="0.2">
      <c r="B21" s="22" t="s">
        <v>81</v>
      </c>
      <c r="C21" s="22" t="s">
        <v>82</v>
      </c>
      <c r="D21" s="22" t="s">
        <v>17</v>
      </c>
      <c r="E21" s="26">
        <v>2000</v>
      </c>
      <c r="F21" s="23">
        <v>9941.86</v>
      </c>
      <c r="G21" s="24">
        <v>1.131175306469</v>
      </c>
      <c r="H21" s="27">
        <v>6.6703999999999999E-2</v>
      </c>
      <c r="I21" s="28"/>
    </row>
    <row r="22" spans="2:9" x14ac:dyDescent="0.2">
      <c r="B22" s="22" t="s">
        <v>83</v>
      </c>
      <c r="C22" s="22" t="s">
        <v>84</v>
      </c>
      <c r="D22" s="22" t="s">
        <v>14</v>
      </c>
      <c r="E22" s="26">
        <v>2000</v>
      </c>
      <c r="F22" s="23">
        <v>9927.65</v>
      </c>
      <c r="G22" s="24">
        <v>1.12955850628222</v>
      </c>
      <c r="H22" s="27">
        <v>6.6501000000000005E-2</v>
      </c>
      <c r="I22" s="28"/>
    </row>
    <row r="23" spans="2:9" x14ac:dyDescent="0.2">
      <c r="B23" s="22" t="s">
        <v>85</v>
      </c>
      <c r="C23" s="22" t="s">
        <v>86</v>
      </c>
      <c r="D23" s="22" t="s">
        <v>17</v>
      </c>
      <c r="E23" s="26">
        <v>2000</v>
      </c>
      <c r="F23" s="23">
        <v>9905.8700000000008</v>
      </c>
      <c r="G23" s="24">
        <v>1.12708039874753</v>
      </c>
      <c r="H23" s="27">
        <v>6.6699999999999995E-2</v>
      </c>
      <c r="I23" s="28"/>
    </row>
    <row r="24" spans="2:9" x14ac:dyDescent="0.2">
      <c r="B24" s="22" t="s">
        <v>87</v>
      </c>
      <c r="C24" s="22" t="s">
        <v>88</v>
      </c>
      <c r="D24" s="22" t="s">
        <v>13</v>
      </c>
      <c r="E24" s="26">
        <v>2000</v>
      </c>
      <c r="F24" s="23">
        <v>9882.4699999999993</v>
      </c>
      <c r="G24" s="24">
        <v>1.12441796916479</v>
      </c>
      <c r="H24" s="27">
        <v>7.2350999999999999E-2</v>
      </c>
      <c r="I24" s="28"/>
    </row>
    <row r="25" spans="2:9" x14ac:dyDescent="0.2">
      <c r="B25" s="22" t="s">
        <v>89</v>
      </c>
      <c r="C25" s="22" t="s">
        <v>90</v>
      </c>
      <c r="D25" s="22" t="s">
        <v>17</v>
      </c>
      <c r="E25" s="26">
        <v>1500</v>
      </c>
      <c r="F25" s="23">
        <v>7478.5275000000001</v>
      </c>
      <c r="G25" s="24">
        <v>0.85089969449875102</v>
      </c>
      <c r="H25" s="27">
        <v>6.5500000000000003E-2</v>
      </c>
      <c r="I25" s="28"/>
    </row>
    <row r="26" spans="2:9" x14ac:dyDescent="0.2">
      <c r="B26" s="22" t="s">
        <v>91</v>
      </c>
      <c r="C26" s="22" t="s">
        <v>92</v>
      </c>
      <c r="D26" s="22" t="s">
        <v>17</v>
      </c>
      <c r="E26" s="26">
        <v>1500</v>
      </c>
      <c r="F26" s="23">
        <v>7467.9750000000004</v>
      </c>
      <c r="G26" s="24">
        <v>0.84969904115807704</v>
      </c>
      <c r="H26" s="27">
        <v>6.5226000000000006E-2</v>
      </c>
      <c r="I26" s="28"/>
    </row>
    <row r="27" spans="2:9" x14ac:dyDescent="0.2">
      <c r="B27" s="22" t="s">
        <v>93</v>
      </c>
      <c r="C27" s="22" t="s">
        <v>94</v>
      </c>
      <c r="D27" s="22" t="s">
        <v>17</v>
      </c>
      <c r="E27" s="26">
        <v>1500</v>
      </c>
      <c r="F27" s="23">
        <v>7450.7624999999998</v>
      </c>
      <c r="G27" s="24">
        <v>0.84774061939770196</v>
      </c>
      <c r="H27" s="27">
        <v>6.7002000000000006E-2</v>
      </c>
      <c r="I27" s="28"/>
    </row>
    <row r="28" spans="2:9" x14ac:dyDescent="0.2">
      <c r="B28" s="22" t="s">
        <v>11</v>
      </c>
      <c r="C28" s="22" t="s">
        <v>12</v>
      </c>
      <c r="D28" s="22" t="s">
        <v>13</v>
      </c>
      <c r="E28" s="26">
        <v>1500</v>
      </c>
      <c r="F28" s="23">
        <v>7447.0050000000001</v>
      </c>
      <c r="G28" s="24">
        <v>0.84731309464739801</v>
      </c>
      <c r="H28" s="27">
        <v>6.6600999999999994E-2</v>
      </c>
      <c r="I28" s="28"/>
    </row>
    <row r="29" spans="2:9" x14ac:dyDescent="0.2">
      <c r="B29" s="22" t="s">
        <v>95</v>
      </c>
      <c r="C29" s="22" t="s">
        <v>96</v>
      </c>
      <c r="D29" s="22" t="s">
        <v>17</v>
      </c>
      <c r="E29" s="26">
        <v>1400</v>
      </c>
      <c r="F29" s="23">
        <v>6979.0420000000004</v>
      </c>
      <c r="G29" s="24">
        <v>0.79406871281732305</v>
      </c>
      <c r="H29" s="27">
        <v>6.4476000000000006E-2</v>
      </c>
      <c r="I29" s="28"/>
    </row>
    <row r="30" spans="2:9" x14ac:dyDescent="0.2">
      <c r="B30" s="22" t="s">
        <v>20</v>
      </c>
      <c r="C30" s="22" t="s">
        <v>21</v>
      </c>
      <c r="D30" s="22" t="s">
        <v>17</v>
      </c>
      <c r="E30" s="26">
        <v>1300</v>
      </c>
      <c r="F30" s="23">
        <v>6446.9795000000004</v>
      </c>
      <c r="G30" s="24">
        <v>0.73353115128475599</v>
      </c>
      <c r="H30" s="27">
        <v>6.6706000000000001E-2</v>
      </c>
      <c r="I30" s="28"/>
    </row>
    <row r="31" spans="2:9" x14ac:dyDescent="0.2">
      <c r="B31" s="22" t="s">
        <v>97</v>
      </c>
      <c r="C31" s="22" t="s">
        <v>98</v>
      </c>
      <c r="D31" s="22" t="s">
        <v>17</v>
      </c>
      <c r="E31" s="26">
        <v>1000</v>
      </c>
      <c r="F31" s="23">
        <v>4977.125</v>
      </c>
      <c r="G31" s="24">
        <v>0.56629251439967199</v>
      </c>
      <c r="H31" s="27">
        <v>6.4520999999999995E-2</v>
      </c>
      <c r="I31" s="28"/>
    </row>
    <row r="32" spans="2:9" x14ac:dyDescent="0.2">
      <c r="B32" s="22" t="s">
        <v>99</v>
      </c>
      <c r="C32" s="22" t="s">
        <v>100</v>
      </c>
      <c r="D32" s="22" t="s">
        <v>17</v>
      </c>
      <c r="E32" s="26">
        <v>1000</v>
      </c>
      <c r="F32" s="23">
        <v>4971.9250000000002</v>
      </c>
      <c r="G32" s="24">
        <v>0.565700863381288</v>
      </c>
      <c r="H32" s="27">
        <v>6.6485000000000002E-2</v>
      </c>
      <c r="I32" s="28"/>
    </row>
    <row r="33" spans="2:9" x14ac:dyDescent="0.2">
      <c r="B33" s="22" t="s">
        <v>101</v>
      </c>
      <c r="C33" s="22" t="s">
        <v>102</v>
      </c>
      <c r="D33" s="22" t="s">
        <v>40</v>
      </c>
      <c r="E33" s="26">
        <v>1000</v>
      </c>
      <c r="F33" s="23">
        <v>4964.665</v>
      </c>
      <c r="G33" s="24">
        <v>0.56487482753638896</v>
      </c>
      <c r="H33" s="27">
        <v>6.6614999999999994E-2</v>
      </c>
      <c r="I33" s="28"/>
    </row>
    <row r="34" spans="2:9" x14ac:dyDescent="0.2">
      <c r="B34" s="22" t="s">
        <v>103</v>
      </c>
      <c r="C34" s="22" t="s">
        <v>104</v>
      </c>
      <c r="D34" s="22" t="s">
        <v>17</v>
      </c>
      <c r="E34" s="26">
        <v>1000</v>
      </c>
      <c r="F34" s="23">
        <v>4959.0349999999999</v>
      </c>
      <c r="G34" s="24">
        <v>0.564234251529945</v>
      </c>
      <c r="H34" s="27">
        <v>6.7002999999999993E-2</v>
      </c>
      <c r="I34" s="28"/>
    </row>
    <row r="35" spans="2:9" x14ac:dyDescent="0.2">
      <c r="B35" s="22" t="s">
        <v>105</v>
      </c>
      <c r="C35" s="22" t="s">
        <v>106</v>
      </c>
      <c r="D35" s="22" t="s">
        <v>17</v>
      </c>
      <c r="E35" s="26">
        <v>1000</v>
      </c>
      <c r="F35" s="23">
        <v>4957.42</v>
      </c>
      <c r="G35" s="24">
        <v>0.56405049837711996</v>
      </c>
      <c r="H35" s="27">
        <v>6.6702999999999998E-2</v>
      </c>
      <c r="I35" s="28"/>
    </row>
    <row r="36" spans="2:9" x14ac:dyDescent="0.2">
      <c r="B36" s="22" t="s">
        <v>107</v>
      </c>
      <c r="C36" s="22" t="s">
        <v>108</v>
      </c>
      <c r="D36" s="22" t="s">
        <v>17</v>
      </c>
      <c r="E36" s="26">
        <v>500</v>
      </c>
      <c r="F36" s="23">
        <v>2498.6675</v>
      </c>
      <c r="G36" s="24">
        <v>0.28429599441921699</v>
      </c>
      <c r="H36" s="27">
        <v>6.4944000000000002E-2</v>
      </c>
      <c r="I36" s="28"/>
    </row>
    <row r="37" spans="2:9" x14ac:dyDescent="0.2">
      <c r="B37" s="22" t="s">
        <v>109</v>
      </c>
      <c r="C37" s="22" t="s">
        <v>110</v>
      </c>
      <c r="D37" s="22" t="s">
        <v>14</v>
      </c>
      <c r="E37" s="26">
        <v>500</v>
      </c>
      <c r="F37" s="23">
        <v>2496.4775</v>
      </c>
      <c r="G37" s="24">
        <v>0.28404681831724299</v>
      </c>
      <c r="H37" s="27">
        <v>6.4398999999999998E-2</v>
      </c>
      <c r="I37" s="28"/>
    </row>
    <row r="38" spans="2:9" x14ac:dyDescent="0.2">
      <c r="B38" s="22" t="s">
        <v>111</v>
      </c>
      <c r="C38" s="22" t="s">
        <v>112</v>
      </c>
      <c r="D38" s="22" t="s">
        <v>17</v>
      </c>
      <c r="E38" s="26">
        <v>500</v>
      </c>
      <c r="F38" s="23">
        <v>2490.335</v>
      </c>
      <c r="G38" s="24">
        <v>0.28334793055177598</v>
      </c>
      <c r="H38" s="27">
        <v>6.4397999999999997E-2</v>
      </c>
      <c r="I38" s="28"/>
    </row>
    <row r="39" spans="2:9" x14ac:dyDescent="0.2">
      <c r="B39" s="22" t="s">
        <v>113</v>
      </c>
      <c r="C39" s="22" t="s">
        <v>114</v>
      </c>
      <c r="D39" s="22" t="s">
        <v>17</v>
      </c>
      <c r="E39" s="26">
        <v>500</v>
      </c>
      <c r="F39" s="23">
        <v>2488.39</v>
      </c>
      <c r="G39" s="24">
        <v>0.283126630315092</v>
      </c>
      <c r="H39" s="27">
        <v>6.5505999999999995E-2</v>
      </c>
      <c r="I39" s="28"/>
    </row>
    <row r="40" spans="2:9" x14ac:dyDescent="0.2">
      <c r="B40" s="22" t="s">
        <v>115</v>
      </c>
      <c r="C40" s="22" t="s">
        <v>116</v>
      </c>
      <c r="D40" s="22" t="s">
        <v>17</v>
      </c>
      <c r="E40" s="26">
        <v>500</v>
      </c>
      <c r="F40" s="23">
        <v>2485.4650000000001</v>
      </c>
      <c r="G40" s="24">
        <v>0.28279382661725</v>
      </c>
      <c r="H40" s="27">
        <v>6.6703999999999999E-2</v>
      </c>
      <c r="I40" s="28"/>
    </row>
    <row r="41" spans="2:9" x14ac:dyDescent="0.2">
      <c r="B41" s="22" t="s">
        <v>18</v>
      </c>
      <c r="C41" s="22" t="s">
        <v>19</v>
      </c>
      <c r="D41" s="22" t="s">
        <v>17</v>
      </c>
      <c r="E41" s="26">
        <v>500</v>
      </c>
      <c r="F41" s="23">
        <v>2482.3625000000002</v>
      </c>
      <c r="G41" s="24">
        <v>0.28244082713945401</v>
      </c>
      <c r="H41" s="27">
        <v>6.6497000000000001E-2</v>
      </c>
      <c r="I41" s="28"/>
    </row>
    <row r="42" spans="2:9" x14ac:dyDescent="0.2">
      <c r="B42" s="22" t="s">
        <v>117</v>
      </c>
      <c r="C42" s="22" t="s">
        <v>118</v>
      </c>
      <c r="D42" s="22" t="s">
        <v>40</v>
      </c>
      <c r="E42" s="26">
        <v>400</v>
      </c>
      <c r="F42" s="23">
        <v>1988.3219999999999</v>
      </c>
      <c r="G42" s="24">
        <v>0.22622937234170001</v>
      </c>
      <c r="H42" s="27">
        <v>6.6991999999999996E-2</v>
      </c>
      <c r="I42" s="28"/>
    </row>
    <row r="43" spans="2:9" x14ac:dyDescent="0.2">
      <c r="B43" s="22" t="s">
        <v>119</v>
      </c>
      <c r="C43" s="22" t="s">
        <v>120</v>
      </c>
      <c r="D43" s="22" t="s">
        <v>17</v>
      </c>
      <c r="E43" s="26">
        <v>300</v>
      </c>
      <c r="F43" s="23">
        <v>1491.3315</v>
      </c>
      <c r="G43" s="24">
        <v>0.16968226937005501</v>
      </c>
      <c r="H43" s="27">
        <v>6.6299999999999998E-2</v>
      </c>
      <c r="I43" s="28"/>
    </row>
    <row r="44" spans="2:9" x14ac:dyDescent="0.2">
      <c r="B44" s="21" t="s">
        <v>22</v>
      </c>
      <c r="C44" s="21"/>
      <c r="D44" s="21"/>
      <c r="E44" s="21"/>
      <c r="F44" s="29">
        <f>SUM(F6:F43)</f>
        <v>363883.42599999992</v>
      </c>
      <c r="G44" s="30">
        <f>SUM(G6:G43)</f>
        <v>41.402307608892102</v>
      </c>
      <c r="H44" s="31"/>
      <c r="I44" s="31"/>
    </row>
    <row r="45" spans="2:9" x14ac:dyDescent="0.2">
      <c r="B45" s="21" t="s">
        <v>23</v>
      </c>
      <c r="C45" s="22"/>
      <c r="D45" s="22"/>
      <c r="E45" s="22"/>
      <c r="F45" s="23"/>
      <c r="G45" s="24"/>
      <c r="H45" s="25"/>
      <c r="I45" s="25"/>
    </row>
    <row r="46" spans="2:9" x14ac:dyDescent="0.2">
      <c r="B46" s="22" t="s">
        <v>36</v>
      </c>
      <c r="C46" s="22" t="s">
        <v>37</v>
      </c>
      <c r="D46" s="22" t="s">
        <v>17</v>
      </c>
      <c r="E46" s="26">
        <v>9900</v>
      </c>
      <c r="F46" s="23">
        <v>49072.864500000003</v>
      </c>
      <c r="G46" s="24">
        <v>5.5834635108620798</v>
      </c>
      <c r="H46" s="27">
        <v>6.7599999999999993E-2</v>
      </c>
      <c r="I46" s="28"/>
    </row>
    <row r="47" spans="2:9" x14ac:dyDescent="0.2">
      <c r="B47" s="22" t="s">
        <v>121</v>
      </c>
      <c r="C47" s="22" t="s">
        <v>122</v>
      </c>
      <c r="D47" s="22" t="s">
        <v>17</v>
      </c>
      <c r="E47" s="26">
        <v>5500</v>
      </c>
      <c r="F47" s="23">
        <v>27275.407500000001</v>
      </c>
      <c r="G47" s="24">
        <v>3.1033697354297298</v>
      </c>
      <c r="H47" s="27">
        <v>6.9900000000000004E-2</v>
      </c>
      <c r="I47" s="28"/>
    </row>
    <row r="48" spans="2:9" x14ac:dyDescent="0.2">
      <c r="B48" s="22" t="s">
        <v>123</v>
      </c>
      <c r="C48" s="22" t="s">
        <v>124</v>
      </c>
      <c r="D48" s="22" t="s">
        <v>17</v>
      </c>
      <c r="E48" s="26">
        <v>4000</v>
      </c>
      <c r="F48" s="23">
        <v>19963.740000000002</v>
      </c>
      <c r="G48" s="24">
        <v>2.2714552118786102</v>
      </c>
      <c r="H48" s="27">
        <v>6.6295000000000007E-2</v>
      </c>
      <c r="I48" s="28"/>
    </row>
    <row r="49" spans="2:9" x14ac:dyDescent="0.2">
      <c r="B49" s="22" t="s">
        <v>125</v>
      </c>
      <c r="C49" s="22" t="s">
        <v>126</v>
      </c>
      <c r="D49" s="22" t="s">
        <v>40</v>
      </c>
      <c r="E49" s="26">
        <v>4000</v>
      </c>
      <c r="F49" s="23">
        <v>19955.72</v>
      </c>
      <c r="G49" s="24">
        <v>2.27054270396179</v>
      </c>
      <c r="H49" s="27">
        <v>6.7491999999999996E-2</v>
      </c>
      <c r="I49" s="28"/>
    </row>
    <row r="50" spans="2:9" x14ac:dyDescent="0.2">
      <c r="B50" s="22" t="s">
        <v>34</v>
      </c>
      <c r="C50" s="22" t="s">
        <v>35</v>
      </c>
      <c r="D50" s="22" t="s">
        <v>17</v>
      </c>
      <c r="E50" s="26">
        <v>4000</v>
      </c>
      <c r="F50" s="23">
        <v>19829.080000000002</v>
      </c>
      <c r="G50" s="24">
        <v>2.2561337260832799</v>
      </c>
      <c r="H50" s="27">
        <v>7.1503999999999998E-2</v>
      </c>
      <c r="I50" s="28"/>
    </row>
    <row r="51" spans="2:9" x14ac:dyDescent="0.2">
      <c r="B51" s="22" t="s">
        <v>127</v>
      </c>
      <c r="C51" s="22" t="s">
        <v>128</v>
      </c>
      <c r="D51" s="22" t="s">
        <v>17</v>
      </c>
      <c r="E51" s="26">
        <v>3500</v>
      </c>
      <c r="F51" s="23">
        <v>17377.797500000001</v>
      </c>
      <c r="G51" s="24">
        <v>1.9772291515691001</v>
      </c>
      <c r="H51" s="27">
        <v>6.7549999999999999E-2</v>
      </c>
      <c r="I51" s="28"/>
    </row>
    <row r="52" spans="2:9" x14ac:dyDescent="0.2">
      <c r="B52" s="22" t="s">
        <v>129</v>
      </c>
      <c r="C52" s="22" t="s">
        <v>130</v>
      </c>
      <c r="D52" s="22" t="s">
        <v>13</v>
      </c>
      <c r="E52" s="26">
        <v>3000</v>
      </c>
      <c r="F52" s="23">
        <v>14895.105</v>
      </c>
      <c r="G52" s="24">
        <v>1.6947507773457799</v>
      </c>
      <c r="H52" s="27">
        <v>7.1401000000000006E-2</v>
      </c>
      <c r="I52" s="28"/>
    </row>
    <row r="53" spans="2:9" x14ac:dyDescent="0.2">
      <c r="B53" s="22" t="s">
        <v>26</v>
      </c>
      <c r="C53" s="22" t="s">
        <v>27</v>
      </c>
      <c r="D53" s="22" t="s">
        <v>17</v>
      </c>
      <c r="E53" s="26">
        <v>2500</v>
      </c>
      <c r="F53" s="23">
        <v>12396.762500000001</v>
      </c>
      <c r="G53" s="24">
        <v>1.4104917611152199</v>
      </c>
      <c r="H53" s="27">
        <v>6.7547999999999997E-2</v>
      </c>
      <c r="I53" s="28"/>
    </row>
    <row r="54" spans="2:9" x14ac:dyDescent="0.2">
      <c r="B54" s="22" t="s">
        <v>131</v>
      </c>
      <c r="C54" s="22" t="s">
        <v>132</v>
      </c>
      <c r="D54" s="22" t="s">
        <v>17</v>
      </c>
      <c r="E54" s="26">
        <v>2000</v>
      </c>
      <c r="F54" s="23">
        <v>9990.44</v>
      </c>
      <c r="G54" s="24">
        <v>1.1367026923292201</v>
      </c>
      <c r="H54" s="27">
        <v>6.9855E-2</v>
      </c>
      <c r="I54" s="28"/>
    </row>
    <row r="55" spans="2:9" x14ac:dyDescent="0.2">
      <c r="B55" s="22" t="s">
        <v>133</v>
      </c>
      <c r="C55" s="22" t="s">
        <v>134</v>
      </c>
      <c r="D55" s="22" t="s">
        <v>17</v>
      </c>
      <c r="E55" s="26">
        <v>2000</v>
      </c>
      <c r="F55" s="23">
        <v>9976.68</v>
      </c>
      <c r="G55" s="24">
        <v>1.13513709271134</v>
      </c>
      <c r="H55" s="27">
        <v>7.1096999999999994E-2</v>
      </c>
      <c r="I55" s="28"/>
    </row>
    <row r="56" spans="2:9" x14ac:dyDescent="0.2">
      <c r="B56" s="22" t="s">
        <v>135</v>
      </c>
      <c r="C56" s="22" t="s">
        <v>136</v>
      </c>
      <c r="D56" s="22" t="s">
        <v>17</v>
      </c>
      <c r="E56" s="26">
        <v>2000</v>
      </c>
      <c r="F56" s="23">
        <v>9969.66</v>
      </c>
      <c r="G56" s="24">
        <v>1.1343383638365201</v>
      </c>
      <c r="H56" s="27">
        <v>6.5351000000000006E-2</v>
      </c>
      <c r="I56" s="28"/>
    </row>
    <row r="57" spans="2:9" x14ac:dyDescent="0.2">
      <c r="B57" s="22" t="s">
        <v>137</v>
      </c>
      <c r="C57" s="22" t="s">
        <v>138</v>
      </c>
      <c r="D57" s="22" t="s">
        <v>17</v>
      </c>
      <c r="E57" s="26">
        <v>2000</v>
      </c>
      <c r="F57" s="23">
        <v>9966.77</v>
      </c>
      <c r="G57" s="24">
        <v>1.13400954240515</v>
      </c>
      <c r="H57" s="27">
        <v>7.1595000000000006E-2</v>
      </c>
      <c r="I57" s="28"/>
    </row>
    <row r="58" spans="2:9" x14ac:dyDescent="0.2">
      <c r="B58" s="22" t="s">
        <v>139</v>
      </c>
      <c r="C58" s="22" t="s">
        <v>140</v>
      </c>
      <c r="D58" s="22" t="s">
        <v>17</v>
      </c>
      <c r="E58" s="26">
        <v>2000</v>
      </c>
      <c r="F58" s="23">
        <v>9958.99</v>
      </c>
      <c r="G58" s="24">
        <v>1.13312434145841</v>
      </c>
      <c r="H58" s="27">
        <v>6.5349000000000004E-2</v>
      </c>
      <c r="I58" s="28"/>
    </row>
    <row r="59" spans="2:9" x14ac:dyDescent="0.2">
      <c r="B59" s="22" t="s">
        <v>141</v>
      </c>
      <c r="C59" s="22" t="s">
        <v>142</v>
      </c>
      <c r="D59" s="22" t="s">
        <v>17</v>
      </c>
      <c r="E59" s="26">
        <v>2000</v>
      </c>
      <c r="F59" s="23">
        <v>9943.32</v>
      </c>
      <c r="G59" s="24">
        <v>1.1313414238703201</v>
      </c>
      <c r="H59" s="27">
        <v>7.1751999999999996E-2</v>
      </c>
      <c r="I59" s="28"/>
    </row>
    <row r="60" spans="2:9" x14ac:dyDescent="0.2">
      <c r="B60" s="22" t="s">
        <v>143</v>
      </c>
      <c r="C60" s="22" t="s">
        <v>144</v>
      </c>
      <c r="D60" s="22" t="s">
        <v>17</v>
      </c>
      <c r="E60" s="26">
        <v>2000</v>
      </c>
      <c r="F60" s="23">
        <v>9928.0400000000009</v>
      </c>
      <c r="G60" s="24">
        <v>1.1296028801086</v>
      </c>
      <c r="H60" s="27">
        <v>7.1501999999999996E-2</v>
      </c>
      <c r="I60" s="28"/>
    </row>
    <row r="61" spans="2:9" x14ac:dyDescent="0.2">
      <c r="B61" s="22" t="s">
        <v>30</v>
      </c>
      <c r="C61" s="22" t="s">
        <v>31</v>
      </c>
      <c r="D61" s="22" t="s">
        <v>17</v>
      </c>
      <c r="E61" s="26">
        <v>2000</v>
      </c>
      <c r="F61" s="23">
        <v>9924.18</v>
      </c>
      <c r="G61" s="24">
        <v>1.1291636930064901</v>
      </c>
      <c r="H61" s="27">
        <v>7.1501999999999996E-2</v>
      </c>
      <c r="I61" s="28"/>
    </row>
    <row r="62" spans="2:9" x14ac:dyDescent="0.2">
      <c r="B62" s="22" t="s">
        <v>32</v>
      </c>
      <c r="C62" s="22" t="s">
        <v>33</v>
      </c>
      <c r="D62" s="22" t="s">
        <v>17</v>
      </c>
      <c r="E62" s="26">
        <v>2000</v>
      </c>
      <c r="F62" s="23">
        <v>9923.92</v>
      </c>
      <c r="G62" s="24">
        <v>1.1291341104555701</v>
      </c>
      <c r="H62" s="27">
        <v>7.1748999999999993E-2</v>
      </c>
      <c r="I62" s="28"/>
    </row>
    <row r="63" spans="2:9" x14ac:dyDescent="0.2">
      <c r="B63" s="22" t="s">
        <v>145</v>
      </c>
      <c r="C63" s="22" t="s">
        <v>146</v>
      </c>
      <c r="D63" s="22" t="s">
        <v>17</v>
      </c>
      <c r="E63" s="26">
        <v>2000</v>
      </c>
      <c r="F63" s="23">
        <v>9912.6200000000008</v>
      </c>
      <c r="G63" s="24">
        <v>1.12784840728101</v>
      </c>
      <c r="H63" s="27">
        <v>7.1499999999999994E-2</v>
      </c>
      <c r="I63" s="28"/>
    </row>
    <row r="64" spans="2:9" x14ac:dyDescent="0.2">
      <c r="B64" s="22" t="s">
        <v>147</v>
      </c>
      <c r="C64" s="22" t="s">
        <v>148</v>
      </c>
      <c r="D64" s="22" t="s">
        <v>17</v>
      </c>
      <c r="E64" s="26">
        <v>2000</v>
      </c>
      <c r="F64" s="23">
        <v>9831.91</v>
      </c>
      <c r="G64" s="24">
        <v>1.11866530080142</v>
      </c>
      <c r="H64" s="27">
        <v>0.08</v>
      </c>
      <c r="I64" s="28"/>
    </row>
    <row r="65" spans="2:9" x14ac:dyDescent="0.2">
      <c r="B65" s="22" t="s">
        <v>149</v>
      </c>
      <c r="C65" s="22" t="s">
        <v>150</v>
      </c>
      <c r="D65" s="22" t="s">
        <v>17</v>
      </c>
      <c r="E65" s="26">
        <v>1000</v>
      </c>
      <c r="F65" s="23">
        <v>4984.71</v>
      </c>
      <c r="G65" s="24">
        <v>0.56715552843322004</v>
      </c>
      <c r="H65" s="27">
        <v>6.5858E-2</v>
      </c>
      <c r="I65" s="28"/>
    </row>
    <row r="66" spans="2:9" x14ac:dyDescent="0.2">
      <c r="B66" s="22" t="s">
        <v>151</v>
      </c>
      <c r="C66" s="22" t="s">
        <v>152</v>
      </c>
      <c r="D66" s="22" t="s">
        <v>17</v>
      </c>
      <c r="E66" s="26">
        <v>1000</v>
      </c>
      <c r="F66" s="23">
        <v>4974.84</v>
      </c>
      <c r="G66" s="24">
        <v>0.56603252928870895</v>
      </c>
      <c r="H66" s="27">
        <v>7.0999000000000007E-2</v>
      </c>
      <c r="I66" s="28"/>
    </row>
    <row r="67" spans="2:9" x14ac:dyDescent="0.2">
      <c r="B67" s="22" t="s">
        <v>153</v>
      </c>
      <c r="C67" s="22" t="s">
        <v>154</v>
      </c>
      <c r="D67" s="22" t="s">
        <v>17</v>
      </c>
      <c r="E67" s="26">
        <v>1000</v>
      </c>
      <c r="F67" s="23">
        <v>4969.67</v>
      </c>
      <c r="G67" s="24">
        <v>0.56544429164158405</v>
      </c>
      <c r="H67" s="27">
        <v>6.7502999999999994E-2</v>
      </c>
      <c r="I67" s="28"/>
    </row>
    <row r="68" spans="2:9" x14ac:dyDescent="0.2">
      <c r="B68" s="22" t="s">
        <v>38</v>
      </c>
      <c r="C68" s="22" t="s">
        <v>39</v>
      </c>
      <c r="D68" s="22" t="s">
        <v>40</v>
      </c>
      <c r="E68" s="26">
        <v>1000</v>
      </c>
      <c r="F68" s="23">
        <v>4967.8850000000002</v>
      </c>
      <c r="G68" s="24">
        <v>0.56524119605161904</v>
      </c>
      <c r="H68" s="27">
        <v>7.1501999999999996E-2</v>
      </c>
      <c r="I68" s="28"/>
    </row>
    <row r="69" spans="2:9" x14ac:dyDescent="0.2">
      <c r="B69" s="22" t="s">
        <v>28</v>
      </c>
      <c r="C69" s="22" t="s">
        <v>29</v>
      </c>
      <c r="D69" s="22" t="s">
        <v>17</v>
      </c>
      <c r="E69" s="26">
        <v>1000</v>
      </c>
      <c r="F69" s="23">
        <v>4967.7749999999996</v>
      </c>
      <c r="G69" s="24">
        <v>0.56522868035700002</v>
      </c>
      <c r="H69" s="27">
        <v>7.1748000000000006E-2</v>
      </c>
      <c r="I69" s="28"/>
    </row>
    <row r="70" spans="2:9" x14ac:dyDescent="0.2">
      <c r="B70" s="22" t="s">
        <v>155</v>
      </c>
      <c r="C70" s="22" t="s">
        <v>156</v>
      </c>
      <c r="D70" s="22" t="s">
        <v>40</v>
      </c>
      <c r="E70" s="26">
        <v>500</v>
      </c>
      <c r="F70" s="23">
        <v>2497.6750000000002</v>
      </c>
      <c r="G70" s="24">
        <v>0.28418306872003402</v>
      </c>
      <c r="H70" s="27">
        <v>6.7989999999999995E-2</v>
      </c>
      <c r="I70" s="28"/>
    </row>
    <row r="71" spans="2:9" x14ac:dyDescent="0.2">
      <c r="B71" s="22" t="s">
        <v>157</v>
      </c>
      <c r="C71" s="22" t="s">
        <v>158</v>
      </c>
      <c r="D71" s="22" t="s">
        <v>17</v>
      </c>
      <c r="E71" s="26">
        <v>500</v>
      </c>
      <c r="F71" s="23">
        <v>2487.1574999999998</v>
      </c>
      <c r="G71" s="24">
        <v>0.28298639764583</v>
      </c>
      <c r="H71" s="27">
        <v>7.2495000000000004E-2</v>
      </c>
      <c r="I71" s="28"/>
    </row>
    <row r="72" spans="2:9" x14ac:dyDescent="0.2">
      <c r="B72" s="22" t="s">
        <v>24</v>
      </c>
      <c r="C72" s="22" t="s">
        <v>25</v>
      </c>
      <c r="D72" s="22" t="s">
        <v>13</v>
      </c>
      <c r="E72" s="26">
        <v>500</v>
      </c>
      <c r="F72" s="23">
        <v>2483.4675000000002</v>
      </c>
      <c r="G72" s="24">
        <v>0.28256655298086097</v>
      </c>
      <c r="H72" s="27">
        <v>6.5675999999999998E-2</v>
      </c>
      <c r="I72" s="28"/>
    </row>
    <row r="73" spans="2:9" x14ac:dyDescent="0.2">
      <c r="B73" s="21" t="s">
        <v>22</v>
      </c>
      <c r="C73" s="21"/>
      <c r="D73" s="21"/>
      <c r="E73" s="21"/>
      <c r="F73" s="29">
        <f>SUM(F45:F72)</f>
        <v>322426.18700000003</v>
      </c>
      <c r="G73" s="30">
        <f>SUM(G45:G72)</f>
        <v>36.685342671628497</v>
      </c>
      <c r="H73" s="31"/>
      <c r="I73" s="31"/>
    </row>
    <row r="74" spans="2:9" x14ac:dyDescent="0.2">
      <c r="B74" s="21" t="s">
        <v>41</v>
      </c>
      <c r="C74" s="22"/>
      <c r="D74" s="22"/>
      <c r="E74" s="22"/>
      <c r="F74" s="23"/>
      <c r="G74" s="24"/>
      <c r="H74" s="25"/>
      <c r="I74" s="25"/>
    </row>
    <row r="75" spans="2:9" x14ac:dyDescent="0.2">
      <c r="B75" s="22" t="s">
        <v>159</v>
      </c>
      <c r="C75" s="22" t="s">
        <v>160</v>
      </c>
      <c r="D75" s="22" t="s">
        <v>43</v>
      </c>
      <c r="E75" s="26">
        <v>69000000</v>
      </c>
      <c r="F75" s="23">
        <v>68109.968999999997</v>
      </c>
      <c r="G75" s="24">
        <v>7.74948702327021</v>
      </c>
      <c r="H75" s="27">
        <v>5.4200999999999999E-2</v>
      </c>
      <c r="I75" s="28"/>
    </row>
    <row r="76" spans="2:9" x14ac:dyDescent="0.2">
      <c r="B76" s="22" t="s">
        <v>161</v>
      </c>
      <c r="C76" s="22" t="s">
        <v>162</v>
      </c>
      <c r="D76" s="22" t="s">
        <v>43</v>
      </c>
      <c r="E76" s="26">
        <v>28500000</v>
      </c>
      <c r="F76" s="23">
        <v>28161.106500000002</v>
      </c>
      <c r="G76" s="24">
        <v>3.2041437191474902</v>
      </c>
      <c r="H76" s="27">
        <v>5.423E-2</v>
      </c>
      <c r="I76" s="28"/>
    </row>
    <row r="77" spans="2:9" x14ac:dyDescent="0.2">
      <c r="B77" s="22" t="s">
        <v>163</v>
      </c>
      <c r="C77" s="22" t="s">
        <v>164</v>
      </c>
      <c r="D77" s="22" t="s">
        <v>43</v>
      </c>
      <c r="E77" s="26">
        <v>25000000</v>
      </c>
      <c r="F77" s="23">
        <v>24863.375</v>
      </c>
      <c r="G77" s="24">
        <v>2.82893098831393</v>
      </c>
      <c r="H77" s="27">
        <v>5.1428000000000001E-2</v>
      </c>
      <c r="I77" s="28"/>
    </row>
    <row r="78" spans="2:9" x14ac:dyDescent="0.2">
      <c r="B78" s="22" t="s">
        <v>165</v>
      </c>
      <c r="C78" s="22" t="s">
        <v>166</v>
      </c>
      <c r="D78" s="22" t="s">
        <v>43</v>
      </c>
      <c r="E78" s="26">
        <v>18000000</v>
      </c>
      <c r="F78" s="23">
        <v>17801.009999999998</v>
      </c>
      <c r="G78" s="24">
        <v>2.0253818643802801</v>
      </c>
      <c r="H78" s="27">
        <v>5.4401999999999999E-2</v>
      </c>
      <c r="I78" s="28"/>
    </row>
    <row r="79" spans="2:9" x14ac:dyDescent="0.2">
      <c r="B79" s="21" t="s">
        <v>22</v>
      </c>
      <c r="C79" s="21"/>
      <c r="D79" s="21"/>
      <c r="E79" s="21"/>
      <c r="F79" s="32">
        <f>SUM(F74:F78)</f>
        <v>138935.46050000002</v>
      </c>
      <c r="G79" s="33">
        <f>SUM(G74:G78)</f>
        <v>15.807943595111912</v>
      </c>
      <c r="H79" s="31"/>
      <c r="I79" s="31"/>
    </row>
    <row r="80" spans="2:9" x14ac:dyDescent="0.2">
      <c r="B80" s="34" t="s">
        <v>42</v>
      </c>
      <c r="C80" s="34"/>
      <c r="D80" s="34"/>
      <c r="E80" s="34"/>
      <c r="F80" s="35">
        <f>+F44+F73+F79</f>
        <v>825245.07349999994</v>
      </c>
      <c r="G80" s="36">
        <f>+G44+G73+G79</f>
        <v>93.8955938756325</v>
      </c>
      <c r="H80" s="31"/>
      <c r="I80" s="31"/>
    </row>
    <row r="81" spans="2:9" x14ac:dyDescent="0.2">
      <c r="B81" s="21" t="s">
        <v>44</v>
      </c>
      <c r="C81" s="22"/>
      <c r="D81" s="22"/>
      <c r="E81" s="22"/>
      <c r="F81" s="23"/>
      <c r="G81" s="24"/>
      <c r="H81" s="25"/>
      <c r="I81" s="25"/>
    </row>
    <row r="82" spans="2:9" x14ac:dyDescent="0.2">
      <c r="B82" s="22" t="s">
        <v>45</v>
      </c>
      <c r="C82" s="22" t="s">
        <v>46</v>
      </c>
      <c r="D82" s="22"/>
      <c r="E82" s="26">
        <v>15348.03</v>
      </c>
      <c r="F82" s="23">
        <v>1780.2036186</v>
      </c>
      <c r="G82" s="24">
        <v>0.20254986228402699</v>
      </c>
      <c r="H82" s="25"/>
      <c r="I82" s="25"/>
    </row>
    <row r="83" spans="2:9" x14ac:dyDescent="0.2">
      <c r="B83" s="21" t="s">
        <v>22</v>
      </c>
      <c r="C83" s="21"/>
      <c r="D83" s="21"/>
      <c r="E83" s="21"/>
      <c r="F83" s="29">
        <f>SUM(F82:F82)</f>
        <v>1780.2036186</v>
      </c>
      <c r="G83" s="30">
        <f>SUM(G82:G82)</f>
        <v>0.20254986228402699</v>
      </c>
      <c r="H83" s="31"/>
      <c r="I83" s="31"/>
    </row>
    <row r="84" spans="2:9" x14ac:dyDescent="0.2">
      <c r="B84" s="21"/>
      <c r="C84" s="22"/>
      <c r="D84" s="22"/>
      <c r="E84" s="22"/>
      <c r="F84" s="23"/>
      <c r="G84" s="24"/>
      <c r="H84" s="25"/>
      <c r="I84" s="25"/>
    </row>
    <row r="85" spans="2:9" x14ac:dyDescent="0.2">
      <c r="B85" s="21" t="s">
        <v>47</v>
      </c>
      <c r="C85" s="21"/>
      <c r="D85" s="21"/>
      <c r="E85" s="21"/>
      <c r="F85" s="29">
        <v>19061.870526300001</v>
      </c>
      <c r="G85" s="30">
        <v>2.1688413671546201</v>
      </c>
      <c r="H85" s="27">
        <v>5.04819029E-2</v>
      </c>
      <c r="I85" s="27"/>
    </row>
    <row r="86" spans="2:9" x14ac:dyDescent="0.2">
      <c r="B86" s="22"/>
      <c r="C86" s="22"/>
      <c r="D86" s="22"/>
      <c r="E86" s="22"/>
      <c r="F86" s="23"/>
      <c r="G86" s="24"/>
      <c r="H86" s="25"/>
      <c r="I86" s="25"/>
    </row>
    <row r="87" spans="2:9" x14ac:dyDescent="0.2">
      <c r="B87" s="21" t="s">
        <v>53</v>
      </c>
      <c r="C87" s="22"/>
      <c r="D87" s="22"/>
      <c r="E87" s="22"/>
      <c r="F87" s="23"/>
      <c r="G87" s="24"/>
      <c r="H87" s="25"/>
      <c r="I87" s="25"/>
    </row>
    <row r="88" spans="2:9" x14ac:dyDescent="0.2">
      <c r="B88" s="22" t="s">
        <v>167</v>
      </c>
      <c r="C88" s="22"/>
      <c r="D88" s="22"/>
      <c r="E88" s="22"/>
      <c r="F88" s="23">
        <v>9999.8429961000002</v>
      </c>
      <c r="G88" s="24">
        <v>1.1377725562173799</v>
      </c>
      <c r="H88" s="25">
        <v>5.6000000000000001E-2</v>
      </c>
      <c r="I88" s="25"/>
    </row>
    <row r="89" spans="2:9" x14ac:dyDescent="0.2">
      <c r="B89" s="22" t="s">
        <v>167</v>
      </c>
      <c r="C89" s="22"/>
      <c r="D89" s="22"/>
      <c r="E89" s="22"/>
      <c r="F89" s="23">
        <v>8999.5633383000004</v>
      </c>
      <c r="G89" s="24">
        <v>1.02396169502374</v>
      </c>
      <c r="H89" s="25">
        <v>5.6000000000000001E-2</v>
      </c>
      <c r="I89" s="25"/>
    </row>
    <row r="90" spans="2:9" x14ac:dyDescent="0.2">
      <c r="B90" s="22" t="s">
        <v>168</v>
      </c>
      <c r="C90" s="22"/>
      <c r="D90" s="22"/>
      <c r="E90" s="22"/>
      <c r="F90" s="23">
        <v>7499.7454041999999</v>
      </c>
      <c r="G90" s="24">
        <v>0.85331384731181303</v>
      </c>
      <c r="H90" s="25">
        <v>5.4449999999999998E-2</v>
      </c>
      <c r="I90" s="25"/>
    </row>
    <row r="91" spans="2:9" x14ac:dyDescent="0.2">
      <c r="B91" s="22" t="s">
        <v>54</v>
      </c>
      <c r="C91" s="22"/>
      <c r="D91" s="22"/>
      <c r="E91" s="22"/>
      <c r="F91" s="23">
        <v>6150.2849999999999</v>
      </c>
      <c r="G91" s="24">
        <v>0.69977353530895603</v>
      </c>
      <c r="H91" s="25">
        <v>5.5E-2</v>
      </c>
      <c r="I91" s="25"/>
    </row>
    <row r="92" spans="2:9" x14ac:dyDescent="0.2">
      <c r="B92" s="22" t="s">
        <v>54</v>
      </c>
      <c r="C92" s="22"/>
      <c r="D92" s="22"/>
      <c r="E92" s="22"/>
      <c r="F92" s="23">
        <v>5681.1333333000002</v>
      </c>
      <c r="G92" s="24">
        <v>0.64639390812050102</v>
      </c>
      <c r="H92" s="25">
        <v>5.0999999999999997E-2</v>
      </c>
      <c r="I92" s="25"/>
    </row>
    <row r="93" spans="2:9" x14ac:dyDescent="0.2">
      <c r="B93" s="22" t="s">
        <v>54</v>
      </c>
      <c r="C93" s="22"/>
      <c r="D93" s="22"/>
      <c r="E93" s="22"/>
      <c r="F93" s="23">
        <v>5099.2193200000002</v>
      </c>
      <c r="G93" s="24">
        <v>0.58018428916255604</v>
      </c>
      <c r="H93" s="25">
        <v>5.1999999999999998E-2</v>
      </c>
      <c r="I93" s="25"/>
    </row>
    <row r="94" spans="2:9" x14ac:dyDescent="0.2">
      <c r="B94" s="22" t="s">
        <v>54</v>
      </c>
      <c r="C94" s="22"/>
      <c r="D94" s="22"/>
      <c r="E94" s="22"/>
      <c r="F94" s="23">
        <v>2799.9813275000001</v>
      </c>
      <c r="G94" s="24">
        <v>0.31857919305263699</v>
      </c>
      <c r="H94" s="25">
        <v>5.1499999999999997E-2</v>
      </c>
      <c r="I94" s="25"/>
    </row>
    <row r="95" spans="2:9" x14ac:dyDescent="0.2">
      <c r="B95" s="22" t="s">
        <v>54</v>
      </c>
      <c r="C95" s="22"/>
      <c r="D95" s="22"/>
      <c r="E95" s="22"/>
      <c r="F95" s="23">
        <v>2599.2005600000002</v>
      </c>
      <c r="G95" s="24">
        <v>0.29573454967505097</v>
      </c>
      <c r="H95" s="25">
        <v>5.1999999999999998E-2</v>
      </c>
      <c r="I95" s="25"/>
    </row>
    <row r="96" spans="2:9" x14ac:dyDescent="0.2">
      <c r="B96" s="22" t="s">
        <v>54</v>
      </c>
      <c r="C96" s="22"/>
      <c r="D96" s="22"/>
      <c r="E96" s="22"/>
      <c r="F96" s="23">
        <v>2399.9245716999999</v>
      </c>
      <c r="G96" s="24">
        <v>0.27306111863325699</v>
      </c>
      <c r="H96" s="25">
        <v>5.1999999999999998E-2</v>
      </c>
      <c r="I96" s="25"/>
    </row>
    <row r="97" spans="2:9" x14ac:dyDescent="0.2">
      <c r="B97" s="22" t="s">
        <v>54</v>
      </c>
      <c r="C97" s="22"/>
      <c r="D97" s="22"/>
      <c r="E97" s="22"/>
      <c r="F97" s="23">
        <v>2199.7648272000001</v>
      </c>
      <c r="G97" s="24">
        <v>0.250287134657669</v>
      </c>
      <c r="H97" s="25">
        <v>5.1999999999999998E-2</v>
      </c>
      <c r="I97" s="25"/>
    </row>
    <row r="98" spans="2:9" x14ac:dyDescent="0.2">
      <c r="B98" s="22" t="s">
        <v>54</v>
      </c>
      <c r="C98" s="22"/>
      <c r="D98" s="22"/>
      <c r="E98" s="22"/>
      <c r="F98" s="23">
        <v>1999.6493278</v>
      </c>
      <c r="G98" s="24">
        <v>0.22751818484717101</v>
      </c>
      <c r="H98" s="25">
        <v>5.1999999999999998E-2</v>
      </c>
      <c r="I98" s="25"/>
    </row>
    <row r="99" spans="2:9" x14ac:dyDescent="0.2">
      <c r="B99" s="21" t="s">
        <v>42</v>
      </c>
      <c r="C99" s="21"/>
      <c r="D99" s="21"/>
      <c r="E99" s="21"/>
      <c r="F99" s="29">
        <v>55428.3100061</v>
      </c>
      <c r="G99" s="30">
        <v>6.3065800120107314</v>
      </c>
      <c r="H99" s="25"/>
      <c r="I99" s="25"/>
    </row>
    <row r="100" spans="2:9" x14ac:dyDescent="0.2">
      <c r="B100" s="22"/>
      <c r="C100" s="22"/>
      <c r="D100" s="22"/>
      <c r="E100" s="22"/>
      <c r="F100" s="23"/>
      <c r="G100" s="24"/>
      <c r="H100" s="25"/>
      <c r="I100" s="25"/>
    </row>
    <row r="101" spans="2:9" x14ac:dyDescent="0.2">
      <c r="B101" s="41" t="s">
        <v>49</v>
      </c>
      <c r="C101" s="41"/>
      <c r="D101" s="41"/>
      <c r="E101" s="41"/>
      <c r="F101" s="29">
        <f>F102-(F44+F73+F79+F83+F85+F99)</f>
        <v>-22618.973335599992</v>
      </c>
      <c r="G101" s="30">
        <f>G102-(G44+G73+G79+G83+G85+G99)</f>
        <v>-2.5735651170818699</v>
      </c>
      <c r="H101" s="31"/>
      <c r="I101" s="31"/>
    </row>
    <row r="102" spans="2:9" x14ac:dyDescent="0.2">
      <c r="B102" s="37" t="s">
        <v>48</v>
      </c>
      <c r="C102" s="37"/>
      <c r="D102" s="37"/>
      <c r="E102" s="37"/>
      <c r="F102" s="38">
        <v>878896.48431540001</v>
      </c>
      <c r="G102" s="39">
        <v>100</v>
      </c>
      <c r="H102" s="40"/>
      <c r="I102" s="40"/>
    </row>
    <row r="104" spans="2:9" x14ac:dyDescent="0.2">
      <c r="B104" s="15" t="s">
        <v>51</v>
      </c>
    </row>
    <row r="105" spans="2:9" ht="40.049999999999997" customHeight="1" x14ac:dyDescent="0.2">
      <c r="B105" s="48" t="s">
        <v>52</v>
      </c>
      <c r="C105" s="48"/>
      <c r="D105" s="48"/>
      <c r="E105" s="48"/>
      <c r="F105" s="48"/>
      <c r="G105" s="48"/>
      <c r="H105" s="48"/>
      <c r="I105" s="48"/>
    </row>
    <row r="107" spans="2:9" x14ac:dyDescent="0.2">
      <c r="B107" s="45" t="s">
        <v>173</v>
      </c>
    </row>
    <row r="110" spans="2:9" x14ac:dyDescent="0.2">
      <c r="B110" s="15" t="s">
        <v>169</v>
      </c>
    </row>
    <row r="111" spans="2:9" x14ac:dyDescent="0.2">
      <c r="B111" s="15"/>
      <c r="C111" s="15"/>
      <c r="D111" s="42"/>
      <c r="E111" s="15"/>
    </row>
    <row r="112" spans="2:9" x14ac:dyDescent="0.2">
      <c r="D112" s="43"/>
      <c r="E112" s="43"/>
    </row>
    <row r="131" spans="2:2" x14ac:dyDescent="0.2">
      <c r="B131" s="15" t="s">
        <v>170</v>
      </c>
    </row>
    <row r="132" spans="2:2" x14ac:dyDescent="0.2">
      <c r="B132" s="15" t="s">
        <v>171</v>
      </c>
    </row>
  </sheetData>
  <mergeCells count="2">
    <mergeCell ref="B1:C1"/>
    <mergeCell ref="B105:I105"/>
  </mergeCells>
  <conditionalFormatting sqref="G1:G3 G5:G104 G106:G151">
    <cfRule type="cellIs" dxfId="0" priority="2" stopIfTrue="1" operator="between">
      <formula>0.009</formula>
      <formula>-0.009</formula>
    </cfRule>
  </conditionalFormatting>
  <hyperlinks>
    <hyperlink ref="A2" location="Index!A1" display="-" xr:uid="{EB1E950B-5714-421A-A8A7-B0FA23502047}"/>
  </hyperlinks>
  <pageMargins left="0.7" right="0.7" top="0.75" bottom="0.75" header="0.3" footer="0.3"/>
  <pageSetup paperSize="9" scale="47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35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JBLF</vt:lpstr>
      <vt:lpstr>JBLF!Print_Area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2026-02-06T09:59:42Z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2026-02-04T15:19:06Z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9ceee4da-86e6-4b02-811e-245f12d2a74a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2026-02-06T09:59:42Z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c0116485-0978-4b0a-9f1f-fae6c3d6539a</vt:lpwstr>
  </property>
  <property fmtid="{D5CDD505-2E9C-101B-9397-08002B2CF9AE}" pid="17" name="MSIP_Label_defa4170-0d19-0005-0004-bc88714345d2_ActionId">
    <vt:lpwstr>7e43872f-a9e6-4d1b-b268-c7907835b7a9</vt:lpwstr>
  </property>
  <property fmtid="{D5CDD505-2E9C-101B-9397-08002B2CF9AE}" pid="18" name="MSIP_Label_defa4170-0d19-0005-0004-bc88714345d2_ContentBits">
    <vt:lpwstr>0</vt:lpwstr>
  </property>
  <property fmtid="{D5CDD505-2E9C-101B-9397-08002B2CF9AE}" pid="19" name="MSIP_Label_defa4170-0d19-0005-0004-bc88714345d2_Tag">
    <vt:lpwstr>10, 3, 0, 1</vt:lpwstr>
  </property>
</Properties>
</file>