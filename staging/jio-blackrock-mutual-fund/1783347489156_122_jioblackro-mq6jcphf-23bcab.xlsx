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F3E59AA8-1819-45D8-848E-BCF316C3BFED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LARGE" sheetId="3" r:id="rId1"/>
  </sheets>
  <definedNames>
    <definedName name="_xlnm.Print_Area" localSheetId="0">JBLARGE!$B$1:$H$202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3" l="1"/>
  <c r="F87" i="3"/>
  <c r="G79" i="3"/>
  <c r="G73" i="3"/>
  <c r="F73" i="3"/>
  <c r="F76" i="3" s="1"/>
  <c r="G80" i="3" l="1"/>
  <c r="F80" i="3"/>
  <c r="G76" i="3"/>
</calcChain>
</file>

<file path=xl/sharedStrings.xml><?xml version="1.0" encoding="utf-8"?>
<sst xmlns="http://schemas.openxmlformats.org/spreadsheetml/2006/main" count="307" uniqueCount="238">
  <si>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</si>
  <si>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</si>
  <si>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</si>
  <si>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</si>
  <si>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</si>
  <si>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</si>
  <si>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May 31, 2026</t>
  </si>
  <si>
    <t>JioBlackRock Large Cap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</si>
  <si>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</si>
  <si>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</si>
  <si>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</si>
  <si>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</si>
  <si>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</si>
  <si>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</si>
  <si>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</si>
  <si>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</si>
  <si>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</si>
  <si>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</si>
  <si>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Reliance Industries Ltd</t>
  </si>
  <si>
    <t>INE002A01018</t>
  </si>
  <si>
    <t>Petroleum Products</t>
  </si>
  <si>
    <t>Mahindra &amp; Mahindra Ltd</t>
  </si>
  <si>
    <t>INE101A01026</t>
  </si>
  <si>
    <t>Automobiles</t>
  </si>
  <si>
    <t>State Bank of India</t>
  </si>
  <si>
    <t>INE062A01020</t>
  </si>
  <si>
    <t>Infosys Ltd</t>
  </si>
  <si>
    <t>INE009A01021</t>
  </si>
  <si>
    <t>IT - Software</t>
  </si>
  <si>
    <t>Larsen &amp; Toubro Ltd</t>
  </si>
  <si>
    <t>INE018A01030</t>
  </si>
  <si>
    <t>Construction</t>
  </si>
  <si>
    <t>NTPC Ltd</t>
  </si>
  <si>
    <t>INE733E01010</t>
  </si>
  <si>
    <t>Power</t>
  </si>
  <si>
    <t>Indian Oil Corporation Ltd</t>
  </si>
  <si>
    <t>INE242A01010</t>
  </si>
  <si>
    <t>Nestle India Ltd</t>
  </si>
  <si>
    <t>INE239A01024</t>
  </si>
  <si>
    <t>Food Products</t>
  </si>
  <si>
    <t>Britannia Industries Ltd</t>
  </si>
  <si>
    <t>INE216A01030</t>
  </si>
  <si>
    <t>Tata Consultancy Services Ltd</t>
  </si>
  <si>
    <t>INE467B01029</t>
  </si>
  <si>
    <t>Tata Steel Ltd</t>
  </si>
  <si>
    <t>INE081A01020</t>
  </si>
  <si>
    <t>Ferrous Metals</t>
  </si>
  <si>
    <t>Apollo Tyres Ltd</t>
  </si>
  <si>
    <t>INE438A01022</t>
  </si>
  <si>
    <t>Auto Components</t>
  </si>
  <si>
    <t>ITC Ltd</t>
  </si>
  <si>
    <t>INE154A01025</t>
  </si>
  <si>
    <t>Diversified FMCG</t>
  </si>
  <si>
    <t>Interglobe Aviation Ltd</t>
  </si>
  <si>
    <t>INE646L01027</t>
  </si>
  <si>
    <t>Transport Services</t>
  </si>
  <si>
    <t>Ultratech Cement Ltd</t>
  </si>
  <si>
    <t>INE481G01011</t>
  </si>
  <si>
    <t>Cement &amp; Cement Products</t>
  </si>
  <si>
    <t>Axis Bank Ltd</t>
  </si>
  <si>
    <t>INE238A01034</t>
  </si>
  <si>
    <t>Multi Commodity Exchange Of India Ltd</t>
  </si>
  <si>
    <t>INE745G01043</t>
  </si>
  <si>
    <t>Capital Markets</t>
  </si>
  <si>
    <t>Sun Pharmaceutical Industries Ltd</t>
  </si>
  <si>
    <t>INE044A01036</t>
  </si>
  <si>
    <t>Pharmaceuticals &amp; Biotechnology</t>
  </si>
  <si>
    <t>Kotak Mahindra Bank Ltd</t>
  </si>
  <si>
    <t>INE237A01036</t>
  </si>
  <si>
    <t>Federal Bank Ltd</t>
  </si>
  <si>
    <t>INE171A01029</t>
  </si>
  <si>
    <t>JSW Steel Ltd</t>
  </si>
  <si>
    <t>INE019A01038</t>
  </si>
  <si>
    <t>Eternal Ltd</t>
  </si>
  <si>
    <t>INE758T01015</t>
  </si>
  <si>
    <t>Retailing</t>
  </si>
  <si>
    <t>ICICI Prudential Asset Management Co Ltd</t>
  </si>
  <si>
    <t>INE346A01027</t>
  </si>
  <si>
    <t>Escorts Kubota Ltd</t>
  </si>
  <si>
    <t>INE042A01014</t>
  </si>
  <si>
    <t>Agricultural, Commercial &amp; Construction Vehicles</t>
  </si>
  <si>
    <t>Titan Co Ltd</t>
  </si>
  <si>
    <t>INE280A01028</t>
  </si>
  <si>
    <t>Consumer Durables</t>
  </si>
  <si>
    <t>Oil &amp; Natural Gas Corporation Ltd</t>
  </si>
  <si>
    <t>INE213A01029</t>
  </si>
  <si>
    <t>Oil</t>
  </si>
  <si>
    <t>Hero MotoCorp Ltd</t>
  </si>
  <si>
    <t>INE158A01026</t>
  </si>
  <si>
    <t>Samvardhana Motherson International Ltd</t>
  </si>
  <si>
    <t>INE775A01035</t>
  </si>
  <si>
    <t>Vedanta Ltd</t>
  </si>
  <si>
    <t>INE205A01025</t>
  </si>
  <si>
    <t>Diversified Metals</t>
  </si>
  <si>
    <t>SBI Life Insurance Co Ltd</t>
  </si>
  <si>
    <t>INE123W01016</t>
  </si>
  <si>
    <t>Insurance</t>
  </si>
  <si>
    <t>Tata Motors Ltd</t>
  </si>
  <si>
    <t>INE1TAE01010</t>
  </si>
  <si>
    <t>Lenskart Solutions Ltd</t>
  </si>
  <si>
    <t>INE956O01016</t>
  </si>
  <si>
    <t>Steel Authority of India Ltd</t>
  </si>
  <si>
    <t>INE114A01011</t>
  </si>
  <si>
    <t>Tech Mahindra Ltd</t>
  </si>
  <si>
    <t>INE669C01036</t>
  </si>
  <si>
    <t>Yes Bank Ltd</t>
  </si>
  <si>
    <t>INE528G01035</t>
  </si>
  <si>
    <t>Life Insurance Corporation Of India</t>
  </si>
  <si>
    <t>INE0J1Y01017</t>
  </si>
  <si>
    <t>Lupin Ltd</t>
  </si>
  <si>
    <t>INE326A01037</t>
  </si>
  <si>
    <t>Max Financial Services Ltd</t>
  </si>
  <si>
    <t>INE180A01020</t>
  </si>
  <si>
    <t>Bajaj Finance Ltd</t>
  </si>
  <si>
    <t>INE296A01032</t>
  </si>
  <si>
    <t>Finance</t>
  </si>
  <si>
    <t>IPCA Laboratories Ltd</t>
  </si>
  <si>
    <t>INE571A01038</t>
  </si>
  <si>
    <t>Bharat Petroleum Corporation Ltd</t>
  </si>
  <si>
    <t>INE029A01011</t>
  </si>
  <si>
    <t>Billionbrains Garage Ventures Ltd</t>
  </si>
  <si>
    <t>INE0HOQ01053</t>
  </si>
  <si>
    <t>INE1CDF01017</t>
  </si>
  <si>
    <t>Non - Ferrous Metals</t>
  </si>
  <si>
    <t>INE694L01019</t>
  </si>
  <si>
    <t>INE704J01044</t>
  </si>
  <si>
    <t>INE1CLE01013</t>
  </si>
  <si>
    <t>Asian Paints Ltd</t>
  </si>
  <si>
    <t>INE021A01026</t>
  </si>
  <si>
    <t>Radico Khaitan Ltd</t>
  </si>
  <si>
    <t>INE944F01028</t>
  </si>
  <si>
    <t>Beverages</t>
  </si>
  <si>
    <t>Hindustan Petroleum Corporation Ltd</t>
  </si>
  <si>
    <t>INE094A01015</t>
  </si>
  <si>
    <t>Ashok Leyland Ltd</t>
  </si>
  <si>
    <t>INE208A01029</t>
  </si>
  <si>
    <t>Power Grid Corporation of India Ltd</t>
  </si>
  <si>
    <t>INE752E01010</t>
  </si>
  <si>
    <t>Dr. Reddy's Laboratories Ltd</t>
  </si>
  <si>
    <t>INE089A01031</t>
  </si>
  <si>
    <t>Adani Enterprises Ltd</t>
  </si>
  <si>
    <t>INE423A01024</t>
  </si>
  <si>
    <t>Metals &amp; Minerals Trading</t>
  </si>
  <si>
    <t>Schaeffler India Ltd</t>
  </si>
  <si>
    <t>INE513A01022</t>
  </si>
  <si>
    <t>United Spirits Ltd</t>
  </si>
  <si>
    <t>INE854D01024</t>
  </si>
  <si>
    <t>Maruti Suzuki India Ltd</t>
  </si>
  <si>
    <t>INE585B01010</t>
  </si>
  <si>
    <t>Shriram Finance Ltd</t>
  </si>
  <si>
    <t>INE721A01047</t>
  </si>
  <si>
    <t>Ltm Ltd</t>
  </si>
  <si>
    <t>INE214T01019</t>
  </si>
  <si>
    <t>Laurus Labs Ltd</t>
  </si>
  <si>
    <t>INE947Q01028</t>
  </si>
  <si>
    <t>Eicher Motors Ltd</t>
  </si>
  <si>
    <t>INE066A01021</t>
  </si>
  <si>
    <t>Mahindra &amp; Mahindra Financial Services Ltd</t>
  </si>
  <si>
    <t>INE774D01024</t>
  </si>
  <si>
    <t>Nippon Life India Asset Management Ltd</t>
  </si>
  <si>
    <t>INE298J01013</t>
  </si>
  <si>
    <t>Bharat Heavy Electricals Ltd</t>
  </si>
  <si>
    <t>INE257A01026</t>
  </si>
  <si>
    <t>Electrical Equipment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</si>
  <si>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</si>
  <si>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</si>
  <si>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</si>
  <si>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</si>
  <si>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</si>
  <si>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</si>
  <si>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</si>
  <si>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</si>
  <si>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</si>
  <si>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</si>
  <si>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</si>
  <si>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</si>
  <si>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</si>
  <si>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30-JUN-26 FUT</t>
  </si>
  <si>
    <t>Long</t>
  </si>
  <si>
    <t>Index</t>
  </si>
  <si>
    <t>Notes</t>
  </si>
  <si>
    <t xml:space="preserve">Scheme Risk-O-Meter </t>
  </si>
  <si>
    <t>** Non Traded Security</t>
  </si>
  <si>
    <t>Nil</t>
  </si>
  <si>
    <t>Benchmark Risk-O-Meter</t>
  </si>
  <si>
    <t>Benchmark Name - BSE 100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</si>
  <si>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</si>
  <si>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</si>
  <si>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</si>
  <si>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</si>
  <si>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</si>
  <si>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</si>
  <si>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</si>
  <si>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Underlying</t>
  </si>
  <si>
    <t>Long/Short</t>
  </si>
  <si>
    <t>Futures Price When purchased</t>
  </si>
  <si>
    <t>Current price of the contract</t>
  </si>
  <si>
    <t>Margin maintained
in Rs. Lakhs</t>
  </si>
  <si>
    <t>Total percentage of existing assets hedged through futures: Nil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</si>
  <si>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</si>
  <si>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</si>
  <si>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</si>
  <si>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</si>
  <si>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</si>
  <si>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</si>
  <si>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</si>
  <si>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</si>
  <si>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</si>
  <si>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</si>
  <si>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</si>
  <si>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</si>
  <si>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</si>
  <si>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</si>
  <si>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</si>
  <si>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</si>
  <si>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</si>
  <si>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</si>
  <si>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* Scheme Introduced during the month ended May 31, 2026, hence there are no NAVs at the beginning of the period.</t>
  </si>
  <si>
    <t>(4) There was no distribution (of income and capital) during the month ended May 31, 2026.</t>
  </si>
  <si>
    <t>(5) Exposure to Derivative Instruments as on May 31, 2026:</t>
  </si>
  <si>
    <t>a)  Hedging positions through futures as on May 31, 2026 is :</t>
  </si>
  <si>
    <t>For the Month ended May 31, 2026 following were the hedging transactions through futures which have been squared off/expired:</t>
  </si>
  <si>
    <t>b) Other than Hedging Positions through Futures as on May 31, 2026 is :</t>
  </si>
  <si>
    <t>For the Month ended May 31, 2026 following were the non-hedging transactions through futures which have been squared off/expired:</t>
  </si>
  <si>
    <t>For the Month ended May 31, 2026, following details specified for hedging transactions through Put options which have already been exercised/ expired:</t>
  </si>
  <si>
    <t>d) Other than hedging positions through options as on May 31, 2026</t>
  </si>
  <si>
    <t>For the period ended May 31, 2026, following details specified for non-hedging transactions through options which have already been exercised/ expired:</t>
  </si>
  <si>
    <t>e) Hedging positions through Swaps as on May 31, 2026  - Nil</t>
  </si>
  <si>
    <t>(6) Total market value of investments in foreign securities/ American Depository Receipts/ Global Depository Receipts as at May 31, 2026 is Rs. Nil.</t>
  </si>
  <si>
    <t>(8) Repo transactions in corporate debt securities as on May 31, 2026 is Rs. Nil.</t>
  </si>
  <si>
    <t>As on May 29, 2026</t>
  </si>
  <si>
    <t>Total exposure due to futures (non hedging positions) as a percentage of net assets: 1.22%.</t>
  </si>
  <si>
    <t>(7) During the period, the portfolio turnover ratio is 0.23 times.</t>
  </si>
  <si>
    <t>Vedanta Aluminium Metal Ltd **</t>
  </si>
  <si>
    <t>Talwandi Sabo Power Ltd **</t>
  </si>
  <si>
    <t>Malco Energy Ltd **</t>
  </si>
  <si>
    <t>Vedanta Iron And Steel Ltd **</t>
  </si>
  <si>
    <t>c) Hedging positions through Put options as on May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</si>
</sst>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.00%"/>
    <numFmt numFmtId="166" formatCode="#,##0;\(#,##0.\)"/>
    <numFmt numFmtId="167" formatCode="#,##0.0000_ ;\-#,##0.0000\ "/>
  </numFmts>
  <fonts count="1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164" fontId="11" fillId="0" borderId="0" applyFont="0" applyFill="0" applyBorder="0" applyAlignment="0" applyProtection="0"/>
  </cellStyleXfs>
  <cellXfs count="118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5" fillId="2" borderId="0" xfId="0" applyFont="1" applyFill="1"/>
    <xf numFmtId="165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0" fontId="6" fillId="2" borderId="6" xfId="0" applyNumberFormat="1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10" fontId="6" fillId="2" borderId="6" xfId="0" applyNumberFormat="1" applyFont="1" applyFill="1" applyBorder="1"/>
    <xf numFmtId="3" fontId="6" fillId="2" borderId="6" xfId="0" applyNumberFormat="1" applyFont="1" applyFill="1" applyBorder="1"/>
    <xf numFmtId="165" fontId="6" fillId="2" borderId="6" xfId="0" applyNumberFormat="1" applyFont="1" applyFill="1" applyBorder="1"/>
    <xf numFmtId="0" fontId="5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10" fontId="5" fillId="2" borderId="6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0" fontId="5" fillId="2" borderId="9" xfId="0" applyNumberFormat="1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0" fontId="5" fillId="2" borderId="10" xfId="0" applyNumberFormat="1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10" fontId="5" fillId="2" borderId="11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12" xfId="0" applyFont="1" applyFill="1" applyBorder="1" applyAlignment="1">
      <alignment horizontal="justify" vertical="center"/>
    </xf>
    <xf numFmtId="164" fontId="10" fillId="3" borderId="11" xfId="2" applyFont="1" applyFill="1" applyBorder="1" applyAlignment="1">
      <alignment horizontal="justify" vertical="center"/>
    </xf>
    <xf numFmtId="164" fontId="10" fillId="3" borderId="13" xfId="2" applyFont="1" applyFill="1" applyBorder="1" applyAlignment="1">
      <alignment horizontal="center" vertical="center"/>
    </xf>
    <xf numFmtId="164" fontId="10" fillId="3" borderId="11" xfId="2" applyFont="1" applyFill="1" applyBorder="1" applyAlignment="1">
      <alignment horizontal="right" vertical="center"/>
    </xf>
    <xf numFmtId="164" fontId="10" fillId="3" borderId="0" xfId="2" applyFont="1" applyFill="1" applyAlignment="1">
      <alignment horizontal="justify" vertical="center"/>
    </xf>
    <xf numFmtId="2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3" fontId="10" fillId="0" borderId="12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" fontId="10" fillId="0" borderId="12" xfId="0" applyNumberFormat="1" applyFont="1" applyBorder="1" applyAlignment="1">
      <alignment horizontal="center" vertical="center"/>
    </xf>
    <xf numFmtId="164" fontId="10" fillId="0" borderId="11" xfId="2" applyFont="1" applyFill="1" applyBorder="1" applyAlignment="1">
      <alignment horizontal="left" vertical="center"/>
    </xf>
    <xf numFmtId="164" fontId="10" fillId="0" borderId="11" xfId="0" applyNumberFormat="1" applyFont="1" applyBorder="1" applyAlignment="1">
      <alignment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7" fontId="12" fillId="3" borderId="0" xfId="0" applyNumberFormat="1" applyFont="1" applyFill="1" applyAlignment="1">
      <alignment horizontal="center" vertical="top"/>
    </xf>
    <xf numFmtId="0" fontId="12" fillId="3" borderId="0" xfId="0" applyFont="1" applyFill="1" applyAlignment="1">
      <alignment vertical="top"/>
    </xf>
    <xf numFmtId="0" fontId="13" fillId="3" borderId="0" xfId="0" applyFont="1" applyFill="1" applyAlignment="1">
      <alignment vertical="top"/>
    </xf>
    <xf numFmtId="0" fontId="10" fillId="3" borderId="0" xfId="0" applyFont="1" applyFill="1" applyAlignment="1">
      <alignment vertical="top"/>
    </xf>
    <xf numFmtId="167" fontId="10" fillId="3" borderId="0" xfId="0" applyNumberFormat="1" applyFont="1" applyFill="1" applyAlignment="1">
      <alignment horizontal="center" vertical="top"/>
    </xf>
    <xf numFmtId="3" fontId="10" fillId="3" borderId="0" xfId="0" applyNumberFormat="1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39" fontId="10" fillId="0" borderId="6" xfId="0" applyNumberFormat="1" applyFont="1" applyFill="1" applyBorder="1"/>
    <xf numFmtId="0" fontId="6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64" fontId="10" fillId="0" borderId="11" xfId="2" applyFont="1" applyFill="1" applyBorder="1" applyAlignment="1">
      <alignment horizontal="right" vertical="center"/>
    </xf>
    <xf numFmtId="0" fontId="6" fillId="0" borderId="0" xfId="0" applyFont="1" applyFill="1"/>
    <xf numFmtId="0" fontId="10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3" fontId="10" fillId="3" borderId="10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3">
    <cellStyle name="Comma" xfId="2" builtinId="3"/>
    <cellStyle name="Hyperlink" xfId="1" builtinId="8"/>
    <cellStyle name="Normal" xfId="0" builtinId="0"/>
  </cellStyles>
  <dxfs count="1">
    <dxf>
      <numFmt numFmtId="168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1393825</xdr:colOff>
      <xdr:row>158</xdr:row>
      <xdr:rowOff>120650</xdr:rowOff>
    </xdr:from>
    <xdr:to>
      <xdr:col>3</xdr:col>
      <xdr:colOff>784451</xdr:colOff>
      <xdr:row>176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E3CE42-75D3-435A-BF7D-476E0649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21031200"/>
          <a:ext cx="5169126" cy="228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1468437</xdr:colOff>
      <xdr:row>185</xdr:row>
      <xdr:rowOff>123825</xdr:rowOff>
    </xdr:from>
    <xdr:to>
      <xdr:col>3</xdr:col>
      <xdr:colOff>1047750</xdr:colOff>
      <xdr:row>201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7150A8-7F90-4FE6-8CAF-EFFFBC6F8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0087" y="24476075"/>
          <a:ext cx="5357813" cy="192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9A5B-B27A-4F73-88F8-08EC52F6382B}">
  <dimension ref="A1:J202"/>
  <sheetViews>
    <sheetView tabSelected="1" view="pageBreakPreview" topLeftCell="A102" zoomScaleNormal="100" zoomScaleSheetLayoutView="100" workbookViewId="0">
      <selection activeCell="D110" sqref="D110"/>
    </sheetView>
  </sheetViews>
  <sheetFormatPr defaultColWidth="9.08984375" defaultRowHeight="10" x14ac:dyDescent="0.2"/>
  <cols>
    <col min="1" max="1" width="7.1796875" style="8" customWidth="1"/>
    <col min="2" max="2" width="65.1796875" style="8" bestFit="1" customWidth="1"/>
    <col min="3" max="3" width="17.54296875" style="8" customWidth="1"/>
    <col min="4" max="4" width="32.1796875" style="8" bestFit="1" customWidth="1"/>
    <col min="5" max="5" width="13.90625" style="9" bestFit="1" customWidth="1"/>
    <col min="6" max="6" width="22.81640625" style="11" bestFit="1" customWidth="1"/>
    <col min="7" max="7" width="12.1796875" style="17" bestFit="1" customWidth="1"/>
    <col min="8" max="8" width="11.81640625" style="14" bestFit="1" customWidth="1"/>
    <col min="9" max="9" width="25.81640625" style="8" customWidth="1"/>
    <col min="10" max="16384" width="9.08984375" style="8"/>
  </cols>
  <sheetData>
    <row r="1" spans="1:10" s="1" customFormat="1" ht="16.75" customHeight="1" x14ac:dyDescent="0.35">
      <c r="B1" s="116" t="s">
        <v>7</v>
      </c>
      <c r="C1" s="117"/>
      <c r="D1" s="13"/>
      <c r="E1" s="6"/>
      <c r="F1" s="7"/>
      <c r="G1" s="17"/>
      <c r="H1" s="15"/>
    </row>
    <row r="2" spans="1:10" s="1" customFormat="1" ht="14.5" x14ac:dyDescent="0.35">
      <c r="A2" s="61" t="s">
        <v>186</v>
      </c>
      <c r="E2" s="6"/>
      <c r="F2" s="7"/>
      <c r="G2" s="17"/>
      <c r="H2" s="15"/>
    </row>
    <row r="3" spans="1:10" s="1" customFormat="1" ht="11.5" x14ac:dyDescent="0.25">
      <c r="B3" s="10" t="s">
        <v>6</v>
      </c>
      <c r="C3" s="2"/>
      <c r="D3" s="3"/>
      <c r="E3" s="4"/>
      <c r="F3" s="5"/>
      <c r="G3" s="17"/>
      <c r="H3" s="15"/>
    </row>
    <row r="4" spans="1:10" s="1" customFormat="1" ht="25.5" customHeight="1" x14ac:dyDescent="0.25">
      <c r="B4" s="20" t="s">
        <v>4</v>
      </c>
      <c r="C4" s="20" t="s">
        <v>5</v>
      </c>
      <c r="D4" s="21" t="s">
        <v>174</v>
      </c>
      <c r="E4" s="22" t="s">
        <v>0</v>
      </c>
      <c r="F4" s="23" t="s">
        <v>1</v>
      </c>
      <c r="G4" s="24" t="s">
        <v>2</v>
      </c>
      <c r="H4" s="25" t="s">
        <v>3</v>
      </c>
      <c r="I4" s="16"/>
      <c r="J4" s="12"/>
    </row>
    <row r="5" spans="1:10" ht="10.5" x14ac:dyDescent="0.25">
      <c r="B5" s="26" t="s">
        <v>8</v>
      </c>
      <c r="C5" s="27"/>
      <c r="D5" s="27"/>
      <c r="E5" s="28"/>
      <c r="F5" s="29"/>
      <c r="G5" s="30"/>
      <c r="H5" s="31"/>
    </row>
    <row r="6" spans="1:10" ht="10.5" x14ac:dyDescent="0.25">
      <c r="B6" s="26" t="s">
        <v>9</v>
      </c>
      <c r="C6" s="27"/>
      <c r="D6" s="27"/>
      <c r="E6" s="28"/>
      <c r="F6" s="29"/>
      <c r="G6" s="30"/>
      <c r="H6" s="31"/>
    </row>
    <row r="7" spans="1:10" x14ac:dyDescent="0.2">
      <c r="B7" s="27" t="s">
        <v>10</v>
      </c>
      <c r="C7" s="27" t="s">
        <v>11</v>
      </c>
      <c r="D7" s="27" t="s">
        <v>12</v>
      </c>
      <c r="E7" s="32">
        <v>45635</v>
      </c>
      <c r="F7" s="29">
        <v>339.77539250000001</v>
      </c>
      <c r="G7" s="30">
        <v>8.9321054707869294</v>
      </c>
      <c r="H7" s="33"/>
    </row>
    <row r="8" spans="1:10" x14ac:dyDescent="0.2">
      <c r="B8" s="27" t="s">
        <v>13</v>
      </c>
      <c r="C8" s="27" t="s">
        <v>14</v>
      </c>
      <c r="D8" s="27" t="s">
        <v>12</v>
      </c>
      <c r="E8" s="32">
        <v>22381</v>
      </c>
      <c r="F8" s="29">
        <v>281.194884</v>
      </c>
      <c r="G8" s="30">
        <v>7.3921255546300202</v>
      </c>
      <c r="H8" s="33"/>
    </row>
    <row r="9" spans="1:10" x14ac:dyDescent="0.2">
      <c r="B9" s="27" t="s">
        <v>15</v>
      </c>
      <c r="C9" s="27" t="s">
        <v>16</v>
      </c>
      <c r="D9" s="27" t="s">
        <v>17</v>
      </c>
      <c r="E9" s="32">
        <v>11309</v>
      </c>
      <c r="F9" s="29">
        <v>206.84161</v>
      </c>
      <c r="G9" s="30">
        <v>5.4375070032988804</v>
      </c>
      <c r="H9" s="33"/>
    </row>
    <row r="10" spans="1:10" x14ac:dyDescent="0.2">
      <c r="B10" s="27" t="s">
        <v>18</v>
      </c>
      <c r="C10" s="27" t="s">
        <v>19</v>
      </c>
      <c r="D10" s="27" t="s">
        <v>20</v>
      </c>
      <c r="E10" s="32">
        <v>13836</v>
      </c>
      <c r="F10" s="29">
        <v>182.801232</v>
      </c>
      <c r="G10" s="30">
        <v>4.8055271819420797</v>
      </c>
      <c r="H10" s="33"/>
    </row>
    <row r="11" spans="1:10" x14ac:dyDescent="0.2">
      <c r="B11" s="27" t="s">
        <v>21</v>
      </c>
      <c r="C11" s="27" t="s">
        <v>22</v>
      </c>
      <c r="D11" s="27" t="s">
        <v>23</v>
      </c>
      <c r="E11" s="32">
        <v>5628</v>
      </c>
      <c r="F11" s="29">
        <v>171.40636799999999</v>
      </c>
      <c r="G11" s="30">
        <v>4.5059759804133499</v>
      </c>
      <c r="H11" s="33"/>
    </row>
    <row r="12" spans="1:10" x14ac:dyDescent="0.2">
      <c r="B12" s="27" t="s">
        <v>24</v>
      </c>
      <c r="C12" s="27" t="s">
        <v>25</v>
      </c>
      <c r="D12" s="27" t="s">
        <v>12</v>
      </c>
      <c r="E12" s="32">
        <v>17669</v>
      </c>
      <c r="F12" s="29">
        <v>170.39983599999999</v>
      </c>
      <c r="G12" s="30">
        <v>4.4795160007262602</v>
      </c>
      <c r="H12" s="33"/>
    </row>
    <row r="13" spans="1:10" x14ac:dyDescent="0.2">
      <c r="B13" s="27" t="s">
        <v>26</v>
      </c>
      <c r="C13" s="27" t="s">
        <v>27</v>
      </c>
      <c r="D13" s="27" t="s">
        <v>28</v>
      </c>
      <c r="E13" s="32">
        <v>12920</v>
      </c>
      <c r="F13" s="29">
        <v>149.98828</v>
      </c>
      <c r="G13" s="30">
        <v>3.9429316128063099</v>
      </c>
      <c r="H13" s="33"/>
    </row>
    <row r="14" spans="1:10" x14ac:dyDescent="0.2">
      <c r="B14" s="27" t="s">
        <v>29</v>
      </c>
      <c r="C14" s="27" t="s">
        <v>30</v>
      </c>
      <c r="D14" s="27" t="s">
        <v>31</v>
      </c>
      <c r="E14" s="32">
        <v>3556</v>
      </c>
      <c r="F14" s="29">
        <v>144.96034</v>
      </c>
      <c r="G14" s="30">
        <v>3.8107557949804498</v>
      </c>
      <c r="H14" s="33"/>
    </row>
    <row r="15" spans="1:10" x14ac:dyDescent="0.2">
      <c r="B15" s="27" t="s">
        <v>32</v>
      </c>
      <c r="C15" s="27" t="s">
        <v>33</v>
      </c>
      <c r="D15" s="27" t="s">
        <v>34</v>
      </c>
      <c r="E15" s="32">
        <v>30950</v>
      </c>
      <c r="F15" s="29">
        <v>119.74554999999999</v>
      </c>
      <c r="G15" s="30">
        <v>3.1479027200517198</v>
      </c>
      <c r="H15" s="33"/>
    </row>
    <row r="16" spans="1:10" x14ac:dyDescent="0.2">
      <c r="B16" s="27" t="s">
        <v>35</v>
      </c>
      <c r="C16" s="27" t="s">
        <v>36</v>
      </c>
      <c r="D16" s="27" t="s">
        <v>20</v>
      </c>
      <c r="E16" s="32">
        <v>70794</v>
      </c>
      <c r="F16" s="29">
        <v>99.281505600000003</v>
      </c>
      <c r="G16" s="30">
        <v>2.6099385031766902</v>
      </c>
      <c r="H16" s="33"/>
    </row>
    <row r="17" spans="2:8" x14ac:dyDescent="0.2">
      <c r="B17" s="27" t="s">
        <v>37</v>
      </c>
      <c r="C17" s="27" t="s">
        <v>38</v>
      </c>
      <c r="D17" s="27" t="s">
        <v>39</v>
      </c>
      <c r="E17" s="32">
        <v>6982</v>
      </c>
      <c r="F17" s="29">
        <v>99.249129999999994</v>
      </c>
      <c r="G17" s="30">
        <v>2.6090874048327199</v>
      </c>
      <c r="H17" s="33"/>
    </row>
    <row r="18" spans="2:8" x14ac:dyDescent="0.2">
      <c r="B18" s="27" t="s">
        <v>40</v>
      </c>
      <c r="C18" s="27" t="s">
        <v>41</v>
      </c>
      <c r="D18" s="27" t="s">
        <v>39</v>
      </c>
      <c r="E18" s="32">
        <v>1877</v>
      </c>
      <c r="F18" s="29">
        <v>97.688464999999994</v>
      </c>
      <c r="G18" s="30">
        <v>2.5680602301394702</v>
      </c>
      <c r="H18" s="33"/>
    </row>
    <row r="19" spans="2:8" x14ac:dyDescent="0.2">
      <c r="B19" s="27" t="s">
        <v>42</v>
      </c>
      <c r="C19" s="27" t="s">
        <v>43</v>
      </c>
      <c r="D19" s="27" t="s">
        <v>28</v>
      </c>
      <c r="E19" s="32">
        <v>4198</v>
      </c>
      <c r="F19" s="29">
        <v>94.828621999999996</v>
      </c>
      <c r="G19" s="30">
        <v>2.4928799202355001</v>
      </c>
      <c r="H19" s="33"/>
    </row>
    <row r="20" spans="2:8" x14ac:dyDescent="0.2">
      <c r="B20" s="27" t="s">
        <v>44</v>
      </c>
      <c r="C20" s="27" t="s">
        <v>45</v>
      </c>
      <c r="D20" s="27" t="s">
        <v>46</v>
      </c>
      <c r="E20" s="32">
        <v>40152</v>
      </c>
      <c r="F20" s="29">
        <v>83.524190399999995</v>
      </c>
      <c r="G20" s="30">
        <v>2.1957060295791999</v>
      </c>
      <c r="H20" s="33"/>
    </row>
    <row r="21" spans="2:8" x14ac:dyDescent="0.2">
      <c r="B21" s="27" t="s">
        <v>47</v>
      </c>
      <c r="C21" s="27" t="s">
        <v>48</v>
      </c>
      <c r="D21" s="27" t="s">
        <v>49</v>
      </c>
      <c r="E21" s="32">
        <v>20682</v>
      </c>
      <c r="F21" s="29">
        <v>81.590490000000003</v>
      </c>
      <c r="G21" s="30">
        <v>2.1448724015326901</v>
      </c>
      <c r="H21" s="33"/>
    </row>
    <row r="22" spans="2:8" x14ac:dyDescent="0.2">
      <c r="B22" s="27" t="s">
        <v>50</v>
      </c>
      <c r="C22" s="27" t="s">
        <v>51</v>
      </c>
      <c r="D22" s="27" t="s">
        <v>52</v>
      </c>
      <c r="E22" s="32">
        <v>28086</v>
      </c>
      <c r="F22" s="29">
        <v>80.578733999999997</v>
      </c>
      <c r="G22" s="30">
        <v>2.1182750919505899</v>
      </c>
      <c r="H22" s="33"/>
    </row>
    <row r="23" spans="2:8" x14ac:dyDescent="0.2">
      <c r="B23" s="27" t="s">
        <v>53</v>
      </c>
      <c r="C23" s="27" t="s">
        <v>54</v>
      </c>
      <c r="D23" s="27" t="s">
        <v>55</v>
      </c>
      <c r="E23" s="32">
        <v>1652</v>
      </c>
      <c r="F23" s="29">
        <v>72.770600000000002</v>
      </c>
      <c r="G23" s="30">
        <v>1.91301279821919</v>
      </c>
      <c r="H23" s="33"/>
    </row>
    <row r="24" spans="2:8" x14ac:dyDescent="0.2">
      <c r="B24" s="27" t="s">
        <v>56</v>
      </c>
      <c r="C24" s="27" t="s">
        <v>57</v>
      </c>
      <c r="D24" s="27" t="s">
        <v>58</v>
      </c>
      <c r="E24" s="32">
        <v>582</v>
      </c>
      <c r="F24" s="29">
        <v>66.825239999999994</v>
      </c>
      <c r="G24" s="30">
        <v>1.7567196005539101</v>
      </c>
      <c r="H24" s="33"/>
    </row>
    <row r="25" spans="2:8" x14ac:dyDescent="0.2">
      <c r="B25" s="27" t="s">
        <v>59</v>
      </c>
      <c r="C25" s="27" t="s">
        <v>60</v>
      </c>
      <c r="D25" s="27" t="s">
        <v>12</v>
      </c>
      <c r="E25" s="32">
        <v>4766</v>
      </c>
      <c r="F25" s="29">
        <v>61.319355999999999</v>
      </c>
      <c r="G25" s="30">
        <v>1.6119794643243099</v>
      </c>
      <c r="H25" s="33"/>
    </row>
    <row r="26" spans="2:8" x14ac:dyDescent="0.2">
      <c r="B26" s="27" t="s">
        <v>61</v>
      </c>
      <c r="C26" s="27" t="s">
        <v>62</v>
      </c>
      <c r="D26" s="27" t="s">
        <v>63</v>
      </c>
      <c r="E26" s="32">
        <v>2015</v>
      </c>
      <c r="F26" s="29">
        <v>59.533175</v>
      </c>
      <c r="G26" s="30">
        <v>1.5650238653195401</v>
      </c>
      <c r="H26" s="33"/>
    </row>
    <row r="27" spans="2:8" x14ac:dyDescent="0.2">
      <c r="B27" s="27" t="s">
        <v>64</v>
      </c>
      <c r="C27" s="27" t="s">
        <v>65</v>
      </c>
      <c r="D27" s="27" t="s">
        <v>66</v>
      </c>
      <c r="E27" s="32">
        <v>3287</v>
      </c>
      <c r="F27" s="29">
        <v>59.139704000000002</v>
      </c>
      <c r="G27" s="30">
        <v>1.55468019550333</v>
      </c>
      <c r="H27" s="33"/>
    </row>
    <row r="28" spans="2:8" x14ac:dyDescent="0.2">
      <c r="B28" s="27" t="s">
        <v>67</v>
      </c>
      <c r="C28" s="27" t="s">
        <v>68</v>
      </c>
      <c r="D28" s="27" t="s">
        <v>12</v>
      </c>
      <c r="E28" s="32">
        <v>14276</v>
      </c>
      <c r="F28" s="29">
        <v>54.848391999999997</v>
      </c>
      <c r="G28" s="30">
        <v>1.44186904955769</v>
      </c>
      <c r="H28" s="33"/>
    </row>
    <row r="29" spans="2:8" x14ac:dyDescent="0.2">
      <c r="B29" s="27" t="s">
        <v>69</v>
      </c>
      <c r="C29" s="27" t="s">
        <v>70</v>
      </c>
      <c r="D29" s="27" t="s">
        <v>12</v>
      </c>
      <c r="E29" s="32">
        <v>18795</v>
      </c>
      <c r="F29" s="29">
        <v>54.308152499999998</v>
      </c>
      <c r="G29" s="30">
        <v>1.42766709055772</v>
      </c>
      <c r="H29" s="33"/>
    </row>
    <row r="30" spans="2:8" x14ac:dyDescent="0.2">
      <c r="B30" s="27" t="s">
        <v>71</v>
      </c>
      <c r="C30" s="27" t="s">
        <v>72</v>
      </c>
      <c r="D30" s="27" t="s">
        <v>46</v>
      </c>
      <c r="E30" s="32">
        <v>4060</v>
      </c>
      <c r="F30" s="29">
        <v>51.886800000000001</v>
      </c>
      <c r="G30" s="30">
        <v>1.36401393500451</v>
      </c>
      <c r="H30" s="33"/>
    </row>
    <row r="31" spans="2:8" x14ac:dyDescent="0.2">
      <c r="B31" s="27" t="s">
        <v>73</v>
      </c>
      <c r="C31" s="27" t="s">
        <v>74</v>
      </c>
      <c r="D31" s="27" t="s">
        <v>75</v>
      </c>
      <c r="E31" s="32">
        <v>20528</v>
      </c>
      <c r="F31" s="29">
        <v>51.439062399999997</v>
      </c>
      <c r="G31" s="30">
        <v>1.3522436904408599</v>
      </c>
      <c r="H31" s="33"/>
    </row>
    <row r="32" spans="2:8" x14ac:dyDescent="0.2">
      <c r="B32" s="27" t="s">
        <v>76</v>
      </c>
      <c r="C32" s="27" t="s">
        <v>77</v>
      </c>
      <c r="D32" s="27" t="s">
        <v>63</v>
      </c>
      <c r="E32" s="32">
        <v>1411</v>
      </c>
      <c r="F32" s="29">
        <v>49.928235000000001</v>
      </c>
      <c r="G32" s="30">
        <v>1.3125266597705001</v>
      </c>
      <c r="H32" s="33"/>
    </row>
    <row r="33" spans="2:8" x14ac:dyDescent="0.2">
      <c r="B33" s="27" t="s">
        <v>78</v>
      </c>
      <c r="C33" s="27" t="s">
        <v>79</v>
      </c>
      <c r="D33" s="27" t="s">
        <v>80</v>
      </c>
      <c r="E33" s="32">
        <v>1670</v>
      </c>
      <c r="F33" s="29">
        <v>47.758659999999999</v>
      </c>
      <c r="G33" s="30">
        <v>1.2554922977933201</v>
      </c>
      <c r="H33" s="33"/>
    </row>
    <row r="34" spans="2:8" x14ac:dyDescent="0.2">
      <c r="B34" s="27" t="s">
        <v>81</v>
      </c>
      <c r="C34" s="27" t="s">
        <v>82</v>
      </c>
      <c r="D34" s="27" t="s">
        <v>83</v>
      </c>
      <c r="E34" s="32">
        <v>1147</v>
      </c>
      <c r="F34" s="29">
        <v>46.739103</v>
      </c>
      <c r="G34" s="30">
        <v>1.2286899134579701</v>
      </c>
      <c r="H34" s="33"/>
    </row>
    <row r="35" spans="2:8" x14ac:dyDescent="0.2">
      <c r="B35" s="27" t="s">
        <v>84</v>
      </c>
      <c r="C35" s="27" t="s">
        <v>85</v>
      </c>
      <c r="D35" s="27" t="s">
        <v>86</v>
      </c>
      <c r="E35" s="32">
        <v>15432</v>
      </c>
      <c r="F35" s="29">
        <v>40.956527999999999</v>
      </c>
      <c r="G35" s="30">
        <v>1.0766760509686899</v>
      </c>
      <c r="H35" s="33"/>
    </row>
    <row r="36" spans="2:8" x14ac:dyDescent="0.2">
      <c r="B36" s="27" t="s">
        <v>87</v>
      </c>
      <c r="C36" s="27" t="s">
        <v>88</v>
      </c>
      <c r="D36" s="27" t="s">
        <v>23</v>
      </c>
      <c r="E36" s="32">
        <v>823</v>
      </c>
      <c r="F36" s="29">
        <v>40.351689999999998</v>
      </c>
      <c r="G36" s="30">
        <v>1.0607759094988001</v>
      </c>
      <c r="H36" s="33"/>
    </row>
    <row r="37" spans="2:8" x14ac:dyDescent="0.2">
      <c r="B37" s="27" t="s">
        <v>89</v>
      </c>
      <c r="C37" s="27" t="s">
        <v>90</v>
      </c>
      <c r="D37" s="27" t="s">
        <v>49</v>
      </c>
      <c r="E37" s="32">
        <v>26116</v>
      </c>
      <c r="F37" s="29">
        <v>38.061458399999999</v>
      </c>
      <c r="G37" s="30">
        <v>1.0005696948779701</v>
      </c>
      <c r="H37" s="33"/>
    </row>
    <row r="38" spans="2:8" x14ac:dyDescent="0.2">
      <c r="B38" s="27" t="s">
        <v>91</v>
      </c>
      <c r="C38" s="27" t="s">
        <v>92</v>
      </c>
      <c r="D38" s="27" t="s">
        <v>93</v>
      </c>
      <c r="E38" s="32">
        <v>10447</v>
      </c>
      <c r="F38" s="29">
        <v>36.836122000000003</v>
      </c>
      <c r="G38" s="30">
        <v>0.96835772719701796</v>
      </c>
      <c r="H38" s="33"/>
    </row>
    <row r="39" spans="2:8" x14ac:dyDescent="0.2">
      <c r="B39" s="27" t="s">
        <v>94</v>
      </c>
      <c r="C39" s="27" t="s">
        <v>95</v>
      </c>
      <c r="D39" s="27" t="s">
        <v>96</v>
      </c>
      <c r="E39" s="32">
        <v>1951</v>
      </c>
      <c r="F39" s="29">
        <v>35.705250999999997</v>
      </c>
      <c r="G39" s="30">
        <v>0.93862909096020097</v>
      </c>
      <c r="H39" s="33"/>
    </row>
    <row r="40" spans="2:8" x14ac:dyDescent="0.2">
      <c r="B40" s="27" t="s">
        <v>97</v>
      </c>
      <c r="C40" s="27" t="s">
        <v>98</v>
      </c>
      <c r="D40" s="27" t="s">
        <v>80</v>
      </c>
      <c r="E40" s="32">
        <v>8515</v>
      </c>
      <c r="F40" s="29">
        <v>32.314425</v>
      </c>
      <c r="G40" s="30">
        <v>0.84949015937884298</v>
      </c>
      <c r="H40" s="33"/>
    </row>
    <row r="41" spans="2:8" x14ac:dyDescent="0.2">
      <c r="B41" s="27" t="s">
        <v>99</v>
      </c>
      <c r="C41" s="27" t="s">
        <v>100</v>
      </c>
      <c r="D41" s="27" t="s">
        <v>75</v>
      </c>
      <c r="E41" s="32">
        <v>6074</v>
      </c>
      <c r="F41" s="29">
        <v>31.818649000000001</v>
      </c>
      <c r="G41" s="30">
        <v>0.83645706863821501</v>
      </c>
      <c r="H41" s="33"/>
    </row>
    <row r="42" spans="2:8" x14ac:dyDescent="0.2">
      <c r="B42" s="27" t="s">
        <v>101</v>
      </c>
      <c r="C42" s="27" t="s">
        <v>102</v>
      </c>
      <c r="D42" s="27" t="s">
        <v>46</v>
      </c>
      <c r="E42" s="32">
        <v>15270</v>
      </c>
      <c r="F42" s="29">
        <v>31.207298999999999</v>
      </c>
      <c r="G42" s="30">
        <v>0.82038573798831904</v>
      </c>
      <c r="H42" s="33"/>
    </row>
    <row r="43" spans="2:8" x14ac:dyDescent="0.2">
      <c r="B43" s="27" t="s">
        <v>103</v>
      </c>
      <c r="C43" s="27" t="s">
        <v>104</v>
      </c>
      <c r="D43" s="27" t="s">
        <v>28</v>
      </c>
      <c r="E43" s="32">
        <v>2063</v>
      </c>
      <c r="F43" s="29">
        <v>30.612857000000002</v>
      </c>
      <c r="G43" s="30">
        <v>0.80475888931867801</v>
      </c>
      <c r="H43" s="33"/>
    </row>
    <row r="44" spans="2:8" x14ac:dyDescent="0.2">
      <c r="B44" s="27" t="s">
        <v>105</v>
      </c>
      <c r="C44" s="27" t="s">
        <v>106</v>
      </c>
      <c r="D44" s="27" t="s">
        <v>12</v>
      </c>
      <c r="E44" s="32">
        <v>122149</v>
      </c>
      <c r="F44" s="29">
        <v>28.277493499999999</v>
      </c>
      <c r="G44" s="30">
        <v>0.74336623536235602</v>
      </c>
      <c r="H44" s="33"/>
    </row>
    <row r="45" spans="2:8" x14ac:dyDescent="0.2">
      <c r="B45" s="27" t="s">
        <v>107</v>
      </c>
      <c r="C45" s="27" t="s">
        <v>108</v>
      </c>
      <c r="D45" s="27" t="s">
        <v>96</v>
      </c>
      <c r="E45" s="32">
        <v>6862</v>
      </c>
      <c r="F45" s="29">
        <v>28.226837</v>
      </c>
      <c r="G45" s="30">
        <v>0.74203456387946298</v>
      </c>
      <c r="H45" s="33"/>
    </row>
    <row r="46" spans="2:8" x14ac:dyDescent="0.2">
      <c r="B46" s="27" t="s">
        <v>109</v>
      </c>
      <c r="C46" s="27" t="s">
        <v>110</v>
      </c>
      <c r="D46" s="27" t="s">
        <v>66</v>
      </c>
      <c r="E46" s="32">
        <v>1112</v>
      </c>
      <c r="F46" s="29">
        <v>25.216823999999999</v>
      </c>
      <c r="G46" s="30">
        <v>0.66290654525922199</v>
      </c>
      <c r="H46" s="33"/>
    </row>
    <row r="47" spans="2:8" x14ac:dyDescent="0.2">
      <c r="B47" s="27" t="s">
        <v>111</v>
      </c>
      <c r="C47" s="27" t="s">
        <v>112</v>
      </c>
      <c r="D47" s="27" t="s">
        <v>96</v>
      </c>
      <c r="E47" s="32">
        <v>1420</v>
      </c>
      <c r="F47" s="29">
        <v>23.770800000000001</v>
      </c>
      <c r="G47" s="30">
        <v>0.62489308352423401</v>
      </c>
      <c r="H47" s="33"/>
    </row>
    <row r="48" spans="2:8" x14ac:dyDescent="0.2">
      <c r="B48" s="27" t="s">
        <v>113</v>
      </c>
      <c r="C48" s="27" t="s">
        <v>114</v>
      </c>
      <c r="D48" s="27" t="s">
        <v>115</v>
      </c>
      <c r="E48" s="32">
        <v>2213</v>
      </c>
      <c r="F48" s="29">
        <v>20.099572500000001</v>
      </c>
      <c r="G48" s="30">
        <v>0.52838288307687997</v>
      </c>
      <c r="H48" s="33"/>
    </row>
    <row r="49" spans="2:8" x14ac:dyDescent="0.2">
      <c r="B49" s="27" t="s">
        <v>116</v>
      </c>
      <c r="C49" s="27" t="s">
        <v>117</v>
      </c>
      <c r="D49" s="27" t="s">
        <v>66</v>
      </c>
      <c r="E49" s="32">
        <v>885</v>
      </c>
      <c r="F49" s="29">
        <v>13.49094</v>
      </c>
      <c r="G49" s="30">
        <v>0.35465340233565701</v>
      </c>
      <c r="H49" s="33"/>
    </row>
    <row r="50" spans="2:8" x14ac:dyDescent="0.2">
      <c r="B50" s="27" t="s">
        <v>118</v>
      </c>
      <c r="C50" s="27" t="s">
        <v>119</v>
      </c>
      <c r="D50" s="27" t="s">
        <v>20</v>
      </c>
      <c r="E50" s="32">
        <v>4478</v>
      </c>
      <c r="F50" s="29">
        <v>13.348917999999999</v>
      </c>
      <c r="G50" s="30">
        <v>0.35091989040049798</v>
      </c>
      <c r="H50" s="33"/>
    </row>
    <row r="51" spans="2:8" x14ac:dyDescent="0.2">
      <c r="B51" s="27" t="s">
        <v>120</v>
      </c>
      <c r="C51" s="27" t="s">
        <v>121</v>
      </c>
      <c r="D51" s="27" t="s">
        <v>63</v>
      </c>
      <c r="E51" s="32">
        <v>7086</v>
      </c>
      <c r="F51" s="29">
        <v>13.101305399999999</v>
      </c>
      <c r="G51" s="30">
        <v>0.34441058481829401</v>
      </c>
      <c r="H51" s="33"/>
    </row>
    <row r="52" spans="2:8" x14ac:dyDescent="0.2">
      <c r="B52" s="27" t="s">
        <v>233</v>
      </c>
      <c r="C52" s="27" t="s">
        <v>122</v>
      </c>
      <c r="D52" s="27" t="s">
        <v>123</v>
      </c>
      <c r="E52" s="32">
        <v>10447</v>
      </c>
      <c r="F52" s="29">
        <v>12.6434818</v>
      </c>
      <c r="G52" s="30">
        <v>0.332375196816453</v>
      </c>
      <c r="H52" s="33"/>
    </row>
    <row r="53" spans="2:8" x14ac:dyDescent="0.2">
      <c r="B53" s="27" t="s">
        <v>234</v>
      </c>
      <c r="C53" s="27" t="s">
        <v>124</v>
      </c>
      <c r="D53" s="27" t="s">
        <v>34</v>
      </c>
      <c r="E53" s="32">
        <v>10447</v>
      </c>
      <c r="F53" s="29">
        <v>12.6434818</v>
      </c>
      <c r="G53" s="30">
        <v>0.332375196816453</v>
      </c>
      <c r="H53" s="33"/>
    </row>
    <row r="54" spans="2:8" x14ac:dyDescent="0.2">
      <c r="B54" s="27" t="s">
        <v>235</v>
      </c>
      <c r="C54" s="27" t="s">
        <v>125</v>
      </c>
      <c r="D54" s="27" t="s">
        <v>86</v>
      </c>
      <c r="E54" s="32">
        <v>10447</v>
      </c>
      <c r="F54" s="29">
        <v>12.6434818</v>
      </c>
      <c r="G54" s="30">
        <v>0.332375196816453</v>
      </c>
      <c r="H54" s="33"/>
    </row>
    <row r="55" spans="2:8" x14ac:dyDescent="0.2">
      <c r="B55" s="27" t="s">
        <v>236</v>
      </c>
      <c r="C55" s="27" t="s">
        <v>126</v>
      </c>
      <c r="D55" s="27" t="s">
        <v>46</v>
      </c>
      <c r="E55" s="32">
        <v>10447</v>
      </c>
      <c r="F55" s="29">
        <v>12.6434818</v>
      </c>
      <c r="G55" s="30">
        <v>0.332375196816453</v>
      </c>
      <c r="H55" s="33"/>
    </row>
    <row r="56" spans="2:8" x14ac:dyDescent="0.2">
      <c r="B56" s="27" t="s">
        <v>127</v>
      </c>
      <c r="C56" s="27" t="s">
        <v>128</v>
      </c>
      <c r="D56" s="27" t="s">
        <v>83</v>
      </c>
      <c r="E56" s="32">
        <v>465</v>
      </c>
      <c r="F56" s="29">
        <v>12.422940000000001</v>
      </c>
      <c r="G56" s="30">
        <v>0.326577535591421</v>
      </c>
      <c r="H56" s="33"/>
    </row>
    <row r="57" spans="2:8" x14ac:dyDescent="0.2">
      <c r="B57" s="27" t="s">
        <v>129</v>
      </c>
      <c r="C57" s="27" t="s">
        <v>130</v>
      </c>
      <c r="D57" s="27" t="s">
        <v>131</v>
      </c>
      <c r="E57" s="32">
        <v>350</v>
      </c>
      <c r="F57" s="29">
        <v>12.315099999999999</v>
      </c>
      <c r="G57" s="30">
        <v>0.32374260912166603</v>
      </c>
      <c r="H57" s="33"/>
    </row>
    <row r="58" spans="2:8" x14ac:dyDescent="0.2">
      <c r="B58" s="27" t="s">
        <v>132</v>
      </c>
      <c r="C58" s="27" t="s">
        <v>133</v>
      </c>
      <c r="D58" s="27" t="s">
        <v>20</v>
      </c>
      <c r="E58" s="32">
        <v>3006</v>
      </c>
      <c r="F58" s="29">
        <v>11.839131</v>
      </c>
      <c r="G58" s="30">
        <v>0.311230210040779</v>
      </c>
      <c r="H58" s="33"/>
    </row>
    <row r="59" spans="2:8" x14ac:dyDescent="0.2">
      <c r="B59" s="27" t="s">
        <v>134</v>
      </c>
      <c r="C59" s="27" t="s">
        <v>135</v>
      </c>
      <c r="D59" s="27" t="s">
        <v>80</v>
      </c>
      <c r="E59" s="32">
        <v>7199</v>
      </c>
      <c r="F59" s="29">
        <v>11.1901256</v>
      </c>
      <c r="G59" s="30">
        <v>0.294168984266725</v>
      </c>
      <c r="H59" s="33"/>
    </row>
    <row r="60" spans="2:8" x14ac:dyDescent="0.2">
      <c r="B60" s="27" t="s">
        <v>136</v>
      </c>
      <c r="C60" s="27" t="s">
        <v>137</v>
      </c>
      <c r="D60" s="27" t="s">
        <v>34</v>
      </c>
      <c r="E60" s="32">
        <v>3163</v>
      </c>
      <c r="F60" s="29">
        <v>9.1900964999999992</v>
      </c>
      <c r="G60" s="30">
        <v>0.241591689794633</v>
      </c>
      <c r="H60" s="33"/>
    </row>
    <row r="61" spans="2:8" x14ac:dyDescent="0.2">
      <c r="B61" s="27" t="s">
        <v>138</v>
      </c>
      <c r="C61" s="27" t="s">
        <v>139</v>
      </c>
      <c r="D61" s="27" t="s">
        <v>66</v>
      </c>
      <c r="E61" s="32">
        <v>673</v>
      </c>
      <c r="F61" s="29">
        <v>8.7725550000000005</v>
      </c>
      <c r="G61" s="30">
        <v>0.23061524830194799</v>
      </c>
      <c r="H61" s="33"/>
    </row>
    <row r="62" spans="2:8" x14ac:dyDescent="0.2">
      <c r="B62" s="27" t="s">
        <v>140</v>
      </c>
      <c r="C62" s="27" t="s">
        <v>141</v>
      </c>
      <c r="D62" s="27" t="s">
        <v>142</v>
      </c>
      <c r="E62" s="32">
        <v>267</v>
      </c>
      <c r="F62" s="29">
        <v>7.8428579999999997</v>
      </c>
      <c r="G62" s="30">
        <v>0.20617512743629601</v>
      </c>
      <c r="H62" s="33"/>
    </row>
    <row r="63" spans="2:8" x14ac:dyDescent="0.2">
      <c r="B63" s="27" t="s">
        <v>143</v>
      </c>
      <c r="C63" s="27" t="s">
        <v>144</v>
      </c>
      <c r="D63" s="27" t="s">
        <v>49</v>
      </c>
      <c r="E63" s="32">
        <v>161</v>
      </c>
      <c r="F63" s="29">
        <v>6.6472069999999999</v>
      </c>
      <c r="G63" s="30">
        <v>0.17474353740950499</v>
      </c>
      <c r="H63" s="33"/>
    </row>
    <row r="64" spans="2:8" x14ac:dyDescent="0.2">
      <c r="B64" s="27" t="s">
        <v>145</v>
      </c>
      <c r="C64" s="27" t="s">
        <v>146</v>
      </c>
      <c r="D64" s="27" t="s">
        <v>131</v>
      </c>
      <c r="E64" s="32">
        <v>462</v>
      </c>
      <c r="F64" s="29">
        <v>5.8673999999999999</v>
      </c>
      <c r="G64" s="30">
        <v>0.154243764546001</v>
      </c>
      <c r="H64" s="33"/>
    </row>
    <row r="65" spans="2:9" x14ac:dyDescent="0.2">
      <c r="B65" s="27" t="s">
        <v>147</v>
      </c>
      <c r="C65" s="27" t="s">
        <v>148</v>
      </c>
      <c r="D65" s="27" t="s">
        <v>23</v>
      </c>
      <c r="E65" s="32">
        <v>39</v>
      </c>
      <c r="F65" s="29">
        <v>5.1195300000000001</v>
      </c>
      <c r="G65" s="30">
        <v>0.13458355999355601</v>
      </c>
      <c r="H65" s="33"/>
    </row>
    <row r="66" spans="2:9" x14ac:dyDescent="0.2">
      <c r="B66" s="27" t="s">
        <v>149</v>
      </c>
      <c r="C66" s="27" t="s">
        <v>150</v>
      </c>
      <c r="D66" s="27" t="s">
        <v>115</v>
      </c>
      <c r="E66" s="32">
        <v>411</v>
      </c>
      <c r="F66" s="29">
        <v>3.8927865000000001</v>
      </c>
      <c r="G66" s="30">
        <v>0.102334602095281</v>
      </c>
      <c r="H66" s="33"/>
    </row>
    <row r="67" spans="2:9" x14ac:dyDescent="0.2">
      <c r="B67" s="27" t="s">
        <v>151</v>
      </c>
      <c r="C67" s="27" t="s">
        <v>152</v>
      </c>
      <c r="D67" s="27" t="s">
        <v>28</v>
      </c>
      <c r="E67" s="32">
        <v>78</v>
      </c>
      <c r="F67" s="29">
        <v>3.1680480000000002</v>
      </c>
      <c r="G67" s="30">
        <v>8.3282484538710594E-2</v>
      </c>
      <c r="H67" s="33"/>
    </row>
    <row r="68" spans="2:9" x14ac:dyDescent="0.2">
      <c r="B68" s="27" t="s">
        <v>153</v>
      </c>
      <c r="C68" s="27" t="s">
        <v>154</v>
      </c>
      <c r="D68" s="27" t="s">
        <v>66</v>
      </c>
      <c r="E68" s="32">
        <v>203</v>
      </c>
      <c r="F68" s="29">
        <v>2.7648600000000001</v>
      </c>
      <c r="G68" s="30">
        <v>7.2683371653996201E-2</v>
      </c>
      <c r="H68" s="33"/>
    </row>
    <row r="69" spans="2:9" x14ac:dyDescent="0.2">
      <c r="B69" s="27" t="s">
        <v>155</v>
      </c>
      <c r="C69" s="27" t="s">
        <v>156</v>
      </c>
      <c r="D69" s="27" t="s">
        <v>23</v>
      </c>
      <c r="E69" s="32">
        <v>36</v>
      </c>
      <c r="F69" s="29">
        <v>2.58372</v>
      </c>
      <c r="G69" s="30">
        <v>6.7921515378667696E-2</v>
      </c>
      <c r="H69" s="33"/>
    </row>
    <row r="70" spans="2:9" x14ac:dyDescent="0.2">
      <c r="B70" s="27" t="s">
        <v>157</v>
      </c>
      <c r="C70" s="27" t="s">
        <v>158</v>
      </c>
      <c r="D70" s="27" t="s">
        <v>115</v>
      </c>
      <c r="E70" s="32">
        <v>659</v>
      </c>
      <c r="F70" s="29">
        <v>2.0010534999999998</v>
      </c>
      <c r="G70" s="30">
        <v>5.2604224170493201E-2</v>
      </c>
      <c r="H70" s="33"/>
    </row>
    <row r="71" spans="2:9" x14ac:dyDescent="0.2">
      <c r="B71" s="27" t="s">
        <v>159</v>
      </c>
      <c r="C71" s="27" t="s">
        <v>160</v>
      </c>
      <c r="D71" s="27" t="s">
        <v>63</v>
      </c>
      <c r="E71" s="32">
        <v>156</v>
      </c>
      <c r="F71" s="29">
        <v>1.7163120000000001</v>
      </c>
      <c r="G71" s="30">
        <v>4.5118864235517697E-2</v>
      </c>
      <c r="H71" s="33"/>
    </row>
    <row r="72" spans="2:9" x14ac:dyDescent="0.2">
      <c r="B72" s="27" t="s">
        <v>161</v>
      </c>
      <c r="C72" s="27" t="s">
        <v>162</v>
      </c>
      <c r="D72" s="27" t="s">
        <v>163</v>
      </c>
      <c r="E72" s="32">
        <v>395</v>
      </c>
      <c r="F72" s="29">
        <v>1.6461625</v>
      </c>
      <c r="G72" s="30">
        <v>4.3274755608013298E-2</v>
      </c>
      <c r="H72" s="33"/>
    </row>
    <row r="73" spans="2:9" ht="10.5" x14ac:dyDescent="0.25">
      <c r="B73" s="26" t="s">
        <v>164</v>
      </c>
      <c r="C73" s="26"/>
      <c r="D73" s="26"/>
      <c r="E73" s="34"/>
      <c r="F73" s="35">
        <f>SUM(F7:F72)</f>
        <v>3723.301892</v>
      </c>
      <c r="G73" s="36">
        <f>SUM(G7:G72)</f>
        <v>97.879145850518071</v>
      </c>
      <c r="H73" s="37"/>
      <c r="I73" s="18"/>
    </row>
    <row r="74" spans="2:9" ht="10.5" x14ac:dyDescent="0.25">
      <c r="B74" s="26" t="s">
        <v>165</v>
      </c>
      <c r="C74" s="26"/>
      <c r="D74" s="26"/>
      <c r="E74" s="34"/>
      <c r="F74" s="38" t="s">
        <v>166</v>
      </c>
      <c r="G74" s="39" t="s">
        <v>166</v>
      </c>
      <c r="H74" s="37"/>
      <c r="I74" s="18"/>
    </row>
    <row r="75" spans="2:9" ht="10.5" x14ac:dyDescent="0.25">
      <c r="B75" s="26" t="s">
        <v>164</v>
      </c>
      <c r="C75" s="26"/>
      <c r="D75" s="26"/>
      <c r="E75" s="34"/>
      <c r="F75" s="40" t="s">
        <v>166</v>
      </c>
      <c r="G75" s="41" t="s">
        <v>166</v>
      </c>
      <c r="H75" s="37"/>
      <c r="I75" s="18"/>
    </row>
    <row r="76" spans="2:9" ht="10.5" x14ac:dyDescent="0.25">
      <c r="B76" s="42" t="s">
        <v>167</v>
      </c>
      <c r="C76" s="42"/>
      <c r="D76" s="42"/>
      <c r="E76" s="43"/>
      <c r="F76" s="44">
        <f>F73</f>
        <v>3723.301892</v>
      </c>
      <c r="G76" s="45">
        <f>G73</f>
        <v>97.879145850518071</v>
      </c>
      <c r="H76" s="37"/>
      <c r="I76" s="18"/>
    </row>
    <row r="77" spans="2:9" ht="10.5" x14ac:dyDescent="0.25">
      <c r="B77" s="26" t="s">
        <v>168</v>
      </c>
      <c r="C77" s="26"/>
      <c r="D77" s="26"/>
      <c r="E77" s="34"/>
      <c r="F77" s="35">
        <v>75.862613300000007</v>
      </c>
      <c r="G77" s="36">
        <v>1.9942964624347299</v>
      </c>
      <c r="H77" s="33">
        <v>5.3499999999999999E-2</v>
      </c>
      <c r="I77" s="19"/>
    </row>
    <row r="78" spans="2:9" x14ac:dyDescent="0.2">
      <c r="B78" s="27"/>
      <c r="C78" s="27"/>
      <c r="D78" s="27"/>
      <c r="E78" s="28"/>
      <c r="F78" s="29"/>
      <c r="G78" s="30"/>
      <c r="H78" s="31"/>
    </row>
    <row r="79" spans="2:9" ht="10.5" x14ac:dyDescent="0.25">
      <c r="B79" s="26" t="s">
        <v>170</v>
      </c>
      <c r="C79" s="27"/>
      <c r="D79" s="27"/>
      <c r="E79" s="28"/>
      <c r="F79" s="102">
        <v>8</v>
      </c>
      <c r="G79" s="102">
        <f>F79/F81*100</f>
        <v>0.21030611793435103</v>
      </c>
      <c r="H79" s="31"/>
    </row>
    <row r="80" spans="2:9" ht="10.5" x14ac:dyDescent="0.25">
      <c r="B80" s="51" t="s">
        <v>171</v>
      </c>
      <c r="C80" s="51"/>
      <c r="D80" s="51"/>
      <c r="E80" s="52"/>
      <c r="F80" s="35">
        <f>F81-(F73+F77+F79)</f>
        <v>-3.1857724999995298</v>
      </c>
      <c r="G80" s="36">
        <f>G81-(G73+G77+G79)</f>
        <v>-8.3748430887155223E-2</v>
      </c>
      <c r="H80" s="37"/>
      <c r="I80" s="18"/>
    </row>
    <row r="81" spans="2:9" ht="10.5" x14ac:dyDescent="0.25">
      <c r="B81" s="46" t="s">
        <v>169</v>
      </c>
      <c r="C81" s="46"/>
      <c r="D81" s="46"/>
      <c r="E81" s="47"/>
      <c r="F81" s="48">
        <v>3803.9787328000002</v>
      </c>
      <c r="G81" s="49">
        <v>100</v>
      </c>
      <c r="H81" s="50"/>
      <c r="I81" s="18"/>
    </row>
    <row r="83" spans="2:9" ht="10.5" x14ac:dyDescent="0.25">
      <c r="B83" s="18" t="s">
        <v>172</v>
      </c>
    </row>
    <row r="85" spans="2:9" ht="10.5" x14ac:dyDescent="0.25">
      <c r="B85" s="53" t="s">
        <v>4</v>
      </c>
      <c r="C85" s="53" t="s">
        <v>173</v>
      </c>
      <c r="D85" s="53" t="s">
        <v>174</v>
      </c>
      <c r="E85" s="54" t="s">
        <v>0</v>
      </c>
      <c r="F85" s="55" t="s">
        <v>175</v>
      </c>
      <c r="G85" s="56" t="s">
        <v>176</v>
      </c>
    </row>
    <row r="86" spans="2:9" x14ac:dyDescent="0.2">
      <c r="B86" s="57" t="s">
        <v>177</v>
      </c>
      <c r="C86" s="57" t="s">
        <v>178</v>
      </c>
      <c r="D86" s="57" t="s">
        <v>179</v>
      </c>
      <c r="E86" s="58">
        <v>195</v>
      </c>
      <c r="F86" s="59">
        <v>46.310160000000003</v>
      </c>
      <c r="G86" s="60">
        <v>1.21741374631483</v>
      </c>
    </row>
    <row r="87" spans="2:9" ht="10.5" x14ac:dyDescent="0.25">
      <c r="B87" s="53"/>
      <c r="C87" s="53"/>
      <c r="D87" s="53"/>
      <c r="E87" s="54"/>
      <c r="F87" s="55">
        <f>SUM(F86:F86)</f>
        <v>46.310160000000003</v>
      </c>
      <c r="G87" s="56">
        <f>SUM(G86:G86)</f>
        <v>1.21741374631483</v>
      </c>
    </row>
    <row r="89" spans="2:9" ht="10.5" x14ac:dyDescent="0.25">
      <c r="B89" s="18" t="s">
        <v>182</v>
      </c>
    </row>
    <row r="91" spans="2:9" ht="10.5" x14ac:dyDescent="0.2">
      <c r="B91" s="65" t="s">
        <v>180</v>
      </c>
      <c r="E91" s="8"/>
    </row>
    <row r="92" spans="2:9" ht="10.5" x14ac:dyDescent="0.2">
      <c r="B92" s="65"/>
      <c r="E92" s="8"/>
    </row>
    <row r="93" spans="2:9" x14ac:dyDescent="0.2">
      <c r="B93" s="66" t="s">
        <v>187</v>
      </c>
      <c r="E93" s="8"/>
    </row>
    <row r="94" spans="2:9" x14ac:dyDescent="0.2">
      <c r="B94" s="66" t="s">
        <v>191</v>
      </c>
      <c r="E94" s="8"/>
    </row>
    <row r="95" spans="2:9" x14ac:dyDescent="0.2">
      <c r="B95" s="66" t="s">
        <v>192</v>
      </c>
      <c r="E95" s="8"/>
    </row>
    <row r="96" spans="2:9" ht="10.5" x14ac:dyDescent="0.2">
      <c r="B96" s="65"/>
      <c r="E96" s="8"/>
    </row>
    <row r="97" spans="2:6" ht="10.5" x14ac:dyDescent="0.2">
      <c r="B97" s="70" t="s">
        <v>188</v>
      </c>
      <c r="C97" s="67" t="s">
        <v>189</v>
      </c>
      <c r="D97" s="104" t="s">
        <v>230</v>
      </c>
      <c r="E97" s="8"/>
    </row>
    <row r="98" spans="2:6" x14ac:dyDescent="0.2">
      <c r="B98" s="68" t="s">
        <v>190</v>
      </c>
      <c r="C98" s="71">
        <v>9.9116</v>
      </c>
      <c r="D98" s="103">
        <v>9.6940000000000008</v>
      </c>
      <c r="E98" s="8"/>
    </row>
    <row r="99" spans="2:6" ht="10.5" x14ac:dyDescent="0.2">
      <c r="B99" s="65"/>
      <c r="E99" s="8"/>
    </row>
    <row r="100" spans="2:6" ht="10.5" x14ac:dyDescent="0.2">
      <c r="B100" s="65" t="s">
        <v>217</v>
      </c>
      <c r="E100" s="8"/>
    </row>
    <row r="101" spans="2:6" ht="10.5" x14ac:dyDescent="0.2">
      <c r="B101" s="65"/>
      <c r="E101" s="8"/>
    </row>
    <row r="102" spans="2:6" x14ac:dyDescent="0.2">
      <c r="B102" s="66" t="s">
        <v>218</v>
      </c>
      <c r="E102" s="8"/>
    </row>
    <row r="103" spans="2:6" x14ac:dyDescent="0.2">
      <c r="B103" s="66"/>
      <c r="E103" s="8"/>
    </row>
    <row r="104" spans="2:6" ht="10.5" x14ac:dyDescent="0.2">
      <c r="B104" s="73" t="s">
        <v>219</v>
      </c>
      <c r="E104" s="8"/>
    </row>
    <row r="105" spans="2:6" x14ac:dyDescent="0.2">
      <c r="B105" s="69"/>
      <c r="E105" s="8"/>
    </row>
    <row r="106" spans="2:6" ht="10.5" x14ac:dyDescent="0.2">
      <c r="B106" s="73" t="s">
        <v>220</v>
      </c>
      <c r="E106" s="8"/>
    </row>
    <row r="107" spans="2:6" ht="21" x14ac:dyDescent="0.2">
      <c r="B107" s="74" t="s">
        <v>193</v>
      </c>
      <c r="C107" s="75" t="s">
        <v>194</v>
      </c>
      <c r="D107" s="75" t="s">
        <v>195</v>
      </c>
      <c r="E107" s="75" t="s">
        <v>196</v>
      </c>
      <c r="F107" s="75" t="s">
        <v>197</v>
      </c>
    </row>
    <row r="108" spans="2:6" x14ac:dyDescent="0.2">
      <c r="B108" s="111" t="s">
        <v>183</v>
      </c>
      <c r="C108" s="112"/>
      <c r="D108" s="112"/>
      <c r="E108" s="112"/>
      <c r="F108" s="113"/>
    </row>
    <row r="109" spans="2:6" x14ac:dyDescent="0.2">
      <c r="B109" s="69" t="s">
        <v>198</v>
      </c>
      <c r="E109" s="8"/>
    </row>
    <row r="110" spans="2:6" x14ac:dyDescent="0.2">
      <c r="B110" s="69" t="s">
        <v>221</v>
      </c>
      <c r="E110" s="8"/>
    </row>
    <row r="111" spans="2:6" x14ac:dyDescent="0.2">
      <c r="B111" s="69"/>
      <c r="E111" s="8"/>
    </row>
    <row r="112" spans="2:6" x14ac:dyDescent="0.2">
      <c r="B112" s="108" t="s">
        <v>199</v>
      </c>
      <c r="C112" s="108" t="s">
        <v>200</v>
      </c>
      <c r="D112" s="108" t="s">
        <v>201</v>
      </c>
      <c r="E112" s="108" t="s">
        <v>202</v>
      </c>
      <c r="F112" s="108" t="s">
        <v>203</v>
      </c>
    </row>
    <row r="113" spans="2:6" x14ac:dyDescent="0.2">
      <c r="B113" s="109"/>
      <c r="C113" s="109"/>
      <c r="D113" s="109"/>
      <c r="E113" s="109"/>
      <c r="F113" s="109"/>
    </row>
    <row r="114" spans="2:6" x14ac:dyDescent="0.2">
      <c r="B114" s="111" t="s">
        <v>183</v>
      </c>
      <c r="C114" s="112"/>
      <c r="D114" s="112"/>
      <c r="E114" s="112"/>
      <c r="F114" s="113"/>
    </row>
    <row r="115" spans="2:6" x14ac:dyDescent="0.2">
      <c r="B115" s="69"/>
      <c r="E115" s="8"/>
    </row>
    <row r="116" spans="2:6" ht="10.5" x14ac:dyDescent="0.25">
      <c r="B116" s="76" t="s">
        <v>222</v>
      </c>
      <c r="C116" s="77"/>
      <c r="D116" s="77"/>
      <c r="E116" s="77"/>
      <c r="F116" s="77"/>
    </row>
    <row r="117" spans="2:6" x14ac:dyDescent="0.2">
      <c r="B117" s="78"/>
      <c r="C117" s="77"/>
      <c r="D117" s="77"/>
      <c r="E117" s="77"/>
      <c r="F117" s="77"/>
    </row>
    <row r="118" spans="2:6" ht="21" x14ac:dyDescent="0.2">
      <c r="B118" s="74" t="s">
        <v>193</v>
      </c>
      <c r="C118" s="75" t="s">
        <v>194</v>
      </c>
      <c r="D118" s="75" t="s">
        <v>195</v>
      </c>
      <c r="E118" s="75" t="s">
        <v>196</v>
      </c>
      <c r="F118" s="75" t="s">
        <v>197</v>
      </c>
    </row>
    <row r="119" spans="2:6" x14ac:dyDescent="0.2">
      <c r="B119" s="79" t="s">
        <v>177</v>
      </c>
      <c r="C119" s="80" t="s">
        <v>178</v>
      </c>
      <c r="D119" s="81">
        <v>23844.933300000001</v>
      </c>
      <c r="E119" s="82">
        <v>23748.799999999999</v>
      </c>
      <c r="F119" s="105">
        <v>5.2377932000000005</v>
      </c>
    </row>
    <row r="120" spans="2:6" x14ac:dyDescent="0.2">
      <c r="B120" s="78"/>
      <c r="C120" s="77"/>
      <c r="D120" s="77"/>
      <c r="E120" s="77"/>
      <c r="F120" s="77"/>
    </row>
    <row r="121" spans="2:6" x14ac:dyDescent="0.2">
      <c r="B121" s="78" t="s">
        <v>231</v>
      </c>
      <c r="C121" s="77"/>
      <c r="D121" s="77"/>
      <c r="E121" s="77"/>
      <c r="F121" s="77"/>
    </row>
    <row r="122" spans="2:6" ht="10.5" x14ac:dyDescent="0.2">
      <c r="B122" s="77" t="s">
        <v>223</v>
      </c>
      <c r="C122" s="83"/>
      <c r="D122" s="84"/>
      <c r="E122" s="85"/>
      <c r="F122" s="86"/>
    </row>
    <row r="123" spans="2:6" ht="10.5" x14ac:dyDescent="0.2">
      <c r="B123" s="77" t="s">
        <v>204</v>
      </c>
      <c r="C123" s="83"/>
      <c r="D123" s="84"/>
      <c r="E123" s="85"/>
      <c r="F123" s="86"/>
    </row>
    <row r="124" spans="2:6" x14ac:dyDescent="0.2">
      <c r="B124" s="114" t="s">
        <v>199</v>
      </c>
      <c r="C124" s="114" t="s">
        <v>200</v>
      </c>
      <c r="D124" s="114" t="s">
        <v>201</v>
      </c>
      <c r="E124" s="114" t="s">
        <v>202</v>
      </c>
      <c r="F124" s="114" t="s">
        <v>203</v>
      </c>
    </row>
    <row r="125" spans="2:6" x14ac:dyDescent="0.2">
      <c r="B125" s="115"/>
      <c r="C125" s="115"/>
      <c r="D125" s="115"/>
      <c r="E125" s="115"/>
      <c r="F125" s="115"/>
    </row>
    <row r="126" spans="2:6" x14ac:dyDescent="0.2">
      <c r="B126" s="87">
        <v>20</v>
      </c>
      <c r="C126" s="88">
        <v>21</v>
      </c>
      <c r="D126" s="89">
        <v>310.48576009999999</v>
      </c>
      <c r="E126" s="90">
        <v>327.13342999999998</v>
      </c>
      <c r="F126" s="91">
        <v>0.98383990000002086</v>
      </c>
    </row>
    <row r="127" spans="2:6" x14ac:dyDescent="0.2">
      <c r="B127" s="72"/>
      <c r="C127" s="92"/>
      <c r="D127" s="92"/>
      <c r="E127" s="92"/>
      <c r="F127" s="62"/>
    </row>
    <row r="128" spans="2:6" ht="10.5" x14ac:dyDescent="0.2">
      <c r="B128" s="93" t="s">
        <v>237</v>
      </c>
      <c r="C128" s="94"/>
      <c r="D128" s="94"/>
      <c r="E128" s="95"/>
      <c r="F128" s="62"/>
    </row>
    <row r="129" spans="2:6" ht="10.5" x14ac:dyDescent="0.2">
      <c r="B129" s="96"/>
      <c r="C129" s="94"/>
      <c r="D129" s="94"/>
      <c r="E129" s="95"/>
      <c r="F129" s="62"/>
    </row>
    <row r="130" spans="2:6" ht="21" x14ac:dyDescent="0.2">
      <c r="B130" s="74" t="s">
        <v>193</v>
      </c>
      <c r="C130" s="75" t="s">
        <v>205</v>
      </c>
      <c r="D130" s="75" t="s">
        <v>206</v>
      </c>
      <c r="E130" s="75" t="s">
        <v>207</v>
      </c>
      <c r="F130" s="62"/>
    </row>
    <row r="131" spans="2:6" x14ac:dyDescent="0.2">
      <c r="B131" s="111" t="s">
        <v>183</v>
      </c>
      <c r="C131" s="112"/>
      <c r="D131" s="112"/>
      <c r="E131" s="113"/>
      <c r="F131" s="62"/>
    </row>
    <row r="132" spans="2:6" x14ac:dyDescent="0.2">
      <c r="B132" s="78" t="s">
        <v>208</v>
      </c>
      <c r="C132" s="77"/>
      <c r="D132" s="77"/>
      <c r="E132" s="77"/>
      <c r="F132" s="62"/>
    </row>
    <row r="133" spans="2:6" x14ac:dyDescent="0.2">
      <c r="B133" s="97"/>
      <c r="C133" s="98"/>
      <c r="D133" s="98"/>
      <c r="E133" s="97"/>
      <c r="F133" s="62"/>
    </row>
    <row r="134" spans="2:6" x14ac:dyDescent="0.2">
      <c r="B134" s="97" t="s">
        <v>224</v>
      </c>
      <c r="C134" s="98"/>
      <c r="D134" s="98"/>
      <c r="E134" s="97"/>
      <c r="F134" s="62"/>
    </row>
    <row r="135" spans="2:6" x14ac:dyDescent="0.2">
      <c r="B135" s="97"/>
      <c r="C135" s="98"/>
      <c r="D135" s="98"/>
      <c r="E135" s="97"/>
      <c r="F135" s="62"/>
    </row>
    <row r="136" spans="2:6" x14ac:dyDescent="0.2">
      <c r="B136" s="108" t="s">
        <v>209</v>
      </c>
      <c r="C136" s="108" t="s">
        <v>210</v>
      </c>
      <c r="D136" s="108" t="s">
        <v>211</v>
      </c>
      <c r="E136" s="97"/>
      <c r="F136" s="62"/>
    </row>
    <row r="137" spans="2:6" x14ac:dyDescent="0.2">
      <c r="B137" s="109"/>
      <c r="C137" s="109"/>
      <c r="D137" s="109"/>
      <c r="E137" s="97"/>
      <c r="F137" s="62"/>
    </row>
    <row r="138" spans="2:6" x14ac:dyDescent="0.2">
      <c r="B138" s="110" t="s">
        <v>183</v>
      </c>
      <c r="C138" s="110"/>
      <c r="D138" s="110"/>
      <c r="E138" s="92"/>
      <c r="F138" s="62"/>
    </row>
    <row r="139" spans="2:6" x14ac:dyDescent="0.2">
      <c r="B139" s="99"/>
      <c r="C139" s="99"/>
      <c r="D139" s="99"/>
      <c r="E139" s="92"/>
      <c r="F139" s="62"/>
    </row>
    <row r="140" spans="2:6" ht="10.5" x14ac:dyDescent="0.2">
      <c r="B140" s="93" t="s">
        <v>225</v>
      </c>
      <c r="C140" s="99"/>
      <c r="D140" s="99"/>
      <c r="E140" s="92"/>
      <c r="F140" s="62"/>
    </row>
    <row r="141" spans="2:6" x14ac:dyDescent="0.2">
      <c r="B141" s="99"/>
      <c r="C141" s="99"/>
      <c r="D141" s="99"/>
      <c r="E141" s="92"/>
      <c r="F141" s="62"/>
    </row>
    <row r="142" spans="2:6" ht="21" x14ac:dyDescent="0.2">
      <c r="B142" s="75" t="s">
        <v>193</v>
      </c>
      <c r="C142" s="75" t="s">
        <v>212</v>
      </c>
      <c r="D142" s="75" t="s">
        <v>213</v>
      </c>
      <c r="E142" s="75" t="s">
        <v>214</v>
      </c>
      <c r="F142" s="75" t="s">
        <v>215</v>
      </c>
    </row>
    <row r="143" spans="2:6" x14ac:dyDescent="0.2">
      <c r="B143" s="107" t="s">
        <v>183</v>
      </c>
      <c r="C143" s="107"/>
      <c r="D143" s="107"/>
      <c r="E143" s="107"/>
      <c r="F143" s="107"/>
    </row>
    <row r="144" spans="2:6" x14ac:dyDescent="0.2">
      <c r="B144" s="100" t="s">
        <v>216</v>
      </c>
      <c r="C144" s="99"/>
      <c r="D144" s="99"/>
      <c r="E144" s="92"/>
      <c r="F144" s="62"/>
    </row>
    <row r="145" spans="2:8" x14ac:dyDescent="0.2">
      <c r="B145" s="99"/>
      <c r="C145" s="99"/>
      <c r="D145" s="99"/>
      <c r="E145" s="92"/>
      <c r="F145" s="62"/>
    </row>
    <row r="146" spans="2:8" x14ac:dyDescent="0.2">
      <c r="B146" s="97" t="s">
        <v>226</v>
      </c>
      <c r="C146" s="98"/>
      <c r="D146" s="98"/>
      <c r="E146" s="92"/>
      <c r="F146" s="62"/>
    </row>
    <row r="147" spans="2:8" x14ac:dyDescent="0.2">
      <c r="B147" s="97"/>
      <c r="C147" s="98"/>
      <c r="D147" s="98"/>
      <c r="E147" s="92"/>
      <c r="F147" s="62"/>
    </row>
    <row r="148" spans="2:8" x14ac:dyDescent="0.2">
      <c r="B148" s="108" t="s">
        <v>209</v>
      </c>
      <c r="C148" s="108" t="s">
        <v>210</v>
      </c>
      <c r="D148" s="108" t="s">
        <v>211</v>
      </c>
      <c r="E148" s="92"/>
      <c r="F148" s="62"/>
    </row>
    <row r="149" spans="2:8" x14ac:dyDescent="0.2">
      <c r="B149" s="109"/>
      <c r="C149" s="109"/>
      <c r="D149" s="109"/>
      <c r="E149" s="92"/>
      <c r="F149" s="62"/>
    </row>
    <row r="150" spans="2:8" x14ac:dyDescent="0.2">
      <c r="B150" s="110" t="s">
        <v>183</v>
      </c>
      <c r="C150" s="110"/>
      <c r="D150" s="110"/>
      <c r="E150" s="92"/>
      <c r="F150" s="62"/>
    </row>
    <row r="151" spans="2:8" x14ac:dyDescent="0.2">
      <c r="B151" s="99"/>
      <c r="C151" s="99"/>
      <c r="D151" s="99"/>
      <c r="E151" s="92"/>
      <c r="F151" s="62"/>
    </row>
    <row r="152" spans="2:8" ht="10.5" x14ac:dyDescent="0.2">
      <c r="B152" s="101" t="s">
        <v>227</v>
      </c>
      <c r="C152" s="99"/>
      <c r="D152" s="99"/>
      <c r="E152" s="92"/>
      <c r="F152" s="62"/>
    </row>
    <row r="153" spans="2:8" x14ac:dyDescent="0.2">
      <c r="B153" s="69"/>
      <c r="E153" s="8"/>
    </row>
    <row r="154" spans="2:8" x14ac:dyDescent="0.2">
      <c r="B154" s="66" t="s">
        <v>228</v>
      </c>
      <c r="E154" s="8"/>
    </row>
    <row r="155" spans="2:8" x14ac:dyDescent="0.2">
      <c r="B155" s="106" t="s">
        <v>232</v>
      </c>
      <c r="E155" s="8"/>
    </row>
    <row r="156" spans="2:8" x14ac:dyDescent="0.2">
      <c r="B156" s="8" t="s">
        <v>229</v>
      </c>
      <c r="E156" s="8"/>
    </row>
    <row r="158" spans="2:8" ht="10.5" x14ac:dyDescent="0.25">
      <c r="B158" s="18" t="s">
        <v>181</v>
      </c>
      <c r="E158" s="8"/>
      <c r="G158" s="62"/>
      <c r="H158" s="8"/>
    </row>
    <row r="159" spans="2:8" x14ac:dyDescent="0.2">
      <c r="E159" s="8"/>
      <c r="G159" s="62"/>
      <c r="H159" s="8"/>
    </row>
    <row r="160" spans="2:8" x14ac:dyDescent="0.2">
      <c r="E160" s="8"/>
      <c r="G160" s="62"/>
      <c r="H160" s="8"/>
    </row>
    <row r="161" spans="5:8" x14ac:dyDescent="0.2">
      <c r="E161" s="8"/>
      <c r="G161" s="62"/>
      <c r="H161" s="8"/>
    </row>
    <row r="162" spans="5:8" x14ac:dyDescent="0.2">
      <c r="E162" s="8"/>
      <c r="G162" s="62"/>
      <c r="H162" s="8"/>
    </row>
    <row r="163" spans="5:8" x14ac:dyDescent="0.2">
      <c r="E163" s="8"/>
      <c r="G163" s="62"/>
      <c r="H163" s="8"/>
    </row>
    <row r="164" spans="5:8" x14ac:dyDescent="0.2">
      <c r="E164" s="8"/>
      <c r="G164" s="62"/>
      <c r="H164" s="8"/>
    </row>
    <row r="165" spans="5:8" x14ac:dyDescent="0.2">
      <c r="E165" s="8"/>
      <c r="G165" s="62"/>
      <c r="H165" s="8"/>
    </row>
    <row r="166" spans="5:8" x14ac:dyDescent="0.2">
      <c r="E166" s="8"/>
      <c r="G166" s="62"/>
      <c r="H166" s="8"/>
    </row>
    <row r="167" spans="5:8" x14ac:dyDescent="0.2">
      <c r="E167" s="8"/>
      <c r="G167" s="62"/>
      <c r="H167" s="8"/>
    </row>
    <row r="168" spans="5:8" x14ac:dyDescent="0.2">
      <c r="E168" s="8"/>
      <c r="G168" s="62"/>
      <c r="H168" s="8"/>
    </row>
    <row r="169" spans="5:8" x14ac:dyDescent="0.2">
      <c r="E169" s="8"/>
      <c r="G169" s="62"/>
      <c r="H169" s="8"/>
    </row>
    <row r="170" spans="5:8" x14ac:dyDescent="0.2">
      <c r="E170" s="8"/>
      <c r="G170" s="62"/>
      <c r="H170" s="8"/>
    </row>
    <row r="171" spans="5:8" x14ac:dyDescent="0.2">
      <c r="E171" s="8"/>
      <c r="G171" s="62"/>
      <c r="H171" s="8"/>
    </row>
    <row r="172" spans="5:8" x14ac:dyDescent="0.2">
      <c r="E172" s="8"/>
      <c r="G172" s="62"/>
      <c r="H172" s="8"/>
    </row>
    <row r="173" spans="5:8" x14ac:dyDescent="0.2">
      <c r="E173" s="8"/>
      <c r="G173" s="62"/>
      <c r="H173" s="8"/>
    </row>
    <row r="174" spans="5:8" x14ac:dyDescent="0.2">
      <c r="E174" s="8"/>
      <c r="G174" s="62"/>
      <c r="H174" s="8"/>
    </row>
    <row r="175" spans="5:8" x14ac:dyDescent="0.2">
      <c r="E175" s="8"/>
      <c r="G175" s="62"/>
      <c r="H175" s="8"/>
    </row>
    <row r="176" spans="5:8" x14ac:dyDescent="0.2">
      <c r="E176" s="8"/>
      <c r="G176" s="62"/>
      <c r="H176" s="8"/>
    </row>
    <row r="177" spans="2:8" x14ac:dyDescent="0.2">
      <c r="E177" s="8"/>
      <c r="G177" s="62"/>
      <c r="H177" s="8"/>
    </row>
    <row r="178" spans="2:8" x14ac:dyDescent="0.2">
      <c r="E178" s="8"/>
      <c r="G178" s="62"/>
      <c r="H178" s="8"/>
    </row>
    <row r="179" spans="2:8" x14ac:dyDescent="0.2">
      <c r="E179" s="8"/>
      <c r="G179" s="62"/>
      <c r="H179" s="8"/>
    </row>
    <row r="180" spans="2:8" ht="10.5" x14ac:dyDescent="0.2">
      <c r="B180" s="63" t="s">
        <v>184</v>
      </c>
      <c r="E180" s="8"/>
      <c r="G180" s="62"/>
      <c r="H180" s="8"/>
    </row>
    <row r="181" spans="2:8" ht="10.5" x14ac:dyDescent="0.25">
      <c r="B181" s="64" t="s">
        <v>185</v>
      </c>
      <c r="E181" s="8"/>
      <c r="G181" s="62"/>
      <c r="H181" s="8"/>
    </row>
    <row r="182" spans="2:8" x14ac:dyDescent="0.2">
      <c r="E182" s="8"/>
      <c r="G182" s="62"/>
      <c r="H182" s="8"/>
    </row>
    <row r="183" spans="2:8" x14ac:dyDescent="0.2">
      <c r="E183" s="8"/>
      <c r="G183" s="62"/>
      <c r="H183" s="8"/>
    </row>
    <row r="184" spans="2:8" x14ac:dyDescent="0.2">
      <c r="E184" s="8"/>
      <c r="G184" s="62"/>
      <c r="H184" s="8"/>
    </row>
    <row r="185" spans="2:8" x14ac:dyDescent="0.2">
      <c r="E185" s="8"/>
      <c r="G185" s="62"/>
      <c r="H185" s="8"/>
    </row>
    <row r="186" spans="2:8" x14ac:dyDescent="0.2">
      <c r="E186" s="8"/>
      <c r="G186" s="62"/>
      <c r="H186" s="8"/>
    </row>
    <row r="187" spans="2:8" x14ac:dyDescent="0.2">
      <c r="E187" s="8"/>
      <c r="G187" s="62"/>
      <c r="H187" s="8"/>
    </row>
    <row r="188" spans="2:8" x14ac:dyDescent="0.2">
      <c r="E188" s="8"/>
      <c r="G188" s="62"/>
      <c r="H188" s="8"/>
    </row>
    <row r="189" spans="2:8" x14ac:dyDescent="0.2">
      <c r="E189" s="8"/>
      <c r="G189" s="62"/>
      <c r="H189" s="8"/>
    </row>
    <row r="190" spans="2:8" x14ac:dyDescent="0.2">
      <c r="E190" s="8"/>
      <c r="G190" s="62"/>
      <c r="H190" s="8"/>
    </row>
    <row r="191" spans="2:8" x14ac:dyDescent="0.2">
      <c r="E191" s="8"/>
      <c r="G191" s="62"/>
      <c r="H191" s="8"/>
    </row>
    <row r="192" spans="2:8" x14ac:dyDescent="0.2">
      <c r="E192" s="8"/>
      <c r="G192" s="62"/>
      <c r="H192" s="8"/>
    </row>
    <row r="193" spans="5:8" x14ac:dyDescent="0.2">
      <c r="E193" s="8"/>
      <c r="G193" s="62"/>
      <c r="H193" s="8"/>
    </row>
    <row r="194" spans="5:8" x14ac:dyDescent="0.2">
      <c r="E194" s="8"/>
      <c r="G194" s="62"/>
      <c r="H194" s="8"/>
    </row>
    <row r="195" spans="5:8" x14ac:dyDescent="0.2">
      <c r="E195" s="8"/>
      <c r="G195" s="62"/>
      <c r="H195" s="8"/>
    </row>
    <row r="196" spans="5:8" x14ac:dyDescent="0.2">
      <c r="E196" s="8"/>
      <c r="G196" s="62"/>
      <c r="H196" s="8"/>
    </row>
    <row r="197" spans="5:8" x14ac:dyDescent="0.2">
      <c r="E197" s="8"/>
      <c r="G197" s="62"/>
      <c r="H197" s="8"/>
    </row>
    <row r="198" spans="5:8" x14ac:dyDescent="0.2">
      <c r="E198" s="8"/>
      <c r="G198" s="62"/>
      <c r="H198" s="8"/>
    </row>
    <row r="199" spans="5:8" x14ac:dyDescent="0.2">
      <c r="E199" s="8"/>
      <c r="G199" s="62"/>
      <c r="H199" s="8"/>
    </row>
    <row r="200" spans="5:8" x14ac:dyDescent="0.2">
      <c r="E200" s="8"/>
      <c r="G200" s="62"/>
      <c r="H200" s="8"/>
    </row>
    <row r="201" spans="5:8" x14ac:dyDescent="0.2">
      <c r="E201" s="8"/>
      <c r="G201" s="62"/>
      <c r="H201" s="8"/>
    </row>
    <row r="202" spans="5:8" x14ac:dyDescent="0.2">
      <c r="E202" s="8"/>
      <c r="G202" s="62"/>
      <c r="H202" s="8"/>
    </row>
  </sheetData>
  <mergeCells count="23">
    <mergeCell ref="B1:C1"/>
    <mergeCell ref="B108:F108"/>
    <mergeCell ref="B112:B113"/>
    <mergeCell ref="C112:C113"/>
    <mergeCell ref="D112:D113"/>
    <mergeCell ref="E112:E113"/>
    <mergeCell ref="F112:F113"/>
    <mergeCell ref="B114:F114"/>
    <mergeCell ref="B124:B125"/>
    <mergeCell ref="C124:C125"/>
    <mergeCell ref="D124:D125"/>
    <mergeCell ref="E124:E125"/>
    <mergeCell ref="F124:F125"/>
    <mergeCell ref="B131:E131"/>
    <mergeCell ref="B136:B137"/>
    <mergeCell ref="C136:C137"/>
    <mergeCell ref="D136:D137"/>
    <mergeCell ref="B138:D138"/>
    <mergeCell ref="B143:F143"/>
    <mergeCell ref="B148:B149"/>
    <mergeCell ref="C148:C149"/>
    <mergeCell ref="D148:D149"/>
    <mergeCell ref="B150:D150"/>
  </mergeCells>
  <conditionalFormatting sqref="G1:G3 G5:G202">
    <cfRule type="cellIs" dxfId="0" priority="2" stopIfTrue="1" operator="between">
      <formula>0.009</formula>
      <formula>-0.009</formula>
    </cfRule>
  </conditionalFormatting>
  <hyperlinks>
    <hyperlink ref="A2" location="Index!A1" display="-" xr:uid="{B31CF067-8C7E-4C71-B387-F507A1A937C7}"/>
  </hyperlinks>
  <pageMargins left="0.7" right="0.7" top="0.75" bottom="0.75" header="0.3" footer="0.3"/>
  <pageSetup paperSize="9" scale="49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JBLARGE</vt:lpstr>
      <vt:lpstr>JBLARGE!Print_Area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2026-06-09T07:15:38Z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