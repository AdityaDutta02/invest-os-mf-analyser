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062B3F5E-CC0A-4101-B4FB-C6DA74DD8351}" xr6:coauthVersionLast="47" xr6:coauthVersionMax="47" xr10:uidLastSave="{00000000-0000-0000-0000-000000000000}"/>
  <bookViews>
    <workbookView xWindow="16830" yWindow="10720" windowWidth="2370" windowHeight="560" tabRatio="669" xr2:uid="{7291B499-DD8C-4F12-BA28-9EE7F24AB421}"/>
  </bookViews>
  <sheets>
    <sheet name="JBN50" sheetId="10" r:id="rId1"/>
  </sheets>
  <definedNames>
    <definedName name="_xlnm.Print_Area" localSheetId="0">'JBN50'!$B$1:$H$119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0" l="1"/>
  <c r="G63" i="10" s="1"/>
  <c r="F57" i="10"/>
  <c r="F63" i="10" s="1"/>
  <c r="G60" i="10" l="1"/>
  <c r="F60" i="10"/>
</calcChain>
</file>

<file path=xl/sharedStrings.xml><?xml version="1.0" encoding="utf-8"?>
<sst xmlns="http://schemas.openxmlformats.org/spreadsheetml/2006/main" count="189" uniqueCount="160">
  <si>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</si>
  <si>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</si>
  <si>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</si>
  <si>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</si>
  <si>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</si>
  <si>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</si>
  <si>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April 30, 2026</t>
  </si>
  <si>
    <t>JioBlackRock Nifty 50 Index Fund</t>
  </si>
  <si>
    <t>Equity &amp; Equity related</t>
  </si>
  <si>
    <t>(a) Listed / awaiting listing on Stock Exchanges</t>
  </si>
  <si>
    <t>HDFC Bank Ltd</t>
  </si>
  <si>
    <t>INE040A01034</t>
  </si>
  <si>
    <t>Banks</t>
  </si>
  <si>
    <t>ICICI Bank Ltd</t>
  </si>
  <si>
    <t>INE090A01021</t>
  </si>
  <si>
    <t>Bharti Airtel Ltd</t>
  </si>
  <si>
    <t>INE397D01024</t>
  </si>
  <si>
    <t>Telecom - Services</t>
  </si>
  <si>
    <t>State Bank of India</t>
  </si>
  <si>
    <t>INE062A01020</t>
  </si>
  <si>
    <t>Mahindra &amp; Mahindra Ltd</t>
  </si>
  <si>
    <t>INE101A01026</t>
  </si>
  <si>
    <t>Automobiles</t>
  </si>
  <si>
    <t>Larsen &amp; Toubro Ltd</t>
  </si>
  <si>
    <t>INE018A01030</t>
  </si>
  <si>
    <t>Construction</t>
  </si>
  <si>
    <t>Reliance Industries Ltd</t>
  </si>
  <si>
    <t>INE002A01018</t>
  </si>
  <si>
    <t>Petroleum Products</t>
  </si>
  <si>
    <t>NTPC Ltd</t>
  </si>
  <si>
    <t>INE733E01010</t>
  </si>
  <si>
    <t>Power</t>
  </si>
  <si>
    <t>Infosys Ltd</t>
  </si>
  <si>
    <t>INE009A01021</t>
  </si>
  <si>
    <t>IT - Software</t>
  </si>
  <si>
    <t>Food Products</t>
  </si>
  <si>
    <t>ITC Ltd</t>
  </si>
  <si>
    <t>INE154A01025</t>
  </si>
  <si>
    <t>Diversified FMCG</t>
  </si>
  <si>
    <t>Tata Steel Ltd</t>
  </si>
  <si>
    <t>INE081A01020</t>
  </si>
  <si>
    <t>Ferrous Metals</t>
  </si>
  <si>
    <t>Interglobe Aviation Ltd</t>
  </si>
  <si>
    <t>INE646L01027</t>
  </si>
  <si>
    <t>Transport Services</t>
  </si>
  <si>
    <t>Nestle India Ltd</t>
  </si>
  <si>
    <t>INE239A01024</t>
  </si>
  <si>
    <t>Tata Consultancy Services Ltd</t>
  </si>
  <si>
    <t>INE467B01029</t>
  </si>
  <si>
    <t>Axis Bank Ltd</t>
  </si>
  <si>
    <t>INE238A01034</t>
  </si>
  <si>
    <t>Kotak Mahindra Bank Ltd</t>
  </si>
  <si>
    <t>INE237A01036</t>
  </si>
  <si>
    <t>Eternal Ltd</t>
  </si>
  <si>
    <t>INE758T01015</t>
  </si>
  <si>
    <t>Retailing</t>
  </si>
  <si>
    <t>Titan Co Ltd</t>
  </si>
  <si>
    <t>INE280A01028</t>
  </si>
  <si>
    <t>Consumer Durables</t>
  </si>
  <si>
    <t>Sun Pharmaceutical Industries Ltd</t>
  </si>
  <si>
    <t>INE044A01036</t>
  </si>
  <si>
    <t>Pharmaceuticals &amp; Biotechnology</t>
  </si>
  <si>
    <t>Oil &amp; Natural Gas Corporation Ltd</t>
  </si>
  <si>
    <t>INE213A01029</t>
  </si>
  <si>
    <t>Oil</t>
  </si>
  <si>
    <t>SBI Life Insurance Co Ltd</t>
  </si>
  <si>
    <t>INE123W01016</t>
  </si>
  <si>
    <t>Insurance</t>
  </si>
  <si>
    <t>Tech Mahindra Ltd</t>
  </si>
  <si>
    <t>INE669C01036</t>
  </si>
  <si>
    <t>JSW Steel Ltd</t>
  </si>
  <si>
    <t>INE019A01038</t>
  </si>
  <si>
    <t>Ultratech Cement Ltd</t>
  </si>
  <si>
    <t>INE481G01011</t>
  </si>
  <si>
    <t>Cement &amp; Cement Products</t>
  </si>
  <si>
    <t>Metals &amp; Minerals Trading</t>
  </si>
  <si>
    <t>Dr. Reddy's Laboratories Ltd</t>
  </si>
  <si>
    <t>INE089A01031</t>
  </si>
  <si>
    <t>Power Grid Corporation of India Ltd</t>
  </si>
  <si>
    <t>INE752E01010</t>
  </si>
  <si>
    <t>Asian Paints Ltd</t>
  </si>
  <si>
    <t>INE021A01026</t>
  </si>
  <si>
    <t>Adani Enterprises Ltd</t>
  </si>
  <si>
    <t>INE423A01024</t>
  </si>
  <si>
    <t>Eicher Motors Ltd</t>
  </si>
  <si>
    <t>INE066A01021</t>
  </si>
  <si>
    <t>Finance</t>
  </si>
  <si>
    <t>Sub Total</t>
  </si>
  <si>
    <t xml:space="preserve">(b) Unlisted </t>
  </si>
  <si>
    <t>NIL</t>
  </si>
  <si>
    <t>Total</t>
  </si>
  <si>
    <t>TREPS</t>
  </si>
  <si>
    <t>Grand Total</t>
  </si>
  <si>
    <t>Net Receivables / (Payables)</t>
  </si>
  <si>
    <t>Industry Classification</t>
  </si>
  <si>
    <t>Notes</t>
  </si>
  <si>
    <t xml:space="preserve">Scheme Risk-O-Meter </t>
  </si>
  <si>
    <t>Bajaj Finance Ltd</t>
  </si>
  <si>
    <t>INE296A01032</t>
  </si>
  <si>
    <t>Hindustan Unilever Ltd</t>
  </si>
  <si>
    <t>INE030A01027</t>
  </si>
  <si>
    <t>Maruti Suzuki India Ltd</t>
  </si>
  <si>
    <t>INE585B01010</t>
  </si>
  <si>
    <t>Bharat Electronics Ltd</t>
  </si>
  <si>
    <t>INE263A01024</t>
  </si>
  <si>
    <t>Aerospace &amp; Defense</t>
  </si>
  <si>
    <t>Hindalco Industries Ltd</t>
  </si>
  <si>
    <t>INE038A01020</t>
  </si>
  <si>
    <t>Non - Ferrous Metals</t>
  </si>
  <si>
    <t>Shriram Finance Ltd</t>
  </si>
  <si>
    <t>INE721A01047</t>
  </si>
  <si>
    <t>HCL Technologies Ltd</t>
  </si>
  <si>
    <t>INE860A01027</t>
  </si>
  <si>
    <t>Adani Ports and Special Economic Zone Ltd</t>
  </si>
  <si>
    <t>INE742F01042</t>
  </si>
  <si>
    <t>Transport Infrastructure</t>
  </si>
  <si>
    <t>Bajaj Auto Ltd</t>
  </si>
  <si>
    <t>INE917I01010</t>
  </si>
  <si>
    <t>Coal India Ltd</t>
  </si>
  <si>
    <t>INE522F01014</t>
  </si>
  <si>
    <t>Consumable Fuels</t>
  </si>
  <si>
    <t>Grasim Industries Ltd</t>
  </si>
  <si>
    <t>INE047A01021</t>
  </si>
  <si>
    <t>Bajaj Finserv Ltd</t>
  </si>
  <si>
    <t>INE918I01026</t>
  </si>
  <si>
    <t>Trent Ltd</t>
  </si>
  <si>
    <t>INE849A01020</t>
  </si>
  <si>
    <t>Jio Financial Services Ltd</t>
  </si>
  <si>
    <t>INE758E01017</t>
  </si>
  <si>
    <t>Apollo Hospitals Enterprise Ltd</t>
  </si>
  <si>
    <t>INE437A01024</t>
  </si>
  <si>
    <t>Healthcare Services</t>
  </si>
  <si>
    <t>Tata Consumer Products Ltd</t>
  </si>
  <si>
    <t>INE192A01025</t>
  </si>
  <si>
    <t>Agricultural Food &amp; Other Products</t>
  </si>
  <si>
    <t>Max Healthcare Institute Ltd</t>
  </si>
  <si>
    <t>INE027H01010</t>
  </si>
  <si>
    <t>Cipla Ltd</t>
  </si>
  <si>
    <t>INE059A01026</t>
  </si>
  <si>
    <t>Tata Motors Passenger Vehicles Ltd</t>
  </si>
  <si>
    <t>INE155A01022</t>
  </si>
  <si>
    <t>HDFC Life Insurance Co Ltd</t>
  </si>
  <si>
    <t>INE795G01014</t>
  </si>
  <si>
    <t>Wipro Ltd</t>
  </si>
  <si>
    <t>INE075A01022</t>
  </si>
  <si>
    <t>Benchmark Risk-O-Meter</t>
  </si>
  <si>
    <t>Benchmark Name - NIFTY 50 Index (TRI)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</si>
  <si>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</si>
  <si>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</si>
  <si>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</si>
  <si>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</si>
  <si>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</si>
  <si>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</si>
  <si>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</si>
  <si>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As on March 31, 2026</t>
  </si>
  <si>
    <t>(4) There was no distribution (of income and capital) during the month ended April 30, 2026.</t>
  </si>
  <si>
    <t>(5) Total outstanding exposure in derivative instruments as on April 30, 2026 is Rs. Nil.</t>
  </si>
  <si>
    <t>(6) Total market value of investments in foreign securities/ American Depository Receipts/ Global Depository Receipts as at April 30, 2026 is Rs. Nil.</t>
  </si>
  <si>
    <t>(8) Repo transactions in corporate debt securities as on April 30, 2026 is Rs. Nil.</t>
  </si>
  <si>
    <t>(7) During the period, the portfolio turnover ratio is 0.13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</si>
</sst>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39" fontId="6" fillId="3" borderId="0" xfId="0" applyNumberFormat="1" applyFont="1" applyFill="1"/>
    <xf numFmtId="0" fontId="5" fillId="2" borderId="0" xfId="0" applyFont="1" applyFill="1"/>
    <xf numFmtId="165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165" fontId="6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0" fontId="5" fillId="2" borderId="5" xfId="0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3" xfId="0" applyFont="1" applyFill="1" applyBorder="1"/>
    <xf numFmtId="0" fontId="9" fillId="2" borderId="0" xfId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6" fillId="2" borderId="0" xfId="0" applyFont="1" applyFill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85</xdr:row>
      <xdr:rowOff>9525</xdr:rowOff>
    </xdr:from>
    <xdr:to>
      <xdr:col>2</xdr:col>
      <xdr:colOff>846138</xdr:colOff>
      <xdr:row>99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688EA2-F8F6-4D2A-8C12-A849F561F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75" y="9064625"/>
          <a:ext cx="4035425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102</xdr:row>
      <xdr:rowOff>9524</xdr:rowOff>
    </xdr:from>
    <xdr:to>
      <xdr:col>2</xdr:col>
      <xdr:colOff>960438</xdr:colOff>
      <xdr:row>118</xdr:row>
      <xdr:rowOff>12699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322345-06C2-4887-B262-9AE4081E5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50" y="11236324"/>
          <a:ext cx="4006850" cy="2035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7FF1-22E4-4ACA-88EF-B1CFAC6C6B16}">
  <dimension ref="A1:I628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6.1796875" style="6" customWidth="1"/>
    <col min="4" max="4" width="23" style="6" bestFit="1" customWidth="1"/>
    <col min="5" max="5" width="13.54296875" style="6" bestFit="1" customWidth="1"/>
    <col min="6" max="6" width="12.7265625" style="8" bestFit="1" customWidth="1"/>
    <col min="7" max="7" width="6.7265625" style="12" bestFit="1" customWidth="1"/>
    <col min="8" max="8" width="11.81640625" style="6" bestFit="1" customWidth="1"/>
    <col min="9" max="16384" width="9.1796875" style="6"/>
  </cols>
  <sheetData>
    <row r="1" spans="1:9" s="1" customFormat="1" ht="16.75" customHeight="1" x14ac:dyDescent="0.35">
      <c r="B1" s="48" t="s">
        <v>7</v>
      </c>
      <c r="C1" s="49"/>
      <c r="D1" s="10"/>
      <c r="F1" s="5"/>
      <c r="G1" s="12"/>
    </row>
    <row r="2" spans="1:9" s="1" customFormat="1" ht="14.5" x14ac:dyDescent="0.35">
      <c r="A2" s="39" t="s">
        <v>147</v>
      </c>
      <c r="F2" s="5"/>
      <c r="G2" s="12"/>
    </row>
    <row r="3" spans="1:9" s="1" customFormat="1" ht="11.5" x14ac:dyDescent="0.25">
      <c r="B3" s="7" t="s">
        <v>6</v>
      </c>
      <c r="C3" s="2"/>
      <c r="D3" s="3"/>
      <c r="E3" s="3"/>
      <c r="F3" s="4"/>
      <c r="G3" s="12"/>
    </row>
    <row r="4" spans="1:9" s="1" customFormat="1" ht="25.5" customHeight="1" x14ac:dyDescent="0.25">
      <c r="B4" s="15" t="s">
        <v>4</v>
      </c>
      <c r="C4" s="15" t="s">
        <v>5</v>
      </c>
      <c r="D4" s="16" t="s">
        <v>94</v>
      </c>
      <c r="E4" s="16" t="s">
        <v>0</v>
      </c>
      <c r="F4" s="17" t="s">
        <v>1</v>
      </c>
      <c r="G4" s="18" t="s">
        <v>2</v>
      </c>
      <c r="H4" s="17" t="s">
        <v>3</v>
      </c>
      <c r="I4" s="9"/>
    </row>
    <row r="5" spans="1:9" ht="10.5" x14ac:dyDescent="0.25">
      <c r="B5" s="19" t="s">
        <v>8</v>
      </c>
      <c r="C5" s="20"/>
      <c r="D5" s="20"/>
      <c r="E5" s="20"/>
      <c r="F5" s="21"/>
      <c r="G5" s="22"/>
      <c r="H5" s="20"/>
    </row>
    <row r="6" spans="1:9" ht="10.5" x14ac:dyDescent="0.25">
      <c r="B6" s="19" t="s">
        <v>9</v>
      </c>
      <c r="C6" s="20"/>
      <c r="D6" s="20"/>
      <c r="E6" s="20"/>
      <c r="F6" s="21"/>
      <c r="G6" s="22"/>
      <c r="H6" s="20"/>
    </row>
    <row r="7" spans="1:9" x14ac:dyDescent="0.2">
      <c r="B7" s="20" t="s">
        <v>10</v>
      </c>
      <c r="C7" s="20" t="s">
        <v>11</v>
      </c>
      <c r="D7" s="20" t="s">
        <v>12</v>
      </c>
      <c r="E7" s="23">
        <v>333241</v>
      </c>
      <c r="F7" s="21">
        <v>2571.620797</v>
      </c>
      <c r="G7" s="22">
        <v>10.757250705364299</v>
      </c>
      <c r="H7" s="24"/>
    </row>
    <row r="8" spans="1:9" x14ac:dyDescent="0.2">
      <c r="B8" s="20" t="s">
        <v>26</v>
      </c>
      <c r="C8" s="20" t="s">
        <v>27</v>
      </c>
      <c r="D8" s="20" t="s">
        <v>28</v>
      </c>
      <c r="E8" s="23">
        <v>147070</v>
      </c>
      <c r="F8" s="21">
        <v>2104.27756</v>
      </c>
      <c r="G8" s="22">
        <v>8.8023247023819504</v>
      </c>
      <c r="H8" s="24"/>
    </row>
    <row r="9" spans="1:9" x14ac:dyDescent="0.2">
      <c r="B9" s="20" t="s">
        <v>13</v>
      </c>
      <c r="C9" s="20" t="s">
        <v>14</v>
      </c>
      <c r="D9" s="20" t="s">
        <v>12</v>
      </c>
      <c r="E9" s="23">
        <v>155667</v>
      </c>
      <c r="F9" s="21">
        <v>1966.696878</v>
      </c>
      <c r="G9" s="22">
        <v>8.2268161008744798</v>
      </c>
      <c r="H9" s="24"/>
    </row>
    <row r="10" spans="1:9" x14ac:dyDescent="0.2">
      <c r="B10" s="20" t="s">
        <v>15</v>
      </c>
      <c r="C10" s="20" t="s">
        <v>16</v>
      </c>
      <c r="D10" s="20" t="s">
        <v>17</v>
      </c>
      <c r="E10" s="23">
        <v>66833</v>
      </c>
      <c r="F10" s="21">
        <v>1261.005044</v>
      </c>
      <c r="G10" s="22">
        <v>5.2748630026874599</v>
      </c>
      <c r="H10" s="24"/>
    </row>
    <row r="11" spans="1:9" x14ac:dyDescent="0.2">
      <c r="B11" s="20" t="s">
        <v>23</v>
      </c>
      <c r="C11" s="20" t="s">
        <v>24</v>
      </c>
      <c r="D11" s="20" t="s">
        <v>25</v>
      </c>
      <c r="E11" s="23">
        <v>25565</v>
      </c>
      <c r="F11" s="21">
        <v>1026.1791000000001</v>
      </c>
      <c r="G11" s="22">
        <v>4.2925713854012999</v>
      </c>
      <c r="H11" s="24"/>
    </row>
    <row r="12" spans="1:9" x14ac:dyDescent="0.2">
      <c r="B12" s="20" t="s">
        <v>18</v>
      </c>
      <c r="C12" s="20" t="s">
        <v>19</v>
      </c>
      <c r="D12" s="20" t="s">
        <v>12</v>
      </c>
      <c r="E12" s="23">
        <v>90357</v>
      </c>
      <c r="F12" s="21">
        <v>965.41936650000002</v>
      </c>
      <c r="G12" s="22">
        <v>4.0384096183114204</v>
      </c>
      <c r="H12" s="24"/>
    </row>
    <row r="13" spans="1:9" x14ac:dyDescent="0.2">
      <c r="B13" s="20" t="s">
        <v>32</v>
      </c>
      <c r="C13" s="20" t="s">
        <v>33</v>
      </c>
      <c r="D13" s="20" t="s">
        <v>34</v>
      </c>
      <c r="E13" s="23">
        <v>76342</v>
      </c>
      <c r="F13" s="21">
        <v>902.20975599999997</v>
      </c>
      <c r="G13" s="22">
        <v>3.7739998624367699</v>
      </c>
      <c r="H13" s="24"/>
    </row>
    <row r="14" spans="1:9" x14ac:dyDescent="0.2">
      <c r="B14" s="20" t="s">
        <v>49</v>
      </c>
      <c r="C14" s="20" t="s">
        <v>50</v>
      </c>
      <c r="D14" s="20" t="s">
        <v>12</v>
      </c>
      <c r="E14" s="23">
        <v>62475</v>
      </c>
      <c r="F14" s="21">
        <v>792.37042499999995</v>
      </c>
      <c r="G14" s="22">
        <v>3.3145350679947301</v>
      </c>
      <c r="H14" s="24"/>
    </row>
    <row r="15" spans="1:9" x14ac:dyDescent="0.2">
      <c r="B15" s="20" t="s">
        <v>36</v>
      </c>
      <c r="C15" s="20" t="s">
        <v>37</v>
      </c>
      <c r="D15" s="20" t="s">
        <v>38</v>
      </c>
      <c r="E15" s="23">
        <v>209867</v>
      </c>
      <c r="F15" s="21">
        <v>660.87118299999997</v>
      </c>
      <c r="G15" s="22">
        <v>2.7644655105352598</v>
      </c>
      <c r="H15" s="24"/>
    </row>
    <row r="16" spans="1:9" x14ac:dyDescent="0.2">
      <c r="B16" s="20" t="s">
        <v>51</v>
      </c>
      <c r="C16" s="20" t="s">
        <v>52</v>
      </c>
      <c r="D16" s="20" t="s">
        <v>12</v>
      </c>
      <c r="E16" s="23">
        <v>160302</v>
      </c>
      <c r="F16" s="21">
        <v>614.43756599999995</v>
      </c>
      <c r="G16" s="22">
        <v>2.5702307851789499</v>
      </c>
      <c r="H16" s="24"/>
    </row>
    <row r="17" spans="2:8" x14ac:dyDescent="0.2">
      <c r="B17" s="20" t="s">
        <v>20</v>
      </c>
      <c r="C17" s="20" t="s">
        <v>21</v>
      </c>
      <c r="D17" s="20" t="s">
        <v>22</v>
      </c>
      <c r="E17" s="23">
        <v>19457</v>
      </c>
      <c r="F17" s="21">
        <v>602.68057499999998</v>
      </c>
      <c r="G17" s="22">
        <v>2.5210505561672498</v>
      </c>
      <c r="H17" s="24"/>
    </row>
    <row r="18" spans="2:8" x14ac:dyDescent="0.2">
      <c r="B18" s="20" t="s">
        <v>47</v>
      </c>
      <c r="C18" s="20" t="s">
        <v>48</v>
      </c>
      <c r="D18" s="20" t="s">
        <v>34</v>
      </c>
      <c r="E18" s="23">
        <v>22235</v>
      </c>
      <c r="F18" s="21">
        <v>550.07166500000005</v>
      </c>
      <c r="G18" s="22">
        <v>2.3009841937913702</v>
      </c>
      <c r="H18" s="24"/>
    </row>
    <row r="19" spans="2:8" x14ac:dyDescent="0.2">
      <c r="B19" s="20" t="s">
        <v>97</v>
      </c>
      <c r="C19" s="20" t="s">
        <v>98</v>
      </c>
      <c r="D19" s="20" t="s">
        <v>86</v>
      </c>
      <c r="E19" s="23">
        <v>58250</v>
      </c>
      <c r="F19" s="21">
        <v>545.80250000000001</v>
      </c>
      <c r="G19" s="22">
        <v>2.2831260094660801</v>
      </c>
      <c r="H19" s="24"/>
    </row>
    <row r="20" spans="2:8" x14ac:dyDescent="0.2">
      <c r="B20" s="20" t="s">
        <v>99</v>
      </c>
      <c r="C20" s="20" t="s">
        <v>100</v>
      </c>
      <c r="D20" s="20" t="s">
        <v>38</v>
      </c>
      <c r="E20" s="23">
        <v>19323</v>
      </c>
      <c r="F20" s="21">
        <v>434.94140700000003</v>
      </c>
      <c r="G20" s="22">
        <v>1.81938712064432</v>
      </c>
      <c r="H20" s="24"/>
    </row>
    <row r="21" spans="2:8" x14ac:dyDescent="0.2">
      <c r="B21" s="20" t="s">
        <v>59</v>
      </c>
      <c r="C21" s="20" t="s">
        <v>60</v>
      </c>
      <c r="D21" s="20" t="s">
        <v>61</v>
      </c>
      <c r="E21" s="23">
        <v>23055</v>
      </c>
      <c r="F21" s="21">
        <v>416.90356500000001</v>
      </c>
      <c r="G21" s="22">
        <v>1.7439336988940699</v>
      </c>
      <c r="H21" s="24"/>
    </row>
    <row r="22" spans="2:8" x14ac:dyDescent="0.2">
      <c r="B22" s="20" t="s">
        <v>29</v>
      </c>
      <c r="C22" s="20" t="s">
        <v>30</v>
      </c>
      <c r="D22" s="20" t="s">
        <v>31</v>
      </c>
      <c r="E22" s="23">
        <v>103228</v>
      </c>
      <c r="F22" s="21">
        <v>412.03456199999999</v>
      </c>
      <c r="G22" s="22">
        <v>1.7235663546817099</v>
      </c>
      <c r="H22" s="24"/>
    </row>
    <row r="23" spans="2:8" x14ac:dyDescent="0.2">
      <c r="B23" s="20" t="s">
        <v>56</v>
      </c>
      <c r="C23" s="20" t="s">
        <v>57</v>
      </c>
      <c r="D23" s="20" t="s">
        <v>58</v>
      </c>
      <c r="E23" s="23">
        <v>8985</v>
      </c>
      <c r="F23" s="21">
        <v>394.01022</v>
      </c>
      <c r="G23" s="22">
        <v>1.6481694042761901</v>
      </c>
      <c r="H23" s="24"/>
    </row>
    <row r="24" spans="2:8" x14ac:dyDescent="0.2">
      <c r="B24" s="20" t="s">
        <v>53</v>
      </c>
      <c r="C24" s="20" t="s">
        <v>54</v>
      </c>
      <c r="D24" s="20" t="s">
        <v>55</v>
      </c>
      <c r="E24" s="23">
        <v>156846</v>
      </c>
      <c r="F24" s="21">
        <v>387.45667379999998</v>
      </c>
      <c r="G24" s="22">
        <v>1.6207555104529501</v>
      </c>
      <c r="H24" s="24"/>
    </row>
    <row r="25" spans="2:8" x14ac:dyDescent="0.2">
      <c r="B25" s="20" t="s">
        <v>39</v>
      </c>
      <c r="C25" s="20" t="s">
        <v>40</v>
      </c>
      <c r="D25" s="20" t="s">
        <v>41</v>
      </c>
      <c r="E25" s="23">
        <v>179970</v>
      </c>
      <c r="F25" s="21">
        <v>380.384592</v>
      </c>
      <c r="G25" s="22">
        <v>1.5911725497690901</v>
      </c>
      <c r="H25" s="24"/>
    </row>
    <row r="26" spans="2:8" x14ac:dyDescent="0.2">
      <c r="B26" s="20" t="s">
        <v>101</v>
      </c>
      <c r="C26" s="20" t="s">
        <v>102</v>
      </c>
      <c r="D26" s="20" t="s">
        <v>22</v>
      </c>
      <c r="E26" s="23">
        <v>2857</v>
      </c>
      <c r="F26" s="21">
        <v>380.38098000000002</v>
      </c>
      <c r="G26" s="22">
        <v>1.5911574405470801</v>
      </c>
      <c r="H26" s="24"/>
    </row>
    <row r="27" spans="2:8" x14ac:dyDescent="0.2">
      <c r="B27" s="20" t="s">
        <v>103</v>
      </c>
      <c r="C27" s="20" t="s">
        <v>104</v>
      </c>
      <c r="D27" s="20" t="s">
        <v>105</v>
      </c>
      <c r="E27" s="23">
        <v>77989</v>
      </c>
      <c r="F27" s="21">
        <v>336.366557</v>
      </c>
      <c r="G27" s="22">
        <v>1.40704235506663</v>
      </c>
      <c r="H27" s="24"/>
    </row>
    <row r="28" spans="2:8" x14ac:dyDescent="0.2">
      <c r="B28" s="20" t="s">
        <v>106</v>
      </c>
      <c r="C28" s="20" t="s">
        <v>107</v>
      </c>
      <c r="D28" s="20" t="s">
        <v>108</v>
      </c>
      <c r="E28" s="23">
        <v>31517</v>
      </c>
      <c r="F28" s="21">
        <v>327.14645999999999</v>
      </c>
      <c r="G28" s="22">
        <v>1.36847411239552</v>
      </c>
      <c r="H28" s="24"/>
    </row>
    <row r="29" spans="2:8" x14ac:dyDescent="0.2">
      <c r="B29" s="20" t="s">
        <v>78</v>
      </c>
      <c r="C29" s="20" t="s">
        <v>79</v>
      </c>
      <c r="D29" s="20" t="s">
        <v>31</v>
      </c>
      <c r="E29" s="23">
        <v>98616</v>
      </c>
      <c r="F29" s="21">
        <v>313.94403599999998</v>
      </c>
      <c r="G29" s="22">
        <v>1.31324754670115</v>
      </c>
      <c r="H29" s="24"/>
    </row>
    <row r="30" spans="2:8" x14ac:dyDescent="0.2">
      <c r="B30" s="20" t="s">
        <v>72</v>
      </c>
      <c r="C30" s="20" t="s">
        <v>73</v>
      </c>
      <c r="D30" s="20" t="s">
        <v>74</v>
      </c>
      <c r="E30" s="23">
        <v>2579</v>
      </c>
      <c r="F30" s="21">
        <v>298.80293999999998</v>
      </c>
      <c r="G30" s="22">
        <v>1.24991139472416</v>
      </c>
      <c r="H30" s="24"/>
    </row>
    <row r="31" spans="2:8" x14ac:dyDescent="0.2">
      <c r="B31" s="20" t="s">
        <v>109</v>
      </c>
      <c r="C31" s="20" t="s">
        <v>110</v>
      </c>
      <c r="D31" s="20" t="s">
        <v>86</v>
      </c>
      <c r="E31" s="23">
        <v>30493</v>
      </c>
      <c r="F31" s="21">
        <v>285.82613550000002</v>
      </c>
      <c r="G31" s="22">
        <v>1.19562860951576</v>
      </c>
      <c r="H31" s="24"/>
    </row>
    <row r="32" spans="2:8" x14ac:dyDescent="0.2">
      <c r="B32" s="20" t="s">
        <v>111</v>
      </c>
      <c r="C32" s="20" t="s">
        <v>112</v>
      </c>
      <c r="D32" s="20" t="s">
        <v>34</v>
      </c>
      <c r="E32" s="23">
        <v>22977</v>
      </c>
      <c r="F32" s="21">
        <v>275.51720699999998</v>
      </c>
      <c r="G32" s="22">
        <v>1.1525057165497601</v>
      </c>
      <c r="H32" s="24"/>
    </row>
    <row r="33" spans="2:8" x14ac:dyDescent="0.2">
      <c r="B33" s="20" t="s">
        <v>113</v>
      </c>
      <c r="C33" s="20" t="s">
        <v>114</v>
      </c>
      <c r="D33" s="20" t="s">
        <v>115</v>
      </c>
      <c r="E33" s="23">
        <v>16063</v>
      </c>
      <c r="F33" s="21">
        <v>266.21209900000002</v>
      </c>
      <c r="G33" s="22">
        <v>1.11358186754634</v>
      </c>
      <c r="H33" s="24"/>
    </row>
    <row r="34" spans="2:8" x14ac:dyDescent="0.2">
      <c r="B34" s="20" t="s">
        <v>70</v>
      </c>
      <c r="C34" s="20" t="s">
        <v>71</v>
      </c>
      <c r="D34" s="20" t="s">
        <v>41</v>
      </c>
      <c r="E34" s="23">
        <v>20415</v>
      </c>
      <c r="F34" s="21">
        <v>258.14767499999999</v>
      </c>
      <c r="G34" s="22">
        <v>1.0798478773470199</v>
      </c>
      <c r="H34" s="24"/>
    </row>
    <row r="35" spans="2:8" x14ac:dyDescent="0.2">
      <c r="B35" s="20" t="s">
        <v>62</v>
      </c>
      <c r="C35" s="20" t="s">
        <v>63</v>
      </c>
      <c r="D35" s="20" t="s">
        <v>64</v>
      </c>
      <c r="E35" s="23">
        <v>84583</v>
      </c>
      <c r="F35" s="21">
        <v>253.36837650000001</v>
      </c>
      <c r="G35" s="22">
        <v>1.0598557726711499</v>
      </c>
      <c r="H35" s="24"/>
    </row>
    <row r="36" spans="2:8" x14ac:dyDescent="0.2">
      <c r="B36" s="20" t="s">
        <v>116</v>
      </c>
      <c r="C36" s="20" t="s">
        <v>117</v>
      </c>
      <c r="D36" s="20" t="s">
        <v>22</v>
      </c>
      <c r="E36" s="23">
        <v>2413</v>
      </c>
      <c r="F36" s="21">
        <v>241.15522000000001</v>
      </c>
      <c r="G36" s="22">
        <v>1.0087673748297501</v>
      </c>
      <c r="H36" s="24"/>
    </row>
    <row r="37" spans="2:8" x14ac:dyDescent="0.2">
      <c r="B37" s="20" t="s">
        <v>80</v>
      </c>
      <c r="C37" s="20" t="s">
        <v>81</v>
      </c>
      <c r="D37" s="20" t="s">
        <v>58</v>
      </c>
      <c r="E37" s="23">
        <v>9845</v>
      </c>
      <c r="F37" s="21">
        <v>240.661025</v>
      </c>
      <c r="G37" s="22">
        <v>1.0067001262219699</v>
      </c>
      <c r="H37" s="24"/>
    </row>
    <row r="38" spans="2:8" x14ac:dyDescent="0.2">
      <c r="B38" s="20" t="s">
        <v>118</v>
      </c>
      <c r="C38" s="20" t="s">
        <v>119</v>
      </c>
      <c r="D38" s="20" t="s">
        <v>120</v>
      </c>
      <c r="E38" s="23">
        <v>49436</v>
      </c>
      <c r="F38" s="21">
        <v>238.00962200000001</v>
      </c>
      <c r="G38" s="22">
        <v>0.99560914156932301</v>
      </c>
      <c r="H38" s="24"/>
    </row>
    <row r="39" spans="2:8" x14ac:dyDescent="0.2">
      <c r="B39" s="20" t="s">
        <v>121</v>
      </c>
      <c r="C39" s="20" t="s">
        <v>122</v>
      </c>
      <c r="D39" s="20" t="s">
        <v>74</v>
      </c>
      <c r="E39" s="23">
        <v>8290</v>
      </c>
      <c r="F39" s="21">
        <v>231.66405</v>
      </c>
      <c r="G39" s="22">
        <v>0.96906521683805202</v>
      </c>
      <c r="H39" s="24"/>
    </row>
    <row r="40" spans="2:8" x14ac:dyDescent="0.2">
      <c r="B40" s="20" t="s">
        <v>45</v>
      </c>
      <c r="C40" s="20" t="s">
        <v>46</v>
      </c>
      <c r="D40" s="20" t="s">
        <v>35</v>
      </c>
      <c r="E40" s="23">
        <v>15612</v>
      </c>
      <c r="F40" s="21">
        <v>227.716632</v>
      </c>
      <c r="G40" s="22">
        <v>0.95255292034612604</v>
      </c>
      <c r="H40" s="24"/>
    </row>
    <row r="41" spans="2:8" x14ac:dyDescent="0.2">
      <c r="B41" s="20" t="s">
        <v>123</v>
      </c>
      <c r="C41" s="20" t="s">
        <v>124</v>
      </c>
      <c r="D41" s="20" t="s">
        <v>86</v>
      </c>
      <c r="E41" s="23">
        <v>12567</v>
      </c>
      <c r="F41" s="21">
        <v>219.57062400000001</v>
      </c>
      <c r="G41" s="22">
        <v>0.91847765916993296</v>
      </c>
      <c r="H41" s="24"/>
    </row>
    <row r="42" spans="2:8" x14ac:dyDescent="0.2">
      <c r="B42" s="20" t="s">
        <v>84</v>
      </c>
      <c r="C42" s="20" t="s">
        <v>85</v>
      </c>
      <c r="D42" s="20" t="s">
        <v>22</v>
      </c>
      <c r="E42" s="23">
        <v>2997</v>
      </c>
      <c r="F42" s="21">
        <v>213.05672999999999</v>
      </c>
      <c r="G42" s="22">
        <v>0.89122963298041402</v>
      </c>
      <c r="H42" s="24"/>
    </row>
    <row r="43" spans="2:8" x14ac:dyDescent="0.2">
      <c r="B43" s="20" t="s">
        <v>42</v>
      </c>
      <c r="C43" s="20" t="s">
        <v>43</v>
      </c>
      <c r="D43" s="20" t="s">
        <v>44</v>
      </c>
      <c r="E43" s="23">
        <v>4926</v>
      </c>
      <c r="F43" s="21">
        <v>211.586478</v>
      </c>
      <c r="G43" s="22">
        <v>0.885079476867774</v>
      </c>
      <c r="H43" s="24"/>
    </row>
    <row r="44" spans="2:8" x14ac:dyDescent="0.2">
      <c r="B44" s="20" t="s">
        <v>68</v>
      </c>
      <c r="C44" s="20" t="s">
        <v>69</v>
      </c>
      <c r="D44" s="20" t="s">
        <v>34</v>
      </c>
      <c r="E44" s="23">
        <v>13823</v>
      </c>
      <c r="F44" s="21">
        <v>203.681905</v>
      </c>
      <c r="G44" s="22">
        <v>0.85201415340365705</v>
      </c>
      <c r="H44" s="24"/>
    </row>
    <row r="45" spans="2:8" x14ac:dyDescent="0.2">
      <c r="B45" s="20" t="s">
        <v>125</v>
      </c>
      <c r="C45" s="20" t="s">
        <v>126</v>
      </c>
      <c r="D45" s="20" t="s">
        <v>55</v>
      </c>
      <c r="E45" s="23">
        <v>4831</v>
      </c>
      <c r="F45" s="21">
        <v>200.22562600000001</v>
      </c>
      <c r="G45" s="22">
        <v>0.83755632208029096</v>
      </c>
      <c r="H45" s="24"/>
    </row>
    <row r="46" spans="2:8" x14ac:dyDescent="0.2">
      <c r="B46" s="20" t="s">
        <v>65</v>
      </c>
      <c r="C46" s="20" t="s">
        <v>66</v>
      </c>
      <c r="D46" s="20" t="s">
        <v>67</v>
      </c>
      <c r="E46" s="23">
        <v>9779</v>
      </c>
      <c r="F46" s="21">
        <v>177.88001</v>
      </c>
      <c r="G46" s="22">
        <v>0.74408321214191397</v>
      </c>
      <c r="H46" s="24"/>
    </row>
    <row r="47" spans="2:8" x14ac:dyDescent="0.2">
      <c r="B47" s="20" t="s">
        <v>127</v>
      </c>
      <c r="C47" s="20" t="s">
        <v>128</v>
      </c>
      <c r="D47" s="20" t="s">
        <v>86</v>
      </c>
      <c r="E47" s="23">
        <v>71410</v>
      </c>
      <c r="F47" s="21">
        <v>175.932817</v>
      </c>
      <c r="G47" s="22">
        <v>0.73593798198311</v>
      </c>
      <c r="H47" s="24"/>
    </row>
    <row r="48" spans="2:8" x14ac:dyDescent="0.2">
      <c r="B48" s="20" t="s">
        <v>76</v>
      </c>
      <c r="C48" s="20" t="s">
        <v>77</v>
      </c>
      <c r="D48" s="20" t="s">
        <v>61</v>
      </c>
      <c r="E48" s="23">
        <v>13269</v>
      </c>
      <c r="F48" s="21">
        <v>175.53560100000001</v>
      </c>
      <c r="G48" s="22">
        <v>0.73427640260050198</v>
      </c>
      <c r="H48" s="24"/>
    </row>
    <row r="49" spans="2:9" x14ac:dyDescent="0.2">
      <c r="B49" s="20" t="s">
        <v>129</v>
      </c>
      <c r="C49" s="20" t="s">
        <v>130</v>
      </c>
      <c r="D49" s="20" t="s">
        <v>131</v>
      </c>
      <c r="E49" s="23">
        <v>2241</v>
      </c>
      <c r="F49" s="21">
        <v>171.13396499999999</v>
      </c>
      <c r="G49" s="22">
        <v>0.71586408379323696</v>
      </c>
      <c r="H49" s="24"/>
    </row>
    <row r="50" spans="2:9" x14ac:dyDescent="0.2">
      <c r="B50" s="20" t="s">
        <v>132</v>
      </c>
      <c r="C50" s="20" t="s">
        <v>133</v>
      </c>
      <c r="D50" s="20" t="s">
        <v>134</v>
      </c>
      <c r="E50" s="23">
        <v>14178</v>
      </c>
      <c r="F50" s="21">
        <v>162.28138799999999</v>
      </c>
      <c r="G50" s="22">
        <v>0.67883320027859295</v>
      </c>
      <c r="H50" s="24"/>
    </row>
    <row r="51" spans="2:9" x14ac:dyDescent="0.2">
      <c r="B51" s="20" t="s">
        <v>135</v>
      </c>
      <c r="C51" s="20" t="s">
        <v>136</v>
      </c>
      <c r="D51" s="20" t="s">
        <v>131</v>
      </c>
      <c r="E51" s="23">
        <v>16202</v>
      </c>
      <c r="F51" s="21">
        <v>160.89396099999999</v>
      </c>
      <c r="G51" s="22">
        <v>0.67302950632348002</v>
      </c>
      <c r="H51" s="24"/>
    </row>
    <row r="52" spans="2:9" x14ac:dyDescent="0.2">
      <c r="B52" s="20" t="s">
        <v>137</v>
      </c>
      <c r="C52" s="20" t="s">
        <v>138</v>
      </c>
      <c r="D52" s="20" t="s">
        <v>61</v>
      </c>
      <c r="E52" s="23">
        <v>12250</v>
      </c>
      <c r="F52" s="21">
        <v>160.42599999999999</v>
      </c>
      <c r="G52" s="22">
        <v>0.67107199617921398</v>
      </c>
      <c r="H52" s="24"/>
    </row>
    <row r="53" spans="2:9" x14ac:dyDescent="0.2">
      <c r="B53" s="20" t="s">
        <v>139</v>
      </c>
      <c r="C53" s="20" t="s">
        <v>140</v>
      </c>
      <c r="D53" s="20" t="s">
        <v>22</v>
      </c>
      <c r="E53" s="23">
        <v>45602</v>
      </c>
      <c r="F53" s="21">
        <v>155.75363100000001</v>
      </c>
      <c r="G53" s="22">
        <v>0.65152718429263801</v>
      </c>
      <c r="H53" s="24"/>
    </row>
    <row r="54" spans="2:9" x14ac:dyDescent="0.2">
      <c r="B54" s="20" t="s">
        <v>82</v>
      </c>
      <c r="C54" s="20" t="s">
        <v>83</v>
      </c>
      <c r="D54" s="20" t="s">
        <v>75</v>
      </c>
      <c r="E54" s="23">
        <v>6240</v>
      </c>
      <c r="F54" s="21">
        <v>150.28416000000001</v>
      </c>
      <c r="G54" s="22">
        <v>0.62864804486377801</v>
      </c>
      <c r="H54" s="24"/>
    </row>
    <row r="55" spans="2:9" x14ac:dyDescent="0.2">
      <c r="B55" s="20" t="s">
        <v>141</v>
      </c>
      <c r="C55" s="20" t="s">
        <v>142</v>
      </c>
      <c r="D55" s="20" t="s">
        <v>67</v>
      </c>
      <c r="E55" s="23">
        <v>23415</v>
      </c>
      <c r="F55" s="21">
        <v>137.42263500000001</v>
      </c>
      <c r="G55" s="22">
        <v>0.574847481017152</v>
      </c>
      <c r="H55" s="24"/>
    </row>
    <row r="56" spans="2:9" x14ac:dyDescent="0.2">
      <c r="B56" s="20" t="s">
        <v>143</v>
      </c>
      <c r="C56" s="20" t="s">
        <v>144</v>
      </c>
      <c r="D56" s="20" t="s">
        <v>34</v>
      </c>
      <c r="E56" s="23">
        <v>62225</v>
      </c>
      <c r="F56" s="21">
        <v>124.8544625</v>
      </c>
      <c r="G56" s="22">
        <v>0.52227402903368403</v>
      </c>
      <c r="H56" s="24"/>
    </row>
    <row r="57" spans="2:9" ht="10.5" x14ac:dyDescent="0.25">
      <c r="B57" s="19" t="s">
        <v>87</v>
      </c>
      <c r="C57" s="19"/>
      <c r="D57" s="19"/>
      <c r="E57" s="19"/>
      <c r="F57" s="25">
        <f>SUM(F7:F56)</f>
        <v>23964.812443800009</v>
      </c>
      <c r="G57" s="26">
        <f>SUM(G7:G56)</f>
        <v>100.24630997918879</v>
      </c>
      <c r="H57" s="19"/>
      <c r="I57" s="13"/>
    </row>
    <row r="58" spans="2:9" ht="10.5" x14ac:dyDescent="0.25">
      <c r="B58" s="19" t="s">
        <v>88</v>
      </c>
      <c r="C58" s="19"/>
      <c r="D58" s="19"/>
      <c r="E58" s="19"/>
      <c r="F58" s="27" t="s">
        <v>89</v>
      </c>
      <c r="G58" s="28" t="s">
        <v>89</v>
      </c>
      <c r="H58" s="19"/>
      <c r="I58" s="13"/>
    </row>
    <row r="59" spans="2:9" ht="10.5" x14ac:dyDescent="0.25">
      <c r="B59" s="19" t="s">
        <v>87</v>
      </c>
      <c r="C59" s="19"/>
      <c r="D59" s="19"/>
      <c r="E59" s="19"/>
      <c r="F59" s="29" t="s">
        <v>89</v>
      </c>
      <c r="G59" s="30" t="s">
        <v>89</v>
      </c>
      <c r="H59" s="19"/>
      <c r="I59" s="13"/>
    </row>
    <row r="60" spans="2:9" ht="10.5" x14ac:dyDescent="0.25">
      <c r="B60" s="31" t="s">
        <v>90</v>
      </c>
      <c r="C60" s="31"/>
      <c r="D60" s="31"/>
      <c r="E60" s="31"/>
      <c r="F60" s="32">
        <f>F57</f>
        <v>23964.812443800009</v>
      </c>
      <c r="G60" s="33">
        <f>G57</f>
        <v>100.24630997918879</v>
      </c>
      <c r="H60" s="19"/>
      <c r="I60" s="13"/>
    </row>
    <row r="61" spans="2:9" ht="10.5" x14ac:dyDescent="0.25">
      <c r="B61" s="19" t="s">
        <v>91</v>
      </c>
      <c r="C61" s="19"/>
      <c r="D61" s="19"/>
      <c r="E61" s="19"/>
      <c r="F61" s="25">
        <v>156.44705909999999</v>
      </c>
      <c r="G61" s="26">
        <v>0.65442783742413702</v>
      </c>
      <c r="H61" s="24">
        <v>5.2499999999999998E-2</v>
      </c>
      <c r="I61" s="14"/>
    </row>
    <row r="62" spans="2:9" x14ac:dyDescent="0.2">
      <c r="B62" s="20"/>
      <c r="C62" s="20"/>
      <c r="D62" s="20"/>
      <c r="E62" s="20"/>
      <c r="F62" s="21"/>
      <c r="G62" s="22"/>
      <c r="H62" s="20"/>
    </row>
    <row r="63" spans="2:9" ht="10.5" x14ac:dyDescent="0.25">
      <c r="B63" s="38" t="s">
        <v>93</v>
      </c>
      <c r="C63" s="38"/>
      <c r="D63" s="38"/>
      <c r="E63" s="38"/>
      <c r="F63" s="25">
        <f>F64-(F57+F61)</f>
        <v>-215.32974970000942</v>
      </c>
      <c r="G63" s="26">
        <f>G64-(G57+G61)</f>
        <v>-0.9007378166129314</v>
      </c>
      <c r="H63" s="19"/>
      <c r="I63" s="13"/>
    </row>
    <row r="64" spans="2:9" ht="10.5" x14ac:dyDescent="0.25">
      <c r="B64" s="34" t="s">
        <v>92</v>
      </c>
      <c r="C64" s="34"/>
      <c r="D64" s="34"/>
      <c r="E64" s="34"/>
      <c r="F64" s="35">
        <v>23905.929753199998</v>
      </c>
      <c r="G64" s="36">
        <v>100</v>
      </c>
      <c r="H64" s="37"/>
      <c r="I64" s="13"/>
    </row>
    <row r="68" spans="2:4" ht="10.5" x14ac:dyDescent="0.2">
      <c r="B68" s="40" t="s">
        <v>95</v>
      </c>
    </row>
    <row r="69" spans="2:4" ht="10.5" x14ac:dyDescent="0.2">
      <c r="B69" s="40"/>
    </row>
    <row r="70" spans="2:4" x14ac:dyDescent="0.2">
      <c r="B70" s="42" t="s">
        <v>148</v>
      </c>
    </row>
    <row r="71" spans="2:4" x14ac:dyDescent="0.2">
      <c r="B71" s="42" t="s">
        <v>152</v>
      </c>
    </row>
    <row r="72" spans="2:4" x14ac:dyDescent="0.2">
      <c r="B72" s="42" t="s">
        <v>153</v>
      </c>
    </row>
    <row r="73" spans="2:4" ht="10.5" x14ac:dyDescent="0.2">
      <c r="B73" s="40"/>
    </row>
    <row r="74" spans="2:4" ht="10.5" x14ac:dyDescent="0.2">
      <c r="B74" s="46" t="s">
        <v>149</v>
      </c>
      <c r="C74" s="43" t="s">
        <v>154</v>
      </c>
      <c r="D74" s="43" t="s">
        <v>150</v>
      </c>
    </row>
    <row r="75" spans="2:4" x14ac:dyDescent="0.2">
      <c r="B75" s="44" t="s">
        <v>151</v>
      </c>
      <c r="C75" s="47">
        <v>8.9852000000000007</v>
      </c>
      <c r="D75" s="47">
        <v>9.6644000000000005</v>
      </c>
    </row>
    <row r="76" spans="2:4" ht="10.5" x14ac:dyDescent="0.2">
      <c r="B76" s="40"/>
    </row>
    <row r="77" spans="2:4" x14ac:dyDescent="0.2">
      <c r="B77" s="42" t="s">
        <v>155</v>
      </c>
    </row>
    <row r="78" spans="2:4" x14ac:dyDescent="0.2">
      <c r="B78" s="42" t="s">
        <v>156</v>
      </c>
    </row>
    <row r="79" spans="2:4" x14ac:dyDescent="0.2">
      <c r="B79" s="42" t="s">
        <v>157</v>
      </c>
    </row>
    <row r="80" spans="2:4" x14ac:dyDescent="0.2">
      <c r="B80" s="45" t="s">
        <v>159</v>
      </c>
    </row>
    <row r="81" spans="2:2" x14ac:dyDescent="0.2">
      <c r="B81" s="42" t="s">
        <v>158</v>
      </c>
    </row>
    <row r="82" spans="2:2" x14ac:dyDescent="0.2">
      <c r="B82" s="42"/>
    </row>
    <row r="84" spans="2:2" ht="10.5" x14ac:dyDescent="0.25">
      <c r="B84" s="13" t="s">
        <v>96</v>
      </c>
    </row>
    <row r="101" spans="2:2" ht="10.5" x14ac:dyDescent="0.2">
      <c r="B101" s="40" t="s">
        <v>145</v>
      </c>
    </row>
    <row r="102" spans="2:2" ht="10.5" x14ac:dyDescent="0.25">
      <c r="B102" s="41" t="s">
        <v>146</v>
      </c>
    </row>
    <row r="119" spans="8:8" x14ac:dyDescent="0.2">
      <c r="H119" s="11"/>
    </row>
    <row r="120" spans="8:8" x14ac:dyDescent="0.2">
      <c r="H120" s="11"/>
    </row>
    <row r="121" spans="8:8" x14ac:dyDescent="0.2">
      <c r="H121" s="11"/>
    </row>
    <row r="122" spans="8:8" x14ac:dyDescent="0.2">
      <c r="H122" s="11"/>
    </row>
    <row r="123" spans="8:8" x14ac:dyDescent="0.2">
      <c r="H123" s="11"/>
    </row>
    <row r="124" spans="8:8" x14ac:dyDescent="0.2">
      <c r="H124" s="11"/>
    </row>
    <row r="125" spans="8:8" x14ac:dyDescent="0.2">
      <c r="H125" s="11"/>
    </row>
    <row r="126" spans="8:8" x14ac:dyDescent="0.2">
      <c r="H126" s="11"/>
    </row>
    <row r="127" spans="8:8" x14ac:dyDescent="0.2">
      <c r="H127" s="11"/>
    </row>
    <row r="128" spans="8:8" x14ac:dyDescent="0.2">
      <c r="H128" s="11"/>
    </row>
    <row r="129" spans="8:8" x14ac:dyDescent="0.2">
      <c r="H129" s="11"/>
    </row>
    <row r="130" spans="8:8" x14ac:dyDescent="0.2">
      <c r="H130" s="11"/>
    </row>
    <row r="131" spans="8:8" x14ac:dyDescent="0.2">
      <c r="H131" s="11"/>
    </row>
    <row r="132" spans="8:8" x14ac:dyDescent="0.2">
      <c r="H132" s="11"/>
    </row>
    <row r="133" spans="8:8" x14ac:dyDescent="0.2">
      <c r="H133" s="11"/>
    </row>
    <row r="134" spans="8:8" x14ac:dyDescent="0.2">
      <c r="H134" s="11"/>
    </row>
    <row r="135" spans="8:8" x14ac:dyDescent="0.2">
      <c r="H135" s="11"/>
    </row>
    <row r="136" spans="8:8" x14ac:dyDescent="0.2">
      <c r="H136" s="11"/>
    </row>
    <row r="137" spans="8:8" x14ac:dyDescent="0.2">
      <c r="H137" s="11"/>
    </row>
    <row r="138" spans="8:8" x14ac:dyDescent="0.2">
      <c r="H138" s="11"/>
    </row>
    <row r="139" spans="8:8" x14ac:dyDescent="0.2">
      <c r="H139" s="11"/>
    </row>
    <row r="140" spans="8:8" x14ac:dyDescent="0.2">
      <c r="H140" s="11"/>
    </row>
    <row r="141" spans="8:8" x14ac:dyDescent="0.2">
      <c r="H141" s="11"/>
    </row>
    <row r="142" spans="8:8" x14ac:dyDescent="0.2">
      <c r="H142" s="11"/>
    </row>
    <row r="143" spans="8:8" x14ac:dyDescent="0.2">
      <c r="H143" s="11"/>
    </row>
    <row r="144" spans="8:8" x14ac:dyDescent="0.2">
      <c r="H144" s="11"/>
    </row>
    <row r="145" spans="8:8" x14ac:dyDescent="0.2">
      <c r="H145" s="11"/>
    </row>
    <row r="146" spans="8:8" x14ac:dyDescent="0.2">
      <c r="H146" s="11"/>
    </row>
    <row r="147" spans="8:8" x14ac:dyDescent="0.2">
      <c r="H147" s="11"/>
    </row>
    <row r="148" spans="8:8" x14ac:dyDescent="0.2">
      <c r="H148" s="11"/>
    </row>
    <row r="149" spans="8:8" x14ac:dyDescent="0.2">
      <c r="H149" s="11"/>
    </row>
    <row r="150" spans="8:8" x14ac:dyDescent="0.2">
      <c r="H150" s="11"/>
    </row>
    <row r="151" spans="8:8" x14ac:dyDescent="0.2">
      <c r="H151" s="11"/>
    </row>
    <row r="152" spans="8:8" x14ac:dyDescent="0.2">
      <c r="H152" s="11"/>
    </row>
    <row r="153" spans="8:8" x14ac:dyDescent="0.2">
      <c r="H153" s="11"/>
    </row>
    <row r="154" spans="8:8" x14ac:dyDescent="0.2">
      <c r="H154" s="11"/>
    </row>
    <row r="155" spans="8:8" x14ac:dyDescent="0.2">
      <c r="H155" s="11"/>
    </row>
    <row r="156" spans="8:8" x14ac:dyDescent="0.2">
      <c r="H156" s="11"/>
    </row>
    <row r="157" spans="8:8" x14ac:dyDescent="0.2">
      <c r="H157" s="11"/>
    </row>
    <row r="158" spans="8:8" x14ac:dyDescent="0.2">
      <c r="H158" s="11"/>
    </row>
    <row r="159" spans="8:8" x14ac:dyDescent="0.2">
      <c r="H159" s="11"/>
    </row>
    <row r="160" spans="8:8" x14ac:dyDescent="0.2">
      <c r="H160" s="11"/>
    </row>
    <row r="161" spans="8:8" x14ac:dyDescent="0.2">
      <c r="H161" s="11"/>
    </row>
    <row r="162" spans="8:8" x14ac:dyDescent="0.2">
      <c r="H162" s="11"/>
    </row>
    <row r="163" spans="8:8" x14ac:dyDescent="0.2">
      <c r="H163" s="11"/>
    </row>
    <row r="164" spans="8:8" x14ac:dyDescent="0.2">
      <c r="H164" s="11"/>
    </row>
    <row r="165" spans="8:8" x14ac:dyDescent="0.2">
      <c r="H165" s="11"/>
    </row>
    <row r="166" spans="8:8" x14ac:dyDescent="0.2">
      <c r="H166" s="11"/>
    </row>
    <row r="167" spans="8:8" x14ac:dyDescent="0.2">
      <c r="H167" s="11"/>
    </row>
    <row r="168" spans="8:8" x14ac:dyDescent="0.2">
      <c r="H168" s="11"/>
    </row>
    <row r="169" spans="8:8" x14ac:dyDescent="0.2">
      <c r="H169" s="11"/>
    </row>
    <row r="170" spans="8:8" x14ac:dyDescent="0.2">
      <c r="H170" s="11"/>
    </row>
    <row r="171" spans="8:8" x14ac:dyDescent="0.2">
      <c r="H171" s="11"/>
    </row>
    <row r="172" spans="8:8" x14ac:dyDescent="0.2">
      <c r="H172" s="11"/>
    </row>
    <row r="173" spans="8:8" x14ac:dyDescent="0.2">
      <c r="H173" s="11"/>
    </row>
    <row r="174" spans="8:8" x14ac:dyDescent="0.2">
      <c r="H174" s="11"/>
    </row>
    <row r="175" spans="8:8" x14ac:dyDescent="0.2">
      <c r="H175" s="11"/>
    </row>
    <row r="176" spans="8:8" x14ac:dyDescent="0.2">
      <c r="H176" s="11"/>
    </row>
    <row r="177" spans="8:8" x14ac:dyDescent="0.2">
      <c r="H177" s="11"/>
    </row>
    <row r="178" spans="8:8" x14ac:dyDescent="0.2">
      <c r="H178" s="11"/>
    </row>
    <row r="179" spans="8:8" x14ac:dyDescent="0.2">
      <c r="H179" s="11"/>
    </row>
    <row r="180" spans="8:8" x14ac:dyDescent="0.2">
      <c r="H180" s="11"/>
    </row>
    <row r="181" spans="8:8" x14ac:dyDescent="0.2">
      <c r="H181" s="11"/>
    </row>
    <row r="182" spans="8:8" x14ac:dyDescent="0.2">
      <c r="H182" s="11"/>
    </row>
    <row r="183" spans="8:8" x14ac:dyDescent="0.2">
      <c r="H183" s="11"/>
    </row>
    <row r="184" spans="8:8" x14ac:dyDescent="0.2">
      <c r="H184" s="11"/>
    </row>
    <row r="185" spans="8:8" x14ac:dyDescent="0.2">
      <c r="H185" s="11"/>
    </row>
    <row r="186" spans="8:8" x14ac:dyDescent="0.2">
      <c r="H186" s="11"/>
    </row>
    <row r="187" spans="8:8" x14ac:dyDescent="0.2">
      <c r="H187" s="11"/>
    </row>
    <row r="188" spans="8:8" x14ac:dyDescent="0.2">
      <c r="H188" s="11"/>
    </row>
    <row r="189" spans="8:8" x14ac:dyDescent="0.2">
      <c r="H189" s="11"/>
    </row>
    <row r="190" spans="8:8" x14ac:dyDescent="0.2">
      <c r="H190" s="11"/>
    </row>
    <row r="191" spans="8:8" x14ac:dyDescent="0.2">
      <c r="H191" s="11"/>
    </row>
    <row r="192" spans="8:8" x14ac:dyDescent="0.2">
      <c r="H192" s="11"/>
    </row>
    <row r="193" spans="8:8" x14ac:dyDescent="0.2">
      <c r="H193" s="11"/>
    </row>
    <row r="194" spans="8:8" x14ac:dyDescent="0.2">
      <c r="H194" s="11"/>
    </row>
    <row r="195" spans="8:8" x14ac:dyDescent="0.2">
      <c r="H195" s="11"/>
    </row>
    <row r="196" spans="8:8" x14ac:dyDescent="0.2">
      <c r="H196" s="11"/>
    </row>
    <row r="197" spans="8:8" x14ac:dyDescent="0.2">
      <c r="H197" s="11"/>
    </row>
    <row r="198" spans="8:8" x14ac:dyDescent="0.2">
      <c r="H198" s="11"/>
    </row>
    <row r="199" spans="8:8" x14ac:dyDescent="0.2">
      <c r="H199" s="11"/>
    </row>
    <row r="200" spans="8:8" x14ac:dyDescent="0.2">
      <c r="H200" s="11"/>
    </row>
    <row r="201" spans="8:8" x14ac:dyDescent="0.2">
      <c r="H201" s="11"/>
    </row>
    <row r="202" spans="8:8" x14ac:dyDescent="0.2">
      <c r="H202" s="11"/>
    </row>
    <row r="203" spans="8:8" x14ac:dyDescent="0.2">
      <c r="H203" s="11"/>
    </row>
    <row r="204" spans="8:8" x14ac:dyDescent="0.2">
      <c r="H204" s="11"/>
    </row>
    <row r="205" spans="8:8" x14ac:dyDescent="0.2">
      <c r="H205" s="11"/>
    </row>
    <row r="206" spans="8:8" x14ac:dyDescent="0.2">
      <c r="H206" s="11"/>
    </row>
    <row r="207" spans="8:8" x14ac:dyDescent="0.2">
      <c r="H207" s="11"/>
    </row>
    <row r="208" spans="8:8" x14ac:dyDescent="0.2">
      <c r="H208" s="11"/>
    </row>
    <row r="209" spans="8:8" x14ac:dyDescent="0.2">
      <c r="H209" s="11"/>
    </row>
    <row r="210" spans="8:8" x14ac:dyDescent="0.2">
      <c r="H210" s="11"/>
    </row>
    <row r="211" spans="8:8" x14ac:dyDescent="0.2">
      <c r="H211" s="11"/>
    </row>
    <row r="212" spans="8:8" x14ac:dyDescent="0.2">
      <c r="H212" s="11"/>
    </row>
    <row r="213" spans="8:8" x14ac:dyDescent="0.2">
      <c r="H213" s="11"/>
    </row>
    <row r="214" spans="8:8" x14ac:dyDescent="0.2">
      <c r="H214" s="11"/>
    </row>
    <row r="215" spans="8:8" x14ac:dyDescent="0.2">
      <c r="H215" s="11"/>
    </row>
    <row r="216" spans="8:8" x14ac:dyDescent="0.2">
      <c r="H216" s="11"/>
    </row>
    <row r="217" spans="8:8" x14ac:dyDescent="0.2">
      <c r="H217" s="11"/>
    </row>
    <row r="218" spans="8:8" x14ac:dyDescent="0.2">
      <c r="H218" s="11"/>
    </row>
    <row r="219" spans="8:8" x14ac:dyDescent="0.2">
      <c r="H219" s="11"/>
    </row>
    <row r="220" spans="8:8" x14ac:dyDescent="0.2">
      <c r="H220" s="11"/>
    </row>
    <row r="221" spans="8:8" x14ac:dyDescent="0.2">
      <c r="H221" s="11"/>
    </row>
    <row r="222" spans="8:8" x14ac:dyDescent="0.2">
      <c r="H222" s="11"/>
    </row>
    <row r="223" spans="8:8" x14ac:dyDescent="0.2">
      <c r="H223" s="11"/>
    </row>
    <row r="224" spans="8:8" x14ac:dyDescent="0.2">
      <c r="H224" s="11"/>
    </row>
    <row r="225" spans="8:8" x14ac:dyDescent="0.2">
      <c r="H225" s="11"/>
    </row>
    <row r="226" spans="8:8" x14ac:dyDescent="0.2">
      <c r="H226" s="11"/>
    </row>
    <row r="227" spans="8:8" x14ac:dyDescent="0.2">
      <c r="H227" s="11"/>
    </row>
    <row r="228" spans="8:8" x14ac:dyDescent="0.2">
      <c r="H228" s="11"/>
    </row>
    <row r="229" spans="8:8" x14ac:dyDescent="0.2">
      <c r="H229" s="11"/>
    </row>
    <row r="230" spans="8:8" x14ac:dyDescent="0.2">
      <c r="H230" s="11"/>
    </row>
    <row r="231" spans="8:8" x14ac:dyDescent="0.2">
      <c r="H231" s="11"/>
    </row>
    <row r="232" spans="8:8" x14ac:dyDescent="0.2">
      <c r="H232" s="11"/>
    </row>
    <row r="233" spans="8:8" x14ac:dyDescent="0.2">
      <c r="H233" s="11"/>
    </row>
    <row r="234" spans="8:8" x14ac:dyDescent="0.2">
      <c r="H234" s="11"/>
    </row>
    <row r="235" spans="8:8" x14ac:dyDescent="0.2">
      <c r="H235" s="11"/>
    </row>
    <row r="236" spans="8:8" x14ac:dyDescent="0.2">
      <c r="H236" s="11"/>
    </row>
    <row r="237" spans="8:8" x14ac:dyDescent="0.2">
      <c r="H237" s="11"/>
    </row>
    <row r="238" spans="8:8" x14ac:dyDescent="0.2">
      <c r="H238" s="11"/>
    </row>
    <row r="239" spans="8:8" x14ac:dyDescent="0.2">
      <c r="H239" s="11"/>
    </row>
    <row r="240" spans="8:8" x14ac:dyDescent="0.2">
      <c r="H240" s="11"/>
    </row>
    <row r="241" spans="8:8" x14ac:dyDescent="0.2">
      <c r="H241" s="11"/>
    </row>
    <row r="242" spans="8:8" x14ac:dyDescent="0.2">
      <c r="H242" s="11"/>
    </row>
    <row r="243" spans="8:8" x14ac:dyDescent="0.2">
      <c r="H243" s="11"/>
    </row>
    <row r="244" spans="8:8" x14ac:dyDescent="0.2">
      <c r="H244" s="11"/>
    </row>
    <row r="245" spans="8:8" x14ac:dyDescent="0.2">
      <c r="H245" s="11"/>
    </row>
    <row r="246" spans="8:8" x14ac:dyDescent="0.2">
      <c r="H246" s="11"/>
    </row>
    <row r="247" spans="8:8" x14ac:dyDescent="0.2">
      <c r="H247" s="11"/>
    </row>
    <row r="248" spans="8:8" x14ac:dyDescent="0.2">
      <c r="H248" s="11"/>
    </row>
    <row r="249" spans="8:8" x14ac:dyDescent="0.2">
      <c r="H249" s="11"/>
    </row>
    <row r="250" spans="8:8" x14ac:dyDescent="0.2">
      <c r="H250" s="11"/>
    </row>
    <row r="251" spans="8:8" x14ac:dyDescent="0.2">
      <c r="H251" s="11"/>
    </row>
    <row r="252" spans="8:8" x14ac:dyDescent="0.2">
      <c r="H252" s="11"/>
    </row>
    <row r="253" spans="8:8" x14ac:dyDescent="0.2">
      <c r="H253" s="11"/>
    </row>
    <row r="254" spans="8:8" x14ac:dyDescent="0.2">
      <c r="H254" s="11"/>
    </row>
    <row r="255" spans="8:8" x14ac:dyDescent="0.2">
      <c r="H255" s="11"/>
    </row>
    <row r="256" spans="8:8" x14ac:dyDescent="0.2">
      <c r="H256" s="11"/>
    </row>
    <row r="257" spans="8:8" x14ac:dyDescent="0.2">
      <c r="H257" s="11"/>
    </row>
    <row r="258" spans="8:8" x14ac:dyDescent="0.2">
      <c r="H258" s="11"/>
    </row>
    <row r="259" spans="8:8" x14ac:dyDescent="0.2">
      <c r="H259" s="11"/>
    </row>
    <row r="260" spans="8:8" x14ac:dyDescent="0.2">
      <c r="H260" s="11"/>
    </row>
    <row r="261" spans="8:8" x14ac:dyDescent="0.2">
      <c r="H261" s="11"/>
    </row>
    <row r="262" spans="8:8" x14ac:dyDescent="0.2">
      <c r="H262" s="11"/>
    </row>
    <row r="263" spans="8:8" x14ac:dyDescent="0.2">
      <c r="H263" s="11"/>
    </row>
    <row r="264" spans="8:8" x14ac:dyDescent="0.2">
      <c r="H264" s="11"/>
    </row>
    <row r="265" spans="8:8" x14ac:dyDescent="0.2">
      <c r="H265" s="11"/>
    </row>
    <row r="266" spans="8:8" x14ac:dyDescent="0.2">
      <c r="H266" s="11"/>
    </row>
    <row r="267" spans="8:8" x14ac:dyDescent="0.2">
      <c r="H267" s="11"/>
    </row>
    <row r="268" spans="8:8" x14ac:dyDescent="0.2">
      <c r="H268" s="11"/>
    </row>
    <row r="269" spans="8:8" x14ac:dyDescent="0.2">
      <c r="H269" s="11"/>
    </row>
    <row r="270" spans="8:8" x14ac:dyDescent="0.2">
      <c r="H270" s="11"/>
    </row>
    <row r="271" spans="8:8" x14ac:dyDescent="0.2">
      <c r="H271" s="11"/>
    </row>
    <row r="272" spans="8:8" x14ac:dyDescent="0.2">
      <c r="H272" s="11"/>
    </row>
    <row r="273" spans="8:8" x14ac:dyDescent="0.2">
      <c r="H273" s="11"/>
    </row>
    <row r="274" spans="8:8" x14ac:dyDescent="0.2">
      <c r="H274" s="11"/>
    </row>
    <row r="275" spans="8:8" x14ac:dyDescent="0.2">
      <c r="H275" s="11"/>
    </row>
    <row r="276" spans="8:8" x14ac:dyDescent="0.2">
      <c r="H276" s="11"/>
    </row>
    <row r="277" spans="8:8" x14ac:dyDescent="0.2">
      <c r="H277" s="11"/>
    </row>
    <row r="278" spans="8:8" x14ac:dyDescent="0.2">
      <c r="H278" s="11"/>
    </row>
    <row r="279" spans="8:8" x14ac:dyDescent="0.2">
      <c r="H279" s="11"/>
    </row>
    <row r="280" spans="8:8" x14ac:dyDescent="0.2">
      <c r="H280" s="11"/>
    </row>
    <row r="281" spans="8:8" x14ac:dyDescent="0.2">
      <c r="H281" s="11"/>
    </row>
    <row r="282" spans="8:8" x14ac:dyDescent="0.2">
      <c r="H282" s="11"/>
    </row>
    <row r="283" spans="8:8" x14ac:dyDescent="0.2">
      <c r="H283" s="11"/>
    </row>
    <row r="284" spans="8:8" x14ac:dyDescent="0.2">
      <c r="H284" s="11"/>
    </row>
    <row r="285" spans="8:8" x14ac:dyDescent="0.2">
      <c r="H285" s="11"/>
    </row>
    <row r="286" spans="8:8" x14ac:dyDescent="0.2">
      <c r="H286" s="11"/>
    </row>
    <row r="287" spans="8:8" x14ac:dyDescent="0.2">
      <c r="H287" s="11"/>
    </row>
    <row r="288" spans="8:8" x14ac:dyDescent="0.2">
      <c r="H288" s="11"/>
    </row>
    <row r="289" spans="8:8" x14ac:dyDescent="0.2">
      <c r="H289" s="11"/>
    </row>
    <row r="290" spans="8:8" x14ac:dyDescent="0.2">
      <c r="H290" s="11"/>
    </row>
    <row r="291" spans="8:8" x14ac:dyDescent="0.2">
      <c r="H291" s="11"/>
    </row>
    <row r="292" spans="8:8" x14ac:dyDescent="0.2">
      <c r="H292" s="11"/>
    </row>
    <row r="293" spans="8:8" x14ac:dyDescent="0.2">
      <c r="H293" s="11"/>
    </row>
    <row r="294" spans="8:8" x14ac:dyDescent="0.2">
      <c r="H294" s="11"/>
    </row>
    <row r="295" spans="8:8" x14ac:dyDescent="0.2">
      <c r="H295" s="11"/>
    </row>
    <row r="296" spans="8:8" x14ac:dyDescent="0.2">
      <c r="H296" s="11"/>
    </row>
    <row r="297" spans="8:8" x14ac:dyDescent="0.2">
      <c r="H297" s="11"/>
    </row>
    <row r="298" spans="8:8" x14ac:dyDescent="0.2">
      <c r="H298" s="11"/>
    </row>
    <row r="299" spans="8:8" x14ac:dyDescent="0.2">
      <c r="H299" s="11"/>
    </row>
    <row r="300" spans="8:8" x14ac:dyDescent="0.2">
      <c r="H300" s="11"/>
    </row>
    <row r="301" spans="8:8" x14ac:dyDescent="0.2">
      <c r="H301" s="11"/>
    </row>
    <row r="302" spans="8:8" x14ac:dyDescent="0.2">
      <c r="H302" s="11"/>
    </row>
    <row r="303" spans="8:8" x14ac:dyDescent="0.2">
      <c r="H303" s="11"/>
    </row>
    <row r="304" spans="8:8" x14ac:dyDescent="0.2">
      <c r="H304" s="11"/>
    </row>
    <row r="305" spans="8:8" x14ac:dyDescent="0.2">
      <c r="H305" s="11"/>
    </row>
    <row r="306" spans="8:8" x14ac:dyDescent="0.2">
      <c r="H306" s="11"/>
    </row>
    <row r="307" spans="8:8" x14ac:dyDescent="0.2">
      <c r="H307" s="11"/>
    </row>
    <row r="308" spans="8:8" x14ac:dyDescent="0.2">
      <c r="H308" s="11"/>
    </row>
    <row r="309" spans="8:8" x14ac:dyDescent="0.2">
      <c r="H309" s="11"/>
    </row>
    <row r="310" spans="8:8" x14ac:dyDescent="0.2">
      <c r="H310" s="11"/>
    </row>
    <row r="311" spans="8:8" x14ac:dyDescent="0.2">
      <c r="H311" s="11"/>
    </row>
    <row r="312" spans="8:8" x14ac:dyDescent="0.2">
      <c r="H312" s="11"/>
    </row>
    <row r="313" spans="8:8" x14ac:dyDescent="0.2">
      <c r="H313" s="11"/>
    </row>
    <row r="314" spans="8:8" x14ac:dyDescent="0.2">
      <c r="H314" s="11"/>
    </row>
    <row r="315" spans="8:8" x14ac:dyDescent="0.2">
      <c r="H315" s="11"/>
    </row>
    <row r="316" spans="8:8" x14ac:dyDescent="0.2">
      <c r="H316" s="11"/>
    </row>
    <row r="317" spans="8:8" x14ac:dyDescent="0.2">
      <c r="H317" s="11"/>
    </row>
    <row r="318" spans="8:8" x14ac:dyDescent="0.2">
      <c r="H318" s="11"/>
    </row>
    <row r="319" spans="8:8" x14ac:dyDescent="0.2">
      <c r="H319" s="11"/>
    </row>
    <row r="320" spans="8:8" x14ac:dyDescent="0.2">
      <c r="H320" s="11"/>
    </row>
    <row r="321" spans="8:8" x14ac:dyDescent="0.2">
      <c r="H321" s="11"/>
    </row>
    <row r="322" spans="8:8" x14ac:dyDescent="0.2">
      <c r="H322" s="11"/>
    </row>
    <row r="323" spans="8:8" x14ac:dyDescent="0.2">
      <c r="H323" s="11"/>
    </row>
    <row r="324" spans="8:8" x14ac:dyDescent="0.2">
      <c r="H324" s="11"/>
    </row>
    <row r="325" spans="8:8" x14ac:dyDescent="0.2">
      <c r="H325" s="11"/>
    </row>
    <row r="326" spans="8:8" x14ac:dyDescent="0.2">
      <c r="H326" s="11"/>
    </row>
    <row r="327" spans="8:8" x14ac:dyDescent="0.2">
      <c r="H327" s="11"/>
    </row>
    <row r="328" spans="8:8" x14ac:dyDescent="0.2">
      <c r="H328" s="11"/>
    </row>
    <row r="329" spans="8:8" x14ac:dyDescent="0.2">
      <c r="H329" s="11"/>
    </row>
    <row r="330" spans="8:8" x14ac:dyDescent="0.2">
      <c r="H330" s="11"/>
    </row>
    <row r="331" spans="8:8" x14ac:dyDescent="0.2">
      <c r="H331" s="11"/>
    </row>
    <row r="332" spans="8:8" x14ac:dyDescent="0.2">
      <c r="H332" s="11"/>
    </row>
    <row r="333" spans="8:8" x14ac:dyDescent="0.2">
      <c r="H333" s="11"/>
    </row>
    <row r="334" spans="8:8" x14ac:dyDescent="0.2">
      <c r="H334" s="11"/>
    </row>
    <row r="335" spans="8:8" x14ac:dyDescent="0.2">
      <c r="H335" s="11"/>
    </row>
    <row r="336" spans="8:8" x14ac:dyDescent="0.2">
      <c r="H336" s="11"/>
    </row>
    <row r="337" spans="8:8" x14ac:dyDescent="0.2">
      <c r="H337" s="11"/>
    </row>
    <row r="338" spans="8:8" x14ac:dyDescent="0.2">
      <c r="H338" s="11"/>
    </row>
    <row r="339" spans="8:8" x14ac:dyDescent="0.2">
      <c r="H339" s="11"/>
    </row>
    <row r="340" spans="8:8" x14ac:dyDescent="0.2">
      <c r="H340" s="11"/>
    </row>
    <row r="341" spans="8:8" x14ac:dyDescent="0.2">
      <c r="H341" s="11"/>
    </row>
    <row r="342" spans="8:8" x14ac:dyDescent="0.2">
      <c r="H342" s="11"/>
    </row>
    <row r="343" spans="8:8" x14ac:dyDescent="0.2">
      <c r="H343" s="11"/>
    </row>
    <row r="344" spans="8:8" x14ac:dyDescent="0.2">
      <c r="H344" s="11"/>
    </row>
    <row r="345" spans="8:8" x14ac:dyDescent="0.2">
      <c r="H345" s="11"/>
    </row>
    <row r="346" spans="8:8" x14ac:dyDescent="0.2">
      <c r="H346" s="11"/>
    </row>
    <row r="347" spans="8:8" x14ac:dyDescent="0.2">
      <c r="H347" s="11"/>
    </row>
    <row r="348" spans="8:8" x14ac:dyDescent="0.2">
      <c r="H348" s="11"/>
    </row>
    <row r="349" spans="8:8" x14ac:dyDescent="0.2">
      <c r="H349" s="11"/>
    </row>
    <row r="350" spans="8:8" x14ac:dyDescent="0.2">
      <c r="H350" s="11"/>
    </row>
    <row r="351" spans="8:8" x14ac:dyDescent="0.2">
      <c r="H351" s="11"/>
    </row>
    <row r="352" spans="8:8" x14ac:dyDescent="0.2">
      <c r="H352" s="11"/>
    </row>
    <row r="353" spans="8:8" x14ac:dyDescent="0.2">
      <c r="H353" s="11"/>
    </row>
    <row r="354" spans="8:8" x14ac:dyDescent="0.2">
      <c r="H354" s="11"/>
    </row>
    <row r="355" spans="8:8" x14ac:dyDescent="0.2">
      <c r="H355" s="11"/>
    </row>
    <row r="356" spans="8:8" x14ac:dyDescent="0.2">
      <c r="H356" s="11"/>
    </row>
    <row r="357" spans="8:8" x14ac:dyDescent="0.2">
      <c r="H357" s="11"/>
    </row>
    <row r="358" spans="8:8" x14ac:dyDescent="0.2">
      <c r="H358" s="11"/>
    </row>
    <row r="359" spans="8:8" x14ac:dyDescent="0.2">
      <c r="H359" s="11"/>
    </row>
    <row r="360" spans="8:8" x14ac:dyDescent="0.2">
      <c r="H360" s="11"/>
    </row>
    <row r="361" spans="8:8" x14ac:dyDescent="0.2">
      <c r="H361" s="11"/>
    </row>
    <row r="362" spans="8:8" x14ac:dyDescent="0.2">
      <c r="H362" s="11"/>
    </row>
    <row r="363" spans="8:8" x14ac:dyDescent="0.2">
      <c r="H363" s="11"/>
    </row>
    <row r="364" spans="8:8" x14ac:dyDescent="0.2">
      <c r="H364" s="11"/>
    </row>
    <row r="365" spans="8:8" x14ac:dyDescent="0.2">
      <c r="H365" s="11"/>
    </row>
    <row r="366" spans="8:8" x14ac:dyDescent="0.2">
      <c r="H366" s="11"/>
    </row>
    <row r="367" spans="8:8" x14ac:dyDescent="0.2">
      <c r="H367" s="11"/>
    </row>
    <row r="368" spans="8:8" x14ac:dyDescent="0.2">
      <c r="H368" s="11"/>
    </row>
    <row r="369" spans="8:8" x14ac:dyDescent="0.2">
      <c r="H369" s="11"/>
    </row>
    <row r="370" spans="8:8" x14ac:dyDescent="0.2">
      <c r="H370" s="11"/>
    </row>
    <row r="371" spans="8:8" x14ac:dyDescent="0.2">
      <c r="H371" s="11"/>
    </row>
    <row r="372" spans="8:8" x14ac:dyDescent="0.2">
      <c r="H372" s="11"/>
    </row>
    <row r="373" spans="8:8" x14ac:dyDescent="0.2">
      <c r="H373" s="11"/>
    </row>
    <row r="374" spans="8:8" x14ac:dyDescent="0.2">
      <c r="H374" s="11"/>
    </row>
    <row r="375" spans="8:8" x14ac:dyDescent="0.2">
      <c r="H375" s="11"/>
    </row>
    <row r="376" spans="8:8" x14ac:dyDescent="0.2">
      <c r="H376" s="11"/>
    </row>
    <row r="377" spans="8:8" x14ac:dyDescent="0.2">
      <c r="H377" s="11"/>
    </row>
    <row r="378" spans="8:8" x14ac:dyDescent="0.2">
      <c r="H378" s="11"/>
    </row>
    <row r="379" spans="8:8" x14ac:dyDescent="0.2">
      <c r="H379" s="11"/>
    </row>
    <row r="380" spans="8:8" x14ac:dyDescent="0.2">
      <c r="H380" s="11"/>
    </row>
    <row r="381" spans="8:8" x14ac:dyDescent="0.2">
      <c r="H381" s="11"/>
    </row>
    <row r="382" spans="8:8" x14ac:dyDescent="0.2">
      <c r="H382" s="11"/>
    </row>
    <row r="383" spans="8:8" x14ac:dyDescent="0.2">
      <c r="H383" s="11"/>
    </row>
    <row r="384" spans="8:8" x14ac:dyDescent="0.2">
      <c r="H384" s="11"/>
    </row>
    <row r="385" spans="8:8" x14ac:dyDescent="0.2">
      <c r="H385" s="11"/>
    </row>
    <row r="386" spans="8:8" x14ac:dyDescent="0.2">
      <c r="H386" s="11"/>
    </row>
    <row r="387" spans="8:8" x14ac:dyDescent="0.2">
      <c r="H387" s="11"/>
    </row>
    <row r="388" spans="8:8" x14ac:dyDescent="0.2">
      <c r="H388" s="11"/>
    </row>
    <row r="389" spans="8:8" x14ac:dyDescent="0.2">
      <c r="H389" s="11"/>
    </row>
    <row r="390" spans="8:8" x14ac:dyDescent="0.2">
      <c r="H390" s="11"/>
    </row>
    <row r="391" spans="8:8" x14ac:dyDescent="0.2">
      <c r="H391" s="11"/>
    </row>
    <row r="392" spans="8:8" x14ac:dyDescent="0.2">
      <c r="H392" s="11"/>
    </row>
    <row r="393" spans="8:8" x14ac:dyDescent="0.2">
      <c r="H393" s="11"/>
    </row>
    <row r="394" spans="8:8" x14ac:dyDescent="0.2">
      <c r="H394" s="11"/>
    </row>
    <row r="395" spans="8:8" x14ac:dyDescent="0.2">
      <c r="H395" s="11"/>
    </row>
    <row r="396" spans="8:8" x14ac:dyDescent="0.2">
      <c r="H396" s="11"/>
    </row>
    <row r="397" spans="8:8" x14ac:dyDescent="0.2">
      <c r="H397" s="11"/>
    </row>
    <row r="398" spans="8:8" x14ac:dyDescent="0.2">
      <c r="H398" s="11"/>
    </row>
    <row r="399" spans="8:8" x14ac:dyDescent="0.2">
      <c r="H399" s="11"/>
    </row>
    <row r="400" spans="8:8" x14ac:dyDescent="0.2">
      <c r="H400" s="11"/>
    </row>
    <row r="401" spans="8:8" x14ac:dyDescent="0.2">
      <c r="H401" s="11"/>
    </row>
    <row r="402" spans="8:8" x14ac:dyDescent="0.2">
      <c r="H402" s="11"/>
    </row>
    <row r="403" spans="8:8" x14ac:dyDescent="0.2">
      <c r="H403" s="11"/>
    </row>
    <row r="404" spans="8:8" x14ac:dyDescent="0.2">
      <c r="H404" s="11"/>
    </row>
    <row r="405" spans="8:8" x14ac:dyDescent="0.2">
      <c r="H405" s="11"/>
    </row>
    <row r="406" spans="8:8" x14ac:dyDescent="0.2">
      <c r="H406" s="11"/>
    </row>
    <row r="407" spans="8:8" x14ac:dyDescent="0.2">
      <c r="H407" s="11"/>
    </row>
    <row r="408" spans="8:8" x14ac:dyDescent="0.2">
      <c r="H408" s="11"/>
    </row>
    <row r="409" spans="8:8" x14ac:dyDescent="0.2">
      <c r="H409" s="11"/>
    </row>
    <row r="410" spans="8:8" x14ac:dyDescent="0.2">
      <c r="H410" s="11"/>
    </row>
    <row r="411" spans="8:8" x14ac:dyDescent="0.2">
      <c r="H411" s="11"/>
    </row>
    <row r="412" spans="8:8" x14ac:dyDescent="0.2">
      <c r="H412" s="11"/>
    </row>
    <row r="413" spans="8:8" x14ac:dyDescent="0.2">
      <c r="H413" s="11"/>
    </row>
    <row r="414" spans="8:8" x14ac:dyDescent="0.2">
      <c r="H414" s="11"/>
    </row>
    <row r="415" spans="8:8" x14ac:dyDescent="0.2">
      <c r="H415" s="11"/>
    </row>
    <row r="416" spans="8:8" x14ac:dyDescent="0.2">
      <c r="H416" s="11"/>
    </row>
    <row r="417" spans="8:8" x14ac:dyDescent="0.2">
      <c r="H417" s="11"/>
    </row>
    <row r="418" spans="8:8" x14ac:dyDescent="0.2">
      <c r="H418" s="11"/>
    </row>
    <row r="419" spans="8:8" x14ac:dyDescent="0.2">
      <c r="H419" s="11"/>
    </row>
    <row r="420" spans="8:8" x14ac:dyDescent="0.2">
      <c r="H420" s="11"/>
    </row>
    <row r="421" spans="8:8" x14ac:dyDescent="0.2">
      <c r="H421" s="11"/>
    </row>
    <row r="422" spans="8:8" x14ac:dyDescent="0.2">
      <c r="H422" s="11"/>
    </row>
    <row r="423" spans="8:8" x14ac:dyDescent="0.2">
      <c r="H423" s="11"/>
    </row>
    <row r="424" spans="8:8" x14ac:dyDescent="0.2">
      <c r="H424" s="11"/>
    </row>
    <row r="425" spans="8:8" x14ac:dyDescent="0.2">
      <c r="H425" s="11"/>
    </row>
    <row r="426" spans="8:8" x14ac:dyDescent="0.2">
      <c r="H426" s="11"/>
    </row>
    <row r="427" spans="8:8" x14ac:dyDescent="0.2">
      <c r="H427" s="11"/>
    </row>
    <row r="428" spans="8:8" x14ac:dyDescent="0.2">
      <c r="H428" s="11"/>
    </row>
    <row r="429" spans="8:8" x14ac:dyDescent="0.2">
      <c r="H429" s="11"/>
    </row>
    <row r="430" spans="8:8" x14ac:dyDescent="0.2">
      <c r="H430" s="11"/>
    </row>
    <row r="431" spans="8:8" x14ac:dyDescent="0.2">
      <c r="H431" s="11"/>
    </row>
    <row r="432" spans="8:8" x14ac:dyDescent="0.2">
      <c r="H432" s="11"/>
    </row>
    <row r="433" spans="8:8" x14ac:dyDescent="0.2">
      <c r="H433" s="11"/>
    </row>
    <row r="434" spans="8:8" x14ac:dyDescent="0.2">
      <c r="H434" s="11"/>
    </row>
    <row r="435" spans="8:8" x14ac:dyDescent="0.2">
      <c r="H435" s="11"/>
    </row>
    <row r="436" spans="8:8" x14ac:dyDescent="0.2">
      <c r="H436" s="11"/>
    </row>
    <row r="437" spans="8:8" x14ac:dyDescent="0.2">
      <c r="H437" s="11"/>
    </row>
    <row r="438" spans="8:8" x14ac:dyDescent="0.2">
      <c r="H438" s="11"/>
    </row>
    <row r="439" spans="8:8" x14ac:dyDescent="0.2">
      <c r="H439" s="11"/>
    </row>
    <row r="440" spans="8:8" x14ac:dyDescent="0.2">
      <c r="H440" s="11"/>
    </row>
    <row r="441" spans="8:8" x14ac:dyDescent="0.2">
      <c r="H441" s="11"/>
    </row>
    <row r="442" spans="8:8" x14ac:dyDescent="0.2">
      <c r="H442" s="11"/>
    </row>
    <row r="443" spans="8:8" x14ac:dyDescent="0.2">
      <c r="H443" s="11"/>
    </row>
    <row r="444" spans="8:8" x14ac:dyDescent="0.2">
      <c r="H444" s="11"/>
    </row>
    <row r="445" spans="8:8" x14ac:dyDescent="0.2">
      <c r="H445" s="11"/>
    </row>
    <row r="446" spans="8:8" x14ac:dyDescent="0.2">
      <c r="H446" s="11"/>
    </row>
    <row r="447" spans="8:8" x14ac:dyDescent="0.2">
      <c r="H447" s="11"/>
    </row>
    <row r="448" spans="8:8" x14ac:dyDescent="0.2">
      <c r="H448" s="11"/>
    </row>
    <row r="449" spans="8:8" x14ac:dyDescent="0.2">
      <c r="H449" s="11"/>
    </row>
    <row r="450" spans="8:8" x14ac:dyDescent="0.2">
      <c r="H450" s="11"/>
    </row>
    <row r="451" spans="8:8" x14ac:dyDescent="0.2">
      <c r="H451" s="11"/>
    </row>
    <row r="452" spans="8:8" x14ac:dyDescent="0.2">
      <c r="H452" s="11"/>
    </row>
    <row r="453" spans="8:8" x14ac:dyDescent="0.2">
      <c r="H453" s="11"/>
    </row>
    <row r="454" spans="8:8" x14ac:dyDescent="0.2">
      <c r="H454" s="11"/>
    </row>
    <row r="455" spans="8:8" x14ac:dyDescent="0.2">
      <c r="H455" s="11"/>
    </row>
    <row r="456" spans="8:8" x14ac:dyDescent="0.2">
      <c r="H456" s="11"/>
    </row>
    <row r="457" spans="8:8" x14ac:dyDescent="0.2">
      <c r="H457" s="11"/>
    </row>
    <row r="458" spans="8:8" x14ac:dyDescent="0.2">
      <c r="H458" s="11"/>
    </row>
    <row r="459" spans="8:8" x14ac:dyDescent="0.2">
      <c r="H459" s="11"/>
    </row>
    <row r="460" spans="8:8" x14ac:dyDescent="0.2">
      <c r="H460" s="11"/>
    </row>
    <row r="461" spans="8:8" x14ac:dyDescent="0.2">
      <c r="H461" s="11"/>
    </row>
    <row r="462" spans="8:8" x14ac:dyDescent="0.2">
      <c r="H462" s="11"/>
    </row>
    <row r="463" spans="8:8" x14ac:dyDescent="0.2">
      <c r="H463" s="11"/>
    </row>
    <row r="464" spans="8:8" x14ac:dyDescent="0.2">
      <c r="H464" s="11"/>
    </row>
    <row r="465" spans="8:8" x14ac:dyDescent="0.2">
      <c r="H465" s="11"/>
    </row>
    <row r="466" spans="8:8" x14ac:dyDescent="0.2">
      <c r="H466" s="11"/>
    </row>
    <row r="467" spans="8:8" x14ac:dyDescent="0.2">
      <c r="H467" s="11"/>
    </row>
    <row r="468" spans="8:8" x14ac:dyDescent="0.2">
      <c r="H468" s="11"/>
    </row>
    <row r="469" spans="8:8" x14ac:dyDescent="0.2">
      <c r="H469" s="11"/>
    </row>
    <row r="470" spans="8:8" x14ac:dyDescent="0.2">
      <c r="H470" s="11"/>
    </row>
    <row r="471" spans="8:8" x14ac:dyDescent="0.2">
      <c r="H471" s="11"/>
    </row>
    <row r="472" spans="8:8" x14ac:dyDescent="0.2">
      <c r="H472" s="11"/>
    </row>
    <row r="473" spans="8:8" x14ac:dyDescent="0.2">
      <c r="H473" s="11"/>
    </row>
    <row r="474" spans="8:8" x14ac:dyDescent="0.2">
      <c r="H474" s="11"/>
    </row>
    <row r="475" spans="8:8" x14ac:dyDescent="0.2">
      <c r="H475" s="11"/>
    </row>
    <row r="476" spans="8:8" x14ac:dyDescent="0.2">
      <c r="H476" s="11"/>
    </row>
    <row r="477" spans="8:8" x14ac:dyDescent="0.2">
      <c r="H477" s="11"/>
    </row>
    <row r="478" spans="8:8" x14ac:dyDescent="0.2">
      <c r="H478" s="11"/>
    </row>
    <row r="479" spans="8:8" x14ac:dyDescent="0.2">
      <c r="H479" s="11"/>
    </row>
    <row r="480" spans="8:8" x14ac:dyDescent="0.2">
      <c r="H480" s="11"/>
    </row>
    <row r="481" spans="8:8" x14ac:dyDescent="0.2">
      <c r="H481" s="11"/>
    </row>
    <row r="482" spans="8:8" x14ac:dyDescent="0.2">
      <c r="H482" s="11"/>
    </row>
    <row r="483" spans="8:8" x14ac:dyDescent="0.2">
      <c r="H483" s="11"/>
    </row>
    <row r="484" spans="8:8" x14ac:dyDescent="0.2">
      <c r="H484" s="11"/>
    </row>
    <row r="485" spans="8:8" x14ac:dyDescent="0.2">
      <c r="H485" s="11"/>
    </row>
    <row r="486" spans="8:8" x14ac:dyDescent="0.2">
      <c r="H486" s="11"/>
    </row>
    <row r="487" spans="8:8" x14ac:dyDescent="0.2">
      <c r="H487" s="11"/>
    </row>
    <row r="488" spans="8:8" x14ac:dyDescent="0.2">
      <c r="H488" s="11"/>
    </row>
    <row r="489" spans="8:8" x14ac:dyDescent="0.2">
      <c r="H489" s="11"/>
    </row>
    <row r="490" spans="8:8" x14ac:dyDescent="0.2">
      <c r="H490" s="11"/>
    </row>
    <row r="491" spans="8:8" x14ac:dyDescent="0.2">
      <c r="H491" s="11"/>
    </row>
    <row r="492" spans="8:8" x14ac:dyDescent="0.2">
      <c r="H492" s="11"/>
    </row>
    <row r="493" spans="8:8" x14ac:dyDescent="0.2">
      <c r="H493" s="11"/>
    </row>
    <row r="494" spans="8:8" x14ac:dyDescent="0.2">
      <c r="H494" s="11"/>
    </row>
    <row r="495" spans="8:8" x14ac:dyDescent="0.2">
      <c r="H495" s="11"/>
    </row>
    <row r="496" spans="8:8" x14ac:dyDescent="0.2">
      <c r="H496" s="11"/>
    </row>
    <row r="497" spans="8:8" x14ac:dyDescent="0.2">
      <c r="H497" s="11"/>
    </row>
    <row r="498" spans="8:8" x14ac:dyDescent="0.2">
      <c r="H498" s="11"/>
    </row>
    <row r="499" spans="8:8" x14ac:dyDescent="0.2">
      <c r="H499" s="11"/>
    </row>
    <row r="500" spans="8:8" x14ac:dyDescent="0.2">
      <c r="H500" s="11"/>
    </row>
    <row r="501" spans="8:8" x14ac:dyDescent="0.2">
      <c r="H501" s="11"/>
    </row>
    <row r="502" spans="8:8" x14ac:dyDescent="0.2">
      <c r="H502" s="11"/>
    </row>
    <row r="503" spans="8:8" x14ac:dyDescent="0.2">
      <c r="H503" s="11"/>
    </row>
    <row r="504" spans="8:8" x14ac:dyDescent="0.2">
      <c r="H504" s="11"/>
    </row>
    <row r="505" spans="8:8" x14ac:dyDescent="0.2">
      <c r="H505" s="11"/>
    </row>
    <row r="506" spans="8:8" x14ac:dyDescent="0.2">
      <c r="H506" s="11"/>
    </row>
    <row r="507" spans="8:8" x14ac:dyDescent="0.2">
      <c r="H507" s="11"/>
    </row>
    <row r="508" spans="8:8" x14ac:dyDescent="0.2">
      <c r="H508" s="11"/>
    </row>
    <row r="509" spans="8:8" x14ac:dyDescent="0.2">
      <c r="H509" s="11"/>
    </row>
    <row r="510" spans="8:8" x14ac:dyDescent="0.2">
      <c r="H510" s="11"/>
    </row>
    <row r="511" spans="8:8" x14ac:dyDescent="0.2">
      <c r="H511" s="11"/>
    </row>
    <row r="512" spans="8:8" x14ac:dyDescent="0.2">
      <c r="H512" s="11"/>
    </row>
    <row r="513" spans="8:8" x14ac:dyDescent="0.2">
      <c r="H513" s="11"/>
    </row>
    <row r="514" spans="8:8" x14ac:dyDescent="0.2">
      <c r="H514" s="11"/>
    </row>
    <row r="515" spans="8:8" x14ac:dyDescent="0.2">
      <c r="H515" s="11"/>
    </row>
    <row r="516" spans="8:8" x14ac:dyDescent="0.2">
      <c r="H516" s="11"/>
    </row>
    <row r="517" spans="8:8" x14ac:dyDescent="0.2">
      <c r="H517" s="11"/>
    </row>
    <row r="518" spans="8:8" x14ac:dyDescent="0.2">
      <c r="H518" s="11"/>
    </row>
    <row r="519" spans="8:8" x14ac:dyDescent="0.2">
      <c r="H519" s="11"/>
    </row>
    <row r="520" spans="8:8" x14ac:dyDescent="0.2">
      <c r="H520" s="11"/>
    </row>
    <row r="521" spans="8:8" x14ac:dyDescent="0.2">
      <c r="H521" s="11"/>
    </row>
    <row r="522" spans="8:8" x14ac:dyDescent="0.2">
      <c r="H522" s="11"/>
    </row>
    <row r="523" spans="8:8" x14ac:dyDescent="0.2">
      <c r="H523" s="11"/>
    </row>
    <row r="524" spans="8:8" x14ac:dyDescent="0.2">
      <c r="H524" s="11"/>
    </row>
    <row r="525" spans="8:8" x14ac:dyDescent="0.2">
      <c r="H525" s="11"/>
    </row>
    <row r="526" spans="8:8" x14ac:dyDescent="0.2">
      <c r="H526" s="11"/>
    </row>
    <row r="527" spans="8:8" x14ac:dyDescent="0.2">
      <c r="H527" s="11"/>
    </row>
    <row r="528" spans="8:8" x14ac:dyDescent="0.2">
      <c r="H528" s="11"/>
    </row>
    <row r="529" spans="8:8" x14ac:dyDescent="0.2">
      <c r="H529" s="11"/>
    </row>
    <row r="530" spans="8:8" x14ac:dyDescent="0.2">
      <c r="H530" s="11"/>
    </row>
    <row r="531" spans="8:8" x14ac:dyDescent="0.2">
      <c r="H531" s="11"/>
    </row>
    <row r="532" spans="8:8" x14ac:dyDescent="0.2">
      <c r="H532" s="11"/>
    </row>
    <row r="533" spans="8:8" x14ac:dyDescent="0.2">
      <c r="H533" s="11"/>
    </row>
    <row r="534" spans="8:8" x14ac:dyDescent="0.2">
      <c r="H534" s="11"/>
    </row>
    <row r="535" spans="8:8" x14ac:dyDescent="0.2">
      <c r="H535" s="11"/>
    </row>
    <row r="536" spans="8:8" x14ac:dyDescent="0.2">
      <c r="H536" s="11"/>
    </row>
    <row r="537" spans="8:8" x14ac:dyDescent="0.2">
      <c r="H537" s="11"/>
    </row>
    <row r="538" spans="8:8" x14ac:dyDescent="0.2">
      <c r="H538" s="11"/>
    </row>
    <row r="539" spans="8:8" x14ac:dyDescent="0.2">
      <c r="H539" s="11"/>
    </row>
    <row r="540" spans="8:8" x14ac:dyDescent="0.2">
      <c r="H540" s="11"/>
    </row>
    <row r="541" spans="8:8" x14ac:dyDescent="0.2">
      <c r="H541" s="11"/>
    </row>
    <row r="542" spans="8:8" x14ac:dyDescent="0.2">
      <c r="H542" s="11"/>
    </row>
    <row r="543" spans="8:8" x14ac:dyDescent="0.2">
      <c r="H543" s="11"/>
    </row>
    <row r="544" spans="8:8" x14ac:dyDescent="0.2">
      <c r="H544" s="11"/>
    </row>
    <row r="545" spans="8:8" x14ac:dyDescent="0.2">
      <c r="H545" s="11"/>
    </row>
    <row r="546" spans="8:8" x14ac:dyDescent="0.2">
      <c r="H546" s="11"/>
    </row>
    <row r="547" spans="8:8" x14ac:dyDescent="0.2">
      <c r="H547" s="11"/>
    </row>
    <row r="548" spans="8:8" x14ac:dyDescent="0.2">
      <c r="H548" s="11"/>
    </row>
    <row r="549" spans="8:8" x14ac:dyDescent="0.2">
      <c r="H549" s="11"/>
    </row>
    <row r="550" spans="8:8" x14ac:dyDescent="0.2">
      <c r="H550" s="11"/>
    </row>
    <row r="551" spans="8:8" x14ac:dyDescent="0.2">
      <c r="H551" s="11"/>
    </row>
    <row r="552" spans="8:8" x14ac:dyDescent="0.2">
      <c r="H552" s="11"/>
    </row>
    <row r="553" spans="8:8" x14ac:dyDescent="0.2">
      <c r="H553" s="11"/>
    </row>
    <row r="554" spans="8:8" x14ac:dyDescent="0.2">
      <c r="H554" s="11"/>
    </row>
    <row r="555" spans="8:8" x14ac:dyDescent="0.2">
      <c r="H555" s="11"/>
    </row>
    <row r="556" spans="8:8" x14ac:dyDescent="0.2">
      <c r="H556" s="11"/>
    </row>
    <row r="557" spans="8:8" x14ac:dyDescent="0.2">
      <c r="H557" s="11"/>
    </row>
    <row r="558" spans="8:8" x14ac:dyDescent="0.2">
      <c r="H558" s="11"/>
    </row>
    <row r="559" spans="8:8" x14ac:dyDescent="0.2">
      <c r="H559" s="11"/>
    </row>
    <row r="560" spans="8:8" x14ac:dyDescent="0.2">
      <c r="H560" s="11"/>
    </row>
    <row r="561" spans="8:8" x14ac:dyDescent="0.2">
      <c r="H561" s="11"/>
    </row>
    <row r="562" spans="8:8" x14ac:dyDescent="0.2">
      <c r="H562" s="11"/>
    </row>
    <row r="563" spans="8:8" x14ac:dyDescent="0.2">
      <c r="H563" s="11"/>
    </row>
    <row r="564" spans="8:8" x14ac:dyDescent="0.2">
      <c r="H564" s="11"/>
    </row>
    <row r="565" spans="8:8" x14ac:dyDescent="0.2">
      <c r="H565" s="11"/>
    </row>
    <row r="566" spans="8:8" x14ac:dyDescent="0.2">
      <c r="H566" s="11"/>
    </row>
    <row r="567" spans="8:8" x14ac:dyDescent="0.2">
      <c r="H567" s="11"/>
    </row>
    <row r="568" spans="8:8" x14ac:dyDescent="0.2">
      <c r="H568" s="11"/>
    </row>
    <row r="569" spans="8:8" x14ac:dyDescent="0.2">
      <c r="H569" s="11"/>
    </row>
    <row r="570" spans="8:8" x14ac:dyDescent="0.2">
      <c r="H570" s="11"/>
    </row>
    <row r="571" spans="8:8" x14ac:dyDescent="0.2">
      <c r="H571" s="11"/>
    </row>
    <row r="572" spans="8:8" x14ac:dyDescent="0.2">
      <c r="H572" s="11"/>
    </row>
    <row r="573" spans="8:8" x14ac:dyDescent="0.2">
      <c r="H573" s="11"/>
    </row>
    <row r="574" spans="8:8" x14ac:dyDescent="0.2">
      <c r="H574" s="11"/>
    </row>
    <row r="575" spans="8:8" x14ac:dyDescent="0.2">
      <c r="H575" s="11"/>
    </row>
    <row r="576" spans="8:8" x14ac:dyDescent="0.2">
      <c r="H576" s="11"/>
    </row>
    <row r="577" spans="8:8" x14ac:dyDescent="0.2">
      <c r="H577" s="11"/>
    </row>
    <row r="578" spans="8:8" x14ac:dyDescent="0.2">
      <c r="H578" s="11"/>
    </row>
    <row r="579" spans="8:8" x14ac:dyDescent="0.2">
      <c r="H579" s="11"/>
    </row>
    <row r="580" spans="8:8" x14ac:dyDescent="0.2">
      <c r="H580" s="11"/>
    </row>
    <row r="581" spans="8:8" x14ac:dyDescent="0.2">
      <c r="H581" s="11"/>
    </row>
    <row r="582" spans="8:8" x14ac:dyDescent="0.2">
      <c r="H582" s="11"/>
    </row>
    <row r="583" spans="8:8" x14ac:dyDescent="0.2">
      <c r="H583" s="11"/>
    </row>
    <row r="584" spans="8:8" x14ac:dyDescent="0.2">
      <c r="H584" s="11"/>
    </row>
    <row r="585" spans="8:8" x14ac:dyDescent="0.2">
      <c r="H585" s="11"/>
    </row>
    <row r="586" spans="8:8" x14ac:dyDescent="0.2">
      <c r="H586" s="11"/>
    </row>
    <row r="587" spans="8:8" x14ac:dyDescent="0.2">
      <c r="H587" s="11"/>
    </row>
    <row r="588" spans="8:8" x14ac:dyDescent="0.2">
      <c r="H588" s="11"/>
    </row>
    <row r="589" spans="8:8" x14ac:dyDescent="0.2">
      <c r="H589" s="11"/>
    </row>
    <row r="590" spans="8:8" x14ac:dyDescent="0.2">
      <c r="H590" s="11"/>
    </row>
    <row r="591" spans="8:8" x14ac:dyDescent="0.2">
      <c r="H591" s="11"/>
    </row>
    <row r="592" spans="8:8" x14ac:dyDescent="0.2">
      <c r="H592" s="11"/>
    </row>
    <row r="593" spans="8:8" x14ac:dyDescent="0.2">
      <c r="H593" s="11"/>
    </row>
    <row r="594" spans="8:8" x14ac:dyDescent="0.2">
      <c r="H594" s="11"/>
    </row>
    <row r="595" spans="8:8" x14ac:dyDescent="0.2">
      <c r="H595" s="11"/>
    </row>
    <row r="596" spans="8:8" x14ac:dyDescent="0.2">
      <c r="H596" s="11"/>
    </row>
    <row r="597" spans="8:8" x14ac:dyDescent="0.2">
      <c r="H597" s="11"/>
    </row>
    <row r="598" spans="8:8" x14ac:dyDescent="0.2">
      <c r="H598" s="11"/>
    </row>
    <row r="599" spans="8:8" x14ac:dyDescent="0.2">
      <c r="H599" s="11"/>
    </row>
    <row r="600" spans="8:8" x14ac:dyDescent="0.2">
      <c r="H600" s="11"/>
    </row>
    <row r="601" spans="8:8" x14ac:dyDescent="0.2">
      <c r="H601" s="11"/>
    </row>
    <row r="602" spans="8:8" x14ac:dyDescent="0.2">
      <c r="H602" s="11"/>
    </row>
    <row r="603" spans="8:8" x14ac:dyDescent="0.2">
      <c r="H603" s="11"/>
    </row>
    <row r="604" spans="8:8" x14ac:dyDescent="0.2">
      <c r="H604" s="11"/>
    </row>
    <row r="605" spans="8:8" x14ac:dyDescent="0.2">
      <c r="H605" s="11"/>
    </row>
    <row r="606" spans="8:8" x14ac:dyDescent="0.2">
      <c r="H606" s="11"/>
    </row>
    <row r="607" spans="8:8" x14ac:dyDescent="0.2">
      <c r="H607" s="11"/>
    </row>
    <row r="608" spans="8:8" x14ac:dyDescent="0.2">
      <c r="H608" s="11"/>
    </row>
    <row r="609" spans="8:8" x14ac:dyDescent="0.2">
      <c r="H609" s="11"/>
    </row>
    <row r="610" spans="8:8" x14ac:dyDescent="0.2">
      <c r="H610" s="11"/>
    </row>
    <row r="611" spans="8:8" x14ac:dyDescent="0.2">
      <c r="H611" s="11"/>
    </row>
    <row r="612" spans="8:8" x14ac:dyDescent="0.2">
      <c r="H612" s="11"/>
    </row>
    <row r="613" spans="8:8" x14ac:dyDescent="0.2">
      <c r="H613" s="11"/>
    </row>
    <row r="614" spans="8:8" x14ac:dyDescent="0.2">
      <c r="H614" s="11"/>
    </row>
    <row r="615" spans="8:8" x14ac:dyDescent="0.2">
      <c r="H615" s="11"/>
    </row>
    <row r="616" spans="8:8" x14ac:dyDescent="0.2">
      <c r="H616" s="11"/>
    </row>
    <row r="617" spans="8:8" x14ac:dyDescent="0.2">
      <c r="H617" s="11"/>
    </row>
    <row r="618" spans="8:8" x14ac:dyDescent="0.2">
      <c r="H618" s="11"/>
    </row>
    <row r="619" spans="8:8" x14ac:dyDescent="0.2">
      <c r="H619" s="11"/>
    </row>
    <row r="620" spans="8:8" x14ac:dyDescent="0.2">
      <c r="H620" s="11"/>
    </row>
    <row r="621" spans="8:8" x14ac:dyDescent="0.2">
      <c r="H621" s="11"/>
    </row>
    <row r="622" spans="8:8" x14ac:dyDescent="0.2">
      <c r="H622" s="11"/>
    </row>
    <row r="623" spans="8:8" x14ac:dyDescent="0.2">
      <c r="H623" s="11"/>
    </row>
    <row r="624" spans="8:8" x14ac:dyDescent="0.2">
      <c r="H624" s="11"/>
    </row>
    <row r="625" spans="8:8" x14ac:dyDescent="0.2">
      <c r="H625" s="11"/>
    </row>
    <row r="626" spans="8:8" x14ac:dyDescent="0.2">
      <c r="H626" s="11"/>
    </row>
    <row r="627" spans="8:8" x14ac:dyDescent="0.2">
      <c r="H627" s="11"/>
    </row>
    <row r="628" spans="8:8" x14ac:dyDescent="0.2">
      <c r="H628" s="11"/>
    </row>
  </sheetData>
  <mergeCells count="1">
    <mergeCell ref="B1:C1"/>
  </mergeCells>
  <conditionalFormatting sqref="G1:G3 G5:G118">
    <cfRule type="cellIs" dxfId="0" priority="2" stopIfTrue="1" operator="between">
      <formula>0.009</formula>
      <formula>-0.009</formula>
    </cfRule>
  </conditionalFormatting>
  <hyperlinks>
    <hyperlink ref="A2" location="Index!A1" display="-" xr:uid="{D9ADDF34-1140-4B79-96E0-B6F0DA12758F}"/>
  </hyperlinks>
  <pageMargins left="0.7" right="0.7" top="0.75" bottom="0.75" header="0.3" footer="0.3"/>
  <pageSetup paperSize="9" scale="59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19" min="1" max="7" man="1"/>
  </rowBreaks>
  <colBreaks count="1" manualBreakCount="1">
    <brk id="8" max="7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JBN50</vt:lpstr>
      <vt:lpstr>'JBN50'!Print_Area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2026-05-08T09:09:56Z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