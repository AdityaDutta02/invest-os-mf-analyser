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A36F500F-2770-48FF-90BA-EF73488F173F}" xr6:coauthVersionLast="47" xr6:coauthVersionMax="47" xr10:uidLastSave="{00000000-0000-0000-0000-000000000000}"/>
  <bookViews>
    <workbookView xWindow="16830" yWindow="10720" windowWidth="2370" windowHeight="560" tabRatio="669" xr2:uid="{7291B499-DD8C-4F12-BA28-9EE7F24AB421}"/>
  </bookViews>
  <sheets>
    <sheet name="JBSECRO" sheetId="16" r:id="rId1"/>
  </sheets>
  <definedNames>
    <definedName name="_xlnm.Print_Area" localSheetId="0">JBSECRO!$B$1:$H$424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1" i="16" l="1"/>
  <c r="G309" i="16" l="1"/>
  <c r="F309" i="16"/>
  <c r="G295" i="16"/>
  <c r="G302" i="16" s="1"/>
  <c r="F295" i="16"/>
  <c r="F302" i="16" s="1"/>
  <c r="F298" i="16" l="1"/>
  <c r="G298" i="16"/>
</calcChain>
</file>

<file path=xl/sharedStrings.xml><?xml version="1.0" encoding="utf-8"?>
<sst xmlns="http://schemas.openxmlformats.org/spreadsheetml/2006/main" count="972" uniqueCount="698">
  <si>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</si>
  <si>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</si>
  <si>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</si>
  <si>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</si>
  <si>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</si>
  <si>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</si>
  <si>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April 30, 2026</t>
  </si>
  <si>
    <t>JioBlackRock Sector Rotation Fund</t>
  </si>
  <si>
    <t>Equity &amp; Equity related</t>
  </si>
  <si>
    <t>(a) Listed / awaiting listing on Stock Exchanges</t>
  </si>
  <si>
    <t>HDFC Bank Ltd</t>
  </si>
  <si>
    <t>INE040A01034</t>
  </si>
  <si>
    <t>Banks</t>
  </si>
  <si>
    <t>ICICI Bank Ltd</t>
  </si>
  <si>
    <t>INE090A01021</t>
  </si>
  <si>
    <t>Bharti Airtel Ltd</t>
  </si>
  <si>
    <t>INE397D01024</t>
  </si>
  <si>
    <t>Telecom - Services</t>
  </si>
  <si>
    <t>State Bank of India</t>
  </si>
  <si>
    <t>INE062A01020</t>
  </si>
  <si>
    <t>Mahindra &amp; Mahindra Ltd</t>
  </si>
  <si>
    <t>INE101A01026</t>
  </si>
  <si>
    <t>Automobiles</t>
  </si>
  <si>
    <t>Larsen &amp; Toubro Ltd</t>
  </si>
  <si>
    <t>INE018A01030</t>
  </si>
  <si>
    <t>Construction</t>
  </si>
  <si>
    <t>Reliance Industries Ltd</t>
  </si>
  <si>
    <t>INE002A01018</t>
  </si>
  <si>
    <t>Petroleum Products</t>
  </si>
  <si>
    <t>NTPC Ltd</t>
  </si>
  <si>
    <t>INE733E01010</t>
  </si>
  <si>
    <t>Power</t>
  </si>
  <si>
    <t>Infosys Ltd</t>
  </si>
  <si>
    <t>INE009A01021</t>
  </si>
  <si>
    <t>IT - Software</t>
  </si>
  <si>
    <t>Britannia Industries Ltd</t>
  </si>
  <si>
    <t>INE216A01030</t>
  </si>
  <si>
    <t>Food Products</t>
  </si>
  <si>
    <t>Indian Oil Corporation Ltd</t>
  </si>
  <si>
    <t>INE242A01010</t>
  </si>
  <si>
    <t>Escorts Kubota Ltd</t>
  </si>
  <si>
    <t>INE042A01014</t>
  </si>
  <si>
    <t>Agricultural, Commercial &amp; Construction Vehicles</t>
  </si>
  <si>
    <t>ITC Ltd</t>
  </si>
  <si>
    <t>INE154A01025</t>
  </si>
  <si>
    <t>Diversified FMCG</t>
  </si>
  <si>
    <t>Tata Steel Ltd</t>
  </si>
  <si>
    <t>INE081A01020</t>
  </si>
  <si>
    <t>Ferrous Metals</t>
  </si>
  <si>
    <t>Apollo Tyres Ltd</t>
  </si>
  <si>
    <t>INE438A01022</t>
  </si>
  <si>
    <t>Auto Components</t>
  </si>
  <si>
    <t>Interglobe Aviation Ltd</t>
  </si>
  <si>
    <t>INE646L01027</t>
  </si>
  <si>
    <t>Transport Services</t>
  </si>
  <si>
    <t>Nestle India Ltd</t>
  </si>
  <si>
    <t>INE239A01024</t>
  </si>
  <si>
    <t>Tata Consultancy Services Ltd</t>
  </si>
  <si>
    <t>INE467B01029</t>
  </si>
  <si>
    <t>Axis Bank Ltd</t>
  </si>
  <si>
    <t>INE238A01034</t>
  </si>
  <si>
    <t>Multi Commodity Exchange Of India Ltd</t>
  </si>
  <si>
    <t>INE745G01043</t>
  </si>
  <si>
    <t>Capital Markets</t>
  </si>
  <si>
    <t>Kotak Mahindra Bank Ltd</t>
  </si>
  <si>
    <t>INE237A01036</t>
  </si>
  <si>
    <t>Eternal Ltd</t>
  </si>
  <si>
    <t>INE758T01015</t>
  </si>
  <si>
    <t>Retailing</t>
  </si>
  <si>
    <t>Consumer Durables</t>
  </si>
  <si>
    <t>Federal Bank Ltd</t>
  </si>
  <si>
    <t>INE171A01029</t>
  </si>
  <si>
    <t>Sun Pharmaceutical Industries Ltd</t>
  </si>
  <si>
    <t>INE044A01036</t>
  </si>
  <si>
    <t>Pharmaceuticals &amp; Biotechnology</t>
  </si>
  <si>
    <t>Oil &amp; Natural Gas Corporation Ltd</t>
  </si>
  <si>
    <t>INE213A01029</t>
  </si>
  <si>
    <t>Oil</t>
  </si>
  <si>
    <t>Samvardhana Motherson International Ltd</t>
  </si>
  <si>
    <t>INE775A01035</t>
  </si>
  <si>
    <t>Lenskart Solutions Ltd</t>
  </si>
  <si>
    <t>INE956O01016</t>
  </si>
  <si>
    <t>Tech Mahindra Ltd</t>
  </si>
  <si>
    <t>INE669C01036</t>
  </si>
  <si>
    <t>Vedanta Ltd</t>
  </si>
  <si>
    <t>INE205A01025</t>
  </si>
  <si>
    <t>Diversified Metals</t>
  </si>
  <si>
    <t>Hero MotoCorp Ltd</t>
  </si>
  <si>
    <t>INE158A01026</t>
  </si>
  <si>
    <t>Yes Bank Ltd</t>
  </si>
  <si>
    <t>INE528G01035</t>
  </si>
  <si>
    <t>JSW Steel Ltd</t>
  </si>
  <si>
    <t>INE019A01038</t>
  </si>
  <si>
    <t>Ultratech Cement Ltd</t>
  </si>
  <si>
    <t>INE481G01011</t>
  </si>
  <si>
    <t>Cement &amp; Cement Products</t>
  </si>
  <si>
    <t>Billionbrains Garage Ventures Ltd</t>
  </si>
  <si>
    <t>INE0HOQ01053</t>
  </si>
  <si>
    <t>IPCA Laboratories Ltd</t>
  </si>
  <si>
    <t>INE571A01038</t>
  </si>
  <si>
    <t>Bharat Petroleum Corporation Ltd</t>
  </si>
  <si>
    <t>INE029A01011</t>
  </si>
  <si>
    <t>United Spirits Ltd</t>
  </si>
  <si>
    <t>INE854D01024</t>
  </si>
  <si>
    <t>Beverages</t>
  </si>
  <si>
    <t>INE704J01044</t>
  </si>
  <si>
    <t>INE694L01019</t>
  </si>
  <si>
    <t>INE1CDF01017</t>
  </si>
  <si>
    <t>Metals &amp; Minerals Trading</t>
  </si>
  <si>
    <t>INE1CLE01013</t>
  </si>
  <si>
    <t>Ashok Leyland Ltd</t>
  </si>
  <si>
    <t>INE208A01029</t>
  </si>
  <si>
    <t>Dr. Reddy's Laboratories Ltd</t>
  </si>
  <si>
    <t>INE089A01031</t>
  </si>
  <si>
    <t>Hindustan Petroleum Corporation Ltd</t>
  </si>
  <si>
    <t>INE094A01015</t>
  </si>
  <si>
    <t>Power Grid Corporation of India Ltd</t>
  </si>
  <si>
    <t>INE752E01010</t>
  </si>
  <si>
    <t>Steel Authority of India Ltd</t>
  </si>
  <si>
    <t>INE114A01011</t>
  </si>
  <si>
    <t>Asian Paints Ltd</t>
  </si>
  <si>
    <t>INE021A01026</t>
  </si>
  <si>
    <t>Schaeffler India Ltd</t>
  </si>
  <si>
    <t>INE513A01022</t>
  </si>
  <si>
    <t>Adani Enterprises Ltd</t>
  </si>
  <si>
    <t>INE423A01024</t>
  </si>
  <si>
    <t>MRF Ltd</t>
  </si>
  <si>
    <t>INE883A01011</t>
  </si>
  <si>
    <t>Ltm Ltd</t>
  </si>
  <si>
    <t>INE214T01019</t>
  </si>
  <si>
    <t>Eicher Motors Ltd</t>
  </si>
  <si>
    <t>INE066A01021</t>
  </si>
  <si>
    <t>United Breweries Ltd</t>
  </si>
  <si>
    <t>INE686F01025</t>
  </si>
  <si>
    <t>Laurus Labs Ltd</t>
  </si>
  <si>
    <t>INE947Q01028</t>
  </si>
  <si>
    <t>Mahindra &amp; Mahindra Financial Services Ltd</t>
  </si>
  <si>
    <t>INE774D01024</t>
  </si>
  <si>
    <t>Finance</t>
  </si>
  <si>
    <t>Nippon Life India Asset Management Ltd</t>
  </si>
  <si>
    <t>INE298J01013</t>
  </si>
  <si>
    <t>Oracle Financial Services Software Ltd</t>
  </si>
  <si>
    <t>INE881D01027</t>
  </si>
  <si>
    <t>Sub Total</t>
  </si>
  <si>
    <t xml:space="preserve">(b) Unlisted </t>
  </si>
  <si>
    <t>NIL</t>
  </si>
  <si>
    <t>Total</t>
  </si>
  <si>
    <t>TREPS</t>
  </si>
  <si>
    <t>Grand Total</t>
  </si>
  <si>
    <t>Margin on Derivatives</t>
  </si>
  <si>
    <t>Net Receivables / (Payables)</t>
  </si>
  <si>
    <t>Derivatives</t>
  </si>
  <si>
    <t>Long / Short</t>
  </si>
  <si>
    <t>Industry Classification</t>
  </si>
  <si>
    <t>Market/Fair Value (Rs. in Lakhs)</t>
  </si>
  <si>
    <t xml:space="preserve">% to Net Assets </t>
  </si>
  <si>
    <t>NIFTY 26-MAY-26 FUT</t>
  </si>
  <si>
    <t>Long</t>
  </si>
  <si>
    <t>Index</t>
  </si>
  <si>
    <t>Notes</t>
  </si>
  <si>
    <t xml:space="preserve">Scheme Risk-O-Meter </t>
  </si>
  <si>
    <t>** Non Traded Security</t>
  </si>
  <si>
    <t>Nil</t>
  </si>
  <si>
    <t>Bajaj Finance Ltd</t>
  </si>
  <si>
    <t>INE296A01032</t>
  </si>
  <si>
    <t>Hindustan Unilever Ltd</t>
  </si>
  <si>
    <t>INE030A01027</t>
  </si>
  <si>
    <t>Maruti Suzuki India Ltd</t>
  </si>
  <si>
    <t>INE585B01010</t>
  </si>
  <si>
    <t>Bharat Electronics Ltd</t>
  </si>
  <si>
    <t>INE263A01024</t>
  </si>
  <si>
    <t>Aerospace &amp; Defense</t>
  </si>
  <si>
    <t>Hindalco Industries Ltd</t>
  </si>
  <si>
    <t>INE038A01020</t>
  </si>
  <si>
    <t>Non - Ferrous Metals</t>
  </si>
  <si>
    <t>Shriram Finance Ltd</t>
  </si>
  <si>
    <t>INE721A01047</t>
  </si>
  <si>
    <t>HCL Technologies Ltd</t>
  </si>
  <si>
    <t>INE860A01027</t>
  </si>
  <si>
    <t>Adani Ports and Special Economic Zone Ltd</t>
  </si>
  <si>
    <t>INE742F01042</t>
  </si>
  <si>
    <t>Transport Infrastructure</t>
  </si>
  <si>
    <t>Bajaj Auto Ltd</t>
  </si>
  <si>
    <t>INE917I01010</t>
  </si>
  <si>
    <t>Coal India Ltd</t>
  </si>
  <si>
    <t>INE522F01014</t>
  </si>
  <si>
    <t>Consumable Fuels</t>
  </si>
  <si>
    <t>Grasim Industries Ltd</t>
  </si>
  <si>
    <t>INE047A01021</t>
  </si>
  <si>
    <t>Bajaj Finserv Ltd</t>
  </si>
  <si>
    <t>INE918I01026</t>
  </si>
  <si>
    <t>Trent Ltd</t>
  </si>
  <si>
    <t>INE849A01020</t>
  </si>
  <si>
    <t>Jio Financial Services Ltd</t>
  </si>
  <si>
    <t>INE758E01017</t>
  </si>
  <si>
    <t>Apollo Hospitals Enterprise Ltd</t>
  </si>
  <si>
    <t>INE437A01024</t>
  </si>
  <si>
    <t>Healthcare Services</t>
  </si>
  <si>
    <t>Tata Consumer Products Ltd</t>
  </si>
  <si>
    <t>INE192A01025</t>
  </si>
  <si>
    <t>Agricultural Food &amp; Other Products</t>
  </si>
  <si>
    <t>Max Healthcare Institute Ltd</t>
  </si>
  <si>
    <t>INE027H01010</t>
  </si>
  <si>
    <t>Cipla Ltd</t>
  </si>
  <si>
    <t>INE059A01026</t>
  </si>
  <si>
    <t>Tata Motors Passenger Vehicles Ltd</t>
  </si>
  <si>
    <t>INE155A01022</t>
  </si>
  <si>
    <t>Wipro Ltd</t>
  </si>
  <si>
    <t>INE075A01022</t>
  </si>
  <si>
    <t>Adani Power Ltd</t>
  </si>
  <si>
    <t>INE814H01029</t>
  </si>
  <si>
    <t>Tata Motors Ltd</t>
  </si>
  <si>
    <t>INE1TAE01010</t>
  </si>
  <si>
    <t>Divi's Laboratories Ltd</t>
  </si>
  <si>
    <t>INE361B01024</t>
  </si>
  <si>
    <t>Hindustan Aeronautics Ltd</t>
  </si>
  <si>
    <t>INE066F01020</t>
  </si>
  <si>
    <t>TVS Motor Co Ltd</t>
  </si>
  <si>
    <t>INE494B01023</t>
  </si>
  <si>
    <t>Tata Power Co Ltd</t>
  </si>
  <si>
    <t>INE245A01021</t>
  </si>
  <si>
    <t>Cummins India Ltd</t>
  </si>
  <si>
    <t>INE298A01020</t>
  </si>
  <si>
    <t>Industrial Products</t>
  </si>
  <si>
    <t>Varun Beverages Ltd</t>
  </si>
  <si>
    <t>INE200M01039</t>
  </si>
  <si>
    <t>Avenue Supermarts Ltd</t>
  </si>
  <si>
    <t>INE192R01011</t>
  </si>
  <si>
    <t>Cholamandalam Investment and Finance Co Ltd</t>
  </si>
  <si>
    <t>INE121A01024</t>
  </si>
  <si>
    <t>Power Finance Corporation Ltd</t>
  </si>
  <si>
    <t>INE134E01011</t>
  </si>
  <si>
    <t>Indian Hotels Co Ltd</t>
  </si>
  <si>
    <t>INE053A01029</t>
  </si>
  <si>
    <t>Leisure Services</t>
  </si>
  <si>
    <t>CG Power and Industrial Solutions Ltd</t>
  </si>
  <si>
    <t>INE067A01029</t>
  </si>
  <si>
    <t>Electrical Equipment</t>
  </si>
  <si>
    <t>HDFC Asset Management Co Ltd</t>
  </si>
  <si>
    <t>INE127D01025</t>
  </si>
  <si>
    <t>Bank of Baroda</t>
  </si>
  <si>
    <t>INE028A01039</t>
  </si>
  <si>
    <t>Adani Energy Solutions Ltd</t>
  </si>
  <si>
    <t>INE931S01010</t>
  </si>
  <si>
    <t>Canara Bank</t>
  </si>
  <si>
    <t>INE476A01022</t>
  </si>
  <si>
    <t>Jindal Steel Ltd</t>
  </si>
  <si>
    <t>INE749A01030</t>
  </si>
  <si>
    <t>Bajaj Holdings &amp; Investment Ltd</t>
  </si>
  <si>
    <t>INE118A01012</t>
  </si>
  <si>
    <t>REC Ltd</t>
  </si>
  <si>
    <t>INE020B01018</t>
  </si>
  <si>
    <t>GAIL (India) Ltd</t>
  </si>
  <si>
    <t>INE129A01019</t>
  </si>
  <si>
    <t>Gas</t>
  </si>
  <si>
    <t>Torrent Pharmaceuticals Ltd</t>
  </si>
  <si>
    <t>INE685A01028</t>
  </si>
  <si>
    <t>Pidilite Industries Ltd</t>
  </si>
  <si>
    <t>INE318A01026</t>
  </si>
  <si>
    <t>Chemicals &amp; Petrochemicals</t>
  </si>
  <si>
    <t>Adani Green Energy Ltd</t>
  </si>
  <si>
    <t>INE364U01010</t>
  </si>
  <si>
    <t>ABB India Ltd</t>
  </si>
  <si>
    <t>INE117A01022</t>
  </si>
  <si>
    <t>Punjab National Bank</t>
  </si>
  <si>
    <t>INE160A01022</t>
  </si>
  <si>
    <t>DLF Ltd</t>
  </si>
  <si>
    <t>INE271C01023</t>
  </si>
  <si>
    <t>Realty</t>
  </si>
  <si>
    <t>Solar Industries India Ltd</t>
  </si>
  <si>
    <t>INE343H01029</t>
  </si>
  <si>
    <t>Muthoot Finance Ltd</t>
  </si>
  <si>
    <t>INE414G01012</t>
  </si>
  <si>
    <t>Siemens Ltd</t>
  </si>
  <si>
    <t>INE003A01024</t>
  </si>
  <si>
    <t>Shree Cement Ltd</t>
  </si>
  <si>
    <t>INE070A01015</t>
  </si>
  <si>
    <t>Union Bank Of India</t>
  </si>
  <si>
    <t>INE692A01016</t>
  </si>
  <si>
    <t>Bosch Ltd</t>
  </si>
  <si>
    <t>INE323A01026</t>
  </si>
  <si>
    <t>Siemens Energy India ltd</t>
  </si>
  <si>
    <t>INE1NPP01017</t>
  </si>
  <si>
    <t>Ambuja Cements Ltd</t>
  </si>
  <si>
    <t>INE079A01024</t>
  </si>
  <si>
    <t>Hyundai Motor India Ltd</t>
  </si>
  <si>
    <t>INE0V6F01027</t>
  </si>
  <si>
    <t>Hindustan Zinc Ltd</t>
  </si>
  <si>
    <t>INE267A01025</t>
  </si>
  <si>
    <t>Lodha Developers Ltd</t>
  </si>
  <si>
    <t>INE670K01029</t>
  </si>
  <si>
    <t>Zydus Lifesciences Ltd</t>
  </si>
  <si>
    <t>INE010B01027</t>
  </si>
  <si>
    <t>Indian Railway Finance Corporation Ltd</t>
  </si>
  <si>
    <t>INE053F01010</t>
  </si>
  <si>
    <t>Mazagon Dock Shipbuilders Ltd</t>
  </si>
  <si>
    <t>INE249Z01020</t>
  </si>
  <si>
    <t>Industrial Manufacturing</t>
  </si>
  <si>
    <t>Tata Capital Ltd</t>
  </si>
  <si>
    <t>INE976I01016</t>
  </si>
  <si>
    <t>BSE Ltd</t>
  </si>
  <si>
    <t>INE118H01025</t>
  </si>
  <si>
    <t>Suzlon Energy Ltd</t>
  </si>
  <si>
    <t>INE040H01021</t>
  </si>
  <si>
    <t>IndusInd Bank Ltd</t>
  </si>
  <si>
    <t>INE095A01012</t>
  </si>
  <si>
    <t>AU Small Finance Bank Ltd</t>
  </si>
  <si>
    <t>INE949L01017</t>
  </si>
  <si>
    <t>Financial Technology (Fintech)</t>
  </si>
  <si>
    <t>Lupin Ltd</t>
  </si>
  <si>
    <t>INE326A01037</t>
  </si>
  <si>
    <t>Ge Vernova T&amp;D India Ltd</t>
  </si>
  <si>
    <t>INE200A01026</t>
  </si>
  <si>
    <t>Indus Towers Ltd</t>
  </si>
  <si>
    <t>INE121J01017</t>
  </si>
  <si>
    <t>Persistent Systems Ltd</t>
  </si>
  <si>
    <t>INE262H01021</t>
  </si>
  <si>
    <t>Bharat Heavy Electricals Ltd</t>
  </si>
  <si>
    <t>INE257A01026</t>
  </si>
  <si>
    <t>Bharat Forge Ltd</t>
  </si>
  <si>
    <t>INE465A01025</t>
  </si>
  <si>
    <t>Fortis Healthcare Ltd</t>
  </si>
  <si>
    <t>INE061F01013</t>
  </si>
  <si>
    <t>IDFC First Bank Ltd</t>
  </si>
  <si>
    <t>INE092T01019</t>
  </si>
  <si>
    <t>One 97 Communications Ltd</t>
  </si>
  <si>
    <t>INE982J01020</t>
  </si>
  <si>
    <t>Polycab India Ltd</t>
  </si>
  <si>
    <t>INE455K01017</t>
  </si>
  <si>
    <t>Hitachi Energy India Ltd</t>
  </si>
  <si>
    <t>INE07Y701011</t>
  </si>
  <si>
    <t>Marico Ltd</t>
  </si>
  <si>
    <t>INE196A01026</t>
  </si>
  <si>
    <t>Coforge Ltd</t>
  </si>
  <si>
    <t>INE591G01025</t>
  </si>
  <si>
    <t>Aurobindo Pharma Ltd</t>
  </si>
  <si>
    <t>INE406A01037</t>
  </si>
  <si>
    <t>Info Edge (India) Ltd</t>
  </si>
  <si>
    <t>INE663F01032</t>
  </si>
  <si>
    <t>Swiggy Ltd</t>
  </si>
  <si>
    <t>INE00H001014</t>
  </si>
  <si>
    <t>SRF Ltd</t>
  </si>
  <si>
    <t>INE647A01010</t>
  </si>
  <si>
    <t>Glenmark Pharmaceuticals Ltd</t>
  </si>
  <si>
    <t>INE935A01035</t>
  </si>
  <si>
    <t>FSN E-Commerce Ventures Ltd</t>
  </si>
  <si>
    <t>INE388Y01029</t>
  </si>
  <si>
    <t>UPL Ltd</t>
  </si>
  <si>
    <t>INE628A01036</t>
  </si>
  <si>
    <t>Fertilizers &amp; Agrochemicals</t>
  </si>
  <si>
    <t>National Aluminium Co Ltd</t>
  </si>
  <si>
    <t>INE139A01034</t>
  </si>
  <si>
    <t>APL Apollo Tubes Ltd</t>
  </si>
  <si>
    <t>INE702C01027</t>
  </si>
  <si>
    <t>GMR Airports Ltd</t>
  </si>
  <si>
    <t>INE776C01039</t>
  </si>
  <si>
    <t>Torrent Power Ltd</t>
  </si>
  <si>
    <t>INE813H01021</t>
  </si>
  <si>
    <t>Phoenix Mills Ltd</t>
  </si>
  <si>
    <t>INE211B01039</t>
  </si>
  <si>
    <t>Voltas Ltd</t>
  </si>
  <si>
    <t>INE226A01021</t>
  </si>
  <si>
    <t>Alkem Laboratories Ltd</t>
  </si>
  <si>
    <t>INE540L01014</t>
  </si>
  <si>
    <t>Tube Investments of India Ltd</t>
  </si>
  <si>
    <t>INE974X01010</t>
  </si>
  <si>
    <t>Havells India Ltd</t>
  </si>
  <si>
    <t>INE176B01034</t>
  </si>
  <si>
    <t>NMDC Ltd</t>
  </si>
  <si>
    <t>INE584A01023</t>
  </si>
  <si>
    <t>Minerals &amp; Mining</t>
  </si>
  <si>
    <t>Sundaram Finance Ltd</t>
  </si>
  <si>
    <t>INE660A01013</t>
  </si>
  <si>
    <t>JSW Energy Ltd</t>
  </si>
  <si>
    <t>INE121E01018</t>
  </si>
  <si>
    <t>Mphasis Ltd</t>
  </si>
  <si>
    <t>INE356A01018</t>
  </si>
  <si>
    <t>Indian Bank</t>
  </si>
  <si>
    <t>INE562A01011</t>
  </si>
  <si>
    <t>KEI Industries Ltd</t>
  </si>
  <si>
    <t>INE878B01027</t>
  </si>
  <si>
    <t>Waaree Energies Ltd</t>
  </si>
  <si>
    <t>INE377N01017</t>
  </si>
  <si>
    <t>Aditya Birla Capital Ltd</t>
  </si>
  <si>
    <t>INE674K01013</t>
  </si>
  <si>
    <t>Vodafone Idea Ltd</t>
  </si>
  <si>
    <t>INE669E01016</t>
  </si>
  <si>
    <t>Godrej Properties Ltd</t>
  </si>
  <si>
    <t>INE484J01027</t>
  </si>
  <si>
    <t>360 One Wam Ltd</t>
  </si>
  <si>
    <t>INE466L01038</t>
  </si>
  <si>
    <t>Radico Khaitan Ltd</t>
  </si>
  <si>
    <t>INE944F01028</t>
  </si>
  <si>
    <t>Oil India Ltd</t>
  </si>
  <si>
    <t>INE274J01014</t>
  </si>
  <si>
    <t>NHPC Ltd</t>
  </si>
  <si>
    <t>INE848E01016</t>
  </si>
  <si>
    <t>Vishal Mega Mart Ltd</t>
  </si>
  <si>
    <t>INE01EA01019</t>
  </si>
  <si>
    <t>Biocon Ltd</t>
  </si>
  <si>
    <t>INE376G01013</t>
  </si>
  <si>
    <t>Mankind Pharma Ltd</t>
  </si>
  <si>
    <t>INE634S01028</t>
  </si>
  <si>
    <t>PI Industries Ltd</t>
  </si>
  <si>
    <t>INE603J01030</t>
  </si>
  <si>
    <t>Jindal Stainless Ltd</t>
  </si>
  <si>
    <t>INE220G01021</t>
  </si>
  <si>
    <t>Prestige Estates Projects Ltd</t>
  </si>
  <si>
    <t>INE811K01011</t>
  </si>
  <si>
    <t>L&amp;T Finance Ltd</t>
  </si>
  <si>
    <t>INE498L01015</t>
  </si>
  <si>
    <t>Coromandel International Ltd</t>
  </si>
  <si>
    <t>INE169A01031</t>
  </si>
  <si>
    <t>Supreme Industries Ltd</t>
  </si>
  <si>
    <t>INE195A01028</t>
  </si>
  <si>
    <t>Blue Star Ltd</t>
  </si>
  <si>
    <t>INE472A01039</t>
  </si>
  <si>
    <t>Lloyds Metals And Energy Ltd</t>
  </si>
  <si>
    <t>INE281B01032</t>
  </si>
  <si>
    <t>J.K. Cement Ltd</t>
  </si>
  <si>
    <t>INE823G01014</t>
  </si>
  <si>
    <t>Apar Industries Ltd</t>
  </si>
  <si>
    <t>INE372A01015</t>
  </si>
  <si>
    <t>Petronet LNG Ltd</t>
  </si>
  <si>
    <t>INE347G01014</t>
  </si>
  <si>
    <t>Uno Minda Ltd</t>
  </si>
  <si>
    <t>INE405E01023</t>
  </si>
  <si>
    <t>Oberoi Realty Ltd</t>
  </si>
  <si>
    <t>INE093I01010</t>
  </si>
  <si>
    <t>SBI Cards and Payment Services Ltd</t>
  </si>
  <si>
    <t>INE018E01016</t>
  </si>
  <si>
    <t>Jubilant Foodworks Ltd</t>
  </si>
  <si>
    <t>INE797F01020</t>
  </si>
  <si>
    <t>Astral Ltd</t>
  </si>
  <si>
    <t>INE006I01046</t>
  </si>
  <si>
    <t>Tata Communications Ltd</t>
  </si>
  <si>
    <t>INE151A01013</t>
  </si>
  <si>
    <t>ITC Hotels Ltd</t>
  </si>
  <si>
    <t>INE379A01028</t>
  </si>
  <si>
    <t>Adani Total Gas Ltd</t>
  </si>
  <si>
    <t>INE399L01023</t>
  </si>
  <si>
    <t>Container Corporation Of India Ltd</t>
  </si>
  <si>
    <t>INE111A01025</t>
  </si>
  <si>
    <t>Balkrishna Industries Ltd</t>
  </si>
  <si>
    <t>INE787D01026</t>
  </si>
  <si>
    <t>Bank of India</t>
  </si>
  <si>
    <t>INE084A01016</t>
  </si>
  <si>
    <t>Rail Vikas Nigam Ltd</t>
  </si>
  <si>
    <t>INE415G01027</t>
  </si>
  <si>
    <t>LIC Housing Finance Ltd</t>
  </si>
  <si>
    <t>INE115A01026</t>
  </si>
  <si>
    <t>Exide Industries Ltd</t>
  </si>
  <si>
    <t>INE302A01020</t>
  </si>
  <si>
    <t>Indian Railway Catering And Tourism Corporation Ltd</t>
  </si>
  <si>
    <t>INE335Y01020</t>
  </si>
  <si>
    <t>Bank Of Maharashtra</t>
  </si>
  <si>
    <t>INE457A01014</t>
  </si>
  <si>
    <t>Patanjali Foods Ltd</t>
  </si>
  <si>
    <t>INE619A01035</t>
  </si>
  <si>
    <t>Agricultural Food &amp; other Products</t>
  </si>
  <si>
    <t>Thermax Ltd</t>
  </si>
  <si>
    <t>INE152A01029</t>
  </si>
  <si>
    <t>Linde India Ltd</t>
  </si>
  <si>
    <t>INE473A01011</t>
  </si>
  <si>
    <t>AIA Engineering Ltd</t>
  </si>
  <si>
    <t>INE212H01026</t>
  </si>
  <si>
    <t>Dalmia Bharat Ltd</t>
  </si>
  <si>
    <t>INE00R701025</t>
  </si>
  <si>
    <t>Gujarat Fluorochemicals Ltd</t>
  </si>
  <si>
    <t>INE09N301011</t>
  </si>
  <si>
    <t>Cochin Shipyard Ltd</t>
  </si>
  <si>
    <t>INE704P01025</t>
  </si>
  <si>
    <t>Berger Paints India Ltd</t>
  </si>
  <si>
    <t>INE463A01038</t>
  </si>
  <si>
    <t>Abbott India Ltd</t>
  </si>
  <si>
    <t>INE358A01014</t>
  </si>
  <si>
    <t>Bharat Dynamics Ltd</t>
  </si>
  <si>
    <t>INE171Z01026</t>
  </si>
  <si>
    <t>Authum Investment &amp; Infrastructure Ltd</t>
  </si>
  <si>
    <t>INE206F01022</t>
  </si>
  <si>
    <t>Motilal Oswal Financial Services Ltd</t>
  </si>
  <si>
    <t>INE338I01027</t>
  </si>
  <si>
    <t>HDB Financial Services Ltd</t>
  </si>
  <si>
    <t>INE756I01012</t>
  </si>
  <si>
    <t>Ajanta Pharma Ltd</t>
  </si>
  <si>
    <t>INE031B01049</t>
  </si>
  <si>
    <t>Premier Energies Ltd</t>
  </si>
  <si>
    <t>INE0BS701011</t>
  </si>
  <si>
    <t>Bharti Hexacom Ltd</t>
  </si>
  <si>
    <t>INE343G01021</t>
  </si>
  <si>
    <t>Awl Agri Business Ltd</t>
  </si>
  <si>
    <t>INE699H01024</t>
  </si>
  <si>
    <t>NTPC Green Energy Ltd</t>
  </si>
  <si>
    <t>INE0ONG01011</t>
  </si>
  <si>
    <t>L&amp;T Technology Services Ltd</t>
  </si>
  <si>
    <t>INE010V01017</t>
  </si>
  <si>
    <t>IT - Services</t>
  </si>
  <si>
    <t>Glaxosmithkline Pharmaceuticals Ltd</t>
  </si>
  <si>
    <t>INE159A01016</t>
  </si>
  <si>
    <t>Global Health Ltd</t>
  </si>
  <si>
    <t>INE474Q01031</t>
  </si>
  <si>
    <t>Godfrey Phillips India Ltd</t>
  </si>
  <si>
    <t>INE260B01028</t>
  </si>
  <si>
    <t>Cigarettes &amp; Tobacco Products</t>
  </si>
  <si>
    <t>JSW Infrastructure Ltd</t>
  </si>
  <si>
    <t>INE880J01026</t>
  </si>
  <si>
    <t>Honeywell Automation India Ltd</t>
  </si>
  <si>
    <t>INE671A01010</t>
  </si>
  <si>
    <t>Karur Vysya Bank Ltd</t>
  </si>
  <si>
    <t>INE036D01028</t>
  </si>
  <si>
    <t>Sona Blw Precision Forgings Ltd</t>
  </si>
  <si>
    <t>INE073K01018</t>
  </si>
  <si>
    <t>Delhivery Ltd</t>
  </si>
  <si>
    <t>INE148O01028</t>
  </si>
  <si>
    <t>Navin Fluorine International Ltd</t>
  </si>
  <si>
    <t>INE048G01026</t>
  </si>
  <si>
    <t>Piramal Finance Ltd</t>
  </si>
  <si>
    <t>INE202B01038</t>
  </si>
  <si>
    <t>Central Depository Services (India) Ltd</t>
  </si>
  <si>
    <t>INE736A01011</t>
  </si>
  <si>
    <t>RBL Bank Ltd</t>
  </si>
  <si>
    <t>INE976G01028</t>
  </si>
  <si>
    <t>Angel One Ltd</t>
  </si>
  <si>
    <t>INE732I01021</t>
  </si>
  <si>
    <t>PNB Housing Finance Ltd</t>
  </si>
  <si>
    <t>INE572E01012</t>
  </si>
  <si>
    <t>City Union Bank Ltd</t>
  </si>
  <si>
    <t>INE491A01021</t>
  </si>
  <si>
    <t>Ather Energy Ltd</t>
  </si>
  <si>
    <t>INE0LEZ01016</t>
  </si>
  <si>
    <t>Bandhan Bank Ltd</t>
  </si>
  <si>
    <t>INE545U01014</t>
  </si>
  <si>
    <t>Computer Age Management Services Ltd</t>
  </si>
  <si>
    <t>INE596I01020</t>
  </si>
  <si>
    <t>Aster DM Healthcare Ltd</t>
  </si>
  <si>
    <t>INE914M01019</t>
  </si>
  <si>
    <t>Hindustan Copper Ltd</t>
  </si>
  <si>
    <t>INE531E01026</t>
  </si>
  <si>
    <t>J.B. Chemicals &amp; Pharmaceuticals Ltd</t>
  </si>
  <si>
    <t>INE572A01036</t>
  </si>
  <si>
    <t>Welspun Corp Ltd</t>
  </si>
  <si>
    <t>INE191B01025</t>
  </si>
  <si>
    <t>Krishna Institute Of Medical Sciences Ltd</t>
  </si>
  <si>
    <t>INE967H01025</t>
  </si>
  <si>
    <t>Manappuram Finance Ltd</t>
  </si>
  <si>
    <t>INE522D01027</t>
  </si>
  <si>
    <t>Great Eastern Shipping Co Ltd</t>
  </si>
  <si>
    <t>INE017A01032</t>
  </si>
  <si>
    <t>Cholamandalam Financial Holdings Ltd</t>
  </si>
  <si>
    <t>INE149A01033</t>
  </si>
  <si>
    <t>Anand Rathi Wealth Ltd</t>
  </si>
  <si>
    <t>INE463V01026</t>
  </si>
  <si>
    <t>Poonawalla Fincorp Ltd</t>
  </si>
  <si>
    <t>INE511C01022</t>
  </si>
  <si>
    <t>Sai Life Sciences Ltd</t>
  </si>
  <si>
    <t>INE570L01029</t>
  </si>
  <si>
    <t>Himadri Speciality Chemical Ltd</t>
  </si>
  <si>
    <t>INE019C01026</t>
  </si>
  <si>
    <t>Kalpataru Projects International Ltd</t>
  </si>
  <si>
    <t>INE220B01022</t>
  </si>
  <si>
    <t>Kirloskar Oil Engines Ltd</t>
  </si>
  <si>
    <t>INE146L01010</t>
  </si>
  <si>
    <t>Gland Pharma Ltd</t>
  </si>
  <si>
    <t>INE068V01023</t>
  </si>
  <si>
    <t>Acutaas Chemicals Ltd</t>
  </si>
  <si>
    <t>INE00FF01025</t>
  </si>
  <si>
    <t>Neuland Laboratories Ltd</t>
  </si>
  <si>
    <t>INE794A01010</t>
  </si>
  <si>
    <t>Redington Ltd</t>
  </si>
  <si>
    <t>INE891D01026</t>
  </si>
  <si>
    <t>Commercial Services &amp; Supplies</t>
  </si>
  <si>
    <t>Tata Chemicals Ltd</t>
  </si>
  <si>
    <t>INE092A01019</t>
  </si>
  <si>
    <t>Kaynes Technology India Ltd</t>
  </si>
  <si>
    <t>INE918Z01012</t>
  </si>
  <si>
    <t>Timken India Ltd</t>
  </si>
  <si>
    <t>INE325A01013</t>
  </si>
  <si>
    <t>Narayana Hrudayalaya Ltd</t>
  </si>
  <si>
    <t>INE410P01011</t>
  </si>
  <si>
    <t>Data Patterns India Ltd</t>
  </si>
  <si>
    <t>INE0IX101010</t>
  </si>
  <si>
    <t>Kfin Technologies Ltd</t>
  </si>
  <si>
    <t>INE138Y01010</t>
  </si>
  <si>
    <t>Elgi Equipments Ltd</t>
  </si>
  <si>
    <t>INE285A01027</t>
  </si>
  <si>
    <t>Deepak Nitrite Ltd</t>
  </si>
  <si>
    <t>INE288B01029</t>
  </si>
  <si>
    <t>HFCL Ltd</t>
  </si>
  <si>
    <t>INE548A01028</t>
  </si>
  <si>
    <t>CESC Ltd</t>
  </si>
  <si>
    <t>INE486A01021</t>
  </si>
  <si>
    <t>The Ramco Cements Ltd</t>
  </si>
  <si>
    <t>INE331A01037</t>
  </si>
  <si>
    <t>Indraprastha Gas Ltd</t>
  </si>
  <si>
    <t>INE203G01027</t>
  </si>
  <si>
    <t>Wockhardt Ltd</t>
  </si>
  <si>
    <t>INE049B01025</t>
  </si>
  <si>
    <t>ZF Commercial Vehicle Control Systems India Ltd</t>
  </si>
  <si>
    <t>INE342J01019</t>
  </si>
  <si>
    <t>Carborundum Universal Ltd</t>
  </si>
  <si>
    <t>INE120A01034</t>
  </si>
  <si>
    <t>Brigade Enterprises Ltd</t>
  </si>
  <si>
    <t>INE791I01019</t>
  </si>
  <si>
    <t>Atul Ltd</t>
  </si>
  <si>
    <t>INE100A01010</t>
  </si>
  <si>
    <t>Amara Raja Energy And Mobility Ltd</t>
  </si>
  <si>
    <t>INE885A01032</t>
  </si>
  <si>
    <t>Dr. Lal Path Labs Ltd</t>
  </si>
  <si>
    <t>INE600L01024</t>
  </si>
  <si>
    <t>Aarti Industries Ltd</t>
  </si>
  <si>
    <t>INE769A01020</t>
  </si>
  <si>
    <t>Motherson Sumi Wiring India Ltd</t>
  </si>
  <si>
    <t>INE0FS801015</t>
  </si>
  <si>
    <t>Granules India Ltd</t>
  </si>
  <si>
    <t>INE101D01020</t>
  </si>
  <si>
    <t>Asahi India Glass Ltd</t>
  </si>
  <si>
    <t>INE439A01020</t>
  </si>
  <si>
    <t>Piramal Pharma Ltd</t>
  </si>
  <si>
    <t>INE0DK501011</t>
  </si>
  <si>
    <t>Kajaria Ceramics Ltd</t>
  </si>
  <si>
    <t>INE217B01036</t>
  </si>
  <si>
    <t>Natco Pharma Ltd</t>
  </si>
  <si>
    <t>INE987B01026</t>
  </si>
  <si>
    <t>Inox Wind Ltd</t>
  </si>
  <si>
    <t>INE066P01011</t>
  </si>
  <si>
    <t>PTC Industries Ltd</t>
  </si>
  <si>
    <t>INE596F01018</t>
  </si>
  <si>
    <t>Onesource Specialty Pharma Ltd</t>
  </si>
  <si>
    <t>INE013P01021</t>
  </si>
  <si>
    <t>Syngene International Ltd</t>
  </si>
  <si>
    <t>INE398R01022</t>
  </si>
  <si>
    <t>Aegis Logistics Ltd</t>
  </si>
  <si>
    <t>INE208C01025</t>
  </si>
  <si>
    <t>PG Electroplast Ltd</t>
  </si>
  <si>
    <t>INE457L01029</t>
  </si>
  <si>
    <t>CCL Products (India) Ltd</t>
  </si>
  <si>
    <t>INE421D01022</t>
  </si>
  <si>
    <t>Syrma SGS Technology Ltd</t>
  </si>
  <si>
    <t>INE0DYJ01015</t>
  </si>
  <si>
    <t>CarTrade Tech Ltd</t>
  </si>
  <si>
    <t>INE290S01011</t>
  </si>
  <si>
    <t>Netweb Technologies India Ltd</t>
  </si>
  <si>
    <t>INE0NT901020</t>
  </si>
  <si>
    <t>Aditya Infotech Ltd</t>
  </si>
  <si>
    <t>INE819V01029</t>
  </si>
  <si>
    <t>Benchmark Risk-O-Meter</t>
  </si>
  <si>
    <t>Benchmark Name - Nifty 500 Index (TRI)</t>
  </si>
  <si>
    <t>-</t>
  </si>
  <si>
    <t>(1) There is no security which is in default beyond its maturity/ interest payment date.</t>
  </si>
  <si>
    <t>Plan/ Option</t>
  </si>
  <si>
    <t>As on April 30, 2026</t>
  </si>
  <si>
    <t>Direct Plan - Growth Option</t>
  </si>
  <si>
    <t>(2) Aggregate value of illiquid equity shares of the fund amounts to Rs. Nil and their percentage to net asset value is Nil.</t>
  </si>
  <si>
    <t>(3) Plan/ Option wise per unit net asset value are as follows:</t>
  </si>
  <si>
    <t>As on March 31, 2026</t>
  </si>
  <si>
    <t>Underlying</t>
  </si>
  <si>
    <t>Long/Short</t>
  </si>
  <si>
    <t>Futures Price When purchased</t>
  </si>
  <si>
    <t>Current price of the contract</t>
  </si>
  <si>
    <t>Margin maintained
in Rs. Lakhs</t>
  </si>
  <si>
    <t>Number of contracts bought</t>
  </si>
  <si>
    <t>Number of contracts Sold</t>
  </si>
  <si>
    <t>Gross Notional Value of contracts where futures were bought  in Rs. Lakhs</t>
  </si>
  <si>
    <t>Gross Notional Value of contracts where futures were  sold in Rs. Lakhs</t>
  </si>
  <si>
    <t>Net Profit/Loss value on all contracts in Rs. Lakhs</t>
  </si>
  <si>
    <t xml:space="preserve">     </t>
  </si>
  <si>
    <t>Number of Contracts</t>
  </si>
  <si>
    <t>Option Price when purchased</t>
  </si>
  <si>
    <t>Current Option Price</t>
  </si>
  <si>
    <t>Total percentage of existing assets hedged through put options: Nil</t>
  </si>
  <si>
    <t>Number of contracts entered</t>
  </si>
  <si>
    <t>Gross Notional Value of contracts in Rs. Lakhs</t>
  </si>
  <si>
    <t>Net profit/ (loss) on all contracts (premium paid treated as (loss))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</si>
  <si>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</si>
  <si>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</si>
  <si>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</si>
  <si>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</si>
  <si>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</si>
  <si>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(6) Total market value of investments in foreign securities/ American Depository Receipts/ Global Depository Receipts as at April 30, 2026 is Rs. Nil.</t>
  </si>
  <si>
    <t>(8) Repo transactions in corporate debt securities as on April 30, 2026 is Rs. Nil.</t>
  </si>
  <si>
    <t>e) Hedging positions through Swaps as on April 30, 2026  - Nil</t>
  </si>
  <si>
    <t>(5) Exposure to Derivative Instruments as on April 30, 2026:</t>
  </si>
  <si>
    <t>a)  Hedging positions through futures as on April 30, 2026 is :</t>
  </si>
  <si>
    <t>b) Other than Hedging Positions through Futures as on April 30, 2026 is :</t>
  </si>
  <si>
    <t>c) Hedging positions through Put options as on April 30, 2026</t>
  </si>
  <si>
    <t>d) Other than hedging positions through options as on April 30, 2026</t>
  </si>
  <si>
    <t>For the period ended April 30, 2026, following details specified for non-hedging transactions through options which have already been exercised/ expired:</t>
  </si>
  <si>
    <t>For the Month ended April 30, 2026 following were the non-hedging transactions through futures which have been squared off/expired:</t>
  </si>
  <si>
    <t>For the Month ended April 30, 2026, following details specified for hedging transactions through Put options which have already been exercised/ expired:</t>
  </si>
  <si>
    <t>Vedanta Iron And Steel Ltd **</t>
  </si>
  <si>
    <t>Talwandi Sabo Power Ltd **</t>
  </si>
  <si>
    <t>Malco Energy Ltd **</t>
  </si>
  <si>
    <t>Vedanta Aluminium Metal Ltd **</t>
  </si>
  <si>
    <t>For the Month ended April 30, 2026 following were the hedging transactions through futures which have been squared off/expired:</t>
  </si>
  <si>
    <t>(4) There was no distribution (of income and capital) during the Month ended April 30, 2026.</t>
  </si>
  <si>
    <t>(7) During the period, the portfolio turnover ratio is 0.38 times.</t>
  </si>
  <si>
    <t>Total percentage of existing assets hedged through futures:Nil</t>
  </si>
  <si>
    <t>Total exposure due to futures (non hedging positions) as a percentage of net assets: 0.33%.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</si>
</sst>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_);_(* \(#,##0.00\);_(* &quot;-&quot;??_);_(@_)"/>
    <numFmt numFmtId="165" formatCode="#,##0.00%"/>
    <numFmt numFmtId="166" formatCode="#,##0;\(#,##0.\)"/>
    <numFmt numFmtId="169" formatCode="#,##0.0000_ ;\-#,##0.0000\ "/>
  </numFmts>
  <fonts count="1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43" fontId="11" fillId="0" borderId="0" applyFont="0" applyFill="0" applyBorder="0" applyAlignment="0" applyProtection="0"/>
  </cellStyleXfs>
  <cellXfs count="100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/>
    <xf numFmtId="0" fontId="5" fillId="2" borderId="0" xfId="0" applyFont="1" applyFill="1"/>
    <xf numFmtId="165" fontId="6" fillId="2" borderId="0" xfId="0" applyNumberFormat="1" applyFont="1" applyFill="1"/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 wrapText="1"/>
    </xf>
    <xf numFmtId="39" fontId="5" fillId="0" borderId="5" xfId="0" applyNumberFormat="1" applyFont="1" applyBorder="1" applyAlignment="1">
      <alignment horizontal="center" vertical="center" wrapText="1"/>
    </xf>
    <xf numFmtId="0" fontId="5" fillId="2" borderId="6" xfId="0" applyFont="1" applyFill="1" applyBorder="1"/>
    <xf numFmtId="0" fontId="6" fillId="2" borderId="6" xfId="0" applyFont="1" applyFill="1" applyBorder="1"/>
    <xf numFmtId="39" fontId="6" fillId="2" borderId="6" xfId="0" applyNumberFormat="1" applyFont="1" applyFill="1" applyBorder="1"/>
    <xf numFmtId="39" fontId="6" fillId="3" borderId="6" xfId="0" applyNumberFormat="1" applyFont="1" applyFill="1" applyBorder="1"/>
    <xf numFmtId="3" fontId="6" fillId="2" borderId="6" xfId="0" applyNumberFormat="1" applyFont="1" applyFill="1" applyBorder="1"/>
    <xf numFmtId="165" fontId="6" fillId="2" borderId="6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39" fontId="5" fillId="2" borderId="6" xfId="0" applyNumberFormat="1" applyFont="1" applyFill="1" applyBorder="1" applyAlignment="1">
      <alignment horizontal="right"/>
    </xf>
    <xf numFmtId="39" fontId="5" fillId="3" borderId="6" xfId="0" applyNumberFormat="1" applyFont="1" applyFill="1" applyBorder="1" applyAlignment="1">
      <alignment horizontal="right"/>
    </xf>
    <xf numFmtId="39" fontId="5" fillId="2" borderId="8" xfId="0" applyNumberFormat="1" applyFont="1" applyFill="1" applyBorder="1" applyAlignment="1">
      <alignment horizontal="right"/>
    </xf>
    <xf numFmtId="39" fontId="5" fillId="3" borderId="8" xfId="0" applyNumberFormat="1" applyFont="1" applyFill="1" applyBorder="1" applyAlignment="1">
      <alignment horizontal="right"/>
    </xf>
    <xf numFmtId="0" fontId="5" fillId="2" borderId="9" xfId="0" applyFont="1" applyFill="1" applyBorder="1"/>
    <xf numFmtId="39" fontId="5" fillId="2" borderId="9" xfId="0" applyNumberFormat="1" applyFont="1" applyFill="1" applyBorder="1"/>
    <xf numFmtId="39" fontId="5" fillId="3" borderId="9" xfId="0" applyNumberFormat="1" applyFont="1" applyFill="1" applyBorder="1"/>
    <xf numFmtId="0" fontId="5" fillId="2" borderId="10" xfId="0" applyFont="1" applyFill="1" applyBorder="1"/>
    <xf numFmtId="39" fontId="5" fillId="2" borderId="10" xfId="0" applyNumberFormat="1" applyFont="1" applyFill="1" applyBorder="1"/>
    <xf numFmtId="39" fontId="5" fillId="3" borderId="10" xfId="0" applyNumberFormat="1" applyFont="1" applyFill="1" applyBorder="1"/>
    <xf numFmtId="0" fontId="5" fillId="2" borderId="11" xfId="0" applyFont="1" applyFill="1" applyBorder="1"/>
    <xf numFmtId="0" fontId="5" fillId="2" borderId="7" xfId="0" applyFont="1" applyFill="1" applyBorder="1"/>
    <xf numFmtId="0" fontId="5" fillId="2" borderId="1" xfId="0" applyFont="1" applyFill="1" applyBorder="1"/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6" fillId="2" borderId="1" xfId="0" applyFont="1" applyFill="1" applyBorder="1"/>
    <xf numFmtId="166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0" fontId="10" fillId="2" borderId="5" xfId="0" applyFont="1" applyFill="1" applyBorder="1"/>
    <xf numFmtId="0" fontId="9" fillId="2" borderId="0" xfId="1" applyFill="1"/>
    <xf numFmtId="0" fontId="5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/>
    <xf numFmtId="0" fontId="6" fillId="2" borderId="0" xfId="0" applyFont="1" applyFill="1" applyAlignment="1">
      <alignment vertical="center"/>
    </xf>
    <xf numFmtId="0" fontId="6" fillId="2" borderId="10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5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5" fillId="2" borderId="10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0" fontId="12" fillId="3" borderId="0" xfId="0" applyFont="1" applyFill="1"/>
    <xf numFmtId="0" fontId="12" fillId="3" borderId="0" xfId="0" applyFont="1" applyFill="1" applyAlignment="1">
      <alignment horizontal="left"/>
    </xf>
    <xf numFmtId="0" fontId="12" fillId="3" borderId="12" xfId="0" applyFont="1" applyFill="1" applyBorder="1" applyAlignment="1">
      <alignment horizontal="justify" vertical="center"/>
    </xf>
    <xf numFmtId="43" fontId="12" fillId="3" borderId="11" xfId="2" applyFont="1" applyFill="1" applyBorder="1" applyAlignment="1">
      <alignment horizontal="justify" vertical="center"/>
    </xf>
    <xf numFmtId="43" fontId="12" fillId="3" borderId="13" xfId="2" applyFont="1" applyFill="1" applyBorder="1" applyAlignment="1">
      <alignment horizontal="center" vertical="center"/>
    </xf>
    <xf numFmtId="43" fontId="12" fillId="3" borderId="11" xfId="2" applyFont="1" applyFill="1" applyBorder="1" applyAlignment="1">
      <alignment horizontal="right" vertical="center"/>
    </xf>
    <xf numFmtId="43" fontId="12" fillId="3" borderId="0" xfId="2" applyFont="1" applyFill="1" applyAlignment="1">
      <alignment horizontal="justify" vertical="center"/>
    </xf>
    <xf numFmtId="2" fontId="12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justify" vertical="center"/>
    </xf>
    <xf numFmtId="0" fontId="6" fillId="3" borderId="0" xfId="0" applyFont="1" applyFill="1"/>
    <xf numFmtId="0" fontId="3" fillId="3" borderId="0" xfId="0" applyFont="1" applyFill="1" applyAlignment="1">
      <alignment vertical="top"/>
    </xf>
    <xf numFmtId="169" fontId="13" fillId="3" borderId="0" xfId="0" applyNumberFormat="1" applyFont="1" applyFill="1" applyAlignment="1">
      <alignment horizontal="center" vertical="top"/>
    </xf>
    <xf numFmtId="0" fontId="13" fillId="3" borderId="0" xfId="0" applyFont="1" applyFill="1" applyAlignment="1">
      <alignment vertical="top"/>
    </xf>
    <xf numFmtId="0" fontId="14" fillId="3" borderId="0" xfId="0" applyFont="1" applyFill="1" applyAlignment="1">
      <alignment vertical="top"/>
    </xf>
    <xf numFmtId="0" fontId="12" fillId="3" borderId="0" xfId="0" applyFont="1" applyFill="1" applyAlignment="1">
      <alignment vertical="top"/>
    </xf>
    <xf numFmtId="169" fontId="12" fillId="3" borderId="0" xfId="0" applyNumberFormat="1" applyFont="1" applyFill="1" applyAlignment="1">
      <alignment horizontal="center" vertical="top"/>
    </xf>
    <xf numFmtId="3" fontId="12" fillId="3" borderId="0" xfId="0" applyNumberFormat="1" applyFont="1" applyFill="1" applyAlignment="1">
      <alignment horizontal="center" vertical="center"/>
    </xf>
    <xf numFmtId="3" fontId="12" fillId="3" borderId="0" xfId="0" applyNumberFormat="1" applyFont="1" applyFill="1" applyAlignment="1">
      <alignment horizontal="left" vertical="center"/>
    </xf>
    <xf numFmtId="3" fontId="3" fillId="3" borderId="0" xfId="0" applyNumberFormat="1" applyFont="1" applyFill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39" fontId="5" fillId="3" borderId="1" xfId="0" applyNumberFormat="1" applyFont="1" applyFill="1" applyBorder="1" applyAlignment="1">
      <alignment vertical="center" wrapText="1"/>
    </xf>
    <xf numFmtId="39" fontId="5" fillId="2" borderId="1" xfId="0" applyNumberFormat="1" applyFont="1" applyFill="1" applyBorder="1" applyAlignment="1">
      <alignment vertical="center" wrapText="1"/>
    </xf>
    <xf numFmtId="39" fontId="6" fillId="0" borderId="6" xfId="0" applyNumberFormat="1" applyFont="1" applyFill="1" applyBorder="1"/>
    <xf numFmtId="3" fontId="12" fillId="0" borderId="12" xfId="0" applyNumberFormat="1" applyFont="1" applyFill="1" applyBorder="1" applyAlignment="1">
      <alignment horizontal="center" vertical="center"/>
    </xf>
    <xf numFmtId="4" fontId="12" fillId="0" borderId="12" xfId="0" applyNumberFormat="1" applyFont="1" applyFill="1" applyBorder="1" applyAlignment="1">
      <alignment horizontal="center" vertical="center"/>
    </xf>
    <xf numFmtId="43" fontId="12" fillId="0" borderId="11" xfId="2" applyFont="1" applyFill="1" applyBorder="1" applyAlignment="1">
      <alignment horizontal="left" vertical="center"/>
    </xf>
    <xf numFmtId="164" fontId="12" fillId="0" borderId="11" xfId="0" applyNumberFormat="1" applyFont="1" applyFill="1" applyBorder="1" applyAlignment="1">
      <alignment vertical="center"/>
    </xf>
    <xf numFmtId="0" fontId="12" fillId="0" borderId="12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3" fontId="12" fillId="3" borderId="10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</cellXfs>
  <cellStyles count="3">
    <cellStyle name="Comma" xfId="2" builtinId="3"/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1171575</xdr:colOff>
      <xdr:row>381</xdr:row>
      <xdr:rowOff>9525</xdr:rowOff>
    </xdr:from>
    <xdr:to>
      <xdr:col>3</xdr:col>
      <xdr:colOff>343921</xdr:colOff>
      <xdr:row>399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2696D5-5D3B-4451-B3D1-F1FE8CF15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225" y="38554025"/>
          <a:ext cx="5158014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1190625</xdr:colOff>
      <xdr:row>403</xdr:row>
      <xdr:rowOff>15875</xdr:rowOff>
    </xdr:from>
    <xdr:to>
      <xdr:col>3</xdr:col>
      <xdr:colOff>412750</xdr:colOff>
      <xdr:row>423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DEDD61-ACA8-4EE5-824E-458993025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0688" y="52768500"/>
          <a:ext cx="5230812" cy="2543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9BF7-4A23-48EF-BE05-FD0541FF9F24}">
  <dimension ref="A1:I403"/>
  <sheetViews>
    <sheetView tabSelected="1" view="pageBreakPreview" topLeftCell="A312" zoomScale="80" zoomScaleNormal="100" zoomScaleSheetLayoutView="80" workbookViewId="0">
      <selection activeCell="B347" sqref="B347"/>
    </sheetView>
  </sheetViews>
  <sheetFormatPr defaultColWidth="9.1796875" defaultRowHeight="10" x14ac:dyDescent="0.2"/>
  <cols>
    <col min="1" max="1" width="7.1796875" style="6" customWidth="1"/>
    <col min="2" max="2" width="65.54296875" style="6" bestFit="1" customWidth="1"/>
    <col min="3" max="3" width="20.453125" style="6" customWidth="1"/>
    <col min="4" max="4" width="35.1796875" style="6" customWidth="1"/>
    <col min="5" max="5" width="19.54296875" style="6" customWidth="1"/>
    <col min="6" max="6" width="31.54296875" style="8" bestFit="1" customWidth="1"/>
    <col min="7" max="7" width="17" style="10" bestFit="1" customWidth="1"/>
    <col min="8" max="8" width="14.453125" style="6" bestFit="1" customWidth="1"/>
    <col min="9" max="16384" width="9.1796875" style="6"/>
  </cols>
  <sheetData>
    <row r="1" spans="1:8" s="1" customFormat="1" ht="16.75" customHeight="1" x14ac:dyDescent="0.35">
      <c r="B1" s="98" t="s">
        <v>7</v>
      </c>
      <c r="C1" s="99"/>
      <c r="D1" s="9"/>
      <c r="F1" s="5"/>
      <c r="G1" s="10"/>
    </row>
    <row r="2" spans="1:8" s="1" customFormat="1" ht="14.5" x14ac:dyDescent="0.35">
      <c r="A2" s="45" t="s">
        <v>647</v>
      </c>
      <c r="F2" s="5"/>
      <c r="G2" s="10"/>
    </row>
    <row r="3" spans="1:8" s="1" customFormat="1" ht="11.5" x14ac:dyDescent="0.25">
      <c r="B3" s="7" t="s">
        <v>6</v>
      </c>
      <c r="C3" s="2"/>
      <c r="D3" s="3"/>
      <c r="E3" s="3"/>
      <c r="F3" s="4"/>
      <c r="G3" s="10"/>
    </row>
    <row r="4" spans="1:8" s="1" customFormat="1" ht="25.5" customHeight="1" x14ac:dyDescent="0.25">
      <c r="B4" s="13" t="s">
        <v>4</v>
      </c>
      <c r="C4" s="13" t="s">
        <v>5</v>
      </c>
      <c r="D4" s="14" t="s">
        <v>153</v>
      </c>
      <c r="E4" s="14" t="s">
        <v>0</v>
      </c>
      <c r="F4" s="15" t="s">
        <v>1</v>
      </c>
      <c r="G4" s="16" t="s">
        <v>2</v>
      </c>
      <c r="H4" s="44" t="s">
        <v>3</v>
      </c>
    </row>
    <row r="5" spans="1:8" ht="10.5" x14ac:dyDescent="0.25">
      <c r="B5" s="17" t="s">
        <v>8</v>
      </c>
      <c r="C5" s="18"/>
      <c r="D5" s="18"/>
      <c r="E5" s="18"/>
      <c r="F5" s="19"/>
      <c r="G5" s="20"/>
      <c r="H5" s="18"/>
    </row>
    <row r="6" spans="1:8" ht="10.5" x14ac:dyDescent="0.25">
      <c r="B6" s="17" t="s">
        <v>9</v>
      </c>
      <c r="C6" s="18"/>
      <c r="D6" s="18"/>
      <c r="E6" s="18"/>
      <c r="F6" s="19"/>
      <c r="G6" s="20"/>
      <c r="H6" s="18"/>
    </row>
    <row r="7" spans="1:8" x14ac:dyDescent="0.2">
      <c r="B7" s="18" t="s">
        <v>10</v>
      </c>
      <c r="C7" s="18" t="s">
        <v>11</v>
      </c>
      <c r="D7" s="18" t="s">
        <v>12</v>
      </c>
      <c r="E7" s="21">
        <v>121540</v>
      </c>
      <c r="F7" s="19">
        <v>937.92417999999998</v>
      </c>
      <c r="G7" s="20">
        <v>6.5672343139537901</v>
      </c>
      <c r="H7" s="22"/>
    </row>
    <row r="8" spans="1:8" x14ac:dyDescent="0.2">
      <c r="B8" s="18" t="s">
        <v>26</v>
      </c>
      <c r="C8" s="18" t="s">
        <v>27</v>
      </c>
      <c r="D8" s="18" t="s">
        <v>28</v>
      </c>
      <c r="E8" s="21">
        <v>54570</v>
      </c>
      <c r="F8" s="19">
        <v>780.78755999999998</v>
      </c>
      <c r="G8" s="20">
        <v>5.4669822628309399</v>
      </c>
      <c r="H8" s="22"/>
    </row>
    <row r="9" spans="1:8" x14ac:dyDescent="0.2">
      <c r="B9" s="18" t="s">
        <v>13</v>
      </c>
      <c r="C9" s="18" t="s">
        <v>14</v>
      </c>
      <c r="D9" s="18" t="s">
        <v>12</v>
      </c>
      <c r="E9" s="21">
        <v>57014</v>
      </c>
      <c r="F9" s="19">
        <v>720.31487600000003</v>
      </c>
      <c r="G9" s="20">
        <v>5.0435596729349399</v>
      </c>
      <c r="H9" s="22"/>
    </row>
    <row r="10" spans="1:8" x14ac:dyDescent="0.2">
      <c r="B10" s="18" t="s">
        <v>15</v>
      </c>
      <c r="C10" s="18" t="s">
        <v>16</v>
      </c>
      <c r="D10" s="18" t="s">
        <v>17</v>
      </c>
      <c r="E10" s="21">
        <v>36538</v>
      </c>
      <c r="F10" s="19">
        <v>689.39898400000004</v>
      </c>
      <c r="G10" s="20">
        <v>4.8270902491603103</v>
      </c>
      <c r="H10" s="22"/>
    </row>
    <row r="11" spans="1:8" x14ac:dyDescent="0.2">
      <c r="B11" s="18" t="s">
        <v>23</v>
      </c>
      <c r="C11" s="18" t="s">
        <v>24</v>
      </c>
      <c r="D11" s="18" t="s">
        <v>25</v>
      </c>
      <c r="E11" s="21">
        <v>9490</v>
      </c>
      <c r="F11" s="19">
        <v>380.92860000000002</v>
      </c>
      <c r="G11" s="20">
        <v>2.6672170591511799</v>
      </c>
      <c r="H11" s="22"/>
    </row>
    <row r="12" spans="1:8" x14ac:dyDescent="0.2">
      <c r="B12" s="18" t="s">
        <v>43</v>
      </c>
      <c r="C12" s="18" t="s">
        <v>44</v>
      </c>
      <c r="D12" s="18" t="s">
        <v>45</v>
      </c>
      <c r="E12" s="21">
        <v>117153</v>
      </c>
      <c r="F12" s="19">
        <v>368.91479700000002</v>
      </c>
      <c r="G12" s="20">
        <v>2.5830978297027101</v>
      </c>
      <c r="H12" s="22"/>
    </row>
    <row r="13" spans="1:8" x14ac:dyDescent="0.2">
      <c r="B13" s="18" t="s">
        <v>18</v>
      </c>
      <c r="C13" s="18" t="s">
        <v>19</v>
      </c>
      <c r="D13" s="18" t="s">
        <v>12</v>
      </c>
      <c r="E13" s="21">
        <v>33268</v>
      </c>
      <c r="F13" s="19">
        <v>355.45194600000002</v>
      </c>
      <c r="G13" s="20">
        <v>2.48883253733031</v>
      </c>
      <c r="H13" s="22"/>
    </row>
    <row r="14" spans="1:8" x14ac:dyDescent="0.2">
      <c r="B14" s="18" t="s">
        <v>59</v>
      </c>
      <c r="C14" s="18" t="s">
        <v>60</v>
      </c>
      <c r="D14" s="18" t="s">
        <v>12</v>
      </c>
      <c r="E14" s="21">
        <v>23246</v>
      </c>
      <c r="F14" s="19">
        <v>294.82901800000002</v>
      </c>
      <c r="G14" s="20">
        <v>2.0643579566942201</v>
      </c>
      <c r="H14" s="22"/>
    </row>
    <row r="15" spans="1:8" x14ac:dyDescent="0.2">
      <c r="B15" s="18" t="s">
        <v>64</v>
      </c>
      <c r="C15" s="18" t="s">
        <v>65</v>
      </c>
      <c r="D15" s="18" t="s">
        <v>12</v>
      </c>
      <c r="E15" s="21">
        <v>57860</v>
      </c>
      <c r="F15" s="19">
        <v>221.77737999999999</v>
      </c>
      <c r="G15" s="20">
        <v>1.5528590168074901</v>
      </c>
      <c r="H15" s="22"/>
    </row>
    <row r="16" spans="1:8" x14ac:dyDescent="0.2">
      <c r="B16" s="18" t="s">
        <v>20</v>
      </c>
      <c r="C16" s="18" t="s">
        <v>21</v>
      </c>
      <c r="D16" s="18" t="s">
        <v>22</v>
      </c>
      <c r="E16" s="21">
        <v>7006</v>
      </c>
      <c r="F16" s="19">
        <v>217.01085</v>
      </c>
      <c r="G16" s="20">
        <v>1.5194843368045801</v>
      </c>
      <c r="H16" s="22"/>
    </row>
    <row r="17" spans="2:8" x14ac:dyDescent="0.2">
      <c r="B17" s="18" t="s">
        <v>72</v>
      </c>
      <c r="C17" s="18" t="s">
        <v>73</v>
      </c>
      <c r="D17" s="18" t="s">
        <v>74</v>
      </c>
      <c r="E17" s="21">
        <v>10202</v>
      </c>
      <c r="F17" s="19">
        <v>184.482766</v>
      </c>
      <c r="G17" s="20">
        <v>1.29172653508976</v>
      </c>
      <c r="H17" s="22"/>
    </row>
    <row r="18" spans="2:8" x14ac:dyDescent="0.2">
      <c r="B18" s="18" t="s">
        <v>179</v>
      </c>
      <c r="C18" s="18" t="s">
        <v>180</v>
      </c>
      <c r="D18" s="18" t="s">
        <v>181</v>
      </c>
      <c r="E18" s="21">
        <v>10927</v>
      </c>
      <c r="F18" s="19">
        <v>181.09317100000001</v>
      </c>
      <c r="G18" s="20">
        <v>1.2679929913033099</v>
      </c>
      <c r="H18" s="22"/>
    </row>
    <row r="19" spans="2:8" x14ac:dyDescent="0.2">
      <c r="B19" s="18" t="s">
        <v>32</v>
      </c>
      <c r="C19" s="18" t="s">
        <v>33</v>
      </c>
      <c r="D19" s="18" t="s">
        <v>34</v>
      </c>
      <c r="E19" s="21">
        <v>14760</v>
      </c>
      <c r="F19" s="19">
        <v>174.43368000000001</v>
      </c>
      <c r="G19" s="20">
        <v>1.2213640219886801</v>
      </c>
      <c r="H19" s="22"/>
    </row>
    <row r="20" spans="2:8" x14ac:dyDescent="0.2">
      <c r="B20" s="18" t="s">
        <v>163</v>
      </c>
      <c r="C20" s="18" t="s">
        <v>164</v>
      </c>
      <c r="D20" s="18" t="s">
        <v>138</v>
      </c>
      <c r="E20" s="21">
        <v>18457</v>
      </c>
      <c r="F20" s="19">
        <v>172.94209000000001</v>
      </c>
      <c r="G20" s="20">
        <v>1.2109200850061099</v>
      </c>
      <c r="H20" s="22"/>
    </row>
    <row r="21" spans="2:8" x14ac:dyDescent="0.2">
      <c r="B21" s="18" t="s">
        <v>52</v>
      </c>
      <c r="C21" s="18" t="s">
        <v>53</v>
      </c>
      <c r="D21" s="18" t="s">
        <v>54</v>
      </c>
      <c r="E21" s="21">
        <v>3421</v>
      </c>
      <c r="F21" s="19">
        <v>146.94221300000001</v>
      </c>
      <c r="G21" s="20">
        <v>1.0288720175461401</v>
      </c>
      <c r="H21" s="22"/>
    </row>
    <row r="22" spans="2:8" x14ac:dyDescent="0.2">
      <c r="B22" s="18" t="s">
        <v>29</v>
      </c>
      <c r="C22" s="18" t="s">
        <v>30</v>
      </c>
      <c r="D22" s="18" t="s">
        <v>31</v>
      </c>
      <c r="E22" s="21">
        <v>35515</v>
      </c>
      <c r="F22" s="19">
        <v>141.75812250000001</v>
      </c>
      <c r="G22" s="20">
        <v>0.99257362824750395</v>
      </c>
      <c r="H22" s="22"/>
    </row>
    <row r="23" spans="2:8" x14ac:dyDescent="0.2">
      <c r="B23" s="18" t="s">
        <v>46</v>
      </c>
      <c r="C23" s="18" t="s">
        <v>47</v>
      </c>
      <c r="D23" s="18" t="s">
        <v>48</v>
      </c>
      <c r="E23" s="21">
        <v>66730</v>
      </c>
      <c r="F23" s="19">
        <v>141.04052799999999</v>
      </c>
      <c r="G23" s="20">
        <v>0.98754911632597098</v>
      </c>
      <c r="H23" s="22"/>
    </row>
    <row r="24" spans="2:8" x14ac:dyDescent="0.2">
      <c r="B24" s="18" t="s">
        <v>167</v>
      </c>
      <c r="C24" s="18" t="s">
        <v>168</v>
      </c>
      <c r="D24" s="18" t="s">
        <v>22</v>
      </c>
      <c r="E24" s="21">
        <v>1030</v>
      </c>
      <c r="F24" s="19">
        <v>137.13419999999999</v>
      </c>
      <c r="G24" s="20">
        <v>0.96019746911376402</v>
      </c>
      <c r="H24" s="22"/>
    </row>
    <row r="25" spans="2:8" x14ac:dyDescent="0.2">
      <c r="B25" s="18" t="s">
        <v>55</v>
      </c>
      <c r="C25" s="18" t="s">
        <v>56</v>
      </c>
      <c r="D25" s="18" t="s">
        <v>37</v>
      </c>
      <c r="E25" s="21">
        <v>8609</v>
      </c>
      <c r="F25" s="19">
        <v>125.570874</v>
      </c>
      <c r="G25" s="20">
        <v>0.87923242640569099</v>
      </c>
      <c r="H25" s="22"/>
    </row>
    <row r="26" spans="2:8" x14ac:dyDescent="0.2">
      <c r="B26" s="18" t="s">
        <v>169</v>
      </c>
      <c r="C26" s="18" t="s">
        <v>170</v>
      </c>
      <c r="D26" s="18" t="s">
        <v>171</v>
      </c>
      <c r="E26" s="21">
        <v>28845</v>
      </c>
      <c r="F26" s="19">
        <v>124.408485</v>
      </c>
      <c r="G26" s="20">
        <v>0.87109351593751005</v>
      </c>
      <c r="H26" s="22"/>
    </row>
    <row r="27" spans="2:8" x14ac:dyDescent="0.2">
      <c r="B27" s="18" t="s">
        <v>172</v>
      </c>
      <c r="C27" s="18" t="s">
        <v>173</v>
      </c>
      <c r="D27" s="18" t="s">
        <v>174</v>
      </c>
      <c r="E27" s="21">
        <v>11732</v>
      </c>
      <c r="F27" s="19">
        <v>121.77816</v>
      </c>
      <c r="G27" s="20">
        <v>0.85267629100057496</v>
      </c>
      <c r="H27" s="22"/>
    </row>
    <row r="28" spans="2:8" x14ac:dyDescent="0.2">
      <c r="B28" s="18" t="s">
        <v>93</v>
      </c>
      <c r="C28" s="18" t="s">
        <v>94</v>
      </c>
      <c r="D28" s="18" t="s">
        <v>95</v>
      </c>
      <c r="E28" s="21">
        <v>980</v>
      </c>
      <c r="F28" s="19">
        <v>113.5428</v>
      </c>
      <c r="G28" s="20">
        <v>0.79501327310102299</v>
      </c>
      <c r="H28" s="22"/>
    </row>
    <row r="29" spans="2:8" x14ac:dyDescent="0.2">
      <c r="B29" s="18" t="s">
        <v>66</v>
      </c>
      <c r="C29" s="18" t="s">
        <v>67</v>
      </c>
      <c r="D29" s="18" t="s">
        <v>68</v>
      </c>
      <c r="E29" s="21">
        <v>45463</v>
      </c>
      <c r="F29" s="19">
        <v>112.3072489</v>
      </c>
      <c r="G29" s="20">
        <v>0.78636209025107895</v>
      </c>
      <c r="H29" s="22"/>
    </row>
    <row r="30" spans="2:8" x14ac:dyDescent="0.2">
      <c r="B30" s="18" t="s">
        <v>116</v>
      </c>
      <c r="C30" s="18" t="s">
        <v>117</v>
      </c>
      <c r="D30" s="18" t="s">
        <v>31</v>
      </c>
      <c r="E30" s="21">
        <v>34215</v>
      </c>
      <c r="F30" s="19">
        <v>108.9234525</v>
      </c>
      <c r="G30" s="20">
        <v>0.76266914757685</v>
      </c>
      <c r="H30" s="22"/>
    </row>
    <row r="31" spans="2:8" x14ac:dyDescent="0.2">
      <c r="B31" s="18" t="s">
        <v>191</v>
      </c>
      <c r="C31" s="18" t="s">
        <v>192</v>
      </c>
      <c r="D31" s="18" t="s">
        <v>68</v>
      </c>
      <c r="E31" s="21">
        <v>2565</v>
      </c>
      <c r="F31" s="19">
        <v>106.30898999999999</v>
      </c>
      <c r="G31" s="20">
        <v>0.74436298999112105</v>
      </c>
      <c r="H31" s="22"/>
    </row>
    <row r="32" spans="2:8" x14ac:dyDescent="0.2">
      <c r="B32" s="18" t="s">
        <v>57</v>
      </c>
      <c r="C32" s="18" t="s">
        <v>58</v>
      </c>
      <c r="D32" s="18" t="s">
        <v>34</v>
      </c>
      <c r="E32" s="21">
        <v>4256</v>
      </c>
      <c r="F32" s="19">
        <v>105.28918400000001</v>
      </c>
      <c r="G32" s="20">
        <v>0.73722242884600198</v>
      </c>
      <c r="H32" s="22"/>
    </row>
    <row r="33" spans="2:8" x14ac:dyDescent="0.2">
      <c r="B33" s="18" t="s">
        <v>300</v>
      </c>
      <c r="C33" s="18" t="s">
        <v>301</v>
      </c>
      <c r="D33" s="18" t="s">
        <v>63</v>
      </c>
      <c r="E33" s="21">
        <v>2773</v>
      </c>
      <c r="F33" s="19">
        <v>100.951065</v>
      </c>
      <c r="G33" s="20">
        <v>0.70684743205807898</v>
      </c>
      <c r="H33" s="22"/>
    </row>
    <row r="34" spans="2:8" x14ac:dyDescent="0.2">
      <c r="B34" s="18" t="s">
        <v>91</v>
      </c>
      <c r="C34" s="18" t="s">
        <v>92</v>
      </c>
      <c r="D34" s="18" t="s">
        <v>48</v>
      </c>
      <c r="E34" s="21">
        <v>7602</v>
      </c>
      <c r="F34" s="19">
        <v>96.127290000000002</v>
      </c>
      <c r="G34" s="20">
        <v>0.67307192932736604</v>
      </c>
      <c r="H34" s="22"/>
    </row>
    <row r="35" spans="2:8" x14ac:dyDescent="0.2">
      <c r="B35" s="18" t="s">
        <v>75</v>
      </c>
      <c r="C35" s="18" t="s">
        <v>76</v>
      </c>
      <c r="D35" s="18" t="s">
        <v>77</v>
      </c>
      <c r="E35" s="21">
        <v>30689</v>
      </c>
      <c r="F35" s="19">
        <v>91.9288995</v>
      </c>
      <c r="G35" s="20">
        <v>0.64367529499069898</v>
      </c>
      <c r="H35" s="22"/>
    </row>
    <row r="36" spans="2:8" x14ac:dyDescent="0.2">
      <c r="B36" s="18" t="s">
        <v>198</v>
      </c>
      <c r="C36" s="18" t="s">
        <v>199</v>
      </c>
      <c r="D36" s="18" t="s">
        <v>200</v>
      </c>
      <c r="E36" s="21">
        <v>8001</v>
      </c>
      <c r="F36" s="19">
        <v>91.579446000000004</v>
      </c>
      <c r="G36" s="20">
        <v>0.64122846286368096</v>
      </c>
      <c r="H36" s="22"/>
    </row>
    <row r="37" spans="2:8" x14ac:dyDescent="0.2">
      <c r="B37" s="18" t="s">
        <v>175</v>
      </c>
      <c r="C37" s="18" t="s">
        <v>176</v>
      </c>
      <c r="D37" s="18" t="s">
        <v>138</v>
      </c>
      <c r="E37" s="21">
        <v>9767</v>
      </c>
      <c r="F37" s="19">
        <v>91.550974499999995</v>
      </c>
      <c r="G37" s="20">
        <v>0.64102910878394104</v>
      </c>
      <c r="H37" s="22"/>
    </row>
    <row r="38" spans="2:8" x14ac:dyDescent="0.2">
      <c r="B38" s="18" t="s">
        <v>120</v>
      </c>
      <c r="C38" s="18" t="s">
        <v>121</v>
      </c>
      <c r="D38" s="18" t="s">
        <v>69</v>
      </c>
      <c r="E38" s="21">
        <v>3656</v>
      </c>
      <c r="F38" s="19">
        <v>89.370919999999998</v>
      </c>
      <c r="G38" s="20">
        <v>0.62576462469878902</v>
      </c>
      <c r="H38" s="22"/>
    </row>
    <row r="39" spans="2:8" x14ac:dyDescent="0.2">
      <c r="B39" s="18" t="s">
        <v>182</v>
      </c>
      <c r="C39" s="18" t="s">
        <v>183</v>
      </c>
      <c r="D39" s="18" t="s">
        <v>22</v>
      </c>
      <c r="E39" s="21">
        <v>872</v>
      </c>
      <c r="F39" s="19">
        <v>87.147679999999994</v>
      </c>
      <c r="G39" s="20">
        <v>0.610197760844021</v>
      </c>
      <c r="H39" s="22"/>
    </row>
    <row r="40" spans="2:8" x14ac:dyDescent="0.2">
      <c r="B40" s="18" t="s">
        <v>184</v>
      </c>
      <c r="C40" s="18" t="s">
        <v>185</v>
      </c>
      <c r="D40" s="18" t="s">
        <v>186</v>
      </c>
      <c r="E40" s="21">
        <v>17866</v>
      </c>
      <c r="F40" s="19">
        <v>86.015856999999997</v>
      </c>
      <c r="G40" s="20">
        <v>0.602272869897162</v>
      </c>
      <c r="H40" s="22"/>
    </row>
    <row r="41" spans="2:8" x14ac:dyDescent="0.2">
      <c r="B41" s="18" t="s">
        <v>224</v>
      </c>
      <c r="C41" s="18" t="s">
        <v>225</v>
      </c>
      <c r="D41" s="18" t="s">
        <v>104</v>
      </c>
      <c r="E41" s="21">
        <v>16701</v>
      </c>
      <c r="F41" s="19">
        <v>85.793036999999998</v>
      </c>
      <c r="G41" s="20">
        <v>0.60071271057827602</v>
      </c>
      <c r="H41" s="22"/>
    </row>
    <row r="42" spans="2:8" x14ac:dyDescent="0.2">
      <c r="B42" s="18" t="s">
        <v>187</v>
      </c>
      <c r="C42" s="18" t="s">
        <v>188</v>
      </c>
      <c r="D42" s="18" t="s">
        <v>95</v>
      </c>
      <c r="E42" s="21">
        <v>3050</v>
      </c>
      <c r="F42" s="19">
        <v>85.232249999999993</v>
      </c>
      <c r="G42" s="20">
        <v>0.59678614624850401</v>
      </c>
      <c r="H42" s="22"/>
    </row>
    <row r="43" spans="2:8" x14ac:dyDescent="0.2">
      <c r="B43" s="18" t="s">
        <v>35</v>
      </c>
      <c r="C43" s="18" t="s">
        <v>36</v>
      </c>
      <c r="D43" s="18" t="s">
        <v>37</v>
      </c>
      <c r="E43" s="21">
        <v>1458</v>
      </c>
      <c r="F43" s="19">
        <v>83.485079999999996</v>
      </c>
      <c r="G43" s="20">
        <v>0.58455266829689501</v>
      </c>
      <c r="H43" s="22"/>
    </row>
    <row r="44" spans="2:8" x14ac:dyDescent="0.2">
      <c r="B44" s="18" t="s">
        <v>213</v>
      </c>
      <c r="C44" s="18" t="s">
        <v>214</v>
      </c>
      <c r="D44" s="18" t="s">
        <v>74</v>
      </c>
      <c r="E44" s="21">
        <v>1250</v>
      </c>
      <c r="F44" s="19">
        <v>81.28125</v>
      </c>
      <c r="G44" s="20">
        <v>0.56912171096927799</v>
      </c>
      <c r="H44" s="22"/>
    </row>
    <row r="45" spans="2:8" x14ac:dyDescent="0.2">
      <c r="B45" s="18" t="s">
        <v>130</v>
      </c>
      <c r="C45" s="18" t="s">
        <v>131</v>
      </c>
      <c r="D45" s="18" t="s">
        <v>22</v>
      </c>
      <c r="E45" s="21">
        <v>1082</v>
      </c>
      <c r="F45" s="19">
        <v>76.919380000000004</v>
      </c>
      <c r="G45" s="20">
        <v>0.538580412484995</v>
      </c>
      <c r="H45" s="22"/>
    </row>
    <row r="46" spans="2:8" x14ac:dyDescent="0.2">
      <c r="B46" s="18" t="s">
        <v>112</v>
      </c>
      <c r="C46" s="18" t="s">
        <v>113</v>
      </c>
      <c r="D46" s="18" t="s">
        <v>74</v>
      </c>
      <c r="E46" s="21">
        <v>5789</v>
      </c>
      <c r="F46" s="19">
        <v>76.582680999999994</v>
      </c>
      <c r="G46" s="20">
        <v>0.53622288586032296</v>
      </c>
      <c r="H46" s="22"/>
    </row>
    <row r="47" spans="2:8" x14ac:dyDescent="0.2">
      <c r="B47" s="18" t="s">
        <v>203</v>
      </c>
      <c r="C47" s="18" t="s">
        <v>204</v>
      </c>
      <c r="D47" s="18" t="s">
        <v>74</v>
      </c>
      <c r="E47" s="21">
        <v>5522</v>
      </c>
      <c r="F47" s="19">
        <v>72.316112000000004</v>
      </c>
      <c r="G47" s="20">
        <v>0.50634887372039605</v>
      </c>
      <c r="H47" s="22"/>
    </row>
    <row r="48" spans="2:8" x14ac:dyDescent="0.2">
      <c r="B48" s="18" t="s">
        <v>195</v>
      </c>
      <c r="C48" s="18" t="s">
        <v>196</v>
      </c>
      <c r="D48" s="18" t="s">
        <v>197</v>
      </c>
      <c r="E48" s="21">
        <v>943</v>
      </c>
      <c r="F48" s="19">
        <v>72.012195000000006</v>
      </c>
      <c r="G48" s="20">
        <v>0.50422088278727595</v>
      </c>
      <c r="H48" s="22"/>
    </row>
    <row r="49" spans="2:8" x14ac:dyDescent="0.2">
      <c r="B49" s="18" t="s">
        <v>189</v>
      </c>
      <c r="C49" s="18" t="s">
        <v>190</v>
      </c>
      <c r="D49" s="18" t="s">
        <v>138</v>
      </c>
      <c r="E49" s="21">
        <v>3985</v>
      </c>
      <c r="F49" s="19">
        <v>69.625919999999994</v>
      </c>
      <c r="G49" s="20">
        <v>0.48751246712138502</v>
      </c>
      <c r="H49" s="22"/>
    </row>
    <row r="50" spans="2:8" x14ac:dyDescent="0.2">
      <c r="B50" s="18" t="s">
        <v>211</v>
      </c>
      <c r="C50" s="18" t="s">
        <v>212</v>
      </c>
      <c r="D50" s="18" t="s">
        <v>42</v>
      </c>
      <c r="E50" s="21">
        <v>16697</v>
      </c>
      <c r="F50" s="19">
        <v>68.441002999999995</v>
      </c>
      <c r="G50" s="20">
        <v>0.479215818258374</v>
      </c>
      <c r="H50" s="22"/>
    </row>
    <row r="51" spans="2:8" x14ac:dyDescent="0.2">
      <c r="B51" s="18" t="s">
        <v>201</v>
      </c>
      <c r="C51" s="18" t="s">
        <v>202</v>
      </c>
      <c r="D51" s="18" t="s">
        <v>197</v>
      </c>
      <c r="E51" s="21">
        <v>6747</v>
      </c>
      <c r="F51" s="19">
        <v>67.001083499999993</v>
      </c>
      <c r="G51" s="20">
        <v>0.46913367201310802</v>
      </c>
      <c r="H51" s="22"/>
    </row>
    <row r="52" spans="2:8" x14ac:dyDescent="0.2">
      <c r="B52" s="18" t="s">
        <v>215</v>
      </c>
      <c r="C52" s="18" t="s">
        <v>216</v>
      </c>
      <c r="D52" s="18" t="s">
        <v>171</v>
      </c>
      <c r="E52" s="21">
        <v>1533</v>
      </c>
      <c r="F52" s="19">
        <v>66.513803999999993</v>
      </c>
      <c r="G52" s="20">
        <v>0.46572179851509599</v>
      </c>
      <c r="H52" s="22"/>
    </row>
    <row r="53" spans="2:8" x14ac:dyDescent="0.2">
      <c r="B53" s="18" t="s">
        <v>209</v>
      </c>
      <c r="C53" s="18" t="s">
        <v>210</v>
      </c>
      <c r="D53" s="18" t="s">
        <v>31</v>
      </c>
      <c r="E53" s="21">
        <v>29962</v>
      </c>
      <c r="F53" s="19">
        <v>66.470697000000001</v>
      </c>
      <c r="G53" s="20">
        <v>0.46541996839320798</v>
      </c>
      <c r="H53" s="22"/>
    </row>
    <row r="54" spans="2:8" x14ac:dyDescent="0.2">
      <c r="B54" s="18" t="s">
        <v>217</v>
      </c>
      <c r="C54" s="18" t="s">
        <v>218</v>
      </c>
      <c r="D54" s="18" t="s">
        <v>22</v>
      </c>
      <c r="E54" s="21">
        <v>1860</v>
      </c>
      <c r="F54" s="19">
        <v>64.967939999999999</v>
      </c>
      <c r="G54" s="20">
        <v>0.454897841395763</v>
      </c>
      <c r="H54" s="22"/>
    </row>
    <row r="55" spans="2:8" x14ac:dyDescent="0.2">
      <c r="B55" s="18" t="s">
        <v>313</v>
      </c>
      <c r="C55" s="18" t="s">
        <v>314</v>
      </c>
      <c r="D55" s="18" t="s">
        <v>17</v>
      </c>
      <c r="E55" s="21">
        <v>15075</v>
      </c>
      <c r="F55" s="19">
        <v>61.799962499999999</v>
      </c>
      <c r="G55" s="20">
        <v>0.43271603716523999</v>
      </c>
      <c r="H55" s="22"/>
    </row>
    <row r="56" spans="2:8" x14ac:dyDescent="0.2">
      <c r="B56" s="18" t="s">
        <v>221</v>
      </c>
      <c r="C56" s="18" t="s">
        <v>222</v>
      </c>
      <c r="D56" s="18" t="s">
        <v>223</v>
      </c>
      <c r="E56" s="21">
        <v>1095</v>
      </c>
      <c r="F56" s="19">
        <v>57.667079999999999</v>
      </c>
      <c r="G56" s="20">
        <v>0.40377808210629401</v>
      </c>
      <c r="H56" s="22"/>
    </row>
    <row r="57" spans="2:8" x14ac:dyDescent="0.2">
      <c r="B57" s="18" t="s">
        <v>205</v>
      </c>
      <c r="C57" s="18" t="s">
        <v>206</v>
      </c>
      <c r="D57" s="18" t="s">
        <v>22</v>
      </c>
      <c r="E57" s="21">
        <v>16440</v>
      </c>
      <c r="F57" s="19">
        <v>56.150820000000003</v>
      </c>
      <c r="G57" s="20">
        <v>0.39316140869792199</v>
      </c>
      <c r="H57" s="22"/>
    </row>
    <row r="58" spans="2:8" x14ac:dyDescent="0.2">
      <c r="B58" s="18" t="s">
        <v>193</v>
      </c>
      <c r="C58" s="18" t="s">
        <v>194</v>
      </c>
      <c r="D58" s="18" t="s">
        <v>138</v>
      </c>
      <c r="E58" s="21">
        <v>22691</v>
      </c>
      <c r="F58" s="19">
        <v>55.9038167</v>
      </c>
      <c r="G58" s="20">
        <v>0.39143192076914302</v>
      </c>
      <c r="H58" s="22"/>
    </row>
    <row r="59" spans="2:8" x14ac:dyDescent="0.2">
      <c r="B59" s="18" t="s">
        <v>309</v>
      </c>
      <c r="C59" s="18" t="s">
        <v>310</v>
      </c>
      <c r="D59" s="18" t="s">
        <v>74</v>
      </c>
      <c r="E59" s="21">
        <v>2416</v>
      </c>
      <c r="F59" s="19">
        <v>55.693632000000001</v>
      </c>
      <c r="G59" s="20">
        <v>0.38996023232828397</v>
      </c>
      <c r="H59" s="22"/>
    </row>
    <row r="60" spans="2:8" x14ac:dyDescent="0.2">
      <c r="B60" s="18" t="s">
        <v>70</v>
      </c>
      <c r="C60" s="18" t="s">
        <v>71</v>
      </c>
      <c r="D60" s="18" t="s">
        <v>12</v>
      </c>
      <c r="E60" s="21">
        <v>19335</v>
      </c>
      <c r="F60" s="19">
        <v>55.481782500000001</v>
      </c>
      <c r="G60" s="20">
        <v>0.38847688715448297</v>
      </c>
      <c r="H60" s="22"/>
    </row>
    <row r="61" spans="2:8" x14ac:dyDescent="0.2">
      <c r="B61" s="18" t="s">
        <v>219</v>
      </c>
      <c r="C61" s="18" t="s">
        <v>220</v>
      </c>
      <c r="D61" s="18" t="s">
        <v>31</v>
      </c>
      <c r="E61" s="21">
        <v>12252</v>
      </c>
      <c r="F61" s="19">
        <v>54.466265999999997</v>
      </c>
      <c r="G61" s="20">
        <v>0.38136636058165702</v>
      </c>
      <c r="H61" s="22"/>
    </row>
    <row r="62" spans="2:8" x14ac:dyDescent="0.2">
      <c r="B62" s="18" t="s">
        <v>302</v>
      </c>
      <c r="C62" s="18" t="s">
        <v>303</v>
      </c>
      <c r="D62" s="18" t="s">
        <v>237</v>
      </c>
      <c r="E62" s="21">
        <v>97788</v>
      </c>
      <c r="F62" s="19">
        <v>54.350570400000002</v>
      </c>
      <c r="G62" s="20">
        <v>0.38055627365726002</v>
      </c>
      <c r="H62" s="22"/>
    </row>
    <row r="63" spans="2:8" x14ac:dyDescent="0.2">
      <c r="B63" s="18" t="s">
        <v>177</v>
      </c>
      <c r="C63" s="18" t="s">
        <v>178</v>
      </c>
      <c r="D63" s="18" t="s">
        <v>34</v>
      </c>
      <c r="E63" s="21">
        <v>4441</v>
      </c>
      <c r="F63" s="19">
        <v>53.252031000000002</v>
      </c>
      <c r="G63" s="20">
        <v>0.37286443054590102</v>
      </c>
      <c r="H63" s="22"/>
    </row>
    <row r="64" spans="2:8" x14ac:dyDescent="0.2">
      <c r="B64" s="18" t="s">
        <v>337</v>
      </c>
      <c r="C64" s="18" t="s">
        <v>338</v>
      </c>
      <c r="D64" s="18" t="s">
        <v>68</v>
      </c>
      <c r="E64" s="21">
        <v>5243</v>
      </c>
      <c r="F64" s="19">
        <v>51.006525500000002</v>
      </c>
      <c r="G64" s="20">
        <v>0.35714166629029598</v>
      </c>
      <c r="H64" s="22"/>
    </row>
    <row r="65" spans="2:8" x14ac:dyDescent="0.2">
      <c r="B65" s="18" t="s">
        <v>354</v>
      </c>
      <c r="C65" s="18" t="s">
        <v>355</v>
      </c>
      <c r="D65" s="18" t="s">
        <v>181</v>
      </c>
      <c r="E65" s="21">
        <v>52651</v>
      </c>
      <c r="F65" s="19">
        <v>50.7713593</v>
      </c>
      <c r="G65" s="20">
        <v>0.355495060337433</v>
      </c>
      <c r="H65" s="22"/>
    </row>
    <row r="66" spans="2:8" x14ac:dyDescent="0.2">
      <c r="B66" s="18" t="s">
        <v>87</v>
      </c>
      <c r="C66" s="18" t="s">
        <v>88</v>
      </c>
      <c r="D66" s="18" t="s">
        <v>22</v>
      </c>
      <c r="E66" s="21">
        <v>994</v>
      </c>
      <c r="F66" s="19">
        <v>50.684060000000002</v>
      </c>
      <c r="G66" s="20">
        <v>0.35488380095125899</v>
      </c>
      <c r="H66" s="22"/>
    </row>
    <row r="67" spans="2:8" x14ac:dyDescent="0.2">
      <c r="B67" s="18" t="s">
        <v>331</v>
      </c>
      <c r="C67" s="18" t="s">
        <v>332</v>
      </c>
      <c r="D67" s="18" t="s">
        <v>200</v>
      </c>
      <c r="E67" s="21">
        <v>6538</v>
      </c>
      <c r="F67" s="19">
        <v>50.669499999999999</v>
      </c>
      <c r="G67" s="20">
        <v>0.35478185355119202</v>
      </c>
      <c r="H67" s="22"/>
    </row>
    <row r="68" spans="2:8" x14ac:dyDescent="0.2">
      <c r="B68" s="18" t="s">
        <v>61</v>
      </c>
      <c r="C68" s="18" t="s">
        <v>62</v>
      </c>
      <c r="D68" s="18" t="s">
        <v>63</v>
      </c>
      <c r="E68" s="21">
        <v>1680</v>
      </c>
      <c r="F68" s="19">
        <v>49.921199999999999</v>
      </c>
      <c r="G68" s="20">
        <v>0.34954234534581502</v>
      </c>
      <c r="H68" s="22"/>
    </row>
    <row r="69" spans="2:8" x14ac:dyDescent="0.2">
      <c r="B69" s="18" t="s">
        <v>100</v>
      </c>
      <c r="C69" s="18" t="s">
        <v>101</v>
      </c>
      <c r="D69" s="18" t="s">
        <v>28</v>
      </c>
      <c r="E69" s="21">
        <v>16558</v>
      </c>
      <c r="F69" s="19">
        <v>49.748511000000001</v>
      </c>
      <c r="G69" s="20">
        <v>0.34833319736709201</v>
      </c>
      <c r="H69" s="22"/>
    </row>
    <row r="70" spans="2:8" x14ac:dyDescent="0.2">
      <c r="B70" s="18" t="s">
        <v>226</v>
      </c>
      <c r="C70" s="18" t="s">
        <v>227</v>
      </c>
      <c r="D70" s="18" t="s">
        <v>68</v>
      </c>
      <c r="E70" s="21">
        <v>1070</v>
      </c>
      <c r="F70" s="19">
        <v>49.069130000000001</v>
      </c>
      <c r="G70" s="20">
        <v>0.34357625185850299</v>
      </c>
      <c r="H70" s="22"/>
    </row>
    <row r="71" spans="2:8" x14ac:dyDescent="0.2">
      <c r="B71" s="18" t="s">
        <v>304</v>
      </c>
      <c r="C71" s="18" t="s">
        <v>305</v>
      </c>
      <c r="D71" s="18" t="s">
        <v>12</v>
      </c>
      <c r="E71" s="21">
        <v>5286</v>
      </c>
      <c r="F71" s="19">
        <v>48.422403000000003</v>
      </c>
      <c r="G71" s="20">
        <v>0.339047945800586</v>
      </c>
      <c r="H71" s="22"/>
    </row>
    <row r="72" spans="2:8" x14ac:dyDescent="0.2">
      <c r="B72" s="18" t="s">
        <v>102</v>
      </c>
      <c r="C72" s="18" t="s">
        <v>103</v>
      </c>
      <c r="D72" s="18" t="s">
        <v>104</v>
      </c>
      <c r="E72" s="21">
        <v>3605</v>
      </c>
      <c r="F72" s="19">
        <v>47.787880000000001</v>
      </c>
      <c r="G72" s="20">
        <v>0.33460509070904398</v>
      </c>
      <c r="H72" s="22"/>
    </row>
    <row r="73" spans="2:8" x14ac:dyDescent="0.2">
      <c r="B73" s="18" t="s">
        <v>228</v>
      </c>
      <c r="C73" s="18" t="s">
        <v>229</v>
      </c>
      <c r="D73" s="18" t="s">
        <v>138</v>
      </c>
      <c r="E73" s="21">
        <v>2979</v>
      </c>
      <c r="F73" s="19">
        <v>46.558790999999999</v>
      </c>
      <c r="G73" s="20">
        <v>0.325999154719951</v>
      </c>
      <c r="H73" s="22"/>
    </row>
    <row r="74" spans="2:8" x14ac:dyDescent="0.2">
      <c r="B74" s="18" t="s">
        <v>306</v>
      </c>
      <c r="C74" s="18" t="s">
        <v>307</v>
      </c>
      <c r="D74" s="18" t="s">
        <v>12</v>
      </c>
      <c r="E74" s="21">
        <v>4531</v>
      </c>
      <c r="F74" s="19">
        <v>46.032694499999998</v>
      </c>
      <c r="G74" s="20">
        <v>0.32231548917328501</v>
      </c>
      <c r="H74" s="22"/>
    </row>
    <row r="75" spans="2:8" x14ac:dyDescent="0.2">
      <c r="B75" s="18" t="s">
        <v>165</v>
      </c>
      <c r="C75" s="18" t="s">
        <v>166</v>
      </c>
      <c r="D75" s="18" t="s">
        <v>45</v>
      </c>
      <c r="E75" s="21">
        <v>2019</v>
      </c>
      <c r="F75" s="19">
        <v>45.445670999999997</v>
      </c>
      <c r="G75" s="20">
        <v>0.31820521996975798</v>
      </c>
      <c r="H75" s="22"/>
    </row>
    <row r="76" spans="2:8" x14ac:dyDescent="0.2">
      <c r="B76" s="18" t="s">
        <v>311</v>
      </c>
      <c r="C76" s="18" t="s">
        <v>312</v>
      </c>
      <c r="D76" s="18" t="s">
        <v>237</v>
      </c>
      <c r="E76" s="21">
        <v>1015</v>
      </c>
      <c r="F76" s="19">
        <v>45.33193</v>
      </c>
      <c r="G76" s="20">
        <v>0.31740881892367001</v>
      </c>
      <c r="H76" s="22"/>
    </row>
    <row r="77" spans="2:8" x14ac:dyDescent="0.2">
      <c r="B77" s="18" t="s">
        <v>235</v>
      </c>
      <c r="C77" s="18" t="s">
        <v>236</v>
      </c>
      <c r="D77" s="18" t="s">
        <v>237</v>
      </c>
      <c r="E77" s="21">
        <v>5505</v>
      </c>
      <c r="F77" s="19">
        <v>44.774917500000001</v>
      </c>
      <c r="G77" s="20">
        <v>0.31350868319702602</v>
      </c>
      <c r="H77" s="22"/>
    </row>
    <row r="78" spans="2:8" x14ac:dyDescent="0.2">
      <c r="B78" s="18" t="s">
        <v>230</v>
      </c>
      <c r="C78" s="18" t="s">
        <v>231</v>
      </c>
      <c r="D78" s="18" t="s">
        <v>138</v>
      </c>
      <c r="E78" s="21">
        <v>9915</v>
      </c>
      <c r="F78" s="19">
        <v>44.458860000000001</v>
      </c>
      <c r="G78" s="20">
        <v>0.31129568591703</v>
      </c>
      <c r="H78" s="22"/>
    </row>
    <row r="79" spans="2:8" x14ac:dyDescent="0.2">
      <c r="B79" s="18" t="s">
        <v>124</v>
      </c>
      <c r="C79" s="18" t="s">
        <v>125</v>
      </c>
      <c r="D79" s="18" t="s">
        <v>108</v>
      </c>
      <c r="E79" s="21">
        <v>1835</v>
      </c>
      <c r="F79" s="19">
        <v>44.194139999999997</v>
      </c>
      <c r="G79" s="20">
        <v>0.30944214774767598</v>
      </c>
      <c r="H79" s="22"/>
    </row>
    <row r="80" spans="2:8" x14ac:dyDescent="0.2">
      <c r="B80" s="18" t="s">
        <v>321</v>
      </c>
      <c r="C80" s="18" t="s">
        <v>322</v>
      </c>
      <c r="D80" s="18" t="s">
        <v>197</v>
      </c>
      <c r="E80" s="21">
        <v>4740</v>
      </c>
      <c r="F80" s="19">
        <v>43.74783</v>
      </c>
      <c r="G80" s="20">
        <v>0.30631713784905001</v>
      </c>
      <c r="H80" s="22"/>
    </row>
    <row r="81" spans="2:8" x14ac:dyDescent="0.2">
      <c r="B81" s="18" t="s">
        <v>38</v>
      </c>
      <c r="C81" s="18" t="s">
        <v>39</v>
      </c>
      <c r="D81" s="18" t="s">
        <v>28</v>
      </c>
      <c r="E81" s="21">
        <v>30560</v>
      </c>
      <c r="F81" s="19">
        <v>43.471600000000002</v>
      </c>
      <c r="G81" s="20">
        <v>0.30438300801934098</v>
      </c>
      <c r="H81" s="22"/>
    </row>
    <row r="82" spans="2:8" x14ac:dyDescent="0.2">
      <c r="B82" s="18" t="s">
        <v>134</v>
      </c>
      <c r="C82" s="18" t="s">
        <v>135</v>
      </c>
      <c r="D82" s="18" t="s">
        <v>74</v>
      </c>
      <c r="E82" s="21">
        <v>3851</v>
      </c>
      <c r="F82" s="19">
        <v>42.397584500000001</v>
      </c>
      <c r="G82" s="20">
        <v>0.29686287835884101</v>
      </c>
      <c r="H82" s="22"/>
    </row>
    <row r="83" spans="2:8" x14ac:dyDescent="0.2">
      <c r="B83" s="18" t="s">
        <v>78</v>
      </c>
      <c r="C83" s="18" t="s">
        <v>79</v>
      </c>
      <c r="D83" s="18" t="s">
        <v>51</v>
      </c>
      <c r="E83" s="21">
        <v>34931</v>
      </c>
      <c r="F83" s="19">
        <v>42.339865099999997</v>
      </c>
      <c r="G83" s="20">
        <v>0.29645873393827499</v>
      </c>
      <c r="H83" s="22"/>
    </row>
    <row r="84" spans="2:8" x14ac:dyDescent="0.2">
      <c r="B84" s="18" t="s">
        <v>255</v>
      </c>
      <c r="C84" s="18" t="s">
        <v>256</v>
      </c>
      <c r="D84" s="18" t="s">
        <v>74</v>
      </c>
      <c r="E84" s="21">
        <v>1007</v>
      </c>
      <c r="F84" s="19">
        <v>42.143957</v>
      </c>
      <c r="G84" s="20">
        <v>0.29508700856415998</v>
      </c>
      <c r="H84" s="22"/>
    </row>
    <row r="85" spans="2:8" x14ac:dyDescent="0.2">
      <c r="B85" s="18" t="s">
        <v>317</v>
      </c>
      <c r="C85" s="18" t="s">
        <v>318</v>
      </c>
      <c r="D85" s="18" t="s">
        <v>237</v>
      </c>
      <c r="E85" s="21">
        <v>11783</v>
      </c>
      <c r="F85" s="19">
        <v>41.524470299999997</v>
      </c>
      <c r="G85" s="20">
        <v>0.29074943586902202</v>
      </c>
      <c r="H85" s="22"/>
    </row>
    <row r="86" spans="2:8" x14ac:dyDescent="0.2">
      <c r="B86" s="18" t="s">
        <v>345</v>
      </c>
      <c r="C86" s="18" t="s">
        <v>346</v>
      </c>
      <c r="D86" s="18" t="s">
        <v>68</v>
      </c>
      <c r="E86" s="21">
        <v>15670</v>
      </c>
      <c r="F86" s="19">
        <v>41.487892000000002</v>
      </c>
      <c r="G86" s="20">
        <v>0.29049331893331598</v>
      </c>
      <c r="H86" s="22"/>
    </row>
    <row r="87" spans="2:8" x14ac:dyDescent="0.2">
      <c r="B87" s="18" t="s">
        <v>240</v>
      </c>
      <c r="C87" s="18" t="s">
        <v>241</v>
      </c>
      <c r="D87" s="18" t="s">
        <v>12</v>
      </c>
      <c r="E87" s="21">
        <v>14939</v>
      </c>
      <c r="F87" s="19">
        <v>39.358289399999997</v>
      </c>
      <c r="G87" s="20">
        <v>0.27558209309221998</v>
      </c>
      <c r="H87" s="22"/>
    </row>
    <row r="88" spans="2:8" x14ac:dyDescent="0.2">
      <c r="B88" s="18" t="s">
        <v>319</v>
      </c>
      <c r="C88" s="18" t="s">
        <v>320</v>
      </c>
      <c r="D88" s="18" t="s">
        <v>51</v>
      </c>
      <c r="E88" s="21">
        <v>2083</v>
      </c>
      <c r="F88" s="19">
        <v>39.193728</v>
      </c>
      <c r="G88" s="20">
        <v>0.274429853608606</v>
      </c>
      <c r="H88" s="22"/>
    </row>
    <row r="89" spans="2:8" x14ac:dyDescent="0.2">
      <c r="B89" s="18" t="s">
        <v>82</v>
      </c>
      <c r="C89" s="18" t="s">
        <v>83</v>
      </c>
      <c r="D89" s="18" t="s">
        <v>34</v>
      </c>
      <c r="E89" s="21">
        <v>2659</v>
      </c>
      <c r="F89" s="19">
        <v>39.180365000000002</v>
      </c>
      <c r="G89" s="20">
        <v>0.27433628746114003</v>
      </c>
      <c r="H89" s="22"/>
    </row>
    <row r="90" spans="2:8" x14ac:dyDescent="0.2">
      <c r="B90" s="18" t="s">
        <v>110</v>
      </c>
      <c r="C90" s="18" t="s">
        <v>111</v>
      </c>
      <c r="D90" s="18" t="s">
        <v>42</v>
      </c>
      <c r="E90" s="21">
        <v>23165</v>
      </c>
      <c r="F90" s="19">
        <v>37.548148500000003</v>
      </c>
      <c r="G90" s="20">
        <v>0.26290770033739003</v>
      </c>
      <c r="H90" s="22"/>
    </row>
    <row r="91" spans="2:8" x14ac:dyDescent="0.2">
      <c r="B91" s="18" t="s">
        <v>512</v>
      </c>
      <c r="C91" s="18" t="s">
        <v>513</v>
      </c>
      <c r="D91" s="18" t="s">
        <v>54</v>
      </c>
      <c r="E91" s="21">
        <v>7987</v>
      </c>
      <c r="F91" s="19">
        <v>37.303283499999999</v>
      </c>
      <c r="G91" s="20">
        <v>0.26119318453262003</v>
      </c>
      <c r="H91" s="22"/>
    </row>
    <row r="92" spans="2:8" x14ac:dyDescent="0.2">
      <c r="B92" s="18" t="s">
        <v>323</v>
      </c>
      <c r="C92" s="18" t="s">
        <v>324</v>
      </c>
      <c r="D92" s="18" t="s">
        <v>12</v>
      </c>
      <c r="E92" s="21">
        <v>53550</v>
      </c>
      <c r="F92" s="19">
        <v>37.29222</v>
      </c>
      <c r="G92" s="20">
        <v>0.26111571921252102</v>
      </c>
      <c r="H92" s="22"/>
    </row>
    <row r="93" spans="2:8" x14ac:dyDescent="0.2">
      <c r="B93" s="18" t="s">
        <v>84</v>
      </c>
      <c r="C93" s="18" t="s">
        <v>85</v>
      </c>
      <c r="D93" s="18" t="s">
        <v>86</v>
      </c>
      <c r="E93" s="21">
        <v>13647</v>
      </c>
      <c r="F93" s="19">
        <v>37.058428499999998</v>
      </c>
      <c r="G93" s="20">
        <v>0.25947873874666799</v>
      </c>
      <c r="H93" s="22"/>
    </row>
    <row r="94" spans="2:8" x14ac:dyDescent="0.2">
      <c r="B94" s="18" t="s">
        <v>244</v>
      </c>
      <c r="C94" s="18" t="s">
        <v>245</v>
      </c>
      <c r="D94" s="18" t="s">
        <v>12</v>
      </c>
      <c r="E94" s="21">
        <v>27424</v>
      </c>
      <c r="F94" s="19">
        <v>36.926416000000003</v>
      </c>
      <c r="G94" s="20">
        <v>0.258554402815942</v>
      </c>
      <c r="H94" s="22"/>
    </row>
    <row r="95" spans="2:8" x14ac:dyDescent="0.2">
      <c r="B95" s="18" t="s">
        <v>238</v>
      </c>
      <c r="C95" s="18" t="s">
        <v>239</v>
      </c>
      <c r="D95" s="18" t="s">
        <v>63</v>
      </c>
      <c r="E95" s="21">
        <v>1353</v>
      </c>
      <c r="F95" s="19">
        <v>36.701478000000002</v>
      </c>
      <c r="G95" s="20">
        <v>0.25697941351124998</v>
      </c>
      <c r="H95" s="22"/>
    </row>
    <row r="96" spans="2:8" x14ac:dyDescent="0.2">
      <c r="B96" s="18" t="s">
        <v>246</v>
      </c>
      <c r="C96" s="18" t="s">
        <v>247</v>
      </c>
      <c r="D96" s="18" t="s">
        <v>48</v>
      </c>
      <c r="E96" s="21">
        <v>3000</v>
      </c>
      <c r="F96" s="19">
        <v>36.692999999999998</v>
      </c>
      <c r="G96" s="20">
        <v>0.25692005155673298</v>
      </c>
      <c r="H96" s="22"/>
    </row>
    <row r="97" spans="2:8" x14ac:dyDescent="0.2">
      <c r="B97" s="18" t="s">
        <v>232</v>
      </c>
      <c r="C97" s="18" t="s">
        <v>233</v>
      </c>
      <c r="D97" s="18" t="s">
        <v>234</v>
      </c>
      <c r="E97" s="21">
        <v>5386</v>
      </c>
      <c r="F97" s="19">
        <v>34.246881000000002</v>
      </c>
      <c r="G97" s="20">
        <v>0.23979261527204901</v>
      </c>
      <c r="H97" s="22"/>
    </row>
    <row r="98" spans="2:8" x14ac:dyDescent="0.2">
      <c r="B98" s="18" t="s">
        <v>242</v>
      </c>
      <c r="C98" s="18" t="s">
        <v>243</v>
      </c>
      <c r="D98" s="18" t="s">
        <v>31</v>
      </c>
      <c r="E98" s="21">
        <v>2551</v>
      </c>
      <c r="F98" s="19">
        <v>34.240797499999999</v>
      </c>
      <c r="G98" s="20">
        <v>0.23975001932367601</v>
      </c>
      <c r="H98" s="22"/>
    </row>
    <row r="99" spans="2:8" x14ac:dyDescent="0.2">
      <c r="B99" s="18" t="s">
        <v>329</v>
      </c>
      <c r="C99" s="18" t="s">
        <v>330</v>
      </c>
      <c r="D99" s="18" t="s">
        <v>237</v>
      </c>
      <c r="E99" s="21">
        <v>100</v>
      </c>
      <c r="F99" s="19">
        <v>33.549999999999997</v>
      </c>
      <c r="G99" s="20">
        <v>0.23491313683068701</v>
      </c>
      <c r="H99" s="22"/>
    </row>
    <row r="100" spans="2:8" x14ac:dyDescent="0.2">
      <c r="B100" s="18" t="s">
        <v>257</v>
      </c>
      <c r="C100" s="18" t="s">
        <v>258</v>
      </c>
      <c r="D100" s="18" t="s">
        <v>259</v>
      </c>
      <c r="E100" s="21">
        <v>2435</v>
      </c>
      <c r="F100" s="19">
        <v>33.498294999999999</v>
      </c>
      <c r="G100" s="20">
        <v>0.23455110452845601</v>
      </c>
      <c r="H100" s="22"/>
    </row>
    <row r="101" spans="2:8" x14ac:dyDescent="0.2">
      <c r="B101" s="18" t="s">
        <v>252</v>
      </c>
      <c r="C101" s="18" t="s">
        <v>253</v>
      </c>
      <c r="D101" s="18" t="s">
        <v>254</v>
      </c>
      <c r="E101" s="21">
        <v>20139</v>
      </c>
      <c r="F101" s="19">
        <v>32.872889700000002</v>
      </c>
      <c r="G101" s="20">
        <v>0.23017209049526599</v>
      </c>
      <c r="H101" s="22"/>
    </row>
    <row r="102" spans="2:8" x14ac:dyDescent="0.2">
      <c r="B102" s="18" t="s">
        <v>327</v>
      </c>
      <c r="C102" s="18" t="s">
        <v>328</v>
      </c>
      <c r="D102" s="18" t="s">
        <v>223</v>
      </c>
      <c r="E102" s="21">
        <v>404</v>
      </c>
      <c r="F102" s="19">
        <v>32.766419999999997</v>
      </c>
      <c r="G102" s="20">
        <v>0.22942660223283901</v>
      </c>
      <c r="H102" s="22"/>
    </row>
    <row r="103" spans="2:8" x14ac:dyDescent="0.2">
      <c r="B103" s="18" t="s">
        <v>391</v>
      </c>
      <c r="C103" s="18" t="s">
        <v>392</v>
      </c>
      <c r="D103" s="18" t="s">
        <v>104</v>
      </c>
      <c r="E103" s="21">
        <v>923</v>
      </c>
      <c r="F103" s="19">
        <v>31.595213000000001</v>
      </c>
      <c r="G103" s="20">
        <v>0.221225949170304</v>
      </c>
      <c r="H103" s="22"/>
    </row>
    <row r="104" spans="2:8" x14ac:dyDescent="0.2">
      <c r="B104" s="18" t="s">
        <v>385</v>
      </c>
      <c r="C104" s="18" t="s">
        <v>386</v>
      </c>
      <c r="D104" s="18" t="s">
        <v>17</v>
      </c>
      <c r="E104" s="21">
        <v>306801</v>
      </c>
      <c r="F104" s="19">
        <v>31.355062199999999</v>
      </c>
      <c r="G104" s="20">
        <v>0.219544441637058</v>
      </c>
      <c r="H104" s="22"/>
    </row>
    <row r="105" spans="2:8" x14ac:dyDescent="0.2">
      <c r="B105" s="18" t="s">
        <v>262</v>
      </c>
      <c r="C105" s="18" t="s">
        <v>263</v>
      </c>
      <c r="D105" s="18" t="s">
        <v>237</v>
      </c>
      <c r="E105" s="21">
        <v>432</v>
      </c>
      <c r="F105" s="19">
        <v>31.233599999999999</v>
      </c>
      <c r="G105" s="20">
        <v>0.21869397766065399</v>
      </c>
      <c r="H105" s="22"/>
    </row>
    <row r="106" spans="2:8" x14ac:dyDescent="0.2">
      <c r="B106" s="18" t="s">
        <v>248</v>
      </c>
      <c r="C106" s="18" t="s">
        <v>249</v>
      </c>
      <c r="D106" s="18" t="s">
        <v>138</v>
      </c>
      <c r="E106" s="21">
        <v>298</v>
      </c>
      <c r="F106" s="19">
        <v>30.595659999999999</v>
      </c>
      <c r="G106" s="20">
        <v>0.21422719713875299</v>
      </c>
      <c r="H106" s="22"/>
    </row>
    <row r="107" spans="2:8" x14ac:dyDescent="0.2">
      <c r="B107" s="18" t="s">
        <v>325</v>
      </c>
      <c r="C107" s="18" t="s">
        <v>326</v>
      </c>
      <c r="D107" s="18" t="s">
        <v>308</v>
      </c>
      <c r="E107" s="21">
        <v>2792</v>
      </c>
      <c r="F107" s="19">
        <v>30.594736000000001</v>
      </c>
      <c r="G107" s="20">
        <v>0.214220727399903</v>
      </c>
      <c r="H107" s="22"/>
    </row>
    <row r="108" spans="2:8" x14ac:dyDescent="0.2">
      <c r="B108" s="18" t="s">
        <v>250</v>
      </c>
      <c r="C108" s="18" t="s">
        <v>251</v>
      </c>
      <c r="D108" s="18" t="s">
        <v>138</v>
      </c>
      <c r="E108" s="21">
        <v>8570</v>
      </c>
      <c r="F108" s="19">
        <v>30.363510000000002</v>
      </c>
      <c r="G108" s="20">
        <v>0.21260171026199501</v>
      </c>
      <c r="H108" s="22"/>
    </row>
    <row r="109" spans="2:8" x14ac:dyDescent="0.2">
      <c r="B109" s="18" t="s">
        <v>269</v>
      </c>
      <c r="C109" s="18" t="s">
        <v>270</v>
      </c>
      <c r="D109" s="18" t="s">
        <v>259</v>
      </c>
      <c r="E109" s="21">
        <v>194</v>
      </c>
      <c r="F109" s="19">
        <v>29.95166</v>
      </c>
      <c r="G109" s="20">
        <v>0.20971798521270399</v>
      </c>
      <c r="H109" s="22"/>
    </row>
    <row r="110" spans="2:8" x14ac:dyDescent="0.2">
      <c r="B110" s="18" t="s">
        <v>362</v>
      </c>
      <c r="C110" s="18" t="s">
        <v>363</v>
      </c>
      <c r="D110" s="18" t="s">
        <v>74</v>
      </c>
      <c r="E110" s="21">
        <v>544</v>
      </c>
      <c r="F110" s="19">
        <v>29.376000000000001</v>
      </c>
      <c r="G110" s="20">
        <v>0.205687281893838</v>
      </c>
      <c r="H110" s="22"/>
    </row>
    <row r="111" spans="2:8" x14ac:dyDescent="0.2">
      <c r="B111" s="18" t="s">
        <v>397</v>
      </c>
      <c r="C111" s="18" t="s">
        <v>398</v>
      </c>
      <c r="D111" s="18" t="s">
        <v>68</v>
      </c>
      <c r="E111" s="21">
        <v>24001</v>
      </c>
      <c r="F111" s="19">
        <v>29.350822900000001</v>
      </c>
      <c r="G111" s="20">
        <v>0.205510994813739</v>
      </c>
      <c r="H111" s="22"/>
    </row>
    <row r="112" spans="2:8" x14ac:dyDescent="0.2">
      <c r="B112" s="18" t="s">
        <v>350</v>
      </c>
      <c r="C112" s="18" t="s">
        <v>351</v>
      </c>
      <c r="D112" s="18" t="s">
        <v>174</v>
      </c>
      <c r="E112" s="21">
        <v>7303</v>
      </c>
      <c r="F112" s="19">
        <v>29.160879000000001</v>
      </c>
      <c r="G112" s="20">
        <v>0.20418103006349</v>
      </c>
      <c r="H112" s="22"/>
    </row>
    <row r="113" spans="2:8" x14ac:dyDescent="0.2">
      <c r="B113" s="18" t="s">
        <v>260</v>
      </c>
      <c r="C113" s="18" t="s">
        <v>261</v>
      </c>
      <c r="D113" s="18" t="s">
        <v>31</v>
      </c>
      <c r="E113" s="21">
        <v>2373</v>
      </c>
      <c r="F113" s="19">
        <v>29.120269499999999</v>
      </c>
      <c r="G113" s="20">
        <v>0.20389668714157899</v>
      </c>
      <c r="H113" s="22"/>
    </row>
    <row r="114" spans="2:8" x14ac:dyDescent="0.2">
      <c r="B114" s="18" t="s">
        <v>264</v>
      </c>
      <c r="C114" s="18" t="s">
        <v>265</v>
      </c>
      <c r="D114" s="18" t="s">
        <v>12</v>
      </c>
      <c r="E114" s="21">
        <v>26623</v>
      </c>
      <c r="F114" s="19">
        <v>29.114912799999999</v>
      </c>
      <c r="G114" s="20">
        <v>0.203859180160951</v>
      </c>
      <c r="H114" s="22"/>
    </row>
    <row r="115" spans="2:8" x14ac:dyDescent="0.2">
      <c r="B115" s="18" t="s">
        <v>114</v>
      </c>
      <c r="C115" s="18" t="s">
        <v>115</v>
      </c>
      <c r="D115" s="18" t="s">
        <v>28</v>
      </c>
      <c r="E115" s="21">
        <v>7746</v>
      </c>
      <c r="F115" s="19">
        <v>29.012643000000001</v>
      </c>
      <c r="G115" s="20">
        <v>0.20314309910220199</v>
      </c>
      <c r="H115" s="22"/>
    </row>
    <row r="116" spans="2:8" x14ac:dyDescent="0.2">
      <c r="B116" s="18" t="s">
        <v>266</v>
      </c>
      <c r="C116" s="18" t="s">
        <v>267</v>
      </c>
      <c r="D116" s="18" t="s">
        <v>268</v>
      </c>
      <c r="E116" s="21">
        <v>4930</v>
      </c>
      <c r="F116" s="19">
        <v>28.9391</v>
      </c>
      <c r="G116" s="20">
        <v>0.20262815970363399</v>
      </c>
      <c r="H116" s="22"/>
    </row>
    <row r="117" spans="2:8" x14ac:dyDescent="0.2">
      <c r="B117" s="18" t="s">
        <v>341</v>
      </c>
      <c r="C117" s="18" t="s">
        <v>342</v>
      </c>
      <c r="D117" s="18" t="s">
        <v>259</v>
      </c>
      <c r="E117" s="21">
        <v>1148</v>
      </c>
      <c r="F117" s="19">
        <v>28.913527999999999</v>
      </c>
      <c r="G117" s="20">
        <v>0.20244910758038401</v>
      </c>
      <c r="H117" s="22"/>
    </row>
    <row r="118" spans="2:8" x14ac:dyDescent="0.2">
      <c r="B118" s="18" t="s">
        <v>352</v>
      </c>
      <c r="C118" s="18" t="s">
        <v>353</v>
      </c>
      <c r="D118" s="18" t="s">
        <v>223</v>
      </c>
      <c r="E118" s="21">
        <v>1481</v>
      </c>
      <c r="F118" s="19">
        <v>28.213049999999999</v>
      </c>
      <c r="G118" s="20">
        <v>0.19754444336992599</v>
      </c>
      <c r="H118" s="22"/>
    </row>
    <row r="119" spans="2:8" x14ac:dyDescent="0.2">
      <c r="B119" s="18" t="s">
        <v>335</v>
      </c>
      <c r="C119" s="18" t="s">
        <v>336</v>
      </c>
      <c r="D119" s="18" t="s">
        <v>74</v>
      </c>
      <c r="E119" s="21">
        <v>1996</v>
      </c>
      <c r="F119" s="19">
        <v>27.73442</v>
      </c>
      <c r="G119" s="20">
        <v>0.19419313264917201</v>
      </c>
      <c r="H119" s="22"/>
    </row>
    <row r="120" spans="2:8" x14ac:dyDescent="0.2">
      <c r="B120" s="18" t="s">
        <v>89</v>
      </c>
      <c r="C120" s="18" t="s">
        <v>90</v>
      </c>
      <c r="D120" s="18" t="s">
        <v>12</v>
      </c>
      <c r="E120" s="21">
        <v>133155</v>
      </c>
      <c r="F120" s="19">
        <v>26.537791500000001</v>
      </c>
      <c r="G120" s="20">
        <v>0.18581448124660899</v>
      </c>
      <c r="H120" s="22"/>
    </row>
    <row r="121" spans="2:8" x14ac:dyDescent="0.2">
      <c r="B121" s="18" t="s">
        <v>273</v>
      </c>
      <c r="C121" s="18" t="s">
        <v>274</v>
      </c>
      <c r="D121" s="18" t="s">
        <v>237</v>
      </c>
      <c r="E121" s="21">
        <v>684</v>
      </c>
      <c r="F121" s="19">
        <v>26.048088</v>
      </c>
      <c r="G121" s="20">
        <v>0.18238563518693801</v>
      </c>
      <c r="H121" s="22"/>
    </row>
    <row r="122" spans="2:8" x14ac:dyDescent="0.2">
      <c r="B122" s="18" t="s">
        <v>343</v>
      </c>
      <c r="C122" s="18" t="s">
        <v>344</v>
      </c>
      <c r="D122" s="18" t="s">
        <v>74</v>
      </c>
      <c r="E122" s="21">
        <v>1076</v>
      </c>
      <c r="F122" s="19">
        <v>25.891787999999998</v>
      </c>
      <c r="G122" s="20">
        <v>0.18129124105022801</v>
      </c>
      <c r="H122" s="22"/>
    </row>
    <row r="123" spans="2:8" x14ac:dyDescent="0.2">
      <c r="B123" s="18" t="s">
        <v>347</v>
      </c>
      <c r="C123" s="18" t="s">
        <v>348</v>
      </c>
      <c r="D123" s="18" t="s">
        <v>349</v>
      </c>
      <c r="E123" s="21">
        <v>4011</v>
      </c>
      <c r="F123" s="19">
        <v>25.7446035</v>
      </c>
      <c r="G123" s="20">
        <v>0.18026067256772799</v>
      </c>
      <c r="H123" s="22"/>
    </row>
    <row r="124" spans="2:8" x14ac:dyDescent="0.2">
      <c r="B124" s="18" t="s">
        <v>368</v>
      </c>
      <c r="C124" s="18" t="s">
        <v>369</v>
      </c>
      <c r="D124" s="18" t="s">
        <v>370</v>
      </c>
      <c r="E124" s="21">
        <v>28427</v>
      </c>
      <c r="F124" s="19">
        <v>25.689479899999998</v>
      </c>
      <c r="G124" s="20">
        <v>0.17987470363212801</v>
      </c>
      <c r="H124" s="22"/>
    </row>
    <row r="125" spans="2:8" x14ac:dyDescent="0.2">
      <c r="B125" s="18" t="s">
        <v>358</v>
      </c>
      <c r="C125" s="18" t="s">
        <v>359</v>
      </c>
      <c r="D125" s="18" t="s">
        <v>268</v>
      </c>
      <c r="E125" s="21">
        <v>1440</v>
      </c>
      <c r="F125" s="19">
        <v>25.416</v>
      </c>
      <c r="G125" s="20">
        <v>0.177959829677757</v>
      </c>
      <c r="H125" s="22"/>
    </row>
    <row r="126" spans="2:8" x14ac:dyDescent="0.2">
      <c r="B126" s="18" t="s">
        <v>275</v>
      </c>
      <c r="C126" s="18" t="s">
        <v>276</v>
      </c>
      <c r="D126" s="18" t="s">
        <v>95</v>
      </c>
      <c r="E126" s="21">
        <v>105</v>
      </c>
      <c r="F126" s="19">
        <v>25.40475</v>
      </c>
      <c r="G126" s="20">
        <v>0.17788105850668801</v>
      </c>
      <c r="H126" s="22"/>
    </row>
    <row r="127" spans="2:8" x14ac:dyDescent="0.2">
      <c r="B127" s="18" t="s">
        <v>441</v>
      </c>
      <c r="C127" s="18" t="s">
        <v>442</v>
      </c>
      <c r="D127" s="18" t="s">
        <v>54</v>
      </c>
      <c r="E127" s="21">
        <v>4981</v>
      </c>
      <c r="F127" s="19">
        <v>25.3458185</v>
      </c>
      <c r="G127" s="20">
        <v>0.17746842710510399</v>
      </c>
      <c r="H127" s="22"/>
    </row>
    <row r="128" spans="2:8" x14ac:dyDescent="0.2">
      <c r="B128" s="18" t="s">
        <v>360</v>
      </c>
      <c r="C128" s="18" t="s">
        <v>361</v>
      </c>
      <c r="D128" s="18" t="s">
        <v>69</v>
      </c>
      <c r="E128" s="21">
        <v>1762</v>
      </c>
      <c r="F128" s="19">
        <v>25.203648000000001</v>
      </c>
      <c r="G128" s="20">
        <v>0.176472966058315</v>
      </c>
      <c r="H128" s="22"/>
    </row>
    <row r="129" spans="2:8" x14ac:dyDescent="0.2">
      <c r="B129" s="18" t="s">
        <v>277</v>
      </c>
      <c r="C129" s="18" t="s">
        <v>278</v>
      </c>
      <c r="D129" s="18" t="s">
        <v>12</v>
      </c>
      <c r="E129" s="21">
        <v>15011</v>
      </c>
      <c r="F129" s="19">
        <v>24.909253400000001</v>
      </c>
      <c r="G129" s="20">
        <v>0.17441164984513999</v>
      </c>
      <c r="H129" s="22"/>
    </row>
    <row r="130" spans="2:8" x14ac:dyDescent="0.2">
      <c r="B130" s="18" t="s">
        <v>356</v>
      </c>
      <c r="C130" s="18" t="s">
        <v>357</v>
      </c>
      <c r="D130" s="18" t="s">
        <v>31</v>
      </c>
      <c r="E130" s="21">
        <v>1425</v>
      </c>
      <c r="F130" s="19">
        <v>24.738</v>
      </c>
      <c r="G130" s="20">
        <v>0.17321255376803399</v>
      </c>
      <c r="H130" s="22"/>
    </row>
    <row r="131" spans="2:8" x14ac:dyDescent="0.2">
      <c r="B131" s="18" t="s">
        <v>401</v>
      </c>
      <c r="C131" s="18" t="s">
        <v>402</v>
      </c>
      <c r="D131" s="18" t="s">
        <v>74</v>
      </c>
      <c r="E131" s="21">
        <v>1091</v>
      </c>
      <c r="F131" s="19">
        <v>24.511496999999999</v>
      </c>
      <c r="G131" s="20">
        <v>0.17162660651821099</v>
      </c>
      <c r="H131" s="22"/>
    </row>
    <row r="132" spans="2:8" x14ac:dyDescent="0.2">
      <c r="B132" s="18" t="s">
        <v>364</v>
      </c>
      <c r="C132" s="18" t="s">
        <v>365</v>
      </c>
      <c r="D132" s="18" t="s">
        <v>51</v>
      </c>
      <c r="E132" s="21">
        <v>830</v>
      </c>
      <c r="F132" s="19">
        <v>24.467569999999998</v>
      </c>
      <c r="G132" s="20">
        <v>0.171319034853187</v>
      </c>
      <c r="H132" s="22"/>
    </row>
    <row r="133" spans="2:8" x14ac:dyDescent="0.2">
      <c r="B133" s="18" t="s">
        <v>366</v>
      </c>
      <c r="C133" s="18" t="s">
        <v>367</v>
      </c>
      <c r="D133" s="18" t="s">
        <v>69</v>
      </c>
      <c r="E133" s="21">
        <v>1950</v>
      </c>
      <c r="F133" s="19">
        <v>24.191700000000001</v>
      </c>
      <c r="G133" s="20">
        <v>0.169387425700952</v>
      </c>
      <c r="H133" s="22"/>
    </row>
    <row r="134" spans="2:8" x14ac:dyDescent="0.2">
      <c r="B134" s="18" t="s">
        <v>271</v>
      </c>
      <c r="C134" s="18" t="s">
        <v>272</v>
      </c>
      <c r="D134" s="18" t="s">
        <v>138</v>
      </c>
      <c r="E134" s="21">
        <v>706</v>
      </c>
      <c r="F134" s="19">
        <v>24.174852000000001</v>
      </c>
      <c r="G134" s="20">
        <v>0.16926945799515999</v>
      </c>
      <c r="H134" s="22"/>
    </row>
    <row r="135" spans="2:8" x14ac:dyDescent="0.2">
      <c r="B135" s="18" t="s">
        <v>279</v>
      </c>
      <c r="C135" s="18" t="s">
        <v>280</v>
      </c>
      <c r="D135" s="18" t="s">
        <v>51</v>
      </c>
      <c r="E135" s="21">
        <v>67</v>
      </c>
      <c r="F135" s="19">
        <v>24.11665</v>
      </c>
      <c r="G135" s="20">
        <v>0.16886193446640199</v>
      </c>
      <c r="H135" s="22"/>
    </row>
    <row r="136" spans="2:8" x14ac:dyDescent="0.2">
      <c r="B136" s="18" t="s">
        <v>399</v>
      </c>
      <c r="C136" s="18" t="s">
        <v>400</v>
      </c>
      <c r="D136" s="18" t="s">
        <v>74</v>
      </c>
      <c r="E136" s="21">
        <v>6689</v>
      </c>
      <c r="F136" s="19">
        <v>24.056988499999999</v>
      </c>
      <c r="G136" s="20">
        <v>0.16844419169105099</v>
      </c>
      <c r="H136" s="22"/>
    </row>
    <row r="137" spans="2:8" x14ac:dyDescent="0.2">
      <c r="B137" s="18" t="s">
        <v>207</v>
      </c>
      <c r="C137" s="18" t="s">
        <v>208</v>
      </c>
      <c r="D137" s="18" t="s">
        <v>34</v>
      </c>
      <c r="E137" s="21">
        <v>11985</v>
      </c>
      <c r="F137" s="19">
        <v>24.047902499999999</v>
      </c>
      <c r="G137" s="20">
        <v>0.168380572592355</v>
      </c>
      <c r="H137" s="22"/>
    </row>
    <row r="138" spans="2:8" x14ac:dyDescent="0.2">
      <c r="B138" s="18" t="s">
        <v>532</v>
      </c>
      <c r="C138" s="18" t="s">
        <v>533</v>
      </c>
      <c r="D138" s="18" t="s">
        <v>63</v>
      </c>
      <c r="E138" s="21">
        <v>3225</v>
      </c>
      <c r="F138" s="19">
        <v>23.819849999999999</v>
      </c>
      <c r="G138" s="20">
        <v>0.16678377592657001</v>
      </c>
      <c r="H138" s="22"/>
    </row>
    <row r="139" spans="2:8" x14ac:dyDescent="0.2">
      <c r="B139" s="18" t="s">
        <v>377</v>
      </c>
      <c r="C139" s="18" t="s">
        <v>378</v>
      </c>
      <c r="D139" s="18" t="s">
        <v>12</v>
      </c>
      <c r="E139" s="21">
        <v>2762</v>
      </c>
      <c r="F139" s="19">
        <v>23.528096999999999</v>
      </c>
      <c r="G139" s="20">
        <v>0.16474095588455101</v>
      </c>
      <c r="H139" s="22"/>
    </row>
    <row r="140" spans="2:8" x14ac:dyDescent="0.2">
      <c r="B140" s="18" t="s">
        <v>373</v>
      </c>
      <c r="C140" s="18" t="s">
        <v>374</v>
      </c>
      <c r="D140" s="18" t="s">
        <v>31</v>
      </c>
      <c r="E140" s="21">
        <v>4114</v>
      </c>
      <c r="F140" s="19">
        <v>23.085711</v>
      </c>
      <c r="G140" s="20">
        <v>0.161643421370393</v>
      </c>
      <c r="H140" s="22"/>
    </row>
    <row r="141" spans="2:8" x14ac:dyDescent="0.2">
      <c r="B141" s="18" t="s">
        <v>339</v>
      </c>
      <c r="C141" s="18" t="s">
        <v>340</v>
      </c>
      <c r="D141" s="18" t="s">
        <v>68</v>
      </c>
      <c r="E141" s="21">
        <v>8520</v>
      </c>
      <c r="F141" s="19">
        <v>23.02956</v>
      </c>
      <c r="G141" s="20">
        <v>0.16125025870135701</v>
      </c>
      <c r="H141" s="22"/>
    </row>
    <row r="142" spans="2:8" x14ac:dyDescent="0.2">
      <c r="B142" s="18" t="s">
        <v>379</v>
      </c>
      <c r="C142" s="18" t="s">
        <v>380</v>
      </c>
      <c r="D142" s="18" t="s">
        <v>223</v>
      </c>
      <c r="E142" s="21">
        <v>472</v>
      </c>
      <c r="F142" s="19">
        <v>22.927399999999999</v>
      </c>
      <c r="G142" s="20">
        <v>0.16053494644923699</v>
      </c>
      <c r="H142" s="22"/>
    </row>
    <row r="143" spans="2:8" x14ac:dyDescent="0.2">
      <c r="B143" s="18" t="s">
        <v>568</v>
      </c>
      <c r="C143" s="18" t="s">
        <v>569</v>
      </c>
      <c r="D143" s="18" t="s">
        <v>570</v>
      </c>
      <c r="E143" s="21">
        <v>10499</v>
      </c>
      <c r="F143" s="19">
        <v>22.664191299999999</v>
      </c>
      <c r="G143" s="20">
        <v>0.158691990223957</v>
      </c>
      <c r="H143" s="22"/>
    </row>
    <row r="144" spans="2:8" x14ac:dyDescent="0.2">
      <c r="B144" s="18" t="s">
        <v>381</v>
      </c>
      <c r="C144" s="18" t="s">
        <v>382</v>
      </c>
      <c r="D144" s="18" t="s">
        <v>237</v>
      </c>
      <c r="E144" s="21">
        <v>705</v>
      </c>
      <c r="F144" s="19">
        <v>21.987539999999999</v>
      </c>
      <c r="G144" s="20">
        <v>0.153954157752316</v>
      </c>
      <c r="H144" s="22"/>
    </row>
    <row r="145" spans="2:8" x14ac:dyDescent="0.2">
      <c r="B145" s="18" t="s">
        <v>371</v>
      </c>
      <c r="C145" s="18" t="s">
        <v>372</v>
      </c>
      <c r="D145" s="18" t="s">
        <v>138</v>
      </c>
      <c r="E145" s="21">
        <v>483</v>
      </c>
      <c r="F145" s="19">
        <v>21.903084</v>
      </c>
      <c r="G145" s="20">
        <v>0.15336280681687101</v>
      </c>
      <c r="H145" s="22"/>
    </row>
    <row r="146" spans="2:8" x14ac:dyDescent="0.2">
      <c r="B146" s="18" t="s">
        <v>573</v>
      </c>
      <c r="C146" s="18" t="s">
        <v>574</v>
      </c>
      <c r="D146" s="18" t="s">
        <v>297</v>
      </c>
      <c r="E146" s="21">
        <v>541</v>
      </c>
      <c r="F146" s="19">
        <v>21.880203999999999</v>
      </c>
      <c r="G146" s="20">
        <v>0.153202603759623</v>
      </c>
      <c r="H146" s="22"/>
    </row>
    <row r="147" spans="2:8" x14ac:dyDescent="0.2">
      <c r="B147" s="18" t="s">
        <v>315</v>
      </c>
      <c r="C147" s="18" t="s">
        <v>316</v>
      </c>
      <c r="D147" s="18" t="s">
        <v>34</v>
      </c>
      <c r="E147" s="21">
        <v>455</v>
      </c>
      <c r="F147" s="19">
        <v>21.84</v>
      </c>
      <c r="G147" s="20">
        <v>0.152921100100811</v>
      </c>
      <c r="H147" s="22"/>
    </row>
    <row r="148" spans="2:8" x14ac:dyDescent="0.2">
      <c r="B148" s="18" t="s">
        <v>393</v>
      </c>
      <c r="C148" s="18" t="s">
        <v>394</v>
      </c>
      <c r="D148" s="18" t="s">
        <v>77</v>
      </c>
      <c r="E148" s="21">
        <v>4434</v>
      </c>
      <c r="F148" s="19">
        <v>21.762072</v>
      </c>
      <c r="G148" s="20">
        <v>0.15237545745023101</v>
      </c>
      <c r="H148" s="22"/>
    </row>
    <row r="149" spans="2:8" x14ac:dyDescent="0.2">
      <c r="B149" s="18" t="s">
        <v>508</v>
      </c>
      <c r="C149" s="18" t="s">
        <v>509</v>
      </c>
      <c r="D149" s="18" t="s">
        <v>12</v>
      </c>
      <c r="E149" s="21">
        <v>7344</v>
      </c>
      <c r="F149" s="19">
        <v>21.554639999999999</v>
      </c>
      <c r="G149" s="20">
        <v>0.150923043089603</v>
      </c>
      <c r="H149" s="22"/>
    </row>
    <row r="150" spans="2:8" x14ac:dyDescent="0.2">
      <c r="B150" s="18" t="s">
        <v>281</v>
      </c>
      <c r="C150" s="18" t="s">
        <v>282</v>
      </c>
      <c r="D150" s="18" t="s">
        <v>237</v>
      </c>
      <c r="E150" s="21">
        <v>657</v>
      </c>
      <c r="F150" s="19">
        <v>21.541716000000001</v>
      </c>
      <c r="G150" s="20">
        <v>0.15083255076828</v>
      </c>
      <c r="H150" s="22"/>
    </row>
    <row r="151" spans="2:8" x14ac:dyDescent="0.2">
      <c r="B151" s="18" t="s">
        <v>283</v>
      </c>
      <c r="C151" s="18" t="s">
        <v>284</v>
      </c>
      <c r="D151" s="18" t="s">
        <v>95</v>
      </c>
      <c r="E151" s="21">
        <v>4801</v>
      </c>
      <c r="F151" s="19">
        <v>21.326042000000001</v>
      </c>
      <c r="G151" s="20">
        <v>0.149322426897257</v>
      </c>
      <c r="H151" s="22"/>
    </row>
    <row r="152" spans="2:8" x14ac:dyDescent="0.2">
      <c r="B152" s="18" t="s">
        <v>291</v>
      </c>
      <c r="C152" s="18" t="s">
        <v>292</v>
      </c>
      <c r="D152" s="18" t="s">
        <v>74</v>
      </c>
      <c r="E152" s="21">
        <v>2385</v>
      </c>
      <c r="F152" s="19">
        <v>21.271815</v>
      </c>
      <c r="G152" s="20">
        <v>0.14894273584894399</v>
      </c>
      <c r="H152" s="22"/>
    </row>
    <row r="153" spans="2:8" x14ac:dyDescent="0.2">
      <c r="B153" s="18" t="s">
        <v>287</v>
      </c>
      <c r="C153" s="18" t="s">
        <v>288</v>
      </c>
      <c r="D153" s="18" t="s">
        <v>174</v>
      </c>
      <c r="E153" s="21">
        <v>3562</v>
      </c>
      <c r="F153" s="19">
        <v>21.227739</v>
      </c>
      <c r="G153" s="20">
        <v>0.14863412090351999</v>
      </c>
      <c r="H153" s="22"/>
    </row>
    <row r="154" spans="2:8" x14ac:dyDescent="0.2">
      <c r="B154" s="18" t="s">
        <v>118</v>
      </c>
      <c r="C154" s="18" t="s">
        <v>119</v>
      </c>
      <c r="D154" s="18" t="s">
        <v>48</v>
      </c>
      <c r="E154" s="21">
        <v>11487</v>
      </c>
      <c r="F154" s="19">
        <v>21.2072994</v>
      </c>
      <c r="G154" s="20">
        <v>0.14849100523879399</v>
      </c>
      <c r="H154" s="22"/>
    </row>
    <row r="155" spans="2:8" x14ac:dyDescent="0.2">
      <c r="B155" s="18" t="s">
        <v>435</v>
      </c>
      <c r="C155" s="18" t="s">
        <v>436</v>
      </c>
      <c r="D155" s="18" t="s">
        <v>17</v>
      </c>
      <c r="E155" s="21">
        <v>1330</v>
      </c>
      <c r="F155" s="19">
        <v>21.02065</v>
      </c>
      <c r="G155" s="20">
        <v>0.14718410818837499</v>
      </c>
      <c r="H155" s="22"/>
    </row>
    <row r="156" spans="2:8" x14ac:dyDescent="0.2">
      <c r="B156" s="18" t="s">
        <v>387</v>
      </c>
      <c r="C156" s="18" t="s">
        <v>388</v>
      </c>
      <c r="D156" s="18" t="s">
        <v>268</v>
      </c>
      <c r="E156" s="21">
        <v>1144</v>
      </c>
      <c r="F156" s="19">
        <v>20.994688</v>
      </c>
      <c r="G156" s="20">
        <v>0.14700232533119501</v>
      </c>
      <c r="H156" s="22"/>
    </row>
    <row r="157" spans="2:8" x14ac:dyDescent="0.2">
      <c r="B157" s="18" t="s">
        <v>453</v>
      </c>
      <c r="C157" s="18" t="s">
        <v>454</v>
      </c>
      <c r="D157" s="18" t="s">
        <v>234</v>
      </c>
      <c r="E157" s="21">
        <v>3890</v>
      </c>
      <c r="F157" s="19">
        <v>20.988495</v>
      </c>
      <c r="G157" s="20">
        <v>0.14695896267675701</v>
      </c>
      <c r="H157" s="22"/>
    </row>
    <row r="158" spans="2:8" x14ac:dyDescent="0.2">
      <c r="B158" s="18" t="s">
        <v>514</v>
      </c>
      <c r="C158" s="18" t="s">
        <v>515</v>
      </c>
      <c r="D158" s="18" t="s">
        <v>259</v>
      </c>
      <c r="E158" s="21">
        <v>301</v>
      </c>
      <c r="F158" s="19">
        <v>20.531210000000002</v>
      </c>
      <c r="G158" s="20">
        <v>0.14375710712457701</v>
      </c>
      <c r="H158" s="22"/>
    </row>
    <row r="159" spans="2:8" x14ac:dyDescent="0.2">
      <c r="B159" s="18" t="s">
        <v>98</v>
      </c>
      <c r="C159" s="18" t="s">
        <v>99</v>
      </c>
      <c r="D159" s="18" t="s">
        <v>74</v>
      </c>
      <c r="E159" s="21">
        <v>1338</v>
      </c>
      <c r="F159" s="19">
        <v>20.483442</v>
      </c>
      <c r="G159" s="20">
        <v>0.14342264123128001</v>
      </c>
      <c r="H159" s="22"/>
    </row>
    <row r="160" spans="2:8" x14ac:dyDescent="0.2">
      <c r="B160" s="18" t="s">
        <v>285</v>
      </c>
      <c r="C160" s="18" t="s">
        <v>286</v>
      </c>
      <c r="D160" s="18" t="s">
        <v>22</v>
      </c>
      <c r="E160" s="21">
        <v>1116</v>
      </c>
      <c r="F160" s="19">
        <v>20.284416</v>
      </c>
      <c r="G160" s="20">
        <v>0.14202908468967401</v>
      </c>
      <c r="H160" s="22"/>
    </row>
    <row r="161" spans="2:8" x14ac:dyDescent="0.2">
      <c r="B161" s="18" t="s">
        <v>510</v>
      </c>
      <c r="C161" s="18" t="s">
        <v>511</v>
      </c>
      <c r="D161" s="18" t="s">
        <v>51</v>
      </c>
      <c r="E161" s="21">
        <v>3318</v>
      </c>
      <c r="F161" s="19">
        <v>20.148555000000002</v>
      </c>
      <c r="G161" s="20">
        <v>0.141077802016561</v>
      </c>
      <c r="H161" s="22"/>
    </row>
    <row r="162" spans="2:8" x14ac:dyDescent="0.2">
      <c r="B162" s="18" t="s">
        <v>403</v>
      </c>
      <c r="C162" s="18" t="s">
        <v>404</v>
      </c>
      <c r="D162" s="18" t="s">
        <v>349</v>
      </c>
      <c r="E162" s="21">
        <v>650</v>
      </c>
      <c r="F162" s="19">
        <v>19.856200000000001</v>
      </c>
      <c r="G162" s="20">
        <v>0.139030766841654</v>
      </c>
      <c r="H162" s="22"/>
    </row>
    <row r="163" spans="2:8" x14ac:dyDescent="0.2">
      <c r="B163" s="18" t="s">
        <v>395</v>
      </c>
      <c r="C163" s="18" t="s">
        <v>396</v>
      </c>
      <c r="D163" s="18" t="s">
        <v>31</v>
      </c>
      <c r="E163" s="21">
        <v>23849</v>
      </c>
      <c r="F163" s="19">
        <v>19.842368</v>
      </c>
      <c r="G163" s="20">
        <v>0.13893391681159001</v>
      </c>
      <c r="H163" s="22"/>
    </row>
    <row r="164" spans="2:8" x14ac:dyDescent="0.2">
      <c r="B164" s="18" t="s">
        <v>126</v>
      </c>
      <c r="C164" s="18" t="s">
        <v>127</v>
      </c>
      <c r="D164" s="18" t="s">
        <v>51</v>
      </c>
      <c r="E164" s="21">
        <v>15</v>
      </c>
      <c r="F164" s="19">
        <v>19.456499999999998</v>
      </c>
      <c r="G164" s="20">
        <v>0.13623211465711699</v>
      </c>
      <c r="H164" s="22"/>
    </row>
    <row r="165" spans="2:8" x14ac:dyDescent="0.2">
      <c r="B165" s="18" t="s">
        <v>457</v>
      </c>
      <c r="C165" s="18" t="s">
        <v>458</v>
      </c>
      <c r="D165" s="18" t="s">
        <v>459</v>
      </c>
      <c r="E165" s="21">
        <v>4214</v>
      </c>
      <c r="F165" s="19">
        <v>19.361222999999999</v>
      </c>
      <c r="G165" s="20">
        <v>0.13556499635792699</v>
      </c>
      <c r="H165" s="22"/>
    </row>
    <row r="166" spans="2:8" x14ac:dyDescent="0.2">
      <c r="B166" s="18" t="s">
        <v>289</v>
      </c>
      <c r="C166" s="18" t="s">
        <v>290</v>
      </c>
      <c r="D166" s="18" t="s">
        <v>268</v>
      </c>
      <c r="E166" s="21">
        <v>2152</v>
      </c>
      <c r="F166" s="19">
        <v>19.322807999999998</v>
      </c>
      <c r="G166" s="20">
        <v>0.13529601906578501</v>
      </c>
      <c r="H166" s="22"/>
    </row>
    <row r="167" spans="2:8" x14ac:dyDescent="0.2">
      <c r="B167" s="18" t="s">
        <v>405</v>
      </c>
      <c r="C167" s="18" t="s">
        <v>406</v>
      </c>
      <c r="D167" s="18" t="s">
        <v>48</v>
      </c>
      <c r="E167" s="21">
        <v>2507</v>
      </c>
      <c r="F167" s="19">
        <v>19.238717999999999</v>
      </c>
      <c r="G167" s="20">
        <v>0.13470723081910599</v>
      </c>
      <c r="H167" s="22"/>
    </row>
    <row r="168" spans="2:8" x14ac:dyDescent="0.2">
      <c r="B168" s="18" t="s">
        <v>383</v>
      </c>
      <c r="C168" s="18" t="s">
        <v>384</v>
      </c>
      <c r="D168" s="18" t="s">
        <v>138</v>
      </c>
      <c r="E168" s="21">
        <v>5517</v>
      </c>
      <c r="F168" s="19">
        <v>19.061235</v>
      </c>
      <c r="G168" s="20">
        <v>0.13346451581868499</v>
      </c>
      <c r="H168" s="22"/>
    </row>
    <row r="169" spans="2:8" x14ac:dyDescent="0.2">
      <c r="B169" s="18" t="s">
        <v>413</v>
      </c>
      <c r="C169" s="18" t="s">
        <v>414</v>
      </c>
      <c r="D169" s="18" t="s">
        <v>223</v>
      </c>
      <c r="E169" s="21">
        <v>519</v>
      </c>
      <c r="F169" s="19">
        <v>18.801293999999999</v>
      </c>
      <c r="G169" s="20">
        <v>0.13164443964280101</v>
      </c>
      <c r="H169" s="22"/>
    </row>
    <row r="170" spans="2:8" x14ac:dyDescent="0.2">
      <c r="B170" s="18" t="s">
        <v>407</v>
      </c>
      <c r="C170" s="18" t="s">
        <v>408</v>
      </c>
      <c r="D170" s="18" t="s">
        <v>268</v>
      </c>
      <c r="E170" s="21">
        <v>1316</v>
      </c>
      <c r="F170" s="19">
        <v>18.613503999999999</v>
      </c>
      <c r="G170" s="20">
        <v>0.13032955624591799</v>
      </c>
      <c r="H170" s="22"/>
    </row>
    <row r="171" spans="2:8" x14ac:dyDescent="0.2">
      <c r="B171" s="18" t="s">
        <v>411</v>
      </c>
      <c r="C171" s="18" t="s">
        <v>412</v>
      </c>
      <c r="D171" s="18" t="s">
        <v>349</v>
      </c>
      <c r="E171" s="21">
        <v>933</v>
      </c>
      <c r="F171" s="19">
        <v>18.489260999999999</v>
      </c>
      <c r="G171" s="20">
        <v>0.12945962143640199</v>
      </c>
      <c r="H171" s="22"/>
    </row>
    <row r="172" spans="2:8" x14ac:dyDescent="0.2">
      <c r="B172" s="18" t="s">
        <v>417</v>
      </c>
      <c r="C172" s="18" t="s">
        <v>418</v>
      </c>
      <c r="D172" s="18" t="s">
        <v>370</v>
      </c>
      <c r="E172" s="21">
        <v>1019</v>
      </c>
      <c r="F172" s="19">
        <v>17.979236</v>
      </c>
      <c r="G172" s="20">
        <v>0.125888486634254</v>
      </c>
      <c r="H172" s="22"/>
    </row>
    <row r="173" spans="2:8" x14ac:dyDescent="0.2">
      <c r="B173" s="18" t="s">
        <v>415</v>
      </c>
      <c r="C173" s="18" t="s">
        <v>416</v>
      </c>
      <c r="D173" s="18" t="s">
        <v>69</v>
      </c>
      <c r="E173" s="21">
        <v>994</v>
      </c>
      <c r="F173" s="19">
        <v>17.703140000000001</v>
      </c>
      <c r="G173" s="20">
        <v>0.123955295056716</v>
      </c>
      <c r="H173" s="22"/>
    </row>
    <row r="174" spans="2:8" x14ac:dyDescent="0.2">
      <c r="B174" s="18" t="s">
        <v>389</v>
      </c>
      <c r="C174" s="18" t="s">
        <v>390</v>
      </c>
      <c r="D174" s="18" t="s">
        <v>63</v>
      </c>
      <c r="E174" s="21">
        <v>1700</v>
      </c>
      <c r="F174" s="19">
        <v>17.58905</v>
      </c>
      <c r="G174" s="20">
        <v>0.123156450353854</v>
      </c>
      <c r="H174" s="22"/>
    </row>
    <row r="175" spans="2:8" x14ac:dyDescent="0.2">
      <c r="B175" s="18" t="s">
        <v>419</v>
      </c>
      <c r="C175" s="18" t="s">
        <v>420</v>
      </c>
      <c r="D175" s="18" t="s">
        <v>95</v>
      </c>
      <c r="E175" s="21">
        <v>331</v>
      </c>
      <c r="F175" s="19">
        <v>17.499970000000001</v>
      </c>
      <c r="G175" s="20">
        <v>0.122532722716629</v>
      </c>
      <c r="H175" s="22"/>
    </row>
    <row r="176" spans="2:8" x14ac:dyDescent="0.2">
      <c r="B176" s="18" t="s">
        <v>421</v>
      </c>
      <c r="C176" s="18" t="s">
        <v>422</v>
      </c>
      <c r="D176" s="18" t="s">
        <v>237</v>
      </c>
      <c r="E176" s="21">
        <v>140</v>
      </c>
      <c r="F176" s="19">
        <v>17.263400000000001</v>
      </c>
      <c r="G176" s="20">
        <v>0.120876287521993</v>
      </c>
      <c r="H176" s="22"/>
    </row>
    <row r="177" spans="2:8" x14ac:dyDescent="0.2">
      <c r="B177" s="18" t="s">
        <v>423</v>
      </c>
      <c r="C177" s="18" t="s">
        <v>424</v>
      </c>
      <c r="D177" s="18" t="s">
        <v>254</v>
      </c>
      <c r="E177" s="21">
        <v>6104</v>
      </c>
      <c r="F177" s="19">
        <v>16.8934304</v>
      </c>
      <c r="G177" s="20">
        <v>0.118285804086286</v>
      </c>
      <c r="H177" s="22"/>
    </row>
    <row r="178" spans="2:8" x14ac:dyDescent="0.2">
      <c r="B178" s="18" t="s">
        <v>691</v>
      </c>
      <c r="C178" s="18" t="s">
        <v>105</v>
      </c>
      <c r="D178" s="18" t="s">
        <v>31</v>
      </c>
      <c r="E178" s="21">
        <v>13647</v>
      </c>
      <c r="F178" s="19">
        <v>16.516281800000002</v>
      </c>
      <c r="G178" s="20">
        <v>0.115645054140613</v>
      </c>
      <c r="H178" s="22"/>
    </row>
    <row r="179" spans="2:8" x14ac:dyDescent="0.2">
      <c r="B179" s="18" t="s">
        <v>690</v>
      </c>
      <c r="C179" s="18" t="s">
        <v>106</v>
      </c>
      <c r="D179" s="18" t="s">
        <v>31</v>
      </c>
      <c r="E179" s="21">
        <v>13647</v>
      </c>
      <c r="F179" s="19">
        <v>16.516281800000002</v>
      </c>
      <c r="G179" s="20">
        <v>0.115645054140613</v>
      </c>
      <c r="H179" s="22"/>
    </row>
    <row r="180" spans="2:8" x14ac:dyDescent="0.2">
      <c r="B180" s="18" t="s">
        <v>692</v>
      </c>
      <c r="C180" s="18" t="s">
        <v>107</v>
      </c>
      <c r="D180" s="18" t="s">
        <v>108</v>
      </c>
      <c r="E180" s="21">
        <v>13647</v>
      </c>
      <c r="F180" s="19">
        <v>16.516281800000002</v>
      </c>
      <c r="G180" s="20">
        <v>0.115645054140613</v>
      </c>
      <c r="H180" s="22"/>
    </row>
    <row r="181" spans="2:8" x14ac:dyDescent="0.2">
      <c r="B181" s="18" t="s">
        <v>689</v>
      </c>
      <c r="C181" s="18" t="s">
        <v>109</v>
      </c>
      <c r="D181" s="18" t="s">
        <v>108</v>
      </c>
      <c r="E181" s="21">
        <v>13647</v>
      </c>
      <c r="F181" s="19">
        <v>16.516281800000002</v>
      </c>
      <c r="G181" s="20">
        <v>0.115645054140613</v>
      </c>
      <c r="H181" s="22"/>
    </row>
    <row r="182" spans="2:8" x14ac:dyDescent="0.2">
      <c r="B182" s="18" t="s">
        <v>333</v>
      </c>
      <c r="C182" s="18" t="s">
        <v>334</v>
      </c>
      <c r="D182" s="18" t="s">
        <v>34</v>
      </c>
      <c r="E182" s="21">
        <v>1375</v>
      </c>
      <c r="F182" s="19">
        <v>16.443625000000001</v>
      </c>
      <c r="G182" s="20">
        <v>0.11513631980976199</v>
      </c>
      <c r="H182" s="22"/>
    </row>
    <row r="183" spans="2:8" x14ac:dyDescent="0.2">
      <c r="B183" s="18" t="s">
        <v>128</v>
      </c>
      <c r="C183" s="18" t="s">
        <v>129</v>
      </c>
      <c r="D183" s="18" t="s">
        <v>34</v>
      </c>
      <c r="E183" s="21">
        <v>381</v>
      </c>
      <c r="F183" s="19">
        <v>16.267175999999999</v>
      </c>
      <c r="G183" s="20">
        <v>0.113900844755197</v>
      </c>
      <c r="H183" s="22"/>
    </row>
    <row r="184" spans="2:8" x14ac:dyDescent="0.2">
      <c r="B184" s="18" t="s">
        <v>80</v>
      </c>
      <c r="C184" s="18" t="s">
        <v>81</v>
      </c>
      <c r="D184" s="18" t="s">
        <v>68</v>
      </c>
      <c r="E184" s="21">
        <v>3137</v>
      </c>
      <c r="F184" s="19">
        <v>16.185351499999999</v>
      </c>
      <c r="G184" s="20">
        <v>0.113327919271901</v>
      </c>
      <c r="H184" s="22"/>
    </row>
    <row r="185" spans="2:8" x14ac:dyDescent="0.2">
      <c r="B185" s="18" t="s">
        <v>295</v>
      </c>
      <c r="C185" s="18" t="s">
        <v>296</v>
      </c>
      <c r="D185" s="18" t="s">
        <v>297</v>
      </c>
      <c r="E185" s="21">
        <v>582</v>
      </c>
      <c r="F185" s="19">
        <v>15.907223999999999</v>
      </c>
      <c r="G185" s="20">
        <v>0.11138050337133799</v>
      </c>
      <c r="H185" s="22"/>
    </row>
    <row r="186" spans="2:8" x14ac:dyDescent="0.2">
      <c r="B186" s="18" t="s">
        <v>409</v>
      </c>
      <c r="C186" s="18" t="s">
        <v>410</v>
      </c>
      <c r="D186" s="18" t="s">
        <v>138</v>
      </c>
      <c r="E186" s="21">
        <v>5643</v>
      </c>
      <c r="F186" s="19">
        <v>15.785163900000001</v>
      </c>
      <c r="G186" s="20">
        <v>0.110525852969762</v>
      </c>
      <c r="H186" s="22"/>
    </row>
    <row r="187" spans="2:8" x14ac:dyDescent="0.2">
      <c r="B187" s="18" t="s">
        <v>538</v>
      </c>
      <c r="C187" s="18" t="s">
        <v>539</v>
      </c>
      <c r="D187" s="18" t="s">
        <v>74</v>
      </c>
      <c r="E187" s="21">
        <v>753</v>
      </c>
      <c r="F187" s="19">
        <v>15.386801999999999</v>
      </c>
      <c r="G187" s="20">
        <v>0.107736570003359</v>
      </c>
      <c r="H187" s="22"/>
    </row>
    <row r="188" spans="2:8" x14ac:dyDescent="0.2">
      <c r="B188" s="18" t="s">
        <v>526</v>
      </c>
      <c r="C188" s="18" t="s">
        <v>527</v>
      </c>
      <c r="D188" s="18" t="s">
        <v>12</v>
      </c>
      <c r="E188" s="21">
        <v>5670</v>
      </c>
      <c r="F188" s="19">
        <v>15.314102999999999</v>
      </c>
      <c r="G188" s="20">
        <v>0.107227540193092</v>
      </c>
      <c r="H188" s="22"/>
    </row>
    <row r="189" spans="2:8" x14ac:dyDescent="0.2">
      <c r="B189" s="18" t="s">
        <v>427</v>
      </c>
      <c r="C189" s="18" t="s">
        <v>428</v>
      </c>
      <c r="D189" s="18" t="s">
        <v>268</v>
      </c>
      <c r="E189" s="21">
        <v>904</v>
      </c>
      <c r="F189" s="19">
        <v>15.093184000000001</v>
      </c>
      <c r="G189" s="20">
        <v>0.10568069145164601</v>
      </c>
      <c r="H189" s="22"/>
    </row>
    <row r="190" spans="2:8" x14ac:dyDescent="0.2">
      <c r="B190" s="18" t="s">
        <v>433</v>
      </c>
      <c r="C190" s="18" t="s">
        <v>434</v>
      </c>
      <c r="D190" s="18" t="s">
        <v>223</v>
      </c>
      <c r="E190" s="21">
        <v>984</v>
      </c>
      <c r="F190" s="19">
        <v>15.052248000000001</v>
      </c>
      <c r="G190" s="20">
        <v>0.105394062415303</v>
      </c>
      <c r="H190" s="22"/>
    </row>
    <row r="191" spans="2:8" x14ac:dyDescent="0.2">
      <c r="B191" s="18" t="s">
        <v>534</v>
      </c>
      <c r="C191" s="18" t="s">
        <v>535</v>
      </c>
      <c r="D191" s="18" t="s">
        <v>197</v>
      </c>
      <c r="E191" s="21">
        <v>2145</v>
      </c>
      <c r="F191" s="19">
        <v>15.0375225</v>
      </c>
      <c r="G191" s="20">
        <v>0.10529095620378599</v>
      </c>
      <c r="H191" s="22"/>
    </row>
    <row r="192" spans="2:8" x14ac:dyDescent="0.2">
      <c r="B192" s="18" t="s">
        <v>633</v>
      </c>
      <c r="C192" s="18" t="s">
        <v>634</v>
      </c>
      <c r="D192" s="18" t="s">
        <v>69</v>
      </c>
      <c r="E192" s="21">
        <v>2792</v>
      </c>
      <c r="F192" s="19">
        <v>14.909280000000001</v>
      </c>
      <c r="G192" s="20">
        <v>0.10439301736772</v>
      </c>
      <c r="H192" s="22"/>
    </row>
    <row r="193" spans="2:8" x14ac:dyDescent="0.2">
      <c r="B193" s="18" t="s">
        <v>518</v>
      </c>
      <c r="C193" s="18" t="s">
        <v>519</v>
      </c>
      <c r="D193" s="18" t="s">
        <v>63</v>
      </c>
      <c r="E193" s="21">
        <v>1165</v>
      </c>
      <c r="F193" s="19">
        <v>14.8188</v>
      </c>
      <c r="G193" s="20">
        <v>0.103759487095874</v>
      </c>
      <c r="H193" s="22"/>
    </row>
    <row r="194" spans="2:8" x14ac:dyDescent="0.2">
      <c r="B194" s="18" t="s">
        <v>425</v>
      </c>
      <c r="C194" s="18" t="s">
        <v>426</v>
      </c>
      <c r="D194" s="18" t="s">
        <v>51</v>
      </c>
      <c r="E194" s="21">
        <v>1329</v>
      </c>
      <c r="F194" s="19">
        <v>14.785125000000001</v>
      </c>
      <c r="G194" s="20">
        <v>0.103523698723809</v>
      </c>
      <c r="H194" s="22"/>
    </row>
    <row r="195" spans="2:8" x14ac:dyDescent="0.2">
      <c r="B195" s="18" t="s">
        <v>516</v>
      </c>
      <c r="C195" s="18" t="s">
        <v>517</v>
      </c>
      <c r="D195" s="18" t="s">
        <v>138</v>
      </c>
      <c r="E195" s="21">
        <v>737</v>
      </c>
      <c r="F195" s="19">
        <v>14.729682</v>
      </c>
      <c r="G195" s="20">
        <v>0.103135493387139</v>
      </c>
      <c r="H195" s="22"/>
    </row>
    <row r="196" spans="2:8" x14ac:dyDescent="0.2">
      <c r="B196" s="18" t="s">
        <v>520</v>
      </c>
      <c r="C196" s="18" t="s">
        <v>521</v>
      </c>
      <c r="D196" s="18" t="s">
        <v>12</v>
      </c>
      <c r="E196" s="21">
        <v>4323</v>
      </c>
      <c r="F196" s="19">
        <v>14.549056500000001</v>
      </c>
      <c r="G196" s="20">
        <v>0.101870774972933</v>
      </c>
      <c r="H196" s="22"/>
    </row>
    <row r="197" spans="2:8" x14ac:dyDescent="0.2">
      <c r="B197" s="18" t="s">
        <v>554</v>
      </c>
      <c r="C197" s="18" t="s">
        <v>555</v>
      </c>
      <c r="D197" s="18" t="s">
        <v>74</v>
      </c>
      <c r="E197" s="21">
        <v>1350</v>
      </c>
      <c r="F197" s="19">
        <v>14.437575000000001</v>
      </c>
      <c r="G197" s="20">
        <v>0.101090194678936</v>
      </c>
      <c r="H197" s="22"/>
    </row>
    <row r="198" spans="2:8" x14ac:dyDescent="0.2">
      <c r="B198" s="18" t="s">
        <v>528</v>
      </c>
      <c r="C198" s="18" t="s">
        <v>529</v>
      </c>
      <c r="D198" s="18" t="s">
        <v>22</v>
      </c>
      <c r="E198" s="21">
        <v>1511</v>
      </c>
      <c r="F198" s="19">
        <v>14.125583499999999</v>
      </c>
      <c r="G198" s="20">
        <v>9.8905667050634694E-2</v>
      </c>
      <c r="H198" s="22"/>
    </row>
    <row r="199" spans="2:8" x14ac:dyDescent="0.2">
      <c r="B199" s="18" t="s">
        <v>494</v>
      </c>
      <c r="C199" s="18" t="s">
        <v>495</v>
      </c>
      <c r="D199" s="18" t="s">
        <v>496</v>
      </c>
      <c r="E199" s="21">
        <v>382</v>
      </c>
      <c r="F199" s="19">
        <v>13.852466</v>
      </c>
      <c r="G199" s="20">
        <v>9.6993330578254502E-2</v>
      </c>
      <c r="H199" s="22"/>
    </row>
    <row r="200" spans="2:8" x14ac:dyDescent="0.2">
      <c r="B200" s="18" t="s">
        <v>488</v>
      </c>
      <c r="C200" s="18" t="s">
        <v>489</v>
      </c>
      <c r="D200" s="18" t="s">
        <v>17</v>
      </c>
      <c r="E200" s="21">
        <v>909</v>
      </c>
      <c r="F200" s="19">
        <v>13.793165999999999</v>
      </c>
      <c r="G200" s="20">
        <v>9.6578118983200498E-2</v>
      </c>
      <c r="H200" s="22"/>
    </row>
    <row r="201" spans="2:8" x14ac:dyDescent="0.2">
      <c r="B201" s="18" t="s">
        <v>136</v>
      </c>
      <c r="C201" s="18" t="s">
        <v>137</v>
      </c>
      <c r="D201" s="18" t="s">
        <v>138</v>
      </c>
      <c r="E201" s="21">
        <v>4434</v>
      </c>
      <c r="F201" s="19">
        <v>13.776438000000001</v>
      </c>
      <c r="G201" s="20">
        <v>9.6460991503233201E-2</v>
      </c>
      <c r="H201" s="22"/>
    </row>
    <row r="202" spans="2:8" x14ac:dyDescent="0.2">
      <c r="B202" s="18" t="s">
        <v>562</v>
      </c>
      <c r="C202" s="18" t="s">
        <v>563</v>
      </c>
      <c r="D202" s="18" t="s">
        <v>74</v>
      </c>
      <c r="E202" s="21">
        <v>786</v>
      </c>
      <c r="F202" s="19">
        <v>13.761288</v>
      </c>
      <c r="G202" s="20">
        <v>9.63549129928611E-2</v>
      </c>
      <c r="H202" s="22"/>
    </row>
    <row r="203" spans="2:8" x14ac:dyDescent="0.2">
      <c r="B203" s="18" t="s">
        <v>542</v>
      </c>
      <c r="C203" s="18" t="s">
        <v>543</v>
      </c>
      <c r="D203" s="18" t="s">
        <v>197</v>
      </c>
      <c r="E203" s="21">
        <v>2063</v>
      </c>
      <c r="F203" s="19">
        <v>13.754021</v>
      </c>
      <c r="G203" s="20">
        <v>9.6304030317291803E-2</v>
      </c>
      <c r="H203" s="22"/>
    </row>
    <row r="204" spans="2:8" x14ac:dyDescent="0.2">
      <c r="B204" s="18" t="s">
        <v>293</v>
      </c>
      <c r="C204" s="18" t="s">
        <v>294</v>
      </c>
      <c r="D204" s="18" t="s">
        <v>138</v>
      </c>
      <c r="E204" s="21">
        <v>13103</v>
      </c>
      <c r="F204" s="19">
        <v>13.6546363</v>
      </c>
      <c r="G204" s="20">
        <v>9.5608150387933299E-2</v>
      </c>
      <c r="H204" s="22"/>
    </row>
    <row r="205" spans="2:8" x14ac:dyDescent="0.2">
      <c r="B205" s="18" t="s">
        <v>447</v>
      </c>
      <c r="C205" s="18" t="s">
        <v>448</v>
      </c>
      <c r="D205" s="18" t="s">
        <v>25</v>
      </c>
      <c r="E205" s="21">
        <v>4576</v>
      </c>
      <c r="F205" s="19">
        <v>13.620464</v>
      </c>
      <c r="G205" s="20">
        <v>9.5368879980013199E-2</v>
      </c>
      <c r="H205" s="22"/>
    </row>
    <row r="206" spans="2:8" x14ac:dyDescent="0.2">
      <c r="B206" s="18" t="s">
        <v>522</v>
      </c>
      <c r="C206" s="18" t="s">
        <v>523</v>
      </c>
      <c r="D206" s="18" t="s">
        <v>63</v>
      </c>
      <c r="E206" s="21">
        <v>4371</v>
      </c>
      <c r="F206" s="19">
        <v>13.4937141</v>
      </c>
      <c r="G206" s="20">
        <v>9.4481392152830607E-2</v>
      </c>
      <c r="H206" s="22"/>
    </row>
    <row r="207" spans="2:8" x14ac:dyDescent="0.2">
      <c r="B207" s="18" t="s">
        <v>490</v>
      </c>
      <c r="C207" s="18" t="s">
        <v>491</v>
      </c>
      <c r="D207" s="18" t="s">
        <v>200</v>
      </c>
      <c r="E207" s="21">
        <v>6793</v>
      </c>
      <c r="F207" s="19">
        <v>13.339414100000001</v>
      </c>
      <c r="G207" s="20">
        <v>9.3401001779865697E-2</v>
      </c>
      <c r="H207" s="22"/>
    </row>
    <row r="208" spans="2:8" x14ac:dyDescent="0.2">
      <c r="B208" s="18" t="s">
        <v>536</v>
      </c>
      <c r="C208" s="18" t="s">
        <v>537</v>
      </c>
      <c r="D208" s="18" t="s">
        <v>174</v>
      </c>
      <c r="E208" s="21">
        <v>2463</v>
      </c>
      <c r="F208" s="19">
        <v>13.1733555</v>
      </c>
      <c r="G208" s="20">
        <v>9.2238279078711793E-2</v>
      </c>
      <c r="H208" s="22"/>
    </row>
    <row r="209" spans="2:8" x14ac:dyDescent="0.2">
      <c r="B209" s="18" t="s">
        <v>460</v>
      </c>
      <c r="C209" s="18" t="s">
        <v>461</v>
      </c>
      <c r="D209" s="18" t="s">
        <v>237</v>
      </c>
      <c r="E209" s="21">
        <v>321</v>
      </c>
      <c r="F209" s="19">
        <v>13.089096</v>
      </c>
      <c r="G209" s="20">
        <v>9.1648304013055001E-2</v>
      </c>
      <c r="H209" s="22"/>
    </row>
    <row r="210" spans="2:8" x14ac:dyDescent="0.2">
      <c r="B210" s="18" t="s">
        <v>445</v>
      </c>
      <c r="C210" s="18" t="s">
        <v>446</v>
      </c>
      <c r="D210" s="18" t="s">
        <v>12</v>
      </c>
      <c r="E210" s="21">
        <v>9351</v>
      </c>
      <c r="F210" s="19">
        <v>13.079243699999999</v>
      </c>
      <c r="G210" s="20">
        <v>9.1579319372280102E-2</v>
      </c>
      <c r="H210" s="22"/>
    </row>
    <row r="211" spans="2:8" x14ac:dyDescent="0.2">
      <c r="B211" s="18" t="s">
        <v>540</v>
      </c>
      <c r="C211" s="18" t="s">
        <v>541</v>
      </c>
      <c r="D211" s="18" t="s">
        <v>223</v>
      </c>
      <c r="E211" s="21">
        <v>1031</v>
      </c>
      <c r="F211" s="19">
        <v>13.060192499999999</v>
      </c>
      <c r="G211" s="20">
        <v>9.1445925120346105E-2</v>
      </c>
      <c r="H211" s="22"/>
    </row>
    <row r="212" spans="2:8" x14ac:dyDescent="0.2">
      <c r="B212" s="18" t="s">
        <v>132</v>
      </c>
      <c r="C212" s="18" t="s">
        <v>133</v>
      </c>
      <c r="D212" s="18" t="s">
        <v>104</v>
      </c>
      <c r="E212" s="21">
        <v>889</v>
      </c>
      <c r="F212" s="19">
        <v>12.966953999999999</v>
      </c>
      <c r="G212" s="20">
        <v>9.0793080157353906E-2</v>
      </c>
      <c r="H212" s="22"/>
    </row>
    <row r="213" spans="2:8" x14ac:dyDescent="0.2">
      <c r="B213" s="18" t="s">
        <v>546</v>
      </c>
      <c r="C213" s="18" t="s">
        <v>547</v>
      </c>
      <c r="D213" s="18" t="s">
        <v>54</v>
      </c>
      <c r="E213" s="21">
        <v>814</v>
      </c>
      <c r="F213" s="19">
        <v>12.835152000000001</v>
      </c>
      <c r="G213" s="20">
        <v>8.9870218122761997E-2</v>
      </c>
      <c r="H213" s="22"/>
    </row>
    <row r="214" spans="2:8" x14ac:dyDescent="0.2">
      <c r="B214" s="18" t="s">
        <v>530</v>
      </c>
      <c r="C214" s="18" t="s">
        <v>531</v>
      </c>
      <c r="D214" s="18" t="s">
        <v>12</v>
      </c>
      <c r="E214" s="21">
        <v>6395</v>
      </c>
      <c r="F214" s="19">
        <v>12.772093999999999</v>
      </c>
      <c r="G214" s="20">
        <v>8.9428693455630204E-2</v>
      </c>
      <c r="H214" s="22"/>
    </row>
    <row r="215" spans="2:8" x14ac:dyDescent="0.2">
      <c r="B215" s="18" t="s">
        <v>439</v>
      </c>
      <c r="C215" s="18" t="s">
        <v>440</v>
      </c>
      <c r="D215" s="18" t="s">
        <v>254</v>
      </c>
      <c r="E215" s="21">
        <v>2012</v>
      </c>
      <c r="F215" s="19">
        <v>12.770163999999999</v>
      </c>
      <c r="G215" s="20">
        <v>8.9415179823615798E-2</v>
      </c>
      <c r="H215" s="22"/>
    </row>
    <row r="216" spans="2:8" x14ac:dyDescent="0.2">
      <c r="B216" s="18" t="s">
        <v>429</v>
      </c>
      <c r="C216" s="18" t="s">
        <v>430</v>
      </c>
      <c r="D216" s="18" t="s">
        <v>138</v>
      </c>
      <c r="E216" s="21">
        <v>1971</v>
      </c>
      <c r="F216" s="19">
        <v>12.691269</v>
      </c>
      <c r="G216" s="20">
        <v>8.8862766353265399E-2</v>
      </c>
      <c r="H216" s="22"/>
    </row>
    <row r="217" spans="2:8" x14ac:dyDescent="0.2">
      <c r="B217" s="18" t="s">
        <v>462</v>
      </c>
      <c r="C217" s="18" t="s">
        <v>463</v>
      </c>
      <c r="D217" s="18" t="s">
        <v>259</v>
      </c>
      <c r="E217" s="21">
        <v>173</v>
      </c>
      <c r="F217" s="19">
        <v>12.663600000000001</v>
      </c>
      <c r="G217" s="20">
        <v>8.86690312837283E-2</v>
      </c>
      <c r="H217" s="22"/>
    </row>
    <row r="218" spans="2:8" x14ac:dyDescent="0.2">
      <c r="B218" s="18" t="s">
        <v>443</v>
      </c>
      <c r="C218" s="18" t="s">
        <v>444</v>
      </c>
      <c r="D218" s="18" t="s">
        <v>51</v>
      </c>
      <c r="E218" s="21">
        <v>586</v>
      </c>
      <c r="F218" s="19">
        <v>12.662288</v>
      </c>
      <c r="G218" s="20">
        <v>8.86598448147113E-2</v>
      </c>
      <c r="H218" s="22"/>
    </row>
    <row r="219" spans="2:8" x14ac:dyDescent="0.2">
      <c r="B219" s="18" t="s">
        <v>504</v>
      </c>
      <c r="C219" s="18" t="s">
        <v>505</v>
      </c>
      <c r="D219" s="18" t="s">
        <v>181</v>
      </c>
      <c r="E219" s="21">
        <v>4644</v>
      </c>
      <c r="F219" s="19">
        <v>12.630751200000001</v>
      </c>
      <c r="G219" s="20">
        <v>8.8439027866466804E-2</v>
      </c>
      <c r="H219" s="22"/>
    </row>
    <row r="220" spans="2:8" x14ac:dyDescent="0.2">
      <c r="B220" s="18" t="s">
        <v>524</v>
      </c>
      <c r="C220" s="18" t="s">
        <v>525</v>
      </c>
      <c r="D220" s="18" t="s">
        <v>138</v>
      </c>
      <c r="E220" s="21">
        <v>1200</v>
      </c>
      <c r="F220" s="19">
        <v>12.547800000000001</v>
      </c>
      <c r="G220" s="20">
        <v>8.7858213362864104E-2</v>
      </c>
      <c r="H220" s="22"/>
    </row>
    <row r="221" spans="2:8" x14ac:dyDescent="0.2">
      <c r="B221" s="18" t="s">
        <v>375</v>
      </c>
      <c r="C221" s="18" t="s">
        <v>376</v>
      </c>
      <c r="D221" s="18" t="s">
        <v>34</v>
      </c>
      <c r="E221" s="21">
        <v>549</v>
      </c>
      <c r="F221" s="19">
        <v>12.499083000000001</v>
      </c>
      <c r="G221" s="20">
        <v>8.7517102683669495E-2</v>
      </c>
      <c r="H221" s="22"/>
    </row>
    <row r="222" spans="2:8" x14ac:dyDescent="0.2">
      <c r="B222" s="18" t="s">
        <v>464</v>
      </c>
      <c r="C222" s="18" t="s">
        <v>465</v>
      </c>
      <c r="D222" s="18" t="s">
        <v>223</v>
      </c>
      <c r="E222" s="21">
        <v>316</v>
      </c>
      <c r="F222" s="19">
        <v>12.480736</v>
      </c>
      <c r="G222" s="20">
        <v>8.7388639156950207E-2</v>
      </c>
      <c r="H222" s="22"/>
    </row>
    <row r="223" spans="2:8" x14ac:dyDescent="0.2">
      <c r="B223" s="18" t="s">
        <v>455</v>
      </c>
      <c r="C223" s="18" t="s">
        <v>456</v>
      </c>
      <c r="D223" s="18" t="s">
        <v>12</v>
      </c>
      <c r="E223" s="21">
        <v>15888</v>
      </c>
      <c r="F223" s="19">
        <v>12.4514256</v>
      </c>
      <c r="G223" s="20">
        <v>8.7183411198507199E-2</v>
      </c>
      <c r="H223" s="22"/>
    </row>
    <row r="224" spans="2:8" x14ac:dyDescent="0.2">
      <c r="B224" s="18" t="s">
        <v>466</v>
      </c>
      <c r="C224" s="18" t="s">
        <v>467</v>
      </c>
      <c r="D224" s="18" t="s">
        <v>95</v>
      </c>
      <c r="E224" s="21">
        <v>651</v>
      </c>
      <c r="F224" s="19">
        <v>12.410012999999999</v>
      </c>
      <c r="G224" s="20">
        <v>8.6893445065263905E-2</v>
      </c>
      <c r="H224" s="22"/>
    </row>
    <row r="225" spans="2:8" x14ac:dyDescent="0.2">
      <c r="B225" s="18" t="s">
        <v>564</v>
      </c>
      <c r="C225" s="18" t="s">
        <v>565</v>
      </c>
      <c r="D225" s="18" t="s">
        <v>74</v>
      </c>
      <c r="E225" s="21">
        <v>477</v>
      </c>
      <c r="F225" s="19">
        <v>12.373856999999999</v>
      </c>
      <c r="G225" s="20">
        <v>8.6640285024272803E-2</v>
      </c>
      <c r="H225" s="22"/>
    </row>
    <row r="226" spans="2:8" x14ac:dyDescent="0.2">
      <c r="B226" s="18" t="s">
        <v>637</v>
      </c>
      <c r="C226" s="18" t="s">
        <v>638</v>
      </c>
      <c r="D226" s="18" t="s">
        <v>297</v>
      </c>
      <c r="E226" s="21">
        <v>1287</v>
      </c>
      <c r="F226" s="19">
        <v>12.3416865</v>
      </c>
      <c r="G226" s="20">
        <v>8.6415030983485505E-2</v>
      </c>
      <c r="H226" s="22"/>
    </row>
    <row r="227" spans="2:8" x14ac:dyDescent="0.2">
      <c r="B227" s="18" t="s">
        <v>451</v>
      </c>
      <c r="C227" s="18" t="s">
        <v>452</v>
      </c>
      <c r="D227" s="18" t="s">
        <v>51</v>
      </c>
      <c r="E227" s="21">
        <v>3412</v>
      </c>
      <c r="F227" s="19">
        <v>12.301966</v>
      </c>
      <c r="G227" s="20">
        <v>8.6136912734559104E-2</v>
      </c>
      <c r="H227" s="22"/>
    </row>
    <row r="228" spans="2:8" x14ac:dyDescent="0.2">
      <c r="B228" s="18" t="s">
        <v>122</v>
      </c>
      <c r="C228" s="18" t="s">
        <v>123</v>
      </c>
      <c r="D228" s="18" t="s">
        <v>51</v>
      </c>
      <c r="E228" s="21">
        <v>298</v>
      </c>
      <c r="F228" s="19">
        <v>12.291904000000001</v>
      </c>
      <c r="G228" s="20">
        <v>8.6066459799155504E-2</v>
      </c>
      <c r="H228" s="22"/>
    </row>
    <row r="229" spans="2:8" x14ac:dyDescent="0.2">
      <c r="B229" s="18" t="s">
        <v>506</v>
      </c>
      <c r="C229" s="18" t="s">
        <v>507</v>
      </c>
      <c r="D229" s="18" t="s">
        <v>297</v>
      </c>
      <c r="E229" s="21">
        <v>38</v>
      </c>
      <c r="F229" s="19">
        <v>11.791399999999999</v>
      </c>
      <c r="G229" s="20">
        <v>8.2561989914317693E-2</v>
      </c>
      <c r="H229" s="22"/>
    </row>
    <row r="230" spans="2:8" x14ac:dyDescent="0.2">
      <c r="B230" s="18" t="s">
        <v>470</v>
      </c>
      <c r="C230" s="18" t="s">
        <v>471</v>
      </c>
      <c r="D230" s="18" t="s">
        <v>297</v>
      </c>
      <c r="E230" s="21">
        <v>675</v>
      </c>
      <c r="F230" s="19">
        <v>11.70045</v>
      </c>
      <c r="G230" s="20">
        <v>8.1925168757991301E-2</v>
      </c>
      <c r="H230" s="22"/>
    </row>
    <row r="231" spans="2:8" x14ac:dyDescent="0.2">
      <c r="B231" s="18" t="s">
        <v>474</v>
      </c>
      <c r="C231" s="18" t="s">
        <v>475</v>
      </c>
      <c r="D231" s="18" t="s">
        <v>74</v>
      </c>
      <c r="E231" s="21">
        <v>46</v>
      </c>
      <c r="F231" s="19">
        <v>11.700100000000001</v>
      </c>
      <c r="G231" s="20">
        <v>8.1922718099335906E-2</v>
      </c>
      <c r="H231" s="22"/>
    </row>
    <row r="232" spans="2:8" x14ac:dyDescent="0.2">
      <c r="B232" s="18" t="s">
        <v>139</v>
      </c>
      <c r="C232" s="18" t="s">
        <v>140</v>
      </c>
      <c r="D232" s="18" t="s">
        <v>63</v>
      </c>
      <c r="E232" s="21">
        <v>1155</v>
      </c>
      <c r="F232" s="19">
        <v>11.664922499999999</v>
      </c>
      <c r="G232" s="20">
        <v>8.1676409399757302E-2</v>
      </c>
      <c r="H232" s="22"/>
    </row>
    <row r="233" spans="2:8" x14ac:dyDescent="0.2">
      <c r="B233" s="18" t="s">
        <v>641</v>
      </c>
      <c r="C233" s="18" t="s">
        <v>642</v>
      </c>
      <c r="D233" s="18" t="s">
        <v>496</v>
      </c>
      <c r="E233" s="21">
        <v>285</v>
      </c>
      <c r="F233" s="19">
        <v>11.584680000000001</v>
      </c>
      <c r="G233" s="20">
        <v>8.1114560893583307E-2</v>
      </c>
      <c r="H233" s="22"/>
    </row>
    <row r="234" spans="2:8" x14ac:dyDescent="0.2">
      <c r="B234" s="18" t="s">
        <v>558</v>
      </c>
      <c r="C234" s="18" t="s">
        <v>559</v>
      </c>
      <c r="D234" s="18" t="s">
        <v>25</v>
      </c>
      <c r="E234" s="21">
        <v>926</v>
      </c>
      <c r="F234" s="19">
        <v>11.577778</v>
      </c>
      <c r="G234" s="20">
        <v>8.1066233904897603E-2</v>
      </c>
      <c r="H234" s="22"/>
    </row>
    <row r="235" spans="2:8" x14ac:dyDescent="0.2">
      <c r="B235" s="18" t="s">
        <v>431</v>
      </c>
      <c r="C235" s="18" t="s">
        <v>432</v>
      </c>
      <c r="D235" s="18" t="s">
        <v>234</v>
      </c>
      <c r="E235" s="21">
        <v>2406</v>
      </c>
      <c r="F235" s="19">
        <v>11.515116000000001</v>
      </c>
      <c r="G235" s="20">
        <v>8.0627481982987498E-2</v>
      </c>
      <c r="H235" s="22"/>
    </row>
    <row r="236" spans="2:8" x14ac:dyDescent="0.2">
      <c r="B236" s="18" t="s">
        <v>566</v>
      </c>
      <c r="C236" s="18" t="s">
        <v>567</v>
      </c>
      <c r="D236" s="18" t="s">
        <v>74</v>
      </c>
      <c r="E236" s="21">
        <v>76</v>
      </c>
      <c r="F236" s="19">
        <v>11.402279999999999</v>
      </c>
      <c r="G236" s="20">
        <v>7.9837417639994093E-2</v>
      </c>
      <c r="H236" s="22"/>
    </row>
    <row r="237" spans="2:8" x14ac:dyDescent="0.2">
      <c r="B237" s="18" t="s">
        <v>468</v>
      </c>
      <c r="C237" s="18" t="s">
        <v>469</v>
      </c>
      <c r="D237" s="18" t="s">
        <v>259</v>
      </c>
      <c r="E237" s="21">
        <v>311</v>
      </c>
      <c r="F237" s="19">
        <v>11.202220000000001</v>
      </c>
      <c r="G237" s="20">
        <v>7.8436621152532193E-2</v>
      </c>
      <c r="H237" s="22"/>
    </row>
    <row r="238" spans="2:8" x14ac:dyDescent="0.2">
      <c r="B238" s="18" t="s">
        <v>437</v>
      </c>
      <c r="C238" s="18" t="s">
        <v>438</v>
      </c>
      <c r="D238" s="18" t="s">
        <v>234</v>
      </c>
      <c r="E238" s="21">
        <v>6930</v>
      </c>
      <c r="F238" s="19">
        <v>11.127501000000001</v>
      </c>
      <c r="G238" s="20">
        <v>7.7913447540882405E-2</v>
      </c>
      <c r="H238" s="22"/>
    </row>
    <row r="239" spans="2:8" x14ac:dyDescent="0.2">
      <c r="B239" s="18" t="s">
        <v>560</v>
      </c>
      <c r="C239" s="18" t="s">
        <v>561</v>
      </c>
      <c r="D239" s="18" t="s">
        <v>223</v>
      </c>
      <c r="E239" s="21">
        <v>655</v>
      </c>
      <c r="F239" s="19">
        <v>11.12321</v>
      </c>
      <c r="G239" s="20">
        <v>7.7883402465766402E-2</v>
      </c>
      <c r="H239" s="22"/>
    </row>
    <row r="240" spans="2:8" x14ac:dyDescent="0.2">
      <c r="B240" s="18" t="s">
        <v>484</v>
      </c>
      <c r="C240" s="18" t="s">
        <v>485</v>
      </c>
      <c r="D240" s="18" t="s">
        <v>74</v>
      </c>
      <c r="E240" s="21">
        <v>391</v>
      </c>
      <c r="F240" s="19">
        <v>11.036757</v>
      </c>
      <c r="G240" s="20">
        <v>7.7278068772221806E-2</v>
      </c>
      <c r="H240" s="22"/>
    </row>
    <row r="241" spans="2:8" x14ac:dyDescent="0.2">
      <c r="B241" s="18" t="s">
        <v>449</v>
      </c>
      <c r="C241" s="18" t="s">
        <v>450</v>
      </c>
      <c r="D241" s="18" t="s">
        <v>138</v>
      </c>
      <c r="E241" s="21">
        <v>1966</v>
      </c>
      <c r="F241" s="19">
        <v>10.905402</v>
      </c>
      <c r="G241" s="20">
        <v>7.6358336578826999E-2</v>
      </c>
      <c r="H241" s="22"/>
    </row>
    <row r="242" spans="2:8" x14ac:dyDescent="0.2">
      <c r="B242" s="18" t="s">
        <v>544</v>
      </c>
      <c r="C242" s="18" t="s">
        <v>545</v>
      </c>
      <c r="D242" s="18" t="s">
        <v>138</v>
      </c>
      <c r="E242" s="21">
        <v>3606</v>
      </c>
      <c r="F242" s="19">
        <v>10.614261000000001</v>
      </c>
      <c r="G242" s="20">
        <v>7.4319801688513307E-2</v>
      </c>
      <c r="H242" s="22"/>
    </row>
    <row r="243" spans="2:8" x14ac:dyDescent="0.2">
      <c r="B243" s="18" t="s">
        <v>556</v>
      </c>
      <c r="C243" s="18" t="s">
        <v>557</v>
      </c>
      <c r="D243" s="18" t="s">
        <v>259</v>
      </c>
      <c r="E243" s="21">
        <v>1735</v>
      </c>
      <c r="F243" s="19">
        <v>10.5444625</v>
      </c>
      <c r="G243" s="20">
        <v>7.3831080836618407E-2</v>
      </c>
      <c r="H243" s="22"/>
    </row>
    <row r="244" spans="2:8" x14ac:dyDescent="0.2">
      <c r="B244" s="18" t="s">
        <v>595</v>
      </c>
      <c r="C244" s="18" t="s">
        <v>596</v>
      </c>
      <c r="D244" s="18" t="s">
        <v>74</v>
      </c>
      <c r="E244" s="21">
        <v>752</v>
      </c>
      <c r="F244" s="19">
        <v>10.494911999999999</v>
      </c>
      <c r="G244" s="20">
        <v>7.3484134088882797E-2</v>
      </c>
      <c r="H244" s="22"/>
    </row>
    <row r="245" spans="2:8" x14ac:dyDescent="0.2">
      <c r="B245" s="18" t="s">
        <v>577</v>
      </c>
      <c r="C245" s="18" t="s">
        <v>578</v>
      </c>
      <c r="D245" s="18" t="s">
        <v>197</v>
      </c>
      <c r="E245" s="21">
        <v>589</v>
      </c>
      <c r="F245" s="19">
        <v>10.405274</v>
      </c>
      <c r="G245" s="20">
        <v>7.2856499401573405E-2</v>
      </c>
      <c r="H245" s="22"/>
    </row>
    <row r="246" spans="2:8" x14ac:dyDescent="0.2">
      <c r="B246" s="18" t="s">
        <v>49</v>
      </c>
      <c r="C246" s="18" t="s">
        <v>50</v>
      </c>
      <c r="D246" s="18" t="s">
        <v>51</v>
      </c>
      <c r="E246" s="21">
        <v>2537</v>
      </c>
      <c r="F246" s="19">
        <v>10.361108</v>
      </c>
      <c r="G246" s="20">
        <v>7.2547254286781604E-2</v>
      </c>
      <c r="H246" s="22"/>
    </row>
    <row r="247" spans="2:8" x14ac:dyDescent="0.2">
      <c r="B247" s="18" t="s">
        <v>501</v>
      </c>
      <c r="C247" s="18" t="s">
        <v>502</v>
      </c>
      <c r="D247" s="18" t="s">
        <v>503</v>
      </c>
      <c r="E247" s="21">
        <v>452</v>
      </c>
      <c r="F247" s="19">
        <v>10.174519999999999</v>
      </c>
      <c r="G247" s="20">
        <v>7.1240787151909402E-2</v>
      </c>
      <c r="H247" s="22"/>
    </row>
    <row r="248" spans="2:8" x14ac:dyDescent="0.2">
      <c r="B248" s="18" t="s">
        <v>550</v>
      </c>
      <c r="C248" s="18" t="s">
        <v>551</v>
      </c>
      <c r="D248" s="18" t="s">
        <v>63</v>
      </c>
      <c r="E248" s="21">
        <v>282</v>
      </c>
      <c r="F248" s="19">
        <v>10.156511999999999</v>
      </c>
      <c r="G248" s="20">
        <v>7.1114697263144899E-2</v>
      </c>
      <c r="H248" s="22"/>
    </row>
    <row r="249" spans="2:8" x14ac:dyDescent="0.2">
      <c r="B249" s="18" t="s">
        <v>476</v>
      </c>
      <c r="C249" s="18" t="s">
        <v>477</v>
      </c>
      <c r="D249" s="18" t="s">
        <v>171</v>
      </c>
      <c r="E249" s="21">
        <v>742</v>
      </c>
      <c r="F249" s="19">
        <v>10.121622</v>
      </c>
      <c r="G249" s="20">
        <v>7.0870401604604796E-2</v>
      </c>
      <c r="H249" s="22"/>
    </row>
    <row r="250" spans="2:8" x14ac:dyDescent="0.2">
      <c r="B250" s="18" t="s">
        <v>298</v>
      </c>
      <c r="C250" s="18" t="s">
        <v>299</v>
      </c>
      <c r="D250" s="18" t="s">
        <v>138</v>
      </c>
      <c r="E250" s="21">
        <v>3021</v>
      </c>
      <c r="F250" s="19">
        <v>10.0644615</v>
      </c>
      <c r="G250" s="20">
        <v>7.0470170535817597E-2</v>
      </c>
      <c r="H250" s="22"/>
    </row>
    <row r="251" spans="2:8" x14ac:dyDescent="0.2">
      <c r="B251" s="18" t="s">
        <v>548</v>
      </c>
      <c r="C251" s="18" t="s">
        <v>549</v>
      </c>
      <c r="D251" s="18" t="s">
        <v>138</v>
      </c>
      <c r="E251" s="21">
        <v>641</v>
      </c>
      <c r="F251" s="19">
        <v>9.9746009999999998</v>
      </c>
      <c r="G251" s="20">
        <v>6.9840977929791506E-2</v>
      </c>
      <c r="H251" s="22"/>
    </row>
    <row r="252" spans="2:8" x14ac:dyDescent="0.2">
      <c r="B252" s="18" t="s">
        <v>472</v>
      </c>
      <c r="C252" s="18" t="s">
        <v>473</v>
      </c>
      <c r="D252" s="18" t="s">
        <v>69</v>
      </c>
      <c r="E252" s="21">
        <v>2089</v>
      </c>
      <c r="F252" s="19">
        <v>9.8830589999999994</v>
      </c>
      <c r="G252" s="20">
        <v>6.9200011659396501E-2</v>
      </c>
      <c r="H252" s="22"/>
    </row>
    <row r="253" spans="2:8" x14ac:dyDescent="0.2">
      <c r="B253" s="18" t="s">
        <v>575</v>
      </c>
      <c r="C253" s="18" t="s">
        <v>576</v>
      </c>
      <c r="D253" s="18" t="s">
        <v>223</v>
      </c>
      <c r="E253" s="21">
        <v>281</v>
      </c>
      <c r="F253" s="19">
        <v>9.6349280000000004</v>
      </c>
      <c r="G253" s="20">
        <v>6.7462627708429701E-2</v>
      </c>
      <c r="H253" s="22"/>
    </row>
    <row r="254" spans="2:8" x14ac:dyDescent="0.2">
      <c r="B254" s="18" t="s">
        <v>141</v>
      </c>
      <c r="C254" s="18" t="s">
        <v>142</v>
      </c>
      <c r="D254" s="18" t="s">
        <v>34</v>
      </c>
      <c r="E254" s="21">
        <v>97</v>
      </c>
      <c r="F254" s="19">
        <v>9.4347049999999992</v>
      </c>
      <c r="G254" s="20">
        <v>6.6060689914222495E-2</v>
      </c>
      <c r="H254" s="22"/>
    </row>
    <row r="255" spans="2:8" x14ac:dyDescent="0.2">
      <c r="B255" s="18" t="s">
        <v>585</v>
      </c>
      <c r="C255" s="18" t="s">
        <v>586</v>
      </c>
      <c r="D255" s="18" t="s">
        <v>259</v>
      </c>
      <c r="E255" s="21">
        <v>539</v>
      </c>
      <c r="F255" s="19">
        <v>9.361891</v>
      </c>
      <c r="G255" s="20">
        <v>6.5550854887540297E-2</v>
      </c>
      <c r="H255" s="22"/>
    </row>
    <row r="256" spans="2:8" x14ac:dyDescent="0.2">
      <c r="B256" s="18" t="s">
        <v>613</v>
      </c>
      <c r="C256" s="18" t="s">
        <v>614</v>
      </c>
      <c r="D256" s="18" t="s">
        <v>74</v>
      </c>
      <c r="E256" s="21">
        <v>1337</v>
      </c>
      <c r="F256" s="19">
        <v>9.3549889999999998</v>
      </c>
      <c r="G256" s="20">
        <v>6.5502527898854607E-2</v>
      </c>
      <c r="H256" s="22"/>
    </row>
    <row r="257" spans="2:8" x14ac:dyDescent="0.2">
      <c r="B257" s="18" t="s">
        <v>579</v>
      </c>
      <c r="C257" s="18" t="s">
        <v>580</v>
      </c>
      <c r="D257" s="18" t="s">
        <v>171</v>
      </c>
      <c r="E257" s="21">
        <v>228</v>
      </c>
      <c r="F257" s="19">
        <v>9.3062760000000004</v>
      </c>
      <c r="G257" s="20">
        <v>6.5161445227187406E-2</v>
      </c>
      <c r="H257" s="22"/>
    </row>
    <row r="258" spans="2:8" x14ac:dyDescent="0.2">
      <c r="B258" s="18" t="s">
        <v>571</v>
      </c>
      <c r="C258" s="18" t="s">
        <v>572</v>
      </c>
      <c r="D258" s="18" t="s">
        <v>259</v>
      </c>
      <c r="E258" s="21">
        <v>1143</v>
      </c>
      <c r="F258" s="19">
        <v>9.2468699999999995</v>
      </c>
      <c r="G258" s="20">
        <v>6.47454914326549E-2</v>
      </c>
      <c r="H258" s="22"/>
    </row>
    <row r="259" spans="2:8" x14ac:dyDescent="0.2">
      <c r="B259" s="18" t="s">
        <v>607</v>
      </c>
      <c r="C259" s="18" t="s">
        <v>608</v>
      </c>
      <c r="D259" s="18" t="s">
        <v>197</v>
      </c>
      <c r="E259" s="21">
        <v>671</v>
      </c>
      <c r="F259" s="19">
        <v>9.1739119999999996</v>
      </c>
      <c r="G259" s="20">
        <v>6.4234648134983002E-2</v>
      </c>
      <c r="H259" s="22"/>
    </row>
    <row r="260" spans="2:8" x14ac:dyDescent="0.2">
      <c r="B260" s="18" t="s">
        <v>617</v>
      </c>
      <c r="C260" s="18" t="s">
        <v>618</v>
      </c>
      <c r="D260" s="18" t="s">
        <v>74</v>
      </c>
      <c r="E260" s="21">
        <v>5635</v>
      </c>
      <c r="F260" s="19">
        <v>9.1213744999999999</v>
      </c>
      <c r="G260" s="20">
        <v>6.3866786766093503E-2</v>
      </c>
      <c r="H260" s="22"/>
    </row>
    <row r="261" spans="2:8" x14ac:dyDescent="0.2">
      <c r="B261" s="18" t="s">
        <v>621</v>
      </c>
      <c r="C261" s="18" t="s">
        <v>622</v>
      </c>
      <c r="D261" s="18" t="s">
        <v>74</v>
      </c>
      <c r="E261" s="21">
        <v>829</v>
      </c>
      <c r="F261" s="19">
        <v>9.0837675000000004</v>
      </c>
      <c r="G261" s="20">
        <v>6.3603466994505101E-2</v>
      </c>
      <c r="H261" s="22"/>
    </row>
    <row r="262" spans="2:8" x14ac:dyDescent="0.2">
      <c r="B262" s="18" t="s">
        <v>497</v>
      </c>
      <c r="C262" s="18" t="s">
        <v>498</v>
      </c>
      <c r="D262" s="18" t="s">
        <v>74</v>
      </c>
      <c r="E262" s="21">
        <v>383</v>
      </c>
      <c r="F262" s="19">
        <v>8.9484119999999994</v>
      </c>
      <c r="G262" s="20">
        <v>6.2655723772678404E-2</v>
      </c>
      <c r="H262" s="22"/>
    </row>
    <row r="263" spans="2:8" x14ac:dyDescent="0.2">
      <c r="B263" s="18" t="s">
        <v>589</v>
      </c>
      <c r="C263" s="18" t="s">
        <v>590</v>
      </c>
      <c r="D263" s="18" t="s">
        <v>31</v>
      </c>
      <c r="E263" s="21">
        <v>4715</v>
      </c>
      <c r="F263" s="19">
        <v>8.8420395000000003</v>
      </c>
      <c r="G263" s="20">
        <v>6.1910916093169503E-2</v>
      </c>
      <c r="H263" s="22"/>
    </row>
    <row r="264" spans="2:8" x14ac:dyDescent="0.2">
      <c r="B264" s="18" t="s">
        <v>96</v>
      </c>
      <c r="C264" s="18" t="s">
        <v>97</v>
      </c>
      <c r="D264" s="18" t="s">
        <v>63</v>
      </c>
      <c r="E264" s="21">
        <v>4101</v>
      </c>
      <c r="F264" s="19">
        <v>8.8167399</v>
      </c>
      <c r="G264" s="20">
        <v>6.1733771282541802E-2</v>
      </c>
      <c r="H264" s="22"/>
    </row>
    <row r="265" spans="2:8" x14ac:dyDescent="0.2">
      <c r="B265" s="18" t="s">
        <v>587</v>
      </c>
      <c r="C265" s="18" t="s">
        <v>588</v>
      </c>
      <c r="D265" s="18" t="s">
        <v>17</v>
      </c>
      <c r="E265" s="21">
        <v>7542</v>
      </c>
      <c r="F265" s="19">
        <v>8.7509826000000004</v>
      </c>
      <c r="G265" s="20">
        <v>6.1273346435670901E-2</v>
      </c>
      <c r="H265" s="22"/>
    </row>
    <row r="266" spans="2:8" x14ac:dyDescent="0.2">
      <c r="B266" s="18" t="s">
        <v>599</v>
      </c>
      <c r="C266" s="18" t="s">
        <v>600</v>
      </c>
      <c r="D266" s="18" t="s">
        <v>223</v>
      </c>
      <c r="E266" s="21">
        <v>918</v>
      </c>
      <c r="F266" s="19">
        <v>8.7370649999999994</v>
      </c>
      <c r="G266" s="20">
        <v>6.1175897044518798E-2</v>
      </c>
      <c r="H266" s="22"/>
    </row>
    <row r="267" spans="2:8" x14ac:dyDescent="0.2">
      <c r="B267" s="18" t="s">
        <v>40</v>
      </c>
      <c r="C267" s="18" t="s">
        <v>41</v>
      </c>
      <c r="D267" s="18" t="s">
        <v>42</v>
      </c>
      <c r="E267" s="21">
        <v>268</v>
      </c>
      <c r="F267" s="19">
        <v>8.6874880000000001</v>
      </c>
      <c r="G267" s="20">
        <v>6.0828764746913601E-2</v>
      </c>
      <c r="H267" s="22"/>
    </row>
    <row r="268" spans="2:8" x14ac:dyDescent="0.2">
      <c r="B268" s="18" t="s">
        <v>635</v>
      </c>
      <c r="C268" s="18" t="s">
        <v>636</v>
      </c>
      <c r="D268" s="18" t="s">
        <v>200</v>
      </c>
      <c r="E268" s="21">
        <v>763</v>
      </c>
      <c r="F268" s="19">
        <v>8.6608129999999992</v>
      </c>
      <c r="G268" s="20">
        <v>6.0641989547957999E-2</v>
      </c>
      <c r="H268" s="22"/>
    </row>
    <row r="269" spans="2:8" x14ac:dyDescent="0.2">
      <c r="B269" s="18" t="s">
        <v>591</v>
      </c>
      <c r="C269" s="18" t="s">
        <v>592</v>
      </c>
      <c r="D269" s="18" t="s">
        <v>95</v>
      </c>
      <c r="E269" s="21">
        <v>914</v>
      </c>
      <c r="F269" s="19">
        <v>8.5468139999999995</v>
      </c>
      <c r="G269" s="20">
        <v>5.9843782016346603E-2</v>
      </c>
      <c r="H269" s="22"/>
    </row>
    <row r="270" spans="2:8" x14ac:dyDescent="0.2">
      <c r="B270" s="18" t="s">
        <v>605</v>
      </c>
      <c r="C270" s="18" t="s">
        <v>606</v>
      </c>
      <c r="D270" s="18" t="s">
        <v>51</v>
      </c>
      <c r="E270" s="21">
        <v>977</v>
      </c>
      <c r="F270" s="19">
        <v>8.5443534999999997</v>
      </c>
      <c r="G270" s="20">
        <v>5.9826553885998703E-2</v>
      </c>
      <c r="H270" s="22"/>
    </row>
    <row r="271" spans="2:8" x14ac:dyDescent="0.2">
      <c r="B271" s="18" t="s">
        <v>601</v>
      </c>
      <c r="C271" s="18" t="s">
        <v>602</v>
      </c>
      <c r="D271" s="18" t="s">
        <v>268</v>
      </c>
      <c r="E271" s="21">
        <v>1066</v>
      </c>
      <c r="F271" s="19">
        <v>8.4214000000000002</v>
      </c>
      <c r="G271" s="20">
        <v>5.89656480031579E-2</v>
      </c>
      <c r="H271" s="22"/>
    </row>
    <row r="272" spans="2:8" x14ac:dyDescent="0.2">
      <c r="B272" s="18" t="s">
        <v>478</v>
      </c>
      <c r="C272" s="18" t="s">
        <v>479</v>
      </c>
      <c r="D272" s="18" t="s">
        <v>138</v>
      </c>
      <c r="E272" s="21">
        <v>1773</v>
      </c>
      <c r="F272" s="19">
        <v>8.3650140000000004</v>
      </c>
      <c r="G272" s="20">
        <v>5.8570839891881103E-2</v>
      </c>
      <c r="H272" s="22"/>
    </row>
    <row r="273" spans="2:8" x14ac:dyDescent="0.2">
      <c r="B273" s="18" t="s">
        <v>629</v>
      </c>
      <c r="C273" s="18" t="s">
        <v>630</v>
      </c>
      <c r="D273" s="18" t="s">
        <v>197</v>
      </c>
      <c r="E273" s="21">
        <v>1784</v>
      </c>
      <c r="F273" s="19">
        <v>8.3428760000000004</v>
      </c>
      <c r="G273" s="20">
        <v>5.84158322309822E-2</v>
      </c>
      <c r="H273" s="22"/>
    </row>
    <row r="274" spans="2:8" x14ac:dyDescent="0.2">
      <c r="B274" s="18" t="s">
        <v>480</v>
      </c>
      <c r="C274" s="18" t="s">
        <v>481</v>
      </c>
      <c r="D274" s="18" t="s">
        <v>63</v>
      </c>
      <c r="E274" s="21">
        <v>1041</v>
      </c>
      <c r="F274" s="19">
        <v>8.3306024999999995</v>
      </c>
      <c r="G274" s="20">
        <v>5.8329894633816999E-2</v>
      </c>
      <c r="H274" s="22"/>
    </row>
    <row r="275" spans="2:8" x14ac:dyDescent="0.2">
      <c r="B275" s="18" t="s">
        <v>603</v>
      </c>
      <c r="C275" s="18" t="s">
        <v>604</v>
      </c>
      <c r="D275" s="18" t="s">
        <v>259</v>
      </c>
      <c r="E275" s="21">
        <v>122</v>
      </c>
      <c r="F275" s="19">
        <v>8.3173499999999994</v>
      </c>
      <c r="G275" s="20">
        <v>5.82371021942985E-2</v>
      </c>
      <c r="H275" s="22"/>
    </row>
    <row r="276" spans="2:8" x14ac:dyDescent="0.2">
      <c r="B276" s="18" t="s">
        <v>486</v>
      </c>
      <c r="C276" s="18" t="s">
        <v>487</v>
      </c>
      <c r="D276" s="18" t="s">
        <v>237</v>
      </c>
      <c r="E276" s="21">
        <v>815</v>
      </c>
      <c r="F276" s="19">
        <v>8.2979225000000003</v>
      </c>
      <c r="G276" s="20">
        <v>5.81010731342156E-2</v>
      </c>
      <c r="H276" s="22"/>
    </row>
    <row r="277" spans="2:8" x14ac:dyDescent="0.2">
      <c r="B277" s="18" t="s">
        <v>609</v>
      </c>
      <c r="C277" s="18" t="s">
        <v>610</v>
      </c>
      <c r="D277" s="18" t="s">
        <v>259</v>
      </c>
      <c r="E277" s="21">
        <v>1633</v>
      </c>
      <c r="F277" s="19">
        <v>8.2874750000000006</v>
      </c>
      <c r="G277" s="20">
        <v>5.8027920973350099E-2</v>
      </c>
      <c r="H277" s="22"/>
    </row>
    <row r="278" spans="2:8" x14ac:dyDescent="0.2">
      <c r="B278" s="18" t="s">
        <v>583</v>
      </c>
      <c r="C278" s="18" t="s">
        <v>584</v>
      </c>
      <c r="D278" s="18" t="s">
        <v>223</v>
      </c>
      <c r="E278" s="21">
        <v>1488</v>
      </c>
      <c r="F278" s="19">
        <v>8.2360799999999994</v>
      </c>
      <c r="G278" s="20">
        <v>5.7668059254500199E-2</v>
      </c>
      <c r="H278" s="22"/>
    </row>
    <row r="279" spans="2:8" x14ac:dyDescent="0.2">
      <c r="B279" s="18" t="s">
        <v>552</v>
      </c>
      <c r="C279" s="18" t="s">
        <v>553</v>
      </c>
      <c r="D279" s="18" t="s">
        <v>138</v>
      </c>
      <c r="E279" s="21">
        <v>1951</v>
      </c>
      <c r="F279" s="19">
        <v>8.1395719999999994</v>
      </c>
      <c r="G279" s="20">
        <v>5.6992321638725099E-2</v>
      </c>
      <c r="H279" s="22"/>
    </row>
    <row r="280" spans="2:8" x14ac:dyDescent="0.2">
      <c r="B280" s="18" t="s">
        <v>482</v>
      </c>
      <c r="C280" s="18" t="s">
        <v>483</v>
      </c>
      <c r="D280" s="18" t="s">
        <v>138</v>
      </c>
      <c r="E280" s="21">
        <v>1238</v>
      </c>
      <c r="F280" s="19">
        <v>8.1287079999999996</v>
      </c>
      <c r="G280" s="20">
        <v>5.6916253194059602E-2</v>
      </c>
      <c r="H280" s="22"/>
    </row>
    <row r="281" spans="2:8" x14ac:dyDescent="0.2">
      <c r="B281" s="18" t="s">
        <v>639</v>
      </c>
      <c r="C281" s="18" t="s">
        <v>640</v>
      </c>
      <c r="D281" s="18" t="s">
        <v>68</v>
      </c>
      <c r="E281" s="21">
        <v>495</v>
      </c>
      <c r="F281" s="19">
        <v>8.0358300000000007</v>
      </c>
      <c r="G281" s="20">
        <v>5.6265932409482501E-2</v>
      </c>
      <c r="H281" s="22"/>
    </row>
    <row r="282" spans="2:8" x14ac:dyDescent="0.2">
      <c r="B282" s="18" t="s">
        <v>625</v>
      </c>
      <c r="C282" s="18" t="s">
        <v>626</v>
      </c>
      <c r="D282" s="18" t="s">
        <v>223</v>
      </c>
      <c r="E282" s="21">
        <v>50</v>
      </c>
      <c r="F282" s="19">
        <v>8.0340000000000007</v>
      </c>
      <c r="G282" s="20">
        <v>5.6253118965655401E-2</v>
      </c>
      <c r="H282" s="22"/>
    </row>
    <row r="283" spans="2:8" x14ac:dyDescent="0.2">
      <c r="B283" s="18" t="s">
        <v>619</v>
      </c>
      <c r="C283" s="18" t="s">
        <v>620</v>
      </c>
      <c r="D283" s="18" t="s">
        <v>69</v>
      </c>
      <c r="E283" s="21">
        <v>674</v>
      </c>
      <c r="F283" s="19">
        <v>8.0047610000000002</v>
      </c>
      <c r="G283" s="20">
        <v>5.6048390941578097E-2</v>
      </c>
      <c r="H283" s="22"/>
    </row>
    <row r="284" spans="2:8" x14ac:dyDescent="0.2">
      <c r="B284" s="18" t="s">
        <v>499</v>
      </c>
      <c r="C284" s="18" t="s">
        <v>500</v>
      </c>
      <c r="D284" s="18" t="s">
        <v>197</v>
      </c>
      <c r="E284" s="21">
        <v>716</v>
      </c>
      <c r="F284" s="19">
        <v>7.9995099999999999</v>
      </c>
      <c r="G284" s="20">
        <v>5.6011624059864297E-2</v>
      </c>
      <c r="H284" s="22"/>
    </row>
    <row r="285" spans="2:8" x14ac:dyDescent="0.2">
      <c r="B285" s="18" t="s">
        <v>593</v>
      </c>
      <c r="C285" s="18" t="s">
        <v>594</v>
      </c>
      <c r="D285" s="18" t="s">
        <v>254</v>
      </c>
      <c r="E285" s="21">
        <v>4798</v>
      </c>
      <c r="F285" s="19">
        <v>7.9656396000000003</v>
      </c>
      <c r="G285" s="20">
        <v>5.5774467520081597E-2</v>
      </c>
      <c r="H285" s="22"/>
    </row>
    <row r="286" spans="2:8" x14ac:dyDescent="0.2">
      <c r="B286" s="18" t="s">
        <v>623</v>
      </c>
      <c r="C286" s="18" t="s">
        <v>624</v>
      </c>
      <c r="D286" s="18" t="s">
        <v>237</v>
      </c>
      <c r="E286" s="21">
        <v>7875</v>
      </c>
      <c r="F286" s="19">
        <v>7.9498125000000002</v>
      </c>
      <c r="G286" s="20">
        <v>5.5663648035493403E-2</v>
      </c>
      <c r="H286" s="22"/>
    </row>
    <row r="287" spans="2:8" x14ac:dyDescent="0.2">
      <c r="B287" s="18" t="s">
        <v>643</v>
      </c>
      <c r="C287" s="18" t="s">
        <v>644</v>
      </c>
      <c r="D287" s="18" t="s">
        <v>297</v>
      </c>
      <c r="E287" s="21">
        <v>338</v>
      </c>
      <c r="F287" s="19">
        <v>7.8605280000000004</v>
      </c>
      <c r="G287" s="20">
        <v>5.5038488513426097E-2</v>
      </c>
      <c r="H287" s="22"/>
    </row>
    <row r="288" spans="2:8" x14ac:dyDescent="0.2">
      <c r="B288" s="18" t="s">
        <v>492</v>
      </c>
      <c r="C288" s="18" t="s">
        <v>493</v>
      </c>
      <c r="D288" s="18" t="s">
        <v>31</v>
      </c>
      <c r="E288" s="21">
        <v>6940</v>
      </c>
      <c r="F288" s="19">
        <v>7.6235900000000001</v>
      </c>
      <c r="G288" s="20">
        <v>5.3379476626260997E-2</v>
      </c>
      <c r="H288" s="22"/>
    </row>
    <row r="289" spans="2:9" x14ac:dyDescent="0.2">
      <c r="B289" s="18" t="s">
        <v>597</v>
      </c>
      <c r="C289" s="18" t="s">
        <v>598</v>
      </c>
      <c r="D289" s="18" t="s">
        <v>51</v>
      </c>
      <c r="E289" s="21">
        <v>50</v>
      </c>
      <c r="F289" s="19">
        <v>7.3494999999999999</v>
      </c>
      <c r="G289" s="20">
        <v>5.1460330823759497E-2</v>
      </c>
      <c r="H289" s="22"/>
    </row>
    <row r="290" spans="2:9" x14ac:dyDescent="0.2">
      <c r="B290" s="18" t="s">
        <v>631</v>
      </c>
      <c r="C290" s="18" t="s">
        <v>632</v>
      </c>
      <c r="D290" s="18" t="s">
        <v>254</v>
      </c>
      <c r="E290" s="21">
        <v>1041</v>
      </c>
      <c r="F290" s="19">
        <v>7.2968894999999998</v>
      </c>
      <c r="G290" s="20">
        <v>5.1091958317493302E-2</v>
      </c>
      <c r="H290" s="22"/>
    </row>
    <row r="291" spans="2:9" x14ac:dyDescent="0.2">
      <c r="B291" s="18" t="s">
        <v>581</v>
      </c>
      <c r="C291" s="18" t="s">
        <v>582</v>
      </c>
      <c r="D291" s="18" t="s">
        <v>63</v>
      </c>
      <c r="E291" s="21">
        <v>773</v>
      </c>
      <c r="F291" s="19">
        <v>6.9237609999999998</v>
      </c>
      <c r="G291" s="20">
        <v>4.8479356637137802E-2</v>
      </c>
      <c r="H291" s="22"/>
    </row>
    <row r="292" spans="2:9" x14ac:dyDescent="0.2">
      <c r="B292" s="18" t="s">
        <v>627</v>
      </c>
      <c r="C292" s="18" t="s">
        <v>628</v>
      </c>
      <c r="D292" s="18" t="s">
        <v>74</v>
      </c>
      <c r="E292" s="21">
        <v>394</v>
      </c>
      <c r="F292" s="19">
        <v>6.8481139999999998</v>
      </c>
      <c r="G292" s="20">
        <v>4.7949685279109998E-2</v>
      </c>
      <c r="H292" s="22"/>
    </row>
    <row r="293" spans="2:9" x14ac:dyDescent="0.2">
      <c r="B293" s="18" t="s">
        <v>615</v>
      </c>
      <c r="C293" s="18" t="s">
        <v>616</v>
      </c>
      <c r="D293" s="18" t="s">
        <v>51</v>
      </c>
      <c r="E293" s="21">
        <v>802</v>
      </c>
      <c r="F293" s="19">
        <v>6.7067249999999996</v>
      </c>
      <c r="G293" s="20">
        <v>4.6959696203004102E-2</v>
      </c>
      <c r="H293" s="22"/>
    </row>
    <row r="294" spans="2:9" x14ac:dyDescent="0.2">
      <c r="B294" s="18" t="s">
        <v>611</v>
      </c>
      <c r="C294" s="18" t="s">
        <v>612</v>
      </c>
      <c r="D294" s="18" t="s">
        <v>51</v>
      </c>
      <c r="E294" s="21">
        <v>16481</v>
      </c>
      <c r="F294" s="19">
        <v>6.6813973999999998</v>
      </c>
      <c r="G294" s="20">
        <v>4.6782355339683897E-2</v>
      </c>
      <c r="H294" s="22"/>
    </row>
    <row r="295" spans="2:9" ht="10.5" x14ac:dyDescent="0.25">
      <c r="B295" s="17" t="s">
        <v>143</v>
      </c>
      <c r="C295" s="17"/>
      <c r="D295" s="17"/>
      <c r="E295" s="17"/>
      <c r="F295" s="23">
        <f>SUM(F7:F294)</f>
        <v>14180.455250200002</v>
      </c>
      <c r="G295" s="24">
        <f>SUM(G7:G294)</f>
        <v>99.289872563685975</v>
      </c>
      <c r="H295" s="17"/>
      <c r="I295" s="11"/>
    </row>
    <row r="296" spans="2:9" ht="10.5" x14ac:dyDescent="0.25">
      <c r="B296" s="17" t="s">
        <v>144</v>
      </c>
      <c r="C296" s="17"/>
      <c r="D296" s="17"/>
      <c r="E296" s="17"/>
      <c r="F296" s="25" t="s">
        <v>145</v>
      </c>
      <c r="G296" s="26" t="s">
        <v>145</v>
      </c>
      <c r="H296" s="17"/>
      <c r="I296" s="11"/>
    </row>
    <row r="297" spans="2:9" ht="10.5" x14ac:dyDescent="0.25">
      <c r="B297" s="17" t="s">
        <v>143</v>
      </c>
      <c r="C297" s="17"/>
      <c r="D297" s="17"/>
      <c r="E297" s="17"/>
      <c r="F297" s="27" t="s">
        <v>145</v>
      </c>
      <c r="G297" s="28" t="s">
        <v>145</v>
      </c>
      <c r="H297" s="17"/>
      <c r="I297" s="11"/>
    </row>
    <row r="298" spans="2:9" ht="10.5" x14ac:dyDescent="0.25">
      <c r="B298" s="29" t="s">
        <v>146</v>
      </c>
      <c r="C298" s="29"/>
      <c r="D298" s="29"/>
      <c r="E298" s="29"/>
      <c r="F298" s="30">
        <f>F295</f>
        <v>14180.455250200002</v>
      </c>
      <c r="G298" s="31">
        <f>G295</f>
        <v>99.289872563685975</v>
      </c>
      <c r="H298" s="17"/>
      <c r="I298" s="11"/>
    </row>
    <row r="299" spans="2:9" ht="10.5" x14ac:dyDescent="0.25">
      <c r="B299" s="17" t="s">
        <v>147</v>
      </c>
      <c r="C299" s="17"/>
      <c r="D299" s="17"/>
      <c r="E299" s="17"/>
      <c r="F299" s="23">
        <v>155.50942380000001</v>
      </c>
      <c r="G299" s="24">
        <v>1.08885861554667</v>
      </c>
      <c r="H299" s="22">
        <v>5.2499999999999998E-2</v>
      </c>
      <c r="I299" s="12"/>
    </row>
    <row r="300" spans="2:9" x14ac:dyDescent="0.2">
      <c r="B300" s="18"/>
      <c r="C300" s="18"/>
      <c r="D300" s="18"/>
      <c r="E300" s="18"/>
      <c r="F300" s="19"/>
      <c r="G300" s="20"/>
      <c r="H300" s="18"/>
    </row>
    <row r="301" spans="2:9" ht="10.5" x14ac:dyDescent="0.25">
      <c r="B301" s="17" t="s">
        <v>149</v>
      </c>
      <c r="C301" s="18"/>
      <c r="D301" s="18"/>
      <c r="E301" s="18"/>
      <c r="F301" s="83">
        <v>13.1</v>
      </c>
      <c r="G301" s="83">
        <f>F301/F303*100</f>
        <v>9.1724652532995457E-2</v>
      </c>
      <c r="H301" s="18"/>
    </row>
    <row r="302" spans="2:9" ht="10.5" x14ac:dyDescent="0.25">
      <c r="B302" s="36" t="s">
        <v>150</v>
      </c>
      <c r="C302" s="36"/>
      <c r="D302" s="36"/>
      <c r="E302" s="36"/>
      <c r="F302" s="23">
        <f>F303-(F295+F299+F301)</f>
        <v>-67.189912700003333</v>
      </c>
      <c r="G302" s="24">
        <f>G303-(G295+G299+G301)</f>
        <v>-0.47045583176563355</v>
      </c>
      <c r="H302" s="17"/>
      <c r="I302" s="11"/>
    </row>
    <row r="303" spans="2:9" ht="10.5" x14ac:dyDescent="0.25">
      <c r="B303" s="32" t="s">
        <v>148</v>
      </c>
      <c r="C303" s="32"/>
      <c r="D303" s="32"/>
      <c r="E303" s="32"/>
      <c r="F303" s="33">
        <v>14281.8747613</v>
      </c>
      <c r="G303" s="34">
        <v>100</v>
      </c>
      <c r="H303" s="35"/>
      <c r="I303" s="11"/>
    </row>
    <row r="305" spans="2:7" ht="10.5" x14ac:dyDescent="0.25">
      <c r="B305" s="11" t="s">
        <v>151</v>
      </c>
    </row>
    <row r="307" spans="2:7" ht="25.5" customHeight="1" x14ac:dyDescent="0.2">
      <c r="B307" s="80" t="s">
        <v>4</v>
      </c>
      <c r="C307" s="80" t="s">
        <v>152</v>
      </c>
      <c r="D307" s="80" t="s">
        <v>153</v>
      </c>
      <c r="E307" s="80" t="s">
        <v>0</v>
      </c>
      <c r="F307" s="82" t="s">
        <v>154</v>
      </c>
      <c r="G307" s="81" t="s">
        <v>155</v>
      </c>
    </row>
    <row r="308" spans="2:7" ht="13.5" customHeight="1" x14ac:dyDescent="0.2">
      <c r="B308" s="40" t="s">
        <v>156</v>
      </c>
      <c r="C308" s="40" t="s">
        <v>157</v>
      </c>
      <c r="D308" s="40" t="s">
        <v>158</v>
      </c>
      <c r="E308" s="41">
        <v>195</v>
      </c>
      <c r="F308" s="42">
        <v>46.991489999999999</v>
      </c>
      <c r="G308" s="43">
        <v>0.3290288620044069</v>
      </c>
    </row>
    <row r="309" spans="2:7" ht="10.5" x14ac:dyDescent="0.25">
      <c r="B309" s="37"/>
      <c r="C309" s="37"/>
      <c r="D309" s="37"/>
      <c r="E309" s="37"/>
      <c r="F309" s="38">
        <f>SUM(F308:F308)</f>
        <v>46.991489999999999</v>
      </c>
      <c r="G309" s="39">
        <f>SUM(G308:G308)</f>
        <v>0.3290288620044069</v>
      </c>
    </row>
    <row r="310" spans="2:7" ht="10.5" x14ac:dyDescent="0.25">
      <c r="B310" s="11" t="s">
        <v>161</v>
      </c>
    </row>
    <row r="312" spans="2:7" ht="10.5" x14ac:dyDescent="0.25">
      <c r="B312" s="11" t="s">
        <v>159</v>
      </c>
    </row>
    <row r="313" spans="2:7" ht="10.5" x14ac:dyDescent="0.25">
      <c r="B313" s="11"/>
    </row>
    <row r="314" spans="2:7" x14ac:dyDescent="0.2">
      <c r="B314" s="49" t="s">
        <v>648</v>
      </c>
    </row>
    <row r="315" spans="2:7" x14ac:dyDescent="0.2">
      <c r="B315" s="49" t="s">
        <v>652</v>
      </c>
    </row>
    <row r="316" spans="2:7" x14ac:dyDescent="0.2">
      <c r="B316" s="49" t="s">
        <v>653</v>
      </c>
    </row>
    <row r="317" spans="2:7" ht="10.5" x14ac:dyDescent="0.2">
      <c r="B317" s="46"/>
    </row>
    <row r="318" spans="2:7" ht="10.5" x14ac:dyDescent="0.2">
      <c r="B318" s="52" t="s">
        <v>649</v>
      </c>
      <c r="C318" s="55" t="s">
        <v>654</v>
      </c>
      <c r="D318" s="55" t="s">
        <v>650</v>
      </c>
    </row>
    <row r="319" spans="2:7" x14ac:dyDescent="0.2">
      <c r="B319" s="50" t="s">
        <v>651</v>
      </c>
      <c r="C319" s="53">
        <v>8.8172999999999995</v>
      </c>
      <c r="D319" s="53">
        <v>9.6913</v>
      </c>
    </row>
    <row r="320" spans="2:7" ht="10.5" x14ac:dyDescent="0.2">
      <c r="B320" s="46"/>
    </row>
    <row r="321" spans="2:6" ht="10.5" x14ac:dyDescent="0.2">
      <c r="B321" s="46"/>
    </row>
    <row r="322" spans="2:6" ht="10.5" x14ac:dyDescent="0.2">
      <c r="B322" s="46"/>
    </row>
    <row r="323" spans="2:6" x14ac:dyDescent="0.2">
      <c r="B323" s="49" t="s">
        <v>694</v>
      </c>
    </row>
    <row r="324" spans="2:6" x14ac:dyDescent="0.2">
      <c r="B324" s="49"/>
    </row>
    <row r="325" spans="2:6" ht="10.5" x14ac:dyDescent="0.2">
      <c r="B325" s="56" t="s">
        <v>681</v>
      </c>
    </row>
    <row r="326" spans="2:6" x14ac:dyDescent="0.2">
      <c r="B326" s="51"/>
    </row>
    <row r="327" spans="2:6" ht="10.5" x14ac:dyDescent="0.2">
      <c r="B327" s="56" t="s">
        <v>682</v>
      </c>
    </row>
    <row r="328" spans="2:6" ht="21" x14ac:dyDescent="0.2">
      <c r="B328" s="57" t="s">
        <v>655</v>
      </c>
      <c r="C328" s="58" t="s">
        <v>656</v>
      </c>
      <c r="D328" s="58" t="s">
        <v>657</v>
      </c>
      <c r="E328" s="58" t="s">
        <v>658</v>
      </c>
      <c r="F328" s="58" t="s">
        <v>659</v>
      </c>
    </row>
    <row r="329" spans="2:6" x14ac:dyDescent="0.2">
      <c r="B329" s="93" t="s">
        <v>162</v>
      </c>
      <c r="C329" s="94"/>
      <c r="D329" s="94"/>
      <c r="E329" s="94"/>
      <c r="F329" s="95"/>
    </row>
    <row r="330" spans="2:6" x14ac:dyDescent="0.2">
      <c r="B330" s="51" t="s">
        <v>696</v>
      </c>
    </row>
    <row r="331" spans="2:6" x14ac:dyDescent="0.2">
      <c r="B331" s="51" t="s">
        <v>693</v>
      </c>
    </row>
    <row r="332" spans="2:6" x14ac:dyDescent="0.2">
      <c r="B332" s="51"/>
    </row>
    <row r="333" spans="2:6" x14ac:dyDescent="0.2">
      <c r="B333" s="90" t="s">
        <v>660</v>
      </c>
      <c r="C333" s="90" t="s">
        <v>661</v>
      </c>
      <c r="D333" s="90" t="s">
        <v>662</v>
      </c>
      <c r="E333" s="90" t="s">
        <v>663</v>
      </c>
      <c r="F333" s="90" t="s">
        <v>664</v>
      </c>
    </row>
    <row r="334" spans="2:6" x14ac:dyDescent="0.2">
      <c r="B334" s="91"/>
      <c r="C334" s="91"/>
      <c r="D334" s="91"/>
      <c r="E334" s="91"/>
      <c r="F334" s="91"/>
    </row>
    <row r="335" spans="2:6" x14ac:dyDescent="0.2">
      <c r="B335" s="93" t="s">
        <v>162</v>
      </c>
      <c r="C335" s="94"/>
      <c r="D335" s="94"/>
      <c r="E335" s="94"/>
      <c r="F335" s="95"/>
    </row>
    <row r="336" spans="2:6" x14ac:dyDescent="0.2">
      <c r="B336" s="51"/>
    </row>
    <row r="337" spans="2:6" ht="10.5" x14ac:dyDescent="0.25">
      <c r="B337" s="59" t="s">
        <v>683</v>
      </c>
      <c r="C337" s="60"/>
      <c r="D337" s="60"/>
      <c r="E337" s="60"/>
      <c r="F337" s="60"/>
    </row>
    <row r="338" spans="2:6" x14ac:dyDescent="0.2">
      <c r="B338" s="61"/>
      <c r="C338" s="60"/>
      <c r="D338" s="60"/>
      <c r="E338" s="60"/>
      <c r="F338" s="60"/>
    </row>
    <row r="339" spans="2:6" ht="21" x14ac:dyDescent="0.2">
      <c r="B339" s="57" t="s">
        <v>655</v>
      </c>
      <c r="C339" s="58" t="s">
        <v>656</v>
      </c>
      <c r="D339" s="58" t="s">
        <v>657</v>
      </c>
      <c r="E339" s="58" t="s">
        <v>658</v>
      </c>
      <c r="F339" s="58" t="s">
        <v>659</v>
      </c>
    </row>
    <row r="340" spans="2:6" x14ac:dyDescent="0.2">
      <c r="B340" s="62" t="s">
        <v>156</v>
      </c>
      <c r="C340" s="63" t="s">
        <v>157</v>
      </c>
      <c r="D340" s="64">
        <v>24168.083299999998</v>
      </c>
      <c r="E340" s="65">
        <v>24098.2</v>
      </c>
      <c r="F340" s="65">
        <v>5.3261197999999998</v>
      </c>
    </row>
    <row r="341" spans="2:6" x14ac:dyDescent="0.2">
      <c r="B341" s="61"/>
      <c r="C341" s="60"/>
      <c r="D341" s="60"/>
      <c r="E341" s="60"/>
      <c r="F341" s="60"/>
    </row>
    <row r="342" spans="2:6" x14ac:dyDescent="0.2">
      <c r="B342" s="61" t="s">
        <v>697</v>
      </c>
      <c r="C342" s="60"/>
      <c r="D342" s="60"/>
      <c r="E342" s="60"/>
      <c r="F342" s="60"/>
    </row>
    <row r="343" spans="2:6" ht="10.5" x14ac:dyDescent="0.2">
      <c r="B343" s="60" t="s">
        <v>687</v>
      </c>
      <c r="C343" s="66"/>
      <c r="D343" s="67"/>
      <c r="E343" s="68"/>
      <c r="F343" s="69"/>
    </row>
    <row r="344" spans="2:6" ht="10.5" x14ac:dyDescent="0.2">
      <c r="B344" s="60" t="s">
        <v>665</v>
      </c>
      <c r="C344" s="66"/>
      <c r="D344" s="67"/>
      <c r="E344" s="68"/>
      <c r="F344" s="69"/>
    </row>
    <row r="345" spans="2:6" x14ac:dyDescent="0.2">
      <c r="B345" s="96" t="s">
        <v>660</v>
      </c>
      <c r="C345" s="96" t="s">
        <v>661</v>
      </c>
      <c r="D345" s="96" t="s">
        <v>662</v>
      </c>
      <c r="E345" s="96" t="s">
        <v>663</v>
      </c>
      <c r="F345" s="96" t="s">
        <v>664</v>
      </c>
    </row>
    <row r="346" spans="2:6" ht="22.5" customHeight="1" x14ac:dyDescent="0.2">
      <c r="B346" s="97"/>
      <c r="C346" s="97"/>
      <c r="D346" s="97"/>
      <c r="E346" s="97"/>
      <c r="F346" s="97"/>
    </row>
    <row r="347" spans="2:6" ht="19.5" customHeight="1" x14ac:dyDescent="0.2">
      <c r="B347" s="84">
        <v>66</v>
      </c>
      <c r="C347" s="88">
        <v>74</v>
      </c>
      <c r="D347" s="85">
        <v>1010.2739075</v>
      </c>
      <c r="E347" s="86">
        <v>1161.904119</v>
      </c>
      <c r="F347" s="87">
        <v>33.451726000000001</v>
      </c>
    </row>
    <row r="348" spans="2:6" x14ac:dyDescent="0.2">
      <c r="B348" s="54"/>
      <c r="C348" s="70"/>
      <c r="D348" s="70"/>
      <c r="E348" s="70"/>
      <c r="F348" s="10"/>
    </row>
    <row r="349" spans="2:6" ht="10.5" x14ac:dyDescent="0.2">
      <c r="B349" s="71" t="s">
        <v>684</v>
      </c>
      <c r="C349" s="72"/>
      <c r="D349" s="72"/>
      <c r="E349" s="73"/>
      <c r="F349" s="10"/>
    </row>
    <row r="350" spans="2:6" ht="10.5" x14ac:dyDescent="0.2">
      <c r="B350" s="74"/>
      <c r="C350" s="72"/>
      <c r="D350" s="72"/>
      <c r="E350" s="73"/>
      <c r="F350" s="10"/>
    </row>
    <row r="351" spans="2:6" ht="10.5" x14ac:dyDescent="0.2">
      <c r="B351" s="57" t="s">
        <v>655</v>
      </c>
      <c r="C351" s="58" t="s">
        <v>666</v>
      </c>
      <c r="D351" s="58" t="s">
        <v>667</v>
      </c>
      <c r="E351" s="58" t="s">
        <v>668</v>
      </c>
      <c r="F351" s="10"/>
    </row>
    <row r="352" spans="2:6" x14ac:dyDescent="0.2">
      <c r="B352" s="93" t="s">
        <v>162</v>
      </c>
      <c r="C352" s="94"/>
      <c r="D352" s="94"/>
      <c r="E352" s="95"/>
      <c r="F352" s="10"/>
    </row>
    <row r="353" spans="2:6" x14ac:dyDescent="0.2">
      <c r="B353" s="61" t="s">
        <v>669</v>
      </c>
      <c r="C353" s="60"/>
      <c r="D353" s="60"/>
      <c r="E353" s="60"/>
      <c r="F353" s="10"/>
    </row>
    <row r="354" spans="2:6" x14ac:dyDescent="0.2">
      <c r="B354" s="75"/>
      <c r="C354" s="76"/>
      <c r="D354" s="76"/>
      <c r="E354" s="75"/>
      <c r="F354" s="10"/>
    </row>
    <row r="355" spans="2:6" x14ac:dyDescent="0.2">
      <c r="B355" s="75" t="s">
        <v>688</v>
      </c>
      <c r="C355" s="76"/>
      <c r="D355" s="76"/>
      <c r="E355" s="75"/>
      <c r="F355" s="10"/>
    </row>
    <row r="356" spans="2:6" x14ac:dyDescent="0.2">
      <c r="B356" s="75"/>
      <c r="C356" s="76"/>
      <c r="D356" s="76"/>
      <c r="E356" s="75"/>
      <c r="F356" s="10"/>
    </row>
    <row r="357" spans="2:6" x14ac:dyDescent="0.2">
      <c r="B357" s="90" t="s">
        <v>670</v>
      </c>
      <c r="C357" s="90" t="s">
        <v>671</v>
      </c>
      <c r="D357" s="90" t="s">
        <v>672</v>
      </c>
      <c r="E357" s="75"/>
      <c r="F357" s="10"/>
    </row>
    <row r="358" spans="2:6" x14ac:dyDescent="0.2">
      <c r="B358" s="91"/>
      <c r="C358" s="91"/>
      <c r="D358" s="91"/>
      <c r="E358" s="75"/>
      <c r="F358" s="10"/>
    </row>
    <row r="359" spans="2:6" x14ac:dyDescent="0.2">
      <c r="B359" s="92" t="s">
        <v>162</v>
      </c>
      <c r="C359" s="92"/>
      <c r="D359" s="92"/>
      <c r="E359" s="70"/>
      <c r="F359" s="10"/>
    </row>
    <row r="360" spans="2:6" x14ac:dyDescent="0.2">
      <c r="B360" s="77"/>
      <c r="C360" s="77"/>
      <c r="D360" s="77"/>
      <c r="E360" s="70"/>
      <c r="F360" s="10"/>
    </row>
    <row r="361" spans="2:6" ht="10.5" x14ac:dyDescent="0.2">
      <c r="B361" s="71" t="s">
        <v>685</v>
      </c>
      <c r="C361" s="77"/>
      <c r="D361" s="77"/>
      <c r="E361" s="70"/>
      <c r="F361" s="10"/>
    </row>
    <row r="362" spans="2:6" x14ac:dyDescent="0.2">
      <c r="B362" s="77"/>
      <c r="C362" s="77"/>
      <c r="D362" s="77"/>
      <c r="E362" s="70"/>
      <c r="F362" s="10"/>
    </row>
    <row r="363" spans="2:6" ht="21" x14ac:dyDescent="0.2">
      <c r="B363" s="58" t="s">
        <v>655</v>
      </c>
      <c r="C363" s="58" t="s">
        <v>673</v>
      </c>
      <c r="D363" s="58" t="s">
        <v>674</v>
      </c>
      <c r="E363" s="58" t="s">
        <v>675</v>
      </c>
      <c r="F363" s="58" t="s">
        <v>676</v>
      </c>
    </row>
    <row r="364" spans="2:6" x14ac:dyDescent="0.2">
      <c r="B364" s="89" t="s">
        <v>162</v>
      </c>
      <c r="C364" s="89"/>
      <c r="D364" s="89"/>
      <c r="E364" s="89"/>
      <c r="F364" s="89"/>
    </row>
    <row r="365" spans="2:6" x14ac:dyDescent="0.2">
      <c r="B365" s="78" t="s">
        <v>677</v>
      </c>
      <c r="C365" s="77"/>
      <c r="D365" s="77"/>
      <c r="E365" s="70"/>
      <c r="F365" s="10"/>
    </row>
    <row r="366" spans="2:6" x14ac:dyDescent="0.2">
      <c r="B366" s="77"/>
      <c r="C366" s="77"/>
      <c r="D366" s="77"/>
      <c r="E366" s="70"/>
      <c r="F366" s="10"/>
    </row>
    <row r="367" spans="2:6" x14ac:dyDescent="0.2">
      <c r="B367" s="75" t="s">
        <v>686</v>
      </c>
      <c r="C367" s="76"/>
      <c r="D367" s="76"/>
      <c r="E367" s="70"/>
      <c r="F367" s="10"/>
    </row>
    <row r="368" spans="2:6" x14ac:dyDescent="0.2">
      <c r="B368" s="75"/>
      <c r="C368" s="76"/>
      <c r="D368" s="76"/>
      <c r="E368" s="70"/>
      <c r="F368" s="10"/>
    </row>
    <row r="369" spans="2:6" x14ac:dyDescent="0.2">
      <c r="B369" s="90" t="s">
        <v>670</v>
      </c>
      <c r="C369" s="90" t="s">
        <v>671</v>
      </c>
      <c r="D369" s="90" t="s">
        <v>672</v>
      </c>
      <c r="E369" s="70"/>
      <c r="F369" s="10"/>
    </row>
    <row r="370" spans="2:6" x14ac:dyDescent="0.2">
      <c r="B370" s="91"/>
      <c r="C370" s="91"/>
      <c r="D370" s="91"/>
      <c r="E370" s="70"/>
      <c r="F370" s="10"/>
    </row>
    <row r="371" spans="2:6" x14ac:dyDescent="0.2">
      <c r="B371" s="92" t="s">
        <v>162</v>
      </c>
      <c r="C371" s="92"/>
      <c r="D371" s="92"/>
      <c r="E371" s="70"/>
      <c r="F371" s="10"/>
    </row>
    <row r="372" spans="2:6" x14ac:dyDescent="0.2">
      <c r="B372" s="77"/>
      <c r="C372" s="77"/>
      <c r="D372" s="77"/>
      <c r="E372" s="70"/>
      <c r="F372" s="10"/>
    </row>
    <row r="373" spans="2:6" ht="10.5" x14ac:dyDescent="0.2">
      <c r="B373" s="79" t="s">
        <v>680</v>
      </c>
      <c r="C373" s="77"/>
      <c r="D373" s="77"/>
      <c r="E373" s="70"/>
      <c r="F373" s="10"/>
    </row>
    <row r="374" spans="2:6" x14ac:dyDescent="0.2">
      <c r="B374" s="51"/>
    </row>
    <row r="375" spans="2:6" x14ac:dyDescent="0.2">
      <c r="B375" s="49" t="s">
        <v>678</v>
      </c>
    </row>
    <row r="376" spans="2:6" x14ac:dyDescent="0.2">
      <c r="B376" s="51" t="s">
        <v>695</v>
      </c>
    </row>
    <row r="377" spans="2:6" x14ac:dyDescent="0.2">
      <c r="B377" s="49" t="s">
        <v>679</v>
      </c>
    </row>
    <row r="378" spans="2:6" ht="10.5" x14ac:dyDescent="0.25">
      <c r="B378" s="11"/>
    </row>
    <row r="380" spans="2:6" ht="10.5" x14ac:dyDescent="0.25">
      <c r="B380" s="11" t="s">
        <v>160</v>
      </c>
    </row>
    <row r="402" spans="2:2" ht="10.5" x14ac:dyDescent="0.2">
      <c r="B402" s="47" t="s">
        <v>645</v>
      </c>
    </row>
    <row r="403" spans="2:2" ht="10.5" x14ac:dyDescent="0.25">
      <c r="B403" s="48" t="s">
        <v>646</v>
      </c>
    </row>
  </sheetData>
  <mergeCells count="23">
    <mergeCell ref="B1:C1"/>
    <mergeCell ref="B329:F329"/>
    <mergeCell ref="B333:B334"/>
    <mergeCell ref="C333:C334"/>
    <mergeCell ref="D333:D334"/>
    <mergeCell ref="E333:E334"/>
    <mergeCell ref="F333:F334"/>
    <mergeCell ref="B335:F335"/>
    <mergeCell ref="B345:B346"/>
    <mergeCell ref="C345:C346"/>
    <mergeCell ref="D345:D346"/>
    <mergeCell ref="E345:E346"/>
    <mergeCell ref="F345:F346"/>
    <mergeCell ref="B352:E352"/>
    <mergeCell ref="B357:B358"/>
    <mergeCell ref="C357:C358"/>
    <mergeCell ref="D357:D358"/>
    <mergeCell ref="B359:D359"/>
    <mergeCell ref="B364:F364"/>
    <mergeCell ref="B369:B370"/>
    <mergeCell ref="C369:C370"/>
    <mergeCell ref="D369:D370"/>
    <mergeCell ref="B371:D371"/>
  </mergeCells>
  <conditionalFormatting sqref="G1:G3 G5:G424">
    <cfRule type="cellIs" dxfId="0" priority="2" stopIfTrue="1" operator="between">
      <formula>0.009</formula>
      <formula>-0.009</formula>
    </cfRule>
  </conditionalFormatting>
  <hyperlinks>
    <hyperlink ref="A2" location="Index!A1" display="-" xr:uid="{3CF8A5CB-004A-4C10-811F-4DFBAA40A0D2}"/>
  </hyperlinks>
  <pageMargins left="0.7" right="0.7" top="0.75" bottom="0.75" header="0.3" footer="0.3"/>
  <pageSetup paperSize="9" scale="42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321" min="1" max="7" man="1"/>
  </rowBreaks>
  <colBreaks count="1" manualBreakCount="1">
    <brk id="8" max="65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JBSECRO</vt:lpstr>
      <vt:lpstr>JBSECRO!Print_Area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2026-05-08T09:11:53Z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