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A0C29EB3-9B91-4979-9775-91CFAFD9B0E3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NS250" sheetId="13" r:id="rId1"/>
  </sheets>
  <definedNames>
    <definedName name="_xlnm.Print_Area" localSheetId="0">JBNS250!$B$1:$H$319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7" i="13" l="1"/>
  <c r="G263" i="13" s="1"/>
  <c r="F257" i="13"/>
  <c r="F263" i="13" s="1"/>
  <c r="F260" i="13" l="1"/>
  <c r="G260" i="13"/>
</calcChain>
</file>

<file path=xl/sharedStrings.xml><?xml version="1.0" encoding="utf-8"?>
<sst xmlns="http://schemas.openxmlformats.org/spreadsheetml/2006/main" count="789" uniqueCount="581">
  <si>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</si>
  <si>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</si>
  <si>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</si>
  <si>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</si>
  <si>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</si>
  <si>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</si>
  <si>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May 31, 2026</t>
  </si>
  <si>
    <t>JioBlackRock Nifty Smallcap 250 Index Fund</t>
  </si>
  <si>
    <t>Equity &amp; Equity related</t>
  </si>
  <si>
    <t>(a) Listed / awaiting listing on Stock Exchanges</t>
  </si>
  <si>
    <t>Banks</t>
  </si>
  <si>
    <t>Telecom - Services</t>
  </si>
  <si>
    <t>Petroleum Products</t>
  </si>
  <si>
    <t>Automobiles</t>
  </si>
  <si>
    <t>IT - Software</t>
  </si>
  <si>
    <t>Construction</t>
  </si>
  <si>
    <t>Power</t>
  </si>
  <si>
    <t>Food Products</t>
  </si>
  <si>
    <t>Ferrous Metals</t>
  </si>
  <si>
    <t>Auto Components</t>
  </si>
  <si>
    <t>Transport Services</t>
  </si>
  <si>
    <t>Cement &amp; Cement Products</t>
  </si>
  <si>
    <t>Capital Markets</t>
  </si>
  <si>
    <t>Pharmaceuticals &amp; Biotechnology</t>
  </si>
  <si>
    <t>Retailing</t>
  </si>
  <si>
    <t>Agricultural, Commercial &amp; Construction Vehicles</t>
  </si>
  <si>
    <t>Consumer Durables</t>
  </si>
  <si>
    <t>Oil</t>
  </si>
  <si>
    <t>Diversified Metals</t>
  </si>
  <si>
    <t>Insurance</t>
  </si>
  <si>
    <t>Finance</t>
  </si>
  <si>
    <t>Non - Ferrous Metals</t>
  </si>
  <si>
    <t>Beverages</t>
  </si>
  <si>
    <t>Electrical Equipment</t>
  </si>
  <si>
    <t>Sub Total</t>
  </si>
  <si>
    <t xml:space="preserve">(b) Unlisted </t>
  </si>
  <si>
    <t>NIL</t>
  </si>
  <si>
    <t>Total</t>
  </si>
  <si>
    <t>TREPS</t>
  </si>
  <si>
    <t>Grand Total</t>
  </si>
  <si>
    <t>Net Receivables / (Payables)</t>
  </si>
  <si>
    <t>Industry Classification</t>
  </si>
  <si>
    <t>Notes</t>
  </si>
  <si>
    <t xml:space="preserve">Scheme Risk-O-Meter </t>
  </si>
  <si>
    <t>Aerospace &amp; Defense</t>
  </si>
  <si>
    <t>Healthcare Services</t>
  </si>
  <si>
    <t>Agricultural Food &amp; Other Products</t>
  </si>
  <si>
    <t>Industrial Products</t>
  </si>
  <si>
    <t>Leisure Services</t>
  </si>
  <si>
    <t>Chemicals &amp; Petrochemicals</t>
  </si>
  <si>
    <t>Gas</t>
  </si>
  <si>
    <t>Personal Products</t>
  </si>
  <si>
    <t>Realty</t>
  </si>
  <si>
    <t>Industrial Manufacturing</t>
  </si>
  <si>
    <t>Financial Technology (Fintech)</t>
  </si>
  <si>
    <t>Fertilizers &amp; Agrochemicals</t>
  </si>
  <si>
    <t>Minerals &amp; Mining</t>
  </si>
  <si>
    <t>Textiles &amp; Apparels</t>
  </si>
  <si>
    <t>IT - Services</t>
  </si>
  <si>
    <t>Diversified</t>
  </si>
  <si>
    <t>Karur Vysya Bank Ltd</t>
  </si>
  <si>
    <t>INE036D01028</t>
  </si>
  <si>
    <t>Sona Blw Precision Forgings Ltd</t>
  </si>
  <si>
    <t>INE073K01018</t>
  </si>
  <si>
    <t>Navin Fluorine International Ltd</t>
  </si>
  <si>
    <t>INE048G01026</t>
  </si>
  <si>
    <t>Delhivery Ltd</t>
  </si>
  <si>
    <t>INE148O01028</t>
  </si>
  <si>
    <t>Piramal Finance Ltd</t>
  </si>
  <si>
    <t>INE202B01038</t>
  </si>
  <si>
    <t>Central Depository Services (India) Ltd</t>
  </si>
  <si>
    <t>INE736A01011</t>
  </si>
  <si>
    <t>Angel One Ltd</t>
  </si>
  <si>
    <t>INE732I01021</t>
  </si>
  <si>
    <t>RBL Bank Ltd</t>
  </si>
  <si>
    <t>INE976G01028</t>
  </si>
  <si>
    <t>PNB Housing Finance Ltd</t>
  </si>
  <si>
    <t>INE572E01012</t>
  </si>
  <si>
    <t>Computer Age Management Services Ltd</t>
  </si>
  <si>
    <t>INE596I01020</t>
  </si>
  <si>
    <t>Krishna Institute Of Medical Sciences Ltd</t>
  </si>
  <si>
    <t>INE967H01025</t>
  </si>
  <si>
    <t>Bandhan Bank Ltd</t>
  </si>
  <si>
    <t>INE545U01014</t>
  </si>
  <si>
    <t>City Union Bank Ltd</t>
  </si>
  <si>
    <t>INE491A01021</t>
  </si>
  <si>
    <t>Aster DM Healthcare Ltd</t>
  </si>
  <si>
    <t>INE914M01019</t>
  </si>
  <si>
    <t>HFCL Ltd</t>
  </si>
  <si>
    <t>INE548A01028</t>
  </si>
  <si>
    <t>Ather Energy Ltd</t>
  </si>
  <si>
    <t>INE0LEZ01016</t>
  </si>
  <si>
    <t>Crompton Greaves Consumer Electricals Ltd</t>
  </si>
  <si>
    <t>INE299U01018</t>
  </si>
  <si>
    <t>Welspun Corp Ltd</t>
  </si>
  <si>
    <t>INE191B01025</t>
  </si>
  <si>
    <t>Gland Pharma Ltd</t>
  </si>
  <si>
    <t>INE068V01023</t>
  </si>
  <si>
    <t>Manappuram Finance Ltd</t>
  </si>
  <si>
    <t>INE522D01027</t>
  </si>
  <si>
    <t>J.B. Chemicals &amp; Pharmaceuticals Ltd</t>
  </si>
  <si>
    <t>INE572A01036</t>
  </si>
  <si>
    <t>Hindustan Copper Ltd</t>
  </si>
  <si>
    <t>INE531E01026</t>
  </si>
  <si>
    <t>Wockhardt Ltd</t>
  </si>
  <si>
    <t>INE049B01025</t>
  </si>
  <si>
    <t>Amber Enterprises India Ltd</t>
  </si>
  <si>
    <t>INE371P01015</t>
  </si>
  <si>
    <t>Acutaas Chemicals Ltd</t>
  </si>
  <si>
    <t>INE00FF01025</t>
  </si>
  <si>
    <t>Kirloskar Oil Engines Ltd</t>
  </si>
  <si>
    <t>INE146L01010</t>
  </si>
  <si>
    <t>Sai Life Sciences Ltd</t>
  </si>
  <si>
    <t>INE570L01029</t>
  </si>
  <si>
    <t>Cholamandalam Financial Holdings Ltd</t>
  </si>
  <si>
    <t>INE149A01033</t>
  </si>
  <si>
    <t>Kalpataru Projects International Ltd</t>
  </si>
  <si>
    <t>INE220B01022</t>
  </si>
  <si>
    <t>Neuland Laboratories Ltd</t>
  </si>
  <si>
    <t>INE794A01010</t>
  </si>
  <si>
    <t>Anand Rathi Wealth Ltd</t>
  </si>
  <si>
    <t>INE463V01026</t>
  </si>
  <si>
    <t>Himadri Speciality Chemical Ltd</t>
  </si>
  <si>
    <t>INE019C01026</t>
  </si>
  <si>
    <t>Great Eastern Shipping Co Ltd</t>
  </si>
  <si>
    <t>INE017A01032</t>
  </si>
  <si>
    <t>Poonawalla Fincorp Ltd</t>
  </si>
  <si>
    <t>INE511C01022</t>
  </si>
  <si>
    <t>Sammaan Capital Ltd</t>
  </si>
  <si>
    <t>INE148I01020</t>
  </si>
  <si>
    <t>Redington Ltd</t>
  </si>
  <si>
    <t>INE891D01026</t>
  </si>
  <si>
    <t>Commercial Services &amp; Supplies</t>
  </si>
  <si>
    <t>Narayana Hrudayalaya Ltd</t>
  </si>
  <si>
    <t>INE410P01011</t>
  </si>
  <si>
    <t>Timken India Ltd</t>
  </si>
  <si>
    <t>INE325A01013</t>
  </si>
  <si>
    <t>Dr. Lal Path Labs Ltd</t>
  </si>
  <si>
    <t>INE600L01024</t>
  </si>
  <si>
    <t>Star Health And Allied Insurance Co Ltd</t>
  </si>
  <si>
    <t>INE575P01011</t>
  </si>
  <si>
    <t>Elgi Equipments Ltd</t>
  </si>
  <si>
    <t>INE285A01027</t>
  </si>
  <si>
    <t>Tata Technologies Ltd</t>
  </si>
  <si>
    <t>INE142M01025</t>
  </si>
  <si>
    <t>Data Patterns India Ltd</t>
  </si>
  <si>
    <t>INE0IX101010</t>
  </si>
  <si>
    <t>Nuvama Wealth Management Ltd</t>
  </si>
  <si>
    <t>INE531F01023</t>
  </si>
  <si>
    <t>Carborundum Universal Ltd</t>
  </si>
  <si>
    <t>INE120A01034</t>
  </si>
  <si>
    <t>Tata Chemicals Ltd</t>
  </si>
  <si>
    <t>INE092A01019</t>
  </si>
  <si>
    <t>Deepak Nitrite Ltd</t>
  </si>
  <si>
    <t>INE288B01029</t>
  </si>
  <si>
    <t>CESC Ltd</t>
  </si>
  <si>
    <t>INE486A01021</t>
  </si>
  <si>
    <t>Kfin Technologies Ltd</t>
  </si>
  <si>
    <t>INE138Y01010</t>
  </si>
  <si>
    <t>Indraprastha Gas Ltd</t>
  </si>
  <si>
    <t>INE203G01027</t>
  </si>
  <si>
    <t>Granules India Ltd</t>
  </si>
  <si>
    <t>INE101D01020</t>
  </si>
  <si>
    <t>Craftsman Automation Ltd</t>
  </si>
  <si>
    <t>INE00LO01017</t>
  </si>
  <si>
    <t>ZF Commercial Vehicle Control Systems India Ltd</t>
  </si>
  <si>
    <t>INE342J01019</t>
  </si>
  <si>
    <t>The Ramco Cements Ltd</t>
  </si>
  <si>
    <t>INE331A01037</t>
  </si>
  <si>
    <t>Asahi India Glass Ltd</t>
  </si>
  <si>
    <t>INE439A01020</t>
  </si>
  <si>
    <t>Atul Ltd</t>
  </si>
  <si>
    <t>INE100A01010</t>
  </si>
  <si>
    <t>IIFL Finance Ltd</t>
  </si>
  <si>
    <t>INE530B01024</t>
  </si>
  <si>
    <t>Amara Raja Energy And Mobility Ltd</t>
  </si>
  <si>
    <t>INE885A01032</t>
  </si>
  <si>
    <t>Piramal Pharma Ltd</t>
  </si>
  <si>
    <t>INE0DK501011</t>
  </si>
  <si>
    <t>Jaiprakash Power Ventures Ltd</t>
  </si>
  <si>
    <t>INE351F01018</t>
  </si>
  <si>
    <t>NBCC (India) Ltd</t>
  </si>
  <si>
    <t>INE095N01031</t>
  </si>
  <si>
    <t>Indian Energy Exchange Ltd</t>
  </si>
  <si>
    <t>INE022Q01020</t>
  </si>
  <si>
    <t>Onesource Specialty Pharma Ltd</t>
  </si>
  <si>
    <t>INE013P01021</t>
  </si>
  <si>
    <t>Motherson Sumi Wiring India Ltd</t>
  </si>
  <si>
    <t>INE0FS801015</t>
  </si>
  <si>
    <t>PTC Industries Ltd</t>
  </si>
  <si>
    <t>INE596F01018</t>
  </si>
  <si>
    <t>Kaynes Technology India Ltd</t>
  </si>
  <si>
    <t>INE918Z01012</t>
  </si>
  <si>
    <t>Aarti Industries Ltd</t>
  </si>
  <si>
    <t>INE769A01020</t>
  </si>
  <si>
    <t>Home First Finance Co India Ltd</t>
  </si>
  <si>
    <t>INE481N01025</t>
  </si>
  <si>
    <t>Sagility Ltd</t>
  </si>
  <si>
    <t>INE0W2G01015</t>
  </si>
  <si>
    <t>Deepak Fertilizers and Petrochemicals Corporation Ltd</t>
  </si>
  <si>
    <t>INE501A01019</t>
  </si>
  <si>
    <t>Aegis Logistics Ltd</t>
  </si>
  <si>
    <t>INE208C01025</t>
  </si>
  <si>
    <t>Force Motors Ltd</t>
  </si>
  <si>
    <t>INE451A01017</t>
  </si>
  <si>
    <t>Affle 3i Ltd</t>
  </si>
  <si>
    <t>INE00WC01027</t>
  </si>
  <si>
    <t>HBL Engineering Ltd</t>
  </si>
  <si>
    <t>INE292B01021</t>
  </si>
  <si>
    <t>Aptus Value Housing Finance India Ltd</t>
  </si>
  <si>
    <t>INE852O01025</t>
  </si>
  <si>
    <t>Usha Martin Ltd</t>
  </si>
  <si>
    <t>INE228A01035</t>
  </si>
  <si>
    <t>Natco Pharma Ltd</t>
  </si>
  <si>
    <t>INE987B01026</t>
  </si>
  <si>
    <t>Brigade Enterprises Ltd</t>
  </si>
  <si>
    <t>INE791I01019</t>
  </si>
  <si>
    <t>Inox Wind Ltd</t>
  </si>
  <si>
    <t>INE066P01011</t>
  </si>
  <si>
    <t>Kajaria Ceramics Ltd</t>
  </si>
  <si>
    <t>INE217B01036</t>
  </si>
  <si>
    <t>Castrol India Ltd</t>
  </si>
  <si>
    <t>INE172A01027</t>
  </si>
  <si>
    <t>Five-Star Business Finance Ltd</t>
  </si>
  <si>
    <t>INE128S01021</t>
  </si>
  <si>
    <t>Finolex Cables Ltd</t>
  </si>
  <si>
    <t>INE235A01022</t>
  </si>
  <si>
    <t>Triveni Turbine Ltd</t>
  </si>
  <si>
    <t>INE152M01016</t>
  </si>
  <si>
    <t>Zee Entertainment Enterprises Ltd</t>
  </si>
  <si>
    <t>INE256A01028</t>
  </si>
  <si>
    <t>Entertainment</t>
  </si>
  <si>
    <t>IRB Infrastructure Developers Ltd</t>
  </si>
  <si>
    <t>INE821I01022</t>
  </si>
  <si>
    <t>Syngene International Ltd</t>
  </si>
  <si>
    <t>INE398R01022</t>
  </si>
  <si>
    <t>Syrma SGS Technology Ltd</t>
  </si>
  <si>
    <t>INE0DYJ01015</t>
  </si>
  <si>
    <t>Firstsource Solutions Ltd</t>
  </si>
  <si>
    <t>INE684F01012</t>
  </si>
  <si>
    <t>Ola Electric Mobility Ltd</t>
  </si>
  <si>
    <t>INE0LXG01040</t>
  </si>
  <si>
    <t>Inventurus Knowledge Solutions Ltd</t>
  </si>
  <si>
    <t>INE115Q01022</t>
  </si>
  <si>
    <t>Nava Ltd</t>
  </si>
  <si>
    <t>INE725A01030</t>
  </si>
  <si>
    <t>Jubilant Pharmova Ltd</t>
  </si>
  <si>
    <t>INE700A01033</t>
  </si>
  <si>
    <t>Reliance Power Ltd</t>
  </si>
  <si>
    <t>INE614G01033</t>
  </si>
  <si>
    <t>Emami Ltd</t>
  </si>
  <si>
    <t>INE548C01032</t>
  </si>
  <si>
    <t>Anant Raj Ltd</t>
  </si>
  <si>
    <t>INE242C01024</t>
  </si>
  <si>
    <t>Garden Reach Shipbuilders &amp; Engineers Ltd</t>
  </si>
  <si>
    <t>INE382Z01011</t>
  </si>
  <si>
    <t>EID Parry India Ltd</t>
  </si>
  <si>
    <t>INE126A01031</t>
  </si>
  <si>
    <t>PG Electroplast Ltd</t>
  </si>
  <si>
    <t>INE457L01029</t>
  </si>
  <si>
    <t>Aditya Birla Sun Life AMC Ltd</t>
  </si>
  <si>
    <t>INE404A01024</t>
  </si>
  <si>
    <t>Netweb Technologies India Ltd</t>
  </si>
  <si>
    <t>INE0NT901020</t>
  </si>
  <si>
    <t>Cyient Ltd</t>
  </si>
  <si>
    <t>INE136B01020</t>
  </si>
  <si>
    <t>Eris Lifesciences Ltd</t>
  </si>
  <si>
    <t>INE406M01024</t>
  </si>
  <si>
    <t>Zen Technologies Ltd</t>
  </si>
  <si>
    <t>INE251B01027</t>
  </si>
  <si>
    <t>Capri Global Capital Ltd</t>
  </si>
  <si>
    <t>INE180C01042</t>
  </si>
  <si>
    <t>Schneider Electric Infrastructure Ltd</t>
  </si>
  <si>
    <t>INE839M01018</t>
  </si>
  <si>
    <t>CCL Products (India) Ltd</t>
  </si>
  <si>
    <t>INE421D01022</t>
  </si>
  <si>
    <t>Go Digit General Insurance Ltd</t>
  </si>
  <si>
    <t>INE03JT01014</t>
  </si>
  <si>
    <t>CarTrade Tech Ltd</t>
  </si>
  <si>
    <t>INE290S01011</t>
  </si>
  <si>
    <t>Godawari Power &amp; Ispat Ltd</t>
  </si>
  <si>
    <t>INE177H01039</t>
  </si>
  <si>
    <t>Cohance Lifesciences Ltd</t>
  </si>
  <si>
    <t>INE03QK01018</t>
  </si>
  <si>
    <t>Chambal Fertilizers &amp; Chemicals Ltd</t>
  </si>
  <si>
    <t>INE085A01013</t>
  </si>
  <si>
    <t>Creditaccess Grameen Ltd</t>
  </si>
  <si>
    <t>INE741K01010</t>
  </si>
  <si>
    <t>Can Fin Homes Ltd</t>
  </si>
  <si>
    <t>INE477A01020</t>
  </si>
  <si>
    <t>Gabriel India Ltd</t>
  </si>
  <si>
    <t>INE524A01029</t>
  </si>
  <si>
    <t>Pfizer Ltd</t>
  </si>
  <si>
    <t>INE182A01018</t>
  </si>
  <si>
    <t>Rainbow Childrens Medicare Ltd</t>
  </si>
  <si>
    <t>INE961O01016</t>
  </si>
  <si>
    <t>PVR Inox Ltd</t>
  </si>
  <si>
    <t>INE191H01014</t>
  </si>
  <si>
    <t>Shyam Metalics And Energy Ltd</t>
  </si>
  <si>
    <t>INE810G01011</t>
  </si>
  <si>
    <t>CEAT Ltd</t>
  </si>
  <si>
    <t>INE482A01020</t>
  </si>
  <si>
    <t>R R Kabel Ltd</t>
  </si>
  <si>
    <t>INE777K01022</t>
  </si>
  <si>
    <t>Titagarh Rail Systems Ltd</t>
  </si>
  <si>
    <t>INE615H01020</t>
  </si>
  <si>
    <t>BEML Ltd</t>
  </si>
  <si>
    <t>INE258A01024</t>
  </si>
  <si>
    <t>Gillette India Ltd</t>
  </si>
  <si>
    <t>INE322A01010</t>
  </si>
  <si>
    <t>Aditya Birla Real Estate Ltd</t>
  </si>
  <si>
    <t>INE055A01016</t>
  </si>
  <si>
    <t>KEC International Ltd</t>
  </si>
  <si>
    <t>INE389H01022</t>
  </si>
  <si>
    <t>Belrise Industries Ltd</t>
  </si>
  <si>
    <t>INE894V01022</t>
  </si>
  <si>
    <t>Vijaya Diagnostic Centre Ltd</t>
  </si>
  <si>
    <t>INE043W01024</t>
  </si>
  <si>
    <t>Engineers India Ltd</t>
  </si>
  <si>
    <t>INE510A01028</t>
  </si>
  <si>
    <t>Sobha Ltd</t>
  </si>
  <si>
    <t>INE671H01015</t>
  </si>
  <si>
    <t>Whirlpool Of India Ltd</t>
  </si>
  <si>
    <t>INE716A01013</t>
  </si>
  <si>
    <t>The Jammu &amp; Kashmir Bank Ltd</t>
  </si>
  <si>
    <t>INE168A01041</t>
  </si>
  <si>
    <t>Intellect Design Arena Ltd</t>
  </si>
  <si>
    <t>INE306R01017</t>
  </si>
  <si>
    <t>Mahanagar Gas Ltd</t>
  </si>
  <si>
    <t>INE002S01010</t>
  </si>
  <si>
    <t>NCC Ltd</t>
  </si>
  <si>
    <t>INE868B01028</t>
  </si>
  <si>
    <t>eClerx Services Ltd</t>
  </si>
  <si>
    <t>INE738I01010</t>
  </si>
  <si>
    <t>Indiamart Intermesh Ltd</t>
  </si>
  <si>
    <t>INE933S01016</t>
  </si>
  <si>
    <t>Sumitomo Chemical India Ltd</t>
  </si>
  <si>
    <t>INE258G01013</t>
  </si>
  <si>
    <t>Cemindia Projects Ltd</t>
  </si>
  <si>
    <t>INE686A01026</t>
  </si>
  <si>
    <t>Balrampur Chini Mills Ltd</t>
  </si>
  <si>
    <t>INE119A01028</t>
  </si>
  <si>
    <t>Vardhman Textiles Ltd</t>
  </si>
  <si>
    <t>INE825A01020</t>
  </si>
  <si>
    <t>EIH Ltd</t>
  </si>
  <si>
    <t>INE230A01023</t>
  </si>
  <si>
    <t>Emcure Pharmaceuticals Ltd</t>
  </si>
  <si>
    <t>INE168P01015</t>
  </si>
  <si>
    <t>Ramkrishna Forgings Ltd</t>
  </si>
  <si>
    <t>INE399G01023</t>
  </si>
  <si>
    <t>Bayer Cropscience Ltd</t>
  </si>
  <si>
    <t>INE462A01022</t>
  </si>
  <si>
    <t>Jindal Saw Ltd</t>
  </si>
  <si>
    <t>INE324A01032</t>
  </si>
  <si>
    <t>Aditya Infotech Ltd</t>
  </si>
  <si>
    <t>INE819V01029</t>
  </si>
  <si>
    <t>CIE Automotive India Ltd</t>
  </si>
  <si>
    <t>INE536H01010</t>
  </si>
  <si>
    <t>Lemon Tree Hotels Ltd</t>
  </si>
  <si>
    <t>INE970X01018</t>
  </si>
  <si>
    <t>Zensar Technologies Ltd</t>
  </si>
  <si>
    <t>INE520A01027</t>
  </si>
  <si>
    <t>Chalet Hotels Ltd</t>
  </si>
  <si>
    <t>INE427F01016</t>
  </si>
  <si>
    <t>Gujarat Mineral Development Corporation Ltd</t>
  </si>
  <si>
    <t>INE131A01031</t>
  </si>
  <si>
    <t>Honasa Consumer Ltd</t>
  </si>
  <si>
    <t>INE0J5401028</t>
  </si>
  <si>
    <t>Paradeep Phosphates Ltd</t>
  </si>
  <si>
    <t>INE088F01024</t>
  </si>
  <si>
    <t>Fertilizers And Chemicals Travancore Ltd</t>
  </si>
  <si>
    <t>INE188A01015</t>
  </si>
  <si>
    <t>Jsw Dulux Ltd</t>
  </si>
  <si>
    <t>INE133A01011</t>
  </si>
  <si>
    <t>Jubilant Ingrevia Ltd</t>
  </si>
  <si>
    <t>INE0BY001018</t>
  </si>
  <si>
    <t>Aditya Birla Lifestyle Brands Ltd</t>
  </si>
  <si>
    <t>INE14LE01019</t>
  </si>
  <si>
    <t>Techno Electric &amp; Engineering Co Ltd</t>
  </si>
  <si>
    <t>INE285K01026</t>
  </si>
  <si>
    <t>LT Foods Ltd</t>
  </si>
  <si>
    <t>INE818H01020</t>
  </si>
  <si>
    <t>Indegene Ltd</t>
  </si>
  <si>
    <t>INE065X01017</t>
  </si>
  <si>
    <t>Aavas Financiers Ltd</t>
  </si>
  <si>
    <t>INE216P01012</t>
  </si>
  <si>
    <t>Choice International Ltd</t>
  </si>
  <si>
    <t>INE102B01014</t>
  </si>
  <si>
    <t>Birlasoft Ltd</t>
  </si>
  <si>
    <t>INE836A01035</t>
  </si>
  <si>
    <t>Afcons Infrastructure Ltd</t>
  </si>
  <si>
    <t>INE101I01011</t>
  </si>
  <si>
    <t>Niva Bupa Health Insurance Co Ltd</t>
  </si>
  <si>
    <t>INE995S01015</t>
  </si>
  <si>
    <t>Sonata Software Ltd</t>
  </si>
  <si>
    <t>INE269A01021</t>
  </si>
  <si>
    <t>Meesho Ltd</t>
  </si>
  <si>
    <t>INE0VDM01015</t>
  </si>
  <si>
    <t>Poly Medicure Ltd</t>
  </si>
  <si>
    <t>INE205C01021</t>
  </si>
  <si>
    <t>Healthcare Equipment &amp; Supplies</t>
  </si>
  <si>
    <t>NMDC Steel Ltd</t>
  </si>
  <si>
    <t>INE0NNS01018</t>
  </si>
  <si>
    <t>Gravita India Ltd</t>
  </si>
  <si>
    <t>INE024L01027</t>
  </si>
  <si>
    <t>JK Tyre &amp; Industries Ltd</t>
  </si>
  <si>
    <t>INE573A01042</t>
  </si>
  <si>
    <t>Aadhar Housing Finance Ltd</t>
  </si>
  <si>
    <t>INE883F01010</t>
  </si>
  <si>
    <t>Chennai Petroleum Corporation Ltd</t>
  </si>
  <si>
    <t>INE178A01016</t>
  </si>
  <si>
    <t>PCBL Chemical Ltd</t>
  </si>
  <si>
    <t>INE602A01031</t>
  </si>
  <si>
    <t>Jyoti CNC Automation Ltd</t>
  </si>
  <si>
    <t>INE980O01024</t>
  </si>
  <si>
    <t>JM Financial Ltd</t>
  </si>
  <si>
    <t>INE780C01023</t>
  </si>
  <si>
    <t>Minda Corporation Ltd</t>
  </si>
  <si>
    <t>INE842C01021</t>
  </si>
  <si>
    <t>Brainbees Solutions Ltd</t>
  </si>
  <si>
    <t>INE02RE01045</t>
  </si>
  <si>
    <t>Sun TV Network Ltd</t>
  </si>
  <si>
    <t>INE424H01027</t>
  </si>
  <si>
    <t>Shipping Corporation of India Ltd</t>
  </si>
  <si>
    <t>INE109A01011</t>
  </si>
  <si>
    <t>Physicswallah Ltd</t>
  </si>
  <si>
    <t>INE0LP301011</t>
  </si>
  <si>
    <t>Other Consumer Services</t>
  </si>
  <si>
    <t>Indian Overseas Bank</t>
  </si>
  <si>
    <t>INE565A01014</t>
  </si>
  <si>
    <t>Zydus Wellness Ltd</t>
  </si>
  <si>
    <t>INE768C01028</t>
  </si>
  <si>
    <t>Graphite India Ltd</t>
  </si>
  <si>
    <t>INE371A01025</t>
  </si>
  <si>
    <t>Olectra Greentech Ltd</t>
  </si>
  <si>
    <t>INE260D01016</t>
  </si>
  <si>
    <t>Heg Ltd</t>
  </si>
  <si>
    <t>INE545A01024</t>
  </si>
  <si>
    <t>Sarda Energy &amp; Minerals Ltd</t>
  </si>
  <si>
    <t>INE385C01021</t>
  </si>
  <si>
    <t>Devyani International Ltd</t>
  </si>
  <si>
    <t>INE872J01023</t>
  </si>
  <si>
    <t>Swan Corp Ltd</t>
  </si>
  <si>
    <t>INE665A01038</t>
  </si>
  <si>
    <t>Tenneco Clean Air India Ltd</t>
  </si>
  <si>
    <t>INE19RI01016</t>
  </si>
  <si>
    <t>IFCI Ltd</t>
  </si>
  <si>
    <t>INE039A01010</t>
  </si>
  <si>
    <t>Elecon Engineering Co Ltd</t>
  </si>
  <si>
    <t>INE205B01031</t>
  </si>
  <si>
    <t>IRCON International Ltd</t>
  </si>
  <si>
    <t>INE962Y01021</t>
  </si>
  <si>
    <t>Welspun Living Ltd</t>
  </si>
  <si>
    <t>INE192B01031</t>
  </si>
  <si>
    <t>Sapphire Foods India Ltd</t>
  </si>
  <si>
    <t>INE806T01020</t>
  </si>
  <si>
    <t>Tejas Networks Ltd</t>
  </si>
  <si>
    <t>INE010J01012</t>
  </si>
  <si>
    <t>Telecom - Equipment &amp; Accessories</t>
  </si>
  <si>
    <t>Bata India Ltd</t>
  </si>
  <si>
    <t>INE176A01028</t>
  </si>
  <si>
    <t>Bikaji Foods International Ltd</t>
  </si>
  <si>
    <t>INE00E101023</t>
  </si>
  <si>
    <t>TBO Tek Ltd</t>
  </si>
  <si>
    <t>INE673O01025</t>
  </si>
  <si>
    <t>Supreme Petrochem Ltd</t>
  </si>
  <si>
    <t>INE663A01033</t>
  </si>
  <si>
    <t>IDBI Bank Ltd</t>
  </si>
  <si>
    <t>INE008A01015</t>
  </si>
  <si>
    <t>Dcm Shriram Ltd</t>
  </si>
  <si>
    <t>INE499A01024</t>
  </si>
  <si>
    <t>Urban Co Ltd</t>
  </si>
  <si>
    <t>INE0CAZ01013</t>
  </si>
  <si>
    <t>Caplin Point Laboratories Ltd</t>
  </si>
  <si>
    <t>INE475E01026</t>
  </si>
  <si>
    <t>UTI Asset Management Co Ltd</t>
  </si>
  <si>
    <t>INE094J01016</t>
  </si>
  <si>
    <t>Jupiter Wagons Ltd</t>
  </si>
  <si>
    <t>INE209L01016</t>
  </si>
  <si>
    <t>Doms Industries Ltd</t>
  </si>
  <si>
    <t>INE321T01012</t>
  </si>
  <si>
    <t>Household Products</t>
  </si>
  <si>
    <t>SBFC Finance Ltd</t>
  </si>
  <si>
    <t>INE423Y01016</t>
  </si>
  <si>
    <t>Clean Science And Technology Ltd</t>
  </si>
  <si>
    <t>INE227W01023</t>
  </si>
  <si>
    <t>International Gemological Institute Ltd</t>
  </si>
  <si>
    <t>INE0Q9301021</t>
  </si>
  <si>
    <t>Action Construction Equipment Ltd</t>
  </si>
  <si>
    <t>INE731H01025</t>
  </si>
  <si>
    <t>Anupam Rasayan India Ltd</t>
  </si>
  <si>
    <t>INE930P01018</t>
  </si>
  <si>
    <t>Nuvoco Vistas Corporation Ltd</t>
  </si>
  <si>
    <t>INE118D01016</t>
  </si>
  <si>
    <t>Concord Biotech Ltd</t>
  </si>
  <si>
    <t>INE338H01029</t>
  </si>
  <si>
    <t>Transformers And Rectifiers India Ltd</t>
  </si>
  <si>
    <t>INE763I01026</t>
  </si>
  <si>
    <t>Emmvee Photovoltaic Power Ltd</t>
  </si>
  <si>
    <t>INE1C6T01020</t>
  </si>
  <si>
    <t>Signatureglobal (India) Ltd</t>
  </si>
  <si>
    <t>INE903U01023</t>
  </si>
  <si>
    <t>Leela Palaces Hotels &amp; Resorts Ltd</t>
  </si>
  <si>
    <t>INE0AQ201015</t>
  </si>
  <si>
    <t>JSW Cement Ltd</t>
  </si>
  <si>
    <t>INE718I01012</t>
  </si>
  <si>
    <t>BLS International Services Ltd</t>
  </si>
  <si>
    <t>INE153T01027</t>
  </si>
  <si>
    <t>Aditya Birla Fashion and Retail Ltd</t>
  </si>
  <si>
    <t>INE647O01011</t>
  </si>
  <si>
    <t>Acme Solar Holdings Ltd</t>
  </si>
  <si>
    <t>INE622W01025</t>
  </si>
  <si>
    <t>Saregama India Ltd</t>
  </si>
  <si>
    <t>INE979A01025</t>
  </si>
  <si>
    <t>Trident Ltd</t>
  </si>
  <si>
    <t>INE064C01022</t>
  </si>
  <si>
    <t>Central Bank of India</t>
  </si>
  <si>
    <t>INE483A01010</t>
  </si>
  <si>
    <t>Allied Blenders And Distillers Ltd</t>
  </si>
  <si>
    <t>INE552Z01027</t>
  </si>
  <si>
    <t>Tega Industries Ltd</t>
  </si>
  <si>
    <t>INE011K01018</t>
  </si>
  <si>
    <t>ITI Ltd</t>
  </si>
  <si>
    <t>INE248A01017</t>
  </si>
  <si>
    <t>UCO Bank</t>
  </si>
  <si>
    <t>INE691A01018</t>
  </si>
  <si>
    <t>Aegis Vopak Terminals Ltd</t>
  </si>
  <si>
    <t>INE0INX01018</t>
  </si>
  <si>
    <t>Newgen Software Technologies Ltd</t>
  </si>
  <si>
    <t>INE619B01017</t>
  </si>
  <si>
    <t>Blue Dart Express Ltd</t>
  </si>
  <si>
    <t>INE233B01017</t>
  </si>
  <si>
    <t>Canara HSBC Life Insurance Co Ltd</t>
  </si>
  <si>
    <t>INE01TY01017</t>
  </si>
  <si>
    <t>Railtel Corporation Of India Ltd</t>
  </si>
  <si>
    <t>INE0DD101019</t>
  </si>
  <si>
    <t>Rites Ltd</t>
  </si>
  <si>
    <t>INE320J01015</t>
  </si>
  <si>
    <t>The India Cements Ltd</t>
  </si>
  <si>
    <t>INE383A01012</t>
  </si>
  <si>
    <t>Bombay Burmah Trading Corporation Ltd</t>
  </si>
  <si>
    <t>INE050A01025</t>
  </si>
  <si>
    <t>Pine Labs Ltd</t>
  </si>
  <si>
    <t>INE15B701018</t>
  </si>
  <si>
    <t>Mangalore Refinery &amp; Petrochemicals Ltd</t>
  </si>
  <si>
    <t>INE103A01014</t>
  </si>
  <si>
    <t>JBM Auto Ltd</t>
  </si>
  <si>
    <t>INE927D01051</t>
  </si>
  <si>
    <t>Rhi Magnesita India Ltd</t>
  </si>
  <si>
    <t>INE743M01012</t>
  </si>
  <si>
    <t>Latent View Analytics Ltd</t>
  </si>
  <si>
    <t>INE0I7C01011</t>
  </si>
  <si>
    <t>Travel Food Services Ltd</t>
  </si>
  <si>
    <t>INE103V01028</t>
  </si>
  <si>
    <t>Tata Teleservices Maharashtra Ltd</t>
  </si>
  <si>
    <t>INE517B01013</t>
  </si>
  <si>
    <t>Gallantt Ispat Ltd</t>
  </si>
  <si>
    <t>INE297H01019</t>
  </si>
  <si>
    <t>Jain Resource Recycling Ltd</t>
  </si>
  <si>
    <t>INE0YD401026</t>
  </si>
  <si>
    <t>Blue Jet Healthcare Ltd</t>
  </si>
  <si>
    <t>INE0KBH01020</t>
  </si>
  <si>
    <t>CE Info Systems Ltd</t>
  </si>
  <si>
    <t>INE0BV301023</t>
  </si>
  <si>
    <t>MMTC Ltd</t>
  </si>
  <si>
    <t>INE123F01029</t>
  </si>
  <si>
    <t>Benchmark Risk-O-Meter</t>
  </si>
  <si>
    <t>Benchmark Name - NIFTY Smallcap 250 Index (TRI)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</si>
  <si>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</si>
  <si>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</si>
  <si>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</si>
  <si>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</si>
  <si>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</si>
  <si>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</si>
  <si>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</si>
  <si>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(7) During the period, the portfolio turnover ratio is 0.39 times.</t>
  </si>
  <si>
    <t>(4) There was no distribution (of income and capital) during the month ended May 31, 2026.</t>
  </si>
  <si>
    <t>(6) Total market value of investments in foreign securities/ American Depository Receipts/ Global Depository Receipts as at May 31, 2026 is Rs. Nil.</t>
  </si>
  <si>
    <t>(8) Repo transactions in corporate debt securities as on May 31, 2026 is Rs. Nil.</t>
  </si>
  <si>
    <t>As on May 29, 2026</t>
  </si>
  <si>
    <t>(5) Total outstanding exposure in derivative instruments as on May 31, 2026 is Rs.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</si>
</sst>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7" formatCode="0.0000"/>
  </numFmts>
  <fonts count="12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3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5" fillId="2" borderId="0" xfId="0" applyFont="1" applyFill="1" applyAlignment="1">
      <alignment horizontal="right"/>
    </xf>
    <xf numFmtId="0" fontId="10" fillId="2" borderId="1" xfId="0" applyFont="1" applyFill="1" applyBorder="1" applyAlignment="1">
      <alignment vertical="center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6" fillId="2" borderId="0" xfId="0" applyFont="1" applyFill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167" fontId="6" fillId="2" borderId="6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284</xdr:row>
      <xdr:rowOff>47625</xdr:rowOff>
    </xdr:from>
    <xdr:to>
      <xdr:col>2</xdr:col>
      <xdr:colOff>806098</xdr:colOff>
      <xdr:row>298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7F77A7-DF35-4B46-B61A-BFF165F6E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75" y="36439475"/>
          <a:ext cx="405765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303</xdr:row>
      <xdr:rowOff>19050</xdr:rowOff>
    </xdr:from>
    <xdr:to>
      <xdr:col>2</xdr:col>
      <xdr:colOff>603250</xdr:colOff>
      <xdr:row>317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1FBF0F-E568-47D5-8356-07CC2F24E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400" y="38836600"/>
          <a:ext cx="3619500" cy="1863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72-063A-44A3-AFA2-54631F70C4FE}">
  <dimension ref="A1:I319"/>
  <sheetViews>
    <sheetView tabSelected="1" view="pageBreakPreview" zoomScale="90" zoomScaleNormal="100" zoomScaleSheetLayoutView="9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6.1796875" style="8" customWidth="1"/>
    <col min="4" max="4" width="32.1796875" style="8" bestFit="1" customWidth="1"/>
    <col min="5" max="5" width="13.90625" style="9" bestFit="1" customWidth="1"/>
    <col min="6" max="6" width="14" style="11" customWidth="1"/>
    <col min="7" max="7" width="6.7265625" style="13" bestFit="1" customWidth="1"/>
    <col min="8" max="8" width="17.36328125" style="8" bestFit="1" customWidth="1"/>
    <col min="9" max="16384" width="9.08984375" style="8"/>
  </cols>
  <sheetData>
    <row r="1" spans="1:8" s="1" customFormat="1" ht="16.75" customHeight="1" x14ac:dyDescent="0.35">
      <c r="B1" s="61" t="s">
        <v>7</v>
      </c>
      <c r="C1" s="62"/>
      <c r="D1" s="12"/>
      <c r="E1" s="6"/>
      <c r="F1" s="7"/>
      <c r="G1" s="13"/>
    </row>
    <row r="2" spans="1:8" s="1" customFormat="1" ht="14.5" x14ac:dyDescent="0.35">
      <c r="A2" s="49" t="s">
        <v>568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25.5" customHeight="1" x14ac:dyDescent="0.25">
      <c r="B4" s="17" t="s">
        <v>4</v>
      </c>
      <c r="C4" s="17" t="s">
        <v>5</v>
      </c>
      <c r="D4" s="18" t="s">
        <v>41</v>
      </c>
      <c r="E4" s="19" t="s">
        <v>0</v>
      </c>
      <c r="F4" s="20" t="s">
        <v>1</v>
      </c>
      <c r="G4" s="21" t="s">
        <v>2</v>
      </c>
      <c r="H4" s="48" t="s">
        <v>3</v>
      </c>
    </row>
    <row r="5" spans="1:8" ht="10.5" x14ac:dyDescent="0.25">
      <c r="B5" s="22" t="s">
        <v>8</v>
      </c>
      <c r="C5" s="23"/>
      <c r="D5" s="23"/>
      <c r="E5" s="24"/>
      <c r="F5" s="25"/>
      <c r="G5" s="26"/>
      <c r="H5" s="23"/>
    </row>
    <row r="6" spans="1:8" ht="10.5" x14ac:dyDescent="0.25">
      <c r="B6" s="22" t="s">
        <v>9</v>
      </c>
      <c r="C6" s="23"/>
      <c r="D6" s="23"/>
      <c r="E6" s="24"/>
      <c r="F6" s="25"/>
      <c r="G6" s="26"/>
      <c r="H6" s="23"/>
    </row>
    <row r="7" spans="1:8" x14ac:dyDescent="0.2">
      <c r="B7" s="23" t="s">
        <v>60</v>
      </c>
      <c r="C7" s="23" t="s">
        <v>61</v>
      </c>
      <c r="D7" s="23" t="s">
        <v>10</v>
      </c>
      <c r="E7" s="27">
        <v>162491</v>
      </c>
      <c r="F7" s="25">
        <v>469.19276250000001</v>
      </c>
      <c r="G7" s="26">
        <v>1.3481763724371101</v>
      </c>
      <c r="H7" s="28"/>
    </row>
    <row r="8" spans="1:8" x14ac:dyDescent="0.2">
      <c r="B8" s="23" t="s">
        <v>62</v>
      </c>
      <c r="C8" s="23" t="s">
        <v>63</v>
      </c>
      <c r="D8" s="23" t="s">
        <v>19</v>
      </c>
      <c r="E8" s="27">
        <v>77122</v>
      </c>
      <c r="F8" s="25">
        <v>468.47758900000002</v>
      </c>
      <c r="G8" s="26">
        <v>1.3461213961204399</v>
      </c>
      <c r="H8" s="28"/>
    </row>
    <row r="9" spans="1:8" x14ac:dyDescent="0.2">
      <c r="B9" s="23" t="s">
        <v>64</v>
      </c>
      <c r="C9" s="23" t="s">
        <v>65</v>
      </c>
      <c r="D9" s="23" t="s">
        <v>49</v>
      </c>
      <c r="E9" s="27">
        <v>6325</v>
      </c>
      <c r="F9" s="25">
        <v>450.90924999999999</v>
      </c>
      <c r="G9" s="26">
        <v>1.2956406098939801</v>
      </c>
      <c r="H9" s="28"/>
    </row>
    <row r="10" spans="1:8" x14ac:dyDescent="0.2">
      <c r="B10" s="23" t="s">
        <v>66</v>
      </c>
      <c r="C10" s="23" t="s">
        <v>67</v>
      </c>
      <c r="D10" s="23" t="s">
        <v>20</v>
      </c>
      <c r="E10" s="27">
        <v>96064</v>
      </c>
      <c r="F10" s="25">
        <v>434.54550399999999</v>
      </c>
      <c r="G10" s="26">
        <v>1.2486210957731401</v>
      </c>
      <c r="H10" s="28"/>
    </row>
    <row r="11" spans="1:8" x14ac:dyDescent="0.2">
      <c r="B11" s="23" t="s">
        <v>68</v>
      </c>
      <c r="C11" s="23" t="s">
        <v>69</v>
      </c>
      <c r="D11" s="23" t="s">
        <v>30</v>
      </c>
      <c r="E11" s="27">
        <v>20683</v>
      </c>
      <c r="F11" s="25">
        <v>398.52004399999998</v>
      </c>
      <c r="G11" s="26">
        <v>1.1451057011208701</v>
      </c>
      <c r="H11" s="28"/>
    </row>
    <row r="12" spans="1:8" x14ac:dyDescent="0.2">
      <c r="B12" s="23" t="s">
        <v>70</v>
      </c>
      <c r="C12" s="23" t="s">
        <v>71</v>
      </c>
      <c r="D12" s="23" t="s">
        <v>22</v>
      </c>
      <c r="E12" s="27">
        <v>30645</v>
      </c>
      <c r="F12" s="25">
        <v>381.40767</v>
      </c>
      <c r="G12" s="26">
        <v>1.0959350826736001</v>
      </c>
      <c r="H12" s="28"/>
    </row>
    <row r="13" spans="1:8" x14ac:dyDescent="0.2">
      <c r="B13" s="23" t="s">
        <v>72</v>
      </c>
      <c r="C13" s="23" t="s">
        <v>73</v>
      </c>
      <c r="D13" s="23" t="s">
        <v>22</v>
      </c>
      <c r="E13" s="27">
        <v>111394</v>
      </c>
      <c r="F13" s="25">
        <v>375.73196200000001</v>
      </c>
      <c r="G13" s="26">
        <v>1.07962652884664</v>
      </c>
      <c r="H13" s="28"/>
    </row>
    <row r="14" spans="1:8" x14ac:dyDescent="0.2">
      <c r="B14" s="23" t="s">
        <v>74</v>
      </c>
      <c r="C14" s="23" t="s">
        <v>75</v>
      </c>
      <c r="D14" s="23" t="s">
        <v>10</v>
      </c>
      <c r="E14" s="27">
        <v>103812</v>
      </c>
      <c r="F14" s="25">
        <v>358.15140000000002</v>
      </c>
      <c r="G14" s="26">
        <v>1.02911062110698</v>
      </c>
      <c r="H14" s="28"/>
    </row>
    <row r="15" spans="1:8" x14ac:dyDescent="0.2">
      <c r="B15" s="23" t="s">
        <v>76</v>
      </c>
      <c r="C15" s="23" t="s">
        <v>77</v>
      </c>
      <c r="D15" s="23" t="s">
        <v>30</v>
      </c>
      <c r="E15" s="27">
        <v>32328</v>
      </c>
      <c r="F15" s="25">
        <v>333.14004</v>
      </c>
      <c r="G15" s="26">
        <v>0.95724309183212197</v>
      </c>
      <c r="H15" s="28"/>
    </row>
    <row r="16" spans="1:8" x14ac:dyDescent="0.2">
      <c r="B16" s="23" t="s">
        <v>78</v>
      </c>
      <c r="C16" s="23" t="s">
        <v>79</v>
      </c>
      <c r="D16" s="23" t="s">
        <v>22</v>
      </c>
      <c r="E16" s="27">
        <v>41346</v>
      </c>
      <c r="F16" s="25">
        <v>327.25358999999997</v>
      </c>
      <c r="G16" s="26">
        <v>0.94032899289068195</v>
      </c>
      <c r="H16" s="28"/>
    </row>
    <row r="17" spans="2:8" x14ac:dyDescent="0.2">
      <c r="B17" s="23" t="s">
        <v>80</v>
      </c>
      <c r="C17" s="23" t="s">
        <v>81</v>
      </c>
      <c r="D17" s="23" t="s">
        <v>45</v>
      </c>
      <c r="E17" s="27">
        <v>42487</v>
      </c>
      <c r="F17" s="25">
        <v>322.4125995</v>
      </c>
      <c r="G17" s="26">
        <v>0.926418912572057</v>
      </c>
      <c r="H17" s="28"/>
    </row>
    <row r="18" spans="2:8" x14ac:dyDescent="0.2">
      <c r="B18" s="23" t="s">
        <v>82</v>
      </c>
      <c r="C18" s="23" t="s">
        <v>83</v>
      </c>
      <c r="D18" s="23" t="s">
        <v>10</v>
      </c>
      <c r="E18" s="27">
        <v>153309</v>
      </c>
      <c r="F18" s="25">
        <v>319.342647</v>
      </c>
      <c r="G18" s="26">
        <v>0.91759772487310098</v>
      </c>
      <c r="H18" s="28"/>
    </row>
    <row r="19" spans="2:8" x14ac:dyDescent="0.2">
      <c r="B19" s="23" t="s">
        <v>84</v>
      </c>
      <c r="C19" s="23" t="s">
        <v>85</v>
      </c>
      <c r="D19" s="23" t="s">
        <v>10</v>
      </c>
      <c r="E19" s="27">
        <v>124197</v>
      </c>
      <c r="F19" s="25">
        <v>317.2612365</v>
      </c>
      <c r="G19" s="26">
        <v>0.91161700930858403</v>
      </c>
      <c r="H19" s="28"/>
    </row>
    <row r="20" spans="2:8" x14ac:dyDescent="0.2">
      <c r="B20" s="23" t="s">
        <v>86</v>
      </c>
      <c r="C20" s="23" t="s">
        <v>87</v>
      </c>
      <c r="D20" s="23" t="s">
        <v>45</v>
      </c>
      <c r="E20" s="27">
        <v>43555</v>
      </c>
      <c r="F20" s="25">
        <v>317.2328425</v>
      </c>
      <c r="G20" s="26">
        <v>0.91153542211675498</v>
      </c>
      <c r="H20" s="28"/>
    </row>
    <row r="21" spans="2:8" x14ac:dyDescent="0.2">
      <c r="B21" s="23" t="s">
        <v>88</v>
      </c>
      <c r="C21" s="23" t="s">
        <v>89</v>
      </c>
      <c r="D21" s="23" t="s">
        <v>11</v>
      </c>
      <c r="E21" s="27">
        <v>176155</v>
      </c>
      <c r="F21" s="25">
        <v>316.97330699999998</v>
      </c>
      <c r="G21" s="26">
        <v>0.91078967397894395</v>
      </c>
      <c r="H21" s="28"/>
    </row>
    <row r="22" spans="2:8" x14ac:dyDescent="0.2">
      <c r="B22" s="23" t="s">
        <v>90</v>
      </c>
      <c r="C22" s="23" t="s">
        <v>91</v>
      </c>
      <c r="D22" s="23" t="s">
        <v>13</v>
      </c>
      <c r="E22" s="27">
        <v>32868</v>
      </c>
      <c r="F22" s="25">
        <v>316.88038799999998</v>
      </c>
      <c r="G22" s="26">
        <v>0.91052268094247202</v>
      </c>
      <c r="H22" s="28"/>
    </row>
    <row r="23" spans="2:8" x14ac:dyDescent="0.2">
      <c r="B23" s="23" t="s">
        <v>92</v>
      </c>
      <c r="C23" s="23" t="s">
        <v>93</v>
      </c>
      <c r="D23" s="23" t="s">
        <v>26</v>
      </c>
      <c r="E23" s="27">
        <v>110511</v>
      </c>
      <c r="F23" s="25">
        <v>310.70167650000002</v>
      </c>
      <c r="G23" s="26">
        <v>0.89276879912208595</v>
      </c>
      <c r="H23" s="28"/>
    </row>
    <row r="24" spans="2:8" x14ac:dyDescent="0.2">
      <c r="B24" s="23" t="s">
        <v>94</v>
      </c>
      <c r="C24" s="23" t="s">
        <v>95</v>
      </c>
      <c r="D24" s="23" t="s">
        <v>47</v>
      </c>
      <c r="E24" s="27">
        <v>22543</v>
      </c>
      <c r="F24" s="25">
        <v>310.394567</v>
      </c>
      <c r="G24" s="26">
        <v>0.89188635206675504</v>
      </c>
      <c r="H24" s="28"/>
    </row>
    <row r="25" spans="2:8" x14ac:dyDescent="0.2">
      <c r="B25" s="23" t="s">
        <v>96</v>
      </c>
      <c r="C25" s="23" t="s">
        <v>97</v>
      </c>
      <c r="D25" s="23" t="s">
        <v>23</v>
      </c>
      <c r="E25" s="27">
        <v>13691</v>
      </c>
      <c r="F25" s="25">
        <v>308.04750000000001</v>
      </c>
      <c r="G25" s="26">
        <v>0.88514230031057095</v>
      </c>
      <c r="H25" s="28"/>
    </row>
    <row r="26" spans="2:8" x14ac:dyDescent="0.2">
      <c r="B26" s="23" t="s">
        <v>98</v>
      </c>
      <c r="C26" s="23" t="s">
        <v>99</v>
      </c>
      <c r="D26" s="23" t="s">
        <v>30</v>
      </c>
      <c r="E26" s="27">
        <v>94417</v>
      </c>
      <c r="F26" s="25">
        <v>307.23291799999998</v>
      </c>
      <c r="G26" s="26">
        <v>0.88280168405732595</v>
      </c>
      <c r="H26" s="28"/>
    </row>
    <row r="27" spans="2:8" x14ac:dyDescent="0.2">
      <c r="B27" s="23" t="s">
        <v>100</v>
      </c>
      <c r="C27" s="23" t="s">
        <v>101</v>
      </c>
      <c r="D27" s="23" t="s">
        <v>23</v>
      </c>
      <c r="E27" s="27">
        <v>14082</v>
      </c>
      <c r="F27" s="25">
        <v>305.21326800000003</v>
      </c>
      <c r="G27" s="26">
        <v>0.87699843083559104</v>
      </c>
      <c r="H27" s="28"/>
    </row>
    <row r="28" spans="2:8" x14ac:dyDescent="0.2">
      <c r="B28" s="23" t="s">
        <v>102</v>
      </c>
      <c r="C28" s="23" t="s">
        <v>103</v>
      </c>
      <c r="D28" s="23" t="s">
        <v>31</v>
      </c>
      <c r="E28" s="27">
        <v>56456</v>
      </c>
      <c r="F28" s="25">
        <v>304.12847199999999</v>
      </c>
      <c r="G28" s="26">
        <v>0.87388138289068795</v>
      </c>
      <c r="H28" s="28"/>
    </row>
    <row r="29" spans="2:8" x14ac:dyDescent="0.2">
      <c r="B29" s="23" t="s">
        <v>104</v>
      </c>
      <c r="C29" s="23" t="s">
        <v>105</v>
      </c>
      <c r="D29" s="23" t="s">
        <v>23</v>
      </c>
      <c r="E29" s="27">
        <v>14211</v>
      </c>
      <c r="F29" s="25">
        <v>288.682254</v>
      </c>
      <c r="G29" s="26">
        <v>0.82949828959624905</v>
      </c>
      <c r="H29" s="28"/>
    </row>
    <row r="30" spans="2:8" x14ac:dyDescent="0.2">
      <c r="B30" s="23" t="s">
        <v>106</v>
      </c>
      <c r="C30" s="23" t="s">
        <v>107</v>
      </c>
      <c r="D30" s="23" t="s">
        <v>26</v>
      </c>
      <c r="E30" s="27">
        <v>3749</v>
      </c>
      <c r="F30" s="25">
        <v>285.48635000000002</v>
      </c>
      <c r="G30" s="26">
        <v>0.82031519342396497</v>
      </c>
      <c r="H30" s="28"/>
    </row>
    <row r="31" spans="2:8" x14ac:dyDescent="0.2">
      <c r="B31" s="23" t="s">
        <v>108</v>
      </c>
      <c r="C31" s="23" t="s">
        <v>109</v>
      </c>
      <c r="D31" s="23" t="s">
        <v>23</v>
      </c>
      <c r="E31" s="27">
        <v>8922</v>
      </c>
      <c r="F31" s="25">
        <v>279.48165</v>
      </c>
      <c r="G31" s="26">
        <v>0.80306131546464099</v>
      </c>
      <c r="H31" s="28"/>
    </row>
    <row r="32" spans="2:8" x14ac:dyDescent="0.2">
      <c r="B32" s="23" t="s">
        <v>110</v>
      </c>
      <c r="C32" s="23" t="s">
        <v>111</v>
      </c>
      <c r="D32" s="23" t="s">
        <v>47</v>
      </c>
      <c r="E32" s="27">
        <v>14317</v>
      </c>
      <c r="F32" s="25">
        <v>276.03176000000002</v>
      </c>
      <c r="G32" s="26">
        <v>0.79314841706287298</v>
      </c>
      <c r="H32" s="28"/>
    </row>
    <row r="33" spans="2:8" x14ac:dyDescent="0.2">
      <c r="B33" s="23" t="s">
        <v>112</v>
      </c>
      <c r="C33" s="23" t="s">
        <v>113</v>
      </c>
      <c r="D33" s="23" t="s">
        <v>23</v>
      </c>
      <c r="E33" s="27">
        <v>23671</v>
      </c>
      <c r="F33" s="25">
        <v>274.58359999999999</v>
      </c>
      <c r="G33" s="26">
        <v>0.78898728063547896</v>
      </c>
      <c r="H33" s="28"/>
    </row>
    <row r="34" spans="2:8" x14ac:dyDescent="0.2">
      <c r="B34" s="23" t="s">
        <v>114</v>
      </c>
      <c r="C34" s="23" t="s">
        <v>115</v>
      </c>
      <c r="D34" s="23" t="s">
        <v>30</v>
      </c>
      <c r="E34" s="27">
        <v>17055</v>
      </c>
      <c r="F34" s="25">
        <v>269.81009999999998</v>
      </c>
      <c r="G34" s="26">
        <v>0.77527112721585201</v>
      </c>
      <c r="H34" s="28"/>
    </row>
    <row r="35" spans="2:8" x14ac:dyDescent="0.2">
      <c r="B35" s="23" t="s">
        <v>116</v>
      </c>
      <c r="C35" s="23" t="s">
        <v>117</v>
      </c>
      <c r="D35" s="23" t="s">
        <v>15</v>
      </c>
      <c r="E35" s="27">
        <v>19534</v>
      </c>
      <c r="F35" s="25">
        <v>254.9187</v>
      </c>
      <c r="G35" s="26">
        <v>0.73248224546597596</v>
      </c>
      <c r="H35" s="28"/>
    </row>
    <row r="36" spans="2:8" x14ac:dyDescent="0.2">
      <c r="B36" s="23" t="s">
        <v>118</v>
      </c>
      <c r="C36" s="23" t="s">
        <v>119</v>
      </c>
      <c r="D36" s="23" t="s">
        <v>23</v>
      </c>
      <c r="E36" s="27">
        <v>1483</v>
      </c>
      <c r="F36" s="25">
        <v>253.41504</v>
      </c>
      <c r="G36" s="26">
        <v>0.72816163558832803</v>
      </c>
      <c r="H36" s="28"/>
    </row>
    <row r="37" spans="2:8" x14ac:dyDescent="0.2">
      <c r="B37" s="23" t="s">
        <v>120</v>
      </c>
      <c r="C37" s="23" t="s">
        <v>121</v>
      </c>
      <c r="D37" s="23" t="s">
        <v>22</v>
      </c>
      <c r="E37" s="27">
        <v>7335</v>
      </c>
      <c r="F37" s="25">
        <v>253.108845</v>
      </c>
      <c r="G37" s="26">
        <v>0.727281816253181</v>
      </c>
      <c r="H37" s="28"/>
    </row>
    <row r="38" spans="2:8" x14ac:dyDescent="0.2">
      <c r="B38" s="23" t="s">
        <v>122</v>
      </c>
      <c r="C38" s="23" t="s">
        <v>123</v>
      </c>
      <c r="D38" s="23" t="s">
        <v>49</v>
      </c>
      <c r="E38" s="27">
        <v>40387</v>
      </c>
      <c r="F38" s="25">
        <v>244.9269615</v>
      </c>
      <c r="G38" s="26">
        <v>0.703772029022111</v>
      </c>
      <c r="H38" s="28"/>
    </row>
    <row r="39" spans="2:8" x14ac:dyDescent="0.2">
      <c r="B39" s="23" t="s">
        <v>124</v>
      </c>
      <c r="C39" s="23" t="s">
        <v>125</v>
      </c>
      <c r="D39" s="23" t="s">
        <v>20</v>
      </c>
      <c r="E39" s="27">
        <v>17048</v>
      </c>
      <c r="F39" s="25">
        <v>241.89407199999999</v>
      </c>
      <c r="G39" s="26">
        <v>0.69505733798057401</v>
      </c>
      <c r="H39" s="28"/>
    </row>
    <row r="40" spans="2:8" x14ac:dyDescent="0.2">
      <c r="B40" s="23" t="s">
        <v>126</v>
      </c>
      <c r="C40" s="23" t="s">
        <v>127</v>
      </c>
      <c r="D40" s="23" t="s">
        <v>30</v>
      </c>
      <c r="E40" s="27">
        <v>61191</v>
      </c>
      <c r="F40" s="25">
        <v>234.2697435</v>
      </c>
      <c r="G40" s="26">
        <v>0.67314962677754997</v>
      </c>
      <c r="H40" s="28"/>
    </row>
    <row r="41" spans="2:8" x14ac:dyDescent="0.2">
      <c r="B41" s="23" t="s">
        <v>128</v>
      </c>
      <c r="C41" s="23" t="s">
        <v>129</v>
      </c>
      <c r="D41" s="23" t="s">
        <v>30</v>
      </c>
      <c r="E41" s="27">
        <v>131777</v>
      </c>
      <c r="F41" s="25">
        <v>233.25846770000001</v>
      </c>
      <c r="G41" s="26">
        <v>0.67024383144449196</v>
      </c>
      <c r="H41" s="28"/>
    </row>
    <row r="42" spans="2:8" x14ac:dyDescent="0.2">
      <c r="B42" s="23" t="s">
        <v>130</v>
      </c>
      <c r="C42" s="23" t="s">
        <v>131</v>
      </c>
      <c r="D42" s="23" t="s">
        <v>132</v>
      </c>
      <c r="E42" s="27">
        <v>102212</v>
      </c>
      <c r="F42" s="25">
        <v>229.2921796</v>
      </c>
      <c r="G42" s="26">
        <v>0.65884711706593502</v>
      </c>
      <c r="H42" s="28"/>
    </row>
    <row r="43" spans="2:8" x14ac:dyDescent="0.2">
      <c r="B43" s="23" t="s">
        <v>133</v>
      </c>
      <c r="C43" s="23" t="s">
        <v>134</v>
      </c>
      <c r="D43" s="23" t="s">
        <v>45</v>
      </c>
      <c r="E43" s="27">
        <v>11886</v>
      </c>
      <c r="F43" s="25">
        <v>225.12083999999999</v>
      </c>
      <c r="G43" s="26">
        <v>0.64686120862999397</v>
      </c>
      <c r="H43" s="28"/>
    </row>
    <row r="44" spans="2:8" x14ac:dyDescent="0.2">
      <c r="B44" s="23" t="s">
        <v>135</v>
      </c>
      <c r="C44" s="23" t="s">
        <v>136</v>
      </c>
      <c r="D44" s="23" t="s">
        <v>47</v>
      </c>
      <c r="E44" s="27">
        <v>6172</v>
      </c>
      <c r="F44" s="25">
        <v>224.068288</v>
      </c>
      <c r="G44" s="26">
        <v>0.64383681044959495</v>
      </c>
      <c r="H44" s="28"/>
    </row>
    <row r="45" spans="2:8" x14ac:dyDescent="0.2">
      <c r="B45" s="23" t="s">
        <v>137</v>
      </c>
      <c r="C45" s="23" t="s">
        <v>138</v>
      </c>
      <c r="D45" s="23" t="s">
        <v>45</v>
      </c>
      <c r="E45" s="27">
        <v>13399</v>
      </c>
      <c r="F45" s="25">
        <v>215.37552600000001</v>
      </c>
      <c r="G45" s="26">
        <v>0.61885906723553696</v>
      </c>
      <c r="H45" s="28"/>
    </row>
    <row r="46" spans="2:8" x14ac:dyDescent="0.2">
      <c r="B46" s="23" t="s">
        <v>139</v>
      </c>
      <c r="C46" s="23" t="s">
        <v>140</v>
      </c>
      <c r="D46" s="23" t="s">
        <v>29</v>
      </c>
      <c r="E46" s="27">
        <v>40376</v>
      </c>
      <c r="F46" s="25">
        <v>213.16509199999999</v>
      </c>
      <c r="G46" s="26">
        <v>0.612507616126716</v>
      </c>
      <c r="H46" s="28"/>
    </row>
    <row r="47" spans="2:8" x14ac:dyDescent="0.2">
      <c r="B47" s="23" t="s">
        <v>141</v>
      </c>
      <c r="C47" s="23" t="s">
        <v>142</v>
      </c>
      <c r="D47" s="23" t="s">
        <v>47</v>
      </c>
      <c r="E47" s="27">
        <v>37050</v>
      </c>
      <c r="F47" s="25">
        <v>212.46322499999999</v>
      </c>
      <c r="G47" s="26">
        <v>0.61049087464726204</v>
      </c>
      <c r="H47" s="28"/>
    </row>
    <row r="48" spans="2:8" x14ac:dyDescent="0.2">
      <c r="B48" s="23" t="s">
        <v>143</v>
      </c>
      <c r="C48" s="23" t="s">
        <v>144</v>
      </c>
      <c r="D48" s="23" t="s">
        <v>58</v>
      </c>
      <c r="E48" s="27">
        <v>29545</v>
      </c>
      <c r="F48" s="25">
        <v>208.38088500000001</v>
      </c>
      <c r="G48" s="26">
        <v>0.59876069726146997</v>
      </c>
      <c r="H48" s="28"/>
    </row>
    <row r="49" spans="2:8" x14ac:dyDescent="0.2">
      <c r="B49" s="23" t="s">
        <v>145</v>
      </c>
      <c r="C49" s="23" t="s">
        <v>146</v>
      </c>
      <c r="D49" s="23" t="s">
        <v>44</v>
      </c>
      <c r="E49" s="27">
        <v>5093</v>
      </c>
      <c r="F49" s="25">
        <v>205.91508300000001</v>
      </c>
      <c r="G49" s="26">
        <v>0.59167547289058398</v>
      </c>
      <c r="H49" s="28"/>
    </row>
    <row r="50" spans="2:8" x14ac:dyDescent="0.2">
      <c r="B50" s="23" t="s">
        <v>147</v>
      </c>
      <c r="C50" s="23" t="s">
        <v>148</v>
      </c>
      <c r="D50" s="23" t="s">
        <v>22</v>
      </c>
      <c r="E50" s="27">
        <v>13239</v>
      </c>
      <c r="F50" s="25">
        <v>205.81349399999999</v>
      </c>
      <c r="G50" s="26">
        <v>0.591383567515126</v>
      </c>
      <c r="H50" s="28"/>
    </row>
    <row r="51" spans="2:8" x14ac:dyDescent="0.2">
      <c r="B51" s="23" t="s">
        <v>149</v>
      </c>
      <c r="C51" s="23" t="s">
        <v>150</v>
      </c>
      <c r="D51" s="23" t="s">
        <v>47</v>
      </c>
      <c r="E51" s="27">
        <v>19867</v>
      </c>
      <c r="F51" s="25">
        <v>204.44136349999999</v>
      </c>
      <c r="G51" s="26">
        <v>0.58744089391090504</v>
      </c>
      <c r="H51" s="28"/>
    </row>
    <row r="52" spans="2:8" x14ac:dyDescent="0.2">
      <c r="B52" s="23" t="s">
        <v>151</v>
      </c>
      <c r="C52" s="23" t="s">
        <v>152</v>
      </c>
      <c r="D52" s="23" t="s">
        <v>49</v>
      </c>
      <c r="E52" s="27">
        <v>26918</v>
      </c>
      <c r="F52" s="25">
        <v>204.03844000000001</v>
      </c>
      <c r="G52" s="26">
        <v>0.58628313533912901</v>
      </c>
      <c r="H52" s="28"/>
    </row>
    <row r="53" spans="2:8" x14ac:dyDescent="0.2">
      <c r="B53" s="23" t="s">
        <v>153</v>
      </c>
      <c r="C53" s="23" t="s">
        <v>154</v>
      </c>
      <c r="D53" s="23" t="s">
        <v>49</v>
      </c>
      <c r="E53" s="27">
        <v>11806</v>
      </c>
      <c r="F53" s="25">
        <v>198.57692</v>
      </c>
      <c r="G53" s="26">
        <v>0.57059002834753803</v>
      </c>
      <c r="H53" s="28"/>
    </row>
    <row r="54" spans="2:8" x14ac:dyDescent="0.2">
      <c r="B54" s="23" t="s">
        <v>155</v>
      </c>
      <c r="C54" s="23" t="s">
        <v>156</v>
      </c>
      <c r="D54" s="23" t="s">
        <v>16</v>
      </c>
      <c r="E54" s="27">
        <v>108462</v>
      </c>
      <c r="F54" s="25">
        <v>197.49845579999999</v>
      </c>
      <c r="G54" s="26">
        <v>0.567491174168262</v>
      </c>
      <c r="H54" s="28"/>
    </row>
    <row r="55" spans="2:8" x14ac:dyDescent="0.2">
      <c r="B55" s="23" t="s">
        <v>157</v>
      </c>
      <c r="C55" s="23" t="s">
        <v>158</v>
      </c>
      <c r="D55" s="23" t="s">
        <v>22</v>
      </c>
      <c r="E55" s="27">
        <v>22957</v>
      </c>
      <c r="F55" s="25">
        <v>196.9136675</v>
      </c>
      <c r="G55" s="26">
        <v>0.56581084609854304</v>
      </c>
      <c r="H55" s="28"/>
    </row>
    <row r="56" spans="2:8" x14ac:dyDescent="0.2">
      <c r="B56" s="23" t="s">
        <v>159</v>
      </c>
      <c r="C56" s="23" t="s">
        <v>160</v>
      </c>
      <c r="D56" s="23" t="s">
        <v>50</v>
      </c>
      <c r="E56" s="27">
        <v>120668</v>
      </c>
      <c r="F56" s="25">
        <v>193.6359396</v>
      </c>
      <c r="G56" s="26">
        <v>0.55639263750019996</v>
      </c>
      <c r="H56" s="28"/>
    </row>
    <row r="57" spans="2:8" x14ac:dyDescent="0.2">
      <c r="B57" s="23" t="s">
        <v>161</v>
      </c>
      <c r="C57" s="23" t="s">
        <v>162</v>
      </c>
      <c r="D57" s="23" t="s">
        <v>23</v>
      </c>
      <c r="E57" s="27">
        <v>24964</v>
      </c>
      <c r="F57" s="25">
        <v>193.18391399999999</v>
      </c>
      <c r="G57" s="26">
        <v>0.55509378917523899</v>
      </c>
      <c r="H57" s="28"/>
    </row>
    <row r="58" spans="2:8" x14ac:dyDescent="0.2">
      <c r="B58" s="23" t="s">
        <v>163</v>
      </c>
      <c r="C58" s="23" t="s">
        <v>164</v>
      </c>
      <c r="D58" s="23" t="s">
        <v>19</v>
      </c>
      <c r="E58" s="27">
        <v>2111</v>
      </c>
      <c r="F58" s="25">
        <v>191.55214000000001</v>
      </c>
      <c r="G58" s="26">
        <v>0.55040505710649301</v>
      </c>
      <c r="H58" s="28"/>
    </row>
    <row r="59" spans="2:8" x14ac:dyDescent="0.2">
      <c r="B59" s="23" t="s">
        <v>165</v>
      </c>
      <c r="C59" s="23" t="s">
        <v>166</v>
      </c>
      <c r="D59" s="23" t="s">
        <v>19</v>
      </c>
      <c r="E59" s="27">
        <v>1299</v>
      </c>
      <c r="F59" s="25">
        <v>190.61526000000001</v>
      </c>
      <c r="G59" s="26">
        <v>0.54771303033037899</v>
      </c>
      <c r="H59" s="28"/>
    </row>
    <row r="60" spans="2:8" x14ac:dyDescent="0.2">
      <c r="B60" s="23" t="s">
        <v>167</v>
      </c>
      <c r="C60" s="23" t="s">
        <v>168</v>
      </c>
      <c r="D60" s="23" t="s">
        <v>21</v>
      </c>
      <c r="E60" s="27">
        <v>21733</v>
      </c>
      <c r="F60" s="25">
        <v>189.337896</v>
      </c>
      <c r="G60" s="26">
        <v>0.544042658360817</v>
      </c>
      <c r="H60" s="28"/>
    </row>
    <row r="61" spans="2:8" x14ac:dyDescent="0.2">
      <c r="B61" s="23" t="s">
        <v>169</v>
      </c>
      <c r="C61" s="23" t="s">
        <v>170</v>
      </c>
      <c r="D61" s="23" t="s">
        <v>19</v>
      </c>
      <c r="E61" s="27">
        <v>20851</v>
      </c>
      <c r="F61" s="25">
        <v>188.20112599999999</v>
      </c>
      <c r="G61" s="26">
        <v>0.54077626855819205</v>
      </c>
      <c r="H61" s="28"/>
    </row>
    <row r="62" spans="2:8" x14ac:dyDescent="0.2">
      <c r="B62" s="23" t="s">
        <v>171</v>
      </c>
      <c r="C62" s="23" t="s">
        <v>172</v>
      </c>
      <c r="D62" s="23" t="s">
        <v>49</v>
      </c>
      <c r="E62" s="27">
        <v>2738</v>
      </c>
      <c r="F62" s="25">
        <v>187.70358999999999</v>
      </c>
      <c r="G62" s="26">
        <v>0.53934665085466404</v>
      </c>
      <c r="H62" s="28"/>
    </row>
    <row r="63" spans="2:8" x14ac:dyDescent="0.2">
      <c r="B63" s="23" t="s">
        <v>173</v>
      </c>
      <c r="C63" s="23" t="s">
        <v>174</v>
      </c>
      <c r="D63" s="23" t="s">
        <v>30</v>
      </c>
      <c r="E63" s="27">
        <v>40000</v>
      </c>
      <c r="F63" s="25">
        <v>186.76</v>
      </c>
      <c r="G63" s="26">
        <v>0.53663534359474496</v>
      </c>
      <c r="H63" s="28"/>
    </row>
    <row r="64" spans="2:8" x14ac:dyDescent="0.2">
      <c r="B64" s="23" t="s">
        <v>175</v>
      </c>
      <c r="C64" s="23" t="s">
        <v>176</v>
      </c>
      <c r="D64" s="23" t="s">
        <v>19</v>
      </c>
      <c r="E64" s="27">
        <v>21061</v>
      </c>
      <c r="F64" s="25">
        <v>186.621521</v>
      </c>
      <c r="G64" s="26">
        <v>0.53623743865928997</v>
      </c>
      <c r="H64" s="28"/>
    </row>
    <row r="65" spans="2:8" x14ac:dyDescent="0.2">
      <c r="B65" s="23" t="s">
        <v>177</v>
      </c>
      <c r="C65" s="23" t="s">
        <v>178</v>
      </c>
      <c r="D65" s="23" t="s">
        <v>23</v>
      </c>
      <c r="E65" s="27">
        <v>106598</v>
      </c>
      <c r="F65" s="25">
        <v>184.19068419999999</v>
      </c>
      <c r="G65" s="26">
        <v>0.52925268313674301</v>
      </c>
      <c r="H65" s="28"/>
    </row>
    <row r="66" spans="2:8" x14ac:dyDescent="0.2">
      <c r="B66" s="23" t="s">
        <v>179</v>
      </c>
      <c r="C66" s="23" t="s">
        <v>180</v>
      </c>
      <c r="D66" s="23" t="s">
        <v>16</v>
      </c>
      <c r="E66" s="27">
        <v>837530</v>
      </c>
      <c r="F66" s="25">
        <v>183.167811</v>
      </c>
      <c r="G66" s="26">
        <v>0.52631356388671202</v>
      </c>
      <c r="H66" s="28"/>
    </row>
    <row r="67" spans="2:8" x14ac:dyDescent="0.2">
      <c r="B67" s="23" t="s">
        <v>181</v>
      </c>
      <c r="C67" s="23" t="s">
        <v>182</v>
      </c>
      <c r="D67" s="23" t="s">
        <v>15</v>
      </c>
      <c r="E67" s="27">
        <v>178123</v>
      </c>
      <c r="F67" s="25">
        <v>178.58611980000001</v>
      </c>
      <c r="G67" s="26">
        <v>0.51314855300988105</v>
      </c>
      <c r="H67" s="28"/>
    </row>
    <row r="68" spans="2:8" x14ac:dyDescent="0.2">
      <c r="B68" s="23" t="s">
        <v>183</v>
      </c>
      <c r="C68" s="23" t="s">
        <v>184</v>
      </c>
      <c r="D68" s="23" t="s">
        <v>22</v>
      </c>
      <c r="E68" s="27">
        <v>136723</v>
      </c>
      <c r="F68" s="25">
        <v>175.42928130000001</v>
      </c>
      <c r="G68" s="26">
        <v>0.50407770746950498</v>
      </c>
      <c r="H68" s="28"/>
    </row>
    <row r="69" spans="2:8" x14ac:dyDescent="0.2">
      <c r="B69" s="23" t="s">
        <v>185</v>
      </c>
      <c r="C69" s="23" t="s">
        <v>186</v>
      </c>
      <c r="D69" s="23" t="s">
        <v>23</v>
      </c>
      <c r="E69" s="27">
        <v>9496</v>
      </c>
      <c r="F69" s="25">
        <v>173.264016</v>
      </c>
      <c r="G69" s="26">
        <v>0.49785604390000798</v>
      </c>
      <c r="H69" s="28"/>
    </row>
    <row r="70" spans="2:8" x14ac:dyDescent="0.2">
      <c r="B70" s="23" t="s">
        <v>187</v>
      </c>
      <c r="C70" s="23" t="s">
        <v>188</v>
      </c>
      <c r="D70" s="23" t="s">
        <v>19</v>
      </c>
      <c r="E70" s="27">
        <v>437349</v>
      </c>
      <c r="F70" s="25">
        <v>170.4349053</v>
      </c>
      <c r="G70" s="26">
        <v>0.48972688994540198</v>
      </c>
      <c r="H70" s="28"/>
    </row>
    <row r="71" spans="2:8" x14ac:dyDescent="0.2">
      <c r="B71" s="23" t="s">
        <v>189</v>
      </c>
      <c r="C71" s="23" t="s">
        <v>190</v>
      </c>
      <c r="D71" s="23" t="s">
        <v>47</v>
      </c>
      <c r="E71" s="27">
        <v>1042</v>
      </c>
      <c r="F71" s="25">
        <v>168.71021999999999</v>
      </c>
      <c r="G71" s="26">
        <v>0.48477118696533</v>
      </c>
      <c r="H71" s="28"/>
    </row>
    <row r="72" spans="2:8" x14ac:dyDescent="0.2">
      <c r="B72" s="23" t="s">
        <v>191</v>
      </c>
      <c r="C72" s="23" t="s">
        <v>192</v>
      </c>
      <c r="D72" s="23" t="s">
        <v>53</v>
      </c>
      <c r="E72" s="27">
        <v>5381</v>
      </c>
      <c r="F72" s="25">
        <v>168.61901599999999</v>
      </c>
      <c r="G72" s="26">
        <v>0.48450912180214101</v>
      </c>
      <c r="H72" s="28"/>
    </row>
    <row r="73" spans="2:8" x14ac:dyDescent="0.2">
      <c r="B73" s="23" t="s">
        <v>193</v>
      </c>
      <c r="C73" s="23" t="s">
        <v>194</v>
      </c>
      <c r="D73" s="23" t="s">
        <v>49</v>
      </c>
      <c r="E73" s="27">
        <v>35358</v>
      </c>
      <c r="F73" s="25">
        <v>167.95050000000001</v>
      </c>
      <c r="G73" s="26">
        <v>0.48258821093601001</v>
      </c>
      <c r="H73" s="28"/>
    </row>
    <row r="74" spans="2:8" x14ac:dyDescent="0.2">
      <c r="B74" s="23" t="s">
        <v>195</v>
      </c>
      <c r="C74" s="23" t="s">
        <v>196</v>
      </c>
      <c r="D74" s="23" t="s">
        <v>30</v>
      </c>
      <c r="E74" s="27">
        <v>15604</v>
      </c>
      <c r="F74" s="25">
        <v>166.213808</v>
      </c>
      <c r="G74" s="26">
        <v>0.47759800795818702</v>
      </c>
      <c r="H74" s="28"/>
    </row>
    <row r="75" spans="2:8" x14ac:dyDescent="0.2">
      <c r="B75" s="23" t="s">
        <v>197</v>
      </c>
      <c r="C75" s="23" t="s">
        <v>198</v>
      </c>
      <c r="D75" s="23" t="s">
        <v>58</v>
      </c>
      <c r="E75" s="27">
        <v>396120</v>
      </c>
      <c r="F75" s="25">
        <v>162.56764799999999</v>
      </c>
      <c r="G75" s="26">
        <v>0.46712114822161899</v>
      </c>
      <c r="H75" s="28"/>
    </row>
    <row r="76" spans="2:8" x14ac:dyDescent="0.2">
      <c r="B76" s="23" t="s">
        <v>199</v>
      </c>
      <c r="C76" s="23" t="s">
        <v>200</v>
      </c>
      <c r="D76" s="23" t="s">
        <v>49</v>
      </c>
      <c r="E76" s="27">
        <v>11526</v>
      </c>
      <c r="F76" s="25">
        <v>162.52812599999999</v>
      </c>
      <c r="G76" s="26">
        <v>0.46700758588466501</v>
      </c>
      <c r="H76" s="28"/>
    </row>
    <row r="77" spans="2:8" x14ac:dyDescent="0.2">
      <c r="B77" s="23" t="s">
        <v>201</v>
      </c>
      <c r="C77" s="23" t="s">
        <v>202</v>
      </c>
      <c r="D77" s="23" t="s">
        <v>50</v>
      </c>
      <c r="E77" s="27">
        <v>21585</v>
      </c>
      <c r="F77" s="25">
        <v>161.5529325</v>
      </c>
      <c r="G77" s="26">
        <v>0.46420546927005901</v>
      </c>
      <c r="H77" s="28"/>
    </row>
    <row r="78" spans="2:8" x14ac:dyDescent="0.2">
      <c r="B78" s="23" t="s">
        <v>203</v>
      </c>
      <c r="C78" s="23" t="s">
        <v>204</v>
      </c>
      <c r="D78" s="23" t="s">
        <v>13</v>
      </c>
      <c r="E78" s="27">
        <v>828</v>
      </c>
      <c r="F78" s="25">
        <v>161.23643999999999</v>
      </c>
      <c r="G78" s="26">
        <v>0.46329606114475003</v>
      </c>
      <c r="H78" s="28"/>
    </row>
    <row r="79" spans="2:8" x14ac:dyDescent="0.2">
      <c r="B79" s="23" t="s">
        <v>205</v>
      </c>
      <c r="C79" s="23" t="s">
        <v>206</v>
      </c>
      <c r="D79" s="23" t="s">
        <v>58</v>
      </c>
      <c r="E79" s="27">
        <v>10907</v>
      </c>
      <c r="F79" s="25">
        <v>159.56941</v>
      </c>
      <c r="G79" s="26">
        <v>0.458506024644253</v>
      </c>
      <c r="H79" s="28"/>
    </row>
    <row r="80" spans="2:8" x14ac:dyDescent="0.2">
      <c r="B80" s="23" t="s">
        <v>207</v>
      </c>
      <c r="C80" s="23" t="s">
        <v>208</v>
      </c>
      <c r="D80" s="23" t="s">
        <v>47</v>
      </c>
      <c r="E80" s="27">
        <v>19385</v>
      </c>
      <c r="F80" s="25">
        <v>159.46100999999999</v>
      </c>
      <c r="G80" s="26">
        <v>0.458194548572045</v>
      </c>
      <c r="H80" s="28"/>
    </row>
    <row r="81" spans="2:8" x14ac:dyDescent="0.2">
      <c r="B81" s="23" t="s">
        <v>209</v>
      </c>
      <c r="C81" s="23" t="s">
        <v>210</v>
      </c>
      <c r="D81" s="23" t="s">
        <v>30</v>
      </c>
      <c r="E81" s="27">
        <v>60935</v>
      </c>
      <c r="F81" s="25">
        <v>158.61380500000001</v>
      </c>
      <c r="G81" s="26">
        <v>0.45576019353739999</v>
      </c>
      <c r="H81" s="28"/>
    </row>
    <row r="82" spans="2:8" x14ac:dyDescent="0.2">
      <c r="B82" s="23" t="s">
        <v>211</v>
      </c>
      <c r="C82" s="23" t="s">
        <v>212</v>
      </c>
      <c r="D82" s="23" t="s">
        <v>47</v>
      </c>
      <c r="E82" s="27">
        <v>31340</v>
      </c>
      <c r="F82" s="25">
        <v>158.59607</v>
      </c>
      <c r="G82" s="26">
        <v>0.455709233868206</v>
      </c>
      <c r="H82" s="28"/>
    </row>
    <row r="83" spans="2:8" x14ac:dyDescent="0.2">
      <c r="B83" s="23" t="s">
        <v>213</v>
      </c>
      <c r="C83" s="23" t="s">
        <v>214</v>
      </c>
      <c r="D83" s="23" t="s">
        <v>23</v>
      </c>
      <c r="E83" s="27">
        <v>15432</v>
      </c>
      <c r="F83" s="25">
        <v>156.77368799999999</v>
      </c>
      <c r="G83" s="26">
        <v>0.45047280962998199</v>
      </c>
      <c r="H83" s="28"/>
    </row>
    <row r="84" spans="2:8" x14ac:dyDescent="0.2">
      <c r="B84" s="23" t="s">
        <v>215</v>
      </c>
      <c r="C84" s="23" t="s">
        <v>216</v>
      </c>
      <c r="D84" s="23" t="s">
        <v>52</v>
      </c>
      <c r="E84" s="27">
        <v>23906</v>
      </c>
      <c r="F84" s="25">
        <v>155.95079100000001</v>
      </c>
      <c r="G84" s="26">
        <v>0.44810830109315303</v>
      </c>
      <c r="H84" s="28"/>
    </row>
    <row r="85" spans="2:8" x14ac:dyDescent="0.2">
      <c r="B85" s="23" t="s">
        <v>217</v>
      </c>
      <c r="C85" s="23" t="s">
        <v>218</v>
      </c>
      <c r="D85" s="23" t="s">
        <v>33</v>
      </c>
      <c r="E85" s="27">
        <v>165878</v>
      </c>
      <c r="F85" s="25">
        <v>154.29971560000001</v>
      </c>
      <c r="G85" s="26">
        <v>0.44336410846850199</v>
      </c>
      <c r="H85" s="28"/>
    </row>
    <row r="86" spans="2:8" x14ac:dyDescent="0.2">
      <c r="B86" s="23" t="s">
        <v>219</v>
      </c>
      <c r="C86" s="23" t="s">
        <v>220</v>
      </c>
      <c r="D86" s="23" t="s">
        <v>26</v>
      </c>
      <c r="E86" s="27">
        <v>14243</v>
      </c>
      <c r="F86" s="25">
        <v>152.77041800000001</v>
      </c>
      <c r="G86" s="26">
        <v>0.43896983162638098</v>
      </c>
      <c r="H86" s="28"/>
    </row>
    <row r="87" spans="2:8" x14ac:dyDescent="0.2">
      <c r="B87" s="23" t="s">
        <v>221</v>
      </c>
      <c r="C87" s="23" t="s">
        <v>222</v>
      </c>
      <c r="D87" s="23" t="s">
        <v>12</v>
      </c>
      <c r="E87" s="27">
        <v>83077</v>
      </c>
      <c r="F87" s="25">
        <v>152.21367939999999</v>
      </c>
      <c r="G87" s="26">
        <v>0.43737010143841998</v>
      </c>
      <c r="H87" s="28"/>
    </row>
    <row r="88" spans="2:8" x14ac:dyDescent="0.2">
      <c r="B88" s="23" t="s">
        <v>223</v>
      </c>
      <c r="C88" s="23" t="s">
        <v>224</v>
      </c>
      <c r="D88" s="23" t="s">
        <v>30</v>
      </c>
      <c r="E88" s="27">
        <v>33313</v>
      </c>
      <c r="F88" s="25">
        <v>148.29281950000001</v>
      </c>
      <c r="G88" s="26">
        <v>0.42610392024532001</v>
      </c>
      <c r="H88" s="28"/>
    </row>
    <row r="89" spans="2:8" x14ac:dyDescent="0.2">
      <c r="B89" s="23" t="s">
        <v>225</v>
      </c>
      <c r="C89" s="23" t="s">
        <v>226</v>
      </c>
      <c r="D89" s="23" t="s">
        <v>47</v>
      </c>
      <c r="E89" s="27">
        <v>13022</v>
      </c>
      <c r="F89" s="25">
        <v>147.968986</v>
      </c>
      <c r="G89" s="26">
        <v>0.42517341852364499</v>
      </c>
      <c r="H89" s="28"/>
    </row>
    <row r="90" spans="2:8" x14ac:dyDescent="0.2">
      <c r="B90" s="23" t="s">
        <v>227</v>
      </c>
      <c r="C90" s="23" t="s">
        <v>228</v>
      </c>
      <c r="D90" s="23" t="s">
        <v>33</v>
      </c>
      <c r="E90" s="27">
        <v>19838</v>
      </c>
      <c r="F90" s="25">
        <v>147.09877</v>
      </c>
      <c r="G90" s="26">
        <v>0.42267294378514902</v>
      </c>
      <c r="H90" s="28"/>
    </row>
    <row r="91" spans="2:8" x14ac:dyDescent="0.2">
      <c r="B91" s="23" t="s">
        <v>229</v>
      </c>
      <c r="C91" s="23" t="s">
        <v>230</v>
      </c>
      <c r="D91" s="23" t="s">
        <v>231</v>
      </c>
      <c r="E91" s="27">
        <v>157949</v>
      </c>
      <c r="F91" s="25">
        <v>147.06631390000001</v>
      </c>
      <c r="G91" s="26">
        <v>0.42257968457345901</v>
      </c>
      <c r="H91" s="28"/>
    </row>
    <row r="92" spans="2:8" x14ac:dyDescent="0.2">
      <c r="B92" s="23" t="s">
        <v>232</v>
      </c>
      <c r="C92" s="23" t="s">
        <v>233</v>
      </c>
      <c r="D92" s="23" t="s">
        <v>15</v>
      </c>
      <c r="E92" s="27">
        <v>682519</v>
      </c>
      <c r="F92" s="25">
        <v>144.4210204</v>
      </c>
      <c r="G92" s="26">
        <v>0.41497871013416998</v>
      </c>
      <c r="H92" s="28"/>
    </row>
    <row r="93" spans="2:8" x14ac:dyDescent="0.2">
      <c r="B93" s="23" t="s">
        <v>234</v>
      </c>
      <c r="C93" s="23" t="s">
        <v>235</v>
      </c>
      <c r="D93" s="23" t="s">
        <v>45</v>
      </c>
      <c r="E93" s="27">
        <v>32643</v>
      </c>
      <c r="F93" s="25">
        <v>144.28206</v>
      </c>
      <c r="G93" s="26">
        <v>0.41457942194612102</v>
      </c>
      <c r="H93" s="28"/>
    </row>
    <row r="94" spans="2:8" x14ac:dyDescent="0.2">
      <c r="B94" s="23" t="s">
        <v>236</v>
      </c>
      <c r="C94" s="23" t="s">
        <v>237</v>
      </c>
      <c r="D94" s="23" t="s">
        <v>53</v>
      </c>
      <c r="E94" s="27">
        <v>13227</v>
      </c>
      <c r="F94" s="25">
        <v>143.98250849999999</v>
      </c>
      <c r="G94" s="26">
        <v>0.41371869201397898</v>
      </c>
      <c r="H94" s="28"/>
    </row>
    <row r="95" spans="2:8" x14ac:dyDescent="0.2">
      <c r="B95" s="23" t="s">
        <v>238</v>
      </c>
      <c r="C95" s="23" t="s">
        <v>239</v>
      </c>
      <c r="D95" s="23" t="s">
        <v>132</v>
      </c>
      <c r="E95" s="27">
        <v>54652</v>
      </c>
      <c r="F95" s="25">
        <v>143.58719959999999</v>
      </c>
      <c r="G95" s="26">
        <v>0.41258281319957801</v>
      </c>
      <c r="H95" s="28"/>
    </row>
    <row r="96" spans="2:8" x14ac:dyDescent="0.2">
      <c r="B96" s="23" t="s">
        <v>240</v>
      </c>
      <c r="C96" s="23" t="s">
        <v>241</v>
      </c>
      <c r="D96" s="23" t="s">
        <v>13</v>
      </c>
      <c r="E96" s="27">
        <v>345615</v>
      </c>
      <c r="F96" s="25">
        <v>143.39566350000001</v>
      </c>
      <c r="G96" s="26">
        <v>0.41203245423173601</v>
      </c>
      <c r="H96" s="28"/>
    </row>
    <row r="97" spans="2:8" x14ac:dyDescent="0.2">
      <c r="B97" s="23" t="s">
        <v>242</v>
      </c>
      <c r="C97" s="23" t="s">
        <v>243</v>
      </c>
      <c r="D97" s="23" t="s">
        <v>58</v>
      </c>
      <c r="E97" s="27">
        <v>8515</v>
      </c>
      <c r="F97" s="25">
        <v>142.67733999999999</v>
      </c>
      <c r="G97" s="26">
        <v>0.409968426719235</v>
      </c>
      <c r="H97" s="28"/>
    </row>
    <row r="98" spans="2:8" x14ac:dyDescent="0.2">
      <c r="B98" s="23" t="s">
        <v>244</v>
      </c>
      <c r="C98" s="23" t="s">
        <v>245</v>
      </c>
      <c r="D98" s="23" t="s">
        <v>16</v>
      </c>
      <c r="E98" s="27">
        <v>23865</v>
      </c>
      <c r="F98" s="25">
        <v>141.42399</v>
      </c>
      <c r="G98" s="26">
        <v>0.40636705646921101</v>
      </c>
      <c r="H98" s="28"/>
    </row>
    <row r="99" spans="2:8" x14ac:dyDescent="0.2">
      <c r="B99" s="23" t="s">
        <v>246</v>
      </c>
      <c r="C99" s="23" t="s">
        <v>247</v>
      </c>
      <c r="D99" s="23" t="s">
        <v>23</v>
      </c>
      <c r="E99" s="27">
        <v>13848</v>
      </c>
      <c r="F99" s="25">
        <v>137.7876</v>
      </c>
      <c r="G99" s="26">
        <v>0.39591826980667899</v>
      </c>
      <c r="H99" s="28"/>
    </row>
    <row r="100" spans="2:8" x14ac:dyDescent="0.2">
      <c r="B100" s="23" t="s">
        <v>248</v>
      </c>
      <c r="C100" s="23" t="s">
        <v>249</v>
      </c>
      <c r="D100" s="23" t="s">
        <v>16</v>
      </c>
      <c r="E100" s="27">
        <v>496398</v>
      </c>
      <c r="F100" s="25">
        <v>137.20440719999999</v>
      </c>
      <c r="G100" s="26">
        <v>0.39424252623947997</v>
      </c>
      <c r="H100" s="28"/>
    </row>
    <row r="101" spans="2:8" x14ac:dyDescent="0.2">
      <c r="B101" s="23" t="s">
        <v>250</v>
      </c>
      <c r="C101" s="23" t="s">
        <v>251</v>
      </c>
      <c r="D101" s="23" t="s">
        <v>51</v>
      </c>
      <c r="E101" s="27">
        <v>33893</v>
      </c>
      <c r="F101" s="25">
        <v>135.266963</v>
      </c>
      <c r="G101" s="26">
        <v>0.38867548279354602</v>
      </c>
      <c r="H101" s="28"/>
    </row>
    <row r="102" spans="2:8" x14ac:dyDescent="0.2">
      <c r="B102" s="23" t="s">
        <v>252</v>
      </c>
      <c r="C102" s="23" t="s">
        <v>253</v>
      </c>
      <c r="D102" s="23" t="s">
        <v>52</v>
      </c>
      <c r="E102" s="27">
        <v>26250</v>
      </c>
      <c r="F102" s="25">
        <v>134.96437499999999</v>
      </c>
      <c r="G102" s="26">
        <v>0.38780602779596801</v>
      </c>
      <c r="H102" s="28"/>
    </row>
    <row r="103" spans="2:8" x14ac:dyDescent="0.2">
      <c r="B103" s="23" t="s">
        <v>254</v>
      </c>
      <c r="C103" s="23" t="s">
        <v>255</v>
      </c>
      <c r="D103" s="23" t="s">
        <v>44</v>
      </c>
      <c r="E103" s="27">
        <v>5039</v>
      </c>
      <c r="F103" s="25">
        <v>133.775372</v>
      </c>
      <c r="G103" s="26">
        <v>0.38438955192618801</v>
      </c>
      <c r="H103" s="28"/>
    </row>
    <row r="104" spans="2:8" x14ac:dyDescent="0.2">
      <c r="B104" s="23" t="s">
        <v>256</v>
      </c>
      <c r="C104" s="23" t="s">
        <v>257</v>
      </c>
      <c r="D104" s="23" t="s">
        <v>17</v>
      </c>
      <c r="E104" s="27">
        <v>17685</v>
      </c>
      <c r="F104" s="25">
        <v>133.59249</v>
      </c>
      <c r="G104" s="26">
        <v>0.38386405961034198</v>
      </c>
      <c r="H104" s="28"/>
    </row>
    <row r="105" spans="2:8" x14ac:dyDescent="0.2">
      <c r="B105" s="23" t="s">
        <v>258</v>
      </c>
      <c r="C105" s="23" t="s">
        <v>259</v>
      </c>
      <c r="D105" s="23" t="s">
        <v>26</v>
      </c>
      <c r="E105" s="27">
        <v>27652</v>
      </c>
      <c r="F105" s="25">
        <v>133.43472600000001</v>
      </c>
      <c r="G105" s="26">
        <v>0.383410741242668</v>
      </c>
      <c r="H105" s="28"/>
    </row>
    <row r="106" spans="2:8" x14ac:dyDescent="0.2">
      <c r="B106" s="23" t="s">
        <v>260</v>
      </c>
      <c r="C106" s="23" t="s">
        <v>261</v>
      </c>
      <c r="D106" s="23" t="s">
        <v>22</v>
      </c>
      <c r="E106" s="27">
        <v>12519</v>
      </c>
      <c r="F106" s="25">
        <v>133.20215999999999</v>
      </c>
      <c r="G106" s="26">
        <v>0.38274248714479697</v>
      </c>
      <c r="H106" s="28"/>
    </row>
    <row r="107" spans="2:8" x14ac:dyDescent="0.2">
      <c r="B107" s="23" t="s">
        <v>262</v>
      </c>
      <c r="C107" s="23" t="s">
        <v>263</v>
      </c>
      <c r="D107" s="23" t="s">
        <v>58</v>
      </c>
      <c r="E107" s="27">
        <v>2849</v>
      </c>
      <c r="F107" s="25">
        <v>133.068243</v>
      </c>
      <c r="G107" s="26">
        <v>0.382357690639613</v>
      </c>
      <c r="H107" s="28"/>
    </row>
    <row r="108" spans="2:8" x14ac:dyDescent="0.2">
      <c r="B108" s="23" t="s">
        <v>264</v>
      </c>
      <c r="C108" s="23" t="s">
        <v>265</v>
      </c>
      <c r="D108" s="23" t="s">
        <v>58</v>
      </c>
      <c r="E108" s="27">
        <v>14568</v>
      </c>
      <c r="F108" s="25">
        <v>132.31386000000001</v>
      </c>
      <c r="G108" s="26">
        <v>0.380190049922076</v>
      </c>
      <c r="H108" s="28"/>
    </row>
    <row r="109" spans="2:8" x14ac:dyDescent="0.2">
      <c r="B109" s="23" t="s">
        <v>266</v>
      </c>
      <c r="C109" s="23" t="s">
        <v>267</v>
      </c>
      <c r="D109" s="23" t="s">
        <v>23</v>
      </c>
      <c r="E109" s="27">
        <v>9449</v>
      </c>
      <c r="F109" s="25">
        <v>132.19150999999999</v>
      </c>
      <c r="G109" s="26">
        <v>0.37983848998264202</v>
      </c>
      <c r="H109" s="28"/>
    </row>
    <row r="110" spans="2:8" x14ac:dyDescent="0.2">
      <c r="B110" s="23" t="s">
        <v>268</v>
      </c>
      <c r="C110" s="23" t="s">
        <v>269</v>
      </c>
      <c r="D110" s="23" t="s">
        <v>44</v>
      </c>
      <c r="E110" s="27">
        <v>7931</v>
      </c>
      <c r="F110" s="25">
        <v>132.02735699999999</v>
      </c>
      <c r="G110" s="26">
        <v>0.37936681349111701</v>
      </c>
      <c r="H110" s="28"/>
    </row>
    <row r="111" spans="2:8" x14ac:dyDescent="0.2">
      <c r="B111" s="23" t="s">
        <v>270</v>
      </c>
      <c r="C111" s="23" t="s">
        <v>271</v>
      </c>
      <c r="D111" s="23" t="s">
        <v>30</v>
      </c>
      <c r="E111" s="27">
        <v>66489</v>
      </c>
      <c r="F111" s="25">
        <v>131.88758039999999</v>
      </c>
      <c r="G111" s="26">
        <v>0.378965180037661</v>
      </c>
      <c r="H111" s="28"/>
    </row>
    <row r="112" spans="2:8" x14ac:dyDescent="0.2">
      <c r="B112" s="23" t="s">
        <v>272</v>
      </c>
      <c r="C112" s="23" t="s">
        <v>273</v>
      </c>
      <c r="D112" s="23" t="s">
        <v>33</v>
      </c>
      <c r="E112" s="27">
        <v>10065</v>
      </c>
      <c r="F112" s="25">
        <v>131.73071999999999</v>
      </c>
      <c r="G112" s="26">
        <v>0.37851445807015999</v>
      </c>
      <c r="H112" s="28"/>
    </row>
    <row r="113" spans="2:8" x14ac:dyDescent="0.2">
      <c r="B113" s="23" t="s">
        <v>274</v>
      </c>
      <c r="C113" s="23" t="s">
        <v>275</v>
      </c>
      <c r="D113" s="23" t="s">
        <v>46</v>
      </c>
      <c r="E113" s="27">
        <v>12142</v>
      </c>
      <c r="F113" s="25">
        <v>127.95239599999999</v>
      </c>
      <c r="G113" s="26">
        <v>0.36765783889072001</v>
      </c>
      <c r="H113" s="28"/>
    </row>
    <row r="114" spans="2:8" x14ac:dyDescent="0.2">
      <c r="B114" s="23" t="s">
        <v>276</v>
      </c>
      <c r="C114" s="23" t="s">
        <v>277</v>
      </c>
      <c r="D114" s="23" t="s">
        <v>29</v>
      </c>
      <c r="E114" s="27">
        <v>41400</v>
      </c>
      <c r="F114" s="25">
        <v>126.477</v>
      </c>
      <c r="G114" s="26">
        <v>0.363418442663486</v>
      </c>
      <c r="H114" s="28"/>
    </row>
    <row r="115" spans="2:8" x14ac:dyDescent="0.2">
      <c r="B115" s="23" t="s">
        <v>278</v>
      </c>
      <c r="C115" s="23" t="s">
        <v>279</v>
      </c>
      <c r="D115" s="23" t="s">
        <v>24</v>
      </c>
      <c r="E115" s="27">
        <v>7260</v>
      </c>
      <c r="F115" s="25">
        <v>125.97552</v>
      </c>
      <c r="G115" s="26">
        <v>0.361977492288106</v>
      </c>
      <c r="H115" s="28"/>
    </row>
    <row r="116" spans="2:8" x14ac:dyDescent="0.2">
      <c r="B116" s="23" t="s">
        <v>280</v>
      </c>
      <c r="C116" s="23" t="s">
        <v>281</v>
      </c>
      <c r="D116" s="23" t="s">
        <v>47</v>
      </c>
      <c r="E116" s="27">
        <v>42184</v>
      </c>
      <c r="F116" s="25">
        <v>121.51101199999999</v>
      </c>
      <c r="G116" s="26">
        <v>0.34914919509083903</v>
      </c>
      <c r="H116" s="28"/>
    </row>
    <row r="117" spans="2:8" x14ac:dyDescent="0.2">
      <c r="B117" s="23" t="s">
        <v>282</v>
      </c>
      <c r="C117" s="23" t="s">
        <v>283</v>
      </c>
      <c r="D117" s="23" t="s">
        <v>23</v>
      </c>
      <c r="E117" s="27">
        <v>27990</v>
      </c>
      <c r="F117" s="25">
        <v>120.77685</v>
      </c>
      <c r="G117" s="26">
        <v>0.347039657303711</v>
      </c>
      <c r="H117" s="28"/>
    </row>
    <row r="118" spans="2:8" x14ac:dyDescent="0.2">
      <c r="B118" s="23" t="s">
        <v>284</v>
      </c>
      <c r="C118" s="23" t="s">
        <v>285</v>
      </c>
      <c r="D118" s="23" t="s">
        <v>55</v>
      </c>
      <c r="E118" s="27">
        <v>25855</v>
      </c>
      <c r="F118" s="25">
        <v>120.58772</v>
      </c>
      <c r="G118" s="26">
        <v>0.34649621201278102</v>
      </c>
      <c r="H118" s="28"/>
    </row>
    <row r="119" spans="2:8" x14ac:dyDescent="0.2">
      <c r="B119" s="23" t="s">
        <v>286</v>
      </c>
      <c r="C119" s="23" t="s">
        <v>287</v>
      </c>
      <c r="D119" s="23" t="s">
        <v>30</v>
      </c>
      <c r="E119" s="27">
        <v>9307</v>
      </c>
      <c r="F119" s="25">
        <v>120.572185</v>
      </c>
      <c r="G119" s="26">
        <v>0.34645157381368702</v>
      </c>
      <c r="H119" s="28"/>
    </row>
    <row r="120" spans="2:8" x14ac:dyDescent="0.2">
      <c r="B120" s="23" t="s">
        <v>288</v>
      </c>
      <c r="C120" s="23" t="s">
        <v>289</v>
      </c>
      <c r="D120" s="23" t="s">
        <v>30</v>
      </c>
      <c r="E120" s="27">
        <v>14496</v>
      </c>
      <c r="F120" s="25">
        <v>120.266064</v>
      </c>
      <c r="G120" s="26">
        <v>0.34557196710980698</v>
      </c>
      <c r="H120" s="28"/>
    </row>
    <row r="121" spans="2:8" x14ac:dyDescent="0.2">
      <c r="B121" s="23" t="s">
        <v>290</v>
      </c>
      <c r="C121" s="23" t="s">
        <v>291</v>
      </c>
      <c r="D121" s="23" t="s">
        <v>19</v>
      </c>
      <c r="E121" s="27">
        <v>10905</v>
      </c>
      <c r="F121" s="25">
        <v>119.96590500000001</v>
      </c>
      <c r="G121" s="26">
        <v>0.344709491589899</v>
      </c>
      <c r="H121" s="28"/>
    </row>
    <row r="122" spans="2:8" x14ac:dyDescent="0.2">
      <c r="B122" s="23" t="s">
        <v>292</v>
      </c>
      <c r="C122" s="23" t="s">
        <v>293</v>
      </c>
      <c r="D122" s="23" t="s">
        <v>23</v>
      </c>
      <c r="E122" s="27">
        <v>2606</v>
      </c>
      <c r="F122" s="25">
        <v>119.83691</v>
      </c>
      <c r="G122" s="26">
        <v>0.34433883793736603</v>
      </c>
      <c r="H122" s="28"/>
    </row>
    <row r="123" spans="2:8" x14ac:dyDescent="0.2">
      <c r="B123" s="23" t="s">
        <v>294</v>
      </c>
      <c r="C123" s="23" t="s">
        <v>295</v>
      </c>
      <c r="D123" s="23" t="s">
        <v>45</v>
      </c>
      <c r="E123" s="27">
        <v>8592</v>
      </c>
      <c r="F123" s="25">
        <v>118.595376</v>
      </c>
      <c r="G123" s="26">
        <v>0.340771419728571</v>
      </c>
      <c r="H123" s="28"/>
    </row>
    <row r="124" spans="2:8" x14ac:dyDescent="0.2">
      <c r="B124" s="23" t="s">
        <v>296</v>
      </c>
      <c r="C124" s="23" t="s">
        <v>297</v>
      </c>
      <c r="D124" s="23" t="s">
        <v>231</v>
      </c>
      <c r="E124" s="27">
        <v>12271</v>
      </c>
      <c r="F124" s="25">
        <v>118.12064599999999</v>
      </c>
      <c r="G124" s="26">
        <v>0.33940733268281897</v>
      </c>
      <c r="H124" s="28"/>
    </row>
    <row r="125" spans="2:8" x14ac:dyDescent="0.2">
      <c r="B125" s="23" t="s">
        <v>298</v>
      </c>
      <c r="C125" s="23" t="s">
        <v>299</v>
      </c>
      <c r="D125" s="23" t="s">
        <v>47</v>
      </c>
      <c r="E125" s="27">
        <v>12082</v>
      </c>
      <c r="F125" s="25">
        <v>117.60014700000001</v>
      </c>
      <c r="G125" s="26">
        <v>0.33791173319842299</v>
      </c>
      <c r="H125" s="28"/>
    </row>
    <row r="126" spans="2:8" x14ac:dyDescent="0.2">
      <c r="B126" s="23" t="s">
        <v>300</v>
      </c>
      <c r="C126" s="23" t="s">
        <v>301</v>
      </c>
      <c r="D126" s="23" t="s">
        <v>19</v>
      </c>
      <c r="E126" s="27">
        <v>3602</v>
      </c>
      <c r="F126" s="25">
        <v>116.74082</v>
      </c>
      <c r="G126" s="26">
        <v>0.33544254686352698</v>
      </c>
      <c r="H126" s="28"/>
    </row>
    <row r="127" spans="2:8" x14ac:dyDescent="0.2">
      <c r="B127" s="23" t="s">
        <v>302</v>
      </c>
      <c r="C127" s="23" t="s">
        <v>303</v>
      </c>
      <c r="D127" s="23" t="s">
        <v>47</v>
      </c>
      <c r="E127" s="27">
        <v>5647</v>
      </c>
      <c r="F127" s="25">
        <v>116.11926099999999</v>
      </c>
      <c r="G127" s="26">
        <v>0.33365656202989302</v>
      </c>
      <c r="H127" s="28"/>
    </row>
    <row r="128" spans="2:8" x14ac:dyDescent="0.2">
      <c r="B128" s="23" t="s">
        <v>304</v>
      </c>
      <c r="C128" s="23" t="s">
        <v>305</v>
      </c>
      <c r="D128" s="23" t="s">
        <v>53</v>
      </c>
      <c r="E128" s="27">
        <v>13782</v>
      </c>
      <c r="F128" s="25">
        <v>113.859993</v>
      </c>
      <c r="G128" s="26">
        <v>0.32716479152522099</v>
      </c>
      <c r="H128" s="28"/>
    </row>
    <row r="129" spans="2:8" x14ac:dyDescent="0.2">
      <c r="B129" s="23" t="s">
        <v>306</v>
      </c>
      <c r="C129" s="23" t="s">
        <v>307</v>
      </c>
      <c r="D129" s="23" t="s">
        <v>25</v>
      </c>
      <c r="E129" s="27">
        <v>6578</v>
      </c>
      <c r="F129" s="25">
        <v>113.29947199999999</v>
      </c>
      <c r="G129" s="26">
        <v>0.32555419300612098</v>
      </c>
      <c r="H129" s="28"/>
    </row>
    <row r="130" spans="2:8" x14ac:dyDescent="0.2">
      <c r="B130" s="23" t="s">
        <v>308</v>
      </c>
      <c r="C130" s="23" t="s">
        <v>309</v>
      </c>
      <c r="D130" s="23" t="s">
        <v>51</v>
      </c>
      <c r="E130" s="27">
        <v>1399</v>
      </c>
      <c r="F130" s="25">
        <v>112.150835</v>
      </c>
      <c r="G130" s="26">
        <v>0.32225370461909703</v>
      </c>
      <c r="H130" s="28"/>
    </row>
    <row r="131" spans="2:8" x14ac:dyDescent="0.2">
      <c r="B131" s="23" t="s">
        <v>310</v>
      </c>
      <c r="C131" s="23" t="s">
        <v>311</v>
      </c>
      <c r="D131" s="23" t="s">
        <v>52</v>
      </c>
      <c r="E131" s="27">
        <v>9003</v>
      </c>
      <c r="F131" s="25">
        <v>111.979314</v>
      </c>
      <c r="G131" s="26">
        <v>0.321760856949528</v>
      </c>
      <c r="H131" s="28"/>
    </row>
    <row r="132" spans="2:8" x14ac:dyDescent="0.2">
      <c r="B132" s="23" t="s">
        <v>312</v>
      </c>
      <c r="C132" s="23" t="s">
        <v>313</v>
      </c>
      <c r="D132" s="23" t="s">
        <v>15</v>
      </c>
      <c r="E132" s="27">
        <v>22311</v>
      </c>
      <c r="F132" s="25">
        <v>111.4769115</v>
      </c>
      <c r="G132" s="26">
        <v>0.32031725586679999</v>
      </c>
      <c r="H132" s="28"/>
    </row>
    <row r="133" spans="2:8" x14ac:dyDescent="0.2">
      <c r="B133" s="23" t="s">
        <v>314</v>
      </c>
      <c r="C133" s="23" t="s">
        <v>315</v>
      </c>
      <c r="D133" s="23" t="s">
        <v>19</v>
      </c>
      <c r="E133" s="27">
        <v>51494</v>
      </c>
      <c r="F133" s="25">
        <v>111.4639124</v>
      </c>
      <c r="G133" s="26">
        <v>0.320279904311355</v>
      </c>
      <c r="H133" s="28"/>
    </row>
    <row r="134" spans="2:8" x14ac:dyDescent="0.2">
      <c r="B134" s="23" t="s">
        <v>316</v>
      </c>
      <c r="C134" s="23" t="s">
        <v>317</v>
      </c>
      <c r="D134" s="23" t="s">
        <v>45</v>
      </c>
      <c r="E134" s="27">
        <v>8412</v>
      </c>
      <c r="F134" s="25">
        <v>110.07102</v>
      </c>
      <c r="G134" s="26">
        <v>0.31627757355710001</v>
      </c>
      <c r="H134" s="28"/>
    </row>
    <row r="135" spans="2:8" x14ac:dyDescent="0.2">
      <c r="B135" s="23" t="s">
        <v>318</v>
      </c>
      <c r="C135" s="23" t="s">
        <v>319</v>
      </c>
      <c r="D135" s="23" t="s">
        <v>15</v>
      </c>
      <c r="E135" s="27">
        <v>47116</v>
      </c>
      <c r="F135" s="25">
        <v>109.167772</v>
      </c>
      <c r="G135" s="26">
        <v>0.31368218481844501</v>
      </c>
      <c r="H135" s="28"/>
    </row>
    <row r="136" spans="2:8" x14ac:dyDescent="0.2">
      <c r="B136" s="23" t="s">
        <v>320</v>
      </c>
      <c r="C136" s="23" t="s">
        <v>321</v>
      </c>
      <c r="D136" s="23" t="s">
        <v>52</v>
      </c>
      <c r="E136" s="27">
        <v>7660</v>
      </c>
      <c r="F136" s="25">
        <v>108.61879999999999</v>
      </c>
      <c r="G136" s="26">
        <v>0.312104771143976</v>
      </c>
      <c r="H136" s="28"/>
    </row>
    <row r="137" spans="2:8" x14ac:dyDescent="0.2">
      <c r="B137" s="23" t="s">
        <v>322</v>
      </c>
      <c r="C137" s="23" t="s">
        <v>323</v>
      </c>
      <c r="D137" s="23" t="s">
        <v>26</v>
      </c>
      <c r="E137" s="27">
        <v>13112</v>
      </c>
      <c r="F137" s="25">
        <v>107.8462</v>
      </c>
      <c r="G137" s="26">
        <v>0.30988478578061501</v>
      </c>
      <c r="H137" s="28"/>
    </row>
    <row r="138" spans="2:8" x14ac:dyDescent="0.2">
      <c r="B138" s="23" t="s">
        <v>324</v>
      </c>
      <c r="C138" s="23" t="s">
        <v>325</v>
      </c>
      <c r="D138" s="23" t="s">
        <v>10</v>
      </c>
      <c r="E138" s="27">
        <v>76713</v>
      </c>
      <c r="F138" s="25">
        <v>107.6743668</v>
      </c>
      <c r="G138" s="26">
        <v>0.30939104103697002</v>
      </c>
      <c r="H138" s="28"/>
    </row>
    <row r="139" spans="2:8" x14ac:dyDescent="0.2">
      <c r="B139" s="23" t="s">
        <v>326</v>
      </c>
      <c r="C139" s="23" t="s">
        <v>327</v>
      </c>
      <c r="D139" s="23" t="s">
        <v>14</v>
      </c>
      <c r="E139" s="27">
        <v>14994</v>
      </c>
      <c r="F139" s="25">
        <v>107.484489</v>
      </c>
      <c r="G139" s="26">
        <v>0.30884544702088601</v>
      </c>
      <c r="H139" s="28"/>
    </row>
    <row r="140" spans="2:8" x14ac:dyDescent="0.2">
      <c r="B140" s="23" t="s">
        <v>328</v>
      </c>
      <c r="C140" s="23" t="s">
        <v>329</v>
      </c>
      <c r="D140" s="23" t="s">
        <v>50</v>
      </c>
      <c r="E140" s="27">
        <v>9798</v>
      </c>
      <c r="F140" s="25">
        <v>107.2881</v>
      </c>
      <c r="G140" s="26">
        <v>0.30828114375202098</v>
      </c>
      <c r="H140" s="28"/>
    </row>
    <row r="141" spans="2:8" x14ac:dyDescent="0.2">
      <c r="B141" s="23" t="s">
        <v>330</v>
      </c>
      <c r="C141" s="23" t="s">
        <v>331</v>
      </c>
      <c r="D141" s="23" t="s">
        <v>15</v>
      </c>
      <c r="E141" s="27">
        <v>70213</v>
      </c>
      <c r="F141" s="25">
        <v>106.7448239</v>
      </c>
      <c r="G141" s="26">
        <v>0.30672009665097999</v>
      </c>
      <c r="H141" s="28"/>
    </row>
    <row r="142" spans="2:8" x14ac:dyDescent="0.2">
      <c r="B142" s="23" t="s">
        <v>332</v>
      </c>
      <c r="C142" s="23" t="s">
        <v>333</v>
      </c>
      <c r="D142" s="23" t="s">
        <v>132</v>
      </c>
      <c r="E142" s="27">
        <v>7047</v>
      </c>
      <c r="F142" s="25">
        <v>106.254666</v>
      </c>
      <c r="G142" s="26">
        <v>0.30531167914679203</v>
      </c>
      <c r="H142" s="28"/>
    </row>
    <row r="143" spans="2:8" x14ac:dyDescent="0.2">
      <c r="B143" s="23" t="s">
        <v>334</v>
      </c>
      <c r="C143" s="23" t="s">
        <v>335</v>
      </c>
      <c r="D143" s="23" t="s">
        <v>24</v>
      </c>
      <c r="E143" s="27">
        <v>5263</v>
      </c>
      <c r="F143" s="25">
        <v>106.086291</v>
      </c>
      <c r="G143" s="26">
        <v>0.30482787117946603</v>
      </c>
      <c r="H143" s="28"/>
    </row>
    <row r="144" spans="2:8" x14ac:dyDescent="0.2">
      <c r="B144" s="23" t="s">
        <v>336</v>
      </c>
      <c r="C144" s="23" t="s">
        <v>337</v>
      </c>
      <c r="D144" s="23" t="s">
        <v>55</v>
      </c>
      <c r="E144" s="27">
        <v>21111</v>
      </c>
      <c r="F144" s="25">
        <v>105.8822205</v>
      </c>
      <c r="G144" s="26">
        <v>0.30424149592306698</v>
      </c>
      <c r="H144" s="28"/>
    </row>
    <row r="145" spans="2:8" x14ac:dyDescent="0.2">
      <c r="B145" s="23" t="s">
        <v>338</v>
      </c>
      <c r="C145" s="23" t="s">
        <v>339</v>
      </c>
      <c r="D145" s="23" t="s">
        <v>15</v>
      </c>
      <c r="E145" s="27">
        <v>9563</v>
      </c>
      <c r="F145" s="25">
        <v>102.43407449999999</v>
      </c>
      <c r="G145" s="26">
        <v>0.29433360872305198</v>
      </c>
      <c r="H145" s="28"/>
    </row>
    <row r="146" spans="2:8" x14ac:dyDescent="0.2">
      <c r="B146" s="23" t="s">
        <v>340</v>
      </c>
      <c r="C146" s="23" t="s">
        <v>341</v>
      </c>
      <c r="D146" s="23" t="s">
        <v>46</v>
      </c>
      <c r="E146" s="27">
        <v>19753</v>
      </c>
      <c r="F146" s="25">
        <v>101.688444</v>
      </c>
      <c r="G146" s="26">
        <v>0.292191117399631</v>
      </c>
      <c r="H146" s="28"/>
    </row>
    <row r="147" spans="2:8" x14ac:dyDescent="0.2">
      <c r="B147" s="23" t="s">
        <v>342</v>
      </c>
      <c r="C147" s="23" t="s">
        <v>343</v>
      </c>
      <c r="D147" s="23" t="s">
        <v>57</v>
      </c>
      <c r="E147" s="27">
        <v>17499</v>
      </c>
      <c r="F147" s="25">
        <v>100.9954785</v>
      </c>
      <c r="G147" s="26">
        <v>0.29019995345022098</v>
      </c>
      <c r="H147" s="28"/>
    </row>
    <row r="148" spans="2:8" x14ac:dyDescent="0.2">
      <c r="B148" s="23" t="s">
        <v>344</v>
      </c>
      <c r="C148" s="23" t="s">
        <v>345</v>
      </c>
      <c r="D148" s="23" t="s">
        <v>48</v>
      </c>
      <c r="E148" s="27">
        <v>34077</v>
      </c>
      <c r="F148" s="25">
        <v>100.936074</v>
      </c>
      <c r="G148" s="26">
        <v>0.29002926082723601</v>
      </c>
      <c r="H148" s="28"/>
    </row>
    <row r="149" spans="2:8" x14ac:dyDescent="0.2">
      <c r="B149" s="23" t="s">
        <v>346</v>
      </c>
      <c r="C149" s="23" t="s">
        <v>347</v>
      </c>
      <c r="D149" s="23" t="s">
        <v>23</v>
      </c>
      <c r="E149" s="27">
        <v>5914</v>
      </c>
      <c r="F149" s="25">
        <v>100.30144</v>
      </c>
      <c r="G149" s="26">
        <v>0.28820570634743897</v>
      </c>
      <c r="H149" s="28"/>
    </row>
    <row r="150" spans="2:8" x14ac:dyDescent="0.2">
      <c r="B150" s="23" t="s">
        <v>348</v>
      </c>
      <c r="C150" s="23" t="s">
        <v>349</v>
      </c>
      <c r="D150" s="23" t="s">
        <v>19</v>
      </c>
      <c r="E150" s="27">
        <v>17698</v>
      </c>
      <c r="F150" s="25">
        <v>100.241472</v>
      </c>
      <c r="G150" s="26">
        <v>0.28803339456609001</v>
      </c>
      <c r="H150" s="28"/>
    </row>
    <row r="151" spans="2:8" x14ac:dyDescent="0.2">
      <c r="B151" s="23" t="s">
        <v>350</v>
      </c>
      <c r="C151" s="23" t="s">
        <v>351</v>
      </c>
      <c r="D151" s="23" t="s">
        <v>55</v>
      </c>
      <c r="E151" s="27">
        <v>2193</v>
      </c>
      <c r="F151" s="25">
        <v>98.893334999999993</v>
      </c>
      <c r="G151" s="26">
        <v>0.28415966377680002</v>
      </c>
      <c r="H151" s="28"/>
    </row>
    <row r="152" spans="2:8" x14ac:dyDescent="0.2">
      <c r="B152" s="23" t="s">
        <v>352</v>
      </c>
      <c r="C152" s="23" t="s">
        <v>353</v>
      </c>
      <c r="D152" s="23" t="s">
        <v>47</v>
      </c>
      <c r="E152" s="27">
        <v>39986</v>
      </c>
      <c r="F152" s="25">
        <v>98.801407400000002</v>
      </c>
      <c r="G152" s="26">
        <v>0.28389551942462699</v>
      </c>
      <c r="H152" s="28"/>
    </row>
    <row r="153" spans="2:8" x14ac:dyDescent="0.2">
      <c r="B153" s="23" t="s">
        <v>354</v>
      </c>
      <c r="C153" s="23" t="s">
        <v>355</v>
      </c>
      <c r="D153" s="23" t="s">
        <v>53</v>
      </c>
      <c r="E153" s="27">
        <v>3377</v>
      </c>
      <c r="F153" s="25">
        <v>98.051195000000007</v>
      </c>
      <c r="G153" s="26">
        <v>0.28173986249036398</v>
      </c>
      <c r="H153" s="28"/>
    </row>
    <row r="154" spans="2:8" x14ac:dyDescent="0.2">
      <c r="B154" s="23" t="s">
        <v>356</v>
      </c>
      <c r="C154" s="23" t="s">
        <v>357</v>
      </c>
      <c r="D154" s="23" t="s">
        <v>19</v>
      </c>
      <c r="E154" s="27">
        <v>21887</v>
      </c>
      <c r="F154" s="25">
        <v>97.7145115</v>
      </c>
      <c r="G154" s="26">
        <v>0.28077243763651299</v>
      </c>
      <c r="H154" s="28"/>
    </row>
    <row r="155" spans="2:8" x14ac:dyDescent="0.2">
      <c r="B155" s="23" t="s">
        <v>358</v>
      </c>
      <c r="C155" s="23" t="s">
        <v>359</v>
      </c>
      <c r="D155" s="23" t="s">
        <v>48</v>
      </c>
      <c r="E155" s="27">
        <v>85492</v>
      </c>
      <c r="F155" s="25">
        <v>97.418133999999995</v>
      </c>
      <c r="G155" s="26">
        <v>0.27992082786168798</v>
      </c>
      <c r="H155" s="28"/>
    </row>
    <row r="156" spans="2:8" x14ac:dyDescent="0.2">
      <c r="B156" s="23" t="s">
        <v>360</v>
      </c>
      <c r="C156" s="23" t="s">
        <v>361</v>
      </c>
      <c r="D156" s="23" t="s">
        <v>14</v>
      </c>
      <c r="E156" s="27">
        <v>19594</v>
      </c>
      <c r="F156" s="25">
        <v>96.823751000000001</v>
      </c>
      <c r="G156" s="26">
        <v>0.27821293042416501</v>
      </c>
      <c r="H156" s="28"/>
    </row>
    <row r="157" spans="2:8" x14ac:dyDescent="0.2">
      <c r="B157" s="23" t="s">
        <v>362</v>
      </c>
      <c r="C157" s="23" t="s">
        <v>363</v>
      </c>
      <c r="D157" s="23" t="s">
        <v>48</v>
      </c>
      <c r="E157" s="27">
        <v>12292</v>
      </c>
      <c r="F157" s="25">
        <v>96.443032000000002</v>
      </c>
      <c r="G157" s="26">
        <v>0.27711897416276998</v>
      </c>
      <c r="H157" s="28"/>
    </row>
    <row r="158" spans="2:8" x14ac:dyDescent="0.2">
      <c r="B158" s="23" t="s">
        <v>364</v>
      </c>
      <c r="C158" s="23" t="s">
        <v>365</v>
      </c>
      <c r="D158" s="23" t="s">
        <v>56</v>
      </c>
      <c r="E158" s="27">
        <v>14236</v>
      </c>
      <c r="F158" s="25">
        <v>95.381200000000007</v>
      </c>
      <c r="G158" s="26">
        <v>0.274067910872131</v>
      </c>
      <c r="H158" s="28"/>
    </row>
    <row r="159" spans="2:8" x14ac:dyDescent="0.2">
      <c r="B159" s="23" t="s">
        <v>366</v>
      </c>
      <c r="C159" s="23" t="s">
        <v>367</v>
      </c>
      <c r="D159" s="23" t="s">
        <v>51</v>
      </c>
      <c r="E159" s="27">
        <v>23381</v>
      </c>
      <c r="F159" s="25">
        <v>95.020384000000007</v>
      </c>
      <c r="G159" s="26">
        <v>0.273031143801374</v>
      </c>
      <c r="H159" s="28"/>
    </row>
    <row r="160" spans="2:8" x14ac:dyDescent="0.2">
      <c r="B160" s="23" t="s">
        <v>368</v>
      </c>
      <c r="C160" s="23" t="s">
        <v>369</v>
      </c>
      <c r="D160" s="23" t="s">
        <v>55</v>
      </c>
      <c r="E160" s="27">
        <v>74506</v>
      </c>
      <c r="F160" s="25">
        <v>93.847757599999994</v>
      </c>
      <c r="G160" s="26">
        <v>0.26966172438033997</v>
      </c>
      <c r="H160" s="28"/>
    </row>
    <row r="161" spans="2:8" x14ac:dyDescent="0.2">
      <c r="B161" s="23" t="s">
        <v>370</v>
      </c>
      <c r="C161" s="23" t="s">
        <v>371</v>
      </c>
      <c r="D161" s="23" t="s">
        <v>55</v>
      </c>
      <c r="E161" s="27">
        <v>10717</v>
      </c>
      <c r="F161" s="25">
        <v>93.843410500000005</v>
      </c>
      <c r="G161" s="26">
        <v>0.26964923344276198</v>
      </c>
      <c r="H161" s="28"/>
    </row>
    <row r="162" spans="2:8" x14ac:dyDescent="0.2">
      <c r="B162" s="23" t="s">
        <v>372</v>
      </c>
      <c r="C162" s="23" t="s">
        <v>373</v>
      </c>
      <c r="D162" s="23" t="s">
        <v>26</v>
      </c>
      <c r="E162" s="27">
        <v>2967</v>
      </c>
      <c r="F162" s="25">
        <v>93.513906000000006</v>
      </c>
      <c r="G162" s="26">
        <v>0.26870243669520599</v>
      </c>
      <c r="H162" s="28"/>
    </row>
    <row r="163" spans="2:8" x14ac:dyDescent="0.2">
      <c r="B163" s="23" t="s">
        <v>374</v>
      </c>
      <c r="C163" s="23" t="s">
        <v>375</v>
      </c>
      <c r="D163" s="23" t="s">
        <v>49</v>
      </c>
      <c r="E163" s="27">
        <v>14471</v>
      </c>
      <c r="F163" s="25">
        <v>93.511601999999996</v>
      </c>
      <c r="G163" s="26">
        <v>0.26869581639197399</v>
      </c>
      <c r="H163" s="28"/>
    </row>
    <row r="164" spans="2:8" x14ac:dyDescent="0.2">
      <c r="B164" s="23" t="s">
        <v>376</v>
      </c>
      <c r="C164" s="23" t="s">
        <v>377</v>
      </c>
      <c r="D164" s="23" t="s">
        <v>24</v>
      </c>
      <c r="E164" s="27">
        <v>92990</v>
      </c>
      <c r="F164" s="25">
        <v>93.148083</v>
      </c>
      <c r="G164" s="26">
        <v>0.26765128253318099</v>
      </c>
      <c r="H164" s="28"/>
    </row>
    <row r="165" spans="2:8" x14ac:dyDescent="0.2">
      <c r="B165" s="23" t="s">
        <v>378</v>
      </c>
      <c r="C165" s="23" t="s">
        <v>379</v>
      </c>
      <c r="D165" s="23" t="s">
        <v>15</v>
      </c>
      <c r="E165" s="27">
        <v>8626</v>
      </c>
      <c r="F165" s="25">
        <v>93.091791999999998</v>
      </c>
      <c r="G165" s="26">
        <v>0.26748953622708599</v>
      </c>
      <c r="H165" s="28"/>
    </row>
    <row r="166" spans="2:8" x14ac:dyDescent="0.2">
      <c r="B166" s="23" t="s">
        <v>380</v>
      </c>
      <c r="C166" s="23" t="s">
        <v>381</v>
      </c>
      <c r="D166" s="23" t="s">
        <v>46</v>
      </c>
      <c r="E166" s="27">
        <v>23659</v>
      </c>
      <c r="F166" s="25">
        <v>92.766938999999994</v>
      </c>
      <c r="G166" s="26">
        <v>0.26655610507869898</v>
      </c>
      <c r="H166" s="28"/>
    </row>
    <row r="167" spans="2:8" x14ac:dyDescent="0.2">
      <c r="B167" s="23" t="s">
        <v>382</v>
      </c>
      <c r="C167" s="23" t="s">
        <v>383</v>
      </c>
      <c r="D167" s="23" t="s">
        <v>45</v>
      </c>
      <c r="E167" s="27">
        <v>17738</v>
      </c>
      <c r="F167" s="25">
        <v>92.512539000000004</v>
      </c>
      <c r="G167" s="26">
        <v>0.26582511326347902</v>
      </c>
      <c r="H167" s="28"/>
    </row>
    <row r="168" spans="2:8" x14ac:dyDescent="0.2">
      <c r="B168" s="23" t="s">
        <v>384</v>
      </c>
      <c r="C168" s="23" t="s">
        <v>385</v>
      </c>
      <c r="D168" s="23" t="s">
        <v>30</v>
      </c>
      <c r="E168" s="27">
        <v>6848</v>
      </c>
      <c r="F168" s="25">
        <v>91.975487999999999</v>
      </c>
      <c r="G168" s="26">
        <v>0.26428195333676602</v>
      </c>
      <c r="H168" s="28"/>
    </row>
    <row r="169" spans="2:8" x14ac:dyDescent="0.2">
      <c r="B169" s="23" t="s">
        <v>386</v>
      </c>
      <c r="C169" s="23" t="s">
        <v>387</v>
      </c>
      <c r="D169" s="23" t="s">
        <v>30</v>
      </c>
      <c r="E169" s="27">
        <v>13622</v>
      </c>
      <c r="F169" s="25">
        <v>91.580706000000006</v>
      </c>
      <c r="G169" s="26">
        <v>0.26314758851445302</v>
      </c>
      <c r="H169" s="28"/>
    </row>
    <row r="170" spans="2:8" x14ac:dyDescent="0.2">
      <c r="B170" s="23" t="s">
        <v>388</v>
      </c>
      <c r="C170" s="23" t="s">
        <v>389</v>
      </c>
      <c r="D170" s="23" t="s">
        <v>14</v>
      </c>
      <c r="E170" s="27">
        <v>28533</v>
      </c>
      <c r="F170" s="25">
        <v>91.120135500000004</v>
      </c>
      <c r="G170" s="26">
        <v>0.26182418731228402</v>
      </c>
      <c r="H170" s="28"/>
    </row>
    <row r="171" spans="2:8" x14ac:dyDescent="0.2">
      <c r="B171" s="23" t="s">
        <v>390</v>
      </c>
      <c r="C171" s="23" t="s">
        <v>391</v>
      </c>
      <c r="D171" s="23" t="s">
        <v>15</v>
      </c>
      <c r="E171" s="27">
        <v>26552</v>
      </c>
      <c r="F171" s="25">
        <v>90.024556000000004</v>
      </c>
      <c r="G171" s="26">
        <v>0.25867615410700601</v>
      </c>
      <c r="H171" s="28"/>
    </row>
    <row r="172" spans="2:8" x14ac:dyDescent="0.2">
      <c r="B172" s="23" t="s">
        <v>392</v>
      </c>
      <c r="C172" s="23" t="s">
        <v>393</v>
      </c>
      <c r="D172" s="23" t="s">
        <v>29</v>
      </c>
      <c r="E172" s="27">
        <v>106396</v>
      </c>
      <c r="F172" s="25">
        <v>88.84066</v>
      </c>
      <c r="G172" s="26">
        <v>0.25527435266804399</v>
      </c>
      <c r="H172" s="28"/>
    </row>
    <row r="173" spans="2:8" x14ac:dyDescent="0.2">
      <c r="B173" s="23" t="s">
        <v>394</v>
      </c>
      <c r="C173" s="23" t="s">
        <v>395</v>
      </c>
      <c r="D173" s="23" t="s">
        <v>14</v>
      </c>
      <c r="E173" s="27">
        <v>33495</v>
      </c>
      <c r="F173" s="25">
        <v>88.795244999999994</v>
      </c>
      <c r="G173" s="26">
        <v>0.25514385741140799</v>
      </c>
      <c r="H173" s="28"/>
    </row>
    <row r="174" spans="2:8" x14ac:dyDescent="0.2">
      <c r="B174" s="23" t="s">
        <v>396</v>
      </c>
      <c r="C174" s="23" t="s">
        <v>397</v>
      </c>
      <c r="D174" s="23" t="s">
        <v>24</v>
      </c>
      <c r="E174" s="27">
        <v>48399</v>
      </c>
      <c r="F174" s="25">
        <v>88.715367000000001</v>
      </c>
      <c r="G174" s="26">
        <v>0.25491433632565302</v>
      </c>
      <c r="H174" s="28"/>
    </row>
    <row r="175" spans="2:8" x14ac:dyDescent="0.2">
      <c r="B175" s="23" t="s">
        <v>398</v>
      </c>
      <c r="C175" s="23" t="s">
        <v>399</v>
      </c>
      <c r="D175" s="23" t="s">
        <v>400</v>
      </c>
      <c r="E175" s="27">
        <v>6571</v>
      </c>
      <c r="F175" s="25">
        <v>88.688787000000005</v>
      </c>
      <c r="G175" s="26">
        <v>0.25483796147326099</v>
      </c>
      <c r="H175" s="28"/>
    </row>
    <row r="176" spans="2:8" x14ac:dyDescent="0.2">
      <c r="B176" s="23" t="s">
        <v>401</v>
      </c>
      <c r="C176" s="23" t="s">
        <v>402</v>
      </c>
      <c r="D176" s="23" t="s">
        <v>18</v>
      </c>
      <c r="E176" s="27">
        <v>198198</v>
      </c>
      <c r="F176" s="25">
        <v>88.435947600000006</v>
      </c>
      <c r="G176" s="26">
        <v>0.25411145387905798</v>
      </c>
      <c r="H176" s="28"/>
    </row>
    <row r="177" spans="2:8" x14ac:dyDescent="0.2">
      <c r="B177" s="23" t="s">
        <v>403</v>
      </c>
      <c r="C177" s="23" t="s">
        <v>404</v>
      </c>
      <c r="D177" s="23" t="s">
        <v>56</v>
      </c>
      <c r="E177" s="27">
        <v>5445</v>
      </c>
      <c r="F177" s="25">
        <v>87.822405000000003</v>
      </c>
      <c r="G177" s="26">
        <v>0.25234850333311099</v>
      </c>
      <c r="H177" s="28"/>
    </row>
    <row r="178" spans="2:8" x14ac:dyDescent="0.2">
      <c r="B178" s="23" t="s">
        <v>405</v>
      </c>
      <c r="C178" s="23" t="s">
        <v>406</v>
      </c>
      <c r="D178" s="23" t="s">
        <v>19</v>
      </c>
      <c r="E178" s="27">
        <v>21516</v>
      </c>
      <c r="F178" s="25">
        <v>87.78528</v>
      </c>
      <c r="G178" s="26">
        <v>0.25224182852517102</v>
      </c>
      <c r="H178" s="28"/>
    </row>
    <row r="179" spans="2:8" x14ac:dyDescent="0.2">
      <c r="B179" s="23" t="s">
        <v>407</v>
      </c>
      <c r="C179" s="23" t="s">
        <v>408</v>
      </c>
      <c r="D179" s="23" t="s">
        <v>30</v>
      </c>
      <c r="E179" s="27">
        <v>18389</v>
      </c>
      <c r="F179" s="25">
        <v>87.752307999999999</v>
      </c>
      <c r="G179" s="26">
        <v>0.25214708692874199</v>
      </c>
      <c r="H179" s="28"/>
    </row>
    <row r="180" spans="2:8" x14ac:dyDescent="0.2">
      <c r="B180" s="23" t="s">
        <v>409</v>
      </c>
      <c r="C180" s="23" t="s">
        <v>410</v>
      </c>
      <c r="D180" s="23" t="s">
        <v>12</v>
      </c>
      <c r="E180" s="27">
        <v>8274</v>
      </c>
      <c r="F180" s="25">
        <v>87.555468000000005</v>
      </c>
      <c r="G180" s="26">
        <v>0.25158148775850703</v>
      </c>
      <c r="H180" s="28"/>
    </row>
    <row r="181" spans="2:8" x14ac:dyDescent="0.2">
      <c r="B181" s="23" t="s">
        <v>411</v>
      </c>
      <c r="C181" s="23" t="s">
        <v>412</v>
      </c>
      <c r="D181" s="23" t="s">
        <v>49</v>
      </c>
      <c r="E181" s="27">
        <v>30194</v>
      </c>
      <c r="F181" s="25">
        <v>87.517308999999997</v>
      </c>
      <c r="G181" s="26">
        <v>0.25147184185961902</v>
      </c>
      <c r="H181" s="28"/>
    </row>
    <row r="182" spans="2:8" x14ac:dyDescent="0.2">
      <c r="B182" s="23" t="s">
        <v>413</v>
      </c>
      <c r="C182" s="23" t="s">
        <v>414</v>
      </c>
      <c r="D182" s="23" t="s">
        <v>53</v>
      </c>
      <c r="E182" s="27">
        <v>14663</v>
      </c>
      <c r="F182" s="25">
        <v>87.391480000000001</v>
      </c>
      <c r="G182" s="26">
        <v>0.25111028537724001</v>
      </c>
      <c r="H182" s="28"/>
    </row>
    <row r="183" spans="2:8" x14ac:dyDescent="0.2">
      <c r="B183" s="23" t="s">
        <v>415</v>
      </c>
      <c r="C183" s="23" t="s">
        <v>416</v>
      </c>
      <c r="D183" s="23" t="s">
        <v>30</v>
      </c>
      <c r="E183" s="27">
        <v>66491</v>
      </c>
      <c r="F183" s="25">
        <v>86.677667600000007</v>
      </c>
      <c r="G183" s="26">
        <v>0.24905922003917899</v>
      </c>
      <c r="H183" s="28"/>
    </row>
    <row r="184" spans="2:8" x14ac:dyDescent="0.2">
      <c r="B184" s="23" t="s">
        <v>417</v>
      </c>
      <c r="C184" s="23" t="s">
        <v>418</v>
      </c>
      <c r="D184" s="23" t="s">
        <v>19</v>
      </c>
      <c r="E184" s="27">
        <v>13826</v>
      </c>
      <c r="F184" s="25">
        <v>86.329543999999999</v>
      </c>
      <c r="G184" s="26">
        <v>0.24805892325346801</v>
      </c>
      <c r="H184" s="28"/>
    </row>
    <row r="185" spans="2:8" x14ac:dyDescent="0.2">
      <c r="B185" s="23" t="s">
        <v>419</v>
      </c>
      <c r="C185" s="23" t="s">
        <v>420</v>
      </c>
      <c r="D185" s="23" t="s">
        <v>24</v>
      </c>
      <c r="E185" s="27">
        <v>38086</v>
      </c>
      <c r="F185" s="25">
        <v>85.880121399999993</v>
      </c>
      <c r="G185" s="26">
        <v>0.24676755437699399</v>
      </c>
      <c r="H185" s="28"/>
    </row>
    <row r="186" spans="2:8" x14ac:dyDescent="0.2">
      <c r="B186" s="23" t="s">
        <v>421</v>
      </c>
      <c r="C186" s="23" t="s">
        <v>422</v>
      </c>
      <c r="D186" s="23" t="s">
        <v>231</v>
      </c>
      <c r="E186" s="27">
        <v>16995</v>
      </c>
      <c r="F186" s="25">
        <v>85.340392499999993</v>
      </c>
      <c r="G186" s="26">
        <v>0.245216699784472</v>
      </c>
      <c r="H186" s="28"/>
    </row>
    <row r="187" spans="2:8" x14ac:dyDescent="0.2">
      <c r="B187" s="23" t="s">
        <v>423</v>
      </c>
      <c r="C187" s="23" t="s">
        <v>424</v>
      </c>
      <c r="D187" s="23" t="s">
        <v>20</v>
      </c>
      <c r="E187" s="27">
        <v>29092</v>
      </c>
      <c r="F187" s="25">
        <v>85.035916</v>
      </c>
      <c r="G187" s="26">
        <v>0.24434181837949201</v>
      </c>
      <c r="H187" s="28"/>
    </row>
    <row r="188" spans="2:8" x14ac:dyDescent="0.2">
      <c r="B188" s="23" t="s">
        <v>425</v>
      </c>
      <c r="C188" s="23" t="s">
        <v>426</v>
      </c>
      <c r="D188" s="23" t="s">
        <v>427</v>
      </c>
      <c r="E188" s="27">
        <v>79534</v>
      </c>
      <c r="F188" s="25">
        <v>84.878684800000002</v>
      </c>
      <c r="G188" s="26">
        <v>0.24389003095694001</v>
      </c>
      <c r="H188" s="28"/>
    </row>
    <row r="189" spans="2:8" x14ac:dyDescent="0.2">
      <c r="B189" s="23" t="s">
        <v>428</v>
      </c>
      <c r="C189" s="23" t="s">
        <v>429</v>
      </c>
      <c r="D189" s="23" t="s">
        <v>10</v>
      </c>
      <c r="E189" s="27">
        <v>251188</v>
      </c>
      <c r="F189" s="25">
        <v>83.947029599999993</v>
      </c>
      <c r="G189" s="26">
        <v>0.24121301709763501</v>
      </c>
      <c r="H189" s="28"/>
    </row>
    <row r="190" spans="2:8" x14ac:dyDescent="0.2">
      <c r="B190" s="23" t="s">
        <v>430</v>
      </c>
      <c r="C190" s="23" t="s">
        <v>431</v>
      </c>
      <c r="D190" s="23" t="s">
        <v>17</v>
      </c>
      <c r="E190" s="27">
        <v>16555</v>
      </c>
      <c r="F190" s="25">
        <v>83.942127499999998</v>
      </c>
      <c r="G190" s="26">
        <v>0.24119893142555399</v>
      </c>
      <c r="H190" s="28"/>
    </row>
    <row r="191" spans="2:8" x14ac:dyDescent="0.2">
      <c r="B191" s="23" t="s">
        <v>432</v>
      </c>
      <c r="C191" s="23" t="s">
        <v>433</v>
      </c>
      <c r="D191" s="23" t="s">
        <v>47</v>
      </c>
      <c r="E191" s="27">
        <v>11470</v>
      </c>
      <c r="F191" s="25">
        <v>83.472925000000004</v>
      </c>
      <c r="G191" s="26">
        <v>0.239850727073428</v>
      </c>
      <c r="H191" s="28"/>
    </row>
    <row r="192" spans="2:8" x14ac:dyDescent="0.2">
      <c r="B192" s="23" t="s">
        <v>434</v>
      </c>
      <c r="C192" s="23" t="s">
        <v>435</v>
      </c>
      <c r="D192" s="23" t="s">
        <v>13</v>
      </c>
      <c r="E192" s="27">
        <v>7040</v>
      </c>
      <c r="F192" s="25">
        <v>83.072000000000003</v>
      </c>
      <c r="G192" s="26">
        <v>0.23869871098255899</v>
      </c>
      <c r="H192" s="28"/>
    </row>
    <row r="193" spans="2:8" x14ac:dyDescent="0.2">
      <c r="B193" s="23" t="s">
        <v>436</v>
      </c>
      <c r="C193" s="23" t="s">
        <v>437</v>
      </c>
      <c r="D193" s="23" t="s">
        <v>47</v>
      </c>
      <c r="E193" s="27">
        <v>14347</v>
      </c>
      <c r="F193" s="25">
        <v>81.325969499999999</v>
      </c>
      <c r="G193" s="26">
        <v>0.233681674800858</v>
      </c>
      <c r="H193" s="28"/>
    </row>
    <row r="194" spans="2:8" x14ac:dyDescent="0.2">
      <c r="B194" s="23" t="s">
        <v>438</v>
      </c>
      <c r="C194" s="23" t="s">
        <v>439</v>
      </c>
      <c r="D194" s="23" t="s">
        <v>18</v>
      </c>
      <c r="E194" s="27">
        <v>15814</v>
      </c>
      <c r="F194" s="25">
        <v>80.959772999999998</v>
      </c>
      <c r="G194" s="26">
        <v>0.23262944742561301</v>
      </c>
      <c r="H194" s="28"/>
    </row>
    <row r="195" spans="2:8" x14ac:dyDescent="0.2">
      <c r="B195" s="23" t="s">
        <v>440</v>
      </c>
      <c r="C195" s="23" t="s">
        <v>441</v>
      </c>
      <c r="D195" s="23" t="s">
        <v>48</v>
      </c>
      <c r="E195" s="27">
        <v>69151</v>
      </c>
      <c r="F195" s="25">
        <v>79.772593599999993</v>
      </c>
      <c r="G195" s="26">
        <v>0.22921821147986701</v>
      </c>
      <c r="H195" s="28"/>
    </row>
    <row r="196" spans="2:8" x14ac:dyDescent="0.2">
      <c r="B196" s="23" t="s">
        <v>442</v>
      </c>
      <c r="C196" s="23" t="s">
        <v>443</v>
      </c>
      <c r="D196" s="23" t="s">
        <v>49</v>
      </c>
      <c r="E196" s="27">
        <v>24001</v>
      </c>
      <c r="F196" s="25">
        <v>79.035292999999996</v>
      </c>
      <c r="G196" s="26">
        <v>0.227099655253621</v>
      </c>
      <c r="H196" s="28"/>
    </row>
    <row r="197" spans="2:8" x14ac:dyDescent="0.2">
      <c r="B197" s="23" t="s">
        <v>444</v>
      </c>
      <c r="C197" s="23" t="s">
        <v>445</v>
      </c>
      <c r="D197" s="23" t="s">
        <v>19</v>
      </c>
      <c r="E197" s="27">
        <v>13297</v>
      </c>
      <c r="F197" s="25">
        <v>78.226251000000005</v>
      </c>
      <c r="G197" s="26">
        <v>0.224774957611447</v>
      </c>
      <c r="H197" s="28"/>
    </row>
    <row r="198" spans="2:8" x14ac:dyDescent="0.2">
      <c r="B198" s="23" t="s">
        <v>446</v>
      </c>
      <c r="C198" s="23" t="s">
        <v>447</v>
      </c>
      <c r="D198" s="23" t="s">
        <v>30</v>
      </c>
      <c r="E198" s="27">
        <v>114032</v>
      </c>
      <c r="F198" s="25">
        <v>78.146129599999995</v>
      </c>
      <c r="G198" s="26">
        <v>0.224544737141227</v>
      </c>
      <c r="H198" s="28"/>
    </row>
    <row r="199" spans="2:8" x14ac:dyDescent="0.2">
      <c r="B199" s="23" t="s">
        <v>448</v>
      </c>
      <c r="C199" s="23" t="s">
        <v>449</v>
      </c>
      <c r="D199" s="23" t="s">
        <v>33</v>
      </c>
      <c r="E199" s="27">
        <v>15114</v>
      </c>
      <c r="F199" s="25">
        <v>77.081400000000002</v>
      </c>
      <c r="G199" s="26">
        <v>0.22148534789978599</v>
      </c>
      <c r="H199" s="28"/>
    </row>
    <row r="200" spans="2:8" x14ac:dyDescent="0.2">
      <c r="B200" s="23" t="s">
        <v>450</v>
      </c>
      <c r="C200" s="23" t="s">
        <v>451</v>
      </c>
      <c r="D200" s="23" t="s">
        <v>15</v>
      </c>
      <c r="E200" s="27">
        <v>56057</v>
      </c>
      <c r="F200" s="25">
        <v>76.742033000000006</v>
      </c>
      <c r="G200" s="26">
        <v>0.22051021228911</v>
      </c>
      <c r="H200" s="28"/>
    </row>
    <row r="201" spans="2:8" x14ac:dyDescent="0.2">
      <c r="B201" s="23" t="s">
        <v>452</v>
      </c>
      <c r="C201" s="23" t="s">
        <v>453</v>
      </c>
      <c r="D201" s="23" t="s">
        <v>57</v>
      </c>
      <c r="E201" s="27">
        <v>54659</v>
      </c>
      <c r="F201" s="25">
        <v>75.413022299999994</v>
      </c>
      <c r="G201" s="26">
        <v>0.216691438924174</v>
      </c>
      <c r="H201" s="28"/>
    </row>
    <row r="202" spans="2:8" x14ac:dyDescent="0.2">
      <c r="B202" s="23" t="s">
        <v>454</v>
      </c>
      <c r="C202" s="23" t="s">
        <v>455</v>
      </c>
      <c r="D202" s="23" t="s">
        <v>48</v>
      </c>
      <c r="E202" s="27">
        <v>40713</v>
      </c>
      <c r="F202" s="25">
        <v>73.670173500000004</v>
      </c>
      <c r="G202" s="26">
        <v>0.211683545024936</v>
      </c>
      <c r="H202" s="28"/>
    </row>
    <row r="203" spans="2:8" x14ac:dyDescent="0.2">
      <c r="B203" s="23" t="s">
        <v>456</v>
      </c>
      <c r="C203" s="23" t="s">
        <v>457</v>
      </c>
      <c r="D203" s="23" t="s">
        <v>458</v>
      </c>
      <c r="E203" s="27">
        <v>14142</v>
      </c>
      <c r="F203" s="25">
        <v>73.594967999999994</v>
      </c>
      <c r="G203" s="26">
        <v>0.21146744987965399</v>
      </c>
      <c r="H203" s="28"/>
    </row>
    <row r="204" spans="2:8" x14ac:dyDescent="0.2">
      <c r="B204" s="23" t="s">
        <v>459</v>
      </c>
      <c r="C204" s="23" t="s">
        <v>460</v>
      </c>
      <c r="D204" s="23" t="s">
        <v>26</v>
      </c>
      <c r="E204" s="27">
        <v>10979</v>
      </c>
      <c r="F204" s="25">
        <v>73.444020499999993</v>
      </c>
      <c r="G204" s="26">
        <v>0.211033718012406</v>
      </c>
      <c r="H204" s="28"/>
    </row>
    <row r="205" spans="2:8" x14ac:dyDescent="0.2">
      <c r="B205" s="23" t="s">
        <v>461</v>
      </c>
      <c r="C205" s="23" t="s">
        <v>462</v>
      </c>
      <c r="D205" s="23" t="s">
        <v>17</v>
      </c>
      <c r="E205" s="27">
        <v>11271</v>
      </c>
      <c r="F205" s="25">
        <v>73.267135499999995</v>
      </c>
      <c r="G205" s="26">
        <v>0.21052545744937501</v>
      </c>
      <c r="H205" s="28"/>
    </row>
    <row r="206" spans="2:8" x14ac:dyDescent="0.2">
      <c r="B206" s="23" t="s">
        <v>463</v>
      </c>
      <c r="C206" s="23" t="s">
        <v>464</v>
      </c>
      <c r="D206" s="23" t="s">
        <v>48</v>
      </c>
      <c r="E206" s="27">
        <v>5874</v>
      </c>
      <c r="F206" s="25">
        <v>72.214956000000001</v>
      </c>
      <c r="G206" s="26">
        <v>0.20750212960879999</v>
      </c>
      <c r="H206" s="28"/>
    </row>
    <row r="207" spans="2:8" x14ac:dyDescent="0.2">
      <c r="B207" s="23" t="s">
        <v>465</v>
      </c>
      <c r="C207" s="23" t="s">
        <v>466</v>
      </c>
      <c r="D207" s="23" t="s">
        <v>49</v>
      </c>
      <c r="E207" s="27">
        <v>10832</v>
      </c>
      <c r="F207" s="25">
        <v>72.103207999999995</v>
      </c>
      <c r="G207" s="26">
        <v>0.207181033408457</v>
      </c>
      <c r="H207" s="28"/>
    </row>
    <row r="208" spans="2:8" x14ac:dyDescent="0.2">
      <c r="B208" s="23" t="s">
        <v>467</v>
      </c>
      <c r="C208" s="23" t="s">
        <v>468</v>
      </c>
      <c r="D208" s="23" t="s">
        <v>10</v>
      </c>
      <c r="E208" s="27">
        <v>96446</v>
      </c>
      <c r="F208" s="25">
        <v>71.206081800000007</v>
      </c>
      <c r="G208" s="26">
        <v>0.20460323502237401</v>
      </c>
      <c r="H208" s="28"/>
    </row>
    <row r="209" spans="2:8" x14ac:dyDescent="0.2">
      <c r="B209" s="23" t="s">
        <v>469</v>
      </c>
      <c r="C209" s="23" t="s">
        <v>470</v>
      </c>
      <c r="D209" s="23" t="s">
        <v>59</v>
      </c>
      <c r="E209" s="27">
        <v>6830</v>
      </c>
      <c r="F209" s="25">
        <v>70.806610000000006</v>
      </c>
      <c r="G209" s="26">
        <v>0.20345539454984499</v>
      </c>
      <c r="H209" s="28"/>
    </row>
    <row r="210" spans="2:8" x14ac:dyDescent="0.2">
      <c r="B210" s="23" t="s">
        <v>471</v>
      </c>
      <c r="C210" s="23" t="s">
        <v>472</v>
      </c>
      <c r="D210" s="23" t="s">
        <v>24</v>
      </c>
      <c r="E210" s="27">
        <v>58021</v>
      </c>
      <c r="F210" s="25">
        <v>69.642606299999997</v>
      </c>
      <c r="G210" s="26">
        <v>0.20011075155618999</v>
      </c>
      <c r="H210" s="28"/>
    </row>
    <row r="211" spans="2:8" x14ac:dyDescent="0.2">
      <c r="B211" s="23" t="s">
        <v>473</v>
      </c>
      <c r="C211" s="23" t="s">
        <v>474</v>
      </c>
      <c r="D211" s="23" t="s">
        <v>23</v>
      </c>
      <c r="E211" s="27">
        <v>3421</v>
      </c>
      <c r="F211" s="25">
        <v>69.258144999999999</v>
      </c>
      <c r="G211" s="26">
        <v>0.199006042186816</v>
      </c>
      <c r="H211" s="28"/>
    </row>
    <row r="212" spans="2:8" x14ac:dyDescent="0.2">
      <c r="B212" s="23" t="s">
        <v>475</v>
      </c>
      <c r="C212" s="23" t="s">
        <v>476</v>
      </c>
      <c r="D212" s="23" t="s">
        <v>22</v>
      </c>
      <c r="E212" s="27">
        <v>7227</v>
      </c>
      <c r="F212" s="25">
        <v>67.984388999999993</v>
      </c>
      <c r="G212" s="26">
        <v>0.19534603742821699</v>
      </c>
      <c r="H212" s="28"/>
    </row>
    <row r="213" spans="2:8" x14ac:dyDescent="0.2">
      <c r="B213" s="23" t="s">
        <v>477</v>
      </c>
      <c r="C213" s="23" t="s">
        <v>478</v>
      </c>
      <c r="D213" s="23" t="s">
        <v>53</v>
      </c>
      <c r="E213" s="27">
        <v>23365</v>
      </c>
      <c r="F213" s="25">
        <v>67.933737500000007</v>
      </c>
      <c r="G213" s="26">
        <v>0.195200495636045</v>
      </c>
      <c r="H213" s="28"/>
    </row>
    <row r="214" spans="2:8" x14ac:dyDescent="0.2">
      <c r="B214" s="23" t="s">
        <v>479</v>
      </c>
      <c r="C214" s="23" t="s">
        <v>480</v>
      </c>
      <c r="D214" s="23" t="s">
        <v>481</v>
      </c>
      <c r="E214" s="27">
        <v>3100</v>
      </c>
      <c r="F214" s="25">
        <v>67.738100000000003</v>
      </c>
      <c r="G214" s="26">
        <v>0.19463835172389801</v>
      </c>
      <c r="H214" s="28"/>
    </row>
    <row r="215" spans="2:8" x14ac:dyDescent="0.2">
      <c r="B215" s="23" t="s">
        <v>482</v>
      </c>
      <c r="C215" s="23" t="s">
        <v>483</v>
      </c>
      <c r="D215" s="23" t="s">
        <v>30</v>
      </c>
      <c r="E215" s="27">
        <v>70994</v>
      </c>
      <c r="F215" s="25">
        <v>66.947342000000006</v>
      </c>
      <c r="G215" s="26">
        <v>0.192366191245047</v>
      </c>
      <c r="H215" s="28"/>
    </row>
    <row r="216" spans="2:8" x14ac:dyDescent="0.2">
      <c r="B216" s="23" t="s">
        <v>484</v>
      </c>
      <c r="C216" s="23" t="s">
        <v>485</v>
      </c>
      <c r="D216" s="23" t="s">
        <v>49</v>
      </c>
      <c r="E216" s="27">
        <v>8269</v>
      </c>
      <c r="F216" s="25">
        <v>65.945274999999995</v>
      </c>
      <c r="G216" s="26">
        <v>0.18948685643646901</v>
      </c>
      <c r="H216" s="28"/>
    </row>
    <row r="217" spans="2:8" x14ac:dyDescent="0.2">
      <c r="B217" s="23" t="s">
        <v>486</v>
      </c>
      <c r="C217" s="23" t="s">
        <v>487</v>
      </c>
      <c r="D217" s="23" t="s">
        <v>132</v>
      </c>
      <c r="E217" s="27">
        <v>17479</v>
      </c>
      <c r="F217" s="25">
        <v>64.986922000000007</v>
      </c>
      <c r="G217" s="26">
        <v>0.18673312923878199</v>
      </c>
      <c r="H217" s="28"/>
    </row>
    <row r="218" spans="2:8" x14ac:dyDescent="0.2">
      <c r="B218" s="23" t="s">
        <v>488</v>
      </c>
      <c r="C218" s="23" t="s">
        <v>489</v>
      </c>
      <c r="D218" s="23" t="s">
        <v>25</v>
      </c>
      <c r="E218" s="27">
        <v>7080</v>
      </c>
      <c r="F218" s="25">
        <v>62.65446</v>
      </c>
      <c r="G218" s="26">
        <v>0.18003104342387699</v>
      </c>
      <c r="H218" s="28"/>
    </row>
    <row r="219" spans="2:8" x14ac:dyDescent="0.2">
      <c r="B219" s="23" t="s">
        <v>490</v>
      </c>
      <c r="C219" s="23" t="s">
        <v>491</v>
      </c>
      <c r="D219" s="23" t="s">
        <v>49</v>
      </c>
      <c r="E219" s="27">
        <v>4661</v>
      </c>
      <c r="F219" s="25">
        <v>60.308678999999998</v>
      </c>
      <c r="G219" s="26">
        <v>0.17329068685430599</v>
      </c>
      <c r="H219" s="28"/>
    </row>
    <row r="220" spans="2:8" x14ac:dyDescent="0.2">
      <c r="B220" s="23" t="s">
        <v>492</v>
      </c>
      <c r="C220" s="23" t="s">
        <v>493</v>
      </c>
      <c r="D220" s="23" t="s">
        <v>21</v>
      </c>
      <c r="E220" s="27">
        <v>17240</v>
      </c>
      <c r="F220" s="25">
        <v>60.107259999999997</v>
      </c>
      <c r="G220" s="26">
        <v>0.17271193040607599</v>
      </c>
      <c r="H220" s="28"/>
    </row>
    <row r="221" spans="2:8" x14ac:dyDescent="0.2">
      <c r="B221" s="23" t="s">
        <v>494</v>
      </c>
      <c r="C221" s="23" t="s">
        <v>495</v>
      </c>
      <c r="D221" s="23" t="s">
        <v>23</v>
      </c>
      <c r="E221" s="27">
        <v>5692</v>
      </c>
      <c r="F221" s="25">
        <v>59.834304000000003</v>
      </c>
      <c r="G221" s="26">
        <v>0.17192761986395599</v>
      </c>
      <c r="H221" s="28"/>
    </row>
    <row r="222" spans="2:8" x14ac:dyDescent="0.2">
      <c r="B222" s="23" t="s">
        <v>496</v>
      </c>
      <c r="C222" s="23" t="s">
        <v>497</v>
      </c>
      <c r="D222" s="23" t="s">
        <v>33</v>
      </c>
      <c r="E222" s="27">
        <v>18431</v>
      </c>
      <c r="F222" s="25">
        <v>59.0805705</v>
      </c>
      <c r="G222" s="26">
        <v>0.16976184541679701</v>
      </c>
      <c r="H222" s="28"/>
    </row>
    <row r="223" spans="2:8" x14ac:dyDescent="0.2">
      <c r="B223" s="23" t="s">
        <v>498</v>
      </c>
      <c r="C223" s="23" t="s">
        <v>499</v>
      </c>
      <c r="D223" s="23" t="s">
        <v>33</v>
      </c>
      <c r="E223" s="27">
        <v>17788</v>
      </c>
      <c r="F223" s="25">
        <v>57.864364000000002</v>
      </c>
      <c r="G223" s="26">
        <v>0.16626720313252999</v>
      </c>
      <c r="H223" s="28"/>
    </row>
    <row r="224" spans="2:8" x14ac:dyDescent="0.2">
      <c r="B224" s="23" t="s">
        <v>500</v>
      </c>
      <c r="C224" s="23" t="s">
        <v>501</v>
      </c>
      <c r="D224" s="23" t="s">
        <v>52</v>
      </c>
      <c r="E224" s="27">
        <v>6740</v>
      </c>
      <c r="F224" s="25">
        <v>57.471980000000002</v>
      </c>
      <c r="G224" s="26">
        <v>0.165139728712628</v>
      </c>
      <c r="H224" s="28"/>
    </row>
    <row r="225" spans="2:8" x14ac:dyDescent="0.2">
      <c r="B225" s="23" t="s">
        <v>502</v>
      </c>
      <c r="C225" s="23" t="s">
        <v>503</v>
      </c>
      <c r="D225" s="23" t="s">
        <v>48</v>
      </c>
      <c r="E225" s="27">
        <v>13880</v>
      </c>
      <c r="F225" s="25">
        <v>57.379919999999998</v>
      </c>
      <c r="G225" s="26">
        <v>0.16487520392289001</v>
      </c>
      <c r="H225" s="28"/>
    </row>
    <row r="226" spans="2:8" x14ac:dyDescent="0.2">
      <c r="B226" s="23" t="s">
        <v>504</v>
      </c>
      <c r="C226" s="23" t="s">
        <v>505</v>
      </c>
      <c r="D226" s="23" t="s">
        <v>21</v>
      </c>
      <c r="E226" s="27">
        <v>43562</v>
      </c>
      <c r="F226" s="25">
        <v>56.469420599999999</v>
      </c>
      <c r="G226" s="26">
        <v>0.16225897904410599</v>
      </c>
      <c r="H226" s="28"/>
    </row>
    <row r="227" spans="2:8" x14ac:dyDescent="0.2">
      <c r="B227" s="23" t="s">
        <v>506</v>
      </c>
      <c r="C227" s="23" t="s">
        <v>507</v>
      </c>
      <c r="D227" s="23" t="s">
        <v>48</v>
      </c>
      <c r="E227" s="27">
        <v>20863</v>
      </c>
      <c r="F227" s="25">
        <v>54.431567000000001</v>
      </c>
      <c r="G227" s="26">
        <v>0.15640341968004601</v>
      </c>
      <c r="H227" s="28"/>
    </row>
    <row r="228" spans="2:8" x14ac:dyDescent="0.2">
      <c r="B228" s="23" t="s">
        <v>508</v>
      </c>
      <c r="C228" s="23" t="s">
        <v>509</v>
      </c>
      <c r="D228" s="23" t="s">
        <v>24</v>
      </c>
      <c r="E228" s="27">
        <v>83757</v>
      </c>
      <c r="F228" s="25">
        <v>54.115397700000003</v>
      </c>
      <c r="G228" s="26">
        <v>0.155494940236163</v>
      </c>
      <c r="H228" s="28"/>
    </row>
    <row r="229" spans="2:8" x14ac:dyDescent="0.2">
      <c r="B229" s="23" t="s">
        <v>510</v>
      </c>
      <c r="C229" s="23" t="s">
        <v>511</v>
      </c>
      <c r="D229" s="23" t="s">
        <v>16</v>
      </c>
      <c r="E229" s="27">
        <v>17347</v>
      </c>
      <c r="F229" s="25">
        <v>53.793047000000001</v>
      </c>
      <c r="G229" s="26">
        <v>0.154568699185336</v>
      </c>
      <c r="H229" s="28"/>
    </row>
    <row r="230" spans="2:8" x14ac:dyDescent="0.2">
      <c r="B230" s="23" t="s">
        <v>512</v>
      </c>
      <c r="C230" s="23" t="s">
        <v>513</v>
      </c>
      <c r="D230" s="23" t="s">
        <v>231</v>
      </c>
      <c r="E230" s="27">
        <v>12579</v>
      </c>
      <c r="F230" s="25">
        <v>53.353828499999999</v>
      </c>
      <c r="G230" s="26">
        <v>0.153306650723884</v>
      </c>
      <c r="H230" s="28"/>
    </row>
    <row r="231" spans="2:8" x14ac:dyDescent="0.2">
      <c r="B231" s="23" t="s">
        <v>514</v>
      </c>
      <c r="C231" s="23" t="s">
        <v>515</v>
      </c>
      <c r="D231" s="23" t="s">
        <v>57</v>
      </c>
      <c r="E231" s="27">
        <v>214890</v>
      </c>
      <c r="F231" s="25">
        <v>51.659556000000002</v>
      </c>
      <c r="G231" s="26">
        <v>0.148438335746477</v>
      </c>
      <c r="H231" s="28"/>
    </row>
    <row r="232" spans="2:8" x14ac:dyDescent="0.2">
      <c r="B232" s="23" t="s">
        <v>516</v>
      </c>
      <c r="C232" s="23" t="s">
        <v>517</v>
      </c>
      <c r="D232" s="23" t="s">
        <v>10</v>
      </c>
      <c r="E232" s="27">
        <v>167503</v>
      </c>
      <c r="F232" s="25">
        <v>51.540673099999999</v>
      </c>
      <c r="G232" s="26">
        <v>0.14809673815658</v>
      </c>
      <c r="H232" s="28"/>
    </row>
    <row r="233" spans="2:8" x14ac:dyDescent="0.2">
      <c r="B233" s="23" t="s">
        <v>518</v>
      </c>
      <c r="C233" s="23" t="s">
        <v>519</v>
      </c>
      <c r="D233" s="23" t="s">
        <v>32</v>
      </c>
      <c r="E233" s="27">
        <v>9210</v>
      </c>
      <c r="F233" s="25">
        <v>51.419429999999998</v>
      </c>
      <c r="G233" s="26">
        <v>0.14774835877862499</v>
      </c>
      <c r="H233" s="28"/>
    </row>
    <row r="234" spans="2:8" x14ac:dyDescent="0.2">
      <c r="B234" s="23" t="s">
        <v>520</v>
      </c>
      <c r="C234" s="23" t="s">
        <v>521</v>
      </c>
      <c r="D234" s="23" t="s">
        <v>53</v>
      </c>
      <c r="E234" s="27">
        <v>2867</v>
      </c>
      <c r="F234" s="25">
        <v>50.631219999999999</v>
      </c>
      <c r="G234" s="26">
        <v>0.145483519711507</v>
      </c>
      <c r="H234" s="28"/>
    </row>
    <row r="235" spans="2:8" x14ac:dyDescent="0.2">
      <c r="B235" s="23" t="s">
        <v>522</v>
      </c>
      <c r="C235" s="23" t="s">
        <v>523</v>
      </c>
      <c r="D235" s="23" t="s">
        <v>458</v>
      </c>
      <c r="E235" s="27">
        <v>16538</v>
      </c>
      <c r="F235" s="25">
        <v>49.680152</v>
      </c>
      <c r="G235" s="26">
        <v>0.14275072520003801</v>
      </c>
      <c r="H235" s="28"/>
    </row>
    <row r="236" spans="2:8" x14ac:dyDescent="0.2">
      <c r="B236" s="23" t="s">
        <v>524</v>
      </c>
      <c r="C236" s="23" t="s">
        <v>525</v>
      </c>
      <c r="D236" s="23" t="s">
        <v>10</v>
      </c>
      <c r="E236" s="27">
        <v>195589</v>
      </c>
      <c r="F236" s="25">
        <v>49.307986900000003</v>
      </c>
      <c r="G236" s="26">
        <v>0.141681347676412</v>
      </c>
      <c r="H236" s="28"/>
    </row>
    <row r="237" spans="2:8" x14ac:dyDescent="0.2">
      <c r="B237" s="23" t="s">
        <v>526</v>
      </c>
      <c r="C237" s="23" t="s">
        <v>527</v>
      </c>
      <c r="D237" s="23" t="s">
        <v>27</v>
      </c>
      <c r="E237" s="27">
        <v>24824</v>
      </c>
      <c r="F237" s="25">
        <v>48.694758399999998</v>
      </c>
      <c r="G237" s="26">
        <v>0.139919299663992</v>
      </c>
      <c r="H237" s="28"/>
    </row>
    <row r="238" spans="2:8" x14ac:dyDescent="0.2">
      <c r="B238" s="23" t="s">
        <v>528</v>
      </c>
      <c r="C238" s="23" t="s">
        <v>529</v>
      </c>
      <c r="D238" s="23" t="s">
        <v>14</v>
      </c>
      <c r="E238" s="27">
        <v>10938</v>
      </c>
      <c r="F238" s="25">
        <v>48.422525999999998</v>
      </c>
      <c r="G238" s="26">
        <v>0.13913706831085601</v>
      </c>
      <c r="H238" s="28"/>
    </row>
    <row r="239" spans="2:8" x14ac:dyDescent="0.2">
      <c r="B239" s="23" t="s">
        <v>530</v>
      </c>
      <c r="C239" s="23" t="s">
        <v>531</v>
      </c>
      <c r="D239" s="23" t="s">
        <v>20</v>
      </c>
      <c r="E239" s="27">
        <v>1018</v>
      </c>
      <c r="F239" s="25">
        <v>48.268470000000001</v>
      </c>
      <c r="G239" s="26">
        <v>0.13869440449369599</v>
      </c>
      <c r="H239" s="28"/>
    </row>
    <row r="240" spans="2:8" x14ac:dyDescent="0.2">
      <c r="B240" s="23" t="s">
        <v>532</v>
      </c>
      <c r="C240" s="23" t="s">
        <v>533</v>
      </c>
      <c r="D240" s="23" t="s">
        <v>29</v>
      </c>
      <c r="E240" s="27">
        <v>34436</v>
      </c>
      <c r="F240" s="25">
        <v>47.535454399999999</v>
      </c>
      <c r="G240" s="26">
        <v>0.13658816076716801</v>
      </c>
      <c r="H240" s="28"/>
    </row>
    <row r="241" spans="2:8" x14ac:dyDescent="0.2">
      <c r="B241" s="23" t="s">
        <v>534</v>
      </c>
      <c r="C241" s="23" t="s">
        <v>535</v>
      </c>
      <c r="D241" s="23" t="s">
        <v>11</v>
      </c>
      <c r="E241" s="27">
        <v>15034</v>
      </c>
      <c r="F241" s="25">
        <v>47.402202000000003</v>
      </c>
      <c r="G241" s="26">
        <v>0.136205273920634</v>
      </c>
      <c r="H241" s="28"/>
    </row>
    <row r="242" spans="2:8" x14ac:dyDescent="0.2">
      <c r="B242" s="23" t="s">
        <v>536</v>
      </c>
      <c r="C242" s="23" t="s">
        <v>537</v>
      </c>
      <c r="D242" s="23" t="s">
        <v>15</v>
      </c>
      <c r="E242" s="27">
        <v>23046</v>
      </c>
      <c r="F242" s="25">
        <v>46.608230399999997</v>
      </c>
      <c r="G242" s="26">
        <v>0.133923879498003</v>
      </c>
      <c r="H242" s="28"/>
    </row>
    <row r="243" spans="2:8" x14ac:dyDescent="0.2">
      <c r="B243" s="23" t="s">
        <v>538</v>
      </c>
      <c r="C243" s="23" t="s">
        <v>539</v>
      </c>
      <c r="D243" s="23" t="s">
        <v>21</v>
      </c>
      <c r="E243" s="27">
        <v>11833</v>
      </c>
      <c r="F243" s="25">
        <v>45.196143499999998</v>
      </c>
      <c r="G243" s="26">
        <v>0.12986639535382299</v>
      </c>
      <c r="H243" s="28"/>
    </row>
    <row r="244" spans="2:8" x14ac:dyDescent="0.2">
      <c r="B244" s="23" t="s">
        <v>540</v>
      </c>
      <c r="C244" s="23" t="s">
        <v>541</v>
      </c>
      <c r="D244" s="23" t="s">
        <v>17</v>
      </c>
      <c r="E244" s="27">
        <v>2969</v>
      </c>
      <c r="F244" s="25">
        <v>44.582504</v>
      </c>
      <c r="G244" s="26">
        <v>0.12810316637585201</v>
      </c>
      <c r="H244" s="28"/>
    </row>
    <row r="245" spans="2:8" x14ac:dyDescent="0.2">
      <c r="B245" s="23" t="s">
        <v>542</v>
      </c>
      <c r="C245" s="23" t="s">
        <v>543</v>
      </c>
      <c r="D245" s="23" t="s">
        <v>54</v>
      </c>
      <c r="E245" s="27">
        <v>30448</v>
      </c>
      <c r="F245" s="25">
        <v>44.000404799999998</v>
      </c>
      <c r="G245" s="26">
        <v>0.126430565153972</v>
      </c>
      <c r="H245" s="28"/>
    </row>
    <row r="246" spans="2:8" x14ac:dyDescent="0.2">
      <c r="B246" s="23" t="s">
        <v>544</v>
      </c>
      <c r="C246" s="23" t="s">
        <v>545</v>
      </c>
      <c r="D246" s="23" t="s">
        <v>12</v>
      </c>
      <c r="E246" s="27">
        <v>30311</v>
      </c>
      <c r="F246" s="25">
        <v>43.938825600000001</v>
      </c>
      <c r="G246" s="26">
        <v>0.126253623757794</v>
      </c>
      <c r="H246" s="28"/>
    </row>
    <row r="247" spans="2:8" x14ac:dyDescent="0.2">
      <c r="B247" s="23" t="s">
        <v>546</v>
      </c>
      <c r="C247" s="23" t="s">
        <v>547</v>
      </c>
      <c r="D247" s="23" t="s">
        <v>19</v>
      </c>
      <c r="E247" s="27">
        <v>6932</v>
      </c>
      <c r="F247" s="25">
        <v>43.078913999999997</v>
      </c>
      <c r="G247" s="26">
        <v>0.123782757635888</v>
      </c>
      <c r="H247" s="28"/>
    </row>
    <row r="248" spans="2:8" x14ac:dyDescent="0.2">
      <c r="B248" s="23" t="s">
        <v>548</v>
      </c>
      <c r="C248" s="23" t="s">
        <v>549</v>
      </c>
      <c r="D248" s="23" t="s">
        <v>47</v>
      </c>
      <c r="E248" s="27">
        <v>10432</v>
      </c>
      <c r="F248" s="25">
        <v>42.416511999999997</v>
      </c>
      <c r="G248" s="26">
        <v>0.12187941470984499</v>
      </c>
      <c r="H248" s="28"/>
    </row>
    <row r="249" spans="2:8" x14ac:dyDescent="0.2">
      <c r="B249" s="23" t="s">
        <v>550</v>
      </c>
      <c r="C249" s="23" t="s">
        <v>551</v>
      </c>
      <c r="D249" s="23" t="s">
        <v>14</v>
      </c>
      <c r="E249" s="27">
        <v>12446</v>
      </c>
      <c r="F249" s="25">
        <v>40.144573000000001</v>
      </c>
      <c r="G249" s="26">
        <v>0.11535123541079099</v>
      </c>
      <c r="H249" s="28"/>
    </row>
    <row r="250" spans="2:8" x14ac:dyDescent="0.2">
      <c r="B250" s="23" t="s">
        <v>552</v>
      </c>
      <c r="C250" s="23" t="s">
        <v>553</v>
      </c>
      <c r="D250" s="23" t="s">
        <v>48</v>
      </c>
      <c r="E250" s="27">
        <v>3137</v>
      </c>
      <c r="F250" s="25">
        <v>38.415702000000003</v>
      </c>
      <c r="G250" s="26">
        <v>0.11038350525917399</v>
      </c>
      <c r="H250" s="28"/>
    </row>
    <row r="251" spans="2:8" x14ac:dyDescent="0.2">
      <c r="B251" s="23" t="s">
        <v>554</v>
      </c>
      <c r="C251" s="23" t="s">
        <v>555</v>
      </c>
      <c r="D251" s="23" t="s">
        <v>11</v>
      </c>
      <c r="E251" s="27">
        <v>86464</v>
      </c>
      <c r="F251" s="25">
        <v>37.015238400000001</v>
      </c>
      <c r="G251" s="26">
        <v>0.10635941945291</v>
      </c>
      <c r="H251" s="28"/>
    </row>
    <row r="252" spans="2:8" x14ac:dyDescent="0.2">
      <c r="B252" s="23" t="s">
        <v>556</v>
      </c>
      <c r="C252" s="23" t="s">
        <v>557</v>
      </c>
      <c r="D252" s="23" t="s">
        <v>47</v>
      </c>
      <c r="E252" s="27">
        <v>5215</v>
      </c>
      <c r="F252" s="25">
        <v>34.911817499999998</v>
      </c>
      <c r="G252" s="26">
        <v>0.10031545930407799</v>
      </c>
      <c r="H252" s="28"/>
    </row>
    <row r="253" spans="2:8" x14ac:dyDescent="0.2">
      <c r="B253" s="23" t="s">
        <v>558</v>
      </c>
      <c r="C253" s="23" t="s">
        <v>559</v>
      </c>
      <c r="D253" s="23" t="s">
        <v>28</v>
      </c>
      <c r="E253" s="27">
        <v>9218</v>
      </c>
      <c r="F253" s="25">
        <v>34.433838999999999</v>
      </c>
      <c r="G253" s="26">
        <v>9.8942038033043106E-2</v>
      </c>
      <c r="H253" s="28"/>
    </row>
    <row r="254" spans="2:8" x14ac:dyDescent="0.2">
      <c r="B254" s="23" t="s">
        <v>560</v>
      </c>
      <c r="C254" s="23" t="s">
        <v>561</v>
      </c>
      <c r="D254" s="23" t="s">
        <v>23</v>
      </c>
      <c r="E254" s="27">
        <v>6041</v>
      </c>
      <c r="F254" s="25">
        <v>27.1452335</v>
      </c>
      <c r="G254" s="26">
        <v>7.7998991787492394E-2</v>
      </c>
      <c r="H254" s="28"/>
    </row>
    <row r="255" spans="2:8" x14ac:dyDescent="0.2">
      <c r="B255" s="23" t="s">
        <v>562</v>
      </c>
      <c r="C255" s="23" t="s">
        <v>563</v>
      </c>
      <c r="D255" s="23" t="s">
        <v>14</v>
      </c>
      <c r="E255" s="27">
        <v>2981</v>
      </c>
      <c r="F255" s="25">
        <v>24.436747499999999</v>
      </c>
      <c r="G255" s="26">
        <v>7.0216440303065605E-2</v>
      </c>
      <c r="H255" s="28"/>
    </row>
    <row r="256" spans="2:8" x14ac:dyDescent="0.2">
      <c r="B256" s="23" t="s">
        <v>564</v>
      </c>
      <c r="C256" s="23" t="s">
        <v>565</v>
      </c>
      <c r="D256" s="23" t="s">
        <v>132</v>
      </c>
      <c r="E256" s="27">
        <v>26022</v>
      </c>
      <c r="F256" s="25">
        <v>16.883073599999999</v>
      </c>
      <c r="G256" s="26">
        <v>4.8511747709741801E-2</v>
      </c>
      <c r="H256" s="28"/>
    </row>
    <row r="257" spans="2:9" ht="10.5" x14ac:dyDescent="0.25">
      <c r="B257" s="22" t="s">
        <v>34</v>
      </c>
      <c r="C257" s="22"/>
      <c r="D257" s="22"/>
      <c r="E257" s="29"/>
      <c r="F257" s="30">
        <f>SUM(F7:F256)</f>
        <v>34811.523385899985</v>
      </c>
      <c r="G257" s="31">
        <f>SUM(G7:G256)</f>
        <v>100.02727464793834</v>
      </c>
      <c r="H257" s="22"/>
      <c r="I257" s="14"/>
    </row>
    <row r="258" spans="2:9" ht="10.5" x14ac:dyDescent="0.25">
      <c r="B258" s="22" t="s">
        <v>35</v>
      </c>
      <c r="C258" s="22"/>
      <c r="D258" s="22"/>
      <c r="E258" s="29"/>
      <c r="F258" s="32" t="s">
        <v>36</v>
      </c>
      <c r="G258" s="33" t="s">
        <v>36</v>
      </c>
      <c r="H258" s="22"/>
      <c r="I258" s="14"/>
    </row>
    <row r="259" spans="2:9" ht="10.5" x14ac:dyDescent="0.25">
      <c r="B259" s="22" t="s">
        <v>34</v>
      </c>
      <c r="C259" s="22"/>
      <c r="D259" s="22"/>
      <c r="E259" s="29"/>
      <c r="F259" s="34" t="s">
        <v>36</v>
      </c>
      <c r="G259" s="35" t="s">
        <v>36</v>
      </c>
      <c r="H259" s="22"/>
      <c r="I259" s="14"/>
    </row>
    <row r="260" spans="2:9" ht="10.5" x14ac:dyDescent="0.25">
      <c r="B260" s="36" t="s">
        <v>37</v>
      </c>
      <c r="C260" s="36"/>
      <c r="D260" s="36"/>
      <c r="E260" s="37"/>
      <c r="F260" s="38">
        <f>F257</f>
        <v>34811.523385899985</v>
      </c>
      <c r="G260" s="39">
        <f>G257</f>
        <v>100.02727464793834</v>
      </c>
      <c r="H260" s="22"/>
      <c r="I260" s="14"/>
    </row>
    <row r="261" spans="2:9" ht="10.5" x14ac:dyDescent="0.25">
      <c r="B261" s="22" t="s">
        <v>38</v>
      </c>
      <c r="C261" s="22"/>
      <c r="D261" s="22"/>
      <c r="E261" s="29"/>
      <c r="F261" s="30">
        <v>298.46390009999999</v>
      </c>
      <c r="G261" s="31">
        <v>0.85760482748335398</v>
      </c>
      <c r="H261" s="28">
        <v>5.3499999999999999E-2</v>
      </c>
      <c r="I261" s="15"/>
    </row>
    <row r="262" spans="2:9" x14ac:dyDescent="0.2">
      <c r="B262" s="23"/>
      <c r="C262" s="23"/>
      <c r="D262" s="23"/>
      <c r="E262" s="24"/>
      <c r="F262" s="25"/>
      <c r="G262" s="26"/>
      <c r="H262" s="23"/>
    </row>
    <row r="263" spans="2:9" ht="10.5" x14ac:dyDescent="0.25">
      <c r="B263" s="45" t="s">
        <v>40</v>
      </c>
      <c r="C263" s="45"/>
      <c r="D263" s="45"/>
      <c r="E263" s="46"/>
      <c r="F263" s="30">
        <f>F264-(F257+F261)</f>
        <v>-307.95603159999155</v>
      </c>
      <c r="G263" s="31">
        <f>G264-(G257+G261)</f>
        <v>-0.8848794754216982</v>
      </c>
      <c r="H263" s="22"/>
      <c r="I263" s="14"/>
    </row>
    <row r="264" spans="2:9" ht="10.5" x14ac:dyDescent="0.25">
      <c r="B264" s="40" t="s">
        <v>39</v>
      </c>
      <c r="C264" s="40"/>
      <c r="D264" s="40"/>
      <c r="E264" s="41"/>
      <c r="F264" s="42">
        <v>34802.031254399997</v>
      </c>
      <c r="G264" s="43">
        <v>100</v>
      </c>
      <c r="H264" s="44"/>
      <c r="I264" s="14"/>
    </row>
    <row r="266" spans="2:9" ht="10.5" x14ac:dyDescent="0.25">
      <c r="B266" s="14"/>
    </row>
    <row r="267" spans="2:9" ht="10.5" x14ac:dyDescent="0.25">
      <c r="B267" s="14"/>
    </row>
    <row r="268" spans="2:9" ht="10.5" x14ac:dyDescent="0.2">
      <c r="B268" s="51" t="s">
        <v>42</v>
      </c>
    </row>
    <row r="269" spans="2:9" ht="10.5" x14ac:dyDescent="0.2">
      <c r="B269" s="51"/>
    </row>
    <row r="270" spans="2:9" x14ac:dyDescent="0.2">
      <c r="B270" s="53" t="s">
        <v>569</v>
      </c>
    </row>
    <row r="271" spans="2:9" x14ac:dyDescent="0.2">
      <c r="B271" s="53" t="s">
        <v>573</v>
      </c>
    </row>
    <row r="272" spans="2:9" x14ac:dyDescent="0.2">
      <c r="B272" s="53" t="s">
        <v>574</v>
      </c>
    </row>
    <row r="273" spans="2:7" ht="10.5" x14ac:dyDescent="0.2">
      <c r="B273" s="51"/>
    </row>
    <row r="274" spans="2:7" ht="10.5" x14ac:dyDescent="0.2">
      <c r="B274" s="56" t="s">
        <v>570</v>
      </c>
      <c r="C274" s="54" t="s">
        <v>571</v>
      </c>
      <c r="D274" s="59" t="s">
        <v>579</v>
      </c>
    </row>
    <row r="275" spans="2:7" x14ac:dyDescent="0.2">
      <c r="B275" s="55" t="s">
        <v>572</v>
      </c>
      <c r="C275" s="57">
        <v>9.9062000000000001</v>
      </c>
      <c r="D275" s="58">
        <v>10.062799999999999</v>
      </c>
    </row>
    <row r="276" spans="2:7" ht="10.5" x14ac:dyDescent="0.2">
      <c r="B276" s="51"/>
    </row>
    <row r="277" spans="2:7" x14ac:dyDescent="0.2">
      <c r="B277" s="53" t="s">
        <v>576</v>
      </c>
    </row>
    <row r="278" spans="2:7" x14ac:dyDescent="0.2">
      <c r="B278" s="53" t="s">
        <v>580</v>
      </c>
    </row>
    <row r="279" spans="2:7" x14ac:dyDescent="0.2">
      <c r="B279" s="53" t="s">
        <v>577</v>
      </c>
    </row>
    <row r="280" spans="2:7" x14ac:dyDescent="0.2">
      <c r="B280" s="60" t="s">
        <v>575</v>
      </c>
    </row>
    <row r="281" spans="2:7" x14ac:dyDescent="0.2">
      <c r="B281" s="53" t="s">
        <v>578</v>
      </c>
    </row>
    <row r="282" spans="2:7" ht="10.5" x14ac:dyDescent="0.25">
      <c r="B282" s="14"/>
      <c r="C282" s="14"/>
      <c r="D282" s="47"/>
      <c r="E282" s="16"/>
    </row>
    <row r="283" spans="2:7" ht="10.5" x14ac:dyDescent="0.25">
      <c r="B283" s="14" t="s">
        <v>43</v>
      </c>
      <c r="E283" s="8"/>
      <c r="G283" s="50"/>
    </row>
    <row r="284" spans="2:7" x14ac:dyDescent="0.2">
      <c r="E284" s="8"/>
      <c r="G284" s="50"/>
    </row>
    <row r="285" spans="2:7" x14ac:dyDescent="0.2">
      <c r="E285" s="8"/>
      <c r="G285" s="50"/>
    </row>
    <row r="286" spans="2:7" x14ac:dyDescent="0.2">
      <c r="E286" s="8"/>
      <c r="G286" s="50"/>
    </row>
    <row r="287" spans="2:7" x14ac:dyDescent="0.2">
      <c r="E287" s="8"/>
      <c r="G287" s="50"/>
    </row>
    <row r="288" spans="2:7" x14ac:dyDescent="0.2">
      <c r="E288" s="8"/>
      <c r="G288" s="50"/>
    </row>
    <row r="289" spans="2:7" x14ac:dyDescent="0.2">
      <c r="E289" s="8"/>
      <c r="G289" s="50"/>
    </row>
    <row r="290" spans="2:7" x14ac:dyDescent="0.2">
      <c r="E290" s="8"/>
      <c r="G290" s="50"/>
    </row>
    <row r="291" spans="2:7" x14ac:dyDescent="0.2">
      <c r="E291" s="8"/>
      <c r="G291" s="50"/>
    </row>
    <row r="292" spans="2:7" x14ac:dyDescent="0.2">
      <c r="E292" s="8"/>
      <c r="G292" s="50"/>
    </row>
    <row r="293" spans="2:7" x14ac:dyDescent="0.2">
      <c r="E293" s="8"/>
      <c r="G293" s="50"/>
    </row>
    <row r="294" spans="2:7" x14ac:dyDescent="0.2">
      <c r="E294" s="8"/>
      <c r="G294" s="50"/>
    </row>
    <row r="295" spans="2:7" x14ac:dyDescent="0.2">
      <c r="E295" s="8"/>
      <c r="G295" s="50"/>
    </row>
    <row r="296" spans="2:7" x14ac:dyDescent="0.2">
      <c r="E296" s="8"/>
      <c r="G296" s="50"/>
    </row>
    <row r="297" spans="2:7" x14ac:dyDescent="0.2">
      <c r="E297" s="8"/>
      <c r="G297" s="50"/>
    </row>
    <row r="298" spans="2:7" x14ac:dyDescent="0.2">
      <c r="E298" s="8"/>
      <c r="G298" s="50"/>
    </row>
    <row r="299" spans="2:7" x14ac:dyDescent="0.2">
      <c r="E299" s="8"/>
      <c r="G299" s="50"/>
    </row>
    <row r="300" spans="2:7" x14ac:dyDescent="0.2">
      <c r="E300" s="8"/>
      <c r="G300" s="50"/>
    </row>
    <row r="301" spans="2:7" ht="10.5" x14ac:dyDescent="0.2">
      <c r="B301" s="51" t="s">
        <v>566</v>
      </c>
      <c r="E301" s="8"/>
      <c r="G301" s="50"/>
    </row>
    <row r="302" spans="2:7" ht="10.5" x14ac:dyDescent="0.25">
      <c r="B302" s="52" t="s">
        <v>567</v>
      </c>
      <c r="E302" s="8"/>
      <c r="G302" s="50"/>
    </row>
    <row r="303" spans="2:7" x14ac:dyDescent="0.2">
      <c r="E303" s="8"/>
      <c r="G303" s="50"/>
    </row>
    <row r="304" spans="2:7" x14ac:dyDescent="0.2">
      <c r="E304" s="8"/>
      <c r="G304" s="50"/>
    </row>
    <row r="305" spans="5:7" x14ac:dyDescent="0.2">
      <c r="E305" s="8"/>
      <c r="G305" s="50"/>
    </row>
    <row r="306" spans="5:7" x14ac:dyDescent="0.2">
      <c r="E306" s="8"/>
      <c r="G306" s="50"/>
    </row>
    <row r="307" spans="5:7" x14ac:dyDescent="0.2">
      <c r="E307" s="8"/>
      <c r="G307" s="50"/>
    </row>
    <row r="308" spans="5:7" x14ac:dyDescent="0.2">
      <c r="E308" s="8"/>
      <c r="G308" s="50"/>
    </row>
    <row r="309" spans="5:7" x14ac:dyDescent="0.2">
      <c r="E309" s="8"/>
      <c r="G309" s="50"/>
    </row>
    <row r="310" spans="5:7" x14ac:dyDescent="0.2">
      <c r="E310" s="8"/>
      <c r="G310" s="50"/>
    </row>
    <row r="311" spans="5:7" x14ac:dyDescent="0.2">
      <c r="E311" s="8"/>
      <c r="G311" s="50"/>
    </row>
    <row r="312" spans="5:7" x14ac:dyDescent="0.2">
      <c r="E312" s="8"/>
      <c r="G312" s="50"/>
    </row>
    <row r="313" spans="5:7" x14ac:dyDescent="0.2">
      <c r="E313" s="8"/>
      <c r="G313" s="50"/>
    </row>
    <row r="314" spans="5:7" x14ac:dyDescent="0.2">
      <c r="E314" s="8"/>
      <c r="G314" s="50"/>
    </row>
    <row r="315" spans="5:7" x14ac:dyDescent="0.2">
      <c r="E315" s="8"/>
      <c r="G315" s="50"/>
    </row>
    <row r="316" spans="5:7" x14ac:dyDescent="0.2">
      <c r="E316" s="8"/>
      <c r="G316" s="50"/>
    </row>
    <row r="317" spans="5:7" x14ac:dyDescent="0.2">
      <c r="E317" s="8"/>
      <c r="G317" s="50"/>
    </row>
    <row r="318" spans="5:7" x14ac:dyDescent="0.2">
      <c r="E318" s="8"/>
      <c r="G318" s="50"/>
    </row>
    <row r="319" spans="5:7" x14ac:dyDescent="0.2">
      <c r="E319" s="8"/>
      <c r="G319" s="50"/>
    </row>
  </sheetData>
  <mergeCells count="1">
    <mergeCell ref="B1:C1"/>
  </mergeCells>
  <conditionalFormatting sqref="G1:G3 G5:G319">
    <cfRule type="cellIs" dxfId="0" priority="2" stopIfTrue="1" operator="between">
      <formula>0.009</formula>
      <formula>-0.009</formula>
    </cfRule>
  </conditionalFormatting>
  <hyperlinks>
    <hyperlink ref="A2" location="Index!A1" display="-" xr:uid="{486A7180-7959-485C-B2C5-425C685F0192}"/>
  </hyperlinks>
  <pageMargins left="0.7" right="0.7" top="0.75" bottom="0.75" header="0.3" footer="0.3"/>
  <pageSetup paperSize="9" scale="57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9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JBNS250</vt:lpstr>
      <vt:lpstr>JBNS250!Print_Area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2026-06-09T06:43:52Z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