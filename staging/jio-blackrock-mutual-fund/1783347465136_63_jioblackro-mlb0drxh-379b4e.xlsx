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2780DAD7-8218-49FF-81D4-AB194F014DC9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SHORT" sheetId="8" r:id="rId1"/>
  </sheets>
  <definedNames>
    <definedName name="_xlnm.Print_Area" localSheetId="0">JBSHORT!$B$1:$I$82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8" l="1"/>
  <c r="F23" i="8"/>
  <c r="G19" i="8"/>
  <c r="G24" i="8" s="1"/>
  <c r="F19" i="8"/>
  <c r="F24" i="8" s="1"/>
  <c r="G8" i="8"/>
  <c r="G11" i="8" s="1"/>
  <c r="F8" i="8"/>
  <c r="F28" i="8" s="1"/>
  <c r="G28" i="8" l="1"/>
  <c r="F11" i="8"/>
</calcChain>
</file>

<file path=xl/sharedStrings.xml><?xml version="1.0" encoding="utf-8"?>
<sst xmlns="http://schemas.openxmlformats.org/spreadsheetml/2006/main" count="57" uniqueCount="47">
  <si>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</si>
  <si>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</si>
  <si>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</si>
  <si>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</si>
  <si>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</si>
  <si>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</si>
  <si>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January 31, 2026</t>
  </si>
  <si>
    <t>JioBlackRock Short Duration Fund</t>
  </si>
  <si>
    <t>Yield to Call ^</t>
  </si>
  <si>
    <t>Money Market Instruments</t>
  </si>
  <si>
    <t>Certificate of Deposit</t>
  </si>
  <si>
    <t>CARE A1+</t>
  </si>
  <si>
    <t>HDFC Bank Ltd (24-Mar-2026)</t>
  </si>
  <si>
    <t>INE040A16GS5</t>
  </si>
  <si>
    <t>CRISIL A1+</t>
  </si>
  <si>
    <t>Punjab National Bank (18-Mar-2026)</t>
  </si>
  <si>
    <t>INE160A16RK5</t>
  </si>
  <si>
    <t>Canara Bank (28-Jan-2027) **</t>
  </si>
  <si>
    <t>INE476A16G28</t>
  </si>
  <si>
    <t>Indian Bank (06-Mar-2026) **</t>
  </si>
  <si>
    <t>INE562A16OG7</t>
  </si>
  <si>
    <t>Sub Total</t>
  </si>
  <si>
    <t>Commercial Paper</t>
  </si>
  <si>
    <t>LIC Housing Finance Ltd (18-Mar-2026) **</t>
  </si>
  <si>
    <t>INE115A14FL7</t>
  </si>
  <si>
    <t>Total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</si>
  <si>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</si>
  <si>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</si>
  <si>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</si>
  <si>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</si>
  <si>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</si>
  <si>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</si>
  <si>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 xml:space="preserve">Scheme Risk-O-Meter </t>
  </si>
  <si>
    <t>Debt Instruments</t>
  </si>
  <si>
    <t>(a) Listed / awaiting listing on Stock Exchanges</t>
  </si>
  <si>
    <t>CRISIL AAA</t>
  </si>
  <si>
    <t>(b) Privately Placed / Unlisted</t>
  </si>
  <si>
    <t>Nil</t>
  </si>
  <si>
    <t>Small Industries Development Bank of India (29-Jan-2027)</t>
  </si>
  <si>
    <t>INE556F16BX0</t>
  </si>
  <si>
    <t>7.64% REC Ltd (30-Apr-2027) **</t>
  </si>
  <si>
    <t>INE020B08EX7</t>
  </si>
  <si>
    <t>Bajaj Finance Ltd (25-Mar-2026) **</t>
  </si>
  <si>
    <t>INE296A14E38</t>
  </si>
  <si>
    <t>Benchmark Risk-O-Meter</t>
  </si>
  <si>
    <t>-</t>
  </si>
  <si>
    <t>Benchmark Name - NIFTY Short Duration Debt Index A-II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</si>
</sst>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3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6" fillId="2" borderId="5" xfId="0" applyFont="1" applyFill="1" applyBorder="1"/>
    <xf numFmtId="0" fontId="6" fillId="2" borderId="5" xfId="0" applyNumberFormat="1" applyFont="1" applyFill="1" applyBorder="1"/>
    <xf numFmtId="39" fontId="6" fillId="2" borderId="5" xfId="0" applyNumberFormat="1" applyFont="1" applyFill="1" applyBorder="1"/>
    <xf numFmtId="39" fontId="6" fillId="3" borderId="5" xfId="0" applyNumberFormat="1" applyFont="1" applyFill="1" applyBorder="1"/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39" fontId="5" fillId="2" borderId="5" xfId="0" applyNumberFormat="1" applyFont="1" applyFill="1" applyBorder="1" applyAlignment="1">
      <alignment horizontal="right"/>
    </xf>
    <xf numFmtId="39" fontId="5" fillId="3" borderId="5" xfId="0" applyNumberFormat="1" applyFont="1" applyFill="1" applyBorder="1" applyAlignment="1">
      <alignment horizontal="right"/>
    </xf>
    <xf numFmtId="0" fontId="9" fillId="2" borderId="0" xfId="1" applyFill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1504950</xdr:colOff>
      <xdr:row>62</xdr:row>
      <xdr:rowOff>63500</xdr:rowOff>
    </xdr:from>
    <xdr:to>
      <xdr:col>5</xdr:col>
      <xdr:colOff>311150</xdr:colOff>
      <xdr:row>79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26575A-5E93-42A7-8586-59529ACC8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6600" y="8801100"/>
          <a:ext cx="5159375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1619250</xdr:colOff>
      <xdr:row>37</xdr:row>
      <xdr:rowOff>114300</xdr:rowOff>
    </xdr:from>
    <xdr:to>
      <xdr:col>5</xdr:col>
      <xdr:colOff>425450</xdr:colOff>
      <xdr:row>54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E13499-D572-46BD-B0D0-37FAC7EDA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0900" y="5607050"/>
          <a:ext cx="5156200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CF3A7-61B8-415E-AD01-3E4324B3A910}">
  <dimension ref="A1:K60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453125" style="8" bestFit="1" customWidth="1"/>
    <col min="3" max="3" width="11.1796875" style="8" bestFit="1" customWidth="1"/>
    <col min="4" max="4" width="13.6328125" style="8" bestFit="1" customWidth="1"/>
    <col min="5" max="5" width="13.6328125" style="9" bestFit="1" customWidth="1"/>
    <col min="6" max="6" width="12.7265625" style="11" bestFit="1" customWidth="1"/>
    <col min="7" max="7" width="8.81640625" style="17" customWidth="1"/>
    <col min="8" max="8" width="11.81640625" style="14" bestFit="1" customWidth="1"/>
    <col min="9" max="9" width="10.08984375" style="14" bestFit="1" customWidth="1"/>
    <col min="10" max="10" width="25.81640625" style="8" customWidth="1"/>
    <col min="11" max="16384" width="9.08984375" style="8"/>
  </cols>
  <sheetData>
    <row r="1" spans="1:11" s="1" customFormat="1" ht="16.75" customHeight="1" x14ac:dyDescent="0.35">
      <c r="B1" s="60" t="s">
        <v>7</v>
      </c>
      <c r="C1" s="61"/>
      <c r="D1" s="13"/>
      <c r="E1" s="6"/>
      <c r="F1" s="7"/>
      <c r="G1" s="17"/>
      <c r="H1" s="14"/>
      <c r="I1" s="15"/>
    </row>
    <row r="2" spans="1:11" s="1" customFormat="1" ht="14.5" x14ac:dyDescent="0.35">
      <c r="A2" s="59" t="s">
        <v>45</v>
      </c>
      <c r="E2" s="6"/>
      <c r="F2" s="7"/>
      <c r="G2" s="17"/>
      <c r="H2" s="14"/>
      <c r="I2" s="15"/>
    </row>
    <row r="3" spans="1:11" s="1" customFormat="1" ht="11.5" x14ac:dyDescent="0.25">
      <c r="B3" s="10" t="s">
        <v>6</v>
      </c>
      <c r="C3" s="2"/>
      <c r="D3" s="3"/>
      <c r="E3" s="4"/>
      <c r="F3" s="5"/>
      <c r="G3" s="17"/>
      <c r="H3" s="14"/>
      <c r="I3" s="15"/>
    </row>
    <row r="4" spans="1:11" s="1" customFormat="1" ht="21" x14ac:dyDescent="0.25">
      <c r="B4" s="19" t="s">
        <v>4</v>
      </c>
      <c r="C4" s="19" t="s">
        <v>5</v>
      </c>
      <c r="D4" s="20" t="s">
        <v>29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8</v>
      </c>
      <c r="J4" s="16"/>
      <c r="K4" s="12"/>
    </row>
    <row r="5" spans="1:11" ht="10.5" x14ac:dyDescent="0.25">
      <c r="B5" s="25" t="s">
        <v>33</v>
      </c>
      <c r="C5" s="26"/>
      <c r="D5" s="26"/>
      <c r="E5" s="27"/>
      <c r="F5" s="28"/>
      <c r="G5" s="29"/>
      <c r="H5" s="30"/>
      <c r="I5" s="30"/>
    </row>
    <row r="6" spans="1:11" ht="10.5" x14ac:dyDescent="0.25">
      <c r="B6" s="25" t="s">
        <v>34</v>
      </c>
      <c r="C6" s="26"/>
      <c r="D6" s="26"/>
      <c r="E6" s="27"/>
      <c r="F6" s="28"/>
      <c r="G6" s="29"/>
      <c r="H6" s="30"/>
      <c r="I6" s="30"/>
    </row>
    <row r="7" spans="1:11" x14ac:dyDescent="0.2">
      <c r="B7" s="26" t="s">
        <v>40</v>
      </c>
      <c r="C7" s="26" t="s">
        <v>41</v>
      </c>
      <c r="D7" s="26" t="s">
        <v>35</v>
      </c>
      <c r="E7" s="31">
        <v>2500</v>
      </c>
      <c r="F7" s="28">
        <v>2512.5700000000002</v>
      </c>
      <c r="G7" s="29">
        <v>9.3537339293674204</v>
      </c>
      <c r="H7" s="32">
        <v>7.1599999999999997E-2</v>
      </c>
      <c r="I7" s="33"/>
    </row>
    <row r="8" spans="1:11" ht="10.5" x14ac:dyDescent="0.25">
      <c r="B8" s="25" t="s">
        <v>21</v>
      </c>
      <c r="C8" s="25"/>
      <c r="D8" s="25"/>
      <c r="E8" s="34"/>
      <c r="F8" s="38">
        <f>SUM(F6:F7)</f>
        <v>2512.5700000000002</v>
      </c>
      <c r="G8" s="39">
        <f>SUM(G6:G7)</f>
        <v>9.3537339293674204</v>
      </c>
      <c r="H8" s="37"/>
      <c r="I8" s="37"/>
    </row>
    <row r="9" spans="1:11" ht="10.5" x14ac:dyDescent="0.25">
      <c r="B9" s="40" t="s">
        <v>36</v>
      </c>
      <c r="C9" s="51"/>
      <c r="D9" s="51"/>
      <c r="E9" s="52"/>
      <c r="F9" s="53"/>
      <c r="G9" s="54"/>
      <c r="H9" s="30"/>
      <c r="I9" s="30"/>
    </row>
    <row r="10" spans="1:11" ht="10.5" x14ac:dyDescent="0.25">
      <c r="B10" s="25" t="s">
        <v>21</v>
      </c>
      <c r="C10" s="25"/>
      <c r="D10" s="25"/>
      <c r="E10" s="34"/>
      <c r="F10" s="55" t="s">
        <v>37</v>
      </c>
      <c r="G10" s="56" t="s">
        <v>37</v>
      </c>
      <c r="H10" s="37"/>
      <c r="I10" s="37"/>
    </row>
    <row r="11" spans="1:11" ht="10.5" x14ac:dyDescent="0.25">
      <c r="B11" s="40" t="s">
        <v>25</v>
      </c>
      <c r="C11" s="40"/>
      <c r="D11" s="40"/>
      <c r="E11" s="41"/>
      <c r="F11" s="57">
        <f>F8</f>
        <v>2512.5700000000002</v>
      </c>
      <c r="G11" s="58">
        <f>G8</f>
        <v>9.3537339293674204</v>
      </c>
      <c r="H11" s="37"/>
      <c r="I11" s="37"/>
    </row>
    <row r="12" spans="1:11" ht="10.5" x14ac:dyDescent="0.25">
      <c r="B12" s="25" t="s">
        <v>9</v>
      </c>
      <c r="C12" s="26"/>
      <c r="D12" s="26"/>
      <c r="E12" s="27"/>
      <c r="F12" s="28"/>
      <c r="G12" s="29"/>
      <c r="H12" s="30"/>
      <c r="I12" s="30"/>
    </row>
    <row r="13" spans="1:11" ht="10.5" x14ac:dyDescent="0.25">
      <c r="B13" s="25" t="s">
        <v>10</v>
      </c>
      <c r="C13" s="26"/>
      <c r="D13" s="26"/>
      <c r="E13" s="27"/>
      <c r="F13" s="28"/>
      <c r="G13" s="29"/>
      <c r="H13" s="30"/>
      <c r="I13" s="30"/>
    </row>
    <row r="14" spans="1:11" x14ac:dyDescent="0.2">
      <c r="B14" s="26" t="s">
        <v>19</v>
      </c>
      <c r="C14" s="26" t="s">
        <v>20</v>
      </c>
      <c r="D14" s="26" t="s">
        <v>14</v>
      </c>
      <c r="E14" s="31">
        <v>500</v>
      </c>
      <c r="F14" s="28">
        <v>2485.1</v>
      </c>
      <c r="G14" s="29">
        <v>9.2514692875704796</v>
      </c>
      <c r="H14" s="32">
        <v>6.6316E-2</v>
      </c>
      <c r="I14" s="33"/>
    </row>
    <row r="15" spans="1:11" x14ac:dyDescent="0.2">
      <c r="B15" s="26" t="s">
        <v>15</v>
      </c>
      <c r="C15" s="26" t="s">
        <v>16</v>
      </c>
      <c r="D15" s="26" t="s">
        <v>14</v>
      </c>
      <c r="E15" s="31">
        <v>500</v>
      </c>
      <c r="F15" s="28">
        <v>2479.6075000000001</v>
      </c>
      <c r="G15" s="29">
        <v>9.2310219433742802</v>
      </c>
      <c r="H15" s="32">
        <v>6.6706000000000001E-2</v>
      </c>
      <c r="I15" s="33"/>
    </row>
    <row r="16" spans="1:11" x14ac:dyDescent="0.2">
      <c r="B16" s="26" t="s">
        <v>12</v>
      </c>
      <c r="C16" s="26" t="s">
        <v>13</v>
      </c>
      <c r="D16" s="26" t="s">
        <v>11</v>
      </c>
      <c r="E16" s="31">
        <v>500</v>
      </c>
      <c r="F16" s="28">
        <v>2476.8125</v>
      </c>
      <c r="G16" s="29">
        <v>9.2206167859726609</v>
      </c>
      <c r="H16" s="32">
        <v>6.7001000000000005E-2</v>
      </c>
      <c r="I16" s="33"/>
    </row>
    <row r="17" spans="2:9" x14ac:dyDescent="0.2">
      <c r="B17" s="26" t="s">
        <v>17</v>
      </c>
      <c r="C17" s="26" t="s">
        <v>18</v>
      </c>
      <c r="D17" s="26" t="s">
        <v>14</v>
      </c>
      <c r="E17" s="31">
        <v>500</v>
      </c>
      <c r="F17" s="28">
        <v>2337.8000000000002</v>
      </c>
      <c r="G17" s="29">
        <v>8.7031044627911491</v>
      </c>
      <c r="H17" s="32">
        <v>7.0150000000000004E-2</v>
      </c>
      <c r="I17" s="33"/>
    </row>
    <row r="18" spans="2:9" x14ac:dyDescent="0.2">
      <c r="B18" s="26" t="s">
        <v>38</v>
      </c>
      <c r="C18" s="26" t="s">
        <v>39</v>
      </c>
      <c r="D18" s="26" t="s">
        <v>14</v>
      </c>
      <c r="E18" s="31">
        <v>500</v>
      </c>
      <c r="F18" s="28">
        <v>2333.3775000000001</v>
      </c>
      <c r="G18" s="29">
        <v>8.6866404883336692</v>
      </c>
      <c r="H18" s="32">
        <v>7.1999999999999995E-2</v>
      </c>
      <c r="I18" s="33"/>
    </row>
    <row r="19" spans="2:9" ht="10.5" x14ac:dyDescent="0.25">
      <c r="B19" s="25" t="s">
        <v>21</v>
      </c>
      <c r="C19" s="25"/>
      <c r="D19" s="25"/>
      <c r="E19" s="34"/>
      <c r="F19" s="35">
        <f>SUM(F13:F18)</f>
        <v>12112.6975</v>
      </c>
      <c r="G19" s="36">
        <f>SUM(G13:G18)</f>
        <v>45.092852968042237</v>
      </c>
      <c r="H19" s="37"/>
      <c r="I19" s="37"/>
    </row>
    <row r="20" spans="2:9" ht="10.5" x14ac:dyDescent="0.25">
      <c r="B20" s="25" t="s">
        <v>22</v>
      </c>
      <c r="C20" s="26"/>
      <c r="D20" s="26"/>
      <c r="E20" s="27"/>
      <c r="F20" s="28"/>
      <c r="G20" s="29"/>
      <c r="H20" s="30"/>
      <c r="I20" s="30"/>
    </row>
    <row r="21" spans="2:9" x14ac:dyDescent="0.2">
      <c r="B21" s="26" t="s">
        <v>23</v>
      </c>
      <c r="C21" s="26" t="s">
        <v>24</v>
      </c>
      <c r="D21" s="26" t="s">
        <v>14</v>
      </c>
      <c r="E21" s="31">
        <v>500</v>
      </c>
      <c r="F21" s="28">
        <v>2479.3525</v>
      </c>
      <c r="G21" s="29">
        <v>9.2300726356328102</v>
      </c>
      <c r="H21" s="32">
        <v>6.7547999999999997E-2</v>
      </c>
      <c r="I21" s="33"/>
    </row>
    <row r="22" spans="2:9" x14ac:dyDescent="0.2">
      <c r="B22" s="26" t="s">
        <v>42</v>
      </c>
      <c r="C22" s="26" t="s">
        <v>43</v>
      </c>
      <c r="D22" s="26" t="s">
        <v>14</v>
      </c>
      <c r="E22" s="31">
        <v>500</v>
      </c>
      <c r="F22" s="28">
        <v>2475.35</v>
      </c>
      <c r="G22" s="29">
        <v>9.2151722268671694</v>
      </c>
      <c r="H22" s="32">
        <v>6.9899000000000003E-2</v>
      </c>
      <c r="I22" s="33"/>
    </row>
    <row r="23" spans="2:9" ht="10.5" x14ac:dyDescent="0.25">
      <c r="B23" s="25" t="s">
        <v>21</v>
      </c>
      <c r="C23" s="25"/>
      <c r="D23" s="25"/>
      <c r="E23" s="34"/>
      <c r="F23" s="38">
        <f>SUM(F20:F22)</f>
        <v>4954.7024999999994</v>
      </c>
      <c r="G23" s="39">
        <f>SUM(G20:G22)</f>
        <v>18.44524486249998</v>
      </c>
      <c r="H23" s="37"/>
      <c r="I23" s="37"/>
    </row>
    <row r="24" spans="2:9" ht="10.5" x14ac:dyDescent="0.25">
      <c r="B24" s="40" t="s">
        <v>25</v>
      </c>
      <c r="C24" s="40"/>
      <c r="D24" s="40"/>
      <c r="E24" s="41"/>
      <c r="F24" s="42">
        <f>+F19+F23</f>
        <v>17067.400000000001</v>
      </c>
      <c r="G24" s="43">
        <f>+G19+G23</f>
        <v>63.538097830542213</v>
      </c>
      <c r="H24" s="37"/>
      <c r="I24" s="37"/>
    </row>
    <row r="25" spans="2:9" ht="10.5" x14ac:dyDescent="0.25">
      <c r="B25" s="25"/>
      <c r="C25" s="26"/>
      <c r="D25" s="26"/>
      <c r="E25" s="27"/>
      <c r="F25" s="28"/>
      <c r="G25" s="29"/>
      <c r="H25" s="30"/>
      <c r="I25" s="30"/>
    </row>
    <row r="26" spans="2:9" ht="10.5" x14ac:dyDescent="0.25">
      <c r="B26" s="25" t="s">
        <v>26</v>
      </c>
      <c r="C26" s="25"/>
      <c r="D26" s="25"/>
      <c r="E26" s="34"/>
      <c r="F26" s="35">
        <v>6930.9152870999997</v>
      </c>
      <c r="G26" s="36">
        <v>25.802241323632199</v>
      </c>
      <c r="H26" s="32">
        <v>5.04819029E-2</v>
      </c>
      <c r="I26" s="32"/>
    </row>
    <row r="27" spans="2:9" x14ac:dyDescent="0.2">
      <c r="B27" s="26"/>
      <c r="C27" s="26"/>
      <c r="D27" s="26"/>
      <c r="E27" s="27"/>
      <c r="F27" s="28"/>
      <c r="G27" s="29"/>
      <c r="H27" s="30"/>
      <c r="I27" s="30"/>
    </row>
    <row r="28" spans="2:9" ht="10.5" x14ac:dyDescent="0.25">
      <c r="B28" s="49" t="s">
        <v>28</v>
      </c>
      <c r="C28" s="49"/>
      <c r="D28" s="49"/>
      <c r="E28" s="50"/>
      <c r="F28" s="35">
        <f>F29-(F8+F19+F23+F26)</f>
        <v>350.79389869999795</v>
      </c>
      <c r="G28" s="36">
        <f>G29-(G8+G19+G23+G26)</f>
        <v>1.3059269164581622</v>
      </c>
      <c r="H28" s="37"/>
      <c r="I28" s="37"/>
    </row>
    <row r="29" spans="2:9" ht="10.5" x14ac:dyDescent="0.25">
      <c r="B29" s="44" t="s">
        <v>27</v>
      </c>
      <c r="C29" s="44"/>
      <c r="D29" s="44"/>
      <c r="E29" s="45"/>
      <c r="F29" s="46">
        <v>26861.6791858</v>
      </c>
      <c r="G29" s="47">
        <v>100</v>
      </c>
      <c r="H29" s="48"/>
      <c r="I29" s="48"/>
    </row>
    <row r="31" spans="2:9" ht="10.5" x14ac:dyDescent="0.25">
      <c r="B31" s="18" t="s">
        <v>30</v>
      </c>
    </row>
    <row r="32" spans="2:9" ht="40" customHeight="1" x14ac:dyDescent="0.2">
      <c r="B32" s="62" t="s">
        <v>31</v>
      </c>
      <c r="C32" s="62"/>
      <c r="D32" s="62"/>
      <c r="E32" s="62"/>
      <c r="F32" s="62"/>
      <c r="G32" s="62"/>
      <c r="H32" s="62"/>
      <c r="I32" s="62"/>
    </row>
    <row r="36" spans="2:2" ht="10.5" x14ac:dyDescent="0.25">
      <c r="B36" s="18" t="s">
        <v>32</v>
      </c>
    </row>
    <row r="59" spans="2:2" ht="10.5" x14ac:dyDescent="0.25">
      <c r="B59" s="18" t="s">
        <v>44</v>
      </c>
    </row>
    <row r="60" spans="2:2" ht="10.5" x14ac:dyDescent="0.25">
      <c r="B60" s="18" t="s">
        <v>46</v>
      </c>
    </row>
  </sheetData>
  <mergeCells count="2">
    <mergeCell ref="B1:C1"/>
    <mergeCell ref="B32:I32"/>
  </mergeCells>
  <conditionalFormatting sqref="G1:G3 G5:G31 G33:G65532">
    <cfRule type="cellIs" dxfId="0" priority="1" stopIfTrue="1" operator="between">
      <formula>0.009</formula>
      <formula>-0.009</formula>
    </cfRule>
  </conditionalFormatting>
  <hyperlinks>
    <hyperlink ref="A2" location="Index!A1" display="-" xr:uid="{06FBFEA2-1A7F-4426-B7D1-511552FB22E4}"/>
  </hyperlinks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3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JBSHORT</vt:lpstr>
      <vt:lpstr>JBSHORT!Print_Area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2026-02-06T08:53:37Z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2026-02-04T15:19:06Z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9ceee4da-86e6-4b02-811e-245f12d2a74a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