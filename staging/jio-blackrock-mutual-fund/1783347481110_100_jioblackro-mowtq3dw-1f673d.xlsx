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6D3A527-8282-48AF-A262-8A03E595644C}" xr6:coauthVersionLast="47" xr6:coauthVersionMax="47" xr10:uidLastSave="{00000000-0000-0000-0000-000000000000}"/>
  <bookViews>
    <workbookView xWindow="-110" yWindow="-110" windowWidth="19420" windowHeight="11500" tabRatio="669" xr2:uid="{7291B499-DD8C-4F12-BA28-9EE7F24AB421}"/>
  </bookViews>
  <sheets>
    <sheet name="Index" sheetId="2" r:id="rId1"/>
    <sheet name="JBLARGE" sheetId="3" r:id="rId2"/>
    <sheet name="JBMMF" sheetId="17" r:id="rId3"/>
    <sheet name="JBOF" sheetId="18" r:id="rId4"/>
    <sheet name="JBLF" sheetId="19" r:id="rId5"/>
    <sheet name="JBN8-13" sheetId="20" r:id="rId6"/>
    <sheet name="JBLOW" sheetId="21" r:id="rId7"/>
    <sheet name="JBSHORT" sheetId="22" r:id="rId8"/>
    <sheet name="JBN50" sheetId="10" r:id="rId9"/>
    <sheet name="JBNNX50" sheetId="11" r:id="rId10"/>
    <sheet name="JBNM150" sheetId="12" r:id="rId11"/>
    <sheet name="JBNS250" sheetId="13" r:id="rId12"/>
    <sheet name="JBFLEXI" sheetId="14" r:id="rId13"/>
    <sheet name="JBARB" sheetId="15" r:id="rId14"/>
    <sheet name="JBSECRO" sheetId="16" r:id="rId15"/>
  </sheets>
  <definedNames>
    <definedName name="_xlnm.Print_Area" localSheetId="13">JBARB!$B$1:$H$390</definedName>
    <definedName name="_xlnm.Print_Area" localSheetId="12">JBFLEXI!$B$1:$H$244</definedName>
    <definedName name="_xlnm.Print_Area" localSheetId="1">JBLARGE!$B$1:$H$199</definedName>
    <definedName name="_xlnm.Print_Area" localSheetId="4">JBLF!$B$1:$I$148</definedName>
    <definedName name="_xlnm.Print_Area" localSheetId="6">JBLOW!$B$1:$I$112</definedName>
    <definedName name="_xlnm.Print_Area" localSheetId="2">JBMMF!$B$1:$I$115</definedName>
    <definedName name="_xlnm.Print_Area" localSheetId="8">'JBN50'!$B$1:$H$119</definedName>
    <definedName name="_xlnm.Print_Area" localSheetId="5">'JBN8-13'!$B$1:$I$70</definedName>
    <definedName name="_xlnm.Print_Area" localSheetId="10">JBNM150!$B$1:$H$221</definedName>
    <definedName name="_xlnm.Print_Area" localSheetId="9">JBNNX50!$B$1:$H$121</definedName>
    <definedName name="_xlnm.Print_Area" localSheetId="11">JBNS250!$B$1:$H$318</definedName>
    <definedName name="_xlnm.Print_Area" localSheetId="3">JBOF!$B$1:$I$93</definedName>
    <definedName name="_xlnm.Print_Area" localSheetId="14">JBSECRO!$B$1:$H$424</definedName>
    <definedName name="_xlnm.Print_Area" localSheetId="7">JBSHORT!$B$1:$I$105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1" i="16" l="1"/>
  <c r="G26" i="22"/>
  <c r="F26" i="22"/>
  <c r="G22" i="22"/>
  <c r="G23" i="22" s="1"/>
  <c r="F22" i="22"/>
  <c r="F23" i="22" s="1"/>
  <c r="G12" i="22"/>
  <c r="G30" i="22" s="1"/>
  <c r="F12" i="22"/>
  <c r="F30" i="22" s="1"/>
  <c r="G37" i="21"/>
  <c r="F37" i="21"/>
  <c r="G32" i="21"/>
  <c r="F32" i="21"/>
  <c r="G29" i="21"/>
  <c r="G38" i="21" s="1"/>
  <c r="F29" i="21"/>
  <c r="F38" i="21" s="1"/>
  <c r="G15" i="21"/>
  <c r="G42" i="21" s="1"/>
  <c r="F15" i="21"/>
  <c r="F42" i="21" s="1"/>
  <c r="G9" i="20"/>
  <c r="G13" i="20" s="1"/>
  <c r="F9" i="20"/>
  <c r="F13" i="20" s="1"/>
  <c r="G68" i="19"/>
  <c r="F68" i="19"/>
  <c r="G64" i="19"/>
  <c r="F64" i="19"/>
  <c r="G53" i="19"/>
  <c r="F53" i="19"/>
  <c r="G29" i="19"/>
  <c r="G82" i="19" s="1"/>
  <c r="F29" i="19"/>
  <c r="F82" i="19" s="1"/>
  <c r="G10" i="18"/>
  <c r="G27" i="18" s="1"/>
  <c r="F10" i="18"/>
  <c r="F27" i="18" s="1"/>
  <c r="G44" i="17"/>
  <c r="F44" i="17"/>
  <c r="G41" i="17"/>
  <c r="F41" i="17"/>
  <c r="G37" i="17"/>
  <c r="F37" i="17"/>
  <c r="G33" i="17"/>
  <c r="F33" i="17"/>
  <c r="G28" i="17"/>
  <c r="F28" i="17"/>
  <c r="F48" i="17" l="1"/>
  <c r="G48" i="17"/>
  <c r="F15" i="22"/>
  <c r="G15" i="22"/>
  <c r="F18" i="21"/>
  <c r="G18" i="21"/>
  <c r="G65" i="19"/>
  <c r="F65" i="19"/>
  <c r="F11" i="18"/>
  <c r="G11" i="18"/>
  <c r="F38" i="17"/>
  <c r="G38" i="17"/>
  <c r="G309" i="16"/>
  <c r="F309" i="16"/>
  <c r="G295" i="16"/>
  <c r="G302" i="16" s="1"/>
  <c r="F295" i="16"/>
  <c r="F302" i="16" s="1"/>
  <c r="G193" i="15"/>
  <c r="F193" i="15"/>
  <c r="G100" i="15"/>
  <c r="G96" i="15"/>
  <c r="F96" i="15"/>
  <c r="G91" i="15"/>
  <c r="F91" i="15"/>
  <c r="G82" i="15"/>
  <c r="G85" i="15" s="1"/>
  <c r="F82" i="15"/>
  <c r="F85" i="15" s="1"/>
  <c r="G138" i="14"/>
  <c r="F138" i="14"/>
  <c r="G130" i="14"/>
  <c r="G124" i="14"/>
  <c r="G127" i="14" s="1"/>
  <c r="F124" i="14"/>
  <c r="F131" i="14" s="1"/>
  <c r="G257" i="13"/>
  <c r="G263" i="13" s="1"/>
  <c r="F257" i="13"/>
  <c r="F260" i="13" s="1"/>
  <c r="G157" i="12"/>
  <c r="G163" i="12" s="1"/>
  <c r="F157" i="12"/>
  <c r="F163" i="12" s="1"/>
  <c r="G61" i="11"/>
  <c r="G67" i="11" s="1"/>
  <c r="F61" i="11"/>
  <c r="F67" i="11" s="1"/>
  <c r="G57" i="10"/>
  <c r="G63" i="10" s="1"/>
  <c r="F57" i="10"/>
  <c r="F63" i="10" s="1"/>
  <c r="G83" i="3"/>
  <c r="F83" i="3"/>
  <c r="G75" i="3"/>
  <c r="G69" i="3"/>
  <c r="F69" i="3"/>
  <c r="F76" i="3" s="1"/>
  <c r="G76" i="3" l="1"/>
  <c r="F298" i="16"/>
  <c r="G298" i="16"/>
  <c r="F101" i="15"/>
  <c r="G101" i="15"/>
  <c r="F92" i="15"/>
  <c r="G92" i="15"/>
  <c r="G131" i="14"/>
  <c r="F127" i="14"/>
  <c r="G260" i="13"/>
  <c r="F263" i="13"/>
  <c r="F160" i="12"/>
  <c r="G160" i="12"/>
  <c r="F64" i="11"/>
  <c r="G64" i="11"/>
  <c r="G60" i="10"/>
  <c r="F60" i="10"/>
  <c r="F72" i="3"/>
  <c r="G72" i="3"/>
</calcChain>
</file>

<file path=xl/sharedStrings.xml><?xml version="1.0" encoding="utf-8"?>
<sst xmlns="http://schemas.openxmlformats.org/spreadsheetml/2006/main" count="4824" uniqueCount="1598">
  <si>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</si>
  <si>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</si>
  <si>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</si>
  <si>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</si>
  <si>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</si>
  <si>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</si>
  <si>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</si>
  <si>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</si>
  <si>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</si>
  <si>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</si>
  <si>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Large Cap Fund</t>
  </si>
  <si>
    <t>JioBlackRock Money Market Fund</t>
  </si>
  <si>
    <t>JioBlackRock Overnight Fund</t>
  </si>
  <si>
    <t>JioBlackRock Liquid Fund</t>
  </si>
  <si>
    <t>JioBlackRock Nifty 8-13 yr G-Sec Index Fund</t>
  </si>
  <si>
    <t>JioBlackRock Low Duration Fund</t>
  </si>
  <si>
    <t>JioBlackRock Short Duration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</si>
  <si>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</si>
  <si>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</si>
  <si>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</si>
  <si>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</si>
  <si>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</si>
  <si>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JioBlackRock Arbitrage Fund</t>
  </si>
  <si>
    <t>JioBlackRock Sector Rotation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</si>
  <si>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</si>
  <si>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</si>
  <si>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</si>
  <si>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</si>
  <si>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</si>
  <si>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</si>
  <si>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</si>
  <si>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</si>
  <si>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</si>
  <si>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</si>
  <si>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</si>
  <si>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</si>
  <si>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Mahindra &amp; Mahindra Ltd</t>
  </si>
  <si>
    <t>INE101A01026</t>
  </si>
  <si>
    <t>Automobiles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</si>
  <si>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</si>
  <si>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</si>
  <si>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</si>
  <si>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</si>
  <si>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</si>
  <si>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</si>
  <si>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NTPC Ltd</t>
  </si>
  <si>
    <t>INE733E01010</t>
  </si>
  <si>
    <t>Power</t>
  </si>
  <si>
    <t>Infosys Ltd</t>
  </si>
  <si>
    <t>INE009A01021</t>
  </si>
  <si>
    <t>IT - Software</t>
  </si>
  <si>
    <t>Britannia Industries Ltd</t>
  </si>
  <si>
    <t>INE216A01030</t>
  </si>
  <si>
    <t>Food Products</t>
  </si>
  <si>
    <t>Indian Oil Corporation Ltd</t>
  </si>
  <si>
    <t>INE242A01010</t>
  </si>
  <si>
    <t>Escorts Kubota Ltd</t>
  </si>
  <si>
    <t>INE042A01014</t>
  </si>
  <si>
    <t>Agricultural, Commercial &amp; Construction Vehicles</t>
  </si>
  <si>
    <t>ITC Ltd</t>
  </si>
  <si>
    <t>INE154A01025</t>
  </si>
  <si>
    <t>Diversified FMCG</t>
  </si>
  <si>
    <t>Tata Steel Ltd</t>
  </si>
  <si>
    <t>INE081A01020</t>
  </si>
  <si>
    <t>Ferrous Metals</t>
  </si>
  <si>
    <t>Apollo Tyres Ltd</t>
  </si>
  <si>
    <t>INE438A01022</t>
  </si>
  <si>
    <t>Auto Components</t>
  </si>
  <si>
    <t>Interglobe Aviation Ltd</t>
  </si>
  <si>
    <t>INE646L01027</t>
  </si>
  <si>
    <t>Transport Services</t>
  </si>
  <si>
    <t>Nestle India Ltd</t>
  </si>
  <si>
    <t>INE239A01024</t>
  </si>
  <si>
    <t>Tata Consultancy Services Ltd</t>
  </si>
  <si>
    <t>INE467B01029</t>
  </si>
  <si>
    <t>Axis Bank Ltd</t>
  </si>
  <si>
    <t>INE238A01034</t>
  </si>
  <si>
    <t>Multi Commodity Exchange Of India Ltd</t>
  </si>
  <si>
    <t>INE745G01043</t>
  </si>
  <si>
    <t>Capital Markets</t>
  </si>
  <si>
    <t>Kotak Mahindra Bank Ltd</t>
  </si>
  <si>
    <t>INE237A01036</t>
  </si>
  <si>
    <t>Eternal Ltd</t>
  </si>
  <si>
    <t>INE758T01015</t>
  </si>
  <si>
    <t>Retailing</t>
  </si>
  <si>
    <t>Titan Co Ltd</t>
  </si>
  <si>
    <t>INE280A01028</t>
  </si>
  <si>
    <t>Consumer Durables</t>
  </si>
  <si>
    <t>ICICI Prudential Asset Management Co Ltd</t>
  </si>
  <si>
    <t>INE346A01027</t>
  </si>
  <si>
    <t>Federal Bank Ltd</t>
  </si>
  <si>
    <t>INE171A01029</t>
  </si>
  <si>
    <t>Sun Pharmaceutical Industries Ltd</t>
  </si>
  <si>
    <t>INE044A01036</t>
  </si>
  <si>
    <t>Pharmaceuticals &amp; Biotechnology</t>
  </si>
  <si>
    <t>Oil &amp; Natural Gas Corporation Ltd</t>
  </si>
  <si>
    <t>INE213A01029</t>
  </si>
  <si>
    <t>Oil</t>
  </si>
  <si>
    <t>SBI Life Insurance Co Ltd</t>
  </si>
  <si>
    <t>INE123W01016</t>
  </si>
  <si>
    <t>Insurance</t>
  </si>
  <si>
    <t>Samvardhana Motherson International Ltd</t>
  </si>
  <si>
    <t>INE775A01035</t>
  </si>
  <si>
    <t>Lenskart Solutions Ltd</t>
  </si>
  <si>
    <t>INE956O01016</t>
  </si>
  <si>
    <t>Tech Mahindra Ltd</t>
  </si>
  <si>
    <t>INE669C01036</t>
  </si>
  <si>
    <t>Vedanta Ltd</t>
  </si>
  <si>
    <t>INE205A01025</t>
  </si>
  <si>
    <t>Diversified Metals</t>
  </si>
  <si>
    <t>Life Insurance Corporation Of India</t>
  </si>
  <si>
    <t>INE0J1Y01017</t>
  </si>
  <si>
    <t>Hero MotoCorp Ltd</t>
  </si>
  <si>
    <t>INE158A01026</t>
  </si>
  <si>
    <t>Yes Bank Ltd</t>
  </si>
  <si>
    <t>INE528G01035</t>
  </si>
  <si>
    <t>Max Financial Services Ltd</t>
  </si>
  <si>
    <t>INE180A01020</t>
  </si>
  <si>
    <t>JSW Steel Ltd</t>
  </si>
  <si>
    <t>INE019A01038</t>
  </si>
  <si>
    <t>Ultratech Cement Ltd</t>
  </si>
  <si>
    <t>INE481G01011</t>
  </si>
  <si>
    <t>Cement &amp; Cement Products</t>
  </si>
  <si>
    <t>Billionbrains Garage Ventures Ltd</t>
  </si>
  <si>
    <t>INE0HOQ01053</t>
  </si>
  <si>
    <t>IPCA Laboratories Ltd</t>
  </si>
  <si>
    <t>INE571A01038</t>
  </si>
  <si>
    <t>Bharat Petroleum Corporation Ltd</t>
  </si>
  <si>
    <t>INE029A01011</t>
  </si>
  <si>
    <t>United Spirits Ltd</t>
  </si>
  <si>
    <t>INE854D01024</t>
  </si>
  <si>
    <t>Beverages</t>
  </si>
  <si>
    <t>INE704J01044</t>
  </si>
  <si>
    <t>INE694L01019</t>
  </si>
  <si>
    <t>INE1CDF01017</t>
  </si>
  <si>
    <t>Metals &amp; Minerals Trading</t>
  </si>
  <si>
    <t>INE1CLE01013</t>
  </si>
  <si>
    <t>Ashok Leyland Ltd</t>
  </si>
  <si>
    <t>INE208A01029</t>
  </si>
  <si>
    <t>Dr. Reddy's Laboratories Ltd</t>
  </si>
  <si>
    <t>INE089A01031</t>
  </si>
  <si>
    <t>Hindustan Petroleum Corporation Ltd</t>
  </si>
  <si>
    <t>INE094A01015</t>
  </si>
  <si>
    <t>Power Grid Corporation of India Ltd</t>
  </si>
  <si>
    <t>INE752E01010</t>
  </si>
  <si>
    <t>Steel Authority of India Ltd</t>
  </si>
  <si>
    <t>INE114A01011</t>
  </si>
  <si>
    <t>Asian Paints Ltd</t>
  </si>
  <si>
    <t>INE021A01026</t>
  </si>
  <si>
    <t>Schaeffler India Ltd</t>
  </si>
  <si>
    <t>INE513A01022</t>
  </si>
  <si>
    <t>Adani Enterprises Ltd</t>
  </si>
  <si>
    <t>INE423A01024</t>
  </si>
  <si>
    <t>MRF Ltd</t>
  </si>
  <si>
    <t>INE883A01011</t>
  </si>
  <si>
    <t>Ltm Ltd</t>
  </si>
  <si>
    <t>INE214T01019</t>
  </si>
  <si>
    <t>Eicher Motors Ltd</t>
  </si>
  <si>
    <t>INE066A01021</t>
  </si>
  <si>
    <t>United Breweries Ltd</t>
  </si>
  <si>
    <t>INE686F01025</t>
  </si>
  <si>
    <t>Laurus Labs Ltd</t>
  </si>
  <si>
    <t>INE947Q01028</t>
  </si>
  <si>
    <t>Mahindra &amp; Mahindra Financial Services Ltd</t>
  </si>
  <si>
    <t>INE774D01024</t>
  </si>
  <si>
    <t>Finance</t>
  </si>
  <si>
    <t>Nippon Life India Asset Management Ltd</t>
  </si>
  <si>
    <t>INE298J01013</t>
  </si>
  <si>
    <t>Oracle Financial Services Software Ltd</t>
  </si>
  <si>
    <t>INE881D01027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</si>
  <si>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</si>
  <si>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</si>
  <si>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</si>
  <si>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</si>
  <si>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</si>
  <si>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</si>
  <si>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</si>
  <si>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</si>
  <si>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</si>
  <si>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</si>
  <si>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</si>
  <si>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</si>
  <si>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</si>
  <si>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26-MAY-26 FUT</t>
  </si>
  <si>
    <t>Long</t>
  </si>
  <si>
    <t>Index</t>
  </si>
  <si>
    <t>Notes</t>
  </si>
  <si>
    <t xml:space="preserve">Scheme Risk-O-Meter </t>
  </si>
  <si>
    <t>Yield to Call ^</t>
  </si>
  <si>
    <t>Money Market Instruments</t>
  </si>
  <si>
    <t>Certificate of Deposit</t>
  </si>
  <si>
    <t>Union Bank of India (16-Mar-2027)</t>
  </si>
  <si>
    <t>INE692A16LS3</t>
  </si>
  <si>
    <t>ICRA A1+</t>
  </si>
  <si>
    <t>Bank of Baroda (05-Mar-2027)</t>
  </si>
  <si>
    <t>INE028A16LR2</t>
  </si>
  <si>
    <t>CRISIL A1+</t>
  </si>
  <si>
    <t>National Bank For Agriculture &amp; Rural Development (17-Mar-2027) **</t>
  </si>
  <si>
    <t>INE261F16AP5</t>
  </si>
  <si>
    <t>Small Industries Development Bank of India (26-Feb-2027) **</t>
  </si>
  <si>
    <t>INE556F16CC2</t>
  </si>
  <si>
    <t>CARE A1+</t>
  </si>
  <si>
    <t>Bank of Baroda (08-Mar-2027)</t>
  </si>
  <si>
    <t>INE028A16LS0</t>
  </si>
  <si>
    <t>Canara Bank (25-Mar-2027) **</t>
  </si>
  <si>
    <t>INE476A16I26</t>
  </si>
  <si>
    <t>Axis Bank Ltd (17-Dec-2026) **</t>
  </si>
  <si>
    <t>INE238AD6CB1</t>
  </si>
  <si>
    <t>Axis Bank Ltd (14-Jan-2027) **</t>
  </si>
  <si>
    <t>INE238AD6BW9</t>
  </si>
  <si>
    <t>HDFC Bank Ltd (15-Feb-2027)</t>
  </si>
  <si>
    <t>INE040A16JC3</t>
  </si>
  <si>
    <t>HDFC Bank Ltd (05-Mar-2027) **</t>
  </si>
  <si>
    <t>INE040A16IU7</t>
  </si>
  <si>
    <t>Punjab National Bank (09-Mar-2027) **</t>
  </si>
  <si>
    <t>INE160A16UQ6</t>
  </si>
  <si>
    <t>Canara Bank (11-Mar-2027)</t>
  </si>
  <si>
    <t>INE476A16H84</t>
  </si>
  <si>
    <t>Union Bank of India (15-Mar-2027) **</t>
  </si>
  <si>
    <t>INE692A16LP9</t>
  </si>
  <si>
    <t>Federal Bank Ltd (12-Mar-2027) **</t>
  </si>
  <si>
    <t>INE171A16NM7</t>
  </si>
  <si>
    <t>National Bank For Agriculture &amp; Rural Development (02-Mar-2027) **</t>
  </si>
  <si>
    <t>INE261F16AM2</t>
  </si>
  <si>
    <t>Canara Bank (12-Mar-2027)</t>
  </si>
  <si>
    <t>INE476A16H92</t>
  </si>
  <si>
    <t>National Bank For Agriculture &amp; Rural Development (04-Feb-2027) **</t>
  </si>
  <si>
    <t>INE261F16AJ8</t>
  </si>
  <si>
    <t>HDFC Bank Ltd (24-Feb-2027)</t>
  </si>
  <si>
    <t>INE040A16IO0</t>
  </si>
  <si>
    <t>Kotak Mahindra Bank Ltd (09-Mar-2027) **</t>
  </si>
  <si>
    <t>INE237AD6174</t>
  </si>
  <si>
    <t>HDFC Bank Ltd (12-Mar-2027) **</t>
  </si>
  <si>
    <t>INE040A16IZ6</t>
  </si>
  <si>
    <t>Small Industries Development Bank of India (25-Mar-2027) **</t>
  </si>
  <si>
    <t>INE556F16CD0</t>
  </si>
  <si>
    <t>Commercial Paper</t>
  </si>
  <si>
    <t>Cholamandalam Investment and Finance Co Ltd (10-Mar-2027) **</t>
  </si>
  <si>
    <t>INE121A14YN2</t>
  </si>
  <si>
    <t>Aditya Birla Housing Finance Ltd (09-Mar-2027) **</t>
  </si>
  <si>
    <t>INE831R14GA4</t>
  </si>
  <si>
    <t>Cholamandalam Investment and Finance Co Ltd (22-Jan-2027)</t>
  </si>
  <si>
    <t>INE121A14YF8</t>
  </si>
  <si>
    <t>Treasury Bill</t>
  </si>
  <si>
    <t>364 DTB (03-DEC-2026)</t>
  </si>
  <si>
    <t>IN002025Z369</t>
  </si>
  <si>
    <t>364 DTB (10-DEC-2026)</t>
  </si>
  <si>
    <t>IN002025Z377</t>
  </si>
  <si>
    <t>Government Securities</t>
  </si>
  <si>
    <t>5.74% GOI 2026 (15-NOV-2026)</t>
  </si>
  <si>
    <t>IN0020210186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</si>
  <si>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</si>
  <si>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</si>
  <si>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</si>
  <si>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</si>
  <si>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</si>
  <si>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</si>
  <si>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</si>
  <si>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(14-MAY-2026)</t>
  </si>
  <si>
    <t>IN002025Y339</t>
  </si>
  <si>
    <t>364 DTB (21-MAY-2026)</t>
  </si>
  <si>
    <t>IN002025Z088</t>
  </si>
  <si>
    <t>182 DTB (21-MAY-2026)</t>
  </si>
  <si>
    <t>IN002025Y347</t>
  </si>
  <si>
    <t>Reverse Repo</t>
  </si>
  <si>
    <t>Reverse Repo (04-May-2026)</t>
  </si>
  <si>
    <t>Bank of Baroda (29-Jul-2026) **</t>
  </si>
  <si>
    <t>INE028A16MA6</t>
  </si>
  <si>
    <t>Union Bank of India (23-Jun-2026) **</t>
  </si>
  <si>
    <t>INE692A16LO2</t>
  </si>
  <si>
    <t>Canara Bank (27-May-2026) **</t>
  </si>
  <si>
    <t>INE476A16H19</t>
  </si>
  <si>
    <t>HDFC Bank Ltd (04-Jun-2026) **</t>
  </si>
  <si>
    <t>INE040A16HT1</t>
  </si>
  <si>
    <t>Federal Bank Ltd (17-Jun-2026) **</t>
  </si>
  <si>
    <t>INE171A16NN5</t>
  </si>
  <si>
    <t>Bank of India (25-Jun-2026) **</t>
  </si>
  <si>
    <t>INE084A16FV9</t>
  </si>
  <si>
    <t>Bank of Baroda (04-Jun-2026) **</t>
  </si>
  <si>
    <t>INE028A16LQ4</t>
  </si>
  <si>
    <t>Union Bank of India (23-Jul-2026) **</t>
  </si>
  <si>
    <t>INE692A16LV7</t>
  </si>
  <si>
    <t>Canara Bank (26-May-2026) **</t>
  </si>
  <si>
    <t>INE476A16E87</t>
  </si>
  <si>
    <t>Canara Bank (10-Jun-2026) **</t>
  </si>
  <si>
    <t>INE476A16G77</t>
  </si>
  <si>
    <t>HDFC Bank Ltd (01-Jul-2026) **</t>
  </si>
  <si>
    <t>INE040A16JE9</t>
  </si>
  <si>
    <t>Indian Bank (08-Jun-2026) **</t>
  </si>
  <si>
    <t>INE562A16QR9</t>
  </si>
  <si>
    <t>Canara Bank (01-Jul-2026) **</t>
  </si>
  <si>
    <t>INE476A16I75</t>
  </si>
  <si>
    <t>Bank of Baroda (25-May-2026) **</t>
  </si>
  <si>
    <t>INE028A16JR6</t>
  </si>
  <si>
    <t>HDFC Bank Ltd (24-Jun-2026) **</t>
  </si>
  <si>
    <t>INE040A16HB9</t>
  </si>
  <si>
    <t>Union Bank of India (25-Jun-2026) **</t>
  </si>
  <si>
    <t>INE692A16JQ1</t>
  </si>
  <si>
    <t>ICICI Bank Ltd (29-Jun-2026) **</t>
  </si>
  <si>
    <t>INE090AD6329</t>
  </si>
  <si>
    <t>Canara Bank (29-May-2026)</t>
  </si>
  <si>
    <t>INE476A16F03</t>
  </si>
  <si>
    <t>Union Bank of India (04-Jun-2026) **</t>
  </si>
  <si>
    <t>INE692A16KS5</t>
  </si>
  <si>
    <t>Axis Bank Ltd (24-Jun-2026) **</t>
  </si>
  <si>
    <t>INE238AD6CE5</t>
  </si>
  <si>
    <t>Axis Bank Ltd (25-Jun-2026)</t>
  </si>
  <si>
    <t>INE238AD6AZ4</t>
  </si>
  <si>
    <t>Small Industries Development Bank of India (05-May-2026) **</t>
  </si>
  <si>
    <t>INE556F16BH3</t>
  </si>
  <si>
    <t>Kotak Securities Ltd (05-Jun-2026) **</t>
  </si>
  <si>
    <t>INE028E14VK3</t>
  </si>
  <si>
    <t>HDFC Securities Ltd (27-May-2026) **</t>
  </si>
  <si>
    <t>INE700G14SS1</t>
  </si>
  <si>
    <t>National Bank For Agriculture &amp; Rural Development (04-Jun-2026)</t>
  </si>
  <si>
    <t>INE261F14OV9</t>
  </si>
  <si>
    <t>Export-Import Bank Of India (05-Jun-2026)</t>
  </si>
  <si>
    <t>INE514E14TG4</t>
  </si>
  <si>
    <t>HDFC Securities Ltd (08-Jun-2026) **</t>
  </si>
  <si>
    <t>INE700G14SW3</t>
  </si>
  <si>
    <t>National Bank For Agriculture &amp; Rural Development (16-Jun-2026) **</t>
  </si>
  <si>
    <t>INE261F14PB8</t>
  </si>
  <si>
    <t>Birla Group Holdings Pvt Ltd (19-Jun-2026) **</t>
  </si>
  <si>
    <t>INE09OL14JC8</t>
  </si>
  <si>
    <t>Aditya Birla Capital Ltd (28-Jul-2026) **</t>
  </si>
  <si>
    <t>INE674K14CH7</t>
  </si>
  <si>
    <t>HDFC Securities Ltd (12-May-2026) **</t>
  </si>
  <si>
    <t>INE700G14SA9</t>
  </si>
  <si>
    <t>Export-Import Bank Of India (27-May-2026)</t>
  </si>
  <si>
    <t>INE514E14TF6</t>
  </si>
  <si>
    <t>ICICI Home Finance Co Ltd (17-Jun-2026) **</t>
  </si>
  <si>
    <t>INE071G14HR2</t>
  </si>
  <si>
    <t>Reliance Retail Ventures Ltd (22-Jun-2026) **</t>
  </si>
  <si>
    <t>INE929O14EY8</t>
  </si>
  <si>
    <t>Aditya Birla Housing Finance Ltd (07-May-2026) **</t>
  </si>
  <si>
    <t>INE831R14FU4</t>
  </si>
  <si>
    <t>Tata Steel Ltd (26-May-2026) **</t>
  </si>
  <si>
    <t>INE081A14GV8</t>
  </si>
  <si>
    <t>Tata Capital Housing Finance Ltd (13-Jul-2026) **</t>
  </si>
  <si>
    <t>INE033L14OU2</t>
  </si>
  <si>
    <t>ICICI Securities Ltd (05-Jun-2026) **</t>
  </si>
  <si>
    <t>INE763G14C04</t>
  </si>
  <si>
    <t>Axis Securities Ltd (24-Jun-2026) **</t>
  </si>
  <si>
    <t>INE110O14IB4</t>
  </si>
  <si>
    <t>ICICI Securities Ltd (22-Jun-2026) **</t>
  </si>
  <si>
    <t>INE763G14H66</t>
  </si>
  <si>
    <t>ICICI Securities Ltd (19-May-2026) **</t>
  </si>
  <si>
    <t>INE763G14YL2</t>
  </si>
  <si>
    <t>Can Fin Homes Ltd (20-May-2026) **</t>
  </si>
  <si>
    <t>INE477A14EC3</t>
  </si>
  <si>
    <t>Bajaj Finance Ltd (14-May-2026) **</t>
  </si>
  <si>
    <t>INE296A14A65</t>
  </si>
  <si>
    <t>Aditya Birla Capital Ltd (24-Jun-2026) **</t>
  </si>
  <si>
    <t>INE674K14CB0</t>
  </si>
  <si>
    <t>364 DTB (28-MAY-2026)</t>
  </si>
  <si>
    <t>IN002025Z096</t>
  </si>
  <si>
    <t>364 DTB (09-JUL-2026)</t>
  </si>
  <si>
    <t>IN002025Z153</t>
  </si>
  <si>
    <t>91 DTB (07-MAY-2026)</t>
  </si>
  <si>
    <t>IN002025X448</t>
  </si>
  <si>
    <t>91 DTB (14-MAY-2026)</t>
  </si>
  <si>
    <t>IN002025X455</t>
  </si>
  <si>
    <t>364 DTB (07-MAY-2026)</t>
  </si>
  <si>
    <t>IN002025Z062</t>
  </si>
  <si>
    <t>91 DTB (22-MAY-2026)</t>
  </si>
  <si>
    <t>IN002025X463</t>
  </si>
  <si>
    <t>91 DTB (04-JUN-2026)</t>
  </si>
  <si>
    <t>IN002025X489</t>
  </si>
  <si>
    <t>182 DTB (08-MAY-2026)</t>
  </si>
  <si>
    <t>IN002025Y321</t>
  </si>
  <si>
    <t>Reverse Repo (07-May-2026)</t>
  </si>
  <si>
    <t>Reverse Repo (05-May-2026)</t>
  </si>
  <si>
    <t>Reverse Repo (08-May-2026)</t>
  </si>
  <si>
    <t>6.48% GOI 2035 (06-OCT-2035)</t>
  </si>
  <si>
    <t>IN0020250091</t>
  </si>
  <si>
    <t>6.79% GOI 2034 (07-OCT-2034)</t>
  </si>
  <si>
    <t>IN0020240126</t>
  </si>
  <si>
    <t>6.33% GOI 2035 (05-MAY-2035)</t>
  </si>
  <si>
    <t>IN0020250026</t>
  </si>
  <si>
    <t>Debt Instruments</t>
  </si>
  <si>
    <t>7.7% National Bank For Agriculture &amp; Rural Development (30-Sep-2027) **</t>
  </si>
  <si>
    <t>INE261F08EI9</t>
  </si>
  <si>
    <t>CRISIL AAA</t>
  </si>
  <si>
    <t>7.56% REC Ltd (31-Aug-2027) **</t>
  </si>
  <si>
    <t>INE020B08FF1</t>
  </si>
  <si>
    <t>7.835% LIC Housing Finance Ltd (11-May-2027) **</t>
  </si>
  <si>
    <t>INE115A07QO2</t>
  </si>
  <si>
    <t>CARE AAA</t>
  </si>
  <si>
    <t>7.89% Tata Capital Ltd (26-Jul-2027)</t>
  </si>
  <si>
    <t>INE306N07MX0</t>
  </si>
  <si>
    <t>7.123% Tata Capital Housing Finance Ltd (21-Jul-2027) **</t>
  </si>
  <si>
    <t>INE033L07IO1</t>
  </si>
  <si>
    <t>9% Power Finance Corporation Ltd (11-Mar-2028) **</t>
  </si>
  <si>
    <t>INE134E08FL2</t>
  </si>
  <si>
    <t>8.12% Kotak Mahindra Prime Ltd (21-Jun-2027) **</t>
  </si>
  <si>
    <t>INE916DA7SU4</t>
  </si>
  <si>
    <t>7.3763% Bajaj Finance Ltd (26-Jun-2028)</t>
  </si>
  <si>
    <t>INE296A07TJ4</t>
  </si>
  <si>
    <t>(b) Privately Placed / Unlisted</t>
  </si>
  <si>
    <t>Nil</t>
  </si>
  <si>
    <t>Small Industries Development Bank of India (18-Feb-2027) **</t>
  </si>
  <si>
    <t>INE556F16CB4</t>
  </si>
  <si>
    <t>Canara Bank (04-Mar-2027)</t>
  </si>
  <si>
    <t>INE476A16H43</t>
  </si>
  <si>
    <t>Small Industries Development Bank of India (29-Jan-2027) **</t>
  </si>
  <si>
    <t>INE556F16BX0</t>
  </si>
  <si>
    <t>Sundaram Finance Ltd (12-Mar-2027) **</t>
  </si>
  <si>
    <t>INE660A14YW0</t>
  </si>
  <si>
    <t>182 DTB (17-JUL-2026)</t>
  </si>
  <si>
    <t>IN002025Y412</t>
  </si>
  <si>
    <t>364 DTB (02-JUL-2026)</t>
  </si>
  <si>
    <t>IN002025Z146</t>
  </si>
  <si>
    <t>364 DTB (23-JUL-2026)</t>
  </si>
  <si>
    <t>IN002025Z179</t>
  </si>
  <si>
    <t>7.64% REC Ltd (30-Apr-2027) **</t>
  </si>
  <si>
    <t>INE020B08EX7</t>
  </si>
  <si>
    <t>7.74% LIC Housing Finance Ltd (22-Oct-2027)</t>
  </si>
  <si>
    <t>INE115A07QZ8</t>
  </si>
  <si>
    <t>7.5% Indian Railway Finance Corporation Ltd (07-Sep-2029) **</t>
  </si>
  <si>
    <t>INE053F07BW9</t>
  </si>
  <si>
    <t>6.92% Power Finance Corporation Ltd (16-Feb-2028) **</t>
  </si>
  <si>
    <t>INE134E08OA7</t>
  </si>
  <si>
    <t>7.01% National Bank For Agriculture &amp; Rural Development (16-Mar-2029)</t>
  </si>
  <si>
    <t>INE261F08ES8</t>
  </si>
  <si>
    <t>Bajaj Finance Ltd</t>
  </si>
  <si>
    <t>INE296A01032</t>
  </si>
  <si>
    <t>Hindustan Unilever Ltd</t>
  </si>
  <si>
    <t>INE030A01027</t>
  </si>
  <si>
    <t>Maruti Suzuki India Ltd</t>
  </si>
  <si>
    <t>INE585B01010</t>
  </si>
  <si>
    <t>Bharat Electronics Ltd</t>
  </si>
  <si>
    <t>INE263A01024</t>
  </si>
  <si>
    <t>Aerospace &amp; Defense</t>
  </si>
  <si>
    <t>Hindalco Industries Ltd</t>
  </si>
  <si>
    <t>INE038A01020</t>
  </si>
  <si>
    <t>Non - Ferrous Metals</t>
  </si>
  <si>
    <t>Shriram Finance Ltd</t>
  </si>
  <si>
    <t>INE721A01047</t>
  </si>
  <si>
    <t>HCL Technologies Ltd</t>
  </si>
  <si>
    <t>INE860A01027</t>
  </si>
  <si>
    <t>Adani Ports and Special Economic Zone Ltd</t>
  </si>
  <si>
    <t>INE742F01042</t>
  </si>
  <si>
    <t>Transport Infrastructure</t>
  </si>
  <si>
    <t>Bajaj Auto Ltd</t>
  </si>
  <si>
    <t>INE917I01010</t>
  </si>
  <si>
    <t>Coal India Ltd</t>
  </si>
  <si>
    <t>INE522F01014</t>
  </si>
  <si>
    <t>Consumable Fuels</t>
  </si>
  <si>
    <t>Grasim Industries Ltd</t>
  </si>
  <si>
    <t>INE047A01021</t>
  </si>
  <si>
    <t>Bajaj Finserv Ltd</t>
  </si>
  <si>
    <t>INE918I01026</t>
  </si>
  <si>
    <t>Trent Ltd</t>
  </si>
  <si>
    <t>INE849A01020</t>
  </si>
  <si>
    <t>Jio Financial Services Ltd</t>
  </si>
  <si>
    <t>INE758E01017</t>
  </si>
  <si>
    <t>Apollo Hospitals Enterprise Ltd</t>
  </si>
  <si>
    <t>INE437A01024</t>
  </si>
  <si>
    <t>Healthcare Services</t>
  </si>
  <si>
    <t>Tata Consumer Products Ltd</t>
  </si>
  <si>
    <t>INE192A01025</t>
  </si>
  <si>
    <t>Agricultural Food &amp; Other Products</t>
  </si>
  <si>
    <t>Max Healthcare Institute Ltd</t>
  </si>
  <si>
    <t>INE027H01010</t>
  </si>
  <si>
    <t>Cipla Ltd</t>
  </si>
  <si>
    <t>INE059A01026</t>
  </si>
  <si>
    <t>Tata Motors Passenger Vehicles Ltd</t>
  </si>
  <si>
    <t>INE155A01022</t>
  </si>
  <si>
    <t>HDFC Life Insurance Co Ltd</t>
  </si>
  <si>
    <t>INE795G01014</t>
  </si>
  <si>
    <t>Wipro Ltd</t>
  </si>
  <si>
    <t>INE075A01022</t>
  </si>
  <si>
    <t>Adani Power Ltd</t>
  </si>
  <si>
    <t>INE814H01029</t>
  </si>
  <si>
    <t>Tata Motors Ltd</t>
  </si>
  <si>
    <t>INE1TAE01010</t>
  </si>
  <si>
    <t>Divi's Laboratories Ltd</t>
  </si>
  <si>
    <t>INE361B01024</t>
  </si>
  <si>
    <t>Hindustan Aeronautics Ltd</t>
  </si>
  <si>
    <t>INE066F01020</t>
  </si>
  <si>
    <t>TVS Motor Co Ltd</t>
  </si>
  <si>
    <t>INE494B01023</t>
  </si>
  <si>
    <t>Tata Power Co Ltd</t>
  </si>
  <si>
    <t>INE245A01021</t>
  </si>
  <si>
    <t>Cummins India Ltd</t>
  </si>
  <si>
    <t>INE298A01020</t>
  </si>
  <si>
    <t>Industrial Products</t>
  </si>
  <si>
    <t>Varun Beverages Ltd</t>
  </si>
  <si>
    <t>INE200M01039</t>
  </si>
  <si>
    <t>Avenue Supermarts Ltd</t>
  </si>
  <si>
    <t>INE192R01011</t>
  </si>
  <si>
    <t>Cholamandalam Investment and Finance Co Ltd</t>
  </si>
  <si>
    <t>INE121A01024</t>
  </si>
  <si>
    <t>Power Finance Corporation Ltd</t>
  </si>
  <si>
    <t>INE134E01011</t>
  </si>
  <si>
    <t>Indian Hotels Co Ltd</t>
  </si>
  <si>
    <t>INE053A01029</t>
  </si>
  <si>
    <t>Leisure Services</t>
  </si>
  <si>
    <t>CG Power and Industrial Solutions Ltd</t>
  </si>
  <si>
    <t>INE067A01029</t>
  </si>
  <si>
    <t>Electrical Equipment</t>
  </si>
  <si>
    <t>HDFC Asset Management Co Ltd</t>
  </si>
  <si>
    <t>INE127D01025</t>
  </si>
  <si>
    <t>Bank of Baroda</t>
  </si>
  <si>
    <t>INE028A01039</t>
  </si>
  <si>
    <t>Adani Energy Solutions Ltd</t>
  </si>
  <si>
    <t>INE931S01010</t>
  </si>
  <si>
    <t>Canara Bank</t>
  </si>
  <si>
    <t>INE476A01022</t>
  </si>
  <si>
    <t>Jindal Steel Ltd</t>
  </si>
  <si>
    <t>INE749A01030</t>
  </si>
  <si>
    <t>Bajaj Holdings &amp; Investment Ltd</t>
  </si>
  <si>
    <t>INE118A01012</t>
  </si>
  <si>
    <t>REC Ltd</t>
  </si>
  <si>
    <t>INE020B01018</t>
  </si>
  <si>
    <t>GAIL (India) Ltd</t>
  </si>
  <si>
    <t>INE129A01019</t>
  </si>
  <si>
    <t>Gas</t>
  </si>
  <si>
    <t>Torrent Pharmaceuticals Ltd</t>
  </si>
  <si>
    <t>INE685A01028</t>
  </si>
  <si>
    <t>Godrej Consumer Products Ltd</t>
  </si>
  <si>
    <t>INE102D01028</t>
  </si>
  <si>
    <t>Personal Products</t>
  </si>
  <si>
    <t>Pidilite Industries Ltd</t>
  </si>
  <si>
    <t>INE318A01026</t>
  </si>
  <si>
    <t>Chemicals &amp; Petrochemicals</t>
  </si>
  <si>
    <t>Adani Green Energy Ltd</t>
  </si>
  <si>
    <t>INE364U01010</t>
  </si>
  <si>
    <t>ABB India Ltd</t>
  </si>
  <si>
    <t>INE117A01022</t>
  </si>
  <si>
    <t>Punjab National Bank</t>
  </si>
  <si>
    <t>INE160A01022</t>
  </si>
  <si>
    <t>DLF Ltd</t>
  </si>
  <si>
    <t>INE271C01023</t>
  </si>
  <si>
    <t>Realty</t>
  </si>
  <si>
    <t>Solar Industries India Ltd</t>
  </si>
  <si>
    <t>INE343H01029</t>
  </si>
  <si>
    <t>Muthoot Finance Ltd</t>
  </si>
  <si>
    <t>INE414G01012</t>
  </si>
  <si>
    <t>Siemens Ltd</t>
  </si>
  <si>
    <t>INE003A01024</t>
  </si>
  <si>
    <t>Shree Cement Ltd</t>
  </si>
  <si>
    <t>INE070A01015</t>
  </si>
  <si>
    <t>Union Bank Of India</t>
  </si>
  <si>
    <t>INE692A01016</t>
  </si>
  <si>
    <t>Bosch Ltd</t>
  </si>
  <si>
    <t>INE323A01026</t>
  </si>
  <si>
    <t>Siemens Energy India ltd</t>
  </si>
  <si>
    <t>INE1NPP01017</t>
  </si>
  <si>
    <t>Ambuja Cements Ltd</t>
  </si>
  <si>
    <t>INE079A01024</t>
  </si>
  <si>
    <t>Hyundai Motor India Ltd</t>
  </si>
  <si>
    <t>INE0V6F01027</t>
  </si>
  <si>
    <t>Hindustan Zinc Ltd</t>
  </si>
  <si>
    <t>INE267A01025</t>
  </si>
  <si>
    <t>Lodha Developers Ltd</t>
  </si>
  <si>
    <t>INE670K01029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</si>
  <si>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</si>
  <si>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</si>
  <si>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</si>
  <si>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</si>
  <si>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</si>
  <si>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</si>
  <si>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</si>
  <si>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</si>
  <si>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</si>
  <si>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BSE Ltd</t>
  </si>
  <si>
    <t>INE118H01025</t>
  </si>
  <si>
    <t>Suzlon Energy Ltd</t>
  </si>
  <si>
    <t>INE040H01021</t>
  </si>
  <si>
    <t>IndusInd Bank Ltd</t>
  </si>
  <si>
    <t>INE095A01012</t>
  </si>
  <si>
    <t>AU Small Finance Bank Ltd</t>
  </si>
  <si>
    <t>INE949L01017</t>
  </si>
  <si>
    <t>PB Fintech Ltd</t>
  </si>
  <si>
    <t>INE417T01026</t>
  </si>
  <si>
    <t>Financial Technology (Fintech)</t>
  </si>
  <si>
    <t>Lupin Ltd</t>
  </si>
  <si>
    <t>INE326A01037</t>
  </si>
  <si>
    <t>Ge Vernova T&amp;D India Ltd</t>
  </si>
  <si>
    <t>INE200A01026</t>
  </si>
  <si>
    <t>Indus Towers Ltd</t>
  </si>
  <si>
    <t>INE121J01017</t>
  </si>
  <si>
    <t>Persistent Systems Ltd</t>
  </si>
  <si>
    <t>INE262H01021</t>
  </si>
  <si>
    <t>Bharat Heavy Electricals Ltd</t>
  </si>
  <si>
    <t>INE257A01026</t>
  </si>
  <si>
    <t>Bharat Forge Ltd</t>
  </si>
  <si>
    <t>INE465A01025</t>
  </si>
  <si>
    <t>Fortis Healthcare Ltd</t>
  </si>
  <si>
    <t>INE061F01013</t>
  </si>
  <si>
    <t>IDFC First Bank Ltd</t>
  </si>
  <si>
    <t>INE092T01019</t>
  </si>
  <si>
    <t>One 97 Communications Ltd</t>
  </si>
  <si>
    <t>INE982J01020</t>
  </si>
  <si>
    <t>Dixon Technologies (India) Ltd</t>
  </si>
  <si>
    <t>INE935N01020</t>
  </si>
  <si>
    <t>Polycab India Ltd</t>
  </si>
  <si>
    <t>INE455K01017</t>
  </si>
  <si>
    <t>ICICI Lombard General Insurance Co Ltd</t>
  </si>
  <si>
    <t>INE765G01017</t>
  </si>
  <si>
    <t>Hitachi Energy India Ltd</t>
  </si>
  <si>
    <t>INE07Y701011</t>
  </si>
  <si>
    <t>Marico Ltd</t>
  </si>
  <si>
    <t>INE196A01026</t>
  </si>
  <si>
    <t>Coforge Ltd</t>
  </si>
  <si>
    <t>INE591G01025</t>
  </si>
  <si>
    <t>Aurobindo Pharma Ltd</t>
  </si>
  <si>
    <t>INE406A01037</t>
  </si>
  <si>
    <t>Info Edge (India) Ltd</t>
  </si>
  <si>
    <t>INE663F01032</t>
  </si>
  <si>
    <t>Swiggy Ltd</t>
  </si>
  <si>
    <t>INE00H001014</t>
  </si>
  <si>
    <t>SRF Ltd</t>
  </si>
  <si>
    <t>INE647A01010</t>
  </si>
  <si>
    <t>Glenmark Pharmaceuticals Ltd</t>
  </si>
  <si>
    <t>INE935A01035</t>
  </si>
  <si>
    <t>FSN E-Commerce Ventures Ltd</t>
  </si>
  <si>
    <t>INE388Y01029</t>
  </si>
  <si>
    <t>UPL Ltd</t>
  </si>
  <si>
    <t>INE628A01036</t>
  </si>
  <si>
    <t>Fertilizers &amp; Agrochemicals</t>
  </si>
  <si>
    <t>National Aluminium Co Ltd</t>
  </si>
  <si>
    <t>INE139A01034</t>
  </si>
  <si>
    <t>APL Apollo Tubes Ltd</t>
  </si>
  <si>
    <t>INE702C01027</t>
  </si>
  <si>
    <t>GMR Airports Ltd</t>
  </si>
  <si>
    <t>INE776C01039</t>
  </si>
  <si>
    <t>Torrent Power Ltd</t>
  </si>
  <si>
    <t>INE813H01021</t>
  </si>
  <si>
    <t>Phoenix Mills Ltd</t>
  </si>
  <si>
    <t>INE211B01039</t>
  </si>
  <si>
    <t>Voltas Ltd</t>
  </si>
  <si>
    <t>INE226A01021</t>
  </si>
  <si>
    <t>Alkem Laboratories Ltd</t>
  </si>
  <si>
    <t>INE540L01014</t>
  </si>
  <si>
    <t>Tube Investments of India Ltd</t>
  </si>
  <si>
    <t>INE974X01010</t>
  </si>
  <si>
    <t>Havells India Ltd</t>
  </si>
  <si>
    <t>INE176B01034</t>
  </si>
  <si>
    <t>NMDC Ltd</t>
  </si>
  <si>
    <t>INE584A01023</t>
  </si>
  <si>
    <t>Minerals &amp; Mining</t>
  </si>
  <si>
    <t>Sundaram Finance Ltd</t>
  </si>
  <si>
    <t>INE660A01013</t>
  </si>
  <si>
    <t>JSW Energy Ltd</t>
  </si>
  <si>
    <t>INE121E01018</t>
  </si>
  <si>
    <t>Mphasis Ltd</t>
  </si>
  <si>
    <t>INE356A01018</t>
  </si>
  <si>
    <t>Indian Bank</t>
  </si>
  <si>
    <t>INE562A01011</t>
  </si>
  <si>
    <t>KEI Industries Ltd</t>
  </si>
  <si>
    <t>INE878B01027</t>
  </si>
  <si>
    <t>Waaree Energies Ltd</t>
  </si>
  <si>
    <t>INE377N01017</t>
  </si>
  <si>
    <t>Aditya Birla Capital Ltd</t>
  </si>
  <si>
    <t>INE674K01013</t>
  </si>
  <si>
    <t>Vodafone Idea Ltd</t>
  </si>
  <si>
    <t>INE669E01016</t>
  </si>
  <si>
    <t>Colgate Palmolive (India) Ltd</t>
  </si>
  <si>
    <t>INE259A01022</t>
  </si>
  <si>
    <t>Godrej Properties Ltd</t>
  </si>
  <si>
    <t>INE484J01027</t>
  </si>
  <si>
    <t>360 One Wam Ltd</t>
  </si>
  <si>
    <t>INE466L01038</t>
  </si>
  <si>
    <t>Radico Khaitan Ltd</t>
  </si>
  <si>
    <t>INE944F01028</t>
  </si>
  <si>
    <t>Oil India Ltd</t>
  </si>
  <si>
    <t>INE274J01014</t>
  </si>
  <si>
    <t>NHPC Ltd</t>
  </si>
  <si>
    <t>INE848E01016</t>
  </si>
  <si>
    <t>Dabur India Ltd</t>
  </si>
  <si>
    <t>INE016A01026</t>
  </si>
  <si>
    <t>Vishal Mega Mart Ltd</t>
  </si>
  <si>
    <t>INE01EA01019</t>
  </si>
  <si>
    <t>Biocon Ltd</t>
  </si>
  <si>
    <t>INE376G01013</t>
  </si>
  <si>
    <t>Mankind Pharma Ltd</t>
  </si>
  <si>
    <t>INE634S01028</t>
  </si>
  <si>
    <t>PI Industries Ltd</t>
  </si>
  <si>
    <t>INE603J01030</t>
  </si>
  <si>
    <t>Jindal Stainless Ltd</t>
  </si>
  <si>
    <t>INE220G01021</t>
  </si>
  <si>
    <t>Prestige Estates Projects Ltd</t>
  </si>
  <si>
    <t>INE811K01011</t>
  </si>
  <si>
    <t>L&amp;T Finance Ltd</t>
  </si>
  <si>
    <t>INE498L01015</t>
  </si>
  <si>
    <t>Coromandel International Ltd</t>
  </si>
  <si>
    <t>INE169A01031</t>
  </si>
  <si>
    <t>Supreme Industries Ltd</t>
  </si>
  <si>
    <t>INE195A01028</t>
  </si>
  <si>
    <t>Page Industries Ltd</t>
  </si>
  <si>
    <t>INE761H01022</t>
  </si>
  <si>
    <t>Textiles &amp; Apparels</t>
  </si>
  <si>
    <t>Blue Star Ltd</t>
  </si>
  <si>
    <t>INE472A01039</t>
  </si>
  <si>
    <t>Lloyds Metals And Energy Ltd</t>
  </si>
  <si>
    <t>INE281B01032</t>
  </si>
  <si>
    <t>J.K. Cement Ltd</t>
  </si>
  <si>
    <t>INE823G01014</t>
  </si>
  <si>
    <t>Apar Industries Ltd</t>
  </si>
  <si>
    <t>INE372A01015</t>
  </si>
  <si>
    <t>Petronet LNG Ltd</t>
  </si>
  <si>
    <t>INE347G01014</t>
  </si>
  <si>
    <t>ICICI Prudential Life Insurance Co Ltd</t>
  </si>
  <si>
    <t>INE726G01019</t>
  </si>
  <si>
    <t>Uno Minda Ltd</t>
  </si>
  <si>
    <t>INE405E01023</t>
  </si>
  <si>
    <t>Oberoi Realty Ltd</t>
  </si>
  <si>
    <t>INE093I01010</t>
  </si>
  <si>
    <t>SBI Cards and Payment Services Ltd</t>
  </si>
  <si>
    <t>INE018E01016</t>
  </si>
  <si>
    <t>Jubilant Foodworks Ltd</t>
  </si>
  <si>
    <t>INE797F01020</t>
  </si>
  <si>
    <t>Astral Ltd</t>
  </si>
  <si>
    <t>INE006I01046</t>
  </si>
  <si>
    <t>Tata Communications Ltd</t>
  </si>
  <si>
    <t>INE151A01013</t>
  </si>
  <si>
    <t>ITC Hotels Ltd</t>
  </si>
  <si>
    <t>INE379A01028</t>
  </si>
  <si>
    <t>Adani Total Gas Ltd</t>
  </si>
  <si>
    <t>INE399L01023</t>
  </si>
  <si>
    <t>Container Corporation Of India Ltd</t>
  </si>
  <si>
    <t>INE111A01025</t>
  </si>
  <si>
    <t>Balkrishna Industries Ltd</t>
  </si>
  <si>
    <t>INE787D01026</t>
  </si>
  <si>
    <t>Bank of India</t>
  </si>
  <si>
    <t>INE084A01016</t>
  </si>
  <si>
    <t>Rail Vikas Nigam Ltd</t>
  </si>
  <si>
    <t>INE415G01027</t>
  </si>
  <si>
    <t>LIC Housing Finance Ltd</t>
  </si>
  <si>
    <t>INE115A01026</t>
  </si>
  <si>
    <t>Exide Industries Ltd</t>
  </si>
  <si>
    <t>INE302A01020</t>
  </si>
  <si>
    <t>Indian Railway Catering And Tourism Corporation Ltd</t>
  </si>
  <si>
    <t>INE335Y01020</t>
  </si>
  <si>
    <t>Bank Of Maharashtra</t>
  </si>
  <si>
    <t>INE457A01014</t>
  </si>
  <si>
    <t>Patanjali Foods Ltd</t>
  </si>
  <si>
    <t>INE619A01035</t>
  </si>
  <si>
    <t>Agricultural Food &amp; other Products</t>
  </si>
  <si>
    <t>Kalyan Jewellers India Ltd</t>
  </si>
  <si>
    <t>INE303R01014</t>
  </si>
  <si>
    <t>Thermax Ltd</t>
  </si>
  <si>
    <t>INE152A01029</t>
  </si>
  <si>
    <t>Linde India Ltd</t>
  </si>
  <si>
    <t>INE473A01011</t>
  </si>
  <si>
    <t>AIA Engineering Ltd</t>
  </si>
  <si>
    <t>INE212H01026</t>
  </si>
  <si>
    <t>Dalmia Bharat Ltd</t>
  </si>
  <si>
    <t>INE00R701025</t>
  </si>
  <si>
    <t>Gujarat Fluorochemicals Ltd</t>
  </si>
  <si>
    <t>INE09N301011</t>
  </si>
  <si>
    <t>Cochin Shipyard Ltd</t>
  </si>
  <si>
    <t>INE704P01025</t>
  </si>
  <si>
    <t>Tata Elxsi Ltd</t>
  </si>
  <si>
    <t>INE670A01012</t>
  </si>
  <si>
    <t>LG Electronics India Ltd</t>
  </si>
  <si>
    <t>INE324D01010</t>
  </si>
  <si>
    <t>Berger Paints India Ltd</t>
  </si>
  <si>
    <t>INE463A01038</t>
  </si>
  <si>
    <t>Abbott India Ltd</t>
  </si>
  <si>
    <t>INE358A01014</t>
  </si>
  <si>
    <t>Bharat Dynamics Ltd</t>
  </si>
  <si>
    <t>INE171Z01026</t>
  </si>
  <si>
    <t>Authum Investment &amp; Infrastructure Ltd</t>
  </si>
  <si>
    <t>INE206F01022</t>
  </si>
  <si>
    <t>Motilal Oswal Financial Services Ltd</t>
  </si>
  <si>
    <t>INE338I01027</t>
  </si>
  <si>
    <t>KPIT Technologies Ltd</t>
  </si>
  <si>
    <t>INE04I401011</t>
  </si>
  <si>
    <t>General Insurance Corporation Of India</t>
  </si>
  <si>
    <t>INE481Y01014</t>
  </si>
  <si>
    <t>HDB Financial Services Ltd</t>
  </si>
  <si>
    <t>INE756I01012</t>
  </si>
  <si>
    <t>Ajanta Pharma Ltd</t>
  </si>
  <si>
    <t>INE031B01049</t>
  </si>
  <si>
    <t>Premier Energies Ltd</t>
  </si>
  <si>
    <t>INE0BS701011</t>
  </si>
  <si>
    <t>Bharti Hexacom Ltd</t>
  </si>
  <si>
    <t>INE343G01021</t>
  </si>
  <si>
    <t>Housing &amp; Urban Development Corporation Ltd</t>
  </si>
  <si>
    <t>INE031A01017</t>
  </si>
  <si>
    <t>Awl Agri Business Ltd</t>
  </si>
  <si>
    <t>INE699H01024</t>
  </si>
  <si>
    <t>Indian Renewable Energy Development Agency Ltd</t>
  </si>
  <si>
    <t>INE202E01016</t>
  </si>
  <si>
    <t>CRISIL Ltd</t>
  </si>
  <si>
    <t>INE007A01025</t>
  </si>
  <si>
    <t>K.P.R. Mill Ltd</t>
  </si>
  <si>
    <t>INE930H01031</t>
  </si>
  <si>
    <t>NLC India Ltd</t>
  </si>
  <si>
    <t>INE589A01014</t>
  </si>
  <si>
    <t>NTPC Green Energy Ltd</t>
  </si>
  <si>
    <t>INE0ONG01011</t>
  </si>
  <si>
    <t>L&amp;T Technology Services Ltd</t>
  </si>
  <si>
    <t>INE010V01017</t>
  </si>
  <si>
    <t>IT - Services</t>
  </si>
  <si>
    <t>Glaxosmithkline Pharmaceuticals Ltd</t>
  </si>
  <si>
    <t>INE159A01016</t>
  </si>
  <si>
    <t>Bajaj Housing Finance Ltd</t>
  </si>
  <si>
    <t>INE377Y01014</t>
  </si>
  <si>
    <t>Global Health Ltd</t>
  </si>
  <si>
    <t>INE474Q01031</t>
  </si>
  <si>
    <t>3M India Ltd</t>
  </si>
  <si>
    <t>INE470A01017</t>
  </si>
  <si>
    <t>Diversified</t>
  </si>
  <si>
    <t>Tata Investment Corporation Ltd</t>
  </si>
  <si>
    <t>INE672A01026</t>
  </si>
  <si>
    <t>Godfrey Phillips India Ltd</t>
  </si>
  <si>
    <t>INE260B01028</t>
  </si>
  <si>
    <t>Cigarettes &amp; Tobacco Products</t>
  </si>
  <si>
    <t>JSW Infrastructure Ltd</t>
  </si>
  <si>
    <t>INE880J01026</t>
  </si>
  <si>
    <t>ACC Ltd</t>
  </si>
  <si>
    <t>INE012A01025</t>
  </si>
  <si>
    <t>Endurance Technologies Ltd</t>
  </si>
  <si>
    <t>INE913H01037</t>
  </si>
  <si>
    <t>Honeywell Automation India Ltd</t>
  </si>
  <si>
    <t>INE671A01010</t>
  </si>
  <si>
    <t>Hexaware Technologies Ltd</t>
  </si>
  <si>
    <t>INE093A01041</t>
  </si>
  <si>
    <t>SJVN Ltd</t>
  </si>
  <si>
    <t>INE002L01015</t>
  </si>
  <si>
    <t>Anthem Biosciences Ltd</t>
  </si>
  <si>
    <t>INE0CZ201020</t>
  </si>
  <si>
    <t>Godrej Industries Ltd</t>
  </si>
  <si>
    <t>INE233A01035</t>
  </si>
  <si>
    <t>The New India Assurance Co Ltd</t>
  </si>
  <si>
    <t>INE470Y01017</t>
  </si>
  <si>
    <t>Karur Vysya Bank Ltd</t>
  </si>
  <si>
    <t>INE036D01028</t>
  </si>
  <si>
    <t>Sona Blw Precision Forgings Ltd</t>
  </si>
  <si>
    <t>INE073K01018</t>
  </si>
  <si>
    <t>Delhivery Ltd</t>
  </si>
  <si>
    <t>INE148O01028</t>
  </si>
  <si>
    <t>Navin Fluorine International Ltd</t>
  </si>
  <si>
    <t>INE048G01026</t>
  </si>
  <si>
    <t>Piramal Finance Ltd</t>
  </si>
  <si>
    <t>INE202B01038</t>
  </si>
  <si>
    <t>Central Depository Services (India) Ltd</t>
  </si>
  <si>
    <t>INE736A01011</t>
  </si>
  <si>
    <t>RBL Bank Ltd</t>
  </si>
  <si>
    <t>INE976G01028</t>
  </si>
  <si>
    <t>Angel One Ltd</t>
  </si>
  <si>
    <t>INE732I01021</t>
  </si>
  <si>
    <t>PNB Housing Finance Ltd</t>
  </si>
  <si>
    <t>INE572E01012</t>
  </si>
  <si>
    <t>City Union Bank Ltd</t>
  </si>
  <si>
    <t>INE491A01021</t>
  </si>
  <si>
    <t>Ather Energy Ltd</t>
  </si>
  <si>
    <t>INE0LEZ01016</t>
  </si>
  <si>
    <t>Bandhan Bank Ltd</t>
  </si>
  <si>
    <t>INE545U01014</t>
  </si>
  <si>
    <t>Computer Age Management Services Ltd</t>
  </si>
  <si>
    <t>INE596I01020</t>
  </si>
  <si>
    <t>Aster DM Healthcare Ltd</t>
  </si>
  <si>
    <t>INE914M01019</t>
  </si>
  <si>
    <t>Hindustan Copper Ltd</t>
  </si>
  <si>
    <t>INE531E01026</t>
  </si>
  <si>
    <t>Crompton Greaves Consumer Electricals Ltd</t>
  </si>
  <si>
    <t>INE299U01018</t>
  </si>
  <si>
    <t>Amber Enterprises India Ltd</t>
  </si>
  <si>
    <t>INE371P01015</t>
  </si>
  <si>
    <t>J.B. Chemicals &amp; Pharmaceuticals Ltd</t>
  </si>
  <si>
    <t>INE572A01036</t>
  </si>
  <si>
    <t>Welspun Corp Ltd</t>
  </si>
  <si>
    <t>INE191B01025</t>
  </si>
  <si>
    <t>Krishna Institute Of Medical Sciences Ltd</t>
  </si>
  <si>
    <t>INE967H01025</t>
  </si>
  <si>
    <t>Manappuram Finance Ltd</t>
  </si>
  <si>
    <t>INE522D01027</t>
  </si>
  <si>
    <t>Great Eastern Shipping Co Ltd</t>
  </si>
  <si>
    <t>INE017A01032</t>
  </si>
  <si>
    <t>Cholamandalam Financial Holdings Ltd</t>
  </si>
  <si>
    <t>INE149A01033</t>
  </si>
  <si>
    <t>Anand Rathi Wealth Ltd</t>
  </si>
  <si>
    <t>INE463V01026</t>
  </si>
  <si>
    <t>Poonawalla Fincorp Ltd</t>
  </si>
  <si>
    <t>INE511C01022</t>
  </si>
  <si>
    <t>Sai Life Sciences Ltd</t>
  </si>
  <si>
    <t>INE570L01029</t>
  </si>
  <si>
    <t>Himadri Speciality Chemical Ltd</t>
  </si>
  <si>
    <t>INE019C01026</t>
  </si>
  <si>
    <t>Kalpataru Projects International Ltd</t>
  </si>
  <si>
    <t>INE220B01022</t>
  </si>
  <si>
    <t>Kirloskar Oil Engines Ltd</t>
  </si>
  <si>
    <t>INE146L01010</t>
  </si>
  <si>
    <t>Gland Pharma Ltd</t>
  </si>
  <si>
    <t>INE068V01023</t>
  </si>
  <si>
    <t>Acutaas Chemicals Ltd</t>
  </si>
  <si>
    <t>INE00FF01025</t>
  </si>
  <si>
    <t>Neuland Laboratories Ltd</t>
  </si>
  <si>
    <t>INE794A01010</t>
  </si>
  <si>
    <t>Redington Ltd</t>
  </si>
  <si>
    <t>INE891D01026</t>
  </si>
  <si>
    <t>Commercial Services &amp; Supplies</t>
  </si>
  <si>
    <t>Tata Chemicals Ltd</t>
  </si>
  <si>
    <t>INE092A01019</t>
  </si>
  <si>
    <t>Kaynes Technology India Ltd</t>
  </si>
  <si>
    <t>INE918Z01012</t>
  </si>
  <si>
    <t>Star Health And Allied Insurance Co Ltd</t>
  </si>
  <si>
    <t>INE575P01011</t>
  </si>
  <si>
    <t>Timken India Ltd</t>
  </si>
  <si>
    <t>INE325A01013</t>
  </si>
  <si>
    <t>Narayana Hrudayalaya Ltd</t>
  </si>
  <si>
    <t>INE410P01011</t>
  </si>
  <si>
    <t>Data Patterns India Ltd</t>
  </si>
  <si>
    <t>INE0IX101010</t>
  </si>
  <si>
    <t>Kfin Technologies Ltd</t>
  </si>
  <si>
    <t>INE138Y01010</t>
  </si>
  <si>
    <t>Elgi Equipments Ltd</t>
  </si>
  <si>
    <t>INE285A01027</t>
  </si>
  <si>
    <t>Deepak Nitrite Ltd</t>
  </si>
  <si>
    <t>INE288B01029</t>
  </si>
  <si>
    <t>HFCL Ltd</t>
  </si>
  <si>
    <t>INE548A01028</t>
  </si>
  <si>
    <t>CESC Ltd</t>
  </si>
  <si>
    <t>INE486A01021</t>
  </si>
  <si>
    <t>The Ramco Cements Ltd</t>
  </si>
  <si>
    <t>INE331A01037</t>
  </si>
  <si>
    <t>Indraprastha Gas Ltd</t>
  </si>
  <si>
    <t>INE203G01027</t>
  </si>
  <si>
    <t>Wockhardt Ltd</t>
  </si>
  <si>
    <t>INE049B01025</t>
  </si>
  <si>
    <t>ZF Commercial Vehicle Control Systems India Ltd</t>
  </si>
  <si>
    <t>INE342J01019</t>
  </si>
  <si>
    <t>Sammaan Capital Ltd</t>
  </si>
  <si>
    <t>INE148I01020</t>
  </si>
  <si>
    <t>Carborundum Universal Ltd</t>
  </si>
  <si>
    <t>INE120A01034</t>
  </si>
  <si>
    <t>Brigade Enterprises Ltd</t>
  </si>
  <si>
    <t>INE791I01019</t>
  </si>
  <si>
    <t>Atul Ltd</t>
  </si>
  <si>
    <t>INE100A01010</t>
  </si>
  <si>
    <t>Amara Raja Energy And Mobility Ltd</t>
  </si>
  <si>
    <t>INE885A01032</t>
  </si>
  <si>
    <t>IIFL Finance Ltd</t>
  </si>
  <si>
    <t>INE530B01024</t>
  </si>
  <si>
    <t>Dr. Lal Path Labs Ltd</t>
  </si>
  <si>
    <t>INE600L01024</t>
  </si>
  <si>
    <t>Home First Finance Co India Ltd</t>
  </si>
  <si>
    <t>INE481N01025</t>
  </si>
  <si>
    <t>Aarti Industries Ltd</t>
  </si>
  <si>
    <t>INE769A01020</t>
  </si>
  <si>
    <t>Motherson Sumi Wiring India Ltd</t>
  </si>
  <si>
    <t>INE0FS801015</t>
  </si>
  <si>
    <t>Nuvama Wealth Management Ltd</t>
  </si>
  <si>
    <t>INE531F01023</t>
  </si>
  <si>
    <t>Granules India Ltd</t>
  </si>
  <si>
    <t>INE101D01020</t>
  </si>
  <si>
    <t>Asahi India Glass Ltd</t>
  </si>
  <si>
    <t>INE439A01020</t>
  </si>
  <si>
    <t>Piramal Pharma Ltd</t>
  </si>
  <si>
    <t>INE0DK501011</t>
  </si>
  <si>
    <t>Tata Technologies Ltd</t>
  </si>
  <si>
    <t>INE142M01025</t>
  </si>
  <si>
    <t>Indian Energy Exchange Ltd</t>
  </si>
  <si>
    <t>INE022Q01020</t>
  </si>
  <si>
    <t>Kajaria Ceramics Ltd</t>
  </si>
  <si>
    <t>INE217B01036</t>
  </si>
  <si>
    <t>Natco Pharma Ltd</t>
  </si>
  <si>
    <t>INE987B01026</t>
  </si>
  <si>
    <t>Inox Wind Ltd</t>
  </si>
  <si>
    <t>INE066P01011</t>
  </si>
  <si>
    <t>PTC Industries Ltd</t>
  </si>
  <si>
    <t>INE596F01018</t>
  </si>
  <si>
    <t>Sagility Ltd</t>
  </si>
  <si>
    <t>INE0W2G01015</t>
  </si>
  <si>
    <t>Jaiprakash Power Ventures Ltd</t>
  </si>
  <si>
    <t>INE351F01018</t>
  </si>
  <si>
    <t>Onesource Specialty Pharma Ltd</t>
  </si>
  <si>
    <t>INE013P01021</t>
  </si>
  <si>
    <t>Force Motors Ltd</t>
  </si>
  <si>
    <t>INE451A01017</t>
  </si>
  <si>
    <t>NBCC (India) Ltd</t>
  </si>
  <si>
    <t>INE095N01031</t>
  </si>
  <si>
    <t>Craftsman Automation Ltd</t>
  </si>
  <si>
    <t>INE00LO01017</t>
  </si>
  <si>
    <t>Five-Star Business Finance Ltd</t>
  </si>
  <si>
    <t>INE128S01021</t>
  </si>
  <si>
    <t>Aptus Value Housing Finance India Ltd</t>
  </si>
  <si>
    <t>INE852O01025</t>
  </si>
  <si>
    <t>Nava Ltd</t>
  </si>
  <si>
    <t>INE725A01030</t>
  </si>
  <si>
    <t>Affle 3i Ltd</t>
  </si>
  <si>
    <t>INE00WC01027</t>
  </si>
  <si>
    <t>HBL Engineering Ltd</t>
  </si>
  <si>
    <t>INE292B01021</t>
  </si>
  <si>
    <t>Castrol India Ltd</t>
  </si>
  <si>
    <t>INE172A01027</t>
  </si>
  <si>
    <t>Syngene International Ltd</t>
  </si>
  <si>
    <t>INE398R01022</t>
  </si>
  <si>
    <t>Aegis Logistics Ltd</t>
  </si>
  <si>
    <t>INE208C01025</t>
  </si>
  <si>
    <t>Emami Ltd</t>
  </si>
  <si>
    <t>INE548C01032</t>
  </si>
  <si>
    <t>EID Parry India Ltd</t>
  </si>
  <si>
    <t>INE126A01031</t>
  </si>
  <si>
    <t>Garden Reach Shipbuilders &amp; Engineers Ltd</t>
  </si>
  <si>
    <t>INE382Z01011</t>
  </si>
  <si>
    <t>PG Electroplast Ltd</t>
  </si>
  <si>
    <t>INE457L01029</t>
  </si>
  <si>
    <t>IRB Infrastructure Developers Ltd</t>
  </si>
  <si>
    <t>INE821I01022</t>
  </si>
  <si>
    <t>Deepak Fertilizers and Petrochemicals Corporation Ltd</t>
  </si>
  <si>
    <t>INE501A01019</t>
  </si>
  <si>
    <t>Reliance Power Ltd</t>
  </si>
  <si>
    <t>INE614G01033</t>
  </si>
  <si>
    <t>Zee Entertainment Enterprises Ltd</t>
  </si>
  <si>
    <t>INE256A01028</t>
  </si>
  <si>
    <t>Entertainment</t>
  </si>
  <si>
    <t>Usha Martin Ltd</t>
  </si>
  <si>
    <t>INE228A01035</t>
  </si>
  <si>
    <t>Inventurus Knowledge Solutions Ltd</t>
  </si>
  <si>
    <t>INE115Q01022</t>
  </si>
  <si>
    <t>Gujarat State Petronet Ltd</t>
  </si>
  <si>
    <t>INE246F01010</t>
  </si>
  <si>
    <t>CCL Products (India) Ltd</t>
  </si>
  <si>
    <t>INE421D01022</t>
  </si>
  <si>
    <t>Cohance Lifesciences Ltd</t>
  </si>
  <si>
    <t>INE03QK01018</t>
  </si>
  <si>
    <t>Aditya Birla Real Estate Ltd</t>
  </si>
  <si>
    <t>INE055A01016</t>
  </si>
  <si>
    <t>Zen Technologies Ltd</t>
  </si>
  <si>
    <t>INE251B01027</t>
  </si>
  <si>
    <t>PVR Inox Ltd</t>
  </si>
  <si>
    <t>INE191H01014</t>
  </si>
  <si>
    <t>Whirlpool Of India Ltd</t>
  </si>
  <si>
    <t>INE716A01013</t>
  </si>
  <si>
    <t>Finolex Cables Ltd</t>
  </si>
  <si>
    <t>INE235A01022</t>
  </si>
  <si>
    <t>Jubilant Pharmova Ltd</t>
  </si>
  <si>
    <t>INE700A01033</t>
  </si>
  <si>
    <t>Go Digit General Insurance Ltd</t>
  </si>
  <si>
    <t>INE03JT01014</t>
  </si>
  <si>
    <t>Anant Raj Ltd</t>
  </si>
  <si>
    <t>INE242C01024</t>
  </si>
  <si>
    <t>Aditya Birla Sun Life AMC Ltd</t>
  </si>
  <si>
    <t>INE404A01024</t>
  </si>
  <si>
    <t>Cyient Ltd</t>
  </si>
  <si>
    <t>INE136B01020</t>
  </si>
  <si>
    <t>Syrma SGS Technology Ltd</t>
  </si>
  <si>
    <t>INE0DYJ01015</t>
  </si>
  <si>
    <t>Ola Electric Mobility Ltd</t>
  </si>
  <si>
    <t>INE0LXG01040</t>
  </si>
  <si>
    <t>Can Fin Homes Ltd</t>
  </si>
  <si>
    <t>INE477A01020</t>
  </si>
  <si>
    <t>Schneider Electric Infrastructure Ltd</t>
  </si>
  <si>
    <t>INE839M01018</t>
  </si>
  <si>
    <t>KEC International Ltd</t>
  </si>
  <si>
    <t>INE389H01022</t>
  </si>
  <si>
    <t>Eris Lifesciences Ltd</t>
  </si>
  <si>
    <t>INE406M01024</t>
  </si>
  <si>
    <t>Godawari Power &amp; Ispat Ltd</t>
  </si>
  <si>
    <t>INE177H01039</t>
  </si>
  <si>
    <t>CEAT Ltd</t>
  </si>
  <si>
    <t>INE482A01020</t>
  </si>
  <si>
    <t>Capri Global Capital Ltd</t>
  </si>
  <si>
    <t>INE180C01042</t>
  </si>
  <si>
    <t>Pfizer Ltd</t>
  </si>
  <si>
    <t>INE182A01018</t>
  </si>
  <si>
    <t>Creditaccess Grameen Ltd</t>
  </si>
  <si>
    <t>INE741K01010</t>
  </si>
  <si>
    <t>BEML Ltd</t>
  </si>
  <si>
    <t>INE258A01024</t>
  </si>
  <si>
    <t>Engineers India Ltd</t>
  </si>
  <si>
    <t>INE510A01028</t>
  </si>
  <si>
    <t>CarTrade Tech Ltd</t>
  </si>
  <si>
    <t>INE290S01011</t>
  </si>
  <si>
    <t>Firstsource Solutions Ltd</t>
  </si>
  <si>
    <t>INE684F01012</t>
  </si>
  <si>
    <t>Netweb Technologies India Ltd</t>
  </si>
  <si>
    <t>INE0NT901020</t>
  </si>
  <si>
    <t>NCC Ltd</t>
  </si>
  <si>
    <t>INE868B01028</t>
  </si>
  <si>
    <t>Triveni Turbine Ltd</t>
  </si>
  <si>
    <t>INE152M01016</t>
  </si>
  <si>
    <t>Chambal Fertilizers &amp; Chemicals Ltd</t>
  </si>
  <si>
    <t>INE085A01013</t>
  </si>
  <si>
    <t>Gabriel India Ltd</t>
  </si>
  <si>
    <t>INE524A01029</t>
  </si>
  <si>
    <t>Intellect Design Arena Ltd</t>
  </si>
  <si>
    <t>INE306R01017</t>
  </si>
  <si>
    <t>Gillette India Ltd</t>
  </si>
  <si>
    <t>INE322A01010</t>
  </si>
  <si>
    <t>Mahanagar Gas Ltd</t>
  </si>
  <si>
    <t>INE002S01010</t>
  </si>
  <si>
    <t>Indiamart Intermesh Ltd</t>
  </si>
  <si>
    <t>INE933S01016</t>
  </si>
  <si>
    <t>Techno Electric &amp; Engineering Co Ltd</t>
  </si>
  <si>
    <t>INE285K01026</t>
  </si>
  <si>
    <t>Jyoti CNC Automation Ltd</t>
  </si>
  <si>
    <t>INE980O01024</t>
  </si>
  <si>
    <t>Sobha Ltd</t>
  </si>
  <si>
    <t>INE671H01015</t>
  </si>
  <si>
    <t>Belrise Industries Ltd</t>
  </si>
  <si>
    <t>INE894V01022</t>
  </si>
  <si>
    <t>EIH Ltd</t>
  </si>
  <si>
    <t>INE230A01023</t>
  </si>
  <si>
    <t>Rainbow Childrens Medicare Ltd</t>
  </si>
  <si>
    <t>INE961O01016</t>
  </si>
  <si>
    <t>Vardhman Textiles Ltd</t>
  </si>
  <si>
    <t>INE825A01020</t>
  </si>
  <si>
    <t>Titagarh Rail Systems Ltd</t>
  </si>
  <si>
    <t>INE615H01020</t>
  </si>
  <si>
    <t>Ramkrishna Forgings Ltd</t>
  </si>
  <si>
    <t>INE399G01023</t>
  </si>
  <si>
    <t>Shyam Metalics And Energy Ltd</t>
  </si>
  <si>
    <t>INE810G01011</t>
  </si>
  <si>
    <t>Birlasoft Ltd</t>
  </si>
  <si>
    <t>INE836A01035</t>
  </si>
  <si>
    <t>Gujarat Mineral Development Corporation Ltd</t>
  </si>
  <si>
    <t>INE131A01031</t>
  </si>
  <si>
    <t>Bayer Cropscience Ltd</t>
  </si>
  <si>
    <t>INE462A01022</t>
  </si>
  <si>
    <t>Jubilant Ingrevia Ltd</t>
  </si>
  <si>
    <t>INE0BY001018</t>
  </si>
  <si>
    <t>Balrampur Chini Mills Ltd</t>
  </si>
  <si>
    <t>INE119A01028</t>
  </si>
  <si>
    <t>Sun TV Network Ltd</t>
  </si>
  <si>
    <t>INE424H01027</t>
  </si>
  <si>
    <t>LT Foods Ltd</t>
  </si>
  <si>
    <t>INE818H01020</t>
  </si>
  <si>
    <t>eClerx Services Ltd</t>
  </si>
  <si>
    <t>INE738I01010</t>
  </si>
  <si>
    <t>Zensar Technologies Ltd</t>
  </si>
  <si>
    <t>INE520A01027</t>
  </si>
  <si>
    <t>Lemon Tree Hotels Ltd</t>
  </si>
  <si>
    <t>INE970X01018</t>
  </si>
  <si>
    <t>Poly Medicure Ltd</t>
  </si>
  <si>
    <t>INE205C01021</t>
  </si>
  <si>
    <t>Healthcare Equipment &amp; Supplies</t>
  </si>
  <si>
    <t>Emcure Pharmaceuticals Ltd</t>
  </si>
  <si>
    <t>INE168P01015</t>
  </si>
  <si>
    <t>The Jammu &amp; Kashmir Bank Ltd</t>
  </si>
  <si>
    <t>INE168A01041</t>
  </si>
  <si>
    <t>Fertilizers And Chemicals Travancore Ltd</t>
  </si>
  <si>
    <t>INE188A01015</t>
  </si>
  <si>
    <t>Paradeep Phosphates Ltd</t>
  </si>
  <si>
    <t>INE088F01024</t>
  </si>
  <si>
    <t>Aditya Birla Lifestyle Brands Ltd</t>
  </si>
  <si>
    <t>INE14LE01019</t>
  </si>
  <si>
    <t>Vijaya Diagnostic Centre Ltd</t>
  </si>
  <si>
    <t>INE043W01024</t>
  </si>
  <si>
    <t>Aavas Financiers Ltd</t>
  </si>
  <si>
    <t>INE216P01012</t>
  </si>
  <si>
    <t>Sarda Energy &amp; Minerals Ltd</t>
  </si>
  <si>
    <t>INE385C01021</t>
  </si>
  <si>
    <t>Meesho Ltd</t>
  </si>
  <si>
    <t>INE0VDM01015</t>
  </si>
  <si>
    <t>Chennai Petroleum Corporation Ltd</t>
  </si>
  <si>
    <t>INE178A01016</t>
  </si>
  <si>
    <t>Chalet Hotels Ltd</t>
  </si>
  <si>
    <t>INE427F01016</t>
  </si>
  <si>
    <t>JM Financial Ltd</t>
  </si>
  <si>
    <t>INE780C01023</t>
  </si>
  <si>
    <t>Brainbees Solutions Ltd</t>
  </si>
  <si>
    <t>INE02RE01045</t>
  </si>
  <si>
    <t>Choice International Ltd</t>
  </si>
  <si>
    <t>INE102B01014</t>
  </si>
  <si>
    <t>Afcons Infrastructure Ltd</t>
  </si>
  <si>
    <t>INE101I01011</t>
  </si>
  <si>
    <t>Aadhar Housing Finance Ltd</t>
  </si>
  <si>
    <t>INE883F01010</t>
  </si>
  <si>
    <t>Jindal Saw Ltd</t>
  </si>
  <si>
    <t>INE324A01032</t>
  </si>
  <si>
    <t>Gravita India Ltd</t>
  </si>
  <si>
    <t>INE024L01027</t>
  </si>
  <si>
    <t>R R Kabel Ltd</t>
  </si>
  <si>
    <t>INE777K01022</t>
  </si>
  <si>
    <t>Indegene Ltd</t>
  </si>
  <si>
    <t>INE065X01017</t>
  </si>
  <si>
    <t>Shipping Corporation of India Ltd</t>
  </si>
  <si>
    <t>INE109A01011</t>
  </si>
  <si>
    <t>Sumitomo Chemical India Ltd</t>
  </si>
  <si>
    <t>INE258G01013</t>
  </si>
  <si>
    <t>Urban Co Ltd</t>
  </si>
  <si>
    <t>INE0CAZ01013</t>
  </si>
  <si>
    <t>Indian Overseas Bank</t>
  </si>
  <si>
    <t>INE565A01014</t>
  </si>
  <si>
    <t>PCBL Chemical Ltd</t>
  </si>
  <si>
    <t>INE602A01031</t>
  </si>
  <si>
    <t>Olectra Greentech Ltd</t>
  </si>
  <si>
    <t>INE260D01016</t>
  </si>
  <si>
    <t>Jsw Dulux Ltd</t>
  </si>
  <si>
    <t>INE133A01011</t>
  </si>
  <si>
    <t>JK Tyre &amp; Industries Ltd</t>
  </si>
  <si>
    <t>INE573A01042</t>
  </si>
  <si>
    <t>Physicswallah Ltd</t>
  </si>
  <si>
    <t>INE0LP301011</t>
  </si>
  <si>
    <t>Other Consumer Services</t>
  </si>
  <si>
    <t>Devyani International Ltd</t>
  </si>
  <si>
    <t>INE872J01023</t>
  </si>
  <si>
    <t>Heg Ltd</t>
  </si>
  <si>
    <t>INE545A01024</t>
  </si>
  <si>
    <t>Sonata Software Ltd</t>
  </si>
  <si>
    <t>INE269A01021</t>
  </si>
  <si>
    <t>IRCON International Ltd</t>
  </si>
  <si>
    <t>INE962Y01021</t>
  </si>
  <si>
    <t>NMDC Steel Ltd</t>
  </si>
  <si>
    <t>INE0NNS01018</t>
  </si>
  <si>
    <t>Zydus Wellness Ltd</t>
  </si>
  <si>
    <t>INE768C01028</t>
  </si>
  <si>
    <t>Dcm Shriram Ltd</t>
  </si>
  <si>
    <t>INE499A01024</t>
  </si>
  <si>
    <t>Sapphire Foods India Ltd</t>
  </si>
  <si>
    <t>INE806T01020</t>
  </si>
  <si>
    <t>Niva Bupa Health Insurance Co Ltd</t>
  </si>
  <si>
    <t>INE995S01015</t>
  </si>
  <si>
    <t>Tenneco Clean Air India Ltd</t>
  </si>
  <si>
    <t>INE19RI01016</t>
  </si>
  <si>
    <t>Supreme Petrochem Ltd</t>
  </si>
  <si>
    <t>INE663A01033</t>
  </si>
  <si>
    <t>Graphite India Ltd</t>
  </si>
  <si>
    <t>INE371A01025</t>
  </si>
  <si>
    <t>Swan Corp Ltd</t>
  </si>
  <si>
    <t>INE665A01038</t>
  </si>
  <si>
    <t>Honasa Consumer Ltd</t>
  </si>
  <si>
    <t>INE0J5401028</t>
  </si>
  <si>
    <t>Bata India Ltd</t>
  </si>
  <si>
    <t>INE176A01028</t>
  </si>
  <si>
    <t>Aditya Infotech Ltd</t>
  </si>
  <si>
    <t>INE819V01029</t>
  </si>
  <si>
    <t>Cemindia Projects Ltd</t>
  </si>
  <si>
    <t>INE686A01026</t>
  </si>
  <si>
    <t>Elecon Engineering Co Ltd</t>
  </si>
  <si>
    <t>INE205B01031</t>
  </si>
  <si>
    <t>Bikaji Foods International Ltd</t>
  </si>
  <si>
    <t>INE00E101023</t>
  </si>
  <si>
    <t>TBO Tek Ltd</t>
  </si>
  <si>
    <t>INE673O01025</t>
  </si>
  <si>
    <t>IDBI Bank Ltd</t>
  </si>
  <si>
    <t>INE008A01015</t>
  </si>
  <si>
    <t>Minda Corporation Ltd</t>
  </si>
  <si>
    <t>INE842C01021</t>
  </si>
  <si>
    <t>Doms Industries Ltd</t>
  </si>
  <si>
    <t>INE321T01012</t>
  </si>
  <si>
    <t>Household Products</t>
  </si>
  <si>
    <t>Welspun Living Ltd</t>
  </si>
  <si>
    <t>INE192B01031</t>
  </si>
  <si>
    <t>UTI Asset Management Co Ltd</t>
  </si>
  <si>
    <t>INE094J01016</t>
  </si>
  <si>
    <t>Clean Science And Technology Ltd</t>
  </si>
  <si>
    <t>INE227W01023</t>
  </si>
  <si>
    <t>IFCI Ltd</t>
  </si>
  <si>
    <t>INE039A01010</t>
  </si>
  <si>
    <t>Jupiter Wagons Ltd</t>
  </si>
  <si>
    <t>INE209L01016</t>
  </si>
  <si>
    <t>SBFC Finance Ltd</t>
  </si>
  <si>
    <t>INE423Y01016</t>
  </si>
  <si>
    <t>Concord Biotech Ltd</t>
  </si>
  <si>
    <t>INE338H01029</t>
  </si>
  <si>
    <t>Action Construction Equipment Ltd</t>
  </si>
  <si>
    <t>INE731H01025</t>
  </si>
  <si>
    <t>Anupam Rasayan India Ltd</t>
  </si>
  <si>
    <t>INE930P01018</t>
  </si>
  <si>
    <t>Transformers And Rectifiers India Ltd</t>
  </si>
  <si>
    <t>INE763I01026</t>
  </si>
  <si>
    <t>Central Bank of India</t>
  </si>
  <si>
    <t>INE483A01010</t>
  </si>
  <si>
    <t>International Gemological Institute Ltd</t>
  </si>
  <si>
    <t>INE0Q9301021</t>
  </si>
  <si>
    <t>Leela Palaces Hotels &amp; Resorts Ltd</t>
  </si>
  <si>
    <t>INE0AQ201015</t>
  </si>
  <si>
    <t>Pine Labs Ltd</t>
  </si>
  <si>
    <t>INE15B701018</t>
  </si>
  <si>
    <t>Tejas Networks Ltd</t>
  </si>
  <si>
    <t>INE010J01012</t>
  </si>
  <si>
    <t>Telecom - Equipment &amp; Accessories</t>
  </si>
  <si>
    <t>Signatureglobal (India) Ltd</t>
  </si>
  <si>
    <t>INE903U01023</t>
  </si>
  <si>
    <t>Caplin Point Laboratories Ltd</t>
  </si>
  <si>
    <t>INE475E01026</t>
  </si>
  <si>
    <t>BLS International Services Ltd</t>
  </si>
  <si>
    <t>INE153T01027</t>
  </si>
  <si>
    <t>Trident Ltd</t>
  </si>
  <si>
    <t>INE064C01022</t>
  </si>
  <si>
    <t>Blue Dart Express Ltd</t>
  </si>
  <si>
    <t>INE233B01017</t>
  </si>
  <si>
    <t>Newgen Software Technologies Ltd</t>
  </si>
  <si>
    <t>INE619B01017</t>
  </si>
  <si>
    <t>Aditya Birla Fashion and Retail Ltd</t>
  </si>
  <si>
    <t>INE647O01011</t>
  </si>
  <si>
    <t>JSW Cement Ltd</t>
  </si>
  <si>
    <t>INE718I01012</t>
  </si>
  <si>
    <t>Acme Solar Holdings Ltd</t>
  </si>
  <si>
    <t>INE622W01025</t>
  </si>
  <si>
    <t>UCO Bank</t>
  </si>
  <si>
    <t>INE691A01018</t>
  </si>
  <si>
    <t>Nuvoco Vistas Corporation Ltd</t>
  </si>
  <si>
    <t>INE118D01016</t>
  </si>
  <si>
    <t>Mangalore Refinery &amp; Petrochemicals Ltd</t>
  </si>
  <si>
    <t>INE103A01014</t>
  </si>
  <si>
    <t>Rites Ltd</t>
  </si>
  <si>
    <t>INE320J01015</t>
  </si>
  <si>
    <t>ITI Ltd</t>
  </si>
  <si>
    <t>INE248A01017</t>
  </si>
  <si>
    <t>Allied Blenders And Distillers Ltd</t>
  </si>
  <si>
    <t>INE552Z01027</t>
  </si>
  <si>
    <t>Canara HSBC Life Insurance Co Ltd</t>
  </si>
  <si>
    <t>INE01TY01017</t>
  </si>
  <si>
    <t>Railtel Corporation Of India Ltd</t>
  </si>
  <si>
    <t>INE0DD101019</t>
  </si>
  <si>
    <t>Tega Industries Ltd</t>
  </si>
  <si>
    <t>INE011K01018</t>
  </si>
  <si>
    <t>Aegis Vopak Terminals Ltd</t>
  </si>
  <si>
    <t>INE0INX01018</t>
  </si>
  <si>
    <t>The India Cements Ltd</t>
  </si>
  <si>
    <t>INE383A01012</t>
  </si>
  <si>
    <t>Emmvee Photovoltaic Power Ltd</t>
  </si>
  <si>
    <t>INE1C6T01020</t>
  </si>
  <si>
    <t>Gallantt Ispat Ltd</t>
  </si>
  <si>
    <t>INE297H01019</t>
  </si>
  <si>
    <t>Bombay Burmah Trading Corporation Ltd</t>
  </si>
  <si>
    <t>INE050A01025</t>
  </si>
  <si>
    <t>JBM Auto Ltd</t>
  </si>
  <si>
    <t>INE927D01051</t>
  </si>
  <si>
    <t>Saregama India Ltd</t>
  </si>
  <si>
    <t>INE979A01025</t>
  </si>
  <si>
    <t>Jain Resource Recycling Ltd</t>
  </si>
  <si>
    <t>INE0YD401026</t>
  </si>
  <si>
    <t>Rhi Magnesita India Ltd</t>
  </si>
  <si>
    <t>INE743M01012</t>
  </si>
  <si>
    <t>Travel Food Services Ltd</t>
  </si>
  <si>
    <t>INE103V01028</t>
  </si>
  <si>
    <t>Tata Teleservices Maharashtra Ltd</t>
  </si>
  <si>
    <t>INE517B01013</t>
  </si>
  <si>
    <t>Latent View Analytics Ltd</t>
  </si>
  <si>
    <t>INE0I7C01011</t>
  </si>
  <si>
    <t>CE Info Systems Ltd</t>
  </si>
  <si>
    <t>INE0BV301023</t>
  </si>
  <si>
    <t>Blue Jet Healthcare Ltd</t>
  </si>
  <si>
    <t>INE0KBH01020</t>
  </si>
  <si>
    <t>MMTC Ltd</t>
  </si>
  <si>
    <t>INE123F01029</t>
  </si>
  <si>
    <t>VA Tech Wabag Ltd</t>
  </si>
  <si>
    <t>INE956G01038</t>
  </si>
  <si>
    <t>Other Utilities</t>
  </si>
  <si>
    <t>Jamna Auto Industries Ltd</t>
  </si>
  <si>
    <t>INE039C01032</t>
  </si>
  <si>
    <t>PTC India Ltd</t>
  </si>
  <si>
    <t>INE877F01012</t>
  </si>
  <si>
    <t>Akums Drugs And Pharmaceuticals Ltd</t>
  </si>
  <si>
    <t>INE09XN01023</t>
  </si>
  <si>
    <t>CIE Automotive India Ltd</t>
  </si>
  <si>
    <t>INE536H01010</t>
  </si>
  <si>
    <t>Ujjivan Small Finance Bank Ltd</t>
  </si>
  <si>
    <t>INE551W01018</t>
  </si>
  <si>
    <t>Fiem Industries Ltd</t>
  </si>
  <si>
    <t>INE737H01014</t>
  </si>
  <si>
    <t>KRBL Ltd</t>
  </si>
  <si>
    <t>INE001B01026</t>
  </si>
  <si>
    <t>MTAR Technologies Ltd</t>
  </si>
  <si>
    <t>INE864I01014</t>
  </si>
  <si>
    <t>Sharda Cropchem Ltd</t>
  </si>
  <si>
    <t>INE221J01015</t>
  </si>
  <si>
    <t>V-Mart Retail Ltd</t>
  </si>
  <si>
    <t>INE665J01013</t>
  </si>
  <si>
    <t>Rubicon Research Ltd</t>
  </si>
  <si>
    <t>INE506V01022</t>
  </si>
  <si>
    <t>WeWork India Management Ltd</t>
  </si>
  <si>
    <t>INE085001019</t>
  </si>
  <si>
    <t>Rashtriya Chemicals and Fertilizers Ltd</t>
  </si>
  <si>
    <t>INE027A01015</t>
  </si>
  <si>
    <t>Strides Pharma Science Ltd</t>
  </si>
  <si>
    <t>INE939A01011</t>
  </si>
  <si>
    <t>Advanced Enzyme Technologies Ltd</t>
  </si>
  <si>
    <t>INE837H01020</t>
  </si>
  <si>
    <t>INE1YPB01014</t>
  </si>
  <si>
    <t>GMM Pfaudler Ltd</t>
  </si>
  <si>
    <t>INE541A01023</t>
  </si>
  <si>
    <t>Ahluwalia Contracts (India) Ltd</t>
  </si>
  <si>
    <t>INE758C01029</t>
  </si>
  <si>
    <t>TVS Supply Chain Solutions Ltd</t>
  </si>
  <si>
    <t>INE395N01027</t>
  </si>
  <si>
    <t>Godrej Agrovet Ltd</t>
  </si>
  <si>
    <t>INE850D01014</t>
  </si>
  <si>
    <t>Birla Corporation Ltd</t>
  </si>
  <si>
    <t>INE340A01012</t>
  </si>
  <si>
    <t>Sterlite Technologies Ltd</t>
  </si>
  <si>
    <t>INE089C01029</t>
  </si>
  <si>
    <t>Canara Bank (15-Jun-2026)</t>
  </si>
  <si>
    <t>INE476A16F52</t>
  </si>
  <si>
    <t>Punjab National Bank (15-Sep-2026)</t>
  </si>
  <si>
    <t>INE160A16UT0</t>
  </si>
  <si>
    <t>Canara Bank (28-Jan-2027) **</t>
  </si>
  <si>
    <t>INE476A16G28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</si>
  <si>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</si>
  <si>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</si>
  <si>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</si>
  <si>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</si>
  <si>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</si>
  <si>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26-MAY-26</t>
  </si>
  <si>
    <t>Short</t>
  </si>
  <si>
    <t>TVS MOTOR CO LTD FUT 26-MAY-26</t>
  </si>
  <si>
    <t>MARUTI SUZUKI INDIA LTD FUT 30-JUN-26</t>
  </si>
  <si>
    <t>OIL INDIA LTD FUT 26-MAY-26</t>
  </si>
  <si>
    <t>HINDALCO INDUSTRIES LTD FUT 26-MAY-26</t>
  </si>
  <si>
    <t>UPL LTD FUT 26-MAY-26</t>
  </si>
  <si>
    <t>DABUR INDIA LTD FUT 26-MAY-26</t>
  </si>
  <si>
    <t>ICICI PRU LIFE INS CO LTD FUT 26-MAY-26</t>
  </si>
  <si>
    <t>GAIL INDIA LTD FUT 26-MAY-26</t>
  </si>
  <si>
    <t>GODREJ CONSUMER PROD LTD FUT 26-MAY-26</t>
  </si>
  <si>
    <t>ETERNAL LTD FUT 26-MAY-26</t>
  </si>
  <si>
    <t>M&amp;M LTD FUT 26-MAY-26</t>
  </si>
  <si>
    <t>INDUSIND BANK LTD FUT 26-MAY-26</t>
  </si>
  <si>
    <t>EICHER MOTORS LTD FUT 26-MAY-26</t>
  </si>
  <si>
    <t>HDFC AMC LTD FUT 26-MAY-26</t>
  </si>
  <si>
    <t>ULTRA TECH CEMENT LTD FUT 30-JUN-26</t>
  </si>
  <si>
    <t>ADANI PORTS AND SP ECO FUT 26-MAY-26</t>
  </si>
  <si>
    <t>INFO EDGE (INDIA) LTD FUT 26-MAY-26</t>
  </si>
  <si>
    <t>NESTLE INDIA LTD FUT 26-MAY-26</t>
  </si>
  <si>
    <t>VODAFONE IDEA LTD FUT 30-JUN-26</t>
  </si>
  <si>
    <t>DALMIA BHARAT LTD FUT 26-MAY-26</t>
  </si>
  <si>
    <t>PB FINTECH LTD FUT 26-MAY-26</t>
  </si>
  <si>
    <t>AMBUJA CEMENTS LTD FUT 26-MAY-26</t>
  </si>
  <si>
    <t>BRITANNIA INDUSTRIES LTD FUT 26-MAY-26</t>
  </si>
  <si>
    <t>TATA POWER CO LTD FUT 26-MAY-26</t>
  </si>
  <si>
    <t>ULTRA TECH CEMENT LTD FUT 26-MAY-26</t>
  </si>
  <si>
    <t>CIPLA LTD FUT 26-MAY-26</t>
  </si>
  <si>
    <t>BAJAJ FINSERV LTD FUT 26-MAY-26</t>
  </si>
  <si>
    <t>SUN PHARMA IND LTD FUT 26-MAY-26</t>
  </si>
  <si>
    <t>ASIAN PAINTS LTD FUT 26-MAY-26</t>
  </si>
  <si>
    <t>M&amp;M LTD FUT 30-JUN-26</t>
  </si>
  <si>
    <t>CROMPT GREA CON ELEC LTD FUT 26-MAY-26</t>
  </si>
  <si>
    <t>LARSEN AND TOUBRO LTD FUT 26-MAY-26</t>
  </si>
  <si>
    <t>HINDUSTAN AERONAUTICS LTD FUT 26-MAY-26</t>
  </si>
  <si>
    <t>TITAN CO LTD FUT 26-MAY-26</t>
  </si>
  <si>
    <t>ONGC LTD FUT 26-MAY-26</t>
  </si>
  <si>
    <t>INDIAN HOTELS CO LTD FUT 26-MAY-26</t>
  </si>
  <si>
    <t>BAJAJ FINANCE LTD FUT 30-JUN-26</t>
  </si>
  <si>
    <t>SHRIRAM FINANCE LTD FUT 26-MAY-26</t>
  </si>
  <si>
    <t>YES BANK LTD FUT 30-JUN-26</t>
  </si>
  <si>
    <t>PGC LTD FUT 26-MAY-26</t>
  </si>
  <si>
    <t>PFC LTD FUT 26-MAY-26</t>
  </si>
  <si>
    <t>STEEL AUTHOR OF IND LTD FUT 26-MAY-26</t>
  </si>
  <si>
    <t>FEDERAL BANK LTD FUT 26-MAY-26</t>
  </si>
  <si>
    <t>INDIAN OIL CORP LTD FUT 26-MAY-26</t>
  </si>
  <si>
    <t>HDFC LIFE INSURANCE COLTD FUT 26-MAY-26</t>
  </si>
  <si>
    <t>PUNJAB NATIONAL BANK FUT 26-MAY-26</t>
  </si>
  <si>
    <t>GRASIM INDUSTRIES LTD FUT 26-MAY-26</t>
  </si>
  <si>
    <t>LIC HOUSING FIN LTD FUT 26-MAY-26</t>
  </si>
  <si>
    <t>BHARTI AIRTEL LTD FUT 30-JUN-26</t>
  </si>
  <si>
    <t>DLF LTD FUT 26-MAY-26</t>
  </si>
  <si>
    <t>NBCC (INDIA) LTD FUT 26-MAY-26</t>
  </si>
  <si>
    <t>LAURUS LABS LTD FUT 26-MAY-26</t>
  </si>
  <si>
    <t>AXIS BANK LTD FUT 26-MAY-26</t>
  </si>
  <si>
    <t>NTPC LTD FUT 26-MAY-26</t>
  </si>
  <si>
    <t>IDFC FIRST BANK LTD FUT 26-MAY-26</t>
  </si>
  <si>
    <t>MARUTI SUZUKI INDIA LTD FUT 26-MAY-26</t>
  </si>
  <si>
    <t>GODREJ PROPERTIES LTD FUT 26-MAY-26</t>
  </si>
  <si>
    <t>BAJAJ FINANCE LTD FUT 26-MAY-26</t>
  </si>
  <si>
    <t>ICICI BANK LTD FUT 30-JUN-26</t>
  </si>
  <si>
    <t>JIO FINANC SERVICES LTD FUT 26-MAY-26</t>
  </si>
  <si>
    <t>MAX FINANCIAL SERVICES FUT 26-MAY-26</t>
  </si>
  <si>
    <t>VODAFONE IDEA LTD FUT 26-MAY-26</t>
  </si>
  <si>
    <t>TATA MOTORS PASS VEHICLES FUT 26-MAY-26</t>
  </si>
  <si>
    <t>AXIS BANK LTD FUT 30-JUN-26</t>
  </si>
  <si>
    <t>JSW STEEL LTD FUT 26-MAY-26</t>
  </si>
  <si>
    <t>BANK OF BARODA FUT 26-MAY-26</t>
  </si>
  <si>
    <t>BHARAT ELECTRONICS LTD FUT 26-MAY-26</t>
  </si>
  <si>
    <t>RELIANCE INDUSTRIES LTD FUT 30-JUN-26</t>
  </si>
  <si>
    <t>STATE BANK OF INDIA FUT 26-MAY-26</t>
  </si>
  <si>
    <t>BHARAT HEAVY ELECT LTD FUT 26-MAY-26</t>
  </si>
  <si>
    <t>AU SMALL FINANCE BANK LTD FUT 26-MAY-26</t>
  </si>
  <si>
    <t>YES BANK LTD FUT 26-MAY-26</t>
  </si>
  <si>
    <t>KOTAK BANK LTD FUT 26-MAY-26</t>
  </si>
  <si>
    <t>CANARA BANK FUT 26-MAY-26</t>
  </si>
  <si>
    <t>BHARAT PETROLEUM CORP LTD FUT 26-MAY-26</t>
  </si>
  <si>
    <t>KOTAK BANK LTD FUT 30-JUN-26</t>
  </si>
  <si>
    <t>ITC LTD FUT 26-MAY-26</t>
  </si>
  <si>
    <t>PRESTIGE ESTATES PROJECTS FUT 26-MAY-26</t>
  </si>
  <si>
    <t>MULTI COMMODITY EXC OF IND 26-MAY-26</t>
  </si>
  <si>
    <t>BHARTI AIRTEL LTD FUT 26-MAY-26</t>
  </si>
  <si>
    <t>RELIANCE INDUSTRIES LTD FUT 26-MAY-26</t>
  </si>
  <si>
    <t>ICICI BANK LTD FUT 26-MAY-26</t>
  </si>
  <si>
    <t>HDFC BANK LTD FUT 26-MAY-26</t>
  </si>
  <si>
    <t>ADANI ENTERPRISES LTD FUT 26-MAY-26</t>
  </si>
  <si>
    <t>Industry Classification / Rating</t>
  </si>
  <si>
    <t>** Non- Traded Security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</si>
  <si>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</si>
  <si>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</si>
  <si>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</si>
  <si>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</si>
  <si>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</si>
  <si>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</si>
  <si>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Low Duration Debt Index A-I</t>
  </si>
  <si>
    <t>Benchmark Name - NIFTY Short Duration Debt Index A-II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</si>
  <si>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</si>
  <si>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</si>
  <si>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</si>
  <si>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</si>
  <si>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</si>
  <si>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Benchmark Name - Nifty 50 Arbitrage (TRI)</t>
  </si>
  <si>
    <t>-</t>
  </si>
  <si>
    <t>Aggregate Investments by other schemes (at NAV) as on April 30, 2026, is Rs.4,558.59 Lakh's.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</si>
  <si>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</si>
  <si>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</si>
  <si>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</si>
  <si>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</si>
  <si>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</si>
  <si>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</si>
  <si>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</si>
  <si>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(6) The average maturity period of the portfolio is 0.79 years.</t>
  </si>
  <si>
    <t>(7) Repo transactions in corporate debt securities as on April 30, 2026 is Rs. Nil.</t>
  </si>
  <si>
    <t>Unclaimed Redemption - Upto 3 years - Growth Option</t>
  </si>
  <si>
    <t>(6) The average maturity period of the portfolio is 0.01 years.</t>
  </si>
  <si>
    <t>TREP_050526</t>
  </si>
  <si>
    <t>TREP_040526</t>
  </si>
  <si>
    <t>Aggregate Investments by other schemes (at NAV) as on April 30, 2026, is Rs.1,539.13 Lakh's.</t>
  </si>
  <si>
    <t>(6) The average maturity period of the portfolio is 0.11 years.</t>
  </si>
  <si>
    <t>(6) The average maturity period of the portfolio is 9.13 years.</t>
  </si>
  <si>
    <t>(6) The average maturity period of the portfolio is 1.09 years.</t>
  </si>
  <si>
    <t>(6) The average maturity period of the portfolio is 1.45 years.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</si>
  <si>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</si>
  <si>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</si>
  <si>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</si>
  <si>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N.A.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</si>
  <si>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</si>
  <si>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</si>
  <si>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</si>
  <si>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</si>
  <si>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</si>
  <si>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</si>
  <si>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</si>
  <si>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</si>
  <si>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</si>
  <si>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</si>
  <si>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</si>
  <si>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</si>
  <si>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</si>
  <si>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</si>
  <si>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</si>
  <si>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</si>
  <si>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</si>
  <si>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</si>
  <si>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</si>
  <si>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</si>
  <si>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</si>
  <si>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</si>
  <si>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</si>
  <si>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</si>
  <si>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(4) There was no distribution (of income and capital) during the month ended April 30, 2026.</t>
  </si>
  <si>
    <t>(5) Total outstanding exposure in derivative instruments as on April 30, 2026 is Rs. Nil.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</si>
  <si>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</si>
  <si>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</si>
  <si>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Total exposure due to futures (non hedging positions) as a percentage of net assets: : Nil</t>
  </si>
  <si>
    <t>Benchmark Name - BSE 100 Index (TRI)</t>
  </si>
  <si>
    <t>e) Hedging positions through Swaps as on April 30, 2026  - Nil</t>
  </si>
  <si>
    <t>(5) Exposure to Derivative Instruments as on April 30, 2026:</t>
  </si>
  <si>
    <t>a)  Hedging positions through futures as on April 30, 2026 is :</t>
  </si>
  <si>
    <t>b) Other than Hedging Positions through Futures as on April 30, 2026 is :</t>
  </si>
  <si>
    <t>c) Hedging positions through Put options as on April 30, 2026</t>
  </si>
  <si>
    <t>d) Other than hedging positions through options as on April 30, 2026</t>
  </si>
  <si>
    <t>For the period ended April 30, 2026, following details specified for non-hedging transactions through options which have already been exercised/ expired:</t>
  </si>
  <si>
    <t>JBLARGE</t>
  </si>
  <si>
    <t>JBMMF</t>
  </si>
  <si>
    <t>JBOF</t>
  </si>
  <si>
    <t>JBLF</t>
  </si>
  <si>
    <t>JBN8-13</t>
  </si>
  <si>
    <t>JBLOW</t>
  </si>
  <si>
    <t>JBSHORT</t>
  </si>
  <si>
    <t>JBN50</t>
  </si>
  <si>
    <t>JBNNX50</t>
  </si>
  <si>
    <t>JBNM150</t>
  </si>
  <si>
    <t>JBNS250</t>
  </si>
  <si>
    <t>JBFLEXI</t>
  </si>
  <si>
    <t>JBARB</t>
  </si>
  <si>
    <t>JBSECRO</t>
  </si>
  <si>
    <t>* Scheme Introduced during the month ended April 30, 2026, hence there are no NAVs at the beginning of the period.</t>
  </si>
  <si>
    <t>As on March 31, 2026*</t>
  </si>
  <si>
    <t>For the Month ended April 30, 2026 following were the non-hedging transactions through futures which have been squared off/expired:</t>
  </si>
  <si>
    <t>For the Month ended April 30, 2026, following details specified for hedging transactions through Put options which have already been exercised/ expired:</t>
  </si>
  <si>
    <t xml:space="preserve"> a) Hedging Positions through Futures as on April 30, 2026:</t>
  </si>
  <si>
    <t>LODHA DEVELOPERS LTD FUT 26-MAY-26</t>
  </si>
  <si>
    <t>Vedanta Iron And Steel Ltd **</t>
  </si>
  <si>
    <t>Talwandi Sabo Power Ltd **</t>
  </si>
  <si>
    <t>Malco Energy Ltd **</t>
  </si>
  <si>
    <t>Vedanta Aluminium Metal Ltd **</t>
  </si>
  <si>
    <t>MACROTECH DEVELOPERS LTD FUT 26-MAY-26</t>
  </si>
  <si>
    <t>Total percentage of existing assets hedged through futures: -66.47%</t>
  </si>
  <si>
    <t>Allcargo Global Ltd **</t>
  </si>
  <si>
    <t>For the Month ended April 30, 2026 following were the hedging transactions through futures which have been squared off/expired:</t>
  </si>
  <si>
    <t>(4) There was no distribution (of income and capital) during the Month ended April 30, 2026.</t>
  </si>
  <si>
    <t>(7) During the period, the portfolio turnover ratio is 0.13 times.</t>
  </si>
  <si>
    <t>Debt Index Replication Factor (DIRF) : 98.62%</t>
  </si>
  <si>
    <t>(7) During the period, the portfolio turnover ratio is 0.33 times.</t>
  </si>
  <si>
    <t>(7) During the period, the portfolio turnover ratio is 0.37 times.</t>
  </si>
  <si>
    <t>(7) During the period, the portfolio turnover ratio is 0.39 times.</t>
  </si>
  <si>
    <t>(7) During the period, the portfolio turnover ratio is 1.15 times.</t>
  </si>
  <si>
    <t>(7) During the period, the portfolio turnover ratio is 4.25 times.</t>
  </si>
  <si>
    <t>(7) During the period, the portfolio turnover ratio is 0.38 times.</t>
  </si>
  <si>
    <t>Total exposure due to futures (non hedging positions) as a percentage of net assets: 0.24%.</t>
  </si>
  <si>
    <t>Total exposure due to futures (non hedging positions) as a percentage of net assets: 0.46%.</t>
  </si>
  <si>
    <t>Total percentage of existing assets hedged through futures:Nil</t>
  </si>
  <si>
    <t>Total exposure due to futures (non hedging positions) as a percentage of net assets: 0.33%.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</si>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</sst>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#,##0.00%"/>
    <numFmt numFmtId="166" formatCode="#,##0;\(#,##0.\)"/>
    <numFmt numFmtId="167" formatCode="#,##0.0000"/>
    <numFmt numFmtId="168" formatCode="0.0000"/>
    <numFmt numFmtId="169" formatCode="#,##0.0000_ ;\-#,##0.0000\ "/>
    <numFmt numFmtId="170" formatCode="_(* #,##0.000_);_(* \(#,##0.000\);_(* &quot;-&quot;??_);_(@_)"/>
    <numFmt numFmtId="171" formatCode="_ * #,##0.000_ ;_ * \-#,##0.000_ ;_ * &quot;-&quot;??_ ;_ @_ "/>
  </numFmts>
  <fonts count="1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17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7" fillId="3" borderId="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39" fontId="6" fillId="4" borderId="0" xfId="0" applyNumberFormat="1" applyFont="1" applyFill="1"/>
    <xf numFmtId="0" fontId="10" fillId="0" borderId="0" xfId="0" applyFont="1"/>
    <xf numFmtId="0" fontId="11" fillId="0" borderId="3" xfId="1" applyBorder="1"/>
    <xf numFmtId="0" fontId="10" fillId="0" borderId="4" xfId="0" applyFont="1" applyBorder="1"/>
    <xf numFmtId="0" fontId="10" fillId="0" borderId="5" xfId="0" applyFont="1" applyBorder="1"/>
    <xf numFmtId="0" fontId="11" fillId="0" borderId="6" xfId="1" applyBorder="1"/>
    <xf numFmtId="0" fontId="10" fillId="0" borderId="7" xfId="0" applyFont="1" applyBorder="1"/>
    <xf numFmtId="0" fontId="10" fillId="0" borderId="8" xfId="0" applyFont="1" applyBorder="1"/>
    <xf numFmtId="0" fontId="5" fillId="2" borderId="0" xfId="0" applyFont="1" applyFill="1"/>
    <xf numFmtId="165" fontId="6" fillId="2" borderId="0" xfId="0" applyNumberFormat="1" applyFont="1" applyFill="1"/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 wrapText="1"/>
    </xf>
    <xf numFmtId="39" fontId="5" fillId="0" borderId="9" xfId="0" applyNumberFormat="1" applyFon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/>
    </xf>
    <xf numFmtId="0" fontId="5" fillId="2" borderId="10" xfId="0" applyFont="1" applyFill="1" applyBorder="1"/>
    <xf numFmtId="0" fontId="6" fillId="2" borderId="10" xfId="0" applyFont="1" applyFill="1" applyBorder="1"/>
    <xf numFmtId="39" fontId="6" fillId="2" borderId="10" xfId="0" applyNumberFormat="1" applyFont="1" applyFill="1" applyBorder="1"/>
    <xf numFmtId="39" fontId="6" fillId="4" borderId="10" xfId="0" applyNumberFormat="1" applyFont="1" applyFill="1" applyBorder="1"/>
    <xf numFmtId="10" fontId="6" fillId="2" borderId="10" xfId="0" applyNumberFormat="1" applyFont="1" applyFill="1" applyBorder="1"/>
    <xf numFmtId="3" fontId="6" fillId="2" borderId="10" xfId="0" applyNumberFormat="1" applyFont="1" applyFill="1" applyBorder="1"/>
    <xf numFmtId="165" fontId="6" fillId="2" borderId="10" xfId="0" applyNumberFormat="1" applyFont="1" applyFill="1" applyBorder="1"/>
    <xf numFmtId="39" fontId="5" fillId="2" borderId="11" xfId="0" applyNumberFormat="1" applyFont="1" applyFill="1" applyBorder="1"/>
    <xf numFmtId="39" fontId="5" fillId="4" borderId="11" xfId="0" applyNumberFormat="1" applyFont="1" applyFill="1" applyBorder="1"/>
    <xf numFmtId="10" fontId="5" fillId="2" borderId="10" xfId="0" applyNumberFormat="1" applyFont="1" applyFill="1" applyBorder="1"/>
    <xf numFmtId="39" fontId="5" fillId="2" borderId="10" xfId="0" applyNumberFormat="1" applyFont="1" applyFill="1" applyBorder="1" applyAlignment="1">
      <alignment horizontal="right"/>
    </xf>
    <xf numFmtId="39" fontId="5" fillId="4" borderId="10" xfId="0" applyNumberFormat="1" applyFont="1" applyFill="1" applyBorder="1" applyAlignment="1">
      <alignment horizontal="right"/>
    </xf>
    <xf numFmtId="39" fontId="5" fillId="2" borderId="12" xfId="0" applyNumberFormat="1" applyFont="1" applyFill="1" applyBorder="1" applyAlignment="1">
      <alignment horizontal="right"/>
    </xf>
    <xf numFmtId="39" fontId="5" fillId="4" borderId="12" xfId="0" applyNumberFormat="1" applyFont="1" applyFill="1" applyBorder="1" applyAlignment="1">
      <alignment horizontal="right"/>
    </xf>
    <xf numFmtId="0" fontId="5" fillId="2" borderId="13" xfId="0" applyFont="1" applyFill="1" applyBorder="1"/>
    <xf numFmtId="39" fontId="5" fillId="2" borderId="13" xfId="0" applyNumberFormat="1" applyFont="1" applyFill="1" applyBorder="1"/>
    <xf numFmtId="39" fontId="5" fillId="4" borderId="13" xfId="0" applyNumberFormat="1" applyFont="1" applyFill="1" applyBorder="1"/>
    <xf numFmtId="0" fontId="5" fillId="2" borderId="14" xfId="0" applyFont="1" applyFill="1" applyBorder="1"/>
    <xf numFmtId="39" fontId="5" fillId="2" borderId="14" xfId="0" applyNumberFormat="1" applyFont="1" applyFill="1" applyBorder="1"/>
    <xf numFmtId="39" fontId="5" fillId="4" borderId="14" xfId="0" applyNumberFormat="1" applyFont="1" applyFill="1" applyBorder="1"/>
    <xf numFmtId="10" fontId="5" fillId="2" borderId="15" xfId="0" applyNumberFormat="1" applyFont="1" applyFill="1" applyBorder="1"/>
    <xf numFmtId="0" fontId="5" fillId="2" borderId="15" xfId="0" applyFont="1" applyFill="1" applyBorder="1"/>
    <xf numFmtId="0" fontId="5" fillId="2" borderId="11" xfId="0" applyFont="1" applyFill="1" applyBorder="1"/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4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4" borderId="1" xfId="0" applyNumberFormat="1" applyFont="1" applyFill="1" applyBorder="1"/>
    <xf numFmtId="0" fontId="5" fillId="2" borderId="0" xfId="0" applyFont="1" applyFill="1" applyAlignment="1">
      <alignment horizontal="right"/>
    </xf>
    <xf numFmtId="167" fontId="6" fillId="2" borderId="0" xfId="0" applyNumberFormat="1" applyFont="1" applyFill="1"/>
    <xf numFmtId="4" fontId="6" fillId="2" borderId="10" xfId="0" applyNumberFormat="1" applyFont="1" applyFill="1" applyBorder="1"/>
    <xf numFmtId="39" fontId="5" fillId="2" borderId="12" xfId="0" applyNumberFormat="1" applyFont="1" applyFill="1" applyBorder="1"/>
    <xf numFmtId="39" fontId="5" fillId="4" borderId="12" xfId="0" applyNumberFormat="1" applyFont="1" applyFill="1" applyBorder="1"/>
    <xf numFmtId="0" fontId="12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vertical="center"/>
    </xf>
    <xf numFmtId="0" fontId="12" fillId="2" borderId="9" xfId="0" applyFont="1" applyFill="1" applyBorder="1"/>
    <xf numFmtId="0" fontId="11" fillId="2" borderId="0" xfId="1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 wrapText="1"/>
    </xf>
    <xf numFmtId="39" fontId="5" fillId="0" borderId="14" xfId="0" applyNumberFormat="1" applyFont="1" applyBorder="1" applyAlignment="1">
      <alignment horizontal="center" vertical="center" wrapText="1"/>
    </xf>
    <xf numFmtId="10" fontId="5" fillId="0" borderId="14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4" borderId="0" xfId="0" applyFont="1" applyFill="1"/>
    <xf numFmtId="0" fontId="6" fillId="2" borderId="0" xfId="0" applyFont="1" applyFill="1" applyAlignment="1">
      <alignment vertical="center"/>
    </xf>
    <xf numFmtId="0" fontId="5" fillId="2" borderId="1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4" xfId="0" applyFont="1" applyFill="1" applyBorder="1" applyAlignment="1">
      <alignment vertical="center"/>
    </xf>
    <xf numFmtId="168" fontId="6" fillId="2" borderId="14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5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39" fontId="5" fillId="2" borderId="10" xfId="0" applyNumberFormat="1" applyFont="1" applyFill="1" applyBorder="1"/>
    <xf numFmtId="39" fontId="5" fillId="4" borderId="10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/>
    <xf numFmtId="39" fontId="6" fillId="2" borderId="14" xfId="0" applyNumberFormat="1" applyFont="1" applyFill="1" applyBorder="1"/>
    <xf numFmtId="39" fontId="6" fillId="4" borderId="14" xfId="0" applyNumberFormat="1" applyFont="1" applyFill="1" applyBorder="1"/>
    <xf numFmtId="39" fontId="5" fillId="2" borderId="14" xfId="0" applyNumberFormat="1" applyFont="1" applyFill="1" applyBorder="1" applyAlignment="1">
      <alignment horizontal="right"/>
    </xf>
    <xf numFmtId="39" fontId="5" fillId="4" borderId="14" xfId="0" applyNumberFormat="1" applyFont="1" applyFill="1" applyBorder="1" applyAlignment="1">
      <alignment horizontal="right"/>
    </xf>
    <xf numFmtId="0" fontId="5" fillId="2" borderId="14" xfId="0" applyFont="1" applyFill="1" applyBorder="1" applyAlignment="1">
      <alignment horizontal="right" vertical="center"/>
    </xf>
    <xf numFmtId="0" fontId="5" fillId="0" borderId="14" xfId="0" applyFont="1" applyBorder="1" applyAlignment="1">
      <alignment horizontal="center" vertical="center" wrapText="1"/>
    </xf>
    <xf numFmtId="168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/>
    <xf numFmtId="0" fontId="6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/>
    </xf>
    <xf numFmtId="0" fontId="14" fillId="4" borderId="0" xfId="0" applyFont="1" applyFill="1"/>
    <xf numFmtId="0" fontId="14" fillId="4" borderId="0" xfId="0" applyFont="1" applyFill="1" applyAlignment="1">
      <alignment horizontal="left"/>
    </xf>
    <xf numFmtId="0" fontId="14" fillId="4" borderId="16" xfId="0" applyFont="1" applyFill="1" applyBorder="1" applyAlignment="1">
      <alignment horizontal="justify" vertical="center"/>
    </xf>
    <xf numFmtId="43" fontId="14" fillId="4" borderId="15" xfId="2" applyFont="1" applyFill="1" applyBorder="1" applyAlignment="1">
      <alignment horizontal="justify" vertical="center"/>
    </xf>
    <xf numFmtId="43" fontId="14" fillId="4" borderId="17" xfId="2" applyFont="1" applyFill="1" applyBorder="1" applyAlignment="1">
      <alignment horizontal="center" vertical="center"/>
    </xf>
    <xf numFmtId="43" fontId="14" fillId="4" borderId="15" xfId="2" applyFont="1" applyFill="1" applyBorder="1" applyAlignment="1">
      <alignment horizontal="right" vertical="center"/>
    </xf>
    <xf numFmtId="43" fontId="14" fillId="4" borderId="0" xfId="2" applyFont="1" applyFill="1" applyAlignment="1">
      <alignment horizontal="justify" vertical="center"/>
    </xf>
    <xf numFmtId="2" fontId="14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justify" vertical="center"/>
    </xf>
    <xf numFmtId="0" fontId="6" fillId="4" borderId="0" xfId="0" applyFont="1" applyFill="1"/>
    <xf numFmtId="0" fontId="3" fillId="4" borderId="0" xfId="0" applyFont="1" applyFill="1" applyAlignment="1">
      <alignment vertical="top"/>
    </xf>
    <xf numFmtId="169" fontId="15" fillId="4" borderId="0" xfId="0" applyNumberFormat="1" applyFont="1" applyFill="1" applyAlignment="1">
      <alignment horizontal="center" vertical="top"/>
    </xf>
    <xf numFmtId="0" fontId="15" fillId="4" borderId="0" xfId="0" applyFont="1" applyFill="1" applyAlignment="1">
      <alignment vertical="top"/>
    </xf>
    <xf numFmtId="0" fontId="16" fillId="4" borderId="0" xfId="0" applyFont="1" applyFill="1" applyAlignment="1">
      <alignment vertical="top"/>
    </xf>
    <xf numFmtId="0" fontId="14" fillId="4" borderId="0" xfId="0" applyFont="1" applyFill="1" applyAlignment="1">
      <alignment vertical="top"/>
    </xf>
    <xf numFmtId="169" fontId="14" fillId="4" borderId="0" xfId="0" applyNumberFormat="1" applyFont="1" applyFill="1" applyAlignment="1">
      <alignment horizontal="center" vertical="top"/>
    </xf>
    <xf numFmtId="3" fontId="14" fillId="4" borderId="0" xfId="0" applyNumberFormat="1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left" vertical="center"/>
    </xf>
    <xf numFmtId="168" fontId="6" fillId="2" borderId="14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 wrapText="1"/>
    </xf>
    <xf numFmtId="43" fontId="14" fillId="0" borderId="17" xfId="2" applyFont="1" applyBorder="1" applyAlignment="1">
      <alignment horizontal="center" vertical="center" wrapText="1"/>
    </xf>
    <xf numFmtId="43" fontId="14" fillId="0" borderId="15" xfId="2" applyFont="1" applyBorder="1" applyAlignment="1">
      <alignment horizontal="center" vertical="center" wrapText="1"/>
    </xf>
    <xf numFmtId="0" fontId="11" fillId="0" borderId="6" xfId="1" quotePrefix="1" applyBorder="1"/>
    <xf numFmtId="39" fontId="6" fillId="0" borderId="10" xfId="0" applyNumberFormat="1" applyFont="1" applyBorder="1"/>
    <xf numFmtId="39" fontId="5" fillId="2" borderId="0" xfId="0" applyNumberFormat="1" applyFont="1" applyFill="1"/>
    <xf numFmtId="39" fontId="5" fillId="4" borderId="0" xfId="0" applyNumberFormat="1" applyFont="1" applyFill="1"/>
    <xf numFmtId="0" fontId="14" fillId="0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4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39" fontId="5" fillId="4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9" fontId="5" fillId="2" borderId="1" xfId="0" applyNumberFormat="1" applyFont="1" applyFill="1" applyBorder="1" applyAlignment="1">
      <alignment vertical="center" wrapText="1"/>
    </xf>
    <xf numFmtId="39" fontId="6" fillId="0" borderId="10" xfId="0" applyNumberFormat="1" applyFont="1" applyFill="1" applyBorder="1"/>
    <xf numFmtId="3" fontId="14" fillId="0" borderId="16" xfId="0" applyNumberFormat="1" applyFont="1" applyFill="1" applyBorder="1" applyAlignment="1">
      <alignment horizontal="center" vertical="center"/>
    </xf>
    <xf numFmtId="4" fontId="14" fillId="0" borderId="16" xfId="0" applyNumberFormat="1" applyFont="1" applyFill="1" applyBorder="1" applyAlignment="1">
      <alignment horizontal="center" vertical="center"/>
    </xf>
    <xf numFmtId="43" fontId="14" fillId="0" borderId="15" xfId="2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vertical="center"/>
    </xf>
    <xf numFmtId="171" fontId="6" fillId="2" borderId="0" xfId="0" applyNumberFormat="1" applyFont="1" applyFill="1"/>
    <xf numFmtId="0" fontId="14" fillId="0" borderId="16" xfId="0" applyFont="1" applyFill="1" applyBorder="1" applyAlignment="1">
      <alignment horizontal="center" vertical="center"/>
    </xf>
    <xf numFmtId="43" fontId="14" fillId="0" borderId="15" xfId="2" applyFont="1" applyFill="1" applyBorder="1" applyAlignment="1">
      <alignment horizontal="center" vertical="center"/>
    </xf>
    <xf numFmtId="170" fontId="14" fillId="0" borderId="15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14" fillId="4" borderId="7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3" fontId="14" fillId="4" borderId="14" xfId="0" applyNumberFormat="1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3" fontId="14" fillId="4" borderId="7" xfId="0" applyNumberFormat="1" applyFont="1" applyFill="1" applyBorder="1" applyAlignment="1">
      <alignment horizontal="center" vertical="center"/>
    </xf>
    <xf numFmtId="3" fontId="14" fillId="4" borderId="6" xfId="0" applyNumberFormat="1" applyFont="1" applyFill="1" applyBorder="1" applyAlignment="1">
      <alignment horizontal="center" vertical="center"/>
    </xf>
    <xf numFmtId="3" fontId="14" fillId="4" borderId="8" xfId="0" applyNumberFormat="1" applyFont="1" applyFill="1" applyBorder="1" applyAlignment="1">
      <alignment horizontal="center" vertical="center"/>
    </xf>
    <xf numFmtId="43" fontId="14" fillId="0" borderId="12" xfId="2" applyFont="1" applyBorder="1" applyAlignment="1">
      <alignment horizontal="center" vertical="center" wrapText="1"/>
    </xf>
    <xf numFmtId="43" fontId="14" fillId="0" borderId="15" xfId="2" applyFont="1" applyBorder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15"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1393825</xdr:colOff>
      <xdr:row>154</xdr:row>
      <xdr:rowOff>120650</xdr:rowOff>
    </xdr:from>
    <xdr:to>
      <xdr:col>3</xdr:col>
      <xdr:colOff>625701</xdr:colOff>
      <xdr:row>172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BD087-5B3C-4291-91E1-126C939B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888" y="20972463"/>
          <a:ext cx="5169126" cy="228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1468437</xdr:colOff>
      <xdr:row>181</xdr:row>
      <xdr:rowOff>123825</xdr:rowOff>
    </xdr:from>
    <xdr:to>
      <xdr:col>3</xdr:col>
      <xdr:colOff>889000</xdr:colOff>
      <xdr:row>197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43C72-2215-4878-9B71-ED723581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500" y="24420513"/>
          <a:ext cx="5357813" cy="192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74</xdr:row>
      <xdr:rowOff>9525</xdr:rowOff>
    </xdr:from>
    <xdr:to>
      <xdr:col>3</xdr:col>
      <xdr:colOff>644525</xdr:colOff>
      <xdr:row>91</xdr:row>
      <xdr:rowOff>92075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385F73A-34BE-4ED0-A219-9010E782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10741025"/>
          <a:ext cx="5038725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97</xdr:row>
      <xdr:rowOff>47625</xdr:rowOff>
    </xdr:from>
    <xdr:to>
      <xdr:col>3</xdr:col>
      <xdr:colOff>844550</xdr:colOff>
      <xdr:row>114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EC3A8C8-634F-46E1-A143-922F3308E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3719175"/>
          <a:ext cx="516255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51</xdr:row>
      <xdr:rowOff>104775</xdr:rowOff>
    </xdr:from>
    <xdr:to>
      <xdr:col>3</xdr:col>
      <xdr:colOff>368300</xdr:colOff>
      <xdr:row>68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B8A43-EB6C-4FAC-B40B-6BDF4F57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7775575"/>
          <a:ext cx="4632325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75</xdr:row>
      <xdr:rowOff>28575</xdr:rowOff>
    </xdr:from>
    <xdr:to>
      <xdr:col>3</xdr:col>
      <xdr:colOff>463550</xdr:colOff>
      <xdr:row>92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7D8C6-9721-42FB-9B6F-6CA3CB2BB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1076642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109</xdr:row>
      <xdr:rowOff>0</xdr:rowOff>
    </xdr:from>
    <xdr:to>
      <xdr:col>3</xdr:col>
      <xdr:colOff>609600</xdr:colOff>
      <xdr:row>126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70049-91A5-4F5F-9C7A-78E18CBA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5113000"/>
          <a:ext cx="50006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130</xdr:row>
      <xdr:rowOff>76200</xdr:rowOff>
    </xdr:from>
    <xdr:to>
      <xdr:col>3</xdr:col>
      <xdr:colOff>752475</xdr:colOff>
      <xdr:row>147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7036A8-FB39-4D7C-B86B-816C26F6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868900"/>
          <a:ext cx="51720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36</xdr:row>
      <xdr:rowOff>95250</xdr:rowOff>
    </xdr:from>
    <xdr:to>
      <xdr:col>3</xdr:col>
      <xdr:colOff>25400</xdr:colOff>
      <xdr:row>51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B072E-B593-4D3C-92A8-8785DFD6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5499100"/>
          <a:ext cx="41497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55</xdr:row>
      <xdr:rowOff>114300</xdr:rowOff>
    </xdr:from>
    <xdr:to>
      <xdr:col>3</xdr:col>
      <xdr:colOff>85725</xdr:colOff>
      <xdr:row>69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63DE91-CD60-43DF-AAEB-0B52C7146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7943850"/>
          <a:ext cx="431482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68</xdr:row>
      <xdr:rowOff>74084</xdr:rowOff>
    </xdr:from>
    <xdr:to>
      <xdr:col>4</xdr:col>
      <xdr:colOff>200025</xdr:colOff>
      <xdr:row>86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D6ADCE6-B266-4F74-8D1E-448F0946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7184"/>
          <a:ext cx="503237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94</xdr:row>
      <xdr:rowOff>69850</xdr:rowOff>
    </xdr:from>
    <xdr:to>
      <xdr:col>4</xdr:col>
      <xdr:colOff>527050</xdr:colOff>
      <xdr:row>111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4B1747-632B-4697-A1D8-FF14D7AE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12947650"/>
          <a:ext cx="51562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78</xdr:row>
      <xdr:rowOff>63500</xdr:rowOff>
    </xdr:from>
    <xdr:to>
      <xdr:col>5</xdr:col>
      <xdr:colOff>69850</xdr:colOff>
      <xdr:row>98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860D1-F728-4907-A2F1-015AABAC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0" y="11055350"/>
          <a:ext cx="5734050" cy="25781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1682750</xdr:colOff>
      <xdr:row>53</xdr:row>
      <xdr:rowOff>31750</xdr:rowOff>
    </xdr:from>
    <xdr:to>
      <xdr:col>5</xdr:col>
      <xdr:colOff>31750</xdr:colOff>
      <xdr:row>73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2F7423-20F1-482A-88F0-27DEB2212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4400" y="7835900"/>
          <a:ext cx="5289550" cy="2527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85</xdr:row>
      <xdr:rowOff>9525</xdr:rowOff>
    </xdr:from>
    <xdr:to>
      <xdr:col>2</xdr:col>
      <xdr:colOff>846138</xdr:colOff>
      <xdr:row>99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88EA2-F8F6-4D2A-8C12-A849F561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064625"/>
          <a:ext cx="403542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102</xdr:row>
      <xdr:rowOff>9524</xdr:rowOff>
    </xdr:from>
    <xdr:to>
      <xdr:col>2</xdr:col>
      <xdr:colOff>960438</xdr:colOff>
      <xdr:row>118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22345-06C2-4887-B262-9AE4081E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236324"/>
          <a:ext cx="4006850" cy="2035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88</xdr:row>
      <xdr:rowOff>104775</xdr:rowOff>
    </xdr:from>
    <xdr:to>
      <xdr:col>2</xdr:col>
      <xdr:colOff>825500</xdr:colOff>
      <xdr:row>102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20A9E-E273-44B4-B477-9F351FA5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9166225"/>
          <a:ext cx="4006850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105</xdr:row>
      <xdr:rowOff>19050</xdr:rowOff>
    </xdr:from>
    <xdr:to>
      <xdr:col>2</xdr:col>
      <xdr:colOff>720725</xdr:colOff>
      <xdr:row>119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3359A-3245-4D6C-8F31-197FE79FA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1252200"/>
          <a:ext cx="3616325" cy="18605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184</xdr:row>
      <xdr:rowOff>85725</xdr:rowOff>
    </xdr:from>
    <xdr:to>
      <xdr:col>2</xdr:col>
      <xdr:colOff>720725</xdr:colOff>
      <xdr:row>199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45344-87BF-44C3-AA12-89472825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656675"/>
          <a:ext cx="40068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203</xdr:row>
      <xdr:rowOff>47625</xdr:rowOff>
    </xdr:from>
    <xdr:to>
      <xdr:col>2</xdr:col>
      <xdr:colOff>625475</xdr:colOff>
      <xdr:row>219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C6AB9-B128-400C-A795-55B111FF5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044275"/>
          <a:ext cx="3740150" cy="203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283</xdr:row>
      <xdr:rowOff>47625</xdr:rowOff>
    </xdr:from>
    <xdr:to>
      <xdr:col>2</xdr:col>
      <xdr:colOff>822325</xdr:colOff>
      <xdr:row>297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D3E42-8476-4FB6-84C6-00ED1B55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67417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302</xdr:row>
      <xdr:rowOff>19050</xdr:rowOff>
    </xdr:from>
    <xdr:to>
      <xdr:col>2</xdr:col>
      <xdr:colOff>622300</xdr:colOff>
      <xdr:row>316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A2906-9368-4D1B-9378-1A8C67897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071300"/>
          <a:ext cx="3613150" cy="18637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209</xdr:row>
      <xdr:rowOff>0</xdr:rowOff>
    </xdr:from>
    <xdr:to>
      <xdr:col>2</xdr:col>
      <xdr:colOff>396875</xdr:colOff>
      <xdr:row>223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98963-378A-4523-A712-A958D952D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1734820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227</xdr:row>
      <xdr:rowOff>47624</xdr:rowOff>
    </xdr:from>
    <xdr:to>
      <xdr:col>2</xdr:col>
      <xdr:colOff>454025</xdr:colOff>
      <xdr:row>242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CE4EF7-AD77-4777-BE01-86E7AF7D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19694524"/>
          <a:ext cx="4092575" cy="19431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352</xdr:row>
      <xdr:rowOff>47625</xdr:rowOff>
    </xdr:from>
    <xdr:to>
      <xdr:col>3</xdr:col>
      <xdr:colOff>63500</xdr:colOff>
      <xdr:row>368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5A464-21F2-4625-871F-2F91828C9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23002875"/>
          <a:ext cx="471805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371</xdr:row>
      <xdr:rowOff>85725</xdr:rowOff>
    </xdr:from>
    <xdr:to>
      <xdr:col>3</xdr:col>
      <xdr:colOff>127000</xdr:colOff>
      <xdr:row>388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8B6B4-C0AF-42B6-BD60-3BCADE49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25466675"/>
          <a:ext cx="513397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381</xdr:row>
      <xdr:rowOff>9525</xdr:rowOff>
    </xdr:from>
    <xdr:to>
      <xdr:col>3</xdr:col>
      <xdr:colOff>343921</xdr:colOff>
      <xdr:row>399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696D5-5D3B-4451-B3D1-F1FE8CF15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38554025"/>
          <a:ext cx="5158014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1190625</xdr:colOff>
      <xdr:row>403</xdr:row>
      <xdr:rowOff>15875</xdr:rowOff>
    </xdr:from>
    <xdr:to>
      <xdr:col>3</xdr:col>
      <xdr:colOff>412750</xdr:colOff>
      <xdr:row>423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EDD61-ACA8-4EE5-824E-45899302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0688" y="52768500"/>
          <a:ext cx="5230812" cy="2543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DFF-70F7-428E-B8B4-6C3F7A0594B3}">
  <dimension ref="A1:C15"/>
  <sheetViews>
    <sheetView tabSelected="1" workbookViewId="0"/>
  </sheetViews>
  <sheetFormatPr defaultColWidth="8.81640625" defaultRowHeight="12.5" x14ac:dyDescent="0.25"/>
  <cols>
    <col min="1" max="1" width="6.1796875" style="16" bestFit="1" customWidth="1"/>
    <col min="2" max="2" width="10.81640625" style="16" bestFit="1" customWidth="1"/>
    <col min="3" max="3" width="37.54296875" style="16" bestFit="1" customWidth="1"/>
    <col min="4" max="16384" width="8.81640625" style="16"/>
  </cols>
  <sheetData>
    <row r="1" spans="1:3" ht="16" customHeight="1" x14ac:dyDescent="0.25">
      <c r="A1" s="13" t="s">
        <v>1</v>
      </c>
      <c r="B1" s="13" t="s">
        <v>2</v>
      </c>
      <c r="C1" s="13" t="s">
        <v>3</v>
      </c>
    </row>
    <row r="2" spans="1:3" ht="14.5" x14ac:dyDescent="0.35">
      <c r="A2" s="18">
        <v>1</v>
      </c>
      <c r="B2" s="17" t="s">
        <v>1556</v>
      </c>
      <c r="C2" s="19" t="s">
        <v>10</v>
      </c>
    </row>
    <row r="3" spans="1:3" ht="14.5" x14ac:dyDescent="0.35">
      <c r="A3" s="21">
        <v>2</v>
      </c>
      <c r="B3" s="20" t="s">
        <v>1557</v>
      </c>
      <c r="C3" s="22" t="s">
        <v>11</v>
      </c>
    </row>
    <row r="4" spans="1:3" ht="14.5" x14ac:dyDescent="0.35">
      <c r="A4" s="21">
        <v>3</v>
      </c>
      <c r="B4" s="20" t="s">
        <v>1558</v>
      </c>
      <c r="C4" s="22" t="s">
        <v>12</v>
      </c>
    </row>
    <row r="5" spans="1:3" ht="14.5" x14ac:dyDescent="0.35">
      <c r="A5" s="21">
        <v>4</v>
      </c>
      <c r="B5" s="20" t="s">
        <v>1559</v>
      </c>
      <c r="C5" s="22" t="s">
        <v>13</v>
      </c>
    </row>
    <row r="6" spans="1:3" ht="14.5" x14ac:dyDescent="0.35">
      <c r="A6" s="21">
        <v>5</v>
      </c>
      <c r="B6" s="139" t="s">
        <v>1560</v>
      </c>
      <c r="C6" s="22" t="s">
        <v>14</v>
      </c>
    </row>
    <row r="7" spans="1:3" ht="14.5" x14ac:dyDescent="0.35">
      <c r="A7" s="21">
        <v>6</v>
      </c>
      <c r="B7" s="20" t="s">
        <v>1561</v>
      </c>
      <c r="C7" s="22" t="s">
        <v>15</v>
      </c>
    </row>
    <row r="8" spans="1:3" ht="14.5" x14ac:dyDescent="0.35">
      <c r="A8" s="21">
        <v>7</v>
      </c>
      <c r="B8" s="20" t="s">
        <v>1562</v>
      </c>
      <c r="C8" s="22" t="s">
        <v>16</v>
      </c>
    </row>
    <row r="9" spans="1:3" ht="14.5" x14ac:dyDescent="0.35">
      <c r="A9" s="21">
        <v>8</v>
      </c>
      <c r="B9" s="20" t="s">
        <v>1563</v>
      </c>
      <c r="C9" s="22" t="s">
        <v>17</v>
      </c>
    </row>
    <row r="10" spans="1:3" ht="14.5" x14ac:dyDescent="0.35">
      <c r="A10" s="21">
        <v>9</v>
      </c>
      <c r="B10" s="20" t="s">
        <v>1564</v>
      </c>
      <c r="C10" s="22" t="s">
        <v>18</v>
      </c>
    </row>
    <row r="11" spans="1:3" ht="14.5" x14ac:dyDescent="0.35">
      <c r="A11" s="21">
        <v>10</v>
      </c>
      <c r="B11" s="20" t="s">
        <v>1565</v>
      </c>
      <c r="C11" s="22" t="s">
        <v>19</v>
      </c>
    </row>
    <row r="12" spans="1:3" ht="14.5" x14ac:dyDescent="0.35">
      <c r="A12" s="21">
        <v>11</v>
      </c>
      <c r="B12" s="20" t="s">
        <v>1566</v>
      </c>
      <c r="C12" s="22" t="s">
        <v>20</v>
      </c>
    </row>
    <row r="13" spans="1:3" ht="14.5" x14ac:dyDescent="0.35">
      <c r="A13" s="21">
        <v>12</v>
      </c>
      <c r="B13" s="20" t="s">
        <v>1567</v>
      </c>
      <c r="C13" s="22" t="s">
        <v>21</v>
      </c>
    </row>
    <row r="14" spans="1:3" ht="14.5" x14ac:dyDescent="0.35">
      <c r="A14" s="21">
        <v>13</v>
      </c>
      <c r="B14" s="20" t="s">
        <v>1568</v>
      </c>
      <c r="C14" s="22" t="s">
        <v>22</v>
      </c>
    </row>
    <row r="15" spans="1:3" ht="14.5" x14ac:dyDescent="0.35">
      <c r="A15" s="21">
        <v>14</v>
      </c>
      <c r="B15" s="20" t="s">
        <v>1569</v>
      </c>
      <c r="C15" s="22" t="s">
        <v>23</v>
      </c>
    </row>
  </sheetData>
  <hyperlinks>
    <hyperlink ref="B2" location="JBLARGE!A1" display="JBLARGE" xr:uid="{3AC21C56-4439-42A0-B530-C1C5806C1874}"/>
    <hyperlink ref="B3" location="JBMMF!A1" display="JBMMF" xr:uid="{0179E0DF-8DF2-4B5B-9ED8-933B132392A6}"/>
    <hyperlink ref="B4" location="JBOF!A1" display="JBOF" xr:uid="{CE1DF761-7978-435A-AE41-1448745F58C6}"/>
    <hyperlink ref="B5" location="JBLF!A1" display="JBLF" xr:uid="{80E6997D-679D-48E8-AD1B-FDA2326A964C}"/>
    <hyperlink ref="B6" location="'JBN8-13'!A1" display="'JBN8-13" xr:uid="{0ADA3365-9667-4E1A-A683-F7132624360A}"/>
    <hyperlink ref="B7" location="JBLOW!A1" display="JBLOW" xr:uid="{72E3AA17-4314-4556-A0FB-C9D076663641}"/>
    <hyperlink ref="B8" location="JBSHORT!A1" display="JBSHORT" xr:uid="{7EF63071-BB85-4772-A0C8-D6D8AC9C1E92}"/>
    <hyperlink ref="B9" location="'JBN50'!A1" display="JBN50" xr:uid="{DED706ED-F992-4FA0-A441-60C5D63F8307}"/>
    <hyperlink ref="B10" location="JBNNX50!A1" display="JBNNX50!A1" xr:uid="{0FFFE6E5-3973-4AE3-9850-0A361837F462}"/>
    <hyperlink ref="B11" location="JBNM150!A1" display="JBNM150" xr:uid="{67867C43-6552-493F-BC46-D695B68DD08D}"/>
    <hyperlink ref="B12" location="JBNS250!A1" display="JBNS250" xr:uid="{CF9D2E53-C5DA-419C-BC20-750EE408C6ED}"/>
    <hyperlink ref="B13" location="JBFLEXI!A1" display="JBFLEXI" xr:uid="{7597CBF9-6073-4E07-AA18-AF46414D9A59}"/>
    <hyperlink ref="B14" location="JBARB!A1" display="JBARB" xr:uid="{08809A56-0F29-45F2-8177-142961079F61}"/>
    <hyperlink ref="B15" location="JBSECRO!A1" display="JBSECRO" xr:uid="{2E621205-7DDB-4195-864A-27F5A091CD8D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04EF-26EE-443D-82BE-FC3A39FD743E}">
  <dimension ref="A1:J198"/>
  <sheetViews>
    <sheetView view="pageBreakPreview" topLeftCell="B107" zoomScaleNormal="100" zoomScaleSheetLayoutView="100" workbookViewId="0">
      <selection activeCell="B135" sqref="B135"/>
    </sheetView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19.453125" style="6" customWidth="1"/>
    <col min="4" max="4" width="33.7265625" style="6" customWidth="1"/>
    <col min="5" max="5" width="22.7265625" style="6" customWidth="1"/>
    <col min="6" max="6" width="22.81640625" style="8" bestFit="1" customWidth="1"/>
    <col min="7" max="7" width="12.1796875" style="15" bestFit="1" customWidth="1"/>
    <col min="8" max="8" width="11.81640625" style="11" bestFit="1" customWidth="1"/>
    <col min="9" max="9" width="25.81640625" style="6" customWidth="1"/>
    <col min="10" max="16384" width="9.1796875" style="6"/>
  </cols>
  <sheetData>
    <row r="1" spans="1:10" s="1" customFormat="1" ht="16.75" customHeight="1" x14ac:dyDescent="0.35">
      <c r="B1" s="160" t="s">
        <v>10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29" t="s">
        <v>6</v>
      </c>
      <c r="I4" s="14"/>
      <c r="J4" s="9"/>
    </row>
    <row r="5" spans="1:10" ht="10.5" x14ac:dyDescent="0.25">
      <c r="B5" s="30" t="s">
        <v>24</v>
      </c>
      <c r="C5" s="31"/>
      <c r="D5" s="31"/>
      <c r="E5" s="31"/>
      <c r="F5" s="32"/>
      <c r="G5" s="33"/>
      <c r="H5" s="34"/>
    </row>
    <row r="6" spans="1:10" ht="10.5" x14ac:dyDescent="0.25">
      <c r="B6" s="30" t="s">
        <v>25</v>
      </c>
      <c r="C6" s="31"/>
      <c r="D6" s="31"/>
      <c r="E6" s="31"/>
      <c r="F6" s="32"/>
      <c r="G6" s="33"/>
      <c r="H6" s="34"/>
    </row>
    <row r="7" spans="1:10" x14ac:dyDescent="0.2">
      <c r="B7" s="31" t="s">
        <v>26</v>
      </c>
      <c r="C7" s="31" t="s">
        <v>27</v>
      </c>
      <c r="D7" s="31" t="s">
        <v>28</v>
      </c>
      <c r="E7" s="35">
        <v>40210</v>
      </c>
      <c r="F7" s="32">
        <v>310.30056999999999</v>
      </c>
      <c r="G7" s="33">
        <v>9.1807738163936907</v>
      </c>
      <c r="H7" s="36"/>
    </row>
    <row r="8" spans="1:10" x14ac:dyDescent="0.2">
      <c r="B8" s="31" t="s">
        <v>29</v>
      </c>
      <c r="C8" s="31" t="s">
        <v>30</v>
      </c>
      <c r="D8" s="31" t="s">
        <v>28</v>
      </c>
      <c r="E8" s="35">
        <v>21116</v>
      </c>
      <c r="F8" s="32">
        <v>266.77954399999999</v>
      </c>
      <c r="G8" s="33">
        <v>7.8931297235601203</v>
      </c>
      <c r="H8" s="36"/>
    </row>
    <row r="9" spans="1:10" x14ac:dyDescent="0.2">
      <c r="B9" s="31" t="s">
        <v>31</v>
      </c>
      <c r="C9" s="31" t="s">
        <v>32</v>
      </c>
      <c r="D9" s="31" t="s">
        <v>33</v>
      </c>
      <c r="E9" s="35">
        <v>11482</v>
      </c>
      <c r="F9" s="32">
        <v>216.64237600000001</v>
      </c>
      <c r="G9" s="33">
        <v>6.4097357381654696</v>
      </c>
      <c r="H9" s="36"/>
    </row>
    <row r="10" spans="1:10" x14ac:dyDescent="0.2">
      <c r="B10" s="31" t="s">
        <v>34</v>
      </c>
      <c r="C10" s="31" t="s">
        <v>35</v>
      </c>
      <c r="D10" s="31" t="s">
        <v>28</v>
      </c>
      <c r="E10" s="35">
        <v>17669</v>
      </c>
      <c r="F10" s="32">
        <v>188.78443050000001</v>
      </c>
      <c r="G10" s="33">
        <v>5.5855107081408004</v>
      </c>
      <c r="H10" s="36"/>
    </row>
    <row r="11" spans="1:10" x14ac:dyDescent="0.2">
      <c r="B11" s="31" t="s">
        <v>36</v>
      </c>
      <c r="C11" s="31" t="s">
        <v>37</v>
      </c>
      <c r="D11" s="31" t="s">
        <v>38</v>
      </c>
      <c r="E11" s="35">
        <v>4759</v>
      </c>
      <c r="F11" s="32">
        <v>147.41002499999999</v>
      </c>
      <c r="G11" s="33">
        <v>4.3613780593246698</v>
      </c>
      <c r="H11" s="36"/>
    </row>
    <row r="12" spans="1:10" x14ac:dyDescent="0.2">
      <c r="B12" s="31" t="s">
        <v>39</v>
      </c>
      <c r="C12" s="31" t="s">
        <v>40</v>
      </c>
      <c r="D12" s="31" t="s">
        <v>41</v>
      </c>
      <c r="E12" s="35">
        <v>3556</v>
      </c>
      <c r="F12" s="32">
        <v>142.73784000000001</v>
      </c>
      <c r="G12" s="33">
        <v>4.2231434640309997</v>
      </c>
      <c r="H12" s="36"/>
    </row>
    <row r="13" spans="1:10" x14ac:dyDescent="0.2">
      <c r="B13" s="31" t="s">
        <v>42</v>
      </c>
      <c r="C13" s="31" t="s">
        <v>43</v>
      </c>
      <c r="D13" s="31" t="s">
        <v>44</v>
      </c>
      <c r="E13" s="35">
        <v>9425</v>
      </c>
      <c r="F13" s="32">
        <v>134.85290000000001</v>
      </c>
      <c r="G13" s="33">
        <v>3.98985400956485</v>
      </c>
      <c r="H13" s="36"/>
    </row>
    <row r="14" spans="1:10" x14ac:dyDescent="0.2">
      <c r="B14" s="31" t="s">
        <v>45</v>
      </c>
      <c r="C14" s="31" t="s">
        <v>46</v>
      </c>
      <c r="D14" s="31" t="s">
        <v>47</v>
      </c>
      <c r="E14" s="35">
        <v>30950</v>
      </c>
      <c r="F14" s="32">
        <v>123.536925</v>
      </c>
      <c r="G14" s="33">
        <v>3.6550515082772499</v>
      </c>
      <c r="H14" s="36"/>
    </row>
    <row r="15" spans="1:10" x14ac:dyDescent="0.2">
      <c r="B15" s="31" t="s">
        <v>48</v>
      </c>
      <c r="C15" s="31" t="s">
        <v>49</v>
      </c>
      <c r="D15" s="31" t="s">
        <v>50</v>
      </c>
      <c r="E15" s="35">
        <v>10164</v>
      </c>
      <c r="F15" s="32">
        <v>120.11815199999999</v>
      </c>
      <c r="G15" s="33">
        <v>3.5539012537269801</v>
      </c>
      <c r="H15" s="36"/>
    </row>
    <row r="16" spans="1:10" x14ac:dyDescent="0.2">
      <c r="B16" s="31" t="s">
        <v>51</v>
      </c>
      <c r="C16" s="31" t="s">
        <v>52</v>
      </c>
      <c r="D16" s="31" t="s">
        <v>53</v>
      </c>
      <c r="E16" s="35">
        <v>1877</v>
      </c>
      <c r="F16" s="32">
        <v>107.47702</v>
      </c>
      <c r="G16" s="33">
        <v>3.17989171299305</v>
      </c>
      <c r="H16" s="36"/>
    </row>
    <row r="17" spans="2:8" x14ac:dyDescent="0.2">
      <c r="B17" s="31" t="s">
        <v>54</v>
      </c>
      <c r="C17" s="31" t="s">
        <v>55</v>
      </c>
      <c r="D17" s="31" t="s">
        <v>44</v>
      </c>
      <c r="E17" s="35">
        <v>70827</v>
      </c>
      <c r="F17" s="32">
        <v>100.7514075</v>
      </c>
      <c r="G17" s="33">
        <v>2.9809029481989402</v>
      </c>
      <c r="H17" s="36"/>
    </row>
    <row r="18" spans="2:8" x14ac:dyDescent="0.2">
      <c r="B18" s="31" t="s">
        <v>56</v>
      </c>
      <c r="C18" s="31" t="s">
        <v>57</v>
      </c>
      <c r="D18" s="31" t="s">
        <v>58</v>
      </c>
      <c r="E18" s="35">
        <v>2946</v>
      </c>
      <c r="F18" s="32">
        <v>95.497535999999997</v>
      </c>
      <c r="G18" s="33">
        <v>2.8254581615461198</v>
      </c>
      <c r="H18" s="36"/>
    </row>
    <row r="19" spans="2:8" x14ac:dyDescent="0.2">
      <c r="B19" s="31" t="s">
        <v>59</v>
      </c>
      <c r="C19" s="31" t="s">
        <v>60</v>
      </c>
      <c r="D19" s="31" t="s">
        <v>61</v>
      </c>
      <c r="E19" s="35">
        <v>28086</v>
      </c>
      <c r="F19" s="32">
        <v>88.442813999999998</v>
      </c>
      <c r="G19" s="33">
        <v>2.6167321285274401</v>
      </c>
      <c r="H19" s="36"/>
    </row>
    <row r="20" spans="2:8" x14ac:dyDescent="0.2">
      <c r="B20" s="31" t="s">
        <v>62</v>
      </c>
      <c r="C20" s="31" t="s">
        <v>63</v>
      </c>
      <c r="D20" s="31" t="s">
        <v>64</v>
      </c>
      <c r="E20" s="35">
        <v>40152</v>
      </c>
      <c r="F20" s="32">
        <v>84.865267200000005</v>
      </c>
      <c r="G20" s="33">
        <v>2.5108842791716901</v>
      </c>
      <c r="H20" s="36"/>
    </row>
    <row r="21" spans="2:8" x14ac:dyDescent="0.2">
      <c r="B21" s="31" t="s">
        <v>65</v>
      </c>
      <c r="C21" s="31" t="s">
        <v>66</v>
      </c>
      <c r="D21" s="31" t="s">
        <v>67</v>
      </c>
      <c r="E21" s="35">
        <v>20682</v>
      </c>
      <c r="F21" s="32">
        <v>84.465288000000001</v>
      </c>
      <c r="G21" s="33">
        <v>2.4990502094938201</v>
      </c>
      <c r="H21" s="36"/>
    </row>
    <row r="22" spans="2:8" x14ac:dyDescent="0.2">
      <c r="B22" s="31" t="s">
        <v>68</v>
      </c>
      <c r="C22" s="31" t="s">
        <v>69</v>
      </c>
      <c r="D22" s="31" t="s">
        <v>70</v>
      </c>
      <c r="E22" s="35">
        <v>1718</v>
      </c>
      <c r="F22" s="32">
        <v>73.793254000000005</v>
      </c>
      <c r="G22" s="33">
        <v>2.1832998055713801</v>
      </c>
      <c r="H22" s="36"/>
    </row>
    <row r="23" spans="2:8" x14ac:dyDescent="0.2">
      <c r="B23" s="31" t="s">
        <v>71</v>
      </c>
      <c r="C23" s="31" t="s">
        <v>72</v>
      </c>
      <c r="D23" s="31" t="s">
        <v>53</v>
      </c>
      <c r="E23" s="35">
        <v>4739</v>
      </c>
      <c r="F23" s="32">
        <v>69.123053999999996</v>
      </c>
      <c r="G23" s="33">
        <v>2.0451239399024201</v>
      </c>
      <c r="H23" s="36"/>
    </row>
    <row r="24" spans="2:8" x14ac:dyDescent="0.2">
      <c r="B24" s="31" t="s">
        <v>73</v>
      </c>
      <c r="C24" s="31" t="s">
        <v>74</v>
      </c>
      <c r="D24" s="31" t="s">
        <v>50</v>
      </c>
      <c r="E24" s="35">
        <v>2603</v>
      </c>
      <c r="F24" s="32">
        <v>64.395617000000001</v>
      </c>
      <c r="G24" s="33">
        <v>1.9052546195584401</v>
      </c>
      <c r="H24" s="36"/>
    </row>
    <row r="25" spans="2:8" x14ac:dyDescent="0.2">
      <c r="B25" s="31" t="s">
        <v>75</v>
      </c>
      <c r="C25" s="31" t="s">
        <v>76</v>
      </c>
      <c r="D25" s="31" t="s">
        <v>28</v>
      </c>
      <c r="E25" s="35">
        <v>4766</v>
      </c>
      <c r="F25" s="32">
        <v>60.447178000000001</v>
      </c>
      <c r="G25" s="33">
        <v>1.7884332892372301</v>
      </c>
      <c r="H25" s="36"/>
    </row>
    <row r="26" spans="2:8" x14ac:dyDescent="0.2">
      <c r="B26" s="31" t="s">
        <v>77</v>
      </c>
      <c r="C26" s="31" t="s">
        <v>78</v>
      </c>
      <c r="D26" s="31" t="s">
        <v>79</v>
      </c>
      <c r="E26" s="35">
        <v>2014</v>
      </c>
      <c r="F26" s="32">
        <v>59.84601</v>
      </c>
      <c r="G26" s="33">
        <v>1.77064670433456</v>
      </c>
      <c r="H26" s="36"/>
    </row>
    <row r="27" spans="2:8" x14ac:dyDescent="0.2">
      <c r="B27" s="31" t="s">
        <v>80</v>
      </c>
      <c r="C27" s="31" t="s">
        <v>81</v>
      </c>
      <c r="D27" s="31" t="s">
        <v>28</v>
      </c>
      <c r="E27" s="35">
        <v>14276</v>
      </c>
      <c r="F27" s="32">
        <v>54.719907999999997</v>
      </c>
      <c r="G27" s="33">
        <v>1.61898219717054</v>
      </c>
      <c r="H27" s="36"/>
    </row>
    <row r="28" spans="2:8" x14ac:dyDescent="0.2">
      <c r="B28" s="31" t="s">
        <v>82</v>
      </c>
      <c r="C28" s="31" t="s">
        <v>83</v>
      </c>
      <c r="D28" s="31" t="s">
        <v>84</v>
      </c>
      <c r="E28" s="35">
        <v>20528</v>
      </c>
      <c r="F28" s="32">
        <v>50.710318399999998</v>
      </c>
      <c r="G28" s="33">
        <v>1.50035162161548</v>
      </c>
      <c r="H28" s="36"/>
    </row>
    <row r="29" spans="2:8" x14ac:dyDescent="0.2">
      <c r="B29" s="31" t="s">
        <v>85</v>
      </c>
      <c r="C29" s="31" t="s">
        <v>86</v>
      </c>
      <c r="D29" s="31" t="s">
        <v>87</v>
      </c>
      <c r="E29" s="35">
        <v>1147</v>
      </c>
      <c r="F29" s="32">
        <v>50.298243999999997</v>
      </c>
      <c r="G29" s="33">
        <v>1.4881596947301201</v>
      </c>
      <c r="H29" s="36"/>
    </row>
    <row r="30" spans="2:8" x14ac:dyDescent="0.2">
      <c r="B30" s="31" t="s">
        <v>88</v>
      </c>
      <c r="C30" s="31" t="s">
        <v>89</v>
      </c>
      <c r="D30" s="31" t="s">
        <v>79</v>
      </c>
      <c r="E30" s="35">
        <v>1411</v>
      </c>
      <c r="F30" s="32">
        <v>46.424722000000003</v>
      </c>
      <c r="G30" s="33">
        <v>1.3735549121645401</v>
      </c>
      <c r="H30" s="36"/>
    </row>
    <row r="31" spans="2:8" x14ac:dyDescent="0.2">
      <c r="B31" s="31" t="s">
        <v>90</v>
      </c>
      <c r="C31" s="31" t="s">
        <v>91</v>
      </c>
      <c r="D31" s="31" t="s">
        <v>28</v>
      </c>
      <c r="E31" s="35">
        <v>15710</v>
      </c>
      <c r="F31" s="32">
        <v>45.079844999999999</v>
      </c>
      <c r="G31" s="33">
        <v>1.33376442274368</v>
      </c>
      <c r="H31" s="36"/>
    </row>
    <row r="32" spans="2:8" x14ac:dyDescent="0.2">
      <c r="B32" s="31" t="s">
        <v>92</v>
      </c>
      <c r="C32" s="31" t="s">
        <v>93</v>
      </c>
      <c r="D32" s="31" t="s">
        <v>94</v>
      </c>
      <c r="E32" s="35">
        <v>2307</v>
      </c>
      <c r="F32" s="32">
        <v>41.717480999999999</v>
      </c>
      <c r="G32" s="33">
        <v>1.2342831250703199</v>
      </c>
      <c r="H32" s="36"/>
    </row>
    <row r="33" spans="2:8" x14ac:dyDescent="0.2">
      <c r="B33" s="31" t="s">
        <v>95</v>
      </c>
      <c r="C33" s="31" t="s">
        <v>96</v>
      </c>
      <c r="D33" s="31" t="s">
        <v>97</v>
      </c>
      <c r="E33" s="35">
        <v>13350</v>
      </c>
      <c r="F33" s="32">
        <v>39.989924999999999</v>
      </c>
      <c r="G33" s="33">
        <v>1.18317042201871</v>
      </c>
      <c r="H33" s="36"/>
    </row>
    <row r="34" spans="2:8" x14ac:dyDescent="0.2">
      <c r="B34" s="31" t="s">
        <v>98</v>
      </c>
      <c r="C34" s="31" t="s">
        <v>99</v>
      </c>
      <c r="D34" s="31" t="s">
        <v>100</v>
      </c>
      <c r="E34" s="35">
        <v>1951</v>
      </c>
      <c r="F34" s="32">
        <v>35.488689999999998</v>
      </c>
      <c r="G34" s="33">
        <v>1.04999367526174</v>
      </c>
      <c r="H34" s="36"/>
    </row>
    <row r="35" spans="2:8" x14ac:dyDescent="0.2">
      <c r="B35" s="31" t="s">
        <v>101</v>
      </c>
      <c r="C35" s="31" t="s">
        <v>102</v>
      </c>
      <c r="D35" s="31" t="s">
        <v>67</v>
      </c>
      <c r="E35" s="35">
        <v>26956</v>
      </c>
      <c r="F35" s="32">
        <v>32.673367599999999</v>
      </c>
      <c r="G35" s="33">
        <v>0.966697540244563</v>
      </c>
      <c r="H35" s="36"/>
    </row>
    <row r="36" spans="2:8" x14ac:dyDescent="0.2">
      <c r="B36" s="31" t="s">
        <v>103</v>
      </c>
      <c r="C36" s="31" t="s">
        <v>104</v>
      </c>
      <c r="D36" s="31" t="s">
        <v>84</v>
      </c>
      <c r="E36" s="35">
        <v>6074</v>
      </c>
      <c r="F36" s="32">
        <v>31.338802999999999</v>
      </c>
      <c r="G36" s="33">
        <v>0.92721216083979496</v>
      </c>
      <c r="H36" s="36"/>
    </row>
    <row r="37" spans="2:8" x14ac:dyDescent="0.2">
      <c r="B37" s="31" t="s">
        <v>105</v>
      </c>
      <c r="C37" s="31" t="s">
        <v>106</v>
      </c>
      <c r="D37" s="31" t="s">
        <v>50</v>
      </c>
      <c r="E37" s="35">
        <v>2063</v>
      </c>
      <c r="F37" s="32">
        <v>30.398305000000001</v>
      </c>
      <c r="G37" s="33">
        <v>0.89938591671536205</v>
      </c>
      <c r="H37" s="36"/>
    </row>
    <row r="38" spans="2:8" x14ac:dyDescent="0.2">
      <c r="B38" s="31" t="s">
        <v>107</v>
      </c>
      <c r="C38" s="31" t="s">
        <v>108</v>
      </c>
      <c r="D38" s="31" t="s">
        <v>109</v>
      </c>
      <c r="E38" s="35">
        <v>10447</v>
      </c>
      <c r="F38" s="32">
        <v>28.368828499999999</v>
      </c>
      <c r="G38" s="33">
        <v>0.83934037857089105</v>
      </c>
      <c r="H38" s="36"/>
    </row>
    <row r="39" spans="2:8" x14ac:dyDescent="0.2">
      <c r="B39" s="31" t="s">
        <v>110</v>
      </c>
      <c r="C39" s="31" t="s">
        <v>111</v>
      </c>
      <c r="D39" s="31" t="s">
        <v>100</v>
      </c>
      <c r="E39" s="35">
        <v>3431</v>
      </c>
      <c r="F39" s="32">
        <v>27.375948999999999</v>
      </c>
      <c r="G39" s="33">
        <v>0.80996433805496704</v>
      </c>
      <c r="H39" s="36"/>
    </row>
    <row r="40" spans="2:8" x14ac:dyDescent="0.2">
      <c r="B40" s="31" t="s">
        <v>112</v>
      </c>
      <c r="C40" s="31" t="s">
        <v>113</v>
      </c>
      <c r="D40" s="31" t="s">
        <v>38</v>
      </c>
      <c r="E40" s="35">
        <v>527</v>
      </c>
      <c r="F40" s="32">
        <v>26.871729999999999</v>
      </c>
      <c r="G40" s="33">
        <v>0.79504615536220502</v>
      </c>
      <c r="H40" s="36"/>
    </row>
    <row r="41" spans="2:8" x14ac:dyDescent="0.2">
      <c r="B41" s="31" t="s">
        <v>114</v>
      </c>
      <c r="C41" s="31" t="s">
        <v>115</v>
      </c>
      <c r="D41" s="31" t="s">
        <v>28</v>
      </c>
      <c r="E41" s="35">
        <v>122149</v>
      </c>
      <c r="F41" s="32">
        <v>24.3442957</v>
      </c>
      <c r="G41" s="33">
        <v>0.72026768285055198</v>
      </c>
      <c r="H41" s="36"/>
    </row>
    <row r="42" spans="2:8" x14ac:dyDescent="0.2">
      <c r="B42" s="31" t="s">
        <v>116</v>
      </c>
      <c r="C42" s="31" t="s">
        <v>117</v>
      </c>
      <c r="D42" s="31" t="s">
        <v>100</v>
      </c>
      <c r="E42" s="35">
        <v>1420</v>
      </c>
      <c r="F42" s="32">
        <v>22.516940000000002</v>
      </c>
      <c r="G42" s="33">
        <v>0.66620223474712803</v>
      </c>
      <c r="H42" s="36"/>
    </row>
    <row r="43" spans="2:8" x14ac:dyDescent="0.2">
      <c r="B43" s="31" t="s">
        <v>118</v>
      </c>
      <c r="C43" s="31" t="s">
        <v>119</v>
      </c>
      <c r="D43" s="31" t="s">
        <v>64</v>
      </c>
      <c r="E43" s="35">
        <v>1654</v>
      </c>
      <c r="F43" s="32">
        <v>20.914829999999998</v>
      </c>
      <c r="G43" s="33">
        <v>0.618801066457355</v>
      </c>
      <c r="H43" s="36"/>
    </row>
    <row r="44" spans="2:8" x14ac:dyDescent="0.2">
      <c r="B44" s="31" t="s">
        <v>120</v>
      </c>
      <c r="C44" s="31" t="s">
        <v>121</v>
      </c>
      <c r="D44" s="31" t="s">
        <v>122</v>
      </c>
      <c r="E44" s="35">
        <v>169</v>
      </c>
      <c r="F44" s="32">
        <v>19.58034</v>
      </c>
      <c r="G44" s="33">
        <v>0.57931789422135505</v>
      </c>
      <c r="H44" s="36"/>
    </row>
    <row r="45" spans="2:8" x14ac:dyDescent="0.2">
      <c r="B45" s="31" t="s">
        <v>123</v>
      </c>
      <c r="C45" s="31" t="s">
        <v>124</v>
      </c>
      <c r="D45" s="31" t="s">
        <v>79</v>
      </c>
      <c r="E45" s="35">
        <v>7086</v>
      </c>
      <c r="F45" s="32">
        <v>15.2341914</v>
      </c>
      <c r="G45" s="33">
        <v>0.45072964422543599</v>
      </c>
      <c r="H45" s="36"/>
    </row>
    <row r="46" spans="2:8" x14ac:dyDescent="0.2">
      <c r="B46" s="31" t="s">
        <v>125</v>
      </c>
      <c r="C46" s="31" t="s">
        <v>126</v>
      </c>
      <c r="D46" s="31" t="s">
        <v>94</v>
      </c>
      <c r="E46" s="35">
        <v>885</v>
      </c>
      <c r="F46" s="32">
        <v>13.548465</v>
      </c>
      <c r="G46" s="33">
        <v>0.40085454153154298</v>
      </c>
      <c r="H46" s="36"/>
    </row>
    <row r="47" spans="2:8" x14ac:dyDescent="0.2">
      <c r="B47" s="31" t="s">
        <v>127</v>
      </c>
      <c r="C47" s="31" t="s">
        <v>128</v>
      </c>
      <c r="D47" s="31" t="s">
        <v>44</v>
      </c>
      <c r="E47" s="35">
        <v>4478</v>
      </c>
      <c r="F47" s="32">
        <v>13.454151</v>
      </c>
      <c r="G47" s="33">
        <v>0.39806410030960299</v>
      </c>
      <c r="H47" s="36"/>
    </row>
    <row r="48" spans="2:8" x14ac:dyDescent="0.2">
      <c r="B48" s="31" t="s">
        <v>129</v>
      </c>
      <c r="C48" s="31" t="s">
        <v>130</v>
      </c>
      <c r="D48" s="31" t="s">
        <v>131</v>
      </c>
      <c r="E48" s="35">
        <v>955</v>
      </c>
      <c r="F48" s="32">
        <v>12.65948</v>
      </c>
      <c r="G48" s="33">
        <v>0.37455239773861698</v>
      </c>
      <c r="H48" s="36"/>
    </row>
    <row r="49" spans="2:8" x14ac:dyDescent="0.2">
      <c r="B49" s="31" t="s">
        <v>1578</v>
      </c>
      <c r="C49" s="31" t="s">
        <v>132</v>
      </c>
      <c r="D49" s="31" t="s">
        <v>47</v>
      </c>
      <c r="E49" s="35">
        <v>10447</v>
      </c>
      <c r="F49" s="32">
        <v>12.6434818</v>
      </c>
      <c r="G49" s="33">
        <v>0.37407906359144</v>
      </c>
      <c r="H49" s="36"/>
    </row>
    <row r="50" spans="2:8" x14ac:dyDescent="0.2">
      <c r="B50" s="31" t="s">
        <v>1577</v>
      </c>
      <c r="C50" s="31" t="s">
        <v>133</v>
      </c>
      <c r="D50" s="31" t="s">
        <v>47</v>
      </c>
      <c r="E50" s="35">
        <v>10447</v>
      </c>
      <c r="F50" s="32">
        <v>12.6434818</v>
      </c>
      <c r="G50" s="33">
        <v>0.37407906359144</v>
      </c>
      <c r="H50" s="36"/>
    </row>
    <row r="51" spans="2:8" x14ac:dyDescent="0.2">
      <c r="B51" s="31" t="s">
        <v>1579</v>
      </c>
      <c r="C51" s="31" t="s">
        <v>134</v>
      </c>
      <c r="D51" s="31" t="s">
        <v>135</v>
      </c>
      <c r="E51" s="35">
        <v>10447</v>
      </c>
      <c r="F51" s="32">
        <v>12.6434818</v>
      </c>
      <c r="G51" s="33">
        <v>0.37407906359144</v>
      </c>
      <c r="H51" s="36"/>
    </row>
    <row r="52" spans="2:8" x14ac:dyDescent="0.2">
      <c r="B52" s="31" t="s">
        <v>1576</v>
      </c>
      <c r="C52" s="31" t="s">
        <v>136</v>
      </c>
      <c r="D52" s="31" t="s">
        <v>135</v>
      </c>
      <c r="E52" s="35">
        <v>10447</v>
      </c>
      <c r="F52" s="32">
        <v>12.6434818</v>
      </c>
      <c r="G52" s="33">
        <v>0.37407906359144</v>
      </c>
      <c r="H52" s="36"/>
    </row>
    <row r="53" spans="2:8" x14ac:dyDescent="0.2">
      <c r="B53" s="31" t="s">
        <v>137</v>
      </c>
      <c r="C53" s="31" t="s">
        <v>138</v>
      </c>
      <c r="D53" s="31" t="s">
        <v>58</v>
      </c>
      <c r="E53" s="35">
        <v>7199</v>
      </c>
      <c r="F53" s="32">
        <v>11.668859100000001</v>
      </c>
      <c r="G53" s="33">
        <v>0.34524318177200702</v>
      </c>
      <c r="H53" s="36"/>
    </row>
    <row r="54" spans="2:8" x14ac:dyDescent="0.2">
      <c r="B54" s="31" t="s">
        <v>139</v>
      </c>
      <c r="C54" s="31" t="s">
        <v>140</v>
      </c>
      <c r="D54" s="31" t="s">
        <v>94</v>
      </c>
      <c r="E54" s="35">
        <v>872</v>
      </c>
      <c r="F54" s="32">
        <v>11.535688</v>
      </c>
      <c r="G54" s="33">
        <v>0.34130308669586701</v>
      </c>
      <c r="H54" s="36"/>
    </row>
    <row r="55" spans="2:8" x14ac:dyDescent="0.2">
      <c r="B55" s="31" t="s">
        <v>141</v>
      </c>
      <c r="C55" s="31" t="s">
        <v>142</v>
      </c>
      <c r="D55" s="31" t="s">
        <v>44</v>
      </c>
      <c r="E55" s="35">
        <v>3006</v>
      </c>
      <c r="F55" s="32">
        <v>11.258972999999999</v>
      </c>
      <c r="G55" s="33">
        <v>0.33311599949005399</v>
      </c>
      <c r="H55" s="36"/>
    </row>
    <row r="56" spans="2:8" x14ac:dyDescent="0.2">
      <c r="B56" s="31" t="s">
        <v>143</v>
      </c>
      <c r="C56" s="31" t="s">
        <v>144</v>
      </c>
      <c r="D56" s="31" t="s">
        <v>47</v>
      </c>
      <c r="E56" s="35">
        <v>3163</v>
      </c>
      <c r="F56" s="32">
        <v>10.0694105</v>
      </c>
      <c r="G56" s="33">
        <v>0.29792075555942299</v>
      </c>
      <c r="H56" s="36"/>
    </row>
    <row r="57" spans="2:8" x14ac:dyDescent="0.2">
      <c r="B57" s="31" t="s">
        <v>145</v>
      </c>
      <c r="C57" s="31" t="s">
        <v>146</v>
      </c>
      <c r="D57" s="31" t="s">
        <v>64</v>
      </c>
      <c r="E57" s="35">
        <v>5086</v>
      </c>
      <c r="F57" s="32">
        <v>9.3897732000000005</v>
      </c>
      <c r="G57" s="33">
        <v>0.27781252202158402</v>
      </c>
      <c r="H57" s="36"/>
    </row>
    <row r="58" spans="2:8" x14ac:dyDescent="0.2">
      <c r="B58" s="31" t="s">
        <v>147</v>
      </c>
      <c r="C58" s="31" t="s">
        <v>148</v>
      </c>
      <c r="D58" s="31" t="s">
        <v>87</v>
      </c>
      <c r="E58" s="35">
        <v>297</v>
      </c>
      <c r="F58" s="32">
        <v>7.2601649999999998</v>
      </c>
      <c r="G58" s="33">
        <v>0.21480441603667699</v>
      </c>
      <c r="H58" s="36"/>
    </row>
    <row r="59" spans="2:8" x14ac:dyDescent="0.2">
      <c r="B59" s="31" t="s">
        <v>149</v>
      </c>
      <c r="C59" s="31" t="s">
        <v>150</v>
      </c>
      <c r="D59" s="31" t="s">
        <v>67</v>
      </c>
      <c r="E59" s="35">
        <v>161</v>
      </c>
      <c r="F59" s="32">
        <v>6.6409279999999997</v>
      </c>
      <c r="G59" s="33">
        <v>0.19648322882215699</v>
      </c>
      <c r="H59" s="36"/>
    </row>
    <row r="60" spans="2:8" x14ac:dyDescent="0.2">
      <c r="B60" s="31" t="s">
        <v>151</v>
      </c>
      <c r="C60" s="31" t="s">
        <v>152</v>
      </c>
      <c r="D60" s="31" t="s">
        <v>135</v>
      </c>
      <c r="E60" s="35">
        <v>267</v>
      </c>
      <c r="F60" s="32">
        <v>6.430428</v>
      </c>
      <c r="G60" s="33">
        <v>0.19025522579802201</v>
      </c>
      <c r="H60" s="36"/>
    </row>
    <row r="61" spans="2:8" x14ac:dyDescent="0.2">
      <c r="B61" s="31" t="s">
        <v>153</v>
      </c>
      <c r="C61" s="31" t="s">
        <v>154</v>
      </c>
      <c r="D61" s="31" t="s">
        <v>67</v>
      </c>
      <c r="E61" s="35">
        <v>4</v>
      </c>
      <c r="F61" s="32">
        <v>5.1883999999999997</v>
      </c>
      <c r="G61" s="33">
        <v>0.153507700192033</v>
      </c>
      <c r="H61" s="36"/>
    </row>
    <row r="62" spans="2:8" x14ac:dyDescent="0.2">
      <c r="B62" s="31" t="s">
        <v>155</v>
      </c>
      <c r="C62" s="31" t="s">
        <v>156</v>
      </c>
      <c r="D62" s="31" t="s">
        <v>50</v>
      </c>
      <c r="E62" s="35">
        <v>78</v>
      </c>
      <c r="F62" s="32">
        <v>3.3302879999999999</v>
      </c>
      <c r="G62" s="33">
        <v>9.8532274276679904E-2</v>
      </c>
      <c r="H62" s="36"/>
    </row>
    <row r="63" spans="2:8" x14ac:dyDescent="0.2">
      <c r="B63" s="31" t="s">
        <v>157</v>
      </c>
      <c r="C63" s="31" t="s">
        <v>158</v>
      </c>
      <c r="D63" s="31" t="s">
        <v>38</v>
      </c>
      <c r="E63" s="35">
        <v>36</v>
      </c>
      <c r="F63" s="32">
        <v>2.55924</v>
      </c>
      <c r="G63" s="33">
        <v>7.5719498619894202E-2</v>
      </c>
      <c r="H63" s="36"/>
    </row>
    <row r="64" spans="2:8" x14ac:dyDescent="0.2">
      <c r="B64" s="31" t="s">
        <v>159</v>
      </c>
      <c r="C64" s="31" t="s">
        <v>160</v>
      </c>
      <c r="D64" s="31" t="s">
        <v>131</v>
      </c>
      <c r="E64" s="35">
        <v>165</v>
      </c>
      <c r="F64" s="32">
        <v>2.4066900000000002</v>
      </c>
      <c r="G64" s="33">
        <v>7.1206045596940201E-2</v>
      </c>
      <c r="H64" s="36"/>
    </row>
    <row r="65" spans="2:9" x14ac:dyDescent="0.2">
      <c r="B65" s="31" t="s">
        <v>161</v>
      </c>
      <c r="C65" s="31" t="s">
        <v>162</v>
      </c>
      <c r="D65" s="31" t="s">
        <v>94</v>
      </c>
      <c r="E65" s="35">
        <v>203</v>
      </c>
      <c r="F65" s="32">
        <v>2.2349285000000001</v>
      </c>
      <c r="G65" s="33">
        <v>6.6124187442878499E-2</v>
      </c>
      <c r="H65" s="36"/>
    </row>
    <row r="66" spans="2:9" x14ac:dyDescent="0.2">
      <c r="B66" s="31" t="s">
        <v>163</v>
      </c>
      <c r="C66" s="31" t="s">
        <v>164</v>
      </c>
      <c r="D66" s="31" t="s">
        <v>165</v>
      </c>
      <c r="E66" s="35">
        <v>659</v>
      </c>
      <c r="F66" s="32">
        <v>2.0475129999999999</v>
      </c>
      <c r="G66" s="33">
        <v>6.05791788881525E-2</v>
      </c>
      <c r="H66" s="36"/>
    </row>
    <row r="67" spans="2:9" x14ac:dyDescent="0.2">
      <c r="B67" s="31" t="s">
        <v>166</v>
      </c>
      <c r="C67" s="31" t="s">
        <v>167</v>
      </c>
      <c r="D67" s="31" t="s">
        <v>79</v>
      </c>
      <c r="E67" s="35">
        <v>156</v>
      </c>
      <c r="F67" s="32">
        <v>1.5755220000000001</v>
      </c>
      <c r="G67" s="33">
        <v>4.66145167724063E-2</v>
      </c>
      <c r="H67" s="36"/>
    </row>
    <row r="68" spans="2:9" x14ac:dyDescent="0.2">
      <c r="B68" s="31" t="s">
        <v>168</v>
      </c>
      <c r="C68" s="31" t="s">
        <v>169</v>
      </c>
      <c r="D68" s="31" t="s">
        <v>50</v>
      </c>
      <c r="E68" s="35">
        <v>11</v>
      </c>
      <c r="F68" s="32">
        <v>1.0699149999999999</v>
      </c>
      <c r="G68" s="33">
        <v>3.1655267722411402E-2</v>
      </c>
      <c r="H68" s="36"/>
    </row>
    <row r="69" spans="2:9" ht="10.5" x14ac:dyDescent="0.25">
      <c r="B69" s="30" t="s">
        <v>170</v>
      </c>
      <c r="C69" s="30"/>
      <c r="D69" s="30"/>
      <c r="E69" s="30"/>
      <c r="F69" s="37">
        <f>SUM(F7:F68)</f>
        <v>3369.2166662999998</v>
      </c>
      <c r="G69" s="38">
        <f>SUM(G7:G68)</f>
        <v>99.684045542437346</v>
      </c>
      <c r="H69" s="39"/>
      <c r="I69" s="23"/>
    </row>
    <row r="70" spans="2:9" ht="10.5" x14ac:dyDescent="0.25">
      <c r="B70" s="30" t="s">
        <v>171</v>
      </c>
      <c r="C70" s="30"/>
      <c r="D70" s="30"/>
      <c r="E70" s="30"/>
      <c r="F70" s="40" t="s">
        <v>172</v>
      </c>
      <c r="G70" s="41" t="s">
        <v>172</v>
      </c>
      <c r="H70" s="39"/>
      <c r="I70" s="23"/>
    </row>
    <row r="71" spans="2:9" ht="10.5" x14ac:dyDescent="0.25">
      <c r="B71" s="30" t="s">
        <v>170</v>
      </c>
      <c r="C71" s="30"/>
      <c r="D71" s="30"/>
      <c r="E71" s="30"/>
      <c r="F71" s="42" t="s">
        <v>172</v>
      </c>
      <c r="G71" s="43" t="s">
        <v>172</v>
      </c>
      <c r="H71" s="39"/>
      <c r="I71" s="23"/>
    </row>
    <row r="72" spans="2:9" ht="10.5" x14ac:dyDescent="0.25">
      <c r="B72" s="44" t="s">
        <v>173</v>
      </c>
      <c r="C72" s="44"/>
      <c r="D72" s="44"/>
      <c r="E72" s="44"/>
      <c r="F72" s="45">
        <f>F69</f>
        <v>3369.2166662999998</v>
      </c>
      <c r="G72" s="46">
        <f>G69</f>
        <v>99.684045542437346</v>
      </c>
      <c r="H72" s="39"/>
      <c r="I72" s="23"/>
    </row>
    <row r="73" spans="2:9" ht="10.5" x14ac:dyDescent="0.25">
      <c r="B73" s="30" t="s">
        <v>174</v>
      </c>
      <c r="C73" s="30"/>
      <c r="D73" s="30"/>
      <c r="E73" s="30"/>
      <c r="F73" s="37">
        <v>42.395221900000003</v>
      </c>
      <c r="G73" s="38">
        <v>1.25433525036619</v>
      </c>
      <c r="H73" s="36">
        <v>5.2499999999999998E-2</v>
      </c>
      <c r="I73" s="24"/>
    </row>
    <row r="74" spans="2:9" x14ac:dyDescent="0.2">
      <c r="B74" s="31"/>
      <c r="C74" s="31"/>
      <c r="D74" s="31"/>
      <c r="E74" s="31"/>
      <c r="F74" s="32"/>
      <c r="G74" s="33"/>
      <c r="H74" s="34"/>
    </row>
    <row r="75" spans="2:9" ht="10.5" x14ac:dyDescent="0.25">
      <c r="B75" s="30" t="s">
        <v>176</v>
      </c>
      <c r="C75" s="31"/>
      <c r="D75" s="31"/>
      <c r="E75" s="31"/>
      <c r="F75" s="140">
        <v>8</v>
      </c>
      <c r="G75" s="140">
        <f>F75/F77*100</f>
        <v>0.2366937016298408</v>
      </c>
      <c r="H75" s="34"/>
    </row>
    <row r="76" spans="2:9" ht="10.5" x14ac:dyDescent="0.25">
      <c r="B76" s="52" t="s">
        <v>177</v>
      </c>
      <c r="C76" s="52"/>
      <c r="D76" s="52"/>
      <c r="E76" s="52"/>
      <c r="F76" s="37">
        <f>F77-(F69+F73+F75)</f>
        <v>-39.71629109999958</v>
      </c>
      <c r="G76" s="38">
        <f>G77-(G69+G73+G75)</f>
        <v>-1.1750744944333888</v>
      </c>
      <c r="H76" s="39"/>
      <c r="I76" s="23"/>
    </row>
    <row r="77" spans="2:9" ht="10.5" x14ac:dyDescent="0.25">
      <c r="B77" s="47" t="s">
        <v>175</v>
      </c>
      <c r="C77" s="47"/>
      <c r="D77" s="47"/>
      <c r="E77" s="47"/>
      <c r="F77" s="48">
        <v>3379.8955971</v>
      </c>
      <c r="G77" s="49">
        <v>100</v>
      </c>
      <c r="H77" s="50"/>
      <c r="I77" s="23"/>
    </row>
    <row r="79" spans="2:9" ht="10.5" x14ac:dyDescent="0.25">
      <c r="B79" s="23" t="s">
        <v>178</v>
      </c>
    </row>
    <row r="81" spans="2:8" ht="30.75" customHeight="1" x14ac:dyDescent="0.2">
      <c r="B81" s="144" t="s">
        <v>7</v>
      </c>
      <c r="C81" s="144" t="s">
        <v>179</v>
      </c>
      <c r="D81" s="144" t="s">
        <v>180</v>
      </c>
      <c r="E81" s="144" t="s">
        <v>0</v>
      </c>
      <c r="F81" s="150" t="s">
        <v>181</v>
      </c>
      <c r="G81" s="146" t="s">
        <v>182</v>
      </c>
    </row>
    <row r="82" spans="2:8" x14ac:dyDescent="0.2">
      <c r="B82" s="56" t="s">
        <v>183</v>
      </c>
      <c r="C82" s="56" t="s">
        <v>184</v>
      </c>
      <c r="D82" s="56" t="s">
        <v>185</v>
      </c>
      <c r="E82" s="57">
        <v>65</v>
      </c>
      <c r="F82" s="58">
        <v>15.663830000000001</v>
      </c>
      <c r="G82" s="59">
        <v>0.46344123805006865</v>
      </c>
    </row>
    <row r="83" spans="2:8" ht="10.5" x14ac:dyDescent="0.25">
      <c r="B83" s="53"/>
      <c r="C83" s="53"/>
      <c r="D83" s="53"/>
      <c r="E83" s="53"/>
      <c r="F83" s="54">
        <f>SUM(F82:F82)</f>
        <v>15.663830000000001</v>
      </c>
      <c r="G83" s="55">
        <f>SUM(G82:G82)</f>
        <v>0.46344123805006865</v>
      </c>
    </row>
    <row r="85" spans="2:8" ht="10.5" x14ac:dyDescent="0.25">
      <c r="B85" s="23" t="s">
        <v>256</v>
      </c>
    </row>
    <row r="87" spans="2:8" ht="10.5" x14ac:dyDescent="0.2">
      <c r="B87" s="70" t="s">
        <v>186</v>
      </c>
      <c r="H87" s="6"/>
    </row>
    <row r="88" spans="2:8" ht="10.5" x14ac:dyDescent="0.2">
      <c r="B88" s="70"/>
      <c r="H88" s="6"/>
    </row>
    <row r="89" spans="2:8" x14ac:dyDescent="0.2">
      <c r="B89" s="81" t="s">
        <v>1497</v>
      </c>
      <c r="H89" s="6"/>
    </row>
    <row r="90" spans="2:8" x14ac:dyDescent="0.2">
      <c r="B90" s="81" t="s">
        <v>1515</v>
      </c>
      <c r="H90" s="6"/>
    </row>
    <row r="91" spans="2:8" x14ac:dyDescent="0.2">
      <c r="B91" s="81" t="s">
        <v>1516</v>
      </c>
      <c r="H91" s="6"/>
    </row>
    <row r="92" spans="2:8" ht="10.5" x14ac:dyDescent="0.2">
      <c r="B92" s="70"/>
      <c r="H92" s="6"/>
    </row>
    <row r="93" spans="2:8" ht="10.5" x14ac:dyDescent="0.2">
      <c r="B93" s="88" t="s">
        <v>1499</v>
      </c>
      <c r="C93" s="83" t="s">
        <v>1571</v>
      </c>
      <c r="D93" s="107" t="s">
        <v>1500</v>
      </c>
      <c r="H93" s="6"/>
    </row>
    <row r="94" spans="2:8" x14ac:dyDescent="0.2">
      <c r="B94" s="85" t="s">
        <v>1501</v>
      </c>
      <c r="C94" s="89" t="s">
        <v>1518</v>
      </c>
      <c r="D94" s="89">
        <v>9.9116</v>
      </c>
      <c r="H94" s="6"/>
    </row>
    <row r="95" spans="2:8" ht="10.5" x14ac:dyDescent="0.2">
      <c r="B95" s="70"/>
      <c r="H95" s="6"/>
    </row>
    <row r="96" spans="2:8" ht="10.5" x14ac:dyDescent="0.2">
      <c r="B96" s="70" t="s">
        <v>1570</v>
      </c>
      <c r="H96" s="6"/>
    </row>
    <row r="97" spans="2:8" ht="10.5" x14ac:dyDescent="0.2">
      <c r="B97" s="70"/>
      <c r="H97" s="6"/>
    </row>
    <row r="98" spans="2:8" x14ac:dyDescent="0.2">
      <c r="B98" s="81" t="s">
        <v>1543</v>
      </c>
      <c r="H98" s="6"/>
    </row>
    <row r="99" spans="2:8" x14ac:dyDescent="0.2">
      <c r="B99" s="81"/>
      <c r="H99" s="6"/>
    </row>
    <row r="100" spans="2:8" ht="10.5" x14ac:dyDescent="0.2">
      <c r="B100" s="108" t="s">
        <v>1550</v>
      </c>
      <c r="H100" s="6"/>
    </row>
    <row r="101" spans="2:8" x14ac:dyDescent="0.2">
      <c r="B101" s="87"/>
      <c r="H101" s="6"/>
    </row>
    <row r="102" spans="2:8" ht="10.5" x14ac:dyDescent="0.2">
      <c r="B102" s="108" t="s">
        <v>1551</v>
      </c>
      <c r="H102" s="6"/>
    </row>
    <row r="103" spans="2:8" ht="21" x14ac:dyDescent="0.2">
      <c r="B103" s="109" t="s">
        <v>1519</v>
      </c>
      <c r="C103" s="110" t="s">
        <v>1520</v>
      </c>
      <c r="D103" s="110" t="s">
        <v>1521</v>
      </c>
      <c r="E103" s="110" t="s">
        <v>1522</v>
      </c>
      <c r="F103" s="110" t="s">
        <v>1523</v>
      </c>
      <c r="H103" s="6"/>
    </row>
    <row r="104" spans="2:8" x14ac:dyDescent="0.2">
      <c r="B104" s="162" t="s">
        <v>399</v>
      </c>
      <c r="C104" s="163"/>
      <c r="D104" s="163"/>
      <c r="E104" s="163"/>
      <c r="F104" s="164"/>
      <c r="H104" s="6"/>
    </row>
    <row r="105" spans="2:8" x14ac:dyDescent="0.2">
      <c r="B105" s="87" t="s">
        <v>1524</v>
      </c>
      <c r="H105" s="6"/>
    </row>
    <row r="106" spans="2:8" x14ac:dyDescent="0.2">
      <c r="B106" s="87" t="s">
        <v>1583</v>
      </c>
      <c r="H106" s="6"/>
    </row>
    <row r="107" spans="2:8" x14ac:dyDescent="0.2">
      <c r="B107" s="87"/>
      <c r="H107" s="6"/>
    </row>
    <row r="108" spans="2:8" x14ac:dyDescent="0.2">
      <c r="B108" s="165" t="s">
        <v>1525</v>
      </c>
      <c r="C108" s="165" t="s">
        <v>1526</v>
      </c>
      <c r="D108" s="165" t="s">
        <v>1527</v>
      </c>
      <c r="E108" s="165" t="s">
        <v>1528</v>
      </c>
      <c r="F108" s="165" t="s">
        <v>1529</v>
      </c>
      <c r="H108" s="6"/>
    </row>
    <row r="109" spans="2:8" x14ac:dyDescent="0.2">
      <c r="B109" s="166"/>
      <c r="C109" s="166"/>
      <c r="D109" s="166"/>
      <c r="E109" s="166"/>
      <c r="F109" s="166"/>
      <c r="H109" s="6"/>
    </row>
    <row r="110" spans="2:8" x14ac:dyDescent="0.2">
      <c r="B110" s="162" t="s">
        <v>399</v>
      </c>
      <c r="C110" s="163"/>
      <c r="D110" s="163"/>
      <c r="E110" s="163"/>
      <c r="F110" s="164"/>
      <c r="H110" s="6"/>
    </row>
    <row r="111" spans="2:8" x14ac:dyDescent="0.2">
      <c r="B111" s="87"/>
      <c r="H111" s="6"/>
    </row>
    <row r="112" spans="2:8" ht="10.5" x14ac:dyDescent="0.25">
      <c r="B112" s="111" t="s">
        <v>1552</v>
      </c>
      <c r="C112" s="112"/>
      <c r="D112" s="112"/>
      <c r="E112" s="112"/>
      <c r="F112" s="112"/>
      <c r="H112" s="6"/>
    </row>
    <row r="113" spans="2:8" x14ac:dyDescent="0.2">
      <c r="B113" s="113"/>
      <c r="C113" s="112"/>
      <c r="D113" s="112"/>
      <c r="E113" s="112"/>
      <c r="F113" s="112"/>
      <c r="H113" s="6"/>
    </row>
    <row r="114" spans="2:8" ht="21" x14ac:dyDescent="0.2">
      <c r="B114" s="109" t="s">
        <v>1519</v>
      </c>
      <c r="C114" s="110" t="s">
        <v>1520</v>
      </c>
      <c r="D114" s="110" t="s">
        <v>1521</v>
      </c>
      <c r="E114" s="110" t="s">
        <v>1522</v>
      </c>
      <c r="F114" s="110" t="s">
        <v>1523</v>
      </c>
      <c r="H114" s="6"/>
    </row>
    <row r="115" spans="2:8" x14ac:dyDescent="0.2">
      <c r="B115" s="114" t="s">
        <v>183</v>
      </c>
      <c r="C115" s="115" t="s">
        <v>184</v>
      </c>
      <c r="D115" s="116">
        <v>24102.2</v>
      </c>
      <c r="E115" s="117">
        <v>24098.2</v>
      </c>
      <c r="F115" s="117">
        <v>1.7753766</v>
      </c>
      <c r="H115" s="6"/>
    </row>
    <row r="116" spans="2:8" x14ac:dyDescent="0.2">
      <c r="B116" s="113"/>
      <c r="C116" s="112"/>
      <c r="D116" s="112"/>
      <c r="E116" s="112"/>
      <c r="F116" s="112"/>
      <c r="H116" s="6"/>
    </row>
    <row r="117" spans="2:8" x14ac:dyDescent="0.2">
      <c r="B117" s="113" t="s">
        <v>1594</v>
      </c>
      <c r="C117" s="112"/>
      <c r="D117" s="112"/>
      <c r="E117" s="112"/>
      <c r="F117" s="112"/>
      <c r="H117" s="6"/>
    </row>
    <row r="118" spans="2:8" ht="10.5" x14ac:dyDescent="0.2">
      <c r="B118" s="112" t="s">
        <v>1572</v>
      </c>
      <c r="C118" s="118"/>
      <c r="D118" s="119"/>
      <c r="E118" s="120"/>
      <c r="F118" s="121"/>
      <c r="H118" s="6"/>
    </row>
    <row r="119" spans="2:8" ht="10.5" x14ac:dyDescent="0.2">
      <c r="B119" s="112" t="s">
        <v>1530</v>
      </c>
      <c r="C119" s="118"/>
      <c r="D119" s="119"/>
      <c r="E119" s="120"/>
      <c r="F119" s="121"/>
      <c r="H119" s="6"/>
    </row>
    <row r="120" spans="2:8" x14ac:dyDescent="0.2">
      <c r="B120" s="167" t="s">
        <v>1525</v>
      </c>
      <c r="C120" s="167" t="s">
        <v>1526</v>
      </c>
      <c r="D120" s="167" t="s">
        <v>1527</v>
      </c>
      <c r="E120" s="167" t="s">
        <v>1528</v>
      </c>
      <c r="F120" s="167" t="s">
        <v>1529</v>
      </c>
      <c r="H120" s="6"/>
    </row>
    <row r="121" spans="2:8" ht="30" customHeight="1" x14ac:dyDescent="0.2">
      <c r="B121" s="168"/>
      <c r="C121" s="168"/>
      <c r="D121" s="168"/>
      <c r="E121" s="168"/>
      <c r="F121" s="168"/>
      <c r="H121" s="6"/>
    </row>
    <row r="122" spans="2:8" x14ac:dyDescent="0.2">
      <c r="B122" s="152">
        <v>21</v>
      </c>
      <c r="C122" s="157">
        <v>21</v>
      </c>
      <c r="D122" s="153">
        <v>331.52112499999998</v>
      </c>
      <c r="E122" s="154">
        <v>331.2780247</v>
      </c>
      <c r="F122" s="155">
        <v>-0.24310029999999999</v>
      </c>
      <c r="H122" s="6"/>
    </row>
    <row r="123" spans="2:8" x14ac:dyDescent="0.2">
      <c r="B123" s="106"/>
      <c r="C123" s="122"/>
      <c r="D123" s="122"/>
      <c r="E123" s="122"/>
      <c r="F123" s="15"/>
      <c r="H123" s="6"/>
    </row>
    <row r="124" spans="2:8" ht="10.5" x14ac:dyDescent="0.2">
      <c r="B124" s="123" t="s">
        <v>1553</v>
      </c>
      <c r="C124" s="124"/>
      <c r="D124" s="124"/>
      <c r="E124" s="125"/>
      <c r="F124" s="15"/>
      <c r="H124" s="122"/>
    </row>
    <row r="125" spans="2:8" ht="10.5" x14ac:dyDescent="0.2">
      <c r="B125" s="126"/>
      <c r="C125" s="124"/>
      <c r="D125" s="124"/>
      <c r="E125" s="125"/>
      <c r="F125" s="15"/>
      <c r="H125" s="122"/>
    </row>
    <row r="126" spans="2:8" ht="10.5" x14ac:dyDescent="0.2">
      <c r="B126" s="109" t="s">
        <v>1519</v>
      </c>
      <c r="C126" s="110" t="s">
        <v>1531</v>
      </c>
      <c r="D126" s="110" t="s">
        <v>1532</v>
      </c>
      <c r="E126" s="110" t="s">
        <v>1533</v>
      </c>
      <c r="F126" s="15"/>
      <c r="H126" s="122"/>
    </row>
    <row r="127" spans="2:8" x14ac:dyDescent="0.2">
      <c r="B127" s="162" t="s">
        <v>399</v>
      </c>
      <c r="C127" s="163"/>
      <c r="D127" s="163"/>
      <c r="E127" s="164"/>
      <c r="F127" s="15"/>
      <c r="H127" s="122"/>
    </row>
    <row r="128" spans="2:8" x14ac:dyDescent="0.2">
      <c r="B128" s="113" t="s">
        <v>1534</v>
      </c>
      <c r="C128" s="112"/>
      <c r="D128" s="112"/>
      <c r="E128" s="112"/>
      <c r="F128" s="15"/>
      <c r="H128" s="122"/>
    </row>
    <row r="129" spans="2:8" x14ac:dyDescent="0.2">
      <c r="B129" s="127"/>
      <c r="C129" s="128"/>
      <c r="D129" s="128"/>
      <c r="E129" s="127"/>
      <c r="F129" s="15"/>
      <c r="H129" s="122"/>
    </row>
    <row r="130" spans="2:8" x14ac:dyDescent="0.2">
      <c r="B130" s="127" t="s">
        <v>1573</v>
      </c>
      <c r="C130" s="128"/>
      <c r="D130" s="128"/>
      <c r="E130" s="127"/>
      <c r="F130" s="15"/>
      <c r="H130" s="122"/>
    </row>
    <row r="131" spans="2:8" x14ac:dyDescent="0.2">
      <c r="B131" s="127"/>
      <c r="C131" s="128"/>
      <c r="D131" s="128"/>
      <c r="E131" s="127"/>
      <c r="F131" s="15"/>
      <c r="H131" s="122"/>
    </row>
    <row r="132" spans="2:8" x14ac:dyDescent="0.2">
      <c r="B132" s="165" t="s">
        <v>1535</v>
      </c>
      <c r="C132" s="165" t="s">
        <v>1536</v>
      </c>
      <c r="D132" s="165" t="s">
        <v>1537</v>
      </c>
      <c r="E132" s="127"/>
      <c r="F132" s="15"/>
      <c r="H132" s="122"/>
    </row>
    <row r="133" spans="2:8" x14ac:dyDescent="0.2">
      <c r="B133" s="166"/>
      <c r="C133" s="166"/>
      <c r="D133" s="166"/>
      <c r="E133" s="127"/>
      <c r="F133" s="15"/>
      <c r="H133" s="122"/>
    </row>
    <row r="134" spans="2:8" x14ac:dyDescent="0.2">
      <c r="B134" s="169" t="s">
        <v>399</v>
      </c>
      <c r="C134" s="169"/>
      <c r="D134" s="169"/>
      <c r="E134" s="122"/>
      <c r="F134" s="15"/>
      <c r="H134" s="6"/>
    </row>
    <row r="135" spans="2:8" x14ac:dyDescent="0.2">
      <c r="B135" s="129"/>
      <c r="C135" s="129"/>
      <c r="D135" s="129"/>
      <c r="E135" s="122"/>
      <c r="F135" s="15"/>
      <c r="H135" s="6"/>
    </row>
    <row r="136" spans="2:8" ht="10.5" x14ac:dyDescent="0.2">
      <c r="B136" s="123" t="s">
        <v>1554</v>
      </c>
      <c r="C136" s="129"/>
      <c r="D136" s="129"/>
      <c r="E136" s="122"/>
      <c r="F136" s="15"/>
      <c r="H136" s="6"/>
    </row>
    <row r="137" spans="2:8" x14ac:dyDescent="0.2">
      <c r="B137" s="129"/>
      <c r="C137" s="129"/>
      <c r="D137" s="129"/>
      <c r="E137" s="122"/>
      <c r="F137" s="15"/>
      <c r="H137" s="6"/>
    </row>
    <row r="138" spans="2:8" ht="10.5" x14ac:dyDescent="0.2">
      <c r="B138" s="110" t="s">
        <v>1519</v>
      </c>
      <c r="C138" s="110" t="s">
        <v>1538</v>
      </c>
      <c r="D138" s="110" t="s">
        <v>1539</v>
      </c>
      <c r="E138" s="110" t="s">
        <v>1540</v>
      </c>
      <c r="F138" s="110" t="s">
        <v>1541</v>
      </c>
      <c r="H138" s="6"/>
    </row>
    <row r="139" spans="2:8" x14ac:dyDescent="0.2">
      <c r="B139" s="170" t="s">
        <v>399</v>
      </c>
      <c r="C139" s="170"/>
      <c r="D139" s="170"/>
      <c r="E139" s="170"/>
      <c r="F139" s="170"/>
      <c r="H139" s="6"/>
    </row>
    <row r="140" spans="2:8" x14ac:dyDescent="0.2">
      <c r="B140" s="130" t="s">
        <v>1542</v>
      </c>
      <c r="C140" s="129"/>
      <c r="D140" s="129"/>
      <c r="E140" s="122"/>
      <c r="F140" s="15"/>
      <c r="H140" s="6"/>
    </row>
    <row r="141" spans="2:8" x14ac:dyDescent="0.2">
      <c r="B141" s="129"/>
      <c r="C141" s="129"/>
      <c r="D141" s="129"/>
      <c r="E141" s="122"/>
      <c r="F141" s="15"/>
      <c r="H141" s="6"/>
    </row>
    <row r="142" spans="2:8" x14ac:dyDescent="0.2">
      <c r="B142" s="127" t="s">
        <v>1555</v>
      </c>
      <c r="C142" s="128"/>
      <c r="D142" s="128"/>
      <c r="E142" s="122"/>
      <c r="F142" s="15"/>
      <c r="H142" s="6"/>
    </row>
    <row r="143" spans="2:8" x14ac:dyDescent="0.2">
      <c r="B143" s="127"/>
      <c r="C143" s="128"/>
      <c r="D143" s="128"/>
      <c r="E143" s="122"/>
      <c r="F143" s="15"/>
      <c r="H143" s="6"/>
    </row>
    <row r="144" spans="2:8" x14ac:dyDescent="0.2">
      <c r="B144" s="165" t="s">
        <v>1535</v>
      </c>
      <c r="C144" s="165" t="s">
        <v>1536</v>
      </c>
      <c r="D144" s="165" t="s">
        <v>1537</v>
      </c>
      <c r="E144" s="122"/>
      <c r="F144" s="15"/>
      <c r="H144" s="6"/>
    </row>
    <row r="145" spans="2:8" x14ac:dyDescent="0.2">
      <c r="B145" s="166"/>
      <c r="C145" s="166"/>
      <c r="D145" s="166"/>
      <c r="E145" s="122"/>
      <c r="F145" s="15"/>
      <c r="H145" s="6"/>
    </row>
    <row r="146" spans="2:8" x14ac:dyDescent="0.2">
      <c r="B146" s="169" t="s">
        <v>399</v>
      </c>
      <c r="C146" s="169"/>
      <c r="D146" s="169"/>
      <c r="E146" s="122"/>
      <c r="F146" s="15"/>
      <c r="H146" s="6"/>
    </row>
    <row r="147" spans="2:8" x14ac:dyDescent="0.2">
      <c r="B147" s="129"/>
      <c r="C147" s="129"/>
      <c r="D147" s="129"/>
      <c r="E147" s="122"/>
      <c r="F147" s="15"/>
      <c r="H147" s="6"/>
    </row>
    <row r="148" spans="2:8" ht="10.5" x14ac:dyDescent="0.2">
      <c r="B148" s="131" t="s">
        <v>1549</v>
      </c>
      <c r="C148" s="129"/>
      <c r="D148" s="129"/>
      <c r="E148" s="122"/>
      <c r="F148" s="15"/>
      <c r="H148" s="6"/>
    </row>
    <row r="149" spans="2:8" x14ac:dyDescent="0.2">
      <c r="B149" s="87"/>
      <c r="H149" s="6"/>
    </row>
    <row r="150" spans="2:8" x14ac:dyDescent="0.2">
      <c r="B150" s="81" t="s">
        <v>1545</v>
      </c>
      <c r="H150" s="6"/>
    </row>
    <row r="151" spans="2:8" x14ac:dyDescent="0.2">
      <c r="B151" s="6" t="s">
        <v>1585</v>
      </c>
    </row>
    <row r="152" spans="2:8" x14ac:dyDescent="0.2">
      <c r="B152" s="6" t="s">
        <v>1546</v>
      </c>
    </row>
    <row r="154" spans="2:8" ht="10.5" x14ac:dyDescent="0.25">
      <c r="B154" s="23" t="s">
        <v>187</v>
      </c>
      <c r="H154" s="6"/>
    </row>
    <row r="155" spans="2:8" x14ac:dyDescent="0.2">
      <c r="H155" s="6"/>
    </row>
    <row r="156" spans="2:8" x14ac:dyDescent="0.2">
      <c r="H156" s="6"/>
    </row>
    <row r="157" spans="2:8" x14ac:dyDescent="0.2">
      <c r="H157" s="6"/>
    </row>
    <row r="158" spans="2:8" x14ac:dyDescent="0.2">
      <c r="H158" s="6"/>
    </row>
    <row r="159" spans="2:8" x14ac:dyDescent="0.2">
      <c r="H159" s="6"/>
    </row>
    <row r="160" spans="2:8" x14ac:dyDescent="0.2">
      <c r="H160" s="6"/>
    </row>
    <row r="161" spans="2:8" x14ac:dyDescent="0.2">
      <c r="H161" s="6"/>
    </row>
    <row r="162" spans="2:8" x14ac:dyDescent="0.2">
      <c r="H162" s="6"/>
    </row>
    <row r="163" spans="2:8" x14ac:dyDescent="0.2">
      <c r="H163" s="6"/>
    </row>
    <row r="164" spans="2:8" x14ac:dyDescent="0.2">
      <c r="H164" s="6"/>
    </row>
    <row r="165" spans="2:8" x14ac:dyDescent="0.2">
      <c r="H165" s="6"/>
    </row>
    <row r="166" spans="2:8" x14ac:dyDescent="0.2">
      <c r="H166" s="6"/>
    </row>
    <row r="167" spans="2:8" x14ac:dyDescent="0.2">
      <c r="H167" s="6"/>
    </row>
    <row r="168" spans="2:8" x14ac:dyDescent="0.2">
      <c r="H168" s="6"/>
    </row>
    <row r="169" spans="2:8" x14ac:dyDescent="0.2">
      <c r="H169" s="6"/>
    </row>
    <row r="170" spans="2:8" x14ac:dyDescent="0.2">
      <c r="H170" s="6"/>
    </row>
    <row r="171" spans="2:8" x14ac:dyDescent="0.2">
      <c r="H171" s="6"/>
    </row>
    <row r="172" spans="2:8" x14ac:dyDescent="0.2">
      <c r="H172" s="6"/>
    </row>
    <row r="173" spans="2:8" x14ac:dyDescent="0.2">
      <c r="H173" s="6"/>
    </row>
    <row r="174" spans="2:8" x14ac:dyDescent="0.2">
      <c r="H174" s="6"/>
    </row>
    <row r="175" spans="2:8" x14ac:dyDescent="0.2">
      <c r="H175" s="6"/>
    </row>
    <row r="176" spans="2:8" ht="10.5" x14ac:dyDescent="0.2">
      <c r="B176" s="72" t="s">
        <v>1482</v>
      </c>
      <c r="H176" s="6"/>
    </row>
    <row r="177" spans="2:8" ht="10.5" x14ac:dyDescent="0.25">
      <c r="B177" s="73" t="s">
        <v>1548</v>
      </c>
      <c r="H177" s="6"/>
    </row>
    <row r="178" spans="2:8" x14ac:dyDescent="0.2">
      <c r="H178" s="6"/>
    </row>
    <row r="179" spans="2:8" x14ac:dyDescent="0.2">
      <c r="H179" s="6"/>
    </row>
    <row r="180" spans="2:8" x14ac:dyDescent="0.2">
      <c r="H180" s="6"/>
    </row>
    <row r="181" spans="2:8" x14ac:dyDescent="0.2">
      <c r="H181" s="6"/>
    </row>
    <row r="182" spans="2:8" x14ac:dyDescent="0.2">
      <c r="H182" s="6"/>
    </row>
    <row r="183" spans="2:8" x14ac:dyDescent="0.2">
      <c r="H183" s="6"/>
    </row>
    <row r="184" spans="2:8" x14ac:dyDescent="0.2">
      <c r="H184" s="6"/>
    </row>
    <row r="185" spans="2:8" x14ac:dyDescent="0.2">
      <c r="H185" s="6"/>
    </row>
    <row r="186" spans="2:8" x14ac:dyDescent="0.2">
      <c r="H186" s="6"/>
    </row>
    <row r="187" spans="2:8" x14ac:dyDescent="0.2">
      <c r="H187" s="6"/>
    </row>
    <row r="188" spans="2:8" x14ac:dyDescent="0.2">
      <c r="H188" s="6"/>
    </row>
    <row r="189" spans="2:8" x14ac:dyDescent="0.2">
      <c r="H189" s="6"/>
    </row>
    <row r="190" spans="2:8" x14ac:dyDescent="0.2">
      <c r="H190" s="6"/>
    </row>
    <row r="191" spans="2:8" x14ac:dyDescent="0.2">
      <c r="H191" s="6"/>
    </row>
    <row r="192" spans="2:8" x14ac:dyDescent="0.2">
      <c r="H192" s="6"/>
    </row>
    <row r="193" spans="8:8" x14ac:dyDescent="0.2">
      <c r="H193" s="6"/>
    </row>
    <row r="194" spans="8:8" x14ac:dyDescent="0.2">
      <c r="H194" s="6"/>
    </row>
    <row r="195" spans="8:8" x14ac:dyDescent="0.2">
      <c r="H195" s="6"/>
    </row>
    <row r="196" spans="8:8" x14ac:dyDescent="0.2">
      <c r="H196" s="6"/>
    </row>
    <row r="197" spans="8:8" x14ac:dyDescent="0.2">
      <c r="H197" s="6"/>
    </row>
    <row r="198" spans="8:8" x14ac:dyDescent="0.2">
      <c r="H198" s="6"/>
    </row>
  </sheetData>
  <mergeCells count="23">
    <mergeCell ref="B139:F139"/>
    <mergeCell ref="B144:B145"/>
    <mergeCell ref="C144:C145"/>
    <mergeCell ref="D144:D145"/>
    <mergeCell ref="B146:D146"/>
    <mergeCell ref="B127:E127"/>
    <mergeCell ref="B132:B133"/>
    <mergeCell ref="C132:C133"/>
    <mergeCell ref="D132:D133"/>
    <mergeCell ref="B134:D134"/>
    <mergeCell ref="B110:F110"/>
    <mergeCell ref="B120:B121"/>
    <mergeCell ref="C120:C121"/>
    <mergeCell ref="D120:D121"/>
    <mergeCell ref="E120:E121"/>
    <mergeCell ref="F120:F121"/>
    <mergeCell ref="B1:C1"/>
    <mergeCell ref="B104:F104"/>
    <mergeCell ref="B108:B109"/>
    <mergeCell ref="C108:C109"/>
    <mergeCell ref="D108:D109"/>
    <mergeCell ref="E108:E109"/>
    <mergeCell ref="F108:F109"/>
  </mergeCells>
  <conditionalFormatting sqref="G1:G3">
    <cfRule type="cellIs" dxfId="14" priority="3" stopIfTrue="1" operator="between">
      <formula>0.009</formula>
      <formula>-0.009</formula>
    </cfRule>
  </conditionalFormatting>
  <conditionalFormatting sqref="G5:G65537">
    <cfRule type="cellIs" dxfId="13" priority="1" stopIfTrue="1" operator="between">
      <formula>0.009</formula>
      <formula>-0.009</formula>
    </cfRule>
  </conditionalFormatting>
  <hyperlinks>
    <hyperlink ref="A2" location="Index!A1" display="-" xr:uid="{DAD9BEC2-A256-4F74-85D0-1FA991FDE711}"/>
  </hyperlinks>
  <pageMargins left="0.7" right="0.7" top="0.75" bottom="0.75" header="0.3" footer="0.3"/>
  <pageSetup paperSize="9" scale="46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35" min="1" max="7" man="1"/>
  </rowBreaks>
  <colBreaks count="1" manualBreakCount="1">
    <brk id="8" max="9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F16-BF5D-41D1-A0D8-0A50842A75D5}">
  <dimension ref="A1:J642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26953125" style="6" customWidth="1"/>
    <col min="4" max="4" width="15.7265625" style="6" customWidth="1"/>
    <col min="5" max="5" width="13.54296875" style="6" bestFit="1" customWidth="1"/>
    <col min="6" max="6" width="12.7265625" style="8" bestFit="1" customWidth="1"/>
    <col min="7" max="7" width="8.453125" style="15" customWidth="1"/>
    <col min="8" max="8" width="11.81640625" style="11" bestFit="1" customWidth="1"/>
    <col min="9" max="9" width="10.1796875" style="6" bestFit="1" customWidth="1"/>
    <col min="10" max="16384" width="9.1796875" style="6"/>
  </cols>
  <sheetData>
    <row r="1" spans="1:10" s="1" customFormat="1" ht="16.75" customHeight="1" x14ac:dyDescent="0.35">
      <c r="B1" s="160" t="s">
        <v>11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34" customHeight="1" x14ac:dyDescent="0.25">
      <c r="B4" s="74" t="s">
        <v>7</v>
      </c>
      <c r="C4" s="74" t="s">
        <v>8</v>
      </c>
      <c r="D4" s="75" t="s">
        <v>255</v>
      </c>
      <c r="E4" s="75" t="s">
        <v>0</v>
      </c>
      <c r="F4" s="76" t="s">
        <v>4</v>
      </c>
      <c r="G4" s="77" t="s">
        <v>5</v>
      </c>
      <c r="H4" s="78" t="s">
        <v>6</v>
      </c>
      <c r="I4" s="76" t="s">
        <v>188</v>
      </c>
      <c r="J4" s="9"/>
    </row>
    <row r="5" spans="1:10" ht="10.5" x14ac:dyDescent="0.25">
      <c r="B5" s="30" t="s">
        <v>189</v>
      </c>
      <c r="C5" s="31"/>
      <c r="D5" s="31"/>
      <c r="E5" s="31"/>
      <c r="F5" s="32"/>
      <c r="G5" s="33"/>
      <c r="H5" s="34"/>
      <c r="I5" s="31"/>
    </row>
    <row r="6" spans="1:10" ht="10.5" x14ac:dyDescent="0.25">
      <c r="B6" s="30" t="s">
        <v>190</v>
      </c>
      <c r="C6" s="31"/>
      <c r="D6" s="31"/>
      <c r="E6" s="31"/>
      <c r="F6" s="32"/>
      <c r="G6" s="33"/>
      <c r="H6" s="34"/>
      <c r="I6" s="31"/>
    </row>
    <row r="7" spans="1:10" x14ac:dyDescent="0.2">
      <c r="B7" s="31" t="s">
        <v>191</v>
      </c>
      <c r="C7" s="31" t="s">
        <v>192</v>
      </c>
      <c r="D7" s="31" t="s">
        <v>193</v>
      </c>
      <c r="E7" s="35">
        <v>5300</v>
      </c>
      <c r="F7" s="32">
        <v>24941.429</v>
      </c>
      <c r="G7" s="33">
        <v>8.5321973229832793</v>
      </c>
      <c r="H7" s="36">
        <v>7.1499999999999994E-2</v>
      </c>
      <c r="I7" s="62"/>
    </row>
    <row r="8" spans="1:10" x14ac:dyDescent="0.2">
      <c r="B8" s="31" t="s">
        <v>194</v>
      </c>
      <c r="C8" s="31" t="s">
        <v>195</v>
      </c>
      <c r="D8" s="31" t="s">
        <v>196</v>
      </c>
      <c r="E8" s="35">
        <v>4000</v>
      </c>
      <c r="F8" s="32">
        <v>18857.48</v>
      </c>
      <c r="G8" s="33">
        <v>6.4509431426006403</v>
      </c>
      <c r="H8" s="36">
        <v>7.1800000000000003E-2</v>
      </c>
      <c r="I8" s="62"/>
    </row>
    <row r="9" spans="1:10" x14ac:dyDescent="0.2">
      <c r="B9" s="31" t="s">
        <v>197</v>
      </c>
      <c r="C9" s="31" t="s">
        <v>198</v>
      </c>
      <c r="D9" s="31" t="s">
        <v>193</v>
      </c>
      <c r="E9" s="35">
        <v>4000</v>
      </c>
      <c r="F9" s="32">
        <v>18803.2</v>
      </c>
      <c r="G9" s="33">
        <v>6.4323745324904698</v>
      </c>
      <c r="H9" s="36">
        <v>7.2598999999999997E-2</v>
      </c>
      <c r="I9" s="62"/>
    </row>
    <row r="10" spans="1:10" x14ac:dyDescent="0.2">
      <c r="B10" s="31" t="s">
        <v>199</v>
      </c>
      <c r="C10" s="31" t="s">
        <v>200</v>
      </c>
      <c r="D10" s="31" t="s">
        <v>201</v>
      </c>
      <c r="E10" s="35">
        <v>3500</v>
      </c>
      <c r="F10" s="32">
        <v>16506.314999999999</v>
      </c>
      <c r="G10" s="33">
        <v>5.6466346276838797</v>
      </c>
      <c r="H10" s="36">
        <v>7.2999999999999995E-2</v>
      </c>
      <c r="I10" s="62"/>
    </row>
    <row r="11" spans="1:10" x14ac:dyDescent="0.2">
      <c r="B11" s="31" t="s">
        <v>202</v>
      </c>
      <c r="C11" s="31" t="s">
        <v>203</v>
      </c>
      <c r="D11" s="31" t="s">
        <v>201</v>
      </c>
      <c r="E11" s="35">
        <v>3000</v>
      </c>
      <c r="F11" s="32">
        <v>14132.97</v>
      </c>
      <c r="G11" s="33">
        <v>4.8347385709055803</v>
      </c>
      <c r="H11" s="36">
        <v>7.1999999999999995E-2</v>
      </c>
      <c r="I11" s="62"/>
    </row>
    <row r="12" spans="1:10" x14ac:dyDescent="0.2">
      <c r="B12" s="31" t="s">
        <v>204</v>
      </c>
      <c r="C12" s="31" t="s">
        <v>205</v>
      </c>
      <c r="D12" s="31" t="s">
        <v>193</v>
      </c>
      <c r="E12" s="35">
        <v>2700</v>
      </c>
      <c r="F12" s="32">
        <v>12680.468999999999</v>
      </c>
      <c r="G12" s="33">
        <v>4.3378534427988296</v>
      </c>
      <c r="H12" s="36">
        <v>7.1919999999999998E-2</v>
      </c>
      <c r="I12" s="62"/>
    </row>
    <row r="13" spans="1:10" x14ac:dyDescent="0.2">
      <c r="B13" s="31" t="s">
        <v>206</v>
      </c>
      <c r="C13" s="31" t="s">
        <v>207</v>
      </c>
      <c r="D13" s="31" t="s">
        <v>196</v>
      </c>
      <c r="E13" s="35">
        <v>2500</v>
      </c>
      <c r="F13" s="32">
        <v>11966.15</v>
      </c>
      <c r="G13" s="33">
        <v>4.0934925178672197</v>
      </c>
      <c r="H13" s="36">
        <v>7.0799000000000001E-2</v>
      </c>
      <c r="I13" s="62"/>
    </row>
    <row r="14" spans="1:10" x14ac:dyDescent="0.2">
      <c r="B14" s="31" t="s">
        <v>208</v>
      </c>
      <c r="C14" s="31" t="s">
        <v>209</v>
      </c>
      <c r="D14" s="31" t="s">
        <v>196</v>
      </c>
      <c r="E14" s="35">
        <v>2000</v>
      </c>
      <c r="F14" s="32">
        <v>9513.16</v>
      </c>
      <c r="G14" s="33">
        <v>3.2543507545261998</v>
      </c>
      <c r="H14" s="36">
        <v>7.2399000000000005E-2</v>
      </c>
      <c r="I14" s="62"/>
    </row>
    <row r="15" spans="1:10" x14ac:dyDescent="0.2">
      <c r="B15" s="31" t="s">
        <v>210</v>
      </c>
      <c r="C15" s="31" t="s">
        <v>211</v>
      </c>
      <c r="D15" s="31" t="s">
        <v>196</v>
      </c>
      <c r="E15" s="35">
        <v>2000</v>
      </c>
      <c r="F15" s="32">
        <v>9456.42</v>
      </c>
      <c r="G15" s="33">
        <v>3.23494060460632</v>
      </c>
      <c r="H15" s="36">
        <v>7.2348999999999997E-2</v>
      </c>
      <c r="I15" s="62"/>
    </row>
    <row r="16" spans="1:10" x14ac:dyDescent="0.2">
      <c r="B16" s="31" t="s">
        <v>212</v>
      </c>
      <c r="C16" s="31" t="s">
        <v>213</v>
      </c>
      <c r="D16" s="31" t="s">
        <v>196</v>
      </c>
      <c r="E16" s="35">
        <v>2000</v>
      </c>
      <c r="F16" s="32">
        <v>9424.2099999999991</v>
      </c>
      <c r="G16" s="33">
        <v>3.2239219065287799</v>
      </c>
      <c r="H16" s="36">
        <v>7.2403999999999996E-2</v>
      </c>
      <c r="I16" s="62"/>
    </row>
    <row r="17" spans="2:9" x14ac:dyDescent="0.2">
      <c r="B17" s="31" t="s">
        <v>214</v>
      </c>
      <c r="C17" s="31" t="s">
        <v>215</v>
      </c>
      <c r="D17" s="31" t="s">
        <v>196</v>
      </c>
      <c r="E17" s="35">
        <v>2000</v>
      </c>
      <c r="F17" s="32">
        <v>9422.51</v>
      </c>
      <c r="G17" s="33">
        <v>3.2233403546277599</v>
      </c>
      <c r="H17" s="36">
        <v>7.17E-2</v>
      </c>
      <c r="I17" s="62"/>
    </row>
    <row r="18" spans="2:9" x14ac:dyDescent="0.2">
      <c r="B18" s="31" t="s">
        <v>216</v>
      </c>
      <c r="C18" s="31" t="s">
        <v>217</v>
      </c>
      <c r="D18" s="31" t="s">
        <v>193</v>
      </c>
      <c r="E18" s="35">
        <v>2000</v>
      </c>
      <c r="F18" s="32">
        <v>9420.5400000000009</v>
      </c>
      <c r="G18" s="33">
        <v>3.2226664386012902</v>
      </c>
      <c r="H18" s="36">
        <v>7.1500999999999995E-2</v>
      </c>
      <c r="I18" s="62"/>
    </row>
    <row r="19" spans="2:9" x14ac:dyDescent="0.2">
      <c r="B19" s="31" t="s">
        <v>218</v>
      </c>
      <c r="C19" s="31" t="s">
        <v>219</v>
      </c>
      <c r="D19" s="31" t="s">
        <v>196</v>
      </c>
      <c r="E19" s="35">
        <v>2000</v>
      </c>
      <c r="F19" s="32">
        <v>9412.25</v>
      </c>
      <c r="G19" s="33">
        <v>3.2198305178604398</v>
      </c>
      <c r="H19" s="36">
        <v>7.1675000000000003E-2</v>
      </c>
      <c r="I19" s="62"/>
    </row>
    <row r="20" spans="2:9" x14ac:dyDescent="0.2">
      <c r="B20" s="31" t="s">
        <v>220</v>
      </c>
      <c r="C20" s="31" t="s">
        <v>221</v>
      </c>
      <c r="D20" s="31" t="s">
        <v>196</v>
      </c>
      <c r="E20" s="35">
        <v>2000</v>
      </c>
      <c r="F20" s="32">
        <v>9406.24</v>
      </c>
      <c r="G20" s="33">
        <v>3.21777456084566</v>
      </c>
      <c r="H20" s="36">
        <v>7.3144000000000001E-2</v>
      </c>
      <c r="I20" s="62"/>
    </row>
    <row r="21" spans="2:9" x14ac:dyDescent="0.2">
      <c r="B21" s="31" t="s">
        <v>222</v>
      </c>
      <c r="C21" s="31" t="s">
        <v>223</v>
      </c>
      <c r="D21" s="31" t="s">
        <v>196</v>
      </c>
      <c r="E21" s="35">
        <v>1800</v>
      </c>
      <c r="F21" s="32">
        <v>8485.2450000000008</v>
      </c>
      <c r="G21" s="33">
        <v>2.90271197668174</v>
      </c>
      <c r="H21" s="36">
        <v>7.2598999999999997E-2</v>
      </c>
      <c r="I21" s="62"/>
    </row>
    <row r="22" spans="2:9" x14ac:dyDescent="0.2">
      <c r="B22" s="31" t="s">
        <v>224</v>
      </c>
      <c r="C22" s="31" t="s">
        <v>225</v>
      </c>
      <c r="D22" s="31" t="s">
        <v>193</v>
      </c>
      <c r="E22" s="35">
        <v>1300</v>
      </c>
      <c r="F22" s="32">
        <v>6120.9004999999997</v>
      </c>
      <c r="G22" s="33">
        <v>2.0938948951299898</v>
      </c>
      <c r="H22" s="36">
        <v>7.1766999999999997E-2</v>
      </c>
      <c r="I22" s="62"/>
    </row>
    <row r="23" spans="2:9" x14ac:dyDescent="0.2">
      <c r="B23" s="31" t="s">
        <v>226</v>
      </c>
      <c r="C23" s="31" t="s">
        <v>227</v>
      </c>
      <c r="D23" s="31" t="s">
        <v>196</v>
      </c>
      <c r="E23" s="35">
        <v>1000</v>
      </c>
      <c r="F23" s="32">
        <v>4738.1499999999996</v>
      </c>
      <c r="G23" s="33">
        <v>1.6208706704773499</v>
      </c>
      <c r="H23" s="36">
        <v>7.2300000000000003E-2</v>
      </c>
      <c r="I23" s="62"/>
    </row>
    <row r="24" spans="2:9" x14ac:dyDescent="0.2">
      <c r="B24" s="31" t="s">
        <v>228</v>
      </c>
      <c r="C24" s="31" t="s">
        <v>229</v>
      </c>
      <c r="D24" s="31" t="s">
        <v>201</v>
      </c>
      <c r="E24" s="35">
        <v>1000</v>
      </c>
      <c r="F24" s="32">
        <v>4719.33</v>
      </c>
      <c r="G24" s="33">
        <v>1.6144325488437199</v>
      </c>
      <c r="H24" s="36">
        <v>7.2599999999999998E-2</v>
      </c>
      <c r="I24" s="62"/>
    </row>
    <row r="25" spans="2:9" x14ac:dyDescent="0.2">
      <c r="B25" s="31" t="s">
        <v>230</v>
      </c>
      <c r="C25" s="31" t="s">
        <v>231</v>
      </c>
      <c r="D25" s="31" t="s">
        <v>196</v>
      </c>
      <c r="E25" s="35">
        <v>1000</v>
      </c>
      <c r="F25" s="32">
        <v>4711.6350000000002</v>
      </c>
      <c r="G25" s="33">
        <v>1.6118001712682299</v>
      </c>
      <c r="H25" s="36">
        <v>7.1599999999999997E-2</v>
      </c>
      <c r="I25" s="62"/>
    </row>
    <row r="26" spans="2:9" x14ac:dyDescent="0.2">
      <c r="B26" s="31" t="s">
        <v>232</v>
      </c>
      <c r="C26" s="31" t="s">
        <v>233</v>
      </c>
      <c r="D26" s="31" t="s">
        <v>196</v>
      </c>
      <c r="E26" s="35">
        <v>1000</v>
      </c>
      <c r="F26" s="32">
        <v>4705.9449999999997</v>
      </c>
      <c r="G26" s="33">
        <v>1.6098536828465799</v>
      </c>
      <c r="H26" s="36">
        <v>7.2404999999999997E-2</v>
      </c>
      <c r="I26" s="62"/>
    </row>
    <row r="27" spans="2:9" x14ac:dyDescent="0.2">
      <c r="B27" s="31" t="s">
        <v>234</v>
      </c>
      <c r="C27" s="31" t="s">
        <v>235</v>
      </c>
      <c r="D27" s="31" t="s">
        <v>196</v>
      </c>
      <c r="E27" s="35">
        <v>1000</v>
      </c>
      <c r="F27" s="32">
        <v>4692.1899999999996</v>
      </c>
      <c r="G27" s="33">
        <v>1.60514824378864</v>
      </c>
      <c r="H27" s="36">
        <v>7.3000999999999996E-2</v>
      </c>
      <c r="I27" s="62"/>
    </row>
    <row r="28" spans="2:9" ht="10.5" x14ac:dyDescent="0.25">
      <c r="B28" s="30" t="s">
        <v>170</v>
      </c>
      <c r="C28" s="30"/>
      <c r="D28" s="30"/>
      <c r="E28" s="30"/>
      <c r="F28" s="48">
        <f>SUM(F6:F27)</f>
        <v>222116.73849999998</v>
      </c>
      <c r="G28" s="49">
        <f>SUM(G6:G27)</f>
        <v>75.983771483962585</v>
      </c>
      <c r="H28" s="39"/>
      <c r="I28" s="30"/>
    </row>
    <row r="29" spans="2:9" ht="10.5" x14ac:dyDescent="0.25">
      <c r="B29" s="30" t="s">
        <v>236</v>
      </c>
      <c r="C29" s="31"/>
      <c r="D29" s="31"/>
      <c r="E29" s="31"/>
      <c r="F29" s="32"/>
      <c r="G29" s="33"/>
      <c r="H29" s="34"/>
      <c r="I29" s="31"/>
    </row>
    <row r="30" spans="2:9" x14ac:dyDescent="0.2">
      <c r="B30" s="31" t="s">
        <v>237</v>
      </c>
      <c r="C30" s="31" t="s">
        <v>238</v>
      </c>
      <c r="D30" s="31" t="s">
        <v>193</v>
      </c>
      <c r="E30" s="35">
        <v>3000</v>
      </c>
      <c r="F30" s="32">
        <v>14056.754999999999</v>
      </c>
      <c r="G30" s="33">
        <v>4.8086662308254997</v>
      </c>
      <c r="H30" s="36">
        <v>7.8251000000000001E-2</v>
      </c>
      <c r="I30" s="62"/>
    </row>
    <row r="31" spans="2:9" x14ac:dyDescent="0.2">
      <c r="B31" s="31" t="s">
        <v>239</v>
      </c>
      <c r="C31" s="31" t="s">
        <v>240</v>
      </c>
      <c r="D31" s="31" t="s">
        <v>196</v>
      </c>
      <c r="E31" s="35">
        <v>1000</v>
      </c>
      <c r="F31" s="32">
        <v>4702.7299999999996</v>
      </c>
      <c r="G31" s="33">
        <v>1.60875386557495</v>
      </c>
      <c r="H31" s="36">
        <v>7.3950000000000002E-2</v>
      </c>
      <c r="I31" s="62"/>
    </row>
    <row r="32" spans="2:9" x14ac:dyDescent="0.2">
      <c r="B32" s="31" t="s">
        <v>241</v>
      </c>
      <c r="C32" s="31" t="s">
        <v>242</v>
      </c>
      <c r="D32" s="31" t="s">
        <v>196</v>
      </c>
      <c r="E32" s="35">
        <v>500</v>
      </c>
      <c r="F32" s="32">
        <v>2365.5349999999999</v>
      </c>
      <c r="G32" s="33">
        <v>0.80922433892714296</v>
      </c>
      <c r="H32" s="36">
        <v>7.7998999999999999E-2</v>
      </c>
      <c r="I32" s="62"/>
    </row>
    <row r="33" spans="2:9" ht="10.5" x14ac:dyDescent="0.25">
      <c r="B33" s="30" t="s">
        <v>170</v>
      </c>
      <c r="C33" s="30"/>
      <c r="D33" s="30"/>
      <c r="E33" s="30"/>
      <c r="F33" s="48">
        <f>SUM(F29:F32)</f>
        <v>21125.02</v>
      </c>
      <c r="G33" s="49">
        <f>SUM(G29:G32)</f>
        <v>7.2266444353275929</v>
      </c>
      <c r="H33" s="39"/>
      <c r="I33" s="30"/>
    </row>
    <row r="34" spans="2:9" ht="10.5" x14ac:dyDescent="0.25">
      <c r="B34" s="30" t="s">
        <v>243</v>
      </c>
      <c r="C34" s="31"/>
      <c r="D34" s="31"/>
      <c r="E34" s="31"/>
      <c r="F34" s="32"/>
      <c r="G34" s="33"/>
      <c r="H34" s="34"/>
      <c r="I34" s="31"/>
    </row>
    <row r="35" spans="2:9" x14ac:dyDescent="0.2">
      <c r="B35" s="31" t="s">
        <v>244</v>
      </c>
      <c r="C35" s="31" t="s">
        <v>245</v>
      </c>
      <c r="D35" s="31" t="s">
        <v>251</v>
      </c>
      <c r="E35" s="35">
        <v>5000000</v>
      </c>
      <c r="F35" s="32">
        <v>4842.0349999999999</v>
      </c>
      <c r="G35" s="33">
        <v>1.65640862296989</v>
      </c>
      <c r="H35" s="36">
        <v>5.5128000000000003E-2</v>
      </c>
      <c r="I35" s="62"/>
    </row>
    <row r="36" spans="2:9" x14ac:dyDescent="0.2">
      <c r="B36" s="31" t="s">
        <v>246</v>
      </c>
      <c r="C36" s="31" t="s">
        <v>247</v>
      </c>
      <c r="D36" s="31" t="s">
        <v>251</v>
      </c>
      <c r="E36" s="35">
        <v>2500000</v>
      </c>
      <c r="F36" s="32">
        <v>2418.5425</v>
      </c>
      <c r="G36" s="33">
        <v>0.82735764033493397</v>
      </c>
      <c r="H36" s="36">
        <v>5.5128000000000003E-2</v>
      </c>
      <c r="I36" s="62"/>
    </row>
    <row r="37" spans="2:9" ht="10.5" x14ac:dyDescent="0.25">
      <c r="B37" s="30" t="s">
        <v>170</v>
      </c>
      <c r="C37" s="30"/>
      <c r="D37" s="30"/>
      <c r="E37" s="30"/>
      <c r="F37" s="63">
        <f>SUM(F34:F36)</f>
        <v>7260.5774999999994</v>
      </c>
      <c r="G37" s="64">
        <f>SUM(G34:G36)</f>
        <v>2.4837662633048239</v>
      </c>
      <c r="H37" s="39"/>
      <c r="I37" s="30"/>
    </row>
    <row r="38" spans="2:9" ht="10.5" x14ac:dyDescent="0.25">
      <c r="B38" s="47" t="s">
        <v>173</v>
      </c>
      <c r="C38" s="47"/>
      <c r="D38" s="47"/>
      <c r="E38" s="47"/>
      <c r="F38" s="48">
        <f>+F28+F33+F37</f>
        <v>250502.33599999995</v>
      </c>
      <c r="G38" s="49">
        <f>+G28+G33+G37</f>
        <v>85.694182182595</v>
      </c>
      <c r="H38" s="39"/>
      <c r="I38" s="30"/>
    </row>
    <row r="39" spans="2:9" ht="10.5" x14ac:dyDescent="0.25">
      <c r="B39" s="30" t="s">
        <v>248</v>
      </c>
      <c r="C39" s="31"/>
      <c r="D39" s="31"/>
      <c r="E39" s="31"/>
      <c r="F39" s="32"/>
      <c r="G39" s="33"/>
      <c r="H39" s="34"/>
      <c r="I39" s="31"/>
    </row>
    <row r="40" spans="2:9" x14ac:dyDescent="0.2">
      <c r="B40" s="31" t="s">
        <v>249</v>
      </c>
      <c r="C40" s="31" t="s">
        <v>250</v>
      </c>
      <c r="D40" s="31" t="s">
        <v>251</v>
      </c>
      <c r="E40" s="35">
        <v>39000000</v>
      </c>
      <c r="F40" s="32">
        <v>39023.555999999997</v>
      </c>
      <c r="G40" s="33">
        <v>13.349543044886801</v>
      </c>
      <c r="H40" s="36">
        <v>5.69811926079999E-2</v>
      </c>
      <c r="I40" s="62"/>
    </row>
    <row r="41" spans="2:9" ht="10.5" x14ac:dyDescent="0.25">
      <c r="B41" s="30" t="s">
        <v>173</v>
      </c>
      <c r="C41" s="30"/>
      <c r="D41" s="30"/>
      <c r="E41" s="30"/>
      <c r="F41" s="48">
        <f>SUM(F40:F40)</f>
        <v>39023.555999999997</v>
      </c>
      <c r="G41" s="49">
        <f>SUM(G40:G40)</f>
        <v>13.349543044886801</v>
      </c>
      <c r="H41" s="39"/>
      <c r="I41" s="30"/>
    </row>
    <row r="42" spans="2:9" ht="10.5" x14ac:dyDescent="0.25">
      <c r="B42" s="30" t="s">
        <v>252</v>
      </c>
      <c r="C42" s="31"/>
      <c r="D42" s="31"/>
      <c r="E42" s="31"/>
      <c r="F42" s="32"/>
      <c r="G42" s="33"/>
      <c r="H42" s="34"/>
      <c r="I42" s="31"/>
    </row>
    <row r="43" spans="2:9" x14ac:dyDescent="0.2">
      <c r="B43" s="31" t="s">
        <v>253</v>
      </c>
      <c r="C43" s="31" t="s">
        <v>254</v>
      </c>
      <c r="D43" s="31"/>
      <c r="E43" s="35">
        <v>6542.44</v>
      </c>
      <c r="F43" s="32">
        <v>768.82433600000002</v>
      </c>
      <c r="G43" s="33">
        <v>0.26300662008835202</v>
      </c>
      <c r="H43" s="34"/>
      <c r="I43" s="31"/>
    </row>
    <row r="44" spans="2:9" ht="10.5" x14ac:dyDescent="0.25">
      <c r="B44" s="30" t="s">
        <v>170</v>
      </c>
      <c r="C44" s="30"/>
      <c r="D44" s="30"/>
      <c r="E44" s="30"/>
      <c r="F44" s="48">
        <f>SUM(F43:F43)</f>
        <v>768.82433600000002</v>
      </c>
      <c r="G44" s="49">
        <f>SUM(G43:G43)</f>
        <v>0.26300662008835202</v>
      </c>
      <c r="H44" s="39"/>
      <c r="I44" s="30"/>
    </row>
    <row r="45" spans="2:9" ht="10.5" x14ac:dyDescent="0.25">
      <c r="B45" s="30"/>
      <c r="C45" s="31"/>
      <c r="D45" s="31"/>
      <c r="E45" s="31"/>
      <c r="F45" s="32"/>
      <c r="G45" s="33"/>
      <c r="H45" s="34"/>
      <c r="I45" s="31"/>
    </row>
    <row r="46" spans="2:9" ht="10.5" x14ac:dyDescent="0.25">
      <c r="B46" s="30" t="s">
        <v>174</v>
      </c>
      <c r="C46" s="30"/>
      <c r="D46" s="30"/>
      <c r="E46" s="30"/>
      <c r="F46" s="48">
        <v>3892.7346449000001</v>
      </c>
      <c r="G46" s="49">
        <v>1.3316630781780801</v>
      </c>
      <c r="H46" s="36">
        <v>5.2499999999999998E-2</v>
      </c>
      <c r="I46" s="36"/>
    </row>
    <row r="47" spans="2:9" x14ac:dyDescent="0.2">
      <c r="B47" s="31"/>
      <c r="C47" s="31"/>
      <c r="D47" s="31"/>
      <c r="E47" s="31"/>
      <c r="F47" s="32"/>
      <c r="G47" s="33"/>
      <c r="H47" s="34"/>
      <c r="I47" s="31"/>
    </row>
    <row r="48" spans="2:9" ht="10.5" x14ac:dyDescent="0.25">
      <c r="B48" s="47" t="s">
        <v>177</v>
      </c>
      <c r="C48" s="47"/>
      <c r="D48" s="47"/>
      <c r="E48" s="47"/>
      <c r="F48" s="48">
        <f>F49-(F28+F33+F37+F41+F44+F46)</f>
        <v>-1866.1642613000004</v>
      </c>
      <c r="G48" s="49">
        <f>G49-(G28+G33+G37+G41+G44+G46)</f>
        <v>-0.63839492574822998</v>
      </c>
      <c r="H48" s="39"/>
      <c r="I48" s="30"/>
    </row>
    <row r="49" spans="2:9" ht="10.5" x14ac:dyDescent="0.25">
      <c r="B49" s="47" t="s">
        <v>175</v>
      </c>
      <c r="C49" s="47"/>
      <c r="D49" s="47"/>
      <c r="E49" s="47"/>
      <c r="F49" s="48">
        <v>292321.28671959997</v>
      </c>
      <c r="G49" s="49">
        <v>100</v>
      </c>
      <c r="H49" s="50"/>
      <c r="I49" s="51"/>
    </row>
    <row r="51" spans="2:9" ht="10.5" x14ac:dyDescent="0.25">
      <c r="B51" s="23" t="s">
        <v>256</v>
      </c>
    </row>
    <row r="52" spans="2:9" ht="40" customHeight="1" x14ac:dyDescent="0.2">
      <c r="B52" s="171" t="s">
        <v>257</v>
      </c>
      <c r="C52" s="171"/>
      <c r="D52" s="171"/>
      <c r="E52" s="171"/>
      <c r="F52" s="171"/>
      <c r="G52" s="171"/>
      <c r="H52" s="171"/>
      <c r="I52" s="171"/>
    </row>
    <row r="53" spans="2:9" ht="10.5" x14ac:dyDescent="0.25">
      <c r="B53" s="79"/>
    </row>
    <row r="54" spans="2:9" ht="10.5" x14ac:dyDescent="0.25">
      <c r="B54" s="80" t="s">
        <v>1496</v>
      </c>
    </row>
    <row r="55" spans="2:9" ht="10.5" x14ac:dyDescent="0.25">
      <c r="B55" s="79"/>
    </row>
    <row r="56" spans="2:9" ht="10.5" x14ac:dyDescent="0.25">
      <c r="B56" s="23"/>
    </row>
    <row r="57" spans="2:9" ht="10.5" x14ac:dyDescent="0.2">
      <c r="B57" s="70" t="s">
        <v>186</v>
      </c>
      <c r="C57" s="69"/>
      <c r="D57" s="70"/>
    </row>
    <row r="58" spans="2:9" ht="10.5" x14ac:dyDescent="0.2">
      <c r="B58" s="70"/>
      <c r="C58" s="70"/>
      <c r="D58" s="70"/>
    </row>
    <row r="59" spans="2:9" ht="10.5" x14ac:dyDescent="0.2">
      <c r="B59" s="81" t="s">
        <v>1497</v>
      </c>
      <c r="C59" s="70"/>
      <c r="D59" s="70"/>
    </row>
    <row r="60" spans="2:9" ht="10.5" x14ac:dyDescent="0.2">
      <c r="B60" s="81" t="s">
        <v>1498</v>
      </c>
      <c r="C60" s="70"/>
      <c r="D60" s="70"/>
    </row>
    <row r="61" spans="2:9" ht="10.5" x14ac:dyDescent="0.2">
      <c r="B61" s="70"/>
      <c r="C61" s="70"/>
      <c r="D61" s="70"/>
    </row>
    <row r="62" spans="2:9" ht="10.5" x14ac:dyDescent="0.2">
      <c r="B62" s="82" t="s">
        <v>1499</v>
      </c>
      <c r="C62" s="83" t="s">
        <v>1517</v>
      </c>
      <c r="D62" s="83" t="s">
        <v>1500</v>
      </c>
      <c r="E62" s="84"/>
    </row>
    <row r="63" spans="2:9" x14ac:dyDescent="0.2">
      <c r="B63" s="85" t="s">
        <v>1501</v>
      </c>
      <c r="C63" s="86">
        <v>1043.0101</v>
      </c>
      <c r="D63" s="86">
        <v>1048.867</v>
      </c>
    </row>
    <row r="64" spans="2:9" ht="10.5" x14ac:dyDescent="0.2">
      <c r="B64" s="70"/>
      <c r="C64" s="70"/>
      <c r="D64" s="70"/>
    </row>
    <row r="65" spans="2:9" ht="10.5" x14ac:dyDescent="0.2">
      <c r="B65" s="81" t="s">
        <v>1597</v>
      </c>
      <c r="C65" s="70"/>
      <c r="D65" s="70"/>
    </row>
    <row r="66" spans="2:9" ht="10.5" x14ac:dyDescent="0.2">
      <c r="B66" s="81" t="s">
        <v>1502</v>
      </c>
      <c r="C66" s="70"/>
      <c r="D66" s="70"/>
    </row>
    <row r="67" spans="2:9" ht="10.5" x14ac:dyDescent="0.2">
      <c r="B67" s="81" t="s">
        <v>1503</v>
      </c>
      <c r="C67" s="70"/>
      <c r="D67" s="70"/>
    </row>
    <row r="68" spans="2:9" ht="10.5" x14ac:dyDescent="0.2">
      <c r="B68" s="87" t="s">
        <v>1504</v>
      </c>
      <c r="C68" s="70"/>
      <c r="D68" s="70"/>
    </row>
    <row r="69" spans="2:9" ht="10.5" x14ac:dyDescent="0.2">
      <c r="B69" s="81" t="s">
        <v>1505</v>
      </c>
      <c r="C69" s="70"/>
      <c r="D69" s="70"/>
    </row>
    <row r="70" spans="2:9" ht="10.5" x14ac:dyDescent="0.25">
      <c r="B70" s="23"/>
    </row>
    <row r="72" spans="2:9" ht="10.5" x14ac:dyDescent="0.25">
      <c r="B72" s="23" t="s">
        <v>1481</v>
      </c>
      <c r="C72" s="23"/>
      <c r="D72" s="60"/>
      <c r="E72" s="23"/>
      <c r="I72" s="11"/>
    </row>
    <row r="73" spans="2:9" x14ac:dyDescent="0.2">
      <c r="D73" s="61"/>
      <c r="E73" s="61"/>
      <c r="I73" s="11"/>
    </row>
    <row r="74" spans="2:9" x14ac:dyDescent="0.2">
      <c r="I74" s="11"/>
    </row>
    <row r="75" spans="2:9" x14ac:dyDescent="0.2">
      <c r="I75" s="11"/>
    </row>
    <row r="76" spans="2:9" x14ac:dyDescent="0.2">
      <c r="I76" s="11"/>
    </row>
    <row r="77" spans="2:9" ht="10.5" x14ac:dyDescent="0.25">
      <c r="B77" s="23"/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2:9" x14ac:dyDescent="0.2">
      <c r="I81" s="11"/>
    </row>
    <row r="82" spans="2:9" x14ac:dyDescent="0.2">
      <c r="I82" s="11"/>
    </row>
    <row r="83" spans="2:9" x14ac:dyDescent="0.2">
      <c r="I83" s="11"/>
    </row>
    <row r="84" spans="2:9" x14ac:dyDescent="0.2">
      <c r="I84" s="11"/>
    </row>
    <row r="85" spans="2:9" x14ac:dyDescent="0.2">
      <c r="I85" s="11"/>
    </row>
    <row r="86" spans="2:9" x14ac:dyDescent="0.2">
      <c r="I86" s="11"/>
    </row>
    <row r="87" spans="2:9" x14ac:dyDescent="0.2">
      <c r="I87" s="11"/>
    </row>
    <row r="88" spans="2:9" x14ac:dyDescent="0.2">
      <c r="I88" s="11"/>
    </row>
    <row r="89" spans="2:9" x14ac:dyDescent="0.2">
      <c r="I89" s="11"/>
    </row>
    <row r="90" spans="2:9" x14ac:dyDescent="0.2">
      <c r="I90" s="11"/>
    </row>
    <row r="91" spans="2:9" x14ac:dyDescent="0.2">
      <c r="I91" s="11"/>
    </row>
    <row r="92" spans="2:9" x14ac:dyDescent="0.2">
      <c r="I92" s="11"/>
    </row>
    <row r="93" spans="2:9" ht="10.5" x14ac:dyDescent="0.25">
      <c r="B93" s="23" t="s">
        <v>1482</v>
      </c>
      <c r="I93" s="11"/>
    </row>
    <row r="94" spans="2:9" ht="10.5" x14ac:dyDescent="0.2">
      <c r="B94" s="70" t="s">
        <v>1483</v>
      </c>
      <c r="I94" s="11"/>
    </row>
    <row r="95" spans="2:9" x14ac:dyDescent="0.2">
      <c r="I95" s="11"/>
    </row>
    <row r="96" spans="2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  <row r="463" spans="9:9" x14ac:dyDescent="0.2">
      <c r="I463" s="11"/>
    </row>
    <row r="464" spans="9:9" x14ac:dyDescent="0.2">
      <c r="I464" s="11"/>
    </row>
    <row r="465" spans="9:9" x14ac:dyDescent="0.2">
      <c r="I465" s="11"/>
    </row>
    <row r="466" spans="9:9" x14ac:dyDescent="0.2">
      <c r="I466" s="11"/>
    </row>
    <row r="467" spans="9:9" x14ac:dyDescent="0.2">
      <c r="I467" s="11"/>
    </row>
    <row r="468" spans="9:9" x14ac:dyDescent="0.2">
      <c r="I468" s="11"/>
    </row>
    <row r="469" spans="9:9" x14ac:dyDescent="0.2">
      <c r="I469" s="11"/>
    </row>
    <row r="470" spans="9:9" x14ac:dyDescent="0.2">
      <c r="I470" s="11"/>
    </row>
    <row r="471" spans="9:9" x14ac:dyDescent="0.2">
      <c r="I471" s="11"/>
    </row>
    <row r="472" spans="9:9" x14ac:dyDescent="0.2">
      <c r="I472" s="11"/>
    </row>
    <row r="473" spans="9:9" x14ac:dyDescent="0.2">
      <c r="I473" s="11"/>
    </row>
    <row r="474" spans="9:9" x14ac:dyDescent="0.2">
      <c r="I474" s="11"/>
    </row>
    <row r="475" spans="9:9" x14ac:dyDescent="0.2">
      <c r="I475" s="11"/>
    </row>
    <row r="476" spans="9:9" x14ac:dyDescent="0.2">
      <c r="I476" s="11"/>
    </row>
    <row r="477" spans="9:9" x14ac:dyDescent="0.2">
      <c r="I477" s="11"/>
    </row>
    <row r="478" spans="9:9" x14ac:dyDescent="0.2">
      <c r="I478" s="11"/>
    </row>
    <row r="479" spans="9:9" x14ac:dyDescent="0.2">
      <c r="I479" s="11"/>
    </row>
    <row r="480" spans="9:9" x14ac:dyDescent="0.2">
      <c r="I480" s="11"/>
    </row>
    <row r="481" spans="9:9" x14ac:dyDescent="0.2">
      <c r="I481" s="11"/>
    </row>
    <row r="482" spans="9:9" x14ac:dyDescent="0.2">
      <c r="I482" s="11"/>
    </row>
    <row r="483" spans="9:9" x14ac:dyDescent="0.2">
      <c r="I483" s="11"/>
    </row>
    <row r="484" spans="9:9" x14ac:dyDescent="0.2">
      <c r="I484" s="11"/>
    </row>
    <row r="485" spans="9:9" x14ac:dyDescent="0.2">
      <c r="I485" s="11"/>
    </row>
    <row r="486" spans="9:9" x14ac:dyDescent="0.2">
      <c r="I486" s="11"/>
    </row>
    <row r="487" spans="9:9" x14ac:dyDescent="0.2">
      <c r="I487" s="11"/>
    </row>
    <row r="488" spans="9:9" x14ac:dyDescent="0.2">
      <c r="I488" s="11"/>
    </row>
    <row r="489" spans="9:9" x14ac:dyDescent="0.2">
      <c r="I489" s="11"/>
    </row>
    <row r="490" spans="9:9" x14ac:dyDescent="0.2">
      <c r="I490" s="11"/>
    </row>
    <row r="491" spans="9:9" x14ac:dyDescent="0.2">
      <c r="I491" s="11"/>
    </row>
    <row r="492" spans="9:9" x14ac:dyDescent="0.2">
      <c r="I492" s="11"/>
    </row>
    <row r="493" spans="9:9" x14ac:dyDescent="0.2">
      <c r="I493" s="11"/>
    </row>
    <row r="494" spans="9:9" x14ac:dyDescent="0.2">
      <c r="I494" s="11"/>
    </row>
    <row r="495" spans="9:9" x14ac:dyDescent="0.2">
      <c r="I495" s="11"/>
    </row>
    <row r="496" spans="9:9" x14ac:dyDescent="0.2">
      <c r="I496" s="11"/>
    </row>
    <row r="497" spans="9:9" x14ac:dyDescent="0.2">
      <c r="I497" s="11"/>
    </row>
    <row r="498" spans="9:9" x14ac:dyDescent="0.2">
      <c r="I498" s="11"/>
    </row>
    <row r="499" spans="9:9" x14ac:dyDescent="0.2">
      <c r="I499" s="11"/>
    </row>
    <row r="500" spans="9:9" x14ac:dyDescent="0.2">
      <c r="I500" s="11"/>
    </row>
    <row r="501" spans="9:9" x14ac:dyDescent="0.2">
      <c r="I501" s="11"/>
    </row>
    <row r="502" spans="9:9" x14ac:dyDescent="0.2">
      <c r="I502" s="11"/>
    </row>
    <row r="503" spans="9:9" x14ac:dyDescent="0.2">
      <c r="I503" s="11"/>
    </row>
    <row r="504" spans="9:9" x14ac:dyDescent="0.2">
      <c r="I504" s="11"/>
    </row>
    <row r="505" spans="9:9" x14ac:dyDescent="0.2">
      <c r="I505" s="11"/>
    </row>
    <row r="506" spans="9:9" x14ac:dyDescent="0.2">
      <c r="I506" s="11"/>
    </row>
    <row r="507" spans="9:9" x14ac:dyDescent="0.2">
      <c r="I507" s="11"/>
    </row>
    <row r="508" spans="9:9" x14ac:dyDescent="0.2">
      <c r="I508" s="11"/>
    </row>
    <row r="509" spans="9:9" x14ac:dyDescent="0.2">
      <c r="I509" s="11"/>
    </row>
    <row r="510" spans="9:9" x14ac:dyDescent="0.2">
      <c r="I510" s="11"/>
    </row>
    <row r="511" spans="9:9" x14ac:dyDescent="0.2">
      <c r="I511" s="11"/>
    </row>
    <row r="512" spans="9:9" x14ac:dyDescent="0.2">
      <c r="I512" s="11"/>
    </row>
    <row r="513" spans="9:9" x14ac:dyDescent="0.2">
      <c r="I513" s="11"/>
    </row>
    <row r="514" spans="9:9" x14ac:dyDescent="0.2">
      <c r="I514" s="11"/>
    </row>
    <row r="515" spans="9:9" x14ac:dyDescent="0.2">
      <c r="I515" s="11"/>
    </row>
    <row r="516" spans="9:9" x14ac:dyDescent="0.2">
      <c r="I516" s="11"/>
    </row>
    <row r="517" spans="9:9" x14ac:dyDescent="0.2">
      <c r="I517" s="11"/>
    </row>
    <row r="518" spans="9:9" x14ac:dyDescent="0.2">
      <c r="I518" s="11"/>
    </row>
    <row r="519" spans="9:9" x14ac:dyDescent="0.2">
      <c r="I519" s="11"/>
    </row>
    <row r="520" spans="9:9" x14ac:dyDescent="0.2">
      <c r="I520" s="11"/>
    </row>
    <row r="521" spans="9:9" x14ac:dyDescent="0.2">
      <c r="I521" s="11"/>
    </row>
    <row r="522" spans="9:9" x14ac:dyDescent="0.2">
      <c r="I522" s="11"/>
    </row>
    <row r="523" spans="9:9" x14ac:dyDescent="0.2">
      <c r="I523" s="11"/>
    </row>
    <row r="524" spans="9:9" x14ac:dyDescent="0.2">
      <c r="I524" s="11"/>
    </row>
    <row r="525" spans="9:9" x14ac:dyDescent="0.2">
      <c r="I525" s="11"/>
    </row>
    <row r="526" spans="9:9" x14ac:dyDescent="0.2">
      <c r="I526" s="11"/>
    </row>
    <row r="527" spans="9:9" x14ac:dyDescent="0.2">
      <c r="I527" s="11"/>
    </row>
    <row r="528" spans="9:9" x14ac:dyDescent="0.2">
      <c r="I528" s="11"/>
    </row>
    <row r="529" spans="9:9" x14ac:dyDescent="0.2">
      <c r="I529" s="11"/>
    </row>
    <row r="530" spans="9:9" x14ac:dyDescent="0.2">
      <c r="I530" s="11"/>
    </row>
    <row r="531" spans="9:9" x14ac:dyDescent="0.2">
      <c r="I531" s="11"/>
    </row>
    <row r="532" spans="9:9" x14ac:dyDescent="0.2">
      <c r="I532" s="11"/>
    </row>
    <row r="533" spans="9:9" x14ac:dyDescent="0.2">
      <c r="I533" s="11"/>
    </row>
    <row r="534" spans="9:9" x14ac:dyDescent="0.2">
      <c r="I534" s="11"/>
    </row>
    <row r="535" spans="9:9" x14ac:dyDescent="0.2">
      <c r="I535" s="11"/>
    </row>
    <row r="536" spans="9:9" x14ac:dyDescent="0.2">
      <c r="I536" s="11"/>
    </row>
    <row r="537" spans="9:9" x14ac:dyDescent="0.2">
      <c r="I537" s="11"/>
    </row>
    <row r="538" spans="9:9" x14ac:dyDescent="0.2">
      <c r="I538" s="11"/>
    </row>
    <row r="539" spans="9:9" x14ac:dyDescent="0.2">
      <c r="I539" s="11"/>
    </row>
    <row r="540" spans="9:9" x14ac:dyDescent="0.2">
      <c r="I540" s="11"/>
    </row>
    <row r="541" spans="9:9" x14ac:dyDescent="0.2">
      <c r="I541" s="11"/>
    </row>
    <row r="542" spans="9:9" x14ac:dyDescent="0.2">
      <c r="I542" s="11"/>
    </row>
    <row r="543" spans="9:9" x14ac:dyDescent="0.2">
      <c r="I543" s="11"/>
    </row>
    <row r="544" spans="9:9" x14ac:dyDescent="0.2">
      <c r="I544" s="11"/>
    </row>
    <row r="545" spans="9:9" x14ac:dyDescent="0.2">
      <c r="I545" s="11"/>
    </row>
    <row r="546" spans="9:9" x14ac:dyDescent="0.2">
      <c r="I546" s="11"/>
    </row>
    <row r="547" spans="9:9" x14ac:dyDescent="0.2">
      <c r="I547" s="11"/>
    </row>
    <row r="548" spans="9:9" x14ac:dyDescent="0.2">
      <c r="I548" s="11"/>
    </row>
    <row r="549" spans="9:9" x14ac:dyDescent="0.2">
      <c r="I549" s="11"/>
    </row>
    <row r="550" spans="9:9" x14ac:dyDescent="0.2">
      <c r="I550" s="11"/>
    </row>
    <row r="551" spans="9:9" x14ac:dyDescent="0.2">
      <c r="I551" s="11"/>
    </row>
    <row r="552" spans="9:9" x14ac:dyDescent="0.2">
      <c r="I552" s="11"/>
    </row>
    <row r="553" spans="9:9" x14ac:dyDescent="0.2">
      <c r="I553" s="11"/>
    </row>
    <row r="554" spans="9:9" x14ac:dyDescent="0.2">
      <c r="I554" s="11"/>
    </row>
    <row r="555" spans="9:9" x14ac:dyDescent="0.2">
      <c r="I555" s="11"/>
    </row>
    <row r="556" spans="9:9" x14ac:dyDescent="0.2">
      <c r="I556" s="11"/>
    </row>
    <row r="557" spans="9:9" x14ac:dyDescent="0.2">
      <c r="I557" s="11"/>
    </row>
    <row r="558" spans="9:9" x14ac:dyDescent="0.2">
      <c r="I558" s="11"/>
    </row>
    <row r="559" spans="9:9" x14ac:dyDescent="0.2">
      <c r="I559" s="11"/>
    </row>
    <row r="560" spans="9:9" x14ac:dyDescent="0.2">
      <c r="I560" s="11"/>
    </row>
    <row r="561" spans="9:9" x14ac:dyDescent="0.2">
      <c r="I561" s="11"/>
    </row>
    <row r="562" spans="9:9" x14ac:dyDescent="0.2">
      <c r="I562" s="11"/>
    </row>
    <row r="563" spans="9:9" x14ac:dyDescent="0.2">
      <c r="I563" s="11"/>
    </row>
    <row r="564" spans="9:9" x14ac:dyDescent="0.2">
      <c r="I564" s="11"/>
    </row>
    <row r="565" spans="9:9" x14ac:dyDescent="0.2">
      <c r="I565" s="11"/>
    </row>
    <row r="566" spans="9:9" x14ac:dyDescent="0.2">
      <c r="I566" s="11"/>
    </row>
    <row r="567" spans="9:9" x14ac:dyDescent="0.2">
      <c r="I567" s="11"/>
    </row>
    <row r="568" spans="9:9" x14ac:dyDescent="0.2">
      <c r="I568" s="11"/>
    </row>
    <row r="569" spans="9:9" x14ac:dyDescent="0.2">
      <c r="I569" s="11"/>
    </row>
    <row r="570" spans="9:9" x14ac:dyDescent="0.2">
      <c r="I570" s="11"/>
    </row>
    <row r="571" spans="9:9" x14ac:dyDescent="0.2">
      <c r="I571" s="11"/>
    </row>
    <row r="572" spans="9:9" x14ac:dyDescent="0.2">
      <c r="I572" s="11"/>
    </row>
    <row r="573" spans="9:9" x14ac:dyDescent="0.2">
      <c r="I573" s="11"/>
    </row>
    <row r="574" spans="9:9" x14ac:dyDescent="0.2">
      <c r="I574" s="11"/>
    </row>
    <row r="575" spans="9:9" x14ac:dyDescent="0.2">
      <c r="I575" s="11"/>
    </row>
    <row r="576" spans="9:9" x14ac:dyDescent="0.2">
      <c r="I576" s="11"/>
    </row>
    <row r="577" spans="9:9" x14ac:dyDescent="0.2">
      <c r="I577" s="11"/>
    </row>
    <row r="578" spans="9:9" x14ac:dyDescent="0.2">
      <c r="I578" s="11"/>
    </row>
    <row r="579" spans="9:9" x14ac:dyDescent="0.2">
      <c r="I579" s="11"/>
    </row>
    <row r="580" spans="9:9" x14ac:dyDescent="0.2">
      <c r="I580" s="11"/>
    </row>
    <row r="581" spans="9:9" x14ac:dyDescent="0.2">
      <c r="I581" s="11"/>
    </row>
    <row r="582" spans="9:9" x14ac:dyDescent="0.2">
      <c r="I582" s="11"/>
    </row>
    <row r="583" spans="9:9" x14ac:dyDescent="0.2">
      <c r="I583" s="11"/>
    </row>
    <row r="584" spans="9:9" x14ac:dyDescent="0.2">
      <c r="I584" s="11"/>
    </row>
    <row r="585" spans="9:9" x14ac:dyDescent="0.2">
      <c r="I585" s="11"/>
    </row>
    <row r="586" spans="9:9" x14ac:dyDescent="0.2">
      <c r="I586" s="11"/>
    </row>
    <row r="587" spans="9:9" x14ac:dyDescent="0.2">
      <c r="I587" s="11"/>
    </row>
    <row r="588" spans="9:9" x14ac:dyDescent="0.2">
      <c r="I588" s="11"/>
    </row>
    <row r="589" spans="9:9" x14ac:dyDescent="0.2">
      <c r="I589" s="11"/>
    </row>
    <row r="590" spans="9:9" x14ac:dyDescent="0.2">
      <c r="I590" s="11"/>
    </row>
    <row r="591" spans="9:9" x14ac:dyDescent="0.2">
      <c r="I591" s="11"/>
    </row>
    <row r="592" spans="9:9" x14ac:dyDescent="0.2">
      <c r="I592" s="11"/>
    </row>
    <row r="593" spans="9:9" x14ac:dyDescent="0.2">
      <c r="I593" s="11"/>
    </row>
    <row r="594" spans="9:9" x14ac:dyDescent="0.2">
      <c r="I594" s="11"/>
    </row>
    <row r="595" spans="9:9" x14ac:dyDescent="0.2">
      <c r="I595" s="11"/>
    </row>
    <row r="596" spans="9:9" x14ac:dyDescent="0.2">
      <c r="I596" s="11"/>
    </row>
    <row r="597" spans="9:9" x14ac:dyDescent="0.2">
      <c r="I597" s="11"/>
    </row>
    <row r="598" spans="9:9" x14ac:dyDescent="0.2">
      <c r="I598" s="11"/>
    </row>
    <row r="599" spans="9:9" x14ac:dyDescent="0.2">
      <c r="I599" s="11"/>
    </row>
    <row r="600" spans="9:9" x14ac:dyDescent="0.2">
      <c r="I600" s="11"/>
    </row>
    <row r="601" spans="9:9" x14ac:dyDescent="0.2">
      <c r="I601" s="11"/>
    </row>
    <row r="602" spans="9:9" x14ac:dyDescent="0.2">
      <c r="I602" s="11"/>
    </row>
    <row r="603" spans="9:9" x14ac:dyDescent="0.2">
      <c r="I603" s="11"/>
    </row>
    <row r="604" spans="9:9" x14ac:dyDescent="0.2">
      <c r="I604" s="11"/>
    </row>
    <row r="605" spans="9:9" x14ac:dyDescent="0.2">
      <c r="I605" s="11"/>
    </row>
    <row r="606" spans="9:9" x14ac:dyDescent="0.2">
      <c r="I606" s="11"/>
    </row>
    <row r="607" spans="9:9" x14ac:dyDescent="0.2">
      <c r="I607" s="11"/>
    </row>
    <row r="608" spans="9:9" x14ac:dyDescent="0.2">
      <c r="I608" s="11"/>
    </row>
    <row r="609" spans="9:9" x14ac:dyDescent="0.2">
      <c r="I609" s="11"/>
    </row>
    <row r="610" spans="9:9" x14ac:dyDescent="0.2">
      <c r="I610" s="11"/>
    </row>
    <row r="611" spans="9:9" x14ac:dyDescent="0.2">
      <c r="I611" s="11"/>
    </row>
    <row r="612" spans="9:9" x14ac:dyDescent="0.2">
      <c r="I612" s="11"/>
    </row>
    <row r="613" spans="9:9" x14ac:dyDescent="0.2">
      <c r="I613" s="11"/>
    </row>
    <row r="614" spans="9:9" x14ac:dyDescent="0.2">
      <c r="I614" s="11"/>
    </row>
    <row r="615" spans="9:9" x14ac:dyDescent="0.2">
      <c r="I615" s="11"/>
    </row>
    <row r="616" spans="9:9" x14ac:dyDescent="0.2">
      <c r="I616" s="11"/>
    </row>
    <row r="617" spans="9:9" x14ac:dyDescent="0.2">
      <c r="I617" s="11"/>
    </row>
    <row r="618" spans="9:9" x14ac:dyDescent="0.2">
      <c r="I618" s="11"/>
    </row>
    <row r="619" spans="9:9" x14ac:dyDescent="0.2">
      <c r="I619" s="11"/>
    </row>
    <row r="620" spans="9:9" x14ac:dyDescent="0.2">
      <c r="I620" s="11"/>
    </row>
    <row r="621" spans="9:9" x14ac:dyDescent="0.2">
      <c r="I621" s="11"/>
    </row>
    <row r="622" spans="9:9" x14ac:dyDescent="0.2">
      <c r="I622" s="11"/>
    </row>
    <row r="623" spans="9:9" x14ac:dyDescent="0.2">
      <c r="I623" s="11"/>
    </row>
    <row r="624" spans="9:9" x14ac:dyDescent="0.2">
      <c r="I624" s="11"/>
    </row>
    <row r="625" spans="9:9" x14ac:dyDescent="0.2">
      <c r="I625" s="11"/>
    </row>
    <row r="626" spans="9:9" x14ac:dyDescent="0.2">
      <c r="I626" s="11"/>
    </row>
    <row r="627" spans="9:9" x14ac:dyDescent="0.2">
      <c r="I627" s="11"/>
    </row>
    <row r="628" spans="9:9" x14ac:dyDescent="0.2">
      <c r="I628" s="11"/>
    </row>
    <row r="629" spans="9:9" x14ac:dyDescent="0.2">
      <c r="I629" s="11"/>
    </row>
    <row r="630" spans="9:9" x14ac:dyDescent="0.2">
      <c r="I630" s="11"/>
    </row>
    <row r="631" spans="9:9" x14ac:dyDescent="0.2">
      <c r="I631" s="11"/>
    </row>
    <row r="632" spans="9:9" x14ac:dyDescent="0.2">
      <c r="I632" s="11"/>
    </row>
    <row r="633" spans="9:9" x14ac:dyDescent="0.2">
      <c r="I633" s="11"/>
    </row>
    <row r="634" spans="9:9" x14ac:dyDescent="0.2">
      <c r="I634" s="11"/>
    </row>
    <row r="635" spans="9:9" x14ac:dyDescent="0.2">
      <c r="I635" s="11"/>
    </row>
    <row r="636" spans="9:9" x14ac:dyDescent="0.2">
      <c r="I636" s="11"/>
    </row>
    <row r="637" spans="9:9" x14ac:dyDescent="0.2">
      <c r="I637" s="11"/>
    </row>
    <row r="638" spans="9:9" x14ac:dyDescent="0.2">
      <c r="I638" s="11"/>
    </row>
    <row r="639" spans="9:9" x14ac:dyDescent="0.2">
      <c r="I639" s="11"/>
    </row>
    <row r="640" spans="9:9" x14ac:dyDescent="0.2">
      <c r="I640" s="11"/>
    </row>
    <row r="641" spans="9:9" x14ac:dyDescent="0.2">
      <c r="I641" s="11"/>
    </row>
    <row r="642" spans="9:9" x14ac:dyDescent="0.2">
      <c r="I642" s="11"/>
    </row>
  </sheetData>
  <mergeCells count="2">
    <mergeCell ref="B1:C1"/>
    <mergeCell ref="B52:I52"/>
  </mergeCells>
  <conditionalFormatting sqref="G1:G3 G5:G51 G53:G132">
    <cfRule type="cellIs" dxfId="12" priority="1" stopIfTrue="1" operator="between">
      <formula>0.009</formula>
      <formula>-0.009</formula>
    </cfRule>
  </conditionalFormatting>
  <hyperlinks>
    <hyperlink ref="A2" location="Index!A1" display="-" xr:uid="{C23A6123-0136-4EA0-AFC0-70B33B2CEC20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83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61F-333F-41BD-8E59-173D26B3A53B}">
  <dimension ref="A1:J605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7265625" style="6" customWidth="1"/>
    <col min="4" max="4" width="14.26953125" style="6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1.81640625" style="11" bestFit="1" customWidth="1"/>
    <col min="9" max="9" width="11.453125" style="6" customWidth="1"/>
    <col min="10" max="16384" width="9.1796875" style="6"/>
  </cols>
  <sheetData>
    <row r="1" spans="1:10" s="1" customFormat="1" ht="16.75" customHeight="1" x14ac:dyDescent="0.35">
      <c r="B1" s="160" t="s">
        <v>12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37" customHeight="1" x14ac:dyDescent="0.25">
      <c r="B4" s="74" t="s">
        <v>7</v>
      </c>
      <c r="C4" s="74" t="s">
        <v>8</v>
      </c>
      <c r="D4" s="75" t="s">
        <v>255</v>
      </c>
      <c r="E4" s="75" t="s">
        <v>0</v>
      </c>
      <c r="F4" s="76" t="s">
        <v>4</v>
      </c>
      <c r="G4" s="77" t="s">
        <v>5</v>
      </c>
      <c r="H4" s="78" t="s">
        <v>6</v>
      </c>
      <c r="I4" s="76" t="s">
        <v>188</v>
      </c>
      <c r="J4" s="9"/>
    </row>
    <row r="5" spans="1:10" ht="10.5" x14ac:dyDescent="0.25">
      <c r="B5" s="30" t="s">
        <v>189</v>
      </c>
      <c r="C5" s="31"/>
      <c r="D5" s="31"/>
      <c r="E5" s="31"/>
      <c r="F5" s="32"/>
      <c r="G5" s="33"/>
      <c r="H5" s="34"/>
      <c r="I5" s="31"/>
    </row>
    <row r="6" spans="1:10" ht="10.5" x14ac:dyDescent="0.25">
      <c r="B6" s="30" t="s">
        <v>243</v>
      </c>
      <c r="C6" s="31"/>
      <c r="D6" s="31"/>
      <c r="E6" s="31"/>
      <c r="F6" s="32"/>
      <c r="G6" s="33"/>
      <c r="H6" s="34"/>
      <c r="I6" s="31"/>
    </row>
    <row r="7" spans="1:10" x14ac:dyDescent="0.2">
      <c r="B7" s="31" t="s">
        <v>258</v>
      </c>
      <c r="C7" s="31" t="s">
        <v>259</v>
      </c>
      <c r="D7" s="31" t="s">
        <v>251</v>
      </c>
      <c r="E7" s="35">
        <v>1500000</v>
      </c>
      <c r="F7" s="32">
        <v>1497.2535</v>
      </c>
      <c r="G7" s="33">
        <v>1.98376923222698</v>
      </c>
      <c r="H7" s="36">
        <v>5.1503E-2</v>
      </c>
      <c r="I7" s="62"/>
    </row>
    <row r="8" spans="1:10" x14ac:dyDescent="0.2">
      <c r="B8" s="31" t="s">
        <v>260</v>
      </c>
      <c r="C8" s="31" t="s">
        <v>261</v>
      </c>
      <c r="D8" s="31" t="s">
        <v>251</v>
      </c>
      <c r="E8" s="35">
        <v>1000000</v>
      </c>
      <c r="F8" s="32">
        <v>997.21299999999997</v>
      </c>
      <c r="G8" s="33">
        <v>1.3212461800067701</v>
      </c>
      <c r="H8" s="36">
        <v>5.1005000000000002E-2</v>
      </c>
      <c r="I8" s="62"/>
    </row>
    <row r="9" spans="1:10" x14ac:dyDescent="0.2">
      <c r="B9" s="31" t="s">
        <v>262</v>
      </c>
      <c r="C9" s="31" t="s">
        <v>263</v>
      </c>
      <c r="D9" s="31" t="s">
        <v>251</v>
      </c>
      <c r="E9" s="35">
        <v>500000</v>
      </c>
      <c r="F9" s="32">
        <v>498.60649999999998</v>
      </c>
      <c r="G9" s="33">
        <v>0.66062309000338404</v>
      </c>
      <c r="H9" s="36">
        <v>5.1005000000000002E-2</v>
      </c>
      <c r="I9" s="62"/>
    </row>
    <row r="10" spans="1:10" ht="10.5" x14ac:dyDescent="0.25">
      <c r="B10" s="30" t="s">
        <v>170</v>
      </c>
      <c r="C10" s="30"/>
      <c r="D10" s="30"/>
      <c r="E10" s="30"/>
      <c r="F10" s="63">
        <f>SUM(F6:F9)</f>
        <v>2993.0729999999999</v>
      </c>
      <c r="G10" s="64">
        <f>SUM(G6:G9)</f>
        <v>3.9656385022371343</v>
      </c>
      <c r="H10" s="39"/>
      <c r="I10" s="30"/>
    </row>
    <row r="11" spans="1:10" ht="10.5" x14ac:dyDescent="0.25">
      <c r="B11" s="47" t="s">
        <v>173</v>
      </c>
      <c r="C11" s="47"/>
      <c r="D11" s="47"/>
      <c r="E11" s="47"/>
      <c r="F11" s="48">
        <f>+F10</f>
        <v>2993.0729999999999</v>
      </c>
      <c r="G11" s="49">
        <f>+G10</f>
        <v>3.9656385022371343</v>
      </c>
      <c r="H11" s="39"/>
      <c r="I11" s="30"/>
    </row>
    <row r="12" spans="1:10" ht="10.5" x14ac:dyDescent="0.25">
      <c r="B12" s="30"/>
      <c r="C12" s="31"/>
      <c r="D12" s="31"/>
      <c r="E12" s="31"/>
      <c r="F12" s="32"/>
      <c r="G12" s="33"/>
      <c r="H12" s="34"/>
      <c r="I12" s="31"/>
    </row>
    <row r="13" spans="1:10" ht="10.5" x14ac:dyDescent="0.25">
      <c r="B13" s="30" t="s">
        <v>174</v>
      </c>
      <c r="C13" s="30"/>
      <c r="D13" s="30"/>
      <c r="E13" s="30"/>
      <c r="F13" s="48">
        <v>849.75628300000005</v>
      </c>
      <c r="G13" s="49">
        <v>1.12587505663334</v>
      </c>
      <c r="H13" s="36">
        <v>5.2499999999999998E-2</v>
      </c>
      <c r="I13" s="36"/>
    </row>
    <row r="14" spans="1:10" x14ac:dyDescent="0.2">
      <c r="B14" s="31"/>
      <c r="C14" s="31"/>
      <c r="D14" s="31"/>
      <c r="E14" s="31"/>
      <c r="F14" s="32"/>
      <c r="G14" s="33"/>
      <c r="H14" s="34"/>
      <c r="I14" s="31"/>
    </row>
    <row r="15" spans="1:10" ht="10.5" x14ac:dyDescent="0.25">
      <c r="B15" s="30" t="s">
        <v>264</v>
      </c>
      <c r="C15" s="31"/>
      <c r="D15" s="31"/>
      <c r="E15" s="31"/>
      <c r="F15" s="32"/>
      <c r="G15" s="33"/>
      <c r="H15" s="34"/>
      <c r="I15" s="31"/>
    </row>
    <row r="16" spans="1:10" x14ac:dyDescent="0.2">
      <c r="B16" s="31" t="s">
        <v>265</v>
      </c>
      <c r="C16" s="31"/>
      <c r="D16" s="31"/>
      <c r="E16" s="31"/>
      <c r="F16" s="32">
        <v>18374.900000000001</v>
      </c>
      <c r="G16" s="33">
        <v>24.345617669451102</v>
      </c>
      <c r="H16" s="34">
        <v>5.3499999999999999E-2</v>
      </c>
      <c r="I16" s="31"/>
    </row>
    <row r="17" spans="2:9" x14ac:dyDescent="0.2">
      <c r="B17" s="31" t="s">
        <v>265</v>
      </c>
      <c r="C17" s="31"/>
      <c r="D17" s="31"/>
      <c r="E17" s="31"/>
      <c r="F17" s="32">
        <v>14149.012500000001</v>
      </c>
      <c r="G17" s="33">
        <v>18.746575422194699</v>
      </c>
      <c r="H17" s="34">
        <v>5.3499999999999999E-2</v>
      </c>
      <c r="I17" s="31"/>
    </row>
    <row r="18" spans="2:9" x14ac:dyDescent="0.2">
      <c r="B18" s="31" t="s">
        <v>265</v>
      </c>
      <c r="C18" s="31"/>
      <c r="D18" s="31"/>
      <c r="E18" s="31"/>
      <c r="F18" s="32">
        <v>13272.1840278</v>
      </c>
      <c r="G18" s="33">
        <v>17.584831372111701</v>
      </c>
      <c r="H18" s="34">
        <v>5.3499999999999999E-2</v>
      </c>
      <c r="I18" s="31"/>
    </row>
    <row r="19" spans="2:9" x14ac:dyDescent="0.2">
      <c r="B19" s="31" t="s">
        <v>265</v>
      </c>
      <c r="C19" s="31"/>
      <c r="D19" s="31"/>
      <c r="E19" s="31"/>
      <c r="F19" s="32">
        <v>8784.1833332999995</v>
      </c>
      <c r="G19" s="33">
        <v>11.638505187559501</v>
      </c>
      <c r="H19" s="34">
        <v>5.3499999999999999E-2</v>
      </c>
      <c r="I19" s="31"/>
    </row>
    <row r="20" spans="2:9" x14ac:dyDescent="0.2">
      <c r="B20" s="31" t="s">
        <v>265</v>
      </c>
      <c r="C20" s="31"/>
      <c r="D20" s="31"/>
      <c r="E20" s="31"/>
      <c r="F20" s="32">
        <v>6200.6</v>
      </c>
      <c r="G20" s="33">
        <v>8.2154154265437391</v>
      </c>
      <c r="H20" s="34">
        <v>5.3499999999999999E-2</v>
      </c>
      <c r="I20" s="31"/>
    </row>
    <row r="21" spans="2:9" x14ac:dyDescent="0.2">
      <c r="B21" s="31" t="s">
        <v>265</v>
      </c>
      <c r="C21" s="31"/>
      <c r="D21" s="31"/>
      <c r="E21" s="31"/>
      <c r="F21" s="32">
        <v>3702.3175000000001</v>
      </c>
      <c r="G21" s="33">
        <v>4.9053440479087298</v>
      </c>
      <c r="H21" s="34">
        <v>5.3499999999999999E-2</v>
      </c>
      <c r="I21" s="31"/>
    </row>
    <row r="22" spans="2:9" x14ac:dyDescent="0.2">
      <c r="B22" s="31" t="s">
        <v>265</v>
      </c>
      <c r="C22" s="31"/>
      <c r="D22" s="31"/>
      <c r="E22" s="31"/>
      <c r="F22" s="32">
        <v>3013.6950000000002</v>
      </c>
      <c r="G22" s="33">
        <v>3.9929613898490102</v>
      </c>
      <c r="H22" s="34">
        <v>5.3999999999999999E-2</v>
      </c>
      <c r="I22" s="31"/>
    </row>
    <row r="23" spans="2:9" x14ac:dyDescent="0.2">
      <c r="B23" s="31" t="s">
        <v>265</v>
      </c>
      <c r="C23" s="31"/>
      <c r="D23" s="31"/>
      <c r="E23" s="31"/>
      <c r="F23" s="32">
        <v>2656.1930556000002</v>
      </c>
      <c r="G23" s="33">
        <v>3.5192931982154301</v>
      </c>
      <c r="H23" s="34">
        <v>5.3499999999999999E-2</v>
      </c>
      <c r="I23" s="31"/>
    </row>
    <row r="24" spans="2:9" x14ac:dyDescent="0.2">
      <c r="B24" s="31" t="s">
        <v>265</v>
      </c>
      <c r="C24" s="31"/>
      <c r="D24" s="31"/>
      <c r="E24" s="31"/>
      <c r="F24" s="32">
        <v>1399.0505667</v>
      </c>
      <c r="G24" s="33">
        <v>1.85365635715607</v>
      </c>
      <c r="H24" s="34">
        <v>5.3999999999999999E-2</v>
      </c>
      <c r="I24" s="31"/>
    </row>
    <row r="25" spans="2:9" ht="10.5" x14ac:dyDescent="0.25">
      <c r="B25" s="30" t="s">
        <v>173</v>
      </c>
      <c r="C25" s="30"/>
      <c r="D25" s="30"/>
      <c r="E25" s="30"/>
      <c r="F25" s="48">
        <v>71552.135983400003</v>
      </c>
      <c r="G25" s="49">
        <v>94.802200070989983</v>
      </c>
      <c r="H25" s="34"/>
      <c r="I25" s="31"/>
    </row>
    <row r="26" spans="2:9" x14ac:dyDescent="0.2">
      <c r="B26" s="31"/>
      <c r="C26" s="31"/>
      <c r="D26" s="31"/>
      <c r="E26" s="31"/>
      <c r="F26" s="32"/>
      <c r="G26" s="33"/>
      <c r="H26" s="34"/>
      <c r="I26" s="31"/>
    </row>
    <row r="27" spans="2:9" ht="10.5" x14ac:dyDescent="0.25">
      <c r="B27" s="47" t="s">
        <v>177</v>
      </c>
      <c r="C27" s="47"/>
      <c r="D27" s="47"/>
      <c r="E27" s="47"/>
      <c r="F27" s="48">
        <f>F28-(F10+F13+F25)</f>
        <v>80.219834599993192</v>
      </c>
      <c r="G27" s="49">
        <f>G28-(G10+G13+G25)</f>
        <v>0.1062863701395429</v>
      </c>
      <c r="H27" s="39"/>
      <c r="I27" s="30"/>
    </row>
    <row r="28" spans="2:9" ht="10.5" x14ac:dyDescent="0.25">
      <c r="B28" s="47" t="s">
        <v>175</v>
      </c>
      <c r="C28" s="47"/>
      <c r="D28" s="47"/>
      <c r="E28" s="47"/>
      <c r="F28" s="48">
        <v>75475.185100999995</v>
      </c>
      <c r="G28" s="49">
        <v>100</v>
      </c>
      <c r="H28" s="50"/>
      <c r="I28" s="51"/>
    </row>
    <row r="30" spans="2:9" ht="40" customHeight="1" x14ac:dyDescent="0.2">
      <c r="B30" s="171" t="s">
        <v>257</v>
      </c>
      <c r="C30" s="171"/>
      <c r="D30" s="171"/>
      <c r="E30" s="171"/>
      <c r="F30" s="171"/>
      <c r="G30" s="171"/>
      <c r="H30" s="171"/>
      <c r="I30" s="171"/>
    </row>
    <row r="31" spans="2:9" ht="10.5" x14ac:dyDescent="0.25">
      <c r="B31" s="23"/>
    </row>
    <row r="32" spans="2:9" ht="10.5" x14ac:dyDescent="0.2">
      <c r="B32" s="172"/>
      <c r="C32" s="172"/>
      <c r="D32" s="172"/>
      <c r="E32" s="172"/>
      <c r="F32" s="172"/>
      <c r="G32" s="172"/>
      <c r="H32" s="172"/>
      <c r="I32" s="172"/>
    </row>
    <row r="33" spans="2:4" ht="10.5" x14ac:dyDescent="0.25">
      <c r="B33" s="23"/>
    </row>
    <row r="34" spans="2:4" ht="10.5" x14ac:dyDescent="0.2">
      <c r="B34" s="70" t="s">
        <v>186</v>
      </c>
      <c r="C34" s="69"/>
      <c r="D34" s="69"/>
    </row>
    <row r="35" spans="2:4" ht="10.5" x14ac:dyDescent="0.2">
      <c r="B35" s="70"/>
      <c r="C35" s="69"/>
      <c r="D35" s="69"/>
    </row>
    <row r="36" spans="2:4" ht="10.5" x14ac:dyDescent="0.2">
      <c r="B36" s="81" t="s">
        <v>1497</v>
      </c>
      <c r="C36" s="69"/>
      <c r="D36" s="69"/>
    </row>
    <row r="37" spans="2:4" ht="10.5" x14ac:dyDescent="0.2">
      <c r="B37" s="81" t="s">
        <v>1498</v>
      </c>
      <c r="C37" s="69"/>
      <c r="D37" s="69"/>
    </row>
    <row r="38" spans="2:4" ht="10.5" x14ac:dyDescent="0.2">
      <c r="B38" s="70"/>
      <c r="C38" s="69"/>
      <c r="D38" s="69"/>
    </row>
    <row r="39" spans="2:4" ht="21" x14ac:dyDescent="0.2">
      <c r="B39" s="88" t="s">
        <v>1499</v>
      </c>
      <c r="C39" s="83" t="s">
        <v>1517</v>
      </c>
      <c r="D39" s="83" t="s">
        <v>1500</v>
      </c>
    </row>
    <row r="40" spans="2:4" x14ac:dyDescent="0.2">
      <c r="B40" s="85" t="s">
        <v>1501</v>
      </c>
      <c r="C40" s="89">
        <v>1040.0235</v>
      </c>
      <c r="D40" s="89">
        <v>1044.3471</v>
      </c>
    </row>
    <row r="41" spans="2:4" x14ac:dyDescent="0.2">
      <c r="B41" s="85" t="s">
        <v>1506</v>
      </c>
      <c r="C41" s="89">
        <v>1016.9862000000001</v>
      </c>
      <c r="D41" s="89">
        <v>1021.2217000000001</v>
      </c>
    </row>
    <row r="42" spans="2:4" ht="10.5" x14ac:dyDescent="0.2">
      <c r="B42" s="70"/>
      <c r="C42" s="69"/>
      <c r="D42" s="69"/>
    </row>
    <row r="43" spans="2:4" ht="10.5" x14ac:dyDescent="0.2">
      <c r="B43" s="81" t="s">
        <v>1597</v>
      </c>
      <c r="C43" s="69"/>
      <c r="D43" s="69"/>
    </row>
    <row r="44" spans="2:4" ht="10.5" x14ac:dyDescent="0.2">
      <c r="B44" s="81" t="s">
        <v>1502</v>
      </c>
      <c r="C44" s="69"/>
      <c r="D44" s="69"/>
    </row>
    <row r="45" spans="2:4" ht="10.5" x14ac:dyDescent="0.2">
      <c r="B45" s="81" t="s">
        <v>1503</v>
      </c>
      <c r="C45" s="69"/>
      <c r="D45" s="69"/>
    </row>
    <row r="46" spans="2:4" ht="10.5" x14ac:dyDescent="0.2">
      <c r="B46" s="87" t="s">
        <v>1507</v>
      </c>
      <c r="C46" s="69"/>
      <c r="D46" s="69"/>
    </row>
    <row r="47" spans="2:4" ht="10.5" x14ac:dyDescent="0.2">
      <c r="B47" s="81" t="s">
        <v>1505</v>
      </c>
      <c r="C47" s="69"/>
      <c r="D47" s="69"/>
    </row>
    <row r="48" spans="2:4" ht="10.5" x14ac:dyDescent="0.25">
      <c r="B48" s="23"/>
    </row>
    <row r="50" spans="2:9" ht="10.5" x14ac:dyDescent="0.25">
      <c r="B50" s="23" t="s">
        <v>1481</v>
      </c>
      <c r="I50" s="11"/>
    </row>
    <row r="51" spans="2:9" ht="10.5" x14ac:dyDescent="0.25">
      <c r="B51" s="23"/>
      <c r="C51" s="23"/>
      <c r="D51" s="60"/>
      <c r="E51" s="23"/>
      <c r="I51" s="11"/>
    </row>
    <row r="52" spans="2:9" x14ac:dyDescent="0.2">
      <c r="D52" s="61"/>
      <c r="E52" s="61"/>
      <c r="I52" s="11"/>
    </row>
    <row r="53" spans="2:9" x14ac:dyDescent="0.2">
      <c r="I53" s="11"/>
    </row>
    <row r="54" spans="2:9" x14ac:dyDescent="0.2">
      <c r="I54" s="11"/>
    </row>
    <row r="55" spans="2:9" x14ac:dyDescent="0.2">
      <c r="I55" s="11"/>
    </row>
    <row r="56" spans="2:9" ht="10.5" x14ac:dyDescent="0.25">
      <c r="B56" s="23"/>
      <c r="I56" s="11"/>
    </row>
    <row r="57" spans="2:9" x14ac:dyDescent="0.2">
      <c r="I57" s="11"/>
    </row>
    <row r="58" spans="2:9" x14ac:dyDescent="0.2">
      <c r="I58" s="11"/>
    </row>
    <row r="59" spans="2:9" x14ac:dyDescent="0.2">
      <c r="I59" s="11"/>
    </row>
    <row r="60" spans="2:9" x14ac:dyDescent="0.2">
      <c r="I60" s="11"/>
    </row>
    <row r="61" spans="2:9" x14ac:dyDescent="0.2">
      <c r="I61" s="11"/>
    </row>
    <row r="62" spans="2:9" x14ac:dyDescent="0.2">
      <c r="I62" s="11"/>
    </row>
    <row r="63" spans="2:9" x14ac:dyDescent="0.2">
      <c r="I63" s="11"/>
    </row>
    <row r="64" spans="2:9" x14ac:dyDescent="0.2">
      <c r="I64" s="11"/>
    </row>
    <row r="65" spans="2:9" x14ac:dyDescent="0.2">
      <c r="I65" s="11"/>
    </row>
    <row r="66" spans="2:9" x14ac:dyDescent="0.2">
      <c r="I66" s="11"/>
    </row>
    <row r="67" spans="2:9" x14ac:dyDescent="0.2">
      <c r="I67" s="11"/>
    </row>
    <row r="68" spans="2:9" x14ac:dyDescent="0.2">
      <c r="I68" s="11"/>
    </row>
    <row r="69" spans="2:9" x14ac:dyDescent="0.2">
      <c r="I69" s="11"/>
    </row>
    <row r="70" spans="2:9" x14ac:dyDescent="0.2">
      <c r="I70" s="11"/>
    </row>
    <row r="71" spans="2:9" ht="10.5" x14ac:dyDescent="0.25">
      <c r="B71" s="23" t="s">
        <v>1482</v>
      </c>
      <c r="I71" s="11"/>
    </row>
    <row r="72" spans="2:9" ht="10.5" x14ac:dyDescent="0.25">
      <c r="B72" s="71" t="s">
        <v>1484</v>
      </c>
      <c r="I72" s="11"/>
    </row>
    <row r="73" spans="2:9" x14ac:dyDescent="0.2">
      <c r="I73" s="11"/>
    </row>
    <row r="74" spans="2:9" x14ac:dyDescent="0.2">
      <c r="I74" s="11"/>
    </row>
    <row r="75" spans="2:9" x14ac:dyDescent="0.2">
      <c r="I75" s="11"/>
    </row>
    <row r="76" spans="2:9" x14ac:dyDescent="0.2">
      <c r="I76" s="11"/>
    </row>
    <row r="77" spans="2:9" x14ac:dyDescent="0.2"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9:9" x14ac:dyDescent="0.2">
      <c r="I81" s="11"/>
    </row>
    <row r="82" spans="9:9" x14ac:dyDescent="0.2">
      <c r="I82" s="11"/>
    </row>
    <row r="83" spans="9:9" x14ac:dyDescent="0.2">
      <c r="I83" s="11"/>
    </row>
    <row r="84" spans="9:9" x14ac:dyDescent="0.2">
      <c r="I84" s="11"/>
    </row>
    <row r="85" spans="9:9" x14ac:dyDescent="0.2">
      <c r="I85" s="11"/>
    </row>
    <row r="86" spans="9:9" x14ac:dyDescent="0.2">
      <c r="I86" s="11"/>
    </row>
    <row r="87" spans="9:9" x14ac:dyDescent="0.2">
      <c r="I87" s="11"/>
    </row>
    <row r="88" spans="9:9" x14ac:dyDescent="0.2">
      <c r="I88" s="11"/>
    </row>
    <row r="89" spans="9:9" x14ac:dyDescent="0.2">
      <c r="I89" s="11"/>
    </row>
    <row r="90" spans="9:9" x14ac:dyDescent="0.2">
      <c r="I90" s="11"/>
    </row>
    <row r="91" spans="9:9" x14ac:dyDescent="0.2">
      <c r="I91" s="11"/>
    </row>
    <row r="92" spans="9:9" x14ac:dyDescent="0.2">
      <c r="I92" s="11"/>
    </row>
    <row r="93" spans="9:9" x14ac:dyDescent="0.2">
      <c r="I93" s="11"/>
    </row>
    <row r="94" spans="9:9" x14ac:dyDescent="0.2">
      <c r="I94" s="11"/>
    </row>
    <row r="95" spans="9:9" x14ac:dyDescent="0.2">
      <c r="I95" s="11"/>
    </row>
    <row r="96" spans="9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  <row r="463" spans="9:9" x14ac:dyDescent="0.2">
      <c r="I463" s="11"/>
    </row>
    <row r="464" spans="9:9" x14ac:dyDescent="0.2">
      <c r="I464" s="11"/>
    </row>
    <row r="465" spans="9:9" x14ac:dyDescent="0.2">
      <c r="I465" s="11"/>
    </row>
    <row r="466" spans="9:9" x14ac:dyDescent="0.2">
      <c r="I466" s="11"/>
    </row>
    <row r="467" spans="9:9" x14ac:dyDescent="0.2">
      <c r="I467" s="11"/>
    </row>
    <row r="468" spans="9:9" x14ac:dyDescent="0.2">
      <c r="I468" s="11"/>
    </row>
    <row r="469" spans="9:9" x14ac:dyDescent="0.2">
      <c r="I469" s="11"/>
    </row>
    <row r="470" spans="9:9" x14ac:dyDescent="0.2">
      <c r="I470" s="11"/>
    </row>
    <row r="471" spans="9:9" x14ac:dyDescent="0.2">
      <c r="I471" s="11"/>
    </row>
    <row r="472" spans="9:9" x14ac:dyDescent="0.2">
      <c r="I472" s="11"/>
    </row>
    <row r="473" spans="9:9" x14ac:dyDescent="0.2">
      <c r="I473" s="11"/>
    </row>
    <row r="474" spans="9:9" x14ac:dyDescent="0.2">
      <c r="I474" s="11"/>
    </row>
    <row r="475" spans="9:9" x14ac:dyDescent="0.2">
      <c r="I475" s="11"/>
    </row>
    <row r="476" spans="9:9" x14ac:dyDescent="0.2">
      <c r="I476" s="11"/>
    </row>
    <row r="477" spans="9:9" x14ac:dyDescent="0.2">
      <c r="I477" s="11"/>
    </row>
    <row r="478" spans="9:9" x14ac:dyDescent="0.2">
      <c r="I478" s="11"/>
    </row>
    <row r="479" spans="9:9" x14ac:dyDescent="0.2">
      <c r="I479" s="11"/>
    </row>
    <row r="480" spans="9:9" x14ac:dyDescent="0.2">
      <c r="I480" s="11"/>
    </row>
    <row r="481" spans="9:9" x14ac:dyDescent="0.2">
      <c r="I481" s="11"/>
    </row>
    <row r="482" spans="9:9" x14ac:dyDescent="0.2">
      <c r="I482" s="11"/>
    </row>
    <row r="483" spans="9:9" x14ac:dyDescent="0.2">
      <c r="I483" s="11"/>
    </row>
    <row r="484" spans="9:9" x14ac:dyDescent="0.2">
      <c r="I484" s="11"/>
    </row>
    <row r="485" spans="9:9" x14ac:dyDescent="0.2">
      <c r="I485" s="11"/>
    </row>
    <row r="486" spans="9:9" x14ac:dyDescent="0.2">
      <c r="I486" s="11"/>
    </row>
    <row r="487" spans="9:9" x14ac:dyDescent="0.2">
      <c r="I487" s="11"/>
    </row>
    <row r="488" spans="9:9" x14ac:dyDescent="0.2">
      <c r="I488" s="11"/>
    </row>
    <row r="489" spans="9:9" x14ac:dyDescent="0.2">
      <c r="I489" s="11"/>
    </row>
    <row r="490" spans="9:9" x14ac:dyDescent="0.2">
      <c r="I490" s="11"/>
    </row>
    <row r="491" spans="9:9" x14ac:dyDescent="0.2">
      <c r="I491" s="11"/>
    </row>
    <row r="492" spans="9:9" x14ac:dyDescent="0.2">
      <c r="I492" s="11"/>
    </row>
    <row r="493" spans="9:9" x14ac:dyDescent="0.2">
      <c r="I493" s="11"/>
    </row>
    <row r="494" spans="9:9" x14ac:dyDescent="0.2">
      <c r="I494" s="11"/>
    </row>
    <row r="495" spans="9:9" x14ac:dyDescent="0.2">
      <c r="I495" s="11"/>
    </row>
    <row r="496" spans="9:9" x14ac:dyDescent="0.2">
      <c r="I496" s="11"/>
    </row>
    <row r="497" spans="9:9" x14ac:dyDescent="0.2">
      <c r="I497" s="11"/>
    </row>
    <row r="498" spans="9:9" x14ac:dyDescent="0.2">
      <c r="I498" s="11"/>
    </row>
    <row r="499" spans="9:9" x14ac:dyDescent="0.2">
      <c r="I499" s="11"/>
    </row>
    <row r="500" spans="9:9" x14ac:dyDescent="0.2">
      <c r="I500" s="11"/>
    </row>
    <row r="501" spans="9:9" x14ac:dyDescent="0.2">
      <c r="I501" s="11"/>
    </row>
    <row r="502" spans="9:9" x14ac:dyDescent="0.2">
      <c r="I502" s="11"/>
    </row>
    <row r="503" spans="9:9" x14ac:dyDescent="0.2">
      <c r="I503" s="11"/>
    </row>
    <row r="504" spans="9:9" x14ac:dyDescent="0.2">
      <c r="I504" s="11"/>
    </row>
    <row r="505" spans="9:9" x14ac:dyDescent="0.2">
      <c r="I505" s="11"/>
    </row>
    <row r="506" spans="9:9" x14ac:dyDescent="0.2">
      <c r="I506" s="11"/>
    </row>
    <row r="507" spans="9:9" x14ac:dyDescent="0.2">
      <c r="I507" s="11"/>
    </row>
    <row r="508" spans="9:9" x14ac:dyDescent="0.2">
      <c r="I508" s="11"/>
    </row>
    <row r="509" spans="9:9" x14ac:dyDescent="0.2">
      <c r="I509" s="11"/>
    </row>
    <row r="510" spans="9:9" x14ac:dyDescent="0.2">
      <c r="I510" s="11"/>
    </row>
    <row r="511" spans="9:9" x14ac:dyDescent="0.2">
      <c r="I511" s="11"/>
    </row>
    <row r="512" spans="9:9" x14ac:dyDescent="0.2">
      <c r="I512" s="11"/>
    </row>
    <row r="513" spans="9:9" x14ac:dyDescent="0.2">
      <c r="I513" s="11"/>
    </row>
    <row r="514" spans="9:9" x14ac:dyDescent="0.2">
      <c r="I514" s="11"/>
    </row>
    <row r="515" spans="9:9" x14ac:dyDescent="0.2">
      <c r="I515" s="11"/>
    </row>
    <row r="516" spans="9:9" x14ac:dyDescent="0.2">
      <c r="I516" s="11"/>
    </row>
    <row r="517" spans="9:9" x14ac:dyDescent="0.2">
      <c r="I517" s="11"/>
    </row>
    <row r="518" spans="9:9" x14ac:dyDescent="0.2">
      <c r="I518" s="11"/>
    </row>
    <row r="519" spans="9:9" x14ac:dyDescent="0.2">
      <c r="I519" s="11"/>
    </row>
    <row r="520" spans="9:9" x14ac:dyDescent="0.2">
      <c r="I520" s="11"/>
    </row>
    <row r="521" spans="9:9" x14ac:dyDescent="0.2">
      <c r="I521" s="11"/>
    </row>
    <row r="522" spans="9:9" x14ac:dyDescent="0.2">
      <c r="I522" s="11"/>
    </row>
    <row r="523" spans="9:9" x14ac:dyDescent="0.2">
      <c r="I523" s="11"/>
    </row>
    <row r="524" spans="9:9" x14ac:dyDescent="0.2">
      <c r="I524" s="11"/>
    </row>
    <row r="525" spans="9:9" x14ac:dyDescent="0.2">
      <c r="I525" s="11"/>
    </row>
    <row r="526" spans="9:9" x14ac:dyDescent="0.2">
      <c r="I526" s="11"/>
    </row>
    <row r="527" spans="9:9" x14ac:dyDescent="0.2">
      <c r="I527" s="11"/>
    </row>
    <row r="528" spans="9:9" x14ac:dyDescent="0.2">
      <c r="I528" s="11"/>
    </row>
    <row r="529" spans="9:9" x14ac:dyDescent="0.2">
      <c r="I529" s="11"/>
    </row>
    <row r="530" spans="9:9" x14ac:dyDescent="0.2">
      <c r="I530" s="11"/>
    </row>
    <row r="531" spans="9:9" x14ac:dyDescent="0.2">
      <c r="I531" s="11"/>
    </row>
    <row r="532" spans="9:9" x14ac:dyDescent="0.2">
      <c r="I532" s="11"/>
    </row>
    <row r="533" spans="9:9" x14ac:dyDescent="0.2">
      <c r="I533" s="11"/>
    </row>
    <row r="534" spans="9:9" x14ac:dyDescent="0.2">
      <c r="I534" s="11"/>
    </row>
    <row r="535" spans="9:9" x14ac:dyDescent="0.2">
      <c r="I535" s="11"/>
    </row>
    <row r="536" spans="9:9" x14ac:dyDescent="0.2">
      <c r="I536" s="11"/>
    </row>
    <row r="537" spans="9:9" x14ac:dyDescent="0.2">
      <c r="I537" s="11"/>
    </row>
    <row r="538" spans="9:9" x14ac:dyDescent="0.2">
      <c r="I538" s="11"/>
    </row>
    <row r="539" spans="9:9" x14ac:dyDescent="0.2">
      <c r="I539" s="11"/>
    </row>
    <row r="540" spans="9:9" x14ac:dyDescent="0.2">
      <c r="I540" s="11"/>
    </row>
    <row r="541" spans="9:9" x14ac:dyDescent="0.2">
      <c r="I541" s="11"/>
    </row>
    <row r="542" spans="9:9" x14ac:dyDescent="0.2">
      <c r="I542" s="11"/>
    </row>
    <row r="543" spans="9:9" x14ac:dyDescent="0.2">
      <c r="I543" s="11"/>
    </row>
    <row r="544" spans="9:9" x14ac:dyDescent="0.2">
      <c r="I544" s="11"/>
    </row>
    <row r="545" spans="9:9" x14ac:dyDescent="0.2">
      <c r="I545" s="11"/>
    </row>
    <row r="546" spans="9:9" x14ac:dyDescent="0.2">
      <c r="I546" s="11"/>
    </row>
    <row r="547" spans="9:9" x14ac:dyDescent="0.2">
      <c r="I547" s="11"/>
    </row>
    <row r="548" spans="9:9" x14ac:dyDescent="0.2">
      <c r="I548" s="11"/>
    </row>
    <row r="549" spans="9:9" x14ac:dyDescent="0.2">
      <c r="I549" s="11"/>
    </row>
    <row r="550" spans="9:9" x14ac:dyDescent="0.2">
      <c r="I550" s="11"/>
    </row>
    <row r="551" spans="9:9" x14ac:dyDescent="0.2">
      <c r="I551" s="11"/>
    </row>
    <row r="552" spans="9:9" x14ac:dyDescent="0.2">
      <c r="I552" s="11"/>
    </row>
    <row r="553" spans="9:9" x14ac:dyDescent="0.2">
      <c r="I553" s="11"/>
    </row>
    <row r="554" spans="9:9" x14ac:dyDescent="0.2">
      <c r="I554" s="11"/>
    </row>
    <row r="555" spans="9:9" x14ac:dyDescent="0.2">
      <c r="I555" s="11"/>
    </row>
    <row r="556" spans="9:9" x14ac:dyDescent="0.2">
      <c r="I556" s="11"/>
    </row>
    <row r="557" spans="9:9" x14ac:dyDescent="0.2">
      <c r="I557" s="11"/>
    </row>
    <row r="558" spans="9:9" x14ac:dyDescent="0.2">
      <c r="I558" s="11"/>
    </row>
    <row r="559" spans="9:9" x14ac:dyDescent="0.2">
      <c r="I559" s="11"/>
    </row>
    <row r="560" spans="9:9" x14ac:dyDescent="0.2">
      <c r="I560" s="11"/>
    </row>
    <row r="561" spans="9:9" x14ac:dyDescent="0.2">
      <c r="I561" s="11"/>
    </row>
    <row r="562" spans="9:9" x14ac:dyDescent="0.2">
      <c r="I562" s="11"/>
    </row>
    <row r="563" spans="9:9" x14ac:dyDescent="0.2">
      <c r="I563" s="11"/>
    </row>
    <row r="564" spans="9:9" x14ac:dyDescent="0.2">
      <c r="I564" s="11"/>
    </row>
    <row r="565" spans="9:9" x14ac:dyDescent="0.2">
      <c r="I565" s="11"/>
    </row>
    <row r="566" spans="9:9" x14ac:dyDescent="0.2">
      <c r="I566" s="11"/>
    </row>
    <row r="567" spans="9:9" x14ac:dyDescent="0.2">
      <c r="I567" s="11"/>
    </row>
    <row r="568" spans="9:9" x14ac:dyDescent="0.2">
      <c r="I568" s="11"/>
    </row>
    <row r="569" spans="9:9" x14ac:dyDescent="0.2">
      <c r="I569" s="11"/>
    </row>
    <row r="570" spans="9:9" x14ac:dyDescent="0.2">
      <c r="I570" s="11"/>
    </row>
    <row r="571" spans="9:9" x14ac:dyDescent="0.2">
      <c r="I571" s="11"/>
    </row>
    <row r="572" spans="9:9" x14ac:dyDescent="0.2">
      <c r="I572" s="11"/>
    </row>
    <row r="573" spans="9:9" x14ac:dyDescent="0.2">
      <c r="I573" s="11"/>
    </row>
    <row r="574" spans="9:9" x14ac:dyDescent="0.2">
      <c r="I574" s="11"/>
    </row>
    <row r="575" spans="9:9" x14ac:dyDescent="0.2">
      <c r="I575" s="11"/>
    </row>
    <row r="576" spans="9:9" x14ac:dyDescent="0.2">
      <c r="I576" s="11"/>
    </row>
    <row r="577" spans="9:9" x14ac:dyDescent="0.2">
      <c r="I577" s="11"/>
    </row>
    <row r="578" spans="9:9" x14ac:dyDescent="0.2">
      <c r="I578" s="11"/>
    </row>
    <row r="579" spans="9:9" x14ac:dyDescent="0.2">
      <c r="I579" s="11"/>
    </row>
    <row r="580" spans="9:9" x14ac:dyDescent="0.2">
      <c r="I580" s="11"/>
    </row>
    <row r="581" spans="9:9" x14ac:dyDescent="0.2">
      <c r="I581" s="11"/>
    </row>
    <row r="582" spans="9:9" x14ac:dyDescent="0.2">
      <c r="I582" s="11"/>
    </row>
    <row r="583" spans="9:9" x14ac:dyDescent="0.2">
      <c r="I583" s="11"/>
    </row>
    <row r="584" spans="9:9" x14ac:dyDescent="0.2">
      <c r="I584" s="11"/>
    </row>
    <row r="585" spans="9:9" x14ac:dyDescent="0.2">
      <c r="I585" s="11"/>
    </row>
    <row r="586" spans="9:9" x14ac:dyDescent="0.2">
      <c r="I586" s="11"/>
    </row>
    <row r="587" spans="9:9" x14ac:dyDescent="0.2">
      <c r="I587" s="11"/>
    </row>
    <row r="588" spans="9:9" x14ac:dyDescent="0.2">
      <c r="I588" s="11"/>
    </row>
    <row r="589" spans="9:9" x14ac:dyDescent="0.2">
      <c r="I589" s="11"/>
    </row>
    <row r="590" spans="9:9" x14ac:dyDescent="0.2">
      <c r="I590" s="11"/>
    </row>
    <row r="591" spans="9:9" x14ac:dyDescent="0.2">
      <c r="I591" s="11"/>
    </row>
    <row r="592" spans="9:9" x14ac:dyDescent="0.2">
      <c r="I592" s="11"/>
    </row>
    <row r="593" spans="9:9" x14ac:dyDescent="0.2">
      <c r="I593" s="11"/>
    </row>
    <row r="594" spans="9:9" x14ac:dyDescent="0.2">
      <c r="I594" s="11"/>
    </row>
    <row r="595" spans="9:9" x14ac:dyDescent="0.2">
      <c r="I595" s="11"/>
    </row>
    <row r="596" spans="9:9" x14ac:dyDescent="0.2">
      <c r="I596" s="11"/>
    </row>
    <row r="597" spans="9:9" x14ac:dyDescent="0.2">
      <c r="I597" s="11"/>
    </row>
    <row r="598" spans="9:9" x14ac:dyDescent="0.2">
      <c r="I598" s="11"/>
    </row>
    <row r="599" spans="9:9" x14ac:dyDescent="0.2">
      <c r="I599" s="11"/>
    </row>
    <row r="600" spans="9:9" x14ac:dyDescent="0.2">
      <c r="I600" s="11"/>
    </row>
    <row r="601" spans="9:9" x14ac:dyDescent="0.2">
      <c r="I601" s="11"/>
    </row>
    <row r="602" spans="9:9" x14ac:dyDescent="0.2">
      <c r="I602" s="11"/>
    </row>
    <row r="603" spans="9:9" x14ac:dyDescent="0.2">
      <c r="I603" s="11"/>
    </row>
    <row r="604" spans="9:9" x14ac:dyDescent="0.2">
      <c r="I604" s="11"/>
    </row>
    <row r="605" spans="9:9" x14ac:dyDescent="0.2">
      <c r="I605" s="11"/>
    </row>
  </sheetData>
  <mergeCells count="3">
    <mergeCell ref="B1:C1"/>
    <mergeCell ref="B30:I30"/>
    <mergeCell ref="B32:I32"/>
  </mergeCells>
  <conditionalFormatting sqref="G1:G3 G5:G29 G31 G33:G197">
    <cfRule type="cellIs" dxfId="11" priority="1" stopIfTrue="1" operator="between">
      <formula>0.009</formula>
      <formula>-0.009</formula>
    </cfRule>
  </conditionalFormatting>
  <hyperlinks>
    <hyperlink ref="A2" location="Index!A1" display="-" xr:uid="{07ADDD36-3334-47C3-916E-F0FCFA5EB3A2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9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33BD-5E52-4FA3-AEF5-CB091235FA05}">
  <dimension ref="A1:J658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5.54296875" style="6" customWidth="1"/>
    <col min="4" max="4" width="14.453125" style="6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1.81640625" style="11" bestFit="1" customWidth="1"/>
    <col min="9" max="9" width="10.1796875" style="6" bestFit="1" customWidth="1"/>
    <col min="10" max="10" width="9.1796875" style="6" customWidth="1"/>
    <col min="11" max="16384" width="9.1796875" style="6"/>
  </cols>
  <sheetData>
    <row r="1" spans="1:10" s="1" customFormat="1" ht="16.75" customHeight="1" x14ac:dyDescent="0.35">
      <c r="B1" s="160" t="s">
        <v>13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35.5" customHeight="1" x14ac:dyDescent="0.25">
      <c r="B4" s="74" t="s">
        <v>7</v>
      </c>
      <c r="C4" s="74" t="s">
        <v>8</v>
      </c>
      <c r="D4" s="75" t="s">
        <v>255</v>
      </c>
      <c r="E4" s="75" t="s">
        <v>0</v>
      </c>
      <c r="F4" s="76" t="s">
        <v>4</v>
      </c>
      <c r="G4" s="77" t="s">
        <v>5</v>
      </c>
      <c r="H4" s="78" t="s">
        <v>6</v>
      </c>
      <c r="I4" s="76" t="s">
        <v>188</v>
      </c>
      <c r="J4" s="9"/>
    </row>
    <row r="5" spans="1:10" ht="10.5" x14ac:dyDescent="0.25">
      <c r="B5" s="30" t="s">
        <v>189</v>
      </c>
      <c r="C5" s="31"/>
      <c r="D5" s="31"/>
      <c r="E5" s="31"/>
      <c r="F5" s="32"/>
      <c r="G5" s="33"/>
      <c r="H5" s="34"/>
      <c r="I5" s="31"/>
    </row>
    <row r="6" spans="1:10" ht="10.5" x14ac:dyDescent="0.25">
      <c r="B6" s="30" t="s">
        <v>190</v>
      </c>
      <c r="C6" s="31"/>
      <c r="D6" s="31"/>
      <c r="E6" s="31"/>
      <c r="F6" s="32"/>
      <c r="G6" s="33"/>
      <c r="H6" s="34"/>
      <c r="I6" s="31"/>
    </row>
    <row r="7" spans="1:10" x14ac:dyDescent="0.2">
      <c r="B7" s="31" t="s">
        <v>266</v>
      </c>
      <c r="C7" s="31" t="s">
        <v>267</v>
      </c>
      <c r="D7" s="31" t="s">
        <v>201</v>
      </c>
      <c r="E7" s="35">
        <v>8000</v>
      </c>
      <c r="F7" s="32">
        <v>39384.44</v>
      </c>
      <c r="G7" s="33">
        <v>4.8083985052687996</v>
      </c>
      <c r="H7" s="36">
        <v>6.4101000000000005E-2</v>
      </c>
      <c r="I7" s="62"/>
    </row>
    <row r="8" spans="1:10" x14ac:dyDescent="0.2">
      <c r="B8" s="31" t="s">
        <v>268</v>
      </c>
      <c r="C8" s="31" t="s">
        <v>269</v>
      </c>
      <c r="D8" s="31" t="s">
        <v>196</v>
      </c>
      <c r="E8" s="35">
        <v>6000</v>
      </c>
      <c r="F8" s="32">
        <v>29731.919999999998</v>
      </c>
      <c r="G8" s="33">
        <v>3.6299340472219801</v>
      </c>
      <c r="H8" s="36">
        <v>6.2099000000000001E-2</v>
      </c>
      <c r="I8" s="62"/>
    </row>
    <row r="9" spans="1:10" x14ac:dyDescent="0.2">
      <c r="B9" s="31" t="s">
        <v>270</v>
      </c>
      <c r="C9" s="31" t="s">
        <v>271</v>
      </c>
      <c r="D9" s="31" t="s">
        <v>196</v>
      </c>
      <c r="E9" s="35">
        <v>5000</v>
      </c>
      <c r="F9" s="32">
        <v>24891.724999999999</v>
      </c>
      <c r="G9" s="33">
        <v>3.0390005109520901</v>
      </c>
      <c r="H9" s="36">
        <v>6.1065000000000001E-2</v>
      </c>
      <c r="I9" s="62"/>
    </row>
    <row r="10" spans="1:10" x14ac:dyDescent="0.2">
      <c r="B10" s="31" t="s">
        <v>272</v>
      </c>
      <c r="C10" s="31" t="s">
        <v>273</v>
      </c>
      <c r="D10" s="31" t="s">
        <v>196</v>
      </c>
      <c r="E10" s="35">
        <v>5000</v>
      </c>
      <c r="F10" s="32">
        <v>24855.924999999999</v>
      </c>
      <c r="G10" s="33">
        <v>3.0346297323783999</v>
      </c>
      <c r="H10" s="36">
        <v>6.2225999999999997E-2</v>
      </c>
      <c r="I10" s="62"/>
    </row>
    <row r="11" spans="1:10" x14ac:dyDescent="0.2">
      <c r="B11" s="31" t="s">
        <v>274</v>
      </c>
      <c r="C11" s="31" t="s">
        <v>275</v>
      </c>
      <c r="D11" s="31" t="s">
        <v>196</v>
      </c>
      <c r="E11" s="35">
        <v>5000</v>
      </c>
      <c r="F11" s="32">
        <v>24796.45</v>
      </c>
      <c r="G11" s="33">
        <v>3.0273685017731</v>
      </c>
      <c r="H11" s="36">
        <v>6.3749E-2</v>
      </c>
      <c r="I11" s="62"/>
    </row>
    <row r="12" spans="1:10" x14ac:dyDescent="0.2">
      <c r="B12" s="31" t="s">
        <v>276</v>
      </c>
      <c r="C12" s="31" t="s">
        <v>277</v>
      </c>
      <c r="D12" s="31" t="s">
        <v>196</v>
      </c>
      <c r="E12" s="35">
        <v>5000</v>
      </c>
      <c r="F12" s="32">
        <v>24765.65</v>
      </c>
      <c r="G12" s="33">
        <v>3.02360816713428</v>
      </c>
      <c r="H12" s="36">
        <v>6.2800999999999996E-2</v>
      </c>
      <c r="I12" s="62"/>
    </row>
    <row r="13" spans="1:10" x14ac:dyDescent="0.2">
      <c r="B13" s="31" t="s">
        <v>278</v>
      </c>
      <c r="C13" s="31" t="s">
        <v>279</v>
      </c>
      <c r="D13" s="31" t="s">
        <v>196</v>
      </c>
      <c r="E13" s="35">
        <v>4000</v>
      </c>
      <c r="F13" s="32">
        <v>19885.099999999999</v>
      </c>
      <c r="G13" s="33">
        <v>2.4277477378660302</v>
      </c>
      <c r="H13" s="36">
        <v>6.2031000000000003E-2</v>
      </c>
      <c r="I13" s="62"/>
    </row>
    <row r="14" spans="1:10" x14ac:dyDescent="0.2">
      <c r="B14" s="31" t="s">
        <v>280</v>
      </c>
      <c r="C14" s="31" t="s">
        <v>281</v>
      </c>
      <c r="D14" s="31" t="s">
        <v>196</v>
      </c>
      <c r="E14" s="35">
        <v>4000</v>
      </c>
      <c r="F14" s="32">
        <v>19710.900000000001</v>
      </c>
      <c r="G14" s="33">
        <v>2.4064798711750801</v>
      </c>
      <c r="H14" s="36">
        <v>6.4500000000000002E-2</v>
      </c>
      <c r="I14" s="62"/>
    </row>
    <row r="15" spans="1:10" x14ac:dyDescent="0.2">
      <c r="B15" s="31" t="s">
        <v>282</v>
      </c>
      <c r="C15" s="31" t="s">
        <v>283</v>
      </c>
      <c r="D15" s="31" t="s">
        <v>196</v>
      </c>
      <c r="E15" s="35">
        <v>3000</v>
      </c>
      <c r="F15" s="32">
        <v>14937.525</v>
      </c>
      <c r="G15" s="33">
        <v>1.8237043076508199</v>
      </c>
      <c r="H15" s="36">
        <v>6.1062999999999999E-2</v>
      </c>
      <c r="I15" s="62"/>
    </row>
    <row r="16" spans="1:10" x14ac:dyDescent="0.2">
      <c r="B16" s="31" t="s">
        <v>284</v>
      </c>
      <c r="C16" s="31" t="s">
        <v>285</v>
      </c>
      <c r="D16" s="31" t="s">
        <v>196</v>
      </c>
      <c r="E16" s="35">
        <v>3000</v>
      </c>
      <c r="F16" s="32">
        <v>14898.764999999999</v>
      </c>
      <c r="G16" s="33">
        <v>1.81897214626769</v>
      </c>
      <c r="H16" s="36">
        <v>6.2003000000000003E-2</v>
      </c>
      <c r="I16" s="62"/>
    </row>
    <row r="17" spans="2:9" x14ac:dyDescent="0.2">
      <c r="B17" s="31" t="s">
        <v>286</v>
      </c>
      <c r="C17" s="31" t="s">
        <v>287</v>
      </c>
      <c r="D17" s="31" t="s">
        <v>196</v>
      </c>
      <c r="E17" s="35">
        <v>3000</v>
      </c>
      <c r="F17" s="32">
        <v>14839.11</v>
      </c>
      <c r="G17" s="33">
        <v>1.8116889396807301</v>
      </c>
      <c r="H17" s="36">
        <v>6.4876000000000003E-2</v>
      </c>
      <c r="I17" s="62"/>
    </row>
    <row r="18" spans="2:9" x14ac:dyDescent="0.2">
      <c r="B18" s="31" t="s">
        <v>288</v>
      </c>
      <c r="C18" s="31" t="s">
        <v>289</v>
      </c>
      <c r="D18" s="31" t="s">
        <v>196</v>
      </c>
      <c r="E18" s="35">
        <v>2000</v>
      </c>
      <c r="F18" s="32">
        <v>9935.66</v>
      </c>
      <c r="G18" s="33">
        <v>1.21303267719076</v>
      </c>
      <c r="H18" s="36">
        <v>6.2199999999999998E-2</v>
      </c>
      <c r="I18" s="62"/>
    </row>
    <row r="19" spans="2:9" x14ac:dyDescent="0.2">
      <c r="B19" s="31" t="s">
        <v>290</v>
      </c>
      <c r="C19" s="31" t="s">
        <v>291</v>
      </c>
      <c r="D19" s="31" t="s">
        <v>196</v>
      </c>
      <c r="E19" s="35">
        <v>2000</v>
      </c>
      <c r="F19" s="32">
        <v>9894.01</v>
      </c>
      <c r="G19" s="33">
        <v>1.2079476792132799</v>
      </c>
      <c r="H19" s="36">
        <v>6.4100000000000004E-2</v>
      </c>
      <c r="I19" s="62"/>
    </row>
    <row r="20" spans="2:9" x14ac:dyDescent="0.2">
      <c r="B20" s="31" t="s">
        <v>292</v>
      </c>
      <c r="C20" s="31" t="s">
        <v>293</v>
      </c>
      <c r="D20" s="31" t="s">
        <v>196</v>
      </c>
      <c r="E20" s="35">
        <v>1500</v>
      </c>
      <c r="F20" s="32">
        <v>7470</v>
      </c>
      <c r="G20" s="33">
        <v>0.91200323869929101</v>
      </c>
      <c r="H20" s="36">
        <v>6.1085E-2</v>
      </c>
      <c r="I20" s="62"/>
    </row>
    <row r="21" spans="2:9" x14ac:dyDescent="0.2">
      <c r="B21" s="31" t="s">
        <v>294</v>
      </c>
      <c r="C21" s="31" t="s">
        <v>295</v>
      </c>
      <c r="D21" s="31" t="s">
        <v>196</v>
      </c>
      <c r="E21" s="35">
        <v>1500</v>
      </c>
      <c r="F21" s="32">
        <v>7431.5550000000003</v>
      </c>
      <c r="G21" s="33">
        <v>0.907309535284057</v>
      </c>
      <c r="H21" s="36">
        <v>6.2253000000000003E-2</v>
      </c>
      <c r="I21" s="62"/>
    </row>
    <row r="22" spans="2:9" x14ac:dyDescent="0.2">
      <c r="B22" s="31" t="s">
        <v>296</v>
      </c>
      <c r="C22" s="31" t="s">
        <v>297</v>
      </c>
      <c r="D22" s="31" t="s">
        <v>193</v>
      </c>
      <c r="E22" s="35">
        <v>1500</v>
      </c>
      <c r="F22" s="32">
        <v>7430.4674999999997</v>
      </c>
      <c r="G22" s="33">
        <v>0.90717676372822298</v>
      </c>
      <c r="H22" s="36">
        <v>6.2101000000000003E-2</v>
      </c>
      <c r="I22" s="62"/>
    </row>
    <row r="23" spans="2:9" x14ac:dyDescent="0.2">
      <c r="B23" s="31" t="s">
        <v>298</v>
      </c>
      <c r="C23" s="31" t="s">
        <v>299</v>
      </c>
      <c r="D23" s="31" t="s">
        <v>196</v>
      </c>
      <c r="E23" s="35">
        <v>1500</v>
      </c>
      <c r="F23" s="32">
        <v>7425.8249999999998</v>
      </c>
      <c r="G23" s="33">
        <v>0.90660996653469395</v>
      </c>
      <c r="H23" s="36">
        <v>6.1797999999999999E-2</v>
      </c>
      <c r="I23" s="62"/>
    </row>
    <row r="24" spans="2:9" x14ac:dyDescent="0.2">
      <c r="B24" s="31" t="s">
        <v>300</v>
      </c>
      <c r="C24" s="31" t="s">
        <v>301</v>
      </c>
      <c r="D24" s="31" t="s">
        <v>196</v>
      </c>
      <c r="E24" s="35">
        <v>1000</v>
      </c>
      <c r="F24" s="32">
        <v>4976.78</v>
      </c>
      <c r="G24" s="33">
        <v>0.607609033238803</v>
      </c>
      <c r="H24" s="36">
        <v>6.0819999999999999E-2</v>
      </c>
      <c r="I24" s="62"/>
    </row>
    <row r="25" spans="2:9" x14ac:dyDescent="0.2">
      <c r="B25" s="31" t="s">
        <v>302</v>
      </c>
      <c r="C25" s="31" t="s">
        <v>303</v>
      </c>
      <c r="D25" s="31" t="s">
        <v>196</v>
      </c>
      <c r="E25" s="35">
        <v>1000</v>
      </c>
      <c r="F25" s="32">
        <v>4971.29</v>
      </c>
      <c r="G25" s="33">
        <v>0.60693876579831296</v>
      </c>
      <c r="H25" s="36">
        <v>6.1997999999999998E-2</v>
      </c>
      <c r="I25" s="62"/>
    </row>
    <row r="26" spans="2:9" x14ac:dyDescent="0.2">
      <c r="B26" s="31" t="s">
        <v>304</v>
      </c>
      <c r="C26" s="31" t="s">
        <v>305</v>
      </c>
      <c r="D26" s="31" t="s">
        <v>196</v>
      </c>
      <c r="E26" s="35">
        <v>1000</v>
      </c>
      <c r="F26" s="32">
        <v>4953.9399999999996</v>
      </c>
      <c r="G26" s="33">
        <v>0.60482052534430597</v>
      </c>
      <c r="H26" s="36">
        <v>6.2849000000000002E-2</v>
      </c>
      <c r="I26" s="62"/>
    </row>
    <row r="27" spans="2:9" x14ac:dyDescent="0.2">
      <c r="B27" s="31" t="s">
        <v>306</v>
      </c>
      <c r="C27" s="31" t="s">
        <v>307</v>
      </c>
      <c r="D27" s="31" t="s">
        <v>196</v>
      </c>
      <c r="E27" s="35">
        <v>1000</v>
      </c>
      <c r="F27" s="32">
        <v>4952.835</v>
      </c>
      <c r="G27" s="33">
        <v>0.60468561723469905</v>
      </c>
      <c r="H27" s="36">
        <v>6.3197000000000003E-2</v>
      </c>
      <c r="I27" s="62"/>
    </row>
    <row r="28" spans="2:9" x14ac:dyDescent="0.2">
      <c r="B28" s="31" t="s">
        <v>308</v>
      </c>
      <c r="C28" s="31" t="s">
        <v>309</v>
      </c>
      <c r="D28" s="31" t="s">
        <v>196</v>
      </c>
      <c r="E28" s="35">
        <v>500</v>
      </c>
      <c r="F28" s="32">
        <v>2498.3225000000002</v>
      </c>
      <c r="G28" s="33">
        <v>0.30501716349602498</v>
      </c>
      <c r="H28" s="36">
        <v>6.1316000000000002E-2</v>
      </c>
      <c r="I28" s="62"/>
    </row>
    <row r="29" spans="2:9" ht="10.5" x14ac:dyDescent="0.25">
      <c r="B29" s="30" t="s">
        <v>170</v>
      </c>
      <c r="C29" s="30"/>
      <c r="D29" s="30"/>
      <c r="E29" s="30"/>
      <c r="F29" s="48">
        <f>SUM(F6:F28)</f>
        <v>324638.19500000001</v>
      </c>
      <c r="G29" s="49">
        <f>SUM(G6:G28)</f>
        <v>39.634683433131457</v>
      </c>
      <c r="H29" s="39"/>
      <c r="I29" s="30"/>
    </row>
    <row r="30" spans="2:9" ht="10.5" x14ac:dyDescent="0.25">
      <c r="B30" s="30" t="s">
        <v>236</v>
      </c>
      <c r="C30" s="31"/>
      <c r="D30" s="31"/>
      <c r="E30" s="31"/>
      <c r="F30" s="32"/>
      <c r="G30" s="33"/>
      <c r="H30" s="34"/>
      <c r="I30" s="31"/>
    </row>
    <row r="31" spans="2:9" x14ac:dyDescent="0.2">
      <c r="B31" s="31" t="s">
        <v>310</v>
      </c>
      <c r="C31" s="31" t="s">
        <v>311</v>
      </c>
      <c r="D31" s="31" t="s">
        <v>196</v>
      </c>
      <c r="E31" s="35">
        <v>8000</v>
      </c>
      <c r="F31" s="32">
        <v>39745.24</v>
      </c>
      <c r="G31" s="33">
        <v>4.8524481396091801</v>
      </c>
      <c r="H31" s="36">
        <v>6.6850999999999994E-2</v>
      </c>
      <c r="I31" s="62"/>
    </row>
    <row r="32" spans="2:9" x14ac:dyDescent="0.2">
      <c r="B32" s="31" t="s">
        <v>312</v>
      </c>
      <c r="C32" s="31" t="s">
        <v>313</v>
      </c>
      <c r="D32" s="31" t="s">
        <v>201</v>
      </c>
      <c r="E32" s="35">
        <v>6000</v>
      </c>
      <c r="F32" s="32">
        <v>29859.63</v>
      </c>
      <c r="G32" s="33">
        <v>3.6455260062064898</v>
      </c>
      <c r="H32" s="36">
        <v>6.5994999999999998E-2</v>
      </c>
      <c r="I32" s="62"/>
    </row>
    <row r="33" spans="2:9" x14ac:dyDescent="0.2">
      <c r="B33" s="31" t="s">
        <v>314</v>
      </c>
      <c r="C33" s="31" t="s">
        <v>315</v>
      </c>
      <c r="D33" s="31" t="s">
        <v>196</v>
      </c>
      <c r="E33" s="35">
        <v>5000</v>
      </c>
      <c r="F33" s="32">
        <v>24855.3</v>
      </c>
      <c r="G33" s="33">
        <v>3.0345534268865402</v>
      </c>
      <c r="H33" s="36">
        <v>6.2497999999999998E-2</v>
      </c>
      <c r="I33" s="62"/>
    </row>
    <row r="34" spans="2:9" x14ac:dyDescent="0.2">
      <c r="B34" s="31" t="s">
        <v>316</v>
      </c>
      <c r="C34" s="31" t="s">
        <v>317</v>
      </c>
      <c r="D34" s="31" t="s">
        <v>196</v>
      </c>
      <c r="E34" s="35">
        <v>5000</v>
      </c>
      <c r="F34" s="32">
        <v>24851.05</v>
      </c>
      <c r="G34" s="33">
        <v>3.0340345495419001</v>
      </c>
      <c r="H34" s="36">
        <v>6.2506000000000006E-2</v>
      </c>
      <c r="I34" s="62"/>
    </row>
    <row r="35" spans="2:9" x14ac:dyDescent="0.2">
      <c r="B35" s="31" t="s">
        <v>318</v>
      </c>
      <c r="C35" s="31" t="s">
        <v>319</v>
      </c>
      <c r="D35" s="31" t="s">
        <v>196</v>
      </c>
      <c r="E35" s="35">
        <v>5000</v>
      </c>
      <c r="F35" s="32">
        <v>24827.224999999999</v>
      </c>
      <c r="G35" s="33">
        <v>3.0311257841922399</v>
      </c>
      <c r="H35" s="36">
        <v>6.6849000000000006E-2</v>
      </c>
      <c r="I35" s="62"/>
    </row>
    <row r="36" spans="2:9" x14ac:dyDescent="0.2">
      <c r="B36" s="31" t="s">
        <v>320</v>
      </c>
      <c r="C36" s="31" t="s">
        <v>321</v>
      </c>
      <c r="D36" s="31" t="s">
        <v>196</v>
      </c>
      <c r="E36" s="35">
        <v>5000</v>
      </c>
      <c r="F36" s="32">
        <v>24804.174999999999</v>
      </c>
      <c r="G36" s="33">
        <v>3.0283116376524699</v>
      </c>
      <c r="H36" s="36">
        <v>6.2647999999999995E-2</v>
      </c>
      <c r="I36" s="62"/>
    </row>
    <row r="37" spans="2:9" x14ac:dyDescent="0.2">
      <c r="B37" s="31" t="s">
        <v>322</v>
      </c>
      <c r="C37" s="31" t="s">
        <v>323</v>
      </c>
      <c r="D37" s="31" t="s">
        <v>196</v>
      </c>
      <c r="E37" s="35">
        <v>5000</v>
      </c>
      <c r="F37" s="32">
        <v>24771.625</v>
      </c>
      <c r="G37" s="33">
        <v>3.0243376476364601</v>
      </c>
      <c r="H37" s="36">
        <v>6.8673999999999999E-2</v>
      </c>
      <c r="I37" s="62"/>
    </row>
    <row r="38" spans="2:9" x14ac:dyDescent="0.2">
      <c r="B38" s="31" t="s">
        <v>324</v>
      </c>
      <c r="C38" s="31" t="s">
        <v>325</v>
      </c>
      <c r="D38" s="31" t="s">
        <v>193</v>
      </c>
      <c r="E38" s="35">
        <v>5000</v>
      </c>
      <c r="F38" s="32">
        <v>24588</v>
      </c>
      <c r="G38" s="33">
        <v>3.0019190941282701</v>
      </c>
      <c r="H38" s="36">
        <v>6.9500000000000006E-2</v>
      </c>
      <c r="I38" s="62"/>
    </row>
    <row r="39" spans="2:9" x14ac:dyDescent="0.2">
      <c r="B39" s="31" t="s">
        <v>326</v>
      </c>
      <c r="C39" s="31" t="s">
        <v>327</v>
      </c>
      <c r="D39" s="31" t="s">
        <v>196</v>
      </c>
      <c r="E39" s="35">
        <v>4000</v>
      </c>
      <c r="F39" s="32">
        <v>19960.46</v>
      </c>
      <c r="G39" s="33">
        <v>2.4369483488524302</v>
      </c>
      <c r="H39" s="36">
        <v>6.5747E-2</v>
      </c>
      <c r="I39" s="62"/>
    </row>
    <row r="40" spans="2:9" x14ac:dyDescent="0.2">
      <c r="B40" s="31" t="s">
        <v>328</v>
      </c>
      <c r="C40" s="31" t="s">
        <v>329</v>
      </c>
      <c r="D40" s="31" t="s">
        <v>193</v>
      </c>
      <c r="E40" s="35">
        <v>4000</v>
      </c>
      <c r="F40" s="32">
        <v>19913.900000000001</v>
      </c>
      <c r="G40" s="33">
        <v>2.4312638949309</v>
      </c>
      <c r="H40" s="36">
        <v>6.0697000000000001E-2</v>
      </c>
      <c r="I40" s="62"/>
    </row>
    <row r="41" spans="2:9" x14ac:dyDescent="0.2">
      <c r="B41" s="31" t="s">
        <v>330</v>
      </c>
      <c r="C41" s="31" t="s">
        <v>331</v>
      </c>
      <c r="D41" s="31" t="s">
        <v>196</v>
      </c>
      <c r="E41" s="35">
        <v>4000</v>
      </c>
      <c r="F41" s="32">
        <v>19837.16</v>
      </c>
      <c r="G41" s="33">
        <v>2.42189480141848</v>
      </c>
      <c r="H41" s="36">
        <v>6.3749E-2</v>
      </c>
      <c r="I41" s="62"/>
    </row>
    <row r="42" spans="2:9" x14ac:dyDescent="0.2">
      <c r="B42" s="31" t="s">
        <v>332</v>
      </c>
      <c r="C42" s="31" t="s">
        <v>333</v>
      </c>
      <c r="D42" s="31" t="s">
        <v>196</v>
      </c>
      <c r="E42" s="35">
        <v>4000</v>
      </c>
      <c r="F42" s="32">
        <v>19821.54</v>
      </c>
      <c r="G42" s="33">
        <v>2.4199877745659402</v>
      </c>
      <c r="H42" s="36">
        <v>6.3200000000000006E-2</v>
      </c>
      <c r="I42" s="62"/>
    </row>
    <row r="43" spans="2:9" x14ac:dyDescent="0.2">
      <c r="B43" s="31" t="s">
        <v>334</v>
      </c>
      <c r="C43" s="31" t="s">
        <v>335</v>
      </c>
      <c r="D43" s="31" t="s">
        <v>196</v>
      </c>
      <c r="E43" s="35">
        <v>3000</v>
      </c>
      <c r="F43" s="32">
        <v>14984.88</v>
      </c>
      <c r="G43" s="33">
        <v>1.8294858221579999</v>
      </c>
      <c r="H43" s="36">
        <v>6.1412000000000001E-2</v>
      </c>
      <c r="I43" s="62"/>
    </row>
    <row r="44" spans="2:9" x14ac:dyDescent="0.2">
      <c r="B44" s="31" t="s">
        <v>336</v>
      </c>
      <c r="C44" s="31" t="s">
        <v>337</v>
      </c>
      <c r="D44" s="31" t="s">
        <v>196</v>
      </c>
      <c r="E44" s="35">
        <v>3000</v>
      </c>
      <c r="F44" s="32">
        <v>14935.965</v>
      </c>
      <c r="G44" s="33">
        <v>1.82351384914314</v>
      </c>
      <c r="H44" s="36">
        <v>6.2602000000000005E-2</v>
      </c>
      <c r="I44" s="62"/>
    </row>
    <row r="45" spans="2:9" x14ac:dyDescent="0.2">
      <c r="B45" s="31" t="s">
        <v>338</v>
      </c>
      <c r="C45" s="31" t="s">
        <v>339</v>
      </c>
      <c r="D45" s="31" t="s">
        <v>196</v>
      </c>
      <c r="E45" s="35">
        <v>2200</v>
      </c>
      <c r="F45" s="32">
        <v>10857.33</v>
      </c>
      <c r="G45" s="33">
        <v>1.3255582494815199</v>
      </c>
      <c r="H45" s="36">
        <v>6.5701999999999997E-2</v>
      </c>
      <c r="I45" s="62"/>
    </row>
    <row r="46" spans="2:9" x14ac:dyDescent="0.2">
      <c r="B46" s="31" t="s">
        <v>340</v>
      </c>
      <c r="C46" s="31" t="s">
        <v>341</v>
      </c>
      <c r="D46" s="31" t="s">
        <v>196</v>
      </c>
      <c r="E46" s="35">
        <v>2000</v>
      </c>
      <c r="F46" s="32">
        <v>9936.74</v>
      </c>
      <c r="G46" s="33">
        <v>1.2131645330806999</v>
      </c>
      <c r="H46" s="36">
        <v>6.6395999999999997E-2</v>
      </c>
      <c r="I46" s="62"/>
    </row>
    <row r="47" spans="2:9" x14ac:dyDescent="0.2">
      <c r="B47" s="31" t="s">
        <v>342</v>
      </c>
      <c r="C47" s="31" t="s">
        <v>343</v>
      </c>
      <c r="D47" s="31" t="s">
        <v>196</v>
      </c>
      <c r="E47" s="35">
        <v>2000</v>
      </c>
      <c r="F47" s="32">
        <v>9902.2099999999991</v>
      </c>
      <c r="G47" s="33">
        <v>1.20894880726647</v>
      </c>
      <c r="H47" s="36">
        <v>6.6752000000000006E-2</v>
      </c>
      <c r="I47" s="62"/>
    </row>
    <row r="48" spans="2:9" x14ac:dyDescent="0.2">
      <c r="B48" s="31" t="s">
        <v>344</v>
      </c>
      <c r="C48" s="31" t="s">
        <v>345</v>
      </c>
      <c r="D48" s="31" t="s">
        <v>196</v>
      </c>
      <c r="E48" s="35">
        <v>1500</v>
      </c>
      <c r="F48" s="32">
        <v>7429.7250000000004</v>
      </c>
      <c r="G48" s="33">
        <v>0.90708611280389395</v>
      </c>
      <c r="H48" s="36">
        <v>6.6392000000000007E-2</v>
      </c>
      <c r="I48" s="62"/>
    </row>
    <row r="49" spans="2:9" x14ac:dyDescent="0.2">
      <c r="B49" s="31" t="s">
        <v>346</v>
      </c>
      <c r="C49" s="31" t="s">
        <v>347</v>
      </c>
      <c r="D49" s="31" t="s">
        <v>196</v>
      </c>
      <c r="E49" s="35">
        <v>1000</v>
      </c>
      <c r="F49" s="32">
        <v>4983.8549999999996</v>
      </c>
      <c r="G49" s="33">
        <v>0.608472811406647</v>
      </c>
      <c r="H49" s="36">
        <v>6.5698999999999994E-2</v>
      </c>
      <c r="I49" s="62"/>
    </row>
    <row r="50" spans="2:9" x14ac:dyDescent="0.2">
      <c r="B50" s="31" t="s">
        <v>348</v>
      </c>
      <c r="C50" s="31" t="s">
        <v>349</v>
      </c>
      <c r="D50" s="31" t="s">
        <v>196</v>
      </c>
      <c r="E50" s="35">
        <v>1000</v>
      </c>
      <c r="F50" s="32">
        <v>4983.76</v>
      </c>
      <c r="G50" s="33">
        <v>0.60846121297188505</v>
      </c>
      <c r="H50" s="36">
        <v>6.2599000000000002E-2</v>
      </c>
      <c r="I50" s="62"/>
    </row>
    <row r="51" spans="2:9" x14ac:dyDescent="0.2">
      <c r="B51" s="31" t="s">
        <v>350</v>
      </c>
      <c r="C51" s="31" t="s">
        <v>351</v>
      </c>
      <c r="D51" s="31" t="s">
        <v>196</v>
      </c>
      <c r="E51" s="35">
        <v>500</v>
      </c>
      <c r="F51" s="32">
        <v>2494.3375000000001</v>
      </c>
      <c r="G51" s="33">
        <v>0.30453063967993199</v>
      </c>
      <c r="H51" s="36">
        <v>6.3753000000000004E-2</v>
      </c>
      <c r="I51" s="62"/>
    </row>
    <row r="52" spans="2:9" x14ac:dyDescent="0.2">
      <c r="B52" s="31" t="s">
        <v>352</v>
      </c>
      <c r="C52" s="31" t="s">
        <v>353</v>
      </c>
      <c r="D52" s="31" t="s">
        <v>196</v>
      </c>
      <c r="E52" s="35">
        <v>500</v>
      </c>
      <c r="F52" s="32">
        <v>2475.9175</v>
      </c>
      <c r="G52" s="33">
        <v>0.30228176422386199</v>
      </c>
      <c r="H52" s="36">
        <v>6.5749000000000002E-2</v>
      </c>
      <c r="I52" s="62"/>
    </row>
    <row r="53" spans="2:9" ht="10.5" x14ac:dyDescent="0.25">
      <c r="B53" s="30" t="s">
        <v>170</v>
      </c>
      <c r="C53" s="30"/>
      <c r="D53" s="30"/>
      <c r="E53" s="30"/>
      <c r="F53" s="48">
        <f>SUM(F30:F52)</f>
        <v>380820.02499999997</v>
      </c>
      <c r="G53" s="49">
        <f>SUM(G30:G52)</f>
        <v>46.493854907837353</v>
      </c>
      <c r="H53" s="39"/>
      <c r="I53" s="30"/>
    </row>
    <row r="54" spans="2:9" ht="10.5" x14ac:dyDescent="0.25">
      <c r="B54" s="30" t="s">
        <v>243</v>
      </c>
      <c r="C54" s="31"/>
      <c r="D54" s="31"/>
      <c r="E54" s="31"/>
      <c r="F54" s="32"/>
      <c r="G54" s="33"/>
      <c r="H54" s="34"/>
      <c r="I54" s="31"/>
    </row>
    <row r="55" spans="2:9" x14ac:dyDescent="0.2">
      <c r="B55" s="31" t="s">
        <v>354</v>
      </c>
      <c r="C55" s="31" t="s">
        <v>355</v>
      </c>
      <c r="D55" s="31" t="s">
        <v>251</v>
      </c>
      <c r="E55" s="35">
        <v>15000000</v>
      </c>
      <c r="F55" s="32">
        <v>14944.32</v>
      </c>
      <c r="G55" s="33">
        <v>1.8245339009583099</v>
      </c>
      <c r="H55" s="36">
        <v>5.0368000000000003E-2</v>
      </c>
      <c r="I55" s="62"/>
    </row>
    <row r="56" spans="2:9" x14ac:dyDescent="0.2">
      <c r="B56" s="31" t="s">
        <v>356</v>
      </c>
      <c r="C56" s="31" t="s">
        <v>357</v>
      </c>
      <c r="D56" s="31" t="s">
        <v>251</v>
      </c>
      <c r="E56" s="35">
        <v>8500000</v>
      </c>
      <c r="F56" s="32">
        <v>8416.6319999999996</v>
      </c>
      <c r="G56" s="33">
        <v>1.02757639129051</v>
      </c>
      <c r="H56" s="36">
        <v>5.2400000000000002E-2</v>
      </c>
      <c r="I56" s="62"/>
    </row>
    <row r="57" spans="2:9" x14ac:dyDescent="0.2">
      <c r="B57" s="31" t="s">
        <v>358</v>
      </c>
      <c r="C57" s="31" t="s">
        <v>359</v>
      </c>
      <c r="D57" s="31" t="s">
        <v>251</v>
      </c>
      <c r="E57" s="35">
        <v>4500000</v>
      </c>
      <c r="F57" s="32">
        <v>4496.2245000000003</v>
      </c>
      <c r="G57" s="33">
        <v>0.54893859516989296</v>
      </c>
      <c r="H57" s="36">
        <v>5.1111999999999998E-2</v>
      </c>
      <c r="I57" s="62"/>
    </row>
    <row r="58" spans="2:9" x14ac:dyDescent="0.2">
      <c r="B58" s="31" t="s">
        <v>360</v>
      </c>
      <c r="C58" s="31" t="s">
        <v>361</v>
      </c>
      <c r="D58" s="31" t="s">
        <v>251</v>
      </c>
      <c r="E58" s="35">
        <v>3000000</v>
      </c>
      <c r="F58" s="32">
        <v>2994.5070000000001</v>
      </c>
      <c r="G58" s="33">
        <v>0.36559572721655897</v>
      </c>
      <c r="H58" s="36">
        <v>5.1503E-2</v>
      </c>
      <c r="I58" s="62"/>
    </row>
    <row r="59" spans="2:9" x14ac:dyDescent="0.2">
      <c r="B59" s="31" t="s">
        <v>362</v>
      </c>
      <c r="C59" s="31" t="s">
        <v>363</v>
      </c>
      <c r="D59" s="31" t="s">
        <v>251</v>
      </c>
      <c r="E59" s="35">
        <v>1500000</v>
      </c>
      <c r="F59" s="32">
        <v>1498.7415000000001</v>
      </c>
      <c r="G59" s="33">
        <v>0.18297953172329801</v>
      </c>
      <c r="H59" s="36">
        <v>5.1111999999999998E-2</v>
      </c>
      <c r="I59" s="62"/>
    </row>
    <row r="60" spans="2:9" x14ac:dyDescent="0.2">
      <c r="B60" s="31" t="s">
        <v>364</v>
      </c>
      <c r="C60" s="31" t="s">
        <v>365</v>
      </c>
      <c r="D60" s="31" t="s">
        <v>251</v>
      </c>
      <c r="E60" s="35">
        <v>1500000</v>
      </c>
      <c r="F60" s="32">
        <v>1495.6110000000001</v>
      </c>
      <c r="G60" s="33">
        <v>0.182597332775674</v>
      </c>
      <c r="H60" s="36">
        <v>5.1006000000000003E-2</v>
      </c>
      <c r="I60" s="62"/>
    </row>
    <row r="61" spans="2:9" x14ac:dyDescent="0.2">
      <c r="B61" s="31" t="s">
        <v>366</v>
      </c>
      <c r="C61" s="31" t="s">
        <v>367</v>
      </c>
      <c r="D61" s="31" t="s">
        <v>251</v>
      </c>
      <c r="E61" s="35">
        <v>1000000</v>
      </c>
      <c r="F61" s="32">
        <v>995.23599999999999</v>
      </c>
      <c r="G61" s="33">
        <v>0.121507155993324</v>
      </c>
      <c r="H61" s="36">
        <v>5.1393000000000001E-2</v>
      </c>
      <c r="I61" s="62"/>
    </row>
    <row r="62" spans="2:9" x14ac:dyDescent="0.2">
      <c r="B62" s="31" t="s">
        <v>368</v>
      </c>
      <c r="C62" s="31" t="s">
        <v>369</v>
      </c>
      <c r="D62" s="31" t="s">
        <v>251</v>
      </c>
      <c r="E62" s="35">
        <v>500000</v>
      </c>
      <c r="F62" s="32">
        <v>499.51049999999998</v>
      </c>
      <c r="G62" s="33">
        <v>6.0984631026011003E-2</v>
      </c>
      <c r="H62" s="36">
        <v>5.1097999999999998E-2</v>
      </c>
      <c r="I62" s="62"/>
    </row>
    <row r="63" spans="2:9" x14ac:dyDescent="0.2">
      <c r="B63" s="31" t="s">
        <v>262</v>
      </c>
      <c r="C63" s="31" t="s">
        <v>263</v>
      </c>
      <c r="D63" s="31" t="s">
        <v>251</v>
      </c>
      <c r="E63" s="35">
        <v>500000</v>
      </c>
      <c r="F63" s="32">
        <v>498.60649999999998</v>
      </c>
      <c r="G63" s="33">
        <v>6.0874262762586097E-2</v>
      </c>
      <c r="H63" s="36">
        <v>5.1005000000000002E-2</v>
      </c>
      <c r="I63" s="62"/>
    </row>
    <row r="64" spans="2:9" ht="10.5" x14ac:dyDescent="0.25">
      <c r="B64" s="30" t="s">
        <v>170</v>
      </c>
      <c r="C64" s="30"/>
      <c r="D64" s="30"/>
      <c r="E64" s="30"/>
      <c r="F64" s="63">
        <f>SUM(F54:F63)</f>
        <v>35839.388999999996</v>
      </c>
      <c r="G64" s="64">
        <f>SUM(G54:G63)</f>
        <v>4.3755875289161654</v>
      </c>
      <c r="H64" s="39"/>
      <c r="I64" s="30"/>
    </row>
    <row r="65" spans="2:9" ht="10.5" x14ac:dyDescent="0.25">
      <c r="B65" s="47" t="s">
        <v>173</v>
      </c>
      <c r="C65" s="47"/>
      <c r="D65" s="47"/>
      <c r="E65" s="47"/>
      <c r="F65" s="48">
        <f>+F29+F53+F64</f>
        <v>741297.60899999994</v>
      </c>
      <c r="G65" s="49">
        <f>+G29+G53+G64</f>
        <v>90.504125869884987</v>
      </c>
      <c r="H65" s="39"/>
      <c r="I65" s="30"/>
    </row>
    <row r="66" spans="2:9" ht="10.5" x14ac:dyDescent="0.25">
      <c r="B66" s="30" t="s">
        <v>252</v>
      </c>
      <c r="C66" s="31"/>
      <c r="D66" s="31"/>
      <c r="E66" s="31"/>
      <c r="F66" s="32"/>
      <c r="G66" s="33"/>
      <c r="H66" s="34"/>
      <c r="I66" s="31"/>
    </row>
    <row r="67" spans="2:9" x14ac:dyDescent="0.2">
      <c r="B67" s="31" t="s">
        <v>253</v>
      </c>
      <c r="C67" s="31" t="s">
        <v>254</v>
      </c>
      <c r="D67" s="31"/>
      <c r="E67" s="35">
        <v>15348.03</v>
      </c>
      <c r="F67" s="32">
        <v>1803.5991119</v>
      </c>
      <c r="G67" s="33">
        <v>0.22019922776010201</v>
      </c>
      <c r="H67" s="34"/>
      <c r="I67" s="31"/>
    </row>
    <row r="68" spans="2:9" ht="10.5" x14ac:dyDescent="0.25">
      <c r="B68" s="30" t="s">
        <v>170</v>
      </c>
      <c r="C68" s="30"/>
      <c r="D68" s="30"/>
      <c r="E68" s="30"/>
      <c r="F68" s="48">
        <f>SUM(F67:F67)</f>
        <v>1803.5991119</v>
      </c>
      <c r="G68" s="49">
        <f>SUM(G67:G67)</f>
        <v>0.22019922776010201</v>
      </c>
      <c r="H68" s="39"/>
      <c r="I68" s="30"/>
    </row>
    <row r="69" spans="2:9" ht="10.5" x14ac:dyDescent="0.25">
      <c r="B69" s="30"/>
      <c r="C69" s="31"/>
      <c r="D69" s="31"/>
      <c r="E69" s="31"/>
      <c r="F69" s="32"/>
      <c r="G69" s="33"/>
      <c r="H69" s="34"/>
      <c r="I69" s="31"/>
    </row>
    <row r="70" spans="2:9" ht="10.5" x14ac:dyDescent="0.25">
      <c r="B70" s="30" t="s">
        <v>174</v>
      </c>
      <c r="C70" s="30"/>
      <c r="D70" s="30"/>
      <c r="E70" s="30"/>
      <c r="F70" s="90"/>
      <c r="G70" s="91"/>
      <c r="H70" s="36"/>
      <c r="I70" s="36"/>
    </row>
    <row r="71" spans="2:9" ht="10.5" x14ac:dyDescent="0.25">
      <c r="B71" s="31" t="s">
        <v>1508</v>
      </c>
      <c r="C71" s="30"/>
      <c r="D71" s="30"/>
      <c r="E71" s="30"/>
      <c r="F71" s="32">
        <v>19988.18</v>
      </c>
      <c r="G71" s="33">
        <v>2.4403326500273601</v>
      </c>
      <c r="H71" s="36">
        <v>5.3999999999999999E-2</v>
      </c>
      <c r="I71" s="36"/>
    </row>
    <row r="72" spans="2:9" ht="10.5" x14ac:dyDescent="0.25">
      <c r="B72" s="31" t="s">
        <v>1509</v>
      </c>
      <c r="C72" s="30"/>
      <c r="D72" s="30"/>
      <c r="E72" s="30"/>
      <c r="F72" s="32">
        <v>24989.224999999999</v>
      </c>
      <c r="G72" s="33">
        <v>3.0509041676820998</v>
      </c>
      <c r="H72" s="36">
        <v>5.2499999999999998E-2</v>
      </c>
      <c r="I72" s="36"/>
    </row>
    <row r="73" spans="2:9" ht="10.5" x14ac:dyDescent="0.25">
      <c r="B73" s="31" t="s">
        <v>1509</v>
      </c>
      <c r="C73" s="30"/>
      <c r="D73" s="30"/>
      <c r="E73" s="30"/>
      <c r="F73" s="32">
        <v>220.94455760000002</v>
      </c>
      <c r="G73" s="33">
        <v>2.6974853025994901E-2</v>
      </c>
      <c r="H73" s="36">
        <v>5.2499999999999998E-2</v>
      </c>
      <c r="I73" s="36"/>
    </row>
    <row r="74" spans="2:9" ht="10.5" x14ac:dyDescent="0.25">
      <c r="B74" s="30" t="s">
        <v>173</v>
      </c>
      <c r="C74" s="31"/>
      <c r="D74" s="31"/>
      <c r="E74" s="31"/>
      <c r="F74" s="48">
        <v>45198.349557599999</v>
      </c>
      <c r="G74" s="49">
        <v>5.5182116707354547</v>
      </c>
      <c r="H74" s="34"/>
      <c r="I74" s="31"/>
    </row>
    <row r="75" spans="2:9" ht="10.5" x14ac:dyDescent="0.25">
      <c r="B75" s="31"/>
      <c r="C75" s="31"/>
      <c r="D75" s="31"/>
      <c r="E75" s="31"/>
      <c r="F75" s="90"/>
      <c r="G75" s="91"/>
      <c r="H75" s="34"/>
      <c r="I75" s="31"/>
    </row>
    <row r="76" spans="2:9" ht="10.5" x14ac:dyDescent="0.25">
      <c r="B76" s="30" t="s">
        <v>264</v>
      </c>
      <c r="C76" s="31"/>
      <c r="D76" s="31"/>
      <c r="E76" s="31"/>
      <c r="F76" s="32"/>
      <c r="G76" s="33"/>
      <c r="H76" s="34"/>
      <c r="I76" s="31"/>
    </row>
    <row r="77" spans="2:9" x14ac:dyDescent="0.2">
      <c r="B77" s="31" t="s">
        <v>370</v>
      </c>
      <c r="C77" s="31"/>
      <c r="D77" s="31"/>
      <c r="E77" s="31"/>
      <c r="F77" s="32">
        <v>19998.2249643</v>
      </c>
      <c r="G77" s="33">
        <v>2.44155902753395</v>
      </c>
      <c r="H77" s="34">
        <v>5.45E-2</v>
      </c>
      <c r="I77" s="31"/>
    </row>
    <row r="78" spans="2:9" x14ac:dyDescent="0.2">
      <c r="B78" s="31" t="s">
        <v>371</v>
      </c>
      <c r="C78" s="31"/>
      <c r="D78" s="31"/>
      <c r="E78" s="31"/>
      <c r="F78" s="32">
        <v>9999.4491362999997</v>
      </c>
      <c r="G78" s="33">
        <v>1.22082061546378</v>
      </c>
      <c r="H78" s="34">
        <v>5.45E-2</v>
      </c>
      <c r="I78" s="31"/>
    </row>
    <row r="79" spans="2:9" x14ac:dyDescent="0.2">
      <c r="B79" s="31" t="s">
        <v>372</v>
      </c>
      <c r="C79" s="31"/>
      <c r="D79" s="31"/>
      <c r="E79" s="31"/>
      <c r="F79" s="32">
        <v>7499.6874778000001</v>
      </c>
      <c r="G79" s="33">
        <v>0.91562774685222403</v>
      </c>
      <c r="H79" s="34">
        <v>5.45E-2</v>
      </c>
      <c r="I79" s="31"/>
    </row>
    <row r="80" spans="2:9" ht="10.5" x14ac:dyDescent="0.25">
      <c r="B80" s="30" t="s">
        <v>173</v>
      </c>
      <c r="C80" s="30"/>
      <c r="D80" s="30"/>
      <c r="E80" s="30"/>
      <c r="F80" s="48">
        <v>37497.361578399999</v>
      </c>
      <c r="G80" s="49">
        <v>4.5780073898499545</v>
      </c>
      <c r="H80" s="34"/>
      <c r="I80" s="31"/>
    </row>
    <row r="81" spans="2:9" x14ac:dyDescent="0.2">
      <c r="B81" s="31"/>
      <c r="C81" s="31"/>
      <c r="D81" s="31"/>
      <c r="E81" s="31"/>
      <c r="F81" s="32"/>
      <c r="G81" s="33"/>
      <c r="H81" s="34"/>
      <c r="I81" s="31"/>
    </row>
    <row r="82" spans="2:9" ht="10.5" x14ac:dyDescent="0.25">
      <c r="B82" s="47" t="s">
        <v>177</v>
      </c>
      <c r="C82" s="47"/>
      <c r="D82" s="47"/>
      <c r="E82" s="47"/>
      <c r="F82" s="48">
        <f>F83-(F29+F53+F64+F68+F74+F80)</f>
        <v>-6720.8805866999319</v>
      </c>
      <c r="G82" s="49">
        <f>G83-(G29+G53+G64+G68+G74+G80)</f>
        <v>-0.82054415823050419</v>
      </c>
      <c r="H82" s="39"/>
      <c r="I82" s="30"/>
    </row>
    <row r="83" spans="2:9" ht="10.5" x14ac:dyDescent="0.25">
      <c r="B83" s="47" t="s">
        <v>175</v>
      </c>
      <c r="C83" s="47"/>
      <c r="D83" s="47"/>
      <c r="E83" s="47"/>
      <c r="F83" s="48">
        <v>819076.03866119997</v>
      </c>
      <c r="G83" s="49">
        <v>100</v>
      </c>
      <c r="H83" s="50"/>
      <c r="I83" s="51"/>
    </row>
    <row r="85" spans="2:9" ht="10.5" x14ac:dyDescent="0.25">
      <c r="B85" s="23" t="s">
        <v>256</v>
      </c>
    </row>
    <row r="86" spans="2:9" ht="40" customHeight="1" x14ac:dyDescent="0.2">
      <c r="B86" s="171" t="s">
        <v>257</v>
      </c>
      <c r="C86" s="171"/>
      <c r="D86" s="171"/>
      <c r="E86" s="171"/>
      <c r="F86" s="171"/>
      <c r="G86" s="171"/>
      <c r="H86" s="171"/>
      <c r="I86" s="171"/>
    </row>
    <row r="87" spans="2:9" ht="10.5" x14ac:dyDescent="0.25">
      <c r="B87" s="23"/>
    </row>
    <row r="88" spans="2:9" ht="10.5" x14ac:dyDescent="0.25">
      <c r="B88" s="79" t="s">
        <v>1510</v>
      </c>
    </row>
    <row r="89" spans="2:9" ht="10.5" x14ac:dyDescent="0.25">
      <c r="B89" s="79"/>
    </row>
    <row r="90" spans="2:9" ht="10.5" x14ac:dyDescent="0.2">
      <c r="B90" s="172"/>
      <c r="C90" s="172"/>
      <c r="D90" s="172"/>
      <c r="E90" s="172"/>
      <c r="F90" s="172"/>
      <c r="G90" s="172"/>
      <c r="H90" s="172"/>
      <c r="I90" s="172"/>
    </row>
    <row r="91" spans="2:9" ht="10.5" x14ac:dyDescent="0.25">
      <c r="B91" s="23"/>
    </row>
    <row r="92" spans="2:9" ht="10.5" x14ac:dyDescent="0.25">
      <c r="B92" s="70" t="s">
        <v>186</v>
      </c>
      <c r="C92" s="69"/>
      <c r="D92" s="69"/>
      <c r="E92" s="23"/>
    </row>
    <row r="93" spans="2:9" ht="10.5" x14ac:dyDescent="0.25">
      <c r="B93" s="70"/>
      <c r="C93" s="69"/>
      <c r="D93" s="69"/>
      <c r="E93" s="23"/>
    </row>
    <row r="94" spans="2:9" ht="10.5" x14ac:dyDescent="0.25">
      <c r="B94" s="81" t="s">
        <v>1497</v>
      </c>
      <c r="C94" s="69"/>
      <c r="D94" s="69"/>
      <c r="E94" s="23"/>
    </row>
    <row r="95" spans="2:9" ht="10.5" x14ac:dyDescent="0.25">
      <c r="B95" s="81" t="s">
        <v>1498</v>
      </c>
      <c r="C95" s="69"/>
      <c r="D95" s="69"/>
      <c r="E95" s="23"/>
    </row>
    <row r="96" spans="2:9" ht="10.5" x14ac:dyDescent="0.25">
      <c r="B96" s="70"/>
      <c r="C96" s="92"/>
      <c r="D96" s="69"/>
      <c r="E96" s="23"/>
    </row>
    <row r="97" spans="2:9" ht="10.5" x14ac:dyDescent="0.25">
      <c r="B97" s="88" t="s">
        <v>1499</v>
      </c>
      <c r="C97" s="83" t="s">
        <v>1517</v>
      </c>
      <c r="D97" s="83" t="s">
        <v>1500</v>
      </c>
      <c r="E97" s="23"/>
    </row>
    <row r="98" spans="2:9" ht="10.5" x14ac:dyDescent="0.25">
      <c r="B98" s="85" t="s">
        <v>1501</v>
      </c>
      <c r="C98" s="89">
        <v>1044.4482</v>
      </c>
      <c r="D98" s="89">
        <v>1051.5916</v>
      </c>
      <c r="E98" s="23"/>
    </row>
    <row r="99" spans="2:9" ht="10.5" x14ac:dyDescent="0.25">
      <c r="B99" s="70"/>
      <c r="C99" s="69"/>
      <c r="D99" s="69"/>
      <c r="E99" s="23"/>
    </row>
    <row r="100" spans="2:9" ht="10.5" x14ac:dyDescent="0.25">
      <c r="B100" s="81" t="s">
        <v>1597</v>
      </c>
      <c r="C100" s="69"/>
      <c r="D100" s="69"/>
      <c r="E100" s="23"/>
    </row>
    <row r="101" spans="2:9" ht="10.5" x14ac:dyDescent="0.25">
      <c r="B101" s="81" t="s">
        <v>1502</v>
      </c>
      <c r="C101" s="69"/>
      <c r="D101" s="69"/>
      <c r="E101" s="23"/>
    </row>
    <row r="102" spans="2:9" ht="10.5" x14ac:dyDescent="0.25">
      <c r="B102" s="81" t="s">
        <v>1503</v>
      </c>
      <c r="C102" s="69"/>
      <c r="D102" s="69"/>
      <c r="E102" s="23"/>
    </row>
    <row r="103" spans="2:9" ht="10.5" x14ac:dyDescent="0.25">
      <c r="B103" s="93" t="s">
        <v>1511</v>
      </c>
      <c r="C103" s="69"/>
      <c r="D103" s="69"/>
      <c r="E103" s="23"/>
    </row>
    <row r="104" spans="2:9" ht="10.5" x14ac:dyDescent="0.25">
      <c r="B104" s="81" t="s">
        <v>1505</v>
      </c>
      <c r="C104" s="69"/>
      <c r="D104" s="69"/>
      <c r="E104" s="23"/>
    </row>
    <row r="105" spans="2:9" ht="10.5" x14ac:dyDescent="0.25">
      <c r="B105" s="23"/>
    </row>
    <row r="107" spans="2:9" ht="10.5" x14ac:dyDescent="0.25">
      <c r="B107" s="23" t="s">
        <v>1481</v>
      </c>
      <c r="I107" s="11"/>
    </row>
    <row r="108" spans="2:9" ht="10.5" x14ac:dyDescent="0.25">
      <c r="B108" s="23"/>
      <c r="C108" s="23"/>
      <c r="D108" s="60"/>
      <c r="E108" s="23"/>
      <c r="I108" s="11"/>
    </row>
    <row r="109" spans="2:9" x14ac:dyDescent="0.2">
      <c r="D109" s="61"/>
      <c r="E109" s="61"/>
      <c r="I109" s="11"/>
    </row>
    <row r="110" spans="2:9" x14ac:dyDescent="0.2">
      <c r="I110" s="11"/>
    </row>
    <row r="111" spans="2:9" x14ac:dyDescent="0.2">
      <c r="I111" s="11"/>
    </row>
    <row r="112" spans="2:9" x14ac:dyDescent="0.2">
      <c r="I112" s="11"/>
    </row>
    <row r="113" spans="2:9" x14ac:dyDescent="0.2">
      <c r="I113" s="11"/>
    </row>
    <row r="114" spans="2:9" x14ac:dyDescent="0.2">
      <c r="I114" s="11"/>
    </row>
    <row r="115" spans="2:9" x14ac:dyDescent="0.2">
      <c r="I115" s="11"/>
    </row>
    <row r="116" spans="2:9" x14ac:dyDescent="0.2">
      <c r="I116" s="11"/>
    </row>
    <row r="117" spans="2:9" x14ac:dyDescent="0.2">
      <c r="I117" s="11"/>
    </row>
    <row r="118" spans="2:9" x14ac:dyDescent="0.2">
      <c r="I118" s="11"/>
    </row>
    <row r="119" spans="2:9" x14ac:dyDescent="0.2">
      <c r="I119" s="11"/>
    </row>
    <row r="120" spans="2:9" x14ac:dyDescent="0.2">
      <c r="I120" s="11"/>
    </row>
    <row r="121" spans="2:9" x14ac:dyDescent="0.2">
      <c r="I121" s="11"/>
    </row>
    <row r="122" spans="2:9" x14ac:dyDescent="0.2">
      <c r="I122" s="11"/>
    </row>
    <row r="123" spans="2:9" x14ac:dyDescent="0.2">
      <c r="I123" s="11"/>
    </row>
    <row r="124" spans="2:9" x14ac:dyDescent="0.2">
      <c r="I124" s="11"/>
    </row>
    <row r="125" spans="2:9" x14ac:dyDescent="0.2">
      <c r="I125" s="11"/>
    </row>
    <row r="126" spans="2:9" x14ac:dyDescent="0.2">
      <c r="I126" s="11"/>
    </row>
    <row r="127" spans="2:9" x14ac:dyDescent="0.2">
      <c r="I127" s="11"/>
    </row>
    <row r="128" spans="2:9" ht="10.5" x14ac:dyDescent="0.25">
      <c r="B128" s="23" t="s">
        <v>1482</v>
      </c>
      <c r="I128" s="11"/>
    </row>
    <row r="129" spans="2:9" ht="10.5" x14ac:dyDescent="0.25">
      <c r="B129" s="23" t="s">
        <v>1485</v>
      </c>
      <c r="I129" s="11"/>
    </row>
    <row r="130" spans="2:9" x14ac:dyDescent="0.2">
      <c r="I130" s="11"/>
    </row>
    <row r="131" spans="2:9" x14ac:dyDescent="0.2">
      <c r="I131" s="11"/>
    </row>
    <row r="132" spans="2:9" x14ac:dyDescent="0.2">
      <c r="I132" s="11"/>
    </row>
    <row r="133" spans="2:9" x14ac:dyDescent="0.2">
      <c r="I133" s="11"/>
    </row>
    <row r="134" spans="2:9" x14ac:dyDescent="0.2">
      <c r="I134" s="11"/>
    </row>
    <row r="135" spans="2:9" x14ac:dyDescent="0.2">
      <c r="I135" s="11"/>
    </row>
    <row r="136" spans="2:9" x14ac:dyDescent="0.2">
      <c r="I136" s="11"/>
    </row>
    <row r="137" spans="2:9" x14ac:dyDescent="0.2">
      <c r="I137" s="11"/>
    </row>
    <row r="138" spans="2:9" x14ac:dyDescent="0.2">
      <c r="I138" s="11"/>
    </row>
    <row r="139" spans="2:9" x14ac:dyDescent="0.2">
      <c r="I139" s="11"/>
    </row>
    <row r="140" spans="2:9" x14ac:dyDescent="0.2">
      <c r="I140" s="11"/>
    </row>
    <row r="141" spans="2:9" x14ac:dyDescent="0.2">
      <c r="I141" s="11"/>
    </row>
    <row r="142" spans="2:9" x14ac:dyDescent="0.2">
      <c r="I142" s="11"/>
    </row>
    <row r="143" spans="2:9" x14ac:dyDescent="0.2">
      <c r="I143" s="11"/>
    </row>
    <row r="144" spans="2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  <row r="463" spans="9:9" x14ac:dyDescent="0.2">
      <c r="I463" s="11"/>
    </row>
    <row r="464" spans="9:9" x14ac:dyDescent="0.2">
      <c r="I464" s="11"/>
    </row>
    <row r="465" spans="9:9" x14ac:dyDescent="0.2">
      <c r="I465" s="11"/>
    </row>
    <row r="466" spans="9:9" x14ac:dyDescent="0.2">
      <c r="I466" s="11"/>
    </row>
    <row r="467" spans="9:9" x14ac:dyDescent="0.2">
      <c r="I467" s="11"/>
    </row>
    <row r="468" spans="9:9" x14ac:dyDescent="0.2">
      <c r="I468" s="11"/>
    </row>
    <row r="469" spans="9:9" x14ac:dyDescent="0.2">
      <c r="I469" s="11"/>
    </row>
    <row r="470" spans="9:9" x14ac:dyDescent="0.2">
      <c r="I470" s="11"/>
    </row>
    <row r="471" spans="9:9" x14ac:dyDescent="0.2">
      <c r="I471" s="11"/>
    </row>
    <row r="472" spans="9:9" x14ac:dyDescent="0.2">
      <c r="I472" s="11"/>
    </row>
    <row r="473" spans="9:9" x14ac:dyDescent="0.2">
      <c r="I473" s="11"/>
    </row>
    <row r="474" spans="9:9" x14ac:dyDescent="0.2">
      <c r="I474" s="11"/>
    </row>
    <row r="475" spans="9:9" x14ac:dyDescent="0.2">
      <c r="I475" s="11"/>
    </row>
    <row r="476" spans="9:9" x14ac:dyDescent="0.2">
      <c r="I476" s="11"/>
    </row>
    <row r="477" spans="9:9" x14ac:dyDescent="0.2">
      <c r="I477" s="11"/>
    </row>
    <row r="478" spans="9:9" x14ac:dyDescent="0.2">
      <c r="I478" s="11"/>
    </row>
    <row r="479" spans="9:9" x14ac:dyDescent="0.2">
      <c r="I479" s="11"/>
    </row>
    <row r="480" spans="9:9" x14ac:dyDescent="0.2">
      <c r="I480" s="11"/>
    </row>
    <row r="481" spans="9:9" x14ac:dyDescent="0.2">
      <c r="I481" s="11"/>
    </row>
    <row r="482" spans="9:9" x14ac:dyDescent="0.2">
      <c r="I482" s="11"/>
    </row>
    <row r="483" spans="9:9" x14ac:dyDescent="0.2">
      <c r="I483" s="11"/>
    </row>
    <row r="484" spans="9:9" x14ac:dyDescent="0.2">
      <c r="I484" s="11"/>
    </row>
    <row r="485" spans="9:9" x14ac:dyDescent="0.2">
      <c r="I485" s="11"/>
    </row>
    <row r="486" spans="9:9" x14ac:dyDescent="0.2">
      <c r="I486" s="11"/>
    </row>
    <row r="487" spans="9:9" x14ac:dyDescent="0.2">
      <c r="I487" s="11"/>
    </row>
    <row r="488" spans="9:9" x14ac:dyDescent="0.2">
      <c r="I488" s="11"/>
    </row>
    <row r="489" spans="9:9" x14ac:dyDescent="0.2">
      <c r="I489" s="11"/>
    </row>
    <row r="490" spans="9:9" x14ac:dyDescent="0.2">
      <c r="I490" s="11"/>
    </row>
    <row r="491" spans="9:9" x14ac:dyDescent="0.2">
      <c r="I491" s="11"/>
    </row>
    <row r="492" spans="9:9" x14ac:dyDescent="0.2">
      <c r="I492" s="11"/>
    </row>
    <row r="493" spans="9:9" x14ac:dyDescent="0.2">
      <c r="I493" s="11"/>
    </row>
    <row r="494" spans="9:9" x14ac:dyDescent="0.2">
      <c r="I494" s="11"/>
    </row>
    <row r="495" spans="9:9" x14ac:dyDescent="0.2">
      <c r="I495" s="11"/>
    </row>
    <row r="496" spans="9:9" x14ac:dyDescent="0.2">
      <c r="I496" s="11"/>
    </row>
    <row r="497" spans="9:9" x14ac:dyDescent="0.2">
      <c r="I497" s="11"/>
    </row>
    <row r="498" spans="9:9" x14ac:dyDescent="0.2">
      <c r="I498" s="11"/>
    </row>
    <row r="499" spans="9:9" x14ac:dyDescent="0.2">
      <c r="I499" s="11"/>
    </row>
    <row r="500" spans="9:9" x14ac:dyDescent="0.2">
      <c r="I500" s="11"/>
    </row>
    <row r="501" spans="9:9" x14ac:dyDescent="0.2">
      <c r="I501" s="11"/>
    </row>
    <row r="502" spans="9:9" x14ac:dyDescent="0.2">
      <c r="I502" s="11"/>
    </row>
    <row r="503" spans="9:9" x14ac:dyDescent="0.2">
      <c r="I503" s="11"/>
    </row>
    <row r="504" spans="9:9" x14ac:dyDescent="0.2">
      <c r="I504" s="11"/>
    </row>
    <row r="505" spans="9:9" x14ac:dyDescent="0.2">
      <c r="I505" s="11"/>
    </row>
    <row r="506" spans="9:9" x14ac:dyDescent="0.2">
      <c r="I506" s="11"/>
    </row>
    <row r="507" spans="9:9" x14ac:dyDescent="0.2">
      <c r="I507" s="11"/>
    </row>
    <row r="508" spans="9:9" x14ac:dyDescent="0.2">
      <c r="I508" s="11"/>
    </row>
    <row r="509" spans="9:9" x14ac:dyDescent="0.2">
      <c r="I509" s="11"/>
    </row>
    <row r="510" spans="9:9" x14ac:dyDescent="0.2">
      <c r="I510" s="11"/>
    </row>
    <row r="511" spans="9:9" x14ac:dyDescent="0.2">
      <c r="I511" s="11"/>
    </row>
    <row r="512" spans="9:9" x14ac:dyDescent="0.2">
      <c r="I512" s="11"/>
    </row>
    <row r="513" spans="9:9" x14ac:dyDescent="0.2">
      <c r="I513" s="11"/>
    </row>
    <row r="514" spans="9:9" x14ac:dyDescent="0.2">
      <c r="I514" s="11"/>
    </row>
    <row r="515" spans="9:9" x14ac:dyDescent="0.2">
      <c r="I515" s="11"/>
    </row>
    <row r="516" spans="9:9" x14ac:dyDescent="0.2">
      <c r="I516" s="11"/>
    </row>
    <row r="517" spans="9:9" x14ac:dyDescent="0.2">
      <c r="I517" s="11"/>
    </row>
    <row r="518" spans="9:9" x14ac:dyDescent="0.2">
      <c r="I518" s="11"/>
    </row>
    <row r="519" spans="9:9" x14ac:dyDescent="0.2">
      <c r="I519" s="11"/>
    </row>
    <row r="520" spans="9:9" x14ac:dyDescent="0.2">
      <c r="I520" s="11"/>
    </row>
    <row r="521" spans="9:9" x14ac:dyDescent="0.2">
      <c r="I521" s="11"/>
    </row>
    <row r="522" spans="9:9" x14ac:dyDescent="0.2">
      <c r="I522" s="11"/>
    </row>
    <row r="523" spans="9:9" x14ac:dyDescent="0.2">
      <c r="I523" s="11"/>
    </row>
    <row r="524" spans="9:9" x14ac:dyDescent="0.2">
      <c r="I524" s="11"/>
    </row>
    <row r="525" spans="9:9" x14ac:dyDescent="0.2">
      <c r="I525" s="11"/>
    </row>
    <row r="526" spans="9:9" x14ac:dyDescent="0.2">
      <c r="I526" s="11"/>
    </row>
    <row r="527" spans="9:9" x14ac:dyDescent="0.2">
      <c r="I527" s="11"/>
    </row>
    <row r="528" spans="9:9" x14ac:dyDescent="0.2">
      <c r="I528" s="11"/>
    </row>
    <row r="529" spans="9:9" x14ac:dyDescent="0.2">
      <c r="I529" s="11"/>
    </row>
    <row r="530" spans="9:9" x14ac:dyDescent="0.2">
      <c r="I530" s="11"/>
    </row>
    <row r="531" spans="9:9" x14ac:dyDescent="0.2">
      <c r="I531" s="11"/>
    </row>
    <row r="532" spans="9:9" x14ac:dyDescent="0.2">
      <c r="I532" s="11"/>
    </row>
    <row r="533" spans="9:9" x14ac:dyDescent="0.2">
      <c r="I533" s="11"/>
    </row>
    <row r="534" spans="9:9" x14ac:dyDescent="0.2">
      <c r="I534" s="11"/>
    </row>
    <row r="535" spans="9:9" x14ac:dyDescent="0.2">
      <c r="I535" s="11"/>
    </row>
    <row r="536" spans="9:9" x14ac:dyDescent="0.2">
      <c r="I536" s="11"/>
    </row>
    <row r="537" spans="9:9" x14ac:dyDescent="0.2">
      <c r="I537" s="11"/>
    </row>
    <row r="538" spans="9:9" x14ac:dyDescent="0.2">
      <c r="I538" s="11"/>
    </row>
    <row r="539" spans="9:9" x14ac:dyDescent="0.2">
      <c r="I539" s="11"/>
    </row>
    <row r="540" spans="9:9" x14ac:dyDescent="0.2">
      <c r="I540" s="11"/>
    </row>
    <row r="541" spans="9:9" x14ac:dyDescent="0.2">
      <c r="I541" s="11"/>
    </row>
    <row r="542" spans="9:9" x14ac:dyDescent="0.2">
      <c r="I542" s="11"/>
    </row>
    <row r="543" spans="9:9" x14ac:dyDescent="0.2">
      <c r="I543" s="11"/>
    </row>
    <row r="544" spans="9:9" x14ac:dyDescent="0.2">
      <c r="I544" s="11"/>
    </row>
    <row r="545" spans="9:9" x14ac:dyDescent="0.2">
      <c r="I545" s="11"/>
    </row>
    <row r="546" spans="9:9" x14ac:dyDescent="0.2">
      <c r="I546" s="11"/>
    </row>
    <row r="547" spans="9:9" x14ac:dyDescent="0.2">
      <c r="I547" s="11"/>
    </row>
    <row r="548" spans="9:9" x14ac:dyDescent="0.2">
      <c r="I548" s="11"/>
    </row>
    <row r="549" spans="9:9" x14ac:dyDescent="0.2">
      <c r="I549" s="11"/>
    </row>
    <row r="550" spans="9:9" x14ac:dyDescent="0.2">
      <c r="I550" s="11"/>
    </row>
    <row r="551" spans="9:9" x14ac:dyDescent="0.2">
      <c r="I551" s="11"/>
    </row>
    <row r="552" spans="9:9" x14ac:dyDescent="0.2">
      <c r="I552" s="11"/>
    </row>
    <row r="553" spans="9:9" x14ac:dyDescent="0.2">
      <c r="I553" s="11"/>
    </row>
    <row r="554" spans="9:9" x14ac:dyDescent="0.2">
      <c r="I554" s="11"/>
    </row>
    <row r="555" spans="9:9" x14ac:dyDescent="0.2">
      <c r="I555" s="11"/>
    </row>
    <row r="556" spans="9:9" x14ac:dyDescent="0.2">
      <c r="I556" s="11"/>
    </row>
    <row r="557" spans="9:9" x14ac:dyDescent="0.2">
      <c r="I557" s="11"/>
    </row>
    <row r="558" spans="9:9" x14ac:dyDescent="0.2">
      <c r="I558" s="11"/>
    </row>
    <row r="559" spans="9:9" x14ac:dyDescent="0.2">
      <c r="I559" s="11"/>
    </row>
    <row r="560" spans="9:9" x14ac:dyDescent="0.2">
      <c r="I560" s="11"/>
    </row>
    <row r="561" spans="9:9" x14ac:dyDescent="0.2">
      <c r="I561" s="11"/>
    </row>
    <row r="562" spans="9:9" x14ac:dyDescent="0.2">
      <c r="I562" s="11"/>
    </row>
    <row r="563" spans="9:9" x14ac:dyDescent="0.2">
      <c r="I563" s="11"/>
    </row>
    <row r="564" spans="9:9" x14ac:dyDescent="0.2">
      <c r="I564" s="11"/>
    </row>
    <row r="565" spans="9:9" x14ac:dyDescent="0.2">
      <c r="I565" s="11"/>
    </row>
    <row r="566" spans="9:9" x14ac:dyDescent="0.2">
      <c r="I566" s="11"/>
    </row>
    <row r="567" spans="9:9" x14ac:dyDescent="0.2">
      <c r="I567" s="11"/>
    </row>
    <row r="568" spans="9:9" x14ac:dyDescent="0.2">
      <c r="I568" s="11"/>
    </row>
    <row r="569" spans="9:9" x14ac:dyDescent="0.2">
      <c r="I569" s="11"/>
    </row>
    <row r="570" spans="9:9" x14ac:dyDescent="0.2">
      <c r="I570" s="11"/>
    </row>
    <row r="571" spans="9:9" x14ac:dyDescent="0.2">
      <c r="I571" s="11"/>
    </row>
    <row r="572" spans="9:9" x14ac:dyDescent="0.2">
      <c r="I572" s="11"/>
    </row>
    <row r="573" spans="9:9" x14ac:dyDescent="0.2">
      <c r="I573" s="11"/>
    </row>
    <row r="574" spans="9:9" x14ac:dyDescent="0.2">
      <c r="I574" s="11"/>
    </row>
    <row r="575" spans="9:9" x14ac:dyDescent="0.2">
      <c r="I575" s="11"/>
    </row>
    <row r="576" spans="9:9" x14ac:dyDescent="0.2">
      <c r="I576" s="11"/>
    </row>
    <row r="577" spans="9:9" x14ac:dyDescent="0.2">
      <c r="I577" s="11"/>
    </row>
    <row r="578" spans="9:9" x14ac:dyDescent="0.2">
      <c r="I578" s="11"/>
    </row>
    <row r="579" spans="9:9" x14ac:dyDescent="0.2">
      <c r="I579" s="11"/>
    </row>
    <row r="580" spans="9:9" x14ac:dyDescent="0.2">
      <c r="I580" s="11"/>
    </row>
    <row r="581" spans="9:9" x14ac:dyDescent="0.2">
      <c r="I581" s="11"/>
    </row>
    <row r="582" spans="9:9" x14ac:dyDescent="0.2">
      <c r="I582" s="11"/>
    </row>
    <row r="583" spans="9:9" x14ac:dyDescent="0.2">
      <c r="I583" s="11"/>
    </row>
    <row r="584" spans="9:9" x14ac:dyDescent="0.2">
      <c r="I584" s="11"/>
    </row>
    <row r="585" spans="9:9" x14ac:dyDescent="0.2">
      <c r="I585" s="11"/>
    </row>
    <row r="586" spans="9:9" x14ac:dyDescent="0.2">
      <c r="I586" s="11"/>
    </row>
    <row r="587" spans="9:9" x14ac:dyDescent="0.2">
      <c r="I587" s="11"/>
    </row>
    <row r="588" spans="9:9" x14ac:dyDescent="0.2">
      <c r="I588" s="11"/>
    </row>
    <row r="589" spans="9:9" x14ac:dyDescent="0.2">
      <c r="I589" s="11"/>
    </row>
    <row r="590" spans="9:9" x14ac:dyDescent="0.2">
      <c r="I590" s="11"/>
    </row>
    <row r="591" spans="9:9" x14ac:dyDescent="0.2">
      <c r="I591" s="11"/>
    </row>
    <row r="592" spans="9:9" x14ac:dyDescent="0.2">
      <c r="I592" s="11"/>
    </row>
    <row r="593" spans="9:9" x14ac:dyDescent="0.2">
      <c r="I593" s="11"/>
    </row>
    <row r="594" spans="9:9" x14ac:dyDescent="0.2">
      <c r="I594" s="11"/>
    </row>
    <row r="595" spans="9:9" x14ac:dyDescent="0.2">
      <c r="I595" s="11"/>
    </row>
    <row r="596" spans="9:9" x14ac:dyDescent="0.2">
      <c r="I596" s="11"/>
    </row>
    <row r="597" spans="9:9" x14ac:dyDescent="0.2">
      <c r="I597" s="11"/>
    </row>
    <row r="598" spans="9:9" x14ac:dyDescent="0.2">
      <c r="I598" s="11"/>
    </row>
    <row r="599" spans="9:9" x14ac:dyDescent="0.2">
      <c r="I599" s="11"/>
    </row>
    <row r="600" spans="9:9" x14ac:dyDescent="0.2">
      <c r="I600" s="11"/>
    </row>
    <row r="601" spans="9:9" x14ac:dyDescent="0.2">
      <c r="I601" s="11"/>
    </row>
    <row r="602" spans="9:9" x14ac:dyDescent="0.2">
      <c r="I602" s="11"/>
    </row>
    <row r="603" spans="9:9" x14ac:dyDescent="0.2">
      <c r="I603" s="11"/>
    </row>
    <row r="604" spans="9:9" x14ac:dyDescent="0.2">
      <c r="I604" s="11"/>
    </row>
    <row r="605" spans="9:9" x14ac:dyDescent="0.2">
      <c r="I605" s="11"/>
    </row>
    <row r="606" spans="9:9" x14ac:dyDescent="0.2">
      <c r="I606" s="11"/>
    </row>
    <row r="607" spans="9:9" x14ac:dyDescent="0.2">
      <c r="I607" s="11"/>
    </row>
    <row r="608" spans="9:9" x14ac:dyDescent="0.2">
      <c r="I608" s="11"/>
    </row>
    <row r="609" spans="9:9" x14ac:dyDescent="0.2">
      <c r="I609" s="11"/>
    </row>
    <row r="610" spans="9:9" x14ac:dyDescent="0.2">
      <c r="I610" s="11"/>
    </row>
    <row r="611" spans="9:9" x14ac:dyDescent="0.2">
      <c r="I611" s="11"/>
    </row>
    <row r="612" spans="9:9" x14ac:dyDescent="0.2">
      <c r="I612" s="11"/>
    </row>
    <row r="613" spans="9:9" x14ac:dyDescent="0.2">
      <c r="I613" s="11"/>
    </row>
    <row r="614" spans="9:9" x14ac:dyDescent="0.2">
      <c r="I614" s="11"/>
    </row>
    <row r="615" spans="9:9" x14ac:dyDescent="0.2">
      <c r="I615" s="11"/>
    </row>
    <row r="616" spans="9:9" x14ac:dyDescent="0.2">
      <c r="I616" s="11"/>
    </row>
    <row r="617" spans="9:9" x14ac:dyDescent="0.2">
      <c r="I617" s="11"/>
    </row>
    <row r="618" spans="9:9" x14ac:dyDescent="0.2">
      <c r="I618" s="11"/>
    </row>
    <row r="619" spans="9:9" x14ac:dyDescent="0.2">
      <c r="I619" s="11"/>
    </row>
    <row r="620" spans="9:9" x14ac:dyDescent="0.2">
      <c r="I620" s="11"/>
    </row>
    <row r="621" spans="9:9" x14ac:dyDescent="0.2">
      <c r="I621" s="11"/>
    </row>
    <row r="622" spans="9:9" x14ac:dyDescent="0.2">
      <c r="I622" s="11"/>
    </row>
    <row r="623" spans="9:9" x14ac:dyDescent="0.2">
      <c r="I623" s="11"/>
    </row>
    <row r="624" spans="9:9" x14ac:dyDescent="0.2">
      <c r="I624" s="11"/>
    </row>
    <row r="625" spans="9:9" x14ac:dyDescent="0.2">
      <c r="I625" s="11"/>
    </row>
    <row r="626" spans="9:9" x14ac:dyDescent="0.2">
      <c r="I626" s="11"/>
    </row>
    <row r="627" spans="9:9" x14ac:dyDescent="0.2">
      <c r="I627" s="11"/>
    </row>
    <row r="628" spans="9:9" x14ac:dyDescent="0.2">
      <c r="I628" s="11"/>
    </row>
    <row r="629" spans="9:9" x14ac:dyDescent="0.2">
      <c r="I629" s="11"/>
    </row>
    <row r="630" spans="9:9" x14ac:dyDescent="0.2">
      <c r="I630" s="11"/>
    </row>
    <row r="631" spans="9:9" x14ac:dyDescent="0.2">
      <c r="I631" s="11"/>
    </row>
    <row r="632" spans="9:9" x14ac:dyDescent="0.2">
      <c r="I632" s="11"/>
    </row>
    <row r="633" spans="9:9" x14ac:dyDescent="0.2">
      <c r="I633" s="11"/>
    </row>
    <row r="634" spans="9:9" x14ac:dyDescent="0.2">
      <c r="I634" s="11"/>
    </row>
    <row r="635" spans="9:9" x14ac:dyDescent="0.2">
      <c r="I635" s="11"/>
    </row>
    <row r="636" spans="9:9" x14ac:dyDescent="0.2">
      <c r="I636" s="11"/>
    </row>
    <row r="637" spans="9:9" x14ac:dyDescent="0.2">
      <c r="I637" s="11"/>
    </row>
    <row r="638" spans="9:9" x14ac:dyDescent="0.2">
      <c r="I638" s="11"/>
    </row>
    <row r="639" spans="9:9" x14ac:dyDescent="0.2">
      <c r="I639" s="11"/>
    </row>
    <row r="640" spans="9:9" x14ac:dyDescent="0.2">
      <c r="I640" s="11"/>
    </row>
    <row r="641" spans="9:9" x14ac:dyDescent="0.2">
      <c r="I641" s="11"/>
    </row>
    <row r="642" spans="9:9" x14ac:dyDescent="0.2">
      <c r="I642" s="11"/>
    </row>
    <row r="643" spans="9:9" x14ac:dyDescent="0.2">
      <c r="I643" s="11"/>
    </row>
    <row r="644" spans="9:9" x14ac:dyDescent="0.2">
      <c r="I644" s="11"/>
    </row>
    <row r="645" spans="9:9" x14ac:dyDescent="0.2">
      <c r="I645" s="11"/>
    </row>
    <row r="646" spans="9:9" x14ac:dyDescent="0.2">
      <c r="I646" s="11"/>
    </row>
    <row r="647" spans="9:9" x14ac:dyDescent="0.2">
      <c r="I647" s="11"/>
    </row>
    <row r="648" spans="9:9" x14ac:dyDescent="0.2">
      <c r="I648" s="11"/>
    </row>
    <row r="649" spans="9:9" x14ac:dyDescent="0.2">
      <c r="I649" s="11"/>
    </row>
    <row r="650" spans="9:9" x14ac:dyDescent="0.2">
      <c r="I650" s="11"/>
    </row>
    <row r="651" spans="9:9" x14ac:dyDescent="0.2">
      <c r="I651" s="11"/>
    </row>
    <row r="652" spans="9:9" x14ac:dyDescent="0.2">
      <c r="I652" s="11"/>
    </row>
    <row r="653" spans="9:9" x14ac:dyDescent="0.2">
      <c r="I653" s="11"/>
    </row>
    <row r="654" spans="9:9" x14ac:dyDescent="0.2">
      <c r="I654" s="11"/>
    </row>
    <row r="655" spans="9:9" x14ac:dyDescent="0.2">
      <c r="I655" s="11"/>
    </row>
    <row r="656" spans="9:9" x14ac:dyDescent="0.2">
      <c r="I656" s="11"/>
    </row>
    <row r="657" spans="9:9" x14ac:dyDescent="0.2">
      <c r="I657" s="11"/>
    </row>
    <row r="658" spans="9:9" x14ac:dyDescent="0.2">
      <c r="I658" s="11"/>
    </row>
  </sheetData>
  <mergeCells count="3">
    <mergeCell ref="B1:C1"/>
    <mergeCell ref="B86:I86"/>
    <mergeCell ref="B90:I90"/>
  </mergeCells>
  <conditionalFormatting sqref="G1:G3 G5:G85 G87:G89 G91:G148">
    <cfRule type="cellIs" dxfId="10" priority="1" stopIfTrue="1" operator="between">
      <formula>0.009</formula>
      <formula>-0.009</formula>
    </cfRule>
  </conditionalFormatting>
  <hyperlinks>
    <hyperlink ref="A2" location="Index!A1" display="-" xr:uid="{C0BEB8EB-AB5F-4C0C-806E-AFB948839AED}"/>
  </hyperlinks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84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E741-33FC-4DE2-B591-DB7A1BB4BC40}">
  <dimension ref="A1:J462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5.81640625" style="6" customWidth="1"/>
    <col min="4" max="4" width="16.54296875" style="6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1.81640625" style="11" bestFit="1" customWidth="1"/>
    <col min="9" max="9" width="10.1796875" style="6" bestFit="1" customWidth="1"/>
    <col min="10" max="16384" width="9.1796875" style="6"/>
  </cols>
  <sheetData>
    <row r="1" spans="1:10" s="1" customFormat="1" ht="16.75" customHeight="1" x14ac:dyDescent="0.35">
      <c r="B1" s="160" t="s">
        <v>14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25.5" customHeight="1" x14ac:dyDescent="0.25">
      <c r="B4" s="74" t="s">
        <v>7</v>
      </c>
      <c r="C4" s="74" t="s">
        <v>8</v>
      </c>
      <c r="D4" s="75" t="s">
        <v>255</v>
      </c>
      <c r="E4" s="75" t="s">
        <v>0</v>
      </c>
      <c r="F4" s="76" t="s">
        <v>4</v>
      </c>
      <c r="G4" s="77" t="s">
        <v>5</v>
      </c>
      <c r="H4" s="78" t="s">
        <v>6</v>
      </c>
      <c r="I4" s="76" t="s">
        <v>188</v>
      </c>
      <c r="J4" s="9"/>
    </row>
    <row r="5" spans="1:10" ht="10.5" x14ac:dyDescent="0.25">
      <c r="B5" s="30" t="s">
        <v>248</v>
      </c>
      <c r="C5" s="31"/>
      <c r="D5" s="31"/>
      <c r="E5" s="31"/>
      <c r="F5" s="32"/>
      <c r="G5" s="33"/>
      <c r="H5" s="34"/>
      <c r="I5" s="31"/>
    </row>
    <row r="6" spans="1:10" x14ac:dyDescent="0.2">
      <c r="B6" s="31" t="s">
        <v>373</v>
      </c>
      <c r="C6" s="31" t="s">
        <v>374</v>
      </c>
      <c r="D6" s="31" t="s">
        <v>251</v>
      </c>
      <c r="E6" s="35">
        <v>1873100</v>
      </c>
      <c r="F6" s="32">
        <v>1803.458142</v>
      </c>
      <c r="G6" s="33">
        <v>61.018182000919801</v>
      </c>
      <c r="H6" s="36">
        <v>7.1481847687999894E-2</v>
      </c>
      <c r="I6" s="62"/>
    </row>
    <row r="7" spans="1:10" x14ac:dyDescent="0.2">
      <c r="B7" s="31" t="s">
        <v>375</v>
      </c>
      <c r="C7" s="31" t="s">
        <v>376</v>
      </c>
      <c r="D7" s="31" t="s">
        <v>251</v>
      </c>
      <c r="E7" s="35">
        <v>568200</v>
      </c>
      <c r="F7" s="32">
        <v>558.79003980000005</v>
      </c>
      <c r="G7" s="33">
        <v>18.906095769434099</v>
      </c>
      <c r="H7" s="36">
        <v>7.1771763625124996E-2</v>
      </c>
      <c r="I7" s="62"/>
    </row>
    <row r="8" spans="1:10" x14ac:dyDescent="0.2">
      <c r="B8" s="31" t="s">
        <v>377</v>
      </c>
      <c r="C8" s="31" t="s">
        <v>378</v>
      </c>
      <c r="D8" s="31" t="s">
        <v>251</v>
      </c>
      <c r="E8" s="35">
        <v>576000</v>
      </c>
      <c r="F8" s="32">
        <v>552.71347200000002</v>
      </c>
      <c r="G8" s="33">
        <v>18.7005012444898</v>
      </c>
      <c r="H8" s="36">
        <v>7.0612183808000106E-2</v>
      </c>
      <c r="I8" s="62"/>
    </row>
    <row r="9" spans="1:10" ht="10.5" x14ac:dyDescent="0.25">
      <c r="B9" s="30" t="s">
        <v>173</v>
      </c>
      <c r="C9" s="30"/>
      <c r="D9" s="30"/>
      <c r="E9" s="30"/>
      <c r="F9" s="48">
        <f>SUM(F6:F8)</f>
        <v>2914.9616538</v>
      </c>
      <c r="G9" s="49">
        <f>SUM(G6:G8)</f>
        <v>98.624779014843696</v>
      </c>
      <c r="H9" s="39"/>
      <c r="I9" s="30"/>
    </row>
    <row r="10" spans="1:10" ht="10.5" x14ac:dyDescent="0.25">
      <c r="B10" s="30"/>
      <c r="C10" s="31"/>
      <c r="D10" s="31"/>
      <c r="E10" s="31"/>
      <c r="F10" s="32"/>
      <c r="G10" s="33"/>
      <c r="H10" s="34"/>
      <c r="I10" s="31"/>
    </row>
    <row r="11" spans="1:10" ht="10.5" x14ac:dyDescent="0.25">
      <c r="B11" s="30" t="s">
        <v>174</v>
      </c>
      <c r="C11" s="30"/>
      <c r="D11" s="30"/>
      <c r="E11" s="30"/>
      <c r="F11" s="48">
        <v>13.574346500000001</v>
      </c>
      <c r="G11" s="49">
        <v>0.45927428310700902</v>
      </c>
      <c r="H11" s="36">
        <v>5.2499999999999998E-2</v>
      </c>
      <c r="I11" s="36"/>
    </row>
    <row r="12" spans="1:10" x14ac:dyDescent="0.2">
      <c r="B12" s="31"/>
      <c r="C12" s="31"/>
      <c r="D12" s="31"/>
      <c r="E12" s="31"/>
      <c r="F12" s="32"/>
      <c r="G12" s="33"/>
      <c r="H12" s="34"/>
      <c r="I12" s="31"/>
    </row>
    <row r="13" spans="1:10" ht="10.5" x14ac:dyDescent="0.25">
      <c r="B13" s="47" t="s">
        <v>177</v>
      </c>
      <c r="C13" s="47"/>
      <c r="D13" s="47"/>
      <c r="E13" s="47"/>
      <c r="F13" s="48">
        <f>F14-(F9+F11)</f>
        <v>27.071792100000039</v>
      </c>
      <c r="G13" s="49">
        <f>G14-(G9+G11)</f>
        <v>0.91594670204929685</v>
      </c>
      <c r="H13" s="39"/>
      <c r="I13" s="30"/>
    </row>
    <row r="14" spans="1:10" ht="10.5" x14ac:dyDescent="0.25">
      <c r="B14" s="47" t="s">
        <v>175</v>
      </c>
      <c r="C14" s="47"/>
      <c r="D14" s="47"/>
      <c r="E14" s="47"/>
      <c r="F14" s="48">
        <v>2955.6077924000001</v>
      </c>
      <c r="G14" s="49">
        <v>100</v>
      </c>
      <c r="H14" s="50"/>
      <c r="I14" s="51"/>
    </row>
    <row r="16" spans="1:10" ht="40" customHeight="1" x14ac:dyDescent="0.2">
      <c r="B16" s="171" t="s">
        <v>257</v>
      </c>
      <c r="C16" s="171"/>
      <c r="D16" s="171"/>
      <c r="E16" s="171"/>
      <c r="F16" s="171"/>
      <c r="G16" s="171"/>
      <c r="H16" s="171"/>
      <c r="I16" s="171"/>
    </row>
    <row r="17" spans="2:9" ht="10.5" x14ac:dyDescent="0.25">
      <c r="B17" s="23"/>
    </row>
    <row r="18" spans="2:9" ht="10.5" x14ac:dyDescent="0.2">
      <c r="B18" s="172" t="s">
        <v>1586</v>
      </c>
      <c r="C18" s="172"/>
      <c r="D18" s="172"/>
      <c r="E18" s="172"/>
      <c r="F18" s="172"/>
      <c r="G18" s="172"/>
      <c r="H18" s="172"/>
      <c r="I18" s="172"/>
    </row>
    <row r="19" spans="2:9" ht="10.5" x14ac:dyDescent="0.25">
      <c r="B19" s="23"/>
    </row>
    <row r="20" spans="2:9" ht="10.5" x14ac:dyDescent="0.2">
      <c r="B20" s="70" t="s">
        <v>186</v>
      </c>
    </row>
    <row r="21" spans="2:9" ht="10.5" x14ac:dyDescent="0.2">
      <c r="B21" s="70"/>
    </row>
    <row r="22" spans="2:9" x14ac:dyDescent="0.2">
      <c r="B22" s="81" t="s">
        <v>1497</v>
      </c>
    </row>
    <row r="23" spans="2:9" x14ac:dyDescent="0.2">
      <c r="B23" s="81" t="s">
        <v>1498</v>
      </c>
    </row>
    <row r="24" spans="2:9" ht="10.5" x14ac:dyDescent="0.2">
      <c r="B24" s="70"/>
    </row>
    <row r="25" spans="2:9" ht="10.5" x14ac:dyDescent="0.2">
      <c r="B25" s="88" t="s">
        <v>1499</v>
      </c>
      <c r="C25" s="83" t="s">
        <v>1517</v>
      </c>
      <c r="D25" s="83" t="s">
        <v>1500</v>
      </c>
    </row>
    <row r="26" spans="2:9" x14ac:dyDescent="0.2">
      <c r="B26" s="85" t="s">
        <v>1501</v>
      </c>
      <c r="C26" s="94">
        <v>10.065099999999999</v>
      </c>
      <c r="D26" s="94">
        <v>10.1197</v>
      </c>
    </row>
    <row r="27" spans="2:9" ht="10.5" x14ac:dyDescent="0.2">
      <c r="B27" s="70"/>
    </row>
    <row r="28" spans="2:9" x14ac:dyDescent="0.2">
      <c r="B28" s="81" t="s">
        <v>1597</v>
      </c>
    </row>
    <row r="29" spans="2:9" x14ac:dyDescent="0.2">
      <c r="B29" s="81" t="s">
        <v>1502</v>
      </c>
    </row>
    <row r="30" spans="2:9" x14ac:dyDescent="0.2">
      <c r="B30" s="81" t="s">
        <v>1503</v>
      </c>
    </row>
    <row r="31" spans="2:9" x14ac:dyDescent="0.2">
      <c r="B31" s="87" t="s">
        <v>1512</v>
      </c>
    </row>
    <row r="32" spans="2:9" x14ac:dyDescent="0.2">
      <c r="B32" s="81" t="s">
        <v>1505</v>
      </c>
    </row>
    <row r="35" spans="2:9" ht="10.5" x14ac:dyDescent="0.25">
      <c r="B35" s="23" t="s">
        <v>187</v>
      </c>
      <c r="I35" s="11"/>
    </row>
    <row r="36" spans="2:9" x14ac:dyDescent="0.2">
      <c r="I36" s="11"/>
    </row>
    <row r="37" spans="2:9" x14ac:dyDescent="0.2">
      <c r="I37" s="11"/>
    </row>
    <row r="38" spans="2:9" x14ac:dyDescent="0.2">
      <c r="I38" s="11"/>
    </row>
    <row r="39" spans="2:9" x14ac:dyDescent="0.2">
      <c r="I39" s="11"/>
    </row>
    <row r="40" spans="2:9" x14ac:dyDescent="0.2">
      <c r="I40" s="11"/>
    </row>
    <row r="41" spans="2:9" x14ac:dyDescent="0.2">
      <c r="I41" s="11"/>
    </row>
    <row r="42" spans="2:9" x14ac:dyDescent="0.2">
      <c r="I42" s="11"/>
    </row>
    <row r="43" spans="2:9" x14ac:dyDescent="0.2">
      <c r="I43" s="11"/>
    </row>
    <row r="44" spans="2:9" x14ac:dyDescent="0.2">
      <c r="I44" s="11"/>
    </row>
    <row r="45" spans="2:9" x14ac:dyDescent="0.2">
      <c r="I45" s="11"/>
    </row>
    <row r="46" spans="2:9" x14ac:dyDescent="0.2">
      <c r="I46" s="11"/>
    </row>
    <row r="47" spans="2:9" x14ac:dyDescent="0.2">
      <c r="I47" s="11"/>
    </row>
    <row r="48" spans="2:9" x14ac:dyDescent="0.2">
      <c r="I48" s="11"/>
    </row>
    <row r="49" spans="2:9" x14ac:dyDescent="0.2">
      <c r="I49" s="11"/>
    </row>
    <row r="50" spans="2:9" x14ac:dyDescent="0.2">
      <c r="I50" s="11"/>
    </row>
    <row r="51" spans="2:9" x14ac:dyDescent="0.2">
      <c r="I51" s="11"/>
    </row>
    <row r="52" spans="2:9" x14ac:dyDescent="0.2">
      <c r="I52" s="11"/>
    </row>
    <row r="53" spans="2:9" ht="10.5" x14ac:dyDescent="0.25">
      <c r="B53" s="23" t="s">
        <v>1482</v>
      </c>
      <c r="I53" s="11"/>
    </row>
    <row r="54" spans="2:9" ht="10.5" x14ac:dyDescent="0.25">
      <c r="B54" s="23" t="s">
        <v>1486</v>
      </c>
      <c r="I54" s="11"/>
    </row>
    <row r="55" spans="2:9" x14ac:dyDescent="0.2">
      <c r="I55" s="11"/>
    </row>
    <row r="56" spans="2:9" x14ac:dyDescent="0.2">
      <c r="I56" s="11"/>
    </row>
    <row r="57" spans="2:9" x14ac:dyDescent="0.2">
      <c r="I57" s="11"/>
    </row>
    <row r="58" spans="2:9" x14ac:dyDescent="0.2">
      <c r="I58" s="11"/>
    </row>
    <row r="59" spans="2:9" x14ac:dyDescent="0.2">
      <c r="I59" s="11"/>
    </row>
    <row r="60" spans="2:9" x14ac:dyDescent="0.2">
      <c r="I60" s="11"/>
    </row>
    <row r="61" spans="2:9" x14ac:dyDescent="0.2">
      <c r="I61" s="11"/>
    </row>
    <row r="62" spans="2:9" x14ac:dyDescent="0.2">
      <c r="I62" s="11"/>
    </row>
    <row r="63" spans="2:9" x14ac:dyDescent="0.2">
      <c r="I63" s="11"/>
    </row>
    <row r="64" spans="2:9" x14ac:dyDescent="0.2">
      <c r="I64" s="11"/>
    </row>
    <row r="65" spans="9:9" x14ac:dyDescent="0.2">
      <c r="I65" s="11"/>
    </row>
    <row r="66" spans="9:9" x14ac:dyDescent="0.2">
      <c r="I66" s="11"/>
    </row>
    <row r="67" spans="9:9" x14ac:dyDescent="0.2">
      <c r="I67" s="11"/>
    </row>
    <row r="68" spans="9:9" x14ac:dyDescent="0.2">
      <c r="I68" s="11"/>
    </row>
    <row r="69" spans="9:9" x14ac:dyDescent="0.2">
      <c r="I69" s="11"/>
    </row>
    <row r="70" spans="9:9" x14ac:dyDescent="0.2">
      <c r="I70" s="11"/>
    </row>
    <row r="71" spans="9:9" x14ac:dyDescent="0.2">
      <c r="I71" s="11"/>
    </row>
    <row r="72" spans="9:9" x14ac:dyDescent="0.2">
      <c r="I72" s="11"/>
    </row>
    <row r="73" spans="9:9" x14ac:dyDescent="0.2">
      <c r="I73" s="11"/>
    </row>
    <row r="74" spans="9:9" x14ac:dyDescent="0.2">
      <c r="I74" s="11"/>
    </row>
    <row r="75" spans="9:9" x14ac:dyDescent="0.2">
      <c r="I75" s="11"/>
    </row>
    <row r="76" spans="9:9" x14ac:dyDescent="0.2">
      <c r="I76" s="11"/>
    </row>
    <row r="77" spans="9:9" x14ac:dyDescent="0.2">
      <c r="I77" s="11"/>
    </row>
    <row r="78" spans="9:9" x14ac:dyDescent="0.2">
      <c r="I78" s="11"/>
    </row>
    <row r="79" spans="9:9" x14ac:dyDescent="0.2">
      <c r="I79" s="11"/>
    </row>
    <row r="80" spans="9:9" x14ac:dyDescent="0.2">
      <c r="I80" s="11"/>
    </row>
    <row r="81" spans="9:9" x14ac:dyDescent="0.2">
      <c r="I81" s="11"/>
    </row>
    <row r="82" spans="9:9" x14ac:dyDescent="0.2">
      <c r="I82" s="11"/>
    </row>
    <row r="83" spans="9:9" x14ac:dyDescent="0.2">
      <c r="I83" s="11"/>
    </row>
    <row r="84" spans="9:9" x14ac:dyDescent="0.2">
      <c r="I84" s="11"/>
    </row>
    <row r="85" spans="9:9" x14ac:dyDescent="0.2">
      <c r="I85" s="11"/>
    </row>
    <row r="86" spans="9:9" x14ac:dyDescent="0.2">
      <c r="I86" s="11"/>
    </row>
    <row r="87" spans="9:9" x14ac:dyDescent="0.2">
      <c r="I87" s="11"/>
    </row>
    <row r="88" spans="9:9" x14ac:dyDescent="0.2">
      <c r="I88" s="11"/>
    </row>
    <row r="89" spans="9:9" x14ac:dyDescent="0.2">
      <c r="I89" s="11"/>
    </row>
    <row r="90" spans="9:9" x14ac:dyDescent="0.2">
      <c r="I90" s="11"/>
    </row>
    <row r="91" spans="9:9" x14ac:dyDescent="0.2">
      <c r="I91" s="11"/>
    </row>
    <row r="92" spans="9:9" x14ac:dyDescent="0.2">
      <c r="I92" s="11"/>
    </row>
    <row r="93" spans="9:9" x14ac:dyDescent="0.2">
      <c r="I93" s="11"/>
    </row>
    <row r="94" spans="9:9" x14ac:dyDescent="0.2">
      <c r="I94" s="11"/>
    </row>
    <row r="95" spans="9:9" x14ac:dyDescent="0.2">
      <c r="I95" s="11"/>
    </row>
    <row r="96" spans="9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</sheetData>
  <mergeCells count="3">
    <mergeCell ref="B1:C1"/>
    <mergeCell ref="B16:I16"/>
    <mergeCell ref="B18:I18"/>
  </mergeCells>
  <conditionalFormatting sqref="G1:G3 G5:G15 G17 G19:G73">
    <cfRule type="cellIs" dxfId="9" priority="1" stopIfTrue="1" operator="between">
      <formula>0.009</formula>
      <formula>-0.009</formula>
    </cfRule>
  </conditionalFormatting>
  <hyperlinks>
    <hyperlink ref="A2" location="Index!A1" display="-" xr:uid="{3324F3B0-7CA3-4B74-8B97-A3BDDC4C967C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65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A836-1C8C-4555-ADCE-507AAD120C43}">
  <dimension ref="A1:J395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5.54296875" style="6" bestFit="1" customWidth="1"/>
    <col min="4" max="4" width="14.453125" style="6" bestFit="1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1.81640625" style="11" bestFit="1" customWidth="1"/>
    <col min="9" max="9" width="10.1796875" style="6" bestFit="1" customWidth="1"/>
    <col min="10" max="16384" width="9.1796875" style="6"/>
  </cols>
  <sheetData>
    <row r="1" spans="1:10" s="1" customFormat="1" ht="16.75" customHeight="1" x14ac:dyDescent="0.35">
      <c r="B1" s="160" t="s">
        <v>15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25.5" customHeight="1" x14ac:dyDescent="0.25">
      <c r="B4" s="74" t="s">
        <v>7</v>
      </c>
      <c r="C4" s="74" t="s">
        <v>8</v>
      </c>
      <c r="D4" s="75" t="s">
        <v>255</v>
      </c>
      <c r="E4" s="75" t="s">
        <v>0</v>
      </c>
      <c r="F4" s="76" t="s">
        <v>4</v>
      </c>
      <c r="G4" s="77" t="s">
        <v>5</v>
      </c>
      <c r="H4" s="78" t="s">
        <v>6</v>
      </c>
      <c r="I4" s="76" t="s">
        <v>188</v>
      </c>
      <c r="J4" s="9"/>
    </row>
    <row r="5" spans="1:10" ht="10.5" x14ac:dyDescent="0.25">
      <c r="B5" s="30" t="s">
        <v>379</v>
      </c>
      <c r="C5" s="31"/>
      <c r="D5" s="31"/>
      <c r="E5" s="31"/>
      <c r="F5" s="32"/>
      <c r="G5" s="33"/>
      <c r="H5" s="34"/>
      <c r="I5" s="31"/>
    </row>
    <row r="6" spans="1:10" ht="10.5" x14ac:dyDescent="0.25">
      <c r="B6" s="30" t="s">
        <v>25</v>
      </c>
      <c r="C6" s="31"/>
      <c r="D6" s="31"/>
      <c r="E6" s="31"/>
      <c r="F6" s="32"/>
      <c r="G6" s="33"/>
      <c r="H6" s="34"/>
      <c r="I6" s="31"/>
    </row>
    <row r="7" spans="1:10" x14ac:dyDescent="0.2">
      <c r="B7" s="31" t="s">
        <v>380</v>
      </c>
      <c r="C7" s="31" t="s">
        <v>381</v>
      </c>
      <c r="D7" s="31" t="s">
        <v>382</v>
      </c>
      <c r="E7" s="35">
        <v>7000</v>
      </c>
      <c r="F7" s="32">
        <v>7018.48</v>
      </c>
      <c r="G7" s="33">
        <v>10.222765407921999</v>
      </c>
      <c r="H7" s="36">
        <v>7.4450000000000002E-2</v>
      </c>
      <c r="I7" s="62"/>
    </row>
    <row r="8" spans="1:10" x14ac:dyDescent="0.2">
      <c r="B8" s="31" t="s">
        <v>383</v>
      </c>
      <c r="C8" s="31" t="s">
        <v>384</v>
      </c>
      <c r="D8" s="31" t="s">
        <v>382</v>
      </c>
      <c r="E8" s="35">
        <v>5500</v>
      </c>
      <c r="F8" s="32">
        <v>5509.5315000000001</v>
      </c>
      <c r="G8" s="33">
        <v>8.0249068219980302</v>
      </c>
      <c r="H8" s="36">
        <v>7.3700000000000002E-2</v>
      </c>
      <c r="I8" s="62"/>
    </row>
    <row r="9" spans="1:10" x14ac:dyDescent="0.2">
      <c r="B9" s="31" t="s">
        <v>385</v>
      </c>
      <c r="C9" s="31" t="s">
        <v>386</v>
      </c>
      <c r="D9" s="31" t="s">
        <v>387</v>
      </c>
      <c r="E9" s="35">
        <v>5000</v>
      </c>
      <c r="F9" s="32">
        <v>5013.22</v>
      </c>
      <c r="G9" s="33">
        <v>7.3020044223682099</v>
      </c>
      <c r="H9" s="36">
        <v>7.5498999999999997E-2</v>
      </c>
      <c r="I9" s="62"/>
    </row>
    <row r="10" spans="1:10" x14ac:dyDescent="0.2">
      <c r="B10" s="31" t="s">
        <v>388</v>
      </c>
      <c r="C10" s="31" t="s">
        <v>389</v>
      </c>
      <c r="D10" s="31" t="s">
        <v>382</v>
      </c>
      <c r="E10" s="35">
        <v>500</v>
      </c>
      <c r="F10" s="32">
        <v>5003.8599999999997</v>
      </c>
      <c r="G10" s="33">
        <v>7.2883711165501204</v>
      </c>
      <c r="H10" s="36">
        <v>7.775E-2</v>
      </c>
      <c r="I10" s="62"/>
    </row>
    <row r="11" spans="1:10" x14ac:dyDescent="0.2">
      <c r="B11" s="31" t="s">
        <v>390</v>
      </c>
      <c r="C11" s="31" t="s">
        <v>391</v>
      </c>
      <c r="D11" s="31" t="s">
        <v>382</v>
      </c>
      <c r="E11" s="35">
        <v>5000</v>
      </c>
      <c r="F11" s="32">
        <v>4961.585</v>
      </c>
      <c r="G11" s="33">
        <v>7.22679547515484</v>
      </c>
      <c r="H11" s="36">
        <v>7.7649999999999997E-2</v>
      </c>
      <c r="I11" s="62"/>
    </row>
    <row r="12" spans="1:10" x14ac:dyDescent="0.2">
      <c r="B12" s="31" t="s">
        <v>392</v>
      </c>
      <c r="C12" s="31" t="s">
        <v>393</v>
      </c>
      <c r="D12" s="31" t="s">
        <v>382</v>
      </c>
      <c r="E12" s="35">
        <v>250</v>
      </c>
      <c r="F12" s="32">
        <v>2564.1174999999998</v>
      </c>
      <c r="G12" s="33">
        <v>3.7347647469035299</v>
      </c>
      <c r="H12" s="36">
        <v>7.4499999999999997E-2</v>
      </c>
      <c r="I12" s="62"/>
    </row>
    <row r="13" spans="1:10" x14ac:dyDescent="0.2">
      <c r="B13" s="31" t="s">
        <v>394</v>
      </c>
      <c r="C13" s="31" t="s">
        <v>395</v>
      </c>
      <c r="D13" s="31" t="s">
        <v>382</v>
      </c>
      <c r="E13" s="35">
        <v>2500</v>
      </c>
      <c r="F13" s="32">
        <v>2512.3049999999998</v>
      </c>
      <c r="G13" s="33">
        <v>3.65929726210654</v>
      </c>
      <c r="H13" s="36">
        <v>7.6186000000000004E-2</v>
      </c>
      <c r="I13" s="62"/>
    </row>
    <row r="14" spans="1:10" x14ac:dyDescent="0.2">
      <c r="B14" s="31" t="s">
        <v>396</v>
      </c>
      <c r="C14" s="31" t="s">
        <v>397</v>
      </c>
      <c r="D14" s="31" t="s">
        <v>382</v>
      </c>
      <c r="E14" s="35">
        <v>2500</v>
      </c>
      <c r="F14" s="32">
        <v>2477.9299999999998</v>
      </c>
      <c r="G14" s="33">
        <v>3.6092283638697</v>
      </c>
      <c r="H14" s="36">
        <v>7.8100000000000003E-2</v>
      </c>
      <c r="I14" s="62"/>
    </row>
    <row r="15" spans="1:10" ht="10.5" x14ac:dyDescent="0.25">
      <c r="B15" s="30" t="s">
        <v>170</v>
      </c>
      <c r="C15" s="30"/>
      <c r="D15" s="30"/>
      <c r="E15" s="30"/>
      <c r="F15" s="63">
        <f>SUM(F6:F14)</f>
        <v>35061.029000000002</v>
      </c>
      <c r="G15" s="64">
        <f>SUM(G6:G14)</f>
        <v>51.068133616872963</v>
      </c>
      <c r="H15" s="39"/>
      <c r="I15" s="30"/>
    </row>
    <row r="16" spans="1:10" ht="10.5" x14ac:dyDescent="0.25">
      <c r="B16" s="47" t="s">
        <v>398</v>
      </c>
      <c r="C16" s="95"/>
      <c r="D16" s="95"/>
      <c r="E16" s="95"/>
      <c r="F16" s="96"/>
      <c r="G16" s="97"/>
      <c r="H16" s="34"/>
      <c r="I16" s="31"/>
    </row>
    <row r="17" spans="2:9" ht="10.5" x14ac:dyDescent="0.25">
      <c r="B17" s="30" t="s">
        <v>170</v>
      </c>
      <c r="C17" s="30"/>
      <c r="D17" s="30"/>
      <c r="E17" s="30"/>
      <c r="F17" s="42" t="s">
        <v>399</v>
      </c>
      <c r="G17" s="43" t="s">
        <v>399</v>
      </c>
      <c r="H17" s="39"/>
      <c r="I17" s="30"/>
    </row>
    <row r="18" spans="2:9" ht="10.5" x14ac:dyDescent="0.25">
      <c r="B18" s="47" t="s">
        <v>173</v>
      </c>
      <c r="C18" s="47"/>
      <c r="D18" s="47"/>
      <c r="E18" s="47"/>
      <c r="F18" s="98">
        <f>F15</f>
        <v>35061.029000000002</v>
      </c>
      <c r="G18" s="99">
        <f>G15</f>
        <v>51.068133616872963</v>
      </c>
      <c r="H18" s="39"/>
      <c r="I18" s="30"/>
    </row>
    <row r="19" spans="2:9" ht="10.5" x14ac:dyDescent="0.25">
      <c r="B19" s="30" t="s">
        <v>189</v>
      </c>
      <c r="C19" s="31"/>
      <c r="D19" s="31"/>
      <c r="E19" s="31"/>
      <c r="F19" s="32"/>
      <c r="G19" s="33"/>
      <c r="H19" s="34"/>
      <c r="I19" s="31"/>
    </row>
    <row r="20" spans="2:9" ht="10.5" x14ac:dyDescent="0.25">
      <c r="B20" s="30" t="s">
        <v>190</v>
      </c>
      <c r="C20" s="31"/>
      <c r="D20" s="31"/>
      <c r="E20" s="31"/>
      <c r="F20" s="32"/>
      <c r="G20" s="33"/>
      <c r="H20" s="34"/>
      <c r="I20" s="31"/>
    </row>
    <row r="21" spans="2:9" x14ac:dyDescent="0.2">
      <c r="B21" s="31" t="s">
        <v>400</v>
      </c>
      <c r="C21" s="31" t="s">
        <v>401</v>
      </c>
      <c r="D21" s="31" t="s">
        <v>196</v>
      </c>
      <c r="E21" s="35">
        <v>1000</v>
      </c>
      <c r="F21" s="32">
        <v>4723.22</v>
      </c>
      <c r="G21" s="33">
        <v>6.8796049899701099</v>
      </c>
      <c r="H21" s="36">
        <v>7.2999999999999995E-2</v>
      </c>
      <c r="I21" s="62"/>
    </row>
    <row r="22" spans="2:9" x14ac:dyDescent="0.2">
      <c r="B22" s="31" t="s">
        <v>402</v>
      </c>
      <c r="C22" s="31" t="s">
        <v>403</v>
      </c>
      <c r="D22" s="31" t="s">
        <v>196</v>
      </c>
      <c r="E22" s="35">
        <v>1000</v>
      </c>
      <c r="F22" s="32">
        <v>4714.12</v>
      </c>
      <c r="G22" s="33">
        <v>6.8663503870914102</v>
      </c>
      <c r="H22" s="36">
        <v>7.2099999999999997E-2</v>
      </c>
      <c r="I22" s="62"/>
    </row>
    <row r="23" spans="2:9" x14ac:dyDescent="0.2">
      <c r="B23" s="31" t="s">
        <v>232</v>
      </c>
      <c r="C23" s="31" t="s">
        <v>233</v>
      </c>
      <c r="D23" s="31" t="s">
        <v>196</v>
      </c>
      <c r="E23" s="35">
        <v>1000</v>
      </c>
      <c r="F23" s="32">
        <v>4705.9449999999997</v>
      </c>
      <c r="G23" s="33">
        <v>6.8544430927470898</v>
      </c>
      <c r="H23" s="36">
        <v>7.2404999999999997E-2</v>
      </c>
      <c r="I23" s="62"/>
    </row>
    <row r="24" spans="2:9" x14ac:dyDescent="0.2">
      <c r="B24" s="31" t="s">
        <v>206</v>
      </c>
      <c r="C24" s="31" t="s">
        <v>207</v>
      </c>
      <c r="D24" s="31" t="s">
        <v>196</v>
      </c>
      <c r="E24" s="35">
        <v>500</v>
      </c>
      <c r="F24" s="32">
        <v>2393.23</v>
      </c>
      <c r="G24" s="33">
        <v>3.48585859861412</v>
      </c>
      <c r="H24" s="36">
        <v>7.0799000000000001E-2</v>
      </c>
      <c r="I24" s="62"/>
    </row>
    <row r="25" spans="2:9" x14ac:dyDescent="0.2">
      <c r="B25" s="31" t="s">
        <v>404</v>
      </c>
      <c r="C25" s="31" t="s">
        <v>405</v>
      </c>
      <c r="D25" s="31" t="s">
        <v>196</v>
      </c>
      <c r="E25" s="35">
        <v>500</v>
      </c>
      <c r="F25" s="32">
        <v>2370.5675000000001</v>
      </c>
      <c r="G25" s="33">
        <v>3.4528495395219698</v>
      </c>
      <c r="H25" s="36">
        <v>7.2999999999999995E-2</v>
      </c>
      <c r="I25" s="62"/>
    </row>
    <row r="26" spans="2:9" x14ac:dyDescent="0.2">
      <c r="B26" s="31" t="s">
        <v>228</v>
      </c>
      <c r="C26" s="31" t="s">
        <v>229</v>
      </c>
      <c r="D26" s="31" t="s">
        <v>201</v>
      </c>
      <c r="E26" s="35">
        <v>500</v>
      </c>
      <c r="F26" s="32">
        <v>2359.665</v>
      </c>
      <c r="G26" s="33">
        <v>3.4369695056884599</v>
      </c>
      <c r="H26" s="36">
        <v>7.2599999999999998E-2</v>
      </c>
      <c r="I26" s="62"/>
    </row>
    <row r="27" spans="2:9" x14ac:dyDescent="0.2">
      <c r="B27" s="31" t="s">
        <v>194</v>
      </c>
      <c r="C27" s="31" t="s">
        <v>195</v>
      </c>
      <c r="D27" s="31" t="s">
        <v>196</v>
      </c>
      <c r="E27" s="35">
        <v>500</v>
      </c>
      <c r="F27" s="32">
        <v>2357.1849999999999</v>
      </c>
      <c r="G27" s="33">
        <v>3.4333572622665698</v>
      </c>
      <c r="H27" s="36">
        <v>7.1800000000000003E-2</v>
      </c>
      <c r="I27" s="62"/>
    </row>
    <row r="28" spans="2:9" x14ac:dyDescent="0.2">
      <c r="B28" s="31" t="s">
        <v>214</v>
      </c>
      <c r="C28" s="31" t="s">
        <v>215</v>
      </c>
      <c r="D28" s="31" t="s">
        <v>196</v>
      </c>
      <c r="E28" s="35">
        <v>500</v>
      </c>
      <c r="F28" s="32">
        <v>2355.6275000000001</v>
      </c>
      <c r="G28" s="33">
        <v>3.4310886860046401</v>
      </c>
      <c r="H28" s="36">
        <v>7.17E-2</v>
      </c>
      <c r="I28" s="62"/>
    </row>
    <row r="29" spans="2:9" ht="10.5" x14ac:dyDescent="0.25">
      <c r="B29" s="30" t="s">
        <v>170</v>
      </c>
      <c r="C29" s="30"/>
      <c r="D29" s="30"/>
      <c r="E29" s="30"/>
      <c r="F29" s="48">
        <f>SUM(F20:F28)</f>
        <v>25979.56</v>
      </c>
      <c r="G29" s="49">
        <f>SUM(G20:G28)</f>
        <v>37.840522061904373</v>
      </c>
      <c r="H29" s="39"/>
      <c r="I29" s="30"/>
    </row>
    <row r="30" spans="2:9" ht="10.5" x14ac:dyDescent="0.25">
      <c r="B30" s="30" t="s">
        <v>236</v>
      </c>
      <c r="C30" s="31"/>
      <c r="D30" s="31"/>
      <c r="E30" s="31"/>
      <c r="F30" s="32"/>
      <c r="G30" s="33"/>
      <c r="H30" s="34"/>
      <c r="I30" s="31"/>
    </row>
    <row r="31" spans="2:9" x14ac:dyDescent="0.2">
      <c r="B31" s="31" t="s">
        <v>406</v>
      </c>
      <c r="C31" s="31" t="s">
        <v>407</v>
      </c>
      <c r="D31" s="31" t="s">
        <v>196</v>
      </c>
      <c r="E31" s="35">
        <v>500</v>
      </c>
      <c r="F31" s="32">
        <v>2350.1174999999998</v>
      </c>
      <c r="G31" s="33">
        <v>3.4230630967890701</v>
      </c>
      <c r="H31" s="36">
        <v>7.3899999999999993E-2</v>
      </c>
      <c r="I31" s="62"/>
    </row>
    <row r="32" spans="2:9" ht="10.5" x14ac:dyDescent="0.25">
      <c r="B32" s="30" t="s">
        <v>170</v>
      </c>
      <c r="C32" s="30"/>
      <c r="D32" s="30"/>
      <c r="E32" s="30"/>
      <c r="F32" s="48">
        <f>SUM(F30:F31)</f>
        <v>2350.1174999999998</v>
      </c>
      <c r="G32" s="49">
        <f>SUM(G30:G31)</f>
        <v>3.4230630967890701</v>
      </c>
      <c r="H32" s="39"/>
      <c r="I32" s="30"/>
    </row>
    <row r="33" spans="2:9" ht="10.5" x14ac:dyDescent="0.25">
      <c r="B33" s="30" t="s">
        <v>243</v>
      </c>
      <c r="C33" s="31"/>
      <c r="D33" s="31"/>
      <c r="E33" s="31"/>
      <c r="F33" s="32"/>
      <c r="G33" s="33"/>
      <c r="H33" s="34"/>
      <c r="I33" s="31"/>
    </row>
    <row r="34" spans="2:9" x14ac:dyDescent="0.2">
      <c r="B34" s="31" t="s">
        <v>408</v>
      </c>
      <c r="C34" s="31" t="s">
        <v>409</v>
      </c>
      <c r="D34" s="31" t="s">
        <v>251</v>
      </c>
      <c r="E34" s="35">
        <v>3000000</v>
      </c>
      <c r="F34" s="32">
        <v>2966.9940000000001</v>
      </c>
      <c r="G34" s="33">
        <v>4.32157441906398</v>
      </c>
      <c r="H34" s="36">
        <v>5.2734999999999997E-2</v>
      </c>
      <c r="I34" s="62"/>
    </row>
    <row r="35" spans="2:9" x14ac:dyDescent="0.2">
      <c r="B35" s="31" t="s">
        <v>410</v>
      </c>
      <c r="C35" s="31" t="s">
        <v>411</v>
      </c>
      <c r="D35" s="31" t="s">
        <v>251</v>
      </c>
      <c r="E35" s="35">
        <v>2000000</v>
      </c>
      <c r="F35" s="32">
        <v>1982.41</v>
      </c>
      <c r="G35" s="33">
        <v>2.8874788233803699</v>
      </c>
      <c r="H35" s="36">
        <v>5.2239000000000001E-2</v>
      </c>
      <c r="I35" s="62"/>
    </row>
    <row r="36" spans="2:9" x14ac:dyDescent="0.2">
      <c r="B36" s="31" t="s">
        <v>412</v>
      </c>
      <c r="C36" s="31" t="s">
        <v>413</v>
      </c>
      <c r="D36" s="31" t="s">
        <v>251</v>
      </c>
      <c r="E36" s="35">
        <v>1500000</v>
      </c>
      <c r="F36" s="32">
        <v>1482.3225</v>
      </c>
      <c r="G36" s="33">
        <v>2.1590764918307799</v>
      </c>
      <c r="H36" s="36">
        <v>5.2443999999999998E-2</v>
      </c>
      <c r="I36" s="62"/>
    </row>
    <row r="37" spans="2:9" ht="10.5" x14ac:dyDescent="0.25">
      <c r="B37" s="30" t="s">
        <v>170</v>
      </c>
      <c r="C37" s="30"/>
      <c r="D37" s="30"/>
      <c r="E37" s="30"/>
      <c r="F37" s="63">
        <f>SUM(F33:F36)</f>
        <v>6431.7265000000007</v>
      </c>
      <c r="G37" s="64">
        <f>SUM(G33:G36)</f>
        <v>9.3681297342751293</v>
      </c>
      <c r="H37" s="39"/>
      <c r="I37" s="30"/>
    </row>
    <row r="38" spans="2:9" ht="10.5" x14ac:dyDescent="0.25">
      <c r="B38" s="47" t="s">
        <v>173</v>
      </c>
      <c r="C38" s="47"/>
      <c r="D38" s="47"/>
      <c r="E38" s="47"/>
      <c r="F38" s="48">
        <f>+F29+F32+F37</f>
        <v>34761.404000000002</v>
      </c>
      <c r="G38" s="49">
        <f>+G29+G32+G37</f>
        <v>50.631714892968574</v>
      </c>
      <c r="H38" s="39"/>
      <c r="I38" s="30"/>
    </row>
    <row r="39" spans="2:9" ht="10.5" x14ac:dyDescent="0.25">
      <c r="B39" s="30"/>
      <c r="C39" s="31"/>
      <c r="D39" s="31"/>
      <c r="E39" s="31"/>
      <c r="F39" s="32"/>
      <c r="G39" s="33"/>
      <c r="H39" s="34"/>
      <c r="I39" s="31"/>
    </row>
    <row r="40" spans="2:9" ht="10.5" x14ac:dyDescent="0.25">
      <c r="B40" s="30" t="s">
        <v>174</v>
      </c>
      <c r="C40" s="30"/>
      <c r="D40" s="30"/>
      <c r="E40" s="30"/>
      <c r="F40" s="48">
        <v>64.517506499999996</v>
      </c>
      <c r="G40" s="49">
        <v>9.3972959052898097E-2</v>
      </c>
      <c r="H40" s="36">
        <v>5.2499999999999998E-2</v>
      </c>
      <c r="I40" s="36"/>
    </row>
    <row r="41" spans="2:9" x14ac:dyDescent="0.2">
      <c r="B41" s="31"/>
      <c r="C41" s="31"/>
      <c r="D41" s="31"/>
      <c r="E41" s="31"/>
      <c r="F41" s="32"/>
      <c r="G41" s="33"/>
      <c r="H41" s="34"/>
      <c r="I41" s="31"/>
    </row>
    <row r="42" spans="2:9" ht="10.5" x14ac:dyDescent="0.25">
      <c r="B42" s="47" t="s">
        <v>177</v>
      </c>
      <c r="C42" s="47"/>
      <c r="D42" s="47"/>
      <c r="E42" s="47"/>
      <c r="F42" s="48">
        <f>F43-(F15+F29+F32+F37+F40)</f>
        <v>-1231.5552201999963</v>
      </c>
      <c r="G42" s="49">
        <f>G43-(G15+G29+G32+G37+G40)</f>
        <v>-1.7938214688944214</v>
      </c>
      <c r="H42" s="39"/>
      <c r="I42" s="30"/>
    </row>
    <row r="43" spans="2:9" ht="10.5" x14ac:dyDescent="0.25">
      <c r="B43" s="47" t="s">
        <v>175</v>
      </c>
      <c r="C43" s="47"/>
      <c r="D43" s="47"/>
      <c r="E43" s="47"/>
      <c r="F43" s="48">
        <v>68655.395286300001</v>
      </c>
      <c r="G43" s="49">
        <v>100</v>
      </c>
      <c r="H43" s="50"/>
      <c r="I43" s="51"/>
    </row>
    <row r="45" spans="2:9" ht="10.5" x14ac:dyDescent="0.25">
      <c r="B45" s="23" t="s">
        <v>256</v>
      </c>
    </row>
    <row r="46" spans="2:9" ht="40" customHeight="1" x14ac:dyDescent="0.2">
      <c r="B46" s="171" t="s">
        <v>257</v>
      </c>
      <c r="C46" s="171"/>
      <c r="D46" s="171"/>
      <c r="E46" s="171"/>
      <c r="F46" s="171"/>
      <c r="G46" s="171"/>
      <c r="H46" s="171"/>
      <c r="I46" s="171"/>
    </row>
    <row r="47" spans="2:9" ht="10.5" x14ac:dyDescent="0.25">
      <c r="B47" s="23"/>
    </row>
    <row r="48" spans="2:9" ht="10.5" x14ac:dyDescent="0.2">
      <c r="B48" s="172"/>
      <c r="C48" s="172"/>
      <c r="D48" s="172"/>
      <c r="E48" s="172"/>
      <c r="F48" s="172"/>
      <c r="G48" s="172"/>
      <c r="H48" s="172"/>
      <c r="I48" s="172"/>
    </row>
    <row r="49" spans="2:4" ht="10.5" x14ac:dyDescent="0.25">
      <c r="B49" s="23"/>
    </row>
    <row r="50" spans="2:4" ht="10.5" x14ac:dyDescent="0.2">
      <c r="B50" s="70" t="s">
        <v>186</v>
      </c>
    </row>
    <row r="51" spans="2:4" ht="10.5" x14ac:dyDescent="0.2">
      <c r="B51" s="70"/>
    </row>
    <row r="52" spans="2:4" x14ac:dyDescent="0.2">
      <c r="B52" s="81" t="s">
        <v>1497</v>
      </c>
    </row>
    <row r="53" spans="2:4" x14ac:dyDescent="0.2">
      <c r="B53" s="81" t="s">
        <v>1498</v>
      </c>
    </row>
    <row r="54" spans="2:4" ht="10.5" x14ac:dyDescent="0.2">
      <c r="B54" s="70"/>
    </row>
    <row r="55" spans="2:4" ht="10.5" x14ac:dyDescent="0.2">
      <c r="B55" s="88" t="s">
        <v>1499</v>
      </c>
      <c r="C55" s="100" t="s">
        <v>1517</v>
      </c>
      <c r="D55" s="100" t="s">
        <v>1500</v>
      </c>
    </row>
    <row r="56" spans="2:4" x14ac:dyDescent="0.2">
      <c r="B56" s="85" t="s">
        <v>1501</v>
      </c>
      <c r="C56" s="89">
        <v>1011.2369</v>
      </c>
      <c r="D56" s="89">
        <v>1017.3943</v>
      </c>
    </row>
    <row r="57" spans="2:4" ht="10.5" x14ac:dyDescent="0.2">
      <c r="B57" s="70"/>
    </row>
    <row r="58" spans="2:4" ht="10.5" x14ac:dyDescent="0.2">
      <c r="B58" s="70"/>
    </row>
    <row r="59" spans="2:4" x14ac:dyDescent="0.2">
      <c r="B59" s="81" t="s">
        <v>1597</v>
      </c>
    </row>
    <row r="60" spans="2:4" x14ac:dyDescent="0.2">
      <c r="B60" s="81" t="s">
        <v>1502</v>
      </c>
    </row>
    <row r="61" spans="2:4" x14ac:dyDescent="0.2">
      <c r="B61" s="81" t="s">
        <v>1503</v>
      </c>
    </row>
    <row r="62" spans="2:4" x14ac:dyDescent="0.2">
      <c r="B62" s="87" t="s">
        <v>1513</v>
      </c>
    </row>
    <row r="63" spans="2:4" x14ac:dyDescent="0.2">
      <c r="B63" s="81" t="s">
        <v>1505</v>
      </c>
    </row>
    <row r="64" spans="2:4" ht="10.5" x14ac:dyDescent="0.25">
      <c r="B64" s="23"/>
    </row>
    <row r="66" spans="2:9" ht="10.5" x14ac:dyDescent="0.25">
      <c r="B66" s="23" t="s">
        <v>187</v>
      </c>
      <c r="I66" s="11"/>
    </row>
    <row r="67" spans="2:9" x14ac:dyDescent="0.2">
      <c r="I67" s="11"/>
    </row>
    <row r="68" spans="2:9" x14ac:dyDescent="0.2">
      <c r="I68" s="11"/>
    </row>
    <row r="69" spans="2:9" x14ac:dyDescent="0.2">
      <c r="I69" s="11"/>
    </row>
    <row r="70" spans="2:9" x14ac:dyDescent="0.2">
      <c r="I70" s="11"/>
    </row>
    <row r="71" spans="2:9" x14ac:dyDescent="0.2">
      <c r="I71" s="11"/>
    </row>
    <row r="72" spans="2:9" x14ac:dyDescent="0.2">
      <c r="I72" s="11"/>
    </row>
    <row r="73" spans="2:9" x14ac:dyDescent="0.2">
      <c r="I73" s="11"/>
    </row>
    <row r="74" spans="2:9" x14ac:dyDescent="0.2">
      <c r="I74" s="11"/>
    </row>
    <row r="75" spans="2:9" x14ac:dyDescent="0.2">
      <c r="I75" s="11"/>
    </row>
    <row r="76" spans="2:9" x14ac:dyDescent="0.2">
      <c r="I76" s="11"/>
    </row>
    <row r="77" spans="2:9" x14ac:dyDescent="0.2"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2:9" x14ac:dyDescent="0.2">
      <c r="I81" s="11"/>
    </row>
    <row r="82" spans="2:9" x14ac:dyDescent="0.2">
      <c r="I82" s="11"/>
    </row>
    <row r="83" spans="2:9" x14ac:dyDescent="0.2">
      <c r="I83" s="11"/>
    </row>
    <row r="84" spans="2:9" x14ac:dyDescent="0.2">
      <c r="I84" s="11"/>
    </row>
    <row r="85" spans="2:9" x14ac:dyDescent="0.2">
      <c r="I85" s="11"/>
    </row>
    <row r="86" spans="2:9" x14ac:dyDescent="0.2">
      <c r="I86" s="11"/>
    </row>
    <row r="87" spans="2:9" x14ac:dyDescent="0.2">
      <c r="I87" s="11"/>
    </row>
    <row r="88" spans="2:9" ht="10.5" x14ac:dyDescent="0.25">
      <c r="B88" s="23" t="s">
        <v>1482</v>
      </c>
      <c r="I88" s="11"/>
    </row>
    <row r="89" spans="2:9" ht="10.5" x14ac:dyDescent="0.25">
      <c r="B89" s="23" t="s">
        <v>1487</v>
      </c>
      <c r="I89" s="11"/>
    </row>
    <row r="90" spans="2:9" x14ac:dyDescent="0.2">
      <c r="I90" s="11"/>
    </row>
    <row r="91" spans="2:9" x14ac:dyDescent="0.2">
      <c r="I91" s="11"/>
    </row>
    <row r="92" spans="2:9" x14ac:dyDescent="0.2">
      <c r="I92" s="11"/>
    </row>
    <row r="93" spans="2:9" x14ac:dyDescent="0.2">
      <c r="I93" s="11"/>
    </row>
    <row r="94" spans="2:9" x14ac:dyDescent="0.2">
      <c r="I94" s="11"/>
    </row>
    <row r="95" spans="2:9" x14ac:dyDescent="0.2">
      <c r="I95" s="11"/>
    </row>
    <row r="96" spans="2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</sheetData>
  <mergeCells count="3">
    <mergeCell ref="B1:C1"/>
    <mergeCell ref="B46:I46"/>
    <mergeCell ref="B48:I48"/>
  </mergeCells>
  <conditionalFormatting sqref="G1:G3 G5:G45 G47 G49:G191">
    <cfRule type="cellIs" dxfId="8" priority="1" stopIfTrue="1" operator="between">
      <formula>0.009</formula>
      <formula>-0.009</formula>
    </cfRule>
  </conditionalFormatting>
  <hyperlinks>
    <hyperlink ref="A2" location="Index!A1" display="-" xr:uid="{C54C0C19-F621-4B15-BAD4-CA59A92BD6B4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2" min="1" max="8" man="1"/>
  </rowBreaks>
  <colBreaks count="1" manualBreakCount="1">
    <brk id="9" max="58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CB06-4C3E-4CFB-9CAF-C2519BB1509C}">
  <dimension ref="A1:J383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26953125" style="6" customWidth="1"/>
    <col min="4" max="4" width="17.1796875" style="6" customWidth="1"/>
    <col min="5" max="5" width="13.54296875" style="6" bestFit="1" customWidth="1"/>
    <col min="6" max="6" width="12.7265625" style="8" bestFit="1" customWidth="1"/>
    <col min="7" max="7" width="8.26953125" style="15" customWidth="1"/>
    <col min="8" max="8" width="11.81640625" style="11" bestFit="1" customWidth="1"/>
    <col min="9" max="9" width="12" style="6" customWidth="1"/>
    <col min="10" max="16384" width="9.1796875" style="6"/>
  </cols>
  <sheetData>
    <row r="1" spans="1:10" s="1" customFormat="1" ht="16.75" customHeight="1" x14ac:dyDescent="0.35">
      <c r="B1" s="160" t="s">
        <v>16</v>
      </c>
      <c r="C1" s="161"/>
      <c r="D1" s="10"/>
      <c r="F1" s="5"/>
      <c r="G1" s="15"/>
      <c r="H1" s="12"/>
    </row>
    <row r="2" spans="1:10" s="1" customFormat="1" ht="14.5" x14ac:dyDescent="0.35">
      <c r="A2" s="68" t="s">
        <v>1495</v>
      </c>
      <c r="F2" s="5"/>
      <c r="G2" s="15"/>
      <c r="H2" s="12"/>
    </row>
    <row r="3" spans="1:10" s="1" customFormat="1" ht="11.5" x14ac:dyDescent="0.25">
      <c r="B3" s="7" t="s">
        <v>9</v>
      </c>
      <c r="C3" s="2"/>
      <c r="D3" s="3"/>
      <c r="E3" s="3"/>
      <c r="F3" s="4"/>
      <c r="G3" s="15"/>
      <c r="H3" s="12"/>
    </row>
    <row r="4" spans="1:10" s="1" customFormat="1" ht="38.5" customHeight="1" x14ac:dyDescent="0.25">
      <c r="B4" s="74" t="s">
        <v>7</v>
      </c>
      <c r="C4" s="74" t="s">
        <v>8</v>
      </c>
      <c r="D4" s="75" t="s">
        <v>255</v>
      </c>
      <c r="E4" s="75" t="s">
        <v>0</v>
      </c>
      <c r="F4" s="76" t="s">
        <v>4</v>
      </c>
      <c r="G4" s="77" t="s">
        <v>5</v>
      </c>
      <c r="H4" s="78" t="s">
        <v>6</v>
      </c>
      <c r="I4" s="76" t="s">
        <v>188</v>
      </c>
      <c r="J4" s="9"/>
    </row>
    <row r="5" spans="1:10" ht="10.5" x14ac:dyDescent="0.25">
      <c r="B5" s="30" t="s">
        <v>379</v>
      </c>
      <c r="C5" s="31"/>
      <c r="D5" s="31"/>
      <c r="E5" s="31"/>
      <c r="F5" s="32"/>
      <c r="G5" s="33"/>
      <c r="H5" s="34"/>
      <c r="I5" s="31"/>
    </row>
    <row r="6" spans="1:10" ht="10.5" x14ac:dyDescent="0.25">
      <c r="B6" s="30" t="s">
        <v>25</v>
      </c>
      <c r="C6" s="31"/>
      <c r="D6" s="31"/>
      <c r="E6" s="31"/>
      <c r="F6" s="32"/>
      <c r="G6" s="33"/>
      <c r="H6" s="34"/>
      <c r="I6" s="31"/>
    </row>
    <row r="7" spans="1:10" x14ac:dyDescent="0.2">
      <c r="B7" s="31" t="s">
        <v>414</v>
      </c>
      <c r="C7" s="31" t="s">
        <v>415</v>
      </c>
      <c r="D7" s="31" t="s">
        <v>382</v>
      </c>
      <c r="E7" s="35">
        <v>2500</v>
      </c>
      <c r="F7" s="32">
        <v>2506.4675000000002</v>
      </c>
      <c r="G7" s="33">
        <v>11.146035095897901</v>
      </c>
      <c r="H7" s="36">
        <v>7.3599999999999999E-2</v>
      </c>
      <c r="I7" s="62"/>
    </row>
    <row r="8" spans="1:10" x14ac:dyDescent="0.2">
      <c r="B8" s="31" t="s">
        <v>416</v>
      </c>
      <c r="C8" s="31" t="s">
        <v>417</v>
      </c>
      <c r="D8" s="31" t="s">
        <v>382</v>
      </c>
      <c r="E8" s="35">
        <v>2500</v>
      </c>
      <c r="F8" s="32">
        <v>2501.4549999999999</v>
      </c>
      <c r="G8" s="33">
        <v>11.1237449601119</v>
      </c>
      <c r="H8" s="36">
        <v>7.6440999999999995E-2</v>
      </c>
      <c r="I8" s="62"/>
    </row>
    <row r="9" spans="1:10" x14ac:dyDescent="0.2">
      <c r="B9" s="31" t="s">
        <v>418</v>
      </c>
      <c r="C9" s="31" t="s">
        <v>419</v>
      </c>
      <c r="D9" s="31" t="s">
        <v>382</v>
      </c>
      <c r="E9" s="35">
        <v>250</v>
      </c>
      <c r="F9" s="32">
        <v>2498.84</v>
      </c>
      <c r="G9" s="33">
        <v>11.112116290769199</v>
      </c>
      <c r="H9" s="36">
        <v>7.5300000000000006E-2</v>
      </c>
      <c r="I9" s="62"/>
    </row>
    <row r="10" spans="1:10" x14ac:dyDescent="0.2">
      <c r="B10" s="31" t="s">
        <v>420</v>
      </c>
      <c r="C10" s="31" t="s">
        <v>421</v>
      </c>
      <c r="D10" s="31" t="s">
        <v>382</v>
      </c>
      <c r="E10" s="35">
        <v>2500</v>
      </c>
      <c r="F10" s="32">
        <v>2477.4549999999999</v>
      </c>
      <c r="G10" s="33">
        <v>11.0170191229321</v>
      </c>
      <c r="H10" s="36">
        <v>7.4499999999999997E-2</v>
      </c>
      <c r="I10" s="62"/>
    </row>
    <row r="11" spans="1:10" x14ac:dyDescent="0.2">
      <c r="B11" s="31" t="s">
        <v>422</v>
      </c>
      <c r="C11" s="31" t="s">
        <v>423</v>
      </c>
      <c r="D11" s="31" t="s">
        <v>382</v>
      </c>
      <c r="E11" s="35">
        <v>2500</v>
      </c>
      <c r="F11" s="32">
        <v>2456.2775000000001</v>
      </c>
      <c r="G11" s="33">
        <v>10.9228446888956</v>
      </c>
      <c r="H11" s="36">
        <v>7.6999999999999999E-2</v>
      </c>
      <c r="I11" s="62"/>
    </row>
    <row r="12" spans="1:10" ht="10.5" x14ac:dyDescent="0.25">
      <c r="B12" s="30" t="s">
        <v>170</v>
      </c>
      <c r="C12" s="30"/>
      <c r="D12" s="30"/>
      <c r="E12" s="30"/>
      <c r="F12" s="63">
        <f>SUM(F6:F11)</f>
        <v>12440.495000000001</v>
      </c>
      <c r="G12" s="64">
        <f>SUM(G6:G11)</f>
        <v>55.3217601586067</v>
      </c>
      <c r="H12" s="39"/>
      <c r="I12" s="30"/>
    </row>
    <row r="13" spans="1:10" ht="10.5" x14ac:dyDescent="0.25">
      <c r="B13" s="47" t="s">
        <v>398</v>
      </c>
      <c r="C13" s="95"/>
      <c r="D13" s="95"/>
      <c r="E13" s="95"/>
      <c r="F13" s="96"/>
      <c r="G13" s="97"/>
      <c r="H13" s="34"/>
      <c r="I13" s="31"/>
    </row>
    <row r="14" spans="1:10" ht="10.5" x14ac:dyDescent="0.25">
      <c r="B14" s="30" t="s">
        <v>170</v>
      </c>
      <c r="C14" s="30"/>
      <c r="D14" s="30"/>
      <c r="E14" s="30"/>
      <c r="F14" s="42" t="s">
        <v>399</v>
      </c>
      <c r="G14" s="43" t="s">
        <v>399</v>
      </c>
      <c r="H14" s="39"/>
      <c r="I14" s="30"/>
    </row>
    <row r="15" spans="1:10" ht="10.5" x14ac:dyDescent="0.25">
      <c r="B15" s="47" t="s">
        <v>173</v>
      </c>
      <c r="C15" s="47"/>
      <c r="D15" s="47"/>
      <c r="E15" s="47"/>
      <c r="F15" s="98">
        <f>F12</f>
        <v>12440.495000000001</v>
      </c>
      <c r="G15" s="99">
        <f>G12</f>
        <v>55.3217601586067</v>
      </c>
      <c r="H15" s="39"/>
      <c r="I15" s="30"/>
    </row>
    <row r="16" spans="1:10" ht="10.5" x14ac:dyDescent="0.25">
      <c r="B16" s="30" t="s">
        <v>189</v>
      </c>
      <c r="C16" s="31"/>
      <c r="D16" s="31"/>
      <c r="E16" s="31"/>
      <c r="F16" s="32"/>
      <c r="G16" s="33"/>
      <c r="H16" s="34"/>
      <c r="I16" s="31"/>
    </row>
    <row r="17" spans="2:9" ht="10.5" x14ac:dyDescent="0.25">
      <c r="B17" s="30" t="s">
        <v>190</v>
      </c>
      <c r="C17" s="31"/>
      <c r="D17" s="31"/>
      <c r="E17" s="31"/>
      <c r="F17" s="32"/>
      <c r="G17" s="33"/>
      <c r="H17" s="34"/>
      <c r="I17" s="31"/>
    </row>
    <row r="18" spans="2:9" x14ac:dyDescent="0.2">
      <c r="B18" s="31" t="s">
        <v>191</v>
      </c>
      <c r="C18" s="31" t="s">
        <v>192</v>
      </c>
      <c r="D18" s="31" t="s">
        <v>193</v>
      </c>
      <c r="E18" s="35">
        <v>700</v>
      </c>
      <c r="F18" s="32">
        <v>3294.1509999999998</v>
      </c>
      <c r="G18" s="33">
        <v>14.6487926363247</v>
      </c>
      <c r="H18" s="36">
        <v>7.1499999999999994E-2</v>
      </c>
      <c r="I18" s="62"/>
    </row>
    <row r="19" spans="2:9" x14ac:dyDescent="0.2">
      <c r="B19" s="31" t="s">
        <v>204</v>
      </c>
      <c r="C19" s="31" t="s">
        <v>205</v>
      </c>
      <c r="D19" s="31" t="s">
        <v>193</v>
      </c>
      <c r="E19" s="35">
        <v>300</v>
      </c>
      <c r="F19" s="32">
        <v>1408.941</v>
      </c>
      <c r="G19" s="33">
        <v>6.2654336567497797</v>
      </c>
      <c r="H19" s="36">
        <v>7.1919999999999998E-2</v>
      </c>
      <c r="I19" s="62"/>
    </row>
    <row r="20" spans="2:9" x14ac:dyDescent="0.2">
      <c r="B20" s="31" t="s">
        <v>222</v>
      </c>
      <c r="C20" s="31" t="s">
        <v>223</v>
      </c>
      <c r="D20" s="31" t="s">
        <v>196</v>
      </c>
      <c r="E20" s="35">
        <v>200</v>
      </c>
      <c r="F20" s="32">
        <v>942.80499999999995</v>
      </c>
      <c r="G20" s="33">
        <v>4.1925688717639504</v>
      </c>
      <c r="H20" s="36">
        <v>7.2598999999999997E-2</v>
      </c>
      <c r="I20" s="62"/>
    </row>
    <row r="21" spans="2:9" x14ac:dyDescent="0.2">
      <c r="B21" s="31" t="s">
        <v>224</v>
      </c>
      <c r="C21" s="31" t="s">
        <v>225</v>
      </c>
      <c r="D21" s="31" t="s">
        <v>193</v>
      </c>
      <c r="E21" s="35">
        <v>200</v>
      </c>
      <c r="F21" s="32">
        <v>941.67700000000002</v>
      </c>
      <c r="G21" s="33">
        <v>4.1875527574165003</v>
      </c>
      <c r="H21" s="36">
        <v>7.1766999999999997E-2</v>
      </c>
      <c r="I21" s="62"/>
    </row>
    <row r="22" spans="2:9" ht="10.5" x14ac:dyDescent="0.25">
      <c r="B22" s="30" t="s">
        <v>170</v>
      </c>
      <c r="C22" s="30"/>
      <c r="D22" s="30"/>
      <c r="E22" s="30"/>
      <c r="F22" s="63">
        <f>SUM(F17:F21)</f>
        <v>6587.5739999999996</v>
      </c>
      <c r="G22" s="64">
        <f>SUM(G17:G21)</f>
        <v>29.294347922254929</v>
      </c>
      <c r="H22" s="39"/>
      <c r="I22" s="30"/>
    </row>
    <row r="23" spans="2:9" ht="10.5" x14ac:dyDescent="0.25">
      <c r="B23" s="47" t="s">
        <v>173</v>
      </c>
      <c r="C23" s="47"/>
      <c r="D23" s="47"/>
      <c r="E23" s="47"/>
      <c r="F23" s="48">
        <f>+F22</f>
        <v>6587.5739999999996</v>
      </c>
      <c r="G23" s="49">
        <f>+G22</f>
        <v>29.294347922254929</v>
      </c>
      <c r="H23" s="39"/>
      <c r="I23" s="30"/>
    </row>
    <row r="24" spans="2:9" ht="10.5" x14ac:dyDescent="0.25">
      <c r="B24" s="30" t="s">
        <v>248</v>
      </c>
      <c r="C24" s="31"/>
      <c r="D24" s="31"/>
      <c r="E24" s="31"/>
      <c r="F24" s="32"/>
      <c r="G24" s="33"/>
      <c r="H24" s="34"/>
      <c r="I24" s="31"/>
    </row>
    <row r="25" spans="2:9" x14ac:dyDescent="0.2">
      <c r="B25" s="31" t="s">
        <v>249</v>
      </c>
      <c r="C25" s="31" t="s">
        <v>250</v>
      </c>
      <c r="D25" s="31" t="s">
        <v>251</v>
      </c>
      <c r="E25" s="35">
        <v>500000</v>
      </c>
      <c r="F25" s="32">
        <v>500.30200000000002</v>
      </c>
      <c r="G25" s="33">
        <v>2.22479790803109</v>
      </c>
      <c r="H25" s="36">
        <v>5.69811926079999E-2</v>
      </c>
      <c r="I25" s="62"/>
    </row>
    <row r="26" spans="2:9" ht="10.5" x14ac:dyDescent="0.25">
      <c r="B26" s="30" t="s">
        <v>173</v>
      </c>
      <c r="C26" s="30"/>
      <c r="D26" s="30"/>
      <c r="E26" s="30"/>
      <c r="F26" s="48">
        <f>SUM(F25:F25)</f>
        <v>500.30200000000002</v>
      </c>
      <c r="G26" s="49">
        <f>SUM(G25:G25)</f>
        <v>2.22479790803109</v>
      </c>
      <c r="H26" s="39"/>
      <c r="I26" s="30"/>
    </row>
    <row r="27" spans="2:9" ht="10.5" x14ac:dyDescent="0.25">
      <c r="B27" s="30"/>
      <c r="C27" s="31"/>
      <c r="D27" s="31"/>
      <c r="E27" s="31"/>
      <c r="F27" s="32"/>
      <c r="G27" s="33"/>
      <c r="H27" s="34"/>
      <c r="I27" s="31"/>
    </row>
    <row r="28" spans="2:9" ht="10.5" x14ac:dyDescent="0.25">
      <c r="B28" s="30" t="s">
        <v>174</v>
      </c>
      <c r="C28" s="30"/>
      <c r="D28" s="30"/>
      <c r="E28" s="30"/>
      <c r="F28" s="48">
        <v>1786.1245984</v>
      </c>
      <c r="G28" s="49">
        <v>7.9427351279890699</v>
      </c>
      <c r="H28" s="36">
        <v>5.2499999999999998E-2</v>
      </c>
      <c r="I28" s="36"/>
    </row>
    <row r="29" spans="2:9" x14ac:dyDescent="0.2">
      <c r="B29" s="31"/>
      <c r="C29" s="31"/>
      <c r="D29" s="31"/>
      <c r="E29" s="31"/>
      <c r="F29" s="32"/>
      <c r="G29" s="33"/>
      <c r="H29" s="34"/>
      <c r="I29" s="31"/>
    </row>
    <row r="30" spans="2:9" ht="10.5" x14ac:dyDescent="0.25">
      <c r="B30" s="47" t="s">
        <v>177</v>
      </c>
      <c r="C30" s="47"/>
      <c r="D30" s="47"/>
      <c r="E30" s="47"/>
      <c r="F30" s="48">
        <f>F31-(F12+F22+F26+F28)</f>
        <v>1173.0300413000004</v>
      </c>
      <c r="G30" s="49">
        <f>G31-(G12+G22+G26+G28)</f>
        <v>5.2163588831182039</v>
      </c>
      <c r="H30" s="39"/>
      <c r="I30" s="30"/>
    </row>
    <row r="31" spans="2:9" ht="10.5" x14ac:dyDescent="0.25">
      <c r="B31" s="47" t="s">
        <v>175</v>
      </c>
      <c r="C31" s="47"/>
      <c r="D31" s="47"/>
      <c r="E31" s="47"/>
      <c r="F31" s="48">
        <v>22487.525639700001</v>
      </c>
      <c r="G31" s="49">
        <v>100</v>
      </c>
      <c r="H31" s="50"/>
      <c r="I31" s="51"/>
    </row>
    <row r="33" spans="2:9" ht="10.5" x14ac:dyDescent="0.25">
      <c r="B33" s="23" t="s">
        <v>256</v>
      </c>
    </row>
    <row r="34" spans="2:9" ht="40" customHeight="1" x14ac:dyDescent="0.2">
      <c r="B34" s="171" t="s">
        <v>257</v>
      </c>
      <c r="C34" s="171"/>
      <c r="D34" s="171"/>
      <c r="E34" s="171"/>
      <c r="F34" s="171"/>
      <c r="G34" s="171"/>
      <c r="H34" s="171"/>
      <c r="I34" s="171"/>
    </row>
    <row r="35" spans="2:9" ht="10.5" x14ac:dyDescent="0.25">
      <c r="B35" s="23"/>
    </row>
    <row r="36" spans="2:9" ht="10.5" x14ac:dyDescent="0.2">
      <c r="B36" s="172"/>
      <c r="C36" s="172"/>
      <c r="D36" s="172"/>
      <c r="E36" s="172"/>
      <c r="F36" s="172"/>
      <c r="G36" s="172"/>
      <c r="H36" s="172"/>
      <c r="I36" s="172"/>
    </row>
    <row r="37" spans="2:9" ht="10.5" x14ac:dyDescent="0.25">
      <c r="B37" s="23"/>
    </row>
    <row r="38" spans="2:9" ht="10.5" x14ac:dyDescent="0.2">
      <c r="B38" s="70" t="s">
        <v>186</v>
      </c>
    </row>
    <row r="39" spans="2:9" ht="10.5" x14ac:dyDescent="0.2">
      <c r="B39" s="70"/>
    </row>
    <row r="40" spans="2:9" x14ac:dyDescent="0.2">
      <c r="B40" s="81" t="s">
        <v>1497</v>
      </c>
    </row>
    <row r="41" spans="2:9" x14ac:dyDescent="0.2">
      <c r="B41" s="81" t="s">
        <v>1498</v>
      </c>
    </row>
    <row r="42" spans="2:9" ht="10.5" x14ac:dyDescent="0.2">
      <c r="B42" s="70"/>
    </row>
    <row r="43" spans="2:9" ht="10.5" x14ac:dyDescent="0.2">
      <c r="B43" s="88" t="s">
        <v>1499</v>
      </c>
      <c r="C43" s="101" t="s">
        <v>1517</v>
      </c>
      <c r="D43" s="101" t="s">
        <v>1500</v>
      </c>
    </row>
    <row r="44" spans="2:9" x14ac:dyDescent="0.2">
      <c r="B44" s="85" t="s">
        <v>1501</v>
      </c>
      <c r="C44" s="102">
        <v>1007.7134</v>
      </c>
      <c r="D44" s="103">
        <v>1013.4167</v>
      </c>
    </row>
    <row r="45" spans="2:9" ht="10.5" x14ac:dyDescent="0.2">
      <c r="B45" s="70"/>
      <c r="C45" s="104"/>
      <c r="D45" s="104"/>
    </row>
    <row r="46" spans="2:9" x14ac:dyDescent="0.2">
      <c r="B46" s="81" t="s">
        <v>1597</v>
      </c>
    </row>
    <row r="47" spans="2:9" x14ac:dyDescent="0.2">
      <c r="B47" s="105" t="s">
        <v>1502</v>
      </c>
    </row>
    <row r="48" spans="2:9" x14ac:dyDescent="0.2">
      <c r="B48" s="105" t="s">
        <v>1503</v>
      </c>
    </row>
    <row r="49" spans="2:9" x14ac:dyDescent="0.2">
      <c r="B49" s="106" t="s">
        <v>1514</v>
      </c>
    </row>
    <row r="50" spans="2:9" x14ac:dyDescent="0.2">
      <c r="B50" s="105" t="s">
        <v>1505</v>
      </c>
    </row>
    <row r="51" spans="2:9" ht="10.5" x14ac:dyDescent="0.25">
      <c r="B51" s="23"/>
    </row>
    <row r="53" spans="2:9" ht="10.5" x14ac:dyDescent="0.25">
      <c r="B53" s="23" t="s">
        <v>187</v>
      </c>
      <c r="I53" s="11"/>
    </row>
    <row r="54" spans="2:9" x14ac:dyDescent="0.2">
      <c r="I54" s="11"/>
    </row>
    <row r="55" spans="2:9" x14ac:dyDescent="0.2">
      <c r="I55" s="11"/>
    </row>
    <row r="56" spans="2:9" x14ac:dyDescent="0.2">
      <c r="I56" s="11"/>
    </row>
    <row r="57" spans="2:9" x14ac:dyDescent="0.2">
      <c r="I57" s="11"/>
    </row>
    <row r="58" spans="2:9" x14ac:dyDescent="0.2">
      <c r="I58" s="11"/>
    </row>
    <row r="59" spans="2:9" x14ac:dyDescent="0.2">
      <c r="I59" s="11"/>
    </row>
    <row r="60" spans="2:9" x14ac:dyDescent="0.2">
      <c r="I60" s="11"/>
    </row>
    <row r="61" spans="2:9" x14ac:dyDescent="0.2">
      <c r="I61" s="11"/>
    </row>
    <row r="62" spans="2:9" x14ac:dyDescent="0.2">
      <c r="I62" s="11"/>
    </row>
    <row r="63" spans="2:9" x14ac:dyDescent="0.2">
      <c r="I63" s="11"/>
    </row>
    <row r="64" spans="2:9" x14ac:dyDescent="0.2">
      <c r="I64" s="11"/>
    </row>
    <row r="65" spans="2:9" x14ac:dyDescent="0.2">
      <c r="I65" s="11"/>
    </row>
    <row r="66" spans="2:9" x14ac:dyDescent="0.2">
      <c r="I66" s="11"/>
    </row>
    <row r="67" spans="2:9" x14ac:dyDescent="0.2">
      <c r="I67" s="11"/>
    </row>
    <row r="68" spans="2:9" x14ac:dyDescent="0.2">
      <c r="I68" s="11"/>
    </row>
    <row r="69" spans="2:9" x14ac:dyDescent="0.2">
      <c r="I69" s="11"/>
    </row>
    <row r="70" spans="2:9" x14ac:dyDescent="0.2">
      <c r="I70" s="11"/>
    </row>
    <row r="71" spans="2:9" x14ac:dyDescent="0.2">
      <c r="I71" s="11"/>
    </row>
    <row r="72" spans="2:9" x14ac:dyDescent="0.2">
      <c r="I72" s="11"/>
    </row>
    <row r="73" spans="2:9" x14ac:dyDescent="0.2">
      <c r="I73" s="11"/>
    </row>
    <row r="74" spans="2:9" x14ac:dyDescent="0.2">
      <c r="I74" s="11"/>
    </row>
    <row r="75" spans="2:9" x14ac:dyDescent="0.2">
      <c r="I75" s="11"/>
    </row>
    <row r="76" spans="2:9" ht="10.5" x14ac:dyDescent="0.25">
      <c r="B76" s="23" t="s">
        <v>1482</v>
      </c>
      <c r="I76" s="11"/>
    </row>
    <row r="77" spans="2:9" ht="10.5" x14ac:dyDescent="0.25">
      <c r="B77" s="23" t="s">
        <v>1488</v>
      </c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9:9" x14ac:dyDescent="0.2">
      <c r="I81" s="11"/>
    </row>
    <row r="82" spans="9:9" x14ac:dyDescent="0.2">
      <c r="I82" s="11"/>
    </row>
    <row r="83" spans="9:9" x14ac:dyDescent="0.2">
      <c r="I83" s="11"/>
    </row>
    <row r="84" spans="9:9" x14ac:dyDescent="0.2">
      <c r="I84" s="11"/>
    </row>
    <row r="85" spans="9:9" x14ac:dyDescent="0.2">
      <c r="I85" s="11"/>
    </row>
    <row r="86" spans="9:9" x14ac:dyDescent="0.2">
      <c r="I86" s="11"/>
    </row>
    <row r="87" spans="9:9" x14ac:dyDescent="0.2">
      <c r="I87" s="11"/>
    </row>
    <row r="88" spans="9:9" x14ac:dyDescent="0.2">
      <c r="I88" s="11"/>
    </row>
    <row r="89" spans="9:9" x14ac:dyDescent="0.2">
      <c r="I89" s="11"/>
    </row>
    <row r="90" spans="9:9" x14ac:dyDescent="0.2">
      <c r="I90" s="11"/>
    </row>
    <row r="91" spans="9:9" x14ac:dyDescent="0.2">
      <c r="I91" s="11"/>
    </row>
    <row r="92" spans="9:9" x14ac:dyDescent="0.2">
      <c r="I92" s="11"/>
    </row>
    <row r="93" spans="9:9" x14ac:dyDescent="0.2">
      <c r="I93" s="11"/>
    </row>
    <row r="94" spans="9:9" x14ac:dyDescent="0.2">
      <c r="I94" s="11"/>
    </row>
    <row r="95" spans="9:9" x14ac:dyDescent="0.2">
      <c r="I95" s="11"/>
    </row>
    <row r="96" spans="9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</sheetData>
  <mergeCells count="3">
    <mergeCell ref="B1:C1"/>
    <mergeCell ref="B34:I34"/>
    <mergeCell ref="B36:I36"/>
  </mergeCells>
  <conditionalFormatting sqref="G1:G3 G5:G33 G35 G37:G179">
    <cfRule type="cellIs" dxfId="7" priority="1" stopIfTrue="1" operator="between">
      <formula>0.009</formula>
      <formula>-0.009</formula>
    </cfRule>
  </conditionalFormatting>
  <hyperlinks>
    <hyperlink ref="A2" location="Index!A1" display="-" xr:uid="{57CBA4DF-F174-4877-A28C-A003D7A7499F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7FF1-22E4-4ACA-88EF-B1CFAC6C6B16}">
  <dimension ref="A1:I628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1796875" style="6" customWidth="1"/>
    <col min="4" max="4" width="23" style="6" bestFit="1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1.81640625" style="6" bestFit="1" customWidth="1"/>
    <col min="9" max="16384" width="9.1796875" style="6"/>
  </cols>
  <sheetData>
    <row r="1" spans="1:9" s="1" customFormat="1" ht="16.75" customHeight="1" x14ac:dyDescent="0.35">
      <c r="B1" s="160" t="s">
        <v>17</v>
      </c>
      <c r="C1" s="161"/>
      <c r="D1" s="10"/>
      <c r="F1" s="5"/>
      <c r="G1" s="15"/>
    </row>
    <row r="2" spans="1:9" s="1" customFormat="1" ht="14.5" x14ac:dyDescent="0.35">
      <c r="A2" s="68" t="s">
        <v>1495</v>
      </c>
      <c r="F2" s="5"/>
      <c r="G2" s="15"/>
    </row>
    <row r="3" spans="1:9" s="1" customFormat="1" ht="11.5" x14ac:dyDescent="0.25">
      <c r="B3" s="7" t="s">
        <v>9</v>
      </c>
      <c r="C3" s="2"/>
      <c r="D3" s="3"/>
      <c r="E3" s="3"/>
      <c r="F3" s="4"/>
      <c r="G3" s="15"/>
    </row>
    <row r="4" spans="1:9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27" t="s">
        <v>6</v>
      </c>
      <c r="I4" s="9"/>
    </row>
    <row r="5" spans="1:9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9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9" x14ac:dyDescent="0.2">
      <c r="B7" s="31" t="s">
        <v>26</v>
      </c>
      <c r="C7" s="31" t="s">
        <v>27</v>
      </c>
      <c r="D7" s="31" t="s">
        <v>28</v>
      </c>
      <c r="E7" s="35">
        <v>333241</v>
      </c>
      <c r="F7" s="32">
        <v>2571.620797</v>
      </c>
      <c r="G7" s="33">
        <v>10.757250705364299</v>
      </c>
      <c r="H7" s="36"/>
    </row>
    <row r="8" spans="1:9" x14ac:dyDescent="0.2">
      <c r="B8" s="31" t="s">
        <v>42</v>
      </c>
      <c r="C8" s="31" t="s">
        <v>43</v>
      </c>
      <c r="D8" s="31" t="s">
        <v>44</v>
      </c>
      <c r="E8" s="35">
        <v>147070</v>
      </c>
      <c r="F8" s="32">
        <v>2104.27756</v>
      </c>
      <c r="G8" s="33">
        <v>8.8023247023819504</v>
      </c>
      <c r="H8" s="36"/>
    </row>
    <row r="9" spans="1:9" x14ac:dyDescent="0.2">
      <c r="B9" s="31" t="s">
        <v>29</v>
      </c>
      <c r="C9" s="31" t="s">
        <v>30</v>
      </c>
      <c r="D9" s="31" t="s">
        <v>28</v>
      </c>
      <c r="E9" s="35">
        <v>155667</v>
      </c>
      <c r="F9" s="32">
        <v>1966.696878</v>
      </c>
      <c r="G9" s="33">
        <v>8.2268161008744798</v>
      </c>
      <c r="H9" s="36"/>
    </row>
    <row r="10" spans="1:9" x14ac:dyDescent="0.2">
      <c r="B10" s="31" t="s">
        <v>31</v>
      </c>
      <c r="C10" s="31" t="s">
        <v>32</v>
      </c>
      <c r="D10" s="31" t="s">
        <v>33</v>
      </c>
      <c r="E10" s="35">
        <v>66833</v>
      </c>
      <c r="F10" s="32">
        <v>1261.005044</v>
      </c>
      <c r="G10" s="33">
        <v>5.2748630026874599</v>
      </c>
      <c r="H10" s="36"/>
    </row>
    <row r="11" spans="1:9" x14ac:dyDescent="0.2">
      <c r="B11" s="31" t="s">
        <v>39</v>
      </c>
      <c r="C11" s="31" t="s">
        <v>40</v>
      </c>
      <c r="D11" s="31" t="s">
        <v>41</v>
      </c>
      <c r="E11" s="35">
        <v>25565</v>
      </c>
      <c r="F11" s="32">
        <v>1026.1791000000001</v>
      </c>
      <c r="G11" s="33">
        <v>4.2925713854012999</v>
      </c>
      <c r="H11" s="36"/>
    </row>
    <row r="12" spans="1:9" x14ac:dyDescent="0.2">
      <c r="B12" s="31" t="s">
        <v>34</v>
      </c>
      <c r="C12" s="31" t="s">
        <v>35</v>
      </c>
      <c r="D12" s="31" t="s">
        <v>28</v>
      </c>
      <c r="E12" s="35">
        <v>90357</v>
      </c>
      <c r="F12" s="32">
        <v>965.41936650000002</v>
      </c>
      <c r="G12" s="33">
        <v>4.0384096183114204</v>
      </c>
      <c r="H12" s="36"/>
    </row>
    <row r="13" spans="1:9" x14ac:dyDescent="0.2">
      <c r="B13" s="31" t="s">
        <v>48</v>
      </c>
      <c r="C13" s="31" t="s">
        <v>49</v>
      </c>
      <c r="D13" s="31" t="s">
        <v>50</v>
      </c>
      <c r="E13" s="35">
        <v>76342</v>
      </c>
      <c r="F13" s="32">
        <v>902.20975599999997</v>
      </c>
      <c r="G13" s="33">
        <v>3.7739998624367699</v>
      </c>
      <c r="H13" s="36"/>
    </row>
    <row r="14" spans="1:9" x14ac:dyDescent="0.2">
      <c r="B14" s="31" t="s">
        <v>75</v>
      </c>
      <c r="C14" s="31" t="s">
        <v>76</v>
      </c>
      <c r="D14" s="31" t="s">
        <v>28</v>
      </c>
      <c r="E14" s="35">
        <v>62475</v>
      </c>
      <c r="F14" s="32">
        <v>792.37042499999995</v>
      </c>
      <c r="G14" s="33">
        <v>3.3145350679947301</v>
      </c>
      <c r="H14" s="36"/>
    </row>
    <row r="15" spans="1:9" x14ac:dyDescent="0.2">
      <c r="B15" s="31" t="s">
        <v>59</v>
      </c>
      <c r="C15" s="31" t="s">
        <v>60</v>
      </c>
      <c r="D15" s="31" t="s">
        <v>61</v>
      </c>
      <c r="E15" s="35">
        <v>209867</v>
      </c>
      <c r="F15" s="32">
        <v>660.87118299999997</v>
      </c>
      <c r="G15" s="33">
        <v>2.7644655105352598</v>
      </c>
      <c r="H15" s="36"/>
    </row>
    <row r="16" spans="1:9" x14ac:dyDescent="0.2">
      <c r="B16" s="31" t="s">
        <v>80</v>
      </c>
      <c r="C16" s="31" t="s">
        <v>81</v>
      </c>
      <c r="D16" s="31" t="s">
        <v>28</v>
      </c>
      <c r="E16" s="35">
        <v>160302</v>
      </c>
      <c r="F16" s="32">
        <v>614.43756599999995</v>
      </c>
      <c r="G16" s="33">
        <v>2.5702307851789499</v>
      </c>
      <c r="H16" s="36"/>
    </row>
    <row r="17" spans="2:8" x14ac:dyDescent="0.2">
      <c r="B17" s="31" t="s">
        <v>36</v>
      </c>
      <c r="C17" s="31" t="s">
        <v>37</v>
      </c>
      <c r="D17" s="31" t="s">
        <v>38</v>
      </c>
      <c r="E17" s="35">
        <v>19457</v>
      </c>
      <c r="F17" s="32">
        <v>602.68057499999998</v>
      </c>
      <c r="G17" s="33">
        <v>2.5210505561672498</v>
      </c>
      <c r="H17" s="36"/>
    </row>
    <row r="18" spans="2:8" x14ac:dyDescent="0.2">
      <c r="B18" s="31" t="s">
        <v>73</v>
      </c>
      <c r="C18" s="31" t="s">
        <v>74</v>
      </c>
      <c r="D18" s="31" t="s">
        <v>50</v>
      </c>
      <c r="E18" s="35">
        <v>22235</v>
      </c>
      <c r="F18" s="32">
        <v>550.07166500000005</v>
      </c>
      <c r="G18" s="33">
        <v>2.3009841937913702</v>
      </c>
      <c r="H18" s="36"/>
    </row>
    <row r="19" spans="2:8" x14ac:dyDescent="0.2">
      <c r="B19" s="31" t="s">
        <v>424</v>
      </c>
      <c r="C19" s="31" t="s">
        <v>425</v>
      </c>
      <c r="D19" s="31" t="s">
        <v>165</v>
      </c>
      <c r="E19" s="35">
        <v>58250</v>
      </c>
      <c r="F19" s="32">
        <v>545.80250000000001</v>
      </c>
      <c r="G19" s="33">
        <v>2.2831260094660801</v>
      </c>
      <c r="H19" s="36"/>
    </row>
    <row r="20" spans="2:8" x14ac:dyDescent="0.2">
      <c r="B20" s="31" t="s">
        <v>426</v>
      </c>
      <c r="C20" s="31" t="s">
        <v>427</v>
      </c>
      <c r="D20" s="31" t="s">
        <v>61</v>
      </c>
      <c r="E20" s="35">
        <v>19323</v>
      </c>
      <c r="F20" s="32">
        <v>434.94140700000003</v>
      </c>
      <c r="G20" s="33">
        <v>1.81938712064432</v>
      </c>
      <c r="H20" s="36"/>
    </row>
    <row r="21" spans="2:8" x14ac:dyDescent="0.2">
      <c r="B21" s="31" t="s">
        <v>92</v>
      </c>
      <c r="C21" s="31" t="s">
        <v>93</v>
      </c>
      <c r="D21" s="31" t="s">
        <v>94</v>
      </c>
      <c r="E21" s="35">
        <v>23055</v>
      </c>
      <c r="F21" s="32">
        <v>416.90356500000001</v>
      </c>
      <c r="G21" s="33">
        <v>1.7439336988940699</v>
      </c>
      <c r="H21" s="36"/>
    </row>
    <row r="22" spans="2:8" x14ac:dyDescent="0.2">
      <c r="B22" s="31" t="s">
        <v>45</v>
      </c>
      <c r="C22" s="31" t="s">
        <v>46</v>
      </c>
      <c r="D22" s="31" t="s">
        <v>47</v>
      </c>
      <c r="E22" s="35">
        <v>103228</v>
      </c>
      <c r="F22" s="32">
        <v>412.03456199999999</v>
      </c>
      <c r="G22" s="33">
        <v>1.7235663546817099</v>
      </c>
      <c r="H22" s="36"/>
    </row>
    <row r="23" spans="2:8" x14ac:dyDescent="0.2">
      <c r="B23" s="31" t="s">
        <v>85</v>
      </c>
      <c r="C23" s="31" t="s">
        <v>86</v>
      </c>
      <c r="D23" s="31" t="s">
        <v>87</v>
      </c>
      <c r="E23" s="35">
        <v>8985</v>
      </c>
      <c r="F23" s="32">
        <v>394.01022</v>
      </c>
      <c r="G23" s="33">
        <v>1.6481694042761901</v>
      </c>
      <c r="H23" s="36"/>
    </row>
    <row r="24" spans="2:8" x14ac:dyDescent="0.2">
      <c r="B24" s="31" t="s">
        <v>82</v>
      </c>
      <c r="C24" s="31" t="s">
        <v>83</v>
      </c>
      <c r="D24" s="31" t="s">
        <v>84</v>
      </c>
      <c r="E24" s="35">
        <v>156846</v>
      </c>
      <c r="F24" s="32">
        <v>387.45667379999998</v>
      </c>
      <c r="G24" s="33">
        <v>1.6207555104529501</v>
      </c>
      <c r="H24" s="36"/>
    </row>
    <row r="25" spans="2:8" x14ac:dyDescent="0.2">
      <c r="B25" s="31" t="s">
        <v>62</v>
      </c>
      <c r="C25" s="31" t="s">
        <v>63</v>
      </c>
      <c r="D25" s="31" t="s">
        <v>64</v>
      </c>
      <c r="E25" s="35">
        <v>179970</v>
      </c>
      <c r="F25" s="32">
        <v>380.384592</v>
      </c>
      <c r="G25" s="33">
        <v>1.5911725497690901</v>
      </c>
      <c r="H25" s="36"/>
    </row>
    <row r="26" spans="2:8" x14ac:dyDescent="0.2">
      <c r="B26" s="31" t="s">
        <v>428</v>
      </c>
      <c r="C26" s="31" t="s">
        <v>429</v>
      </c>
      <c r="D26" s="31" t="s">
        <v>38</v>
      </c>
      <c r="E26" s="35">
        <v>2857</v>
      </c>
      <c r="F26" s="32">
        <v>380.38098000000002</v>
      </c>
      <c r="G26" s="33">
        <v>1.5911574405470801</v>
      </c>
      <c r="H26" s="36"/>
    </row>
    <row r="27" spans="2:8" x14ac:dyDescent="0.2">
      <c r="B27" s="31" t="s">
        <v>430</v>
      </c>
      <c r="C27" s="31" t="s">
        <v>431</v>
      </c>
      <c r="D27" s="31" t="s">
        <v>432</v>
      </c>
      <c r="E27" s="35">
        <v>77989</v>
      </c>
      <c r="F27" s="32">
        <v>336.366557</v>
      </c>
      <c r="G27" s="33">
        <v>1.40704235506663</v>
      </c>
      <c r="H27" s="36"/>
    </row>
    <row r="28" spans="2:8" x14ac:dyDescent="0.2">
      <c r="B28" s="31" t="s">
        <v>433</v>
      </c>
      <c r="C28" s="31" t="s">
        <v>434</v>
      </c>
      <c r="D28" s="31" t="s">
        <v>435</v>
      </c>
      <c r="E28" s="35">
        <v>31517</v>
      </c>
      <c r="F28" s="32">
        <v>327.14645999999999</v>
      </c>
      <c r="G28" s="33">
        <v>1.36847411239552</v>
      </c>
      <c r="H28" s="36"/>
    </row>
    <row r="29" spans="2:8" x14ac:dyDescent="0.2">
      <c r="B29" s="31" t="s">
        <v>143</v>
      </c>
      <c r="C29" s="31" t="s">
        <v>144</v>
      </c>
      <c r="D29" s="31" t="s">
        <v>47</v>
      </c>
      <c r="E29" s="35">
        <v>98616</v>
      </c>
      <c r="F29" s="32">
        <v>313.94403599999998</v>
      </c>
      <c r="G29" s="33">
        <v>1.31324754670115</v>
      </c>
      <c r="H29" s="36"/>
    </row>
    <row r="30" spans="2:8" x14ac:dyDescent="0.2">
      <c r="B30" s="31" t="s">
        <v>120</v>
      </c>
      <c r="C30" s="31" t="s">
        <v>121</v>
      </c>
      <c r="D30" s="31" t="s">
        <v>122</v>
      </c>
      <c r="E30" s="35">
        <v>2579</v>
      </c>
      <c r="F30" s="32">
        <v>298.80293999999998</v>
      </c>
      <c r="G30" s="33">
        <v>1.24991139472416</v>
      </c>
      <c r="H30" s="36"/>
    </row>
    <row r="31" spans="2:8" x14ac:dyDescent="0.2">
      <c r="B31" s="31" t="s">
        <v>436</v>
      </c>
      <c r="C31" s="31" t="s">
        <v>437</v>
      </c>
      <c r="D31" s="31" t="s">
        <v>165</v>
      </c>
      <c r="E31" s="35">
        <v>30493</v>
      </c>
      <c r="F31" s="32">
        <v>285.82613550000002</v>
      </c>
      <c r="G31" s="33">
        <v>1.19562860951576</v>
      </c>
      <c r="H31" s="36"/>
    </row>
    <row r="32" spans="2:8" x14ac:dyDescent="0.2">
      <c r="B32" s="31" t="s">
        <v>438</v>
      </c>
      <c r="C32" s="31" t="s">
        <v>439</v>
      </c>
      <c r="D32" s="31" t="s">
        <v>50</v>
      </c>
      <c r="E32" s="35">
        <v>22977</v>
      </c>
      <c r="F32" s="32">
        <v>275.51720699999998</v>
      </c>
      <c r="G32" s="33">
        <v>1.1525057165497601</v>
      </c>
      <c r="H32" s="36"/>
    </row>
    <row r="33" spans="2:8" x14ac:dyDescent="0.2">
      <c r="B33" s="31" t="s">
        <v>440</v>
      </c>
      <c r="C33" s="31" t="s">
        <v>441</v>
      </c>
      <c r="D33" s="31" t="s">
        <v>442</v>
      </c>
      <c r="E33" s="35">
        <v>16063</v>
      </c>
      <c r="F33" s="32">
        <v>266.21209900000002</v>
      </c>
      <c r="G33" s="33">
        <v>1.11358186754634</v>
      </c>
      <c r="H33" s="36"/>
    </row>
    <row r="34" spans="2:8" x14ac:dyDescent="0.2">
      <c r="B34" s="31" t="s">
        <v>118</v>
      </c>
      <c r="C34" s="31" t="s">
        <v>119</v>
      </c>
      <c r="D34" s="31" t="s">
        <v>64</v>
      </c>
      <c r="E34" s="35">
        <v>20415</v>
      </c>
      <c r="F34" s="32">
        <v>258.14767499999999</v>
      </c>
      <c r="G34" s="33">
        <v>1.0798478773470199</v>
      </c>
      <c r="H34" s="36"/>
    </row>
    <row r="35" spans="2:8" x14ac:dyDescent="0.2">
      <c r="B35" s="31" t="s">
        <v>95</v>
      </c>
      <c r="C35" s="31" t="s">
        <v>96</v>
      </c>
      <c r="D35" s="31" t="s">
        <v>97</v>
      </c>
      <c r="E35" s="35">
        <v>84583</v>
      </c>
      <c r="F35" s="32">
        <v>253.36837650000001</v>
      </c>
      <c r="G35" s="33">
        <v>1.0598557726711499</v>
      </c>
      <c r="H35" s="36"/>
    </row>
    <row r="36" spans="2:8" x14ac:dyDescent="0.2">
      <c r="B36" s="31" t="s">
        <v>443</v>
      </c>
      <c r="C36" s="31" t="s">
        <v>444</v>
      </c>
      <c r="D36" s="31" t="s">
        <v>38</v>
      </c>
      <c r="E36" s="35">
        <v>2413</v>
      </c>
      <c r="F36" s="32">
        <v>241.15522000000001</v>
      </c>
      <c r="G36" s="33">
        <v>1.0087673748297501</v>
      </c>
      <c r="H36" s="36"/>
    </row>
    <row r="37" spans="2:8" x14ac:dyDescent="0.2">
      <c r="B37" s="31" t="s">
        <v>147</v>
      </c>
      <c r="C37" s="31" t="s">
        <v>148</v>
      </c>
      <c r="D37" s="31" t="s">
        <v>87</v>
      </c>
      <c r="E37" s="35">
        <v>9845</v>
      </c>
      <c r="F37" s="32">
        <v>240.661025</v>
      </c>
      <c r="G37" s="33">
        <v>1.0067001262219699</v>
      </c>
      <c r="H37" s="36"/>
    </row>
    <row r="38" spans="2:8" x14ac:dyDescent="0.2">
      <c r="B38" s="31" t="s">
        <v>445</v>
      </c>
      <c r="C38" s="31" t="s">
        <v>446</v>
      </c>
      <c r="D38" s="31" t="s">
        <v>447</v>
      </c>
      <c r="E38" s="35">
        <v>49436</v>
      </c>
      <c r="F38" s="32">
        <v>238.00962200000001</v>
      </c>
      <c r="G38" s="33">
        <v>0.99560914156932301</v>
      </c>
      <c r="H38" s="36"/>
    </row>
    <row r="39" spans="2:8" x14ac:dyDescent="0.2">
      <c r="B39" s="31" t="s">
        <v>448</v>
      </c>
      <c r="C39" s="31" t="s">
        <v>449</v>
      </c>
      <c r="D39" s="31" t="s">
        <v>122</v>
      </c>
      <c r="E39" s="35">
        <v>8290</v>
      </c>
      <c r="F39" s="32">
        <v>231.66405</v>
      </c>
      <c r="G39" s="33">
        <v>0.96906521683805202</v>
      </c>
      <c r="H39" s="36"/>
    </row>
    <row r="40" spans="2:8" x14ac:dyDescent="0.2">
      <c r="B40" s="31" t="s">
        <v>71</v>
      </c>
      <c r="C40" s="31" t="s">
        <v>72</v>
      </c>
      <c r="D40" s="31" t="s">
        <v>53</v>
      </c>
      <c r="E40" s="35">
        <v>15612</v>
      </c>
      <c r="F40" s="32">
        <v>227.716632</v>
      </c>
      <c r="G40" s="33">
        <v>0.95255292034612604</v>
      </c>
      <c r="H40" s="36"/>
    </row>
    <row r="41" spans="2:8" x14ac:dyDescent="0.2">
      <c r="B41" s="31" t="s">
        <v>450</v>
      </c>
      <c r="C41" s="31" t="s">
        <v>451</v>
      </c>
      <c r="D41" s="31" t="s">
        <v>165</v>
      </c>
      <c r="E41" s="35">
        <v>12567</v>
      </c>
      <c r="F41" s="32">
        <v>219.57062400000001</v>
      </c>
      <c r="G41" s="33">
        <v>0.91847765916993296</v>
      </c>
      <c r="H41" s="36"/>
    </row>
    <row r="42" spans="2:8" x14ac:dyDescent="0.2">
      <c r="B42" s="31" t="s">
        <v>157</v>
      </c>
      <c r="C42" s="31" t="s">
        <v>158</v>
      </c>
      <c r="D42" s="31" t="s">
        <v>38</v>
      </c>
      <c r="E42" s="35">
        <v>2997</v>
      </c>
      <c r="F42" s="32">
        <v>213.05672999999999</v>
      </c>
      <c r="G42" s="33">
        <v>0.89122963298041402</v>
      </c>
      <c r="H42" s="36"/>
    </row>
    <row r="43" spans="2:8" x14ac:dyDescent="0.2">
      <c r="B43" s="31" t="s">
        <v>68</v>
      </c>
      <c r="C43" s="31" t="s">
        <v>69</v>
      </c>
      <c r="D43" s="31" t="s">
        <v>70</v>
      </c>
      <c r="E43" s="35">
        <v>4926</v>
      </c>
      <c r="F43" s="32">
        <v>211.586478</v>
      </c>
      <c r="G43" s="33">
        <v>0.885079476867774</v>
      </c>
      <c r="H43" s="36"/>
    </row>
    <row r="44" spans="2:8" x14ac:dyDescent="0.2">
      <c r="B44" s="31" t="s">
        <v>105</v>
      </c>
      <c r="C44" s="31" t="s">
        <v>106</v>
      </c>
      <c r="D44" s="31" t="s">
        <v>50</v>
      </c>
      <c r="E44" s="35">
        <v>13823</v>
      </c>
      <c r="F44" s="32">
        <v>203.681905</v>
      </c>
      <c r="G44" s="33">
        <v>0.85201415340365705</v>
      </c>
      <c r="H44" s="36"/>
    </row>
    <row r="45" spans="2:8" x14ac:dyDescent="0.2">
      <c r="B45" s="31" t="s">
        <v>452</v>
      </c>
      <c r="C45" s="31" t="s">
        <v>453</v>
      </c>
      <c r="D45" s="31" t="s">
        <v>84</v>
      </c>
      <c r="E45" s="35">
        <v>4831</v>
      </c>
      <c r="F45" s="32">
        <v>200.22562600000001</v>
      </c>
      <c r="G45" s="33">
        <v>0.83755632208029096</v>
      </c>
      <c r="H45" s="36"/>
    </row>
    <row r="46" spans="2:8" x14ac:dyDescent="0.2">
      <c r="B46" s="31" t="s">
        <v>98</v>
      </c>
      <c r="C46" s="31" t="s">
        <v>99</v>
      </c>
      <c r="D46" s="31" t="s">
        <v>100</v>
      </c>
      <c r="E46" s="35">
        <v>9779</v>
      </c>
      <c r="F46" s="32">
        <v>177.88001</v>
      </c>
      <c r="G46" s="33">
        <v>0.74408321214191397</v>
      </c>
      <c r="H46" s="36"/>
    </row>
    <row r="47" spans="2:8" x14ac:dyDescent="0.2">
      <c r="B47" s="31" t="s">
        <v>454</v>
      </c>
      <c r="C47" s="31" t="s">
        <v>455</v>
      </c>
      <c r="D47" s="31" t="s">
        <v>165</v>
      </c>
      <c r="E47" s="35">
        <v>71410</v>
      </c>
      <c r="F47" s="32">
        <v>175.932817</v>
      </c>
      <c r="G47" s="33">
        <v>0.73593798198311</v>
      </c>
      <c r="H47" s="36"/>
    </row>
    <row r="48" spans="2:8" x14ac:dyDescent="0.2">
      <c r="B48" s="31" t="s">
        <v>139</v>
      </c>
      <c r="C48" s="31" t="s">
        <v>140</v>
      </c>
      <c r="D48" s="31" t="s">
        <v>94</v>
      </c>
      <c r="E48" s="35">
        <v>13269</v>
      </c>
      <c r="F48" s="32">
        <v>175.53560100000001</v>
      </c>
      <c r="G48" s="33">
        <v>0.73427640260050198</v>
      </c>
      <c r="H48" s="36"/>
    </row>
    <row r="49" spans="2:9" x14ac:dyDescent="0.2">
      <c r="B49" s="31" t="s">
        <v>456</v>
      </c>
      <c r="C49" s="31" t="s">
        <v>457</v>
      </c>
      <c r="D49" s="31" t="s">
        <v>458</v>
      </c>
      <c r="E49" s="35">
        <v>2241</v>
      </c>
      <c r="F49" s="32">
        <v>171.13396499999999</v>
      </c>
      <c r="G49" s="33">
        <v>0.71586408379323696</v>
      </c>
      <c r="H49" s="36"/>
    </row>
    <row r="50" spans="2:9" x14ac:dyDescent="0.2">
      <c r="B50" s="31" t="s">
        <v>459</v>
      </c>
      <c r="C50" s="31" t="s">
        <v>460</v>
      </c>
      <c r="D50" s="31" t="s">
        <v>461</v>
      </c>
      <c r="E50" s="35">
        <v>14178</v>
      </c>
      <c r="F50" s="32">
        <v>162.28138799999999</v>
      </c>
      <c r="G50" s="33">
        <v>0.67883320027859295</v>
      </c>
      <c r="H50" s="36"/>
    </row>
    <row r="51" spans="2:9" x14ac:dyDescent="0.2">
      <c r="B51" s="31" t="s">
        <v>462</v>
      </c>
      <c r="C51" s="31" t="s">
        <v>463</v>
      </c>
      <c r="D51" s="31" t="s">
        <v>458</v>
      </c>
      <c r="E51" s="35">
        <v>16202</v>
      </c>
      <c r="F51" s="32">
        <v>160.89396099999999</v>
      </c>
      <c r="G51" s="33">
        <v>0.67302950632348002</v>
      </c>
      <c r="H51" s="36"/>
    </row>
    <row r="52" spans="2:9" x14ac:dyDescent="0.2">
      <c r="B52" s="31" t="s">
        <v>464</v>
      </c>
      <c r="C52" s="31" t="s">
        <v>465</v>
      </c>
      <c r="D52" s="31" t="s">
        <v>94</v>
      </c>
      <c r="E52" s="35">
        <v>12250</v>
      </c>
      <c r="F52" s="32">
        <v>160.42599999999999</v>
      </c>
      <c r="G52" s="33">
        <v>0.67107199617921398</v>
      </c>
      <c r="H52" s="36"/>
    </row>
    <row r="53" spans="2:9" x14ac:dyDescent="0.2">
      <c r="B53" s="31" t="s">
        <v>466</v>
      </c>
      <c r="C53" s="31" t="s">
        <v>467</v>
      </c>
      <c r="D53" s="31" t="s">
        <v>38</v>
      </c>
      <c r="E53" s="35">
        <v>45602</v>
      </c>
      <c r="F53" s="32">
        <v>155.75363100000001</v>
      </c>
      <c r="G53" s="33">
        <v>0.65152718429263801</v>
      </c>
      <c r="H53" s="36"/>
    </row>
    <row r="54" spans="2:9" x14ac:dyDescent="0.2">
      <c r="B54" s="31" t="s">
        <v>151</v>
      </c>
      <c r="C54" s="31" t="s">
        <v>152</v>
      </c>
      <c r="D54" s="31" t="s">
        <v>135</v>
      </c>
      <c r="E54" s="35">
        <v>6240</v>
      </c>
      <c r="F54" s="32">
        <v>150.28416000000001</v>
      </c>
      <c r="G54" s="33">
        <v>0.62864804486377801</v>
      </c>
      <c r="H54" s="36"/>
    </row>
    <row r="55" spans="2:9" x14ac:dyDescent="0.2">
      <c r="B55" s="31" t="s">
        <v>468</v>
      </c>
      <c r="C55" s="31" t="s">
        <v>469</v>
      </c>
      <c r="D55" s="31" t="s">
        <v>100</v>
      </c>
      <c r="E55" s="35">
        <v>23415</v>
      </c>
      <c r="F55" s="32">
        <v>137.42263500000001</v>
      </c>
      <c r="G55" s="33">
        <v>0.574847481017152</v>
      </c>
      <c r="H55" s="36"/>
    </row>
    <row r="56" spans="2:9" x14ac:dyDescent="0.2">
      <c r="B56" s="31" t="s">
        <v>470</v>
      </c>
      <c r="C56" s="31" t="s">
        <v>471</v>
      </c>
      <c r="D56" s="31" t="s">
        <v>50</v>
      </c>
      <c r="E56" s="35">
        <v>62225</v>
      </c>
      <c r="F56" s="32">
        <v>124.8544625</v>
      </c>
      <c r="G56" s="33">
        <v>0.52227402903368403</v>
      </c>
      <c r="H56" s="36"/>
    </row>
    <row r="57" spans="2:9" ht="10.5" x14ac:dyDescent="0.25">
      <c r="B57" s="30" t="s">
        <v>170</v>
      </c>
      <c r="C57" s="30"/>
      <c r="D57" s="30"/>
      <c r="E57" s="30"/>
      <c r="F57" s="37">
        <f>SUM(F7:F56)</f>
        <v>23964.812443800009</v>
      </c>
      <c r="G57" s="38">
        <f>SUM(G7:G56)</f>
        <v>100.24630997918879</v>
      </c>
      <c r="H57" s="30"/>
      <c r="I57" s="23"/>
    </row>
    <row r="58" spans="2:9" ht="10.5" x14ac:dyDescent="0.25">
      <c r="B58" s="30" t="s">
        <v>171</v>
      </c>
      <c r="C58" s="30"/>
      <c r="D58" s="30"/>
      <c r="E58" s="30"/>
      <c r="F58" s="40" t="s">
        <v>172</v>
      </c>
      <c r="G58" s="41" t="s">
        <v>172</v>
      </c>
      <c r="H58" s="30"/>
      <c r="I58" s="23"/>
    </row>
    <row r="59" spans="2:9" ht="10.5" x14ac:dyDescent="0.25">
      <c r="B59" s="30" t="s">
        <v>170</v>
      </c>
      <c r="C59" s="30"/>
      <c r="D59" s="30"/>
      <c r="E59" s="30"/>
      <c r="F59" s="42" t="s">
        <v>172</v>
      </c>
      <c r="G59" s="43" t="s">
        <v>172</v>
      </c>
      <c r="H59" s="30"/>
      <c r="I59" s="23"/>
    </row>
    <row r="60" spans="2:9" ht="10.5" x14ac:dyDescent="0.25">
      <c r="B60" s="44" t="s">
        <v>173</v>
      </c>
      <c r="C60" s="44"/>
      <c r="D60" s="44"/>
      <c r="E60" s="44"/>
      <c r="F60" s="45">
        <f>F57</f>
        <v>23964.812443800009</v>
      </c>
      <c r="G60" s="46">
        <f>G57</f>
        <v>100.24630997918879</v>
      </c>
      <c r="H60" s="30"/>
      <c r="I60" s="23"/>
    </row>
    <row r="61" spans="2:9" ht="10.5" x14ac:dyDescent="0.25">
      <c r="B61" s="30" t="s">
        <v>174</v>
      </c>
      <c r="C61" s="30"/>
      <c r="D61" s="30"/>
      <c r="E61" s="30"/>
      <c r="F61" s="37">
        <v>156.44705909999999</v>
      </c>
      <c r="G61" s="38">
        <v>0.65442783742413702</v>
      </c>
      <c r="H61" s="36">
        <v>5.2499999999999998E-2</v>
      </c>
      <c r="I61" s="24"/>
    </row>
    <row r="62" spans="2:9" x14ac:dyDescent="0.2">
      <c r="B62" s="31"/>
      <c r="C62" s="31"/>
      <c r="D62" s="31"/>
      <c r="E62" s="31"/>
      <c r="F62" s="32"/>
      <c r="G62" s="33"/>
      <c r="H62" s="31"/>
    </row>
    <row r="63" spans="2:9" ht="10.5" x14ac:dyDescent="0.25">
      <c r="B63" s="52" t="s">
        <v>177</v>
      </c>
      <c r="C63" s="52"/>
      <c r="D63" s="52"/>
      <c r="E63" s="52"/>
      <c r="F63" s="37">
        <f>F64-(F57+F61)</f>
        <v>-215.32974970000942</v>
      </c>
      <c r="G63" s="38">
        <f>G64-(G57+G61)</f>
        <v>-0.9007378166129314</v>
      </c>
      <c r="H63" s="30"/>
      <c r="I63" s="23"/>
    </row>
    <row r="64" spans="2:9" ht="10.5" x14ac:dyDescent="0.25">
      <c r="B64" s="47" t="s">
        <v>175</v>
      </c>
      <c r="C64" s="47"/>
      <c r="D64" s="47"/>
      <c r="E64" s="47"/>
      <c r="F64" s="48">
        <v>23905.929753199998</v>
      </c>
      <c r="G64" s="49">
        <v>100</v>
      </c>
      <c r="H64" s="51"/>
      <c r="I64" s="23"/>
    </row>
    <row r="68" spans="2:4" ht="10.5" x14ac:dyDescent="0.2">
      <c r="B68" s="70" t="s">
        <v>186</v>
      </c>
    </row>
    <row r="69" spans="2:4" ht="10.5" x14ac:dyDescent="0.2">
      <c r="B69" s="70"/>
    </row>
    <row r="70" spans="2:4" x14ac:dyDescent="0.2">
      <c r="B70" s="81" t="s">
        <v>1497</v>
      </c>
    </row>
    <row r="71" spans="2:4" x14ac:dyDescent="0.2">
      <c r="B71" s="81" t="s">
        <v>1515</v>
      </c>
    </row>
    <row r="72" spans="2:4" x14ac:dyDescent="0.2">
      <c r="B72" s="81" t="s">
        <v>1516</v>
      </c>
    </row>
    <row r="73" spans="2:4" ht="10.5" x14ac:dyDescent="0.2">
      <c r="B73" s="70"/>
    </row>
    <row r="74" spans="2:4" ht="10.5" x14ac:dyDescent="0.2">
      <c r="B74" s="88" t="s">
        <v>1499</v>
      </c>
      <c r="C74" s="83" t="s">
        <v>1517</v>
      </c>
      <c r="D74" s="83" t="s">
        <v>1500</v>
      </c>
    </row>
    <row r="75" spans="2:4" x14ac:dyDescent="0.2">
      <c r="B75" s="85" t="s">
        <v>1501</v>
      </c>
      <c r="C75" s="94">
        <v>8.9852000000000007</v>
      </c>
      <c r="D75" s="94">
        <v>9.6644000000000005</v>
      </c>
    </row>
    <row r="76" spans="2:4" ht="10.5" x14ac:dyDescent="0.2">
      <c r="B76" s="70"/>
    </row>
    <row r="77" spans="2:4" x14ac:dyDescent="0.2">
      <c r="B77" s="81" t="s">
        <v>1543</v>
      </c>
    </row>
    <row r="78" spans="2:4" x14ac:dyDescent="0.2">
      <c r="B78" s="81" t="s">
        <v>1544</v>
      </c>
    </row>
    <row r="79" spans="2:4" x14ac:dyDescent="0.2">
      <c r="B79" s="81" t="s">
        <v>1545</v>
      </c>
    </row>
    <row r="80" spans="2:4" x14ac:dyDescent="0.2">
      <c r="B80" s="87" t="s">
        <v>1585</v>
      </c>
    </row>
    <row r="81" spans="2:2" x14ac:dyDescent="0.2">
      <c r="B81" s="81" t="s">
        <v>1546</v>
      </c>
    </row>
    <row r="82" spans="2:2" x14ac:dyDescent="0.2">
      <c r="B82" s="81"/>
    </row>
    <row r="84" spans="2:2" ht="10.5" x14ac:dyDescent="0.25">
      <c r="B84" s="23" t="s">
        <v>187</v>
      </c>
    </row>
    <row r="101" spans="2:2" ht="10.5" x14ac:dyDescent="0.2">
      <c r="B101" s="70" t="s">
        <v>1482</v>
      </c>
    </row>
    <row r="102" spans="2:2" ht="10.5" x14ac:dyDescent="0.25">
      <c r="B102" s="71" t="s">
        <v>1489</v>
      </c>
    </row>
    <row r="119" spans="8:8" x14ac:dyDescent="0.2">
      <c r="H119" s="11"/>
    </row>
    <row r="120" spans="8:8" x14ac:dyDescent="0.2">
      <c r="H120" s="11"/>
    </row>
    <row r="121" spans="8:8" x14ac:dyDescent="0.2">
      <c r="H121" s="11"/>
    </row>
    <row r="122" spans="8:8" x14ac:dyDescent="0.2">
      <c r="H122" s="11"/>
    </row>
    <row r="123" spans="8:8" x14ac:dyDescent="0.2">
      <c r="H123" s="11"/>
    </row>
    <row r="124" spans="8:8" x14ac:dyDescent="0.2">
      <c r="H124" s="11"/>
    </row>
    <row r="125" spans="8:8" x14ac:dyDescent="0.2">
      <c r="H125" s="11"/>
    </row>
    <row r="126" spans="8:8" x14ac:dyDescent="0.2">
      <c r="H126" s="11"/>
    </row>
    <row r="127" spans="8:8" x14ac:dyDescent="0.2">
      <c r="H127" s="11"/>
    </row>
    <row r="128" spans="8:8" x14ac:dyDescent="0.2">
      <c r="H128" s="11"/>
    </row>
    <row r="129" spans="8:8" x14ac:dyDescent="0.2">
      <c r="H129" s="11"/>
    </row>
    <row r="130" spans="8:8" x14ac:dyDescent="0.2">
      <c r="H130" s="11"/>
    </row>
    <row r="131" spans="8:8" x14ac:dyDescent="0.2">
      <c r="H131" s="11"/>
    </row>
    <row r="132" spans="8:8" x14ac:dyDescent="0.2">
      <c r="H132" s="11"/>
    </row>
    <row r="133" spans="8:8" x14ac:dyDescent="0.2">
      <c r="H133" s="11"/>
    </row>
    <row r="134" spans="8:8" x14ac:dyDescent="0.2">
      <c r="H134" s="11"/>
    </row>
    <row r="135" spans="8:8" x14ac:dyDescent="0.2">
      <c r="H135" s="11"/>
    </row>
    <row r="136" spans="8:8" x14ac:dyDescent="0.2">
      <c r="H136" s="11"/>
    </row>
    <row r="137" spans="8:8" x14ac:dyDescent="0.2">
      <c r="H137" s="11"/>
    </row>
    <row r="138" spans="8:8" x14ac:dyDescent="0.2">
      <c r="H138" s="11"/>
    </row>
    <row r="139" spans="8:8" x14ac:dyDescent="0.2">
      <c r="H139" s="11"/>
    </row>
    <row r="140" spans="8:8" x14ac:dyDescent="0.2">
      <c r="H140" s="11"/>
    </row>
    <row r="141" spans="8:8" x14ac:dyDescent="0.2">
      <c r="H141" s="11"/>
    </row>
    <row r="142" spans="8:8" x14ac:dyDescent="0.2">
      <c r="H142" s="11"/>
    </row>
    <row r="143" spans="8:8" x14ac:dyDescent="0.2">
      <c r="H143" s="11"/>
    </row>
    <row r="144" spans="8:8" x14ac:dyDescent="0.2">
      <c r="H144" s="11"/>
    </row>
    <row r="145" spans="8:8" x14ac:dyDescent="0.2">
      <c r="H145" s="11"/>
    </row>
    <row r="146" spans="8:8" x14ac:dyDescent="0.2">
      <c r="H146" s="11"/>
    </row>
    <row r="147" spans="8:8" x14ac:dyDescent="0.2">
      <c r="H147" s="11"/>
    </row>
    <row r="148" spans="8:8" x14ac:dyDescent="0.2">
      <c r="H148" s="11"/>
    </row>
    <row r="149" spans="8:8" x14ac:dyDescent="0.2">
      <c r="H149" s="11"/>
    </row>
    <row r="150" spans="8:8" x14ac:dyDescent="0.2">
      <c r="H150" s="11"/>
    </row>
    <row r="151" spans="8:8" x14ac:dyDescent="0.2">
      <c r="H151" s="11"/>
    </row>
    <row r="152" spans="8:8" x14ac:dyDescent="0.2">
      <c r="H152" s="11"/>
    </row>
    <row r="153" spans="8:8" x14ac:dyDescent="0.2">
      <c r="H153" s="11"/>
    </row>
    <row r="154" spans="8:8" x14ac:dyDescent="0.2">
      <c r="H154" s="11"/>
    </row>
    <row r="155" spans="8:8" x14ac:dyDescent="0.2">
      <c r="H155" s="11"/>
    </row>
    <row r="156" spans="8:8" x14ac:dyDescent="0.2">
      <c r="H156" s="11"/>
    </row>
    <row r="157" spans="8:8" x14ac:dyDescent="0.2">
      <c r="H157" s="11"/>
    </row>
    <row r="158" spans="8:8" x14ac:dyDescent="0.2">
      <c r="H158" s="11"/>
    </row>
    <row r="159" spans="8:8" x14ac:dyDescent="0.2">
      <c r="H159" s="11"/>
    </row>
    <row r="160" spans="8:8" x14ac:dyDescent="0.2">
      <c r="H160" s="11"/>
    </row>
    <row r="161" spans="8:8" x14ac:dyDescent="0.2">
      <c r="H161" s="11"/>
    </row>
    <row r="162" spans="8:8" x14ac:dyDescent="0.2">
      <c r="H162" s="11"/>
    </row>
    <row r="163" spans="8:8" x14ac:dyDescent="0.2">
      <c r="H163" s="11"/>
    </row>
    <row r="164" spans="8:8" x14ac:dyDescent="0.2">
      <c r="H164" s="11"/>
    </row>
    <row r="165" spans="8:8" x14ac:dyDescent="0.2">
      <c r="H165" s="11"/>
    </row>
    <row r="166" spans="8:8" x14ac:dyDescent="0.2">
      <c r="H166" s="11"/>
    </row>
    <row r="167" spans="8:8" x14ac:dyDescent="0.2">
      <c r="H167" s="11"/>
    </row>
    <row r="168" spans="8:8" x14ac:dyDescent="0.2">
      <c r="H168" s="11"/>
    </row>
    <row r="169" spans="8:8" x14ac:dyDescent="0.2">
      <c r="H169" s="11"/>
    </row>
    <row r="170" spans="8:8" x14ac:dyDescent="0.2">
      <c r="H170" s="11"/>
    </row>
    <row r="171" spans="8:8" x14ac:dyDescent="0.2">
      <c r="H171" s="11"/>
    </row>
    <row r="172" spans="8:8" x14ac:dyDescent="0.2">
      <c r="H172" s="11"/>
    </row>
    <row r="173" spans="8:8" x14ac:dyDescent="0.2">
      <c r="H173" s="11"/>
    </row>
    <row r="174" spans="8:8" x14ac:dyDescent="0.2">
      <c r="H174" s="11"/>
    </row>
    <row r="175" spans="8:8" x14ac:dyDescent="0.2">
      <c r="H175" s="11"/>
    </row>
    <row r="176" spans="8:8" x14ac:dyDescent="0.2">
      <c r="H176" s="11"/>
    </row>
    <row r="177" spans="8:8" x14ac:dyDescent="0.2">
      <c r="H177" s="11"/>
    </row>
    <row r="178" spans="8:8" x14ac:dyDescent="0.2">
      <c r="H178" s="11"/>
    </row>
    <row r="179" spans="8:8" x14ac:dyDescent="0.2">
      <c r="H179" s="11"/>
    </row>
    <row r="180" spans="8:8" x14ac:dyDescent="0.2">
      <c r="H180" s="11"/>
    </row>
    <row r="181" spans="8:8" x14ac:dyDescent="0.2">
      <c r="H181" s="11"/>
    </row>
    <row r="182" spans="8:8" x14ac:dyDescent="0.2">
      <c r="H182" s="11"/>
    </row>
    <row r="183" spans="8:8" x14ac:dyDescent="0.2">
      <c r="H183" s="11"/>
    </row>
    <row r="184" spans="8:8" x14ac:dyDescent="0.2">
      <c r="H184" s="11"/>
    </row>
    <row r="185" spans="8:8" x14ac:dyDescent="0.2">
      <c r="H185" s="11"/>
    </row>
    <row r="186" spans="8:8" x14ac:dyDescent="0.2">
      <c r="H186" s="11"/>
    </row>
    <row r="187" spans="8:8" x14ac:dyDescent="0.2">
      <c r="H187" s="11"/>
    </row>
    <row r="188" spans="8:8" x14ac:dyDescent="0.2">
      <c r="H188" s="11"/>
    </row>
    <row r="189" spans="8:8" x14ac:dyDescent="0.2">
      <c r="H189" s="11"/>
    </row>
    <row r="190" spans="8:8" x14ac:dyDescent="0.2">
      <c r="H190" s="11"/>
    </row>
    <row r="191" spans="8:8" x14ac:dyDescent="0.2">
      <c r="H191" s="11"/>
    </row>
    <row r="192" spans="8:8" x14ac:dyDescent="0.2">
      <c r="H192" s="11"/>
    </row>
    <row r="193" spans="8:8" x14ac:dyDescent="0.2">
      <c r="H193" s="11"/>
    </row>
    <row r="194" spans="8:8" x14ac:dyDescent="0.2">
      <c r="H194" s="11"/>
    </row>
    <row r="195" spans="8:8" x14ac:dyDescent="0.2">
      <c r="H195" s="11"/>
    </row>
    <row r="196" spans="8:8" x14ac:dyDescent="0.2">
      <c r="H196" s="11"/>
    </row>
    <row r="197" spans="8:8" x14ac:dyDescent="0.2">
      <c r="H197" s="11"/>
    </row>
    <row r="198" spans="8:8" x14ac:dyDescent="0.2">
      <c r="H198" s="11"/>
    </row>
    <row r="199" spans="8:8" x14ac:dyDescent="0.2">
      <c r="H199" s="11"/>
    </row>
    <row r="200" spans="8:8" x14ac:dyDescent="0.2">
      <c r="H200" s="11"/>
    </row>
    <row r="201" spans="8:8" x14ac:dyDescent="0.2">
      <c r="H201" s="11"/>
    </row>
    <row r="202" spans="8:8" x14ac:dyDescent="0.2">
      <c r="H202" s="11"/>
    </row>
    <row r="203" spans="8:8" x14ac:dyDescent="0.2">
      <c r="H203" s="11"/>
    </row>
    <row r="204" spans="8:8" x14ac:dyDescent="0.2">
      <c r="H204" s="11"/>
    </row>
    <row r="205" spans="8:8" x14ac:dyDescent="0.2">
      <c r="H205" s="11"/>
    </row>
    <row r="206" spans="8:8" x14ac:dyDescent="0.2">
      <c r="H206" s="11"/>
    </row>
    <row r="207" spans="8:8" x14ac:dyDescent="0.2">
      <c r="H207" s="11"/>
    </row>
    <row r="208" spans="8:8" x14ac:dyDescent="0.2">
      <c r="H208" s="11"/>
    </row>
    <row r="209" spans="8:8" x14ac:dyDescent="0.2">
      <c r="H209" s="11"/>
    </row>
    <row r="210" spans="8:8" x14ac:dyDescent="0.2">
      <c r="H210" s="11"/>
    </row>
    <row r="211" spans="8:8" x14ac:dyDescent="0.2">
      <c r="H211" s="11"/>
    </row>
    <row r="212" spans="8:8" x14ac:dyDescent="0.2">
      <c r="H212" s="11"/>
    </row>
    <row r="213" spans="8:8" x14ac:dyDescent="0.2">
      <c r="H213" s="11"/>
    </row>
    <row r="214" spans="8:8" x14ac:dyDescent="0.2">
      <c r="H214" s="11"/>
    </row>
    <row r="215" spans="8:8" x14ac:dyDescent="0.2">
      <c r="H215" s="11"/>
    </row>
    <row r="216" spans="8:8" x14ac:dyDescent="0.2">
      <c r="H216" s="11"/>
    </row>
    <row r="217" spans="8:8" x14ac:dyDescent="0.2">
      <c r="H217" s="11"/>
    </row>
    <row r="218" spans="8:8" x14ac:dyDescent="0.2">
      <c r="H218" s="11"/>
    </row>
    <row r="219" spans="8:8" x14ac:dyDescent="0.2">
      <c r="H219" s="11"/>
    </row>
    <row r="220" spans="8:8" x14ac:dyDescent="0.2">
      <c r="H220" s="11"/>
    </row>
    <row r="221" spans="8:8" x14ac:dyDescent="0.2">
      <c r="H221" s="11"/>
    </row>
    <row r="222" spans="8:8" x14ac:dyDescent="0.2">
      <c r="H222" s="11"/>
    </row>
    <row r="223" spans="8:8" x14ac:dyDescent="0.2">
      <c r="H223" s="11"/>
    </row>
    <row r="224" spans="8:8" x14ac:dyDescent="0.2">
      <c r="H224" s="11"/>
    </row>
    <row r="225" spans="8:8" x14ac:dyDescent="0.2">
      <c r="H225" s="11"/>
    </row>
    <row r="226" spans="8:8" x14ac:dyDescent="0.2">
      <c r="H226" s="11"/>
    </row>
    <row r="227" spans="8:8" x14ac:dyDescent="0.2">
      <c r="H227" s="11"/>
    </row>
    <row r="228" spans="8:8" x14ac:dyDescent="0.2">
      <c r="H228" s="11"/>
    </row>
    <row r="229" spans="8:8" x14ac:dyDescent="0.2">
      <c r="H229" s="11"/>
    </row>
    <row r="230" spans="8:8" x14ac:dyDescent="0.2">
      <c r="H230" s="11"/>
    </row>
    <row r="231" spans="8:8" x14ac:dyDescent="0.2">
      <c r="H231" s="11"/>
    </row>
    <row r="232" spans="8:8" x14ac:dyDescent="0.2">
      <c r="H232" s="11"/>
    </row>
    <row r="233" spans="8:8" x14ac:dyDescent="0.2">
      <c r="H233" s="11"/>
    </row>
    <row r="234" spans="8:8" x14ac:dyDescent="0.2">
      <c r="H234" s="11"/>
    </row>
    <row r="235" spans="8:8" x14ac:dyDescent="0.2">
      <c r="H235" s="11"/>
    </row>
    <row r="236" spans="8:8" x14ac:dyDescent="0.2">
      <c r="H236" s="11"/>
    </row>
    <row r="237" spans="8:8" x14ac:dyDescent="0.2">
      <c r="H237" s="11"/>
    </row>
    <row r="238" spans="8:8" x14ac:dyDescent="0.2">
      <c r="H238" s="11"/>
    </row>
    <row r="239" spans="8:8" x14ac:dyDescent="0.2">
      <c r="H239" s="11"/>
    </row>
    <row r="240" spans="8:8" x14ac:dyDescent="0.2">
      <c r="H240" s="11"/>
    </row>
    <row r="241" spans="8:8" x14ac:dyDescent="0.2">
      <c r="H241" s="11"/>
    </row>
    <row r="242" spans="8:8" x14ac:dyDescent="0.2">
      <c r="H242" s="11"/>
    </row>
    <row r="243" spans="8:8" x14ac:dyDescent="0.2">
      <c r="H243" s="11"/>
    </row>
    <row r="244" spans="8:8" x14ac:dyDescent="0.2">
      <c r="H244" s="11"/>
    </row>
    <row r="245" spans="8:8" x14ac:dyDescent="0.2">
      <c r="H245" s="11"/>
    </row>
    <row r="246" spans="8:8" x14ac:dyDescent="0.2">
      <c r="H246" s="11"/>
    </row>
    <row r="247" spans="8:8" x14ac:dyDescent="0.2">
      <c r="H247" s="11"/>
    </row>
    <row r="248" spans="8:8" x14ac:dyDescent="0.2">
      <c r="H248" s="11"/>
    </row>
    <row r="249" spans="8:8" x14ac:dyDescent="0.2">
      <c r="H249" s="11"/>
    </row>
    <row r="250" spans="8:8" x14ac:dyDescent="0.2">
      <c r="H250" s="11"/>
    </row>
    <row r="251" spans="8:8" x14ac:dyDescent="0.2">
      <c r="H251" s="11"/>
    </row>
    <row r="252" spans="8:8" x14ac:dyDescent="0.2">
      <c r="H252" s="11"/>
    </row>
    <row r="253" spans="8:8" x14ac:dyDescent="0.2">
      <c r="H253" s="11"/>
    </row>
    <row r="254" spans="8:8" x14ac:dyDescent="0.2">
      <c r="H254" s="11"/>
    </row>
    <row r="255" spans="8:8" x14ac:dyDescent="0.2">
      <c r="H255" s="11"/>
    </row>
    <row r="256" spans="8:8" x14ac:dyDescent="0.2">
      <c r="H256" s="11"/>
    </row>
    <row r="257" spans="8:8" x14ac:dyDescent="0.2">
      <c r="H257" s="11"/>
    </row>
    <row r="258" spans="8:8" x14ac:dyDescent="0.2">
      <c r="H258" s="11"/>
    </row>
    <row r="259" spans="8:8" x14ac:dyDescent="0.2">
      <c r="H259" s="11"/>
    </row>
    <row r="260" spans="8:8" x14ac:dyDescent="0.2">
      <c r="H260" s="11"/>
    </row>
    <row r="261" spans="8:8" x14ac:dyDescent="0.2">
      <c r="H261" s="11"/>
    </row>
    <row r="262" spans="8:8" x14ac:dyDescent="0.2">
      <c r="H262" s="11"/>
    </row>
    <row r="263" spans="8:8" x14ac:dyDescent="0.2">
      <c r="H263" s="11"/>
    </row>
    <row r="264" spans="8:8" x14ac:dyDescent="0.2">
      <c r="H264" s="11"/>
    </row>
    <row r="265" spans="8:8" x14ac:dyDescent="0.2">
      <c r="H265" s="11"/>
    </row>
    <row r="266" spans="8:8" x14ac:dyDescent="0.2">
      <c r="H266" s="11"/>
    </row>
    <row r="267" spans="8:8" x14ac:dyDescent="0.2">
      <c r="H267" s="11"/>
    </row>
    <row r="268" spans="8:8" x14ac:dyDescent="0.2">
      <c r="H268" s="11"/>
    </row>
    <row r="269" spans="8:8" x14ac:dyDescent="0.2">
      <c r="H269" s="11"/>
    </row>
    <row r="270" spans="8:8" x14ac:dyDescent="0.2">
      <c r="H270" s="11"/>
    </row>
    <row r="271" spans="8:8" x14ac:dyDescent="0.2">
      <c r="H271" s="11"/>
    </row>
    <row r="272" spans="8:8" x14ac:dyDescent="0.2">
      <c r="H272" s="11"/>
    </row>
    <row r="273" spans="8:8" x14ac:dyDescent="0.2">
      <c r="H273" s="11"/>
    </row>
    <row r="274" spans="8:8" x14ac:dyDescent="0.2">
      <c r="H274" s="11"/>
    </row>
    <row r="275" spans="8:8" x14ac:dyDescent="0.2">
      <c r="H275" s="11"/>
    </row>
    <row r="276" spans="8:8" x14ac:dyDescent="0.2">
      <c r="H276" s="11"/>
    </row>
    <row r="277" spans="8:8" x14ac:dyDescent="0.2">
      <c r="H277" s="11"/>
    </row>
    <row r="278" spans="8:8" x14ac:dyDescent="0.2">
      <c r="H278" s="11"/>
    </row>
    <row r="279" spans="8:8" x14ac:dyDescent="0.2">
      <c r="H279" s="11"/>
    </row>
    <row r="280" spans="8:8" x14ac:dyDescent="0.2">
      <c r="H280" s="11"/>
    </row>
    <row r="281" spans="8:8" x14ac:dyDescent="0.2">
      <c r="H281" s="11"/>
    </row>
    <row r="282" spans="8:8" x14ac:dyDescent="0.2">
      <c r="H282" s="11"/>
    </row>
    <row r="283" spans="8:8" x14ac:dyDescent="0.2">
      <c r="H283" s="11"/>
    </row>
    <row r="284" spans="8:8" x14ac:dyDescent="0.2">
      <c r="H284" s="11"/>
    </row>
    <row r="285" spans="8:8" x14ac:dyDescent="0.2">
      <c r="H285" s="11"/>
    </row>
    <row r="286" spans="8:8" x14ac:dyDescent="0.2">
      <c r="H286" s="11"/>
    </row>
    <row r="287" spans="8:8" x14ac:dyDescent="0.2">
      <c r="H287" s="11"/>
    </row>
    <row r="288" spans="8:8" x14ac:dyDescent="0.2">
      <c r="H288" s="11"/>
    </row>
    <row r="289" spans="8:8" x14ac:dyDescent="0.2">
      <c r="H289" s="11"/>
    </row>
    <row r="290" spans="8:8" x14ac:dyDescent="0.2">
      <c r="H290" s="11"/>
    </row>
    <row r="291" spans="8:8" x14ac:dyDescent="0.2">
      <c r="H291" s="11"/>
    </row>
    <row r="292" spans="8:8" x14ac:dyDescent="0.2">
      <c r="H292" s="11"/>
    </row>
    <row r="293" spans="8:8" x14ac:dyDescent="0.2">
      <c r="H293" s="11"/>
    </row>
    <row r="294" spans="8:8" x14ac:dyDescent="0.2">
      <c r="H294" s="11"/>
    </row>
    <row r="295" spans="8:8" x14ac:dyDescent="0.2">
      <c r="H295" s="11"/>
    </row>
    <row r="296" spans="8:8" x14ac:dyDescent="0.2">
      <c r="H296" s="11"/>
    </row>
    <row r="297" spans="8:8" x14ac:dyDescent="0.2">
      <c r="H297" s="11"/>
    </row>
    <row r="298" spans="8:8" x14ac:dyDescent="0.2">
      <c r="H298" s="11"/>
    </row>
    <row r="299" spans="8:8" x14ac:dyDescent="0.2">
      <c r="H299" s="11"/>
    </row>
    <row r="300" spans="8:8" x14ac:dyDescent="0.2">
      <c r="H300" s="11"/>
    </row>
    <row r="301" spans="8:8" x14ac:dyDescent="0.2">
      <c r="H301" s="11"/>
    </row>
    <row r="302" spans="8:8" x14ac:dyDescent="0.2">
      <c r="H302" s="11"/>
    </row>
    <row r="303" spans="8:8" x14ac:dyDescent="0.2">
      <c r="H303" s="11"/>
    </row>
    <row r="304" spans="8:8" x14ac:dyDescent="0.2">
      <c r="H304" s="11"/>
    </row>
    <row r="305" spans="8:8" x14ac:dyDescent="0.2">
      <c r="H305" s="11"/>
    </row>
    <row r="306" spans="8:8" x14ac:dyDescent="0.2">
      <c r="H306" s="11"/>
    </row>
    <row r="307" spans="8:8" x14ac:dyDescent="0.2">
      <c r="H307" s="11"/>
    </row>
    <row r="308" spans="8:8" x14ac:dyDescent="0.2">
      <c r="H308" s="11"/>
    </row>
    <row r="309" spans="8:8" x14ac:dyDescent="0.2">
      <c r="H309" s="11"/>
    </row>
    <row r="310" spans="8:8" x14ac:dyDescent="0.2">
      <c r="H310" s="11"/>
    </row>
    <row r="311" spans="8:8" x14ac:dyDescent="0.2">
      <c r="H311" s="11"/>
    </row>
    <row r="312" spans="8:8" x14ac:dyDescent="0.2">
      <c r="H312" s="11"/>
    </row>
    <row r="313" spans="8:8" x14ac:dyDescent="0.2">
      <c r="H313" s="11"/>
    </row>
    <row r="314" spans="8:8" x14ac:dyDescent="0.2">
      <c r="H314" s="11"/>
    </row>
    <row r="315" spans="8:8" x14ac:dyDescent="0.2">
      <c r="H315" s="11"/>
    </row>
    <row r="316" spans="8:8" x14ac:dyDescent="0.2">
      <c r="H316" s="11"/>
    </row>
    <row r="317" spans="8:8" x14ac:dyDescent="0.2">
      <c r="H317" s="11"/>
    </row>
    <row r="318" spans="8:8" x14ac:dyDescent="0.2">
      <c r="H318" s="11"/>
    </row>
    <row r="319" spans="8:8" x14ac:dyDescent="0.2">
      <c r="H319" s="11"/>
    </row>
    <row r="320" spans="8:8" x14ac:dyDescent="0.2">
      <c r="H320" s="11"/>
    </row>
    <row r="321" spans="8:8" x14ac:dyDescent="0.2">
      <c r="H321" s="11"/>
    </row>
    <row r="322" spans="8:8" x14ac:dyDescent="0.2">
      <c r="H322" s="11"/>
    </row>
    <row r="323" spans="8:8" x14ac:dyDescent="0.2">
      <c r="H323" s="11"/>
    </row>
    <row r="324" spans="8:8" x14ac:dyDescent="0.2">
      <c r="H324" s="11"/>
    </row>
    <row r="325" spans="8:8" x14ac:dyDescent="0.2">
      <c r="H325" s="11"/>
    </row>
    <row r="326" spans="8:8" x14ac:dyDescent="0.2">
      <c r="H326" s="11"/>
    </row>
    <row r="327" spans="8:8" x14ac:dyDescent="0.2">
      <c r="H327" s="11"/>
    </row>
    <row r="328" spans="8:8" x14ac:dyDescent="0.2">
      <c r="H328" s="11"/>
    </row>
    <row r="329" spans="8:8" x14ac:dyDescent="0.2">
      <c r="H329" s="11"/>
    </row>
    <row r="330" spans="8:8" x14ac:dyDescent="0.2">
      <c r="H330" s="11"/>
    </row>
    <row r="331" spans="8:8" x14ac:dyDescent="0.2">
      <c r="H331" s="11"/>
    </row>
    <row r="332" spans="8:8" x14ac:dyDescent="0.2">
      <c r="H332" s="11"/>
    </row>
    <row r="333" spans="8:8" x14ac:dyDescent="0.2">
      <c r="H333" s="11"/>
    </row>
    <row r="334" spans="8:8" x14ac:dyDescent="0.2">
      <c r="H334" s="11"/>
    </row>
    <row r="335" spans="8:8" x14ac:dyDescent="0.2">
      <c r="H335" s="11"/>
    </row>
    <row r="336" spans="8:8" x14ac:dyDescent="0.2">
      <c r="H336" s="11"/>
    </row>
    <row r="337" spans="8:8" x14ac:dyDescent="0.2">
      <c r="H337" s="11"/>
    </row>
    <row r="338" spans="8:8" x14ac:dyDescent="0.2">
      <c r="H338" s="11"/>
    </row>
    <row r="339" spans="8:8" x14ac:dyDescent="0.2">
      <c r="H339" s="11"/>
    </row>
    <row r="340" spans="8:8" x14ac:dyDescent="0.2">
      <c r="H340" s="11"/>
    </row>
    <row r="341" spans="8:8" x14ac:dyDescent="0.2">
      <c r="H341" s="11"/>
    </row>
    <row r="342" spans="8:8" x14ac:dyDescent="0.2">
      <c r="H342" s="11"/>
    </row>
    <row r="343" spans="8:8" x14ac:dyDescent="0.2">
      <c r="H343" s="11"/>
    </row>
    <row r="344" spans="8:8" x14ac:dyDescent="0.2">
      <c r="H344" s="11"/>
    </row>
    <row r="345" spans="8:8" x14ac:dyDescent="0.2">
      <c r="H345" s="11"/>
    </row>
    <row r="346" spans="8:8" x14ac:dyDescent="0.2">
      <c r="H346" s="11"/>
    </row>
    <row r="347" spans="8:8" x14ac:dyDescent="0.2">
      <c r="H347" s="11"/>
    </row>
    <row r="348" spans="8:8" x14ac:dyDescent="0.2">
      <c r="H348" s="11"/>
    </row>
    <row r="349" spans="8:8" x14ac:dyDescent="0.2">
      <c r="H349" s="11"/>
    </row>
    <row r="350" spans="8:8" x14ac:dyDescent="0.2">
      <c r="H350" s="11"/>
    </row>
    <row r="351" spans="8:8" x14ac:dyDescent="0.2">
      <c r="H351" s="11"/>
    </row>
    <row r="352" spans="8:8" x14ac:dyDescent="0.2">
      <c r="H352" s="11"/>
    </row>
    <row r="353" spans="8:8" x14ac:dyDescent="0.2">
      <c r="H353" s="11"/>
    </row>
    <row r="354" spans="8:8" x14ac:dyDescent="0.2">
      <c r="H354" s="11"/>
    </row>
    <row r="355" spans="8:8" x14ac:dyDescent="0.2">
      <c r="H355" s="11"/>
    </row>
    <row r="356" spans="8:8" x14ac:dyDescent="0.2">
      <c r="H356" s="11"/>
    </row>
    <row r="357" spans="8:8" x14ac:dyDescent="0.2">
      <c r="H357" s="11"/>
    </row>
    <row r="358" spans="8:8" x14ac:dyDescent="0.2">
      <c r="H358" s="11"/>
    </row>
    <row r="359" spans="8:8" x14ac:dyDescent="0.2">
      <c r="H359" s="11"/>
    </row>
    <row r="360" spans="8:8" x14ac:dyDescent="0.2">
      <c r="H360" s="11"/>
    </row>
    <row r="361" spans="8:8" x14ac:dyDescent="0.2">
      <c r="H361" s="11"/>
    </row>
    <row r="362" spans="8:8" x14ac:dyDescent="0.2">
      <c r="H362" s="11"/>
    </row>
    <row r="363" spans="8:8" x14ac:dyDescent="0.2">
      <c r="H363" s="11"/>
    </row>
    <row r="364" spans="8:8" x14ac:dyDescent="0.2">
      <c r="H364" s="11"/>
    </row>
    <row r="365" spans="8:8" x14ac:dyDescent="0.2">
      <c r="H365" s="11"/>
    </row>
    <row r="366" spans="8:8" x14ac:dyDescent="0.2">
      <c r="H366" s="11"/>
    </row>
    <row r="367" spans="8:8" x14ac:dyDescent="0.2">
      <c r="H367" s="11"/>
    </row>
    <row r="368" spans="8:8" x14ac:dyDescent="0.2">
      <c r="H368" s="11"/>
    </row>
    <row r="369" spans="8:8" x14ac:dyDescent="0.2">
      <c r="H369" s="11"/>
    </row>
    <row r="370" spans="8:8" x14ac:dyDescent="0.2">
      <c r="H370" s="11"/>
    </row>
    <row r="371" spans="8:8" x14ac:dyDescent="0.2">
      <c r="H371" s="11"/>
    </row>
    <row r="372" spans="8:8" x14ac:dyDescent="0.2">
      <c r="H372" s="11"/>
    </row>
    <row r="373" spans="8:8" x14ac:dyDescent="0.2">
      <c r="H373" s="11"/>
    </row>
    <row r="374" spans="8:8" x14ac:dyDescent="0.2">
      <c r="H374" s="11"/>
    </row>
    <row r="375" spans="8:8" x14ac:dyDescent="0.2">
      <c r="H375" s="11"/>
    </row>
    <row r="376" spans="8:8" x14ac:dyDescent="0.2">
      <c r="H376" s="11"/>
    </row>
    <row r="377" spans="8:8" x14ac:dyDescent="0.2">
      <c r="H377" s="11"/>
    </row>
    <row r="378" spans="8:8" x14ac:dyDescent="0.2">
      <c r="H378" s="11"/>
    </row>
    <row r="379" spans="8:8" x14ac:dyDescent="0.2">
      <c r="H379" s="11"/>
    </row>
    <row r="380" spans="8:8" x14ac:dyDescent="0.2">
      <c r="H380" s="11"/>
    </row>
    <row r="381" spans="8:8" x14ac:dyDescent="0.2">
      <c r="H381" s="11"/>
    </row>
    <row r="382" spans="8:8" x14ac:dyDescent="0.2">
      <c r="H382" s="11"/>
    </row>
    <row r="383" spans="8:8" x14ac:dyDescent="0.2">
      <c r="H383" s="11"/>
    </row>
    <row r="384" spans="8:8" x14ac:dyDescent="0.2">
      <c r="H384" s="11"/>
    </row>
    <row r="385" spans="8:8" x14ac:dyDescent="0.2">
      <c r="H385" s="11"/>
    </row>
    <row r="386" spans="8:8" x14ac:dyDescent="0.2">
      <c r="H386" s="11"/>
    </row>
    <row r="387" spans="8:8" x14ac:dyDescent="0.2">
      <c r="H387" s="11"/>
    </row>
    <row r="388" spans="8:8" x14ac:dyDescent="0.2">
      <c r="H388" s="11"/>
    </row>
    <row r="389" spans="8:8" x14ac:dyDescent="0.2">
      <c r="H389" s="11"/>
    </row>
    <row r="390" spans="8:8" x14ac:dyDescent="0.2">
      <c r="H390" s="11"/>
    </row>
    <row r="391" spans="8:8" x14ac:dyDescent="0.2">
      <c r="H391" s="11"/>
    </row>
    <row r="392" spans="8:8" x14ac:dyDescent="0.2">
      <c r="H392" s="11"/>
    </row>
    <row r="393" spans="8:8" x14ac:dyDescent="0.2">
      <c r="H393" s="11"/>
    </row>
    <row r="394" spans="8:8" x14ac:dyDescent="0.2">
      <c r="H394" s="11"/>
    </row>
    <row r="395" spans="8:8" x14ac:dyDescent="0.2">
      <c r="H395" s="11"/>
    </row>
    <row r="396" spans="8:8" x14ac:dyDescent="0.2">
      <c r="H396" s="11"/>
    </row>
    <row r="397" spans="8:8" x14ac:dyDescent="0.2">
      <c r="H397" s="11"/>
    </row>
    <row r="398" spans="8:8" x14ac:dyDescent="0.2">
      <c r="H398" s="11"/>
    </row>
    <row r="399" spans="8:8" x14ac:dyDescent="0.2">
      <c r="H399" s="11"/>
    </row>
    <row r="400" spans="8:8" x14ac:dyDescent="0.2">
      <c r="H400" s="11"/>
    </row>
    <row r="401" spans="8:8" x14ac:dyDescent="0.2">
      <c r="H401" s="11"/>
    </row>
    <row r="402" spans="8:8" x14ac:dyDescent="0.2">
      <c r="H402" s="11"/>
    </row>
    <row r="403" spans="8:8" x14ac:dyDescent="0.2">
      <c r="H403" s="11"/>
    </row>
    <row r="404" spans="8:8" x14ac:dyDescent="0.2">
      <c r="H404" s="11"/>
    </row>
    <row r="405" spans="8:8" x14ac:dyDescent="0.2">
      <c r="H405" s="11"/>
    </row>
    <row r="406" spans="8:8" x14ac:dyDescent="0.2">
      <c r="H406" s="11"/>
    </row>
    <row r="407" spans="8:8" x14ac:dyDescent="0.2">
      <c r="H407" s="11"/>
    </row>
    <row r="408" spans="8:8" x14ac:dyDescent="0.2">
      <c r="H408" s="11"/>
    </row>
    <row r="409" spans="8:8" x14ac:dyDescent="0.2">
      <c r="H409" s="11"/>
    </row>
    <row r="410" spans="8:8" x14ac:dyDescent="0.2">
      <c r="H410" s="11"/>
    </row>
    <row r="411" spans="8:8" x14ac:dyDescent="0.2">
      <c r="H411" s="11"/>
    </row>
    <row r="412" spans="8:8" x14ac:dyDescent="0.2">
      <c r="H412" s="11"/>
    </row>
    <row r="413" spans="8:8" x14ac:dyDescent="0.2">
      <c r="H413" s="11"/>
    </row>
    <row r="414" spans="8:8" x14ac:dyDescent="0.2">
      <c r="H414" s="11"/>
    </row>
    <row r="415" spans="8:8" x14ac:dyDescent="0.2">
      <c r="H415" s="11"/>
    </row>
    <row r="416" spans="8:8" x14ac:dyDescent="0.2">
      <c r="H416" s="11"/>
    </row>
    <row r="417" spans="8:8" x14ac:dyDescent="0.2">
      <c r="H417" s="11"/>
    </row>
    <row r="418" spans="8:8" x14ac:dyDescent="0.2">
      <c r="H418" s="11"/>
    </row>
    <row r="419" spans="8:8" x14ac:dyDescent="0.2">
      <c r="H419" s="11"/>
    </row>
    <row r="420" spans="8:8" x14ac:dyDescent="0.2">
      <c r="H420" s="11"/>
    </row>
    <row r="421" spans="8:8" x14ac:dyDescent="0.2">
      <c r="H421" s="11"/>
    </row>
    <row r="422" spans="8:8" x14ac:dyDescent="0.2">
      <c r="H422" s="11"/>
    </row>
    <row r="423" spans="8:8" x14ac:dyDescent="0.2">
      <c r="H423" s="11"/>
    </row>
    <row r="424" spans="8:8" x14ac:dyDescent="0.2">
      <c r="H424" s="11"/>
    </row>
    <row r="425" spans="8:8" x14ac:dyDescent="0.2">
      <c r="H425" s="11"/>
    </row>
    <row r="426" spans="8:8" x14ac:dyDescent="0.2">
      <c r="H426" s="11"/>
    </row>
    <row r="427" spans="8:8" x14ac:dyDescent="0.2">
      <c r="H427" s="11"/>
    </row>
    <row r="428" spans="8:8" x14ac:dyDescent="0.2">
      <c r="H428" s="11"/>
    </row>
    <row r="429" spans="8:8" x14ac:dyDescent="0.2">
      <c r="H429" s="11"/>
    </row>
    <row r="430" spans="8:8" x14ac:dyDescent="0.2">
      <c r="H430" s="11"/>
    </row>
    <row r="431" spans="8:8" x14ac:dyDescent="0.2">
      <c r="H431" s="11"/>
    </row>
    <row r="432" spans="8:8" x14ac:dyDescent="0.2">
      <c r="H432" s="11"/>
    </row>
    <row r="433" spans="8:8" x14ac:dyDescent="0.2">
      <c r="H433" s="11"/>
    </row>
    <row r="434" spans="8:8" x14ac:dyDescent="0.2">
      <c r="H434" s="11"/>
    </row>
    <row r="435" spans="8:8" x14ac:dyDescent="0.2">
      <c r="H435" s="11"/>
    </row>
    <row r="436" spans="8:8" x14ac:dyDescent="0.2">
      <c r="H436" s="11"/>
    </row>
    <row r="437" spans="8:8" x14ac:dyDescent="0.2">
      <c r="H437" s="11"/>
    </row>
    <row r="438" spans="8:8" x14ac:dyDescent="0.2">
      <c r="H438" s="11"/>
    </row>
    <row r="439" spans="8:8" x14ac:dyDescent="0.2">
      <c r="H439" s="11"/>
    </row>
    <row r="440" spans="8:8" x14ac:dyDescent="0.2">
      <c r="H440" s="11"/>
    </row>
    <row r="441" spans="8:8" x14ac:dyDescent="0.2">
      <c r="H441" s="11"/>
    </row>
    <row r="442" spans="8:8" x14ac:dyDescent="0.2">
      <c r="H442" s="11"/>
    </row>
    <row r="443" spans="8:8" x14ac:dyDescent="0.2">
      <c r="H443" s="11"/>
    </row>
    <row r="444" spans="8:8" x14ac:dyDescent="0.2">
      <c r="H444" s="11"/>
    </row>
    <row r="445" spans="8:8" x14ac:dyDescent="0.2">
      <c r="H445" s="11"/>
    </row>
    <row r="446" spans="8:8" x14ac:dyDescent="0.2">
      <c r="H446" s="11"/>
    </row>
    <row r="447" spans="8:8" x14ac:dyDescent="0.2">
      <c r="H447" s="11"/>
    </row>
    <row r="448" spans="8:8" x14ac:dyDescent="0.2">
      <c r="H448" s="11"/>
    </row>
    <row r="449" spans="8:8" x14ac:dyDescent="0.2">
      <c r="H449" s="11"/>
    </row>
    <row r="450" spans="8:8" x14ac:dyDescent="0.2">
      <c r="H450" s="11"/>
    </row>
    <row r="451" spans="8:8" x14ac:dyDescent="0.2">
      <c r="H451" s="11"/>
    </row>
    <row r="452" spans="8:8" x14ac:dyDescent="0.2">
      <c r="H452" s="11"/>
    </row>
    <row r="453" spans="8:8" x14ac:dyDescent="0.2">
      <c r="H453" s="11"/>
    </row>
    <row r="454" spans="8:8" x14ac:dyDescent="0.2">
      <c r="H454" s="11"/>
    </row>
    <row r="455" spans="8:8" x14ac:dyDescent="0.2">
      <c r="H455" s="11"/>
    </row>
    <row r="456" spans="8:8" x14ac:dyDescent="0.2">
      <c r="H456" s="11"/>
    </row>
    <row r="457" spans="8:8" x14ac:dyDescent="0.2">
      <c r="H457" s="11"/>
    </row>
    <row r="458" spans="8:8" x14ac:dyDescent="0.2">
      <c r="H458" s="11"/>
    </row>
    <row r="459" spans="8:8" x14ac:dyDescent="0.2">
      <c r="H459" s="11"/>
    </row>
    <row r="460" spans="8:8" x14ac:dyDescent="0.2">
      <c r="H460" s="11"/>
    </row>
    <row r="461" spans="8:8" x14ac:dyDescent="0.2">
      <c r="H461" s="11"/>
    </row>
    <row r="462" spans="8:8" x14ac:dyDescent="0.2">
      <c r="H462" s="11"/>
    </row>
    <row r="463" spans="8:8" x14ac:dyDescent="0.2">
      <c r="H463" s="11"/>
    </row>
    <row r="464" spans="8:8" x14ac:dyDescent="0.2">
      <c r="H464" s="11"/>
    </row>
    <row r="465" spans="8:8" x14ac:dyDescent="0.2">
      <c r="H465" s="11"/>
    </row>
    <row r="466" spans="8:8" x14ac:dyDescent="0.2">
      <c r="H466" s="11"/>
    </row>
    <row r="467" spans="8:8" x14ac:dyDescent="0.2">
      <c r="H467" s="11"/>
    </row>
    <row r="468" spans="8:8" x14ac:dyDescent="0.2">
      <c r="H468" s="11"/>
    </row>
    <row r="469" spans="8:8" x14ac:dyDescent="0.2">
      <c r="H469" s="11"/>
    </row>
    <row r="470" spans="8:8" x14ac:dyDescent="0.2">
      <c r="H470" s="11"/>
    </row>
    <row r="471" spans="8:8" x14ac:dyDescent="0.2">
      <c r="H471" s="11"/>
    </row>
    <row r="472" spans="8:8" x14ac:dyDescent="0.2">
      <c r="H472" s="11"/>
    </row>
    <row r="473" spans="8:8" x14ac:dyDescent="0.2">
      <c r="H473" s="11"/>
    </row>
    <row r="474" spans="8:8" x14ac:dyDescent="0.2">
      <c r="H474" s="11"/>
    </row>
    <row r="475" spans="8:8" x14ac:dyDescent="0.2">
      <c r="H475" s="11"/>
    </row>
    <row r="476" spans="8:8" x14ac:dyDescent="0.2">
      <c r="H476" s="11"/>
    </row>
    <row r="477" spans="8:8" x14ac:dyDescent="0.2">
      <c r="H477" s="11"/>
    </row>
    <row r="478" spans="8:8" x14ac:dyDescent="0.2">
      <c r="H478" s="11"/>
    </row>
    <row r="479" spans="8:8" x14ac:dyDescent="0.2">
      <c r="H479" s="11"/>
    </row>
    <row r="480" spans="8:8" x14ac:dyDescent="0.2">
      <c r="H480" s="11"/>
    </row>
    <row r="481" spans="8:8" x14ac:dyDescent="0.2">
      <c r="H481" s="11"/>
    </row>
    <row r="482" spans="8:8" x14ac:dyDescent="0.2">
      <c r="H482" s="11"/>
    </row>
    <row r="483" spans="8:8" x14ac:dyDescent="0.2">
      <c r="H483" s="11"/>
    </row>
    <row r="484" spans="8:8" x14ac:dyDescent="0.2">
      <c r="H484" s="11"/>
    </row>
    <row r="485" spans="8:8" x14ac:dyDescent="0.2">
      <c r="H485" s="11"/>
    </row>
    <row r="486" spans="8:8" x14ac:dyDescent="0.2">
      <c r="H486" s="11"/>
    </row>
    <row r="487" spans="8:8" x14ac:dyDescent="0.2">
      <c r="H487" s="11"/>
    </row>
    <row r="488" spans="8:8" x14ac:dyDescent="0.2">
      <c r="H488" s="11"/>
    </row>
    <row r="489" spans="8:8" x14ac:dyDescent="0.2">
      <c r="H489" s="11"/>
    </row>
    <row r="490" spans="8:8" x14ac:dyDescent="0.2">
      <c r="H490" s="11"/>
    </row>
    <row r="491" spans="8:8" x14ac:dyDescent="0.2">
      <c r="H491" s="11"/>
    </row>
    <row r="492" spans="8:8" x14ac:dyDescent="0.2">
      <c r="H492" s="11"/>
    </row>
    <row r="493" spans="8:8" x14ac:dyDescent="0.2">
      <c r="H493" s="11"/>
    </row>
    <row r="494" spans="8:8" x14ac:dyDescent="0.2">
      <c r="H494" s="11"/>
    </row>
    <row r="495" spans="8:8" x14ac:dyDescent="0.2">
      <c r="H495" s="11"/>
    </row>
    <row r="496" spans="8:8" x14ac:dyDescent="0.2">
      <c r="H496" s="11"/>
    </row>
    <row r="497" spans="8:8" x14ac:dyDescent="0.2">
      <c r="H497" s="11"/>
    </row>
    <row r="498" spans="8:8" x14ac:dyDescent="0.2">
      <c r="H498" s="11"/>
    </row>
    <row r="499" spans="8:8" x14ac:dyDescent="0.2">
      <c r="H499" s="11"/>
    </row>
    <row r="500" spans="8:8" x14ac:dyDescent="0.2">
      <c r="H500" s="11"/>
    </row>
    <row r="501" spans="8:8" x14ac:dyDescent="0.2">
      <c r="H501" s="11"/>
    </row>
    <row r="502" spans="8:8" x14ac:dyDescent="0.2">
      <c r="H502" s="11"/>
    </row>
    <row r="503" spans="8:8" x14ac:dyDescent="0.2">
      <c r="H503" s="11"/>
    </row>
    <row r="504" spans="8:8" x14ac:dyDescent="0.2">
      <c r="H504" s="11"/>
    </row>
    <row r="505" spans="8:8" x14ac:dyDescent="0.2">
      <c r="H505" s="11"/>
    </row>
    <row r="506" spans="8:8" x14ac:dyDescent="0.2">
      <c r="H506" s="11"/>
    </row>
    <row r="507" spans="8:8" x14ac:dyDescent="0.2">
      <c r="H507" s="11"/>
    </row>
    <row r="508" spans="8:8" x14ac:dyDescent="0.2">
      <c r="H508" s="11"/>
    </row>
    <row r="509" spans="8:8" x14ac:dyDescent="0.2">
      <c r="H509" s="11"/>
    </row>
    <row r="510" spans="8:8" x14ac:dyDescent="0.2">
      <c r="H510" s="11"/>
    </row>
    <row r="511" spans="8:8" x14ac:dyDescent="0.2">
      <c r="H511" s="11"/>
    </row>
    <row r="512" spans="8:8" x14ac:dyDescent="0.2">
      <c r="H512" s="11"/>
    </row>
    <row r="513" spans="8:8" x14ac:dyDescent="0.2">
      <c r="H513" s="11"/>
    </row>
    <row r="514" spans="8:8" x14ac:dyDescent="0.2">
      <c r="H514" s="11"/>
    </row>
    <row r="515" spans="8:8" x14ac:dyDescent="0.2">
      <c r="H515" s="11"/>
    </row>
    <row r="516" spans="8:8" x14ac:dyDescent="0.2">
      <c r="H516" s="11"/>
    </row>
    <row r="517" spans="8:8" x14ac:dyDescent="0.2">
      <c r="H517" s="11"/>
    </row>
    <row r="518" spans="8:8" x14ac:dyDescent="0.2">
      <c r="H518" s="11"/>
    </row>
    <row r="519" spans="8:8" x14ac:dyDescent="0.2">
      <c r="H519" s="11"/>
    </row>
    <row r="520" spans="8:8" x14ac:dyDescent="0.2">
      <c r="H520" s="11"/>
    </row>
    <row r="521" spans="8:8" x14ac:dyDescent="0.2">
      <c r="H521" s="11"/>
    </row>
    <row r="522" spans="8:8" x14ac:dyDescent="0.2">
      <c r="H522" s="11"/>
    </row>
    <row r="523" spans="8:8" x14ac:dyDescent="0.2">
      <c r="H523" s="11"/>
    </row>
    <row r="524" spans="8:8" x14ac:dyDescent="0.2">
      <c r="H524" s="11"/>
    </row>
    <row r="525" spans="8:8" x14ac:dyDescent="0.2">
      <c r="H525" s="11"/>
    </row>
    <row r="526" spans="8:8" x14ac:dyDescent="0.2">
      <c r="H526" s="11"/>
    </row>
    <row r="527" spans="8:8" x14ac:dyDescent="0.2">
      <c r="H527" s="11"/>
    </row>
    <row r="528" spans="8:8" x14ac:dyDescent="0.2">
      <c r="H528" s="11"/>
    </row>
    <row r="529" spans="8:8" x14ac:dyDescent="0.2">
      <c r="H529" s="11"/>
    </row>
    <row r="530" spans="8:8" x14ac:dyDescent="0.2">
      <c r="H530" s="11"/>
    </row>
    <row r="531" spans="8:8" x14ac:dyDescent="0.2">
      <c r="H531" s="11"/>
    </row>
    <row r="532" spans="8:8" x14ac:dyDescent="0.2">
      <c r="H532" s="11"/>
    </row>
    <row r="533" spans="8:8" x14ac:dyDescent="0.2">
      <c r="H533" s="11"/>
    </row>
    <row r="534" spans="8:8" x14ac:dyDescent="0.2">
      <c r="H534" s="11"/>
    </row>
    <row r="535" spans="8:8" x14ac:dyDescent="0.2">
      <c r="H535" s="11"/>
    </row>
    <row r="536" spans="8:8" x14ac:dyDescent="0.2">
      <c r="H536" s="11"/>
    </row>
    <row r="537" spans="8:8" x14ac:dyDescent="0.2">
      <c r="H537" s="11"/>
    </row>
    <row r="538" spans="8:8" x14ac:dyDescent="0.2">
      <c r="H538" s="11"/>
    </row>
    <row r="539" spans="8:8" x14ac:dyDescent="0.2">
      <c r="H539" s="11"/>
    </row>
    <row r="540" spans="8:8" x14ac:dyDescent="0.2">
      <c r="H540" s="11"/>
    </row>
    <row r="541" spans="8:8" x14ac:dyDescent="0.2">
      <c r="H541" s="11"/>
    </row>
    <row r="542" spans="8:8" x14ac:dyDescent="0.2">
      <c r="H542" s="11"/>
    </row>
    <row r="543" spans="8:8" x14ac:dyDescent="0.2">
      <c r="H543" s="11"/>
    </row>
    <row r="544" spans="8:8" x14ac:dyDescent="0.2">
      <c r="H544" s="11"/>
    </row>
    <row r="545" spans="8:8" x14ac:dyDescent="0.2">
      <c r="H545" s="11"/>
    </row>
    <row r="546" spans="8:8" x14ac:dyDescent="0.2">
      <c r="H546" s="11"/>
    </row>
    <row r="547" spans="8:8" x14ac:dyDescent="0.2">
      <c r="H547" s="11"/>
    </row>
    <row r="548" spans="8:8" x14ac:dyDescent="0.2">
      <c r="H548" s="11"/>
    </row>
    <row r="549" spans="8:8" x14ac:dyDescent="0.2">
      <c r="H549" s="11"/>
    </row>
    <row r="550" spans="8:8" x14ac:dyDescent="0.2">
      <c r="H550" s="11"/>
    </row>
    <row r="551" spans="8:8" x14ac:dyDescent="0.2">
      <c r="H551" s="11"/>
    </row>
    <row r="552" spans="8:8" x14ac:dyDescent="0.2">
      <c r="H552" s="11"/>
    </row>
    <row r="553" spans="8:8" x14ac:dyDescent="0.2">
      <c r="H553" s="11"/>
    </row>
    <row r="554" spans="8:8" x14ac:dyDescent="0.2">
      <c r="H554" s="11"/>
    </row>
    <row r="555" spans="8:8" x14ac:dyDescent="0.2">
      <c r="H555" s="11"/>
    </row>
    <row r="556" spans="8:8" x14ac:dyDescent="0.2">
      <c r="H556" s="11"/>
    </row>
    <row r="557" spans="8:8" x14ac:dyDescent="0.2">
      <c r="H557" s="11"/>
    </row>
    <row r="558" spans="8:8" x14ac:dyDescent="0.2">
      <c r="H558" s="11"/>
    </row>
    <row r="559" spans="8:8" x14ac:dyDescent="0.2">
      <c r="H559" s="11"/>
    </row>
    <row r="560" spans="8:8" x14ac:dyDescent="0.2">
      <c r="H560" s="11"/>
    </row>
    <row r="561" spans="8:8" x14ac:dyDescent="0.2">
      <c r="H561" s="11"/>
    </row>
    <row r="562" spans="8:8" x14ac:dyDescent="0.2">
      <c r="H562" s="11"/>
    </row>
    <row r="563" spans="8:8" x14ac:dyDescent="0.2">
      <c r="H563" s="11"/>
    </row>
    <row r="564" spans="8:8" x14ac:dyDescent="0.2">
      <c r="H564" s="11"/>
    </row>
    <row r="565" spans="8:8" x14ac:dyDescent="0.2">
      <c r="H565" s="11"/>
    </row>
    <row r="566" spans="8:8" x14ac:dyDescent="0.2">
      <c r="H566" s="11"/>
    </row>
    <row r="567" spans="8:8" x14ac:dyDescent="0.2">
      <c r="H567" s="11"/>
    </row>
    <row r="568" spans="8:8" x14ac:dyDescent="0.2">
      <c r="H568" s="11"/>
    </row>
    <row r="569" spans="8:8" x14ac:dyDescent="0.2">
      <c r="H569" s="11"/>
    </row>
    <row r="570" spans="8:8" x14ac:dyDescent="0.2">
      <c r="H570" s="11"/>
    </row>
    <row r="571" spans="8:8" x14ac:dyDescent="0.2">
      <c r="H571" s="11"/>
    </row>
    <row r="572" spans="8:8" x14ac:dyDescent="0.2">
      <c r="H572" s="11"/>
    </row>
    <row r="573" spans="8:8" x14ac:dyDescent="0.2">
      <c r="H573" s="11"/>
    </row>
    <row r="574" spans="8:8" x14ac:dyDescent="0.2">
      <c r="H574" s="11"/>
    </row>
    <row r="575" spans="8:8" x14ac:dyDescent="0.2">
      <c r="H575" s="11"/>
    </row>
    <row r="576" spans="8:8" x14ac:dyDescent="0.2">
      <c r="H576" s="11"/>
    </row>
    <row r="577" spans="8:8" x14ac:dyDescent="0.2">
      <c r="H577" s="11"/>
    </row>
    <row r="578" spans="8:8" x14ac:dyDescent="0.2">
      <c r="H578" s="11"/>
    </row>
    <row r="579" spans="8:8" x14ac:dyDescent="0.2">
      <c r="H579" s="11"/>
    </row>
    <row r="580" spans="8:8" x14ac:dyDescent="0.2">
      <c r="H580" s="11"/>
    </row>
    <row r="581" spans="8:8" x14ac:dyDescent="0.2">
      <c r="H581" s="11"/>
    </row>
    <row r="582" spans="8:8" x14ac:dyDescent="0.2">
      <c r="H582" s="11"/>
    </row>
    <row r="583" spans="8:8" x14ac:dyDescent="0.2">
      <c r="H583" s="11"/>
    </row>
    <row r="584" spans="8:8" x14ac:dyDescent="0.2">
      <c r="H584" s="11"/>
    </row>
    <row r="585" spans="8:8" x14ac:dyDescent="0.2">
      <c r="H585" s="11"/>
    </row>
    <row r="586" spans="8:8" x14ac:dyDescent="0.2">
      <c r="H586" s="11"/>
    </row>
    <row r="587" spans="8:8" x14ac:dyDescent="0.2">
      <c r="H587" s="11"/>
    </row>
    <row r="588" spans="8:8" x14ac:dyDescent="0.2">
      <c r="H588" s="11"/>
    </row>
    <row r="589" spans="8:8" x14ac:dyDescent="0.2">
      <c r="H589" s="11"/>
    </row>
    <row r="590" spans="8:8" x14ac:dyDescent="0.2">
      <c r="H590" s="11"/>
    </row>
    <row r="591" spans="8:8" x14ac:dyDescent="0.2">
      <c r="H591" s="11"/>
    </row>
    <row r="592" spans="8:8" x14ac:dyDescent="0.2">
      <c r="H592" s="11"/>
    </row>
    <row r="593" spans="8:8" x14ac:dyDescent="0.2">
      <c r="H593" s="11"/>
    </row>
    <row r="594" spans="8:8" x14ac:dyDescent="0.2">
      <c r="H594" s="11"/>
    </row>
    <row r="595" spans="8:8" x14ac:dyDescent="0.2">
      <c r="H595" s="11"/>
    </row>
    <row r="596" spans="8:8" x14ac:dyDescent="0.2">
      <c r="H596" s="11"/>
    </row>
    <row r="597" spans="8:8" x14ac:dyDescent="0.2">
      <c r="H597" s="11"/>
    </row>
    <row r="598" spans="8:8" x14ac:dyDescent="0.2">
      <c r="H598" s="11"/>
    </row>
    <row r="599" spans="8:8" x14ac:dyDescent="0.2">
      <c r="H599" s="11"/>
    </row>
    <row r="600" spans="8:8" x14ac:dyDescent="0.2">
      <c r="H600" s="11"/>
    </row>
    <row r="601" spans="8:8" x14ac:dyDescent="0.2">
      <c r="H601" s="11"/>
    </row>
    <row r="602" spans="8:8" x14ac:dyDescent="0.2">
      <c r="H602" s="11"/>
    </row>
    <row r="603" spans="8:8" x14ac:dyDescent="0.2">
      <c r="H603" s="11"/>
    </row>
    <row r="604" spans="8:8" x14ac:dyDescent="0.2">
      <c r="H604" s="11"/>
    </row>
    <row r="605" spans="8:8" x14ac:dyDescent="0.2">
      <c r="H605" s="11"/>
    </row>
    <row r="606" spans="8:8" x14ac:dyDescent="0.2">
      <c r="H606" s="11"/>
    </row>
    <row r="607" spans="8:8" x14ac:dyDescent="0.2">
      <c r="H607" s="11"/>
    </row>
    <row r="608" spans="8:8" x14ac:dyDescent="0.2">
      <c r="H608" s="11"/>
    </row>
    <row r="609" spans="8:8" x14ac:dyDescent="0.2">
      <c r="H609" s="11"/>
    </row>
    <row r="610" spans="8:8" x14ac:dyDescent="0.2">
      <c r="H610" s="11"/>
    </row>
    <row r="611" spans="8:8" x14ac:dyDescent="0.2">
      <c r="H611" s="11"/>
    </row>
    <row r="612" spans="8:8" x14ac:dyDescent="0.2">
      <c r="H612" s="11"/>
    </row>
    <row r="613" spans="8:8" x14ac:dyDescent="0.2">
      <c r="H613" s="11"/>
    </row>
    <row r="614" spans="8:8" x14ac:dyDescent="0.2">
      <c r="H614" s="11"/>
    </row>
    <row r="615" spans="8:8" x14ac:dyDescent="0.2">
      <c r="H615" s="11"/>
    </row>
    <row r="616" spans="8:8" x14ac:dyDescent="0.2">
      <c r="H616" s="11"/>
    </row>
    <row r="617" spans="8:8" x14ac:dyDescent="0.2">
      <c r="H617" s="11"/>
    </row>
    <row r="618" spans="8:8" x14ac:dyDescent="0.2">
      <c r="H618" s="11"/>
    </row>
    <row r="619" spans="8:8" x14ac:dyDescent="0.2">
      <c r="H619" s="11"/>
    </row>
    <row r="620" spans="8:8" x14ac:dyDescent="0.2">
      <c r="H620" s="11"/>
    </row>
    <row r="621" spans="8:8" x14ac:dyDescent="0.2">
      <c r="H621" s="11"/>
    </row>
    <row r="622" spans="8:8" x14ac:dyDescent="0.2">
      <c r="H622" s="11"/>
    </row>
    <row r="623" spans="8:8" x14ac:dyDescent="0.2">
      <c r="H623" s="11"/>
    </row>
    <row r="624" spans="8:8" x14ac:dyDescent="0.2">
      <c r="H624" s="11"/>
    </row>
    <row r="625" spans="8:8" x14ac:dyDescent="0.2">
      <c r="H625" s="11"/>
    </row>
    <row r="626" spans="8:8" x14ac:dyDescent="0.2">
      <c r="H626" s="11"/>
    </row>
    <row r="627" spans="8:8" x14ac:dyDescent="0.2">
      <c r="H627" s="11"/>
    </row>
    <row r="628" spans="8:8" x14ac:dyDescent="0.2">
      <c r="H628" s="11"/>
    </row>
  </sheetData>
  <mergeCells count="1">
    <mergeCell ref="B1:C1"/>
  </mergeCells>
  <conditionalFormatting sqref="G1:G3 G5:G118">
    <cfRule type="cellIs" dxfId="6" priority="2" stopIfTrue="1" operator="between">
      <formula>0.009</formula>
      <formula>-0.009</formula>
    </cfRule>
  </conditionalFormatting>
  <hyperlinks>
    <hyperlink ref="A2" location="Index!A1" display="-" xr:uid="{D9ADDF34-1140-4B79-96E0-B6F0DA12758F}"/>
  </hyperlinks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9" min="1" max="7" man="1"/>
  </rowBreaks>
  <colBreaks count="1" manualBreakCount="1">
    <brk id="8" max="7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4A25-A4BD-49EE-84F5-E40E3E323E3F}">
  <dimension ref="A1:I105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7.1796875" style="6" customWidth="1"/>
    <col min="4" max="4" width="32.1796875" style="6" bestFit="1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3.81640625" style="6" bestFit="1" customWidth="1"/>
    <col min="9" max="16384" width="9.1796875" style="6"/>
  </cols>
  <sheetData>
    <row r="1" spans="1:9" s="1" customFormat="1" ht="16.75" customHeight="1" x14ac:dyDescent="0.35">
      <c r="B1" s="160" t="s">
        <v>18</v>
      </c>
      <c r="C1" s="161"/>
      <c r="D1" s="10"/>
      <c r="F1" s="5"/>
      <c r="G1" s="15"/>
    </row>
    <row r="2" spans="1:9" s="1" customFormat="1" ht="14.5" x14ac:dyDescent="0.35">
      <c r="A2" s="68" t="s">
        <v>1495</v>
      </c>
      <c r="F2" s="5"/>
      <c r="G2" s="15"/>
    </row>
    <row r="3" spans="1:9" s="1" customFormat="1" ht="11.5" x14ac:dyDescent="0.25">
      <c r="B3" s="7" t="s">
        <v>9</v>
      </c>
      <c r="C3" s="2"/>
      <c r="D3" s="3"/>
      <c r="E3" s="3"/>
      <c r="F3" s="4"/>
      <c r="G3" s="15"/>
    </row>
    <row r="4" spans="1:9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65" t="s">
        <v>6</v>
      </c>
      <c r="I4" s="9"/>
    </row>
    <row r="5" spans="1:9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9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9" x14ac:dyDescent="0.2">
      <c r="B7" s="31" t="s">
        <v>472</v>
      </c>
      <c r="C7" s="31" t="s">
        <v>473</v>
      </c>
      <c r="D7" s="31" t="s">
        <v>47</v>
      </c>
      <c r="E7" s="35">
        <v>309467</v>
      </c>
      <c r="F7" s="32">
        <v>686.55253949999997</v>
      </c>
      <c r="G7" s="33">
        <v>3.7268807638492398</v>
      </c>
      <c r="H7" s="36"/>
    </row>
    <row r="8" spans="1:9" x14ac:dyDescent="0.2">
      <c r="B8" s="31" t="s">
        <v>474</v>
      </c>
      <c r="C8" s="31" t="s">
        <v>475</v>
      </c>
      <c r="D8" s="31" t="s">
        <v>58</v>
      </c>
      <c r="E8" s="35">
        <v>156371</v>
      </c>
      <c r="F8" s="32">
        <v>640.96472900000003</v>
      </c>
      <c r="G8" s="33">
        <v>3.4794119624925499</v>
      </c>
      <c r="H8" s="36"/>
    </row>
    <row r="9" spans="1:9" x14ac:dyDescent="0.2">
      <c r="B9" s="31" t="s">
        <v>476</v>
      </c>
      <c r="C9" s="31" t="s">
        <v>477</v>
      </c>
      <c r="D9" s="31" t="s">
        <v>94</v>
      </c>
      <c r="E9" s="35">
        <v>9508</v>
      </c>
      <c r="F9" s="32">
        <v>618.2577</v>
      </c>
      <c r="G9" s="33">
        <v>3.3561491607179099</v>
      </c>
      <c r="H9" s="36"/>
    </row>
    <row r="10" spans="1:9" x14ac:dyDescent="0.2">
      <c r="B10" s="31" t="s">
        <v>478</v>
      </c>
      <c r="C10" s="31" t="s">
        <v>479</v>
      </c>
      <c r="D10" s="31" t="s">
        <v>432</v>
      </c>
      <c r="E10" s="35">
        <v>14195</v>
      </c>
      <c r="F10" s="32">
        <v>615.89265999999998</v>
      </c>
      <c r="G10" s="33">
        <v>3.3433107811699201</v>
      </c>
      <c r="H10" s="36"/>
    </row>
    <row r="11" spans="1:9" x14ac:dyDescent="0.2">
      <c r="B11" s="31" t="s">
        <v>480</v>
      </c>
      <c r="C11" s="31" t="s">
        <v>481</v>
      </c>
      <c r="D11" s="31" t="s">
        <v>38</v>
      </c>
      <c r="E11" s="35">
        <v>17571</v>
      </c>
      <c r="F11" s="32">
        <v>613.73745899999994</v>
      </c>
      <c r="G11" s="33">
        <v>3.3316114913311901</v>
      </c>
      <c r="H11" s="36"/>
    </row>
    <row r="12" spans="1:9" x14ac:dyDescent="0.2">
      <c r="B12" s="31" t="s">
        <v>482</v>
      </c>
      <c r="C12" s="31" t="s">
        <v>483</v>
      </c>
      <c r="D12" s="31" t="s">
        <v>47</v>
      </c>
      <c r="E12" s="35">
        <v>125256</v>
      </c>
      <c r="F12" s="32">
        <v>556.82554800000003</v>
      </c>
      <c r="G12" s="33">
        <v>3.02267096000016</v>
      </c>
      <c r="H12" s="36"/>
    </row>
    <row r="13" spans="1:9" x14ac:dyDescent="0.2">
      <c r="B13" s="31" t="s">
        <v>484</v>
      </c>
      <c r="C13" s="31" t="s">
        <v>485</v>
      </c>
      <c r="D13" s="31" t="s">
        <v>486</v>
      </c>
      <c r="E13" s="35">
        <v>10107</v>
      </c>
      <c r="F13" s="32">
        <v>532.27504799999997</v>
      </c>
      <c r="G13" s="33">
        <v>2.8894010630458502</v>
      </c>
      <c r="H13" s="36"/>
    </row>
    <row r="14" spans="1:9" x14ac:dyDescent="0.2">
      <c r="B14" s="31" t="s">
        <v>487</v>
      </c>
      <c r="C14" s="31" t="s">
        <v>488</v>
      </c>
      <c r="D14" s="31" t="s">
        <v>131</v>
      </c>
      <c r="E14" s="35">
        <v>102398</v>
      </c>
      <c r="F14" s="32">
        <v>526.01852599999995</v>
      </c>
      <c r="G14" s="33">
        <v>2.85543816851286</v>
      </c>
      <c r="H14" s="36"/>
    </row>
    <row r="15" spans="1:9" x14ac:dyDescent="0.2">
      <c r="B15" s="31" t="s">
        <v>489</v>
      </c>
      <c r="C15" s="31" t="s">
        <v>490</v>
      </c>
      <c r="D15" s="31" t="s">
        <v>84</v>
      </c>
      <c r="E15" s="35">
        <v>11016</v>
      </c>
      <c r="F15" s="32">
        <v>505.18274400000001</v>
      </c>
      <c r="G15" s="33">
        <v>2.7423332411141299</v>
      </c>
      <c r="H15" s="36"/>
    </row>
    <row r="16" spans="1:9" x14ac:dyDescent="0.2">
      <c r="B16" s="31" t="s">
        <v>51</v>
      </c>
      <c r="C16" s="31" t="s">
        <v>52</v>
      </c>
      <c r="D16" s="31" t="s">
        <v>53</v>
      </c>
      <c r="E16" s="35">
        <v>8815</v>
      </c>
      <c r="F16" s="32">
        <v>504.74689999999998</v>
      </c>
      <c r="G16" s="33">
        <v>2.7399673062057501</v>
      </c>
      <c r="H16" s="36"/>
    </row>
    <row r="17" spans="2:8" x14ac:dyDescent="0.2">
      <c r="B17" s="31" t="s">
        <v>491</v>
      </c>
      <c r="C17" s="31" t="s">
        <v>492</v>
      </c>
      <c r="D17" s="31" t="s">
        <v>165</v>
      </c>
      <c r="E17" s="35">
        <v>32043</v>
      </c>
      <c r="F17" s="32">
        <v>500.80004700000001</v>
      </c>
      <c r="G17" s="33">
        <v>2.7185422153683501</v>
      </c>
      <c r="H17" s="36"/>
    </row>
    <row r="18" spans="2:8" x14ac:dyDescent="0.2">
      <c r="B18" s="31" t="s">
        <v>493</v>
      </c>
      <c r="C18" s="31" t="s">
        <v>494</v>
      </c>
      <c r="D18" s="31" t="s">
        <v>165</v>
      </c>
      <c r="E18" s="35">
        <v>108945</v>
      </c>
      <c r="F18" s="32">
        <v>488.50938000000002</v>
      </c>
      <c r="G18" s="33">
        <v>2.65182357727178</v>
      </c>
      <c r="H18" s="36"/>
    </row>
    <row r="19" spans="2:8" x14ac:dyDescent="0.2">
      <c r="B19" s="31" t="s">
        <v>127</v>
      </c>
      <c r="C19" s="31" t="s">
        <v>128</v>
      </c>
      <c r="D19" s="31" t="s">
        <v>44</v>
      </c>
      <c r="E19" s="35">
        <v>151638</v>
      </c>
      <c r="F19" s="32">
        <v>455.59637099999998</v>
      </c>
      <c r="G19" s="33">
        <v>2.4731586491486901</v>
      </c>
      <c r="H19" s="36"/>
    </row>
    <row r="20" spans="2:8" x14ac:dyDescent="0.2">
      <c r="B20" s="31" t="s">
        <v>495</v>
      </c>
      <c r="C20" s="31" t="s">
        <v>496</v>
      </c>
      <c r="D20" s="31" t="s">
        <v>497</v>
      </c>
      <c r="E20" s="35">
        <v>65700</v>
      </c>
      <c r="F20" s="32">
        <v>417.75344999999999</v>
      </c>
      <c r="G20" s="33">
        <v>2.2677321942039899</v>
      </c>
      <c r="H20" s="36"/>
    </row>
    <row r="21" spans="2:8" x14ac:dyDescent="0.2">
      <c r="B21" s="31" t="s">
        <v>498</v>
      </c>
      <c r="C21" s="31" t="s">
        <v>499</v>
      </c>
      <c r="D21" s="31" t="s">
        <v>500</v>
      </c>
      <c r="E21" s="35">
        <v>51333</v>
      </c>
      <c r="F21" s="32">
        <v>417.51695549999999</v>
      </c>
      <c r="G21" s="33">
        <v>2.2664484078189702</v>
      </c>
      <c r="H21" s="36"/>
    </row>
    <row r="22" spans="2:8" x14ac:dyDescent="0.2">
      <c r="B22" s="31" t="s">
        <v>501</v>
      </c>
      <c r="C22" s="31" t="s">
        <v>502</v>
      </c>
      <c r="D22" s="31" t="s">
        <v>79</v>
      </c>
      <c r="E22" s="35">
        <v>15243</v>
      </c>
      <c r="F22" s="32">
        <v>413.48161800000003</v>
      </c>
      <c r="G22" s="33">
        <v>2.2445429878560099</v>
      </c>
      <c r="H22" s="36"/>
    </row>
    <row r="23" spans="2:8" x14ac:dyDescent="0.2">
      <c r="B23" s="31" t="s">
        <v>101</v>
      </c>
      <c r="C23" s="31" t="s">
        <v>102</v>
      </c>
      <c r="D23" s="31" t="s">
        <v>67</v>
      </c>
      <c r="E23" s="35">
        <v>331135</v>
      </c>
      <c r="F23" s="32">
        <v>401.36873350000002</v>
      </c>
      <c r="G23" s="33">
        <v>2.1787894240127299</v>
      </c>
      <c r="H23" s="36"/>
    </row>
    <row r="24" spans="2:8" x14ac:dyDescent="0.2">
      <c r="B24" s="31" t="s">
        <v>54</v>
      </c>
      <c r="C24" s="31" t="s">
        <v>55</v>
      </c>
      <c r="D24" s="31" t="s">
        <v>44</v>
      </c>
      <c r="E24" s="35">
        <v>279549</v>
      </c>
      <c r="F24" s="32">
        <v>397.65845250000001</v>
      </c>
      <c r="G24" s="33">
        <v>2.1586485402612201</v>
      </c>
      <c r="H24" s="36"/>
    </row>
    <row r="25" spans="2:8" x14ac:dyDescent="0.2">
      <c r="B25" s="31" t="s">
        <v>503</v>
      </c>
      <c r="C25" s="31" t="s">
        <v>504</v>
      </c>
      <c r="D25" s="31" t="s">
        <v>28</v>
      </c>
      <c r="E25" s="35">
        <v>138809</v>
      </c>
      <c r="F25" s="32">
        <v>365.70619140000002</v>
      </c>
      <c r="G25" s="33">
        <v>1.98519893458092</v>
      </c>
      <c r="H25" s="36"/>
    </row>
    <row r="26" spans="2:8" x14ac:dyDescent="0.2">
      <c r="B26" s="31" t="s">
        <v>505</v>
      </c>
      <c r="C26" s="31" t="s">
        <v>506</v>
      </c>
      <c r="D26" s="31" t="s">
        <v>47</v>
      </c>
      <c r="E26" s="35">
        <v>25956</v>
      </c>
      <c r="F26" s="32">
        <v>348.39440999999999</v>
      </c>
      <c r="G26" s="33">
        <v>1.8912236866929599</v>
      </c>
      <c r="H26" s="36"/>
    </row>
    <row r="27" spans="2:8" x14ac:dyDescent="0.2">
      <c r="B27" s="31" t="s">
        <v>107</v>
      </c>
      <c r="C27" s="31" t="s">
        <v>108</v>
      </c>
      <c r="D27" s="31" t="s">
        <v>109</v>
      </c>
      <c r="E27" s="35">
        <v>127133</v>
      </c>
      <c r="F27" s="32">
        <v>345.22966150000002</v>
      </c>
      <c r="G27" s="33">
        <v>1.8740441707368201</v>
      </c>
      <c r="H27" s="36"/>
    </row>
    <row r="28" spans="2:8" x14ac:dyDescent="0.2">
      <c r="B28" s="31" t="s">
        <v>507</v>
      </c>
      <c r="C28" s="31" t="s">
        <v>508</v>
      </c>
      <c r="D28" s="31" t="s">
        <v>28</v>
      </c>
      <c r="E28" s="35">
        <v>252254</v>
      </c>
      <c r="F28" s="32">
        <v>339.660011</v>
      </c>
      <c r="G28" s="33">
        <v>1.8438098884123599</v>
      </c>
      <c r="H28" s="36"/>
    </row>
    <row r="29" spans="2:8" x14ac:dyDescent="0.2">
      <c r="B29" s="31" t="s">
        <v>509</v>
      </c>
      <c r="C29" s="31" t="s">
        <v>510</v>
      </c>
      <c r="D29" s="31" t="s">
        <v>64</v>
      </c>
      <c r="E29" s="35">
        <v>27710</v>
      </c>
      <c r="F29" s="32">
        <v>338.92101000000002</v>
      </c>
      <c r="G29" s="33">
        <v>1.8397982965051101</v>
      </c>
      <c r="H29" s="36"/>
    </row>
    <row r="30" spans="2:8" x14ac:dyDescent="0.2">
      <c r="B30" s="31" t="s">
        <v>511</v>
      </c>
      <c r="C30" s="31" t="s">
        <v>512</v>
      </c>
      <c r="D30" s="31" t="s">
        <v>165</v>
      </c>
      <c r="E30" s="35">
        <v>3239</v>
      </c>
      <c r="F30" s="32">
        <v>332.54813000000001</v>
      </c>
      <c r="G30" s="33">
        <v>1.80520376438144</v>
      </c>
      <c r="H30" s="36"/>
    </row>
    <row r="31" spans="2:8" x14ac:dyDescent="0.2">
      <c r="B31" s="31" t="s">
        <v>513</v>
      </c>
      <c r="C31" s="31" t="s">
        <v>514</v>
      </c>
      <c r="D31" s="31" t="s">
        <v>165</v>
      </c>
      <c r="E31" s="35">
        <v>93453</v>
      </c>
      <c r="F31" s="32">
        <v>331.10397899999998</v>
      </c>
      <c r="G31" s="33">
        <v>1.79736433728397</v>
      </c>
      <c r="H31" s="36"/>
    </row>
    <row r="32" spans="2:8" x14ac:dyDescent="0.2">
      <c r="B32" s="31" t="s">
        <v>515</v>
      </c>
      <c r="C32" s="31" t="s">
        <v>516</v>
      </c>
      <c r="D32" s="31" t="s">
        <v>517</v>
      </c>
      <c r="E32" s="35">
        <v>201820</v>
      </c>
      <c r="F32" s="32">
        <v>329.43078600000001</v>
      </c>
      <c r="G32" s="33">
        <v>1.7882815789411799</v>
      </c>
      <c r="H32" s="36"/>
    </row>
    <row r="33" spans="2:8" x14ac:dyDescent="0.2">
      <c r="B33" s="31" t="s">
        <v>518</v>
      </c>
      <c r="C33" s="31" t="s">
        <v>519</v>
      </c>
      <c r="D33" s="31" t="s">
        <v>94</v>
      </c>
      <c r="E33" s="35">
        <v>7826</v>
      </c>
      <c r="F33" s="32">
        <v>327.52592600000003</v>
      </c>
      <c r="G33" s="33">
        <v>1.77794123980705</v>
      </c>
      <c r="H33" s="36"/>
    </row>
    <row r="34" spans="2:8" x14ac:dyDescent="0.2">
      <c r="B34" s="31" t="s">
        <v>520</v>
      </c>
      <c r="C34" s="31" t="s">
        <v>521</v>
      </c>
      <c r="D34" s="31" t="s">
        <v>522</v>
      </c>
      <c r="E34" s="35">
        <v>30097</v>
      </c>
      <c r="F34" s="32">
        <v>321.16508700000003</v>
      </c>
      <c r="G34" s="33">
        <v>1.74341207102951</v>
      </c>
      <c r="H34" s="36"/>
    </row>
    <row r="35" spans="2:8" x14ac:dyDescent="0.2">
      <c r="B35" s="31" t="s">
        <v>523</v>
      </c>
      <c r="C35" s="31" t="s">
        <v>524</v>
      </c>
      <c r="D35" s="31" t="s">
        <v>525</v>
      </c>
      <c r="E35" s="35">
        <v>23205</v>
      </c>
      <c r="F35" s="32">
        <v>319.23118499999998</v>
      </c>
      <c r="G35" s="33">
        <v>1.7329140803466501</v>
      </c>
      <c r="H35" s="36"/>
    </row>
    <row r="36" spans="2:8" x14ac:dyDescent="0.2">
      <c r="B36" s="31" t="s">
        <v>526</v>
      </c>
      <c r="C36" s="31" t="s">
        <v>527</v>
      </c>
      <c r="D36" s="31" t="s">
        <v>47</v>
      </c>
      <c r="E36" s="35">
        <v>25084</v>
      </c>
      <c r="F36" s="32">
        <v>307.81830600000001</v>
      </c>
      <c r="G36" s="33">
        <v>1.67096042529759</v>
      </c>
      <c r="H36" s="36"/>
    </row>
    <row r="37" spans="2:8" x14ac:dyDescent="0.2">
      <c r="B37" s="31" t="s">
        <v>155</v>
      </c>
      <c r="C37" s="31" t="s">
        <v>156</v>
      </c>
      <c r="D37" s="31" t="s">
        <v>50</v>
      </c>
      <c r="E37" s="35">
        <v>6942</v>
      </c>
      <c r="F37" s="32">
        <v>296.39563199999998</v>
      </c>
      <c r="G37" s="33">
        <v>1.60895359908539</v>
      </c>
      <c r="H37" s="36"/>
    </row>
    <row r="38" spans="2:8" x14ac:dyDescent="0.2">
      <c r="B38" s="31" t="s">
        <v>129</v>
      </c>
      <c r="C38" s="31" t="s">
        <v>130</v>
      </c>
      <c r="D38" s="31" t="s">
        <v>131</v>
      </c>
      <c r="E38" s="35">
        <v>22100</v>
      </c>
      <c r="F38" s="32">
        <v>292.95760000000001</v>
      </c>
      <c r="G38" s="33">
        <v>1.5902905913924399</v>
      </c>
      <c r="H38" s="36"/>
    </row>
    <row r="39" spans="2:8" x14ac:dyDescent="0.2">
      <c r="B39" s="31" t="s">
        <v>528</v>
      </c>
      <c r="C39" s="31" t="s">
        <v>529</v>
      </c>
      <c r="D39" s="31" t="s">
        <v>500</v>
      </c>
      <c r="E39" s="35">
        <v>3924</v>
      </c>
      <c r="F39" s="32">
        <v>283.70519999999999</v>
      </c>
      <c r="G39" s="33">
        <v>1.54006487726931</v>
      </c>
      <c r="H39" s="36"/>
    </row>
    <row r="40" spans="2:8" x14ac:dyDescent="0.2">
      <c r="B40" s="31" t="s">
        <v>530</v>
      </c>
      <c r="C40" s="31" t="s">
        <v>531</v>
      </c>
      <c r="D40" s="31" t="s">
        <v>28</v>
      </c>
      <c r="E40" s="35">
        <v>257983</v>
      </c>
      <c r="F40" s="32">
        <v>282.13020879999999</v>
      </c>
      <c r="G40" s="33">
        <v>1.53151519742866</v>
      </c>
      <c r="H40" s="36"/>
    </row>
    <row r="41" spans="2:8" x14ac:dyDescent="0.2">
      <c r="B41" s="31" t="s">
        <v>532</v>
      </c>
      <c r="C41" s="31" t="s">
        <v>533</v>
      </c>
      <c r="D41" s="31" t="s">
        <v>534</v>
      </c>
      <c r="E41" s="35">
        <v>47997</v>
      </c>
      <c r="F41" s="32">
        <v>281.74239</v>
      </c>
      <c r="G41" s="33">
        <v>1.5294099624430999</v>
      </c>
      <c r="H41" s="36"/>
    </row>
    <row r="42" spans="2:8" x14ac:dyDescent="0.2">
      <c r="B42" s="31" t="s">
        <v>535</v>
      </c>
      <c r="C42" s="31" t="s">
        <v>536</v>
      </c>
      <c r="D42" s="31" t="s">
        <v>525</v>
      </c>
      <c r="E42" s="35">
        <v>1823</v>
      </c>
      <c r="F42" s="32">
        <v>281.45296999999999</v>
      </c>
      <c r="G42" s="33">
        <v>1.5278388753541801</v>
      </c>
      <c r="H42" s="36"/>
    </row>
    <row r="43" spans="2:8" x14ac:dyDescent="0.2">
      <c r="B43" s="31" t="s">
        <v>537</v>
      </c>
      <c r="C43" s="31" t="s">
        <v>538</v>
      </c>
      <c r="D43" s="31" t="s">
        <v>165</v>
      </c>
      <c r="E43" s="35">
        <v>8024</v>
      </c>
      <c r="F43" s="32">
        <v>274.75780800000001</v>
      </c>
      <c r="G43" s="33">
        <v>1.4914948681106499</v>
      </c>
      <c r="H43" s="36"/>
    </row>
    <row r="44" spans="2:8" x14ac:dyDescent="0.2">
      <c r="B44" s="31" t="s">
        <v>539</v>
      </c>
      <c r="C44" s="31" t="s">
        <v>540</v>
      </c>
      <c r="D44" s="31" t="s">
        <v>500</v>
      </c>
      <c r="E44" s="35">
        <v>6613</v>
      </c>
      <c r="F44" s="32">
        <v>251.83626599999999</v>
      </c>
      <c r="G44" s="33">
        <v>1.3670676042922401</v>
      </c>
      <c r="H44" s="36"/>
    </row>
    <row r="45" spans="2:8" x14ac:dyDescent="0.2">
      <c r="B45" s="31" t="s">
        <v>541</v>
      </c>
      <c r="C45" s="31" t="s">
        <v>542</v>
      </c>
      <c r="D45" s="31" t="s">
        <v>122</v>
      </c>
      <c r="E45" s="35">
        <v>1001</v>
      </c>
      <c r="F45" s="32">
        <v>242.19194999999999</v>
      </c>
      <c r="G45" s="33">
        <v>1.3147144139492899</v>
      </c>
      <c r="H45" s="36"/>
    </row>
    <row r="46" spans="2:8" x14ac:dyDescent="0.2">
      <c r="B46" s="31" t="s">
        <v>543</v>
      </c>
      <c r="C46" s="31" t="s">
        <v>544</v>
      </c>
      <c r="D46" s="31" t="s">
        <v>28</v>
      </c>
      <c r="E46" s="35">
        <v>144576</v>
      </c>
      <c r="F46" s="32">
        <v>239.9094144</v>
      </c>
      <c r="G46" s="33">
        <v>1.3023239011610901</v>
      </c>
      <c r="H46" s="36"/>
    </row>
    <row r="47" spans="2:8" x14ac:dyDescent="0.2">
      <c r="B47" s="31" t="s">
        <v>545</v>
      </c>
      <c r="C47" s="31" t="s">
        <v>546</v>
      </c>
      <c r="D47" s="31" t="s">
        <v>67</v>
      </c>
      <c r="E47" s="35">
        <v>649</v>
      </c>
      <c r="F47" s="32">
        <v>233.60755</v>
      </c>
      <c r="G47" s="33">
        <v>1.26811487001273</v>
      </c>
      <c r="H47" s="36"/>
    </row>
    <row r="48" spans="2:8" x14ac:dyDescent="0.2">
      <c r="B48" s="31" t="s">
        <v>547</v>
      </c>
      <c r="C48" s="31" t="s">
        <v>548</v>
      </c>
      <c r="D48" s="31" t="s">
        <v>500</v>
      </c>
      <c r="E48" s="35">
        <v>6617</v>
      </c>
      <c r="F48" s="32">
        <v>216.95819599999999</v>
      </c>
      <c r="G48" s="33">
        <v>1.1777355420179501</v>
      </c>
      <c r="H48" s="36"/>
    </row>
    <row r="49" spans="2:9" x14ac:dyDescent="0.2">
      <c r="B49" s="31" t="s">
        <v>549</v>
      </c>
      <c r="C49" s="31" t="s">
        <v>550</v>
      </c>
      <c r="D49" s="31" t="s">
        <v>122</v>
      </c>
      <c r="E49" s="35">
        <v>45630</v>
      </c>
      <c r="F49" s="32">
        <v>202.68845999999999</v>
      </c>
      <c r="G49" s="33">
        <v>1.1002737287642399</v>
      </c>
      <c r="H49" s="36"/>
    </row>
    <row r="50" spans="2:9" x14ac:dyDescent="0.2">
      <c r="B50" s="31" t="s">
        <v>551</v>
      </c>
      <c r="C50" s="31" t="s">
        <v>552</v>
      </c>
      <c r="D50" s="31" t="s">
        <v>38</v>
      </c>
      <c r="E50" s="35">
        <v>10668</v>
      </c>
      <c r="F50" s="32">
        <v>193.901568</v>
      </c>
      <c r="G50" s="33">
        <v>1.0525749775620801</v>
      </c>
      <c r="H50" s="36"/>
    </row>
    <row r="51" spans="2:9" x14ac:dyDescent="0.2">
      <c r="B51" s="31" t="s">
        <v>553</v>
      </c>
      <c r="C51" s="31" t="s">
        <v>554</v>
      </c>
      <c r="D51" s="31" t="s">
        <v>435</v>
      </c>
      <c r="E51" s="35">
        <v>32435</v>
      </c>
      <c r="F51" s="32">
        <v>193.29638249999999</v>
      </c>
      <c r="G51" s="33">
        <v>1.0492897895120199</v>
      </c>
      <c r="H51" s="36"/>
    </row>
    <row r="52" spans="2:9" x14ac:dyDescent="0.2">
      <c r="B52" s="31" t="s">
        <v>555</v>
      </c>
      <c r="C52" s="31" t="s">
        <v>556</v>
      </c>
      <c r="D52" s="31" t="s">
        <v>534</v>
      </c>
      <c r="E52" s="35">
        <v>21066</v>
      </c>
      <c r="F52" s="32">
        <v>189.151614</v>
      </c>
      <c r="G52" s="33">
        <v>1.0267903344746701</v>
      </c>
      <c r="H52" s="36"/>
    </row>
    <row r="53" spans="2:9" x14ac:dyDescent="0.2">
      <c r="B53" s="31" t="s">
        <v>557</v>
      </c>
      <c r="C53" s="31" t="s">
        <v>558</v>
      </c>
      <c r="D53" s="31" t="s">
        <v>94</v>
      </c>
      <c r="E53" s="35">
        <v>18717</v>
      </c>
      <c r="F53" s="32">
        <v>166.93692300000001</v>
      </c>
      <c r="G53" s="33">
        <v>0.90620013955229295</v>
      </c>
      <c r="H53" s="36"/>
    </row>
    <row r="54" spans="2:9" x14ac:dyDescent="0.2">
      <c r="B54" s="31" t="s">
        <v>559</v>
      </c>
      <c r="C54" s="31" t="s">
        <v>560</v>
      </c>
      <c r="D54" s="31" t="s">
        <v>165</v>
      </c>
      <c r="E54" s="35">
        <v>150500</v>
      </c>
      <c r="F54" s="32">
        <v>156.83605</v>
      </c>
      <c r="G54" s="33">
        <v>0.85136857588318204</v>
      </c>
      <c r="H54" s="36"/>
    </row>
    <row r="55" spans="2:9" x14ac:dyDescent="0.2">
      <c r="B55" s="31" t="s">
        <v>561</v>
      </c>
      <c r="C55" s="31" t="s">
        <v>562</v>
      </c>
      <c r="D55" s="31" t="s">
        <v>563</v>
      </c>
      <c r="E55" s="35">
        <v>5684</v>
      </c>
      <c r="F55" s="32">
        <v>155.35508799999999</v>
      </c>
      <c r="G55" s="33">
        <v>0.84332932400915805</v>
      </c>
      <c r="H55" s="36"/>
    </row>
    <row r="56" spans="2:9" x14ac:dyDescent="0.2">
      <c r="B56" s="31" t="s">
        <v>1576</v>
      </c>
      <c r="C56" s="31" t="s">
        <v>136</v>
      </c>
      <c r="D56" s="31" t="s">
        <v>135</v>
      </c>
      <c r="E56" s="35">
        <v>126917</v>
      </c>
      <c r="F56" s="32">
        <v>153.60129929999999</v>
      </c>
      <c r="G56" s="33">
        <v>0.83380906009075995</v>
      </c>
      <c r="H56" s="36"/>
    </row>
    <row r="57" spans="2:9" x14ac:dyDescent="0.2">
      <c r="B57" s="31" t="s">
        <v>1577</v>
      </c>
      <c r="C57" s="31" t="s">
        <v>133</v>
      </c>
      <c r="D57" s="31" t="s">
        <v>47</v>
      </c>
      <c r="E57" s="35">
        <v>126917</v>
      </c>
      <c r="F57" s="32">
        <v>153.60129929999999</v>
      </c>
      <c r="G57" s="33">
        <v>0.83380906009075995</v>
      </c>
      <c r="H57" s="36"/>
    </row>
    <row r="58" spans="2:9" x14ac:dyDescent="0.2">
      <c r="B58" s="31" t="s">
        <v>1578</v>
      </c>
      <c r="C58" s="31" t="s">
        <v>132</v>
      </c>
      <c r="D58" s="31" t="s">
        <v>47</v>
      </c>
      <c r="E58" s="35">
        <v>126917</v>
      </c>
      <c r="F58" s="32">
        <v>153.60129929999999</v>
      </c>
      <c r="G58" s="33">
        <v>0.83380906009075995</v>
      </c>
      <c r="H58" s="36"/>
    </row>
    <row r="59" spans="2:9" x14ac:dyDescent="0.2">
      <c r="B59" s="31" t="s">
        <v>1579</v>
      </c>
      <c r="C59" s="31" t="s">
        <v>134</v>
      </c>
      <c r="D59" s="31" t="s">
        <v>135</v>
      </c>
      <c r="E59" s="35">
        <v>126917</v>
      </c>
      <c r="F59" s="32">
        <v>153.60129929999999</v>
      </c>
      <c r="G59" s="33">
        <v>0.83380906009075995</v>
      </c>
      <c r="H59" s="36"/>
    </row>
    <row r="60" spans="2:9" x14ac:dyDescent="0.2">
      <c r="B60" s="31" t="s">
        <v>564</v>
      </c>
      <c r="C60" s="31" t="s">
        <v>565</v>
      </c>
      <c r="D60" s="31" t="s">
        <v>165</v>
      </c>
      <c r="E60" s="35">
        <v>32320</v>
      </c>
      <c r="F60" s="32">
        <v>107.67408</v>
      </c>
      <c r="G60" s="33">
        <v>0.58449781251907196</v>
      </c>
      <c r="H60" s="36"/>
    </row>
    <row r="61" spans="2:9" ht="10.5" x14ac:dyDescent="0.25">
      <c r="B61" s="30" t="s">
        <v>170</v>
      </c>
      <c r="C61" s="30"/>
      <c r="D61" s="30"/>
      <c r="E61" s="30"/>
      <c r="F61" s="37">
        <f>SUM(F7:F60)</f>
        <v>18457.764091800007</v>
      </c>
      <c r="G61" s="38">
        <f>SUM(G7:G60)</f>
        <v>100.19609859355364</v>
      </c>
      <c r="H61" s="30"/>
      <c r="I61" s="23"/>
    </row>
    <row r="62" spans="2:9" ht="10.5" x14ac:dyDescent="0.25">
      <c r="B62" s="30" t="s">
        <v>171</v>
      </c>
      <c r="C62" s="30"/>
      <c r="D62" s="30"/>
      <c r="E62" s="30"/>
      <c r="F62" s="40" t="s">
        <v>172</v>
      </c>
      <c r="G62" s="41" t="s">
        <v>172</v>
      </c>
      <c r="H62" s="30"/>
      <c r="I62" s="23"/>
    </row>
    <row r="63" spans="2:9" ht="10.5" x14ac:dyDescent="0.25">
      <c r="B63" s="30" t="s">
        <v>170</v>
      </c>
      <c r="C63" s="30"/>
      <c r="D63" s="30"/>
      <c r="E63" s="30"/>
      <c r="F63" s="42" t="s">
        <v>172</v>
      </c>
      <c r="G63" s="43" t="s">
        <v>172</v>
      </c>
      <c r="H63" s="30"/>
      <c r="I63" s="23"/>
    </row>
    <row r="64" spans="2:9" ht="10.5" x14ac:dyDescent="0.25">
      <c r="B64" s="44" t="s">
        <v>173</v>
      </c>
      <c r="C64" s="44"/>
      <c r="D64" s="44"/>
      <c r="E64" s="44"/>
      <c r="F64" s="45">
        <f>F61</f>
        <v>18457.764091800007</v>
      </c>
      <c r="G64" s="46">
        <f>G61</f>
        <v>100.19609859355364</v>
      </c>
      <c r="H64" s="30"/>
      <c r="I64" s="23"/>
    </row>
    <row r="65" spans="2:9" ht="10.5" x14ac:dyDescent="0.25">
      <c r="B65" s="30" t="s">
        <v>174</v>
      </c>
      <c r="C65" s="30"/>
      <c r="D65" s="30"/>
      <c r="E65" s="30"/>
      <c r="F65" s="37">
        <v>102.45126980000001</v>
      </c>
      <c r="G65" s="38">
        <v>0.55614631755294597</v>
      </c>
      <c r="H65" s="36">
        <v>5.2499999999999998E-2</v>
      </c>
      <c r="I65" s="24"/>
    </row>
    <row r="66" spans="2:9" x14ac:dyDescent="0.2">
      <c r="B66" s="31"/>
      <c r="C66" s="31"/>
      <c r="D66" s="31"/>
      <c r="E66" s="31"/>
      <c r="F66" s="32"/>
      <c r="G66" s="33"/>
      <c r="H66" s="31"/>
    </row>
    <row r="67" spans="2:9" ht="10.5" x14ac:dyDescent="0.25">
      <c r="B67" s="52" t="s">
        <v>177</v>
      </c>
      <c r="C67" s="52"/>
      <c r="D67" s="52"/>
      <c r="E67" s="52"/>
      <c r="F67" s="37">
        <f>F68-(F61+F65)</f>
        <v>-138.57584580000548</v>
      </c>
      <c r="G67" s="38">
        <f>G68-(G61+G65)</f>
        <v>-0.75224491110658676</v>
      </c>
      <c r="H67" s="30"/>
      <c r="I67" s="23"/>
    </row>
    <row r="68" spans="2:9" ht="10.5" x14ac:dyDescent="0.25">
      <c r="B68" s="47" t="s">
        <v>175</v>
      </c>
      <c r="C68" s="47"/>
      <c r="D68" s="47"/>
      <c r="E68" s="47"/>
      <c r="F68" s="48">
        <v>18421.639515800001</v>
      </c>
      <c r="G68" s="49">
        <v>100</v>
      </c>
      <c r="H68" s="51"/>
      <c r="I68" s="23"/>
    </row>
    <row r="69" spans="2:9" ht="10.5" x14ac:dyDescent="0.25">
      <c r="B69" s="23"/>
      <c r="C69" s="23"/>
      <c r="D69" s="23"/>
      <c r="E69" s="23"/>
      <c r="F69" s="141"/>
      <c r="G69" s="142"/>
      <c r="H69" s="23"/>
      <c r="I69" s="23"/>
    </row>
    <row r="70" spans="2:9" ht="10.5" x14ac:dyDescent="0.25">
      <c r="B70" s="23" t="s">
        <v>256</v>
      </c>
    </row>
    <row r="71" spans="2:9" ht="10.5" x14ac:dyDescent="0.25">
      <c r="B71" s="23"/>
    </row>
    <row r="72" spans="2:9" ht="10.5" x14ac:dyDescent="0.2">
      <c r="B72" s="70" t="s">
        <v>186</v>
      </c>
    </row>
    <row r="73" spans="2:9" ht="10.5" x14ac:dyDescent="0.2">
      <c r="B73" s="70"/>
    </row>
    <row r="74" spans="2:9" x14ac:dyDescent="0.2">
      <c r="B74" s="81" t="s">
        <v>1497</v>
      </c>
    </row>
    <row r="75" spans="2:9" x14ac:dyDescent="0.2">
      <c r="B75" s="81" t="s">
        <v>1515</v>
      </c>
    </row>
    <row r="76" spans="2:9" x14ac:dyDescent="0.2">
      <c r="B76" s="81" t="s">
        <v>1516</v>
      </c>
    </row>
    <row r="77" spans="2:9" ht="10.5" x14ac:dyDescent="0.2">
      <c r="B77" s="70"/>
    </row>
    <row r="78" spans="2:9" ht="10.5" x14ac:dyDescent="0.2">
      <c r="B78" s="88" t="s">
        <v>1499</v>
      </c>
      <c r="C78" s="83" t="s">
        <v>1517</v>
      </c>
      <c r="D78" s="83" t="s">
        <v>1500</v>
      </c>
    </row>
    <row r="79" spans="2:9" x14ac:dyDescent="0.2">
      <c r="B79" s="85" t="s">
        <v>1501</v>
      </c>
      <c r="C79" s="132">
        <v>8.9727999999999994</v>
      </c>
      <c r="D79" s="89">
        <v>10.37</v>
      </c>
    </row>
    <row r="80" spans="2:9" ht="10.5" x14ac:dyDescent="0.2">
      <c r="B80" s="70"/>
    </row>
    <row r="81" spans="2:2" x14ac:dyDescent="0.2">
      <c r="B81" s="81" t="s">
        <v>1543</v>
      </c>
    </row>
    <row r="82" spans="2:2" x14ac:dyDescent="0.2">
      <c r="B82" s="81" t="s">
        <v>1544</v>
      </c>
    </row>
    <row r="83" spans="2:2" x14ac:dyDescent="0.2">
      <c r="B83" s="81" t="s">
        <v>1545</v>
      </c>
    </row>
    <row r="84" spans="2:2" x14ac:dyDescent="0.2">
      <c r="B84" s="87" t="s">
        <v>1587</v>
      </c>
    </row>
    <row r="85" spans="2:2" x14ac:dyDescent="0.2">
      <c r="B85" s="81" t="s">
        <v>1546</v>
      </c>
    </row>
    <row r="88" spans="2:2" ht="10.5" x14ac:dyDescent="0.25">
      <c r="B88" s="23" t="s">
        <v>187</v>
      </c>
    </row>
    <row r="104" spans="2:2" ht="10.5" x14ac:dyDescent="0.2">
      <c r="B104" s="70" t="s">
        <v>1482</v>
      </c>
    </row>
    <row r="105" spans="2:2" ht="10.5" x14ac:dyDescent="0.25">
      <c r="B105" s="71" t="s">
        <v>1490</v>
      </c>
    </row>
  </sheetData>
  <mergeCells count="1">
    <mergeCell ref="B1:C1"/>
  </mergeCells>
  <conditionalFormatting sqref="G1:G3 G5:G120">
    <cfRule type="cellIs" dxfId="5" priority="2" stopIfTrue="1" operator="between">
      <formula>0.009</formula>
      <formula>-0.009</formula>
    </cfRule>
  </conditionalFormatting>
  <hyperlinks>
    <hyperlink ref="A2" location="Index!A1" display="-" xr:uid="{EA008264-F94C-4E0D-BD03-93C8157D112C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20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E8E0-AE5A-4295-AE17-8231E67129DD}">
  <dimension ref="A1:I202"/>
  <sheetViews>
    <sheetView view="pageBreakPreview" zoomScale="90" zoomScaleNormal="100" zoomScaleSheetLayoutView="9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20" style="6" customWidth="1"/>
    <col min="4" max="4" width="32.1796875" style="6" bestFit="1" customWidth="1"/>
    <col min="5" max="5" width="13.54296875" style="6" bestFit="1" customWidth="1"/>
    <col min="6" max="6" width="13.1796875" style="8" customWidth="1"/>
    <col min="7" max="7" width="6.7265625" style="15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160" t="s">
        <v>19</v>
      </c>
      <c r="C1" s="161"/>
      <c r="D1" s="10"/>
      <c r="F1" s="5"/>
      <c r="G1" s="15"/>
    </row>
    <row r="2" spans="1:8" s="1" customFormat="1" ht="14.5" x14ac:dyDescent="0.35">
      <c r="A2" s="68" t="s">
        <v>1495</v>
      </c>
      <c r="F2" s="5"/>
      <c r="G2" s="15"/>
    </row>
    <row r="3" spans="1:8" s="1" customFormat="1" ht="11.5" x14ac:dyDescent="0.25">
      <c r="B3" s="7" t="s">
        <v>9</v>
      </c>
      <c r="C3" s="2"/>
      <c r="D3" s="3"/>
      <c r="E3" s="3"/>
      <c r="F3" s="4"/>
      <c r="G3" s="15"/>
    </row>
    <row r="4" spans="1:8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66" t="s">
        <v>6</v>
      </c>
    </row>
    <row r="5" spans="1:8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8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8" x14ac:dyDescent="0.2">
      <c r="B7" s="31" t="s">
        <v>566</v>
      </c>
      <c r="C7" s="31" t="s">
        <v>567</v>
      </c>
      <c r="D7" s="31" t="s">
        <v>79</v>
      </c>
      <c r="E7" s="35">
        <v>25546</v>
      </c>
      <c r="F7" s="32">
        <v>930.00212999999997</v>
      </c>
      <c r="G7" s="33">
        <v>3.8020236382205601</v>
      </c>
      <c r="H7" s="36"/>
    </row>
    <row r="8" spans="1:8" x14ac:dyDescent="0.2">
      <c r="B8" s="31" t="s">
        <v>77</v>
      </c>
      <c r="C8" s="31" t="s">
        <v>78</v>
      </c>
      <c r="D8" s="31" t="s">
        <v>79</v>
      </c>
      <c r="E8" s="35">
        <v>15949</v>
      </c>
      <c r="F8" s="32">
        <v>473.92453499999999</v>
      </c>
      <c r="G8" s="33">
        <v>1.93749264294985</v>
      </c>
      <c r="H8" s="36"/>
    </row>
    <row r="9" spans="1:8" x14ac:dyDescent="0.2">
      <c r="B9" s="31" t="s">
        <v>90</v>
      </c>
      <c r="C9" s="31" t="s">
        <v>91</v>
      </c>
      <c r="D9" s="31" t="s">
        <v>28</v>
      </c>
      <c r="E9" s="35">
        <v>153883</v>
      </c>
      <c r="F9" s="32">
        <v>441.56726850000001</v>
      </c>
      <c r="G9" s="33">
        <v>1.80521005118718</v>
      </c>
      <c r="H9" s="36"/>
    </row>
    <row r="10" spans="1:8" x14ac:dyDescent="0.2">
      <c r="B10" s="31" t="s">
        <v>568</v>
      </c>
      <c r="C10" s="31" t="s">
        <v>569</v>
      </c>
      <c r="D10" s="31" t="s">
        <v>500</v>
      </c>
      <c r="E10" s="35">
        <v>758820</v>
      </c>
      <c r="F10" s="32">
        <v>421.75215600000001</v>
      </c>
      <c r="G10" s="33">
        <v>1.7242021441203399</v>
      </c>
      <c r="H10" s="36"/>
    </row>
    <row r="11" spans="1:8" x14ac:dyDescent="0.2">
      <c r="B11" s="31" t="s">
        <v>112</v>
      </c>
      <c r="C11" s="31" t="s">
        <v>113</v>
      </c>
      <c r="D11" s="31" t="s">
        <v>38</v>
      </c>
      <c r="E11" s="35">
        <v>8115</v>
      </c>
      <c r="F11" s="32">
        <v>413.78384999999997</v>
      </c>
      <c r="G11" s="33">
        <v>1.6916262103764299</v>
      </c>
      <c r="H11" s="36"/>
    </row>
    <row r="12" spans="1:8" x14ac:dyDescent="0.2">
      <c r="B12" s="31" t="s">
        <v>570</v>
      </c>
      <c r="C12" s="31" t="s">
        <v>571</v>
      </c>
      <c r="D12" s="31" t="s">
        <v>28</v>
      </c>
      <c r="E12" s="35">
        <v>41171</v>
      </c>
      <c r="F12" s="32">
        <v>377.14694550000002</v>
      </c>
      <c r="G12" s="33">
        <v>1.5418476534819101</v>
      </c>
      <c r="H12" s="36"/>
    </row>
    <row r="13" spans="1:8" x14ac:dyDescent="0.2">
      <c r="B13" s="31" t="s">
        <v>572</v>
      </c>
      <c r="C13" s="31" t="s">
        <v>573</v>
      </c>
      <c r="D13" s="31" t="s">
        <v>28</v>
      </c>
      <c r="E13" s="35">
        <v>35359</v>
      </c>
      <c r="F13" s="32">
        <v>359.2297605</v>
      </c>
      <c r="G13" s="33">
        <v>1.4685988310298901</v>
      </c>
      <c r="H13" s="36"/>
    </row>
    <row r="14" spans="1:8" x14ac:dyDescent="0.2">
      <c r="B14" s="31" t="s">
        <v>574</v>
      </c>
      <c r="C14" s="31" t="s">
        <v>575</v>
      </c>
      <c r="D14" s="31" t="s">
        <v>576</v>
      </c>
      <c r="E14" s="35">
        <v>21300</v>
      </c>
      <c r="F14" s="32">
        <v>354.9006</v>
      </c>
      <c r="G14" s="33">
        <v>1.450900408603</v>
      </c>
      <c r="H14" s="36"/>
    </row>
    <row r="15" spans="1:8" x14ac:dyDescent="0.2">
      <c r="B15" s="31" t="s">
        <v>577</v>
      </c>
      <c r="C15" s="31" t="s">
        <v>578</v>
      </c>
      <c r="D15" s="31" t="s">
        <v>94</v>
      </c>
      <c r="E15" s="35">
        <v>15162</v>
      </c>
      <c r="F15" s="32">
        <v>349.51442400000002</v>
      </c>
      <c r="G15" s="33">
        <v>1.42888070799047</v>
      </c>
      <c r="H15" s="36"/>
    </row>
    <row r="16" spans="1:8" x14ac:dyDescent="0.2">
      <c r="B16" s="31" t="s">
        <v>579</v>
      </c>
      <c r="C16" s="31" t="s">
        <v>580</v>
      </c>
      <c r="D16" s="31" t="s">
        <v>500</v>
      </c>
      <c r="E16" s="35">
        <v>7746</v>
      </c>
      <c r="F16" s="32">
        <v>345.95185199999997</v>
      </c>
      <c r="G16" s="33">
        <v>1.4143162435447101</v>
      </c>
      <c r="H16" s="36"/>
    </row>
    <row r="17" spans="2:8" x14ac:dyDescent="0.2">
      <c r="B17" s="31" t="s">
        <v>581</v>
      </c>
      <c r="C17" s="31" t="s">
        <v>582</v>
      </c>
      <c r="D17" s="31" t="s">
        <v>33</v>
      </c>
      <c r="E17" s="35">
        <v>80916</v>
      </c>
      <c r="F17" s="32">
        <v>331.71514200000001</v>
      </c>
      <c r="G17" s="33">
        <v>1.3561138951796701</v>
      </c>
      <c r="H17" s="36"/>
    </row>
    <row r="18" spans="2:8" x14ac:dyDescent="0.2">
      <c r="B18" s="31" t="s">
        <v>583</v>
      </c>
      <c r="C18" s="31" t="s">
        <v>584</v>
      </c>
      <c r="D18" s="31" t="s">
        <v>50</v>
      </c>
      <c r="E18" s="35">
        <v>6802</v>
      </c>
      <c r="F18" s="32">
        <v>326.49599999999998</v>
      </c>
      <c r="G18" s="33">
        <v>1.3347770609777601</v>
      </c>
      <c r="H18" s="36"/>
    </row>
    <row r="19" spans="2:8" x14ac:dyDescent="0.2">
      <c r="B19" s="31" t="s">
        <v>585</v>
      </c>
      <c r="C19" s="31" t="s">
        <v>586</v>
      </c>
      <c r="D19" s="31" t="s">
        <v>500</v>
      </c>
      <c r="E19" s="35">
        <v>91255</v>
      </c>
      <c r="F19" s="32">
        <v>321.5917455</v>
      </c>
      <c r="G19" s="33">
        <v>1.3147275461053101</v>
      </c>
      <c r="H19" s="36"/>
    </row>
    <row r="20" spans="2:8" x14ac:dyDescent="0.2">
      <c r="B20" s="31" t="s">
        <v>587</v>
      </c>
      <c r="C20" s="31" t="s">
        <v>588</v>
      </c>
      <c r="D20" s="31" t="s">
        <v>67</v>
      </c>
      <c r="E20" s="35">
        <v>16664</v>
      </c>
      <c r="F20" s="32">
        <v>313.549824</v>
      </c>
      <c r="G20" s="33">
        <v>1.28185065835053</v>
      </c>
      <c r="H20" s="36"/>
    </row>
    <row r="21" spans="2:8" x14ac:dyDescent="0.2">
      <c r="B21" s="31" t="s">
        <v>589</v>
      </c>
      <c r="C21" s="31" t="s">
        <v>590</v>
      </c>
      <c r="D21" s="31" t="s">
        <v>458</v>
      </c>
      <c r="E21" s="35">
        <v>32578</v>
      </c>
      <c r="F21" s="32">
        <v>300.678651</v>
      </c>
      <c r="G21" s="33">
        <v>1.2292308820951501</v>
      </c>
      <c r="H21" s="36"/>
    </row>
    <row r="22" spans="2:8" x14ac:dyDescent="0.2">
      <c r="B22" s="31" t="s">
        <v>137</v>
      </c>
      <c r="C22" s="31" t="s">
        <v>138</v>
      </c>
      <c r="D22" s="31" t="s">
        <v>58</v>
      </c>
      <c r="E22" s="35">
        <v>178865</v>
      </c>
      <c r="F22" s="32">
        <v>289.9222785</v>
      </c>
      <c r="G22" s="33">
        <v>1.18525680807179</v>
      </c>
      <c r="H22" s="36"/>
    </row>
    <row r="23" spans="2:8" x14ac:dyDescent="0.2">
      <c r="B23" s="31" t="s">
        <v>591</v>
      </c>
      <c r="C23" s="31" t="s">
        <v>592</v>
      </c>
      <c r="D23" s="31" t="s">
        <v>28</v>
      </c>
      <c r="E23" s="35">
        <v>414120</v>
      </c>
      <c r="F23" s="32">
        <v>288.393168</v>
      </c>
      <c r="G23" s="33">
        <v>1.17900551672641</v>
      </c>
      <c r="H23" s="36"/>
    </row>
    <row r="24" spans="2:8" x14ac:dyDescent="0.2">
      <c r="B24" s="31" t="s">
        <v>593</v>
      </c>
      <c r="C24" s="31" t="s">
        <v>594</v>
      </c>
      <c r="D24" s="31" t="s">
        <v>576</v>
      </c>
      <c r="E24" s="35">
        <v>26292</v>
      </c>
      <c r="F24" s="32">
        <v>288.10773599999999</v>
      </c>
      <c r="G24" s="33">
        <v>1.1778386170214601</v>
      </c>
      <c r="H24" s="36"/>
    </row>
    <row r="25" spans="2:8" x14ac:dyDescent="0.2">
      <c r="B25" s="31" t="s">
        <v>595</v>
      </c>
      <c r="C25" s="31" t="s">
        <v>596</v>
      </c>
      <c r="D25" s="31" t="s">
        <v>87</v>
      </c>
      <c r="E25" s="35">
        <v>2579</v>
      </c>
      <c r="F25" s="32">
        <v>287.98403500000001</v>
      </c>
      <c r="G25" s="33">
        <v>1.1773329040656499</v>
      </c>
      <c r="H25" s="36"/>
    </row>
    <row r="26" spans="2:8" x14ac:dyDescent="0.2">
      <c r="B26" s="31" t="s">
        <v>161</v>
      </c>
      <c r="C26" s="31" t="s">
        <v>162</v>
      </c>
      <c r="D26" s="31" t="s">
        <v>94</v>
      </c>
      <c r="E26" s="35">
        <v>24323</v>
      </c>
      <c r="F26" s="32">
        <v>267.78406849999999</v>
      </c>
      <c r="G26" s="33">
        <v>1.0947516414568601</v>
      </c>
      <c r="H26" s="36"/>
    </row>
    <row r="27" spans="2:8" x14ac:dyDescent="0.2">
      <c r="B27" s="31" t="s">
        <v>597</v>
      </c>
      <c r="C27" s="31" t="s">
        <v>598</v>
      </c>
      <c r="D27" s="31" t="s">
        <v>486</v>
      </c>
      <c r="E27" s="35">
        <v>3299</v>
      </c>
      <c r="F27" s="32">
        <v>267.56539500000002</v>
      </c>
      <c r="G27" s="33">
        <v>1.0938576630569901</v>
      </c>
      <c r="H27" s="36"/>
    </row>
    <row r="28" spans="2:8" x14ac:dyDescent="0.2">
      <c r="B28" s="31" t="s">
        <v>599</v>
      </c>
      <c r="C28" s="31" t="s">
        <v>600</v>
      </c>
      <c r="D28" s="31" t="s">
        <v>100</v>
      </c>
      <c r="E28" s="35">
        <v>15162</v>
      </c>
      <c r="F28" s="32">
        <v>267.33638400000001</v>
      </c>
      <c r="G28" s="33">
        <v>1.09292142301266</v>
      </c>
      <c r="H28" s="36"/>
    </row>
    <row r="29" spans="2:8" x14ac:dyDescent="0.2">
      <c r="B29" s="31" t="s">
        <v>601</v>
      </c>
      <c r="C29" s="31" t="s">
        <v>602</v>
      </c>
      <c r="D29" s="31" t="s">
        <v>500</v>
      </c>
      <c r="E29" s="35">
        <v>795</v>
      </c>
      <c r="F29" s="32">
        <v>266.72250000000003</v>
      </c>
      <c r="G29" s="33">
        <v>1.0904117497508099</v>
      </c>
      <c r="H29" s="36"/>
    </row>
    <row r="30" spans="2:8" x14ac:dyDescent="0.2">
      <c r="B30" s="31" t="s">
        <v>116</v>
      </c>
      <c r="C30" s="31" t="s">
        <v>117</v>
      </c>
      <c r="D30" s="31" t="s">
        <v>100</v>
      </c>
      <c r="E30" s="35">
        <v>16581</v>
      </c>
      <c r="F30" s="32">
        <v>262.92491699999999</v>
      </c>
      <c r="G30" s="33">
        <v>1.0748865161321499</v>
      </c>
      <c r="H30" s="36"/>
    </row>
    <row r="31" spans="2:8" x14ac:dyDescent="0.2">
      <c r="B31" s="31" t="s">
        <v>603</v>
      </c>
      <c r="C31" s="31" t="s">
        <v>604</v>
      </c>
      <c r="D31" s="31" t="s">
        <v>461</v>
      </c>
      <c r="E31" s="35">
        <v>33085</v>
      </c>
      <c r="F31" s="32">
        <v>256.40875</v>
      </c>
      <c r="G31" s="33">
        <v>1.0482471997634999</v>
      </c>
      <c r="H31" s="36"/>
    </row>
    <row r="32" spans="2:8" x14ac:dyDescent="0.2">
      <c r="B32" s="31" t="s">
        <v>605</v>
      </c>
      <c r="C32" s="31" t="s">
        <v>606</v>
      </c>
      <c r="D32" s="31" t="s">
        <v>50</v>
      </c>
      <c r="E32" s="35">
        <v>20996</v>
      </c>
      <c r="F32" s="32">
        <v>251.09116399999999</v>
      </c>
      <c r="G32" s="33">
        <v>1.0265079079725501</v>
      </c>
      <c r="H32" s="36"/>
    </row>
    <row r="33" spans="2:8" x14ac:dyDescent="0.2">
      <c r="B33" s="31" t="s">
        <v>607</v>
      </c>
      <c r="C33" s="31" t="s">
        <v>608</v>
      </c>
      <c r="D33" s="31" t="s">
        <v>94</v>
      </c>
      <c r="E33" s="35">
        <v>17475</v>
      </c>
      <c r="F33" s="32">
        <v>242.81512499999999</v>
      </c>
      <c r="G33" s="33">
        <v>0.99267390384093002</v>
      </c>
      <c r="H33" s="36"/>
    </row>
    <row r="34" spans="2:8" x14ac:dyDescent="0.2">
      <c r="B34" s="31" t="s">
        <v>609</v>
      </c>
      <c r="C34" s="31" t="s">
        <v>610</v>
      </c>
      <c r="D34" s="31" t="s">
        <v>84</v>
      </c>
      <c r="E34" s="35">
        <v>23888</v>
      </c>
      <c r="F34" s="32">
        <v>232.394408</v>
      </c>
      <c r="G34" s="33">
        <v>0.95007205263742001</v>
      </c>
      <c r="H34" s="36"/>
    </row>
    <row r="35" spans="2:8" x14ac:dyDescent="0.2">
      <c r="B35" s="31" t="s">
        <v>611</v>
      </c>
      <c r="C35" s="31" t="s">
        <v>612</v>
      </c>
      <c r="D35" s="31" t="s">
        <v>84</v>
      </c>
      <c r="E35" s="35">
        <v>85782</v>
      </c>
      <c r="F35" s="32">
        <v>231.86874599999999</v>
      </c>
      <c r="G35" s="33">
        <v>0.94792304750587897</v>
      </c>
      <c r="H35" s="36"/>
    </row>
    <row r="36" spans="2:8" x14ac:dyDescent="0.2">
      <c r="B36" s="31" t="s">
        <v>613</v>
      </c>
      <c r="C36" s="31" t="s">
        <v>614</v>
      </c>
      <c r="D36" s="31" t="s">
        <v>525</v>
      </c>
      <c r="E36" s="35">
        <v>9075</v>
      </c>
      <c r="F36" s="32">
        <v>228.56295</v>
      </c>
      <c r="G36" s="33">
        <v>0.93440833164696502</v>
      </c>
      <c r="H36" s="36"/>
    </row>
    <row r="37" spans="2:8" x14ac:dyDescent="0.2">
      <c r="B37" s="31" t="s">
        <v>615</v>
      </c>
      <c r="C37" s="31" t="s">
        <v>616</v>
      </c>
      <c r="D37" s="31" t="s">
        <v>94</v>
      </c>
      <c r="E37" s="35">
        <v>9413</v>
      </c>
      <c r="F37" s="32">
        <v>226.505019</v>
      </c>
      <c r="G37" s="33">
        <v>0.92599512262794204</v>
      </c>
      <c r="H37" s="36"/>
    </row>
    <row r="38" spans="2:8" x14ac:dyDescent="0.2">
      <c r="B38" s="31" t="s">
        <v>617</v>
      </c>
      <c r="C38" s="31" t="s">
        <v>618</v>
      </c>
      <c r="D38" s="31" t="s">
        <v>84</v>
      </c>
      <c r="E38" s="35">
        <v>85483</v>
      </c>
      <c r="F38" s="32">
        <v>226.32479079999999</v>
      </c>
      <c r="G38" s="33">
        <v>0.92525831584592499</v>
      </c>
      <c r="H38" s="36"/>
    </row>
    <row r="39" spans="2:8" x14ac:dyDescent="0.2">
      <c r="B39" s="31" t="s">
        <v>619</v>
      </c>
      <c r="C39" s="31" t="s">
        <v>620</v>
      </c>
      <c r="D39" s="31" t="s">
        <v>621</v>
      </c>
      <c r="E39" s="35">
        <v>35059</v>
      </c>
      <c r="F39" s="32">
        <v>225.02619150000001</v>
      </c>
      <c r="G39" s="33">
        <v>0.919949397644655</v>
      </c>
      <c r="H39" s="36"/>
    </row>
    <row r="40" spans="2:8" x14ac:dyDescent="0.2">
      <c r="B40" s="31" t="s">
        <v>141</v>
      </c>
      <c r="C40" s="31" t="s">
        <v>142</v>
      </c>
      <c r="D40" s="31" t="s">
        <v>44</v>
      </c>
      <c r="E40" s="35">
        <v>60033</v>
      </c>
      <c r="F40" s="32">
        <v>224.8536015</v>
      </c>
      <c r="G40" s="33">
        <v>0.91924381726096205</v>
      </c>
      <c r="H40" s="36"/>
    </row>
    <row r="41" spans="2:8" x14ac:dyDescent="0.2">
      <c r="B41" s="31" t="s">
        <v>622</v>
      </c>
      <c r="C41" s="31" t="s">
        <v>623</v>
      </c>
      <c r="D41" s="31" t="s">
        <v>435</v>
      </c>
      <c r="E41" s="35">
        <v>56060</v>
      </c>
      <c r="F41" s="32">
        <v>223.84757999999999</v>
      </c>
      <c r="G41" s="33">
        <v>0.91513101213915304</v>
      </c>
      <c r="H41" s="36"/>
    </row>
    <row r="42" spans="2:8" x14ac:dyDescent="0.2">
      <c r="B42" s="31" t="s">
        <v>114</v>
      </c>
      <c r="C42" s="31" t="s">
        <v>115</v>
      </c>
      <c r="D42" s="31" t="s">
        <v>28</v>
      </c>
      <c r="E42" s="35">
        <v>1097811</v>
      </c>
      <c r="F42" s="32">
        <v>218.79373229999999</v>
      </c>
      <c r="G42" s="33">
        <v>0.89446993212703796</v>
      </c>
      <c r="H42" s="36"/>
    </row>
    <row r="43" spans="2:8" x14ac:dyDescent="0.2">
      <c r="B43" s="31" t="s">
        <v>624</v>
      </c>
      <c r="C43" s="31" t="s">
        <v>625</v>
      </c>
      <c r="D43" s="31" t="s">
        <v>486</v>
      </c>
      <c r="E43" s="35">
        <v>11372</v>
      </c>
      <c r="F43" s="32">
        <v>216.63659999999999</v>
      </c>
      <c r="G43" s="33">
        <v>0.88565116953413003</v>
      </c>
      <c r="H43" s="36"/>
    </row>
    <row r="44" spans="2:8" x14ac:dyDescent="0.2">
      <c r="B44" s="31" t="s">
        <v>626</v>
      </c>
      <c r="C44" s="31" t="s">
        <v>627</v>
      </c>
      <c r="D44" s="31" t="s">
        <v>442</v>
      </c>
      <c r="E44" s="35">
        <v>223068</v>
      </c>
      <c r="F44" s="32">
        <v>215.10447239999999</v>
      </c>
      <c r="G44" s="33">
        <v>0.87938754371644501</v>
      </c>
      <c r="H44" s="36"/>
    </row>
    <row r="45" spans="2:8" x14ac:dyDescent="0.2">
      <c r="B45" s="31" t="s">
        <v>628</v>
      </c>
      <c r="C45" s="31" t="s">
        <v>629</v>
      </c>
      <c r="D45" s="31" t="s">
        <v>47</v>
      </c>
      <c r="E45" s="35">
        <v>11883</v>
      </c>
      <c r="F45" s="32">
        <v>206.28888000000001</v>
      </c>
      <c r="G45" s="33">
        <v>0.84334774379715105</v>
      </c>
      <c r="H45" s="36"/>
    </row>
    <row r="46" spans="2:8" x14ac:dyDescent="0.2">
      <c r="B46" s="31" t="s">
        <v>630</v>
      </c>
      <c r="C46" s="31" t="s">
        <v>631</v>
      </c>
      <c r="D46" s="31" t="s">
        <v>534</v>
      </c>
      <c r="E46" s="35">
        <v>11667</v>
      </c>
      <c r="F46" s="32">
        <v>205.92255</v>
      </c>
      <c r="G46" s="33">
        <v>0.84185011785150998</v>
      </c>
      <c r="H46" s="36"/>
    </row>
    <row r="47" spans="2:8" x14ac:dyDescent="0.2">
      <c r="B47" s="31" t="s">
        <v>632</v>
      </c>
      <c r="C47" s="31" t="s">
        <v>633</v>
      </c>
      <c r="D47" s="31" t="s">
        <v>87</v>
      </c>
      <c r="E47" s="35">
        <v>14243</v>
      </c>
      <c r="F47" s="32">
        <v>203.73187200000001</v>
      </c>
      <c r="G47" s="33">
        <v>0.83289421412715003</v>
      </c>
      <c r="H47" s="36"/>
    </row>
    <row r="48" spans="2:8" x14ac:dyDescent="0.2">
      <c r="B48" s="31" t="s">
        <v>634</v>
      </c>
      <c r="C48" s="31" t="s">
        <v>635</v>
      </c>
      <c r="D48" s="31" t="s">
        <v>94</v>
      </c>
      <c r="E48" s="35">
        <v>3658</v>
      </c>
      <c r="F48" s="32">
        <v>197.53200000000001</v>
      </c>
      <c r="G48" s="33">
        <v>0.80754797121269295</v>
      </c>
      <c r="H48" s="36"/>
    </row>
    <row r="49" spans="2:8" x14ac:dyDescent="0.2">
      <c r="B49" s="31" t="s">
        <v>636</v>
      </c>
      <c r="C49" s="31" t="s">
        <v>637</v>
      </c>
      <c r="D49" s="31" t="s">
        <v>67</v>
      </c>
      <c r="E49" s="35">
        <v>6679</v>
      </c>
      <c r="F49" s="32">
        <v>196.890241</v>
      </c>
      <c r="G49" s="33">
        <v>0.804924339707634</v>
      </c>
      <c r="H49" s="36"/>
    </row>
    <row r="50" spans="2:8" x14ac:dyDescent="0.2">
      <c r="B50" s="31" t="s">
        <v>638</v>
      </c>
      <c r="C50" s="31" t="s">
        <v>639</v>
      </c>
      <c r="D50" s="31" t="s">
        <v>87</v>
      </c>
      <c r="E50" s="35">
        <v>15767</v>
      </c>
      <c r="F50" s="32">
        <v>195.605402</v>
      </c>
      <c r="G50" s="33">
        <v>0.79967167620103696</v>
      </c>
      <c r="H50" s="36"/>
    </row>
    <row r="51" spans="2:8" x14ac:dyDescent="0.2">
      <c r="B51" s="31" t="s">
        <v>640</v>
      </c>
      <c r="C51" s="31" t="s">
        <v>641</v>
      </c>
      <c r="D51" s="31" t="s">
        <v>642</v>
      </c>
      <c r="E51" s="35">
        <v>216074</v>
      </c>
      <c r="F51" s="32">
        <v>195.26607379999999</v>
      </c>
      <c r="G51" s="33">
        <v>0.798284438692759</v>
      </c>
      <c r="H51" s="36"/>
    </row>
    <row r="52" spans="2:8" x14ac:dyDescent="0.2">
      <c r="B52" s="31" t="s">
        <v>643</v>
      </c>
      <c r="C52" s="31" t="s">
        <v>644</v>
      </c>
      <c r="D52" s="31" t="s">
        <v>165</v>
      </c>
      <c r="E52" s="35">
        <v>4305</v>
      </c>
      <c r="F52" s="32">
        <v>195.22314</v>
      </c>
      <c r="G52" s="33">
        <v>0.798108917242632</v>
      </c>
      <c r="H52" s="36"/>
    </row>
    <row r="53" spans="2:8" x14ac:dyDescent="0.2">
      <c r="B53" s="31" t="s">
        <v>645</v>
      </c>
      <c r="C53" s="31" t="s">
        <v>646</v>
      </c>
      <c r="D53" s="31" t="s">
        <v>47</v>
      </c>
      <c r="E53" s="35">
        <v>33697</v>
      </c>
      <c r="F53" s="32">
        <v>189.09071549999999</v>
      </c>
      <c r="G53" s="33">
        <v>0.77303841239486104</v>
      </c>
      <c r="H53" s="36"/>
    </row>
    <row r="54" spans="2:8" x14ac:dyDescent="0.2">
      <c r="B54" s="31" t="s">
        <v>647</v>
      </c>
      <c r="C54" s="31" t="s">
        <v>648</v>
      </c>
      <c r="D54" s="31" t="s">
        <v>50</v>
      </c>
      <c r="E54" s="35">
        <v>8273</v>
      </c>
      <c r="F54" s="32">
        <v>188.35139100000001</v>
      </c>
      <c r="G54" s="33">
        <v>0.77001591477400499</v>
      </c>
      <c r="H54" s="36"/>
    </row>
    <row r="55" spans="2:8" x14ac:dyDescent="0.2">
      <c r="B55" s="31" t="s">
        <v>649</v>
      </c>
      <c r="C55" s="31" t="s">
        <v>650</v>
      </c>
      <c r="D55" s="31" t="s">
        <v>28</v>
      </c>
      <c r="E55" s="35">
        <v>22092</v>
      </c>
      <c r="F55" s="32">
        <v>188.19070199999999</v>
      </c>
      <c r="G55" s="33">
        <v>0.76935898791685697</v>
      </c>
      <c r="H55" s="36"/>
    </row>
    <row r="56" spans="2:8" x14ac:dyDescent="0.2">
      <c r="B56" s="31" t="s">
        <v>651</v>
      </c>
      <c r="C56" s="31" t="s">
        <v>652</v>
      </c>
      <c r="D56" s="31" t="s">
        <v>486</v>
      </c>
      <c r="E56" s="35">
        <v>3858</v>
      </c>
      <c r="F56" s="32">
        <v>187.40235000000001</v>
      </c>
      <c r="G56" s="33">
        <v>0.76613605665406703</v>
      </c>
      <c r="H56" s="36"/>
    </row>
    <row r="57" spans="2:8" x14ac:dyDescent="0.2">
      <c r="B57" s="31" t="s">
        <v>653</v>
      </c>
      <c r="C57" s="31" t="s">
        <v>654</v>
      </c>
      <c r="D57" s="31" t="s">
        <v>500</v>
      </c>
      <c r="E57" s="35">
        <v>5990</v>
      </c>
      <c r="F57" s="32">
        <v>186.81612000000001</v>
      </c>
      <c r="G57" s="33">
        <v>0.76373943814585499</v>
      </c>
      <c r="H57" s="36"/>
    </row>
    <row r="58" spans="2:8" x14ac:dyDescent="0.2">
      <c r="B58" s="31" t="s">
        <v>655</v>
      </c>
      <c r="C58" s="31" t="s">
        <v>656</v>
      </c>
      <c r="D58" s="31" t="s">
        <v>165</v>
      </c>
      <c r="E58" s="35">
        <v>51543</v>
      </c>
      <c r="F58" s="32">
        <v>178.081065</v>
      </c>
      <c r="G58" s="33">
        <v>0.72802889026661899</v>
      </c>
      <c r="H58" s="36"/>
    </row>
    <row r="59" spans="2:8" x14ac:dyDescent="0.2">
      <c r="B59" s="31" t="s">
        <v>657</v>
      </c>
      <c r="C59" s="31" t="s">
        <v>658</v>
      </c>
      <c r="D59" s="31" t="s">
        <v>33</v>
      </c>
      <c r="E59" s="35">
        <v>1726001</v>
      </c>
      <c r="F59" s="32">
        <v>176.39730220000001</v>
      </c>
      <c r="G59" s="33">
        <v>0.72114535122918</v>
      </c>
      <c r="H59" s="36"/>
    </row>
    <row r="60" spans="2:8" x14ac:dyDescent="0.2">
      <c r="B60" s="31" t="s">
        <v>659</v>
      </c>
      <c r="C60" s="31" t="s">
        <v>660</v>
      </c>
      <c r="D60" s="31" t="s">
        <v>522</v>
      </c>
      <c r="E60" s="35">
        <v>8233</v>
      </c>
      <c r="F60" s="32">
        <v>172.58014600000001</v>
      </c>
      <c r="G60" s="33">
        <v>0.70554009868725298</v>
      </c>
      <c r="H60" s="36"/>
    </row>
    <row r="61" spans="2:8" x14ac:dyDescent="0.2">
      <c r="B61" s="31" t="s">
        <v>661</v>
      </c>
      <c r="C61" s="31" t="s">
        <v>662</v>
      </c>
      <c r="D61" s="31" t="s">
        <v>534</v>
      </c>
      <c r="E61" s="35">
        <v>9303</v>
      </c>
      <c r="F61" s="32">
        <v>170.728656</v>
      </c>
      <c r="G61" s="33">
        <v>0.69797085930720004</v>
      </c>
      <c r="H61" s="36"/>
    </row>
    <row r="62" spans="2:8" x14ac:dyDescent="0.2">
      <c r="B62" s="31" t="s">
        <v>663</v>
      </c>
      <c r="C62" s="31" t="s">
        <v>664</v>
      </c>
      <c r="D62" s="31" t="s">
        <v>79</v>
      </c>
      <c r="E62" s="35">
        <v>16243</v>
      </c>
      <c r="F62" s="32">
        <v>168.0581995</v>
      </c>
      <c r="G62" s="33">
        <v>0.68705353082985599</v>
      </c>
      <c r="H62" s="36"/>
    </row>
    <row r="63" spans="2:8" x14ac:dyDescent="0.2">
      <c r="B63" s="31" t="s">
        <v>665</v>
      </c>
      <c r="C63" s="31" t="s">
        <v>666</v>
      </c>
      <c r="D63" s="31" t="s">
        <v>131</v>
      </c>
      <c r="E63" s="35">
        <v>4894</v>
      </c>
      <c r="F63" s="32">
        <v>167.52651399999999</v>
      </c>
      <c r="G63" s="33">
        <v>0.68487990049731096</v>
      </c>
      <c r="H63" s="36"/>
    </row>
    <row r="64" spans="2:8" x14ac:dyDescent="0.2">
      <c r="B64" s="31" t="s">
        <v>667</v>
      </c>
      <c r="C64" s="31" t="s">
        <v>668</v>
      </c>
      <c r="D64" s="31" t="s">
        <v>97</v>
      </c>
      <c r="E64" s="35">
        <v>34097</v>
      </c>
      <c r="F64" s="32">
        <v>167.34807599999999</v>
      </c>
      <c r="G64" s="33">
        <v>0.68415041238962604</v>
      </c>
      <c r="H64" s="36"/>
    </row>
    <row r="65" spans="2:8" x14ac:dyDescent="0.2">
      <c r="B65" s="31" t="s">
        <v>145</v>
      </c>
      <c r="C65" s="31" t="s">
        <v>146</v>
      </c>
      <c r="D65" s="31" t="s">
        <v>64</v>
      </c>
      <c r="E65" s="35">
        <v>90376</v>
      </c>
      <c r="F65" s="32">
        <v>166.85217119999999</v>
      </c>
      <c r="G65" s="33">
        <v>0.68212306028892999</v>
      </c>
      <c r="H65" s="36"/>
    </row>
    <row r="66" spans="2:8" x14ac:dyDescent="0.2">
      <c r="B66" s="31" t="s">
        <v>153</v>
      </c>
      <c r="C66" s="31" t="s">
        <v>154</v>
      </c>
      <c r="D66" s="31" t="s">
        <v>67</v>
      </c>
      <c r="E66" s="35">
        <v>127</v>
      </c>
      <c r="F66" s="32">
        <v>164.73169999999999</v>
      </c>
      <c r="G66" s="33">
        <v>0.67345417516867201</v>
      </c>
      <c r="H66" s="36"/>
    </row>
    <row r="67" spans="2:8" x14ac:dyDescent="0.2">
      <c r="B67" s="31" t="s">
        <v>669</v>
      </c>
      <c r="C67" s="31" t="s">
        <v>670</v>
      </c>
      <c r="D67" s="31" t="s">
        <v>47</v>
      </c>
      <c r="E67" s="35">
        <v>197766</v>
      </c>
      <c r="F67" s="32">
        <v>164.541312</v>
      </c>
      <c r="G67" s="33">
        <v>0.67267583321322499</v>
      </c>
      <c r="H67" s="36"/>
    </row>
    <row r="68" spans="2:8" x14ac:dyDescent="0.2">
      <c r="B68" s="31" t="s">
        <v>671</v>
      </c>
      <c r="C68" s="31" t="s">
        <v>672</v>
      </c>
      <c r="D68" s="31" t="s">
        <v>522</v>
      </c>
      <c r="E68" s="35">
        <v>36912</v>
      </c>
      <c r="F68" s="32">
        <v>162.96647999999999</v>
      </c>
      <c r="G68" s="33">
        <v>0.66623762377576301</v>
      </c>
      <c r="H68" s="36"/>
    </row>
    <row r="69" spans="2:8" x14ac:dyDescent="0.2">
      <c r="B69" s="31" t="s">
        <v>673</v>
      </c>
      <c r="C69" s="31" t="s">
        <v>674</v>
      </c>
      <c r="D69" s="31" t="s">
        <v>84</v>
      </c>
      <c r="E69" s="35">
        <v>133168</v>
      </c>
      <c r="F69" s="32">
        <v>162.85114720000001</v>
      </c>
      <c r="G69" s="33">
        <v>0.66576612159558801</v>
      </c>
      <c r="H69" s="36"/>
    </row>
    <row r="70" spans="2:8" x14ac:dyDescent="0.2">
      <c r="B70" s="31" t="s">
        <v>675</v>
      </c>
      <c r="C70" s="31" t="s">
        <v>676</v>
      </c>
      <c r="D70" s="31" t="s">
        <v>94</v>
      </c>
      <c r="E70" s="35">
        <v>44616</v>
      </c>
      <c r="F70" s="32">
        <v>160.461444</v>
      </c>
      <c r="G70" s="33">
        <v>0.65599656541754903</v>
      </c>
      <c r="H70" s="36"/>
    </row>
    <row r="71" spans="2:8" x14ac:dyDescent="0.2">
      <c r="B71" s="31" t="s">
        <v>677</v>
      </c>
      <c r="C71" s="31" t="s">
        <v>678</v>
      </c>
      <c r="D71" s="31" t="s">
        <v>94</v>
      </c>
      <c r="E71" s="35">
        <v>7073</v>
      </c>
      <c r="F71" s="32">
        <v>158.90909099999999</v>
      </c>
      <c r="G71" s="33">
        <v>0.64965025436032298</v>
      </c>
      <c r="H71" s="36"/>
    </row>
    <row r="72" spans="2:8" x14ac:dyDescent="0.2">
      <c r="B72" s="31" t="s">
        <v>679</v>
      </c>
      <c r="C72" s="31" t="s">
        <v>680</v>
      </c>
      <c r="D72" s="31" t="s">
        <v>621</v>
      </c>
      <c r="E72" s="35">
        <v>5064</v>
      </c>
      <c r="F72" s="32">
        <v>154.69507200000001</v>
      </c>
      <c r="G72" s="33">
        <v>0.63242255204322095</v>
      </c>
      <c r="H72" s="36"/>
    </row>
    <row r="73" spans="2:8" x14ac:dyDescent="0.2">
      <c r="B73" s="31" t="s">
        <v>681</v>
      </c>
      <c r="C73" s="31" t="s">
        <v>682</v>
      </c>
      <c r="D73" s="31" t="s">
        <v>64</v>
      </c>
      <c r="E73" s="35">
        <v>19988</v>
      </c>
      <c r="F73" s="32">
        <v>153.387912</v>
      </c>
      <c r="G73" s="33">
        <v>0.62707863609010805</v>
      </c>
      <c r="H73" s="36"/>
    </row>
    <row r="74" spans="2:8" x14ac:dyDescent="0.2">
      <c r="B74" s="31" t="s">
        <v>683</v>
      </c>
      <c r="C74" s="31" t="s">
        <v>684</v>
      </c>
      <c r="D74" s="31" t="s">
        <v>534</v>
      </c>
      <c r="E74" s="35">
        <v>10545</v>
      </c>
      <c r="F74" s="32">
        <v>149.14848000000001</v>
      </c>
      <c r="G74" s="33">
        <v>0.60974704064889196</v>
      </c>
      <c r="H74" s="36"/>
    </row>
    <row r="75" spans="2:8" x14ac:dyDescent="0.2">
      <c r="B75" s="31" t="s">
        <v>685</v>
      </c>
      <c r="C75" s="31" t="s">
        <v>686</v>
      </c>
      <c r="D75" s="31" t="s">
        <v>165</v>
      </c>
      <c r="E75" s="35">
        <v>53263</v>
      </c>
      <c r="F75" s="32">
        <v>148.99258990000001</v>
      </c>
      <c r="G75" s="33">
        <v>0.60910973259760404</v>
      </c>
      <c r="H75" s="36"/>
    </row>
    <row r="76" spans="2:8" x14ac:dyDescent="0.2">
      <c r="B76" s="31" t="s">
        <v>687</v>
      </c>
      <c r="C76" s="31" t="s">
        <v>688</v>
      </c>
      <c r="D76" s="31" t="s">
        <v>621</v>
      </c>
      <c r="E76" s="35">
        <v>7390</v>
      </c>
      <c r="F76" s="32">
        <v>146.44763</v>
      </c>
      <c r="G76" s="33">
        <v>0.59870545782661599</v>
      </c>
      <c r="H76" s="36"/>
    </row>
    <row r="77" spans="2:8" x14ac:dyDescent="0.2">
      <c r="B77" s="31" t="s">
        <v>689</v>
      </c>
      <c r="C77" s="31" t="s">
        <v>690</v>
      </c>
      <c r="D77" s="31" t="s">
        <v>486</v>
      </c>
      <c r="E77" s="35">
        <v>4026</v>
      </c>
      <c r="F77" s="32">
        <v>145.845876</v>
      </c>
      <c r="G77" s="33">
        <v>0.59624537428638402</v>
      </c>
      <c r="H77" s="36"/>
    </row>
    <row r="78" spans="2:8" x14ac:dyDescent="0.2">
      <c r="B78" s="31" t="s">
        <v>691</v>
      </c>
      <c r="C78" s="31" t="s">
        <v>692</v>
      </c>
      <c r="D78" s="31" t="s">
        <v>693</v>
      </c>
      <c r="E78" s="35">
        <v>394</v>
      </c>
      <c r="F78" s="32">
        <v>144.93289999999999</v>
      </c>
      <c r="G78" s="33">
        <v>0.59251295667017101</v>
      </c>
      <c r="H78" s="36"/>
    </row>
    <row r="79" spans="2:8" x14ac:dyDescent="0.2">
      <c r="B79" s="31" t="s">
        <v>168</v>
      </c>
      <c r="C79" s="31" t="s">
        <v>169</v>
      </c>
      <c r="D79" s="31" t="s">
        <v>50</v>
      </c>
      <c r="E79" s="35">
        <v>1489</v>
      </c>
      <c r="F79" s="32">
        <v>144.827585</v>
      </c>
      <c r="G79" s="33">
        <v>0.59208240914071597</v>
      </c>
      <c r="H79" s="36"/>
    </row>
    <row r="80" spans="2:8" x14ac:dyDescent="0.2">
      <c r="B80" s="31" t="s">
        <v>694</v>
      </c>
      <c r="C80" s="31" t="s">
        <v>695</v>
      </c>
      <c r="D80" s="31" t="s">
        <v>87</v>
      </c>
      <c r="E80" s="35">
        <v>8110</v>
      </c>
      <c r="F80" s="32">
        <v>144.4391</v>
      </c>
      <c r="G80" s="33">
        <v>0.59049420938778197</v>
      </c>
      <c r="H80" s="36"/>
    </row>
    <row r="81" spans="2:8" x14ac:dyDescent="0.2">
      <c r="B81" s="31" t="s">
        <v>696</v>
      </c>
      <c r="C81" s="31" t="s">
        <v>697</v>
      </c>
      <c r="D81" s="31" t="s">
        <v>642</v>
      </c>
      <c r="E81" s="35">
        <v>7881</v>
      </c>
      <c r="F81" s="32">
        <v>139.05236400000001</v>
      </c>
      <c r="G81" s="33">
        <v>0.56847221938991599</v>
      </c>
      <c r="H81" s="36"/>
    </row>
    <row r="82" spans="2:8" x14ac:dyDescent="0.2">
      <c r="B82" s="31" t="s">
        <v>698</v>
      </c>
      <c r="C82" s="31" t="s">
        <v>699</v>
      </c>
      <c r="D82" s="31" t="s">
        <v>122</v>
      </c>
      <c r="E82" s="35">
        <v>2616</v>
      </c>
      <c r="F82" s="32">
        <v>138.30792</v>
      </c>
      <c r="G82" s="33">
        <v>0.56542879229009702</v>
      </c>
      <c r="H82" s="36"/>
    </row>
    <row r="83" spans="2:8" x14ac:dyDescent="0.2">
      <c r="B83" s="31" t="s">
        <v>125</v>
      </c>
      <c r="C83" s="31" t="s">
        <v>126</v>
      </c>
      <c r="D83" s="31" t="s">
        <v>94</v>
      </c>
      <c r="E83" s="35">
        <v>8682</v>
      </c>
      <c r="F83" s="32">
        <v>132.91273799999999</v>
      </c>
      <c r="G83" s="33">
        <v>0.54337227345556305</v>
      </c>
      <c r="H83" s="36"/>
    </row>
    <row r="84" spans="2:8" x14ac:dyDescent="0.2">
      <c r="B84" s="31" t="s">
        <v>700</v>
      </c>
      <c r="C84" s="31" t="s">
        <v>701</v>
      </c>
      <c r="D84" s="31" t="s">
        <v>500</v>
      </c>
      <c r="E84" s="35">
        <v>1056</v>
      </c>
      <c r="F84" s="32">
        <v>130.21536</v>
      </c>
      <c r="G84" s="33">
        <v>0.53234488482236098</v>
      </c>
      <c r="H84" s="36"/>
    </row>
    <row r="85" spans="2:8" x14ac:dyDescent="0.2">
      <c r="B85" s="31" t="s">
        <v>702</v>
      </c>
      <c r="C85" s="31" t="s">
        <v>703</v>
      </c>
      <c r="D85" s="31" t="s">
        <v>517</v>
      </c>
      <c r="E85" s="35">
        <v>46847</v>
      </c>
      <c r="F85" s="32">
        <v>129.6537572</v>
      </c>
      <c r="G85" s="33">
        <v>0.530048946940056</v>
      </c>
      <c r="H85" s="36"/>
    </row>
    <row r="86" spans="2:8" x14ac:dyDescent="0.2">
      <c r="B86" s="31" t="s">
        <v>163</v>
      </c>
      <c r="C86" s="31" t="s">
        <v>164</v>
      </c>
      <c r="D86" s="31" t="s">
        <v>165</v>
      </c>
      <c r="E86" s="35">
        <v>41362</v>
      </c>
      <c r="F86" s="32">
        <v>128.51173399999999</v>
      </c>
      <c r="G86" s="33">
        <v>0.52538014128710997</v>
      </c>
      <c r="H86" s="36"/>
    </row>
    <row r="87" spans="2:8" x14ac:dyDescent="0.2">
      <c r="B87" s="31" t="s">
        <v>704</v>
      </c>
      <c r="C87" s="31" t="s">
        <v>705</v>
      </c>
      <c r="D87" s="31" t="s">
        <v>100</v>
      </c>
      <c r="E87" s="35">
        <v>24636</v>
      </c>
      <c r="F87" s="32">
        <v>126.59208599999999</v>
      </c>
      <c r="G87" s="33">
        <v>0.51753225918272905</v>
      </c>
      <c r="H87" s="36"/>
    </row>
    <row r="88" spans="2:8" x14ac:dyDescent="0.2">
      <c r="B88" s="31" t="s">
        <v>706</v>
      </c>
      <c r="C88" s="31" t="s">
        <v>707</v>
      </c>
      <c r="D88" s="31" t="s">
        <v>67</v>
      </c>
      <c r="E88" s="35">
        <v>11356</v>
      </c>
      <c r="F88" s="32">
        <v>126.3355</v>
      </c>
      <c r="G88" s="33">
        <v>0.51648328735162496</v>
      </c>
      <c r="H88" s="36"/>
    </row>
    <row r="89" spans="2:8" x14ac:dyDescent="0.2">
      <c r="B89" s="31" t="s">
        <v>708</v>
      </c>
      <c r="C89" s="31" t="s">
        <v>709</v>
      </c>
      <c r="D89" s="31" t="s">
        <v>534</v>
      </c>
      <c r="E89" s="35">
        <v>7358</v>
      </c>
      <c r="F89" s="32">
        <v>122.84916800000001</v>
      </c>
      <c r="G89" s="33">
        <v>0.50223050636639799</v>
      </c>
      <c r="H89" s="36"/>
    </row>
    <row r="90" spans="2:8" x14ac:dyDescent="0.2">
      <c r="B90" s="31" t="s">
        <v>710</v>
      </c>
      <c r="C90" s="31" t="s">
        <v>711</v>
      </c>
      <c r="D90" s="31" t="s">
        <v>165</v>
      </c>
      <c r="E90" s="35">
        <v>18741</v>
      </c>
      <c r="F90" s="32">
        <v>120.673299</v>
      </c>
      <c r="G90" s="33">
        <v>0.49333514461956901</v>
      </c>
      <c r="H90" s="36"/>
    </row>
    <row r="91" spans="2:8" x14ac:dyDescent="0.2">
      <c r="B91" s="31" t="s">
        <v>712</v>
      </c>
      <c r="C91" s="31" t="s">
        <v>713</v>
      </c>
      <c r="D91" s="31" t="s">
        <v>497</v>
      </c>
      <c r="E91" s="35">
        <v>24471</v>
      </c>
      <c r="F91" s="32">
        <v>117.118206</v>
      </c>
      <c r="G91" s="33">
        <v>0.47880125573259202</v>
      </c>
      <c r="H91" s="36"/>
    </row>
    <row r="92" spans="2:8" x14ac:dyDescent="0.2">
      <c r="B92" s="31" t="s">
        <v>714</v>
      </c>
      <c r="C92" s="31" t="s">
        <v>715</v>
      </c>
      <c r="D92" s="31" t="s">
        <v>486</v>
      </c>
      <c r="E92" s="35">
        <v>7652</v>
      </c>
      <c r="F92" s="32">
        <v>117.052644</v>
      </c>
      <c r="G92" s="33">
        <v>0.47853322594456399</v>
      </c>
      <c r="H92" s="36"/>
    </row>
    <row r="93" spans="2:8" x14ac:dyDescent="0.2">
      <c r="B93" s="31" t="s">
        <v>716</v>
      </c>
      <c r="C93" s="31" t="s">
        <v>717</v>
      </c>
      <c r="D93" s="31" t="s">
        <v>33</v>
      </c>
      <c r="E93" s="35">
        <v>7342</v>
      </c>
      <c r="F93" s="32">
        <v>116.04031000000001</v>
      </c>
      <c r="G93" s="33">
        <v>0.47439461413539102</v>
      </c>
      <c r="H93" s="36"/>
    </row>
    <row r="94" spans="2:8" x14ac:dyDescent="0.2">
      <c r="B94" s="31" t="s">
        <v>718</v>
      </c>
      <c r="C94" s="31" t="s">
        <v>719</v>
      </c>
      <c r="D94" s="31" t="s">
        <v>497</v>
      </c>
      <c r="E94" s="35">
        <v>70045</v>
      </c>
      <c r="F94" s="32">
        <v>112.4712565</v>
      </c>
      <c r="G94" s="33">
        <v>0.45980365209848301</v>
      </c>
      <c r="H94" s="36"/>
    </row>
    <row r="95" spans="2:8" x14ac:dyDescent="0.2">
      <c r="B95" s="31" t="s">
        <v>166</v>
      </c>
      <c r="C95" s="31" t="s">
        <v>167</v>
      </c>
      <c r="D95" s="31" t="s">
        <v>79</v>
      </c>
      <c r="E95" s="35">
        <v>11132</v>
      </c>
      <c r="F95" s="32">
        <v>112.427634</v>
      </c>
      <c r="G95" s="33">
        <v>0.45962531511321297</v>
      </c>
      <c r="H95" s="36"/>
    </row>
    <row r="96" spans="2:8" x14ac:dyDescent="0.2">
      <c r="B96" s="31" t="s">
        <v>110</v>
      </c>
      <c r="C96" s="31" t="s">
        <v>111</v>
      </c>
      <c r="D96" s="31" t="s">
        <v>100</v>
      </c>
      <c r="E96" s="35">
        <v>13877</v>
      </c>
      <c r="F96" s="32">
        <v>110.724583</v>
      </c>
      <c r="G96" s="33">
        <v>0.45266292228611799</v>
      </c>
      <c r="H96" s="36"/>
    </row>
    <row r="97" spans="2:8" x14ac:dyDescent="0.2">
      <c r="B97" s="31" t="s">
        <v>720</v>
      </c>
      <c r="C97" s="31" t="s">
        <v>721</v>
      </c>
      <c r="D97" s="31" t="s">
        <v>517</v>
      </c>
      <c r="E97" s="35">
        <v>17342</v>
      </c>
      <c r="F97" s="32">
        <v>110.06967400000001</v>
      </c>
      <c r="G97" s="33">
        <v>0.44998553110757999</v>
      </c>
      <c r="H97" s="36"/>
    </row>
    <row r="98" spans="2:8" x14ac:dyDescent="0.2">
      <c r="B98" s="31" t="s">
        <v>722</v>
      </c>
      <c r="C98" s="31" t="s">
        <v>723</v>
      </c>
      <c r="D98" s="31" t="s">
        <v>70</v>
      </c>
      <c r="E98" s="35">
        <v>21581</v>
      </c>
      <c r="F98" s="32">
        <v>109.8149185</v>
      </c>
      <c r="G98" s="33">
        <v>0.44894404270478799</v>
      </c>
      <c r="H98" s="36"/>
    </row>
    <row r="99" spans="2:8" x14ac:dyDescent="0.2">
      <c r="B99" s="31" t="s">
        <v>724</v>
      </c>
      <c r="C99" s="31" t="s">
        <v>725</v>
      </c>
      <c r="D99" s="31" t="s">
        <v>67</v>
      </c>
      <c r="E99" s="35">
        <v>5022</v>
      </c>
      <c r="F99" s="32">
        <v>108.515376</v>
      </c>
      <c r="G99" s="33">
        <v>0.44363126852450502</v>
      </c>
      <c r="H99" s="36"/>
    </row>
    <row r="100" spans="2:8" x14ac:dyDescent="0.2">
      <c r="B100" s="31" t="s">
        <v>726</v>
      </c>
      <c r="C100" s="31" t="s">
        <v>727</v>
      </c>
      <c r="D100" s="31" t="s">
        <v>28</v>
      </c>
      <c r="E100" s="35">
        <v>75968</v>
      </c>
      <c r="F100" s="32">
        <v>106.2564416</v>
      </c>
      <c r="G100" s="33">
        <v>0.434396319798109</v>
      </c>
      <c r="H100" s="36"/>
    </row>
    <row r="101" spans="2:8" x14ac:dyDescent="0.2">
      <c r="B101" s="31" t="s">
        <v>728</v>
      </c>
      <c r="C101" s="31" t="s">
        <v>729</v>
      </c>
      <c r="D101" s="31" t="s">
        <v>41</v>
      </c>
      <c r="E101" s="35">
        <v>35487</v>
      </c>
      <c r="F101" s="32">
        <v>105.6270555</v>
      </c>
      <c r="G101" s="33">
        <v>0.43182327103555701</v>
      </c>
      <c r="H101" s="36"/>
    </row>
    <row r="102" spans="2:8" x14ac:dyDescent="0.2">
      <c r="B102" s="31" t="s">
        <v>730</v>
      </c>
      <c r="C102" s="31" t="s">
        <v>731</v>
      </c>
      <c r="D102" s="31" t="s">
        <v>165</v>
      </c>
      <c r="E102" s="35">
        <v>18794</v>
      </c>
      <c r="F102" s="32">
        <v>104.25031799999999</v>
      </c>
      <c r="G102" s="33">
        <v>0.42619490917511199</v>
      </c>
      <c r="H102" s="36"/>
    </row>
    <row r="103" spans="2:8" x14ac:dyDescent="0.2">
      <c r="B103" s="31" t="s">
        <v>149</v>
      </c>
      <c r="C103" s="31" t="s">
        <v>150</v>
      </c>
      <c r="D103" s="31" t="s">
        <v>67</v>
      </c>
      <c r="E103" s="35">
        <v>2516</v>
      </c>
      <c r="F103" s="32">
        <v>103.779968</v>
      </c>
      <c r="G103" s="33">
        <v>0.42427202990360202</v>
      </c>
      <c r="H103" s="36"/>
    </row>
    <row r="104" spans="2:8" x14ac:dyDescent="0.2">
      <c r="B104" s="31" t="s">
        <v>732</v>
      </c>
      <c r="C104" s="31" t="s">
        <v>733</v>
      </c>
      <c r="D104" s="31" t="s">
        <v>67</v>
      </c>
      <c r="E104" s="35">
        <v>28442</v>
      </c>
      <c r="F104" s="32">
        <v>102.547631</v>
      </c>
      <c r="G104" s="33">
        <v>0.41923400444848402</v>
      </c>
      <c r="H104" s="36"/>
    </row>
    <row r="105" spans="2:8" x14ac:dyDescent="0.2">
      <c r="B105" s="31" t="s">
        <v>734</v>
      </c>
      <c r="C105" s="31" t="s">
        <v>735</v>
      </c>
      <c r="D105" s="31" t="s">
        <v>497</v>
      </c>
      <c r="E105" s="35">
        <v>18859</v>
      </c>
      <c r="F105" s="32">
        <v>101.75373449999999</v>
      </c>
      <c r="G105" s="33">
        <v>0.41598840622678901</v>
      </c>
      <c r="H105" s="36"/>
    </row>
    <row r="106" spans="2:8" x14ac:dyDescent="0.2">
      <c r="B106" s="31" t="s">
        <v>736</v>
      </c>
      <c r="C106" s="31" t="s">
        <v>737</v>
      </c>
      <c r="D106" s="31" t="s">
        <v>28</v>
      </c>
      <c r="E106" s="35">
        <v>127292</v>
      </c>
      <c r="F106" s="32">
        <v>99.758740399999994</v>
      </c>
      <c r="G106" s="33">
        <v>0.40783249509321901</v>
      </c>
      <c r="H106" s="36"/>
    </row>
    <row r="107" spans="2:8" x14ac:dyDescent="0.2">
      <c r="B107" s="31" t="s">
        <v>738</v>
      </c>
      <c r="C107" s="31" t="s">
        <v>739</v>
      </c>
      <c r="D107" s="31" t="s">
        <v>740</v>
      </c>
      <c r="E107" s="35">
        <v>21645</v>
      </c>
      <c r="F107" s="32">
        <v>99.4479525</v>
      </c>
      <c r="G107" s="33">
        <v>0.40656193569969101</v>
      </c>
      <c r="H107" s="36"/>
    </row>
    <row r="108" spans="2:8" x14ac:dyDescent="0.2">
      <c r="B108" s="31" t="s">
        <v>741</v>
      </c>
      <c r="C108" s="31" t="s">
        <v>742</v>
      </c>
      <c r="D108" s="31" t="s">
        <v>87</v>
      </c>
      <c r="E108" s="35">
        <v>24091</v>
      </c>
      <c r="F108" s="32">
        <v>99.435602500000002</v>
      </c>
      <c r="G108" s="33">
        <v>0.40651144657669003</v>
      </c>
      <c r="H108" s="36"/>
    </row>
    <row r="109" spans="2:8" x14ac:dyDescent="0.2">
      <c r="B109" s="31" t="s">
        <v>743</v>
      </c>
      <c r="C109" s="31" t="s">
        <v>744</v>
      </c>
      <c r="D109" s="31" t="s">
        <v>500</v>
      </c>
      <c r="E109" s="35">
        <v>2422</v>
      </c>
      <c r="F109" s="32">
        <v>98.759472000000002</v>
      </c>
      <c r="G109" s="33">
        <v>0.40374729791444802</v>
      </c>
      <c r="H109" s="36"/>
    </row>
    <row r="110" spans="2:8" x14ac:dyDescent="0.2">
      <c r="B110" s="31" t="s">
        <v>745</v>
      </c>
      <c r="C110" s="31" t="s">
        <v>746</v>
      </c>
      <c r="D110" s="31" t="s">
        <v>525</v>
      </c>
      <c r="E110" s="35">
        <v>1315</v>
      </c>
      <c r="F110" s="32">
        <v>96.257999999999996</v>
      </c>
      <c r="G110" s="33">
        <v>0.39352080985861199</v>
      </c>
      <c r="H110" s="36"/>
    </row>
    <row r="111" spans="2:8" x14ac:dyDescent="0.2">
      <c r="B111" s="31" t="s">
        <v>747</v>
      </c>
      <c r="C111" s="31" t="s">
        <v>748</v>
      </c>
      <c r="D111" s="31" t="s">
        <v>486</v>
      </c>
      <c r="E111" s="35">
        <v>2427</v>
      </c>
      <c r="F111" s="32">
        <v>95.856791999999999</v>
      </c>
      <c r="G111" s="33">
        <v>0.391880596088518</v>
      </c>
      <c r="H111" s="36"/>
    </row>
    <row r="112" spans="2:8" x14ac:dyDescent="0.2">
      <c r="B112" s="31" t="s">
        <v>749</v>
      </c>
      <c r="C112" s="31" t="s">
        <v>750</v>
      </c>
      <c r="D112" s="31" t="s">
        <v>122</v>
      </c>
      <c r="E112" s="35">
        <v>4982</v>
      </c>
      <c r="F112" s="32">
        <v>94.971866000000006</v>
      </c>
      <c r="G112" s="33">
        <v>0.38826285214842998</v>
      </c>
      <c r="H112" s="36"/>
    </row>
    <row r="113" spans="2:8" x14ac:dyDescent="0.2">
      <c r="B113" s="31" t="s">
        <v>751</v>
      </c>
      <c r="C113" s="31" t="s">
        <v>752</v>
      </c>
      <c r="D113" s="31" t="s">
        <v>525</v>
      </c>
      <c r="E113" s="35">
        <v>2636</v>
      </c>
      <c r="F113" s="32">
        <v>94.948719999999994</v>
      </c>
      <c r="G113" s="33">
        <v>0.38816822694673297</v>
      </c>
      <c r="H113" s="36"/>
    </row>
    <row r="114" spans="2:8" x14ac:dyDescent="0.2">
      <c r="B114" s="31" t="s">
        <v>103</v>
      </c>
      <c r="C114" s="31" t="s">
        <v>104</v>
      </c>
      <c r="D114" s="31" t="s">
        <v>84</v>
      </c>
      <c r="E114" s="35">
        <v>18301</v>
      </c>
      <c r="F114" s="32">
        <v>94.424009499999997</v>
      </c>
      <c r="G114" s="33">
        <v>0.38602311172616599</v>
      </c>
      <c r="H114" s="36"/>
    </row>
    <row r="115" spans="2:8" x14ac:dyDescent="0.2">
      <c r="B115" s="31" t="s">
        <v>753</v>
      </c>
      <c r="C115" s="31" t="s">
        <v>754</v>
      </c>
      <c r="D115" s="31" t="s">
        <v>563</v>
      </c>
      <c r="E115" s="35">
        <v>5291</v>
      </c>
      <c r="F115" s="32">
        <v>91.714194000000006</v>
      </c>
      <c r="G115" s="33">
        <v>0.37494487625350498</v>
      </c>
      <c r="H115" s="36"/>
    </row>
    <row r="116" spans="2:8" x14ac:dyDescent="0.2">
      <c r="B116" s="31" t="s">
        <v>755</v>
      </c>
      <c r="C116" s="31" t="s">
        <v>756</v>
      </c>
      <c r="D116" s="31" t="s">
        <v>50</v>
      </c>
      <c r="E116" s="35">
        <v>2151</v>
      </c>
      <c r="F116" s="32">
        <v>88.834148999999996</v>
      </c>
      <c r="G116" s="33">
        <v>0.36317071056515499</v>
      </c>
      <c r="H116" s="36"/>
    </row>
    <row r="117" spans="2:8" x14ac:dyDescent="0.2">
      <c r="B117" s="31" t="s">
        <v>757</v>
      </c>
      <c r="C117" s="31" t="s">
        <v>758</v>
      </c>
      <c r="D117" s="31" t="s">
        <v>87</v>
      </c>
      <c r="E117" s="35">
        <v>5427</v>
      </c>
      <c r="F117" s="32">
        <v>86.452110000000005</v>
      </c>
      <c r="G117" s="33">
        <v>0.35343248707833003</v>
      </c>
      <c r="H117" s="36"/>
    </row>
    <row r="118" spans="2:8" x14ac:dyDescent="0.2">
      <c r="B118" s="31" t="s">
        <v>759</v>
      </c>
      <c r="C118" s="31" t="s">
        <v>760</v>
      </c>
      <c r="D118" s="31" t="s">
        <v>87</v>
      </c>
      <c r="E118" s="35">
        <v>17804</v>
      </c>
      <c r="F118" s="32">
        <v>84.230723999999995</v>
      </c>
      <c r="G118" s="33">
        <v>0.344351043273881</v>
      </c>
      <c r="H118" s="36"/>
    </row>
    <row r="119" spans="2:8" x14ac:dyDescent="0.2">
      <c r="B119" s="31" t="s">
        <v>761</v>
      </c>
      <c r="C119" s="31" t="s">
        <v>762</v>
      </c>
      <c r="D119" s="31" t="s">
        <v>94</v>
      </c>
      <c r="E119" s="35">
        <v>326</v>
      </c>
      <c r="F119" s="32">
        <v>82.918099999999995</v>
      </c>
      <c r="G119" s="33">
        <v>0.33898478946100502</v>
      </c>
      <c r="H119" s="36"/>
    </row>
    <row r="120" spans="2:8" x14ac:dyDescent="0.2">
      <c r="B120" s="31" t="s">
        <v>65</v>
      </c>
      <c r="C120" s="31" t="s">
        <v>66</v>
      </c>
      <c r="D120" s="31" t="s">
        <v>67</v>
      </c>
      <c r="E120" s="35">
        <v>20220</v>
      </c>
      <c r="F120" s="32">
        <v>82.578479999999999</v>
      </c>
      <c r="G120" s="33">
        <v>0.33759635901944002</v>
      </c>
      <c r="H120" s="36"/>
    </row>
    <row r="121" spans="2:8" x14ac:dyDescent="0.2">
      <c r="B121" s="31" t="s">
        <v>123</v>
      </c>
      <c r="C121" s="31" t="s">
        <v>124</v>
      </c>
      <c r="D121" s="31" t="s">
        <v>79</v>
      </c>
      <c r="E121" s="35">
        <v>38184</v>
      </c>
      <c r="F121" s="32">
        <v>82.091781600000004</v>
      </c>
      <c r="G121" s="33">
        <v>0.33560664441364202</v>
      </c>
      <c r="H121" s="36"/>
    </row>
    <row r="122" spans="2:8" x14ac:dyDescent="0.2">
      <c r="B122" s="31" t="s">
        <v>763</v>
      </c>
      <c r="C122" s="31" t="s">
        <v>764</v>
      </c>
      <c r="D122" s="31" t="s">
        <v>432</v>
      </c>
      <c r="E122" s="35">
        <v>5762</v>
      </c>
      <c r="F122" s="32">
        <v>78.599441999999996</v>
      </c>
      <c r="G122" s="33">
        <v>0.32132930322960201</v>
      </c>
      <c r="H122" s="36"/>
    </row>
    <row r="123" spans="2:8" x14ac:dyDescent="0.2">
      <c r="B123" s="31" t="s">
        <v>765</v>
      </c>
      <c r="C123" s="31" t="s">
        <v>766</v>
      </c>
      <c r="D123" s="31" t="s">
        <v>165</v>
      </c>
      <c r="E123" s="35">
        <v>16559</v>
      </c>
      <c r="F123" s="32">
        <v>78.125361999999996</v>
      </c>
      <c r="G123" s="33">
        <v>0.31939117501649</v>
      </c>
      <c r="H123" s="36"/>
    </row>
    <row r="124" spans="2:8" x14ac:dyDescent="0.2">
      <c r="B124" s="31" t="s">
        <v>767</v>
      </c>
      <c r="C124" s="31" t="s">
        <v>768</v>
      </c>
      <c r="D124" s="31" t="s">
        <v>79</v>
      </c>
      <c r="E124" s="35">
        <v>9735</v>
      </c>
      <c r="F124" s="32">
        <v>77.904337499999997</v>
      </c>
      <c r="G124" s="33">
        <v>0.31848758528640397</v>
      </c>
      <c r="H124" s="36"/>
    </row>
    <row r="125" spans="2:8" x14ac:dyDescent="0.2">
      <c r="B125" s="31" t="s">
        <v>769</v>
      </c>
      <c r="C125" s="31" t="s">
        <v>770</v>
      </c>
      <c r="D125" s="31" t="s">
        <v>50</v>
      </c>
      <c r="E125" s="35">
        <v>10247</v>
      </c>
      <c r="F125" s="32">
        <v>77.779853500000002</v>
      </c>
      <c r="G125" s="33">
        <v>0.31797867127931401</v>
      </c>
      <c r="H125" s="36"/>
    </row>
    <row r="126" spans="2:8" x14ac:dyDescent="0.2">
      <c r="B126" s="31" t="s">
        <v>771</v>
      </c>
      <c r="C126" s="31" t="s">
        <v>772</v>
      </c>
      <c r="D126" s="31" t="s">
        <v>100</v>
      </c>
      <c r="E126" s="35">
        <v>19331</v>
      </c>
      <c r="F126" s="32">
        <v>76.048153999999997</v>
      </c>
      <c r="G126" s="33">
        <v>0.31089915799551698</v>
      </c>
      <c r="H126" s="36"/>
    </row>
    <row r="127" spans="2:8" x14ac:dyDescent="0.2">
      <c r="B127" s="31" t="s">
        <v>773</v>
      </c>
      <c r="C127" s="31" t="s">
        <v>774</v>
      </c>
      <c r="D127" s="31" t="s">
        <v>165</v>
      </c>
      <c r="E127" s="35">
        <v>11351</v>
      </c>
      <c r="F127" s="32">
        <v>74.530665999999997</v>
      </c>
      <c r="G127" s="33">
        <v>0.304695381616299</v>
      </c>
      <c r="H127" s="36"/>
    </row>
    <row r="128" spans="2:8" x14ac:dyDescent="0.2">
      <c r="B128" s="31" t="s">
        <v>775</v>
      </c>
      <c r="C128" s="31" t="s">
        <v>776</v>
      </c>
      <c r="D128" s="31" t="s">
        <v>94</v>
      </c>
      <c r="E128" s="35">
        <v>2633</v>
      </c>
      <c r="F128" s="32">
        <v>74.321691000000001</v>
      </c>
      <c r="G128" s="33">
        <v>0.30384105250869098</v>
      </c>
      <c r="H128" s="36"/>
    </row>
    <row r="129" spans="2:8" x14ac:dyDescent="0.2">
      <c r="B129" s="31" t="s">
        <v>777</v>
      </c>
      <c r="C129" s="31" t="s">
        <v>778</v>
      </c>
      <c r="D129" s="31" t="s">
        <v>500</v>
      </c>
      <c r="E129" s="35">
        <v>7289</v>
      </c>
      <c r="F129" s="32">
        <v>74.212953499999998</v>
      </c>
      <c r="G129" s="33">
        <v>0.303396513155473</v>
      </c>
      <c r="H129" s="36"/>
    </row>
    <row r="130" spans="2:8" x14ac:dyDescent="0.2">
      <c r="B130" s="31" t="s">
        <v>88</v>
      </c>
      <c r="C130" s="31" t="s">
        <v>89</v>
      </c>
      <c r="D130" s="31" t="s">
        <v>79</v>
      </c>
      <c r="E130" s="35">
        <v>2182</v>
      </c>
      <c r="F130" s="32">
        <v>71.792164</v>
      </c>
      <c r="G130" s="33">
        <v>0.293499870335788</v>
      </c>
      <c r="H130" s="36"/>
    </row>
    <row r="131" spans="2:8" x14ac:dyDescent="0.2">
      <c r="B131" s="31" t="s">
        <v>779</v>
      </c>
      <c r="C131" s="31" t="s">
        <v>780</v>
      </c>
      <c r="D131" s="31" t="s">
        <v>33</v>
      </c>
      <c r="E131" s="35">
        <v>4702</v>
      </c>
      <c r="F131" s="32">
        <v>71.348147999999995</v>
      </c>
      <c r="G131" s="33">
        <v>0.29168464940963001</v>
      </c>
      <c r="H131" s="36"/>
    </row>
    <row r="132" spans="2:8" x14ac:dyDescent="0.2">
      <c r="B132" s="31" t="s">
        <v>781</v>
      </c>
      <c r="C132" s="31" t="s">
        <v>782</v>
      </c>
      <c r="D132" s="31" t="s">
        <v>165</v>
      </c>
      <c r="E132" s="35">
        <v>31373</v>
      </c>
      <c r="F132" s="32">
        <v>69.293545100000003</v>
      </c>
      <c r="G132" s="33">
        <v>0.28328504628941298</v>
      </c>
      <c r="H132" s="36"/>
    </row>
    <row r="133" spans="2:8" x14ac:dyDescent="0.2">
      <c r="B133" s="31" t="s">
        <v>783</v>
      </c>
      <c r="C133" s="31" t="s">
        <v>784</v>
      </c>
      <c r="D133" s="31" t="s">
        <v>461</v>
      </c>
      <c r="E133" s="35">
        <v>34811</v>
      </c>
      <c r="F133" s="32">
        <v>68.358360700000006</v>
      </c>
      <c r="G133" s="33">
        <v>0.27946183655666201</v>
      </c>
      <c r="H133" s="36"/>
    </row>
    <row r="134" spans="2:8" x14ac:dyDescent="0.2">
      <c r="B134" s="31" t="s">
        <v>56</v>
      </c>
      <c r="C134" s="31" t="s">
        <v>57</v>
      </c>
      <c r="D134" s="31" t="s">
        <v>58</v>
      </c>
      <c r="E134" s="35">
        <v>2076</v>
      </c>
      <c r="F134" s="32">
        <v>67.295615999999995</v>
      </c>
      <c r="G134" s="33">
        <v>0.27511713632377799</v>
      </c>
      <c r="H134" s="36"/>
    </row>
    <row r="135" spans="2:8" x14ac:dyDescent="0.2">
      <c r="B135" s="31" t="s">
        <v>785</v>
      </c>
      <c r="C135" s="31" t="s">
        <v>786</v>
      </c>
      <c r="D135" s="31" t="s">
        <v>165</v>
      </c>
      <c r="E135" s="35">
        <v>49736</v>
      </c>
      <c r="F135" s="32">
        <v>67.193336000000002</v>
      </c>
      <c r="G135" s="33">
        <v>0.27469899644519802</v>
      </c>
      <c r="H135" s="36"/>
    </row>
    <row r="136" spans="2:8" x14ac:dyDescent="0.2">
      <c r="B136" s="31" t="s">
        <v>159</v>
      </c>
      <c r="C136" s="31" t="s">
        <v>160</v>
      </c>
      <c r="D136" s="31" t="s">
        <v>131</v>
      </c>
      <c r="E136" s="35">
        <v>4514</v>
      </c>
      <c r="F136" s="32">
        <v>65.841204000000005</v>
      </c>
      <c r="G136" s="33">
        <v>0.269171226496978</v>
      </c>
      <c r="H136" s="36"/>
    </row>
    <row r="137" spans="2:8" x14ac:dyDescent="0.2">
      <c r="B137" s="31" t="s">
        <v>787</v>
      </c>
      <c r="C137" s="31" t="s">
        <v>788</v>
      </c>
      <c r="D137" s="31" t="s">
        <v>165</v>
      </c>
      <c r="E137" s="35">
        <v>1524</v>
      </c>
      <c r="F137" s="32">
        <v>65.359787999999995</v>
      </c>
      <c r="G137" s="33">
        <v>0.26720310733598501</v>
      </c>
      <c r="H137" s="36"/>
    </row>
    <row r="138" spans="2:8" x14ac:dyDescent="0.2">
      <c r="B138" s="31" t="s">
        <v>789</v>
      </c>
      <c r="C138" s="31" t="s">
        <v>790</v>
      </c>
      <c r="D138" s="31" t="s">
        <v>693</v>
      </c>
      <c r="E138" s="35">
        <v>6953</v>
      </c>
      <c r="F138" s="32">
        <v>65.121797999999998</v>
      </c>
      <c r="G138" s="33">
        <v>0.26623015945073603</v>
      </c>
      <c r="H138" s="36"/>
    </row>
    <row r="139" spans="2:8" x14ac:dyDescent="0.2">
      <c r="B139" s="31" t="s">
        <v>791</v>
      </c>
      <c r="C139" s="31" t="s">
        <v>792</v>
      </c>
      <c r="D139" s="31" t="s">
        <v>47</v>
      </c>
      <c r="E139" s="35">
        <v>20394</v>
      </c>
      <c r="F139" s="32">
        <v>64.567403999999996</v>
      </c>
      <c r="G139" s="33">
        <v>0.26396369249878698</v>
      </c>
      <c r="H139" s="36"/>
    </row>
    <row r="140" spans="2:8" x14ac:dyDescent="0.2">
      <c r="B140" s="31" t="s">
        <v>793</v>
      </c>
      <c r="C140" s="31" t="s">
        <v>794</v>
      </c>
      <c r="D140" s="31" t="s">
        <v>47</v>
      </c>
      <c r="E140" s="35">
        <v>58072</v>
      </c>
      <c r="F140" s="32">
        <v>63.792091999999997</v>
      </c>
      <c r="G140" s="33">
        <v>0.26079407120878401</v>
      </c>
      <c r="H140" s="36"/>
    </row>
    <row r="141" spans="2:8" x14ac:dyDescent="0.2">
      <c r="B141" s="31" t="s">
        <v>795</v>
      </c>
      <c r="C141" s="31" t="s">
        <v>796</v>
      </c>
      <c r="D141" s="31" t="s">
        <v>797</v>
      </c>
      <c r="E141" s="35">
        <v>1723</v>
      </c>
      <c r="F141" s="32">
        <v>62.481149000000002</v>
      </c>
      <c r="G141" s="33">
        <v>0.25543468964009902</v>
      </c>
      <c r="H141" s="36"/>
    </row>
    <row r="142" spans="2:8" x14ac:dyDescent="0.2">
      <c r="B142" s="31" t="s">
        <v>798</v>
      </c>
      <c r="C142" s="31" t="s">
        <v>799</v>
      </c>
      <c r="D142" s="31" t="s">
        <v>94</v>
      </c>
      <c r="E142" s="35">
        <v>2586</v>
      </c>
      <c r="F142" s="32">
        <v>60.419303999999997</v>
      </c>
      <c r="G142" s="33">
        <v>0.247005479452863</v>
      </c>
      <c r="H142" s="36"/>
    </row>
    <row r="143" spans="2:8" x14ac:dyDescent="0.2">
      <c r="B143" s="31" t="s">
        <v>800</v>
      </c>
      <c r="C143" s="31" t="s">
        <v>801</v>
      </c>
      <c r="D143" s="31" t="s">
        <v>165</v>
      </c>
      <c r="E143" s="35">
        <v>69217</v>
      </c>
      <c r="F143" s="32">
        <v>60.343380600000003</v>
      </c>
      <c r="G143" s="33">
        <v>0.24669509031268599</v>
      </c>
      <c r="H143" s="36"/>
    </row>
    <row r="144" spans="2:8" x14ac:dyDescent="0.2">
      <c r="B144" s="31" t="s">
        <v>802</v>
      </c>
      <c r="C144" s="31" t="s">
        <v>803</v>
      </c>
      <c r="D144" s="31" t="s">
        <v>458</v>
      </c>
      <c r="E144" s="35">
        <v>5293</v>
      </c>
      <c r="F144" s="32">
        <v>59.136042500000002</v>
      </c>
      <c r="G144" s="33">
        <v>0.24175926506299</v>
      </c>
      <c r="H144" s="36"/>
    </row>
    <row r="145" spans="2:9" x14ac:dyDescent="0.2">
      <c r="B145" s="31" t="s">
        <v>804</v>
      </c>
      <c r="C145" s="31" t="s">
        <v>805</v>
      </c>
      <c r="D145" s="31" t="s">
        <v>806</v>
      </c>
      <c r="E145" s="35">
        <v>177</v>
      </c>
      <c r="F145" s="32">
        <v>58.941000000000003</v>
      </c>
      <c r="G145" s="33">
        <v>0.240961894636046</v>
      </c>
      <c r="H145" s="36"/>
    </row>
    <row r="146" spans="2:9" x14ac:dyDescent="0.2">
      <c r="B146" s="31" t="s">
        <v>807</v>
      </c>
      <c r="C146" s="31" t="s">
        <v>808</v>
      </c>
      <c r="D146" s="31" t="s">
        <v>165</v>
      </c>
      <c r="E146" s="35">
        <v>8154</v>
      </c>
      <c r="F146" s="32">
        <v>58.668030000000002</v>
      </c>
      <c r="G146" s="33">
        <v>0.23984594193115799</v>
      </c>
      <c r="H146" s="36"/>
    </row>
    <row r="147" spans="2:9" x14ac:dyDescent="0.2">
      <c r="B147" s="31" t="s">
        <v>809</v>
      </c>
      <c r="C147" s="31" t="s">
        <v>810</v>
      </c>
      <c r="D147" s="31" t="s">
        <v>811</v>
      </c>
      <c r="E147" s="35">
        <v>2547</v>
      </c>
      <c r="F147" s="32">
        <v>57.332970000000003</v>
      </c>
      <c r="G147" s="33">
        <v>0.234387965530133</v>
      </c>
      <c r="H147" s="36"/>
    </row>
    <row r="148" spans="2:9" x14ac:dyDescent="0.2">
      <c r="B148" s="31" t="s">
        <v>812</v>
      </c>
      <c r="C148" s="31" t="s">
        <v>813</v>
      </c>
      <c r="D148" s="31" t="s">
        <v>442</v>
      </c>
      <c r="E148" s="35">
        <v>20306</v>
      </c>
      <c r="F148" s="32">
        <v>55.228258799999999</v>
      </c>
      <c r="G148" s="33">
        <v>0.225783510254286</v>
      </c>
      <c r="H148" s="36"/>
    </row>
    <row r="149" spans="2:9" x14ac:dyDescent="0.2">
      <c r="B149" s="31" t="s">
        <v>814</v>
      </c>
      <c r="C149" s="31" t="s">
        <v>815</v>
      </c>
      <c r="D149" s="31" t="s">
        <v>122</v>
      </c>
      <c r="E149" s="35">
        <v>3749</v>
      </c>
      <c r="F149" s="32">
        <v>53.314529</v>
      </c>
      <c r="G149" s="33">
        <v>0.217959822864702</v>
      </c>
      <c r="H149" s="36"/>
    </row>
    <row r="150" spans="2:9" x14ac:dyDescent="0.2">
      <c r="B150" s="31" t="s">
        <v>816</v>
      </c>
      <c r="C150" s="31" t="s">
        <v>817</v>
      </c>
      <c r="D150" s="31" t="s">
        <v>67</v>
      </c>
      <c r="E150" s="35">
        <v>2205</v>
      </c>
      <c r="F150" s="32">
        <v>51.38973</v>
      </c>
      <c r="G150" s="33">
        <v>0.210090882503433</v>
      </c>
      <c r="H150" s="36"/>
    </row>
    <row r="151" spans="2:9" x14ac:dyDescent="0.2">
      <c r="B151" s="31" t="s">
        <v>818</v>
      </c>
      <c r="C151" s="31" t="s">
        <v>819</v>
      </c>
      <c r="D151" s="31" t="s">
        <v>563</v>
      </c>
      <c r="E151" s="35">
        <v>138</v>
      </c>
      <c r="F151" s="32">
        <v>42.821399999999997</v>
      </c>
      <c r="G151" s="33">
        <v>0.175061937784699</v>
      </c>
      <c r="H151" s="36"/>
    </row>
    <row r="152" spans="2:9" x14ac:dyDescent="0.2">
      <c r="B152" s="31" t="s">
        <v>820</v>
      </c>
      <c r="C152" s="31" t="s">
        <v>821</v>
      </c>
      <c r="D152" s="31" t="s">
        <v>50</v>
      </c>
      <c r="E152" s="35">
        <v>9272</v>
      </c>
      <c r="F152" s="32">
        <v>41.506107999999998</v>
      </c>
      <c r="G152" s="33">
        <v>0.16968477668598</v>
      </c>
      <c r="H152" s="36"/>
    </row>
    <row r="153" spans="2:9" x14ac:dyDescent="0.2">
      <c r="B153" s="31" t="s">
        <v>822</v>
      </c>
      <c r="C153" s="31" t="s">
        <v>823</v>
      </c>
      <c r="D153" s="31" t="s">
        <v>47</v>
      </c>
      <c r="E153" s="35">
        <v>44716</v>
      </c>
      <c r="F153" s="32">
        <v>35.316696800000003</v>
      </c>
      <c r="G153" s="33">
        <v>0.14438129948956999</v>
      </c>
      <c r="H153" s="36"/>
    </row>
    <row r="154" spans="2:9" x14ac:dyDescent="0.2">
      <c r="B154" s="31" t="s">
        <v>824</v>
      </c>
      <c r="C154" s="31" t="s">
        <v>825</v>
      </c>
      <c r="D154" s="31" t="s">
        <v>94</v>
      </c>
      <c r="E154" s="35">
        <v>3890</v>
      </c>
      <c r="F154" s="32">
        <v>29.567889999999998</v>
      </c>
      <c r="G154" s="33">
        <v>0.120879095956807</v>
      </c>
      <c r="H154" s="36"/>
    </row>
    <row r="155" spans="2:9" x14ac:dyDescent="0.2">
      <c r="B155" s="31" t="s">
        <v>826</v>
      </c>
      <c r="C155" s="31" t="s">
        <v>827</v>
      </c>
      <c r="D155" s="31" t="s">
        <v>806</v>
      </c>
      <c r="E155" s="35">
        <v>2698</v>
      </c>
      <c r="F155" s="32">
        <v>25.875169</v>
      </c>
      <c r="G155" s="33">
        <v>0.105782557918391</v>
      </c>
      <c r="H155" s="36"/>
    </row>
    <row r="156" spans="2:9" x14ac:dyDescent="0.2">
      <c r="B156" s="31" t="s">
        <v>828</v>
      </c>
      <c r="C156" s="31" t="s">
        <v>829</v>
      </c>
      <c r="D156" s="31" t="s">
        <v>100</v>
      </c>
      <c r="E156" s="35">
        <v>15045</v>
      </c>
      <c r="F156" s="32">
        <v>24.162269999999999</v>
      </c>
      <c r="G156" s="33">
        <v>9.8779904614914704E-2</v>
      </c>
      <c r="H156" s="36"/>
    </row>
    <row r="157" spans="2:9" ht="10.5" x14ac:dyDescent="0.25">
      <c r="B157" s="30" t="s">
        <v>170</v>
      </c>
      <c r="C157" s="30"/>
      <c r="D157" s="30"/>
      <c r="E157" s="30"/>
      <c r="F157" s="37">
        <f>SUM(F7:F156)</f>
        <v>24514.064596099975</v>
      </c>
      <c r="G157" s="38">
        <f>SUM(G7:G156)</f>
        <v>100.21810709534394</v>
      </c>
      <c r="H157" s="30"/>
      <c r="I157" s="23"/>
    </row>
    <row r="158" spans="2:9" ht="10.5" x14ac:dyDescent="0.25">
      <c r="B158" s="30" t="s">
        <v>171</v>
      </c>
      <c r="C158" s="30"/>
      <c r="D158" s="30"/>
      <c r="E158" s="30"/>
      <c r="F158" s="40" t="s">
        <v>172</v>
      </c>
      <c r="G158" s="41" t="s">
        <v>172</v>
      </c>
      <c r="H158" s="30"/>
      <c r="I158" s="23"/>
    </row>
    <row r="159" spans="2:9" ht="10.5" x14ac:dyDescent="0.25">
      <c r="B159" s="30" t="s">
        <v>170</v>
      </c>
      <c r="C159" s="30"/>
      <c r="D159" s="30"/>
      <c r="E159" s="30"/>
      <c r="F159" s="42" t="s">
        <v>172</v>
      </c>
      <c r="G159" s="43" t="s">
        <v>172</v>
      </c>
      <c r="H159" s="30"/>
      <c r="I159" s="23"/>
    </row>
    <row r="160" spans="2:9" ht="10.5" x14ac:dyDescent="0.25">
      <c r="B160" s="44" t="s">
        <v>173</v>
      </c>
      <c r="C160" s="44"/>
      <c r="D160" s="44"/>
      <c r="E160" s="44"/>
      <c r="F160" s="45">
        <f>F157</f>
        <v>24514.064596099975</v>
      </c>
      <c r="G160" s="46">
        <f>G157</f>
        <v>100.21810709534394</v>
      </c>
      <c r="H160" s="30"/>
      <c r="I160" s="23"/>
    </row>
    <row r="161" spans="2:9" ht="10.5" x14ac:dyDescent="0.25">
      <c r="B161" s="30" t="s">
        <v>174</v>
      </c>
      <c r="C161" s="30"/>
      <c r="D161" s="30"/>
      <c r="E161" s="30"/>
      <c r="F161" s="37">
        <v>148.25382450000001</v>
      </c>
      <c r="G161" s="38">
        <v>0.60608952068271305</v>
      </c>
      <c r="H161" s="36">
        <v>5.2499999999999998E-2</v>
      </c>
      <c r="I161" s="24"/>
    </row>
    <row r="162" spans="2:9" x14ac:dyDescent="0.2">
      <c r="B162" s="31"/>
      <c r="C162" s="31"/>
      <c r="D162" s="31"/>
      <c r="E162" s="31"/>
      <c r="F162" s="32"/>
      <c r="G162" s="33"/>
      <c r="H162" s="31"/>
    </row>
    <row r="163" spans="2:9" ht="10.5" x14ac:dyDescent="0.25">
      <c r="B163" s="52" t="s">
        <v>177</v>
      </c>
      <c r="C163" s="52"/>
      <c r="D163" s="52"/>
      <c r="E163" s="52"/>
      <c r="F163" s="37">
        <f>F164-(F157+F161)</f>
        <v>-201.6043773999736</v>
      </c>
      <c r="G163" s="38">
        <f>G164-(G157+G161)</f>
        <v>-0.82419661602665428</v>
      </c>
      <c r="H163" s="30"/>
      <c r="I163" s="23"/>
    </row>
    <row r="164" spans="2:9" ht="10.5" x14ac:dyDescent="0.25">
      <c r="B164" s="47" t="s">
        <v>175</v>
      </c>
      <c r="C164" s="47"/>
      <c r="D164" s="47"/>
      <c r="E164" s="47"/>
      <c r="F164" s="48">
        <v>24460.714043200001</v>
      </c>
      <c r="G164" s="49">
        <v>100</v>
      </c>
      <c r="H164" s="51"/>
      <c r="I164" s="23"/>
    </row>
    <row r="167" spans="2:9" ht="10.5" x14ac:dyDescent="0.2">
      <c r="B167" s="70" t="s">
        <v>186</v>
      </c>
    </row>
    <row r="168" spans="2:9" ht="10.5" x14ac:dyDescent="0.2">
      <c r="B168" s="70"/>
    </row>
    <row r="169" spans="2:9" x14ac:dyDescent="0.2">
      <c r="B169" s="81" t="s">
        <v>1497</v>
      </c>
    </row>
    <row r="170" spans="2:9" x14ac:dyDescent="0.2">
      <c r="B170" s="81" t="s">
        <v>1515</v>
      </c>
    </row>
    <row r="171" spans="2:9" x14ac:dyDescent="0.2">
      <c r="B171" s="81" t="s">
        <v>1516</v>
      </c>
    </row>
    <row r="172" spans="2:9" ht="10.5" x14ac:dyDescent="0.2">
      <c r="B172" s="70"/>
    </row>
    <row r="173" spans="2:9" ht="10.5" x14ac:dyDescent="0.2">
      <c r="B173" s="88" t="s">
        <v>1499</v>
      </c>
      <c r="C173" s="83" t="s">
        <v>1517</v>
      </c>
      <c r="D173" s="107" t="s">
        <v>1500</v>
      </c>
    </row>
    <row r="174" spans="2:9" x14ac:dyDescent="0.2">
      <c r="B174" s="85" t="s">
        <v>1501</v>
      </c>
      <c r="C174" s="89">
        <v>9.1341000000000001</v>
      </c>
      <c r="D174" s="89">
        <v>10.3521</v>
      </c>
    </row>
    <row r="175" spans="2:9" ht="10.5" x14ac:dyDescent="0.2">
      <c r="B175" s="70"/>
    </row>
    <row r="176" spans="2:9" x14ac:dyDescent="0.2">
      <c r="B176" s="81" t="s">
        <v>1584</v>
      </c>
    </row>
    <row r="177" spans="2:2" x14ac:dyDescent="0.2">
      <c r="B177" s="81" t="s">
        <v>1544</v>
      </c>
    </row>
    <row r="178" spans="2:2" x14ac:dyDescent="0.2">
      <c r="B178" s="81" t="s">
        <v>1545</v>
      </c>
    </row>
    <row r="179" spans="2:2" x14ac:dyDescent="0.2">
      <c r="B179" s="87" t="s">
        <v>1588</v>
      </c>
    </row>
    <row r="180" spans="2:2" x14ac:dyDescent="0.2">
      <c r="B180" s="81" t="s">
        <v>1546</v>
      </c>
    </row>
    <row r="184" spans="2:2" ht="10.5" x14ac:dyDescent="0.25">
      <c r="B184" s="23" t="s">
        <v>187</v>
      </c>
    </row>
    <row r="201" spans="2:2" ht="10.5" x14ac:dyDescent="0.2">
      <c r="B201" s="70" t="s">
        <v>1482</v>
      </c>
    </row>
    <row r="202" spans="2:2" ht="10.5" x14ac:dyDescent="0.25">
      <c r="B202" s="71" t="s">
        <v>1491</v>
      </c>
    </row>
  </sheetData>
  <mergeCells count="1">
    <mergeCell ref="B1:C1"/>
  </mergeCells>
  <conditionalFormatting sqref="G1:G3 G5:G221">
    <cfRule type="cellIs" dxfId="4" priority="2" stopIfTrue="1" operator="between">
      <formula>0.009</formula>
      <formula>-0.009</formula>
    </cfRule>
  </conditionalFormatting>
  <hyperlinks>
    <hyperlink ref="A2" location="Index!A1" display="-" xr:uid="{1956B81D-65B7-4F88-9B9C-B24976C8A8EC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821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EC72-C72C-45CB-8F46-19468360313F}">
  <dimension ref="A1:I301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20.54296875" style="6" customWidth="1"/>
    <col min="4" max="4" width="32.1796875" style="6" bestFit="1" customWidth="1"/>
    <col min="5" max="5" width="13.54296875" style="6" bestFit="1" customWidth="1"/>
    <col min="6" max="6" width="12.7265625" style="8" bestFit="1" customWidth="1"/>
    <col min="7" max="7" width="6.7265625" style="15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160" t="s">
        <v>20</v>
      </c>
      <c r="C1" s="161"/>
      <c r="D1" s="10"/>
      <c r="F1" s="5"/>
      <c r="G1" s="15"/>
    </row>
    <row r="2" spans="1:8" s="1" customFormat="1" ht="14.5" x14ac:dyDescent="0.35">
      <c r="A2" s="68" t="s">
        <v>1495</v>
      </c>
      <c r="F2" s="5"/>
      <c r="G2" s="15"/>
    </row>
    <row r="3" spans="1:8" s="1" customFormat="1" ht="11.5" x14ac:dyDescent="0.25">
      <c r="B3" s="7" t="s">
        <v>9</v>
      </c>
      <c r="C3" s="2"/>
      <c r="D3" s="3"/>
      <c r="E3" s="3"/>
      <c r="F3" s="4"/>
      <c r="G3" s="15"/>
    </row>
    <row r="4" spans="1:8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66" t="s">
        <v>6</v>
      </c>
    </row>
    <row r="5" spans="1:8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8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8" x14ac:dyDescent="0.2">
      <c r="B7" s="31" t="s">
        <v>830</v>
      </c>
      <c r="C7" s="31" t="s">
        <v>831</v>
      </c>
      <c r="D7" s="31" t="s">
        <v>28</v>
      </c>
      <c r="E7" s="35">
        <v>158484</v>
      </c>
      <c r="F7" s="32">
        <v>465.15053999999998</v>
      </c>
      <c r="G7" s="33">
        <v>1.39358362890292</v>
      </c>
      <c r="H7" s="36"/>
    </row>
    <row r="8" spans="1:8" x14ac:dyDescent="0.2">
      <c r="B8" s="31" t="s">
        <v>832</v>
      </c>
      <c r="C8" s="31" t="s">
        <v>833</v>
      </c>
      <c r="D8" s="31" t="s">
        <v>67</v>
      </c>
      <c r="E8" s="35">
        <v>75220</v>
      </c>
      <c r="F8" s="32">
        <v>456.77345000000003</v>
      </c>
      <c r="G8" s="33">
        <v>1.3684860003333601</v>
      </c>
      <c r="H8" s="36"/>
    </row>
    <row r="9" spans="1:8" x14ac:dyDescent="0.2">
      <c r="B9" s="31" t="s">
        <v>834</v>
      </c>
      <c r="C9" s="31" t="s">
        <v>835</v>
      </c>
      <c r="D9" s="31" t="s">
        <v>70</v>
      </c>
      <c r="E9" s="35">
        <v>93694</v>
      </c>
      <c r="F9" s="32">
        <v>437.597827</v>
      </c>
      <c r="G9" s="33">
        <v>1.3110361384309901</v>
      </c>
      <c r="H9" s="36"/>
    </row>
    <row r="10" spans="1:8" x14ac:dyDescent="0.2">
      <c r="B10" s="31" t="s">
        <v>836</v>
      </c>
      <c r="C10" s="31" t="s">
        <v>837</v>
      </c>
      <c r="D10" s="31" t="s">
        <v>525</v>
      </c>
      <c r="E10" s="35">
        <v>6169</v>
      </c>
      <c r="F10" s="32">
        <v>420.78748999999999</v>
      </c>
      <c r="G10" s="33">
        <v>1.26067263581194</v>
      </c>
      <c r="H10" s="36"/>
    </row>
    <row r="11" spans="1:8" x14ac:dyDescent="0.2">
      <c r="B11" s="31" t="s">
        <v>838</v>
      </c>
      <c r="C11" s="31" t="s">
        <v>839</v>
      </c>
      <c r="D11" s="31" t="s">
        <v>165</v>
      </c>
      <c r="E11" s="35">
        <v>20173</v>
      </c>
      <c r="F11" s="32">
        <v>403.17757799999998</v>
      </c>
      <c r="G11" s="33">
        <v>1.2079136191941799</v>
      </c>
      <c r="H11" s="36"/>
    </row>
    <row r="12" spans="1:8" x14ac:dyDescent="0.2">
      <c r="B12" s="31" t="s">
        <v>840</v>
      </c>
      <c r="C12" s="31" t="s">
        <v>841</v>
      </c>
      <c r="D12" s="31" t="s">
        <v>79</v>
      </c>
      <c r="E12" s="35">
        <v>29889</v>
      </c>
      <c r="F12" s="32">
        <v>380.18808000000001</v>
      </c>
      <c r="G12" s="33">
        <v>1.13903744837538</v>
      </c>
      <c r="H12" s="36"/>
    </row>
    <row r="13" spans="1:8" x14ac:dyDescent="0.2">
      <c r="B13" s="31" t="s">
        <v>842</v>
      </c>
      <c r="C13" s="31" t="s">
        <v>843</v>
      </c>
      <c r="D13" s="31" t="s">
        <v>28</v>
      </c>
      <c r="E13" s="35">
        <v>101252</v>
      </c>
      <c r="F13" s="32">
        <v>340.76360599999998</v>
      </c>
      <c r="G13" s="33">
        <v>1.02092235053091</v>
      </c>
      <c r="H13" s="36"/>
    </row>
    <row r="14" spans="1:8" x14ac:dyDescent="0.2">
      <c r="B14" s="31" t="s">
        <v>844</v>
      </c>
      <c r="C14" s="31" t="s">
        <v>845</v>
      </c>
      <c r="D14" s="31" t="s">
        <v>79</v>
      </c>
      <c r="E14" s="35">
        <v>108646</v>
      </c>
      <c r="F14" s="32">
        <v>335.40106659999998</v>
      </c>
      <c r="G14" s="33">
        <v>1.00485626767269</v>
      </c>
      <c r="H14" s="36"/>
    </row>
    <row r="15" spans="1:8" x14ac:dyDescent="0.2">
      <c r="B15" s="31" t="s">
        <v>846</v>
      </c>
      <c r="C15" s="31" t="s">
        <v>847</v>
      </c>
      <c r="D15" s="31" t="s">
        <v>165</v>
      </c>
      <c r="E15" s="35">
        <v>31530</v>
      </c>
      <c r="F15" s="32">
        <v>329.693445</v>
      </c>
      <c r="G15" s="33">
        <v>0.98775632402491498</v>
      </c>
      <c r="H15" s="36"/>
    </row>
    <row r="16" spans="1:8" x14ac:dyDescent="0.2">
      <c r="B16" s="31" t="s">
        <v>848</v>
      </c>
      <c r="C16" s="31" t="s">
        <v>849</v>
      </c>
      <c r="D16" s="31" t="s">
        <v>28</v>
      </c>
      <c r="E16" s="35">
        <v>121134</v>
      </c>
      <c r="F16" s="32">
        <v>327.17082060000001</v>
      </c>
      <c r="G16" s="33">
        <v>0.98019858139451599</v>
      </c>
      <c r="H16" s="36"/>
    </row>
    <row r="17" spans="2:8" x14ac:dyDescent="0.2">
      <c r="B17" s="31" t="s">
        <v>850</v>
      </c>
      <c r="C17" s="31" t="s">
        <v>851</v>
      </c>
      <c r="D17" s="31" t="s">
        <v>38</v>
      </c>
      <c r="E17" s="35">
        <v>32058</v>
      </c>
      <c r="F17" s="32">
        <v>299.69421299999999</v>
      </c>
      <c r="G17" s="33">
        <v>0.89787910149205397</v>
      </c>
      <c r="H17" s="36"/>
    </row>
    <row r="18" spans="2:8" x14ac:dyDescent="0.2">
      <c r="B18" s="31" t="s">
        <v>852</v>
      </c>
      <c r="C18" s="31" t="s">
        <v>853</v>
      </c>
      <c r="D18" s="31" t="s">
        <v>28</v>
      </c>
      <c r="E18" s="35">
        <v>149528</v>
      </c>
      <c r="F18" s="32">
        <v>298.63732160000001</v>
      </c>
      <c r="G18" s="33">
        <v>0.89471267164642099</v>
      </c>
      <c r="H18" s="36"/>
    </row>
    <row r="19" spans="2:8" x14ac:dyDescent="0.2">
      <c r="B19" s="31" t="s">
        <v>854</v>
      </c>
      <c r="C19" s="31" t="s">
        <v>855</v>
      </c>
      <c r="D19" s="31" t="s">
        <v>79</v>
      </c>
      <c r="E19" s="35">
        <v>40326</v>
      </c>
      <c r="F19" s="32">
        <v>297.84783599999997</v>
      </c>
      <c r="G19" s="33">
        <v>0.89234738532983504</v>
      </c>
      <c r="H19" s="36"/>
    </row>
    <row r="20" spans="2:8" x14ac:dyDescent="0.2">
      <c r="B20" s="31" t="s">
        <v>856</v>
      </c>
      <c r="C20" s="31" t="s">
        <v>857</v>
      </c>
      <c r="D20" s="31" t="s">
        <v>458</v>
      </c>
      <c r="E20" s="35">
        <v>42481</v>
      </c>
      <c r="F20" s="32">
        <v>297.81305049999997</v>
      </c>
      <c r="G20" s="33">
        <v>0.892243168524404</v>
      </c>
      <c r="H20" s="36"/>
    </row>
    <row r="21" spans="2:8" x14ac:dyDescent="0.2">
      <c r="B21" s="31" t="s">
        <v>858</v>
      </c>
      <c r="C21" s="31" t="s">
        <v>859</v>
      </c>
      <c r="D21" s="31" t="s">
        <v>435</v>
      </c>
      <c r="E21" s="35">
        <v>55063</v>
      </c>
      <c r="F21" s="32">
        <v>294.50445550000001</v>
      </c>
      <c r="G21" s="33">
        <v>0.88233067046158298</v>
      </c>
      <c r="H21" s="36"/>
    </row>
    <row r="22" spans="2:8" x14ac:dyDescent="0.2">
      <c r="B22" s="31" t="s">
        <v>860</v>
      </c>
      <c r="C22" s="31" t="s">
        <v>861</v>
      </c>
      <c r="D22" s="31" t="s">
        <v>87</v>
      </c>
      <c r="E22" s="35">
        <v>107786</v>
      </c>
      <c r="F22" s="32">
        <v>293.56594960000001</v>
      </c>
      <c r="G22" s="33">
        <v>0.87951892169339096</v>
      </c>
      <c r="H22" s="36"/>
    </row>
    <row r="23" spans="2:8" x14ac:dyDescent="0.2">
      <c r="B23" s="31" t="s">
        <v>862</v>
      </c>
      <c r="C23" s="31" t="s">
        <v>863</v>
      </c>
      <c r="D23" s="31" t="s">
        <v>87</v>
      </c>
      <c r="E23" s="35">
        <v>3657</v>
      </c>
      <c r="F23" s="32">
        <v>293.43768</v>
      </c>
      <c r="G23" s="33">
        <v>0.87913462800935904</v>
      </c>
      <c r="H23" s="36"/>
    </row>
    <row r="24" spans="2:8" x14ac:dyDescent="0.2">
      <c r="B24" s="31" t="s">
        <v>864</v>
      </c>
      <c r="C24" s="31" t="s">
        <v>865</v>
      </c>
      <c r="D24" s="31" t="s">
        <v>94</v>
      </c>
      <c r="E24" s="35">
        <v>13735</v>
      </c>
      <c r="F24" s="32">
        <v>280.66099000000003</v>
      </c>
      <c r="G24" s="33">
        <v>0.84085586772764997</v>
      </c>
      <c r="H24" s="36"/>
    </row>
    <row r="25" spans="2:8" x14ac:dyDescent="0.2">
      <c r="B25" s="31" t="s">
        <v>866</v>
      </c>
      <c r="C25" s="31" t="s">
        <v>867</v>
      </c>
      <c r="D25" s="31" t="s">
        <v>486</v>
      </c>
      <c r="E25" s="35">
        <v>21987</v>
      </c>
      <c r="F25" s="32">
        <v>278.52032250000002</v>
      </c>
      <c r="G25" s="33">
        <v>0.83444246190224902</v>
      </c>
      <c r="H25" s="36"/>
    </row>
    <row r="26" spans="2:8" x14ac:dyDescent="0.2">
      <c r="B26" s="31" t="s">
        <v>868</v>
      </c>
      <c r="C26" s="31" t="s">
        <v>869</v>
      </c>
      <c r="D26" s="31" t="s">
        <v>458</v>
      </c>
      <c r="E26" s="35">
        <v>41439</v>
      </c>
      <c r="F26" s="32">
        <v>276.27381300000002</v>
      </c>
      <c r="G26" s="33">
        <v>0.82771195512615303</v>
      </c>
      <c r="H26" s="36"/>
    </row>
    <row r="27" spans="2:8" x14ac:dyDescent="0.2">
      <c r="B27" s="31" t="s">
        <v>870</v>
      </c>
      <c r="C27" s="31" t="s">
        <v>871</v>
      </c>
      <c r="D27" s="31" t="s">
        <v>165</v>
      </c>
      <c r="E27" s="35">
        <v>92089</v>
      </c>
      <c r="F27" s="32">
        <v>271.06397149999998</v>
      </c>
      <c r="G27" s="33">
        <v>0.81210335275071699</v>
      </c>
      <c r="H27" s="36"/>
    </row>
    <row r="28" spans="2:8" x14ac:dyDescent="0.2">
      <c r="B28" s="31" t="s">
        <v>872</v>
      </c>
      <c r="C28" s="31" t="s">
        <v>873</v>
      </c>
      <c r="D28" s="31" t="s">
        <v>70</v>
      </c>
      <c r="E28" s="35">
        <v>16628</v>
      </c>
      <c r="F28" s="32">
        <v>262.19030400000003</v>
      </c>
      <c r="G28" s="33">
        <v>0.78551798587932098</v>
      </c>
      <c r="H28" s="36"/>
    </row>
    <row r="29" spans="2:8" x14ac:dyDescent="0.2">
      <c r="B29" s="31" t="s">
        <v>874</v>
      </c>
      <c r="C29" s="31" t="s">
        <v>875</v>
      </c>
      <c r="D29" s="31" t="s">
        <v>165</v>
      </c>
      <c r="E29" s="35">
        <v>16634</v>
      </c>
      <c r="F29" s="32">
        <v>258.84167400000001</v>
      </c>
      <c r="G29" s="33">
        <v>0.77548554359245803</v>
      </c>
      <c r="H29" s="36"/>
    </row>
    <row r="30" spans="2:8" x14ac:dyDescent="0.2">
      <c r="B30" s="31" t="s">
        <v>876</v>
      </c>
      <c r="C30" s="31" t="s">
        <v>877</v>
      </c>
      <c r="D30" s="31" t="s">
        <v>79</v>
      </c>
      <c r="E30" s="35">
        <v>7154</v>
      </c>
      <c r="F30" s="32">
        <v>257.65846399999998</v>
      </c>
      <c r="G30" s="33">
        <v>0.77194066522780203</v>
      </c>
      <c r="H30" s="36"/>
    </row>
    <row r="31" spans="2:8" x14ac:dyDescent="0.2">
      <c r="B31" s="31" t="s">
        <v>878</v>
      </c>
      <c r="C31" s="31" t="s">
        <v>879</v>
      </c>
      <c r="D31" s="31" t="s">
        <v>165</v>
      </c>
      <c r="E31" s="35">
        <v>59682</v>
      </c>
      <c r="F31" s="32">
        <v>248.99330399999999</v>
      </c>
      <c r="G31" s="33">
        <v>0.74597998351425499</v>
      </c>
      <c r="H31" s="36"/>
    </row>
    <row r="32" spans="2:8" x14ac:dyDescent="0.2">
      <c r="B32" s="31" t="s">
        <v>880</v>
      </c>
      <c r="C32" s="31" t="s">
        <v>881</v>
      </c>
      <c r="D32" s="31" t="s">
        <v>94</v>
      </c>
      <c r="E32" s="35">
        <v>23087</v>
      </c>
      <c r="F32" s="32">
        <v>246.9039215</v>
      </c>
      <c r="G32" s="33">
        <v>0.73972022673419002</v>
      </c>
      <c r="H32" s="36"/>
    </row>
    <row r="33" spans="2:8" x14ac:dyDescent="0.2">
      <c r="B33" s="31" t="s">
        <v>882</v>
      </c>
      <c r="C33" s="31" t="s">
        <v>883</v>
      </c>
      <c r="D33" s="31" t="s">
        <v>525</v>
      </c>
      <c r="E33" s="35">
        <v>39391</v>
      </c>
      <c r="F33" s="32">
        <v>239.39880249999999</v>
      </c>
      <c r="G33" s="33">
        <v>0.71723500942934004</v>
      </c>
      <c r="H33" s="36"/>
    </row>
    <row r="34" spans="2:8" x14ac:dyDescent="0.2">
      <c r="B34" s="31" t="s">
        <v>884</v>
      </c>
      <c r="C34" s="31" t="s">
        <v>885</v>
      </c>
      <c r="D34" s="31" t="s">
        <v>41</v>
      </c>
      <c r="E34" s="35">
        <v>19052</v>
      </c>
      <c r="F34" s="32">
        <v>238.207156</v>
      </c>
      <c r="G34" s="33">
        <v>0.71366485544469804</v>
      </c>
      <c r="H34" s="36"/>
    </row>
    <row r="35" spans="2:8" x14ac:dyDescent="0.2">
      <c r="B35" s="31" t="s">
        <v>886</v>
      </c>
      <c r="C35" s="31" t="s">
        <v>887</v>
      </c>
      <c r="D35" s="31" t="s">
        <v>486</v>
      </c>
      <c r="E35" s="35">
        <v>13964</v>
      </c>
      <c r="F35" s="32">
        <v>237.13664800000001</v>
      </c>
      <c r="G35" s="33">
        <v>0.71045763048176502</v>
      </c>
      <c r="H35" s="36"/>
    </row>
    <row r="36" spans="2:8" x14ac:dyDescent="0.2">
      <c r="B36" s="31" t="s">
        <v>888</v>
      </c>
      <c r="C36" s="31" t="s">
        <v>889</v>
      </c>
      <c r="D36" s="31" t="s">
        <v>94</v>
      </c>
      <c r="E36" s="35">
        <v>13353</v>
      </c>
      <c r="F36" s="32">
        <v>233.784324</v>
      </c>
      <c r="G36" s="33">
        <v>0.700414121029581</v>
      </c>
      <c r="H36" s="36"/>
    </row>
    <row r="37" spans="2:8" x14ac:dyDescent="0.2">
      <c r="B37" s="31" t="s">
        <v>890</v>
      </c>
      <c r="C37" s="31" t="s">
        <v>891</v>
      </c>
      <c r="D37" s="31" t="s">
        <v>94</v>
      </c>
      <c r="E37" s="35">
        <v>8702</v>
      </c>
      <c r="F37" s="32">
        <v>225.73858200000001</v>
      </c>
      <c r="G37" s="33">
        <v>0.676309205804552</v>
      </c>
      <c r="H37" s="36"/>
    </row>
    <row r="38" spans="2:8" x14ac:dyDescent="0.2">
      <c r="B38" s="31" t="s">
        <v>892</v>
      </c>
      <c r="C38" s="31" t="s">
        <v>893</v>
      </c>
      <c r="D38" s="31" t="s">
        <v>94</v>
      </c>
      <c r="E38" s="35">
        <v>1447</v>
      </c>
      <c r="F38" s="32">
        <v>217.09341000000001</v>
      </c>
      <c r="G38" s="33">
        <v>0.650408407821495</v>
      </c>
      <c r="H38" s="36"/>
    </row>
    <row r="39" spans="2:8" x14ac:dyDescent="0.2">
      <c r="B39" s="31" t="s">
        <v>894</v>
      </c>
      <c r="C39" s="31" t="s">
        <v>895</v>
      </c>
      <c r="D39" s="31" t="s">
        <v>896</v>
      </c>
      <c r="E39" s="35">
        <v>99691</v>
      </c>
      <c r="F39" s="32">
        <v>215.2029617</v>
      </c>
      <c r="G39" s="33">
        <v>0.644744654744551</v>
      </c>
      <c r="H39" s="36"/>
    </row>
    <row r="40" spans="2:8" x14ac:dyDescent="0.2">
      <c r="B40" s="31" t="s">
        <v>897</v>
      </c>
      <c r="C40" s="31" t="s">
        <v>898</v>
      </c>
      <c r="D40" s="31" t="s">
        <v>525</v>
      </c>
      <c r="E40" s="35">
        <v>26254</v>
      </c>
      <c r="F40" s="32">
        <v>212.39485999999999</v>
      </c>
      <c r="G40" s="33">
        <v>0.636331626658171</v>
      </c>
      <c r="H40" s="36"/>
    </row>
    <row r="41" spans="2:8" x14ac:dyDescent="0.2">
      <c r="B41" s="31" t="s">
        <v>899</v>
      </c>
      <c r="C41" s="31" t="s">
        <v>900</v>
      </c>
      <c r="D41" s="31" t="s">
        <v>563</v>
      </c>
      <c r="E41" s="35">
        <v>5249</v>
      </c>
      <c r="F41" s="32">
        <v>212.29055600000001</v>
      </c>
      <c r="G41" s="33">
        <v>0.636019133531045</v>
      </c>
      <c r="H41" s="36"/>
    </row>
    <row r="42" spans="2:8" x14ac:dyDescent="0.2">
      <c r="B42" s="31" t="s">
        <v>901</v>
      </c>
      <c r="C42" s="31" t="s">
        <v>902</v>
      </c>
      <c r="D42" s="31" t="s">
        <v>100</v>
      </c>
      <c r="E42" s="35">
        <v>39380</v>
      </c>
      <c r="F42" s="32">
        <v>207.00097</v>
      </c>
      <c r="G42" s="33">
        <v>0.62017161790035502</v>
      </c>
      <c r="H42" s="36"/>
    </row>
    <row r="43" spans="2:8" x14ac:dyDescent="0.2">
      <c r="B43" s="31" t="s">
        <v>903</v>
      </c>
      <c r="C43" s="31" t="s">
        <v>904</v>
      </c>
      <c r="D43" s="31" t="s">
        <v>486</v>
      </c>
      <c r="E43" s="35">
        <v>6020</v>
      </c>
      <c r="F43" s="32">
        <v>206.41376</v>
      </c>
      <c r="G43" s="33">
        <v>0.61841234606821205</v>
      </c>
      <c r="H43" s="36"/>
    </row>
    <row r="44" spans="2:8" x14ac:dyDescent="0.2">
      <c r="B44" s="31" t="s">
        <v>905</v>
      </c>
      <c r="C44" s="31" t="s">
        <v>906</v>
      </c>
      <c r="D44" s="31" t="s">
        <v>458</v>
      </c>
      <c r="E44" s="35">
        <v>11593</v>
      </c>
      <c r="F44" s="32">
        <v>204.80193800000001</v>
      </c>
      <c r="G44" s="33">
        <v>0.61358335296007604</v>
      </c>
      <c r="H44" s="36"/>
    </row>
    <row r="45" spans="2:8" x14ac:dyDescent="0.2">
      <c r="B45" s="31" t="s">
        <v>907</v>
      </c>
      <c r="C45" s="31" t="s">
        <v>908</v>
      </c>
      <c r="D45" s="31" t="s">
        <v>432</v>
      </c>
      <c r="E45" s="35">
        <v>4968</v>
      </c>
      <c r="F45" s="32">
        <v>202.77885599999999</v>
      </c>
      <c r="G45" s="33">
        <v>0.60752223142482398</v>
      </c>
      <c r="H45" s="36"/>
    </row>
    <row r="46" spans="2:8" x14ac:dyDescent="0.2">
      <c r="B46" s="31" t="s">
        <v>909</v>
      </c>
      <c r="C46" s="31" t="s">
        <v>910</v>
      </c>
      <c r="D46" s="31" t="s">
        <v>79</v>
      </c>
      <c r="E46" s="35">
        <v>22391</v>
      </c>
      <c r="F46" s="32">
        <v>200.55618699999999</v>
      </c>
      <c r="G46" s="33">
        <v>0.60086315040801996</v>
      </c>
      <c r="H46" s="36"/>
    </row>
    <row r="47" spans="2:8" x14ac:dyDescent="0.2">
      <c r="B47" s="31" t="s">
        <v>911</v>
      </c>
      <c r="C47" s="31" t="s">
        <v>912</v>
      </c>
      <c r="D47" s="31" t="s">
        <v>486</v>
      </c>
      <c r="E47" s="35">
        <v>36136</v>
      </c>
      <c r="F47" s="32">
        <v>200.01275999999999</v>
      </c>
      <c r="G47" s="33">
        <v>0.59923505174838199</v>
      </c>
      <c r="H47" s="36"/>
    </row>
    <row r="48" spans="2:8" x14ac:dyDescent="0.2">
      <c r="B48" s="31" t="s">
        <v>913</v>
      </c>
      <c r="C48" s="31" t="s">
        <v>914</v>
      </c>
      <c r="D48" s="31" t="s">
        <v>525</v>
      </c>
      <c r="E48" s="35">
        <v>11515</v>
      </c>
      <c r="F48" s="32">
        <v>200.00403499999999</v>
      </c>
      <c r="G48" s="33">
        <v>0.59920891178697899</v>
      </c>
      <c r="H48" s="36"/>
    </row>
    <row r="49" spans="2:8" x14ac:dyDescent="0.2">
      <c r="B49" s="31" t="s">
        <v>915</v>
      </c>
      <c r="C49" s="31" t="s">
        <v>916</v>
      </c>
      <c r="D49" s="31" t="s">
        <v>33</v>
      </c>
      <c r="E49" s="35">
        <v>171810</v>
      </c>
      <c r="F49" s="32">
        <v>199.35114300000001</v>
      </c>
      <c r="G49" s="33">
        <v>0.59725285772619796</v>
      </c>
      <c r="H49" s="36"/>
    </row>
    <row r="50" spans="2:8" x14ac:dyDescent="0.2">
      <c r="B50" s="31" t="s">
        <v>917</v>
      </c>
      <c r="C50" s="31" t="s">
        <v>918</v>
      </c>
      <c r="D50" s="31" t="s">
        <v>47</v>
      </c>
      <c r="E50" s="35">
        <v>105787</v>
      </c>
      <c r="F50" s="32">
        <v>198.3823611</v>
      </c>
      <c r="G50" s="33">
        <v>0.59435040254294202</v>
      </c>
      <c r="H50" s="36"/>
    </row>
    <row r="51" spans="2:8" x14ac:dyDescent="0.2">
      <c r="B51" s="31" t="s">
        <v>919</v>
      </c>
      <c r="C51" s="31" t="s">
        <v>920</v>
      </c>
      <c r="D51" s="31" t="s">
        <v>122</v>
      </c>
      <c r="E51" s="35">
        <v>21197</v>
      </c>
      <c r="F51" s="32">
        <v>198.21314699999999</v>
      </c>
      <c r="G51" s="33">
        <v>0.59384343978731502</v>
      </c>
      <c r="H51" s="36"/>
    </row>
    <row r="52" spans="2:8" x14ac:dyDescent="0.2">
      <c r="B52" s="31" t="s">
        <v>921</v>
      </c>
      <c r="C52" s="31" t="s">
        <v>922</v>
      </c>
      <c r="D52" s="31" t="s">
        <v>517</v>
      </c>
      <c r="E52" s="35">
        <v>117692</v>
      </c>
      <c r="F52" s="32">
        <v>195.3922584</v>
      </c>
      <c r="G52" s="33">
        <v>0.58539210235165695</v>
      </c>
      <c r="H52" s="36"/>
    </row>
    <row r="53" spans="2:8" x14ac:dyDescent="0.2">
      <c r="B53" s="31" t="s">
        <v>923</v>
      </c>
      <c r="C53" s="31" t="s">
        <v>924</v>
      </c>
      <c r="D53" s="31" t="s">
        <v>94</v>
      </c>
      <c r="E53" s="35">
        <v>13860</v>
      </c>
      <c r="F53" s="32">
        <v>193.43016</v>
      </c>
      <c r="G53" s="33">
        <v>0.57951368671327697</v>
      </c>
      <c r="H53" s="36"/>
    </row>
    <row r="54" spans="2:8" x14ac:dyDescent="0.2">
      <c r="B54" s="31" t="s">
        <v>925</v>
      </c>
      <c r="C54" s="31" t="s">
        <v>926</v>
      </c>
      <c r="D54" s="31" t="s">
        <v>67</v>
      </c>
      <c r="E54" s="35">
        <v>1267</v>
      </c>
      <c r="F54" s="32">
        <v>186.23633000000001</v>
      </c>
      <c r="G54" s="33">
        <v>0.55796108630758801</v>
      </c>
      <c r="H54" s="36"/>
    </row>
    <row r="55" spans="2:8" x14ac:dyDescent="0.2">
      <c r="B55" s="31" t="s">
        <v>927</v>
      </c>
      <c r="C55" s="31" t="s">
        <v>928</v>
      </c>
      <c r="D55" s="31" t="s">
        <v>165</v>
      </c>
      <c r="E55" s="35">
        <v>128527</v>
      </c>
      <c r="F55" s="32">
        <v>185.8628947</v>
      </c>
      <c r="G55" s="33">
        <v>0.55684228008082404</v>
      </c>
      <c r="H55" s="36"/>
    </row>
    <row r="56" spans="2:8" x14ac:dyDescent="0.2">
      <c r="B56" s="31" t="s">
        <v>929</v>
      </c>
      <c r="C56" s="31" t="s">
        <v>930</v>
      </c>
      <c r="D56" s="31" t="s">
        <v>486</v>
      </c>
      <c r="E56" s="35">
        <v>19377</v>
      </c>
      <c r="F56" s="32">
        <v>184.42059750000001</v>
      </c>
      <c r="G56" s="33">
        <v>0.55252118058057997</v>
      </c>
      <c r="H56" s="36"/>
    </row>
    <row r="57" spans="2:8" x14ac:dyDescent="0.2">
      <c r="B57" s="31" t="s">
        <v>931</v>
      </c>
      <c r="C57" s="31" t="s">
        <v>932</v>
      </c>
      <c r="D57" s="31" t="s">
        <v>534</v>
      </c>
      <c r="E57" s="35">
        <v>23316</v>
      </c>
      <c r="F57" s="32">
        <v>184.19640000000001</v>
      </c>
      <c r="G57" s="33">
        <v>0.55184948843196702</v>
      </c>
      <c r="H57" s="36"/>
    </row>
    <row r="58" spans="2:8" x14ac:dyDescent="0.2">
      <c r="B58" s="31" t="s">
        <v>933</v>
      </c>
      <c r="C58" s="31" t="s">
        <v>934</v>
      </c>
      <c r="D58" s="31" t="s">
        <v>525</v>
      </c>
      <c r="E58" s="35">
        <v>2670</v>
      </c>
      <c r="F58" s="32">
        <v>182.02725000000001</v>
      </c>
      <c r="G58" s="33">
        <v>0.54535074948901097</v>
      </c>
      <c r="H58" s="36"/>
    </row>
    <row r="59" spans="2:8" x14ac:dyDescent="0.2">
      <c r="B59" s="31" t="s">
        <v>935</v>
      </c>
      <c r="C59" s="31" t="s">
        <v>936</v>
      </c>
      <c r="D59" s="31" t="s">
        <v>67</v>
      </c>
      <c r="E59" s="35">
        <v>20542</v>
      </c>
      <c r="F59" s="32">
        <v>179.65006099999999</v>
      </c>
      <c r="G59" s="33">
        <v>0.53822872900676499</v>
      </c>
      <c r="H59" s="36"/>
    </row>
    <row r="60" spans="2:8" x14ac:dyDescent="0.2">
      <c r="B60" s="31" t="s">
        <v>937</v>
      </c>
      <c r="C60" s="31" t="s">
        <v>938</v>
      </c>
      <c r="D60" s="31" t="s">
        <v>165</v>
      </c>
      <c r="E60" s="35">
        <v>39014</v>
      </c>
      <c r="F60" s="32">
        <v>179.05475300000001</v>
      </c>
      <c r="G60" s="33">
        <v>0.53644519569525895</v>
      </c>
      <c r="H60" s="36"/>
    </row>
    <row r="61" spans="2:8" x14ac:dyDescent="0.2">
      <c r="B61" s="31" t="s">
        <v>939</v>
      </c>
      <c r="C61" s="31" t="s">
        <v>940</v>
      </c>
      <c r="D61" s="31" t="s">
        <v>458</v>
      </c>
      <c r="E61" s="35">
        <v>13069</v>
      </c>
      <c r="F61" s="32">
        <v>178.67936800000001</v>
      </c>
      <c r="G61" s="33">
        <v>0.53532054819826602</v>
      </c>
      <c r="H61" s="36"/>
    </row>
    <row r="62" spans="2:8" x14ac:dyDescent="0.2">
      <c r="B62" s="31" t="s">
        <v>941</v>
      </c>
      <c r="C62" s="31" t="s">
        <v>942</v>
      </c>
      <c r="D62" s="31" t="s">
        <v>165</v>
      </c>
      <c r="E62" s="35">
        <v>15219</v>
      </c>
      <c r="F62" s="32">
        <v>176.79912300000001</v>
      </c>
      <c r="G62" s="33">
        <v>0.529687364046042</v>
      </c>
      <c r="H62" s="36"/>
    </row>
    <row r="63" spans="2:8" x14ac:dyDescent="0.2">
      <c r="B63" s="31" t="s">
        <v>943</v>
      </c>
      <c r="C63" s="31" t="s">
        <v>944</v>
      </c>
      <c r="D63" s="31" t="s">
        <v>525</v>
      </c>
      <c r="E63" s="35">
        <v>34486</v>
      </c>
      <c r="F63" s="32">
        <v>175.01644999999999</v>
      </c>
      <c r="G63" s="33">
        <v>0.52434650405588201</v>
      </c>
      <c r="H63" s="36"/>
    </row>
    <row r="64" spans="2:8" x14ac:dyDescent="0.2">
      <c r="B64" s="31" t="s">
        <v>945</v>
      </c>
      <c r="C64" s="31" t="s">
        <v>946</v>
      </c>
      <c r="D64" s="31" t="s">
        <v>67</v>
      </c>
      <c r="E64" s="35">
        <v>426563</v>
      </c>
      <c r="F64" s="32">
        <v>172.92864019999999</v>
      </c>
      <c r="G64" s="33">
        <v>0.51809145906003395</v>
      </c>
      <c r="H64" s="36"/>
    </row>
    <row r="65" spans="2:8" x14ac:dyDescent="0.2">
      <c r="B65" s="31" t="s">
        <v>947</v>
      </c>
      <c r="C65" s="31" t="s">
        <v>948</v>
      </c>
      <c r="D65" s="31" t="s">
        <v>79</v>
      </c>
      <c r="E65" s="35">
        <v>12912</v>
      </c>
      <c r="F65" s="32">
        <v>171.27768</v>
      </c>
      <c r="G65" s="33">
        <v>0.51314520852640999</v>
      </c>
      <c r="H65" s="36"/>
    </row>
    <row r="66" spans="2:8" x14ac:dyDescent="0.2">
      <c r="B66" s="31" t="s">
        <v>949</v>
      </c>
      <c r="C66" s="31" t="s">
        <v>950</v>
      </c>
      <c r="D66" s="31" t="s">
        <v>94</v>
      </c>
      <c r="E66" s="35">
        <v>24349</v>
      </c>
      <c r="F66" s="32">
        <v>170.36995300000001</v>
      </c>
      <c r="G66" s="33">
        <v>0.510425672853694</v>
      </c>
      <c r="H66" s="36"/>
    </row>
    <row r="67" spans="2:8" x14ac:dyDescent="0.2">
      <c r="B67" s="31" t="s">
        <v>951</v>
      </c>
      <c r="C67" s="31" t="s">
        <v>952</v>
      </c>
      <c r="D67" s="31" t="s">
        <v>67</v>
      </c>
      <c r="E67" s="35">
        <v>20337</v>
      </c>
      <c r="F67" s="32">
        <v>170.0681625</v>
      </c>
      <c r="G67" s="33">
        <v>0.50952151330965001</v>
      </c>
      <c r="H67" s="36"/>
    </row>
    <row r="68" spans="2:8" x14ac:dyDescent="0.2">
      <c r="B68" s="31" t="s">
        <v>953</v>
      </c>
      <c r="C68" s="31" t="s">
        <v>954</v>
      </c>
      <c r="D68" s="31" t="s">
        <v>94</v>
      </c>
      <c r="E68" s="35">
        <v>103969</v>
      </c>
      <c r="F68" s="32">
        <v>168.29462029999999</v>
      </c>
      <c r="G68" s="33">
        <v>0.50420800905124696</v>
      </c>
      <c r="H68" s="36"/>
    </row>
    <row r="69" spans="2:8" x14ac:dyDescent="0.2">
      <c r="B69" s="31" t="s">
        <v>955</v>
      </c>
      <c r="C69" s="31" t="s">
        <v>956</v>
      </c>
      <c r="D69" s="31" t="s">
        <v>797</v>
      </c>
      <c r="E69" s="35">
        <v>28816</v>
      </c>
      <c r="F69" s="32">
        <v>167.521816</v>
      </c>
      <c r="G69" s="33">
        <v>0.50189269964447802</v>
      </c>
      <c r="H69" s="36"/>
    </row>
    <row r="70" spans="2:8" x14ac:dyDescent="0.2">
      <c r="B70" s="31" t="s">
        <v>957</v>
      </c>
      <c r="C70" s="31" t="s">
        <v>958</v>
      </c>
      <c r="D70" s="31" t="s">
        <v>79</v>
      </c>
      <c r="E70" s="35">
        <v>133351</v>
      </c>
      <c r="F70" s="32">
        <v>166.9421169</v>
      </c>
      <c r="G70" s="33">
        <v>0.50015593034942396</v>
      </c>
      <c r="H70" s="36"/>
    </row>
    <row r="71" spans="2:8" x14ac:dyDescent="0.2">
      <c r="B71" s="31" t="s">
        <v>959</v>
      </c>
      <c r="C71" s="31" t="s">
        <v>960</v>
      </c>
      <c r="D71" s="31" t="s">
        <v>87</v>
      </c>
      <c r="E71" s="35">
        <v>13891</v>
      </c>
      <c r="F71" s="32">
        <v>164.9764615</v>
      </c>
      <c r="G71" s="33">
        <v>0.49426685799554698</v>
      </c>
      <c r="H71" s="36"/>
    </row>
    <row r="72" spans="2:8" x14ac:dyDescent="0.2">
      <c r="B72" s="31" t="s">
        <v>961</v>
      </c>
      <c r="C72" s="31" t="s">
        <v>962</v>
      </c>
      <c r="D72" s="31" t="s">
        <v>94</v>
      </c>
      <c r="E72" s="35">
        <v>15052</v>
      </c>
      <c r="F72" s="32">
        <v>164.93228999999999</v>
      </c>
      <c r="G72" s="33">
        <v>0.49413452088321402</v>
      </c>
      <c r="H72" s="36"/>
    </row>
    <row r="73" spans="2:8" x14ac:dyDescent="0.2">
      <c r="B73" s="31" t="s">
        <v>963</v>
      </c>
      <c r="C73" s="31" t="s">
        <v>964</v>
      </c>
      <c r="D73" s="31" t="s">
        <v>500</v>
      </c>
      <c r="E73" s="35">
        <v>161787</v>
      </c>
      <c r="F73" s="32">
        <v>163.32397649999999</v>
      </c>
      <c r="G73" s="33">
        <v>0.489316039185346</v>
      </c>
      <c r="H73" s="36"/>
    </row>
    <row r="74" spans="2:8" x14ac:dyDescent="0.2">
      <c r="B74" s="31" t="s">
        <v>965</v>
      </c>
      <c r="C74" s="31" t="s">
        <v>966</v>
      </c>
      <c r="D74" s="31" t="s">
        <v>486</v>
      </c>
      <c r="E74" s="35">
        <v>1016</v>
      </c>
      <c r="F74" s="32">
        <v>163.25088</v>
      </c>
      <c r="G74" s="33">
        <v>0.48909704323248698</v>
      </c>
      <c r="H74" s="36"/>
    </row>
    <row r="75" spans="2:8" x14ac:dyDescent="0.2">
      <c r="B75" s="31" t="s">
        <v>967</v>
      </c>
      <c r="C75" s="31" t="s">
        <v>968</v>
      </c>
      <c r="D75" s="31" t="s">
        <v>797</v>
      </c>
      <c r="E75" s="35">
        <v>386351</v>
      </c>
      <c r="F75" s="32">
        <v>161.26290739999999</v>
      </c>
      <c r="G75" s="33">
        <v>0.48314110890192002</v>
      </c>
      <c r="H75" s="36"/>
    </row>
    <row r="76" spans="2:8" x14ac:dyDescent="0.2">
      <c r="B76" s="31" t="s">
        <v>969</v>
      </c>
      <c r="C76" s="31" t="s">
        <v>970</v>
      </c>
      <c r="D76" s="31" t="s">
        <v>47</v>
      </c>
      <c r="E76" s="35">
        <v>816875</v>
      </c>
      <c r="F76" s="32">
        <v>161.08775</v>
      </c>
      <c r="G76" s="33">
        <v>0.48261634011390298</v>
      </c>
      <c r="H76" s="36"/>
    </row>
    <row r="77" spans="2:8" x14ac:dyDescent="0.2">
      <c r="B77" s="31" t="s">
        <v>971</v>
      </c>
      <c r="C77" s="31" t="s">
        <v>972</v>
      </c>
      <c r="D77" s="31" t="s">
        <v>94</v>
      </c>
      <c r="E77" s="35">
        <v>9262</v>
      </c>
      <c r="F77" s="32">
        <v>160.982822</v>
      </c>
      <c r="G77" s="33">
        <v>0.48230197749268899</v>
      </c>
      <c r="H77" s="36"/>
    </row>
    <row r="78" spans="2:8" x14ac:dyDescent="0.2">
      <c r="B78" s="31" t="s">
        <v>973</v>
      </c>
      <c r="C78" s="31" t="s">
        <v>974</v>
      </c>
      <c r="D78" s="31" t="s">
        <v>38</v>
      </c>
      <c r="E78" s="35">
        <v>808</v>
      </c>
      <c r="F78" s="32">
        <v>160.82432</v>
      </c>
      <c r="G78" s="33">
        <v>0.48182710801850098</v>
      </c>
      <c r="H78" s="36"/>
    </row>
    <row r="79" spans="2:8" x14ac:dyDescent="0.2">
      <c r="B79" s="31" t="s">
        <v>975</v>
      </c>
      <c r="C79" s="31" t="s">
        <v>976</v>
      </c>
      <c r="D79" s="31" t="s">
        <v>41</v>
      </c>
      <c r="E79" s="35">
        <v>173730</v>
      </c>
      <c r="F79" s="32">
        <v>159.223545</v>
      </c>
      <c r="G79" s="33">
        <v>0.47703121154688299</v>
      </c>
      <c r="H79" s="36"/>
    </row>
    <row r="80" spans="2:8" x14ac:dyDescent="0.2">
      <c r="B80" s="31" t="s">
        <v>977</v>
      </c>
      <c r="C80" s="31" t="s">
        <v>978</v>
      </c>
      <c r="D80" s="31" t="s">
        <v>67</v>
      </c>
      <c r="E80" s="35">
        <v>2059</v>
      </c>
      <c r="F80" s="32">
        <v>158.29592</v>
      </c>
      <c r="G80" s="33">
        <v>0.47425206178224699</v>
      </c>
      <c r="H80" s="36"/>
    </row>
    <row r="81" spans="2:8" x14ac:dyDescent="0.2">
      <c r="B81" s="31" t="s">
        <v>979</v>
      </c>
      <c r="C81" s="31" t="s">
        <v>980</v>
      </c>
      <c r="D81" s="31" t="s">
        <v>165</v>
      </c>
      <c r="E81" s="35">
        <v>32492</v>
      </c>
      <c r="F81" s="32">
        <v>155.81538599999999</v>
      </c>
      <c r="G81" s="33">
        <v>0.46682042132164098</v>
      </c>
      <c r="H81" s="36"/>
    </row>
    <row r="82" spans="2:8" x14ac:dyDescent="0.2">
      <c r="B82" s="31" t="s">
        <v>981</v>
      </c>
      <c r="C82" s="31" t="s">
        <v>982</v>
      </c>
      <c r="D82" s="31" t="s">
        <v>165</v>
      </c>
      <c r="E82" s="35">
        <v>59432</v>
      </c>
      <c r="F82" s="32">
        <v>154.60640480000001</v>
      </c>
      <c r="G82" s="33">
        <v>0.46319833285116102</v>
      </c>
      <c r="H82" s="36"/>
    </row>
    <row r="83" spans="2:8" x14ac:dyDescent="0.2">
      <c r="B83" s="31" t="s">
        <v>983</v>
      </c>
      <c r="C83" s="31" t="s">
        <v>984</v>
      </c>
      <c r="D83" s="31" t="s">
        <v>47</v>
      </c>
      <c r="E83" s="35">
        <v>23276</v>
      </c>
      <c r="F83" s="32">
        <v>154.05220600000001</v>
      </c>
      <c r="G83" s="33">
        <v>0.46153796204983299</v>
      </c>
      <c r="H83" s="36"/>
    </row>
    <row r="84" spans="2:8" x14ac:dyDescent="0.2">
      <c r="B84" s="31" t="s">
        <v>985</v>
      </c>
      <c r="C84" s="31" t="s">
        <v>986</v>
      </c>
      <c r="D84" s="31" t="s">
        <v>797</v>
      </c>
      <c r="E84" s="35">
        <v>10638</v>
      </c>
      <c r="F84" s="32">
        <v>151.24044599999999</v>
      </c>
      <c r="G84" s="33">
        <v>0.45311397375476697</v>
      </c>
      <c r="H84" s="36"/>
    </row>
    <row r="85" spans="2:8" x14ac:dyDescent="0.2">
      <c r="B85" s="31" t="s">
        <v>987</v>
      </c>
      <c r="C85" s="31" t="s">
        <v>988</v>
      </c>
      <c r="D85" s="31" t="s">
        <v>486</v>
      </c>
      <c r="E85" s="35">
        <v>18907</v>
      </c>
      <c r="F85" s="32">
        <v>150.97239500000001</v>
      </c>
      <c r="G85" s="33">
        <v>0.45231089721676898</v>
      </c>
      <c r="H85" s="36"/>
    </row>
    <row r="86" spans="2:8" x14ac:dyDescent="0.2">
      <c r="B86" s="31" t="s">
        <v>989</v>
      </c>
      <c r="C86" s="31" t="s">
        <v>990</v>
      </c>
      <c r="D86" s="31" t="s">
        <v>44</v>
      </c>
      <c r="E86" s="35">
        <v>81028</v>
      </c>
      <c r="F86" s="32">
        <v>149.75594960000001</v>
      </c>
      <c r="G86" s="33">
        <v>0.44866644612165801</v>
      </c>
      <c r="H86" s="36"/>
    </row>
    <row r="87" spans="2:8" x14ac:dyDescent="0.2">
      <c r="B87" s="31" t="s">
        <v>991</v>
      </c>
      <c r="C87" s="31" t="s">
        <v>992</v>
      </c>
      <c r="D87" s="31" t="s">
        <v>458</v>
      </c>
      <c r="E87" s="35">
        <v>31838</v>
      </c>
      <c r="F87" s="32">
        <v>148.89040700000001</v>
      </c>
      <c r="G87" s="33">
        <v>0.44607329424124098</v>
      </c>
      <c r="H87" s="36"/>
    </row>
    <row r="88" spans="2:8" x14ac:dyDescent="0.2">
      <c r="B88" s="31" t="s">
        <v>993</v>
      </c>
      <c r="C88" s="31" t="s">
        <v>994</v>
      </c>
      <c r="D88" s="31" t="s">
        <v>517</v>
      </c>
      <c r="E88" s="35">
        <v>21052</v>
      </c>
      <c r="F88" s="32">
        <v>147.56399400000001</v>
      </c>
      <c r="G88" s="33">
        <v>0.44209938196337101</v>
      </c>
      <c r="H88" s="36"/>
    </row>
    <row r="89" spans="2:8" x14ac:dyDescent="0.2">
      <c r="B89" s="31" t="s">
        <v>995</v>
      </c>
      <c r="C89" s="31" t="s">
        <v>996</v>
      </c>
      <c r="D89" s="31" t="s">
        <v>522</v>
      </c>
      <c r="E89" s="35">
        <v>33057</v>
      </c>
      <c r="F89" s="32">
        <v>146.938365</v>
      </c>
      <c r="G89" s="33">
        <v>0.44022500741751502</v>
      </c>
      <c r="H89" s="36"/>
    </row>
    <row r="90" spans="2:8" x14ac:dyDescent="0.2">
      <c r="B90" s="31" t="s">
        <v>997</v>
      </c>
      <c r="C90" s="31" t="s">
        <v>998</v>
      </c>
      <c r="D90" s="31" t="s">
        <v>53</v>
      </c>
      <c r="E90" s="35">
        <v>17249</v>
      </c>
      <c r="F90" s="32">
        <v>145.58156</v>
      </c>
      <c r="G90" s="33">
        <v>0.43616004119042301</v>
      </c>
      <c r="H90" s="36"/>
    </row>
    <row r="91" spans="2:8" x14ac:dyDescent="0.2">
      <c r="B91" s="31" t="s">
        <v>999</v>
      </c>
      <c r="C91" s="31" t="s">
        <v>1000</v>
      </c>
      <c r="D91" s="31" t="s">
        <v>432</v>
      </c>
      <c r="E91" s="35">
        <v>4915</v>
      </c>
      <c r="F91" s="32">
        <v>144.04882000000001</v>
      </c>
      <c r="G91" s="33">
        <v>0.431567976498067</v>
      </c>
      <c r="H91" s="36"/>
    </row>
    <row r="92" spans="2:8" x14ac:dyDescent="0.2">
      <c r="B92" s="31" t="s">
        <v>1001</v>
      </c>
      <c r="C92" s="31" t="s">
        <v>1002</v>
      </c>
      <c r="D92" s="31" t="s">
        <v>87</v>
      </c>
      <c r="E92" s="35">
        <v>26970</v>
      </c>
      <c r="F92" s="32">
        <v>144.0198</v>
      </c>
      <c r="G92" s="33">
        <v>0.431481033039051</v>
      </c>
      <c r="H92" s="36"/>
    </row>
    <row r="93" spans="2:8" x14ac:dyDescent="0.2">
      <c r="B93" s="31" t="s">
        <v>1003</v>
      </c>
      <c r="C93" s="31" t="s">
        <v>1004</v>
      </c>
      <c r="D93" s="31" t="s">
        <v>41</v>
      </c>
      <c r="E93" s="35">
        <v>665687</v>
      </c>
      <c r="F93" s="32">
        <v>143.38897979999999</v>
      </c>
      <c r="G93" s="33">
        <v>0.429591105740458</v>
      </c>
      <c r="H93" s="36"/>
    </row>
    <row r="94" spans="2:8" x14ac:dyDescent="0.2">
      <c r="B94" s="31" t="s">
        <v>1005</v>
      </c>
      <c r="C94" s="31" t="s">
        <v>1006</v>
      </c>
      <c r="D94" s="31" t="s">
        <v>525</v>
      </c>
      <c r="E94" s="35">
        <v>11242</v>
      </c>
      <c r="F94" s="32">
        <v>142.239405</v>
      </c>
      <c r="G94" s="33">
        <v>0.42614699790070498</v>
      </c>
      <c r="H94" s="36"/>
    </row>
    <row r="95" spans="2:8" x14ac:dyDescent="0.2">
      <c r="B95" s="31" t="s">
        <v>1007</v>
      </c>
      <c r="C95" s="31" t="s">
        <v>1008</v>
      </c>
      <c r="D95" s="31" t="s">
        <v>47</v>
      </c>
      <c r="E95" s="35">
        <v>484156</v>
      </c>
      <c r="F95" s="32">
        <v>138.5170316</v>
      </c>
      <c r="G95" s="33">
        <v>0.41499482632437201</v>
      </c>
      <c r="H95" s="36"/>
    </row>
    <row r="96" spans="2:8" x14ac:dyDescent="0.2">
      <c r="B96" s="31" t="s">
        <v>1009</v>
      </c>
      <c r="C96" s="31" t="s">
        <v>1010</v>
      </c>
      <c r="D96" s="31" t="s">
        <v>1011</v>
      </c>
      <c r="E96" s="35">
        <v>154054</v>
      </c>
      <c r="F96" s="32">
        <v>138.2480596</v>
      </c>
      <c r="G96" s="33">
        <v>0.41418899048500402</v>
      </c>
      <c r="H96" s="36"/>
    </row>
    <row r="97" spans="2:8" x14ac:dyDescent="0.2">
      <c r="B97" s="31" t="s">
        <v>1012</v>
      </c>
      <c r="C97" s="31" t="s">
        <v>1013</v>
      </c>
      <c r="D97" s="31" t="s">
        <v>486</v>
      </c>
      <c r="E97" s="35">
        <v>30567</v>
      </c>
      <c r="F97" s="32">
        <v>138.10170600000001</v>
      </c>
      <c r="G97" s="33">
        <v>0.41375051742423802</v>
      </c>
      <c r="H97" s="36"/>
    </row>
    <row r="98" spans="2:8" x14ac:dyDescent="0.2">
      <c r="B98" s="31" t="s">
        <v>1014</v>
      </c>
      <c r="C98" s="31" t="s">
        <v>1015</v>
      </c>
      <c r="D98" s="31" t="s">
        <v>797</v>
      </c>
      <c r="E98" s="35">
        <v>8305</v>
      </c>
      <c r="F98" s="32">
        <v>137.42283499999999</v>
      </c>
      <c r="G98" s="33">
        <v>0.41171663069213399</v>
      </c>
      <c r="H98" s="36"/>
    </row>
    <row r="99" spans="2:8" x14ac:dyDescent="0.2">
      <c r="B99" s="31" t="s">
        <v>1016</v>
      </c>
      <c r="C99" s="31" t="s">
        <v>1017</v>
      </c>
      <c r="D99" s="31" t="s">
        <v>517</v>
      </c>
      <c r="E99" s="35">
        <v>48186</v>
      </c>
      <c r="F99" s="32">
        <v>137.4216534</v>
      </c>
      <c r="G99" s="33">
        <v>0.41171309063730399</v>
      </c>
      <c r="H99" s="36"/>
    </row>
    <row r="100" spans="2:8" x14ac:dyDescent="0.2">
      <c r="B100" s="31" t="s">
        <v>1018</v>
      </c>
      <c r="C100" s="31" t="s">
        <v>1019</v>
      </c>
      <c r="D100" s="31" t="s">
        <v>461</v>
      </c>
      <c r="E100" s="35">
        <v>11842</v>
      </c>
      <c r="F100" s="32">
        <v>134.418542</v>
      </c>
      <c r="G100" s="33">
        <v>0.40271581658746203</v>
      </c>
      <c r="H100" s="36"/>
    </row>
    <row r="101" spans="2:8" x14ac:dyDescent="0.2">
      <c r="B101" s="31" t="s">
        <v>1020</v>
      </c>
      <c r="C101" s="31" t="s">
        <v>1021</v>
      </c>
      <c r="D101" s="31" t="s">
        <v>94</v>
      </c>
      <c r="E101" s="35">
        <v>27300</v>
      </c>
      <c r="F101" s="32">
        <v>131.92724999999999</v>
      </c>
      <c r="G101" s="33">
        <v>0.395251945329747</v>
      </c>
      <c r="H101" s="36"/>
    </row>
    <row r="102" spans="2:8" x14ac:dyDescent="0.2">
      <c r="B102" s="31" t="s">
        <v>1022</v>
      </c>
      <c r="C102" s="31" t="s">
        <v>1023</v>
      </c>
      <c r="D102" s="31" t="s">
        <v>534</v>
      </c>
      <c r="E102" s="35">
        <v>8781</v>
      </c>
      <c r="F102" s="32">
        <v>130.50322199999999</v>
      </c>
      <c r="G102" s="33">
        <v>0.39098558006249501</v>
      </c>
      <c r="H102" s="36"/>
    </row>
    <row r="103" spans="2:8" x14ac:dyDescent="0.2">
      <c r="B103" s="31" t="s">
        <v>1024</v>
      </c>
      <c r="C103" s="31" t="s">
        <v>1025</v>
      </c>
      <c r="D103" s="31" t="s">
        <v>432</v>
      </c>
      <c r="E103" s="35">
        <v>7736</v>
      </c>
      <c r="F103" s="32">
        <v>129.276296</v>
      </c>
      <c r="G103" s="33">
        <v>0.387309729256269</v>
      </c>
      <c r="H103" s="36"/>
    </row>
    <row r="104" spans="2:8" x14ac:dyDescent="0.2">
      <c r="B104" s="31" t="s">
        <v>1026</v>
      </c>
      <c r="C104" s="31" t="s">
        <v>1027</v>
      </c>
      <c r="D104" s="31" t="s">
        <v>1011</v>
      </c>
      <c r="E104" s="35">
        <v>11968</v>
      </c>
      <c r="F104" s="32">
        <v>127.925952</v>
      </c>
      <c r="G104" s="33">
        <v>0.38326412008254401</v>
      </c>
      <c r="H104" s="36"/>
    </row>
    <row r="105" spans="2:8" x14ac:dyDescent="0.2">
      <c r="B105" s="31" t="s">
        <v>1028</v>
      </c>
      <c r="C105" s="31" t="s">
        <v>1029</v>
      </c>
      <c r="D105" s="31" t="s">
        <v>87</v>
      </c>
      <c r="E105" s="35">
        <v>12789</v>
      </c>
      <c r="F105" s="32">
        <v>126.048384</v>
      </c>
      <c r="G105" s="33">
        <v>0.37763895617979598</v>
      </c>
      <c r="H105" s="36"/>
    </row>
    <row r="106" spans="2:8" x14ac:dyDescent="0.2">
      <c r="B106" s="31" t="s">
        <v>1030</v>
      </c>
      <c r="C106" s="31" t="s">
        <v>1031</v>
      </c>
      <c r="D106" s="31" t="s">
        <v>486</v>
      </c>
      <c r="E106" s="35">
        <v>12701</v>
      </c>
      <c r="F106" s="32">
        <v>125.80975549999999</v>
      </c>
      <c r="G106" s="33">
        <v>0.37692402898442001</v>
      </c>
      <c r="H106" s="36"/>
    </row>
    <row r="107" spans="2:8" x14ac:dyDescent="0.2">
      <c r="B107" s="31" t="s">
        <v>1032</v>
      </c>
      <c r="C107" s="31" t="s">
        <v>1033</v>
      </c>
      <c r="D107" s="31" t="s">
        <v>94</v>
      </c>
      <c r="E107" s="35">
        <v>13507</v>
      </c>
      <c r="F107" s="32">
        <v>125.155862</v>
      </c>
      <c r="G107" s="33">
        <v>0.37496497444554699</v>
      </c>
      <c r="H107" s="36"/>
    </row>
    <row r="108" spans="2:8" x14ac:dyDescent="0.2">
      <c r="B108" s="31" t="s">
        <v>1034</v>
      </c>
      <c r="C108" s="31" t="s">
        <v>1035</v>
      </c>
      <c r="D108" s="31" t="s">
        <v>100</v>
      </c>
      <c r="E108" s="35">
        <v>40379</v>
      </c>
      <c r="F108" s="32">
        <v>124.79129949999999</v>
      </c>
      <c r="G108" s="33">
        <v>0.37387275098663902</v>
      </c>
      <c r="H108" s="36"/>
    </row>
    <row r="109" spans="2:8" x14ac:dyDescent="0.2">
      <c r="B109" s="31" t="s">
        <v>1036</v>
      </c>
      <c r="C109" s="31" t="s">
        <v>1037</v>
      </c>
      <c r="D109" s="31" t="s">
        <v>534</v>
      </c>
      <c r="E109" s="35">
        <v>25602</v>
      </c>
      <c r="F109" s="32">
        <v>124.656138</v>
      </c>
      <c r="G109" s="33">
        <v>0.37346780927968498</v>
      </c>
      <c r="H109" s="36"/>
    </row>
    <row r="110" spans="2:8" x14ac:dyDescent="0.2">
      <c r="B110" s="31" t="s">
        <v>1038</v>
      </c>
      <c r="C110" s="31" t="s">
        <v>1039</v>
      </c>
      <c r="D110" s="31" t="s">
        <v>79</v>
      </c>
      <c r="E110" s="35">
        <v>12211</v>
      </c>
      <c r="F110" s="32">
        <v>123.966072</v>
      </c>
      <c r="G110" s="33">
        <v>0.37140038250541502</v>
      </c>
      <c r="H110" s="36"/>
    </row>
    <row r="111" spans="2:8" x14ac:dyDescent="0.2">
      <c r="B111" s="31" t="s">
        <v>1040</v>
      </c>
      <c r="C111" s="31" t="s">
        <v>1041</v>
      </c>
      <c r="D111" s="31" t="s">
        <v>797</v>
      </c>
      <c r="E111" s="35">
        <v>14209</v>
      </c>
      <c r="F111" s="32">
        <v>123.8669575</v>
      </c>
      <c r="G111" s="33">
        <v>0.37110343703785298</v>
      </c>
      <c r="H111" s="36"/>
    </row>
    <row r="112" spans="2:8" x14ac:dyDescent="0.2">
      <c r="B112" s="31" t="s">
        <v>1042</v>
      </c>
      <c r="C112" s="31" t="s">
        <v>1043</v>
      </c>
      <c r="D112" s="31" t="s">
        <v>563</v>
      </c>
      <c r="E112" s="35">
        <v>12900</v>
      </c>
      <c r="F112" s="32">
        <v>123.70455</v>
      </c>
      <c r="G112" s="33">
        <v>0.370616866747703</v>
      </c>
      <c r="H112" s="36"/>
    </row>
    <row r="113" spans="2:8" x14ac:dyDescent="0.2">
      <c r="B113" s="31" t="s">
        <v>1044</v>
      </c>
      <c r="C113" s="31" t="s">
        <v>1045</v>
      </c>
      <c r="D113" s="31" t="s">
        <v>38</v>
      </c>
      <c r="E113" s="35">
        <v>337091</v>
      </c>
      <c r="F113" s="32">
        <v>123.2404696</v>
      </c>
      <c r="G113" s="33">
        <v>0.36922648924124102</v>
      </c>
      <c r="H113" s="36"/>
    </row>
    <row r="114" spans="2:8" x14ac:dyDescent="0.2">
      <c r="B114" s="31" t="s">
        <v>1046</v>
      </c>
      <c r="C114" s="31" t="s">
        <v>1047</v>
      </c>
      <c r="D114" s="31" t="s">
        <v>165</v>
      </c>
      <c r="E114" s="35">
        <v>14139</v>
      </c>
      <c r="F114" s="32">
        <v>122.3376975</v>
      </c>
      <c r="G114" s="33">
        <v>0.36652179837021598</v>
      </c>
      <c r="H114" s="36"/>
    </row>
    <row r="115" spans="2:8" x14ac:dyDescent="0.2">
      <c r="B115" s="31" t="s">
        <v>1048</v>
      </c>
      <c r="C115" s="31" t="s">
        <v>1049</v>
      </c>
      <c r="D115" s="31" t="s">
        <v>500</v>
      </c>
      <c r="E115" s="35">
        <v>9817</v>
      </c>
      <c r="F115" s="32">
        <v>122.09402900000001</v>
      </c>
      <c r="G115" s="33">
        <v>0.36579177141490099</v>
      </c>
      <c r="H115" s="36"/>
    </row>
    <row r="116" spans="2:8" x14ac:dyDescent="0.2">
      <c r="B116" s="31" t="s">
        <v>1050</v>
      </c>
      <c r="C116" s="31" t="s">
        <v>1051</v>
      </c>
      <c r="D116" s="31" t="s">
        <v>41</v>
      </c>
      <c r="E116" s="35">
        <v>21760</v>
      </c>
      <c r="F116" s="32">
        <v>122.00832</v>
      </c>
      <c r="G116" s="33">
        <v>0.36553498861239297</v>
      </c>
      <c r="H116" s="36"/>
    </row>
    <row r="117" spans="2:8" x14ac:dyDescent="0.2">
      <c r="B117" s="31" t="s">
        <v>1052</v>
      </c>
      <c r="C117" s="31" t="s">
        <v>1053</v>
      </c>
      <c r="D117" s="31" t="s">
        <v>94</v>
      </c>
      <c r="E117" s="35">
        <v>9216</v>
      </c>
      <c r="F117" s="32">
        <v>121.918464</v>
      </c>
      <c r="G117" s="33">
        <v>0.36526578146375899</v>
      </c>
      <c r="H117" s="36"/>
    </row>
    <row r="118" spans="2:8" x14ac:dyDescent="0.2">
      <c r="B118" s="31" t="s">
        <v>1054</v>
      </c>
      <c r="C118" s="31" t="s">
        <v>1055</v>
      </c>
      <c r="D118" s="31" t="s">
        <v>486</v>
      </c>
      <c r="E118" s="35">
        <v>41144</v>
      </c>
      <c r="F118" s="32">
        <v>121.909672</v>
      </c>
      <c r="G118" s="33">
        <v>0.36523944077142001</v>
      </c>
      <c r="H118" s="36"/>
    </row>
    <row r="119" spans="2:8" x14ac:dyDescent="0.2">
      <c r="B119" s="31" t="s">
        <v>1056</v>
      </c>
      <c r="C119" s="31" t="s">
        <v>1057</v>
      </c>
      <c r="D119" s="31" t="s">
        <v>67</v>
      </c>
      <c r="E119" s="35">
        <v>3513</v>
      </c>
      <c r="F119" s="32">
        <v>121.029876</v>
      </c>
      <c r="G119" s="33">
        <v>0.36260358593101899</v>
      </c>
      <c r="H119" s="36"/>
    </row>
    <row r="120" spans="2:8" x14ac:dyDescent="0.2">
      <c r="B120" s="31" t="s">
        <v>1058</v>
      </c>
      <c r="C120" s="31" t="s">
        <v>1059</v>
      </c>
      <c r="D120" s="31" t="s">
        <v>165</v>
      </c>
      <c r="E120" s="35">
        <v>64849</v>
      </c>
      <c r="F120" s="32">
        <v>120.7358682</v>
      </c>
      <c r="G120" s="33">
        <v>0.361722743232546</v>
      </c>
      <c r="H120" s="36"/>
    </row>
    <row r="121" spans="2:8" x14ac:dyDescent="0.2">
      <c r="B121" s="31" t="s">
        <v>1060</v>
      </c>
      <c r="C121" s="31" t="s">
        <v>1061</v>
      </c>
      <c r="D121" s="31" t="s">
        <v>94</v>
      </c>
      <c r="E121" s="35">
        <v>2542</v>
      </c>
      <c r="F121" s="32">
        <v>119.743452</v>
      </c>
      <c r="G121" s="33">
        <v>0.35874948006192198</v>
      </c>
      <c r="H121" s="36"/>
    </row>
    <row r="122" spans="2:8" x14ac:dyDescent="0.2">
      <c r="B122" s="31" t="s">
        <v>1062</v>
      </c>
      <c r="C122" s="31" t="s">
        <v>1063</v>
      </c>
      <c r="D122" s="31" t="s">
        <v>165</v>
      </c>
      <c r="E122" s="35">
        <v>9077</v>
      </c>
      <c r="F122" s="32">
        <v>118.010077</v>
      </c>
      <c r="G122" s="33">
        <v>0.35355631609666099</v>
      </c>
      <c r="H122" s="36"/>
    </row>
    <row r="123" spans="2:8" x14ac:dyDescent="0.2">
      <c r="B123" s="31" t="s">
        <v>1064</v>
      </c>
      <c r="C123" s="31" t="s">
        <v>1065</v>
      </c>
      <c r="D123" s="31" t="s">
        <v>58</v>
      </c>
      <c r="E123" s="35">
        <v>6416</v>
      </c>
      <c r="F123" s="32">
        <v>115.87937599999999</v>
      </c>
      <c r="G123" s="33">
        <v>0.347172769746941</v>
      </c>
      <c r="H123" s="36"/>
    </row>
    <row r="124" spans="2:8" x14ac:dyDescent="0.2">
      <c r="B124" s="31" t="s">
        <v>1066</v>
      </c>
      <c r="C124" s="31" t="s">
        <v>1067</v>
      </c>
      <c r="D124" s="31" t="s">
        <v>41</v>
      </c>
      <c r="E124" s="35">
        <v>45954</v>
      </c>
      <c r="F124" s="32">
        <v>115.7765076</v>
      </c>
      <c r="G124" s="33">
        <v>0.34686457765461098</v>
      </c>
      <c r="H124" s="36"/>
    </row>
    <row r="125" spans="2:8" x14ac:dyDescent="0.2">
      <c r="B125" s="31" t="s">
        <v>1068</v>
      </c>
      <c r="C125" s="31" t="s">
        <v>1069</v>
      </c>
      <c r="D125" s="31" t="s">
        <v>84</v>
      </c>
      <c r="E125" s="35">
        <v>7081</v>
      </c>
      <c r="F125" s="32">
        <v>114.95295400000001</v>
      </c>
      <c r="G125" s="33">
        <v>0.344397224151196</v>
      </c>
      <c r="H125" s="36"/>
    </row>
    <row r="126" spans="2:8" x14ac:dyDescent="0.2">
      <c r="B126" s="31" t="s">
        <v>1070</v>
      </c>
      <c r="C126" s="31" t="s">
        <v>1071</v>
      </c>
      <c r="D126" s="31" t="s">
        <v>896</v>
      </c>
      <c r="E126" s="35">
        <v>53304</v>
      </c>
      <c r="F126" s="32">
        <v>114.0385776</v>
      </c>
      <c r="G126" s="33">
        <v>0.34165776698170602</v>
      </c>
      <c r="H126" s="36"/>
    </row>
    <row r="127" spans="2:8" x14ac:dyDescent="0.2">
      <c r="B127" s="31" t="s">
        <v>1072</v>
      </c>
      <c r="C127" s="31" t="s">
        <v>1073</v>
      </c>
      <c r="D127" s="31" t="s">
        <v>797</v>
      </c>
      <c r="E127" s="35">
        <v>2779</v>
      </c>
      <c r="F127" s="32">
        <v>112.960792</v>
      </c>
      <c r="G127" s="33">
        <v>0.338428738444779</v>
      </c>
      <c r="H127" s="36"/>
    </row>
    <row r="128" spans="2:8" x14ac:dyDescent="0.2">
      <c r="B128" s="31" t="s">
        <v>1074</v>
      </c>
      <c r="C128" s="31" t="s">
        <v>1075</v>
      </c>
      <c r="D128" s="31" t="s">
        <v>41</v>
      </c>
      <c r="E128" s="35">
        <v>68482</v>
      </c>
      <c r="F128" s="32">
        <v>112.20090879999999</v>
      </c>
      <c r="G128" s="33">
        <v>0.33615214044835701</v>
      </c>
      <c r="H128" s="36"/>
    </row>
    <row r="129" spans="2:8" x14ac:dyDescent="0.2">
      <c r="B129" s="31" t="s">
        <v>1076</v>
      </c>
      <c r="C129" s="31" t="s">
        <v>1077</v>
      </c>
      <c r="D129" s="31" t="s">
        <v>500</v>
      </c>
      <c r="E129" s="35">
        <v>19349</v>
      </c>
      <c r="F129" s="32">
        <v>110.9181425</v>
      </c>
      <c r="G129" s="33">
        <v>0.33230899299035699</v>
      </c>
      <c r="H129" s="36"/>
    </row>
    <row r="130" spans="2:8" x14ac:dyDescent="0.2">
      <c r="B130" s="31" t="s">
        <v>1078</v>
      </c>
      <c r="C130" s="31" t="s">
        <v>1079</v>
      </c>
      <c r="D130" s="31" t="s">
        <v>621</v>
      </c>
      <c r="E130" s="35">
        <v>25217</v>
      </c>
      <c r="F130" s="32">
        <v>110.46306850000001</v>
      </c>
      <c r="G130" s="33">
        <v>0.33094559851522798</v>
      </c>
      <c r="H130" s="36"/>
    </row>
    <row r="131" spans="2:8" x14ac:dyDescent="0.2">
      <c r="B131" s="31" t="s">
        <v>1080</v>
      </c>
      <c r="C131" s="31" t="s">
        <v>1081</v>
      </c>
      <c r="D131" s="31" t="s">
        <v>67</v>
      </c>
      <c r="E131" s="35">
        <v>10636</v>
      </c>
      <c r="F131" s="32">
        <v>109.08281599999999</v>
      </c>
      <c r="G131" s="33">
        <v>0.32681038395060003</v>
      </c>
      <c r="H131" s="36"/>
    </row>
    <row r="132" spans="2:8" x14ac:dyDescent="0.2">
      <c r="B132" s="31" t="s">
        <v>1082</v>
      </c>
      <c r="C132" s="31" t="s">
        <v>1083</v>
      </c>
      <c r="D132" s="31" t="s">
        <v>50</v>
      </c>
      <c r="E132" s="35">
        <v>14624</v>
      </c>
      <c r="F132" s="32">
        <v>108.999984</v>
      </c>
      <c r="G132" s="33">
        <v>0.32656222059439</v>
      </c>
      <c r="H132" s="36"/>
    </row>
    <row r="133" spans="2:8" x14ac:dyDescent="0.2">
      <c r="B133" s="31" t="s">
        <v>1084</v>
      </c>
      <c r="C133" s="31" t="s">
        <v>1085</v>
      </c>
      <c r="D133" s="31" t="s">
        <v>522</v>
      </c>
      <c r="E133" s="35">
        <v>1365</v>
      </c>
      <c r="F133" s="32">
        <v>108.565275</v>
      </c>
      <c r="G133" s="33">
        <v>0.32525983933576202</v>
      </c>
      <c r="H133" s="36"/>
    </row>
    <row r="134" spans="2:8" x14ac:dyDescent="0.2">
      <c r="B134" s="31" t="s">
        <v>1086</v>
      </c>
      <c r="C134" s="31" t="s">
        <v>1087</v>
      </c>
      <c r="D134" s="31" t="s">
        <v>517</v>
      </c>
      <c r="E134" s="35">
        <v>9556</v>
      </c>
      <c r="F134" s="32">
        <v>108.52271399999999</v>
      </c>
      <c r="G134" s="33">
        <v>0.32513232725584601</v>
      </c>
      <c r="H134" s="36"/>
    </row>
    <row r="135" spans="2:8" x14ac:dyDescent="0.2">
      <c r="B135" s="31" t="s">
        <v>1088</v>
      </c>
      <c r="C135" s="31" t="s">
        <v>1089</v>
      </c>
      <c r="D135" s="31" t="s">
        <v>84</v>
      </c>
      <c r="E135" s="35">
        <v>5133</v>
      </c>
      <c r="F135" s="32">
        <v>107.977788</v>
      </c>
      <c r="G135" s="33">
        <v>0.32349973761601902</v>
      </c>
      <c r="H135" s="36"/>
    </row>
    <row r="136" spans="2:8" x14ac:dyDescent="0.2">
      <c r="B136" s="31" t="s">
        <v>1090</v>
      </c>
      <c r="C136" s="31" t="s">
        <v>1091</v>
      </c>
      <c r="D136" s="31" t="s">
        <v>41</v>
      </c>
      <c r="E136" s="35">
        <v>8414</v>
      </c>
      <c r="F136" s="32">
        <v>107.972655</v>
      </c>
      <c r="G136" s="33">
        <v>0.32348435922955698</v>
      </c>
      <c r="H136" s="36"/>
    </row>
    <row r="137" spans="2:8" x14ac:dyDescent="0.2">
      <c r="B137" s="31" t="s">
        <v>1092</v>
      </c>
      <c r="C137" s="31" t="s">
        <v>1093</v>
      </c>
      <c r="D137" s="31" t="s">
        <v>563</v>
      </c>
      <c r="E137" s="35">
        <v>14301</v>
      </c>
      <c r="F137" s="32">
        <v>107.2503495</v>
      </c>
      <c r="G137" s="33">
        <v>0.32132034342541199</v>
      </c>
      <c r="H137" s="36"/>
    </row>
    <row r="138" spans="2:8" x14ac:dyDescent="0.2">
      <c r="B138" s="31" t="s">
        <v>1094</v>
      </c>
      <c r="C138" s="31" t="s">
        <v>1095</v>
      </c>
      <c r="D138" s="31" t="s">
        <v>534</v>
      </c>
      <c r="E138" s="35">
        <v>7471</v>
      </c>
      <c r="F138" s="32">
        <v>107.089314</v>
      </c>
      <c r="G138" s="33">
        <v>0.320837883625469</v>
      </c>
      <c r="H138" s="36"/>
    </row>
    <row r="139" spans="2:8" x14ac:dyDescent="0.2">
      <c r="B139" s="31" t="s">
        <v>1096</v>
      </c>
      <c r="C139" s="31" t="s">
        <v>1097</v>
      </c>
      <c r="D139" s="31" t="s">
        <v>67</v>
      </c>
      <c r="E139" s="35">
        <v>50224</v>
      </c>
      <c r="F139" s="32">
        <v>106.8364928</v>
      </c>
      <c r="G139" s="33">
        <v>0.320080435326345</v>
      </c>
      <c r="H139" s="36"/>
    </row>
    <row r="140" spans="2:8" x14ac:dyDescent="0.2">
      <c r="B140" s="31" t="s">
        <v>1098</v>
      </c>
      <c r="C140" s="31" t="s">
        <v>1099</v>
      </c>
      <c r="D140" s="31" t="s">
        <v>497</v>
      </c>
      <c r="E140" s="35">
        <v>33236</v>
      </c>
      <c r="F140" s="32">
        <v>106.00622199999999</v>
      </c>
      <c r="G140" s="33">
        <v>0.317592957198433</v>
      </c>
      <c r="H140" s="36"/>
    </row>
    <row r="141" spans="2:8" x14ac:dyDescent="0.2">
      <c r="B141" s="31" t="s">
        <v>1100</v>
      </c>
      <c r="C141" s="31" t="s">
        <v>1101</v>
      </c>
      <c r="D141" s="31" t="s">
        <v>458</v>
      </c>
      <c r="E141" s="35">
        <v>8380</v>
      </c>
      <c r="F141" s="32">
        <v>104.94274</v>
      </c>
      <c r="G141" s="33">
        <v>0.31440678201989197</v>
      </c>
      <c r="H141" s="36"/>
    </row>
    <row r="142" spans="2:8" x14ac:dyDescent="0.2">
      <c r="B142" s="31" t="s">
        <v>1102</v>
      </c>
      <c r="C142" s="31" t="s">
        <v>1103</v>
      </c>
      <c r="D142" s="31" t="s">
        <v>693</v>
      </c>
      <c r="E142" s="35">
        <v>17067</v>
      </c>
      <c r="F142" s="32">
        <v>104.45004</v>
      </c>
      <c r="G142" s="33">
        <v>0.31293066064645397</v>
      </c>
      <c r="H142" s="36"/>
    </row>
    <row r="143" spans="2:8" x14ac:dyDescent="0.2">
      <c r="B143" s="31" t="s">
        <v>1104</v>
      </c>
      <c r="C143" s="31" t="s">
        <v>1105</v>
      </c>
      <c r="D143" s="31" t="s">
        <v>563</v>
      </c>
      <c r="E143" s="35">
        <v>13442</v>
      </c>
      <c r="F143" s="32">
        <v>103.28832800000001</v>
      </c>
      <c r="G143" s="33">
        <v>0.30945018994830098</v>
      </c>
      <c r="H143" s="36"/>
    </row>
    <row r="144" spans="2:8" x14ac:dyDescent="0.2">
      <c r="B144" s="31" t="s">
        <v>1106</v>
      </c>
      <c r="C144" s="31" t="s">
        <v>1107</v>
      </c>
      <c r="D144" s="31" t="s">
        <v>67</v>
      </c>
      <c r="E144" s="35">
        <v>17262</v>
      </c>
      <c r="F144" s="32">
        <v>103.27854600000001</v>
      </c>
      <c r="G144" s="33">
        <v>0.30942088323168798</v>
      </c>
      <c r="H144" s="36"/>
    </row>
    <row r="145" spans="2:8" x14ac:dyDescent="0.2">
      <c r="B145" s="31" t="s">
        <v>1108</v>
      </c>
      <c r="C145" s="31" t="s">
        <v>1109</v>
      </c>
      <c r="D145" s="31" t="s">
        <v>486</v>
      </c>
      <c r="E145" s="35">
        <v>11784</v>
      </c>
      <c r="F145" s="32">
        <v>102.9627</v>
      </c>
      <c r="G145" s="33">
        <v>0.30847461363291601</v>
      </c>
      <c r="H145" s="36"/>
    </row>
    <row r="146" spans="2:8" x14ac:dyDescent="0.2">
      <c r="B146" s="31" t="s">
        <v>1110</v>
      </c>
      <c r="C146" s="31" t="s">
        <v>1111</v>
      </c>
      <c r="D146" s="31" t="s">
        <v>50</v>
      </c>
      <c r="E146" s="35">
        <v>27829</v>
      </c>
      <c r="F146" s="32">
        <v>102.8142405</v>
      </c>
      <c r="G146" s="33">
        <v>0.30802983132920198</v>
      </c>
      <c r="H146" s="36"/>
    </row>
    <row r="147" spans="2:8" x14ac:dyDescent="0.2">
      <c r="B147" s="31" t="s">
        <v>1112</v>
      </c>
      <c r="C147" s="31" t="s">
        <v>1113</v>
      </c>
      <c r="D147" s="31" t="s">
        <v>642</v>
      </c>
      <c r="E147" s="35">
        <v>13884</v>
      </c>
      <c r="F147" s="32">
        <v>102.207066</v>
      </c>
      <c r="G147" s="33">
        <v>0.30621074617219601</v>
      </c>
      <c r="H147" s="36"/>
    </row>
    <row r="148" spans="2:8" x14ac:dyDescent="0.2">
      <c r="B148" s="31" t="s">
        <v>1114</v>
      </c>
      <c r="C148" s="31" t="s">
        <v>1115</v>
      </c>
      <c r="D148" s="31" t="s">
        <v>621</v>
      </c>
      <c r="E148" s="35">
        <v>2139</v>
      </c>
      <c r="F148" s="32">
        <v>101.904099</v>
      </c>
      <c r="G148" s="33">
        <v>0.30530306185284001</v>
      </c>
      <c r="H148" s="36"/>
    </row>
    <row r="149" spans="2:8" x14ac:dyDescent="0.2">
      <c r="B149" s="31" t="s">
        <v>1116</v>
      </c>
      <c r="C149" s="31" t="s">
        <v>1117</v>
      </c>
      <c r="D149" s="31" t="s">
        <v>525</v>
      </c>
      <c r="E149" s="35">
        <v>14114</v>
      </c>
      <c r="F149" s="32">
        <v>100.738675</v>
      </c>
      <c r="G149" s="33">
        <v>0.30181147006165199</v>
      </c>
      <c r="H149" s="36"/>
    </row>
    <row r="150" spans="2:8" x14ac:dyDescent="0.2">
      <c r="B150" s="31" t="s">
        <v>1118</v>
      </c>
      <c r="C150" s="31" t="s">
        <v>1119</v>
      </c>
      <c r="D150" s="31" t="s">
        <v>461</v>
      </c>
      <c r="E150" s="35">
        <v>19266</v>
      </c>
      <c r="F150" s="32">
        <v>100.385493</v>
      </c>
      <c r="G150" s="33">
        <v>0.30075334239996399</v>
      </c>
      <c r="H150" s="36"/>
    </row>
    <row r="151" spans="2:8" x14ac:dyDescent="0.2">
      <c r="B151" s="31" t="s">
        <v>1120</v>
      </c>
      <c r="C151" s="31" t="s">
        <v>1121</v>
      </c>
      <c r="D151" s="31" t="s">
        <v>1011</v>
      </c>
      <c r="E151" s="35">
        <v>16576</v>
      </c>
      <c r="F151" s="32">
        <v>100.38425599999999</v>
      </c>
      <c r="G151" s="33">
        <v>0.30074963636761398</v>
      </c>
      <c r="H151" s="36"/>
    </row>
    <row r="152" spans="2:8" x14ac:dyDescent="0.2">
      <c r="B152" s="31" t="s">
        <v>1122</v>
      </c>
      <c r="C152" s="31" t="s">
        <v>1123</v>
      </c>
      <c r="D152" s="31" t="s">
        <v>461</v>
      </c>
      <c r="E152" s="35">
        <v>23075</v>
      </c>
      <c r="F152" s="32">
        <v>99.372487500000005</v>
      </c>
      <c r="G152" s="33">
        <v>0.29771839401360201</v>
      </c>
      <c r="H152" s="36"/>
    </row>
    <row r="153" spans="2:8" x14ac:dyDescent="0.2">
      <c r="B153" s="31" t="s">
        <v>1124</v>
      </c>
      <c r="C153" s="31" t="s">
        <v>1125</v>
      </c>
      <c r="D153" s="31" t="s">
        <v>896</v>
      </c>
      <c r="E153" s="35">
        <v>6873</v>
      </c>
      <c r="F153" s="32">
        <v>98.215170000000001</v>
      </c>
      <c r="G153" s="33">
        <v>0.29425108916764198</v>
      </c>
      <c r="H153" s="36"/>
    </row>
    <row r="154" spans="2:8" x14ac:dyDescent="0.2">
      <c r="B154" s="31" t="s">
        <v>1126</v>
      </c>
      <c r="C154" s="31" t="s">
        <v>1127</v>
      </c>
      <c r="D154" s="31" t="s">
        <v>50</v>
      </c>
      <c r="E154" s="35">
        <v>19111</v>
      </c>
      <c r="F154" s="32">
        <v>98.201873500000005</v>
      </c>
      <c r="G154" s="33">
        <v>0.29421125306485701</v>
      </c>
      <c r="H154" s="36"/>
    </row>
    <row r="155" spans="2:8" x14ac:dyDescent="0.2">
      <c r="B155" s="31" t="s">
        <v>1128</v>
      </c>
      <c r="C155" s="31" t="s">
        <v>1129</v>
      </c>
      <c r="D155" s="31" t="s">
        <v>497</v>
      </c>
      <c r="E155" s="35">
        <v>83384</v>
      </c>
      <c r="F155" s="32">
        <v>98.051245600000001</v>
      </c>
      <c r="G155" s="33">
        <v>0.29375997426918798</v>
      </c>
      <c r="H155" s="36"/>
    </row>
    <row r="156" spans="2:8" x14ac:dyDescent="0.2">
      <c r="B156" s="31" t="s">
        <v>1130</v>
      </c>
      <c r="C156" s="31" t="s">
        <v>1131</v>
      </c>
      <c r="D156" s="31" t="s">
        <v>1132</v>
      </c>
      <c r="E156" s="35">
        <v>6409</v>
      </c>
      <c r="F156" s="32">
        <v>96.910488999999998</v>
      </c>
      <c r="G156" s="33">
        <v>0.290342285616558</v>
      </c>
      <c r="H156" s="36"/>
    </row>
    <row r="157" spans="2:8" x14ac:dyDescent="0.2">
      <c r="B157" s="31" t="s">
        <v>1133</v>
      </c>
      <c r="C157" s="31" t="s">
        <v>1134</v>
      </c>
      <c r="D157" s="31" t="s">
        <v>94</v>
      </c>
      <c r="E157" s="35">
        <v>5768</v>
      </c>
      <c r="F157" s="32">
        <v>96.908168000000003</v>
      </c>
      <c r="G157" s="33">
        <v>0.290335331937427</v>
      </c>
      <c r="H157" s="36"/>
    </row>
    <row r="158" spans="2:8" x14ac:dyDescent="0.2">
      <c r="B158" s="31" t="s">
        <v>1135</v>
      </c>
      <c r="C158" s="31" t="s">
        <v>1136</v>
      </c>
      <c r="D158" s="31" t="s">
        <v>28</v>
      </c>
      <c r="E158" s="35">
        <v>74821</v>
      </c>
      <c r="F158" s="32">
        <v>96.5340542</v>
      </c>
      <c r="G158" s="33">
        <v>0.28921449293544099</v>
      </c>
      <c r="H158" s="36"/>
    </row>
    <row r="159" spans="2:8" x14ac:dyDescent="0.2">
      <c r="B159" s="31" t="s">
        <v>1137</v>
      </c>
      <c r="C159" s="31" t="s">
        <v>1138</v>
      </c>
      <c r="D159" s="31" t="s">
        <v>621</v>
      </c>
      <c r="E159" s="35">
        <v>10452</v>
      </c>
      <c r="F159" s="32">
        <v>93.984384000000006</v>
      </c>
      <c r="G159" s="33">
        <v>0.28157572151786597</v>
      </c>
      <c r="H159" s="36"/>
    </row>
    <row r="160" spans="2:8" x14ac:dyDescent="0.2">
      <c r="B160" s="31" t="s">
        <v>1139</v>
      </c>
      <c r="C160" s="31" t="s">
        <v>1140</v>
      </c>
      <c r="D160" s="31" t="s">
        <v>621</v>
      </c>
      <c r="E160" s="35">
        <v>72669</v>
      </c>
      <c r="F160" s="32">
        <v>93.713942399999993</v>
      </c>
      <c r="G160" s="33">
        <v>0.28076548278024299</v>
      </c>
      <c r="H160" s="36"/>
    </row>
    <row r="161" spans="2:8" x14ac:dyDescent="0.2">
      <c r="B161" s="31" t="s">
        <v>1141</v>
      </c>
      <c r="C161" s="31" t="s">
        <v>1142</v>
      </c>
      <c r="D161" s="31" t="s">
        <v>84</v>
      </c>
      <c r="E161" s="35">
        <v>90696</v>
      </c>
      <c r="F161" s="32">
        <v>93.217348799999996</v>
      </c>
      <c r="G161" s="33">
        <v>0.27927769624305498</v>
      </c>
      <c r="H161" s="36"/>
    </row>
    <row r="162" spans="2:8" x14ac:dyDescent="0.2">
      <c r="B162" s="31" t="s">
        <v>1143</v>
      </c>
      <c r="C162" s="31" t="s">
        <v>1144</v>
      </c>
      <c r="D162" s="31" t="s">
        <v>458</v>
      </c>
      <c r="E162" s="35">
        <v>8205</v>
      </c>
      <c r="F162" s="32">
        <v>92.683679999999995</v>
      </c>
      <c r="G162" s="33">
        <v>0.27767883299560697</v>
      </c>
      <c r="H162" s="36"/>
    </row>
    <row r="163" spans="2:8" x14ac:dyDescent="0.2">
      <c r="B163" s="31" t="s">
        <v>1145</v>
      </c>
      <c r="C163" s="31" t="s">
        <v>1146</v>
      </c>
      <c r="D163" s="31" t="s">
        <v>165</v>
      </c>
      <c r="E163" s="35">
        <v>6679</v>
      </c>
      <c r="F163" s="32">
        <v>92.216953000000004</v>
      </c>
      <c r="G163" s="33">
        <v>0.27628052631758698</v>
      </c>
      <c r="H163" s="36"/>
    </row>
    <row r="164" spans="2:8" x14ac:dyDescent="0.2">
      <c r="B164" s="31" t="s">
        <v>1147</v>
      </c>
      <c r="C164" s="31" t="s">
        <v>1148</v>
      </c>
      <c r="D164" s="31" t="s">
        <v>64</v>
      </c>
      <c r="E164" s="35">
        <v>15424</v>
      </c>
      <c r="F164" s="32">
        <v>91.240672000000004</v>
      </c>
      <c r="G164" s="33">
        <v>0.27335560394985398</v>
      </c>
      <c r="H164" s="36"/>
    </row>
    <row r="165" spans="2:8" x14ac:dyDescent="0.2">
      <c r="B165" s="31" t="s">
        <v>1149</v>
      </c>
      <c r="C165" s="31" t="s">
        <v>1150</v>
      </c>
      <c r="D165" s="31" t="s">
        <v>84</v>
      </c>
      <c r="E165" s="35">
        <v>47206</v>
      </c>
      <c r="F165" s="32">
        <v>91.168947799999998</v>
      </c>
      <c r="G165" s="33">
        <v>0.27314071938599599</v>
      </c>
      <c r="H165" s="36"/>
    </row>
    <row r="166" spans="2:8" x14ac:dyDescent="0.2">
      <c r="B166" s="31" t="s">
        <v>1151</v>
      </c>
      <c r="C166" s="31" t="s">
        <v>1152</v>
      </c>
      <c r="D166" s="31" t="s">
        <v>44</v>
      </c>
      <c r="E166" s="35">
        <v>8070</v>
      </c>
      <c r="F166" s="32">
        <v>91.057845</v>
      </c>
      <c r="G166" s="33">
        <v>0.27280785716206901</v>
      </c>
      <c r="H166" s="36"/>
    </row>
    <row r="167" spans="2:8" x14ac:dyDescent="0.2">
      <c r="B167" s="31" t="s">
        <v>1153</v>
      </c>
      <c r="C167" s="31" t="s">
        <v>1154</v>
      </c>
      <c r="D167" s="31" t="s">
        <v>497</v>
      </c>
      <c r="E167" s="35">
        <v>11989</v>
      </c>
      <c r="F167" s="32">
        <v>90.840653000000003</v>
      </c>
      <c r="G167" s="33">
        <v>0.27215715338017399</v>
      </c>
      <c r="H167" s="36"/>
    </row>
    <row r="168" spans="2:8" x14ac:dyDescent="0.2">
      <c r="B168" s="31" t="s">
        <v>1155</v>
      </c>
      <c r="C168" s="31" t="s">
        <v>1156</v>
      </c>
      <c r="D168" s="31" t="s">
        <v>165</v>
      </c>
      <c r="E168" s="35">
        <v>64851</v>
      </c>
      <c r="F168" s="32">
        <v>90.188285699999994</v>
      </c>
      <c r="G168" s="33">
        <v>0.270202671312257</v>
      </c>
      <c r="H168" s="36"/>
    </row>
    <row r="169" spans="2:8" x14ac:dyDescent="0.2">
      <c r="B169" s="31" t="s">
        <v>1157</v>
      </c>
      <c r="C169" s="31" t="s">
        <v>1158</v>
      </c>
      <c r="D169" s="31" t="s">
        <v>84</v>
      </c>
      <c r="E169" s="35">
        <v>37147</v>
      </c>
      <c r="F169" s="32">
        <v>88.859338699999995</v>
      </c>
      <c r="G169" s="33">
        <v>0.26622116721063999</v>
      </c>
      <c r="H169" s="36"/>
    </row>
    <row r="170" spans="2:8" x14ac:dyDescent="0.2">
      <c r="B170" s="31" t="s">
        <v>1159</v>
      </c>
      <c r="C170" s="31" t="s">
        <v>1160</v>
      </c>
      <c r="D170" s="31" t="s">
        <v>165</v>
      </c>
      <c r="E170" s="35">
        <v>13286</v>
      </c>
      <c r="F170" s="32">
        <v>88.145966999999999</v>
      </c>
      <c r="G170" s="33">
        <v>0.26408391692938099</v>
      </c>
      <c r="H170" s="36"/>
    </row>
    <row r="171" spans="2:8" x14ac:dyDescent="0.2">
      <c r="B171" s="31" t="s">
        <v>1161</v>
      </c>
      <c r="C171" s="31" t="s">
        <v>1162</v>
      </c>
      <c r="D171" s="31" t="s">
        <v>41</v>
      </c>
      <c r="E171" s="35">
        <v>25898</v>
      </c>
      <c r="F171" s="32">
        <v>87.975505999999996</v>
      </c>
      <c r="G171" s="33">
        <v>0.263573218481162</v>
      </c>
      <c r="H171" s="36"/>
    </row>
    <row r="172" spans="2:8" x14ac:dyDescent="0.2">
      <c r="B172" s="31" t="s">
        <v>1163</v>
      </c>
      <c r="C172" s="31" t="s">
        <v>1164</v>
      </c>
      <c r="D172" s="31" t="s">
        <v>165</v>
      </c>
      <c r="E172" s="35">
        <v>17936</v>
      </c>
      <c r="F172" s="32">
        <v>87.635295999999997</v>
      </c>
      <c r="G172" s="33">
        <v>0.26255395472541299</v>
      </c>
      <c r="H172" s="36"/>
    </row>
    <row r="173" spans="2:8" x14ac:dyDescent="0.2">
      <c r="B173" s="31" t="s">
        <v>1165</v>
      </c>
      <c r="C173" s="31" t="s">
        <v>1166</v>
      </c>
      <c r="D173" s="31" t="s">
        <v>486</v>
      </c>
      <c r="E173" s="35">
        <v>38999</v>
      </c>
      <c r="F173" s="32">
        <v>86.870272499999999</v>
      </c>
      <c r="G173" s="33">
        <v>0.26026195647184502</v>
      </c>
      <c r="H173" s="36"/>
    </row>
    <row r="174" spans="2:8" x14ac:dyDescent="0.2">
      <c r="B174" s="31" t="s">
        <v>1167</v>
      </c>
      <c r="C174" s="31" t="s">
        <v>1168</v>
      </c>
      <c r="D174" s="31" t="s">
        <v>642</v>
      </c>
      <c r="E174" s="35">
        <v>5311</v>
      </c>
      <c r="F174" s="32">
        <v>86.569299999999998</v>
      </c>
      <c r="G174" s="33">
        <v>0.25936024764280702</v>
      </c>
      <c r="H174" s="36"/>
    </row>
    <row r="175" spans="2:8" x14ac:dyDescent="0.2">
      <c r="B175" s="31" t="s">
        <v>1169</v>
      </c>
      <c r="C175" s="31" t="s">
        <v>1170</v>
      </c>
      <c r="D175" s="31" t="s">
        <v>486</v>
      </c>
      <c r="E175" s="35">
        <v>5507</v>
      </c>
      <c r="F175" s="32">
        <v>86.514970000000005</v>
      </c>
      <c r="G175" s="33">
        <v>0.25919747582584102</v>
      </c>
      <c r="H175" s="36"/>
    </row>
    <row r="176" spans="2:8" x14ac:dyDescent="0.2">
      <c r="B176" s="31" t="s">
        <v>1171</v>
      </c>
      <c r="C176" s="31" t="s">
        <v>1172</v>
      </c>
      <c r="D176" s="31" t="s">
        <v>458</v>
      </c>
      <c r="E176" s="35">
        <v>17301</v>
      </c>
      <c r="F176" s="32">
        <v>86.461747500000001</v>
      </c>
      <c r="G176" s="33">
        <v>0.25903802206128301</v>
      </c>
      <c r="H176" s="36"/>
    </row>
    <row r="177" spans="2:8" x14ac:dyDescent="0.2">
      <c r="B177" s="31" t="s">
        <v>1173</v>
      </c>
      <c r="C177" s="31" t="s">
        <v>1174</v>
      </c>
      <c r="D177" s="31" t="s">
        <v>70</v>
      </c>
      <c r="E177" s="35">
        <v>28375</v>
      </c>
      <c r="F177" s="32">
        <v>86.396199999999993</v>
      </c>
      <c r="G177" s="33">
        <v>0.25884164279250799</v>
      </c>
      <c r="H177" s="36"/>
    </row>
    <row r="178" spans="2:8" x14ac:dyDescent="0.2">
      <c r="B178" s="31" t="s">
        <v>1175</v>
      </c>
      <c r="C178" s="31" t="s">
        <v>1176</v>
      </c>
      <c r="D178" s="31" t="s">
        <v>621</v>
      </c>
      <c r="E178" s="35">
        <v>20591</v>
      </c>
      <c r="F178" s="32">
        <v>86.307176499999997</v>
      </c>
      <c r="G178" s="33">
        <v>0.25857492980065</v>
      </c>
      <c r="H178" s="36"/>
    </row>
    <row r="179" spans="2:8" x14ac:dyDescent="0.2">
      <c r="B179" s="31" t="s">
        <v>1177</v>
      </c>
      <c r="C179" s="31" t="s">
        <v>1178</v>
      </c>
      <c r="D179" s="31" t="s">
        <v>84</v>
      </c>
      <c r="E179" s="35">
        <v>56590</v>
      </c>
      <c r="F179" s="32">
        <v>85.824393999999998</v>
      </c>
      <c r="G179" s="33">
        <v>0.25712852109967199</v>
      </c>
      <c r="H179" s="36"/>
    </row>
    <row r="180" spans="2:8" x14ac:dyDescent="0.2">
      <c r="B180" s="31" t="s">
        <v>1179</v>
      </c>
      <c r="C180" s="31" t="s">
        <v>1180</v>
      </c>
      <c r="D180" s="31" t="s">
        <v>28</v>
      </c>
      <c r="E180" s="35">
        <v>244993</v>
      </c>
      <c r="F180" s="32">
        <v>85.747550000000004</v>
      </c>
      <c r="G180" s="33">
        <v>0.25689829769634198</v>
      </c>
      <c r="H180" s="36"/>
    </row>
    <row r="181" spans="2:8" x14ac:dyDescent="0.2">
      <c r="B181" s="31" t="s">
        <v>1181</v>
      </c>
      <c r="C181" s="31" t="s">
        <v>1182</v>
      </c>
      <c r="D181" s="31" t="s">
        <v>525</v>
      </c>
      <c r="E181" s="35">
        <v>29449</v>
      </c>
      <c r="F181" s="32">
        <v>85.572904199999996</v>
      </c>
      <c r="G181" s="33">
        <v>0.25637506165379798</v>
      </c>
      <c r="H181" s="36"/>
    </row>
    <row r="182" spans="2:8" x14ac:dyDescent="0.2">
      <c r="B182" s="31" t="s">
        <v>1183</v>
      </c>
      <c r="C182" s="31" t="s">
        <v>1184</v>
      </c>
      <c r="D182" s="31" t="s">
        <v>38</v>
      </c>
      <c r="E182" s="35">
        <v>6866</v>
      </c>
      <c r="F182" s="32">
        <v>85.522896000000003</v>
      </c>
      <c r="G182" s="33">
        <v>0.256225237880981</v>
      </c>
      <c r="H182" s="36"/>
    </row>
    <row r="183" spans="2:8" x14ac:dyDescent="0.2">
      <c r="B183" s="31" t="s">
        <v>1185</v>
      </c>
      <c r="C183" s="31" t="s">
        <v>1186</v>
      </c>
      <c r="D183" s="31" t="s">
        <v>87</v>
      </c>
      <c r="E183" s="35">
        <v>2894</v>
      </c>
      <c r="F183" s="32">
        <v>85.393258000000003</v>
      </c>
      <c r="G183" s="33">
        <v>0.255836844492286</v>
      </c>
      <c r="H183" s="36"/>
    </row>
    <row r="184" spans="2:8" x14ac:dyDescent="0.2">
      <c r="B184" s="31" t="s">
        <v>1187</v>
      </c>
      <c r="C184" s="31" t="s">
        <v>1188</v>
      </c>
      <c r="D184" s="31" t="s">
        <v>67</v>
      </c>
      <c r="E184" s="35">
        <v>20986</v>
      </c>
      <c r="F184" s="32">
        <v>85.224146000000005</v>
      </c>
      <c r="G184" s="33">
        <v>0.25533018762663801</v>
      </c>
      <c r="H184" s="36"/>
    </row>
    <row r="185" spans="2:8" x14ac:dyDescent="0.2">
      <c r="B185" s="31" t="s">
        <v>1189</v>
      </c>
      <c r="C185" s="31" t="s">
        <v>1190</v>
      </c>
      <c r="D185" s="31" t="s">
        <v>1191</v>
      </c>
      <c r="E185" s="35">
        <v>77573</v>
      </c>
      <c r="F185" s="32">
        <v>84.228763400000005</v>
      </c>
      <c r="G185" s="33">
        <v>0.252348037168735</v>
      </c>
      <c r="H185" s="36"/>
    </row>
    <row r="186" spans="2:8" x14ac:dyDescent="0.2">
      <c r="B186" s="31" t="s">
        <v>1192</v>
      </c>
      <c r="C186" s="31" t="s">
        <v>1193</v>
      </c>
      <c r="D186" s="31" t="s">
        <v>497</v>
      </c>
      <c r="E186" s="35">
        <v>67446</v>
      </c>
      <c r="F186" s="32">
        <v>84.125395800000007</v>
      </c>
      <c r="G186" s="33">
        <v>0.25203834948113402</v>
      </c>
      <c r="H186" s="36"/>
    </row>
    <row r="187" spans="2:8" x14ac:dyDescent="0.2">
      <c r="B187" s="31" t="s">
        <v>1194</v>
      </c>
      <c r="C187" s="31" t="s">
        <v>1195</v>
      </c>
      <c r="D187" s="31" t="s">
        <v>486</v>
      </c>
      <c r="E187" s="35">
        <v>13993</v>
      </c>
      <c r="F187" s="32">
        <v>83.405276499999999</v>
      </c>
      <c r="G187" s="33">
        <v>0.24988088349746099</v>
      </c>
      <c r="H187" s="36"/>
    </row>
    <row r="188" spans="2:8" x14ac:dyDescent="0.2">
      <c r="B188" s="31" t="s">
        <v>1196</v>
      </c>
      <c r="C188" s="31" t="s">
        <v>1197</v>
      </c>
      <c r="D188" s="31" t="s">
        <v>50</v>
      </c>
      <c r="E188" s="35">
        <v>32669</v>
      </c>
      <c r="F188" s="32">
        <v>83.315750699999995</v>
      </c>
      <c r="G188" s="33">
        <v>0.249612665622782</v>
      </c>
      <c r="H188" s="36"/>
    </row>
    <row r="189" spans="2:8" x14ac:dyDescent="0.2">
      <c r="B189" s="31" t="s">
        <v>1198</v>
      </c>
      <c r="C189" s="31" t="s">
        <v>1199</v>
      </c>
      <c r="D189" s="31" t="s">
        <v>41</v>
      </c>
      <c r="E189" s="35">
        <v>54675</v>
      </c>
      <c r="F189" s="32">
        <v>83.215350000000001</v>
      </c>
      <c r="G189" s="33">
        <v>0.249311866720452</v>
      </c>
      <c r="H189" s="36"/>
    </row>
    <row r="190" spans="2:8" x14ac:dyDescent="0.2">
      <c r="B190" s="31" t="s">
        <v>1200</v>
      </c>
      <c r="C190" s="31" t="s">
        <v>1201</v>
      </c>
      <c r="D190" s="31" t="s">
        <v>64</v>
      </c>
      <c r="E190" s="35">
        <v>193310</v>
      </c>
      <c r="F190" s="32">
        <v>82.582031999999998</v>
      </c>
      <c r="G190" s="33">
        <v>0.24741445605273699</v>
      </c>
      <c r="H190" s="36"/>
    </row>
    <row r="191" spans="2:8" x14ac:dyDescent="0.2">
      <c r="B191" s="31" t="s">
        <v>1202</v>
      </c>
      <c r="C191" s="31" t="s">
        <v>1203</v>
      </c>
      <c r="D191" s="31" t="s">
        <v>53</v>
      </c>
      <c r="E191" s="35">
        <v>16146</v>
      </c>
      <c r="F191" s="32">
        <v>82.110483000000002</v>
      </c>
      <c r="G191" s="33">
        <v>0.24600170273931399</v>
      </c>
      <c r="H191" s="36"/>
    </row>
    <row r="192" spans="2:8" x14ac:dyDescent="0.2">
      <c r="B192" s="31" t="s">
        <v>1204</v>
      </c>
      <c r="C192" s="31" t="s">
        <v>1205</v>
      </c>
      <c r="D192" s="31" t="s">
        <v>806</v>
      </c>
      <c r="E192" s="35">
        <v>6661</v>
      </c>
      <c r="F192" s="32">
        <v>81.763774999999995</v>
      </c>
      <c r="G192" s="33">
        <v>0.24496297107878601</v>
      </c>
      <c r="H192" s="36"/>
    </row>
    <row r="193" spans="2:8" x14ac:dyDescent="0.2">
      <c r="B193" s="31" t="s">
        <v>1206</v>
      </c>
      <c r="C193" s="31" t="s">
        <v>1207</v>
      </c>
      <c r="D193" s="31" t="s">
        <v>497</v>
      </c>
      <c r="E193" s="35">
        <v>39709</v>
      </c>
      <c r="F193" s="32">
        <v>81.645674900000003</v>
      </c>
      <c r="G193" s="33">
        <v>0.244609145055211</v>
      </c>
      <c r="H193" s="36"/>
    </row>
    <row r="194" spans="2:8" x14ac:dyDescent="0.2">
      <c r="B194" s="31" t="s">
        <v>1208</v>
      </c>
      <c r="C194" s="31" t="s">
        <v>1209</v>
      </c>
      <c r="D194" s="31" t="s">
        <v>100</v>
      </c>
      <c r="E194" s="35">
        <v>103772</v>
      </c>
      <c r="F194" s="32">
        <v>81.274230399999993</v>
      </c>
      <c r="G194" s="33">
        <v>0.24349630323362301</v>
      </c>
      <c r="H194" s="36"/>
    </row>
    <row r="195" spans="2:8" x14ac:dyDescent="0.2">
      <c r="B195" s="31" t="s">
        <v>1210</v>
      </c>
      <c r="C195" s="31" t="s">
        <v>1211</v>
      </c>
      <c r="D195" s="31" t="s">
        <v>67</v>
      </c>
      <c r="E195" s="35">
        <v>12969</v>
      </c>
      <c r="F195" s="32">
        <v>80.634757500000006</v>
      </c>
      <c r="G195" s="33">
        <v>0.24158045258327901</v>
      </c>
      <c r="H195" s="36"/>
    </row>
    <row r="196" spans="2:8" x14ac:dyDescent="0.2">
      <c r="B196" s="31" t="s">
        <v>1212</v>
      </c>
      <c r="C196" s="31" t="s">
        <v>1213</v>
      </c>
      <c r="D196" s="31" t="s">
        <v>525</v>
      </c>
      <c r="E196" s="35">
        <v>10565</v>
      </c>
      <c r="F196" s="32">
        <v>80.008745000000005</v>
      </c>
      <c r="G196" s="33">
        <v>0.239704929077516</v>
      </c>
      <c r="H196" s="36"/>
    </row>
    <row r="197" spans="2:8" x14ac:dyDescent="0.2">
      <c r="B197" s="31" t="s">
        <v>1214</v>
      </c>
      <c r="C197" s="31" t="s">
        <v>1215</v>
      </c>
      <c r="D197" s="31" t="s">
        <v>486</v>
      </c>
      <c r="E197" s="35">
        <v>11188</v>
      </c>
      <c r="F197" s="32">
        <v>79.110348000000002</v>
      </c>
      <c r="G197" s="33">
        <v>0.23701334593659201</v>
      </c>
      <c r="H197" s="36"/>
    </row>
    <row r="198" spans="2:8" x14ac:dyDescent="0.2">
      <c r="B198" s="31" t="s">
        <v>1216</v>
      </c>
      <c r="C198" s="31" t="s">
        <v>1217</v>
      </c>
      <c r="D198" s="31" t="s">
        <v>525</v>
      </c>
      <c r="E198" s="35">
        <v>23409</v>
      </c>
      <c r="F198" s="32">
        <v>78.291400499999995</v>
      </c>
      <c r="G198" s="33">
        <v>0.23455979223560999</v>
      </c>
      <c r="H198" s="36"/>
    </row>
    <row r="199" spans="2:8" x14ac:dyDescent="0.2">
      <c r="B199" s="31" t="s">
        <v>1218</v>
      </c>
      <c r="C199" s="31" t="s">
        <v>1219</v>
      </c>
      <c r="D199" s="31" t="s">
        <v>522</v>
      </c>
      <c r="E199" s="35">
        <v>22805</v>
      </c>
      <c r="F199" s="32">
        <v>77.673829999999995</v>
      </c>
      <c r="G199" s="33">
        <v>0.23270956082774399</v>
      </c>
      <c r="H199" s="36"/>
    </row>
    <row r="200" spans="2:8" x14ac:dyDescent="0.2">
      <c r="B200" s="31" t="s">
        <v>1220</v>
      </c>
      <c r="C200" s="31" t="s">
        <v>1221</v>
      </c>
      <c r="D200" s="31" t="s">
        <v>87</v>
      </c>
      <c r="E200" s="35">
        <v>10709</v>
      </c>
      <c r="F200" s="32">
        <v>76.938810500000002</v>
      </c>
      <c r="G200" s="33">
        <v>0.23050745408156201</v>
      </c>
      <c r="H200" s="36"/>
    </row>
    <row r="201" spans="2:8" x14ac:dyDescent="0.2">
      <c r="B201" s="31" t="s">
        <v>1222</v>
      </c>
      <c r="C201" s="31" t="s">
        <v>1223</v>
      </c>
      <c r="D201" s="31" t="s">
        <v>563</v>
      </c>
      <c r="E201" s="35">
        <v>3303</v>
      </c>
      <c r="F201" s="32">
        <v>76.814567999999994</v>
      </c>
      <c r="G201" s="33">
        <v>0.23013522552516</v>
      </c>
      <c r="H201" s="36"/>
    </row>
    <row r="202" spans="2:8" x14ac:dyDescent="0.2">
      <c r="B202" s="31" t="s">
        <v>1224</v>
      </c>
      <c r="C202" s="31" t="s">
        <v>1225</v>
      </c>
      <c r="D202" s="31" t="s">
        <v>41</v>
      </c>
      <c r="E202" s="35">
        <v>9319</v>
      </c>
      <c r="F202" s="32">
        <v>75.973147499999996</v>
      </c>
      <c r="G202" s="33">
        <v>0.227614343073162</v>
      </c>
      <c r="H202" s="36"/>
    </row>
    <row r="203" spans="2:8" x14ac:dyDescent="0.2">
      <c r="B203" s="31" t="s">
        <v>1226</v>
      </c>
      <c r="C203" s="31" t="s">
        <v>1227</v>
      </c>
      <c r="D203" s="31" t="s">
        <v>500</v>
      </c>
      <c r="E203" s="35">
        <v>14741</v>
      </c>
      <c r="F203" s="32">
        <v>74.685276500000001</v>
      </c>
      <c r="G203" s="33">
        <v>0.22375590201505</v>
      </c>
      <c r="H203" s="36"/>
    </row>
    <row r="204" spans="2:8" x14ac:dyDescent="0.2">
      <c r="B204" s="31" t="s">
        <v>1228</v>
      </c>
      <c r="C204" s="31" t="s">
        <v>1229</v>
      </c>
      <c r="D204" s="31" t="s">
        <v>53</v>
      </c>
      <c r="E204" s="35">
        <v>10993</v>
      </c>
      <c r="F204" s="32">
        <v>74.384134500000002</v>
      </c>
      <c r="G204" s="33">
        <v>0.222853685366704</v>
      </c>
      <c r="H204" s="36"/>
    </row>
    <row r="205" spans="2:8" x14ac:dyDescent="0.2">
      <c r="B205" s="31" t="s">
        <v>1230</v>
      </c>
      <c r="C205" s="31" t="s">
        <v>1231</v>
      </c>
      <c r="D205" s="31" t="s">
        <v>497</v>
      </c>
      <c r="E205" s="35">
        <v>5729</v>
      </c>
      <c r="F205" s="32">
        <v>71.921865999999994</v>
      </c>
      <c r="G205" s="33">
        <v>0.215476768053949</v>
      </c>
      <c r="H205" s="36"/>
    </row>
    <row r="206" spans="2:8" x14ac:dyDescent="0.2">
      <c r="B206" s="31" t="s">
        <v>1232</v>
      </c>
      <c r="C206" s="31" t="s">
        <v>1233</v>
      </c>
      <c r="D206" s="31" t="s">
        <v>28</v>
      </c>
      <c r="E206" s="35">
        <v>94067</v>
      </c>
      <c r="F206" s="32">
        <v>71.378039599999994</v>
      </c>
      <c r="G206" s="33">
        <v>0.213847472798256</v>
      </c>
      <c r="H206" s="36"/>
    </row>
    <row r="207" spans="2:8" x14ac:dyDescent="0.2">
      <c r="B207" s="31" t="s">
        <v>1234</v>
      </c>
      <c r="C207" s="31" t="s">
        <v>1235</v>
      </c>
      <c r="D207" s="31" t="s">
        <v>67</v>
      </c>
      <c r="E207" s="35">
        <v>13485</v>
      </c>
      <c r="F207" s="32">
        <v>70.135485000000003</v>
      </c>
      <c r="G207" s="33">
        <v>0.21012479895469099</v>
      </c>
      <c r="H207" s="36"/>
    </row>
    <row r="208" spans="2:8" x14ac:dyDescent="0.2">
      <c r="B208" s="31" t="s">
        <v>1236</v>
      </c>
      <c r="C208" s="31" t="s">
        <v>1237</v>
      </c>
      <c r="D208" s="31" t="s">
        <v>1238</v>
      </c>
      <c r="E208" s="35">
        <v>3024</v>
      </c>
      <c r="F208" s="32">
        <v>69.285888</v>
      </c>
      <c r="G208" s="33">
        <v>0.207579419838577</v>
      </c>
      <c r="H208" s="36"/>
    </row>
    <row r="209" spans="2:8" x14ac:dyDescent="0.2">
      <c r="B209" s="31" t="s">
        <v>1239</v>
      </c>
      <c r="C209" s="31" t="s">
        <v>1240</v>
      </c>
      <c r="D209" s="31" t="s">
        <v>693</v>
      </c>
      <c r="E209" s="35">
        <v>53311</v>
      </c>
      <c r="F209" s="32">
        <v>68.749865600000007</v>
      </c>
      <c r="G209" s="33">
        <v>0.20597350524291699</v>
      </c>
      <c r="H209" s="36"/>
    </row>
    <row r="210" spans="2:8" x14ac:dyDescent="0.2">
      <c r="B210" s="31" t="s">
        <v>1241</v>
      </c>
      <c r="C210" s="31" t="s">
        <v>1242</v>
      </c>
      <c r="D210" s="31" t="s">
        <v>79</v>
      </c>
      <c r="E210" s="35">
        <v>7049</v>
      </c>
      <c r="F210" s="32">
        <v>66.965500000000006</v>
      </c>
      <c r="G210" s="33">
        <v>0.20062757425004399</v>
      </c>
      <c r="H210" s="36"/>
    </row>
    <row r="211" spans="2:8" x14ac:dyDescent="0.2">
      <c r="B211" s="31" t="s">
        <v>1243</v>
      </c>
      <c r="C211" s="31" t="s">
        <v>1244</v>
      </c>
      <c r="D211" s="31" t="s">
        <v>525</v>
      </c>
      <c r="E211" s="35">
        <v>8065</v>
      </c>
      <c r="F211" s="32">
        <v>66.056382499999998</v>
      </c>
      <c r="G211" s="33">
        <v>0.19790387266141601</v>
      </c>
      <c r="H211" s="36"/>
    </row>
    <row r="212" spans="2:8" x14ac:dyDescent="0.2">
      <c r="B212" s="31" t="s">
        <v>1245</v>
      </c>
      <c r="C212" s="31" t="s">
        <v>1246</v>
      </c>
      <c r="D212" s="31" t="s">
        <v>165</v>
      </c>
      <c r="E212" s="35">
        <v>111220</v>
      </c>
      <c r="F212" s="32">
        <v>65.275018000000003</v>
      </c>
      <c r="G212" s="33">
        <v>0.195562917031426</v>
      </c>
      <c r="H212" s="36"/>
    </row>
    <row r="213" spans="2:8" x14ac:dyDescent="0.2">
      <c r="B213" s="31" t="s">
        <v>1247</v>
      </c>
      <c r="C213" s="31" t="s">
        <v>1248</v>
      </c>
      <c r="D213" s="31" t="s">
        <v>563</v>
      </c>
      <c r="E213" s="35">
        <v>22788</v>
      </c>
      <c r="F213" s="32">
        <v>64.656392400000001</v>
      </c>
      <c r="G213" s="33">
        <v>0.19370952456072199</v>
      </c>
      <c r="H213" s="36"/>
    </row>
    <row r="214" spans="2:8" x14ac:dyDescent="0.2">
      <c r="B214" s="31" t="s">
        <v>1249</v>
      </c>
      <c r="C214" s="31" t="s">
        <v>1250</v>
      </c>
      <c r="D214" s="31" t="s">
        <v>165</v>
      </c>
      <c r="E214" s="35">
        <v>69243</v>
      </c>
      <c r="F214" s="32">
        <v>63.918213299999998</v>
      </c>
      <c r="G214" s="33">
        <v>0.19149795170313</v>
      </c>
      <c r="H214" s="36"/>
    </row>
    <row r="215" spans="2:8" x14ac:dyDescent="0.2">
      <c r="B215" s="31" t="s">
        <v>1251</v>
      </c>
      <c r="C215" s="31" t="s">
        <v>1252</v>
      </c>
      <c r="D215" s="31" t="s">
        <v>94</v>
      </c>
      <c r="E215" s="35">
        <v>5552</v>
      </c>
      <c r="F215" s="32">
        <v>63.403840000000002</v>
      </c>
      <c r="G215" s="33">
        <v>0.18995689746717201</v>
      </c>
      <c r="H215" s="36"/>
    </row>
    <row r="216" spans="2:8" x14ac:dyDescent="0.2">
      <c r="B216" s="31" t="s">
        <v>1253</v>
      </c>
      <c r="C216" s="31" t="s">
        <v>1254</v>
      </c>
      <c r="D216" s="31" t="s">
        <v>58</v>
      </c>
      <c r="E216" s="35">
        <v>6906</v>
      </c>
      <c r="F216" s="32">
        <v>61.301108999999997</v>
      </c>
      <c r="G216" s="33">
        <v>0.18365714879314801</v>
      </c>
      <c r="H216" s="36"/>
    </row>
    <row r="217" spans="2:8" x14ac:dyDescent="0.2">
      <c r="B217" s="31" t="s">
        <v>1255</v>
      </c>
      <c r="C217" s="31" t="s">
        <v>1256</v>
      </c>
      <c r="D217" s="31" t="s">
        <v>525</v>
      </c>
      <c r="E217" s="35">
        <v>4546</v>
      </c>
      <c r="F217" s="32">
        <v>61.089148000000002</v>
      </c>
      <c r="G217" s="33">
        <v>0.18302211700415799</v>
      </c>
      <c r="H217" s="36"/>
    </row>
    <row r="218" spans="2:8" x14ac:dyDescent="0.2">
      <c r="B218" s="31" t="s">
        <v>1257</v>
      </c>
      <c r="C218" s="31" t="s">
        <v>1258</v>
      </c>
      <c r="D218" s="31" t="s">
        <v>500</v>
      </c>
      <c r="E218" s="35">
        <v>17976</v>
      </c>
      <c r="F218" s="32">
        <v>60.075792</v>
      </c>
      <c r="G218" s="33">
        <v>0.179986118525363</v>
      </c>
      <c r="H218" s="36"/>
    </row>
    <row r="219" spans="2:8" x14ac:dyDescent="0.2">
      <c r="B219" s="31" t="s">
        <v>1259</v>
      </c>
      <c r="C219" s="31" t="s">
        <v>1260</v>
      </c>
      <c r="D219" s="31" t="s">
        <v>28</v>
      </c>
      <c r="E219" s="35">
        <v>163372</v>
      </c>
      <c r="F219" s="32">
        <v>59.500082399999997</v>
      </c>
      <c r="G219" s="33">
        <v>0.178261301708936</v>
      </c>
      <c r="H219" s="36"/>
    </row>
    <row r="220" spans="2:8" x14ac:dyDescent="0.2">
      <c r="B220" s="31" t="s">
        <v>1261</v>
      </c>
      <c r="C220" s="31" t="s">
        <v>1262</v>
      </c>
      <c r="D220" s="31" t="s">
        <v>896</v>
      </c>
      <c r="E220" s="35">
        <v>17048</v>
      </c>
      <c r="F220" s="32">
        <v>58.977556</v>
      </c>
      <c r="G220" s="33">
        <v>0.176695820914891</v>
      </c>
      <c r="H220" s="36"/>
    </row>
    <row r="221" spans="2:8" x14ac:dyDescent="0.2">
      <c r="B221" s="31" t="s">
        <v>1263</v>
      </c>
      <c r="C221" s="31" t="s">
        <v>1264</v>
      </c>
      <c r="D221" s="31" t="s">
        <v>497</v>
      </c>
      <c r="E221" s="35">
        <v>13538</v>
      </c>
      <c r="F221" s="32">
        <v>57.976484999999997</v>
      </c>
      <c r="G221" s="33">
        <v>0.17369662810094899</v>
      </c>
      <c r="H221" s="36"/>
    </row>
    <row r="222" spans="2:8" x14ac:dyDescent="0.2">
      <c r="B222" s="31" t="s">
        <v>1265</v>
      </c>
      <c r="C222" s="31" t="s">
        <v>1266</v>
      </c>
      <c r="D222" s="31" t="s">
        <v>576</v>
      </c>
      <c r="E222" s="35">
        <v>29697</v>
      </c>
      <c r="F222" s="32">
        <v>57.5260587</v>
      </c>
      <c r="G222" s="33">
        <v>0.172347158061191</v>
      </c>
      <c r="H222" s="36"/>
    </row>
    <row r="223" spans="2:8" x14ac:dyDescent="0.2">
      <c r="B223" s="31" t="s">
        <v>1267</v>
      </c>
      <c r="C223" s="31" t="s">
        <v>1268</v>
      </c>
      <c r="D223" s="31" t="s">
        <v>1269</v>
      </c>
      <c r="E223" s="35">
        <v>13793</v>
      </c>
      <c r="F223" s="32">
        <v>57.261639500000001</v>
      </c>
      <c r="G223" s="33">
        <v>0.171554962338301</v>
      </c>
      <c r="H223" s="36"/>
    </row>
    <row r="224" spans="2:8" x14ac:dyDescent="0.2">
      <c r="B224" s="31" t="s">
        <v>1270</v>
      </c>
      <c r="C224" s="31" t="s">
        <v>1271</v>
      </c>
      <c r="D224" s="31" t="s">
        <v>534</v>
      </c>
      <c r="E224" s="35">
        <v>6574</v>
      </c>
      <c r="F224" s="32">
        <v>57.144494999999999</v>
      </c>
      <c r="G224" s="33">
        <v>0.171203999277147</v>
      </c>
      <c r="H224" s="36"/>
    </row>
    <row r="225" spans="2:8" x14ac:dyDescent="0.2">
      <c r="B225" s="31" t="s">
        <v>1272</v>
      </c>
      <c r="C225" s="31" t="s">
        <v>1273</v>
      </c>
      <c r="D225" s="31" t="s">
        <v>94</v>
      </c>
      <c r="E225" s="35">
        <v>3337</v>
      </c>
      <c r="F225" s="32">
        <v>57.029330000000002</v>
      </c>
      <c r="G225" s="33">
        <v>0.17085896676654799</v>
      </c>
      <c r="H225" s="36"/>
    </row>
    <row r="226" spans="2:8" x14ac:dyDescent="0.2">
      <c r="B226" s="31" t="s">
        <v>1274</v>
      </c>
      <c r="C226" s="31" t="s">
        <v>1275</v>
      </c>
      <c r="D226" s="31" t="s">
        <v>497</v>
      </c>
      <c r="E226" s="35">
        <v>20348</v>
      </c>
      <c r="F226" s="32">
        <v>56.630518799999997</v>
      </c>
      <c r="G226" s="33">
        <v>0.16966413474648201</v>
      </c>
      <c r="H226" s="36"/>
    </row>
    <row r="227" spans="2:8" x14ac:dyDescent="0.2">
      <c r="B227" s="31" t="s">
        <v>1276</v>
      </c>
      <c r="C227" s="31" t="s">
        <v>1277</v>
      </c>
      <c r="D227" s="31" t="s">
        <v>693</v>
      </c>
      <c r="E227" s="35">
        <v>209591</v>
      </c>
      <c r="F227" s="32">
        <v>54.430782700000002</v>
      </c>
      <c r="G227" s="33">
        <v>0.16307376033378801</v>
      </c>
      <c r="H227" s="36"/>
    </row>
    <row r="228" spans="2:8" x14ac:dyDescent="0.2">
      <c r="B228" s="31" t="s">
        <v>1278</v>
      </c>
      <c r="C228" s="31" t="s">
        <v>1279</v>
      </c>
      <c r="D228" s="31" t="s">
        <v>70</v>
      </c>
      <c r="E228" s="35">
        <v>992</v>
      </c>
      <c r="F228" s="32">
        <v>54.219743999999999</v>
      </c>
      <c r="G228" s="33">
        <v>0.16244149174094699</v>
      </c>
      <c r="H228" s="36"/>
    </row>
    <row r="229" spans="2:8" x14ac:dyDescent="0.2">
      <c r="B229" s="31" t="s">
        <v>1280</v>
      </c>
      <c r="C229" s="31" t="s">
        <v>1281</v>
      </c>
      <c r="D229" s="31" t="s">
        <v>50</v>
      </c>
      <c r="E229" s="35">
        <v>10668</v>
      </c>
      <c r="F229" s="32">
        <v>53.953409999999998</v>
      </c>
      <c r="G229" s="33">
        <v>0.16164355930767499</v>
      </c>
      <c r="H229" s="36"/>
    </row>
    <row r="230" spans="2:8" x14ac:dyDescent="0.2">
      <c r="B230" s="31" t="s">
        <v>1282</v>
      </c>
      <c r="C230" s="31" t="s">
        <v>1283</v>
      </c>
      <c r="D230" s="31" t="s">
        <v>84</v>
      </c>
      <c r="E230" s="35">
        <v>81692</v>
      </c>
      <c r="F230" s="32">
        <v>52.446263999999999</v>
      </c>
      <c r="G230" s="33">
        <v>0.15712817383275601</v>
      </c>
      <c r="H230" s="36"/>
    </row>
    <row r="231" spans="2:8" x14ac:dyDescent="0.2">
      <c r="B231" s="31" t="s">
        <v>1284</v>
      </c>
      <c r="C231" s="31" t="s">
        <v>1285</v>
      </c>
      <c r="D231" s="31" t="s">
        <v>122</v>
      </c>
      <c r="E231" s="35">
        <v>42488</v>
      </c>
      <c r="F231" s="32">
        <v>52.035053599999998</v>
      </c>
      <c r="G231" s="33">
        <v>0.15589619400645199</v>
      </c>
      <c r="H231" s="36"/>
    </row>
    <row r="232" spans="2:8" x14ac:dyDescent="0.2">
      <c r="B232" s="31" t="s">
        <v>1286</v>
      </c>
      <c r="C232" s="31" t="s">
        <v>1287</v>
      </c>
      <c r="D232" s="31" t="s">
        <v>47</v>
      </c>
      <c r="E232" s="35">
        <v>16920</v>
      </c>
      <c r="F232" s="32">
        <v>51.242220000000003</v>
      </c>
      <c r="G232" s="33">
        <v>0.153520877135049</v>
      </c>
      <c r="H232" s="36"/>
    </row>
    <row r="233" spans="2:8" x14ac:dyDescent="0.2">
      <c r="B233" s="31" t="s">
        <v>1288</v>
      </c>
      <c r="C233" s="31" t="s">
        <v>1289</v>
      </c>
      <c r="D233" s="31" t="s">
        <v>28</v>
      </c>
      <c r="E233" s="35">
        <v>190765</v>
      </c>
      <c r="F233" s="32">
        <v>51.105943500000002</v>
      </c>
      <c r="G233" s="33">
        <v>0.153112594905807</v>
      </c>
      <c r="H233" s="36"/>
    </row>
    <row r="234" spans="2:8" x14ac:dyDescent="0.2">
      <c r="B234" s="31" t="s">
        <v>1290</v>
      </c>
      <c r="C234" s="31" t="s">
        <v>1291</v>
      </c>
      <c r="D234" s="31" t="s">
        <v>122</v>
      </c>
      <c r="E234" s="35">
        <v>16815</v>
      </c>
      <c r="F234" s="32">
        <v>49.890104999999998</v>
      </c>
      <c r="G234" s="33">
        <v>0.149469962073456</v>
      </c>
      <c r="H234" s="36"/>
    </row>
    <row r="235" spans="2:8" x14ac:dyDescent="0.2">
      <c r="B235" s="31" t="s">
        <v>1292</v>
      </c>
      <c r="C235" s="31" t="s">
        <v>1293</v>
      </c>
      <c r="D235" s="31" t="s">
        <v>44</v>
      </c>
      <c r="E235" s="35">
        <v>29564</v>
      </c>
      <c r="F235" s="32">
        <v>49.534481999999997</v>
      </c>
      <c r="G235" s="33">
        <v>0.14840452121454301</v>
      </c>
      <c r="H235" s="36"/>
    </row>
    <row r="236" spans="2:8" x14ac:dyDescent="0.2">
      <c r="B236" s="31" t="s">
        <v>1294</v>
      </c>
      <c r="C236" s="31" t="s">
        <v>1295</v>
      </c>
      <c r="D236" s="31" t="s">
        <v>41</v>
      </c>
      <c r="E236" s="35">
        <v>22478</v>
      </c>
      <c r="F236" s="32">
        <v>49.206589800000003</v>
      </c>
      <c r="G236" s="33">
        <v>0.14742216139192499</v>
      </c>
      <c r="H236" s="36"/>
    </row>
    <row r="237" spans="2:8" x14ac:dyDescent="0.2">
      <c r="B237" s="31" t="s">
        <v>1296</v>
      </c>
      <c r="C237" s="31" t="s">
        <v>1297</v>
      </c>
      <c r="D237" s="31" t="s">
        <v>1269</v>
      </c>
      <c r="E237" s="35">
        <v>16130</v>
      </c>
      <c r="F237" s="32">
        <v>48.209344000000002</v>
      </c>
      <c r="G237" s="33">
        <v>0.14443442881641899</v>
      </c>
      <c r="H237" s="36"/>
    </row>
    <row r="238" spans="2:8" x14ac:dyDescent="0.2">
      <c r="B238" s="31" t="s">
        <v>1298</v>
      </c>
      <c r="C238" s="31" t="s">
        <v>1299</v>
      </c>
      <c r="D238" s="31" t="s">
        <v>131</v>
      </c>
      <c r="E238" s="35">
        <v>8983</v>
      </c>
      <c r="F238" s="32">
        <v>47.771594</v>
      </c>
      <c r="G238" s="33">
        <v>0.14312293677009799</v>
      </c>
      <c r="H238" s="36"/>
    </row>
    <row r="239" spans="2:8" x14ac:dyDescent="0.2">
      <c r="B239" s="31" t="s">
        <v>1300</v>
      </c>
      <c r="C239" s="31" t="s">
        <v>1301</v>
      </c>
      <c r="D239" s="31" t="s">
        <v>100</v>
      </c>
      <c r="E239" s="35">
        <v>33587</v>
      </c>
      <c r="F239" s="32">
        <v>47.458430999999997</v>
      </c>
      <c r="G239" s="33">
        <v>0.142184705396706</v>
      </c>
      <c r="H239" s="36"/>
    </row>
    <row r="240" spans="2:8" x14ac:dyDescent="0.2">
      <c r="B240" s="31" t="s">
        <v>1302</v>
      </c>
      <c r="C240" s="31" t="s">
        <v>1303</v>
      </c>
      <c r="D240" s="31" t="s">
        <v>33</v>
      </c>
      <c r="E240" s="35">
        <v>14663</v>
      </c>
      <c r="F240" s="32">
        <v>47.442136499999997</v>
      </c>
      <c r="G240" s="33">
        <v>0.14213588733354501</v>
      </c>
      <c r="H240" s="36"/>
    </row>
    <row r="241" spans="2:8" x14ac:dyDescent="0.2">
      <c r="B241" s="31" t="s">
        <v>1304</v>
      </c>
      <c r="C241" s="31" t="s">
        <v>1305</v>
      </c>
      <c r="D241" s="31" t="s">
        <v>563</v>
      </c>
      <c r="E241" s="35">
        <v>2796</v>
      </c>
      <c r="F241" s="32">
        <v>46.508664000000003</v>
      </c>
      <c r="G241" s="33">
        <v>0.13933921855179701</v>
      </c>
      <c r="H241" s="36"/>
    </row>
    <row r="242" spans="2:8" x14ac:dyDescent="0.2">
      <c r="B242" s="31" t="s">
        <v>1306</v>
      </c>
      <c r="C242" s="31" t="s">
        <v>1307</v>
      </c>
      <c r="D242" s="31" t="s">
        <v>97</v>
      </c>
      <c r="E242" s="35">
        <v>24212</v>
      </c>
      <c r="F242" s="32">
        <v>45.9107944</v>
      </c>
      <c r="G242" s="33">
        <v>0.13754801072738199</v>
      </c>
      <c r="H242" s="36"/>
    </row>
    <row r="243" spans="2:8" x14ac:dyDescent="0.2">
      <c r="B243" s="31" t="s">
        <v>1308</v>
      </c>
      <c r="C243" s="31" t="s">
        <v>1309</v>
      </c>
      <c r="D243" s="31" t="s">
        <v>122</v>
      </c>
      <c r="E243" s="35">
        <v>11541</v>
      </c>
      <c r="F243" s="32">
        <v>45.690818999999998</v>
      </c>
      <c r="G243" s="33">
        <v>0.13688896792330099</v>
      </c>
      <c r="H243" s="36"/>
    </row>
    <row r="244" spans="2:8" x14ac:dyDescent="0.2">
      <c r="B244" s="31" t="s">
        <v>1310</v>
      </c>
      <c r="C244" s="31" t="s">
        <v>1311</v>
      </c>
      <c r="D244" s="31" t="s">
        <v>500</v>
      </c>
      <c r="E244" s="35">
        <v>17349</v>
      </c>
      <c r="F244" s="32">
        <v>45.523775999999998</v>
      </c>
      <c r="G244" s="33">
        <v>0.136388509748787</v>
      </c>
      <c r="H244" s="36"/>
    </row>
    <row r="245" spans="2:8" x14ac:dyDescent="0.2">
      <c r="B245" s="31" t="s">
        <v>1312</v>
      </c>
      <c r="C245" s="31" t="s">
        <v>1313</v>
      </c>
      <c r="D245" s="31" t="s">
        <v>486</v>
      </c>
      <c r="E245" s="35">
        <v>5086</v>
      </c>
      <c r="F245" s="32">
        <v>43.833691000000002</v>
      </c>
      <c r="G245" s="33">
        <v>0.131325041935863</v>
      </c>
      <c r="H245" s="36"/>
    </row>
    <row r="246" spans="2:8" x14ac:dyDescent="0.2">
      <c r="B246" s="31" t="s">
        <v>1314</v>
      </c>
      <c r="C246" s="31" t="s">
        <v>1315</v>
      </c>
      <c r="D246" s="31" t="s">
        <v>53</v>
      </c>
      <c r="E246" s="35">
        <v>2896</v>
      </c>
      <c r="F246" s="32">
        <v>43.471856000000002</v>
      </c>
      <c r="G246" s="33">
        <v>0.13024099002362799</v>
      </c>
      <c r="H246" s="36"/>
    </row>
    <row r="247" spans="2:8" x14ac:dyDescent="0.2">
      <c r="B247" s="31" t="s">
        <v>1316</v>
      </c>
      <c r="C247" s="31" t="s">
        <v>1317</v>
      </c>
      <c r="D247" s="31" t="s">
        <v>67</v>
      </c>
      <c r="E247" s="35">
        <v>6761</v>
      </c>
      <c r="F247" s="32">
        <v>42.6044415</v>
      </c>
      <c r="G247" s="33">
        <v>0.127642229960546</v>
      </c>
      <c r="H247" s="36"/>
    </row>
    <row r="248" spans="2:8" x14ac:dyDescent="0.2">
      <c r="B248" s="31" t="s">
        <v>1318</v>
      </c>
      <c r="C248" s="31" t="s">
        <v>1319</v>
      </c>
      <c r="D248" s="31" t="s">
        <v>1011</v>
      </c>
      <c r="E248" s="35">
        <v>12269</v>
      </c>
      <c r="F248" s="32">
        <v>42.186956500000001</v>
      </c>
      <c r="G248" s="33">
        <v>0.12639145153231399</v>
      </c>
      <c r="H248" s="36"/>
    </row>
    <row r="249" spans="2:8" x14ac:dyDescent="0.2">
      <c r="B249" s="31" t="s">
        <v>1320</v>
      </c>
      <c r="C249" s="31" t="s">
        <v>1321</v>
      </c>
      <c r="D249" s="31" t="s">
        <v>109</v>
      </c>
      <c r="E249" s="35">
        <v>8990</v>
      </c>
      <c r="F249" s="32">
        <v>41.259605000000001</v>
      </c>
      <c r="G249" s="33">
        <v>0.123613121169333</v>
      </c>
      <c r="H249" s="36"/>
    </row>
    <row r="250" spans="2:8" x14ac:dyDescent="0.2">
      <c r="B250" s="31" t="s">
        <v>1322</v>
      </c>
      <c r="C250" s="31" t="s">
        <v>1323</v>
      </c>
      <c r="D250" s="31" t="s">
        <v>486</v>
      </c>
      <c r="E250" s="35">
        <v>10175</v>
      </c>
      <c r="F250" s="32">
        <v>41.096825000000003</v>
      </c>
      <c r="G250" s="33">
        <v>0.123125434875101</v>
      </c>
      <c r="H250" s="36"/>
    </row>
    <row r="251" spans="2:8" x14ac:dyDescent="0.2">
      <c r="B251" s="31" t="s">
        <v>1324</v>
      </c>
      <c r="C251" s="31" t="s">
        <v>1325</v>
      </c>
      <c r="D251" s="31" t="s">
        <v>497</v>
      </c>
      <c r="E251" s="35">
        <v>3059</v>
      </c>
      <c r="F251" s="32">
        <v>38.537281999999998</v>
      </c>
      <c r="G251" s="33">
        <v>0.115457084705556</v>
      </c>
      <c r="H251" s="36"/>
    </row>
    <row r="252" spans="2:8" x14ac:dyDescent="0.2">
      <c r="B252" s="31" t="s">
        <v>1326</v>
      </c>
      <c r="C252" s="31" t="s">
        <v>1327</v>
      </c>
      <c r="D252" s="31" t="s">
        <v>33</v>
      </c>
      <c r="E252" s="35">
        <v>84332</v>
      </c>
      <c r="F252" s="32">
        <v>36.203727600000001</v>
      </c>
      <c r="G252" s="33">
        <v>0.108465792791772</v>
      </c>
      <c r="H252" s="36"/>
    </row>
    <row r="253" spans="2:8" x14ac:dyDescent="0.2">
      <c r="B253" s="31" t="s">
        <v>1328</v>
      </c>
      <c r="C253" s="31" t="s">
        <v>1329</v>
      </c>
      <c r="D253" s="31" t="s">
        <v>50</v>
      </c>
      <c r="E253" s="35">
        <v>12139</v>
      </c>
      <c r="F253" s="32">
        <v>35.488366499999998</v>
      </c>
      <c r="G253" s="33">
        <v>0.106322582299715</v>
      </c>
      <c r="H253" s="36"/>
    </row>
    <row r="254" spans="2:8" x14ac:dyDescent="0.2">
      <c r="B254" s="31" t="s">
        <v>1330</v>
      </c>
      <c r="C254" s="31" t="s">
        <v>1331</v>
      </c>
      <c r="D254" s="31" t="s">
        <v>50</v>
      </c>
      <c r="E254" s="35">
        <v>2908</v>
      </c>
      <c r="F254" s="32">
        <v>26.744876000000001</v>
      </c>
      <c r="G254" s="33">
        <v>8.0127223652451299E-2</v>
      </c>
      <c r="H254" s="36"/>
    </row>
    <row r="255" spans="2:8" x14ac:dyDescent="0.2">
      <c r="B255" s="31" t="s">
        <v>1332</v>
      </c>
      <c r="C255" s="31" t="s">
        <v>1333</v>
      </c>
      <c r="D255" s="31" t="s">
        <v>94</v>
      </c>
      <c r="E255" s="35">
        <v>5892</v>
      </c>
      <c r="F255" s="32">
        <v>26.192886000000001</v>
      </c>
      <c r="G255" s="33">
        <v>7.8473470380837101E-2</v>
      </c>
      <c r="H255" s="36"/>
    </row>
    <row r="256" spans="2:8" x14ac:dyDescent="0.2">
      <c r="B256" s="31" t="s">
        <v>1334</v>
      </c>
      <c r="C256" s="31" t="s">
        <v>1335</v>
      </c>
      <c r="D256" s="31" t="s">
        <v>896</v>
      </c>
      <c r="E256" s="35">
        <v>25380</v>
      </c>
      <c r="F256" s="32">
        <v>16.441164000000001</v>
      </c>
      <c r="G256" s="33">
        <v>4.9257466175376199E-2</v>
      </c>
      <c r="H256" s="36"/>
    </row>
    <row r="257" spans="2:9" ht="10.5" x14ac:dyDescent="0.25">
      <c r="B257" s="30" t="s">
        <v>170</v>
      </c>
      <c r="C257" s="30"/>
      <c r="D257" s="30"/>
      <c r="E257" s="30"/>
      <c r="F257" s="37">
        <f>SUM(F7:F256)</f>
        <v>33459.766275499976</v>
      </c>
      <c r="G257" s="38">
        <f>SUM(G7:G256)</f>
        <v>100.24492825151766</v>
      </c>
      <c r="H257" s="30"/>
      <c r="I257" s="23"/>
    </row>
    <row r="258" spans="2:9" ht="10.5" x14ac:dyDescent="0.25">
      <c r="B258" s="30" t="s">
        <v>171</v>
      </c>
      <c r="C258" s="30"/>
      <c r="D258" s="30"/>
      <c r="E258" s="30"/>
      <c r="F258" s="40" t="s">
        <v>172</v>
      </c>
      <c r="G258" s="41" t="s">
        <v>172</v>
      </c>
      <c r="H258" s="30"/>
      <c r="I258" s="23"/>
    </row>
    <row r="259" spans="2:9" ht="10.5" x14ac:dyDescent="0.25">
      <c r="B259" s="30" t="s">
        <v>170</v>
      </c>
      <c r="C259" s="30"/>
      <c r="D259" s="30"/>
      <c r="E259" s="30"/>
      <c r="F259" s="42" t="s">
        <v>172</v>
      </c>
      <c r="G259" s="43" t="s">
        <v>172</v>
      </c>
      <c r="H259" s="30"/>
      <c r="I259" s="23"/>
    </row>
    <row r="260" spans="2:9" ht="10.5" x14ac:dyDescent="0.25">
      <c r="B260" s="44" t="s">
        <v>173</v>
      </c>
      <c r="C260" s="44"/>
      <c r="D260" s="44"/>
      <c r="E260" s="44"/>
      <c r="F260" s="45">
        <f>F257</f>
        <v>33459.766275499976</v>
      </c>
      <c r="G260" s="46">
        <f>G257</f>
        <v>100.24492825151766</v>
      </c>
      <c r="H260" s="30"/>
      <c r="I260" s="23"/>
    </row>
    <row r="261" spans="2:9" ht="10.5" x14ac:dyDescent="0.25">
      <c r="B261" s="30" t="s">
        <v>174</v>
      </c>
      <c r="C261" s="30"/>
      <c r="D261" s="30"/>
      <c r="E261" s="30"/>
      <c r="F261" s="37">
        <v>304.4099483</v>
      </c>
      <c r="G261" s="38">
        <v>0.912007369541188</v>
      </c>
      <c r="H261" s="36">
        <v>5.2499999999999998E-2</v>
      </c>
      <c r="I261" s="24"/>
    </row>
    <row r="262" spans="2:9" x14ac:dyDescent="0.2">
      <c r="B262" s="31"/>
      <c r="C262" s="31"/>
      <c r="D262" s="31"/>
      <c r="E262" s="31"/>
      <c r="F262" s="32"/>
      <c r="G262" s="33"/>
      <c r="H262" s="31"/>
    </row>
    <row r="263" spans="2:9" ht="10.5" x14ac:dyDescent="0.25">
      <c r="B263" s="52" t="s">
        <v>177</v>
      </c>
      <c r="C263" s="52"/>
      <c r="D263" s="52"/>
      <c r="E263" s="52"/>
      <c r="F263" s="37">
        <f>F264-(F257+F261)</f>
        <v>-386.16213459998107</v>
      </c>
      <c r="G263" s="38">
        <f>G264-(G257+G261)</f>
        <v>-1.1569356210588495</v>
      </c>
      <c r="H263" s="30"/>
      <c r="I263" s="23"/>
    </row>
    <row r="264" spans="2:9" ht="10.5" x14ac:dyDescent="0.25">
      <c r="B264" s="47" t="s">
        <v>175</v>
      </c>
      <c r="C264" s="47"/>
      <c r="D264" s="47"/>
      <c r="E264" s="47"/>
      <c r="F264" s="48">
        <v>33378.014089199998</v>
      </c>
      <c r="G264" s="49">
        <v>100</v>
      </c>
      <c r="H264" s="51"/>
      <c r="I264" s="23"/>
    </row>
    <row r="266" spans="2:9" ht="10.5" x14ac:dyDescent="0.2">
      <c r="B266" s="70" t="s">
        <v>186</v>
      </c>
    </row>
    <row r="267" spans="2:9" ht="10.5" x14ac:dyDescent="0.2">
      <c r="B267" s="70"/>
    </row>
    <row r="268" spans="2:9" x14ac:dyDescent="0.2">
      <c r="B268" s="81" t="s">
        <v>1497</v>
      </c>
    </row>
    <row r="269" spans="2:9" x14ac:dyDescent="0.2">
      <c r="B269" s="81" t="s">
        <v>1515</v>
      </c>
    </row>
    <row r="270" spans="2:9" x14ac:dyDescent="0.2">
      <c r="B270" s="81" t="s">
        <v>1516</v>
      </c>
    </row>
    <row r="271" spans="2:9" ht="10.5" x14ac:dyDescent="0.2">
      <c r="B271" s="70"/>
    </row>
    <row r="272" spans="2:9" ht="10.5" x14ac:dyDescent="0.2">
      <c r="B272" s="88" t="s">
        <v>1499</v>
      </c>
      <c r="C272" s="83" t="s">
        <v>1517</v>
      </c>
      <c r="D272" s="107" t="s">
        <v>1500</v>
      </c>
    </row>
    <row r="273" spans="2:4" x14ac:dyDescent="0.2">
      <c r="B273" s="85" t="s">
        <v>1501</v>
      </c>
      <c r="C273" s="132">
        <v>8.4553999999999991</v>
      </c>
      <c r="D273" s="89">
        <v>9.9062000000000001</v>
      </c>
    </row>
    <row r="274" spans="2:4" ht="10.5" x14ac:dyDescent="0.2">
      <c r="B274" s="70"/>
    </row>
    <row r="275" spans="2:4" x14ac:dyDescent="0.2">
      <c r="B275" s="81" t="s">
        <v>1543</v>
      </c>
    </row>
    <row r="276" spans="2:4" x14ac:dyDescent="0.2">
      <c r="B276" s="81" t="s">
        <v>1544</v>
      </c>
    </row>
    <row r="277" spans="2:4" x14ac:dyDescent="0.2">
      <c r="B277" s="81" t="s">
        <v>1545</v>
      </c>
    </row>
    <row r="278" spans="2:4" x14ac:dyDescent="0.2">
      <c r="B278" s="87" t="s">
        <v>1589</v>
      </c>
    </row>
    <row r="279" spans="2:4" x14ac:dyDescent="0.2">
      <c r="B279" s="81" t="s">
        <v>1546</v>
      </c>
    </row>
    <row r="282" spans="2:4" ht="10.5" x14ac:dyDescent="0.25">
      <c r="B282" s="23" t="s">
        <v>187</v>
      </c>
    </row>
    <row r="300" spans="2:2" ht="10.5" x14ac:dyDescent="0.2">
      <c r="B300" s="70" t="s">
        <v>1482</v>
      </c>
    </row>
    <row r="301" spans="2:2" ht="10.5" x14ac:dyDescent="0.25">
      <c r="B301" s="71" t="s">
        <v>1492</v>
      </c>
    </row>
  </sheetData>
  <mergeCells count="1">
    <mergeCell ref="B1:C1"/>
  </mergeCells>
  <conditionalFormatting sqref="G1:G3 G5:G318">
    <cfRule type="cellIs" dxfId="3" priority="2" stopIfTrue="1" operator="between">
      <formula>0.009</formula>
      <formula>-0.009</formula>
    </cfRule>
  </conditionalFormatting>
  <hyperlinks>
    <hyperlink ref="A2" location="Index!A1" display="-" xr:uid="{49C21313-52C8-4277-9622-C0A6567987FF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920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2D50-FFD3-4371-9C0E-011D74E1321B}">
  <dimension ref="A1:I226"/>
  <sheetViews>
    <sheetView topLeftCell="A158" zoomScaleNormal="100" zoomScaleSheetLayoutView="90" workbookViewId="0">
      <selection activeCell="B178" sqref="B178"/>
    </sheetView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17.54296875" style="6" customWidth="1"/>
    <col min="4" max="4" width="32.1796875" style="6" bestFit="1" customWidth="1"/>
    <col min="5" max="5" width="17" style="6" customWidth="1"/>
    <col min="6" max="6" width="22.81640625" style="8" bestFit="1" customWidth="1"/>
    <col min="7" max="7" width="14" style="15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160" t="s">
        <v>21</v>
      </c>
      <c r="C1" s="161"/>
      <c r="D1" s="10"/>
      <c r="F1" s="5"/>
      <c r="G1" s="15"/>
    </row>
    <row r="2" spans="1:8" s="1" customFormat="1" ht="14.5" x14ac:dyDescent="0.35">
      <c r="A2" s="68" t="s">
        <v>1495</v>
      </c>
      <c r="F2" s="5"/>
      <c r="G2" s="15"/>
    </row>
    <row r="3" spans="1:8" s="1" customFormat="1" ht="11.5" x14ac:dyDescent="0.25">
      <c r="B3" s="7" t="s">
        <v>9</v>
      </c>
      <c r="C3" s="2"/>
      <c r="D3" s="3"/>
      <c r="E3" s="3"/>
      <c r="F3" s="4"/>
      <c r="G3" s="15"/>
    </row>
    <row r="4" spans="1:8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67" t="s">
        <v>6</v>
      </c>
    </row>
    <row r="5" spans="1:8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8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8" x14ac:dyDescent="0.2">
      <c r="B7" s="31" t="s">
        <v>26</v>
      </c>
      <c r="C7" s="31" t="s">
        <v>27</v>
      </c>
      <c r="D7" s="31" t="s">
        <v>28</v>
      </c>
      <c r="E7" s="35">
        <v>2992033</v>
      </c>
      <c r="F7" s="32">
        <v>23089.518660999998</v>
      </c>
      <c r="G7" s="33">
        <v>7.6182494197297803</v>
      </c>
      <c r="H7" s="36"/>
    </row>
    <row r="8" spans="1:8" x14ac:dyDescent="0.2">
      <c r="B8" s="31" t="s">
        <v>29</v>
      </c>
      <c r="C8" s="31" t="s">
        <v>30</v>
      </c>
      <c r="D8" s="31" t="s">
        <v>28</v>
      </c>
      <c r="E8" s="35">
        <v>1409551</v>
      </c>
      <c r="F8" s="32">
        <v>17808.267334</v>
      </c>
      <c r="G8" s="33">
        <v>5.8757319403453803</v>
      </c>
      <c r="H8" s="36"/>
    </row>
    <row r="9" spans="1:8" x14ac:dyDescent="0.2">
      <c r="B9" s="31" t="s">
        <v>31</v>
      </c>
      <c r="C9" s="31" t="s">
        <v>32</v>
      </c>
      <c r="D9" s="31" t="s">
        <v>33</v>
      </c>
      <c r="E9" s="35">
        <v>708498</v>
      </c>
      <c r="F9" s="32">
        <v>13367.940264000001</v>
      </c>
      <c r="G9" s="33">
        <v>4.41067242043537</v>
      </c>
      <c r="H9" s="36"/>
    </row>
    <row r="10" spans="1:8" x14ac:dyDescent="0.2">
      <c r="B10" s="31" t="s">
        <v>39</v>
      </c>
      <c r="C10" s="31" t="s">
        <v>40</v>
      </c>
      <c r="D10" s="31" t="s">
        <v>41</v>
      </c>
      <c r="E10" s="35">
        <v>286651</v>
      </c>
      <c r="F10" s="32">
        <v>11506.17114</v>
      </c>
      <c r="G10" s="33">
        <v>3.7963927658083199</v>
      </c>
      <c r="H10" s="36"/>
    </row>
    <row r="11" spans="1:8" x14ac:dyDescent="0.2">
      <c r="B11" s="31" t="s">
        <v>34</v>
      </c>
      <c r="C11" s="31" t="s">
        <v>35</v>
      </c>
      <c r="D11" s="31" t="s">
        <v>28</v>
      </c>
      <c r="E11" s="35">
        <v>1057545</v>
      </c>
      <c r="F11" s="32">
        <v>11299.3395525</v>
      </c>
      <c r="G11" s="33">
        <v>3.7281499130841902</v>
      </c>
      <c r="H11" s="36"/>
    </row>
    <row r="12" spans="1:8" x14ac:dyDescent="0.2">
      <c r="B12" s="31" t="s">
        <v>42</v>
      </c>
      <c r="C12" s="31" t="s">
        <v>43</v>
      </c>
      <c r="D12" s="31" t="s">
        <v>44</v>
      </c>
      <c r="E12" s="35">
        <v>711879</v>
      </c>
      <c r="F12" s="32">
        <v>10185.564732000001</v>
      </c>
      <c r="G12" s="33">
        <v>3.3606665322237799</v>
      </c>
      <c r="H12" s="36"/>
    </row>
    <row r="13" spans="1:8" x14ac:dyDescent="0.2">
      <c r="B13" s="31" t="s">
        <v>36</v>
      </c>
      <c r="C13" s="31" t="s">
        <v>37</v>
      </c>
      <c r="D13" s="31" t="s">
        <v>38</v>
      </c>
      <c r="E13" s="35">
        <v>283389</v>
      </c>
      <c r="F13" s="32">
        <v>8777.9742750000005</v>
      </c>
      <c r="G13" s="33">
        <v>2.8962404287740799</v>
      </c>
      <c r="H13" s="36"/>
    </row>
    <row r="14" spans="1:8" x14ac:dyDescent="0.2">
      <c r="B14" s="31" t="s">
        <v>48</v>
      </c>
      <c r="C14" s="31" t="s">
        <v>49</v>
      </c>
      <c r="D14" s="31" t="s">
        <v>50</v>
      </c>
      <c r="E14" s="35">
        <v>650814</v>
      </c>
      <c r="F14" s="32">
        <v>7691.3198519999996</v>
      </c>
      <c r="G14" s="33">
        <v>2.53770526184358</v>
      </c>
      <c r="H14" s="36"/>
    </row>
    <row r="15" spans="1:8" x14ac:dyDescent="0.2">
      <c r="B15" s="31" t="s">
        <v>59</v>
      </c>
      <c r="C15" s="31" t="s">
        <v>60</v>
      </c>
      <c r="D15" s="31" t="s">
        <v>61</v>
      </c>
      <c r="E15" s="35">
        <v>2161448</v>
      </c>
      <c r="F15" s="32">
        <v>6806.3997520000003</v>
      </c>
      <c r="G15" s="33">
        <v>2.2457311355176302</v>
      </c>
      <c r="H15" s="36"/>
    </row>
    <row r="16" spans="1:8" x14ac:dyDescent="0.2">
      <c r="B16" s="31" t="s">
        <v>73</v>
      </c>
      <c r="C16" s="31" t="s">
        <v>74</v>
      </c>
      <c r="D16" s="31" t="s">
        <v>50</v>
      </c>
      <c r="E16" s="35">
        <v>236359</v>
      </c>
      <c r="F16" s="32">
        <v>5847.2853009999999</v>
      </c>
      <c r="G16" s="33">
        <v>1.9292770241494701</v>
      </c>
      <c r="H16" s="36"/>
    </row>
    <row r="17" spans="2:8" x14ac:dyDescent="0.2">
      <c r="B17" s="31" t="s">
        <v>85</v>
      </c>
      <c r="C17" s="31" t="s">
        <v>86</v>
      </c>
      <c r="D17" s="31" t="s">
        <v>87</v>
      </c>
      <c r="E17" s="35">
        <v>132090</v>
      </c>
      <c r="F17" s="32">
        <v>5792.41068</v>
      </c>
      <c r="G17" s="33">
        <v>1.9111714691689199</v>
      </c>
      <c r="H17" s="36"/>
    </row>
    <row r="18" spans="2:8" x14ac:dyDescent="0.2">
      <c r="B18" s="31" t="s">
        <v>45</v>
      </c>
      <c r="C18" s="31" t="s">
        <v>46</v>
      </c>
      <c r="D18" s="31" t="s">
        <v>47</v>
      </c>
      <c r="E18" s="35">
        <v>1449063</v>
      </c>
      <c r="F18" s="32">
        <v>5783.9349645000002</v>
      </c>
      <c r="G18" s="33">
        <v>1.90837495722609</v>
      </c>
      <c r="H18" s="36"/>
    </row>
    <row r="19" spans="2:8" x14ac:dyDescent="0.2">
      <c r="B19" s="31" t="s">
        <v>77</v>
      </c>
      <c r="C19" s="31" t="s">
        <v>78</v>
      </c>
      <c r="D19" s="31" t="s">
        <v>79</v>
      </c>
      <c r="E19" s="35">
        <v>193650</v>
      </c>
      <c r="F19" s="32">
        <v>5754.3097500000003</v>
      </c>
      <c r="G19" s="33">
        <v>1.89860029381766</v>
      </c>
      <c r="H19" s="36"/>
    </row>
    <row r="20" spans="2:8" x14ac:dyDescent="0.2">
      <c r="B20" s="31" t="s">
        <v>62</v>
      </c>
      <c r="C20" s="31" t="s">
        <v>63</v>
      </c>
      <c r="D20" s="31" t="s">
        <v>64</v>
      </c>
      <c r="E20" s="35">
        <v>2684562</v>
      </c>
      <c r="F20" s="32">
        <v>5674.0902432000003</v>
      </c>
      <c r="G20" s="33">
        <v>1.8721323444375599</v>
      </c>
      <c r="H20" s="36"/>
    </row>
    <row r="21" spans="2:8" x14ac:dyDescent="0.2">
      <c r="B21" s="31" t="s">
        <v>51</v>
      </c>
      <c r="C21" s="31" t="s">
        <v>52</v>
      </c>
      <c r="D21" s="31" t="s">
        <v>53</v>
      </c>
      <c r="E21" s="35">
        <v>98946</v>
      </c>
      <c r="F21" s="32">
        <v>5665.6479600000002</v>
      </c>
      <c r="G21" s="33">
        <v>1.8693468632833701</v>
      </c>
      <c r="H21" s="36"/>
    </row>
    <row r="22" spans="2:8" x14ac:dyDescent="0.2">
      <c r="B22" s="31" t="s">
        <v>54</v>
      </c>
      <c r="C22" s="31" t="s">
        <v>55</v>
      </c>
      <c r="D22" s="31" t="s">
        <v>44</v>
      </c>
      <c r="E22" s="35">
        <v>3662253</v>
      </c>
      <c r="F22" s="32">
        <v>5209.5548925000003</v>
      </c>
      <c r="G22" s="33">
        <v>1.71886166704177</v>
      </c>
      <c r="H22" s="36"/>
    </row>
    <row r="23" spans="2:8" x14ac:dyDescent="0.2">
      <c r="B23" s="31" t="s">
        <v>836</v>
      </c>
      <c r="C23" s="31" t="s">
        <v>837</v>
      </c>
      <c r="D23" s="31" t="s">
        <v>525</v>
      </c>
      <c r="E23" s="35">
        <v>74157</v>
      </c>
      <c r="F23" s="32">
        <v>5058.2489699999996</v>
      </c>
      <c r="G23" s="33">
        <v>1.6689391773956701</v>
      </c>
      <c r="H23" s="36"/>
    </row>
    <row r="24" spans="2:8" x14ac:dyDescent="0.2">
      <c r="B24" s="31" t="s">
        <v>56</v>
      </c>
      <c r="C24" s="31" t="s">
        <v>57</v>
      </c>
      <c r="D24" s="31" t="s">
        <v>58</v>
      </c>
      <c r="E24" s="35">
        <v>142828</v>
      </c>
      <c r="F24" s="32">
        <v>4629.912448</v>
      </c>
      <c r="G24" s="33">
        <v>1.5276120883348101</v>
      </c>
      <c r="H24" s="36"/>
    </row>
    <row r="25" spans="2:8" x14ac:dyDescent="0.2">
      <c r="B25" s="31" t="s">
        <v>116</v>
      </c>
      <c r="C25" s="31" t="s">
        <v>117</v>
      </c>
      <c r="D25" s="31" t="s">
        <v>100</v>
      </c>
      <c r="E25" s="35">
        <v>284615</v>
      </c>
      <c r="F25" s="32">
        <v>4513.1400549999998</v>
      </c>
      <c r="G25" s="33">
        <v>1.4890837314524601</v>
      </c>
      <c r="H25" s="36"/>
    </row>
    <row r="26" spans="2:8" x14ac:dyDescent="0.2">
      <c r="B26" s="31" t="s">
        <v>65</v>
      </c>
      <c r="C26" s="31" t="s">
        <v>66</v>
      </c>
      <c r="D26" s="31" t="s">
        <v>67</v>
      </c>
      <c r="E26" s="35">
        <v>1097962</v>
      </c>
      <c r="F26" s="32">
        <v>4484.0768079999998</v>
      </c>
      <c r="G26" s="33">
        <v>1.47949448587987</v>
      </c>
      <c r="H26" s="36"/>
    </row>
    <row r="27" spans="2:8" x14ac:dyDescent="0.2">
      <c r="B27" s="31" t="s">
        <v>71</v>
      </c>
      <c r="C27" s="31" t="s">
        <v>72</v>
      </c>
      <c r="D27" s="31" t="s">
        <v>53</v>
      </c>
      <c r="E27" s="35">
        <v>293607</v>
      </c>
      <c r="F27" s="32">
        <v>4282.5517019999998</v>
      </c>
      <c r="G27" s="33">
        <v>1.41300247518071</v>
      </c>
      <c r="H27" s="36"/>
    </row>
    <row r="28" spans="2:8" x14ac:dyDescent="0.2">
      <c r="B28" s="31" t="s">
        <v>82</v>
      </c>
      <c r="C28" s="31" t="s">
        <v>83</v>
      </c>
      <c r="D28" s="31" t="s">
        <v>84</v>
      </c>
      <c r="E28" s="35">
        <v>1695007</v>
      </c>
      <c r="F28" s="32">
        <v>4187.1757920999999</v>
      </c>
      <c r="G28" s="33">
        <v>1.38153376069949</v>
      </c>
      <c r="H28" s="36"/>
    </row>
    <row r="29" spans="2:8" x14ac:dyDescent="0.2">
      <c r="B29" s="31" t="s">
        <v>1026</v>
      </c>
      <c r="C29" s="31" t="s">
        <v>1027</v>
      </c>
      <c r="D29" s="31" t="s">
        <v>1011</v>
      </c>
      <c r="E29" s="35">
        <v>388631</v>
      </c>
      <c r="F29" s="32">
        <v>4154.0767589999996</v>
      </c>
      <c r="G29" s="33">
        <v>1.3706129314951301</v>
      </c>
      <c r="H29" s="36"/>
    </row>
    <row r="30" spans="2:8" x14ac:dyDescent="0.2">
      <c r="B30" s="31" t="s">
        <v>921</v>
      </c>
      <c r="C30" s="31" t="s">
        <v>922</v>
      </c>
      <c r="D30" s="31" t="s">
        <v>517</v>
      </c>
      <c r="E30" s="35">
        <v>2429075</v>
      </c>
      <c r="F30" s="32">
        <v>4032.7503149999998</v>
      </c>
      <c r="G30" s="33">
        <v>1.3305819925582301</v>
      </c>
      <c r="H30" s="36"/>
    </row>
    <row r="31" spans="2:8" x14ac:dyDescent="0.2">
      <c r="B31" s="31" t="s">
        <v>480</v>
      </c>
      <c r="C31" s="31" t="s">
        <v>481</v>
      </c>
      <c r="D31" s="31" t="s">
        <v>38</v>
      </c>
      <c r="E31" s="35">
        <v>112806</v>
      </c>
      <c r="F31" s="32">
        <v>3940.2007739999999</v>
      </c>
      <c r="G31" s="33">
        <v>1.3000458216933799</v>
      </c>
      <c r="H31" s="36"/>
    </row>
    <row r="32" spans="2:8" x14ac:dyDescent="0.2">
      <c r="B32" s="31" t="s">
        <v>88</v>
      </c>
      <c r="C32" s="31" t="s">
        <v>89</v>
      </c>
      <c r="D32" s="31" t="s">
        <v>79</v>
      </c>
      <c r="E32" s="35">
        <v>114133</v>
      </c>
      <c r="F32" s="32">
        <v>3755.203966</v>
      </c>
      <c r="G32" s="33">
        <v>1.2390072246619701</v>
      </c>
      <c r="H32" s="36"/>
    </row>
    <row r="33" spans="2:8" x14ac:dyDescent="0.2">
      <c r="B33" s="31" t="s">
        <v>110</v>
      </c>
      <c r="C33" s="31" t="s">
        <v>111</v>
      </c>
      <c r="D33" s="31" t="s">
        <v>100</v>
      </c>
      <c r="E33" s="35">
        <v>470473</v>
      </c>
      <c r="F33" s="32">
        <v>3753.9040669999999</v>
      </c>
      <c r="G33" s="33">
        <v>1.2385783307145599</v>
      </c>
      <c r="H33" s="36"/>
    </row>
    <row r="34" spans="2:8" x14ac:dyDescent="0.2">
      <c r="B34" s="31" t="s">
        <v>597</v>
      </c>
      <c r="C34" s="31" t="s">
        <v>598</v>
      </c>
      <c r="D34" s="31" t="s">
        <v>486</v>
      </c>
      <c r="E34" s="35">
        <v>45946</v>
      </c>
      <c r="F34" s="32">
        <v>3726.4503300000001</v>
      </c>
      <c r="G34" s="33">
        <v>1.2295201333982599</v>
      </c>
      <c r="H34" s="36"/>
    </row>
    <row r="35" spans="2:8" x14ac:dyDescent="0.2">
      <c r="B35" s="31" t="s">
        <v>872</v>
      </c>
      <c r="C35" s="31" t="s">
        <v>873</v>
      </c>
      <c r="D35" s="31" t="s">
        <v>70</v>
      </c>
      <c r="E35" s="35">
        <v>232711</v>
      </c>
      <c r="F35" s="32">
        <v>3669.387048</v>
      </c>
      <c r="G35" s="33">
        <v>1.2106924427318999</v>
      </c>
      <c r="H35" s="36"/>
    </row>
    <row r="36" spans="2:8" x14ac:dyDescent="0.2">
      <c r="B36" s="31" t="s">
        <v>68</v>
      </c>
      <c r="C36" s="31" t="s">
        <v>69</v>
      </c>
      <c r="D36" s="31" t="s">
        <v>70</v>
      </c>
      <c r="E36" s="35">
        <v>76386</v>
      </c>
      <c r="F36" s="32">
        <v>3281.0078579999999</v>
      </c>
      <c r="G36" s="33">
        <v>1.0825490378262701</v>
      </c>
      <c r="H36" s="36"/>
    </row>
    <row r="37" spans="2:8" x14ac:dyDescent="0.2">
      <c r="B37" s="31" t="s">
        <v>830</v>
      </c>
      <c r="C37" s="31" t="s">
        <v>831</v>
      </c>
      <c r="D37" s="31" t="s">
        <v>28</v>
      </c>
      <c r="E37" s="35">
        <v>1073446</v>
      </c>
      <c r="F37" s="32">
        <v>3150.5640100000001</v>
      </c>
      <c r="G37" s="33">
        <v>1.03950986564068</v>
      </c>
      <c r="H37" s="36"/>
    </row>
    <row r="38" spans="2:8" x14ac:dyDescent="0.2">
      <c r="B38" s="31" t="s">
        <v>92</v>
      </c>
      <c r="C38" s="31" t="s">
        <v>93</v>
      </c>
      <c r="D38" s="31" t="s">
        <v>94</v>
      </c>
      <c r="E38" s="35">
        <v>164899</v>
      </c>
      <c r="F38" s="32">
        <v>2981.8686170000001</v>
      </c>
      <c r="G38" s="33">
        <v>0.98384982357994499</v>
      </c>
      <c r="H38" s="36"/>
    </row>
    <row r="39" spans="2:8" x14ac:dyDescent="0.2">
      <c r="B39" s="31" t="s">
        <v>90</v>
      </c>
      <c r="C39" s="31" t="s">
        <v>91</v>
      </c>
      <c r="D39" s="31" t="s">
        <v>28</v>
      </c>
      <c r="E39" s="35">
        <v>989676</v>
      </c>
      <c r="F39" s="32">
        <v>2839.875282</v>
      </c>
      <c r="G39" s="33">
        <v>0.93699996681803699</v>
      </c>
      <c r="H39" s="36"/>
    </row>
    <row r="40" spans="2:8" x14ac:dyDescent="0.2">
      <c r="B40" s="31" t="s">
        <v>1169</v>
      </c>
      <c r="C40" s="31" t="s">
        <v>1170</v>
      </c>
      <c r="D40" s="31" t="s">
        <v>486</v>
      </c>
      <c r="E40" s="35">
        <v>180669</v>
      </c>
      <c r="F40" s="32">
        <v>2838.3099900000002</v>
      </c>
      <c r="G40" s="33">
        <v>0.93648350802797797</v>
      </c>
      <c r="H40" s="36"/>
    </row>
    <row r="41" spans="2:8" x14ac:dyDescent="0.2">
      <c r="B41" s="31" t="s">
        <v>911</v>
      </c>
      <c r="C41" s="31" t="s">
        <v>912</v>
      </c>
      <c r="D41" s="31" t="s">
        <v>486</v>
      </c>
      <c r="E41" s="35">
        <v>506446</v>
      </c>
      <c r="F41" s="32">
        <v>2803.1786099999999</v>
      </c>
      <c r="G41" s="33">
        <v>0.92489211804584903</v>
      </c>
      <c r="H41" s="36"/>
    </row>
    <row r="42" spans="2:8" x14ac:dyDescent="0.2">
      <c r="B42" s="31" t="s">
        <v>1336</v>
      </c>
      <c r="C42" s="31" t="s">
        <v>1337</v>
      </c>
      <c r="D42" s="31" t="s">
        <v>1338</v>
      </c>
      <c r="E42" s="35">
        <v>184962</v>
      </c>
      <c r="F42" s="32">
        <v>2792.1863520000002</v>
      </c>
      <c r="G42" s="33">
        <v>0.92126528786547501</v>
      </c>
      <c r="H42" s="36"/>
    </row>
    <row r="43" spans="2:8" x14ac:dyDescent="0.2">
      <c r="B43" s="31" t="s">
        <v>161</v>
      </c>
      <c r="C43" s="31" t="s">
        <v>162</v>
      </c>
      <c r="D43" s="31" t="s">
        <v>94</v>
      </c>
      <c r="E43" s="35">
        <v>242309</v>
      </c>
      <c r="F43" s="32">
        <v>2667.7009355</v>
      </c>
      <c r="G43" s="33">
        <v>0.88019206473164702</v>
      </c>
      <c r="H43" s="36"/>
    </row>
    <row r="44" spans="2:8" x14ac:dyDescent="0.2">
      <c r="B44" s="31" t="s">
        <v>105</v>
      </c>
      <c r="C44" s="31" t="s">
        <v>106</v>
      </c>
      <c r="D44" s="31" t="s">
        <v>50</v>
      </c>
      <c r="E44" s="35">
        <v>179059</v>
      </c>
      <c r="F44" s="32">
        <v>2638.4343650000001</v>
      </c>
      <c r="G44" s="33">
        <v>0.87053573377894899</v>
      </c>
      <c r="H44" s="36"/>
    </row>
    <row r="45" spans="2:8" x14ac:dyDescent="0.2">
      <c r="B45" s="31" t="s">
        <v>141</v>
      </c>
      <c r="C45" s="31" t="s">
        <v>142</v>
      </c>
      <c r="D45" s="31" t="s">
        <v>44</v>
      </c>
      <c r="E45" s="35">
        <v>678493</v>
      </c>
      <c r="F45" s="32">
        <v>2541.2955314999999</v>
      </c>
      <c r="G45" s="33">
        <v>0.83848535313612604</v>
      </c>
      <c r="H45" s="36"/>
    </row>
    <row r="46" spans="2:8" x14ac:dyDescent="0.2">
      <c r="B46" s="31" t="s">
        <v>166</v>
      </c>
      <c r="C46" s="31" t="s">
        <v>167</v>
      </c>
      <c r="D46" s="31" t="s">
        <v>79</v>
      </c>
      <c r="E46" s="35">
        <v>242858</v>
      </c>
      <c r="F46" s="32">
        <v>2452.7443709999998</v>
      </c>
      <c r="G46" s="33">
        <v>0.80926842414769395</v>
      </c>
      <c r="H46" s="36"/>
    </row>
    <row r="47" spans="2:8" x14ac:dyDescent="0.2">
      <c r="B47" s="31" t="s">
        <v>118</v>
      </c>
      <c r="C47" s="31" t="s">
        <v>119</v>
      </c>
      <c r="D47" s="31" t="s">
        <v>64</v>
      </c>
      <c r="E47" s="35">
        <v>178144</v>
      </c>
      <c r="F47" s="32">
        <v>2252.6308800000002</v>
      </c>
      <c r="G47" s="33">
        <v>0.743242167426029</v>
      </c>
      <c r="H47" s="36"/>
    </row>
    <row r="48" spans="2:8" x14ac:dyDescent="0.2">
      <c r="B48" s="31" t="s">
        <v>103</v>
      </c>
      <c r="C48" s="31" t="s">
        <v>104</v>
      </c>
      <c r="D48" s="31" t="s">
        <v>84</v>
      </c>
      <c r="E48" s="35">
        <v>435986</v>
      </c>
      <c r="F48" s="32">
        <v>2249.469767</v>
      </c>
      <c r="G48" s="33">
        <v>0.74219917698384996</v>
      </c>
      <c r="H48" s="36"/>
    </row>
    <row r="49" spans="2:8" x14ac:dyDescent="0.2">
      <c r="B49" s="31" t="s">
        <v>107</v>
      </c>
      <c r="C49" s="31" t="s">
        <v>108</v>
      </c>
      <c r="D49" s="31" t="s">
        <v>109</v>
      </c>
      <c r="E49" s="35">
        <v>816494</v>
      </c>
      <c r="F49" s="32">
        <v>2217.1894569999999</v>
      </c>
      <c r="G49" s="33">
        <v>0.73154848059919197</v>
      </c>
      <c r="H49" s="36"/>
    </row>
    <row r="50" spans="2:8" x14ac:dyDescent="0.2">
      <c r="B50" s="31" t="s">
        <v>137</v>
      </c>
      <c r="C50" s="31" t="s">
        <v>138</v>
      </c>
      <c r="D50" s="31" t="s">
        <v>58</v>
      </c>
      <c r="E50" s="35">
        <v>1248690</v>
      </c>
      <c r="F50" s="32">
        <v>2024.0016209999999</v>
      </c>
      <c r="G50" s="33">
        <v>0.667807302573175</v>
      </c>
      <c r="H50" s="36"/>
    </row>
    <row r="51" spans="2:8" x14ac:dyDescent="0.2">
      <c r="B51" s="31" t="s">
        <v>112</v>
      </c>
      <c r="C51" s="31" t="s">
        <v>113</v>
      </c>
      <c r="D51" s="31" t="s">
        <v>38</v>
      </c>
      <c r="E51" s="35">
        <v>39184</v>
      </c>
      <c r="F51" s="32">
        <v>1997.99216</v>
      </c>
      <c r="G51" s="33">
        <v>0.65922563553715197</v>
      </c>
      <c r="H51" s="36"/>
    </row>
    <row r="52" spans="2:8" x14ac:dyDescent="0.2">
      <c r="B52" s="31" t="s">
        <v>939</v>
      </c>
      <c r="C52" s="31" t="s">
        <v>940</v>
      </c>
      <c r="D52" s="31" t="s">
        <v>458</v>
      </c>
      <c r="E52" s="35">
        <v>143199</v>
      </c>
      <c r="F52" s="32">
        <v>1957.816728</v>
      </c>
      <c r="G52" s="33">
        <v>0.64596999058348004</v>
      </c>
      <c r="H52" s="36"/>
    </row>
    <row r="53" spans="2:8" x14ac:dyDescent="0.2">
      <c r="B53" s="31" t="s">
        <v>101</v>
      </c>
      <c r="C53" s="31" t="s">
        <v>102</v>
      </c>
      <c r="D53" s="31" t="s">
        <v>67</v>
      </c>
      <c r="E53" s="35">
        <v>1462708</v>
      </c>
      <c r="F53" s="32">
        <v>1772.9483668</v>
      </c>
      <c r="G53" s="33">
        <v>0.58497377381014604</v>
      </c>
      <c r="H53" s="36"/>
    </row>
    <row r="54" spans="2:8" x14ac:dyDescent="0.2">
      <c r="B54" s="31" t="s">
        <v>1339</v>
      </c>
      <c r="C54" s="31" t="s">
        <v>1340</v>
      </c>
      <c r="D54" s="31" t="s">
        <v>67</v>
      </c>
      <c r="E54" s="35">
        <v>1421410</v>
      </c>
      <c r="F54" s="32">
        <v>1727.865996</v>
      </c>
      <c r="G54" s="33">
        <v>0.57009911357016296</v>
      </c>
      <c r="H54" s="36"/>
    </row>
    <row r="55" spans="2:8" x14ac:dyDescent="0.2">
      <c r="B55" s="31" t="s">
        <v>75</v>
      </c>
      <c r="C55" s="31" t="s">
        <v>76</v>
      </c>
      <c r="D55" s="31" t="s">
        <v>28</v>
      </c>
      <c r="E55" s="35">
        <v>134554</v>
      </c>
      <c r="F55" s="32">
        <v>1706.5483819999999</v>
      </c>
      <c r="G55" s="33">
        <v>0.56306549355971902</v>
      </c>
      <c r="H55" s="36"/>
    </row>
    <row r="56" spans="2:8" x14ac:dyDescent="0.2">
      <c r="B56" s="31" t="s">
        <v>961</v>
      </c>
      <c r="C56" s="31" t="s">
        <v>962</v>
      </c>
      <c r="D56" s="31" t="s">
        <v>94</v>
      </c>
      <c r="E56" s="35">
        <v>147842</v>
      </c>
      <c r="F56" s="32">
        <v>1619.978715</v>
      </c>
      <c r="G56" s="33">
        <v>0.53450234657203799</v>
      </c>
      <c r="H56" s="36"/>
    </row>
    <row r="57" spans="2:8" x14ac:dyDescent="0.2">
      <c r="B57" s="31" t="s">
        <v>1341</v>
      </c>
      <c r="C57" s="31" t="s">
        <v>1342</v>
      </c>
      <c r="D57" s="31" t="s">
        <v>47</v>
      </c>
      <c r="E57" s="35">
        <v>768087</v>
      </c>
      <c r="F57" s="32">
        <v>1595.316699</v>
      </c>
      <c r="G57" s="33">
        <v>0.52636526100348002</v>
      </c>
      <c r="H57" s="36"/>
    </row>
    <row r="58" spans="2:8" x14ac:dyDescent="0.2">
      <c r="B58" s="31" t="s">
        <v>98</v>
      </c>
      <c r="C58" s="31" t="s">
        <v>99</v>
      </c>
      <c r="D58" s="31" t="s">
        <v>100</v>
      </c>
      <c r="E58" s="35">
        <v>86053</v>
      </c>
      <c r="F58" s="32">
        <v>1565.3040699999999</v>
      </c>
      <c r="G58" s="33">
        <v>0.51646277248387196</v>
      </c>
      <c r="H58" s="36"/>
    </row>
    <row r="59" spans="2:8" x14ac:dyDescent="0.2">
      <c r="B59" s="31" t="s">
        <v>123</v>
      </c>
      <c r="C59" s="31" t="s">
        <v>124</v>
      </c>
      <c r="D59" s="31" t="s">
        <v>79</v>
      </c>
      <c r="E59" s="35">
        <v>614003</v>
      </c>
      <c r="F59" s="32">
        <v>1320.0450496999999</v>
      </c>
      <c r="G59" s="33">
        <v>0.43554101675061302</v>
      </c>
      <c r="H59" s="36"/>
    </row>
    <row r="60" spans="2:8" x14ac:dyDescent="0.2">
      <c r="B60" s="31" t="s">
        <v>114</v>
      </c>
      <c r="C60" s="31" t="s">
        <v>115</v>
      </c>
      <c r="D60" s="31" t="s">
        <v>28</v>
      </c>
      <c r="E60" s="35">
        <v>6483231</v>
      </c>
      <c r="F60" s="32">
        <v>1292.1079382999999</v>
      </c>
      <c r="G60" s="33">
        <v>0.42632333292459801</v>
      </c>
      <c r="H60" s="36"/>
    </row>
    <row r="61" spans="2:8" x14ac:dyDescent="0.2">
      <c r="B61" s="31" t="s">
        <v>1343</v>
      </c>
      <c r="C61" s="31" t="s">
        <v>1344</v>
      </c>
      <c r="D61" s="31" t="s">
        <v>94</v>
      </c>
      <c r="E61" s="35">
        <v>231690</v>
      </c>
      <c r="F61" s="32">
        <v>1268.03937</v>
      </c>
      <c r="G61" s="33">
        <v>0.41838205189673</v>
      </c>
      <c r="H61" s="36"/>
    </row>
    <row r="62" spans="2:8" x14ac:dyDescent="0.2">
      <c r="B62" s="31" t="s">
        <v>440</v>
      </c>
      <c r="C62" s="31" t="s">
        <v>441</v>
      </c>
      <c r="D62" s="31" t="s">
        <v>442</v>
      </c>
      <c r="E62" s="35">
        <v>76122</v>
      </c>
      <c r="F62" s="32">
        <v>1261.5699059999999</v>
      </c>
      <c r="G62" s="33">
        <v>0.41624749070957101</v>
      </c>
      <c r="H62" s="36"/>
    </row>
    <row r="63" spans="2:8" x14ac:dyDescent="0.2">
      <c r="B63" s="31" t="s">
        <v>145</v>
      </c>
      <c r="C63" s="31" t="s">
        <v>146</v>
      </c>
      <c r="D63" s="31" t="s">
        <v>64</v>
      </c>
      <c r="E63" s="35">
        <v>672424</v>
      </c>
      <c r="F63" s="32">
        <v>1241.4291888</v>
      </c>
      <c r="G63" s="33">
        <v>0.40960218080187599</v>
      </c>
      <c r="H63" s="36"/>
    </row>
    <row r="64" spans="2:8" x14ac:dyDescent="0.2">
      <c r="B64" s="31" t="s">
        <v>704</v>
      </c>
      <c r="C64" s="31" t="s">
        <v>705</v>
      </c>
      <c r="D64" s="31" t="s">
        <v>100</v>
      </c>
      <c r="E64" s="35">
        <v>241374</v>
      </c>
      <c r="F64" s="32">
        <v>1240.300299</v>
      </c>
      <c r="G64" s="33">
        <v>0.40922971032338501</v>
      </c>
      <c r="H64" s="36"/>
    </row>
    <row r="65" spans="2:8" x14ac:dyDescent="0.2">
      <c r="B65" s="31" t="s">
        <v>155</v>
      </c>
      <c r="C65" s="31" t="s">
        <v>156</v>
      </c>
      <c r="D65" s="31" t="s">
        <v>50</v>
      </c>
      <c r="E65" s="35">
        <v>28427</v>
      </c>
      <c r="F65" s="32">
        <v>1213.719192</v>
      </c>
      <c r="G65" s="33">
        <v>0.40045943208798102</v>
      </c>
      <c r="H65" s="36"/>
    </row>
    <row r="66" spans="2:8" x14ac:dyDescent="0.2">
      <c r="B66" s="31" t="s">
        <v>967</v>
      </c>
      <c r="C66" s="31" t="s">
        <v>968</v>
      </c>
      <c r="D66" s="31" t="s">
        <v>797</v>
      </c>
      <c r="E66" s="35">
        <v>2805074</v>
      </c>
      <c r="F66" s="32">
        <v>1170.8378875999999</v>
      </c>
      <c r="G66" s="33">
        <v>0.38631100062178803</v>
      </c>
      <c r="H66" s="36"/>
    </row>
    <row r="67" spans="2:8" x14ac:dyDescent="0.2">
      <c r="B67" s="31" t="s">
        <v>1218</v>
      </c>
      <c r="C67" s="31" t="s">
        <v>1219</v>
      </c>
      <c r="D67" s="31" t="s">
        <v>522</v>
      </c>
      <c r="E67" s="35">
        <v>334101</v>
      </c>
      <c r="F67" s="32">
        <v>1137.9480060000001</v>
      </c>
      <c r="G67" s="33">
        <v>0.37545917971148801</v>
      </c>
      <c r="H67" s="36"/>
    </row>
    <row r="68" spans="2:8" x14ac:dyDescent="0.2">
      <c r="B68" s="31" t="s">
        <v>153</v>
      </c>
      <c r="C68" s="31" t="s">
        <v>154</v>
      </c>
      <c r="D68" s="31" t="s">
        <v>67</v>
      </c>
      <c r="E68" s="35">
        <v>866</v>
      </c>
      <c r="F68" s="32">
        <v>1123.2886000000001</v>
      </c>
      <c r="G68" s="33">
        <v>0.37062239584896001</v>
      </c>
      <c r="H68" s="36"/>
    </row>
    <row r="69" spans="2:8" x14ac:dyDescent="0.2">
      <c r="B69" s="31" t="s">
        <v>1060</v>
      </c>
      <c r="C69" s="31" t="s">
        <v>1061</v>
      </c>
      <c r="D69" s="31" t="s">
        <v>94</v>
      </c>
      <c r="E69" s="35">
        <v>23799</v>
      </c>
      <c r="F69" s="32">
        <v>1121.0756940000001</v>
      </c>
      <c r="G69" s="33">
        <v>0.36989226066953301</v>
      </c>
      <c r="H69" s="36"/>
    </row>
    <row r="70" spans="2:8" x14ac:dyDescent="0.2">
      <c r="B70" s="31" t="s">
        <v>553</v>
      </c>
      <c r="C70" s="31" t="s">
        <v>554</v>
      </c>
      <c r="D70" s="31" t="s">
        <v>435</v>
      </c>
      <c r="E70" s="35">
        <v>186677</v>
      </c>
      <c r="F70" s="32">
        <v>1112.5015814999999</v>
      </c>
      <c r="G70" s="33">
        <v>0.367063283221504</v>
      </c>
      <c r="H70" s="36"/>
    </row>
    <row r="71" spans="2:8" x14ac:dyDescent="0.2">
      <c r="B71" s="31" t="s">
        <v>649</v>
      </c>
      <c r="C71" s="31" t="s">
        <v>650</v>
      </c>
      <c r="D71" s="31" t="s">
        <v>28</v>
      </c>
      <c r="E71" s="35">
        <v>128532</v>
      </c>
      <c r="F71" s="32">
        <v>1094.899842</v>
      </c>
      <c r="G71" s="33">
        <v>0.36125569391222101</v>
      </c>
      <c r="H71" s="36"/>
    </row>
    <row r="72" spans="2:8" x14ac:dyDescent="0.2">
      <c r="B72" s="31" t="s">
        <v>1345</v>
      </c>
      <c r="C72" s="31" t="s">
        <v>1346</v>
      </c>
      <c r="D72" s="31" t="s">
        <v>67</v>
      </c>
      <c r="E72" s="35">
        <v>225663</v>
      </c>
      <c r="F72" s="32">
        <v>1069.0784624999999</v>
      </c>
      <c r="G72" s="33">
        <v>0.35273608324901701</v>
      </c>
      <c r="H72" s="36"/>
    </row>
    <row r="73" spans="2:8" x14ac:dyDescent="0.2">
      <c r="B73" s="31" t="s">
        <v>1040</v>
      </c>
      <c r="C73" s="31" t="s">
        <v>1041</v>
      </c>
      <c r="D73" s="31" t="s">
        <v>797</v>
      </c>
      <c r="E73" s="35">
        <v>116121</v>
      </c>
      <c r="F73" s="32">
        <v>1012.2848175</v>
      </c>
      <c r="G73" s="33">
        <v>0.33399735770787398</v>
      </c>
      <c r="H73" s="36"/>
    </row>
    <row r="74" spans="2:8" x14ac:dyDescent="0.2">
      <c r="B74" s="31" t="s">
        <v>1187</v>
      </c>
      <c r="C74" s="31" t="s">
        <v>1188</v>
      </c>
      <c r="D74" s="31" t="s">
        <v>67</v>
      </c>
      <c r="E74" s="35">
        <v>246745</v>
      </c>
      <c r="F74" s="32">
        <v>1002.031445</v>
      </c>
      <c r="G74" s="33">
        <v>0.33061431840570199</v>
      </c>
      <c r="H74" s="36"/>
    </row>
    <row r="75" spans="2:8" x14ac:dyDescent="0.2">
      <c r="B75" s="31" t="s">
        <v>1578</v>
      </c>
      <c r="C75" s="31" t="s">
        <v>132</v>
      </c>
      <c r="D75" s="31" t="s">
        <v>47</v>
      </c>
      <c r="E75" s="35">
        <v>816494</v>
      </c>
      <c r="F75" s="32">
        <v>988.16186349999998</v>
      </c>
      <c r="G75" s="33">
        <v>0.32603813244160301</v>
      </c>
      <c r="H75" s="36"/>
    </row>
    <row r="76" spans="2:8" x14ac:dyDescent="0.2">
      <c r="B76" s="31" t="s">
        <v>1579</v>
      </c>
      <c r="C76" s="31" t="s">
        <v>134</v>
      </c>
      <c r="D76" s="31" t="s">
        <v>135</v>
      </c>
      <c r="E76" s="35">
        <v>816494</v>
      </c>
      <c r="F76" s="32">
        <v>988.16186349999998</v>
      </c>
      <c r="G76" s="33">
        <v>0.32603813244160301</v>
      </c>
      <c r="H76" s="36"/>
    </row>
    <row r="77" spans="2:8" x14ac:dyDescent="0.2">
      <c r="B77" s="31" t="s">
        <v>1577</v>
      </c>
      <c r="C77" s="31" t="s">
        <v>133</v>
      </c>
      <c r="D77" s="31" t="s">
        <v>47</v>
      </c>
      <c r="E77" s="35">
        <v>816494</v>
      </c>
      <c r="F77" s="32">
        <v>988.16186349999998</v>
      </c>
      <c r="G77" s="33">
        <v>0.32603813244160301</v>
      </c>
      <c r="H77" s="36"/>
    </row>
    <row r="78" spans="2:8" x14ac:dyDescent="0.2">
      <c r="B78" s="31" t="s">
        <v>1576</v>
      </c>
      <c r="C78" s="31" t="s">
        <v>136</v>
      </c>
      <c r="D78" s="31" t="s">
        <v>135</v>
      </c>
      <c r="E78" s="35">
        <v>816494</v>
      </c>
      <c r="F78" s="32">
        <v>988.16186349999998</v>
      </c>
      <c r="G78" s="33">
        <v>0.32603813244160301</v>
      </c>
      <c r="H78" s="36"/>
    </row>
    <row r="79" spans="2:8" x14ac:dyDescent="0.2">
      <c r="B79" s="31" t="s">
        <v>151</v>
      </c>
      <c r="C79" s="31" t="s">
        <v>152</v>
      </c>
      <c r="D79" s="31" t="s">
        <v>135</v>
      </c>
      <c r="E79" s="35">
        <v>40731</v>
      </c>
      <c r="F79" s="32">
        <v>980.96540400000004</v>
      </c>
      <c r="G79" s="33">
        <v>0.32366370341105799</v>
      </c>
      <c r="H79" s="36"/>
    </row>
    <row r="80" spans="2:8" x14ac:dyDescent="0.2">
      <c r="B80" s="31" t="s">
        <v>603</v>
      </c>
      <c r="C80" s="31" t="s">
        <v>604</v>
      </c>
      <c r="D80" s="31" t="s">
        <v>461</v>
      </c>
      <c r="E80" s="35">
        <v>123477</v>
      </c>
      <c r="F80" s="32">
        <v>956.94674999999995</v>
      </c>
      <c r="G80" s="33">
        <v>0.31573889130974497</v>
      </c>
      <c r="H80" s="36"/>
    </row>
    <row r="81" spans="2:8" x14ac:dyDescent="0.2">
      <c r="B81" s="31" t="s">
        <v>127</v>
      </c>
      <c r="C81" s="31" t="s">
        <v>128</v>
      </c>
      <c r="D81" s="31" t="s">
        <v>44</v>
      </c>
      <c r="E81" s="35">
        <v>301721</v>
      </c>
      <c r="F81" s="32">
        <v>906.52074449999998</v>
      </c>
      <c r="G81" s="33">
        <v>0.29910113056731202</v>
      </c>
      <c r="H81" s="36"/>
    </row>
    <row r="82" spans="2:8" x14ac:dyDescent="0.2">
      <c r="B82" s="31" t="s">
        <v>848</v>
      </c>
      <c r="C82" s="31" t="s">
        <v>849</v>
      </c>
      <c r="D82" s="31" t="s">
        <v>28</v>
      </c>
      <c r="E82" s="35">
        <v>325866</v>
      </c>
      <c r="F82" s="32">
        <v>880.13147939999999</v>
      </c>
      <c r="G82" s="33">
        <v>0.290394149426352</v>
      </c>
      <c r="H82" s="36"/>
    </row>
    <row r="83" spans="2:8" x14ac:dyDescent="0.2">
      <c r="B83" s="31" t="s">
        <v>1155</v>
      </c>
      <c r="C83" s="31" t="s">
        <v>1156</v>
      </c>
      <c r="D83" s="31" t="s">
        <v>165</v>
      </c>
      <c r="E83" s="35">
        <v>609401</v>
      </c>
      <c r="F83" s="32">
        <v>847.49397069999998</v>
      </c>
      <c r="G83" s="33">
        <v>0.27962559745410198</v>
      </c>
      <c r="H83" s="36"/>
    </row>
    <row r="84" spans="2:8" x14ac:dyDescent="0.2">
      <c r="B84" s="31" t="s">
        <v>1042</v>
      </c>
      <c r="C84" s="31" t="s">
        <v>1043</v>
      </c>
      <c r="D84" s="31" t="s">
        <v>563</v>
      </c>
      <c r="E84" s="35">
        <v>81594</v>
      </c>
      <c r="F84" s="32">
        <v>782.44566299999997</v>
      </c>
      <c r="G84" s="33">
        <v>0.25816329502737601</v>
      </c>
      <c r="H84" s="36"/>
    </row>
    <row r="85" spans="2:8" x14ac:dyDescent="0.2">
      <c r="B85" s="31" t="s">
        <v>1056</v>
      </c>
      <c r="C85" s="31" t="s">
        <v>1057</v>
      </c>
      <c r="D85" s="31" t="s">
        <v>67</v>
      </c>
      <c r="E85" s="35">
        <v>22612</v>
      </c>
      <c r="F85" s="32">
        <v>779.02862400000004</v>
      </c>
      <c r="G85" s="33">
        <v>0.257035863322924</v>
      </c>
      <c r="H85" s="36"/>
    </row>
    <row r="86" spans="2:8" x14ac:dyDescent="0.2">
      <c r="B86" s="31" t="s">
        <v>566</v>
      </c>
      <c r="C86" s="31" t="s">
        <v>567</v>
      </c>
      <c r="D86" s="31" t="s">
        <v>79</v>
      </c>
      <c r="E86" s="35">
        <v>20965</v>
      </c>
      <c r="F86" s="32">
        <v>763.23082499999998</v>
      </c>
      <c r="G86" s="33">
        <v>0.25182347345755801</v>
      </c>
      <c r="H86" s="36"/>
    </row>
    <row r="87" spans="2:8" x14ac:dyDescent="0.2">
      <c r="B87" s="31" t="s">
        <v>1290</v>
      </c>
      <c r="C87" s="31" t="s">
        <v>1291</v>
      </c>
      <c r="D87" s="31" t="s">
        <v>122</v>
      </c>
      <c r="E87" s="35">
        <v>253291</v>
      </c>
      <c r="F87" s="32">
        <v>751.51439700000003</v>
      </c>
      <c r="G87" s="33">
        <v>0.247957707690727</v>
      </c>
      <c r="H87" s="36"/>
    </row>
    <row r="88" spans="2:8" x14ac:dyDescent="0.2">
      <c r="B88" s="31" t="s">
        <v>622</v>
      </c>
      <c r="C88" s="31" t="s">
        <v>623</v>
      </c>
      <c r="D88" s="31" t="s">
        <v>435</v>
      </c>
      <c r="E88" s="35">
        <v>183647</v>
      </c>
      <c r="F88" s="32">
        <v>733.30247099999997</v>
      </c>
      <c r="G88" s="33">
        <v>0.24194879097320299</v>
      </c>
      <c r="H88" s="36"/>
    </row>
    <row r="89" spans="2:8" x14ac:dyDescent="0.2">
      <c r="B89" s="31" t="s">
        <v>665</v>
      </c>
      <c r="C89" s="31" t="s">
        <v>666</v>
      </c>
      <c r="D89" s="31" t="s">
        <v>131</v>
      </c>
      <c r="E89" s="35">
        <v>21322</v>
      </c>
      <c r="F89" s="32">
        <v>729.87338199999999</v>
      </c>
      <c r="G89" s="33">
        <v>0.240817383442886</v>
      </c>
      <c r="H89" s="36"/>
    </row>
    <row r="90" spans="2:8" x14ac:dyDescent="0.2">
      <c r="B90" s="31" t="s">
        <v>1347</v>
      </c>
      <c r="C90" s="31" t="s">
        <v>1348</v>
      </c>
      <c r="D90" s="31" t="s">
        <v>28</v>
      </c>
      <c r="E90" s="35">
        <v>1269439</v>
      </c>
      <c r="F90" s="32">
        <v>722.05690319999997</v>
      </c>
      <c r="G90" s="33">
        <v>0.23823838273019399</v>
      </c>
      <c r="H90" s="36"/>
    </row>
    <row r="91" spans="2:8" x14ac:dyDescent="0.2">
      <c r="B91" s="31" t="s">
        <v>1314</v>
      </c>
      <c r="C91" s="31" t="s">
        <v>1315</v>
      </c>
      <c r="D91" s="31" t="s">
        <v>53</v>
      </c>
      <c r="E91" s="35">
        <v>44929</v>
      </c>
      <c r="F91" s="32">
        <v>674.42921899999999</v>
      </c>
      <c r="G91" s="33">
        <v>0.222523911465248</v>
      </c>
      <c r="H91" s="36"/>
    </row>
    <row r="92" spans="2:8" x14ac:dyDescent="0.2">
      <c r="B92" s="31" t="s">
        <v>564</v>
      </c>
      <c r="C92" s="31" t="s">
        <v>565</v>
      </c>
      <c r="D92" s="31" t="s">
        <v>165</v>
      </c>
      <c r="E92" s="35">
        <v>199396</v>
      </c>
      <c r="F92" s="32">
        <v>664.28777400000001</v>
      </c>
      <c r="G92" s="33">
        <v>0.21917780197631501</v>
      </c>
      <c r="H92" s="36"/>
    </row>
    <row r="93" spans="2:8" x14ac:dyDescent="0.2">
      <c r="B93" s="31" t="s">
        <v>95</v>
      </c>
      <c r="C93" s="31" t="s">
        <v>96</v>
      </c>
      <c r="D93" s="31" t="s">
        <v>97</v>
      </c>
      <c r="E93" s="35">
        <v>199129</v>
      </c>
      <c r="F93" s="32">
        <v>596.49091950000002</v>
      </c>
      <c r="G93" s="33">
        <v>0.19680863287247699</v>
      </c>
      <c r="H93" s="36"/>
    </row>
    <row r="94" spans="2:8" x14ac:dyDescent="0.2">
      <c r="B94" s="31" t="s">
        <v>1349</v>
      </c>
      <c r="C94" s="31" t="s">
        <v>1350</v>
      </c>
      <c r="D94" s="31" t="s">
        <v>67</v>
      </c>
      <c r="E94" s="35">
        <v>26416</v>
      </c>
      <c r="F94" s="32">
        <v>576.58203200000003</v>
      </c>
      <c r="G94" s="33">
        <v>0.19023981379611701</v>
      </c>
      <c r="H94" s="36"/>
    </row>
    <row r="95" spans="2:8" x14ac:dyDescent="0.2">
      <c r="B95" s="31" t="s">
        <v>1351</v>
      </c>
      <c r="C95" s="31" t="s">
        <v>1352</v>
      </c>
      <c r="D95" s="31" t="s">
        <v>740</v>
      </c>
      <c r="E95" s="35">
        <v>149606</v>
      </c>
      <c r="F95" s="32">
        <v>549.27842899999996</v>
      </c>
      <c r="G95" s="33">
        <v>0.18123115230060399</v>
      </c>
      <c r="H95" s="36"/>
    </row>
    <row r="96" spans="2:8" x14ac:dyDescent="0.2">
      <c r="B96" s="31" t="s">
        <v>1353</v>
      </c>
      <c r="C96" s="31" t="s">
        <v>1354</v>
      </c>
      <c r="D96" s="31" t="s">
        <v>500</v>
      </c>
      <c r="E96" s="35">
        <v>8406</v>
      </c>
      <c r="F96" s="32">
        <v>542.78382599999998</v>
      </c>
      <c r="G96" s="33">
        <v>0.17908829664984099</v>
      </c>
      <c r="H96" s="36"/>
    </row>
    <row r="97" spans="2:8" x14ac:dyDescent="0.2">
      <c r="B97" s="31" t="s">
        <v>607</v>
      </c>
      <c r="C97" s="31" t="s">
        <v>608</v>
      </c>
      <c r="D97" s="31" t="s">
        <v>94</v>
      </c>
      <c r="E97" s="35">
        <v>37992</v>
      </c>
      <c r="F97" s="32">
        <v>527.89883999999995</v>
      </c>
      <c r="G97" s="33">
        <v>0.174177084007339</v>
      </c>
      <c r="H97" s="36"/>
    </row>
    <row r="98" spans="2:8" x14ac:dyDescent="0.2">
      <c r="B98" s="31" t="s">
        <v>1355</v>
      </c>
      <c r="C98" s="31" t="s">
        <v>1356</v>
      </c>
      <c r="D98" s="31" t="s">
        <v>621</v>
      </c>
      <c r="E98" s="35">
        <v>49079</v>
      </c>
      <c r="F98" s="32">
        <v>526.49497250000002</v>
      </c>
      <c r="G98" s="33">
        <v>0.17371388627142001</v>
      </c>
      <c r="H98" s="36"/>
    </row>
    <row r="99" spans="2:8" x14ac:dyDescent="0.2">
      <c r="B99" s="31" t="s">
        <v>917</v>
      </c>
      <c r="C99" s="31" t="s">
        <v>918</v>
      </c>
      <c r="D99" s="31" t="s">
        <v>47</v>
      </c>
      <c r="E99" s="35">
        <v>262407</v>
      </c>
      <c r="F99" s="32">
        <v>492.0918471</v>
      </c>
      <c r="G99" s="33">
        <v>0.16236277956523501</v>
      </c>
      <c r="H99" s="36"/>
    </row>
    <row r="100" spans="2:8" x14ac:dyDescent="0.2">
      <c r="B100" s="31" t="s">
        <v>149</v>
      </c>
      <c r="C100" s="31" t="s">
        <v>150</v>
      </c>
      <c r="D100" s="31" t="s">
        <v>67</v>
      </c>
      <c r="E100" s="35">
        <v>11742</v>
      </c>
      <c r="F100" s="32">
        <v>484.33401600000002</v>
      </c>
      <c r="G100" s="33">
        <v>0.15980312931251001</v>
      </c>
      <c r="H100" s="36"/>
    </row>
    <row r="101" spans="2:8" x14ac:dyDescent="0.2">
      <c r="B101" s="31" t="s">
        <v>163</v>
      </c>
      <c r="C101" s="31" t="s">
        <v>164</v>
      </c>
      <c r="D101" s="31" t="s">
        <v>165</v>
      </c>
      <c r="E101" s="35">
        <v>155592</v>
      </c>
      <c r="F101" s="32">
        <v>483.42434400000002</v>
      </c>
      <c r="G101" s="33">
        <v>0.15950298844392399</v>
      </c>
      <c r="H101" s="36"/>
    </row>
    <row r="102" spans="2:8" x14ac:dyDescent="0.2">
      <c r="B102" s="31" t="s">
        <v>1357</v>
      </c>
      <c r="C102" s="31" t="s">
        <v>1358</v>
      </c>
      <c r="D102" s="31" t="s">
        <v>84</v>
      </c>
      <c r="E102" s="35">
        <v>73995</v>
      </c>
      <c r="F102" s="32">
        <v>456.1421775</v>
      </c>
      <c r="G102" s="33">
        <v>0.15050139979415</v>
      </c>
      <c r="H102" s="36"/>
    </row>
    <row r="103" spans="2:8" x14ac:dyDescent="0.2">
      <c r="B103" s="31" t="s">
        <v>850</v>
      </c>
      <c r="C103" s="31" t="s">
        <v>851</v>
      </c>
      <c r="D103" s="31" t="s">
        <v>38</v>
      </c>
      <c r="E103" s="35">
        <v>47919</v>
      </c>
      <c r="F103" s="32">
        <v>447.97077150000001</v>
      </c>
      <c r="G103" s="33">
        <v>0.14780529296178799</v>
      </c>
      <c r="H103" s="36"/>
    </row>
    <row r="104" spans="2:8" x14ac:dyDescent="0.2">
      <c r="B104" s="31" t="s">
        <v>1018</v>
      </c>
      <c r="C104" s="31" t="s">
        <v>1019</v>
      </c>
      <c r="D104" s="31" t="s">
        <v>461</v>
      </c>
      <c r="E104" s="35">
        <v>33156</v>
      </c>
      <c r="F104" s="32">
        <v>376.35375599999998</v>
      </c>
      <c r="G104" s="33">
        <v>0.124175684446076</v>
      </c>
      <c r="H104" s="36"/>
    </row>
    <row r="105" spans="2:8" x14ac:dyDescent="0.2">
      <c r="B105" s="31" t="s">
        <v>1359</v>
      </c>
      <c r="C105" s="31" t="s">
        <v>1360</v>
      </c>
      <c r="D105" s="31" t="s">
        <v>94</v>
      </c>
      <c r="E105" s="35">
        <v>38621</v>
      </c>
      <c r="F105" s="32">
        <v>374.60438950000002</v>
      </c>
      <c r="G105" s="33">
        <v>0.12359849136902699</v>
      </c>
      <c r="H105" s="36"/>
    </row>
    <row r="106" spans="2:8" x14ac:dyDescent="0.2">
      <c r="B106" s="31" t="s">
        <v>1361</v>
      </c>
      <c r="C106" s="31" t="s">
        <v>1362</v>
      </c>
      <c r="D106" s="31" t="s">
        <v>896</v>
      </c>
      <c r="E106" s="35">
        <v>65675</v>
      </c>
      <c r="F106" s="32">
        <v>359.11090000000002</v>
      </c>
      <c r="G106" s="33">
        <v>0.118486506614129</v>
      </c>
      <c r="H106" s="36"/>
    </row>
    <row r="107" spans="2:8" x14ac:dyDescent="0.2">
      <c r="B107" s="31" t="s">
        <v>1363</v>
      </c>
      <c r="C107" s="31" t="s">
        <v>1364</v>
      </c>
      <c r="D107" s="31" t="s">
        <v>621</v>
      </c>
      <c r="E107" s="35">
        <v>269184</v>
      </c>
      <c r="F107" s="32">
        <v>347.81264640000001</v>
      </c>
      <c r="G107" s="33">
        <v>0.114758715004617</v>
      </c>
      <c r="H107" s="36"/>
    </row>
    <row r="108" spans="2:8" x14ac:dyDescent="0.2">
      <c r="B108" s="31" t="s">
        <v>884</v>
      </c>
      <c r="C108" s="31" t="s">
        <v>885</v>
      </c>
      <c r="D108" s="31" t="s">
        <v>41</v>
      </c>
      <c r="E108" s="35">
        <v>24338</v>
      </c>
      <c r="F108" s="32">
        <v>304.29801400000002</v>
      </c>
      <c r="G108" s="33">
        <v>0.10040132072982901</v>
      </c>
      <c r="H108" s="36"/>
    </row>
    <row r="109" spans="2:8" x14ac:dyDescent="0.2">
      <c r="B109" s="31" t="s">
        <v>1365</v>
      </c>
      <c r="C109" s="31" t="s">
        <v>1366</v>
      </c>
      <c r="D109" s="31" t="s">
        <v>94</v>
      </c>
      <c r="E109" s="35">
        <v>28128</v>
      </c>
      <c r="F109" s="32">
        <v>291.63110399999999</v>
      </c>
      <c r="G109" s="33">
        <v>9.6221949077518507E-2</v>
      </c>
      <c r="H109" s="36"/>
    </row>
    <row r="110" spans="2:8" x14ac:dyDescent="0.2">
      <c r="B110" s="31" t="s">
        <v>741</v>
      </c>
      <c r="C110" s="31" t="s">
        <v>742</v>
      </c>
      <c r="D110" s="31" t="s">
        <v>87</v>
      </c>
      <c r="E110" s="35">
        <v>59635</v>
      </c>
      <c r="F110" s="32">
        <v>246.1434625</v>
      </c>
      <c r="G110" s="33">
        <v>8.1213572179321097E-2</v>
      </c>
      <c r="H110" s="36"/>
    </row>
    <row r="111" spans="2:8" x14ac:dyDescent="0.2">
      <c r="B111" s="31" t="s">
        <v>989</v>
      </c>
      <c r="C111" s="31" t="s">
        <v>990</v>
      </c>
      <c r="D111" s="31" t="s">
        <v>44</v>
      </c>
      <c r="E111" s="35">
        <v>132466</v>
      </c>
      <c r="F111" s="32">
        <v>244.8236612</v>
      </c>
      <c r="G111" s="33">
        <v>8.0778111586334994E-2</v>
      </c>
      <c r="H111" s="36"/>
    </row>
    <row r="112" spans="2:8" x14ac:dyDescent="0.2">
      <c r="B112" s="31" t="s">
        <v>1367</v>
      </c>
      <c r="C112" s="31" t="s">
        <v>1368</v>
      </c>
      <c r="D112" s="31" t="s">
        <v>94</v>
      </c>
      <c r="E112" s="35">
        <v>67881</v>
      </c>
      <c r="F112" s="32">
        <v>236.02223699999999</v>
      </c>
      <c r="G112" s="33">
        <v>7.78741339942121E-2</v>
      </c>
      <c r="H112" s="36"/>
    </row>
    <row r="113" spans="2:9" x14ac:dyDescent="0.2">
      <c r="B113" s="31" t="s">
        <v>168</v>
      </c>
      <c r="C113" s="31" t="s">
        <v>169</v>
      </c>
      <c r="D113" s="31" t="s">
        <v>50</v>
      </c>
      <c r="E113" s="35">
        <v>2358</v>
      </c>
      <c r="F113" s="32">
        <v>229.35086999999999</v>
      </c>
      <c r="G113" s="33">
        <v>7.5672956112474807E-2</v>
      </c>
      <c r="H113" s="36"/>
    </row>
    <row r="114" spans="2:9" x14ac:dyDescent="0.2">
      <c r="B114" s="31" t="s">
        <v>1582</v>
      </c>
      <c r="C114" s="31" t="s">
        <v>1369</v>
      </c>
      <c r="D114" s="31" t="s">
        <v>70</v>
      </c>
      <c r="E114" s="35">
        <v>884320</v>
      </c>
      <c r="F114" s="32">
        <v>199.591024</v>
      </c>
      <c r="G114" s="33">
        <v>6.5853871840974104E-2</v>
      </c>
      <c r="H114" s="36"/>
    </row>
    <row r="115" spans="2:9" x14ac:dyDescent="0.2">
      <c r="B115" s="31" t="s">
        <v>1370</v>
      </c>
      <c r="C115" s="31" t="s">
        <v>1371</v>
      </c>
      <c r="D115" s="31" t="s">
        <v>563</v>
      </c>
      <c r="E115" s="35">
        <v>18909</v>
      </c>
      <c r="F115" s="32">
        <v>171.23044949999999</v>
      </c>
      <c r="G115" s="33">
        <v>5.6496468882515402E-2</v>
      </c>
      <c r="H115" s="36"/>
    </row>
    <row r="116" spans="2:9" x14ac:dyDescent="0.2">
      <c r="B116" s="31" t="s">
        <v>1372</v>
      </c>
      <c r="C116" s="31" t="s">
        <v>1373</v>
      </c>
      <c r="D116" s="31" t="s">
        <v>41</v>
      </c>
      <c r="E116" s="35">
        <v>18597</v>
      </c>
      <c r="F116" s="32">
        <v>165.69927000000001</v>
      </c>
      <c r="G116" s="33">
        <v>5.4671489088221503E-2</v>
      </c>
      <c r="H116" s="36"/>
    </row>
    <row r="117" spans="2:9" x14ac:dyDescent="0.2">
      <c r="B117" s="31" t="s">
        <v>1374</v>
      </c>
      <c r="C117" s="31" t="s">
        <v>1375</v>
      </c>
      <c r="D117" s="31" t="s">
        <v>70</v>
      </c>
      <c r="E117" s="35">
        <v>136204</v>
      </c>
      <c r="F117" s="32">
        <v>155.9672004</v>
      </c>
      <c r="G117" s="33">
        <v>5.1460450578865301E-2</v>
      </c>
      <c r="H117" s="36"/>
    </row>
    <row r="118" spans="2:9" x14ac:dyDescent="0.2">
      <c r="B118" s="31" t="s">
        <v>1376</v>
      </c>
      <c r="C118" s="31" t="s">
        <v>1377</v>
      </c>
      <c r="D118" s="31" t="s">
        <v>53</v>
      </c>
      <c r="E118" s="35">
        <v>25769</v>
      </c>
      <c r="F118" s="32">
        <v>153.66054700000001</v>
      </c>
      <c r="G118" s="33">
        <v>5.0699384002118097E-2</v>
      </c>
      <c r="H118" s="36"/>
    </row>
    <row r="119" spans="2:9" x14ac:dyDescent="0.2">
      <c r="B119" s="31" t="s">
        <v>983</v>
      </c>
      <c r="C119" s="31" t="s">
        <v>984</v>
      </c>
      <c r="D119" s="31" t="s">
        <v>47</v>
      </c>
      <c r="E119" s="35">
        <v>20826</v>
      </c>
      <c r="F119" s="32">
        <v>137.83688100000001</v>
      </c>
      <c r="G119" s="33">
        <v>4.5478459473876902E-2</v>
      </c>
      <c r="H119" s="36"/>
    </row>
    <row r="120" spans="2:9" x14ac:dyDescent="0.2">
      <c r="B120" s="31" t="s">
        <v>1378</v>
      </c>
      <c r="C120" s="31" t="s">
        <v>1379</v>
      </c>
      <c r="D120" s="31" t="s">
        <v>122</v>
      </c>
      <c r="E120" s="35">
        <v>12560</v>
      </c>
      <c r="F120" s="32">
        <v>114.2332</v>
      </c>
      <c r="G120" s="33">
        <v>3.7690565246984102E-2</v>
      </c>
      <c r="H120" s="36"/>
    </row>
    <row r="121" spans="2:9" x14ac:dyDescent="0.2">
      <c r="B121" s="31" t="s">
        <v>1222</v>
      </c>
      <c r="C121" s="31" t="s">
        <v>1223</v>
      </c>
      <c r="D121" s="31" t="s">
        <v>563</v>
      </c>
      <c r="E121" s="35">
        <v>4222</v>
      </c>
      <c r="F121" s="32">
        <v>98.186831999999995</v>
      </c>
      <c r="G121" s="33">
        <v>3.2396161517760702E-2</v>
      </c>
      <c r="H121" s="36"/>
    </row>
    <row r="122" spans="2:9" x14ac:dyDescent="0.2">
      <c r="B122" s="31" t="s">
        <v>1380</v>
      </c>
      <c r="C122" s="31" t="s">
        <v>1381</v>
      </c>
      <c r="D122" s="31" t="s">
        <v>1269</v>
      </c>
      <c r="E122" s="35">
        <v>32642</v>
      </c>
      <c r="F122" s="32">
        <v>96.228616000000002</v>
      </c>
      <c r="G122" s="33">
        <v>3.1750059789754398E-2</v>
      </c>
      <c r="H122" s="36"/>
    </row>
    <row r="123" spans="2:9" x14ac:dyDescent="0.2">
      <c r="B123" s="31" t="s">
        <v>80</v>
      </c>
      <c r="C123" s="31" t="s">
        <v>81</v>
      </c>
      <c r="D123" s="31" t="s">
        <v>28</v>
      </c>
      <c r="E123" s="35">
        <v>22517</v>
      </c>
      <c r="F123" s="32">
        <v>86.307660999999996</v>
      </c>
      <c r="G123" s="33">
        <v>2.8476699665553301E-2</v>
      </c>
      <c r="H123" s="36"/>
    </row>
    <row r="124" spans="2:9" ht="10.5" x14ac:dyDescent="0.25">
      <c r="B124" s="30" t="s">
        <v>170</v>
      </c>
      <c r="C124" s="30"/>
      <c r="D124" s="30"/>
      <c r="E124" s="30"/>
      <c r="F124" s="37">
        <f>SUM(F7:F123)</f>
        <v>301999.65438890021</v>
      </c>
      <c r="G124" s="38">
        <f>SUM(G7:G123)</f>
        <v>99.642990639424056</v>
      </c>
      <c r="H124" s="30"/>
      <c r="I124" s="23"/>
    </row>
    <row r="125" spans="2:9" ht="10.5" x14ac:dyDescent="0.25">
      <c r="B125" s="30" t="s">
        <v>171</v>
      </c>
      <c r="C125" s="30"/>
      <c r="D125" s="30"/>
      <c r="E125" s="30"/>
      <c r="F125" s="40" t="s">
        <v>172</v>
      </c>
      <c r="G125" s="41" t="s">
        <v>172</v>
      </c>
      <c r="H125" s="30"/>
      <c r="I125" s="23"/>
    </row>
    <row r="126" spans="2:9" ht="10.5" x14ac:dyDescent="0.25">
      <c r="B126" s="30" t="s">
        <v>170</v>
      </c>
      <c r="C126" s="30"/>
      <c r="D126" s="30"/>
      <c r="E126" s="30"/>
      <c r="F126" s="42" t="s">
        <v>172</v>
      </c>
      <c r="G126" s="43" t="s">
        <v>172</v>
      </c>
      <c r="H126" s="30"/>
      <c r="I126" s="23"/>
    </row>
    <row r="127" spans="2:9" ht="10.5" x14ac:dyDescent="0.25">
      <c r="B127" s="44" t="s">
        <v>173</v>
      </c>
      <c r="C127" s="44"/>
      <c r="D127" s="44"/>
      <c r="E127" s="44"/>
      <c r="F127" s="45">
        <f>F124</f>
        <v>301999.65438890021</v>
      </c>
      <c r="G127" s="46">
        <f>G124</f>
        <v>99.642990639424056</v>
      </c>
      <c r="H127" s="30"/>
      <c r="I127" s="23"/>
    </row>
    <row r="128" spans="2:9" ht="10.5" x14ac:dyDescent="0.25">
      <c r="B128" s="30" t="s">
        <v>174</v>
      </c>
      <c r="C128" s="30"/>
      <c r="D128" s="30"/>
      <c r="E128" s="30"/>
      <c r="F128" s="37">
        <v>2371.7985291</v>
      </c>
      <c r="G128" s="38">
        <v>0.78256082481926803</v>
      </c>
      <c r="H128" s="36">
        <v>5.2499999999999998E-2</v>
      </c>
      <c r="I128" s="24"/>
    </row>
    <row r="129" spans="2:9" x14ac:dyDescent="0.2">
      <c r="B129" s="31"/>
      <c r="C129" s="31"/>
      <c r="D129" s="31"/>
      <c r="E129" s="31"/>
      <c r="F129" s="32"/>
      <c r="G129" s="33"/>
      <c r="H129" s="31"/>
    </row>
    <row r="130" spans="2:9" ht="10.5" x14ac:dyDescent="0.25">
      <c r="B130" s="30" t="s">
        <v>176</v>
      </c>
      <c r="C130" s="31"/>
      <c r="D130" s="31"/>
      <c r="E130" s="31"/>
      <c r="F130" s="140">
        <v>202</v>
      </c>
      <c r="G130" s="140">
        <f>F130/F132*100</f>
        <v>6.6648699151304336E-2</v>
      </c>
      <c r="H130" s="31"/>
    </row>
    <row r="131" spans="2:9" ht="10.5" x14ac:dyDescent="0.25">
      <c r="B131" s="52" t="s">
        <v>177</v>
      </c>
      <c r="C131" s="52"/>
      <c r="D131" s="52"/>
      <c r="E131" s="52"/>
      <c r="F131" s="37">
        <f>F132-(F124+F128+F130)</f>
        <v>-1491.7685457002372</v>
      </c>
      <c r="G131" s="38">
        <f>G132-(G124+G128+G130)</f>
        <v>-0.49220016339462802</v>
      </c>
      <c r="H131" s="30"/>
      <c r="I131" s="23"/>
    </row>
    <row r="132" spans="2:9" ht="10.5" x14ac:dyDescent="0.25">
      <c r="B132" s="47" t="s">
        <v>175</v>
      </c>
      <c r="C132" s="47"/>
      <c r="D132" s="47"/>
      <c r="E132" s="47"/>
      <c r="F132" s="48">
        <v>303081.68437229999</v>
      </c>
      <c r="G132" s="49">
        <v>100</v>
      </c>
      <c r="H132" s="51"/>
      <c r="I132" s="23"/>
    </row>
    <row r="134" spans="2:9" ht="10.5" x14ac:dyDescent="0.25">
      <c r="B134" s="23" t="s">
        <v>178</v>
      </c>
    </row>
    <row r="136" spans="2:9" s="149" customFormat="1" ht="19.5" customHeight="1" x14ac:dyDescent="0.35">
      <c r="B136" s="147" t="s">
        <v>7</v>
      </c>
      <c r="C136" s="147" t="s">
        <v>179</v>
      </c>
      <c r="D136" s="147" t="s">
        <v>180</v>
      </c>
      <c r="E136" s="147" t="s">
        <v>0</v>
      </c>
      <c r="F136" s="145" t="s">
        <v>181</v>
      </c>
      <c r="G136" s="148" t="s">
        <v>182</v>
      </c>
    </row>
    <row r="137" spans="2:9" x14ac:dyDescent="0.2">
      <c r="B137" s="56" t="s">
        <v>183</v>
      </c>
      <c r="C137" s="56" t="s">
        <v>184</v>
      </c>
      <c r="D137" s="56" t="s">
        <v>185</v>
      </c>
      <c r="E137" s="57">
        <v>2990</v>
      </c>
      <c r="F137" s="58">
        <v>720.53617999999994</v>
      </c>
      <c r="G137" s="59">
        <v>0.2377366291507429</v>
      </c>
    </row>
    <row r="138" spans="2:9" ht="10.5" x14ac:dyDescent="0.25">
      <c r="B138" s="53"/>
      <c r="C138" s="53"/>
      <c r="D138" s="53"/>
      <c r="E138" s="53"/>
      <c r="F138" s="54">
        <f>SUM(F137:F137)</f>
        <v>720.53617999999994</v>
      </c>
      <c r="G138" s="55">
        <f>SUM(G137:G137)</f>
        <v>0.2377366291507429</v>
      </c>
    </row>
    <row r="140" spans="2:9" ht="10.5" x14ac:dyDescent="0.25">
      <c r="B140" s="23" t="s">
        <v>256</v>
      </c>
    </row>
    <row r="141" spans="2:9" ht="10.5" x14ac:dyDescent="0.25">
      <c r="B141" s="23"/>
    </row>
    <row r="142" spans="2:9" ht="10.5" x14ac:dyDescent="0.2">
      <c r="B142" s="70" t="s">
        <v>186</v>
      </c>
    </row>
    <row r="143" spans="2:9" ht="10.5" x14ac:dyDescent="0.2">
      <c r="B143" s="70"/>
    </row>
    <row r="144" spans="2:9" x14ac:dyDescent="0.2">
      <c r="B144" s="81" t="s">
        <v>1497</v>
      </c>
    </row>
    <row r="145" spans="2:6" x14ac:dyDescent="0.2">
      <c r="B145" s="81" t="s">
        <v>1515</v>
      </c>
    </row>
    <row r="146" spans="2:6" x14ac:dyDescent="0.2">
      <c r="B146" s="81" t="s">
        <v>1516</v>
      </c>
    </row>
    <row r="147" spans="2:6" ht="10.5" x14ac:dyDescent="0.2">
      <c r="B147" s="70"/>
    </row>
    <row r="148" spans="2:6" ht="10.5" x14ac:dyDescent="0.2">
      <c r="B148" s="88" t="s">
        <v>1499</v>
      </c>
      <c r="C148" s="83" t="s">
        <v>1517</v>
      </c>
      <c r="D148" s="83" t="s">
        <v>1500</v>
      </c>
    </row>
    <row r="149" spans="2:6" x14ac:dyDescent="0.2">
      <c r="B149" s="85" t="s">
        <v>1501</v>
      </c>
      <c r="C149" s="94">
        <v>8.8800000000000008</v>
      </c>
      <c r="D149" s="94">
        <v>9.6951000000000001</v>
      </c>
    </row>
    <row r="150" spans="2:6" ht="10.5" x14ac:dyDescent="0.2">
      <c r="B150" s="70"/>
    </row>
    <row r="151" spans="2:6" ht="10.5" x14ac:dyDescent="0.2">
      <c r="B151" s="70"/>
    </row>
    <row r="152" spans="2:6" x14ac:dyDescent="0.2">
      <c r="B152" s="81" t="s">
        <v>1584</v>
      </c>
    </row>
    <row r="153" spans="2:6" x14ac:dyDescent="0.2">
      <c r="B153" s="81"/>
    </row>
    <row r="154" spans="2:6" ht="10.5" x14ac:dyDescent="0.2">
      <c r="B154" s="108" t="s">
        <v>1550</v>
      </c>
    </row>
    <row r="155" spans="2:6" x14ac:dyDescent="0.2">
      <c r="B155" s="87"/>
    </row>
    <row r="156" spans="2:6" ht="10.5" x14ac:dyDescent="0.2">
      <c r="B156" s="108" t="s">
        <v>1551</v>
      </c>
    </row>
    <row r="157" spans="2:6" ht="21" x14ac:dyDescent="0.2">
      <c r="B157" s="109" t="s">
        <v>1519</v>
      </c>
      <c r="C157" s="110" t="s">
        <v>1520</v>
      </c>
      <c r="D157" s="110" t="s">
        <v>1521</v>
      </c>
      <c r="E157" s="110" t="s">
        <v>1522</v>
      </c>
      <c r="F157" s="110" t="s">
        <v>1523</v>
      </c>
    </row>
    <row r="158" spans="2:6" x14ac:dyDescent="0.2">
      <c r="B158" s="162" t="s">
        <v>399</v>
      </c>
      <c r="C158" s="163"/>
      <c r="D158" s="163"/>
      <c r="E158" s="163"/>
      <c r="F158" s="164"/>
    </row>
    <row r="159" spans="2:6" x14ac:dyDescent="0.2">
      <c r="B159" s="87" t="s">
        <v>1524</v>
      </c>
    </row>
    <row r="160" spans="2:6" x14ac:dyDescent="0.2">
      <c r="B160" s="87" t="s">
        <v>1583</v>
      </c>
    </row>
    <row r="161" spans="2:6" x14ac:dyDescent="0.2">
      <c r="B161" s="87"/>
    </row>
    <row r="162" spans="2:6" x14ac:dyDescent="0.2">
      <c r="B162" s="165" t="s">
        <v>1525</v>
      </c>
      <c r="C162" s="165" t="s">
        <v>1526</v>
      </c>
      <c r="D162" s="165" t="s">
        <v>1527</v>
      </c>
      <c r="E162" s="165" t="s">
        <v>1528</v>
      </c>
      <c r="F162" s="165" t="s">
        <v>1529</v>
      </c>
    </row>
    <row r="163" spans="2:6" x14ac:dyDescent="0.2">
      <c r="B163" s="166"/>
      <c r="C163" s="166"/>
      <c r="D163" s="166"/>
      <c r="E163" s="166"/>
      <c r="F163" s="166"/>
    </row>
    <row r="164" spans="2:6" x14ac:dyDescent="0.2">
      <c r="B164" s="162" t="s">
        <v>399</v>
      </c>
      <c r="C164" s="163"/>
      <c r="D164" s="163"/>
      <c r="E164" s="163"/>
      <c r="F164" s="164"/>
    </row>
    <row r="165" spans="2:6" x14ac:dyDescent="0.2">
      <c r="B165" s="87"/>
    </row>
    <row r="166" spans="2:6" ht="10.5" x14ac:dyDescent="0.25">
      <c r="B166" s="111" t="s">
        <v>1552</v>
      </c>
      <c r="C166" s="112"/>
      <c r="D166" s="112"/>
      <c r="E166" s="112"/>
      <c r="F166" s="112"/>
    </row>
    <row r="167" spans="2:6" x14ac:dyDescent="0.2">
      <c r="B167" s="113"/>
      <c r="C167" s="112"/>
      <c r="D167" s="112"/>
      <c r="E167" s="112"/>
      <c r="F167" s="112"/>
    </row>
    <row r="168" spans="2:6" ht="21" x14ac:dyDescent="0.2">
      <c r="B168" s="109" t="s">
        <v>1519</v>
      </c>
      <c r="C168" s="110" t="s">
        <v>1520</v>
      </c>
      <c r="D168" s="110" t="s">
        <v>1521</v>
      </c>
      <c r="E168" s="110" t="s">
        <v>1522</v>
      </c>
      <c r="F168" s="110" t="s">
        <v>1523</v>
      </c>
    </row>
    <row r="169" spans="2:6" x14ac:dyDescent="0.2">
      <c r="B169" s="114" t="s">
        <v>183</v>
      </c>
      <c r="C169" s="115" t="s">
        <v>184</v>
      </c>
      <c r="D169" s="116">
        <v>24113.267400000001</v>
      </c>
      <c r="E169" s="117">
        <v>24098.2</v>
      </c>
      <c r="F169" s="117">
        <v>81.667183600000001</v>
      </c>
    </row>
    <row r="170" spans="2:6" x14ac:dyDescent="0.2">
      <c r="B170" s="113"/>
      <c r="C170" s="112"/>
      <c r="D170" s="112"/>
      <c r="E170" s="112"/>
      <c r="F170" s="112"/>
    </row>
    <row r="171" spans="2:6" x14ac:dyDescent="0.2">
      <c r="B171" s="113" t="s">
        <v>1593</v>
      </c>
      <c r="C171" s="112"/>
      <c r="D171" s="112"/>
      <c r="E171" s="112"/>
      <c r="F171" s="112"/>
    </row>
    <row r="172" spans="2:6" ht="10.5" x14ac:dyDescent="0.2">
      <c r="B172" s="112" t="s">
        <v>1572</v>
      </c>
      <c r="C172" s="118"/>
      <c r="D172" s="119"/>
      <c r="E172" s="120"/>
      <c r="F172" s="121"/>
    </row>
    <row r="173" spans="2:6" ht="10.5" x14ac:dyDescent="0.2">
      <c r="B173" s="112" t="s">
        <v>1530</v>
      </c>
      <c r="C173" s="118"/>
      <c r="D173" s="119"/>
      <c r="E173" s="120"/>
      <c r="F173" s="121"/>
    </row>
    <row r="174" spans="2:6" x14ac:dyDescent="0.2">
      <c r="B174" s="167" t="s">
        <v>1525</v>
      </c>
      <c r="C174" s="167" t="s">
        <v>1526</v>
      </c>
      <c r="D174" s="167" t="s">
        <v>1527</v>
      </c>
      <c r="E174" s="167" t="s">
        <v>1528</v>
      </c>
      <c r="F174" s="167" t="s">
        <v>1529</v>
      </c>
    </row>
    <row r="175" spans="2:6" ht="48" customHeight="1" x14ac:dyDescent="0.2">
      <c r="B175" s="168"/>
      <c r="C175" s="168"/>
      <c r="D175" s="168"/>
      <c r="E175" s="168"/>
      <c r="F175" s="168"/>
    </row>
    <row r="176" spans="2:6" x14ac:dyDescent="0.2">
      <c r="B176" s="152">
        <v>713</v>
      </c>
      <c r="C176" s="152">
        <v>793</v>
      </c>
      <c r="D176" s="153">
        <v>10919.352532000001</v>
      </c>
      <c r="E176" s="154">
        <v>12404.1351247</v>
      </c>
      <c r="F176" s="155">
        <v>283.217330199998</v>
      </c>
    </row>
    <row r="177" spans="2:6" x14ac:dyDescent="0.2">
      <c r="B177" s="106"/>
      <c r="C177" s="122"/>
      <c r="D177" s="122"/>
      <c r="E177" s="122"/>
      <c r="F177" s="15"/>
    </row>
    <row r="178" spans="2:6" ht="10.5" x14ac:dyDescent="0.2">
      <c r="B178" s="123" t="s">
        <v>1553</v>
      </c>
      <c r="C178" s="124"/>
      <c r="D178" s="124"/>
      <c r="E178" s="125"/>
      <c r="F178" s="15"/>
    </row>
    <row r="179" spans="2:6" ht="10.5" x14ac:dyDescent="0.2">
      <c r="B179" s="126"/>
      <c r="C179" s="124"/>
      <c r="D179" s="124"/>
      <c r="E179" s="125"/>
      <c r="F179" s="15"/>
    </row>
    <row r="180" spans="2:6" ht="10.5" x14ac:dyDescent="0.2">
      <c r="B180" s="109" t="s">
        <v>1519</v>
      </c>
      <c r="C180" s="110" t="s">
        <v>1531</v>
      </c>
      <c r="D180" s="110" t="s">
        <v>1532</v>
      </c>
      <c r="E180" s="110" t="s">
        <v>1533</v>
      </c>
      <c r="F180" s="15"/>
    </row>
    <row r="181" spans="2:6" x14ac:dyDescent="0.2">
      <c r="B181" s="162" t="s">
        <v>399</v>
      </c>
      <c r="C181" s="163"/>
      <c r="D181" s="163"/>
      <c r="E181" s="164"/>
      <c r="F181" s="15"/>
    </row>
    <row r="182" spans="2:6" x14ac:dyDescent="0.2">
      <c r="B182" s="113" t="s">
        <v>1534</v>
      </c>
      <c r="C182" s="112"/>
      <c r="D182" s="112"/>
      <c r="E182" s="112"/>
      <c r="F182" s="15"/>
    </row>
    <row r="183" spans="2:6" x14ac:dyDescent="0.2">
      <c r="B183" s="127"/>
      <c r="C183" s="128"/>
      <c r="D183" s="128"/>
      <c r="E183" s="127"/>
      <c r="F183" s="15"/>
    </row>
    <row r="184" spans="2:6" x14ac:dyDescent="0.2">
      <c r="B184" s="127" t="s">
        <v>1573</v>
      </c>
      <c r="C184" s="128"/>
      <c r="D184" s="128"/>
      <c r="E184" s="127"/>
      <c r="F184" s="15"/>
    </row>
    <row r="185" spans="2:6" x14ac:dyDescent="0.2">
      <c r="B185" s="127"/>
      <c r="C185" s="128"/>
      <c r="D185" s="128"/>
      <c r="E185" s="127"/>
      <c r="F185" s="15"/>
    </row>
    <row r="186" spans="2:6" x14ac:dyDescent="0.2">
      <c r="B186" s="165" t="s">
        <v>1535</v>
      </c>
      <c r="C186" s="165" t="s">
        <v>1536</v>
      </c>
      <c r="D186" s="165" t="s">
        <v>1537</v>
      </c>
      <c r="E186" s="127"/>
      <c r="F186" s="15"/>
    </row>
    <row r="187" spans="2:6" x14ac:dyDescent="0.2">
      <c r="B187" s="166"/>
      <c r="C187" s="166"/>
      <c r="D187" s="166"/>
      <c r="E187" s="127"/>
      <c r="F187" s="15"/>
    </row>
    <row r="188" spans="2:6" x14ac:dyDescent="0.2">
      <c r="B188" s="169" t="s">
        <v>399</v>
      </c>
      <c r="C188" s="169"/>
      <c r="D188" s="169"/>
      <c r="E188" s="122"/>
      <c r="F188" s="15"/>
    </row>
    <row r="189" spans="2:6" x14ac:dyDescent="0.2">
      <c r="B189" s="129"/>
      <c r="C189" s="129"/>
      <c r="D189" s="129"/>
      <c r="E189" s="122"/>
      <c r="F189" s="15"/>
    </row>
    <row r="190" spans="2:6" ht="10.5" x14ac:dyDescent="0.2">
      <c r="B190" s="123" t="s">
        <v>1554</v>
      </c>
      <c r="C190" s="129"/>
      <c r="D190" s="129"/>
      <c r="E190" s="122"/>
      <c r="F190" s="15"/>
    </row>
    <row r="191" spans="2:6" x14ac:dyDescent="0.2">
      <c r="B191" s="129"/>
      <c r="C191" s="129"/>
      <c r="D191" s="129"/>
      <c r="E191" s="122"/>
      <c r="F191" s="15"/>
    </row>
    <row r="192" spans="2:6" ht="21" x14ac:dyDescent="0.2">
      <c r="B192" s="110" t="s">
        <v>1519</v>
      </c>
      <c r="C192" s="110" t="s">
        <v>1538</v>
      </c>
      <c r="D192" s="110" t="s">
        <v>1539</v>
      </c>
      <c r="E192" s="110" t="s">
        <v>1540</v>
      </c>
      <c r="F192" s="110" t="s">
        <v>1541</v>
      </c>
    </row>
    <row r="193" spans="2:6" x14ac:dyDescent="0.2">
      <c r="B193" s="170" t="s">
        <v>399</v>
      </c>
      <c r="C193" s="170"/>
      <c r="D193" s="170"/>
      <c r="E193" s="170"/>
      <c r="F193" s="170"/>
    </row>
    <row r="194" spans="2:6" x14ac:dyDescent="0.2">
      <c r="B194" s="130" t="s">
        <v>1542</v>
      </c>
      <c r="C194" s="129"/>
      <c r="D194" s="129"/>
      <c r="E194" s="122"/>
      <c r="F194" s="15"/>
    </row>
    <row r="195" spans="2:6" x14ac:dyDescent="0.2">
      <c r="B195" s="129"/>
      <c r="C195" s="129"/>
      <c r="D195" s="129"/>
      <c r="E195" s="122"/>
      <c r="F195" s="15"/>
    </row>
    <row r="196" spans="2:6" x14ac:dyDescent="0.2">
      <c r="B196" s="127" t="s">
        <v>1555</v>
      </c>
      <c r="C196" s="128"/>
      <c r="D196" s="128"/>
      <c r="E196" s="122"/>
      <c r="F196" s="15"/>
    </row>
    <row r="197" spans="2:6" x14ac:dyDescent="0.2">
      <c r="B197" s="127"/>
      <c r="C197" s="128"/>
      <c r="D197" s="128"/>
      <c r="E197" s="122"/>
      <c r="F197" s="15"/>
    </row>
    <row r="198" spans="2:6" x14ac:dyDescent="0.2">
      <c r="B198" s="165" t="s">
        <v>1535</v>
      </c>
      <c r="C198" s="165" t="s">
        <v>1536</v>
      </c>
      <c r="D198" s="165" t="s">
        <v>1537</v>
      </c>
      <c r="E198" s="122"/>
      <c r="F198" s="15"/>
    </row>
    <row r="199" spans="2:6" x14ac:dyDescent="0.2">
      <c r="B199" s="166"/>
      <c r="C199" s="166"/>
      <c r="D199" s="166"/>
      <c r="E199" s="122"/>
      <c r="F199" s="15"/>
    </row>
    <row r="200" spans="2:6" x14ac:dyDescent="0.2">
      <c r="B200" s="169" t="s">
        <v>399</v>
      </c>
      <c r="C200" s="169"/>
      <c r="D200" s="169"/>
      <c r="E200" s="122"/>
      <c r="F200" s="15"/>
    </row>
    <row r="201" spans="2:6" x14ac:dyDescent="0.2">
      <c r="B201" s="81"/>
    </row>
    <row r="202" spans="2:6" x14ac:dyDescent="0.2">
      <c r="B202" s="81" t="s">
        <v>1545</v>
      </c>
    </row>
    <row r="203" spans="2:6" x14ac:dyDescent="0.2">
      <c r="B203" s="87" t="s">
        <v>1590</v>
      </c>
    </row>
    <row r="204" spans="2:6" x14ac:dyDescent="0.2">
      <c r="B204" s="81" t="s">
        <v>1546</v>
      </c>
    </row>
    <row r="208" spans="2:6" ht="10.5" x14ac:dyDescent="0.25">
      <c r="B208" s="23" t="s">
        <v>187</v>
      </c>
    </row>
    <row r="225" spans="2:2" ht="10.5" x14ac:dyDescent="0.2">
      <c r="B225" s="70" t="s">
        <v>1482</v>
      </c>
    </row>
    <row r="226" spans="2:2" ht="10.5" x14ac:dyDescent="0.25">
      <c r="B226" s="71" t="s">
        <v>1493</v>
      </c>
    </row>
  </sheetData>
  <mergeCells count="23">
    <mergeCell ref="B193:F193"/>
    <mergeCell ref="B198:B199"/>
    <mergeCell ref="C198:C199"/>
    <mergeCell ref="D198:D199"/>
    <mergeCell ref="B200:D200"/>
    <mergeCell ref="B181:E181"/>
    <mergeCell ref="B186:B187"/>
    <mergeCell ref="C186:C187"/>
    <mergeCell ref="D186:D187"/>
    <mergeCell ref="B188:D188"/>
    <mergeCell ref="B164:F164"/>
    <mergeCell ref="B174:B175"/>
    <mergeCell ref="C174:C175"/>
    <mergeCell ref="D174:D175"/>
    <mergeCell ref="E174:E175"/>
    <mergeCell ref="F174:F175"/>
    <mergeCell ref="B1:C1"/>
    <mergeCell ref="B158:F158"/>
    <mergeCell ref="B162:B163"/>
    <mergeCell ref="C162:C163"/>
    <mergeCell ref="D162:D163"/>
    <mergeCell ref="E162:E163"/>
    <mergeCell ref="F162:F163"/>
  </mergeCells>
  <conditionalFormatting sqref="G1:G3 G5:G243">
    <cfRule type="cellIs" dxfId="2" priority="2" stopIfTrue="1" operator="between">
      <formula>0.009</formula>
      <formula>-0.009</formula>
    </cfRule>
  </conditionalFormatting>
  <hyperlinks>
    <hyperlink ref="A2" location="Index!A1" display="-" xr:uid="{3F2663E8-A653-4F00-A565-2C0EF95C7632}"/>
  </hyperlinks>
  <pageMargins left="0.7" right="0.7" top="0.75" bottom="0.75" header="0.3" footer="0.3"/>
  <pageSetup paperSize="9" scale="46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018D-F996-4985-87EC-228F1CB35C71}">
  <dimension ref="A1:I371"/>
  <sheetViews>
    <sheetView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19.453125" style="6" customWidth="1"/>
    <col min="4" max="4" width="24.26953125" style="6" bestFit="1" customWidth="1"/>
    <col min="5" max="5" width="16.81640625" style="6" customWidth="1"/>
    <col min="6" max="6" width="22.81640625" style="8" bestFit="1" customWidth="1"/>
    <col min="7" max="7" width="14" style="15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160" t="s">
        <v>22</v>
      </c>
      <c r="C1" s="161"/>
      <c r="D1" s="10"/>
      <c r="F1" s="5"/>
      <c r="G1" s="15"/>
    </row>
    <row r="2" spans="1:8" s="1" customFormat="1" ht="14.5" x14ac:dyDescent="0.35">
      <c r="A2" s="68" t="s">
        <v>1495</v>
      </c>
      <c r="F2" s="5"/>
      <c r="G2" s="15"/>
    </row>
    <row r="3" spans="1:8" s="1" customFormat="1" ht="11.5" x14ac:dyDescent="0.25">
      <c r="B3" s="7" t="s">
        <v>9</v>
      </c>
      <c r="C3" s="2"/>
      <c r="D3" s="3"/>
      <c r="E3" s="3"/>
      <c r="F3" s="4"/>
      <c r="G3" s="15"/>
    </row>
    <row r="4" spans="1:8" s="1" customFormat="1" ht="25.5" customHeight="1" x14ac:dyDescent="0.25">
      <c r="B4" s="25" t="s">
        <v>7</v>
      </c>
      <c r="C4" s="25" t="s">
        <v>8</v>
      </c>
      <c r="D4" s="26" t="s">
        <v>1479</v>
      </c>
      <c r="E4" s="26" t="s">
        <v>0</v>
      </c>
      <c r="F4" s="27" t="s">
        <v>4</v>
      </c>
      <c r="G4" s="28" t="s">
        <v>5</v>
      </c>
      <c r="H4" s="67" t="s">
        <v>6</v>
      </c>
    </row>
    <row r="5" spans="1:8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8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8" x14ac:dyDescent="0.2">
      <c r="B7" s="31" t="s">
        <v>42</v>
      </c>
      <c r="C7" s="31" t="s">
        <v>43</v>
      </c>
      <c r="D7" s="31" t="s">
        <v>44</v>
      </c>
      <c r="E7" s="35">
        <v>190500</v>
      </c>
      <c r="F7" s="32">
        <v>2725.674</v>
      </c>
      <c r="G7" s="33">
        <v>5.7156949402286399</v>
      </c>
      <c r="H7" s="36"/>
    </row>
    <row r="8" spans="1:8" x14ac:dyDescent="0.2">
      <c r="B8" s="31" t="s">
        <v>29</v>
      </c>
      <c r="C8" s="31" t="s">
        <v>30</v>
      </c>
      <c r="D8" s="31" t="s">
        <v>28</v>
      </c>
      <c r="E8" s="35">
        <v>203700</v>
      </c>
      <c r="F8" s="32">
        <v>2573.5457999999999</v>
      </c>
      <c r="G8" s="33">
        <v>5.3966845292234797</v>
      </c>
      <c r="H8" s="36"/>
    </row>
    <row r="9" spans="1:8" x14ac:dyDescent="0.2">
      <c r="B9" s="31" t="s">
        <v>151</v>
      </c>
      <c r="C9" s="31" t="s">
        <v>152</v>
      </c>
      <c r="D9" s="31" t="s">
        <v>135</v>
      </c>
      <c r="E9" s="35">
        <v>106296</v>
      </c>
      <c r="F9" s="32">
        <v>2560.0328639999998</v>
      </c>
      <c r="G9" s="33">
        <v>5.3683481177807204</v>
      </c>
      <c r="H9" s="36"/>
    </row>
    <row r="10" spans="1:8" x14ac:dyDescent="0.2">
      <c r="B10" s="31" t="s">
        <v>26</v>
      </c>
      <c r="C10" s="31" t="s">
        <v>27</v>
      </c>
      <c r="D10" s="31" t="s">
        <v>28</v>
      </c>
      <c r="E10" s="35">
        <v>314600</v>
      </c>
      <c r="F10" s="32">
        <v>2427.7682</v>
      </c>
      <c r="G10" s="33">
        <v>5.0909912252118197</v>
      </c>
      <c r="H10" s="36"/>
    </row>
    <row r="11" spans="1:8" x14ac:dyDescent="0.2">
      <c r="B11" s="31" t="s">
        <v>31</v>
      </c>
      <c r="C11" s="31" t="s">
        <v>32</v>
      </c>
      <c r="D11" s="31" t="s">
        <v>33</v>
      </c>
      <c r="E11" s="35">
        <v>101175</v>
      </c>
      <c r="F11" s="32">
        <v>1908.9699000000001</v>
      </c>
      <c r="G11" s="33">
        <v>4.0030794579538096</v>
      </c>
      <c r="H11" s="36"/>
    </row>
    <row r="12" spans="1:8" x14ac:dyDescent="0.2">
      <c r="B12" s="31" t="s">
        <v>80</v>
      </c>
      <c r="C12" s="31" t="s">
        <v>81</v>
      </c>
      <c r="D12" s="31" t="s">
        <v>28</v>
      </c>
      <c r="E12" s="35">
        <v>446000</v>
      </c>
      <c r="F12" s="32">
        <v>1709.518</v>
      </c>
      <c r="G12" s="33">
        <v>3.5848320022239601</v>
      </c>
      <c r="H12" s="36"/>
    </row>
    <row r="13" spans="1:8" x14ac:dyDescent="0.2">
      <c r="B13" s="31" t="s">
        <v>77</v>
      </c>
      <c r="C13" s="31" t="s">
        <v>78</v>
      </c>
      <c r="D13" s="31" t="s">
        <v>79</v>
      </c>
      <c r="E13" s="35">
        <v>53125</v>
      </c>
      <c r="F13" s="32">
        <v>1578.609375</v>
      </c>
      <c r="G13" s="33">
        <v>3.31031870182751</v>
      </c>
      <c r="H13" s="36"/>
    </row>
    <row r="14" spans="1:8" x14ac:dyDescent="0.2">
      <c r="B14" s="31" t="s">
        <v>683</v>
      </c>
      <c r="C14" s="31" t="s">
        <v>684</v>
      </c>
      <c r="D14" s="31" t="s">
        <v>534</v>
      </c>
      <c r="E14" s="35">
        <v>95400</v>
      </c>
      <c r="F14" s="32">
        <v>1349.3376000000001</v>
      </c>
      <c r="G14" s="33">
        <v>2.8295394434478398</v>
      </c>
      <c r="H14" s="36"/>
    </row>
    <row r="15" spans="1:8" x14ac:dyDescent="0.2">
      <c r="B15" s="31" t="s">
        <v>59</v>
      </c>
      <c r="C15" s="31" t="s">
        <v>60</v>
      </c>
      <c r="D15" s="31" t="s">
        <v>61</v>
      </c>
      <c r="E15" s="35">
        <v>377600</v>
      </c>
      <c r="F15" s="32">
        <v>1189.0624</v>
      </c>
      <c r="G15" s="33">
        <v>2.4934449032775499</v>
      </c>
      <c r="H15" s="36"/>
    </row>
    <row r="16" spans="1:8" x14ac:dyDescent="0.2">
      <c r="B16" s="31" t="s">
        <v>127</v>
      </c>
      <c r="C16" s="31" t="s">
        <v>128</v>
      </c>
      <c r="D16" s="31" t="s">
        <v>44</v>
      </c>
      <c r="E16" s="35">
        <v>298225</v>
      </c>
      <c r="F16" s="32">
        <v>896.01701249999996</v>
      </c>
      <c r="G16" s="33">
        <v>1.87893339581514</v>
      </c>
      <c r="H16" s="36"/>
    </row>
    <row r="17" spans="2:8" x14ac:dyDescent="0.2">
      <c r="B17" s="31" t="s">
        <v>114</v>
      </c>
      <c r="C17" s="31" t="s">
        <v>115</v>
      </c>
      <c r="D17" s="31" t="s">
        <v>28</v>
      </c>
      <c r="E17" s="35">
        <v>4105200</v>
      </c>
      <c r="F17" s="32">
        <v>818.16636000000005</v>
      </c>
      <c r="G17" s="33">
        <v>1.7156818181914999</v>
      </c>
      <c r="H17" s="36"/>
    </row>
    <row r="18" spans="2:8" x14ac:dyDescent="0.2">
      <c r="B18" s="31" t="s">
        <v>507</v>
      </c>
      <c r="C18" s="31" t="s">
        <v>508</v>
      </c>
      <c r="D18" s="31" t="s">
        <v>28</v>
      </c>
      <c r="E18" s="35">
        <v>573750</v>
      </c>
      <c r="F18" s="32">
        <v>772.55437500000005</v>
      </c>
      <c r="G18" s="33">
        <v>1.62003421254303</v>
      </c>
      <c r="H18" s="36"/>
    </row>
    <row r="19" spans="2:8" x14ac:dyDescent="0.2">
      <c r="B19" s="31" t="s">
        <v>572</v>
      </c>
      <c r="C19" s="31" t="s">
        <v>573</v>
      </c>
      <c r="D19" s="31" t="s">
        <v>28</v>
      </c>
      <c r="E19" s="35">
        <v>69000</v>
      </c>
      <c r="F19" s="32">
        <v>701.00549999999998</v>
      </c>
      <c r="G19" s="33">
        <v>1.4699973619084501</v>
      </c>
      <c r="H19" s="36"/>
    </row>
    <row r="20" spans="2:8" x14ac:dyDescent="0.2">
      <c r="B20" s="31" t="s">
        <v>75</v>
      </c>
      <c r="C20" s="31" t="s">
        <v>76</v>
      </c>
      <c r="D20" s="31" t="s">
        <v>28</v>
      </c>
      <c r="E20" s="35">
        <v>53750</v>
      </c>
      <c r="F20" s="32">
        <v>681.71124999999995</v>
      </c>
      <c r="G20" s="33">
        <v>1.4295376271417399</v>
      </c>
      <c r="H20" s="36"/>
    </row>
    <row r="21" spans="2:8" x14ac:dyDescent="0.2">
      <c r="B21" s="31" t="s">
        <v>585</v>
      </c>
      <c r="C21" s="31" t="s">
        <v>586</v>
      </c>
      <c r="D21" s="31" t="s">
        <v>500</v>
      </c>
      <c r="E21" s="35">
        <v>178500</v>
      </c>
      <c r="F21" s="32">
        <v>629.05184999999994</v>
      </c>
      <c r="G21" s="33">
        <v>1.3191117045495799</v>
      </c>
      <c r="H21" s="36"/>
    </row>
    <row r="22" spans="2:8" x14ac:dyDescent="0.2">
      <c r="B22" s="31" t="s">
        <v>34</v>
      </c>
      <c r="C22" s="31" t="s">
        <v>35</v>
      </c>
      <c r="D22" s="31" t="s">
        <v>28</v>
      </c>
      <c r="E22" s="35">
        <v>58500</v>
      </c>
      <c r="F22" s="32">
        <v>625.04324999999994</v>
      </c>
      <c r="G22" s="33">
        <v>1.31070573423273</v>
      </c>
      <c r="H22" s="36"/>
    </row>
    <row r="23" spans="2:8" x14ac:dyDescent="0.2">
      <c r="B23" s="31" t="s">
        <v>430</v>
      </c>
      <c r="C23" s="31" t="s">
        <v>431</v>
      </c>
      <c r="D23" s="31" t="s">
        <v>432</v>
      </c>
      <c r="E23" s="35">
        <v>125400</v>
      </c>
      <c r="F23" s="32">
        <v>540.85019999999997</v>
      </c>
      <c r="G23" s="33">
        <v>1.13415425012736</v>
      </c>
      <c r="H23" s="36"/>
    </row>
    <row r="24" spans="2:8" x14ac:dyDescent="0.2">
      <c r="B24" s="31" t="s">
        <v>503</v>
      </c>
      <c r="C24" s="31" t="s">
        <v>504</v>
      </c>
      <c r="D24" s="31" t="s">
        <v>28</v>
      </c>
      <c r="E24" s="35">
        <v>201825</v>
      </c>
      <c r="F24" s="32">
        <v>531.72814500000004</v>
      </c>
      <c r="G24" s="33">
        <v>1.1150254461662199</v>
      </c>
      <c r="H24" s="36"/>
    </row>
    <row r="25" spans="2:8" x14ac:dyDescent="0.2">
      <c r="B25" s="31" t="s">
        <v>118</v>
      </c>
      <c r="C25" s="31" t="s">
        <v>119</v>
      </c>
      <c r="D25" s="31" t="s">
        <v>64</v>
      </c>
      <c r="E25" s="35">
        <v>40500</v>
      </c>
      <c r="F25" s="32">
        <v>512.12249999999995</v>
      </c>
      <c r="G25" s="33">
        <v>1.07391272104707</v>
      </c>
      <c r="H25" s="36"/>
    </row>
    <row r="26" spans="2:8" x14ac:dyDescent="0.2">
      <c r="B26" s="31" t="s">
        <v>424</v>
      </c>
      <c r="C26" s="31" t="s">
        <v>425</v>
      </c>
      <c r="D26" s="31" t="s">
        <v>165</v>
      </c>
      <c r="E26" s="35">
        <v>43500</v>
      </c>
      <c r="F26" s="32">
        <v>407.59500000000003</v>
      </c>
      <c r="G26" s="33">
        <v>0.85472021935216502</v>
      </c>
      <c r="H26" s="36"/>
    </row>
    <row r="27" spans="2:8" x14ac:dyDescent="0.2">
      <c r="B27" s="31" t="s">
        <v>657</v>
      </c>
      <c r="C27" s="31" t="s">
        <v>658</v>
      </c>
      <c r="D27" s="31" t="s">
        <v>33</v>
      </c>
      <c r="E27" s="35">
        <v>3931125</v>
      </c>
      <c r="F27" s="32">
        <v>401.76097499999997</v>
      </c>
      <c r="G27" s="33">
        <v>0.84248636190124904</v>
      </c>
      <c r="H27" s="36"/>
    </row>
    <row r="28" spans="2:8" x14ac:dyDescent="0.2">
      <c r="B28" s="31" t="s">
        <v>466</v>
      </c>
      <c r="C28" s="31" t="s">
        <v>467</v>
      </c>
      <c r="D28" s="31" t="s">
        <v>38</v>
      </c>
      <c r="E28" s="35">
        <v>108000</v>
      </c>
      <c r="F28" s="32">
        <v>368.87400000000002</v>
      </c>
      <c r="G28" s="33">
        <v>0.77352289943034302</v>
      </c>
      <c r="H28" s="36"/>
    </row>
    <row r="29" spans="2:8" x14ac:dyDescent="0.2">
      <c r="B29" s="31" t="s">
        <v>116</v>
      </c>
      <c r="C29" s="31" t="s">
        <v>117</v>
      </c>
      <c r="D29" s="31" t="s">
        <v>100</v>
      </c>
      <c r="E29" s="35">
        <v>22400</v>
      </c>
      <c r="F29" s="32">
        <v>355.1968</v>
      </c>
      <c r="G29" s="33">
        <v>0.74484202899737995</v>
      </c>
      <c r="H29" s="36"/>
    </row>
    <row r="30" spans="2:8" x14ac:dyDescent="0.2">
      <c r="B30" s="31" t="s">
        <v>454</v>
      </c>
      <c r="C30" s="31" t="s">
        <v>455</v>
      </c>
      <c r="D30" s="31" t="s">
        <v>165</v>
      </c>
      <c r="E30" s="35">
        <v>138650</v>
      </c>
      <c r="F30" s="32">
        <v>341.59200499999997</v>
      </c>
      <c r="G30" s="33">
        <v>0.716312990695533</v>
      </c>
      <c r="H30" s="36"/>
    </row>
    <row r="31" spans="2:8" x14ac:dyDescent="0.2">
      <c r="B31" s="31" t="s">
        <v>661</v>
      </c>
      <c r="C31" s="31" t="s">
        <v>662</v>
      </c>
      <c r="D31" s="31" t="s">
        <v>534</v>
      </c>
      <c r="E31" s="35">
        <v>15675</v>
      </c>
      <c r="F31" s="32">
        <v>287.66759999999999</v>
      </c>
      <c r="G31" s="33">
        <v>0.60323437277815195</v>
      </c>
      <c r="H31" s="36"/>
    </row>
    <row r="32" spans="2:8" x14ac:dyDescent="0.2">
      <c r="B32" s="31" t="s">
        <v>428</v>
      </c>
      <c r="C32" s="31" t="s">
        <v>429</v>
      </c>
      <c r="D32" s="31" t="s">
        <v>38</v>
      </c>
      <c r="E32" s="35">
        <v>2050</v>
      </c>
      <c r="F32" s="32">
        <v>272.93700000000001</v>
      </c>
      <c r="G32" s="33">
        <v>0.572344539332725</v>
      </c>
      <c r="H32" s="36"/>
    </row>
    <row r="33" spans="2:8" x14ac:dyDescent="0.2">
      <c r="B33" s="31" t="s">
        <v>591</v>
      </c>
      <c r="C33" s="31" t="s">
        <v>592</v>
      </c>
      <c r="D33" s="31" t="s">
        <v>28</v>
      </c>
      <c r="E33" s="35">
        <v>371000</v>
      </c>
      <c r="F33" s="32">
        <v>258.36439999999999</v>
      </c>
      <c r="G33" s="33">
        <v>0.54178602936932596</v>
      </c>
      <c r="H33" s="36"/>
    </row>
    <row r="34" spans="2:8" x14ac:dyDescent="0.2">
      <c r="B34" s="31" t="s">
        <v>45</v>
      </c>
      <c r="C34" s="31" t="s">
        <v>46</v>
      </c>
      <c r="D34" s="31" t="s">
        <v>47</v>
      </c>
      <c r="E34" s="35">
        <v>64500</v>
      </c>
      <c r="F34" s="32">
        <v>257.45175</v>
      </c>
      <c r="G34" s="33">
        <v>0.53987221686379605</v>
      </c>
      <c r="H34" s="36"/>
    </row>
    <row r="35" spans="2:8" x14ac:dyDescent="0.2">
      <c r="B35" s="31" t="s">
        <v>161</v>
      </c>
      <c r="C35" s="31" t="s">
        <v>162</v>
      </c>
      <c r="D35" s="31" t="s">
        <v>94</v>
      </c>
      <c r="E35" s="35">
        <v>22950</v>
      </c>
      <c r="F35" s="32">
        <v>252.668025</v>
      </c>
      <c r="G35" s="33">
        <v>0.52984082177474801</v>
      </c>
      <c r="H35" s="36"/>
    </row>
    <row r="36" spans="2:8" x14ac:dyDescent="0.2">
      <c r="B36" s="31" t="s">
        <v>975</v>
      </c>
      <c r="C36" s="31" t="s">
        <v>976</v>
      </c>
      <c r="D36" s="31" t="s">
        <v>41</v>
      </c>
      <c r="E36" s="35">
        <v>227500</v>
      </c>
      <c r="F36" s="32">
        <v>208.50375</v>
      </c>
      <c r="G36" s="33">
        <v>0.43722904092481302</v>
      </c>
      <c r="H36" s="36"/>
    </row>
    <row r="37" spans="2:8" x14ac:dyDescent="0.2">
      <c r="B37" s="31" t="s">
        <v>532</v>
      </c>
      <c r="C37" s="31" t="s">
        <v>533</v>
      </c>
      <c r="D37" s="31" t="s">
        <v>534</v>
      </c>
      <c r="E37" s="35">
        <v>35475</v>
      </c>
      <c r="F37" s="32">
        <v>208.23824999999999</v>
      </c>
      <c r="G37" s="33">
        <v>0.43667229165596</v>
      </c>
      <c r="H37" s="36"/>
    </row>
    <row r="38" spans="2:8" x14ac:dyDescent="0.2">
      <c r="B38" s="31" t="s">
        <v>448</v>
      </c>
      <c r="C38" s="31" t="s">
        <v>449</v>
      </c>
      <c r="D38" s="31" t="s">
        <v>122</v>
      </c>
      <c r="E38" s="35">
        <v>6750</v>
      </c>
      <c r="F38" s="32">
        <v>188.62875</v>
      </c>
      <c r="G38" s="33">
        <v>0.39555148266324403</v>
      </c>
      <c r="H38" s="36"/>
    </row>
    <row r="39" spans="2:8" x14ac:dyDescent="0.2">
      <c r="B39" s="31" t="s">
        <v>730</v>
      </c>
      <c r="C39" s="31" t="s">
        <v>731</v>
      </c>
      <c r="D39" s="31" t="s">
        <v>165</v>
      </c>
      <c r="E39" s="35">
        <v>34000</v>
      </c>
      <c r="F39" s="32">
        <v>188.59800000000001</v>
      </c>
      <c r="G39" s="33">
        <v>0.39548700040329199</v>
      </c>
      <c r="H39" s="36"/>
    </row>
    <row r="40" spans="2:8" x14ac:dyDescent="0.2">
      <c r="B40" s="31" t="s">
        <v>530</v>
      </c>
      <c r="C40" s="31" t="s">
        <v>531</v>
      </c>
      <c r="D40" s="31" t="s">
        <v>28</v>
      </c>
      <c r="E40" s="35">
        <v>160000</v>
      </c>
      <c r="F40" s="32">
        <v>174.976</v>
      </c>
      <c r="G40" s="33">
        <v>0.36692188349063298</v>
      </c>
      <c r="H40" s="36"/>
    </row>
    <row r="41" spans="2:8" x14ac:dyDescent="0.2">
      <c r="B41" s="31" t="s">
        <v>468</v>
      </c>
      <c r="C41" s="31" t="s">
        <v>469</v>
      </c>
      <c r="D41" s="31" t="s">
        <v>100</v>
      </c>
      <c r="E41" s="35">
        <v>29700</v>
      </c>
      <c r="F41" s="32">
        <v>174.30930000000001</v>
      </c>
      <c r="G41" s="33">
        <v>0.36552382421551399</v>
      </c>
      <c r="H41" s="36"/>
    </row>
    <row r="42" spans="2:8" x14ac:dyDescent="0.2">
      <c r="B42" s="31" t="s">
        <v>54</v>
      </c>
      <c r="C42" s="31" t="s">
        <v>55</v>
      </c>
      <c r="D42" s="31" t="s">
        <v>44</v>
      </c>
      <c r="E42" s="35">
        <v>112125</v>
      </c>
      <c r="F42" s="32">
        <v>159.49781250000001</v>
      </c>
      <c r="G42" s="33">
        <v>0.33446437097165199</v>
      </c>
      <c r="H42" s="36"/>
    </row>
    <row r="43" spans="2:8" x14ac:dyDescent="0.2">
      <c r="B43" s="31" t="s">
        <v>90</v>
      </c>
      <c r="C43" s="31" t="s">
        <v>91</v>
      </c>
      <c r="D43" s="31" t="s">
        <v>28</v>
      </c>
      <c r="E43" s="35">
        <v>52500</v>
      </c>
      <c r="F43" s="32">
        <v>150.64875000000001</v>
      </c>
      <c r="G43" s="33">
        <v>0.31590802793245598</v>
      </c>
      <c r="H43" s="36"/>
    </row>
    <row r="44" spans="2:8" x14ac:dyDescent="0.2">
      <c r="B44" s="31" t="s">
        <v>145</v>
      </c>
      <c r="C44" s="31" t="s">
        <v>146</v>
      </c>
      <c r="D44" s="31" t="s">
        <v>64</v>
      </c>
      <c r="E44" s="35">
        <v>70500</v>
      </c>
      <c r="F44" s="32">
        <v>130.15710000000001</v>
      </c>
      <c r="G44" s="33">
        <v>0.27293736444814498</v>
      </c>
      <c r="H44" s="36"/>
    </row>
    <row r="45" spans="2:8" x14ac:dyDescent="0.2">
      <c r="B45" s="31" t="s">
        <v>493</v>
      </c>
      <c r="C45" s="31" t="s">
        <v>494</v>
      </c>
      <c r="D45" s="31" t="s">
        <v>165</v>
      </c>
      <c r="E45" s="35">
        <v>27300</v>
      </c>
      <c r="F45" s="32">
        <v>122.4132</v>
      </c>
      <c r="G45" s="33">
        <v>0.25669852955900002</v>
      </c>
      <c r="H45" s="36"/>
    </row>
    <row r="46" spans="2:8" x14ac:dyDescent="0.2">
      <c r="B46" s="31" t="s">
        <v>143</v>
      </c>
      <c r="C46" s="31" t="s">
        <v>144</v>
      </c>
      <c r="D46" s="31" t="s">
        <v>47</v>
      </c>
      <c r="E46" s="35">
        <v>38000</v>
      </c>
      <c r="F46" s="32">
        <v>120.973</v>
      </c>
      <c r="G46" s="33">
        <v>0.25367845311078302</v>
      </c>
      <c r="H46" s="36"/>
    </row>
    <row r="47" spans="2:8" x14ac:dyDescent="0.2">
      <c r="B47" s="31" t="s">
        <v>555</v>
      </c>
      <c r="C47" s="31" t="s">
        <v>556</v>
      </c>
      <c r="D47" s="31" t="s">
        <v>534</v>
      </c>
      <c r="E47" s="35">
        <v>12600</v>
      </c>
      <c r="F47" s="32">
        <v>113.1354</v>
      </c>
      <c r="G47" s="33">
        <v>0.23724313081489001</v>
      </c>
      <c r="H47" s="36"/>
    </row>
    <row r="48" spans="2:8" x14ac:dyDescent="0.2">
      <c r="B48" s="31" t="s">
        <v>436</v>
      </c>
      <c r="C48" s="31" t="s">
        <v>437</v>
      </c>
      <c r="D48" s="31" t="s">
        <v>165</v>
      </c>
      <c r="E48" s="35">
        <v>11550</v>
      </c>
      <c r="F48" s="32">
        <v>108.263925</v>
      </c>
      <c r="G48" s="33">
        <v>0.22702772537427199</v>
      </c>
      <c r="H48" s="36"/>
    </row>
    <row r="49" spans="2:8" x14ac:dyDescent="0.2">
      <c r="B49" s="31" t="s">
        <v>495</v>
      </c>
      <c r="C49" s="31" t="s">
        <v>496</v>
      </c>
      <c r="D49" s="31" t="s">
        <v>497</v>
      </c>
      <c r="E49" s="35">
        <v>16000</v>
      </c>
      <c r="F49" s="32">
        <v>101.736</v>
      </c>
      <c r="G49" s="33">
        <v>0.213338770681711</v>
      </c>
      <c r="H49" s="36"/>
    </row>
    <row r="50" spans="2:8" x14ac:dyDescent="0.2">
      <c r="B50" s="31" t="s">
        <v>95</v>
      </c>
      <c r="C50" s="31" t="s">
        <v>96</v>
      </c>
      <c r="D50" s="31" t="s">
        <v>97</v>
      </c>
      <c r="E50" s="35">
        <v>33750</v>
      </c>
      <c r="F50" s="32">
        <v>101.098125</v>
      </c>
      <c r="G50" s="33">
        <v>0.21200115697222199</v>
      </c>
      <c r="H50" s="36"/>
    </row>
    <row r="51" spans="2:8" x14ac:dyDescent="0.2">
      <c r="B51" s="31" t="s">
        <v>85</v>
      </c>
      <c r="C51" s="31" t="s">
        <v>86</v>
      </c>
      <c r="D51" s="31" t="s">
        <v>87</v>
      </c>
      <c r="E51" s="35">
        <v>2275</v>
      </c>
      <c r="F51" s="32">
        <v>99.763300000000001</v>
      </c>
      <c r="G51" s="33">
        <v>0.20920205021969299</v>
      </c>
      <c r="H51" s="36"/>
    </row>
    <row r="52" spans="2:8" x14ac:dyDescent="0.2">
      <c r="B52" s="31" t="s">
        <v>36</v>
      </c>
      <c r="C52" s="31" t="s">
        <v>37</v>
      </c>
      <c r="D52" s="31" t="s">
        <v>38</v>
      </c>
      <c r="E52" s="35">
        <v>3200</v>
      </c>
      <c r="F52" s="32">
        <v>99.12</v>
      </c>
      <c r="G52" s="33">
        <v>0.20785306037165999</v>
      </c>
      <c r="H52" s="36"/>
    </row>
    <row r="53" spans="2:8" x14ac:dyDescent="0.2">
      <c r="B53" s="31" t="s">
        <v>478</v>
      </c>
      <c r="C53" s="31" t="s">
        <v>479</v>
      </c>
      <c r="D53" s="31" t="s">
        <v>432</v>
      </c>
      <c r="E53" s="35">
        <v>2250</v>
      </c>
      <c r="F53" s="32">
        <v>97.623000000000005</v>
      </c>
      <c r="G53" s="33">
        <v>0.20471387522863699</v>
      </c>
      <c r="H53" s="36"/>
    </row>
    <row r="54" spans="2:8" x14ac:dyDescent="0.2">
      <c r="B54" s="31" t="s">
        <v>120</v>
      </c>
      <c r="C54" s="31" t="s">
        <v>121</v>
      </c>
      <c r="D54" s="31" t="s">
        <v>122</v>
      </c>
      <c r="E54" s="35">
        <v>750</v>
      </c>
      <c r="F54" s="32">
        <v>86.894999999999996</v>
      </c>
      <c r="G54" s="33">
        <v>0.18221743019567599</v>
      </c>
      <c r="H54" s="36"/>
    </row>
    <row r="55" spans="2:8" x14ac:dyDescent="0.2">
      <c r="B55" s="31" t="s">
        <v>39</v>
      </c>
      <c r="C55" s="31" t="s">
        <v>40</v>
      </c>
      <c r="D55" s="31" t="s">
        <v>41</v>
      </c>
      <c r="E55" s="35">
        <v>2100</v>
      </c>
      <c r="F55" s="32">
        <v>84.293999999999997</v>
      </c>
      <c r="G55" s="33">
        <v>0.17676317464657701</v>
      </c>
      <c r="H55" s="36"/>
    </row>
    <row r="56" spans="2:8" x14ac:dyDescent="0.2">
      <c r="B56" s="31" t="s">
        <v>860</v>
      </c>
      <c r="C56" s="31" t="s">
        <v>861</v>
      </c>
      <c r="D56" s="31" t="s">
        <v>87</v>
      </c>
      <c r="E56" s="35">
        <v>30600</v>
      </c>
      <c r="F56" s="32">
        <v>83.342160000000007</v>
      </c>
      <c r="G56" s="33">
        <v>0.17476718133559799</v>
      </c>
      <c r="H56" s="36"/>
    </row>
    <row r="57" spans="2:8" x14ac:dyDescent="0.2">
      <c r="B57" s="31" t="s">
        <v>147</v>
      </c>
      <c r="C57" s="31" t="s">
        <v>148</v>
      </c>
      <c r="D57" s="31" t="s">
        <v>87</v>
      </c>
      <c r="E57" s="35">
        <v>3250</v>
      </c>
      <c r="F57" s="32">
        <v>79.446250000000006</v>
      </c>
      <c r="G57" s="33">
        <v>0.166597520152865</v>
      </c>
      <c r="H57" s="36"/>
    </row>
    <row r="58" spans="2:8" x14ac:dyDescent="0.2">
      <c r="B58" s="31" t="s">
        <v>92</v>
      </c>
      <c r="C58" s="31" t="s">
        <v>93</v>
      </c>
      <c r="D58" s="31" t="s">
        <v>94</v>
      </c>
      <c r="E58" s="35">
        <v>4200</v>
      </c>
      <c r="F58" s="32">
        <v>75.948599999999999</v>
      </c>
      <c r="G58" s="33">
        <v>0.15926300384325101</v>
      </c>
      <c r="H58" s="36"/>
    </row>
    <row r="59" spans="2:8" x14ac:dyDescent="0.2">
      <c r="B59" s="31" t="s">
        <v>450</v>
      </c>
      <c r="C59" s="31" t="s">
        <v>451</v>
      </c>
      <c r="D59" s="31" t="s">
        <v>165</v>
      </c>
      <c r="E59" s="35">
        <v>4250</v>
      </c>
      <c r="F59" s="32">
        <v>74.256</v>
      </c>
      <c r="G59" s="33">
        <v>0.15571364861741299</v>
      </c>
      <c r="H59" s="36"/>
    </row>
    <row r="60" spans="2:8" x14ac:dyDescent="0.2">
      <c r="B60" s="31" t="s">
        <v>464</v>
      </c>
      <c r="C60" s="31" t="s">
        <v>465</v>
      </c>
      <c r="D60" s="31" t="s">
        <v>94</v>
      </c>
      <c r="E60" s="35">
        <v>4875</v>
      </c>
      <c r="F60" s="32">
        <v>63.843000000000004</v>
      </c>
      <c r="G60" s="33">
        <v>0.13387775356444601</v>
      </c>
      <c r="H60" s="36"/>
    </row>
    <row r="61" spans="2:8" x14ac:dyDescent="0.2">
      <c r="B61" s="31" t="s">
        <v>482</v>
      </c>
      <c r="C61" s="31" t="s">
        <v>483</v>
      </c>
      <c r="D61" s="31" t="s">
        <v>47</v>
      </c>
      <c r="E61" s="35">
        <v>11600</v>
      </c>
      <c r="F61" s="32">
        <v>51.567799999999998</v>
      </c>
      <c r="G61" s="33">
        <v>0.108136854788475</v>
      </c>
      <c r="H61" s="36"/>
    </row>
    <row r="62" spans="2:8" x14ac:dyDescent="0.2">
      <c r="B62" s="31" t="s">
        <v>51</v>
      </c>
      <c r="C62" s="31" t="s">
        <v>52</v>
      </c>
      <c r="D62" s="31" t="s">
        <v>53</v>
      </c>
      <c r="E62" s="35">
        <v>875</v>
      </c>
      <c r="F62" s="32">
        <v>50.102499999999999</v>
      </c>
      <c r="G62" s="33">
        <v>0.105064144040265</v>
      </c>
      <c r="H62" s="36"/>
    </row>
    <row r="63" spans="2:8" x14ac:dyDescent="0.2">
      <c r="B63" s="31" t="s">
        <v>549</v>
      </c>
      <c r="C63" s="31" t="s">
        <v>550</v>
      </c>
      <c r="D63" s="31" t="s">
        <v>122</v>
      </c>
      <c r="E63" s="35">
        <v>9450</v>
      </c>
      <c r="F63" s="32">
        <v>41.976900000000001</v>
      </c>
      <c r="G63" s="33">
        <v>8.8024890334091194E-2</v>
      </c>
      <c r="H63" s="36"/>
    </row>
    <row r="64" spans="2:8" x14ac:dyDescent="0.2">
      <c r="B64" s="31" t="s">
        <v>574</v>
      </c>
      <c r="C64" s="31" t="s">
        <v>575</v>
      </c>
      <c r="D64" s="31" t="s">
        <v>576</v>
      </c>
      <c r="E64" s="35">
        <v>2450</v>
      </c>
      <c r="F64" s="32">
        <v>40.821899999999999</v>
      </c>
      <c r="G64" s="33">
        <v>8.5602873740777394E-2</v>
      </c>
      <c r="H64" s="36"/>
    </row>
    <row r="65" spans="2:8" x14ac:dyDescent="0.2">
      <c r="B65" s="31" t="s">
        <v>749</v>
      </c>
      <c r="C65" s="31" t="s">
        <v>750</v>
      </c>
      <c r="D65" s="31" t="s">
        <v>122</v>
      </c>
      <c r="E65" s="35">
        <v>1950</v>
      </c>
      <c r="F65" s="32">
        <v>37.172849999999997</v>
      </c>
      <c r="G65" s="33">
        <v>7.7950874043953303E-2</v>
      </c>
      <c r="H65" s="36"/>
    </row>
    <row r="66" spans="2:8" x14ac:dyDescent="0.2">
      <c r="B66" s="31" t="s">
        <v>71</v>
      </c>
      <c r="C66" s="31" t="s">
        <v>72</v>
      </c>
      <c r="D66" s="31" t="s">
        <v>53</v>
      </c>
      <c r="E66" s="35">
        <v>2500</v>
      </c>
      <c r="F66" s="32">
        <v>36.465000000000003</v>
      </c>
      <c r="G66" s="33">
        <v>7.6466523874622397E-2</v>
      </c>
      <c r="H66" s="36"/>
    </row>
    <row r="67" spans="2:8" x14ac:dyDescent="0.2">
      <c r="B67" s="31" t="s">
        <v>609</v>
      </c>
      <c r="C67" s="31" t="s">
        <v>610</v>
      </c>
      <c r="D67" s="31" t="s">
        <v>84</v>
      </c>
      <c r="E67" s="35">
        <v>3375</v>
      </c>
      <c r="F67" s="32">
        <v>32.833687500000003</v>
      </c>
      <c r="G67" s="33">
        <v>6.8851719432624206E-2</v>
      </c>
      <c r="H67" s="36"/>
    </row>
    <row r="68" spans="2:8" x14ac:dyDescent="0.2">
      <c r="B68" s="31" t="s">
        <v>440</v>
      </c>
      <c r="C68" s="31" t="s">
        <v>441</v>
      </c>
      <c r="D68" s="31" t="s">
        <v>442</v>
      </c>
      <c r="E68" s="35">
        <v>1900</v>
      </c>
      <c r="F68" s="32">
        <v>31.488700000000001</v>
      </c>
      <c r="G68" s="33">
        <v>6.6031302079550894E-2</v>
      </c>
      <c r="H68" s="36"/>
    </row>
    <row r="69" spans="2:8" x14ac:dyDescent="0.2">
      <c r="B69" s="31" t="s">
        <v>501</v>
      </c>
      <c r="C69" s="31" t="s">
        <v>502</v>
      </c>
      <c r="D69" s="31" t="s">
        <v>79</v>
      </c>
      <c r="E69" s="35">
        <v>900</v>
      </c>
      <c r="F69" s="32">
        <v>24.413399999999999</v>
      </c>
      <c r="G69" s="33">
        <v>5.1194510735244898E-2</v>
      </c>
      <c r="H69" s="36"/>
    </row>
    <row r="70" spans="2:8" x14ac:dyDescent="0.2">
      <c r="B70" s="31" t="s">
        <v>157</v>
      </c>
      <c r="C70" s="31" t="s">
        <v>158</v>
      </c>
      <c r="D70" s="31" t="s">
        <v>38</v>
      </c>
      <c r="E70" s="35">
        <v>300</v>
      </c>
      <c r="F70" s="32">
        <v>21.327000000000002</v>
      </c>
      <c r="G70" s="33">
        <v>4.4722379121735101E-2</v>
      </c>
      <c r="H70" s="36"/>
    </row>
    <row r="71" spans="2:8" x14ac:dyDescent="0.2">
      <c r="B71" s="31" t="s">
        <v>570</v>
      </c>
      <c r="C71" s="31" t="s">
        <v>571</v>
      </c>
      <c r="D71" s="31" t="s">
        <v>28</v>
      </c>
      <c r="E71" s="35">
        <v>2100</v>
      </c>
      <c r="F71" s="32">
        <v>19.23705</v>
      </c>
      <c r="G71" s="33">
        <v>4.0339787278275203E-2</v>
      </c>
      <c r="H71" s="36"/>
    </row>
    <row r="72" spans="2:8" x14ac:dyDescent="0.2">
      <c r="B72" s="31" t="s">
        <v>82</v>
      </c>
      <c r="C72" s="31" t="s">
        <v>83</v>
      </c>
      <c r="D72" s="31" t="s">
        <v>84</v>
      </c>
      <c r="E72" s="35">
        <v>7275</v>
      </c>
      <c r="F72" s="32">
        <v>17.971432499999999</v>
      </c>
      <c r="G72" s="33">
        <v>3.7685807550319902E-2</v>
      </c>
      <c r="H72" s="36"/>
    </row>
    <row r="73" spans="2:8" x14ac:dyDescent="0.2">
      <c r="B73" s="31" t="s">
        <v>520</v>
      </c>
      <c r="C73" s="31" t="s">
        <v>521</v>
      </c>
      <c r="D73" s="31" t="s">
        <v>522</v>
      </c>
      <c r="E73" s="35">
        <v>1500</v>
      </c>
      <c r="F73" s="32">
        <v>16.006499999999999</v>
      </c>
      <c r="G73" s="33">
        <v>3.3565375412015402E-2</v>
      </c>
      <c r="H73" s="36"/>
    </row>
    <row r="74" spans="2:8" x14ac:dyDescent="0.2">
      <c r="B74" s="31" t="s">
        <v>515</v>
      </c>
      <c r="C74" s="31" t="s">
        <v>516</v>
      </c>
      <c r="D74" s="31" t="s">
        <v>517</v>
      </c>
      <c r="E74" s="35">
        <v>9450</v>
      </c>
      <c r="F74" s="32">
        <v>15.425235000000001</v>
      </c>
      <c r="G74" s="33">
        <v>3.2346471970359503E-2</v>
      </c>
      <c r="H74" s="36"/>
    </row>
    <row r="75" spans="2:8" x14ac:dyDescent="0.2">
      <c r="B75" s="31" t="s">
        <v>704</v>
      </c>
      <c r="C75" s="31" t="s">
        <v>705</v>
      </c>
      <c r="D75" s="31" t="s">
        <v>100</v>
      </c>
      <c r="E75" s="35">
        <v>2775</v>
      </c>
      <c r="F75" s="32">
        <v>14.259337500000001</v>
      </c>
      <c r="G75" s="33">
        <v>2.9901603493214E-2</v>
      </c>
      <c r="H75" s="36"/>
    </row>
    <row r="76" spans="2:8" x14ac:dyDescent="0.2">
      <c r="B76" s="31" t="s">
        <v>671</v>
      </c>
      <c r="C76" s="31" t="s">
        <v>672</v>
      </c>
      <c r="D76" s="31" t="s">
        <v>522</v>
      </c>
      <c r="E76" s="35">
        <v>2500</v>
      </c>
      <c r="F76" s="32">
        <v>11.0375</v>
      </c>
      <c r="G76" s="33">
        <v>2.3145461600607299E-2</v>
      </c>
      <c r="H76" s="36"/>
    </row>
    <row r="77" spans="2:8" x14ac:dyDescent="0.2">
      <c r="B77" s="31" t="s">
        <v>619</v>
      </c>
      <c r="C77" s="31" t="s">
        <v>620</v>
      </c>
      <c r="D77" s="31" t="s">
        <v>621</v>
      </c>
      <c r="E77" s="35">
        <v>1355</v>
      </c>
      <c r="F77" s="32">
        <v>8.6970674999999993</v>
      </c>
      <c r="G77" s="33">
        <v>1.8237611946467901E-2</v>
      </c>
      <c r="H77" s="36"/>
    </row>
    <row r="78" spans="2:8" x14ac:dyDescent="0.2">
      <c r="B78" s="31" t="s">
        <v>433</v>
      </c>
      <c r="C78" s="31" t="s">
        <v>434</v>
      </c>
      <c r="D78" s="31" t="s">
        <v>435</v>
      </c>
      <c r="E78" s="35">
        <v>700</v>
      </c>
      <c r="F78" s="32">
        <v>7.266</v>
      </c>
      <c r="G78" s="33">
        <v>1.52366862052106E-2</v>
      </c>
      <c r="H78" s="36"/>
    </row>
    <row r="79" spans="2:8" x14ac:dyDescent="0.2">
      <c r="B79" s="31" t="s">
        <v>667</v>
      </c>
      <c r="C79" s="31" t="s">
        <v>668</v>
      </c>
      <c r="D79" s="31" t="s">
        <v>97</v>
      </c>
      <c r="E79" s="35">
        <v>1400</v>
      </c>
      <c r="F79" s="32">
        <v>6.8712</v>
      </c>
      <c r="G79" s="33">
        <v>1.44087968969506E-2</v>
      </c>
      <c r="H79" s="36"/>
    </row>
    <row r="80" spans="2:8" x14ac:dyDescent="0.2">
      <c r="B80" s="31" t="s">
        <v>480</v>
      </c>
      <c r="C80" s="31" t="s">
        <v>481</v>
      </c>
      <c r="D80" s="31" t="s">
        <v>38</v>
      </c>
      <c r="E80" s="35">
        <v>175</v>
      </c>
      <c r="F80" s="32">
        <v>6.1125749999999996</v>
      </c>
      <c r="G80" s="33">
        <v>1.28179723617968E-2</v>
      </c>
      <c r="H80" s="36"/>
    </row>
    <row r="81" spans="2:9" x14ac:dyDescent="0.2">
      <c r="B81" s="31" t="s">
        <v>462</v>
      </c>
      <c r="C81" s="31" t="s">
        <v>463</v>
      </c>
      <c r="D81" s="31" t="s">
        <v>458</v>
      </c>
      <c r="E81" s="35">
        <v>525</v>
      </c>
      <c r="F81" s="32">
        <v>5.2135125000000002</v>
      </c>
      <c r="G81" s="33">
        <v>1.09326526272286E-2</v>
      </c>
      <c r="H81" s="36"/>
    </row>
    <row r="82" spans="2:9" ht="10.5" x14ac:dyDescent="0.25">
      <c r="B82" s="30" t="s">
        <v>170</v>
      </c>
      <c r="C82" s="30"/>
      <c r="D82" s="30"/>
      <c r="E82" s="30"/>
      <c r="F82" s="37">
        <f>SUM(F7:F81)</f>
        <v>31526.851956500006</v>
      </c>
      <c r="G82" s="38">
        <f>SUM(G7:G81)</f>
        <v>66.111306124321771</v>
      </c>
      <c r="H82" s="30"/>
      <c r="I82" s="23"/>
    </row>
    <row r="83" spans="2:9" ht="10.5" x14ac:dyDescent="0.25">
      <c r="B83" s="30" t="s">
        <v>171</v>
      </c>
      <c r="C83" s="30"/>
      <c r="D83" s="30"/>
      <c r="E83" s="30"/>
      <c r="F83" s="40" t="s">
        <v>172</v>
      </c>
      <c r="G83" s="41" t="s">
        <v>172</v>
      </c>
      <c r="H83" s="30"/>
      <c r="I83" s="23"/>
    </row>
    <row r="84" spans="2:9" ht="10.5" x14ac:dyDescent="0.25">
      <c r="B84" s="30" t="s">
        <v>170</v>
      </c>
      <c r="C84" s="30"/>
      <c r="D84" s="30"/>
      <c r="E84" s="30"/>
      <c r="F84" s="42" t="s">
        <v>172</v>
      </c>
      <c r="G84" s="43" t="s">
        <v>172</v>
      </c>
      <c r="H84" s="30"/>
      <c r="I84" s="23"/>
    </row>
    <row r="85" spans="2:9" ht="10.5" x14ac:dyDescent="0.25">
      <c r="B85" s="44" t="s">
        <v>189</v>
      </c>
      <c r="C85" s="44"/>
      <c r="D85" s="44"/>
      <c r="E85" s="44"/>
      <c r="F85" s="45">
        <f>F82</f>
        <v>31526.851956500006</v>
      </c>
      <c r="G85" s="46">
        <f>G82</f>
        <v>66.111306124321771</v>
      </c>
      <c r="H85" s="30"/>
      <c r="I85" s="23"/>
    </row>
    <row r="86" spans="2:9" ht="10.5" x14ac:dyDescent="0.25">
      <c r="B86" s="30" t="s">
        <v>190</v>
      </c>
      <c r="C86" s="31"/>
      <c r="D86" s="31"/>
      <c r="E86" s="31"/>
      <c r="F86" s="32"/>
      <c r="G86" s="33"/>
      <c r="H86" s="31"/>
    </row>
    <row r="87" spans="2:9" x14ac:dyDescent="0.2">
      <c r="B87" s="31" t="s">
        <v>1382</v>
      </c>
      <c r="C87" s="31" t="s">
        <v>1383</v>
      </c>
      <c r="D87" s="31" t="s">
        <v>196</v>
      </c>
      <c r="E87" s="35">
        <v>500</v>
      </c>
      <c r="F87" s="32">
        <v>2481.0349999999999</v>
      </c>
      <c r="G87" s="33">
        <v>5.20269085592414</v>
      </c>
      <c r="H87" s="36">
        <v>6.2001000000000001E-2</v>
      </c>
    </row>
    <row r="88" spans="2:9" x14ac:dyDescent="0.2">
      <c r="B88" s="31" t="s">
        <v>298</v>
      </c>
      <c r="C88" s="31" t="s">
        <v>299</v>
      </c>
      <c r="D88" s="31" t="s">
        <v>196</v>
      </c>
      <c r="E88" s="35">
        <v>500</v>
      </c>
      <c r="F88" s="32">
        <v>2475.2750000000001</v>
      </c>
      <c r="G88" s="33">
        <v>5.1906122277185203</v>
      </c>
      <c r="H88" s="36">
        <v>6.1797999999999999E-2</v>
      </c>
    </row>
    <row r="89" spans="2:9" x14ac:dyDescent="0.2">
      <c r="B89" s="31" t="s">
        <v>1384</v>
      </c>
      <c r="C89" s="31" t="s">
        <v>1385</v>
      </c>
      <c r="D89" s="31" t="s">
        <v>196</v>
      </c>
      <c r="E89" s="35">
        <v>500</v>
      </c>
      <c r="F89" s="32">
        <v>2437.3975</v>
      </c>
      <c r="G89" s="33">
        <v>5.1111837138542402</v>
      </c>
      <c r="H89" s="36">
        <v>6.8429000000000004E-2</v>
      </c>
    </row>
    <row r="90" spans="2:9" x14ac:dyDescent="0.2">
      <c r="B90" s="31" t="s">
        <v>1386</v>
      </c>
      <c r="C90" s="31" t="s">
        <v>1387</v>
      </c>
      <c r="D90" s="31" t="s">
        <v>196</v>
      </c>
      <c r="E90" s="35">
        <v>500</v>
      </c>
      <c r="F90" s="32">
        <v>2372.7775000000001</v>
      </c>
      <c r="G90" s="33">
        <v>4.9756766036724702</v>
      </c>
      <c r="H90" s="36">
        <v>7.195E-2</v>
      </c>
    </row>
    <row r="91" spans="2:9" ht="10.5" x14ac:dyDescent="0.25">
      <c r="B91" s="30" t="s">
        <v>170</v>
      </c>
      <c r="C91" s="30"/>
      <c r="D91" s="30"/>
      <c r="E91" s="30"/>
      <c r="F91" s="63">
        <f>SUM(F86:F90)</f>
        <v>9766.4850000000006</v>
      </c>
      <c r="G91" s="64">
        <f>SUM(G86:G90)</f>
        <v>20.480163401169371</v>
      </c>
      <c r="H91" s="30"/>
      <c r="I91" s="23"/>
    </row>
    <row r="92" spans="2:9" ht="10.5" x14ac:dyDescent="0.25">
      <c r="B92" s="44" t="s">
        <v>173</v>
      </c>
      <c r="C92" s="44"/>
      <c r="D92" s="44"/>
      <c r="E92" s="44"/>
      <c r="F92" s="45">
        <f>+F91</f>
        <v>9766.4850000000006</v>
      </c>
      <c r="G92" s="46">
        <f>+G91</f>
        <v>20.480163401169371</v>
      </c>
      <c r="H92" s="30"/>
      <c r="I92" s="23"/>
    </row>
    <row r="93" spans="2:9" ht="10.5" x14ac:dyDescent="0.25">
      <c r="B93" s="30" t="s">
        <v>1388</v>
      </c>
      <c r="C93" s="31"/>
      <c r="D93" s="31"/>
      <c r="E93" s="31"/>
      <c r="F93" s="32"/>
      <c r="G93" s="33"/>
      <c r="H93" s="31"/>
    </row>
    <row r="94" spans="2:9" x14ac:dyDescent="0.2">
      <c r="B94" s="31" t="s">
        <v>1389</v>
      </c>
      <c r="C94" s="31" t="s">
        <v>1390</v>
      </c>
      <c r="D94" s="31"/>
      <c r="E94" s="35">
        <v>434620.50300000003</v>
      </c>
      <c r="F94" s="32">
        <v>4558.5910311999996</v>
      </c>
      <c r="G94" s="33">
        <v>9.5592927443272799</v>
      </c>
      <c r="H94" s="31"/>
    </row>
    <row r="95" spans="2:9" x14ac:dyDescent="0.2">
      <c r="B95" s="31" t="s">
        <v>1391</v>
      </c>
      <c r="C95" s="31" t="s">
        <v>1392</v>
      </c>
      <c r="D95" s="31"/>
      <c r="E95" s="35">
        <v>146361.65100000001</v>
      </c>
      <c r="F95" s="32">
        <v>1539.1268275</v>
      </c>
      <c r="G95" s="33">
        <v>3.2275244289346099</v>
      </c>
      <c r="H95" s="31"/>
    </row>
    <row r="96" spans="2:9" ht="10.5" x14ac:dyDescent="0.25">
      <c r="B96" s="30" t="s">
        <v>170</v>
      </c>
      <c r="C96" s="30"/>
      <c r="D96" s="30"/>
      <c r="E96" s="30"/>
      <c r="F96" s="37">
        <f>SUM(F94:F95)</f>
        <v>6097.7178586999999</v>
      </c>
      <c r="G96" s="38">
        <f>SUM(G94:G95)</f>
        <v>12.786817173261889</v>
      </c>
      <c r="H96" s="30"/>
      <c r="I96" s="23"/>
    </row>
    <row r="97" spans="2:9" ht="10.5" x14ac:dyDescent="0.25">
      <c r="B97" s="30"/>
      <c r="C97" s="31"/>
      <c r="D97" s="31"/>
      <c r="E97" s="31"/>
      <c r="F97" s="32"/>
      <c r="G97" s="33"/>
      <c r="H97" s="31"/>
    </row>
    <row r="98" spans="2:9" ht="10.5" x14ac:dyDescent="0.25">
      <c r="B98" s="30" t="s">
        <v>174</v>
      </c>
      <c r="C98" s="30"/>
      <c r="D98" s="30"/>
      <c r="E98" s="30"/>
      <c r="F98" s="37">
        <v>1126.2383460000001</v>
      </c>
      <c r="G98" s="38">
        <v>2.3617038632366398</v>
      </c>
      <c r="H98" s="36">
        <v>5.2499999999999998E-2</v>
      </c>
      <c r="I98" s="24"/>
    </row>
    <row r="99" spans="2:9" x14ac:dyDescent="0.2">
      <c r="B99" s="31"/>
      <c r="C99" s="31"/>
      <c r="D99" s="31"/>
      <c r="E99" s="31"/>
      <c r="F99" s="32"/>
      <c r="G99" s="33"/>
      <c r="H99" s="31"/>
    </row>
    <row r="100" spans="2:9" ht="10.5" x14ac:dyDescent="0.25">
      <c r="B100" s="30" t="s">
        <v>176</v>
      </c>
      <c r="C100" s="31"/>
      <c r="D100" s="31"/>
      <c r="E100" s="31"/>
      <c r="F100" s="151">
        <v>0</v>
      </c>
      <c r="G100" s="151">
        <f>F100/F102*100</f>
        <v>0</v>
      </c>
      <c r="H100" s="31"/>
    </row>
    <row r="101" spans="2:9" ht="10.5" x14ac:dyDescent="0.25">
      <c r="B101" s="52" t="s">
        <v>177</v>
      </c>
      <c r="C101" s="52"/>
      <c r="D101" s="52"/>
      <c r="E101" s="52"/>
      <c r="F101" s="37">
        <f>F102-(F82+F91+F96+F98+F100)</f>
        <v>-829.75860060000559</v>
      </c>
      <c r="G101" s="38">
        <f>G102-(G82+G91+G96+G98+G100)</f>
        <v>-1.7399905619896714</v>
      </c>
      <c r="H101" s="30"/>
      <c r="I101" s="23"/>
    </row>
    <row r="102" spans="2:9" ht="10.5" x14ac:dyDescent="0.25">
      <c r="B102" s="47" t="s">
        <v>175</v>
      </c>
      <c r="C102" s="47"/>
      <c r="D102" s="47"/>
      <c r="E102" s="47"/>
      <c r="F102" s="48">
        <v>47687.534560599997</v>
      </c>
      <c r="G102" s="49">
        <v>100</v>
      </c>
      <c r="H102" s="51"/>
      <c r="I102" s="23"/>
    </row>
    <row r="104" spans="2:9" ht="10.5" x14ac:dyDescent="0.25">
      <c r="B104" s="23" t="s">
        <v>178</v>
      </c>
    </row>
    <row r="106" spans="2:9" ht="10.5" x14ac:dyDescent="0.2">
      <c r="B106" s="144" t="s">
        <v>7</v>
      </c>
      <c r="C106" s="144" t="s">
        <v>179</v>
      </c>
      <c r="D106" s="144" t="s">
        <v>180</v>
      </c>
      <c r="E106" s="144" t="s">
        <v>0</v>
      </c>
      <c r="F106" s="145" t="s">
        <v>181</v>
      </c>
      <c r="G106" s="146" t="s">
        <v>182</v>
      </c>
    </row>
    <row r="107" spans="2:9" x14ac:dyDescent="0.2">
      <c r="B107" s="56" t="s">
        <v>1433</v>
      </c>
      <c r="C107" s="56" t="s">
        <v>1394</v>
      </c>
      <c r="D107" s="56" t="s">
        <v>28</v>
      </c>
      <c r="E107" s="57">
        <v>-590900</v>
      </c>
      <c r="F107" s="58">
        <v>-119.30271</v>
      </c>
      <c r="G107" s="59">
        <v>-0.2501758815994008</v>
      </c>
    </row>
    <row r="108" spans="2:9" x14ac:dyDescent="0.2">
      <c r="B108" s="56" t="s">
        <v>1466</v>
      </c>
      <c r="C108" s="56" t="s">
        <v>1394</v>
      </c>
      <c r="D108" s="56" t="s">
        <v>28</v>
      </c>
      <c r="E108" s="57">
        <v>-3514300</v>
      </c>
      <c r="F108" s="58">
        <v>-704.61715000000004</v>
      </c>
      <c r="G108" s="59">
        <v>-1.4775709344012993</v>
      </c>
    </row>
    <row r="109" spans="2:9" x14ac:dyDescent="0.2">
      <c r="B109" s="56" t="s">
        <v>1399</v>
      </c>
      <c r="C109" s="56" t="s">
        <v>1394</v>
      </c>
      <c r="D109" s="56" t="s">
        <v>621</v>
      </c>
      <c r="E109" s="57">
        <v>-1355</v>
      </c>
      <c r="F109" s="58">
        <v>-8.7532999999999994</v>
      </c>
      <c r="G109" s="59">
        <v>-1.8355530602817277E-2</v>
      </c>
    </row>
    <row r="110" spans="2:9" x14ac:dyDescent="0.2">
      <c r="B110" s="56" t="s">
        <v>1409</v>
      </c>
      <c r="C110" s="56" t="s">
        <v>1394</v>
      </c>
      <c r="D110" s="56" t="s">
        <v>122</v>
      </c>
      <c r="E110" s="57">
        <v>-250</v>
      </c>
      <c r="F110" s="58">
        <v>-29.33</v>
      </c>
      <c r="G110" s="59">
        <v>-6.1504542581726981E-2</v>
      </c>
    </row>
    <row r="111" spans="2:9" x14ac:dyDescent="0.2">
      <c r="B111" s="56" t="s">
        <v>1419</v>
      </c>
      <c r="C111" s="56" t="s">
        <v>1394</v>
      </c>
      <c r="D111" s="56" t="s">
        <v>122</v>
      </c>
      <c r="E111" s="57">
        <v>-500</v>
      </c>
      <c r="F111" s="58">
        <v>-58.274999999999999</v>
      </c>
      <c r="G111" s="59">
        <v>-0.12220174629901602</v>
      </c>
    </row>
    <row r="112" spans="2:9" x14ac:dyDescent="0.2">
      <c r="B112" s="56" t="s">
        <v>1395</v>
      </c>
      <c r="C112" s="56" t="s">
        <v>1394</v>
      </c>
      <c r="D112" s="56" t="s">
        <v>38</v>
      </c>
      <c r="E112" s="57">
        <v>-175</v>
      </c>
      <c r="F112" s="58">
        <v>-6.1501999999999999</v>
      </c>
      <c r="G112" s="59">
        <v>-1.2896871387185042E-2</v>
      </c>
    </row>
    <row r="113" spans="2:7" x14ac:dyDescent="0.2">
      <c r="B113" s="56" t="s">
        <v>1457</v>
      </c>
      <c r="C113" s="56" t="s">
        <v>1394</v>
      </c>
      <c r="D113" s="56" t="s">
        <v>38</v>
      </c>
      <c r="E113" s="57">
        <v>-108000</v>
      </c>
      <c r="F113" s="58">
        <v>-370.60199999999998</v>
      </c>
      <c r="G113" s="59">
        <v>-0.77714648789202811</v>
      </c>
    </row>
    <row r="114" spans="2:7" x14ac:dyDescent="0.2">
      <c r="B114" s="56" t="s">
        <v>1428</v>
      </c>
      <c r="C114" s="56" t="s">
        <v>1394</v>
      </c>
      <c r="D114" s="56" t="s">
        <v>87</v>
      </c>
      <c r="E114" s="57">
        <v>-2275</v>
      </c>
      <c r="F114" s="58">
        <v>-100.15004999999999</v>
      </c>
      <c r="G114" s="59">
        <v>-0.2100130588062423</v>
      </c>
    </row>
    <row r="115" spans="2:7" x14ac:dyDescent="0.2">
      <c r="B115" s="56" t="s">
        <v>1418</v>
      </c>
      <c r="C115" s="56" t="s">
        <v>1394</v>
      </c>
      <c r="D115" s="56" t="s">
        <v>47</v>
      </c>
      <c r="E115" s="57">
        <v>-11600</v>
      </c>
      <c r="F115" s="58">
        <v>-51.857799999999997</v>
      </c>
      <c r="G115" s="59">
        <v>-0.10874498016688311</v>
      </c>
    </row>
    <row r="116" spans="2:7" x14ac:dyDescent="0.2">
      <c r="B116" s="56" t="s">
        <v>1422</v>
      </c>
      <c r="C116" s="56" t="s">
        <v>1394</v>
      </c>
      <c r="D116" s="56" t="s">
        <v>94</v>
      </c>
      <c r="E116" s="57">
        <v>-4200</v>
      </c>
      <c r="F116" s="58">
        <v>-76.23</v>
      </c>
      <c r="G116" s="59">
        <v>-0.15985309515871285</v>
      </c>
    </row>
    <row r="117" spans="2:7" x14ac:dyDescent="0.2">
      <c r="B117" s="56" t="s">
        <v>1432</v>
      </c>
      <c r="C117" s="56" t="s">
        <v>1394</v>
      </c>
      <c r="D117" s="56" t="s">
        <v>165</v>
      </c>
      <c r="E117" s="57">
        <v>-11550</v>
      </c>
      <c r="F117" s="58">
        <v>-108.56422499999999</v>
      </c>
      <c r="G117" s="59">
        <v>-0.22765744968853355</v>
      </c>
    </row>
    <row r="118" spans="2:7" x14ac:dyDescent="0.2">
      <c r="B118" s="56" t="s">
        <v>1463</v>
      </c>
      <c r="C118" s="56" t="s">
        <v>1394</v>
      </c>
      <c r="D118" s="56" t="s">
        <v>28</v>
      </c>
      <c r="E118" s="57">
        <v>-58500</v>
      </c>
      <c r="F118" s="58">
        <v>-622.49850000000004</v>
      </c>
      <c r="G118" s="59">
        <v>-1.3053694340372033</v>
      </c>
    </row>
    <row r="119" spans="2:7" x14ac:dyDescent="0.2">
      <c r="B119" s="56" t="s">
        <v>1436</v>
      </c>
      <c r="C119" s="56" t="s">
        <v>1394</v>
      </c>
      <c r="D119" s="56" t="s">
        <v>64</v>
      </c>
      <c r="E119" s="57">
        <v>-70500</v>
      </c>
      <c r="F119" s="58">
        <v>-131.01015000000001</v>
      </c>
      <c r="G119" s="59">
        <v>-0.27472619670349263</v>
      </c>
    </row>
    <row r="120" spans="2:7" x14ac:dyDescent="0.2">
      <c r="B120" s="56" t="s">
        <v>1462</v>
      </c>
      <c r="C120" s="56" t="s">
        <v>1394</v>
      </c>
      <c r="D120" s="56" t="s">
        <v>44</v>
      </c>
      <c r="E120" s="57">
        <v>-38500</v>
      </c>
      <c r="F120" s="58">
        <v>-555.94000000000005</v>
      </c>
      <c r="G120" s="59">
        <v>-1.1657973202483907</v>
      </c>
    </row>
    <row r="121" spans="2:7" x14ac:dyDescent="0.2">
      <c r="B121" s="56" t="s">
        <v>1475</v>
      </c>
      <c r="C121" s="56" t="s">
        <v>1394</v>
      </c>
      <c r="D121" s="56" t="s">
        <v>44</v>
      </c>
      <c r="E121" s="57">
        <v>-152000</v>
      </c>
      <c r="F121" s="58">
        <v>-2181.5039999999999</v>
      </c>
      <c r="G121" s="59">
        <v>-4.5745791224073553</v>
      </c>
    </row>
    <row r="122" spans="2:7" x14ac:dyDescent="0.2">
      <c r="B122" s="56" t="s">
        <v>1472</v>
      </c>
      <c r="C122" s="56" t="s">
        <v>1394</v>
      </c>
      <c r="D122" s="56" t="s">
        <v>534</v>
      </c>
      <c r="E122" s="57">
        <v>-95400</v>
      </c>
      <c r="F122" s="58">
        <v>-1357.7328</v>
      </c>
      <c r="G122" s="59">
        <v>-2.8471440440575315</v>
      </c>
    </row>
    <row r="123" spans="2:7" x14ac:dyDescent="0.2">
      <c r="B123" s="56" t="s">
        <v>1434</v>
      </c>
      <c r="C123" s="56" t="s">
        <v>1394</v>
      </c>
      <c r="D123" s="56" t="s">
        <v>47</v>
      </c>
      <c r="E123" s="57">
        <v>-38000</v>
      </c>
      <c r="F123" s="58">
        <v>-121.277</v>
      </c>
      <c r="G123" s="59">
        <v>-0.25431593626607923</v>
      </c>
    </row>
    <row r="124" spans="2:7" x14ac:dyDescent="0.2">
      <c r="B124" s="56" t="s">
        <v>1415</v>
      </c>
      <c r="C124" s="56" t="s">
        <v>1394</v>
      </c>
      <c r="D124" s="56" t="s">
        <v>576</v>
      </c>
      <c r="E124" s="57">
        <v>-2450</v>
      </c>
      <c r="F124" s="58">
        <v>-40.939500000000002</v>
      </c>
      <c r="G124" s="59">
        <v>-8.5849479066642059E-2</v>
      </c>
    </row>
    <row r="125" spans="2:7" x14ac:dyDescent="0.2">
      <c r="B125" s="56" t="s">
        <v>1440</v>
      </c>
      <c r="C125" s="56" t="s">
        <v>1394</v>
      </c>
      <c r="D125" s="56" t="s">
        <v>28</v>
      </c>
      <c r="E125" s="57">
        <v>-160000</v>
      </c>
      <c r="F125" s="58">
        <v>-175.56800000000001</v>
      </c>
      <c r="G125" s="59">
        <v>-0.36816329805621006</v>
      </c>
    </row>
    <row r="126" spans="2:7" x14ac:dyDescent="0.2">
      <c r="B126" s="56" t="s">
        <v>1435</v>
      </c>
      <c r="C126" s="56" t="s">
        <v>1394</v>
      </c>
      <c r="D126" s="56" t="s">
        <v>165</v>
      </c>
      <c r="E126" s="57">
        <v>-27300</v>
      </c>
      <c r="F126" s="58">
        <v>-123.19125</v>
      </c>
      <c r="G126" s="59">
        <v>-0.25833008800958657</v>
      </c>
    </row>
    <row r="127" spans="2:7" x14ac:dyDescent="0.2">
      <c r="B127" s="56" t="s">
        <v>1429</v>
      </c>
      <c r="C127" s="56" t="s">
        <v>1394</v>
      </c>
      <c r="D127" s="56" t="s">
        <v>97</v>
      </c>
      <c r="E127" s="57">
        <v>-33750</v>
      </c>
      <c r="F127" s="58">
        <v>-101.604375</v>
      </c>
      <c r="G127" s="59">
        <v>-0.21306275515435583</v>
      </c>
    </row>
    <row r="128" spans="2:7" x14ac:dyDescent="0.2">
      <c r="B128" s="56" t="s">
        <v>1397</v>
      </c>
      <c r="C128" s="56" t="s">
        <v>1394</v>
      </c>
      <c r="D128" s="56" t="s">
        <v>97</v>
      </c>
      <c r="E128" s="57">
        <v>-1400</v>
      </c>
      <c r="F128" s="58">
        <v>-6.8795999999999999</v>
      </c>
      <c r="G128" s="59">
        <v>-1.4426411563083837E-2</v>
      </c>
    </row>
    <row r="129" spans="2:7" x14ac:dyDescent="0.2">
      <c r="B129" s="56" t="s">
        <v>1448</v>
      </c>
      <c r="C129" s="56" t="s">
        <v>1394</v>
      </c>
      <c r="D129" s="56" t="s">
        <v>47</v>
      </c>
      <c r="E129" s="57">
        <v>-64500</v>
      </c>
      <c r="F129" s="58">
        <v>-258.32249999999999</v>
      </c>
      <c r="G129" s="59">
        <v>-0.54169816573706675</v>
      </c>
    </row>
    <row r="130" spans="2:7" x14ac:dyDescent="0.2">
      <c r="B130" s="56" t="s">
        <v>1412</v>
      </c>
      <c r="C130" s="56" t="s">
        <v>1394</v>
      </c>
      <c r="D130" s="56" t="s">
        <v>53</v>
      </c>
      <c r="E130" s="57">
        <v>-2500</v>
      </c>
      <c r="F130" s="58">
        <v>-36.552500000000002</v>
      </c>
      <c r="G130" s="59">
        <v>-7.6650009980176459E-2</v>
      </c>
    </row>
    <row r="131" spans="2:7" x14ac:dyDescent="0.2">
      <c r="B131" s="56" t="s">
        <v>1445</v>
      </c>
      <c r="C131" s="56" t="s">
        <v>1394</v>
      </c>
      <c r="D131" s="56" t="s">
        <v>41</v>
      </c>
      <c r="E131" s="57">
        <v>-227500</v>
      </c>
      <c r="F131" s="58">
        <v>-209.8005</v>
      </c>
      <c r="G131" s="59">
        <v>-0.43994830500912419</v>
      </c>
    </row>
    <row r="132" spans="2:7" x14ac:dyDescent="0.2">
      <c r="B132" s="56" t="s">
        <v>1411</v>
      </c>
      <c r="C132" s="56" t="s">
        <v>1394</v>
      </c>
      <c r="D132" s="56" t="s">
        <v>84</v>
      </c>
      <c r="E132" s="57">
        <v>-3375</v>
      </c>
      <c r="F132" s="58">
        <v>-33.014249999999997</v>
      </c>
      <c r="G132" s="59">
        <v>-6.9230356117585407E-2</v>
      </c>
    </row>
    <row r="133" spans="2:7" x14ac:dyDescent="0.2">
      <c r="B133" s="56" t="s">
        <v>1455</v>
      </c>
      <c r="C133" s="56" t="s">
        <v>1394</v>
      </c>
      <c r="D133" s="56" t="s">
        <v>100</v>
      </c>
      <c r="E133" s="57">
        <v>-22400</v>
      </c>
      <c r="F133" s="58">
        <v>-357.30239999999998</v>
      </c>
      <c r="G133" s="59">
        <v>-0.74925743864143357</v>
      </c>
    </row>
    <row r="134" spans="2:7" x14ac:dyDescent="0.2">
      <c r="B134" s="56" t="s">
        <v>1473</v>
      </c>
      <c r="C134" s="56" t="s">
        <v>1394</v>
      </c>
      <c r="D134" s="56" t="s">
        <v>79</v>
      </c>
      <c r="E134" s="57">
        <v>-53125</v>
      </c>
      <c r="F134" s="58">
        <v>-1583.65625</v>
      </c>
      <c r="G134" s="59">
        <v>-3.3209019182728632</v>
      </c>
    </row>
    <row r="135" spans="2:7" x14ac:dyDescent="0.2">
      <c r="B135" s="56" t="s">
        <v>1393</v>
      </c>
      <c r="C135" s="56" t="s">
        <v>1394</v>
      </c>
      <c r="D135" s="56" t="s">
        <v>458</v>
      </c>
      <c r="E135" s="57">
        <v>-525</v>
      </c>
      <c r="F135" s="58">
        <v>-5.2444875</v>
      </c>
      <c r="G135" s="59">
        <v>-1.0997606708594778E-2</v>
      </c>
    </row>
    <row r="136" spans="2:7" x14ac:dyDescent="0.2">
      <c r="B136" s="56" t="s">
        <v>1396</v>
      </c>
      <c r="C136" s="56" t="s">
        <v>1394</v>
      </c>
      <c r="D136" s="56" t="s">
        <v>38</v>
      </c>
      <c r="E136" s="57">
        <v>-50</v>
      </c>
      <c r="F136" s="58">
        <v>-6.7320000000000002</v>
      </c>
      <c r="G136" s="59">
        <v>-1.4116896715314901E-2</v>
      </c>
    </row>
    <row r="137" spans="2:7" x14ac:dyDescent="0.2">
      <c r="B137" s="56" t="s">
        <v>1450</v>
      </c>
      <c r="C137" s="56" t="s">
        <v>1394</v>
      </c>
      <c r="D137" s="56" t="s">
        <v>38</v>
      </c>
      <c r="E137" s="57">
        <v>-2000</v>
      </c>
      <c r="F137" s="58">
        <v>-267.72000000000003</v>
      </c>
      <c r="G137" s="59">
        <v>-0.56140457347357475</v>
      </c>
    </row>
    <row r="138" spans="2:7" x14ac:dyDescent="0.2">
      <c r="B138" s="56" t="s">
        <v>1424</v>
      </c>
      <c r="C138" s="56" t="s">
        <v>1394</v>
      </c>
      <c r="D138" s="56" t="s">
        <v>38</v>
      </c>
      <c r="E138" s="57">
        <v>-2600</v>
      </c>
      <c r="F138" s="58">
        <v>-81.520399999999995</v>
      </c>
      <c r="G138" s="59">
        <v>-0.17094697964812192</v>
      </c>
    </row>
    <row r="139" spans="2:7" x14ac:dyDescent="0.2">
      <c r="B139" s="56" t="s">
        <v>1405</v>
      </c>
      <c r="C139" s="56" t="s">
        <v>1394</v>
      </c>
      <c r="D139" s="56" t="s">
        <v>38</v>
      </c>
      <c r="E139" s="57">
        <v>-600</v>
      </c>
      <c r="F139" s="58">
        <v>-18.690000000000001</v>
      </c>
      <c r="G139" s="59">
        <v>-3.9192632146351082E-2</v>
      </c>
    </row>
    <row r="140" spans="2:7" x14ac:dyDescent="0.2">
      <c r="B140" s="56" t="s">
        <v>1426</v>
      </c>
      <c r="C140" s="56" t="s">
        <v>1394</v>
      </c>
      <c r="D140" s="56" t="s">
        <v>41</v>
      </c>
      <c r="E140" s="57">
        <v>-2100</v>
      </c>
      <c r="F140" s="58">
        <v>-84.791700000000006</v>
      </c>
      <c r="G140" s="59">
        <v>-0.17780684361496829</v>
      </c>
    </row>
    <row r="141" spans="2:7" x14ac:dyDescent="0.2">
      <c r="B141" s="56" t="s">
        <v>1575</v>
      </c>
      <c r="C141" s="56" t="s">
        <v>1394</v>
      </c>
      <c r="D141" s="56" t="s">
        <v>534</v>
      </c>
      <c r="E141" s="57">
        <v>-12600</v>
      </c>
      <c r="F141" s="58">
        <v>-113.7024</v>
      </c>
      <c r="G141" s="59">
        <v>-0.23843212077888012</v>
      </c>
    </row>
    <row r="142" spans="2:7" x14ac:dyDescent="0.2">
      <c r="B142" s="56" t="s">
        <v>1442</v>
      </c>
      <c r="C142" s="56" t="s">
        <v>1394</v>
      </c>
      <c r="D142" s="56" t="s">
        <v>165</v>
      </c>
      <c r="E142" s="57">
        <v>-34000</v>
      </c>
      <c r="F142" s="58">
        <v>-189.72</v>
      </c>
      <c r="G142" s="59">
        <v>-0.39783981652251083</v>
      </c>
    </row>
    <row r="143" spans="2:7" x14ac:dyDescent="0.2">
      <c r="B143" s="56" t="s">
        <v>1446</v>
      </c>
      <c r="C143" s="56" t="s">
        <v>1394</v>
      </c>
      <c r="D143" s="56" t="s">
        <v>94</v>
      </c>
      <c r="E143" s="57">
        <v>-22950</v>
      </c>
      <c r="F143" s="58">
        <v>-254.159775</v>
      </c>
      <c r="G143" s="59">
        <v>-0.53296899775143702</v>
      </c>
    </row>
    <row r="144" spans="2:7" x14ac:dyDescent="0.2">
      <c r="B144" s="56" t="s">
        <v>1470</v>
      </c>
      <c r="C144" s="56" t="s">
        <v>1394</v>
      </c>
      <c r="D144" s="56" t="s">
        <v>28</v>
      </c>
      <c r="E144" s="57">
        <v>-260000</v>
      </c>
      <c r="F144" s="58">
        <v>-1008.15</v>
      </c>
      <c r="G144" s="59">
        <v>-2.1140744835925007</v>
      </c>
    </row>
    <row r="145" spans="2:7" x14ac:dyDescent="0.2">
      <c r="B145" s="56" t="s">
        <v>1467</v>
      </c>
      <c r="C145" s="56" t="s">
        <v>1394</v>
      </c>
      <c r="D145" s="56" t="s">
        <v>28</v>
      </c>
      <c r="E145" s="57">
        <v>-186000</v>
      </c>
      <c r="F145" s="58">
        <v>-717.774</v>
      </c>
      <c r="G145" s="59">
        <v>-1.5051606391768326</v>
      </c>
    </row>
    <row r="146" spans="2:7" x14ac:dyDescent="0.2">
      <c r="B146" s="56" t="s">
        <v>1459</v>
      </c>
      <c r="C146" s="56" t="s">
        <v>1394</v>
      </c>
      <c r="D146" s="56" t="s">
        <v>64</v>
      </c>
      <c r="E146" s="57">
        <v>-40500</v>
      </c>
      <c r="F146" s="58">
        <v>-514.47149999999999</v>
      </c>
      <c r="G146" s="59">
        <v>-1.0788385366121702</v>
      </c>
    </row>
    <row r="147" spans="2:7" x14ac:dyDescent="0.2">
      <c r="B147" s="56" t="s">
        <v>1454</v>
      </c>
      <c r="C147" s="56" t="s">
        <v>1394</v>
      </c>
      <c r="D147" s="56" t="s">
        <v>165</v>
      </c>
      <c r="E147" s="57">
        <v>-138650</v>
      </c>
      <c r="F147" s="58">
        <v>-342.63188000000002</v>
      </c>
      <c r="G147" s="59">
        <v>-0.71849359199853968</v>
      </c>
    </row>
    <row r="148" spans="2:7" x14ac:dyDescent="0.2">
      <c r="B148" s="56" t="s">
        <v>1471</v>
      </c>
      <c r="C148" s="56" t="s">
        <v>1394</v>
      </c>
      <c r="D148" s="56" t="s">
        <v>61</v>
      </c>
      <c r="E148" s="57">
        <v>-377600</v>
      </c>
      <c r="F148" s="58">
        <v>-1192.2719999999999</v>
      </c>
      <c r="G148" s="59">
        <v>-2.5001753833276781</v>
      </c>
    </row>
    <row r="149" spans="2:7" x14ac:dyDescent="0.2">
      <c r="B149" s="56" t="s">
        <v>1438</v>
      </c>
      <c r="C149" s="56" t="s">
        <v>1394</v>
      </c>
      <c r="D149" s="56" t="s">
        <v>44</v>
      </c>
      <c r="E149" s="57">
        <v>-112125</v>
      </c>
      <c r="F149" s="58">
        <v>-160.47329999999999</v>
      </c>
      <c r="G149" s="59">
        <v>-0.33650995271327133</v>
      </c>
    </row>
    <row r="150" spans="2:7" x14ac:dyDescent="0.2">
      <c r="B150" s="56" t="s">
        <v>1406</v>
      </c>
      <c r="C150" s="56" t="s">
        <v>1394</v>
      </c>
      <c r="D150" s="56" t="s">
        <v>28</v>
      </c>
      <c r="E150" s="57">
        <v>-2100</v>
      </c>
      <c r="F150" s="58">
        <v>-19.34835</v>
      </c>
      <c r="G150" s="59">
        <v>-4.0573181604539967E-2</v>
      </c>
    </row>
    <row r="151" spans="2:7" x14ac:dyDescent="0.2">
      <c r="B151" s="56" t="s">
        <v>1430</v>
      </c>
      <c r="C151" s="56" t="s">
        <v>1394</v>
      </c>
      <c r="D151" s="56" t="s">
        <v>497</v>
      </c>
      <c r="E151" s="57">
        <v>-16000</v>
      </c>
      <c r="F151" s="58">
        <v>-102.4</v>
      </c>
      <c r="G151" s="59">
        <v>-0.21473116809985823</v>
      </c>
    </row>
    <row r="152" spans="2:7" x14ac:dyDescent="0.2">
      <c r="B152" s="56" t="s">
        <v>1449</v>
      </c>
      <c r="C152" s="56" t="s">
        <v>1394</v>
      </c>
      <c r="D152" s="56" t="s">
        <v>28</v>
      </c>
      <c r="E152" s="57">
        <v>-371000</v>
      </c>
      <c r="F152" s="58">
        <v>-259.92259999999999</v>
      </c>
      <c r="G152" s="59">
        <v>-0.54505354993703337</v>
      </c>
    </row>
    <row r="153" spans="2:7" x14ac:dyDescent="0.2">
      <c r="B153" s="56" t="s">
        <v>1413</v>
      </c>
      <c r="C153" s="56" t="s">
        <v>1394</v>
      </c>
      <c r="D153" s="56" t="s">
        <v>33</v>
      </c>
      <c r="E153" s="57">
        <v>-357375</v>
      </c>
      <c r="F153" s="58">
        <v>-36.9168375</v>
      </c>
      <c r="G153" s="59">
        <v>-7.7414019911402843E-2</v>
      </c>
    </row>
    <row r="154" spans="2:7" x14ac:dyDescent="0.2">
      <c r="B154" s="56" t="s">
        <v>1456</v>
      </c>
      <c r="C154" s="56" t="s">
        <v>1394</v>
      </c>
      <c r="D154" s="56" t="s">
        <v>33</v>
      </c>
      <c r="E154" s="57">
        <v>-3573750</v>
      </c>
      <c r="F154" s="58">
        <v>-366.66674999999998</v>
      </c>
      <c r="G154" s="59">
        <v>-0.7688943313562373</v>
      </c>
    </row>
    <row r="155" spans="2:7" x14ac:dyDescent="0.2">
      <c r="B155" s="56" t="s">
        <v>1401</v>
      </c>
      <c r="C155" s="56" t="s">
        <v>1394</v>
      </c>
      <c r="D155" s="56" t="s">
        <v>100</v>
      </c>
      <c r="E155" s="57">
        <v>-2775</v>
      </c>
      <c r="F155" s="58">
        <v>-14.319000000000001</v>
      </c>
      <c r="G155" s="59">
        <v>-3.0026714804901076E-2</v>
      </c>
    </row>
    <row r="156" spans="2:7" x14ac:dyDescent="0.2">
      <c r="B156" s="56" t="s">
        <v>1453</v>
      </c>
      <c r="C156" s="56" t="s">
        <v>1394</v>
      </c>
      <c r="D156" s="56" t="s">
        <v>28</v>
      </c>
      <c r="E156" s="57">
        <v>-25200</v>
      </c>
      <c r="F156" s="58">
        <v>-322.18200000000002</v>
      </c>
      <c r="G156" s="59">
        <v>-0.67561051953855988</v>
      </c>
    </row>
    <row r="157" spans="2:7" x14ac:dyDescent="0.2">
      <c r="B157" s="56" t="s">
        <v>1476</v>
      </c>
      <c r="C157" s="56" t="s">
        <v>1394</v>
      </c>
      <c r="D157" s="56" t="s">
        <v>28</v>
      </c>
      <c r="E157" s="57">
        <v>-178500</v>
      </c>
      <c r="F157" s="58">
        <v>-2268.1995000000002</v>
      </c>
      <c r="G157" s="59">
        <v>-4.7563782042823677</v>
      </c>
    </row>
    <row r="158" spans="2:7" x14ac:dyDescent="0.2">
      <c r="B158" s="56" t="s">
        <v>1398</v>
      </c>
      <c r="C158" s="56" t="s">
        <v>1394</v>
      </c>
      <c r="D158" s="56" t="s">
        <v>435</v>
      </c>
      <c r="E158" s="57">
        <v>-700</v>
      </c>
      <c r="F158" s="58">
        <v>-7.2961</v>
      </c>
      <c r="G158" s="59">
        <v>-1.529980542552125E-2</v>
      </c>
    </row>
    <row r="159" spans="2:7" x14ac:dyDescent="0.2">
      <c r="B159" s="56" t="s">
        <v>1439</v>
      </c>
      <c r="C159" s="56" t="s">
        <v>1394</v>
      </c>
      <c r="D159" s="56" t="s">
        <v>100</v>
      </c>
      <c r="E159" s="57">
        <v>-29700</v>
      </c>
      <c r="F159" s="58">
        <v>-175.23</v>
      </c>
      <c r="G159" s="59">
        <v>-0.36745451744275548</v>
      </c>
    </row>
    <row r="160" spans="2:7" x14ac:dyDescent="0.2">
      <c r="B160" s="56" t="s">
        <v>1477</v>
      </c>
      <c r="C160" s="56" t="s">
        <v>1394</v>
      </c>
      <c r="D160" s="56" t="s">
        <v>28</v>
      </c>
      <c r="E160" s="57">
        <v>-314600</v>
      </c>
      <c r="F160" s="58">
        <v>-2441.6106</v>
      </c>
      <c r="G160" s="59">
        <v>-5.1200185174120687</v>
      </c>
    </row>
    <row r="161" spans="2:7" x14ac:dyDescent="0.2">
      <c r="B161" s="56" t="s">
        <v>1408</v>
      </c>
      <c r="C161" s="56" t="s">
        <v>1394</v>
      </c>
      <c r="D161" s="56" t="s">
        <v>79</v>
      </c>
      <c r="E161" s="57">
        <v>-900</v>
      </c>
      <c r="F161" s="58">
        <v>-24.567299999999999</v>
      </c>
      <c r="G161" s="59">
        <v>-5.1517236582613743E-2</v>
      </c>
    </row>
    <row r="162" spans="2:7" x14ac:dyDescent="0.2">
      <c r="B162" s="56" t="s">
        <v>1427</v>
      </c>
      <c r="C162" s="56" t="s">
        <v>1394</v>
      </c>
      <c r="D162" s="56" t="s">
        <v>432</v>
      </c>
      <c r="E162" s="57">
        <v>-2250</v>
      </c>
      <c r="F162" s="58">
        <v>-98.194500000000005</v>
      </c>
      <c r="G162" s="59">
        <v>-0.20591230162091337</v>
      </c>
    </row>
    <row r="163" spans="2:7" x14ac:dyDescent="0.2">
      <c r="B163" s="56" t="s">
        <v>1441</v>
      </c>
      <c r="C163" s="56" t="s">
        <v>1394</v>
      </c>
      <c r="D163" s="56" t="s">
        <v>122</v>
      </c>
      <c r="E163" s="57">
        <v>-6750</v>
      </c>
      <c r="F163" s="58">
        <v>-189.18899999999999</v>
      </c>
      <c r="G163" s="59">
        <v>-0.39672631798480551</v>
      </c>
    </row>
    <row r="164" spans="2:7" x14ac:dyDescent="0.2">
      <c r="B164" s="56" t="s">
        <v>1451</v>
      </c>
      <c r="C164" s="56" t="s">
        <v>1394</v>
      </c>
      <c r="D164" s="56" t="s">
        <v>534</v>
      </c>
      <c r="E164" s="57">
        <v>-15675</v>
      </c>
      <c r="F164" s="58">
        <v>-288.57675</v>
      </c>
      <c r="G164" s="59">
        <v>-0.60514084583946059</v>
      </c>
    </row>
    <row r="165" spans="2:7" x14ac:dyDescent="0.2">
      <c r="B165" s="56" t="s">
        <v>1403</v>
      </c>
      <c r="C165" s="56" t="s">
        <v>1394</v>
      </c>
      <c r="D165" s="56" t="s">
        <v>522</v>
      </c>
      <c r="E165" s="57">
        <v>-1500</v>
      </c>
      <c r="F165" s="58">
        <v>-15.972</v>
      </c>
      <c r="G165" s="59">
        <v>-3.3493029461825544E-2</v>
      </c>
    </row>
    <row r="166" spans="2:7" x14ac:dyDescent="0.2">
      <c r="B166" s="56" t="s">
        <v>1402</v>
      </c>
      <c r="C166" s="56" t="s">
        <v>1394</v>
      </c>
      <c r="D166" s="56" t="s">
        <v>517</v>
      </c>
      <c r="E166" s="57">
        <v>-9450</v>
      </c>
      <c r="F166" s="58">
        <v>-15.48288</v>
      </c>
      <c r="G166" s="59">
        <v>-3.2467352616698565E-2</v>
      </c>
    </row>
    <row r="167" spans="2:7" x14ac:dyDescent="0.2">
      <c r="B167" s="56" t="s">
        <v>1437</v>
      </c>
      <c r="C167" s="56" t="s">
        <v>1394</v>
      </c>
      <c r="D167" s="56" t="s">
        <v>28</v>
      </c>
      <c r="E167" s="57">
        <v>-52500</v>
      </c>
      <c r="F167" s="58">
        <v>-151.095</v>
      </c>
      <c r="G167" s="59">
        <v>-0.31684380707078208</v>
      </c>
    </row>
    <row r="168" spans="2:7" x14ac:dyDescent="0.2">
      <c r="B168" s="56" t="s">
        <v>1404</v>
      </c>
      <c r="C168" s="56" t="s">
        <v>1394</v>
      </c>
      <c r="D168" s="56" t="s">
        <v>84</v>
      </c>
      <c r="E168" s="57">
        <v>-7275</v>
      </c>
      <c r="F168" s="58">
        <v>-18.075465000000001</v>
      </c>
      <c r="G168" s="59">
        <v>-3.7903962044903365E-2</v>
      </c>
    </row>
    <row r="169" spans="2:7" x14ac:dyDescent="0.2">
      <c r="B169" s="56" t="s">
        <v>1407</v>
      </c>
      <c r="C169" s="56" t="s">
        <v>1394</v>
      </c>
      <c r="D169" s="56" t="s">
        <v>38</v>
      </c>
      <c r="E169" s="57">
        <v>-300</v>
      </c>
      <c r="F169" s="58">
        <v>-21.446999999999999</v>
      </c>
      <c r="G169" s="59">
        <v>-4.4974017209352152E-2</v>
      </c>
    </row>
    <row r="170" spans="2:7" x14ac:dyDescent="0.2">
      <c r="B170" s="56" t="s">
        <v>1444</v>
      </c>
      <c r="C170" s="56" t="s">
        <v>1394</v>
      </c>
      <c r="D170" s="56" t="s">
        <v>534</v>
      </c>
      <c r="E170" s="57">
        <v>-35475</v>
      </c>
      <c r="F170" s="58">
        <v>-209.42666249999999</v>
      </c>
      <c r="G170" s="59">
        <v>-0.43916437372929479</v>
      </c>
    </row>
    <row r="171" spans="2:7" x14ac:dyDescent="0.2">
      <c r="B171" s="56" t="s">
        <v>1414</v>
      </c>
      <c r="C171" s="56" t="s">
        <v>1394</v>
      </c>
      <c r="D171" s="56" t="s">
        <v>122</v>
      </c>
      <c r="E171" s="57">
        <v>-1950</v>
      </c>
      <c r="F171" s="58">
        <v>-37.371749999999999</v>
      </c>
      <c r="G171" s="59">
        <v>-7.8367964174178489E-2</v>
      </c>
    </row>
    <row r="172" spans="2:7" x14ac:dyDescent="0.2">
      <c r="B172" s="56" t="s">
        <v>1400</v>
      </c>
      <c r="C172" s="56" t="s">
        <v>1394</v>
      </c>
      <c r="D172" s="56" t="s">
        <v>522</v>
      </c>
      <c r="E172" s="57">
        <v>-2500</v>
      </c>
      <c r="F172" s="58">
        <v>-11.102499999999999</v>
      </c>
      <c r="G172" s="59">
        <v>-2.3281765564733166E-2</v>
      </c>
    </row>
    <row r="173" spans="2:7" x14ac:dyDescent="0.2">
      <c r="B173" s="56" t="s">
        <v>1425</v>
      </c>
      <c r="C173" s="56" t="s">
        <v>1394</v>
      </c>
      <c r="D173" s="56" t="s">
        <v>87</v>
      </c>
      <c r="E173" s="57">
        <v>-30600</v>
      </c>
      <c r="F173" s="58">
        <v>-83.590019999999996</v>
      </c>
      <c r="G173" s="59">
        <v>-0.17528693980557142</v>
      </c>
    </row>
    <row r="174" spans="2:7" x14ac:dyDescent="0.2">
      <c r="B174" s="56" t="s">
        <v>1420</v>
      </c>
      <c r="C174" s="56" t="s">
        <v>1394</v>
      </c>
      <c r="D174" s="56" t="s">
        <v>94</v>
      </c>
      <c r="E174" s="57">
        <v>-4875</v>
      </c>
      <c r="F174" s="58">
        <v>-64.116</v>
      </c>
      <c r="G174" s="59">
        <v>-0.13445023021377453</v>
      </c>
    </row>
    <row r="175" spans="2:7" x14ac:dyDescent="0.2">
      <c r="B175" s="56" t="s">
        <v>1468</v>
      </c>
      <c r="C175" s="56" t="s">
        <v>1394</v>
      </c>
      <c r="D175" s="56" t="s">
        <v>28</v>
      </c>
      <c r="E175" s="57">
        <v>-573750</v>
      </c>
      <c r="F175" s="58">
        <v>-777.14437499999997</v>
      </c>
      <c r="G175" s="59">
        <v>-1.6296593693943779</v>
      </c>
    </row>
    <row r="176" spans="2:7" x14ac:dyDescent="0.2">
      <c r="B176" s="56" t="s">
        <v>1417</v>
      </c>
      <c r="C176" s="56" t="s">
        <v>1394</v>
      </c>
      <c r="D176" s="56" t="s">
        <v>53</v>
      </c>
      <c r="E176" s="57">
        <v>-875</v>
      </c>
      <c r="F176" s="58">
        <v>-50.281874999999999</v>
      </c>
      <c r="G176" s="59">
        <v>-0.10544029055665098</v>
      </c>
    </row>
    <row r="177" spans="2:7" x14ac:dyDescent="0.2">
      <c r="B177" s="56" t="s">
        <v>1469</v>
      </c>
      <c r="C177" s="56" t="s">
        <v>1394</v>
      </c>
      <c r="D177" s="56" t="s">
        <v>44</v>
      </c>
      <c r="E177" s="57">
        <v>-298225</v>
      </c>
      <c r="F177" s="58">
        <v>-901.534175</v>
      </c>
      <c r="G177" s="59">
        <v>-1.8905027976532425</v>
      </c>
    </row>
    <row r="178" spans="2:7" x14ac:dyDescent="0.2">
      <c r="B178" s="56" t="s">
        <v>1464</v>
      </c>
      <c r="C178" s="56" t="s">
        <v>1394</v>
      </c>
      <c r="D178" s="56" t="s">
        <v>500</v>
      </c>
      <c r="E178" s="57">
        <v>-178500</v>
      </c>
      <c r="F178" s="58">
        <v>-632.81820000000005</v>
      </c>
      <c r="G178" s="59">
        <v>-1.3270096804770481</v>
      </c>
    </row>
    <row r="179" spans="2:7" x14ac:dyDescent="0.2">
      <c r="B179" s="56" t="s">
        <v>1443</v>
      </c>
      <c r="C179" s="56" t="s">
        <v>1394</v>
      </c>
      <c r="D179" s="56" t="s">
        <v>33</v>
      </c>
      <c r="E179" s="57">
        <v>-10450</v>
      </c>
      <c r="F179" s="58">
        <v>-199.39644999999999</v>
      </c>
      <c r="G179" s="59">
        <v>-0.41813117796352522</v>
      </c>
    </row>
    <row r="180" spans="2:7" x14ac:dyDescent="0.2">
      <c r="B180" s="56" t="s">
        <v>1474</v>
      </c>
      <c r="C180" s="56" t="s">
        <v>1394</v>
      </c>
      <c r="D180" s="56" t="s">
        <v>33</v>
      </c>
      <c r="E180" s="57">
        <v>-90725</v>
      </c>
      <c r="F180" s="58">
        <v>-1720.5089</v>
      </c>
      <c r="G180" s="59">
        <v>-3.6078797443672093</v>
      </c>
    </row>
    <row r="181" spans="2:7" x14ac:dyDescent="0.2">
      <c r="B181" s="56" t="s">
        <v>1461</v>
      </c>
      <c r="C181" s="56" t="s">
        <v>1394</v>
      </c>
      <c r="D181" s="56" t="s">
        <v>432</v>
      </c>
      <c r="E181" s="57">
        <v>-125400</v>
      </c>
      <c r="F181" s="58">
        <v>-544.17330000000004</v>
      </c>
      <c r="G181" s="59">
        <v>-1.1411227378686972</v>
      </c>
    </row>
    <row r="182" spans="2:7" x14ac:dyDescent="0.2">
      <c r="B182" s="56" t="s">
        <v>1460</v>
      </c>
      <c r="C182" s="56" t="s">
        <v>1394</v>
      </c>
      <c r="D182" s="56" t="s">
        <v>28</v>
      </c>
      <c r="E182" s="57">
        <v>-201825</v>
      </c>
      <c r="F182" s="58">
        <v>-535.03807500000005</v>
      </c>
      <c r="G182" s="59">
        <v>-1.1219663166274372</v>
      </c>
    </row>
    <row r="183" spans="2:7" x14ac:dyDescent="0.2">
      <c r="B183" s="56" t="s">
        <v>1431</v>
      </c>
      <c r="C183" s="56" t="s">
        <v>1394</v>
      </c>
      <c r="D183" s="56" t="s">
        <v>165</v>
      </c>
      <c r="E183" s="57">
        <v>-11250</v>
      </c>
      <c r="F183" s="58">
        <v>-105.9975</v>
      </c>
      <c r="G183" s="59">
        <v>-0.22227506826821022</v>
      </c>
    </row>
    <row r="184" spans="2:7" x14ac:dyDescent="0.2">
      <c r="B184" s="56" t="s">
        <v>1452</v>
      </c>
      <c r="C184" s="56" t="s">
        <v>1394</v>
      </c>
      <c r="D184" s="56" t="s">
        <v>165</v>
      </c>
      <c r="E184" s="57">
        <v>-32250</v>
      </c>
      <c r="F184" s="58">
        <v>-303.90787499999999</v>
      </c>
      <c r="G184" s="59">
        <v>-0.63728997063960657</v>
      </c>
    </row>
    <row r="185" spans="2:7" x14ac:dyDescent="0.2">
      <c r="B185" s="56" t="s">
        <v>1421</v>
      </c>
      <c r="C185" s="56" t="s">
        <v>1394</v>
      </c>
      <c r="D185" s="56" t="s">
        <v>165</v>
      </c>
      <c r="E185" s="57">
        <v>-4250</v>
      </c>
      <c r="F185" s="58">
        <v>-74.477000000000004</v>
      </c>
      <c r="G185" s="59">
        <v>-0.15617708209544084</v>
      </c>
    </row>
    <row r="186" spans="2:7" x14ac:dyDescent="0.2">
      <c r="B186" s="56" t="s">
        <v>1458</v>
      </c>
      <c r="C186" s="56" t="s">
        <v>1394</v>
      </c>
      <c r="D186" s="56" t="s">
        <v>28</v>
      </c>
      <c r="E186" s="57">
        <v>-33750</v>
      </c>
      <c r="F186" s="58">
        <v>-433.24874999999997</v>
      </c>
      <c r="G186" s="59">
        <v>-0.90851572427054161</v>
      </c>
    </row>
    <row r="187" spans="2:7" x14ac:dyDescent="0.2">
      <c r="B187" s="56" t="s">
        <v>1447</v>
      </c>
      <c r="C187" s="56" t="s">
        <v>1394</v>
      </c>
      <c r="D187" s="56" t="s">
        <v>28</v>
      </c>
      <c r="E187" s="57">
        <v>-20000</v>
      </c>
      <c r="F187" s="58">
        <v>-255.18</v>
      </c>
      <c r="G187" s="59">
        <v>-0.53510839331759608</v>
      </c>
    </row>
    <row r="188" spans="2:7" x14ac:dyDescent="0.2">
      <c r="B188" s="56" t="s">
        <v>1465</v>
      </c>
      <c r="C188" s="56" t="s">
        <v>1394</v>
      </c>
      <c r="D188" s="56" t="s">
        <v>28</v>
      </c>
      <c r="E188" s="57">
        <v>-69000</v>
      </c>
      <c r="F188" s="58">
        <v>-704.59349999999995</v>
      </c>
      <c r="G188" s="59">
        <v>-1.4775213407281982</v>
      </c>
    </row>
    <row r="189" spans="2:7" x14ac:dyDescent="0.2">
      <c r="B189" s="56" t="s">
        <v>1423</v>
      </c>
      <c r="C189" s="56" t="s">
        <v>1394</v>
      </c>
      <c r="D189" s="56" t="s">
        <v>87</v>
      </c>
      <c r="E189" s="57">
        <v>-3250</v>
      </c>
      <c r="F189" s="58">
        <v>-79.858999999999995</v>
      </c>
      <c r="G189" s="59">
        <v>-0.16746305032506426</v>
      </c>
    </row>
    <row r="190" spans="2:7" x14ac:dyDescent="0.2">
      <c r="B190" s="56" t="s">
        <v>1416</v>
      </c>
      <c r="C190" s="56" t="s">
        <v>1394</v>
      </c>
      <c r="D190" s="56" t="s">
        <v>122</v>
      </c>
      <c r="E190" s="57">
        <v>-9450</v>
      </c>
      <c r="F190" s="58">
        <v>-42.2226</v>
      </c>
      <c r="G190" s="59">
        <v>-8.8540119318487057E-2</v>
      </c>
    </row>
    <row r="191" spans="2:7" x14ac:dyDescent="0.2">
      <c r="B191" s="56" t="s">
        <v>1410</v>
      </c>
      <c r="C191" s="56" t="s">
        <v>1394</v>
      </c>
      <c r="D191" s="56" t="s">
        <v>442</v>
      </c>
      <c r="E191" s="57">
        <v>-1900</v>
      </c>
      <c r="F191" s="58">
        <v>-31.595099999999999</v>
      </c>
      <c r="G191" s="59">
        <v>-6.6254421183904608E-2</v>
      </c>
    </row>
    <row r="192" spans="2:7" x14ac:dyDescent="0.2">
      <c r="B192" s="56" t="s">
        <v>1478</v>
      </c>
      <c r="C192" s="56" t="s">
        <v>1394</v>
      </c>
      <c r="D192" s="56" t="s">
        <v>135</v>
      </c>
      <c r="E192" s="57">
        <v>-106296</v>
      </c>
      <c r="F192" s="58">
        <v>-2574.2765280000003</v>
      </c>
      <c r="G192" s="59">
        <v>-5.3982168541942137</v>
      </c>
    </row>
    <row r="193" spans="2:7" ht="10.5" x14ac:dyDescent="0.25">
      <c r="B193" s="53"/>
      <c r="C193" s="53"/>
      <c r="D193" s="53"/>
      <c r="E193" s="53"/>
      <c r="F193" s="54">
        <f>SUM(F107:F192)</f>
        <v>-31697.231220500005</v>
      </c>
      <c r="G193" s="55">
        <f>SUM(G107:G192)</f>
        <v>-66.468588725676369</v>
      </c>
    </row>
    <row r="195" spans="2:7" ht="10.5" x14ac:dyDescent="0.25">
      <c r="B195" s="23" t="s">
        <v>1480</v>
      </c>
    </row>
    <row r="197" spans="2:7" ht="10.5" x14ac:dyDescent="0.2">
      <c r="B197" s="70" t="s">
        <v>186</v>
      </c>
    </row>
    <row r="198" spans="2:7" ht="10.5" x14ac:dyDescent="0.2">
      <c r="B198" s="70"/>
    </row>
    <row r="199" spans="2:7" x14ac:dyDescent="0.2">
      <c r="B199" s="81" t="s">
        <v>1497</v>
      </c>
    </row>
    <row r="200" spans="2:7" x14ac:dyDescent="0.2">
      <c r="B200" s="81" t="s">
        <v>1515</v>
      </c>
    </row>
    <row r="201" spans="2:7" x14ac:dyDescent="0.2">
      <c r="B201" s="81" t="s">
        <v>1516</v>
      </c>
    </row>
    <row r="202" spans="2:7" ht="10.5" x14ac:dyDescent="0.2">
      <c r="B202" s="70"/>
    </row>
    <row r="203" spans="2:7" ht="10.5" x14ac:dyDescent="0.2">
      <c r="B203" s="88" t="s">
        <v>1499</v>
      </c>
      <c r="C203" s="83" t="s">
        <v>1517</v>
      </c>
      <c r="D203" s="83" t="s">
        <v>1500</v>
      </c>
    </row>
    <row r="204" spans="2:7" x14ac:dyDescent="0.2">
      <c r="B204" s="85" t="s">
        <v>1501</v>
      </c>
      <c r="C204" s="94">
        <v>10.216799999999999</v>
      </c>
      <c r="D204" s="89">
        <v>10.2623</v>
      </c>
    </row>
    <row r="205" spans="2:7" ht="10.5" x14ac:dyDescent="0.2">
      <c r="B205" s="70"/>
    </row>
    <row r="206" spans="2:7" ht="10.5" x14ac:dyDescent="0.2">
      <c r="B206" s="70"/>
    </row>
    <row r="207" spans="2:7" ht="10.5" x14ac:dyDescent="0.2">
      <c r="B207" s="70"/>
    </row>
    <row r="208" spans="2:7" x14ac:dyDescent="0.2">
      <c r="B208" s="81" t="s">
        <v>1584</v>
      </c>
    </row>
    <row r="209" spans="2:6" x14ac:dyDescent="0.2">
      <c r="B209" s="81"/>
    </row>
    <row r="210" spans="2:6" ht="10.5" x14ac:dyDescent="0.2">
      <c r="B210" s="108" t="s">
        <v>1550</v>
      </c>
    </row>
    <row r="211" spans="2:6" x14ac:dyDescent="0.2">
      <c r="B211" s="87"/>
    </row>
    <row r="212" spans="2:6" x14ac:dyDescent="0.2">
      <c r="B212" s="113" t="s">
        <v>1574</v>
      </c>
      <c r="C212" s="112"/>
      <c r="D212" s="112"/>
      <c r="E212" s="112"/>
      <c r="F212" s="112"/>
    </row>
    <row r="213" spans="2:6" x14ac:dyDescent="0.2">
      <c r="B213" s="113"/>
      <c r="C213" s="112"/>
      <c r="D213" s="112"/>
      <c r="E213" s="112"/>
      <c r="F213" s="112"/>
    </row>
    <row r="214" spans="2:6" ht="21" x14ac:dyDescent="0.2">
      <c r="B214" s="133" t="s">
        <v>1519</v>
      </c>
      <c r="C214" s="134" t="s">
        <v>1520</v>
      </c>
      <c r="D214" s="134" t="s">
        <v>1521</v>
      </c>
      <c r="E214" s="134" t="s">
        <v>1522</v>
      </c>
      <c r="F214" s="134" t="s">
        <v>1523</v>
      </c>
    </row>
    <row r="215" spans="2:6" x14ac:dyDescent="0.2">
      <c r="B215" s="135" t="s">
        <v>1458</v>
      </c>
      <c r="C215" s="136" t="s">
        <v>1394</v>
      </c>
      <c r="D215" s="137">
        <v>1283.4740999999999</v>
      </c>
      <c r="E215" s="138">
        <v>1283.7</v>
      </c>
      <c r="F215" s="176">
        <v>121.42588625</v>
      </c>
    </row>
    <row r="216" spans="2:6" x14ac:dyDescent="0.2">
      <c r="B216" s="135" t="s">
        <v>1447</v>
      </c>
      <c r="C216" s="136" t="s">
        <v>1394</v>
      </c>
      <c r="D216" s="137">
        <v>1374.4749999999999</v>
      </c>
      <c r="E216" s="138">
        <v>1275.9000000000001</v>
      </c>
      <c r="F216" s="177"/>
    </row>
    <row r="217" spans="2:6" x14ac:dyDescent="0.2">
      <c r="B217" s="135" t="s">
        <v>1431</v>
      </c>
      <c r="C217" s="136" t="s">
        <v>1394</v>
      </c>
      <c r="D217" s="137">
        <v>941.18</v>
      </c>
      <c r="E217" s="138">
        <v>942.2</v>
      </c>
      <c r="F217" s="176">
        <v>78.823588125000001</v>
      </c>
    </row>
    <row r="218" spans="2:6" x14ac:dyDescent="0.2">
      <c r="B218" s="135" t="s">
        <v>1452</v>
      </c>
      <c r="C218" s="136" t="s">
        <v>1394</v>
      </c>
      <c r="D218" s="137">
        <v>893.75</v>
      </c>
      <c r="E218" s="138">
        <v>942.35</v>
      </c>
      <c r="F218" s="177"/>
    </row>
    <row r="219" spans="2:6" x14ac:dyDescent="0.2">
      <c r="B219" s="135" t="s">
        <v>1443</v>
      </c>
      <c r="C219" s="136" t="s">
        <v>1394</v>
      </c>
      <c r="D219" s="137">
        <v>1851.4364</v>
      </c>
      <c r="E219" s="138">
        <v>1908.1</v>
      </c>
      <c r="F219" s="176">
        <v>338.89036725</v>
      </c>
    </row>
    <row r="220" spans="2:6" x14ac:dyDescent="0.2">
      <c r="B220" s="135" t="s">
        <v>1474</v>
      </c>
      <c r="C220" s="136" t="s">
        <v>1394</v>
      </c>
      <c r="D220" s="137">
        <v>1851.1738</v>
      </c>
      <c r="E220" s="138">
        <v>1896.4</v>
      </c>
      <c r="F220" s="177"/>
    </row>
    <row r="221" spans="2:6" x14ac:dyDescent="0.2">
      <c r="B221" s="135" t="s">
        <v>1453</v>
      </c>
      <c r="C221" s="136" t="s">
        <v>1394</v>
      </c>
      <c r="D221" s="137">
        <v>1282.325</v>
      </c>
      <c r="E221" s="138">
        <v>1278.5</v>
      </c>
      <c r="F221" s="176">
        <v>456.98693250000002</v>
      </c>
    </row>
    <row r="222" spans="2:6" x14ac:dyDescent="0.2">
      <c r="B222" s="135" t="s">
        <v>1476</v>
      </c>
      <c r="C222" s="136" t="s">
        <v>1394</v>
      </c>
      <c r="D222" s="137">
        <v>1351.1322</v>
      </c>
      <c r="E222" s="138">
        <v>1270.7</v>
      </c>
      <c r="F222" s="177"/>
    </row>
    <row r="223" spans="2:6" x14ac:dyDescent="0.2">
      <c r="B223" s="135" t="s">
        <v>1413</v>
      </c>
      <c r="C223" s="136" t="s">
        <v>1394</v>
      </c>
      <c r="D223" s="137">
        <v>9.6539999999999999</v>
      </c>
      <c r="E223" s="138">
        <v>10.33</v>
      </c>
      <c r="F223" s="176">
        <v>189.13017368700002</v>
      </c>
    </row>
    <row r="224" spans="2:6" x14ac:dyDescent="0.2">
      <c r="B224" s="135" t="s">
        <v>1456</v>
      </c>
      <c r="C224" s="136" t="s">
        <v>1394</v>
      </c>
      <c r="D224" s="137">
        <v>9.4451999999999998</v>
      </c>
      <c r="E224" s="138">
        <v>10.26</v>
      </c>
      <c r="F224" s="177"/>
    </row>
    <row r="225" spans="2:6" x14ac:dyDescent="0.2">
      <c r="B225" s="135" t="s">
        <v>1470</v>
      </c>
      <c r="C225" s="136" t="s">
        <v>1394</v>
      </c>
      <c r="D225" s="137">
        <v>383.45</v>
      </c>
      <c r="E225" s="138">
        <v>387.75</v>
      </c>
      <c r="F225" s="176">
        <v>304.40593999999999</v>
      </c>
    </row>
    <row r="226" spans="2:6" x14ac:dyDescent="0.2">
      <c r="B226" s="135" t="s">
        <v>1467</v>
      </c>
      <c r="C226" s="136" t="s">
        <v>1394</v>
      </c>
      <c r="D226" s="137">
        <v>378.66180000000003</v>
      </c>
      <c r="E226" s="138">
        <v>385.9</v>
      </c>
      <c r="F226" s="177"/>
    </row>
    <row r="227" spans="2:6" x14ac:dyDescent="0.2">
      <c r="B227" s="135" t="s">
        <v>1424</v>
      </c>
      <c r="C227" s="136" t="s">
        <v>1394</v>
      </c>
      <c r="D227" s="137">
        <v>3130.7768999999998</v>
      </c>
      <c r="E227" s="138">
        <v>3135.4</v>
      </c>
      <c r="F227" s="176">
        <v>19.324683999999998</v>
      </c>
    </row>
    <row r="228" spans="2:6" x14ac:dyDescent="0.2">
      <c r="B228" s="135" t="s">
        <v>1405</v>
      </c>
      <c r="C228" s="136" t="s">
        <v>1394</v>
      </c>
      <c r="D228" s="137">
        <v>3243.1</v>
      </c>
      <c r="E228" s="138">
        <v>3115</v>
      </c>
      <c r="F228" s="177"/>
    </row>
    <row r="229" spans="2:6" x14ac:dyDescent="0.2">
      <c r="B229" s="135" t="s">
        <v>1396</v>
      </c>
      <c r="C229" s="136" t="s">
        <v>1394</v>
      </c>
      <c r="D229" s="137">
        <v>13262</v>
      </c>
      <c r="E229" s="138">
        <v>13464</v>
      </c>
      <c r="F229" s="176">
        <v>48.435079999999999</v>
      </c>
    </row>
    <row r="230" spans="2:6" x14ac:dyDescent="0.2">
      <c r="B230" s="135" t="s">
        <v>1450</v>
      </c>
      <c r="C230" s="136" t="s">
        <v>1394</v>
      </c>
      <c r="D230" s="137">
        <v>13330.8</v>
      </c>
      <c r="E230" s="138">
        <v>13386</v>
      </c>
      <c r="F230" s="177"/>
    </row>
    <row r="231" spans="2:6" x14ac:dyDescent="0.2">
      <c r="B231" s="135" t="s">
        <v>1462</v>
      </c>
      <c r="C231" s="136" t="s">
        <v>1394</v>
      </c>
      <c r="D231" s="137">
        <v>1360.6207999999999</v>
      </c>
      <c r="E231" s="138">
        <v>1444</v>
      </c>
      <c r="F231" s="176">
        <v>483.99354</v>
      </c>
    </row>
    <row r="232" spans="2:6" x14ac:dyDescent="0.2">
      <c r="B232" s="135" t="s">
        <v>1475</v>
      </c>
      <c r="C232" s="136" t="s">
        <v>1394</v>
      </c>
      <c r="D232" s="137">
        <v>1341.1351999999999</v>
      </c>
      <c r="E232" s="138">
        <v>1435.2</v>
      </c>
      <c r="F232" s="177"/>
    </row>
    <row r="233" spans="2:6" x14ac:dyDescent="0.2">
      <c r="B233" s="135" t="s">
        <v>1409</v>
      </c>
      <c r="C233" s="136" t="s">
        <v>1394</v>
      </c>
      <c r="D233" s="137">
        <v>11723.4</v>
      </c>
      <c r="E233" s="138">
        <v>11732</v>
      </c>
      <c r="F233" s="176">
        <v>15.451404999999999</v>
      </c>
    </row>
    <row r="234" spans="2:6" x14ac:dyDescent="0.2">
      <c r="B234" s="135" t="s">
        <v>1419</v>
      </c>
      <c r="C234" s="136" t="s">
        <v>1394</v>
      </c>
      <c r="D234" s="137">
        <v>11562.1</v>
      </c>
      <c r="E234" s="138">
        <v>11655</v>
      </c>
      <c r="F234" s="177"/>
    </row>
    <row r="235" spans="2:6" x14ac:dyDescent="0.2">
      <c r="B235" s="135" t="s">
        <v>1433</v>
      </c>
      <c r="C235" s="136" t="s">
        <v>1394</v>
      </c>
      <c r="D235" s="137">
        <v>20.193200000000001</v>
      </c>
      <c r="E235" s="138">
        <v>20.190000000000001</v>
      </c>
      <c r="F235" s="176">
        <v>168.94269510000001</v>
      </c>
    </row>
    <row r="236" spans="2:6" x14ac:dyDescent="0.2">
      <c r="B236" s="135" t="s">
        <v>1466</v>
      </c>
      <c r="C236" s="136" t="s">
        <v>1394</v>
      </c>
      <c r="D236" s="137">
        <v>18.970199999999998</v>
      </c>
      <c r="E236" s="138">
        <v>20.05</v>
      </c>
      <c r="F236" s="177"/>
    </row>
    <row r="237" spans="2:6" x14ac:dyDescent="0.2">
      <c r="B237" s="135" t="s">
        <v>1478</v>
      </c>
      <c r="C237" s="136" t="s">
        <v>1394</v>
      </c>
      <c r="D237" s="137">
        <v>2295.1502999999998</v>
      </c>
      <c r="E237" s="138">
        <v>2421.8000000000002</v>
      </c>
      <c r="F237" s="138">
        <v>647.77100847999998</v>
      </c>
    </row>
    <row r="238" spans="2:6" x14ac:dyDescent="0.2">
      <c r="B238" s="135" t="s">
        <v>1410</v>
      </c>
      <c r="C238" s="136" t="s">
        <v>1394</v>
      </c>
      <c r="D238" s="137">
        <v>1392</v>
      </c>
      <c r="E238" s="138">
        <v>1662.9</v>
      </c>
      <c r="F238" s="138">
        <v>6.6697885000000001</v>
      </c>
    </row>
    <row r="239" spans="2:6" x14ac:dyDescent="0.2">
      <c r="B239" s="135" t="s">
        <v>1416</v>
      </c>
      <c r="C239" s="136" t="s">
        <v>1394</v>
      </c>
      <c r="D239" s="137">
        <v>453.91109999999998</v>
      </c>
      <c r="E239" s="138">
        <v>446.8</v>
      </c>
      <c r="F239" s="138">
        <v>14.629361000000001</v>
      </c>
    </row>
    <row r="240" spans="2:6" x14ac:dyDescent="0.2">
      <c r="B240" s="135" t="s">
        <v>1423</v>
      </c>
      <c r="C240" s="136" t="s">
        <v>1394</v>
      </c>
      <c r="D240" s="137">
        <v>2247.277</v>
      </c>
      <c r="E240" s="138">
        <v>2457.1999999999998</v>
      </c>
      <c r="F240" s="138">
        <v>14.095644999999999</v>
      </c>
    </row>
    <row r="241" spans="2:6" x14ac:dyDescent="0.2">
      <c r="B241" s="135" t="s">
        <v>1465</v>
      </c>
      <c r="C241" s="136" t="s">
        <v>1394</v>
      </c>
      <c r="D241" s="137">
        <v>863.05290000000002</v>
      </c>
      <c r="E241" s="138">
        <v>1021.15</v>
      </c>
      <c r="F241" s="138">
        <v>143.5201725</v>
      </c>
    </row>
    <row r="242" spans="2:6" x14ac:dyDescent="0.2">
      <c r="B242" s="135" t="s">
        <v>1421</v>
      </c>
      <c r="C242" s="136" t="s">
        <v>1394</v>
      </c>
      <c r="D242" s="137">
        <v>1820.0293999999999</v>
      </c>
      <c r="E242" s="138">
        <v>1752.4</v>
      </c>
      <c r="F242" s="138">
        <v>13.169225000000001</v>
      </c>
    </row>
    <row r="243" spans="2:6" x14ac:dyDescent="0.2">
      <c r="B243" s="135" t="s">
        <v>1460</v>
      </c>
      <c r="C243" s="136" t="s">
        <v>1394</v>
      </c>
      <c r="D243" s="137">
        <v>272.16070000000002</v>
      </c>
      <c r="E243" s="138">
        <v>265.10000000000002</v>
      </c>
      <c r="F243" s="138">
        <v>105.28907262499999</v>
      </c>
    </row>
    <row r="244" spans="2:6" x14ac:dyDescent="0.2">
      <c r="B244" s="135" t="s">
        <v>1461</v>
      </c>
      <c r="C244" s="136" t="s">
        <v>1394</v>
      </c>
      <c r="D244" s="137">
        <v>448.76420000000002</v>
      </c>
      <c r="E244" s="138">
        <v>433.95</v>
      </c>
      <c r="F244" s="138">
        <v>107.37782550000001</v>
      </c>
    </row>
    <row r="245" spans="2:6" x14ac:dyDescent="0.2">
      <c r="B245" s="135" t="s">
        <v>1464</v>
      </c>
      <c r="C245" s="136" t="s">
        <v>1394</v>
      </c>
      <c r="D245" s="137">
        <v>342.02390000000003</v>
      </c>
      <c r="E245" s="138">
        <v>354.52</v>
      </c>
      <c r="F245" s="138">
        <v>154.02443700000001</v>
      </c>
    </row>
    <row r="246" spans="2:6" x14ac:dyDescent="0.2">
      <c r="B246" s="135" t="s">
        <v>1469</v>
      </c>
      <c r="C246" s="136" t="s">
        <v>1394</v>
      </c>
      <c r="D246" s="137">
        <v>308.39800000000002</v>
      </c>
      <c r="E246" s="138">
        <v>302.3</v>
      </c>
      <c r="F246" s="138">
        <v>178.578626125</v>
      </c>
    </row>
    <row r="247" spans="2:6" x14ac:dyDescent="0.2">
      <c r="B247" s="135" t="s">
        <v>1417</v>
      </c>
      <c r="C247" s="136" t="s">
        <v>1394</v>
      </c>
      <c r="D247" s="137">
        <v>5523.3571000000002</v>
      </c>
      <c r="E247" s="138">
        <v>5746.5</v>
      </c>
      <c r="F247" s="138">
        <v>8.8865656249999994</v>
      </c>
    </row>
    <row r="248" spans="2:6" x14ac:dyDescent="0.2">
      <c r="B248" s="135" t="s">
        <v>1468</v>
      </c>
      <c r="C248" s="136" t="s">
        <v>1394</v>
      </c>
      <c r="D248" s="137">
        <v>138.98820000000001</v>
      </c>
      <c r="E248" s="138">
        <v>135.44999999999999</v>
      </c>
      <c r="F248" s="138">
        <v>160.59693312499999</v>
      </c>
    </row>
    <row r="249" spans="2:6" x14ac:dyDescent="0.2">
      <c r="B249" s="135" t="s">
        <v>1420</v>
      </c>
      <c r="C249" s="136" t="s">
        <v>1394</v>
      </c>
      <c r="D249" s="137">
        <v>1246.8308</v>
      </c>
      <c r="E249" s="138">
        <v>1315.2</v>
      </c>
      <c r="F249" s="138">
        <v>11.32521</v>
      </c>
    </row>
    <row r="250" spans="2:6" x14ac:dyDescent="0.2">
      <c r="B250" s="135" t="s">
        <v>1425</v>
      </c>
      <c r="C250" s="136" t="s">
        <v>1394</v>
      </c>
      <c r="D250" s="137">
        <v>257.99470000000002</v>
      </c>
      <c r="E250" s="138">
        <v>273.17</v>
      </c>
      <c r="F250" s="138">
        <v>28.772093700000003</v>
      </c>
    </row>
    <row r="251" spans="2:6" x14ac:dyDescent="0.2">
      <c r="B251" s="135" t="s">
        <v>1400</v>
      </c>
      <c r="C251" s="136" t="s">
        <v>1394</v>
      </c>
      <c r="D251" s="137">
        <v>457.42500000000001</v>
      </c>
      <c r="E251" s="138">
        <v>444.1</v>
      </c>
      <c r="F251" s="138">
        <v>1.9585874999999999</v>
      </c>
    </row>
    <row r="252" spans="2:6" x14ac:dyDescent="0.2">
      <c r="B252" s="135" t="s">
        <v>1414</v>
      </c>
      <c r="C252" s="136" t="s">
        <v>1394</v>
      </c>
      <c r="D252" s="137">
        <v>1965.9666999999999</v>
      </c>
      <c r="E252" s="138">
        <v>1916.5</v>
      </c>
      <c r="F252" s="138">
        <v>6.9051012500000004</v>
      </c>
    </row>
    <row r="253" spans="2:6" x14ac:dyDescent="0.2">
      <c r="B253" s="135" t="s">
        <v>1444</v>
      </c>
      <c r="C253" s="136" t="s">
        <v>1394</v>
      </c>
      <c r="D253" s="137">
        <v>590.85469999999998</v>
      </c>
      <c r="E253" s="138">
        <v>590.35</v>
      </c>
      <c r="F253" s="138">
        <v>73.651332561999993</v>
      </c>
    </row>
    <row r="254" spans="2:6" x14ac:dyDescent="0.2">
      <c r="B254" s="135" t="s">
        <v>1407</v>
      </c>
      <c r="C254" s="136" t="s">
        <v>1394</v>
      </c>
      <c r="D254" s="137">
        <v>7177.3333000000002</v>
      </c>
      <c r="E254" s="138">
        <v>7149</v>
      </c>
      <c r="F254" s="138">
        <v>3.9211049999999998</v>
      </c>
    </row>
    <row r="255" spans="2:6" x14ac:dyDescent="0.2">
      <c r="B255" s="135" t="s">
        <v>1404</v>
      </c>
      <c r="C255" s="136" t="s">
        <v>1394</v>
      </c>
      <c r="D255" s="137">
        <v>238.64330000000001</v>
      </c>
      <c r="E255" s="138">
        <v>248.46</v>
      </c>
      <c r="F255" s="138">
        <v>4.2788712750000002</v>
      </c>
    </row>
    <row r="256" spans="2:6" x14ac:dyDescent="0.2">
      <c r="B256" s="135" t="s">
        <v>1437</v>
      </c>
      <c r="C256" s="136" t="s">
        <v>1394</v>
      </c>
      <c r="D256" s="137">
        <v>299.63330000000002</v>
      </c>
      <c r="E256" s="138">
        <v>287.8</v>
      </c>
      <c r="F256" s="138">
        <v>26.718824999999999</v>
      </c>
    </row>
    <row r="257" spans="2:6" x14ac:dyDescent="0.2">
      <c r="B257" s="135" t="s">
        <v>1402</v>
      </c>
      <c r="C257" s="136" t="s">
        <v>1394</v>
      </c>
      <c r="D257" s="137">
        <v>158.2433</v>
      </c>
      <c r="E257" s="138">
        <v>163.84</v>
      </c>
      <c r="F257" s="138">
        <v>2.9658308</v>
      </c>
    </row>
    <row r="258" spans="2:6" x14ac:dyDescent="0.2">
      <c r="B258" s="135" t="s">
        <v>1403</v>
      </c>
      <c r="C258" s="136" t="s">
        <v>1394</v>
      </c>
      <c r="D258" s="137">
        <v>1093.75</v>
      </c>
      <c r="E258" s="138">
        <v>1064.8</v>
      </c>
      <c r="F258" s="138">
        <v>2.8358699999999999</v>
      </c>
    </row>
    <row r="259" spans="2:6" x14ac:dyDescent="0.2">
      <c r="B259" s="135" t="s">
        <v>1451</v>
      </c>
      <c r="C259" s="136" t="s">
        <v>1394</v>
      </c>
      <c r="D259" s="137">
        <v>1808.9087999999999</v>
      </c>
      <c r="E259" s="138">
        <v>1841</v>
      </c>
      <c r="F259" s="138">
        <v>68.191736250000005</v>
      </c>
    </row>
    <row r="260" spans="2:6" x14ac:dyDescent="0.2">
      <c r="B260" s="135" t="s">
        <v>1441</v>
      </c>
      <c r="C260" s="136" t="s">
        <v>1394</v>
      </c>
      <c r="D260" s="137">
        <v>2793.1185</v>
      </c>
      <c r="E260" s="138">
        <v>2802.8</v>
      </c>
      <c r="F260" s="138">
        <v>33.451515000000001</v>
      </c>
    </row>
    <row r="261" spans="2:6" x14ac:dyDescent="0.2">
      <c r="B261" s="135" t="s">
        <v>1427</v>
      </c>
      <c r="C261" s="136" t="s">
        <v>1394</v>
      </c>
      <c r="D261" s="137">
        <v>4160.0866999999998</v>
      </c>
      <c r="E261" s="138">
        <v>4364.2</v>
      </c>
      <c r="F261" s="138">
        <v>20.178607499999998</v>
      </c>
    </row>
    <row r="262" spans="2:6" x14ac:dyDescent="0.2">
      <c r="B262" s="135" t="s">
        <v>1408</v>
      </c>
      <c r="C262" s="136" t="s">
        <v>1394</v>
      </c>
      <c r="D262" s="137">
        <v>2519.1667000000002</v>
      </c>
      <c r="E262" s="138">
        <v>2729.7</v>
      </c>
      <c r="F262" s="138">
        <v>5.0917455</v>
      </c>
    </row>
    <row r="263" spans="2:6" x14ac:dyDescent="0.2">
      <c r="B263" s="135" t="s">
        <v>1477</v>
      </c>
      <c r="C263" s="136" t="s">
        <v>1394</v>
      </c>
      <c r="D263" s="137">
        <v>790.90129999999999</v>
      </c>
      <c r="E263" s="138">
        <v>776.1</v>
      </c>
      <c r="F263" s="138">
        <v>430.76133100000004</v>
      </c>
    </row>
    <row r="264" spans="2:6" x14ac:dyDescent="0.2">
      <c r="B264" s="135" t="s">
        <v>1439</v>
      </c>
      <c r="C264" s="136" t="s">
        <v>1394</v>
      </c>
      <c r="D264" s="137">
        <v>600.51110000000006</v>
      </c>
      <c r="E264" s="138">
        <v>590</v>
      </c>
      <c r="F264" s="138">
        <v>30.92661</v>
      </c>
    </row>
    <row r="265" spans="2:6" x14ac:dyDescent="0.2">
      <c r="B265" s="135" t="s">
        <v>1398</v>
      </c>
      <c r="C265" s="136" t="s">
        <v>1394</v>
      </c>
      <c r="D265" s="137">
        <v>962.05</v>
      </c>
      <c r="E265" s="138">
        <v>1042.3</v>
      </c>
      <c r="F265" s="138">
        <v>1.4288435000000002</v>
      </c>
    </row>
    <row r="266" spans="2:6" x14ac:dyDescent="0.2">
      <c r="B266" s="135" t="s">
        <v>1401</v>
      </c>
      <c r="C266" s="136" t="s">
        <v>1394</v>
      </c>
      <c r="D266" s="137">
        <v>558.16669999999999</v>
      </c>
      <c r="E266" s="138">
        <v>516</v>
      </c>
      <c r="F266" s="138">
        <v>2.5294150000000002</v>
      </c>
    </row>
    <row r="267" spans="2:6" x14ac:dyDescent="0.2">
      <c r="B267" s="135" t="s">
        <v>1449</v>
      </c>
      <c r="C267" s="136" t="s">
        <v>1394</v>
      </c>
      <c r="D267" s="137">
        <v>69.08</v>
      </c>
      <c r="E267" s="138">
        <v>70.06</v>
      </c>
      <c r="F267" s="138">
        <v>56.696590999999998</v>
      </c>
    </row>
    <row r="268" spans="2:6" x14ac:dyDescent="0.2">
      <c r="B268" s="135" t="s">
        <v>1430</v>
      </c>
      <c r="C268" s="136" t="s">
        <v>1394</v>
      </c>
      <c r="D268" s="137">
        <v>647.34370000000001</v>
      </c>
      <c r="E268" s="138">
        <v>640</v>
      </c>
      <c r="F268" s="138">
        <v>19.3904</v>
      </c>
    </row>
    <row r="269" spans="2:6" x14ac:dyDescent="0.2">
      <c r="B269" s="135" t="s">
        <v>1406</v>
      </c>
      <c r="C269" s="136" t="s">
        <v>1394</v>
      </c>
      <c r="D269" s="137">
        <v>894.78330000000005</v>
      </c>
      <c r="E269" s="138">
        <v>921.35</v>
      </c>
      <c r="F269" s="138">
        <v>4.4072122499999997</v>
      </c>
    </row>
    <row r="270" spans="2:6" x14ac:dyDescent="0.2">
      <c r="B270" s="135" t="s">
        <v>1438</v>
      </c>
      <c r="C270" s="136" t="s">
        <v>1394</v>
      </c>
      <c r="D270" s="137">
        <v>147.32689999999999</v>
      </c>
      <c r="E270" s="138">
        <v>143.12</v>
      </c>
      <c r="F270" s="138">
        <v>29.544045499999999</v>
      </c>
    </row>
    <row r="271" spans="2:6" x14ac:dyDescent="0.2">
      <c r="B271" s="135" t="s">
        <v>1471</v>
      </c>
      <c r="C271" s="136" t="s">
        <v>1394</v>
      </c>
      <c r="D271" s="137">
        <v>305.71499999999997</v>
      </c>
      <c r="E271" s="138">
        <v>315.75</v>
      </c>
      <c r="F271" s="138">
        <v>210.85656</v>
      </c>
    </row>
    <row r="272" spans="2:6" x14ac:dyDescent="0.2">
      <c r="B272" s="135" t="s">
        <v>1454</v>
      </c>
      <c r="C272" s="136" t="s">
        <v>1394</v>
      </c>
      <c r="D272" s="137">
        <v>244.49359999999999</v>
      </c>
      <c r="E272" s="138">
        <v>247.12</v>
      </c>
      <c r="F272" s="138">
        <v>120.77413779999999</v>
      </c>
    </row>
    <row r="273" spans="2:6" x14ac:dyDescent="0.2">
      <c r="B273" s="135" t="s">
        <v>1459</v>
      </c>
      <c r="C273" s="136" t="s">
        <v>1394</v>
      </c>
      <c r="D273" s="137">
        <v>1258.6366</v>
      </c>
      <c r="E273" s="138">
        <v>1270.3</v>
      </c>
      <c r="F273" s="138">
        <v>90.853852500000002</v>
      </c>
    </row>
    <row r="274" spans="2:6" x14ac:dyDescent="0.2">
      <c r="B274" s="135" t="s">
        <v>1446</v>
      </c>
      <c r="C274" s="136" t="s">
        <v>1394</v>
      </c>
      <c r="D274" s="137">
        <v>1106.7074</v>
      </c>
      <c r="E274" s="138">
        <v>1107.45</v>
      </c>
      <c r="F274" s="138">
        <v>53.010082125000004</v>
      </c>
    </row>
    <row r="275" spans="2:6" x14ac:dyDescent="0.2">
      <c r="B275" s="135" t="s">
        <v>1442</v>
      </c>
      <c r="C275" s="136" t="s">
        <v>1394</v>
      </c>
      <c r="D275" s="137">
        <v>551.50289999999995</v>
      </c>
      <c r="E275" s="138">
        <v>558</v>
      </c>
      <c r="F275" s="138">
        <v>63.267200000000003</v>
      </c>
    </row>
    <row r="276" spans="2:6" x14ac:dyDescent="0.2">
      <c r="B276" s="135" t="s">
        <v>1580</v>
      </c>
      <c r="C276" s="136" t="s">
        <v>1394</v>
      </c>
      <c r="D276" s="137">
        <v>756.30359999999996</v>
      </c>
      <c r="E276" s="138">
        <v>902.4</v>
      </c>
      <c r="F276" s="138">
        <v>28.068263999999999</v>
      </c>
    </row>
    <row r="277" spans="2:6" x14ac:dyDescent="0.2">
      <c r="B277" s="135" t="s">
        <v>1426</v>
      </c>
      <c r="C277" s="136" t="s">
        <v>1394</v>
      </c>
      <c r="D277" s="137">
        <v>4072.55</v>
      </c>
      <c r="E277" s="138">
        <v>4037.7</v>
      </c>
      <c r="F277" s="138">
        <v>15.567709499999999</v>
      </c>
    </row>
    <row r="278" spans="2:6" x14ac:dyDescent="0.2">
      <c r="B278" s="135" t="s">
        <v>1393</v>
      </c>
      <c r="C278" s="136" t="s">
        <v>1394</v>
      </c>
      <c r="D278" s="137">
        <v>953</v>
      </c>
      <c r="E278" s="138">
        <v>998.95</v>
      </c>
      <c r="F278" s="138">
        <v>1.0115370619999999</v>
      </c>
    </row>
    <row r="279" spans="2:6" x14ac:dyDescent="0.2">
      <c r="B279" s="135" t="s">
        <v>1473</v>
      </c>
      <c r="C279" s="136" t="s">
        <v>1394</v>
      </c>
      <c r="D279" s="137">
        <v>2801.7435999999998</v>
      </c>
      <c r="E279" s="138">
        <v>2981</v>
      </c>
      <c r="F279" s="138">
        <v>401.62765875000002</v>
      </c>
    </row>
    <row r="280" spans="2:6" x14ac:dyDescent="0.2">
      <c r="B280" s="135" t="s">
        <v>1455</v>
      </c>
      <c r="C280" s="136" t="s">
        <v>1394</v>
      </c>
      <c r="D280" s="137">
        <v>1591.0338999999999</v>
      </c>
      <c r="E280" s="138">
        <v>1595.1</v>
      </c>
      <c r="F280" s="138">
        <v>63.028784000000002</v>
      </c>
    </row>
    <row r="281" spans="2:6" x14ac:dyDescent="0.2">
      <c r="B281" s="135" t="s">
        <v>1411</v>
      </c>
      <c r="C281" s="136" t="s">
        <v>1394</v>
      </c>
      <c r="D281" s="137">
        <v>1013.8889</v>
      </c>
      <c r="E281" s="138">
        <v>978.2</v>
      </c>
      <c r="F281" s="138">
        <v>6.5190487499999996</v>
      </c>
    </row>
    <row r="282" spans="2:6" x14ac:dyDescent="0.2">
      <c r="B282" s="135" t="s">
        <v>1445</v>
      </c>
      <c r="C282" s="136" t="s">
        <v>1394</v>
      </c>
      <c r="D282" s="137">
        <v>95.003399999999999</v>
      </c>
      <c r="E282" s="138">
        <v>92.22</v>
      </c>
      <c r="F282" s="138">
        <v>86.2468425</v>
      </c>
    </row>
    <row r="283" spans="2:6" x14ac:dyDescent="0.2">
      <c r="B283" s="135" t="s">
        <v>1412</v>
      </c>
      <c r="C283" s="136" t="s">
        <v>1394</v>
      </c>
      <c r="D283" s="137">
        <v>1235.6400000000001</v>
      </c>
      <c r="E283" s="138">
        <v>1462.1</v>
      </c>
      <c r="F283" s="138">
        <v>6.4663374999999998</v>
      </c>
    </row>
    <row r="284" spans="2:6" x14ac:dyDescent="0.2">
      <c r="B284" s="135" t="s">
        <v>1448</v>
      </c>
      <c r="C284" s="136" t="s">
        <v>1394</v>
      </c>
      <c r="D284" s="137">
        <v>405.82670000000002</v>
      </c>
      <c r="E284" s="138">
        <v>400.5</v>
      </c>
      <c r="F284" s="138">
        <v>45.664387499999997</v>
      </c>
    </row>
    <row r="285" spans="2:6" x14ac:dyDescent="0.2">
      <c r="B285" s="135" t="s">
        <v>1397</v>
      </c>
      <c r="C285" s="136" t="s">
        <v>1394</v>
      </c>
      <c r="D285" s="137">
        <v>496.55</v>
      </c>
      <c r="E285" s="138">
        <v>491.4</v>
      </c>
      <c r="F285" s="138">
        <v>1.502186</v>
      </c>
    </row>
    <row r="286" spans="2:6" x14ac:dyDescent="0.2">
      <c r="B286" s="135" t="s">
        <v>1429</v>
      </c>
      <c r="C286" s="136" t="s">
        <v>1394</v>
      </c>
      <c r="D286" s="137">
        <v>284.8433</v>
      </c>
      <c r="E286" s="138">
        <v>301.05</v>
      </c>
      <c r="F286" s="138">
        <v>17.937033124999999</v>
      </c>
    </row>
    <row r="287" spans="2:6" x14ac:dyDescent="0.2">
      <c r="B287" s="135" t="s">
        <v>1435</v>
      </c>
      <c r="C287" s="136" t="s">
        <v>1394</v>
      </c>
      <c r="D287" s="137">
        <v>477.85480000000001</v>
      </c>
      <c r="E287" s="138">
        <v>451.25</v>
      </c>
      <c r="F287" s="138">
        <v>27.159063750000001</v>
      </c>
    </row>
    <row r="288" spans="2:6" x14ac:dyDescent="0.2">
      <c r="B288" s="135" t="s">
        <v>1440</v>
      </c>
      <c r="C288" s="136" t="s">
        <v>1394</v>
      </c>
      <c r="D288" s="137">
        <v>113.55500000000001</v>
      </c>
      <c r="E288" s="138">
        <v>109.73</v>
      </c>
      <c r="F288" s="138">
        <v>35.328879999999998</v>
      </c>
    </row>
    <row r="289" spans="2:6" x14ac:dyDescent="0.2">
      <c r="B289" s="135" t="s">
        <v>1415</v>
      </c>
      <c r="C289" s="136" t="s">
        <v>1394</v>
      </c>
      <c r="D289" s="137">
        <v>1677.5857000000001</v>
      </c>
      <c r="E289" s="138">
        <v>1671</v>
      </c>
      <c r="F289" s="138">
        <v>9.6553325000000001</v>
      </c>
    </row>
    <row r="290" spans="2:6" x14ac:dyDescent="0.2">
      <c r="B290" s="135" t="s">
        <v>1434</v>
      </c>
      <c r="C290" s="136" t="s">
        <v>1394</v>
      </c>
      <c r="D290" s="137">
        <v>302.61</v>
      </c>
      <c r="E290" s="138">
        <v>319.14999999999998</v>
      </c>
      <c r="F290" s="138">
        <v>21.451094999999999</v>
      </c>
    </row>
    <row r="291" spans="2:6" x14ac:dyDescent="0.2">
      <c r="B291" s="135" t="s">
        <v>1472</v>
      </c>
      <c r="C291" s="136" t="s">
        <v>1394</v>
      </c>
      <c r="D291" s="137">
        <v>1403.0881999999999</v>
      </c>
      <c r="E291" s="138">
        <v>1423.2</v>
      </c>
      <c r="F291" s="138">
        <v>313.658028</v>
      </c>
    </row>
    <row r="292" spans="2:6" x14ac:dyDescent="0.2">
      <c r="B292" s="135" t="s">
        <v>1436</v>
      </c>
      <c r="C292" s="136" t="s">
        <v>1394</v>
      </c>
      <c r="D292" s="137">
        <v>184.01329999999999</v>
      </c>
      <c r="E292" s="138">
        <v>185.83</v>
      </c>
      <c r="F292" s="138">
        <v>49.680327750000004</v>
      </c>
    </row>
    <row r="293" spans="2:6" x14ac:dyDescent="0.2">
      <c r="B293" s="135" t="s">
        <v>1463</v>
      </c>
      <c r="C293" s="136" t="s">
        <v>1394</v>
      </c>
      <c r="D293" s="137">
        <v>1103.3513</v>
      </c>
      <c r="E293" s="138">
        <v>1064.0999999999999</v>
      </c>
      <c r="F293" s="138">
        <v>110.6898975</v>
      </c>
    </row>
    <row r="294" spans="2:6" x14ac:dyDescent="0.2">
      <c r="B294" s="135" t="s">
        <v>1432</v>
      </c>
      <c r="C294" s="136" t="s">
        <v>1394</v>
      </c>
      <c r="D294" s="137">
        <v>1037.3535999999999</v>
      </c>
      <c r="E294" s="138">
        <v>939.95</v>
      </c>
      <c r="F294" s="138">
        <v>25.404027875000001</v>
      </c>
    </row>
    <row r="295" spans="2:6" x14ac:dyDescent="0.2">
      <c r="B295" s="135" t="s">
        <v>1422</v>
      </c>
      <c r="C295" s="136" t="s">
        <v>1394</v>
      </c>
      <c r="D295" s="137">
        <v>1728</v>
      </c>
      <c r="E295" s="138">
        <v>1815</v>
      </c>
      <c r="F295" s="138">
        <v>13.47129</v>
      </c>
    </row>
    <row r="296" spans="2:6" x14ac:dyDescent="0.2">
      <c r="B296" s="135" t="s">
        <v>1418</v>
      </c>
      <c r="C296" s="136" t="s">
        <v>1394</v>
      </c>
      <c r="D296" s="137">
        <v>437.95</v>
      </c>
      <c r="E296" s="138">
        <v>447.05</v>
      </c>
      <c r="F296" s="138">
        <v>9.1497030000000006</v>
      </c>
    </row>
    <row r="297" spans="2:6" x14ac:dyDescent="0.2">
      <c r="B297" s="135" t="s">
        <v>1428</v>
      </c>
      <c r="C297" s="136" t="s">
        <v>1394</v>
      </c>
      <c r="D297" s="137">
        <v>4494.5769</v>
      </c>
      <c r="E297" s="138">
        <v>4402.2</v>
      </c>
      <c r="F297" s="138">
        <v>17.695791750000001</v>
      </c>
    </row>
    <row r="298" spans="2:6" x14ac:dyDescent="0.2">
      <c r="B298" s="135" t="s">
        <v>1457</v>
      </c>
      <c r="C298" s="136" t="s">
        <v>1394</v>
      </c>
      <c r="D298" s="137">
        <v>314.90289999999999</v>
      </c>
      <c r="E298" s="138">
        <v>343.15</v>
      </c>
      <c r="F298" s="138">
        <v>75.52467</v>
      </c>
    </row>
    <row r="299" spans="2:6" x14ac:dyDescent="0.2">
      <c r="B299" s="135" t="s">
        <v>1395</v>
      </c>
      <c r="C299" s="136" t="s">
        <v>1394</v>
      </c>
      <c r="D299" s="137">
        <v>3506.1</v>
      </c>
      <c r="E299" s="138">
        <v>3514.4</v>
      </c>
      <c r="F299" s="138">
        <v>1.134657</v>
      </c>
    </row>
    <row r="300" spans="2:6" x14ac:dyDescent="0.2">
      <c r="B300" s="135" t="s">
        <v>1399</v>
      </c>
      <c r="C300" s="136" t="s">
        <v>1394</v>
      </c>
      <c r="D300" s="137">
        <v>652</v>
      </c>
      <c r="E300" s="138">
        <v>646</v>
      </c>
      <c r="F300" s="138">
        <v>1.9048554999999998</v>
      </c>
    </row>
    <row r="301" spans="2:6" x14ac:dyDescent="0.2">
      <c r="B301" s="113"/>
      <c r="C301" s="112"/>
      <c r="D301" s="112"/>
      <c r="E301" s="112"/>
      <c r="F301" s="112"/>
    </row>
    <row r="302" spans="2:6" ht="10.5" x14ac:dyDescent="0.2">
      <c r="B302" s="143" t="s">
        <v>1581</v>
      </c>
      <c r="C302" s="118"/>
      <c r="D302" s="119"/>
      <c r="E302" s="120"/>
      <c r="F302" s="121"/>
    </row>
    <row r="303" spans="2:6" ht="10.5" x14ac:dyDescent="0.2">
      <c r="B303" s="112" t="s">
        <v>1583</v>
      </c>
      <c r="C303" s="118"/>
      <c r="D303" s="119"/>
      <c r="E303" s="120"/>
      <c r="F303" s="121"/>
    </row>
    <row r="304" spans="2:6" ht="10.5" x14ac:dyDescent="0.2">
      <c r="B304" s="112" t="s">
        <v>1530</v>
      </c>
      <c r="C304" s="118"/>
      <c r="D304" s="119"/>
      <c r="E304" s="120"/>
      <c r="F304" s="121"/>
    </row>
    <row r="305" spans="2:6" x14ac:dyDescent="0.2">
      <c r="B305" s="167" t="s">
        <v>1525</v>
      </c>
      <c r="C305" s="167" t="s">
        <v>1526</v>
      </c>
      <c r="D305" s="167" t="s">
        <v>1527</v>
      </c>
      <c r="E305" s="167" t="s">
        <v>1528</v>
      </c>
      <c r="F305" s="167" t="s">
        <v>1529</v>
      </c>
    </row>
    <row r="306" spans="2:6" ht="40.5" customHeight="1" x14ac:dyDescent="0.2">
      <c r="B306" s="168"/>
      <c r="C306" s="168"/>
      <c r="D306" s="168"/>
      <c r="E306" s="168"/>
      <c r="F306" s="168"/>
    </row>
    <row r="307" spans="2:6" x14ac:dyDescent="0.2">
      <c r="B307" s="152">
        <v>4393</v>
      </c>
      <c r="C307" s="157">
        <v>165</v>
      </c>
      <c r="D307" s="153">
        <v>28853.838499699999</v>
      </c>
      <c r="E307" s="158">
        <v>959.34200120000003</v>
      </c>
      <c r="F307" s="159">
        <v>-255.99825290000001</v>
      </c>
    </row>
    <row r="308" spans="2:6" x14ac:dyDescent="0.2">
      <c r="B308" s="81"/>
      <c r="E308" s="156"/>
    </row>
    <row r="309" spans="2:6" ht="10.5" x14ac:dyDescent="0.25">
      <c r="B309" s="111" t="s">
        <v>1552</v>
      </c>
      <c r="C309" s="112"/>
      <c r="D309" s="112"/>
      <c r="E309" s="112"/>
      <c r="F309" s="112"/>
    </row>
    <row r="310" spans="2:6" x14ac:dyDescent="0.2">
      <c r="B310" s="113"/>
      <c r="C310" s="112"/>
      <c r="D310" s="112"/>
      <c r="E310" s="112"/>
      <c r="F310" s="112"/>
    </row>
    <row r="311" spans="2:6" ht="21" x14ac:dyDescent="0.2">
      <c r="B311" s="109" t="s">
        <v>1519</v>
      </c>
      <c r="C311" s="110" t="s">
        <v>1520</v>
      </c>
      <c r="D311" s="110" t="s">
        <v>1521</v>
      </c>
      <c r="E311" s="110" t="s">
        <v>1522</v>
      </c>
      <c r="F311" s="110" t="s">
        <v>1523</v>
      </c>
    </row>
    <row r="312" spans="2:6" x14ac:dyDescent="0.2">
      <c r="B312" s="162" t="s">
        <v>399</v>
      </c>
      <c r="C312" s="163"/>
      <c r="D312" s="163"/>
      <c r="E312" s="163"/>
      <c r="F312" s="164"/>
    </row>
    <row r="313" spans="2:6" x14ac:dyDescent="0.2">
      <c r="B313" s="113" t="s">
        <v>1547</v>
      </c>
      <c r="C313" s="112"/>
      <c r="D313" s="112"/>
      <c r="E313" s="112"/>
      <c r="F313" s="112"/>
    </row>
    <row r="314" spans="2:6" ht="10.5" x14ac:dyDescent="0.2">
      <c r="B314" s="112" t="s">
        <v>1572</v>
      </c>
      <c r="C314" s="118"/>
      <c r="D314" s="119"/>
      <c r="E314" s="120"/>
      <c r="F314" s="121"/>
    </row>
    <row r="315" spans="2:6" ht="10.5" x14ac:dyDescent="0.2">
      <c r="B315" s="112" t="s">
        <v>1530</v>
      </c>
      <c r="C315" s="118"/>
      <c r="D315" s="119"/>
      <c r="E315" s="120"/>
      <c r="F315" s="121"/>
    </row>
    <row r="316" spans="2:6" x14ac:dyDescent="0.2">
      <c r="B316" s="165" t="s">
        <v>1525</v>
      </c>
      <c r="C316" s="165" t="s">
        <v>1526</v>
      </c>
      <c r="D316" s="165" t="s">
        <v>1527</v>
      </c>
      <c r="E316" s="165" t="s">
        <v>1528</v>
      </c>
      <c r="F316" s="165" t="s">
        <v>1529</v>
      </c>
    </row>
    <row r="317" spans="2:6" x14ac:dyDescent="0.2">
      <c r="B317" s="166"/>
      <c r="C317" s="166"/>
      <c r="D317" s="166"/>
      <c r="E317" s="166"/>
      <c r="F317" s="166"/>
    </row>
    <row r="318" spans="2:6" x14ac:dyDescent="0.2">
      <c r="B318" s="173" t="s">
        <v>399</v>
      </c>
      <c r="C318" s="174"/>
      <c r="D318" s="174"/>
      <c r="E318" s="174"/>
      <c r="F318" s="175"/>
    </row>
    <row r="319" spans="2:6" x14ac:dyDescent="0.2">
      <c r="B319" s="106"/>
      <c r="C319" s="122"/>
      <c r="D319" s="122"/>
      <c r="E319" s="122"/>
      <c r="F319" s="15"/>
    </row>
    <row r="320" spans="2:6" ht="10.5" x14ac:dyDescent="0.2">
      <c r="B320" s="123" t="s">
        <v>1553</v>
      </c>
      <c r="C320" s="124"/>
      <c r="D320" s="124"/>
      <c r="E320" s="125"/>
      <c r="F320" s="15"/>
    </row>
    <row r="321" spans="2:6" ht="10.5" x14ac:dyDescent="0.2">
      <c r="B321" s="126"/>
      <c r="C321" s="124"/>
      <c r="D321" s="124"/>
      <c r="E321" s="125"/>
      <c r="F321" s="15"/>
    </row>
    <row r="322" spans="2:6" ht="10.5" x14ac:dyDescent="0.2">
      <c r="B322" s="109" t="s">
        <v>1519</v>
      </c>
      <c r="C322" s="110" t="s">
        <v>1531</v>
      </c>
      <c r="D322" s="110" t="s">
        <v>1532</v>
      </c>
      <c r="E322" s="110" t="s">
        <v>1533</v>
      </c>
      <c r="F322" s="15"/>
    </row>
    <row r="323" spans="2:6" x14ac:dyDescent="0.2">
      <c r="B323" s="162" t="s">
        <v>399</v>
      </c>
      <c r="C323" s="163"/>
      <c r="D323" s="163"/>
      <c r="E323" s="164"/>
      <c r="F323" s="15"/>
    </row>
    <row r="324" spans="2:6" x14ac:dyDescent="0.2">
      <c r="B324" s="113" t="s">
        <v>1534</v>
      </c>
      <c r="C324" s="112"/>
      <c r="D324" s="112"/>
      <c r="E324" s="112"/>
      <c r="F324" s="15"/>
    </row>
    <row r="325" spans="2:6" x14ac:dyDescent="0.2">
      <c r="B325" s="127"/>
      <c r="C325" s="128"/>
      <c r="D325" s="128"/>
      <c r="E325" s="127"/>
      <c r="F325" s="15"/>
    </row>
    <row r="326" spans="2:6" x14ac:dyDescent="0.2">
      <c r="B326" s="127" t="s">
        <v>1573</v>
      </c>
      <c r="C326" s="128"/>
      <c r="D326" s="128"/>
      <c r="E326" s="127"/>
      <c r="F326" s="15"/>
    </row>
    <row r="327" spans="2:6" x14ac:dyDescent="0.2">
      <c r="B327" s="127"/>
      <c r="C327" s="128"/>
      <c r="D327" s="128"/>
      <c r="E327" s="127"/>
      <c r="F327" s="15"/>
    </row>
    <row r="328" spans="2:6" x14ac:dyDescent="0.2">
      <c r="B328" s="165" t="s">
        <v>1535</v>
      </c>
      <c r="C328" s="165" t="s">
        <v>1536</v>
      </c>
      <c r="D328" s="165" t="s">
        <v>1537</v>
      </c>
      <c r="E328" s="127"/>
      <c r="F328" s="15"/>
    </row>
    <row r="329" spans="2:6" x14ac:dyDescent="0.2">
      <c r="B329" s="166"/>
      <c r="C329" s="166"/>
      <c r="D329" s="166"/>
      <c r="E329" s="127"/>
      <c r="F329" s="15"/>
    </row>
    <row r="330" spans="2:6" x14ac:dyDescent="0.2">
      <c r="B330" s="169" t="s">
        <v>399</v>
      </c>
      <c r="C330" s="169"/>
      <c r="D330" s="169"/>
      <c r="E330" s="122"/>
      <c r="F330" s="15"/>
    </row>
    <row r="331" spans="2:6" x14ac:dyDescent="0.2">
      <c r="B331" s="129"/>
      <c r="C331" s="129"/>
      <c r="D331" s="129"/>
      <c r="E331" s="122"/>
      <c r="F331" s="15"/>
    </row>
    <row r="332" spans="2:6" ht="10.5" x14ac:dyDescent="0.2">
      <c r="B332" s="123" t="s">
        <v>1554</v>
      </c>
      <c r="C332" s="129"/>
      <c r="D332" s="129"/>
      <c r="E332" s="122"/>
      <c r="F332" s="15"/>
    </row>
    <row r="333" spans="2:6" x14ac:dyDescent="0.2">
      <c r="B333" s="129"/>
      <c r="C333" s="129"/>
      <c r="D333" s="129"/>
      <c r="E333" s="122"/>
      <c r="F333" s="15"/>
    </row>
    <row r="334" spans="2:6" ht="21" x14ac:dyDescent="0.2">
      <c r="B334" s="110" t="s">
        <v>1519</v>
      </c>
      <c r="C334" s="110" t="s">
        <v>1538</v>
      </c>
      <c r="D334" s="110" t="s">
        <v>1539</v>
      </c>
      <c r="E334" s="110" t="s">
        <v>1540</v>
      </c>
      <c r="F334" s="110" t="s">
        <v>1541</v>
      </c>
    </row>
    <row r="335" spans="2:6" x14ac:dyDescent="0.2">
      <c r="B335" s="170" t="s">
        <v>399</v>
      </c>
      <c r="C335" s="170"/>
      <c r="D335" s="170"/>
      <c r="E335" s="170"/>
      <c r="F335" s="170"/>
    </row>
    <row r="336" spans="2:6" x14ac:dyDescent="0.2">
      <c r="B336" s="130" t="s">
        <v>1542</v>
      </c>
      <c r="C336" s="129"/>
      <c r="D336" s="129"/>
      <c r="E336" s="122"/>
      <c r="F336" s="15"/>
    </row>
    <row r="337" spans="2:6" x14ac:dyDescent="0.2">
      <c r="B337" s="129"/>
      <c r="C337" s="129"/>
      <c r="D337" s="129"/>
      <c r="E337" s="122"/>
      <c r="F337" s="15"/>
    </row>
    <row r="338" spans="2:6" x14ac:dyDescent="0.2">
      <c r="B338" s="127" t="s">
        <v>1555</v>
      </c>
      <c r="C338" s="128"/>
      <c r="D338" s="128"/>
      <c r="E338" s="122"/>
      <c r="F338" s="15"/>
    </row>
    <row r="339" spans="2:6" x14ac:dyDescent="0.2">
      <c r="B339" s="127"/>
      <c r="C339" s="128"/>
      <c r="D339" s="128"/>
      <c r="E339" s="122"/>
      <c r="F339" s="15"/>
    </row>
    <row r="340" spans="2:6" x14ac:dyDescent="0.2">
      <c r="B340" s="165" t="s">
        <v>1535</v>
      </c>
      <c r="C340" s="165" t="s">
        <v>1536</v>
      </c>
      <c r="D340" s="165" t="s">
        <v>1537</v>
      </c>
      <c r="E340" s="122"/>
      <c r="F340" s="15"/>
    </row>
    <row r="341" spans="2:6" x14ac:dyDescent="0.2">
      <c r="B341" s="166"/>
      <c r="C341" s="166"/>
      <c r="D341" s="166"/>
      <c r="E341" s="122"/>
      <c r="F341" s="15"/>
    </row>
    <row r="342" spans="2:6" x14ac:dyDescent="0.2">
      <c r="B342" s="169" t="s">
        <v>399</v>
      </c>
      <c r="C342" s="169"/>
      <c r="D342" s="169"/>
      <c r="E342" s="122"/>
      <c r="F342" s="15"/>
    </row>
    <row r="343" spans="2:6" x14ac:dyDescent="0.2">
      <c r="B343" s="129"/>
      <c r="C343" s="129"/>
      <c r="D343" s="129"/>
      <c r="E343" s="122"/>
      <c r="F343" s="15"/>
    </row>
    <row r="344" spans="2:6" ht="10.5" x14ac:dyDescent="0.2">
      <c r="B344" s="131" t="s">
        <v>1549</v>
      </c>
      <c r="C344" s="129"/>
      <c r="D344" s="129"/>
      <c r="E344" s="122"/>
      <c r="F344" s="15"/>
    </row>
    <row r="345" spans="2:6" x14ac:dyDescent="0.2">
      <c r="B345" s="81"/>
    </row>
    <row r="346" spans="2:6" x14ac:dyDescent="0.2">
      <c r="B346" s="81"/>
    </row>
    <row r="347" spans="2:6" x14ac:dyDescent="0.2">
      <c r="B347" s="81" t="s">
        <v>1545</v>
      </c>
    </row>
    <row r="348" spans="2:6" x14ac:dyDescent="0.2">
      <c r="B348" s="87" t="s">
        <v>1591</v>
      </c>
    </row>
    <row r="349" spans="2:6" x14ac:dyDescent="0.2">
      <c r="B349" s="81" t="s">
        <v>1546</v>
      </c>
    </row>
    <row r="352" spans="2:6" ht="10.5" x14ac:dyDescent="0.25">
      <c r="B352" s="23" t="s">
        <v>187</v>
      </c>
    </row>
    <row r="370" spans="2:2" ht="10.5" x14ac:dyDescent="0.2">
      <c r="B370" s="72" t="s">
        <v>1482</v>
      </c>
    </row>
    <row r="371" spans="2:2" ht="10.5" x14ac:dyDescent="0.25">
      <c r="B371" s="73" t="s">
        <v>1494</v>
      </c>
    </row>
  </sheetData>
  <mergeCells count="34">
    <mergeCell ref="F215:F216"/>
    <mergeCell ref="F235:F236"/>
    <mergeCell ref="F233:F234"/>
    <mergeCell ref="F231:F232"/>
    <mergeCell ref="F229:F230"/>
    <mergeCell ref="F227:F228"/>
    <mergeCell ref="F225:F226"/>
    <mergeCell ref="F223:F224"/>
    <mergeCell ref="F221:F222"/>
    <mergeCell ref="F219:F220"/>
    <mergeCell ref="F217:F218"/>
    <mergeCell ref="B342:D342"/>
    <mergeCell ref="B330:D330"/>
    <mergeCell ref="B335:F335"/>
    <mergeCell ref="B340:B341"/>
    <mergeCell ref="C340:C341"/>
    <mergeCell ref="D340:D341"/>
    <mergeCell ref="B318:F318"/>
    <mergeCell ref="B323:E323"/>
    <mergeCell ref="B328:B329"/>
    <mergeCell ref="C328:C329"/>
    <mergeCell ref="D328:D329"/>
    <mergeCell ref="F305:F306"/>
    <mergeCell ref="B312:F312"/>
    <mergeCell ref="B316:B317"/>
    <mergeCell ref="C316:C317"/>
    <mergeCell ref="D316:D317"/>
    <mergeCell ref="E316:E317"/>
    <mergeCell ref="F316:F317"/>
    <mergeCell ref="B1:C1"/>
    <mergeCell ref="B305:B306"/>
    <mergeCell ref="C305:C306"/>
    <mergeCell ref="D305:D306"/>
    <mergeCell ref="E305:E306"/>
  </mergeCells>
  <conditionalFormatting sqref="G1:G3 G5:G390">
    <cfRule type="cellIs" dxfId="1" priority="3" stopIfTrue="1" operator="between">
      <formula>0.009</formula>
      <formula>-0.009</formula>
    </cfRule>
  </conditionalFormatting>
  <hyperlinks>
    <hyperlink ref="A2" location="Index!A1" display="-" xr:uid="{7C76F5D6-BF6A-4EA3-ABA2-81A4035E120B}"/>
  </hyperlinks>
  <pageMargins left="0.7" right="0.7" top="0.75" bottom="0.75" header="0.3" footer="0.3"/>
  <pageSetup paperSize="9" scale="4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36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9BF7-4A23-48EF-BE05-FD0541FF9F24}">
  <dimension ref="A1:I403"/>
  <sheetViews>
    <sheetView view="pageBreakPreview" topLeftCell="A312" zoomScale="80" zoomScaleNormal="100" zoomScaleSheetLayoutView="80" workbookViewId="0">
      <selection activeCell="B347" sqref="B347"/>
    </sheetView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20.453125" style="6" customWidth="1"/>
    <col min="4" max="4" width="35.1796875" style="6" customWidth="1"/>
    <col min="5" max="5" width="19.54296875" style="6" customWidth="1"/>
    <col min="6" max="6" width="31.54296875" style="8" bestFit="1" customWidth="1"/>
    <col min="7" max="7" width="17" style="15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160" t="s">
        <v>23</v>
      </c>
      <c r="C1" s="161"/>
      <c r="D1" s="10"/>
      <c r="F1" s="5"/>
      <c r="G1" s="15"/>
    </row>
    <row r="2" spans="1:8" s="1" customFormat="1" ht="14.5" x14ac:dyDescent="0.35">
      <c r="A2" s="68" t="s">
        <v>1495</v>
      </c>
      <c r="F2" s="5"/>
      <c r="G2" s="15"/>
    </row>
    <row r="3" spans="1:8" s="1" customFormat="1" ht="11.5" x14ac:dyDescent="0.25">
      <c r="B3" s="7" t="s">
        <v>9</v>
      </c>
      <c r="C3" s="2"/>
      <c r="D3" s="3"/>
      <c r="E3" s="3"/>
      <c r="F3" s="4"/>
      <c r="G3" s="15"/>
    </row>
    <row r="4" spans="1:8" s="1" customFormat="1" ht="25.5" customHeight="1" x14ac:dyDescent="0.25">
      <c r="B4" s="25" t="s">
        <v>7</v>
      </c>
      <c r="C4" s="25" t="s">
        <v>8</v>
      </c>
      <c r="D4" s="26" t="s">
        <v>180</v>
      </c>
      <c r="E4" s="26" t="s">
        <v>0</v>
      </c>
      <c r="F4" s="27" t="s">
        <v>4</v>
      </c>
      <c r="G4" s="28" t="s">
        <v>5</v>
      </c>
      <c r="H4" s="67" t="s">
        <v>6</v>
      </c>
    </row>
    <row r="5" spans="1:8" ht="10.5" x14ac:dyDescent="0.25">
      <c r="B5" s="30" t="s">
        <v>24</v>
      </c>
      <c r="C5" s="31"/>
      <c r="D5" s="31"/>
      <c r="E5" s="31"/>
      <c r="F5" s="32"/>
      <c r="G5" s="33"/>
      <c r="H5" s="31"/>
    </row>
    <row r="6" spans="1:8" ht="10.5" x14ac:dyDescent="0.25">
      <c r="B6" s="30" t="s">
        <v>25</v>
      </c>
      <c r="C6" s="31"/>
      <c r="D6" s="31"/>
      <c r="E6" s="31"/>
      <c r="F6" s="32"/>
      <c r="G6" s="33"/>
      <c r="H6" s="31"/>
    </row>
    <row r="7" spans="1:8" x14ac:dyDescent="0.2">
      <c r="B7" s="31" t="s">
        <v>26</v>
      </c>
      <c r="C7" s="31" t="s">
        <v>27</v>
      </c>
      <c r="D7" s="31" t="s">
        <v>28</v>
      </c>
      <c r="E7" s="35">
        <v>121540</v>
      </c>
      <c r="F7" s="32">
        <v>937.92417999999998</v>
      </c>
      <c r="G7" s="33">
        <v>6.5672343139537901</v>
      </c>
      <c r="H7" s="36"/>
    </row>
    <row r="8" spans="1:8" x14ac:dyDescent="0.2">
      <c r="B8" s="31" t="s">
        <v>42</v>
      </c>
      <c r="C8" s="31" t="s">
        <v>43</v>
      </c>
      <c r="D8" s="31" t="s">
        <v>44</v>
      </c>
      <c r="E8" s="35">
        <v>54570</v>
      </c>
      <c r="F8" s="32">
        <v>780.78755999999998</v>
      </c>
      <c r="G8" s="33">
        <v>5.4669822628309399</v>
      </c>
      <c r="H8" s="36"/>
    </row>
    <row r="9" spans="1:8" x14ac:dyDescent="0.2">
      <c r="B9" s="31" t="s">
        <v>29</v>
      </c>
      <c r="C9" s="31" t="s">
        <v>30</v>
      </c>
      <c r="D9" s="31" t="s">
        <v>28</v>
      </c>
      <c r="E9" s="35">
        <v>57014</v>
      </c>
      <c r="F9" s="32">
        <v>720.31487600000003</v>
      </c>
      <c r="G9" s="33">
        <v>5.0435596729349399</v>
      </c>
      <c r="H9" s="36"/>
    </row>
    <row r="10" spans="1:8" x14ac:dyDescent="0.2">
      <c r="B10" s="31" t="s">
        <v>31</v>
      </c>
      <c r="C10" s="31" t="s">
        <v>32</v>
      </c>
      <c r="D10" s="31" t="s">
        <v>33</v>
      </c>
      <c r="E10" s="35">
        <v>36538</v>
      </c>
      <c r="F10" s="32">
        <v>689.39898400000004</v>
      </c>
      <c r="G10" s="33">
        <v>4.8270902491603103</v>
      </c>
      <c r="H10" s="36"/>
    </row>
    <row r="11" spans="1:8" x14ac:dyDescent="0.2">
      <c r="B11" s="31" t="s">
        <v>39</v>
      </c>
      <c r="C11" s="31" t="s">
        <v>40</v>
      </c>
      <c r="D11" s="31" t="s">
        <v>41</v>
      </c>
      <c r="E11" s="35">
        <v>9490</v>
      </c>
      <c r="F11" s="32">
        <v>380.92860000000002</v>
      </c>
      <c r="G11" s="33">
        <v>2.6672170591511799</v>
      </c>
      <c r="H11" s="36"/>
    </row>
    <row r="12" spans="1:8" x14ac:dyDescent="0.2">
      <c r="B12" s="31" t="s">
        <v>59</v>
      </c>
      <c r="C12" s="31" t="s">
        <v>60</v>
      </c>
      <c r="D12" s="31" t="s">
        <v>61</v>
      </c>
      <c r="E12" s="35">
        <v>117153</v>
      </c>
      <c r="F12" s="32">
        <v>368.91479700000002</v>
      </c>
      <c r="G12" s="33">
        <v>2.5830978297027101</v>
      </c>
      <c r="H12" s="36"/>
    </row>
    <row r="13" spans="1:8" x14ac:dyDescent="0.2">
      <c r="B13" s="31" t="s">
        <v>34</v>
      </c>
      <c r="C13" s="31" t="s">
        <v>35</v>
      </c>
      <c r="D13" s="31" t="s">
        <v>28</v>
      </c>
      <c r="E13" s="35">
        <v>33268</v>
      </c>
      <c r="F13" s="32">
        <v>355.45194600000002</v>
      </c>
      <c r="G13" s="33">
        <v>2.48883253733031</v>
      </c>
      <c r="H13" s="36"/>
    </row>
    <row r="14" spans="1:8" x14ac:dyDescent="0.2">
      <c r="B14" s="31" t="s">
        <v>75</v>
      </c>
      <c r="C14" s="31" t="s">
        <v>76</v>
      </c>
      <c r="D14" s="31" t="s">
        <v>28</v>
      </c>
      <c r="E14" s="35">
        <v>23246</v>
      </c>
      <c r="F14" s="32">
        <v>294.82901800000002</v>
      </c>
      <c r="G14" s="33">
        <v>2.0643579566942201</v>
      </c>
      <c r="H14" s="36"/>
    </row>
    <row r="15" spans="1:8" x14ac:dyDescent="0.2">
      <c r="B15" s="31" t="s">
        <v>80</v>
      </c>
      <c r="C15" s="31" t="s">
        <v>81</v>
      </c>
      <c r="D15" s="31" t="s">
        <v>28</v>
      </c>
      <c r="E15" s="35">
        <v>57860</v>
      </c>
      <c r="F15" s="32">
        <v>221.77737999999999</v>
      </c>
      <c r="G15" s="33">
        <v>1.5528590168074901</v>
      </c>
      <c r="H15" s="36"/>
    </row>
    <row r="16" spans="1:8" x14ac:dyDescent="0.2">
      <c r="B16" s="31" t="s">
        <v>36</v>
      </c>
      <c r="C16" s="31" t="s">
        <v>37</v>
      </c>
      <c r="D16" s="31" t="s">
        <v>38</v>
      </c>
      <c r="E16" s="35">
        <v>7006</v>
      </c>
      <c r="F16" s="32">
        <v>217.01085</v>
      </c>
      <c r="G16" s="33">
        <v>1.5194843368045801</v>
      </c>
      <c r="H16" s="36"/>
    </row>
    <row r="17" spans="2:8" x14ac:dyDescent="0.2">
      <c r="B17" s="31" t="s">
        <v>92</v>
      </c>
      <c r="C17" s="31" t="s">
        <v>93</v>
      </c>
      <c r="D17" s="31" t="s">
        <v>94</v>
      </c>
      <c r="E17" s="35">
        <v>10202</v>
      </c>
      <c r="F17" s="32">
        <v>184.482766</v>
      </c>
      <c r="G17" s="33">
        <v>1.29172653508976</v>
      </c>
      <c r="H17" s="36"/>
    </row>
    <row r="18" spans="2:8" x14ac:dyDescent="0.2">
      <c r="B18" s="31" t="s">
        <v>440</v>
      </c>
      <c r="C18" s="31" t="s">
        <v>441</v>
      </c>
      <c r="D18" s="31" t="s">
        <v>442</v>
      </c>
      <c r="E18" s="35">
        <v>10927</v>
      </c>
      <c r="F18" s="32">
        <v>181.09317100000001</v>
      </c>
      <c r="G18" s="33">
        <v>1.2679929913033099</v>
      </c>
      <c r="H18" s="36"/>
    </row>
    <row r="19" spans="2:8" x14ac:dyDescent="0.2">
      <c r="B19" s="31" t="s">
        <v>48</v>
      </c>
      <c r="C19" s="31" t="s">
        <v>49</v>
      </c>
      <c r="D19" s="31" t="s">
        <v>50</v>
      </c>
      <c r="E19" s="35">
        <v>14760</v>
      </c>
      <c r="F19" s="32">
        <v>174.43368000000001</v>
      </c>
      <c r="G19" s="33">
        <v>1.2213640219886801</v>
      </c>
      <c r="H19" s="36"/>
    </row>
    <row r="20" spans="2:8" x14ac:dyDescent="0.2">
      <c r="B20" s="31" t="s">
        <v>424</v>
      </c>
      <c r="C20" s="31" t="s">
        <v>425</v>
      </c>
      <c r="D20" s="31" t="s">
        <v>165</v>
      </c>
      <c r="E20" s="35">
        <v>18457</v>
      </c>
      <c r="F20" s="32">
        <v>172.94209000000001</v>
      </c>
      <c r="G20" s="33">
        <v>1.2109200850061099</v>
      </c>
      <c r="H20" s="36"/>
    </row>
    <row r="21" spans="2:8" x14ac:dyDescent="0.2">
      <c r="B21" s="31" t="s">
        <v>68</v>
      </c>
      <c r="C21" s="31" t="s">
        <v>69</v>
      </c>
      <c r="D21" s="31" t="s">
        <v>70</v>
      </c>
      <c r="E21" s="35">
        <v>3421</v>
      </c>
      <c r="F21" s="32">
        <v>146.94221300000001</v>
      </c>
      <c r="G21" s="33">
        <v>1.0288720175461401</v>
      </c>
      <c r="H21" s="36"/>
    </row>
    <row r="22" spans="2:8" x14ac:dyDescent="0.2">
      <c r="B22" s="31" t="s">
        <v>45</v>
      </c>
      <c r="C22" s="31" t="s">
        <v>46</v>
      </c>
      <c r="D22" s="31" t="s">
        <v>47</v>
      </c>
      <c r="E22" s="35">
        <v>35515</v>
      </c>
      <c r="F22" s="32">
        <v>141.75812250000001</v>
      </c>
      <c r="G22" s="33">
        <v>0.99257362824750395</v>
      </c>
      <c r="H22" s="36"/>
    </row>
    <row r="23" spans="2:8" x14ac:dyDescent="0.2">
      <c r="B23" s="31" t="s">
        <v>62</v>
      </c>
      <c r="C23" s="31" t="s">
        <v>63</v>
      </c>
      <c r="D23" s="31" t="s">
        <v>64</v>
      </c>
      <c r="E23" s="35">
        <v>66730</v>
      </c>
      <c r="F23" s="32">
        <v>141.04052799999999</v>
      </c>
      <c r="G23" s="33">
        <v>0.98754911632597098</v>
      </c>
      <c r="H23" s="36"/>
    </row>
    <row r="24" spans="2:8" x14ac:dyDescent="0.2">
      <c r="B24" s="31" t="s">
        <v>428</v>
      </c>
      <c r="C24" s="31" t="s">
        <v>429</v>
      </c>
      <c r="D24" s="31" t="s">
        <v>38</v>
      </c>
      <c r="E24" s="35">
        <v>1030</v>
      </c>
      <c r="F24" s="32">
        <v>137.13419999999999</v>
      </c>
      <c r="G24" s="33">
        <v>0.96019746911376402</v>
      </c>
      <c r="H24" s="36"/>
    </row>
    <row r="25" spans="2:8" x14ac:dyDescent="0.2">
      <c r="B25" s="31" t="s">
        <v>71</v>
      </c>
      <c r="C25" s="31" t="s">
        <v>72</v>
      </c>
      <c r="D25" s="31" t="s">
        <v>53</v>
      </c>
      <c r="E25" s="35">
        <v>8609</v>
      </c>
      <c r="F25" s="32">
        <v>125.570874</v>
      </c>
      <c r="G25" s="33">
        <v>0.87923242640569099</v>
      </c>
      <c r="H25" s="36"/>
    </row>
    <row r="26" spans="2:8" x14ac:dyDescent="0.2">
      <c r="B26" s="31" t="s">
        <v>430</v>
      </c>
      <c r="C26" s="31" t="s">
        <v>431</v>
      </c>
      <c r="D26" s="31" t="s">
        <v>432</v>
      </c>
      <c r="E26" s="35">
        <v>28845</v>
      </c>
      <c r="F26" s="32">
        <v>124.408485</v>
      </c>
      <c r="G26" s="33">
        <v>0.87109351593751005</v>
      </c>
      <c r="H26" s="36"/>
    </row>
    <row r="27" spans="2:8" x14ac:dyDescent="0.2">
      <c r="B27" s="31" t="s">
        <v>433</v>
      </c>
      <c r="C27" s="31" t="s">
        <v>434</v>
      </c>
      <c r="D27" s="31" t="s">
        <v>435</v>
      </c>
      <c r="E27" s="35">
        <v>11732</v>
      </c>
      <c r="F27" s="32">
        <v>121.77816</v>
      </c>
      <c r="G27" s="33">
        <v>0.85267629100057496</v>
      </c>
      <c r="H27" s="36"/>
    </row>
    <row r="28" spans="2:8" x14ac:dyDescent="0.2">
      <c r="B28" s="31" t="s">
        <v>120</v>
      </c>
      <c r="C28" s="31" t="s">
        <v>121</v>
      </c>
      <c r="D28" s="31" t="s">
        <v>122</v>
      </c>
      <c r="E28" s="35">
        <v>980</v>
      </c>
      <c r="F28" s="32">
        <v>113.5428</v>
      </c>
      <c r="G28" s="33">
        <v>0.79501327310102299</v>
      </c>
      <c r="H28" s="36"/>
    </row>
    <row r="29" spans="2:8" x14ac:dyDescent="0.2">
      <c r="B29" s="31" t="s">
        <v>82</v>
      </c>
      <c r="C29" s="31" t="s">
        <v>83</v>
      </c>
      <c r="D29" s="31" t="s">
        <v>84</v>
      </c>
      <c r="E29" s="35">
        <v>45463</v>
      </c>
      <c r="F29" s="32">
        <v>112.3072489</v>
      </c>
      <c r="G29" s="33">
        <v>0.78636209025107895</v>
      </c>
      <c r="H29" s="36"/>
    </row>
    <row r="30" spans="2:8" x14ac:dyDescent="0.2">
      <c r="B30" s="31" t="s">
        <v>143</v>
      </c>
      <c r="C30" s="31" t="s">
        <v>144</v>
      </c>
      <c r="D30" s="31" t="s">
        <v>47</v>
      </c>
      <c r="E30" s="35">
        <v>34215</v>
      </c>
      <c r="F30" s="32">
        <v>108.9234525</v>
      </c>
      <c r="G30" s="33">
        <v>0.76266914757685</v>
      </c>
      <c r="H30" s="36"/>
    </row>
    <row r="31" spans="2:8" x14ac:dyDescent="0.2">
      <c r="B31" s="31" t="s">
        <v>452</v>
      </c>
      <c r="C31" s="31" t="s">
        <v>453</v>
      </c>
      <c r="D31" s="31" t="s">
        <v>84</v>
      </c>
      <c r="E31" s="35">
        <v>2565</v>
      </c>
      <c r="F31" s="32">
        <v>106.30898999999999</v>
      </c>
      <c r="G31" s="33">
        <v>0.74436298999112105</v>
      </c>
      <c r="H31" s="36"/>
    </row>
    <row r="32" spans="2:8" x14ac:dyDescent="0.2">
      <c r="B32" s="31" t="s">
        <v>73</v>
      </c>
      <c r="C32" s="31" t="s">
        <v>74</v>
      </c>
      <c r="D32" s="31" t="s">
        <v>50</v>
      </c>
      <c r="E32" s="35">
        <v>4256</v>
      </c>
      <c r="F32" s="32">
        <v>105.28918400000001</v>
      </c>
      <c r="G32" s="33">
        <v>0.73722242884600198</v>
      </c>
      <c r="H32" s="36"/>
    </row>
    <row r="33" spans="2:8" x14ac:dyDescent="0.2">
      <c r="B33" s="31" t="s">
        <v>566</v>
      </c>
      <c r="C33" s="31" t="s">
        <v>567</v>
      </c>
      <c r="D33" s="31" t="s">
        <v>79</v>
      </c>
      <c r="E33" s="35">
        <v>2773</v>
      </c>
      <c r="F33" s="32">
        <v>100.951065</v>
      </c>
      <c r="G33" s="33">
        <v>0.70684743205807898</v>
      </c>
      <c r="H33" s="36"/>
    </row>
    <row r="34" spans="2:8" x14ac:dyDescent="0.2">
      <c r="B34" s="31" t="s">
        <v>118</v>
      </c>
      <c r="C34" s="31" t="s">
        <v>119</v>
      </c>
      <c r="D34" s="31" t="s">
        <v>64</v>
      </c>
      <c r="E34" s="35">
        <v>7602</v>
      </c>
      <c r="F34" s="32">
        <v>96.127290000000002</v>
      </c>
      <c r="G34" s="33">
        <v>0.67307192932736604</v>
      </c>
      <c r="H34" s="36"/>
    </row>
    <row r="35" spans="2:8" x14ac:dyDescent="0.2">
      <c r="B35" s="31" t="s">
        <v>95</v>
      </c>
      <c r="C35" s="31" t="s">
        <v>96</v>
      </c>
      <c r="D35" s="31" t="s">
        <v>97</v>
      </c>
      <c r="E35" s="35">
        <v>30689</v>
      </c>
      <c r="F35" s="32">
        <v>91.9288995</v>
      </c>
      <c r="G35" s="33">
        <v>0.64367529499069898</v>
      </c>
      <c r="H35" s="36"/>
    </row>
    <row r="36" spans="2:8" x14ac:dyDescent="0.2">
      <c r="B36" s="31" t="s">
        <v>459</v>
      </c>
      <c r="C36" s="31" t="s">
        <v>460</v>
      </c>
      <c r="D36" s="31" t="s">
        <v>461</v>
      </c>
      <c r="E36" s="35">
        <v>8001</v>
      </c>
      <c r="F36" s="32">
        <v>91.579446000000004</v>
      </c>
      <c r="G36" s="33">
        <v>0.64122846286368096</v>
      </c>
      <c r="H36" s="36"/>
    </row>
    <row r="37" spans="2:8" x14ac:dyDescent="0.2">
      <c r="B37" s="31" t="s">
        <v>436</v>
      </c>
      <c r="C37" s="31" t="s">
        <v>437</v>
      </c>
      <c r="D37" s="31" t="s">
        <v>165</v>
      </c>
      <c r="E37" s="35">
        <v>9767</v>
      </c>
      <c r="F37" s="32">
        <v>91.550974499999995</v>
      </c>
      <c r="G37" s="33">
        <v>0.64102910878394104</v>
      </c>
      <c r="H37" s="36"/>
    </row>
    <row r="38" spans="2:8" x14ac:dyDescent="0.2">
      <c r="B38" s="31" t="s">
        <v>147</v>
      </c>
      <c r="C38" s="31" t="s">
        <v>148</v>
      </c>
      <c r="D38" s="31" t="s">
        <v>87</v>
      </c>
      <c r="E38" s="35">
        <v>3656</v>
      </c>
      <c r="F38" s="32">
        <v>89.370919999999998</v>
      </c>
      <c r="G38" s="33">
        <v>0.62576462469878902</v>
      </c>
      <c r="H38" s="36"/>
    </row>
    <row r="39" spans="2:8" x14ac:dyDescent="0.2">
      <c r="B39" s="31" t="s">
        <v>443</v>
      </c>
      <c r="C39" s="31" t="s">
        <v>444</v>
      </c>
      <c r="D39" s="31" t="s">
        <v>38</v>
      </c>
      <c r="E39" s="35">
        <v>872</v>
      </c>
      <c r="F39" s="32">
        <v>87.147679999999994</v>
      </c>
      <c r="G39" s="33">
        <v>0.610197760844021</v>
      </c>
      <c r="H39" s="36"/>
    </row>
    <row r="40" spans="2:8" x14ac:dyDescent="0.2">
      <c r="B40" s="31" t="s">
        <v>445</v>
      </c>
      <c r="C40" s="31" t="s">
        <v>446</v>
      </c>
      <c r="D40" s="31" t="s">
        <v>447</v>
      </c>
      <c r="E40" s="35">
        <v>17866</v>
      </c>
      <c r="F40" s="32">
        <v>86.015856999999997</v>
      </c>
      <c r="G40" s="33">
        <v>0.602272869897162</v>
      </c>
      <c r="H40" s="36"/>
    </row>
    <row r="41" spans="2:8" x14ac:dyDescent="0.2">
      <c r="B41" s="31" t="s">
        <v>487</v>
      </c>
      <c r="C41" s="31" t="s">
        <v>488</v>
      </c>
      <c r="D41" s="31" t="s">
        <v>131</v>
      </c>
      <c r="E41" s="35">
        <v>16701</v>
      </c>
      <c r="F41" s="32">
        <v>85.793036999999998</v>
      </c>
      <c r="G41" s="33">
        <v>0.60071271057827602</v>
      </c>
      <c r="H41" s="36"/>
    </row>
    <row r="42" spans="2:8" x14ac:dyDescent="0.2">
      <c r="B42" s="31" t="s">
        <v>448</v>
      </c>
      <c r="C42" s="31" t="s">
        <v>449</v>
      </c>
      <c r="D42" s="31" t="s">
        <v>122</v>
      </c>
      <c r="E42" s="35">
        <v>3050</v>
      </c>
      <c r="F42" s="32">
        <v>85.232249999999993</v>
      </c>
      <c r="G42" s="33">
        <v>0.59678614624850401</v>
      </c>
      <c r="H42" s="36"/>
    </row>
    <row r="43" spans="2:8" x14ac:dyDescent="0.2">
      <c r="B43" s="31" t="s">
        <v>51</v>
      </c>
      <c r="C43" s="31" t="s">
        <v>52</v>
      </c>
      <c r="D43" s="31" t="s">
        <v>53</v>
      </c>
      <c r="E43" s="35">
        <v>1458</v>
      </c>
      <c r="F43" s="32">
        <v>83.485079999999996</v>
      </c>
      <c r="G43" s="33">
        <v>0.58455266829689501</v>
      </c>
      <c r="H43" s="36"/>
    </row>
    <row r="44" spans="2:8" x14ac:dyDescent="0.2">
      <c r="B44" s="31" t="s">
        <v>476</v>
      </c>
      <c r="C44" s="31" t="s">
        <v>477</v>
      </c>
      <c r="D44" s="31" t="s">
        <v>94</v>
      </c>
      <c r="E44" s="35">
        <v>1250</v>
      </c>
      <c r="F44" s="32">
        <v>81.28125</v>
      </c>
      <c r="G44" s="33">
        <v>0.56912171096927799</v>
      </c>
      <c r="H44" s="36"/>
    </row>
    <row r="45" spans="2:8" x14ac:dyDescent="0.2">
      <c r="B45" s="31" t="s">
        <v>157</v>
      </c>
      <c r="C45" s="31" t="s">
        <v>158</v>
      </c>
      <c r="D45" s="31" t="s">
        <v>38</v>
      </c>
      <c r="E45" s="35">
        <v>1082</v>
      </c>
      <c r="F45" s="32">
        <v>76.919380000000004</v>
      </c>
      <c r="G45" s="33">
        <v>0.538580412484995</v>
      </c>
      <c r="H45" s="36"/>
    </row>
    <row r="46" spans="2:8" x14ac:dyDescent="0.2">
      <c r="B46" s="31" t="s">
        <v>139</v>
      </c>
      <c r="C46" s="31" t="s">
        <v>140</v>
      </c>
      <c r="D46" s="31" t="s">
        <v>94</v>
      </c>
      <c r="E46" s="35">
        <v>5789</v>
      </c>
      <c r="F46" s="32">
        <v>76.582680999999994</v>
      </c>
      <c r="G46" s="33">
        <v>0.53622288586032296</v>
      </c>
      <c r="H46" s="36"/>
    </row>
    <row r="47" spans="2:8" x14ac:dyDescent="0.2">
      <c r="B47" s="31" t="s">
        <v>464</v>
      </c>
      <c r="C47" s="31" t="s">
        <v>465</v>
      </c>
      <c r="D47" s="31" t="s">
        <v>94</v>
      </c>
      <c r="E47" s="35">
        <v>5522</v>
      </c>
      <c r="F47" s="32">
        <v>72.316112000000004</v>
      </c>
      <c r="G47" s="33">
        <v>0.50634887372039605</v>
      </c>
      <c r="H47" s="36"/>
    </row>
    <row r="48" spans="2:8" x14ac:dyDescent="0.2">
      <c r="B48" s="31" t="s">
        <v>456</v>
      </c>
      <c r="C48" s="31" t="s">
        <v>457</v>
      </c>
      <c r="D48" s="31" t="s">
        <v>458</v>
      </c>
      <c r="E48" s="35">
        <v>943</v>
      </c>
      <c r="F48" s="32">
        <v>72.012195000000006</v>
      </c>
      <c r="G48" s="33">
        <v>0.50422088278727595</v>
      </c>
      <c r="H48" s="36"/>
    </row>
    <row r="49" spans="2:8" x14ac:dyDescent="0.2">
      <c r="B49" s="31" t="s">
        <v>450</v>
      </c>
      <c r="C49" s="31" t="s">
        <v>451</v>
      </c>
      <c r="D49" s="31" t="s">
        <v>165</v>
      </c>
      <c r="E49" s="35">
        <v>3985</v>
      </c>
      <c r="F49" s="32">
        <v>69.625919999999994</v>
      </c>
      <c r="G49" s="33">
        <v>0.48751246712138502</v>
      </c>
      <c r="H49" s="36"/>
    </row>
    <row r="50" spans="2:8" x14ac:dyDescent="0.2">
      <c r="B50" s="31" t="s">
        <v>474</v>
      </c>
      <c r="C50" s="31" t="s">
        <v>475</v>
      </c>
      <c r="D50" s="31" t="s">
        <v>58</v>
      </c>
      <c r="E50" s="35">
        <v>16697</v>
      </c>
      <c r="F50" s="32">
        <v>68.441002999999995</v>
      </c>
      <c r="G50" s="33">
        <v>0.479215818258374</v>
      </c>
      <c r="H50" s="36"/>
    </row>
    <row r="51" spans="2:8" x14ac:dyDescent="0.2">
      <c r="B51" s="31" t="s">
        <v>462</v>
      </c>
      <c r="C51" s="31" t="s">
        <v>463</v>
      </c>
      <c r="D51" s="31" t="s">
        <v>458</v>
      </c>
      <c r="E51" s="35">
        <v>6747</v>
      </c>
      <c r="F51" s="32">
        <v>67.001083499999993</v>
      </c>
      <c r="G51" s="33">
        <v>0.46913367201310802</v>
      </c>
      <c r="H51" s="36"/>
    </row>
    <row r="52" spans="2:8" x14ac:dyDescent="0.2">
      <c r="B52" s="31" t="s">
        <v>478</v>
      </c>
      <c r="C52" s="31" t="s">
        <v>479</v>
      </c>
      <c r="D52" s="31" t="s">
        <v>432</v>
      </c>
      <c r="E52" s="35">
        <v>1533</v>
      </c>
      <c r="F52" s="32">
        <v>66.513803999999993</v>
      </c>
      <c r="G52" s="33">
        <v>0.46572179851509599</v>
      </c>
      <c r="H52" s="36"/>
    </row>
    <row r="53" spans="2:8" x14ac:dyDescent="0.2">
      <c r="B53" s="31" t="s">
        <v>472</v>
      </c>
      <c r="C53" s="31" t="s">
        <v>473</v>
      </c>
      <c r="D53" s="31" t="s">
        <v>47</v>
      </c>
      <c r="E53" s="35">
        <v>29962</v>
      </c>
      <c r="F53" s="32">
        <v>66.470697000000001</v>
      </c>
      <c r="G53" s="33">
        <v>0.46541996839320798</v>
      </c>
      <c r="H53" s="36"/>
    </row>
    <row r="54" spans="2:8" x14ac:dyDescent="0.2">
      <c r="B54" s="31" t="s">
        <v>480</v>
      </c>
      <c r="C54" s="31" t="s">
        <v>481</v>
      </c>
      <c r="D54" s="31" t="s">
        <v>38</v>
      </c>
      <c r="E54" s="35">
        <v>1860</v>
      </c>
      <c r="F54" s="32">
        <v>64.967939999999999</v>
      </c>
      <c r="G54" s="33">
        <v>0.454897841395763</v>
      </c>
      <c r="H54" s="36"/>
    </row>
    <row r="55" spans="2:8" x14ac:dyDescent="0.2">
      <c r="B55" s="31" t="s">
        <v>581</v>
      </c>
      <c r="C55" s="31" t="s">
        <v>582</v>
      </c>
      <c r="D55" s="31" t="s">
        <v>33</v>
      </c>
      <c r="E55" s="35">
        <v>15075</v>
      </c>
      <c r="F55" s="32">
        <v>61.799962499999999</v>
      </c>
      <c r="G55" s="33">
        <v>0.43271603716523999</v>
      </c>
      <c r="H55" s="36"/>
    </row>
    <row r="56" spans="2:8" x14ac:dyDescent="0.2">
      <c r="B56" s="31" t="s">
        <v>484</v>
      </c>
      <c r="C56" s="31" t="s">
        <v>485</v>
      </c>
      <c r="D56" s="31" t="s">
        <v>486</v>
      </c>
      <c r="E56" s="35">
        <v>1095</v>
      </c>
      <c r="F56" s="32">
        <v>57.667079999999999</v>
      </c>
      <c r="G56" s="33">
        <v>0.40377808210629401</v>
      </c>
      <c r="H56" s="36"/>
    </row>
    <row r="57" spans="2:8" x14ac:dyDescent="0.2">
      <c r="B57" s="31" t="s">
        <v>466</v>
      </c>
      <c r="C57" s="31" t="s">
        <v>467</v>
      </c>
      <c r="D57" s="31" t="s">
        <v>38</v>
      </c>
      <c r="E57" s="35">
        <v>16440</v>
      </c>
      <c r="F57" s="32">
        <v>56.150820000000003</v>
      </c>
      <c r="G57" s="33">
        <v>0.39316140869792199</v>
      </c>
      <c r="H57" s="36"/>
    </row>
    <row r="58" spans="2:8" x14ac:dyDescent="0.2">
      <c r="B58" s="31" t="s">
        <v>454</v>
      </c>
      <c r="C58" s="31" t="s">
        <v>455</v>
      </c>
      <c r="D58" s="31" t="s">
        <v>165</v>
      </c>
      <c r="E58" s="35">
        <v>22691</v>
      </c>
      <c r="F58" s="32">
        <v>55.9038167</v>
      </c>
      <c r="G58" s="33">
        <v>0.39143192076914302</v>
      </c>
      <c r="H58" s="36"/>
    </row>
    <row r="59" spans="2:8" x14ac:dyDescent="0.2">
      <c r="B59" s="31" t="s">
        <v>577</v>
      </c>
      <c r="C59" s="31" t="s">
        <v>578</v>
      </c>
      <c r="D59" s="31" t="s">
        <v>94</v>
      </c>
      <c r="E59" s="35">
        <v>2416</v>
      </c>
      <c r="F59" s="32">
        <v>55.693632000000001</v>
      </c>
      <c r="G59" s="33">
        <v>0.38996023232828397</v>
      </c>
      <c r="H59" s="36"/>
    </row>
    <row r="60" spans="2:8" x14ac:dyDescent="0.2">
      <c r="B60" s="31" t="s">
        <v>90</v>
      </c>
      <c r="C60" s="31" t="s">
        <v>91</v>
      </c>
      <c r="D60" s="31" t="s">
        <v>28</v>
      </c>
      <c r="E60" s="35">
        <v>19335</v>
      </c>
      <c r="F60" s="32">
        <v>55.481782500000001</v>
      </c>
      <c r="G60" s="33">
        <v>0.38847688715448297</v>
      </c>
      <c r="H60" s="36"/>
    </row>
    <row r="61" spans="2:8" x14ac:dyDescent="0.2">
      <c r="B61" s="31" t="s">
        <v>482</v>
      </c>
      <c r="C61" s="31" t="s">
        <v>483</v>
      </c>
      <c r="D61" s="31" t="s">
        <v>47</v>
      </c>
      <c r="E61" s="35">
        <v>12252</v>
      </c>
      <c r="F61" s="32">
        <v>54.466265999999997</v>
      </c>
      <c r="G61" s="33">
        <v>0.38136636058165702</v>
      </c>
      <c r="H61" s="36"/>
    </row>
    <row r="62" spans="2:8" x14ac:dyDescent="0.2">
      <c r="B62" s="31" t="s">
        <v>568</v>
      </c>
      <c r="C62" s="31" t="s">
        <v>569</v>
      </c>
      <c r="D62" s="31" t="s">
        <v>500</v>
      </c>
      <c r="E62" s="35">
        <v>97788</v>
      </c>
      <c r="F62" s="32">
        <v>54.350570400000002</v>
      </c>
      <c r="G62" s="33">
        <v>0.38055627365726002</v>
      </c>
      <c r="H62" s="36"/>
    </row>
    <row r="63" spans="2:8" x14ac:dyDescent="0.2">
      <c r="B63" s="31" t="s">
        <v>438</v>
      </c>
      <c r="C63" s="31" t="s">
        <v>439</v>
      </c>
      <c r="D63" s="31" t="s">
        <v>50</v>
      </c>
      <c r="E63" s="35">
        <v>4441</v>
      </c>
      <c r="F63" s="32">
        <v>53.252031000000002</v>
      </c>
      <c r="G63" s="33">
        <v>0.37286443054590102</v>
      </c>
      <c r="H63" s="36"/>
    </row>
    <row r="64" spans="2:8" x14ac:dyDescent="0.2">
      <c r="B64" s="31" t="s">
        <v>609</v>
      </c>
      <c r="C64" s="31" t="s">
        <v>610</v>
      </c>
      <c r="D64" s="31" t="s">
        <v>84</v>
      </c>
      <c r="E64" s="35">
        <v>5243</v>
      </c>
      <c r="F64" s="32">
        <v>51.006525500000002</v>
      </c>
      <c r="G64" s="33">
        <v>0.35714166629029598</v>
      </c>
      <c r="H64" s="36"/>
    </row>
    <row r="65" spans="2:8" x14ac:dyDescent="0.2">
      <c r="B65" s="31" t="s">
        <v>626</v>
      </c>
      <c r="C65" s="31" t="s">
        <v>627</v>
      </c>
      <c r="D65" s="31" t="s">
        <v>442</v>
      </c>
      <c r="E65" s="35">
        <v>52651</v>
      </c>
      <c r="F65" s="32">
        <v>50.7713593</v>
      </c>
      <c r="G65" s="33">
        <v>0.355495060337433</v>
      </c>
      <c r="H65" s="36"/>
    </row>
    <row r="66" spans="2:8" x14ac:dyDescent="0.2">
      <c r="B66" s="31" t="s">
        <v>112</v>
      </c>
      <c r="C66" s="31" t="s">
        <v>113</v>
      </c>
      <c r="D66" s="31" t="s">
        <v>38</v>
      </c>
      <c r="E66" s="35">
        <v>994</v>
      </c>
      <c r="F66" s="32">
        <v>50.684060000000002</v>
      </c>
      <c r="G66" s="33">
        <v>0.35488380095125899</v>
      </c>
      <c r="H66" s="36"/>
    </row>
    <row r="67" spans="2:8" x14ac:dyDescent="0.2">
      <c r="B67" s="31" t="s">
        <v>603</v>
      </c>
      <c r="C67" s="31" t="s">
        <v>604</v>
      </c>
      <c r="D67" s="31" t="s">
        <v>461</v>
      </c>
      <c r="E67" s="35">
        <v>6538</v>
      </c>
      <c r="F67" s="32">
        <v>50.669499999999999</v>
      </c>
      <c r="G67" s="33">
        <v>0.35478185355119202</v>
      </c>
      <c r="H67" s="36"/>
    </row>
    <row r="68" spans="2:8" x14ac:dyDescent="0.2">
      <c r="B68" s="31" t="s">
        <v>77</v>
      </c>
      <c r="C68" s="31" t="s">
        <v>78</v>
      </c>
      <c r="D68" s="31" t="s">
        <v>79</v>
      </c>
      <c r="E68" s="35">
        <v>1680</v>
      </c>
      <c r="F68" s="32">
        <v>49.921199999999999</v>
      </c>
      <c r="G68" s="33">
        <v>0.34954234534581502</v>
      </c>
      <c r="H68" s="36"/>
    </row>
    <row r="69" spans="2:8" x14ac:dyDescent="0.2">
      <c r="B69" s="31" t="s">
        <v>127</v>
      </c>
      <c r="C69" s="31" t="s">
        <v>128</v>
      </c>
      <c r="D69" s="31" t="s">
        <v>44</v>
      </c>
      <c r="E69" s="35">
        <v>16558</v>
      </c>
      <c r="F69" s="32">
        <v>49.748511000000001</v>
      </c>
      <c r="G69" s="33">
        <v>0.34833319736709201</v>
      </c>
      <c r="H69" s="36"/>
    </row>
    <row r="70" spans="2:8" x14ac:dyDescent="0.2">
      <c r="B70" s="31" t="s">
        <v>489</v>
      </c>
      <c r="C70" s="31" t="s">
        <v>490</v>
      </c>
      <c r="D70" s="31" t="s">
        <v>84</v>
      </c>
      <c r="E70" s="35">
        <v>1070</v>
      </c>
      <c r="F70" s="32">
        <v>49.069130000000001</v>
      </c>
      <c r="G70" s="33">
        <v>0.34357625185850299</v>
      </c>
      <c r="H70" s="36"/>
    </row>
    <row r="71" spans="2:8" x14ac:dyDescent="0.2">
      <c r="B71" s="31" t="s">
        <v>570</v>
      </c>
      <c r="C71" s="31" t="s">
        <v>571</v>
      </c>
      <c r="D71" s="31" t="s">
        <v>28</v>
      </c>
      <c r="E71" s="35">
        <v>5286</v>
      </c>
      <c r="F71" s="32">
        <v>48.422403000000003</v>
      </c>
      <c r="G71" s="33">
        <v>0.339047945800586</v>
      </c>
      <c r="H71" s="36"/>
    </row>
    <row r="72" spans="2:8" x14ac:dyDescent="0.2">
      <c r="B72" s="31" t="s">
        <v>129</v>
      </c>
      <c r="C72" s="31" t="s">
        <v>130</v>
      </c>
      <c r="D72" s="31" t="s">
        <v>131</v>
      </c>
      <c r="E72" s="35">
        <v>3605</v>
      </c>
      <c r="F72" s="32">
        <v>47.787880000000001</v>
      </c>
      <c r="G72" s="33">
        <v>0.33460509070904398</v>
      </c>
      <c r="H72" s="36"/>
    </row>
    <row r="73" spans="2:8" x14ac:dyDescent="0.2">
      <c r="B73" s="31" t="s">
        <v>491</v>
      </c>
      <c r="C73" s="31" t="s">
        <v>492</v>
      </c>
      <c r="D73" s="31" t="s">
        <v>165</v>
      </c>
      <c r="E73" s="35">
        <v>2979</v>
      </c>
      <c r="F73" s="32">
        <v>46.558790999999999</v>
      </c>
      <c r="G73" s="33">
        <v>0.325999154719951</v>
      </c>
      <c r="H73" s="36"/>
    </row>
    <row r="74" spans="2:8" x14ac:dyDescent="0.2">
      <c r="B74" s="31" t="s">
        <v>572</v>
      </c>
      <c r="C74" s="31" t="s">
        <v>573</v>
      </c>
      <c r="D74" s="31" t="s">
        <v>28</v>
      </c>
      <c r="E74" s="35">
        <v>4531</v>
      </c>
      <c r="F74" s="32">
        <v>46.032694499999998</v>
      </c>
      <c r="G74" s="33">
        <v>0.32231548917328501</v>
      </c>
      <c r="H74" s="36"/>
    </row>
    <row r="75" spans="2:8" x14ac:dyDescent="0.2">
      <c r="B75" s="31" t="s">
        <v>426</v>
      </c>
      <c r="C75" s="31" t="s">
        <v>427</v>
      </c>
      <c r="D75" s="31" t="s">
        <v>61</v>
      </c>
      <c r="E75" s="35">
        <v>2019</v>
      </c>
      <c r="F75" s="32">
        <v>45.445670999999997</v>
      </c>
      <c r="G75" s="33">
        <v>0.31820521996975798</v>
      </c>
      <c r="H75" s="36"/>
    </row>
    <row r="76" spans="2:8" x14ac:dyDescent="0.2">
      <c r="B76" s="31" t="s">
        <v>579</v>
      </c>
      <c r="C76" s="31" t="s">
        <v>580</v>
      </c>
      <c r="D76" s="31" t="s">
        <v>500</v>
      </c>
      <c r="E76" s="35">
        <v>1015</v>
      </c>
      <c r="F76" s="32">
        <v>45.33193</v>
      </c>
      <c r="G76" s="33">
        <v>0.31740881892367001</v>
      </c>
      <c r="H76" s="36"/>
    </row>
    <row r="77" spans="2:8" x14ac:dyDescent="0.2">
      <c r="B77" s="31" t="s">
        <v>498</v>
      </c>
      <c r="C77" s="31" t="s">
        <v>499</v>
      </c>
      <c r="D77" s="31" t="s">
        <v>500</v>
      </c>
      <c r="E77" s="35">
        <v>5505</v>
      </c>
      <c r="F77" s="32">
        <v>44.774917500000001</v>
      </c>
      <c r="G77" s="33">
        <v>0.31350868319702602</v>
      </c>
      <c r="H77" s="36"/>
    </row>
    <row r="78" spans="2:8" x14ac:dyDescent="0.2">
      <c r="B78" s="31" t="s">
        <v>493</v>
      </c>
      <c r="C78" s="31" t="s">
        <v>494</v>
      </c>
      <c r="D78" s="31" t="s">
        <v>165</v>
      </c>
      <c r="E78" s="35">
        <v>9915</v>
      </c>
      <c r="F78" s="32">
        <v>44.458860000000001</v>
      </c>
      <c r="G78" s="33">
        <v>0.31129568591703</v>
      </c>
      <c r="H78" s="36"/>
    </row>
    <row r="79" spans="2:8" x14ac:dyDescent="0.2">
      <c r="B79" s="31" t="s">
        <v>151</v>
      </c>
      <c r="C79" s="31" t="s">
        <v>152</v>
      </c>
      <c r="D79" s="31" t="s">
        <v>135</v>
      </c>
      <c r="E79" s="35">
        <v>1835</v>
      </c>
      <c r="F79" s="32">
        <v>44.194139999999997</v>
      </c>
      <c r="G79" s="33">
        <v>0.30944214774767598</v>
      </c>
      <c r="H79" s="36"/>
    </row>
    <row r="80" spans="2:8" x14ac:dyDescent="0.2">
      <c r="B80" s="31" t="s">
        <v>589</v>
      </c>
      <c r="C80" s="31" t="s">
        <v>590</v>
      </c>
      <c r="D80" s="31" t="s">
        <v>458</v>
      </c>
      <c r="E80" s="35">
        <v>4740</v>
      </c>
      <c r="F80" s="32">
        <v>43.74783</v>
      </c>
      <c r="G80" s="33">
        <v>0.30631713784905001</v>
      </c>
      <c r="H80" s="36"/>
    </row>
    <row r="81" spans="2:8" x14ac:dyDescent="0.2">
      <c r="B81" s="31" t="s">
        <v>54</v>
      </c>
      <c r="C81" s="31" t="s">
        <v>55</v>
      </c>
      <c r="D81" s="31" t="s">
        <v>44</v>
      </c>
      <c r="E81" s="35">
        <v>30560</v>
      </c>
      <c r="F81" s="32">
        <v>43.471600000000002</v>
      </c>
      <c r="G81" s="33">
        <v>0.30438300801934098</v>
      </c>
      <c r="H81" s="36"/>
    </row>
    <row r="82" spans="2:8" x14ac:dyDescent="0.2">
      <c r="B82" s="31" t="s">
        <v>161</v>
      </c>
      <c r="C82" s="31" t="s">
        <v>162</v>
      </c>
      <c r="D82" s="31" t="s">
        <v>94</v>
      </c>
      <c r="E82" s="35">
        <v>3851</v>
      </c>
      <c r="F82" s="32">
        <v>42.397584500000001</v>
      </c>
      <c r="G82" s="33">
        <v>0.29686287835884101</v>
      </c>
      <c r="H82" s="36"/>
    </row>
    <row r="83" spans="2:8" x14ac:dyDescent="0.2">
      <c r="B83" s="31" t="s">
        <v>101</v>
      </c>
      <c r="C83" s="31" t="s">
        <v>102</v>
      </c>
      <c r="D83" s="31" t="s">
        <v>67</v>
      </c>
      <c r="E83" s="35">
        <v>34931</v>
      </c>
      <c r="F83" s="32">
        <v>42.339865099999997</v>
      </c>
      <c r="G83" s="33">
        <v>0.29645873393827499</v>
      </c>
      <c r="H83" s="36"/>
    </row>
    <row r="84" spans="2:8" x14ac:dyDescent="0.2">
      <c r="B84" s="31" t="s">
        <v>518</v>
      </c>
      <c r="C84" s="31" t="s">
        <v>519</v>
      </c>
      <c r="D84" s="31" t="s">
        <v>94</v>
      </c>
      <c r="E84" s="35">
        <v>1007</v>
      </c>
      <c r="F84" s="32">
        <v>42.143957</v>
      </c>
      <c r="G84" s="33">
        <v>0.29508700856415998</v>
      </c>
      <c r="H84" s="36"/>
    </row>
    <row r="85" spans="2:8" x14ac:dyDescent="0.2">
      <c r="B85" s="31" t="s">
        <v>585</v>
      </c>
      <c r="C85" s="31" t="s">
        <v>586</v>
      </c>
      <c r="D85" s="31" t="s">
        <v>500</v>
      </c>
      <c r="E85" s="35">
        <v>11783</v>
      </c>
      <c r="F85" s="32">
        <v>41.524470299999997</v>
      </c>
      <c r="G85" s="33">
        <v>0.29074943586902202</v>
      </c>
      <c r="H85" s="36"/>
    </row>
    <row r="86" spans="2:8" x14ac:dyDescent="0.2">
      <c r="B86" s="31" t="s">
        <v>617</v>
      </c>
      <c r="C86" s="31" t="s">
        <v>618</v>
      </c>
      <c r="D86" s="31" t="s">
        <v>84</v>
      </c>
      <c r="E86" s="35">
        <v>15670</v>
      </c>
      <c r="F86" s="32">
        <v>41.487892000000002</v>
      </c>
      <c r="G86" s="33">
        <v>0.29049331893331598</v>
      </c>
      <c r="H86" s="36"/>
    </row>
    <row r="87" spans="2:8" x14ac:dyDescent="0.2">
      <c r="B87" s="31" t="s">
        <v>503</v>
      </c>
      <c r="C87" s="31" t="s">
        <v>504</v>
      </c>
      <c r="D87" s="31" t="s">
        <v>28</v>
      </c>
      <c r="E87" s="35">
        <v>14939</v>
      </c>
      <c r="F87" s="32">
        <v>39.358289399999997</v>
      </c>
      <c r="G87" s="33">
        <v>0.27558209309221998</v>
      </c>
      <c r="H87" s="36"/>
    </row>
    <row r="88" spans="2:8" x14ac:dyDescent="0.2">
      <c r="B88" s="31" t="s">
        <v>587</v>
      </c>
      <c r="C88" s="31" t="s">
        <v>588</v>
      </c>
      <c r="D88" s="31" t="s">
        <v>67</v>
      </c>
      <c r="E88" s="35">
        <v>2083</v>
      </c>
      <c r="F88" s="32">
        <v>39.193728</v>
      </c>
      <c r="G88" s="33">
        <v>0.274429853608606</v>
      </c>
      <c r="H88" s="36"/>
    </row>
    <row r="89" spans="2:8" x14ac:dyDescent="0.2">
      <c r="B89" s="31" t="s">
        <v>105</v>
      </c>
      <c r="C89" s="31" t="s">
        <v>106</v>
      </c>
      <c r="D89" s="31" t="s">
        <v>50</v>
      </c>
      <c r="E89" s="35">
        <v>2659</v>
      </c>
      <c r="F89" s="32">
        <v>39.180365000000002</v>
      </c>
      <c r="G89" s="33">
        <v>0.27433628746114003</v>
      </c>
      <c r="H89" s="36"/>
    </row>
    <row r="90" spans="2:8" x14ac:dyDescent="0.2">
      <c r="B90" s="31" t="s">
        <v>137</v>
      </c>
      <c r="C90" s="31" t="s">
        <v>138</v>
      </c>
      <c r="D90" s="31" t="s">
        <v>58</v>
      </c>
      <c r="E90" s="35">
        <v>23165</v>
      </c>
      <c r="F90" s="32">
        <v>37.548148500000003</v>
      </c>
      <c r="G90" s="33">
        <v>0.26290770033739003</v>
      </c>
      <c r="H90" s="36"/>
    </row>
    <row r="91" spans="2:8" x14ac:dyDescent="0.2">
      <c r="B91" s="31" t="s">
        <v>834</v>
      </c>
      <c r="C91" s="31" t="s">
        <v>835</v>
      </c>
      <c r="D91" s="31" t="s">
        <v>70</v>
      </c>
      <c r="E91" s="35">
        <v>7987</v>
      </c>
      <c r="F91" s="32">
        <v>37.303283499999999</v>
      </c>
      <c r="G91" s="33">
        <v>0.26119318453262003</v>
      </c>
      <c r="H91" s="36"/>
    </row>
    <row r="92" spans="2:8" x14ac:dyDescent="0.2">
      <c r="B92" s="31" t="s">
        <v>591</v>
      </c>
      <c r="C92" s="31" t="s">
        <v>592</v>
      </c>
      <c r="D92" s="31" t="s">
        <v>28</v>
      </c>
      <c r="E92" s="35">
        <v>53550</v>
      </c>
      <c r="F92" s="32">
        <v>37.29222</v>
      </c>
      <c r="G92" s="33">
        <v>0.26111571921252102</v>
      </c>
      <c r="H92" s="36"/>
    </row>
    <row r="93" spans="2:8" x14ac:dyDescent="0.2">
      <c r="B93" s="31" t="s">
        <v>107</v>
      </c>
      <c r="C93" s="31" t="s">
        <v>108</v>
      </c>
      <c r="D93" s="31" t="s">
        <v>109</v>
      </c>
      <c r="E93" s="35">
        <v>13647</v>
      </c>
      <c r="F93" s="32">
        <v>37.058428499999998</v>
      </c>
      <c r="G93" s="33">
        <v>0.25947873874666799</v>
      </c>
      <c r="H93" s="36"/>
    </row>
    <row r="94" spans="2:8" x14ac:dyDescent="0.2">
      <c r="B94" s="31" t="s">
        <v>507</v>
      </c>
      <c r="C94" s="31" t="s">
        <v>508</v>
      </c>
      <c r="D94" s="31" t="s">
        <v>28</v>
      </c>
      <c r="E94" s="35">
        <v>27424</v>
      </c>
      <c r="F94" s="32">
        <v>36.926416000000003</v>
      </c>
      <c r="G94" s="33">
        <v>0.258554402815942</v>
      </c>
      <c r="H94" s="36"/>
    </row>
    <row r="95" spans="2:8" x14ac:dyDescent="0.2">
      <c r="B95" s="31" t="s">
        <v>501</v>
      </c>
      <c r="C95" s="31" t="s">
        <v>502</v>
      </c>
      <c r="D95" s="31" t="s">
        <v>79</v>
      </c>
      <c r="E95" s="35">
        <v>1353</v>
      </c>
      <c r="F95" s="32">
        <v>36.701478000000002</v>
      </c>
      <c r="G95" s="33">
        <v>0.25697941351124998</v>
      </c>
      <c r="H95" s="36"/>
    </row>
    <row r="96" spans="2:8" x14ac:dyDescent="0.2">
      <c r="B96" s="31" t="s">
        <v>509</v>
      </c>
      <c r="C96" s="31" t="s">
        <v>510</v>
      </c>
      <c r="D96" s="31" t="s">
        <v>64</v>
      </c>
      <c r="E96" s="35">
        <v>3000</v>
      </c>
      <c r="F96" s="32">
        <v>36.692999999999998</v>
      </c>
      <c r="G96" s="33">
        <v>0.25692005155673298</v>
      </c>
      <c r="H96" s="36"/>
    </row>
    <row r="97" spans="2:8" x14ac:dyDescent="0.2">
      <c r="B97" s="31" t="s">
        <v>495</v>
      </c>
      <c r="C97" s="31" t="s">
        <v>496</v>
      </c>
      <c r="D97" s="31" t="s">
        <v>497</v>
      </c>
      <c r="E97" s="35">
        <v>5386</v>
      </c>
      <c r="F97" s="32">
        <v>34.246881000000002</v>
      </c>
      <c r="G97" s="33">
        <v>0.23979261527204901</v>
      </c>
      <c r="H97" s="36"/>
    </row>
    <row r="98" spans="2:8" x14ac:dyDescent="0.2">
      <c r="B98" s="31" t="s">
        <v>505</v>
      </c>
      <c r="C98" s="31" t="s">
        <v>506</v>
      </c>
      <c r="D98" s="31" t="s">
        <v>47</v>
      </c>
      <c r="E98" s="35">
        <v>2551</v>
      </c>
      <c r="F98" s="32">
        <v>34.240797499999999</v>
      </c>
      <c r="G98" s="33">
        <v>0.23975001932367601</v>
      </c>
      <c r="H98" s="36"/>
    </row>
    <row r="99" spans="2:8" x14ac:dyDescent="0.2">
      <c r="B99" s="31" t="s">
        <v>601</v>
      </c>
      <c r="C99" s="31" t="s">
        <v>602</v>
      </c>
      <c r="D99" s="31" t="s">
        <v>500</v>
      </c>
      <c r="E99" s="35">
        <v>100</v>
      </c>
      <c r="F99" s="32">
        <v>33.549999999999997</v>
      </c>
      <c r="G99" s="33">
        <v>0.23491313683068701</v>
      </c>
      <c r="H99" s="36"/>
    </row>
    <row r="100" spans="2:8" x14ac:dyDescent="0.2">
      <c r="B100" s="31" t="s">
        <v>523</v>
      </c>
      <c r="C100" s="31" t="s">
        <v>524</v>
      </c>
      <c r="D100" s="31" t="s">
        <v>525</v>
      </c>
      <c r="E100" s="35">
        <v>2435</v>
      </c>
      <c r="F100" s="32">
        <v>33.498294999999999</v>
      </c>
      <c r="G100" s="33">
        <v>0.23455110452845601</v>
      </c>
      <c r="H100" s="36"/>
    </row>
    <row r="101" spans="2:8" x14ac:dyDescent="0.2">
      <c r="B101" s="31" t="s">
        <v>515</v>
      </c>
      <c r="C101" s="31" t="s">
        <v>516</v>
      </c>
      <c r="D101" s="31" t="s">
        <v>517</v>
      </c>
      <c r="E101" s="35">
        <v>20139</v>
      </c>
      <c r="F101" s="32">
        <v>32.872889700000002</v>
      </c>
      <c r="G101" s="33">
        <v>0.23017209049526599</v>
      </c>
      <c r="H101" s="36"/>
    </row>
    <row r="102" spans="2:8" x14ac:dyDescent="0.2">
      <c r="B102" s="31" t="s">
        <v>597</v>
      </c>
      <c r="C102" s="31" t="s">
        <v>598</v>
      </c>
      <c r="D102" s="31" t="s">
        <v>486</v>
      </c>
      <c r="E102" s="35">
        <v>404</v>
      </c>
      <c r="F102" s="32">
        <v>32.766419999999997</v>
      </c>
      <c r="G102" s="33">
        <v>0.22942660223283901</v>
      </c>
      <c r="H102" s="36"/>
    </row>
    <row r="103" spans="2:8" x14ac:dyDescent="0.2">
      <c r="B103" s="31" t="s">
        <v>665</v>
      </c>
      <c r="C103" s="31" t="s">
        <v>666</v>
      </c>
      <c r="D103" s="31" t="s">
        <v>131</v>
      </c>
      <c r="E103" s="35">
        <v>923</v>
      </c>
      <c r="F103" s="32">
        <v>31.595213000000001</v>
      </c>
      <c r="G103" s="33">
        <v>0.221225949170304</v>
      </c>
      <c r="H103" s="36"/>
    </row>
    <row r="104" spans="2:8" x14ac:dyDescent="0.2">
      <c r="B104" s="31" t="s">
        <v>657</v>
      </c>
      <c r="C104" s="31" t="s">
        <v>658</v>
      </c>
      <c r="D104" s="31" t="s">
        <v>33</v>
      </c>
      <c r="E104" s="35">
        <v>306801</v>
      </c>
      <c r="F104" s="32">
        <v>31.355062199999999</v>
      </c>
      <c r="G104" s="33">
        <v>0.219544441637058</v>
      </c>
      <c r="H104" s="36"/>
    </row>
    <row r="105" spans="2:8" x14ac:dyDescent="0.2">
      <c r="B105" s="31" t="s">
        <v>528</v>
      </c>
      <c r="C105" s="31" t="s">
        <v>529</v>
      </c>
      <c r="D105" s="31" t="s">
        <v>500</v>
      </c>
      <c r="E105" s="35">
        <v>432</v>
      </c>
      <c r="F105" s="32">
        <v>31.233599999999999</v>
      </c>
      <c r="G105" s="33">
        <v>0.21869397766065399</v>
      </c>
      <c r="H105" s="36"/>
    </row>
    <row r="106" spans="2:8" x14ac:dyDescent="0.2">
      <c r="B106" s="31" t="s">
        <v>511</v>
      </c>
      <c r="C106" s="31" t="s">
        <v>512</v>
      </c>
      <c r="D106" s="31" t="s">
        <v>165</v>
      </c>
      <c r="E106" s="35">
        <v>298</v>
      </c>
      <c r="F106" s="32">
        <v>30.595659999999999</v>
      </c>
      <c r="G106" s="33">
        <v>0.21422719713875299</v>
      </c>
      <c r="H106" s="36"/>
    </row>
    <row r="107" spans="2:8" x14ac:dyDescent="0.2">
      <c r="B107" s="31" t="s">
        <v>593</v>
      </c>
      <c r="C107" s="31" t="s">
        <v>594</v>
      </c>
      <c r="D107" s="31" t="s">
        <v>576</v>
      </c>
      <c r="E107" s="35">
        <v>2792</v>
      </c>
      <c r="F107" s="32">
        <v>30.594736000000001</v>
      </c>
      <c r="G107" s="33">
        <v>0.214220727399903</v>
      </c>
      <c r="H107" s="36"/>
    </row>
    <row r="108" spans="2:8" x14ac:dyDescent="0.2">
      <c r="B108" s="31" t="s">
        <v>513</v>
      </c>
      <c r="C108" s="31" t="s">
        <v>514</v>
      </c>
      <c r="D108" s="31" t="s">
        <v>165</v>
      </c>
      <c r="E108" s="35">
        <v>8570</v>
      </c>
      <c r="F108" s="32">
        <v>30.363510000000002</v>
      </c>
      <c r="G108" s="33">
        <v>0.21260171026199501</v>
      </c>
      <c r="H108" s="36"/>
    </row>
    <row r="109" spans="2:8" x14ac:dyDescent="0.2">
      <c r="B109" s="31" t="s">
        <v>535</v>
      </c>
      <c r="C109" s="31" t="s">
        <v>536</v>
      </c>
      <c r="D109" s="31" t="s">
        <v>525</v>
      </c>
      <c r="E109" s="35">
        <v>194</v>
      </c>
      <c r="F109" s="32">
        <v>29.95166</v>
      </c>
      <c r="G109" s="33">
        <v>0.20971798521270399</v>
      </c>
      <c r="H109" s="36"/>
    </row>
    <row r="110" spans="2:8" x14ac:dyDescent="0.2">
      <c r="B110" s="31" t="s">
        <v>634</v>
      </c>
      <c r="C110" s="31" t="s">
        <v>635</v>
      </c>
      <c r="D110" s="31" t="s">
        <v>94</v>
      </c>
      <c r="E110" s="35">
        <v>544</v>
      </c>
      <c r="F110" s="32">
        <v>29.376000000000001</v>
      </c>
      <c r="G110" s="33">
        <v>0.205687281893838</v>
      </c>
      <c r="H110" s="36"/>
    </row>
    <row r="111" spans="2:8" x14ac:dyDescent="0.2">
      <c r="B111" s="31" t="s">
        <v>673</v>
      </c>
      <c r="C111" s="31" t="s">
        <v>674</v>
      </c>
      <c r="D111" s="31" t="s">
        <v>84</v>
      </c>
      <c r="E111" s="35">
        <v>24001</v>
      </c>
      <c r="F111" s="32">
        <v>29.350822900000001</v>
      </c>
      <c r="G111" s="33">
        <v>0.205510994813739</v>
      </c>
      <c r="H111" s="36"/>
    </row>
    <row r="112" spans="2:8" x14ac:dyDescent="0.2">
      <c r="B112" s="31" t="s">
        <v>622</v>
      </c>
      <c r="C112" s="31" t="s">
        <v>623</v>
      </c>
      <c r="D112" s="31" t="s">
        <v>435</v>
      </c>
      <c r="E112" s="35">
        <v>7303</v>
      </c>
      <c r="F112" s="32">
        <v>29.160879000000001</v>
      </c>
      <c r="G112" s="33">
        <v>0.20418103006349</v>
      </c>
      <c r="H112" s="36"/>
    </row>
    <row r="113" spans="2:8" x14ac:dyDescent="0.2">
      <c r="B113" s="31" t="s">
        <v>526</v>
      </c>
      <c r="C113" s="31" t="s">
        <v>527</v>
      </c>
      <c r="D113" s="31" t="s">
        <v>47</v>
      </c>
      <c r="E113" s="35">
        <v>2373</v>
      </c>
      <c r="F113" s="32">
        <v>29.120269499999999</v>
      </c>
      <c r="G113" s="33">
        <v>0.20389668714157899</v>
      </c>
      <c r="H113" s="36"/>
    </row>
    <row r="114" spans="2:8" x14ac:dyDescent="0.2">
      <c r="B114" s="31" t="s">
        <v>530</v>
      </c>
      <c r="C114" s="31" t="s">
        <v>531</v>
      </c>
      <c r="D114" s="31" t="s">
        <v>28</v>
      </c>
      <c r="E114" s="35">
        <v>26623</v>
      </c>
      <c r="F114" s="32">
        <v>29.114912799999999</v>
      </c>
      <c r="G114" s="33">
        <v>0.203859180160951</v>
      </c>
      <c r="H114" s="36"/>
    </row>
    <row r="115" spans="2:8" x14ac:dyDescent="0.2">
      <c r="B115" s="31" t="s">
        <v>141</v>
      </c>
      <c r="C115" s="31" t="s">
        <v>142</v>
      </c>
      <c r="D115" s="31" t="s">
        <v>44</v>
      </c>
      <c r="E115" s="35">
        <v>7746</v>
      </c>
      <c r="F115" s="32">
        <v>29.012643000000001</v>
      </c>
      <c r="G115" s="33">
        <v>0.20314309910220199</v>
      </c>
      <c r="H115" s="36"/>
    </row>
    <row r="116" spans="2:8" x14ac:dyDescent="0.2">
      <c r="B116" s="31" t="s">
        <v>532</v>
      </c>
      <c r="C116" s="31" t="s">
        <v>533</v>
      </c>
      <c r="D116" s="31" t="s">
        <v>534</v>
      </c>
      <c r="E116" s="35">
        <v>4930</v>
      </c>
      <c r="F116" s="32">
        <v>28.9391</v>
      </c>
      <c r="G116" s="33">
        <v>0.20262815970363399</v>
      </c>
      <c r="H116" s="36"/>
    </row>
    <row r="117" spans="2:8" x14ac:dyDescent="0.2">
      <c r="B117" s="31" t="s">
        <v>613</v>
      </c>
      <c r="C117" s="31" t="s">
        <v>614</v>
      </c>
      <c r="D117" s="31" t="s">
        <v>525</v>
      </c>
      <c r="E117" s="35">
        <v>1148</v>
      </c>
      <c r="F117" s="32">
        <v>28.913527999999999</v>
      </c>
      <c r="G117" s="33">
        <v>0.20244910758038401</v>
      </c>
      <c r="H117" s="36"/>
    </row>
    <row r="118" spans="2:8" x14ac:dyDescent="0.2">
      <c r="B118" s="31" t="s">
        <v>624</v>
      </c>
      <c r="C118" s="31" t="s">
        <v>625</v>
      </c>
      <c r="D118" s="31" t="s">
        <v>486</v>
      </c>
      <c r="E118" s="35">
        <v>1481</v>
      </c>
      <c r="F118" s="32">
        <v>28.213049999999999</v>
      </c>
      <c r="G118" s="33">
        <v>0.19754444336992599</v>
      </c>
      <c r="H118" s="36"/>
    </row>
    <row r="119" spans="2:8" x14ac:dyDescent="0.2">
      <c r="B119" s="31" t="s">
        <v>607</v>
      </c>
      <c r="C119" s="31" t="s">
        <v>608</v>
      </c>
      <c r="D119" s="31" t="s">
        <v>94</v>
      </c>
      <c r="E119" s="35">
        <v>1996</v>
      </c>
      <c r="F119" s="32">
        <v>27.73442</v>
      </c>
      <c r="G119" s="33">
        <v>0.19419313264917201</v>
      </c>
      <c r="H119" s="36"/>
    </row>
    <row r="120" spans="2:8" x14ac:dyDescent="0.2">
      <c r="B120" s="31" t="s">
        <v>114</v>
      </c>
      <c r="C120" s="31" t="s">
        <v>115</v>
      </c>
      <c r="D120" s="31" t="s">
        <v>28</v>
      </c>
      <c r="E120" s="35">
        <v>133155</v>
      </c>
      <c r="F120" s="32">
        <v>26.537791500000001</v>
      </c>
      <c r="G120" s="33">
        <v>0.18581448124660899</v>
      </c>
      <c r="H120" s="36"/>
    </row>
    <row r="121" spans="2:8" x14ac:dyDescent="0.2">
      <c r="B121" s="31" t="s">
        <v>539</v>
      </c>
      <c r="C121" s="31" t="s">
        <v>540</v>
      </c>
      <c r="D121" s="31" t="s">
        <v>500</v>
      </c>
      <c r="E121" s="35">
        <v>684</v>
      </c>
      <c r="F121" s="32">
        <v>26.048088</v>
      </c>
      <c r="G121" s="33">
        <v>0.18238563518693801</v>
      </c>
      <c r="H121" s="36"/>
    </row>
    <row r="122" spans="2:8" x14ac:dyDescent="0.2">
      <c r="B122" s="31" t="s">
        <v>615</v>
      </c>
      <c r="C122" s="31" t="s">
        <v>616</v>
      </c>
      <c r="D122" s="31" t="s">
        <v>94</v>
      </c>
      <c r="E122" s="35">
        <v>1076</v>
      </c>
      <c r="F122" s="32">
        <v>25.891787999999998</v>
      </c>
      <c r="G122" s="33">
        <v>0.18129124105022801</v>
      </c>
      <c r="H122" s="36"/>
    </row>
    <row r="123" spans="2:8" x14ac:dyDescent="0.2">
      <c r="B123" s="31" t="s">
        <v>619</v>
      </c>
      <c r="C123" s="31" t="s">
        <v>620</v>
      </c>
      <c r="D123" s="31" t="s">
        <v>621</v>
      </c>
      <c r="E123" s="35">
        <v>4011</v>
      </c>
      <c r="F123" s="32">
        <v>25.7446035</v>
      </c>
      <c r="G123" s="33">
        <v>0.18026067256772799</v>
      </c>
      <c r="H123" s="36"/>
    </row>
    <row r="124" spans="2:8" x14ac:dyDescent="0.2">
      <c r="B124" s="31" t="s">
        <v>640</v>
      </c>
      <c r="C124" s="31" t="s">
        <v>641</v>
      </c>
      <c r="D124" s="31" t="s">
        <v>642</v>
      </c>
      <c r="E124" s="35">
        <v>28427</v>
      </c>
      <c r="F124" s="32">
        <v>25.689479899999998</v>
      </c>
      <c r="G124" s="33">
        <v>0.17987470363212801</v>
      </c>
      <c r="H124" s="36"/>
    </row>
    <row r="125" spans="2:8" x14ac:dyDescent="0.2">
      <c r="B125" s="31" t="s">
        <v>630</v>
      </c>
      <c r="C125" s="31" t="s">
        <v>631</v>
      </c>
      <c r="D125" s="31" t="s">
        <v>534</v>
      </c>
      <c r="E125" s="35">
        <v>1440</v>
      </c>
      <c r="F125" s="32">
        <v>25.416</v>
      </c>
      <c r="G125" s="33">
        <v>0.177959829677757</v>
      </c>
      <c r="H125" s="36"/>
    </row>
    <row r="126" spans="2:8" x14ac:dyDescent="0.2">
      <c r="B126" s="31" t="s">
        <v>541</v>
      </c>
      <c r="C126" s="31" t="s">
        <v>542</v>
      </c>
      <c r="D126" s="31" t="s">
        <v>122</v>
      </c>
      <c r="E126" s="35">
        <v>105</v>
      </c>
      <c r="F126" s="32">
        <v>25.40475</v>
      </c>
      <c r="G126" s="33">
        <v>0.17788105850668801</v>
      </c>
      <c r="H126" s="36"/>
    </row>
    <row r="127" spans="2:8" x14ac:dyDescent="0.2">
      <c r="B127" s="31" t="s">
        <v>722</v>
      </c>
      <c r="C127" s="31" t="s">
        <v>723</v>
      </c>
      <c r="D127" s="31" t="s">
        <v>70</v>
      </c>
      <c r="E127" s="35">
        <v>4981</v>
      </c>
      <c r="F127" s="32">
        <v>25.3458185</v>
      </c>
      <c r="G127" s="33">
        <v>0.17746842710510399</v>
      </c>
      <c r="H127" s="36"/>
    </row>
    <row r="128" spans="2:8" x14ac:dyDescent="0.2">
      <c r="B128" s="31" t="s">
        <v>632</v>
      </c>
      <c r="C128" s="31" t="s">
        <v>633</v>
      </c>
      <c r="D128" s="31" t="s">
        <v>87</v>
      </c>
      <c r="E128" s="35">
        <v>1762</v>
      </c>
      <c r="F128" s="32">
        <v>25.203648000000001</v>
      </c>
      <c r="G128" s="33">
        <v>0.176472966058315</v>
      </c>
      <c r="H128" s="36"/>
    </row>
    <row r="129" spans="2:8" x14ac:dyDescent="0.2">
      <c r="B129" s="31" t="s">
        <v>543</v>
      </c>
      <c r="C129" s="31" t="s">
        <v>544</v>
      </c>
      <c r="D129" s="31" t="s">
        <v>28</v>
      </c>
      <c r="E129" s="35">
        <v>15011</v>
      </c>
      <c r="F129" s="32">
        <v>24.909253400000001</v>
      </c>
      <c r="G129" s="33">
        <v>0.17441164984513999</v>
      </c>
      <c r="H129" s="36"/>
    </row>
    <row r="130" spans="2:8" x14ac:dyDescent="0.2">
      <c r="B130" s="31" t="s">
        <v>628</v>
      </c>
      <c r="C130" s="31" t="s">
        <v>629</v>
      </c>
      <c r="D130" s="31" t="s">
        <v>47</v>
      </c>
      <c r="E130" s="35">
        <v>1425</v>
      </c>
      <c r="F130" s="32">
        <v>24.738</v>
      </c>
      <c r="G130" s="33">
        <v>0.17321255376803399</v>
      </c>
      <c r="H130" s="36"/>
    </row>
    <row r="131" spans="2:8" x14ac:dyDescent="0.2">
      <c r="B131" s="31" t="s">
        <v>677</v>
      </c>
      <c r="C131" s="31" t="s">
        <v>678</v>
      </c>
      <c r="D131" s="31" t="s">
        <v>94</v>
      </c>
      <c r="E131" s="35">
        <v>1091</v>
      </c>
      <c r="F131" s="32">
        <v>24.511496999999999</v>
      </c>
      <c r="G131" s="33">
        <v>0.17162660651821099</v>
      </c>
      <c r="H131" s="36"/>
    </row>
    <row r="132" spans="2:8" x14ac:dyDescent="0.2">
      <c r="B132" s="31" t="s">
        <v>636</v>
      </c>
      <c r="C132" s="31" t="s">
        <v>637</v>
      </c>
      <c r="D132" s="31" t="s">
        <v>67</v>
      </c>
      <c r="E132" s="35">
        <v>830</v>
      </c>
      <c r="F132" s="32">
        <v>24.467569999999998</v>
      </c>
      <c r="G132" s="33">
        <v>0.171319034853187</v>
      </c>
      <c r="H132" s="36"/>
    </row>
    <row r="133" spans="2:8" x14ac:dyDescent="0.2">
      <c r="B133" s="31" t="s">
        <v>638</v>
      </c>
      <c r="C133" s="31" t="s">
        <v>639</v>
      </c>
      <c r="D133" s="31" t="s">
        <v>87</v>
      </c>
      <c r="E133" s="35">
        <v>1950</v>
      </c>
      <c r="F133" s="32">
        <v>24.191700000000001</v>
      </c>
      <c r="G133" s="33">
        <v>0.169387425700952</v>
      </c>
      <c r="H133" s="36"/>
    </row>
    <row r="134" spans="2:8" x14ac:dyDescent="0.2">
      <c r="B134" s="31" t="s">
        <v>537</v>
      </c>
      <c r="C134" s="31" t="s">
        <v>538</v>
      </c>
      <c r="D134" s="31" t="s">
        <v>165</v>
      </c>
      <c r="E134" s="35">
        <v>706</v>
      </c>
      <c r="F134" s="32">
        <v>24.174852000000001</v>
      </c>
      <c r="G134" s="33">
        <v>0.16926945799515999</v>
      </c>
      <c r="H134" s="36"/>
    </row>
    <row r="135" spans="2:8" x14ac:dyDescent="0.2">
      <c r="B135" s="31" t="s">
        <v>545</v>
      </c>
      <c r="C135" s="31" t="s">
        <v>546</v>
      </c>
      <c r="D135" s="31" t="s">
        <v>67</v>
      </c>
      <c r="E135" s="35">
        <v>67</v>
      </c>
      <c r="F135" s="32">
        <v>24.11665</v>
      </c>
      <c r="G135" s="33">
        <v>0.16886193446640199</v>
      </c>
      <c r="H135" s="36"/>
    </row>
    <row r="136" spans="2:8" x14ac:dyDescent="0.2">
      <c r="B136" s="31" t="s">
        <v>675</v>
      </c>
      <c r="C136" s="31" t="s">
        <v>676</v>
      </c>
      <c r="D136" s="31" t="s">
        <v>94</v>
      </c>
      <c r="E136" s="35">
        <v>6689</v>
      </c>
      <c r="F136" s="32">
        <v>24.056988499999999</v>
      </c>
      <c r="G136" s="33">
        <v>0.16844419169105099</v>
      </c>
      <c r="H136" s="36"/>
    </row>
    <row r="137" spans="2:8" x14ac:dyDescent="0.2">
      <c r="B137" s="31" t="s">
        <v>470</v>
      </c>
      <c r="C137" s="31" t="s">
        <v>471</v>
      </c>
      <c r="D137" s="31" t="s">
        <v>50</v>
      </c>
      <c r="E137" s="35">
        <v>11985</v>
      </c>
      <c r="F137" s="32">
        <v>24.047902499999999</v>
      </c>
      <c r="G137" s="33">
        <v>0.168380572592355</v>
      </c>
      <c r="H137" s="36"/>
    </row>
    <row r="138" spans="2:8" x14ac:dyDescent="0.2">
      <c r="B138" s="31" t="s">
        <v>854</v>
      </c>
      <c r="C138" s="31" t="s">
        <v>855</v>
      </c>
      <c r="D138" s="31" t="s">
        <v>79</v>
      </c>
      <c r="E138" s="35">
        <v>3225</v>
      </c>
      <c r="F138" s="32">
        <v>23.819849999999999</v>
      </c>
      <c r="G138" s="33">
        <v>0.16678377592657001</v>
      </c>
      <c r="H138" s="36"/>
    </row>
    <row r="139" spans="2:8" x14ac:dyDescent="0.2">
      <c r="B139" s="31" t="s">
        <v>649</v>
      </c>
      <c r="C139" s="31" t="s">
        <v>650</v>
      </c>
      <c r="D139" s="31" t="s">
        <v>28</v>
      </c>
      <c r="E139" s="35">
        <v>2762</v>
      </c>
      <c r="F139" s="32">
        <v>23.528096999999999</v>
      </c>
      <c r="G139" s="33">
        <v>0.16474095588455101</v>
      </c>
      <c r="H139" s="36"/>
    </row>
    <row r="140" spans="2:8" x14ac:dyDescent="0.2">
      <c r="B140" s="31" t="s">
        <v>645</v>
      </c>
      <c r="C140" s="31" t="s">
        <v>646</v>
      </c>
      <c r="D140" s="31" t="s">
        <v>47</v>
      </c>
      <c r="E140" s="35">
        <v>4114</v>
      </c>
      <c r="F140" s="32">
        <v>23.085711</v>
      </c>
      <c r="G140" s="33">
        <v>0.161643421370393</v>
      </c>
      <c r="H140" s="36"/>
    </row>
    <row r="141" spans="2:8" x14ac:dyDescent="0.2">
      <c r="B141" s="31" t="s">
        <v>611</v>
      </c>
      <c r="C141" s="31" t="s">
        <v>612</v>
      </c>
      <c r="D141" s="31" t="s">
        <v>84</v>
      </c>
      <c r="E141" s="35">
        <v>8520</v>
      </c>
      <c r="F141" s="32">
        <v>23.02956</v>
      </c>
      <c r="G141" s="33">
        <v>0.16125025870135701</v>
      </c>
      <c r="H141" s="36"/>
    </row>
    <row r="142" spans="2:8" x14ac:dyDescent="0.2">
      <c r="B142" s="31" t="s">
        <v>651</v>
      </c>
      <c r="C142" s="31" t="s">
        <v>652</v>
      </c>
      <c r="D142" s="31" t="s">
        <v>486</v>
      </c>
      <c r="E142" s="35">
        <v>472</v>
      </c>
      <c r="F142" s="32">
        <v>22.927399999999999</v>
      </c>
      <c r="G142" s="33">
        <v>0.16053494644923699</v>
      </c>
      <c r="H142" s="36"/>
    </row>
    <row r="143" spans="2:8" x14ac:dyDescent="0.2">
      <c r="B143" s="31" t="s">
        <v>894</v>
      </c>
      <c r="C143" s="31" t="s">
        <v>895</v>
      </c>
      <c r="D143" s="31" t="s">
        <v>896</v>
      </c>
      <c r="E143" s="35">
        <v>10499</v>
      </c>
      <c r="F143" s="32">
        <v>22.664191299999999</v>
      </c>
      <c r="G143" s="33">
        <v>0.158691990223957</v>
      </c>
      <c r="H143" s="36"/>
    </row>
    <row r="144" spans="2:8" x14ac:dyDescent="0.2">
      <c r="B144" s="31" t="s">
        <v>653</v>
      </c>
      <c r="C144" s="31" t="s">
        <v>654</v>
      </c>
      <c r="D144" s="31" t="s">
        <v>500</v>
      </c>
      <c r="E144" s="35">
        <v>705</v>
      </c>
      <c r="F144" s="32">
        <v>21.987539999999999</v>
      </c>
      <c r="G144" s="33">
        <v>0.153954157752316</v>
      </c>
      <c r="H144" s="36"/>
    </row>
    <row r="145" spans="2:8" x14ac:dyDescent="0.2">
      <c r="B145" s="31" t="s">
        <v>643</v>
      </c>
      <c r="C145" s="31" t="s">
        <v>644</v>
      </c>
      <c r="D145" s="31" t="s">
        <v>165</v>
      </c>
      <c r="E145" s="35">
        <v>483</v>
      </c>
      <c r="F145" s="32">
        <v>21.903084</v>
      </c>
      <c r="G145" s="33">
        <v>0.15336280681687101</v>
      </c>
      <c r="H145" s="36"/>
    </row>
    <row r="146" spans="2:8" x14ac:dyDescent="0.2">
      <c r="B146" s="31" t="s">
        <v>899</v>
      </c>
      <c r="C146" s="31" t="s">
        <v>900</v>
      </c>
      <c r="D146" s="31" t="s">
        <v>563</v>
      </c>
      <c r="E146" s="35">
        <v>541</v>
      </c>
      <c r="F146" s="32">
        <v>21.880203999999999</v>
      </c>
      <c r="G146" s="33">
        <v>0.153202603759623</v>
      </c>
      <c r="H146" s="36"/>
    </row>
    <row r="147" spans="2:8" x14ac:dyDescent="0.2">
      <c r="B147" s="31" t="s">
        <v>583</v>
      </c>
      <c r="C147" s="31" t="s">
        <v>584</v>
      </c>
      <c r="D147" s="31" t="s">
        <v>50</v>
      </c>
      <c r="E147" s="35">
        <v>455</v>
      </c>
      <c r="F147" s="32">
        <v>21.84</v>
      </c>
      <c r="G147" s="33">
        <v>0.152921100100811</v>
      </c>
      <c r="H147" s="36"/>
    </row>
    <row r="148" spans="2:8" x14ac:dyDescent="0.2">
      <c r="B148" s="31" t="s">
        <v>667</v>
      </c>
      <c r="C148" s="31" t="s">
        <v>668</v>
      </c>
      <c r="D148" s="31" t="s">
        <v>97</v>
      </c>
      <c r="E148" s="35">
        <v>4434</v>
      </c>
      <c r="F148" s="32">
        <v>21.762072</v>
      </c>
      <c r="G148" s="33">
        <v>0.15237545745023101</v>
      </c>
      <c r="H148" s="36"/>
    </row>
    <row r="149" spans="2:8" x14ac:dyDescent="0.2">
      <c r="B149" s="31" t="s">
        <v>830</v>
      </c>
      <c r="C149" s="31" t="s">
        <v>831</v>
      </c>
      <c r="D149" s="31" t="s">
        <v>28</v>
      </c>
      <c r="E149" s="35">
        <v>7344</v>
      </c>
      <c r="F149" s="32">
        <v>21.554639999999999</v>
      </c>
      <c r="G149" s="33">
        <v>0.150923043089603</v>
      </c>
      <c r="H149" s="36"/>
    </row>
    <row r="150" spans="2:8" x14ac:dyDescent="0.2">
      <c r="B150" s="31" t="s">
        <v>547</v>
      </c>
      <c r="C150" s="31" t="s">
        <v>548</v>
      </c>
      <c r="D150" s="31" t="s">
        <v>500</v>
      </c>
      <c r="E150" s="35">
        <v>657</v>
      </c>
      <c r="F150" s="32">
        <v>21.541716000000001</v>
      </c>
      <c r="G150" s="33">
        <v>0.15083255076828</v>
      </c>
      <c r="H150" s="36"/>
    </row>
    <row r="151" spans="2:8" x14ac:dyDescent="0.2">
      <c r="B151" s="31" t="s">
        <v>549</v>
      </c>
      <c r="C151" s="31" t="s">
        <v>550</v>
      </c>
      <c r="D151" s="31" t="s">
        <v>122</v>
      </c>
      <c r="E151" s="35">
        <v>4801</v>
      </c>
      <c r="F151" s="32">
        <v>21.326042000000001</v>
      </c>
      <c r="G151" s="33">
        <v>0.149322426897257</v>
      </c>
      <c r="H151" s="36"/>
    </row>
    <row r="152" spans="2:8" x14ac:dyDescent="0.2">
      <c r="B152" s="31" t="s">
        <v>557</v>
      </c>
      <c r="C152" s="31" t="s">
        <v>558</v>
      </c>
      <c r="D152" s="31" t="s">
        <v>94</v>
      </c>
      <c r="E152" s="35">
        <v>2385</v>
      </c>
      <c r="F152" s="32">
        <v>21.271815</v>
      </c>
      <c r="G152" s="33">
        <v>0.14894273584894399</v>
      </c>
      <c r="H152" s="36"/>
    </row>
    <row r="153" spans="2:8" x14ac:dyDescent="0.2">
      <c r="B153" s="31" t="s">
        <v>553</v>
      </c>
      <c r="C153" s="31" t="s">
        <v>554</v>
      </c>
      <c r="D153" s="31" t="s">
        <v>435</v>
      </c>
      <c r="E153" s="35">
        <v>3562</v>
      </c>
      <c r="F153" s="32">
        <v>21.227739</v>
      </c>
      <c r="G153" s="33">
        <v>0.14863412090351999</v>
      </c>
      <c r="H153" s="36"/>
    </row>
    <row r="154" spans="2:8" x14ac:dyDescent="0.2">
      <c r="B154" s="31" t="s">
        <v>145</v>
      </c>
      <c r="C154" s="31" t="s">
        <v>146</v>
      </c>
      <c r="D154" s="31" t="s">
        <v>64</v>
      </c>
      <c r="E154" s="35">
        <v>11487</v>
      </c>
      <c r="F154" s="32">
        <v>21.2072994</v>
      </c>
      <c r="G154" s="33">
        <v>0.14849100523879399</v>
      </c>
      <c r="H154" s="36"/>
    </row>
    <row r="155" spans="2:8" x14ac:dyDescent="0.2">
      <c r="B155" s="31" t="s">
        <v>716</v>
      </c>
      <c r="C155" s="31" t="s">
        <v>717</v>
      </c>
      <c r="D155" s="31" t="s">
        <v>33</v>
      </c>
      <c r="E155" s="35">
        <v>1330</v>
      </c>
      <c r="F155" s="32">
        <v>21.02065</v>
      </c>
      <c r="G155" s="33">
        <v>0.14718410818837499</v>
      </c>
      <c r="H155" s="36"/>
    </row>
    <row r="156" spans="2:8" x14ac:dyDescent="0.2">
      <c r="B156" s="31" t="s">
        <v>661</v>
      </c>
      <c r="C156" s="31" t="s">
        <v>662</v>
      </c>
      <c r="D156" s="31" t="s">
        <v>534</v>
      </c>
      <c r="E156" s="35">
        <v>1144</v>
      </c>
      <c r="F156" s="32">
        <v>20.994688</v>
      </c>
      <c r="G156" s="33">
        <v>0.14700232533119501</v>
      </c>
      <c r="H156" s="36"/>
    </row>
    <row r="157" spans="2:8" x14ac:dyDescent="0.2">
      <c r="B157" s="31" t="s">
        <v>734</v>
      </c>
      <c r="C157" s="31" t="s">
        <v>735</v>
      </c>
      <c r="D157" s="31" t="s">
        <v>497</v>
      </c>
      <c r="E157" s="35">
        <v>3890</v>
      </c>
      <c r="F157" s="32">
        <v>20.988495</v>
      </c>
      <c r="G157" s="33">
        <v>0.14695896267675701</v>
      </c>
      <c r="H157" s="36"/>
    </row>
    <row r="158" spans="2:8" x14ac:dyDescent="0.2">
      <c r="B158" s="31" t="s">
        <v>836</v>
      </c>
      <c r="C158" s="31" t="s">
        <v>837</v>
      </c>
      <c r="D158" s="31" t="s">
        <v>525</v>
      </c>
      <c r="E158" s="35">
        <v>301</v>
      </c>
      <c r="F158" s="32">
        <v>20.531210000000002</v>
      </c>
      <c r="G158" s="33">
        <v>0.14375710712457701</v>
      </c>
      <c r="H158" s="36"/>
    </row>
    <row r="159" spans="2:8" x14ac:dyDescent="0.2">
      <c r="B159" s="31" t="s">
        <v>125</v>
      </c>
      <c r="C159" s="31" t="s">
        <v>126</v>
      </c>
      <c r="D159" s="31" t="s">
        <v>94</v>
      </c>
      <c r="E159" s="35">
        <v>1338</v>
      </c>
      <c r="F159" s="32">
        <v>20.483442</v>
      </c>
      <c r="G159" s="33">
        <v>0.14342264123128001</v>
      </c>
      <c r="H159" s="36"/>
    </row>
    <row r="160" spans="2:8" x14ac:dyDescent="0.2">
      <c r="B160" s="31" t="s">
        <v>551</v>
      </c>
      <c r="C160" s="31" t="s">
        <v>552</v>
      </c>
      <c r="D160" s="31" t="s">
        <v>38</v>
      </c>
      <c r="E160" s="35">
        <v>1116</v>
      </c>
      <c r="F160" s="32">
        <v>20.284416</v>
      </c>
      <c r="G160" s="33">
        <v>0.14202908468967401</v>
      </c>
      <c r="H160" s="36"/>
    </row>
    <row r="161" spans="2:8" x14ac:dyDescent="0.2">
      <c r="B161" s="31" t="s">
        <v>832</v>
      </c>
      <c r="C161" s="31" t="s">
        <v>833</v>
      </c>
      <c r="D161" s="31" t="s">
        <v>67</v>
      </c>
      <c r="E161" s="35">
        <v>3318</v>
      </c>
      <c r="F161" s="32">
        <v>20.148555000000002</v>
      </c>
      <c r="G161" s="33">
        <v>0.141077802016561</v>
      </c>
      <c r="H161" s="36"/>
    </row>
    <row r="162" spans="2:8" x14ac:dyDescent="0.2">
      <c r="B162" s="31" t="s">
        <v>679</v>
      </c>
      <c r="C162" s="31" t="s">
        <v>680</v>
      </c>
      <c r="D162" s="31" t="s">
        <v>621</v>
      </c>
      <c r="E162" s="35">
        <v>650</v>
      </c>
      <c r="F162" s="32">
        <v>19.856200000000001</v>
      </c>
      <c r="G162" s="33">
        <v>0.139030766841654</v>
      </c>
      <c r="H162" s="36"/>
    </row>
    <row r="163" spans="2:8" x14ac:dyDescent="0.2">
      <c r="B163" s="31" t="s">
        <v>669</v>
      </c>
      <c r="C163" s="31" t="s">
        <v>670</v>
      </c>
      <c r="D163" s="31" t="s">
        <v>47</v>
      </c>
      <c r="E163" s="35">
        <v>23849</v>
      </c>
      <c r="F163" s="32">
        <v>19.842368</v>
      </c>
      <c r="G163" s="33">
        <v>0.13893391681159001</v>
      </c>
      <c r="H163" s="36"/>
    </row>
    <row r="164" spans="2:8" x14ac:dyDescent="0.2">
      <c r="B164" s="31" t="s">
        <v>153</v>
      </c>
      <c r="C164" s="31" t="s">
        <v>154</v>
      </c>
      <c r="D164" s="31" t="s">
        <v>67</v>
      </c>
      <c r="E164" s="35">
        <v>15</v>
      </c>
      <c r="F164" s="32">
        <v>19.456499999999998</v>
      </c>
      <c r="G164" s="33">
        <v>0.13623211465711699</v>
      </c>
      <c r="H164" s="36"/>
    </row>
    <row r="165" spans="2:8" x14ac:dyDescent="0.2">
      <c r="B165" s="31" t="s">
        <v>738</v>
      </c>
      <c r="C165" s="31" t="s">
        <v>739</v>
      </c>
      <c r="D165" s="31" t="s">
        <v>740</v>
      </c>
      <c r="E165" s="35">
        <v>4214</v>
      </c>
      <c r="F165" s="32">
        <v>19.361222999999999</v>
      </c>
      <c r="G165" s="33">
        <v>0.13556499635792699</v>
      </c>
      <c r="H165" s="36"/>
    </row>
    <row r="166" spans="2:8" x14ac:dyDescent="0.2">
      <c r="B166" s="31" t="s">
        <v>555</v>
      </c>
      <c r="C166" s="31" t="s">
        <v>556</v>
      </c>
      <c r="D166" s="31" t="s">
        <v>534</v>
      </c>
      <c r="E166" s="35">
        <v>2152</v>
      </c>
      <c r="F166" s="32">
        <v>19.322807999999998</v>
      </c>
      <c r="G166" s="33">
        <v>0.13529601906578501</v>
      </c>
      <c r="H166" s="36"/>
    </row>
    <row r="167" spans="2:8" x14ac:dyDescent="0.2">
      <c r="B167" s="31" t="s">
        <v>681</v>
      </c>
      <c r="C167" s="31" t="s">
        <v>682</v>
      </c>
      <c r="D167" s="31" t="s">
        <v>64</v>
      </c>
      <c r="E167" s="35">
        <v>2507</v>
      </c>
      <c r="F167" s="32">
        <v>19.238717999999999</v>
      </c>
      <c r="G167" s="33">
        <v>0.13470723081910599</v>
      </c>
      <c r="H167" s="36"/>
    </row>
    <row r="168" spans="2:8" x14ac:dyDescent="0.2">
      <c r="B168" s="31" t="s">
        <v>655</v>
      </c>
      <c r="C168" s="31" t="s">
        <v>656</v>
      </c>
      <c r="D168" s="31" t="s">
        <v>165</v>
      </c>
      <c r="E168" s="35">
        <v>5517</v>
      </c>
      <c r="F168" s="32">
        <v>19.061235</v>
      </c>
      <c r="G168" s="33">
        <v>0.13346451581868499</v>
      </c>
      <c r="H168" s="36"/>
    </row>
    <row r="169" spans="2:8" x14ac:dyDescent="0.2">
      <c r="B169" s="31" t="s">
        <v>689</v>
      </c>
      <c r="C169" s="31" t="s">
        <v>690</v>
      </c>
      <c r="D169" s="31" t="s">
        <v>486</v>
      </c>
      <c r="E169" s="35">
        <v>519</v>
      </c>
      <c r="F169" s="32">
        <v>18.801293999999999</v>
      </c>
      <c r="G169" s="33">
        <v>0.13164443964280101</v>
      </c>
      <c r="H169" s="36"/>
    </row>
    <row r="170" spans="2:8" x14ac:dyDescent="0.2">
      <c r="B170" s="31" t="s">
        <v>683</v>
      </c>
      <c r="C170" s="31" t="s">
        <v>684</v>
      </c>
      <c r="D170" s="31" t="s">
        <v>534</v>
      </c>
      <c r="E170" s="35">
        <v>1316</v>
      </c>
      <c r="F170" s="32">
        <v>18.613503999999999</v>
      </c>
      <c r="G170" s="33">
        <v>0.13032955624591799</v>
      </c>
      <c r="H170" s="36"/>
    </row>
    <row r="171" spans="2:8" x14ac:dyDescent="0.2">
      <c r="B171" s="31" t="s">
        <v>687</v>
      </c>
      <c r="C171" s="31" t="s">
        <v>688</v>
      </c>
      <c r="D171" s="31" t="s">
        <v>621</v>
      </c>
      <c r="E171" s="35">
        <v>933</v>
      </c>
      <c r="F171" s="32">
        <v>18.489260999999999</v>
      </c>
      <c r="G171" s="33">
        <v>0.12945962143640199</v>
      </c>
      <c r="H171" s="36"/>
    </row>
    <row r="172" spans="2:8" x14ac:dyDescent="0.2">
      <c r="B172" s="31" t="s">
        <v>696</v>
      </c>
      <c r="C172" s="31" t="s">
        <v>697</v>
      </c>
      <c r="D172" s="31" t="s">
        <v>642</v>
      </c>
      <c r="E172" s="35">
        <v>1019</v>
      </c>
      <c r="F172" s="32">
        <v>17.979236</v>
      </c>
      <c r="G172" s="33">
        <v>0.125888486634254</v>
      </c>
      <c r="H172" s="36"/>
    </row>
    <row r="173" spans="2:8" x14ac:dyDescent="0.2">
      <c r="B173" s="31" t="s">
        <v>694</v>
      </c>
      <c r="C173" s="31" t="s">
        <v>695</v>
      </c>
      <c r="D173" s="31" t="s">
        <v>87</v>
      </c>
      <c r="E173" s="35">
        <v>994</v>
      </c>
      <c r="F173" s="32">
        <v>17.703140000000001</v>
      </c>
      <c r="G173" s="33">
        <v>0.123955295056716</v>
      </c>
      <c r="H173" s="36"/>
    </row>
    <row r="174" spans="2:8" x14ac:dyDescent="0.2">
      <c r="B174" s="31" t="s">
        <v>663</v>
      </c>
      <c r="C174" s="31" t="s">
        <v>664</v>
      </c>
      <c r="D174" s="31" t="s">
        <v>79</v>
      </c>
      <c r="E174" s="35">
        <v>1700</v>
      </c>
      <c r="F174" s="32">
        <v>17.58905</v>
      </c>
      <c r="G174" s="33">
        <v>0.123156450353854</v>
      </c>
      <c r="H174" s="36"/>
    </row>
    <row r="175" spans="2:8" x14ac:dyDescent="0.2">
      <c r="B175" s="31" t="s">
        <v>698</v>
      </c>
      <c r="C175" s="31" t="s">
        <v>699</v>
      </c>
      <c r="D175" s="31" t="s">
        <v>122</v>
      </c>
      <c r="E175" s="35">
        <v>331</v>
      </c>
      <c r="F175" s="32">
        <v>17.499970000000001</v>
      </c>
      <c r="G175" s="33">
        <v>0.122532722716629</v>
      </c>
      <c r="H175" s="36"/>
    </row>
    <row r="176" spans="2:8" x14ac:dyDescent="0.2">
      <c r="B176" s="31" t="s">
        <v>700</v>
      </c>
      <c r="C176" s="31" t="s">
        <v>701</v>
      </c>
      <c r="D176" s="31" t="s">
        <v>500</v>
      </c>
      <c r="E176" s="35">
        <v>140</v>
      </c>
      <c r="F176" s="32">
        <v>17.263400000000001</v>
      </c>
      <c r="G176" s="33">
        <v>0.120876287521993</v>
      </c>
      <c r="H176" s="36"/>
    </row>
    <row r="177" spans="2:8" x14ac:dyDescent="0.2">
      <c r="B177" s="31" t="s">
        <v>702</v>
      </c>
      <c r="C177" s="31" t="s">
        <v>703</v>
      </c>
      <c r="D177" s="31" t="s">
        <v>517</v>
      </c>
      <c r="E177" s="35">
        <v>6104</v>
      </c>
      <c r="F177" s="32">
        <v>16.8934304</v>
      </c>
      <c r="G177" s="33">
        <v>0.118285804086286</v>
      </c>
      <c r="H177" s="36"/>
    </row>
    <row r="178" spans="2:8" x14ac:dyDescent="0.2">
      <c r="B178" s="31" t="s">
        <v>1578</v>
      </c>
      <c r="C178" s="31" t="s">
        <v>132</v>
      </c>
      <c r="D178" s="31" t="s">
        <v>47</v>
      </c>
      <c r="E178" s="35">
        <v>13647</v>
      </c>
      <c r="F178" s="32">
        <v>16.516281800000002</v>
      </c>
      <c r="G178" s="33">
        <v>0.115645054140613</v>
      </c>
      <c r="H178" s="36"/>
    </row>
    <row r="179" spans="2:8" x14ac:dyDescent="0.2">
      <c r="B179" s="31" t="s">
        <v>1577</v>
      </c>
      <c r="C179" s="31" t="s">
        <v>133</v>
      </c>
      <c r="D179" s="31" t="s">
        <v>47</v>
      </c>
      <c r="E179" s="35">
        <v>13647</v>
      </c>
      <c r="F179" s="32">
        <v>16.516281800000002</v>
      </c>
      <c r="G179" s="33">
        <v>0.115645054140613</v>
      </c>
      <c r="H179" s="36"/>
    </row>
    <row r="180" spans="2:8" x14ac:dyDescent="0.2">
      <c r="B180" s="31" t="s">
        <v>1579</v>
      </c>
      <c r="C180" s="31" t="s">
        <v>134</v>
      </c>
      <c r="D180" s="31" t="s">
        <v>135</v>
      </c>
      <c r="E180" s="35">
        <v>13647</v>
      </c>
      <c r="F180" s="32">
        <v>16.516281800000002</v>
      </c>
      <c r="G180" s="33">
        <v>0.115645054140613</v>
      </c>
      <c r="H180" s="36"/>
    </row>
    <row r="181" spans="2:8" x14ac:dyDescent="0.2">
      <c r="B181" s="31" t="s">
        <v>1576</v>
      </c>
      <c r="C181" s="31" t="s">
        <v>136</v>
      </c>
      <c r="D181" s="31" t="s">
        <v>135</v>
      </c>
      <c r="E181" s="35">
        <v>13647</v>
      </c>
      <c r="F181" s="32">
        <v>16.516281800000002</v>
      </c>
      <c r="G181" s="33">
        <v>0.115645054140613</v>
      </c>
      <c r="H181" s="36"/>
    </row>
    <row r="182" spans="2:8" x14ac:dyDescent="0.2">
      <c r="B182" s="31" t="s">
        <v>605</v>
      </c>
      <c r="C182" s="31" t="s">
        <v>606</v>
      </c>
      <c r="D182" s="31" t="s">
        <v>50</v>
      </c>
      <c r="E182" s="35">
        <v>1375</v>
      </c>
      <c r="F182" s="32">
        <v>16.443625000000001</v>
      </c>
      <c r="G182" s="33">
        <v>0.11513631980976199</v>
      </c>
      <c r="H182" s="36"/>
    </row>
    <row r="183" spans="2:8" x14ac:dyDescent="0.2">
      <c r="B183" s="31" t="s">
        <v>155</v>
      </c>
      <c r="C183" s="31" t="s">
        <v>156</v>
      </c>
      <c r="D183" s="31" t="s">
        <v>50</v>
      </c>
      <c r="E183" s="35">
        <v>381</v>
      </c>
      <c r="F183" s="32">
        <v>16.267175999999999</v>
      </c>
      <c r="G183" s="33">
        <v>0.113900844755197</v>
      </c>
      <c r="H183" s="36"/>
    </row>
    <row r="184" spans="2:8" x14ac:dyDescent="0.2">
      <c r="B184" s="31" t="s">
        <v>103</v>
      </c>
      <c r="C184" s="31" t="s">
        <v>104</v>
      </c>
      <c r="D184" s="31" t="s">
        <v>84</v>
      </c>
      <c r="E184" s="35">
        <v>3137</v>
      </c>
      <c r="F184" s="32">
        <v>16.185351499999999</v>
      </c>
      <c r="G184" s="33">
        <v>0.113327919271901</v>
      </c>
      <c r="H184" s="36"/>
    </row>
    <row r="185" spans="2:8" x14ac:dyDescent="0.2">
      <c r="B185" s="31" t="s">
        <v>561</v>
      </c>
      <c r="C185" s="31" t="s">
        <v>562</v>
      </c>
      <c r="D185" s="31" t="s">
        <v>563</v>
      </c>
      <c r="E185" s="35">
        <v>582</v>
      </c>
      <c r="F185" s="32">
        <v>15.907223999999999</v>
      </c>
      <c r="G185" s="33">
        <v>0.11138050337133799</v>
      </c>
      <c r="H185" s="36"/>
    </row>
    <row r="186" spans="2:8" x14ac:dyDescent="0.2">
      <c r="B186" s="31" t="s">
        <v>685</v>
      </c>
      <c r="C186" s="31" t="s">
        <v>686</v>
      </c>
      <c r="D186" s="31" t="s">
        <v>165</v>
      </c>
      <c r="E186" s="35">
        <v>5643</v>
      </c>
      <c r="F186" s="32">
        <v>15.785163900000001</v>
      </c>
      <c r="G186" s="33">
        <v>0.110525852969762</v>
      </c>
      <c r="H186" s="36"/>
    </row>
    <row r="187" spans="2:8" x14ac:dyDescent="0.2">
      <c r="B187" s="31" t="s">
        <v>864</v>
      </c>
      <c r="C187" s="31" t="s">
        <v>865</v>
      </c>
      <c r="D187" s="31" t="s">
        <v>94</v>
      </c>
      <c r="E187" s="35">
        <v>753</v>
      </c>
      <c r="F187" s="32">
        <v>15.386801999999999</v>
      </c>
      <c r="G187" s="33">
        <v>0.107736570003359</v>
      </c>
      <c r="H187" s="36"/>
    </row>
    <row r="188" spans="2:8" x14ac:dyDescent="0.2">
      <c r="B188" s="31" t="s">
        <v>848</v>
      </c>
      <c r="C188" s="31" t="s">
        <v>849</v>
      </c>
      <c r="D188" s="31" t="s">
        <v>28</v>
      </c>
      <c r="E188" s="35">
        <v>5670</v>
      </c>
      <c r="F188" s="32">
        <v>15.314102999999999</v>
      </c>
      <c r="G188" s="33">
        <v>0.107227540193092</v>
      </c>
      <c r="H188" s="36"/>
    </row>
    <row r="189" spans="2:8" x14ac:dyDescent="0.2">
      <c r="B189" s="31" t="s">
        <v>708</v>
      </c>
      <c r="C189" s="31" t="s">
        <v>709</v>
      </c>
      <c r="D189" s="31" t="s">
        <v>534</v>
      </c>
      <c r="E189" s="35">
        <v>904</v>
      </c>
      <c r="F189" s="32">
        <v>15.093184000000001</v>
      </c>
      <c r="G189" s="33">
        <v>0.10568069145164601</v>
      </c>
      <c r="H189" s="36"/>
    </row>
    <row r="190" spans="2:8" x14ac:dyDescent="0.2">
      <c r="B190" s="31" t="s">
        <v>714</v>
      </c>
      <c r="C190" s="31" t="s">
        <v>715</v>
      </c>
      <c r="D190" s="31" t="s">
        <v>486</v>
      </c>
      <c r="E190" s="35">
        <v>984</v>
      </c>
      <c r="F190" s="32">
        <v>15.052248000000001</v>
      </c>
      <c r="G190" s="33">
        <v>0.105394062415303</v>
      </c>
      <c r="H190" s="36"/>
    </row>
    <row r="191" spans="2:8" x14ac:dyDescent="0.2">
      <c r="B191" s="31" t="s">
        <v>856</v>
      </c>
      <c r="C191" s="31" t="s">
        <v>857</v>
      </c>
      <c r="D191" s="31" t="s">
        <v>458</v>
      </c>
      <c r="E191" s="35">
        <v>2145</v>
      </c>
      <c r="F191" s="32">
        <v>15.0375225</v>
      </c>
      <c r="G191" s="33">
        <v>0.10529095620378599</v>
      </c>
      <c r="H191" s="36"/>
    </row>
    <row r="192" spans="2:8" x14ac:dyDescent="0.2">
      <c r="B192" s="31" t="s">
        <v>1001</v>
      </c>
      <c r="C192" s="31" t="s">
        <v>1002</v>
      </c>
      <c r="D192" s="31" t="s">
        <v>87</v>
      </c>
      <c r="E192" s="35">
        <v>2792</v>
      </c>
      <c r="F192" s="32">
        <v>14.909280000000001</v>
      </c>
      <c r="G192" s="33">
        <v>0.10439301736772</v>
      </c>
      <c r="H192" s="36"/>
    </row>
    <row r="193" spans="2:8" x14ac:dyDescent="0.2">
      <c r="B193" s="31" t="s">
        <v>840</v>
      </c>
      <c r="C193" s="31" t="s">
        <v>841</v>
      </c>
      <c r="D193" s="31" t="s">
        <v>79</v>
      </c>
      <c r="E193" s="35">
        <v>1165</v>
      </c>
      <c r="F193" s="32">
        <v>14.8188</v>
      </c>
      <c r="G193" s="33">
        <v>0.103759487095874</v>
      </c>
      <c r="H193" s="36"/>
    </row>
    <row r="194" spans="2:8" x14ac:dyDescent="0.2">
      <c r="B194" s="31" t="s">
        <v>706</v>
      </c>
      <c r="C194" s="31" t="s">
        <v>707</v>
      </c>
      <c r="D194" s="31" t="s">
        <v>67</v>
      </c>
      <c r="E194" s="35">
        <v>1329</v>
      </c>
      <c r="F194" s="32">
        <v>14.785125000000001</v>
      </c>
      <c r="G194" s="33">
        <v>0.103523698723809</v>
      </c>
      <c r="H194" s="36"/>
    </row>
    <row r="195" spans="2:8" x14ac:dyDescent="0.2">
      <c r="B195" s="31" t="s">
        <v>838</v>
      </c>
      <c r="C195" s="31" t="s">
        <v>839</v>
      </c>
      <c r="D195" s="31" t="s">
        <v>165</v>
      </c>
      <c r="E195" s="35">
        <v>737</v>
      </c>
      <c r="F195" s="32">
        <v>14.729682</v>
      </c>
      <c r="G195" s="33">
        <v>0.103135493387139</v>
      </c>
      <c r="H195" s="36"/>
    </row>
    <row r="196" spans="2:8" x14ac:dyDescent="0.2">
      <c r="B196" s="31" t="s">
        <v>842</v>
      </c>
      <c r="C196" s="31" t="s">
        <v>843</v>
      </c>
      <c r="D196" s="31" t="s">
        <v>28</v>
      </c>
      <c r="E196" s="35">
        <v>4323</v>
      </c>
      <c r="F196" s="32">
        <v>14.549056500000001</v>
      </c>
      <c r="G196" s="33">
        <v>0.101870774972933</v>
      </c>
      <c r="H196" s="36"/>
    </row>
    <row r="197" spans="2:8" x14ac:dyDescent="0.2">
      <c r="B197" s="31" t="s">
        <v>880</v>
      </c>
      <c r="C197" s="31" t="s">
        <v>881</v>
      </c>
      <c r="D197" s="31" t="s">
        <v>94</v>
      </c>
      <c r="E197" s="35">
        <v>1350</v>
      </c>
      <c r="F197" s="32">
        <v>14.437575000000001</v>
      </c>
      <c r="G197" s="33">
        <v>0.101090194678936</v>
      </c>
      <c r="H197" s="36"/>
    </row>
    <row r="198" spans="2:8" x14ac:dyDescent="0.2">
      <c r="B198" s="31" t="s">
        <v>850</v>
      </c>
      <c r="C198" s="31" t="s">
        <v>851</v>
      </c>
      <c r="D198" s="31" t="s">
        <v>38</v>
      </c>
      <c r="E198" s="35">
        <v>1511</v>
      </c>
      <c r="F198" s="32">
        <v>14.125583499999999</v>
      </c>
      <c r="G198" s="33">
        <v>9.8905667050634694E-2</v>
      </c>
      <c r="H198" s="36"/>
    </row>
    <row r="199" spans="2:8" x14ac:dyDescent="0.2">
      <c r="B199" s="31" t="s">
        <v>795</v>
      </c>
      <c r="C199" s="31" t="s">
        <v>796</v>
      </c>
      <c r="D199" s="31" t="s">
        <v>797</v>
      </c>
      <c r="E199" s="35">
        <v>382</v>
      </c>
      <c r="F199" s="32">
        <v>13.852466</v>
      </c>
      <c r="G199" s="33">
        <v>9.6993330578254502E-2</v>
      </c>
      <c r="H199" s="36"/>
    </row>
    <row r="200" spans="2:8" x14ac:dyDescent="0.2">
      <c r="B200" s="31" t="s">
        <v>779</v>
      </c>
      <c r="C200" s="31" t="s">
        <v>780</v>
      </c>
      <c r="D200" s="31" t="s">
        <v>33</v>
      </c>
      <c r="E200" s="35">
        <v>909</v>
      </c>
      <c r="F200" s="32">
        <v>13.793165999999999</v>
      </c>
      <c r="G200" s="33">
        <v>9.6578118983200498E-2</v>
      </c>
      <c r="H200" s="36"/>
    </row>
    <row r="201" spans="2:8" x14ac:dyDescent="0.2">
      <c r="B201" s="31" t="s">
        <v>163</v>
      </c>
      <c r="C201" s="31" t="s">
        <v>164</v>
      </c>
      <c r="D201" s="31" t="s">
        <v>165</v>
      </c>
      <c r="E201" s="35">
        <v>4434</v>
      </c>
      <c r="F201" s="32">
        <v>13.776438000000001</v>
      </c>
      <c r="G201" s="33">
        <v>9.6460991503233201E-2</v>
      </c>
      <c r="H201" s="36"/>
    </row>
    <row r="202" spans="2:8" x14ac:dyDescent="0.2">
      <c r="B202" s="31" t="s">
        <v>888</v>
      </c>
      <c r="C202" s="31" t="s">
        <v>889</v>
      </c>
      <c r="D202" s="31" t="s">
        <v>94</v>
      </c>
      <c r="E202" s="35">
        <v>786</v>
      </c>
      <c r="F202" s="32">
        <v>13.761288</v>
      </c>
      <c r="G202" s="33">
        <v>9.63549129928611E-2</v>
      </c>
      <c r="H202" s="36"/>
    </row>
    <row r="203" spans="2:8" x14ac:dyDescent="0.2">
      <c r="B203" s="31" t="s">
        <v>868</v>
      </c>
      <c r="C203" s="31" t="s">
        <v>869</v>
      </c>
      <c r="D203" s="31" t="s">
        <v>458</v>
      </c>
      <c r="E203" s="35">
        <v>2063</v>
      </c>
      <c r="F203" s="32">
        <v>13.754021</v>
      </c>
      <c r="G203" s="33">
        <v>9.6304030317291803E-2</v>
      </c>
      <c r="H203" s="36"/>
    </row>
    <row r="204" spans="2:8" x14ac:dyDescent="0.2">
      <c r="B204" s="31" t="s">
        <v>559</v>
      </c>
      <c r="C204" s="31" t="s">
        <v>560</v>
      </c>
      <c r="D204" s="31" t="s">
        <v>165</v>
      </c>
      <c r="E204" s="35">
        <v>13103</v>
      </c>
      <c r="F204" s="32">
        <v>13.6546363</v>
      </c>
      <c r="G204" s="33">
        <v>9.5608150387933299E-2</v>
      </c>
      <c r="H204" s="36"/>
    </row>
    <row r="205" spans="2:8" x14ac:dyDescent="0.2">
      <c r="B205" s="31" t="s">
        <v>728</v>
      </c>
      <c r="C205" s="31" t="s">
        <v>729</v>
      </c>
      <c r="D205" s="31" t="s">
        <v>41</v>
      </c>
      <c r="E205" s="35">
        <v>4576</v>
      </c>
      <c r="F205" s="32">
        <v>13.620464</v>
      </c>
      <c r="G205" s="33">
        <v>9.5368879980013199E-2</v>
      </c>
      <c r="H205" s="36"/>
    </row>
    <row r="206" spans="2:8" x14ac:dyDescent="0.2">
      <c r="B206" s="31" t="s">
        <v>844</v>
      </c>
      <c r="C206" s="31" t="s">
        <v>845</v>
      </c>
      <c r="D206" s="31" t="s">
        <v>79</v>
      </c>
      <c r="E206" s="35">
        <v>4371</v>
      </c>
      <c r="F206" s="32">
        <v>13.4937141</v>
      </c>
      <c r="G206" s="33">
        <v>9.4481392152830607E-2</v>
      </c>
      <c r="H206" s="36"/>
    </row>
    <row r="207" spans="2:8" x14ac:dyDescent="0.2">
      <c r="B207" s="31" t="s">
        <v>783</v>
      </c>
      <c r="C207" s="31" t="s">
        <v>784</v>
      </c>
      <c r="D207" s="31" t="s">
        <v>461</v>
      </c>
      <c r="E207" s="35">
        <v>6793</v>
      </c>
      <c r="F207" s="32">
        <v>13.339414100000001</v>
      </c>
      <c r="G207" s="33">
        <v>9.3401001779865697E-2</v>
      </c>
      <c r="H207" s="36"/>
    </row>
    <row r="208" spans="2:8" x14ac:dyDescent="0.2">
      <c r="B208" s="31" t="s">
        <v>858</v>
      </c>
      <c r="C208" s="31" t="s">
        <v>859</v>
      </c>
      <c r="D208" s="31" t="s">
        <v>435</v>
      </c>
      <c r="E208" s="35">
        <v>2463</v>
      </c>
      <c r="F208" s="32">
        <v>13.1733555</v>
      </c>
      <c r="G208" s="33">
        <v>9.2238279078711793E-2</v>
      </c>
      <c r="H208" s="36"/>
    </row>
    <row r="209" spans="2:8" x14ac:dyDescent="0.2">
      <c r="B209" s="31" t="s">
        <v>743</v>
      </c>
      <c r="C209" s="31" t="s">
        <v>744</v>
      </c>
      <c r="D209" s="31" t="s">
        <v>500</v>
      </c>
      <c r="E209" s="35">
        <v>321</v>
      </c>
      <c r="F209" s="32">
        <v>13.089096</v>
      </c>
      <c r="G209" s="33">
        <v>9.1648304013055001E-2</v>
      </c>
      <c r="H209" s="36"/>
    </row>
    <row r="210" spans="2:8" x14ac:dyDescent="0.2">
      <c r="B210" s="31" t="s">
        <v>726</v>
      </c>
      <c r="C210" s="31" t="s">
        <v>727</v>
      </c>
      <c r="D210" s="31" t="s">
        <v>28</v>
      </c>
      <c r="E210" s="35">
        <v>9351</v>
      </c>
      <c r="F210" s="32">
        <v>13.079243699999999</v>
      </c>
      <c r="G210" s="33">
        <v>9.1579319372280102E-2</v>
      </c>
      <c r="H210" s="36"/>
    </row>
    <row r="211" spans="2:8" x14ac:dyDescent="0.2">
      <c r="B211" s="31" t="s">
        <v>866</v>
      </c>
      <c r="C211" s="31" t="s">
        <v>867</v>
      </c>
      <c r="D211" s="31" t="s">
        <v>486</v>
      </c>
      <c r="E211" s="35">
        <v>1031</v>
      </c>
      <c r="F211" s="32">
        <v>13.060192499999999</v>
      </c>
      <c r="G211" s="33">
        <v>9.1445925120346105E-2</v>
      </c>
      <c r="H211" s="36"/>
    </row>
    <row r="212" spans="2:8" x14ac:dyDescent="0.2">
      <c r="B212" s="31" t="s">
        <v>159</v>
      </c>
      <c r="C212" s="31" t="s">
        <v>160</v>
      </c>
      <c r="D212" s="31" t="s">
        <v>131</v>
      </c>
      <c r="E212" s="35">
        <v>889</v>
      </c>
      <c r="F212" s="32">
        <v>12.966953999999999</v>
      </c>
      <c r="G212" s="33">
        <v>9.0793080157353906E-2</v>
      </c>
      <c r="H212" s="36"/>
    </row>
    <row r="213" spans="2:8" x14ac:dyDescent="0.2">
      <c r="B213" s="31" t="s">
        <v>872</v>
      </c>
      <c r="C213" s="31" t="s">
        <v>873</v>
      </c>
      <c r="D213" s="31" t="s">
        <v>70</v>
      </c>
      <c r="E213" s="35">
        <v>814</v>
      </c>
      <c r="F213" s="32">
        <v>12.835152000000001</v>
      </c>
      <c r="G213" s="33">
        <v>8.9870218122761997E-2</v>
      </c>
      <c r="H213" s="36"/>
    </row>
    <row r="214" spans="2:8" x14ac:dyDescent="0.2">
      <c r="B214" s="31" t="s">
        <v>852</v>
      </c>
      <c r="C214" s="31" t="s">
        <v>853</v>
      </c>
      <c r="D214" s="31" t="s">
        <v>28</v>
      </c>
      <c r="E214" s="35">
        <v>6395</v>
      </c>
      <c r="F214" s="32">
        <v>12.772093999999999</v>
      </c>
      <c r="G214" s="33">
        <v>8.9428693455630204E-2</v>
      </c>
      <c r="H214" s="36"/>
    </row>
    <row r="215" spans="2:8" x14ac:dyDescent="0.2">
      <c r="B215" s="31" t="s">
        <v>720</v>
      </c>
      <c r="C215" s="31" t="s">
        <v>721</v>
      </c>
      <c r="D215" s="31" t="s">
        <v>517</v>
      </c>
      <c r="E215" s="35">
        <v>2012</v>
      </c>
      <c r="F215" s="32">
        <v>12.770163999999999</v>
      </c>
      <c r="G215" s="33">
        <v>8.9415179823615798E-2</v>
      </c>
      <c r="H215" s="36"/>
    </row>
    <row r="216" spans="2:8" x14ac:dyDescent="0.2">
      <c r="B216" s="31" t="s">
        <v>710</v>
      </c>
      <c r="C216" s="31" t="s">
        <v>711</v>
      </c>
      <c r="D216" s="31" t="s">
        <v>165</v>
      </c>
      <c r="E216" s="35">
        <v>1971</v>
      </c>
      <c r="F216" s="32">
        <v>12.691269</v>
      </c>
      <c r="G216" s="33">
        <v>8.8862766353265399E-2</v>
      </c>
      <c r="H216" s="36"/>
    </row>
    <row r="217" spans="2:8" x14ac:dyDescent="0.2">
      <c r="B217" s="31" t="s">
        <v>745</v>
      </c>
      <c r="C217" s="31" t="s">
        <v>746</v>
      </c>
      <c r="D217" s="31" t="s">
        <v>525</v>
      </c>
      <c r="E217" s="35">
        <v>173</v>
      </c>
      <c r="F217" s="32">
        <v>12.663600000000001</v>
      </c>
      <c r="G217" s="33">
        <v>8.86690312837283E-2</v>
      </c>
      <c r="H217" s="36"/>
    </row>
    <row r="218" spans="2:8" x14ac:dyDescent="0.2">
      <c r="B218" s="31" t="s">
        <v>724</v>
      </c>
      <c r="C218" s="31" t="s">
        <v>725</v>
      </c>
      <c r="D218" s="31" t="s">
        <v>67</v>
      </c>
      <c r="E218" s="35">
        <v>586</v>
      </c>
      <c r="F218" s="32">
        <v>12.662288</v>
      </c>
      <c r="G218" s="33">
        <v>8.86598448147113E-2</v>
      </c>
      <c r="H218" s="36"/>
    </row>
    <row r="219" spans="2:8" x14ac:dyDescent="0.2">
      <c r="B219" s="31" t="s">
        <v>812</v>
      </c>
      <c r="C219" s="31" t="s">
        <v>813</v>
      </c>
      <c r="D219" s="31" t="s">
        <v>442</v>
      </c>
      <c r="E219" s="35">
        <v>4644</v>
      </c>
      <c r="F219" s="32">
        <v>12.630751200000001</v>
      </c>
      <c r="G219" s="33">
        <v>8.8439027866466804E-2</v>
      </c>
      <c r="H219" s="36"/>
    </row>
    <row r="220" spans="2:8" x14ac:dyDescent="0.2">
      <c r="B220" s="31" t="s">
        <v>846</v>
      </c>
      <c r="C220" s="31" t="s">
        <v>847</v>
      </c>
      <c r="D220" s="31" t="s">
        <v>165</v>
      </c>
      <c r="E220" s="35">
        <v>1200</v>
      </c>
      <c r="F220" s="32">
        <v>12.547800000000001</v>
      </c>
      <c r="G220" s="33">
        <v>8.7858213362864104E-2</v>
      </c>
      <c r="H220" s="36"/>
    </row>
    <row r="221" spans="2:8" x14ac:dyDescent="0.2">
      <c r="B221" s="31" t="s">
        <v>647</v>
      </c>
      <c r="C221" s="31" t="s">
        <v>648</v>
      </c>
      <c r="D221" s="31" t="s">
        <v>50</v>
      </c>
      <c r="E221" s="35">
        <v>549</v>
      </c>
      <c r="F221" s="32">
        <v>12.499083000000001</v>
      </c>
      <c r="G221" s="33">
        <v>8.7517102683669495E-2</v>
      </c>
      <c r="H221" s="36"/>
    </row>
    <row r="222" spans="2:8" x14ac:dyDescent="0.2">
      <c r="B222" s="31" t="s">
        <v>747</v>
      </c>
      <c r="C222" s="31" t="s">
        <v>748</v>
      </c>
      <c r="D222" s="31" t="s">
        <v>486</v>
      </c>
      <c r="E222" s="35">
        <v>316</v>
      </c>
      <c r="F222" s="32">
        <v>12.480736</v>
      </c>
      <c r="G222" s="33">
        <v>8.7388639156950207E-2</v>
      </c>
      <c r="H222" s="36"/>
    </row>
    <row r="223" spans="2:8" x14ac:dyDescent="0.2">
      <c r="B223" s="31" t="s">
        <v>736</v>
      </c>
      <c r="C223" s="31" t="s">
        <v>737</v>
      </c>
      <c r="D223" s="31" t="s">
        <v>28</v>
      </c>
      <c r="E223" s="35">
        <v>15888</v>
      </c>
      <c r="F223" s="32">
        <v>12.4514256</v>
      </c>
      <c r="G223" s="33">
        <v>8.7183411198507199E-2</v>
      </c>
      <c r="H223" s="36"/>
    </row>
    <row r="224" spans="2:8" x14ac:dyDescent="0.2">
      <c r="B224" s="31" t="s">
        <v>749</v>
      </c>
      <c r="C224" s="31" t="s">
        <v>750</v>
      </c>
      <c r="D224" s="31" t="s">
        <v>122</v>
      </c>
      <c r="E224" s="35">
        <v>651</v>
      </c>
      <c r="F224" s="32">
        <v>12.410012999999999</v>
      </c>
      <c r="G224" s="33">
        <v>8.6893445065263905E-2</v>
      </c>
      <c r="H224" s="36"/>
    </row>
    <row r="225" spans="2:8" x14ac:dyDescent="0.2">
      <c r="B225" s="31" t="s">
        <v>890</v>
      </c>
      <c r="C225" s="31" t="s">
        <v>891</v>
      </c>
      <c r="D225" s="31" t="s">
        <v>94</v>
      </c>
      <c r="E225" s="35">
        <v>477</v>
      </c>
      <c r="F225" s="32">
        <v>12.373856999999999</v>
      </c>
      <c r="G225" s="33">
        <v>8.6640285024272803E-2</v>
      </c>
      <c r="H225" s="36"/>
    </row>
    <row r="226" spans="2:8" x14ac:dyDescent="0.2">
      <c r="B226" s="31" t="s">
        <v>1042</v>
      </c>
      <c r="C226" s="31" t="s">
        <v>1043</v>
      </c>
      <c r="D226" s="31" t="s">
        <v>563</v>
      </c>
      <c r="E226" s="35">
        <v>1287</v>
      </c>
      <c r="F226" s="32">
        <v>12.3416865</v>
      </c>
      <c r="G226" s="33">
        <v>8.6415030983485505E-2</v>
      </c>
      <c r="H226" s="36"/>
    </row>
    <row r="227" spans="2:8" x14ac:dyDescent="0.2">
      <c r="B227" s="31" t="s">
        <v>732</v>
      </c>
      <c r="C227" s="31" t="s">
        <v>733</v>
      </c>
      <c r="D227" s="31" t="s">
        <v>67</v>
      </c>
      <c r="E227" s="35">
        <v>3412</v>
      </c>
      <c r="F227" s="32">
        <v>12.301966</v>
      </c>
      <c r="G227" s="33">
        <v>8.6136912734559104E-2</v>
      </c>
      <c r="H227" s="36"/>
    </row>
    <row r="228" spans="2:8" x14ac:dyDescent="0.2">
      <c r="B228" s="31" t="s">
        <v>149</v>
      </c>
      <c r="C228" s="31" t="s">
        <v>150</v>
      </c>
      <c r="D228" s="31" t="s">
        <v>67</v>
      </c>
      <c r="E228" s="35">
        <v>298</v>
      </c>
      <c r="F228" s="32">
        <v>12.291904000000001</v>
      </c>
      <c r="G228" s="33">
        <v>8.6066459799155504E-2</v>
      </c>
      <c r="H228" s="36"/>
    </row>
    <row r="229" spans="2:8" x14ac:dyDescent="0.2">
      <c r="B229" s="31" t="s">
        <v>818</v>
      </c>
      <c r="C229" s="31" t="s">
        <v>819</v>
      </c>
      <c r="D229" s="31" t="s">
        <v>563</v>
      </c>
      <c r="E229" s="35">
        <v>38</v>
      </c>
      <c r="F229" s="32">
        <v>11.791399999999999</v>
      </c>
      <c r="G229" s="33">
        <v>8.2561989914317693E-2</v>
      </c>
      <c r="H229" s="36"/>
    </row>
    <row r="230" spans="2:8" x14ac:dyDescent="0.2">
      <c r="B230" s="31" t="s">
        <v>753</v>
      </c>
      <c r="C230" s="31" t="s">
        <v>754</v>
      </c>
      <c r="D230" s="31" t="s">
        <v>563</v>
      </c>
      <c r="E230" s="35">
        <v>675</v>
      </c>
      <c r="F230" s="32">
        <v>11.70045</v>
      </c>
      <c r="G230" s="33">
        <v>8.1925168757991301E-2</v>
      </c>
      <c r="H230" s="36"/>
    </row>
    <row r="231" spans="2:8" x14ac:dyDescent="0.2">
      <c r="B231" s="31" t="s">
        <v>761</v>
      </c>
      <c r="C231" s="31" t="s">
        <v>762</v>
      </c>
      <c r="D231" s="31" t="s">
        <v>94</v>
      </c>
      <c r="E231" s="35">
        <v>46</v>
      </c>
      <c r="F231" s="32">
        <v>11.700100000000001</v>
      </c>
      <c r="G231" s="33">
        <v>8.1922718099335906E-2</v>
      </c>
      <c r="H231" s="36"/>
    </row>
    <row r="232" spans="2:8" x14ac:dyDescent="0.2">
      <c r="B232" s="31" t="s">
        <v>166</v>
      </c>
      <c r="C232" s="31" t="s">
        <v>167</v>
      </c>
      <c r="D232" s="31" t="s">
        <v>79</v>
      </c>
      <c r="E232" s="35">
        <v>1155</v>
      </c>
      <c r="F232" s="32">
        <v>11.664922499999999</v>
      </c>
      <c r="G232" s="33">
        <v>8.1676409399757302E-2</v>
      </c>
      <c r="H232" s="36"/>
    </row>
    <row r="233" spans="2:8" x14ac:dyDescent="0.2">
      <c r="B233" s="31" t="s">
        <v>1072</v>
      </c>
      <c r="C233" s="31" t="s">
        <v>1073</v>
      </c>
      <c r="D233" s="31" t="s">
        <v>797</v>
      </c>
      <c r="E233" s="35">
        <v>285</v>
      </c>
      <c r="F233" s="32">
        <v>11.584680000000001</v>
      </c>
      <c r="G233" s="33">
        <v>8.1114560893583307E-2</v>
      </c>
      <c r="H233" s="36"/>
    </row>
    <row r="234" spans="2:8" x14ac:dyDescent="0.2">
      <c r="B234" s="31" t="s">
        <v>884</v>
      </c>
      <c r="C234" s="31" t="s">
        <v>885</v>
      </c>
      <c r="D234" s="31" t="s">
        <v>41</v>
      </c>
      <c r="E234" s="35">
        <v>926</v>
      </c>
      <c r="F234" s="32">
        <v>11.577778</v>
      </c>
      <c r="G234" s="33">
        <v>8.1066233904897603E-2</v>
      </c>
      <c r="H234" s="36"/>
    </row>
    <row r="235" spans="2:8" x14ac:dyDescent="0.2">
      <c r="B235" s="31" t="s">
        <v>712</v>
      </c>
      <c r="C235" s="31" t="s">
        <v>713</v>
      </c>
      <c r="D235" s="31" t="s">
        <v>497</v>
      </c>
      <c r="E235" s="35">
        <v>2406</v>
      </c>
      <c r="F235" s="32">
        <v>11.515116000000001</v>
      </c>
      <c r="G235" s="33">
        <v>8.0627481982987498E-2</v>
      </c>
      <c r="H235" s="36"/>
    </row>
    <row r="236" spans="2:8" x14ac:dyDescent="0.2">
      <c r="B236" s="31" t="s">
        <v>892</v>
      </c>
      <c r="C236" s="31" t="s">
        <v>893</v>
      </c>
      <c r="D236" s="31" t="s">
        <v>94</v>
      </c>
      <c r="E236" s="35">
        <v>76</v>
      </c>
      <c r="F236" s="32">
        <v>11.402279999999999</v>
      </c>
      <c r="G236" s="33">
        <v>7.9837417639994093E-2</v>
      </c>
      <c r="H236" s="36"/>
    </row>
    <row r="237" spans="2:8" x14ac:dyDescent="0.2">
      <c r="B237" s="31" t="s">
        <v>751</v>
      </c>
      <c r="C237" s="31" t="s">
        <v>752</v>
      </c>
      <c r="D237" s="31" t="s">
        <v>525</v>
      </c>
      <c r="E237" s="35">
        <v>311</v>
      </c>
      <c r="F237" s="32">
        <v>11.202220000000001</v>
      </c>
      <c r="G237" s="33">
        <v>7.8436621152532193E-2</v>
      </c>
      <c r="H237" s="36"/>
    </row>
    <row r="238" spans="2:8" x14ac:dyDescent="0.2">
      <c r="B238" s="31" t="s">
        <v>718</v>
      </c>
      <c r="C238" s="31" t="s">
        <v>719</v>
      </c>
      <c r="D238" s="31" t="s">
        <v>497</v>
      </c>
      <c r="E238" s="35">
        <v>6930</v>
      </c>
      <c r="F238" s="32">
        <v>11.127501000000001</v>
      </c>
      <c r="G238" s="33">
        <v>7.7913447540882405E-2</v>
      </c>
      <c r="H238" s="36"/>
    </row>
    <row r="239" spans="2:8" x14ac:dyDescent="0.2">
      <c r="B239" s="31" t="s">
        <v>886</v>
      </c>
      <c r="C239" s="31" t="s">
        <v>887</v>
      </c>
      <c r="D239" s="31" t="s">
        <v>486</v>
      </c>
      <c r="E239" s="35">
        <v>655</v>
      </c>
      <c r="F239" s="32">
        <v>11.12321</v>
      </c>
      <c r="G239" s="33">
        <v>7.7883402465766402E-2</v>
      </c>
      <c r="H239" s="36"/>
    </row>
    <row r="240" spans="2:8" x14ac:dyDescent="0.2">
      <c r="B240" s="31" t="s">
        <v>775</v>
      </c>
      <c r="C240" s="31" t="s">
        <v>776</v>
      </c>
      <c r="D240" s="31" t="s">
        <v>94</v>
      </c>
      <c r="E240" s="35">
        <v>391</v>
      </c>
      <c r="F240" s="32">
        <v>11.036757</v>
      </c>
      <c r="G240" s="33">
        <v>7.7278068772221806E-2</v>
      </c>
      <c r="H240" s="36"/>
    </row>
    <row r="241" spans="2:8" x14ac:dyDescent="0.2">
      <c r="B241" s="31" t="s">
        <v>730</v>
      </c>
      <c r="C241" s="31" t="s">
        <v>731</v>
      </c>
      <c r="D241" s="31" t="s">
        <v>165</v>
      </c>
      <c r="E241" s="35">
        <v>1966</v>
      </c>
      <c r="F241" s="32">
        <v>10.905402</v>
      </c>
      <c r="G241" s="33">
        <v>7.6358336578826999E-2</v>
      </c>
      <c r="H241" s="36"/>
    </row>
    <row r="242" spans="2:8" x14ac:dyDescent="0.2">
      <c r="B242" s="31" t="s">
        <v>870</v>
      </c>
      <c r="C242" s="31" t="s">
        <v>871</v>
      </c>
      <c r="D242" s="31" t="s">
        <v>165</v>
      </c>
      <c r="E242" s="35">
        <v>3606</v>
      </c>
      <c r="F242" s="32">
        <v>10.614261000000001</v>
      </c>
      <c r="G242" s="33">
        <v>7.4319801688513307E-2</v>
      </c>
      <c r="H242" s="36"/>
    </row>
    <row r="243" spans="2:8" x14ac:dyDescent="0.2">
      <c r="B243" s="31" t="s">
        <v>882</v>
      </c>
      <c r="C243" s="31" t="s">
        <v>883</v>
      </c>
      <c r="D243" s="31" t="s">
        <v>525</v>
      </c>
      <c r="E243" s="35">
        <v>1735</v>
      </c>
      <c r="F243" s="32">
        <v>10.5444625</v>
      </c>
      <c r="G243" s="33">
        <v>7.3831080836618407E-2</v>
      </c>
      <c r="H243" s="36"/>
    </row>
    <row r="244" spans="2:8" x14ac:dyDescent="0.2">
      <c r="B244" s="31" t="s">
        <v>923</v>
      </c>
      <c r="C244" s="31" t="s">
        <v>924</v>
      </c>
      <c r="D244" s="31" t="s">
        <v>94</v>
      </c>
      <c r="E244" s="35">
        <v>752</v>
      </c>
      <c r="F244" s="32">
        <v>10.494911999999999</v>
      </c>
      <c r="G244" s="33">
        <v>7.3484134088882797E-2</v>
      </c>
      <c r="H244" s="36"/>
    </row>
    <row r="245" spans="2:8" x14ac:dyDescent="0.2">
      <c r="B245" s="31" t="s">
        <v>905</v>
      </c>
      <c r="C245" s="31" t="s">
        <v>906</v>
      </c>
      <c r="D245" s="31" t="s">
        <v>458</v>
      </c>
      <c r="E245" s="35">
        <v>589</v>
      </c>
      <c r="F245" s="32">
        <v>10.405274</v>
      </c>
      <c r="G245" s="33">
        <v>7.2856499401573405E-2</v>
      </c>
      <c r="H245" s="36"/>
    </row>
    <row r="246" spans="2:8" x14ac:dyDescent="0.2">
      <c r="B246" s="31" t="s">
        <v>65</v>
      </c>
      <c r="C246" s="31" t="s">
        <v>66</v>
      </c>
      <c r="D246" s="31" t="s">
        <v>67</v>
      </c>
      <c r="E246" s="35">
        <v>2537</v>
      </c>
      <c r="F246" s="32">
        <v>10.361108</v>
      </c>
      <c r="G246" s="33">
        <v>7.2547254286781604E-2</v>
      </c>
      <c r="H246" s="36"/>
    </row>
    <row r="247" spans="2:8" x14ac:dyDescent="0.2">
      <c r="B247" s="31" t="s">
        <v>809</v>
      </c>
      <c r="C247" s="31" t="s">
        <v>810</v>
      </c>
      <c r="D247" s="31" t="s">
        <v>811</v>
      </c>
      <c r="E247" s="35">
        <v>452</v>
      </c>
      <c r="F247" s="32">
        <v>10.174519999999999</v>
      </c>
      <c r="G247" s="33">
        <v>7.1240787151909402E-2</v>
      </c>
      <c r="H247" s="36"/>
    </row>
    <row r="248" spans="2:8" x14ac:dyDescent="0.2">
      <c r="B248" s="31" t="s">
        <v>876</v>
      </c>
      <c r="C248" s="31" t="s">
        <v>877</v>
      </c>
      <c r="D248" s="31" t="s">
        <v>79</v>
      </c>
      <c r="E248" s="35">
        <v>282</v>
      </c>
      <c r="F248" s="32">
        <v>10.156511999999999</v>
      </c>
      <c r="G248" s="33">
        <v>7.1114697263144899E-2</v>
      </c>
      <c r="H248" s="36"/>
    </row>
    <row r="249" spans="2:8" x14ac:dyDescent="0.2">
      <c r="B249" s="31" t="s">
        <v>763</v>
      </c>
      <c r="C249" s="31" t="s">
        <v>764</v>
      </c>
      <c r="D249" s="31" t="s">
        <v>432</v>
      </c>
      <c r="E249" s="35">
        <v>742</v>
      </c>
      <c r="F249" s="32">
        <v>10.121622</v>
      </c>
      <c r="G249" s="33">
        <v>7.0870401604604796E-2</v>
      </c>
      <c r="H249" s="36"/>
    </row>
    <row r="250" spans="2:8" x14ac:dyDescent="0.2">
      <c r="B250" s="31" t="s">
        <v>564</v>
      </c>
      <c r="C250" s="31" t="s">
        <v>565</v>
      </c>
      <c r="D250" s="31" t="s">
        <v>165</v>
      </c>
      <c r="E250" s="35">
        <v>3021</v>
      </c>
      <c r="F250" s="32">
        <v>10.0644615</v>
      </c>
      <c r="G250" s="33">
        <v>7.0470170535817597E-2</v>
      </c>
      <c r="H250" s="36"/>
    </row>
    <row r="251" spans="2:8" x14ac:dyDescent="0.2">
      <c r="B251" s="31" t="s">
        <v>874</v>
      </c>
      <c r="C251" s="31" t="s">
        <v>875</v>
      </c>
      <c r="D251" s="31" t="s">
        <v>165</v>
      </c>
      <c r="E251" s="35">
        <v>641</v>
      </c>
      <c r="F251" s="32">
        <v>9.9746009999999998</v>
      </c>
      <c r="G251" s="33">
        <v>6.9840977929791506E-2</v>
      </c>
      <c r="H251" s="36"/>
    </row>
    <row r="252" spans="2:8" x14ac:dyDescent="0.2">
      <c r="B252" s="31" t="s">
        <v>759</v>
      </c>
      <c r="C252" s="31" t="s">
        <v>760</v>
      </c>
      <c r="D252" s="31" t="s">
        <v>87</v>
      </c>
      <c r="E252" s="35">
        <v>2089</v>
      </c>
      <c r="F252" s="32">
        <v>9.8830589999999994</v>
      </c>
      <c r="G252" s="33">
        <v>6.9200011659396501E-2</v>
      </c>
      <c r="H252" s="36"/>
    </row>
    <row r="253" spans="2:8" x14ac:dyDescent="0.2">
      <c r="B253" s="31" t="s">
        <v>903</v>
      </c>
      <c r="C253" s="31" t="s">
        <v>904</v>
      </c>
      <c r="D253" s="31" t="s">
        <v>486</v>
      </c>
      <c r="E253" s="35">
        <v>281</v>
      </c>
      <c r="F253" s="32">
        <v>9.6349280000000004</v>
      </c>
      <c r="G253" s="33">
        <v>6.7462627708429701E-2</v>
      </c>
      <c r="H253" s="36"/>
    </row>
    <row r="254" spans="2:8" x14ac:dyDescent="0.2">
      <c r="B254" s="31" t="s">
        <v>168</v>
      </c>
      <c r="C254" s="31" t="s">
        <v>169</v>
      </c>
      <c r="D254" s="31" t="s">
        <v>50</v>
      </c>
      <c r="E254" s="35">
        <v>97</v>
      </c>
      <c r="F254" s="32">
        <v>9.4347049999999992</v>
      </c>
      <c r="G254" s="33">
        <v>6.6060689914222495E-2</v>
      </c>
      <c r="H254" s="36"/>
    </row>
    <row r="255" spans="2:8" x14ac:dyDescent="0.2">
      <c r="B255" s="31" t="s">
        <v>913</v>
      </c>
      <c r="C255" s="31" t="s">
        <v>914</v>
      </c>
      <c r="D255" s="31" t="s">
        <v>525</v>
      </c>
      <c r="E255" s="35">
        <v>539</v>
      </c>
      <c r="F255" s="32">
        <v>9.361891</v>
      </c>
      <c r="G255" s="33">
        <v>6.5550854887540297E-2</v>
      </c>
      <c r="H255" s="36"/>
    </row>
    <row r="256" spans="2:8" x14ac:dyDescent="0.2">
      <c r="B256" s="31" t="s">
        <v>949</v>
      </c>
      <c r="C256" s="31" t="s">
        <v>950</v>
      </c>
      <c r="D256" s="31" t="s">
        <v>94</v>
      </c>
      <c r="E256" s="35">
        <v>1337</v>
      </c>
      <c r="F256" s="32">
        <v>9.3549889999999998</v>
      </c>
      <c r="G256" s="33">
        <v>6.5502527898854607E-2</v>
      </c>
      <c r="H256" s="36"/>
    </row>
    <row r="257" spans="2:8" x14ac:dyDescent="0.2">
      <c r="B257" s="31" t="s">
        <v>907</v>
      </c>
      <c r="C257" s="31" t="s">
        <v>908</v>
      </c>
      <c r="D257" s="31" t="s">
        <v>432</v>
      </c>
      <c r="E257" s="35">
        <v>228</v>
      </c>
      <c r="F257" s="32">
        <v>9.3062760000000004</v>
      </c>
      <c r="G257" s="33">
        <v>6.5161445227187406E-2</v>
      </c>
      <c r="H257" s="36"/>
    </row>
    <row r="258" spans="2:8" x14ac:dyDescent="0.2">
      <c r="B258" s="31" t="s">
        <v>897</v>
      </c>
      <c r="C258" s="31" t="s">
        <v>898</v>
      </c>
      <c r="D258" s="31" t="s">
        <v>525</v>
      </c>
      <c r="E258" s="35">
        <v>1143</v>
      </c>
      <c r="F258" s="32">
        <v>9.2468699999999995</v>
      </c>
      <c r="G258" s="33">
        <v>6.47454914326549E-2</v>
      </c>
      <c r="H258" s="36"/>
    </row>
    <row r="259" spans="2:8" x14ac:dyDescent="0.2">
      <c r="B259" s="31" t="s">
        <v>939</v>
      </c>
      <c r="C259" s="31" t="s">
        <v>940</v>
      </c>
      <c r="D259" s="31" t="s">
        <v>458</v>
      </c>
      <c r="E259" s="35">
        <v>671</v>
      </c>
      <c r="F259" s="32">
        <v>9.1739119999999996</v>
      </c>
      <c r="G259" s="33">
        <v>6.4234648134983002E-2</v>
      </c>
      <c r="H259" s="36"/>
    </row>
    <row r="260" spans="2:8" x14ac:dyDescent="0.2">
      <c r="B260" s="31" t="s">
        <v>953</v>
      </c>
      <c r="C260" s="31" t="s">
        <v>954</v>
      </c>
      <c r="D260" s="31" t="s">
        <v>94</v>
      </c>
      <c r="E260" s="35">
        <v>5635</v>
      </c>
      <c r="F260" s="32">
        <v>9.1213744999999999</v>
      </c>
      <c r="G260" s="33">
        <v>6.3866786766093503E-2</v>
      </c>
      <c r="H260" s="36"/>
    </row>
    <row r="261" spans="2:8" x14ac:dyDescent="0.2">
      <c r="B261" s="31" t="s">
        <v>961</v>
      </c>
      <c r="C261" s="31" t="s">
        <v>962</v>
      </c>
      <c r="D261" s="31" t="s">
        <v>94</v>
      </c>
      <c r="E261" s="35">
        <v>829</v>
      </c>
      <c r="F261" s="32">
        <v>9.0837675000000004</v>
      </c>
      <c r="G261" s="33">
        <v>6.3603466994505101E-2</v>
      </c>
      <c r="H261" s="36"/>
    </row>
    <row r="262" spans="2:8" x14ac:dyDescent="0.2">
      <c r="B262" s="31" t="s">
        <v>798</v>
      </c>
      <c r="C262" s="31" t="s">
        <v>799</v>
      </c>
      <c r="D262" s="31" t="s">
        <v>94</v>
      </c>
      <c r="E262" s="35">
        <v>383</v>
      </c>
      <c r="F262" s="32">
        <v>8.9484119999999994</v>
      </c>
      <c r="G262" s="33">
        <v>6.2655723772678404E-2</v>
      </c>
      <c r="H262" s="36"/>
    </row>
    <row r="263" spans="2:8" x14ac:dyDescent="0.2">
      <c r="B263" s="31" t="s">
        <v>917</v>
      </c>
      <c r="C263" s="31" t="s">
        <v>918</v>
      </c>
      <c r="D263" s="31" t="s">
        <v>47</v>
      </c>
      <c r="E263" s="35">
        <v>4715</v>
      </c>
      <c r="F263" s="32">
        <v>8.8420395000000003</v>
      </c>
      <c r="G263" s="33">
        <v>6.1910916093169503E-2</v>
      </c>
      <c r="H263" s="36"/>
    </row>
    <row r="264" spans="2:8" x14ac:dyDescent="0.2">
      <c r="B264" s="31" t="s">
        <v>123</v>
      </c>
      <c r="C264" s="31" t="s">
        <v>124</v>
      </c>
      <c r="D264" s="31" t="s">
        <v>79</v>
      </c>
      <c r="E264" s="35">
        <v>4101</v>
      </c>
      <c r="F264" s="32">
        <v>8.8167399</v>
      </c>
      <c r="G264" s="33">
        <v>6.1733771282541802E-2</v>
      </c>
      <c r="H264" s="36"/>
    </row>
    <row r="265" spans="2:8" x14ac:dyDescent="0.2">
      <c r="B265" s="31" t="s">
        <v>915</v>
      </c>
      <c r="C265" s="31" t="s">
        <v>916</v>
      </c>
      <c r="D265" s="31" t="s">
        <v>33</v>
      </c>
      <c r="E265" s="35">
        <v>7542</v>
      </c>
      <c r="F265" s="32">
        <v>8.7509826000000004</v>
      </c>
      <c r="G265" s="33">
        <v>6.1273346435670901E-2</v>
      </c>
      <c r="H265" s="36"/>
    </row>
    <row r="266" spans="2:8" x14ac:dyDescent="0.2">
      <c r="B266" s="31" t="s">
        <v>929</v>
      </c>
      <c r="C266" s="31" t="s">
        <v>930</v>
      </c>
      <c r="D266" s="31" t="s">
        <v>486</v>
      </c>
      <c r="E266" s="35">
        <v>918</v>
      </c>
      <c r="F266" s="32">
        <v>8.7370649999999994</v>
      </c>
      <c r="G266" s="33">
        <v>6.1175897044518798E-2</v>
      </c>
      <c r="H266" s="36"/>
    </row>
    <row r="267" spans="2:8" x14ac:dyDescent="0.2">
      <c r="B267" s="31" t="s">
        <v>56</v>
      </c>
      <c r="C267" s="31" t="s">
        <v>57</v>
      </c>
      <c r="D267" s="31" t="s">
        <v>58</v>
      </c>
      <c r="E267" s="35">
        <v>268</v>
      </c>
      <c r="F267" s="32">
        <v>8.6874880000000001</v>
      </c>
      <c r="G267" s="33">
        <v>6.0828764746913601E-2</v>
      </c>
      <c r="H267" s="36"/>
    </row>
    <row r="268" spans="2:8" x14ac:dyDescent="0.2">
      <c r="B268" s="31" t="s">
        <v>1018</v>
      </c>
      <c r="C268" s="31" t="s">
        <v>1019</v>
      </c>
      <c r="D268" s="31" t="s">
        <v>461</v>
      </c>
      <c r="E268" s="35">
        <v>763</v>
      </c>
      <c r="F268" s="32">
        <v>8.6608129999999992</v>
      </c>
      <c r="G268" s="33">
        <v>6.0641989547957999E-2</v>
      </c>
      <c r="H268" s="36"/>
    </row>
    <row r="269" spans="2:8" x14ac:dyDescent="0.2">
      <c r="B269" s="31" t="s">
        <v>919</v>
      </c>
      <c r="C269" s="31" t="s">
        <v>920</v>
      </c>
      <c r="D269" s="31" t="s">
        <v>122</v>
      </c>
      <c r="E269" s="35">
        <v>914</v>
      </c>
      <c r="F269" s="32">
        <v>8.5468139999999995</v>
      </c>
      <c r="G269" s="33">
        <v>5.9843782016346603E-2</v>
      </c>
      <c r="H269" s="36"/>
    </row>
    <row r="270" spans="2:8" x14ac:dyDescent="0.2">
      <c r="B270" s="31" t="s">
        <v>935</v>
      </c>
      <c r="C270" s="31" t="s">
        <v>936</v>
      </c>
      <c r="D270" s="31" t="s">
        <v>67</v>
      </c>
      <c r="E270" s="35">
        <v>977</v>
      </c>
      <c r="F270" s="32">
        <v>8.5443534999999997</v>
      </c>
      <c r="G270" s="33">
        <v>5.9826553885998703E-2</v>
      </c>
      <c r="H270" s="36"/>
    </row>
    <row r="271" spans="2:8" x14ac:dyDescent="0.2">
      <c r="B271" s="31" t="s">
        <v>931</v>
      </c>
      <c r="C271" s="31" t="s">
        <v>932</v>
      </c>
      <c r="D271" s="31" t="s">
        <v>534</v>
      </c>
      <c r="E271" s="35">
        <v>1066</v>
      </c>
      <c r="F271" s="32">
        <v>8.4214000000000002</v>
      </c>
      <c r="G271" s="33">
        <v>5.89656480031579E-2</v>
      </c>
      <c r="H271" s="36"/>
    </row>
    <row r="272" spans="2:8" x14ac:dyDescent="0.2">
      <c r="B272" s="31" t="s">
        <v>765</v>
      </c>
      <c r="C272" s="31" t="s">
        <v>766</v>
      </c>
      <c r="D272" s="31" t="s">
        <v>165</v>
      </c>
      <c r="E272" s="35">
        <v>1773</v>
      </c>
      <c r="F272" s="32">
        <v>8.3650140000000004</v>
      </c>
      <c r="G272" s="33">
        <v>5.8570839891881103E-2</v>
      </c>
      <c r="H272" s="36"/>
    </row>
    <row r="273" spans="2:8" x14ac:dyDescent="0.2">
      <c r="B273" s="31" t="s">
        <v>991</v>
      </c>
      <c r="C273" s="31" t="s">
        <v>992</v>
      </c>
      <c r="D273" s="31" t="s">
        <v>458</v>
      </c>
      <c r="E273" s="35">
        <v>1784</v>
      </c>
      <c r="F273" s="32">
        <v>8.3428760000000004</v>
      </c>
      <c r="G273" s="33">
        <v>5.84158322309822E-2</v>
      </c>
      <c r="H273" s="36"/>
    </row>
    <row r="274" spans="2:8" x14ac:dyDescent="0.2">
      <c r="B274" s="31" t="s">
        <v>767</v>
      </c>
      <c r="C274" s="31" t="s">
        <v>768</v>
      </c>
      <c r="D274" s="31" t="s">
        <v>79</v>
      </c>
      <c r="E274" s="35">
        <v>1041</v>
      </c>
      <c r="F274" s="32">
        <v>8.3306024999999995</v>
      </c>
      <c r="G274" s="33">
        <v>5.8329894633816999E-2</v>
      </c>
      <c r="H274" s="36"/>
    </row>
    <row r="275" spans="2:8" x14ac:dyDescent="0.2">
      <c r="B275" s="31" t="s">
        <v>933</v>
      </c>
      <c r="C275" s="31" t="s">
        <v>934</v>
      </c>
      <c r="D275" s="31" t="s">
        <v>525</v>
      </c>
      <c r="E275" s="35">
        <v>122</v>
      </c>
      <c r="F275" s="32">
        <v>8.3173499999999994</v>
      </c>
      <c r="G275" s="33">
        <v>5.82371021942985E-2</v>
      </c>
      <c r="H275" s="36"/>
    </row>
    <row r="276" spans="2:8" x14ac:dyDescent="0.2">
      <c r="B276" s="31" t="s">
        <v>777</v>
      </c>
      <c r="C276" s="31" t="s">
        <v>778</v>
      </c>
      <c r="D276" s="31" t="s">
        <v>500</v>
      </c>
      <c r="E276" s="35">
        <v>815</v>
      </c>
      <c r="F276" s="32">
        <v>8.2979225000000003</v>
      </c>
      <c r="G276" s="33">
        <v>5.81010731342156E-2</v>
      </c>
      <c r="H276" s="36"/>
    </row>
    <row r="277" spans="2:8" x14ac:dyDescent="0.2">
      <c r="B277" s="31" t="s">
        <v>943</v>
      </c>
      <c r="C277" s="31" t="s">
        <v>944</v>
      </c>
      <c r="D277" s="31" t="s">
        <v>525</v>
      </c>
      <c r="E277" s="35">
        <v>1633</v>
      </c>
      <c r="F277" s="32">
        <v>8.2874750000000006</v>
      </c>
      <c r="G277" s="33">
        <v>5.8027920973350099E-2</v>
      </c>
      <c r="H277" s="36"/>
    </row>
    <row r="278" spans="2:8" x14ac:dyDescent="0.2">
      <c r="B278" s="31" t="s">
        <v>911</v>
      </c>
      <c r="C278" s="31" t="s">
        <v>912</v>
      </c>
      <c r="D278" s="31" t="s">
        <v>486</v>
      </c>
      <c r="E278" s="35">
        <v>1488</v>
      </c>
      <c r="F278" s="32">
        <v>8.2360799999999994</v>
      </c>
      <c r="G278" s="33">
        <v>5.7668059254500199E-2</v>
      </c>
      <c r="H278" s="36"/>
    </row>
    <row r="279" spans="2:8" x14ac:dyDescent="0.2">
      <c r="B279" s="31" t="s">
        <v>878</v>
      </c>
      <c r="C279" s="31" t="s">
        <v>879</v>
      </c>
      <c r="D279" s="31" t="s">
        <v>165</v>
      </c>
      <c r="E279" s="35">
        <v>1951</v>
      </c>
      <c r="F279" s="32">
        <v>8.1395719999999994</v>
      </c>
      <c r="G279" s="33">
        <v>5.6992321638725099E-2</v>
      </c>
      <c r="H279" s="36"/>
    </row>
    <row r="280" spans="2:8" x14ac:dyDescent="0.2">
      <c r="B280" s="31" t="s">
        <v>773</v>
      </c>
      <c r="C280" s="31" t="s">
        <v>774</v>
      </c>
      <c r="D280" s="31" t="s">
        <v>165</v>
      </c>
      <c r="E280" s="35">
        <v>1238</v>
      </c>
      <c r="F280" s="32">
        <v>8.1287079999999996</v>
      </c>
      <c r="G280" s="33">
        <v>5.6916253194059602E-2</v>
      </c>
      <c r="H280" s="36"/>
    </row>
    <row r="281" spans="2:8" x14ac:dyDescent="0.2">
      <c r="B281" s="31" t="s">
        <v>1068</v>
      </c>
      <c r="C281" s="31" t="s">
        <v>1069</v>
      </c>
      <c r="D281" s="31" t="s">
        <v>84</v>
      </c>
      <c r="E281" s="35">
        <v>495</v>
      </c>
      <c r="F281" s="32">
        <v>8.0358300000000007</v>
      </c>
      <c r="G281" s="33">
        <v>5.6265932409482501E-2</v>
      </c>
      <c r="H281" s="36"/>
    </row>
    <row r="282" spans="2:8" x14ac:dyDescent="0.2">
      <c r="B282" s="31" t="s">
        <v>965</v>
      </c>
      <c r="C282" s="31" t="s">
        <v>966</v>
      </c>
      <c r="D282" s="31" t="s">
        <v>486</v>
      </c>
      <c r="E282" s="35">
        <v>50</v>
      </c>
      <c r="F282" s="32">
        <v>8.0340000000000007</v>
      </c>
      <c r="G282" s="33">
        <v>5.6253118965655401E-2</v>
      </c>
      <c r="H282" s="36"/>
    </row>
    <row r="283" spans="2:8" x14ac:dyDescent="0.2">
      <c r="B283" s="31" t="s">
        <v>959</v>
      </c>
      <c r="C283" s="31" t="s">
        <v>960</v>
      </c>
      <c r="D283" s="31" t="s">
        <v>87</v>
      </c>
      <c r="E283" s="35">
        <v>674</v>
      </c>
      <c r="F283" s="32">
        <v>8.0047610000000002</v>
      </c>
      <c r="G283" s="33">
        <v>5.6048390941578097E-2</v>
      </c>
      <c r="H283" s="36"/>
    </row>
    <row r="284" spans="2:8" x14ac:dyDescent="0.2">
      <c r="B284" s="31" t="s">
        <v>802</v>
      </c>
      <c r="C284" s="31" t="s">
        <v>803</v>
      </c>
      <c r="D284" s="31" t="s">
        <v>458</v>
      </c>
      <c r="E284" s="35">
        <v>716</v>
      </c>
      <c r="F284" s="32">
        <v>7.9995099999999999</v>
      </c>
      <c r="G284" s="33">
        <v>5.6011624059864297E-2</v>
      </c>
      <c r="H284" s="36"/>
    </row>
    <row r="285" spans="2:8" x14ac:dyDescent="0.2">
      <c r="B285" s="31" t="s">
        <v>921</v>
      </c>
      <c r="C285" s="31" t="s">
        <v>922</v>
      </c>
      <c r="D285" s="31" t="s">
        <v>517</v>
      </c>
      <c r="E285" s="35">
        <v>4798</v>
      </c>
      <c r="F285" s="32">
        <v>7.9656396000000003</v>
      </c>
      <c r="G285" s="33">
        <v>5.5774467520081597E-2</v>
      </c>
      <c r="H285" s="36"/>
    </row>
    <row r="286" spans="2:8" x14ac:dyDescent="0.2">
      <c r="B286" s="31" t="s">
        <v>963</v>
      </c>
      <c r="C286" s="31" t="s">
        <v>964</v>
      </c>
      <c r="D286" s="31" t="s">
        <v>500</v>
      </c>
      <c r="E286" s="35">
        <v>7875</v>
      </c>
      <c r="F286" s="32">
        <v>7.9498125000000002</v>
      </c>
      <c r="G286" s="33">
        <v>5.5663648035493403E-2</v>
      </c>
      <c r="H286" s="36"/>
    </row>
    <row r="287" spans="2:8" x14ac:dyDescent="0.2">
      <c r="B287" s="31" t="s">
        <v>1222</v>
      </c>
      <c r="C287" s="31" t="s">
        <v>1223</v>
      </c>
      <c r="D287" s="31" t="s">
        <v>563</v>
      </c>
      <c r="E287" s="35">
        <v>338</v>
      </c>
      <c r="F287" s="32">
        <v>7.8605280000000004</v>
      </c>
      <c r="G287" s="33">
        <v>5.5038488513426097E-2</v>
      </c>
      <c r="H287" s="36"/>
    </row>
    <row r="288" spans="2:8" x14ac:dyDescent="0.2">
      <c r="B288" s="31" t="s">
        <v>793</v>
      </c>
      <c r="C288" s="31" t="s">
        <v>794</v>
      </c>
      <c r="D288" s="31" t="s">
        <v>47</v>
      </c>
      <c r="E288" s="35">
        <v>6940</v>
      </c>
      <c r="F288" s="32">
        <v>7.6235900000000001</v>
      </c>
      <c r="G288" s="33">
        <v>5.3379476626260997E-2</v>
      </c>
      <c r="H288" s="36"/>
    </row>
    <row r="289" spans="2:9" x14ac:dyDescent="0.2">
      <c r="B289" s="31" t="s">
        <v>925</v>
      </c>
      <c r="C289" s="31" t="s">
        <v>926</v>
      </c>
      <c r="D289" s="31" t="s">
        <v>67</v>
      </c>
      <c r="E289" s="35">
        <v>50</v>
      </c>
      <c r="F289" s="32">
        <v>7.3494999999999999</v>
      </c>
      <c r="G289" s="33">
        <v>5.1460330823759497E-2</v>
      </c>
      <c r="H289" s="36"/>
    </row>
    <row r="290" spans="2:9" x14ac:dyDescent="0.2">
      <c r="B290" s="31" t="s">
        <v>993</v>
      </c>
      <c r="C290" s="31" t="s">
        <v>994</v>
      </c>
      <c r="D290" s="31" t="s">
        <v>517</v>
      </c>
      <c r="E290" s="35">
        <v>1041</v>
      </c>
      <c r="F290" s="32">
        <v>7.2968894999999998</v>
      </c>
      <c r="G290" s="33">
        <v>5.1091958317493302E-2</v>
      </c>
      <c r="H290" s="36"/>
    </row>
    <row r="291" spans="2:9" x14ac:dyDescent="0.2">
      <c r="B291" s="31" t="s">
        <v>909</v>
      </c>
      <c r="C291" s="31" t="s">
        <v>910</v>
      </c>
      <c r="D291" s="31" t="s">
        <v>79</v>
      </c>
      <c r="E291" s="35">
        <v>773</v>
      </c>
      <c r="F291" s="32">
        <v>6.9237609999999998</v>
      </c>
      <c r="G291" s="33">
        <v>4.8479356637137802E-2</v>
      </c>
      <c r="H291" s="36"/>
    </row>
    <row r="292" spans="2:9" x14ac:dyDescent="0.2">
      <c r="B292" s="31" t="s">
        <v>971</v>
      </c>
      <c r="C292" s="31" t="s">
        <v>972</v>
      </c>
      <c r="D292" s="31" t="s">
        <v>94</v>
      </c>
      <c r="E292" s="35">
        <v>394</v>
      </c>
      <c r="F292" s="32">
        <v>6.8481139999999998</v>
      </c>
      <c r="G292" s="33">
        <v>4.7949685279109998E-2</v>
      </c>
      <c r="H292" s="36"/>
    </row>
    <row r="293" spans="2:9" x14ac:dyDescent="0.2">
      <c r="B293" s="31" t="s">
        <v>951</v>
      </c>
      <c r="C293" s="31" t="s">
        <v>952</v>
      </c>
      <c r="D293" s="31" t="s">
        <v>67</v>
      </c>
      <c r="E293" s="35">
        <v>802</v>
      </c>
      <c r="F293" s="32">
        <v>6.7067249999999996</v>
      </c>
      <c r="G293" s="33">
        <v>4.6959696203004102E-2</v>
      </c>
      <c r="H293" s="36"/>
    </row>
    <row r="294" spans="2:9" x14ac:dyDescent="0.2">
      <c r="B294" s="31" t="s">
        <v>945</v>
      </c>
      <c r="C294" s="31" t="s">
        <v>946</v>
      </c>
      <c r="D294" s="31" t="s">
        <v>67</v>
      </c>
      <c r="E294" s="35">
        <v>16481</v>
      </c>
      <c r="F294" s="32">
        <v>6.6813973999999998</v>
      </c>
      <c r="G294" s="33">
        <v>4.6782355339683897E-2</v>
      </c>
      <c r="H294" s="36"/>
    </row>
    <row r="295" spans="2:9" ht="10.5" x14ac:dyDescent="0.25">
      <c r="B295" s="30" t="s">
        <v>170</v>
      </c>
      <c r="C295" s="30"/>
      <c r="D295" s="30"/>
      <c r="E295" s="30"/>
      <c r="F295" s="37">
        <f>SUM(F7:F294)</f>
        <v>14180.455250200002</v>
      </c>
      <c r="G295" s="38">
        <f>SUM(G7:G294)</f>
        <v>99.289872563685975</v>
      </c>
      <c r="H295" s="30"/>
      <c r="I295" s="23"/>
    </row>
    <row r="296" spans="2:9" ht="10.5" x14ac:dyDescent="0.25">
      <c r="B296" s="30" t="s">
        <v>171</v>
      </c>
      <c r="C296" s="30"/>
      <c r="D296" s="30"/>
      <c r="E296" s="30"/>
      <c r="F296" s="40" t="s">
        <v>172</v>
      </c>
      <c r="G296" s="41" t="s">
        <v>172</v>
      </c>
      <c r="H296" s="30"/>
      <c r="I296" s="23"/>
    </row>
    <row r="297" spans="2:9" ht="10.5" x14ac:dyDescent="0.25">
      <c r="B297" s="30" t="s">
        <v>170</v>
      </c>
      <c r="C297" s="30"/>
      <c r="D297" s="30"/>
      <c r="E297" s="30"/>
      <c r="F297" s="42" t="s">
        <v>172</v>
      </c>
      <c r="G297" s="43" t="s">
        <v>172</v>
      </c>
      <c r="H297" s="30"/>
      <c r="I297" s="23"/>
    </row>
    <row r="298" spans="2:9" ht="10.5" x14ac:dyDescent="0.25">
      <c r="B298" s="44" t="s">
        <v>173</v>
      </c>
      <c r="C298" s="44"/>
      <c r="D298" s="44"/>
      <c r="E298" s="44"/>
      <c r="F298" s="45">
        <f>F295</f>
        <v>14180.455250200002</v>
      </c>
      <c r="G298" s="46">
        <f>G295</f>
        <v>99.289872563685975</v>
      </c>
      <c r="H298" s="30"/>
      <c r="I298" s="23"/>
    </row>
    <row r="299" spans="2:9" ht="10.5" x14ac:dyDescent="0.25">
      <c r="B299" s="30" t="s">
        <v>174</v>
      </c>
      <c r="C299" s="30"/>
      <c r="D299" s="30"/>
      <c r="E299" s="30"/>
      <c r="F299" s="37">
        <v>155.50942380000001</v>
      </c>
      <c r="G299" s="38">
        <v>1.08885861554667</v>
      </c>
      <c r="H299" s="36">
        <v>5.2499999999999998E-2</v>
      </c>
      <c r="I299" s="24"/>
    </row>
    <row r="300" spans="2:9" x14ac:dyDescent="0.2">
      <c r="B300" s="31"/>
      <c r="C300" s="31"/>
      <c r="D300" s="31"/>
      <c r="E300" s="31"/>
      <c r="F300" s="32"/>
      <c r="G300" s="33"/>
      <c r="H300" s="31"/>
    </row>
    <row r="301" spans="2:9" ht="10.5" x14ac:dyDescent="0.25">
      <c r="B301" s="30" t="s">
        <v>176</v>
      </c>
      <c r="C301" s="31"/>
      <c r="D301" s="31"/>
      <c r="E301" s="31"/>
      <c r="F301" s="151">
        <v>13.1</v>
      </c>
      <c r="G301" s="151">
        <f>F301/F303*100</f>
        <v>9.1724652532995457E-2</v>
      </c>
      <c r="H301" s="31"/>
    </row>
    <row r="302" spans="2:9" ht="10.5" x14ac:dyDescent="0.25">
      <c r="B302" s="52" t="s">
        <v>177</v>
      </c>
      <c r="C302" s="52"/>
      <c r="D302" s="52"/>
      <c r="E302" s="52"/>
      <c r="F302" s="37">
        <f>F303-(F295+F299+F301)</f>
        <v>-67.189912700003333</v>
      </c>
      <c r="G302" s="38">
        <f>G303-(G295+G299+G301)</f>
        <v>-0.47045583176563355</v>
      </c>
      <c r="H302" s="30"/>
      <c r="I302" s="23"/>
    </row>
    <row r="303" spans="2:9" ht="10.5" x14ac:dyDescent="0.25">
      <c r="B303" s="47" t="s">
        <v>175</v>
      </c>
      <c r="C303" s="47"/>
      <c r="D303" s="47"/>
      <c r="E303" s="47"/>
      <c r="F303" s="48">
        <v>14281.8747613</v>
      </c>
      <c r="G303" s="49">
        <v>100</v>
      </c>
      <c r="H303" s="51"/>
      <c r="I303" s="23"/>
    </row>
    <row r="305" spans="2:7" ht="10.5" x14ac:dyDescent="0.25">
      <c r="B305" s="23" t="s">
        <v>178</v>
      </c>
    </row>
    <row r="307" spans="2:7" ht="25.5" customHeight="1" x14ac:dyDescent="0.2">
      <c r="B307" s="144" t="s">
        <v>7</v>
      </c>
      <c r="C307" s="144" t="s">
        <v>179</v>
      </c>
      <c r="D307" s="144" t="s">
        <v>180</v>
      </c>
      <c r="E307" s="144" t="s">
        <v>0</v>
      </c>
      <c r="F307" s="150" t="s">
        <v>181</v>
      </c>
      <c r="G307" s="146" t="s">
        <v>182</v>
      </c>
    </row>
    <row r="308" spans="2:7" ht="13.5" customHeight="1" x14ac:dyDescent="0.2">
      <c r="B308" s="56" t="s">
        <v>183</v>
      </c>
      <c r="C308" s="56" t="s">
        <v>184</v>
      </c>
      <c r="D308" s="56" t="s">
        <v>185</v>
      </c>
      <c r="E308" s="57">
        <v>195</v>
      </c>
      <c r="F308" s="58">
        <v>46.991489999999999</v>
      </c>
      <c r="G308" s="59">
        <v>0.3290288620044069</v>
      </c>
    </row>
    <row r="309" spans="2:7" ht="10.5" x14ac:dyDescent="0.25">
      <c r="B309" s="53"/>
      <c r="C309" s="53"/>
      <c r="D309" s="53"/>
      <c r="E309" s="53"/>
      <c r="F309" s="54">
        <f>SUM(F308:F308)</f>
        <v>46.991489999999999</v>
      </c>
      <c r="G309" s="55">
        <f>SUM(G308:G308)</f>
        <v>0.3290288620044069</v>
      </c>
    </row>
    <row r="310" spans="2:7" ht="10.5" x14ac:dyDescent="0.25">
      <c r="B310" s="23" t="s">
        <v>256</v>
      </c>
    </row>
    <row r="312" spans="2:7" ht="10.5" x14ac:dyDescent="0.25">
      <c r="B312" s="23" t="s">
        <v>186</v>
      </c>
    </row>
    <row r="313" spans="2:7" ht="10.5" x14ac:dyDescent="0.25">
      <c r="B313" s="23"/>
    </row>
    <row r="314" spans="2:7" x14ac:dyDescent="0.2">
      <c r="B314" s="81" t="s">
        <v>1497</v>
      </c>
    </row>
    <row r="315" spans="2:7" x14ac:dyDescent="0.2">
      <c r="B315" s="81" t="s">
        <v>1515</v>
      </c>
    </row>
    <row r="316" spans="2:7" x14ac:dyDescent="0.2">
      <c r="B316" s="81" t="s">
        <v>1516</v>
      </c>
    </row>
    <row r="317" spans="2:7" ht="10.5" x14ac:dyDescent="0.2">
      <c r="B317" s="70"/>
    </row>
    <row r="318" spans="2:7" ht="10.5" x14ac:dyDescent="0.2">
      <c r="B318" s="88" t="s">
        <v>1499</v>
      </c>
      <c r="C318" s="107" t="s">
        <v>1517</v>
      </c>
      <c r="D318" s="107" t="s">
        <v>1500</v>
      </c>
    </row>
    <row r="319" spans="2:7" x14ac:dyDescent="0.2">
      <c r="B319" s="85" t="s">
        <v>1501</v>
      </c>
      <c r="C319" s="89">
        <v>8.8172999999999995</v>
      </c>
      <c r="D319" s="89">
        <v>9.6913</v>
      </c>
    </row>
    <row r="320" spans="2:7" ht="10.5" x14ac:dyDescent="0.2">
      <c r="B320" s="70"/>
    </row>
    <row r="321" spans="2:6" ht="10.5" x14ac:dyDescent="0.2">
      <c r="B321" s="70"/>
    </row>
    <row r="322" spans="2:6" ht="10.5" x14ac:dyDescent="0.2">
      <c r="B322" s="70"/>
    </row>
    <row r="323" spans="2:6" x14ac:dyDescent="0.2">
      <c r="B323" s="81" t="s">
        <v>1584</v>
      </c>
    </row>
    <row r="324" spans="2:6" x14ac:dyDescent="0.2">
      <c r="B324" s="81"/>
    </row>
    <row r="325" spans="2:6" ht="10.5" x14ac:dyDescent="0.2">
      <c r="B325" s="108" t="s">
        <v>1550</v>
      </c>
    </row>
    <row r="326" spans="2:6" x14ac:dyDescent="0.2">
      <c r="B326" s="87"/>
    </row>
    <row r="327" spans="2:6" ht="10.5" x14ac:dyDescent="0.2">
      <c r="B327" s="108" t="s">
        <v>1551</v>
      </c>
    </row>
    <row r="328" spans="2:6" ht="21" x14ac:dyDescent="0.2">
      <c r="B328" s="109" t="s">
        <v>1519</v>
      </c>
      <c r="C328" s="110" t="s">
        <v>1520</v>
      </c>
      <c r="D328" s="110" t="s">
        <v>1521</v>
      </c>
      <c r="E328" s="110" t="s">
        <v>1522</v>
      </c>
      <c r="F328" s="110" t="s">
        <v>1523</v>
      </c>
    </row>
    <row r="329" spans="2:6" x14ac:dyDescent="0.2">
      <c r="B329" s="162" t="s">
        <v>399</v>
      </c>
      <c r="C329" s="163"/>
      <c r="D329" s="163"/>
      <c r="E329" s="163"/>
      <c r="F329" s="164"/>
    </row>
    <row r="330" spans="2:6" x14ac:dyDescent="0.2">
      <c r="B330" s="87" t="s">
        <v>1595</v>
      </c>
    </row>
    <row r="331" spans="2:6" x14ac:dyDescent="0.2">
      <c r="B331" s="87" t="s">
        <v>1583</v>
      </c>
    </row>
    <row r="332" spans="2:6" x14ac:dyDescent="0.2">
      <c r="B332" s="87"/>
    </row>
    <row r="333" spans="2:6" x14ac:dyDescent="0.2">
      <c r="B333" s="165" t="s">
        <v>1525</v>
      </c>
      <c r="C333" s="165" t="s">
        <v>1526</v>
      </c>
      <c r="D333" s="165" t="s">
        <v>1527</v>
      </c>
      <c r="E333" s="165" t="s">
        <v>1528</v>
      </c>
      <c r="F333" s="165" t="s">
        <v>1529</v>
      </c>
    </row>
    <row r="334" spans="2:6" x14ac:dyDescent="0.2">
      <c r="B334" s="166"/>
      <c r="C334" s="166"/>
      <c r="D334" s="166"/>
      <c r="E334" s="166"/>
      <c r="F334" s="166"/>
    </row>
    <row r="335" spans="2:6" x14ac:dyDescent="0.2">
      <c r="B335" s="162" t="s">
        <v>399</v>
      </c>
      <c r="C335" s="163"/>
      <c r="D335" s="163"/>
      <c r="E335" s="163"/>
      <c r="F335" s="164"/>
    </row>
    <row r="336" spans="2:6" x14ac:dyDescent="0.2">
      <c r="B336" s="87"/>
    </row>
    <row r="337" spans="2:6" ht="10.5" x14ac:dyDescent="0.25">
      <c r="B337" s="111" t="s">
        <v>1552</v>
      </c>
      <c r="C337" s="112"/>
      <c r="D337" s="112"/>
      <c r="E337" s="112"/>
      <c r="F337" s="112"/>
    </row>
    <row r="338" spans="2:6" x14ac:dyDescent="0.2">
      <c r="B338" s="113"/>
      <c r="C338" s="112"/>
      <c r="D338" s="112"/>
      <c r="E338" s="112"/>
      <c r="F338" s="112"/>
    </row>
    <row r="339" spans="2:6" ht="21" x14ac:dyDescent="0.2">
      <c r="B339" s="109" t="s">
        <v>1519</v>
      </c>
      <c r="C339" s="110" t="s">
        <v>1520</v>
      </c>
      <c r="D339" s="110" t="s">
        <v>1521</v>
      </c>
      <c r="E339" s="110" t="s">
        <v>1522</v>
      </c>
      <c r="F339" s="110" t="s">
        <v>1523</v>
      </c>
    </row>
    <row r="340" spans="2:6" x14ac:dyDescent="0.2">
      <c r="B340" s="114" t="s">
        <v>183</v>
      </c>
      <c r="C340" s="115" t="s">
        <v>184</v>
      </c>
      <c r="D340" s="116">
        <v>24168.083299999998</v>
      </c>
      <c r="E340" s="117">
        <v>24098.2</v>
      </c>
      <c r="F340" s="117">
        <v>5.3261197999999998</v>
      </c>
    </row>
    <row r="341" spans="2:6" x14ac:dyDescent="0.2">
      <c r="B341" s="113"/>
      <c r="C341" s="112"/>
      <c r="D341" s="112"/>
      <c r="E341" s="112"/>
      <c r="F341" s="112"/>
    </row>
    <row r="342" spans="2:6" x14ac:dyDescent="0.2">
      <c r="B342" s="113" t="s">
        <v>1596</v>
      </c>
      <c r="C342" s="112"/>
      <c r="D342" s="112"/>
      <c r="E342" s="112"/>
      <c r="F342" s="112"/>
    </row>
    <row r="343" spans="2:6" ht="10.5" x14ac:dyDescent="0.2">
      <c r="B343" s="112" t="s">
        <v>1572</v>
      </c>
      <c r="C343" s="118"/>
      <c r="D343" s="119"/>
      <c r="E343" s="120"/>
      <c r="F343" s="121"/>
    </row>
    <row r="344" spans="2:6" ht="10.5" x14ac:dyDescent="0.2">
      <c r="B344" s="112" t="s">
        <v>1530</v>
      </c>
      <c r="C344" s="118"/>
      <c r="D344" s="119"/>
      <c r="E344" s="120"/>
      <c r="F344" s="121"/>
    </row>
    <row r="345" spans="2:6" x14ac:dyDescent="0.2">
      <c r="B345" s="167" t="s">
        <v>1525</v>
      </c>
      <c r="C345" s="167" t="s">
        <v>1526</v>
      </c>
      <c r="D345" s="167" t="s">
        <v>1527</v>
      </c>
      <c r="E345" s="167" t="s">
        <v>1528</v>
      </c>
      <c r="F345" s="167" t="s">
        <v>1529</v>
      </c>
    </row>
    <row r="346" spans="2:6" ht="22.5" customHeight="1" x14ac:dyDescent="0.2">
      <c r="B346" s="168"/>
      <c r="C346" s="168"/>
      <c r="D346" s="168"/>
      <c r="E346" s="168"/>
      <c r="F346" s="168"/>
    </row>
    <row r="347" spans="2:6" ht="19.5" customHeight="1" x14ac:dyDescent="0.2">
      <c r="B347" s="152">
        <v>66</v>
      </c>
      <c r="C347" s="157">
        <v>74</v>
      </c>
      <c r="D347" s="153">
        <v>1010.2739075</v>
      </c>
      <c r="E347" s="154">
        <v>1161.904119</v>
      </c>
      <c r="F347" s="155">
        <v>33.451726000000001</v>
      </c>
    </row>
    <row r="348" spans="2:6" x14ac:dyDescent="0.2">
      <c r="B348" s="106"/>
      <c r="C348" s="122"/>
      <c r="D348" s="122"/>
      <c r="E348" s="122"/>
      <c r="F348" s="15"/>
    </row>
    <row r="349" spans="2:6" ht="10.5" x14ac:dyDescent="0.2">
      <c r="B349" s="123" t="s">
        <v>1553</v>
      </c>
      <c r="C349" s="124"/>
      <c r="D349" s="124"/>
      <c r="E349" s="125"/>
      <c r="F349" s="15"/>
    </row>
    <row r="350" spans="2:6" ht="10.5" x14ac:dyDescent="0.2">
      <c r="B350" s="126"/>
      <c r="C350" s="124"/>
      <c r="D350" s="124"/>
      <c r="E350" s="125"/>
      <c r="F350" s="15"/>
    </row>
    <row r="351" spans="2:6" ht="10.5" x14ac:dyDescent="0.2">
      <c r="B351" s="109" t="s">
        <v>1519</v>
      </c>
      <c r="C351" s="110" t="s">
        <v>1531</v>
      </c>
      <c r="D351" s="110" t="s">
        <v>1532</v>
      </c>
      <c r="E351" s="110" t="s">
        <v>1533</v>
      </c>
      <c r="F351" s="15"/>
    </row>
    <row r="352" spans="2:6" x14ac:dyDescent="0.2">
      <c r="B352" s="162" t="s">
        <v>399</v>
      </c>
      <c r="C352" s="163"/>
      <c r="D352" s="163"/>
      <c r="E352" s="164"/>
      <c r="F352" s="15"/>
    </row>
    <row r="353" spans="2:6" x14ac:dyDescent="0.2">
      <c r="B353" s="113" t="s">
        <v>1534</v>
      </c>
      <c r="C353" s="112"/>
      <c r="D353" s="112"/>
      <c r="E353" s="112"/>
      <c r="F353" s="15"/>
    </row>
    <row r="354" spans="2:6" x14ac:dyDescent="0.2">
      <c r="B354" s="127"/>
      <c r="C354" s="128"/>
      <c r="D354" s="128"/>
      <c r="E354" s="127"/>
      <c r="F354" s="15"/>
    </row>
    <row r="355" spans="2:6" x14ac:dyDescent="0.2">
      <c r="B355" s="127" t="s">
        <v>1573</v>
      </c>
      <c r="C355" s="128"/>
      <c r="D355" s="128"/>
      <c r="E355" s="127"/>
      <c r="F355" s="15"/>
    </row>
    <row r="356" spans="2:6" x14ac:dyDescent="0.2">
      <c r="B356" s="127"/>
      <c r="C356" s="128"/>
      <c r="D356" s="128"/>
      <c r="E356" s="127"/>
      <c r="F356" s="15"/>
    </row>
    <row r="357" spans="2:6" x14ac:dyDescent="0.2">
      <c r="B357" s="165" t="s">
        <v>1535</v>
      </c>
      <c r="C357" s="165" t="s">
        <v>1536</v>
      </c>
      <c r="D357" s="165" t="s">
        <v>1537</v>
      </c>
      <c r="E357" s="127"/>
      <c r="F357" s="15"/>
    </row>
    <row r="358" spans="2:6" x14ac:dyDescent="0.2">
      <c r="B358" s="166"/>
      <c r="C358" s="166"/>
      <c r="D358" s="166"/>
      <c r="E358" s="127"/>
      <c r="F358" s="15"/>
    </row>
    <row r="359" spans="2:6" x14ac:dyDescent="0.2">
      <c r="B359" s="169" t="s">
        <v>399</v>
      </c>
      <c r="C359" s="169"/>
      <c r="D359" s="169"/>
      <c r="E359" s="122"/>
      <c r="F359" s="15"/>
    </row>
    <row r="360" spans="2:6" x14ac:dyDescent="0.2">
      <c r="B360" s="129"/>
      <c r="C360" s="129"/>
      <c r="D360" s="129"/>
      <c r="E360" s="122"/>
      <c r="F360" s="15"/>
    </row>
    <row r="361" spans="2:6" ht="10.5" x14ac:dyDescent="0.2">
      <c r="B361" s="123" t="s">
        <v>1554</v>
      </c>
      <c r="C361" s="129"/>
      <c r="D361" s="129"/>
      <c r="E361" s="122"/>
      <c r="F361" s="15"/>
    </row>
    <row r="362" spans="2:6" x14ac:dyDescent="0.2">
      <c r="B362" s="129"/>
      <c r="C362" s="129"/>
      <c r="D362" s="129"/>
      <c r="E362" s="122"/>
      <c r="F362" s="15"/>
    </row>
    <row r="363" spans="2:6" ht="21" x14ac:dyDescent="0.2">
      <c r="B363" s="110" t="s">
        <v>1519</v>
      </c>
      <c r="C363" s="110" t="s">
        <v>1538</v>
      </c>
      <c r="D363" s="110" t="s">
        <v>1539</v>
      </c>
      <c r="E363" s="110" t="s">
        <v>1540</v>
      </c>
      <c r="F363" s="110" t="s">
        <v>1541</v>
      </c>
    </row>
    <row r="364" spans="2:6" x14ac:dyDescent="0.2">
      <c r="B364" s="170" t="s">
        <v>399</v>
      </c>
      <c r="C364" s="170"/>
      <c r="D364" s="170"/>
      <c r="E364" s="170"/>
      <c r="F364" s="170"/>
    </row>
    <row r="365" spans="2:6" x14ac:dyDescent="0.2">
      <c r="B365" s="130" t="s">
        <v>1542</v>
      </c>
      <c r="C365" s="129"/>
      <c r="D365" s="129"/>
      <c r="E365" s="122"/>
      <c r="F365" s="15"/>
    </row>
    <row r="366" spans="2:6" x14ac:dyDescent="0.2">
      <c r="B366" s="129"/>
      <c r="C366" s="129"/>
      <c r="D366" s="129"/>
      <c r="E366" s="122"/>
      <c r="F366" s="15"/>
    </row>
    <row r="367" spans="2:6" x14ac:dyDescent="0.2">
      <c r="B367" s="127" t="s">
        <v>1555</v>
      </c>
      <c r="C367" s="128"/>
      <c r="D367" s="128"/>
      <c r="E367" s="122"/>
      <c r="F367" s="15"/>
    </row>
    <row r="368" spans="2:6" x14ac:dyDescent="0.2">
      <c r="B368" s="127"/>
      <c r="C368" s="128"/>
      <c r="D368" s="128"/>
      <c r="E368" s="122"/>
      <c r="F368" s="15"/>
    </row>
    <row r="369" spans="2:6" x14ac:dyDescent="0.2">
      <c r="B369" s="165" t="s">
        <v>1535</v>
      </c>
      <c r="C369" s="165" t="s">
        <v>1536</v>
      </c>
      <c r="D369" s="165" t="s">
        <v>1537</v>
      </c>
      <c r="E369" s="122"/>
      <c r="F369" s="15"/>
    </row>
    <row r="370" spans="2:6" x14ac:dyDescent="0.2">
      <c r="B370" s="166"/>
      <c r="C370" s="166"/>
      <c r="D370" s="166"/>
      <c r="E370" s="122"/>
      <c r="F370" s="15"/>
    </row>
    <row r="371" spans="2:6" x14ac:dyDescent="0.2">
      <c r="B371" s="169" t="s">
        <v>399</v>
      </c>
      <c r="C371" s="169"/>
      <c r="D371" s="169"/>
      <c r="E371" s="122"/>
      <c r="F371" s="15"/>
    </row>
    <row r="372" spans="2:6" x14ac:dyDescent="0.2">
      <c r="B372" s="129"/>
      <c r="C372" s="129"/>
      <c r="D372" s="129"/>
      <c r="E372" s="122"/>
      <c r="F372" s="15"/>
    </row>
    <row r="373" spans="2:6" ht="10.5" x14ac:dyDescent="0.2">
      <c r="B373" s="131" t="s">
        <v>1549</v>
      </c>
      <c r="C373" s="129"/>
      <c r="D373" s="129"/>
      <c r="E373" s="122"/>
      <c r="F373" s="15"/>
    </row>
    <row r="374" spans="2:6" x14ac:dyDescent="0.2">
      <c r="B374" s="87"/>
    </row>
    <row r="375" spans="2:6" x14ac:dyDescent="0.2">
      <c r="B375" s="81" t="s">
        <v>1545</v>
      </c>
    </row>
    <row r="376" spans="2:6" x14ac:dyDescent="0.2">
      <c r="B376" s="87" t="s">
        <v>1592</v>
      </c>
    </row>
    <row r="377" spans="2:6" x14ac:dyDescent="0.2">
      <c r="B377" s="81" t="s">
        <v>1546</v>
      </c>
    </row>
    <row r="378" spans="2:6" ht="10.5" x14ac:dyDescent="0.25">
      <c r="B378" s="23"/>
    </row>
    <row r="380" spans="2:6" ht="10.5" x14ac:dyDescent="0.25">
      <c r="B380" s="23" t="s">
        <v>187</v>
      </c>
    </row>
    <row r="402" spans="2:2" ht="10.5" x14ac:dyDescent="0.2">
      <c r="B402" s="72" t="s">
        <v>1482</v>
      </c>
    </row>
    <row r="403" spans="2:2" ht="10.5" x14ac:dyDescent="0.25">
      <c r="B403" s="73" t="s">
        <v>1493</v>
      </c>
    </row>
  </sheetData>
  <mergeCells count="23">
    <mergeCell ref="B364:F364"/>
    <mergeCell ref="B369:B370"/>
    <mergeCell ref="C369:C370"/>
    <mergeCell ref="D369:D370"/>
    <mergeCell ref="B371:D371"/>
    <mergeCell ref="B352:E352"/>
    <mergeCell ref="B357:B358"/>
    <mergeCell ref="C357:C358"/>
    <mergeCell ref="D357:D358"/>
    <mergeCell ref="B359:D359"/>
    <mergeCell ref="B335:F335"/>
    <mergeCell ref="B345:B346"/>
    <mergeCell ref="C345:C346"/>
    <mergeCell ref="D345:D346"/>
    <mergeCell ref="E345:E346"/>
    <mergeCell ref="F345:F346"/>
    <mergeCell ref="B1:C1"/>
    <mergeCell ref="B329:F329"/>
    <mergeCell ref="B333:B334"/>
    <mergeCell ref="C333:C334"/>
    <mergeCell ref="D333:D334"/>
    <mergeCell ref="E333:E334"/>
    <mergeCell ref="F333:F334"/>
  </mergeCells>
  <conditionalFormatting sqref="G1:G3 G5:G424">
    <cfRule type="cellIs" dxfId="0" priority="2" stopIfTrue="1" operator="between">
      <formula>0.009</formula>
      <formula>-0.009</formula>
    </cfRule>
  </conditionalFormatting>
  <hyperlinks>
    <hyperlink ref="A2" location="Index!A1" display="-" xr:uid="{3CF8A5CB-004A-4C10-811F-4DFBAA40A0D2}"/>
  </hyperlinks>
  <pageMargins left="0.7" right="0.7" top="0.75" bottom="0.75" header="0.3" footer="0.3"/>
  <pageSetup paperSize="9" scale="4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321" min="1" max="7" man="1"/>
  </rowBreaks>
  <colBreaks count="1" manualBreakCount="1">
    <brk id="8" max="6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Index</vt:lpstr>
      <vt:lpstr>JBLARGE</vt:lpstr>
      <vt:lpstr>JBMMF</vt:lpstr>
      <vt:lpstr>JBOF</vt:lpstr>
      <vt:lpstr>JBLF</vt:lpstr>
      <vt:lpstr>JBN8-13</vt:lpstr>
      <vt:lpstr>JBLOW</vt:lpstr>
      <vt:lpstr>JBSHORT</vt:lpstr>
      <vt:lpstr>JBN50</vt:lpstr>
      <vt:lpstr>JBNNX50</vt:lpstr>
      <vt:lpstr>JBNM150</vt:lpstr>
      <vt:lpstr>JBNS250</vt:lpstr>
      <vt:lpstr>JBFLEXI</vt:lpstr>
      <vt:lpstr>JBARB</vt:lpstr>
      <vt:lpstr>JBSECRO</vt:lpstr>
      <vt:lpstr>JBARB!Print_Area</vt:lpstr>
      <vt:lpstr>JBFLEXI!Print_Area</vt:lpstr>
      <vt:lpstr>JBLARGE!Print_Area</vt:lpstr>
      <vt:lpstr>JBLF!Print_Area</vt:lpstr>
      <vt:lpstr>JBLOW!Print_Area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  <vt:lpstr>JBSECRO!Print_Area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