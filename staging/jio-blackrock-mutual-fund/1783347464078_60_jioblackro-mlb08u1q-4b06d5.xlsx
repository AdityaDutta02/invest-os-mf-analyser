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26C31C56-9638-4868-953D-121FA606076B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M150" sheetId="11" r:id="rId1"/>
  </sheets>
  <definedNames>
    <definedName name="_xlnm.Print_Area" localSheetId="0">JBNM150!$B$1:$H$203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" i="11" l="1"/>
  <c r="G163" i="11" s="1"/>
  <c r="F157" i="11"/>
  <c r="F163" i="11" s="1"/>
  <c r="F160" i="11" l="1"/>
  <c r="G160" i="11"/>
</calcChain>
</file>

<file path=xl/sharedStrings.xml><?xml version="1.0" encoding="utf-8"?>
<sst xmlns="http://schemas.openxmlformats.org/spreadsheetml/2006/main" count="476" uniqueCount="363">
  <si>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</si>
  <si>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</si>
  <si>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</si>
  <si>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</si>
  <si>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</si>
  <si>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</si>
  <si>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</si>
  <si>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Nifty Midcap 150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</si>
  <si>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</si>
  <si>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</si>
  <si>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</si>
  <si>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</si>
  <si>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</si>
  <si>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</si>
  <si>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</si>
  <si>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</si>
  <si>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</si>
  <si>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</si>
  <si>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IT - Software</t>
  </si>
  <si>
    <t>Telecom - Services</t>
  </si>
  <si>
    <t>Construction</t>
  </si>
  <si>
    <t>Automobiles</t>
  </si>
  <si>
    <t>Finance</t>
  </si>
  <si>
    <t>Retailing</t>
  </si>
  <si>
    <t>Pharmaceuticals &amp; Biotechnology</t>
  </si>
  <si>
    <t>Power</t>
  </si>
  <si>
    <t>Consumer Durables</t>
  </si>
  <si>
    <t>Aerospace &amp; Defense</t>
  </si>
  <si>
    <t>Ferrous Metals</t>
  </si>
  <si>
    <t>Cement &amp; Cement Products</t>
  </si>
  <si>
    <t>Non - Ferrous Metals</t>
  </si>
  <si>
    <t>Transport Infrastructure</t>
  </si>
  <si>
    <t>Oil</t>
  </si>
  <si>
    <t>Transport Services</t>
  </si>
  <si>
    <t>Insurance</t>
  </si>
  <si>
    <t>Agricultural Food &amp; Other Products</t>
  </si>
  <si>
    <t>Healthcare Services</t>
  </si>
  <si>
    <t xml:space="preserve">(b) Unlisted </t>
  </si>
  <si>
    <t>NIL</t>
  </si>
  <si>
    <t>Industry Classification</t>
  </si>
  <si>
    <t>Beverages</t>
  </si>
  <si>
    <t>Leisure Services</t>
  </si>
  <si>
    <t>Auto Components</t>
  </si>
  <si>
    <t>Personal Products</t>
  </si>
  <si>
    <t>Gas</t>
  </si>
  <si>
    <t>Chemicals &amp; Petrochemicals</t>
  </si>
  <si>
    <t>Realty</t>
  </si>
  <si>
    <t>Electrical Equipment</t>
  </si>
  <si>
    <t>Industrial Manufacturing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</si>
  <si>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</si>
  <si>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</si>
  <si>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</si>
  <si>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</si>
  <si>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</si>
  <si>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</si>
  <si>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</si>
  <si>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Persistent Systems Ltd</t>
  </si>
  <si>
    <t>INE262H01021</t>
  </si>
  <si>
    <t>IndusInd Bank Ltd</t>
  </si>
  <si>
    <t>INE095A01012</t>
  </si>
  <si>
    <t>Suzlon Energy Ltd</t>
  </si>
  <si>
    <t>INE040H01021</t>
  </si>
  <si>
    <t>Indus Towers Ltd</t>
  </si>
  <si>
    <t>INE121J01017</t>
  </si>
  <si>
    <t>PB Fintech Ltd</t>
  </si>
  <si>
    <t>INE417T01026</t>
  </si>
  <si>
    <t>Financial Technology (Fintech)</t>
  </si>
  <si>
    <t>Ashok Leyland Ltd</t>
  </si>
  <si>
    <t>INE208A01029</t>
  </si>
  <si>
    <t>Agricultural, Commercial &amp; Construction Vehicles</t>
  </si>
  <si>
    <t>Cummins India Ltd</t>
  </si>
  <si>
    <t>INE298A01020</t>
  </si>
  <si>
    <t>Industrial Products</t>
  </si>
  <si>
    <t>AU Small Finance Bank Ltd</t>
  </si>
  <si>
    <t>INE949L01017</t>
  </si>
  <si>
    <t>Coforge Ltd</t>
  </si>
  <si>
    <t>INE591G01025</t>
  </si>
  <si>
    <t>IDFC First Bank Ltd</t>
  </si>
  <si>
    <t>INE092T01019</t>
  </si>
  <si>
    <t>Lupin Ltd</t>
  </si>
  <si>
    <t>INE326A01037</t>
  </si>
  <si>
    <t>HDFC Asset Management Co Ltd</t>
  </si>
  <si>
    <t>INE127D01025</t>
  </si>
  <si>
    <t>One 97 Communications Ltd</t>
  </si>
  <si>
    <t>INE982J01020</t>
  </si>
  <si>
    <t>Fortis Healthcare Ltd</t>
  </si>
  <si>
    <t>INE061F01013</t>
  </si>
  <si>
    <t>Dixon Technologies (India) Ltd</t>
  </si>
  <si>
    <t>INE935N01020</t>
  </si>
  <si>
    <t>Max Financial Services Ltd</t>
  </si>
  <si>
    <t>INE180A01020</t>
  </si>
  <si>
    <t>Swiggy Ltd</t>
  </si>
  <si>
    <t>INE00H001014</t>
  </si>
  <si>
    <t>Muthoot Finance Ltd</t>
  </si>
  <si>
    <t>INE414G01012</t>
  </si>
  <si>
    <t>Hindustan Petroleum Corporation Ltd</t>
  </si>
  <si>
    <t>INE094A01015</t>
  </si>
  <si>
    <t>SRF Ltd</t>
  </si>
  <si>
    <t>INE647A01010</t>
  </si>
  <si>
    <t>Ge Vernova T&amp;D India Ltd</t>
  </si>
  <si>
    <t>INE200A01026</t>
  </si>
  <si>
    <t>UPL Ltd</t>
  </si>
  <si>
    <t>INE628A01036</t>
  </si>
  <si>
    <t>Fertilizers &amp; Agrochemicals</t>
  </si>
  <si>
    <t>Marico Ltd</t>
  </si>
  <si>
    <t>INE196A01026</t>
  </si>
  <si>
    <t>Bharat Forge Ltd</t>
  </si>
  <si>
    <t>INE465A01025</t>
  </si>
  <si>
    <t>Yes Bank Ltd</t>
  </si>
  <si>
    <t>INE528G01035</t>
  </si>
  <si>
    <t>APL Apollo Tubes Ltd</t>
  </si>
  <si>
    <t>INE702C01027</t>
  </si>
  <si>
    <t>Polycab India Ltd</t>
  </si>
  <si>
    <t>INE455K01017</t>
  </si>
  <si>
    <t>Sundaram Finance Ltd</t>
  </si>
  <si>
    <t>INE660A01013</t>
  </si>
  <si>
    <t>Union Bank Of India</t>
  </si>
  <si>
    <t>INE692A01016</t>
  </si>
  <si>
    <t>National Aluminium Co Ltd</t>
  </si>
  <si>
    <t>INE139A01034</t>
  </si>
  <si>
    <t>Aurobindo Pharma Ltd</t>
  </si>
  <si>
    <t>INE406A01037</t>
  </si>
  <si>
    <t>Bharat Heavy Electricals Ltd</t>
  </si>
  <si>
    <t>INE257A01026</t>
  </si>
  <si>
    <t>GMR Airports Ltd</t>
  </si>
  <si>
    <t>INE776C01039</t>
  </si>
  <si>
    <t>Alkem Laboratories Ltd</t>
  </si>
  <si>
    <t>INE540L01014</t>
  </si>
  <si>
    <t>FSN E-Commerce Ventures Ltd</t>
  </si>
  <si>
    <t>INE388Y01029</t>
  </si>
  <si>
    <t>Indian Bank</t>
  </si>
  <si>
    <t>INE562A01011</t>
  </si>
  <si>
    <t>Mphasis Ltd</t>
  </si>
  <si>
    <t>INE356A01018</t>
  </si>
  <si>
    <t>Phoenix Mills Ltd</t>
  </si>
  <si>
    <t>INE211B01039</t>
  </si>
  <si>
    <t>Vodafone Idea Ltd</t>
  </si>
  <si>
    <t>INE669E01016</t>
  </si>
  <si>
    <t>Glenmark Pharmaceuticals Ltd</t>
  </si>
  <si>
    <t>INE935A01035</t>
  </si>
  <si>
    <t>Voltas Ltd</t>
  </si>
  <si>
    <t>INE226A01021</t>
  </si>
  <si>
    <t>Dabur India Ltd</t>
  </si>
  <si>
    <t>INE016A01026</t>
  </si>
  <si>
    <t>360 One Wam Ltd</t>
  </si>
  <si>
    <t>INE466L01038</t>
  </si>
  <si>
    <t>NMDC Ltd</t>
  </si>
  <si>
    <t>INE584A01023</t>
  </si>
  <si>
    <t>Minerals &amp; Mining</t>
  </si>
  <si>
    <t>Colgate Palmolive (India) Ltd</t>
  </si>
  <si>
    <t>INE259A01022</t>
  </si>
  <si>
    <t>Oil India Ltd</t>
  </si>
  <si>
    <t>INE274J01014</t>
  </si>
  <si>
    <t>Coromandel International Ltd</t>
  </si>
  <si>
    <t>INE169A01031</t>
  </si>
  <si>
    <t>MRF Ltd</t>
  </si>
  <si>
    <t>INE883A01011</t>
  </si>
  <si>
    <t>Vishal Mega Mart Ltd</t>
  </si>
  <si>
    <t>INE01EA01019</t>
  </si>
  <si>
    <t>Waaree Energies Ltd</t>
  </si>
  <si>
    <t>INE377N01017</t>
  </si>
  <si>
    <t>Torrent Power Ltd</t>
  </si>
  <si>
    <t>INE813H01021</t>
  </si>
  <si>
    <t>Jindal Stainless Ltd</t>
  </si>
  <si>
    <t>INE220G01021</t>
  </si>
  <si>
    <t>Biocon Ltd</t>
  </si>
  <si>
    <t>INE376G01013</t>
  </si>
  <si>
    <t>Aditya Birla Capital Ltd</t>
  </si>
  <si>
    <t>INE674K01013</t>
  </si>
  <si>
    <t>PI Industries Ltd</t>
  </si>
  <si>
    <t>INE603J01030</t>
  </si>
  <si>
    <t>ICICI Prudential Life Insurance Co Ltd</t>
  </si>
  <si>
    <t>INE726G01019</t>
  </si>
  <si>
    <t>Tube Investments of India Ltd</t>
  </si>
  <si>
    <t>INE974X01010</t>
  </si>
  <si>
    <t>Mahindra &amp; Mahindra Financial Services Ltd</t>
  </si>
  <si>
    <t>INE774D01024</t>
  </si>
  <si>
    <t>KEI Industries Ltd</t>
  </si>
  <si>
    <t>INE878B01027</t>
  </si>
  <si>
    <t>NHPC Ltd</t>
  </si>
  <si>
    <t>INE848E01016</t>
  </si>
  <si>
    <t>Prestige Estates Projects Ltd</t>
  </si>
  <si>
    <t>INE811K01011</t>
  </si>
  <si>
    <t>Mankind Pharma Ltd</t>
  </si>
  <si>
    <t>INE634S01028</t>
  </si>
  <si>
    <t>Hitachi Energy India Ltd</t>
  </si>
  <si>
    <t>INE07Y701011</t>
  </si>
  <si>
    <t>Blue Star Ltd</t>
  </si>
  <si>
    <t>INE472A01039</t>
  </si>
  <si>
    <t>Godrej Properties Ltd</t>
  </si>
  <si>
    <t>INE484J01027</t>
  </si>
  <si>
    <t>L&amp;T Finance Ltd</t>
  </si>
  <si>
    <t>INE498L01015</t>
  </si>
  <si>
    <t>J.K. Cement Ltd</t>
  </si>
  <si>
    <t>INE823G01014</t>
  </si>
  <si>
    <t>Supreme Industries Ltd</t>
  </si>
  <si>
    <t>INE195A01028</t>
  </si>
  <si>
    <t>SBI Cards and Payment Services Ltd</t>
  </si>
  <si>
    <t>INE018E01016</t>
  </si>
  <si>
    <t>Sona Blw Precision Forgings Ltd</t>
  </si>
  <si>
    <t>INE073K01018</t>
  </si>
  <si>
    <t>Steel Authority of India Ltd</t>
  </si>
  <si>
    <t>INE114A01011</t>
  </si>
  <si>
    <t>Petronet LNG Ltd</t>
  </si>
  <si>
    <t>INE347G01014</t>
  </si>
  <si>
    <t>Uno Minda Ltd</t>
  </si>
  <si>
    <t>INE405E01023</t>
  </si>
  <si>
    <t>Page Industries Ltd</t>
  </si>
  <si>
    <t>INE761H01022</t>
  </si>
  <si>
    <t>Textiles &amp; Apparels</t>
  </si>
  <si>
    <t>IPCA Laboratories Ltd</t>
  </si>
  <si>
    <t>INE571A01038</t>
  </si>
  <si>
    <t>Bank of India</t>
  </si>
  <si>
    <t>INE084A01016</t>
  </si>
  <si>
    <t>Rail Vikas Nigam Ltd</t>
  </si>
  <si>
    <t>INE415G01027</t>
  </si>
  <si>
    <t>Jubilant Foodworks Ltd</t>
  </si>
  <si>
    <t>INE797F01020</t>
  </si>
  <si>
    <t>Indian Railway Catering And Tourism Corporation Ltd</t>
  </si>
  <si>
    <t>INE335Y01020</t>
  </si>
  <si>
    <t>Oracle Financial Services Software Ltd</t>
  </si>
  <si>
    <t>INE881D01027</t>
  </si>
  <si>
    <t>Balkrishna Industries Ltd</t>
  </si>
  <si>
    <t>INE787D01026</t>
  </si>
  <si>
    <t>Tata Communications Ltd</t>
  </si>
  <si>
    <t>INE151A01013</t>
  </si>
  <si>
    <t>Tata Elxsi Ltd</t>
  </si>
  <si>
    <t>INE670A01012</t>
  </si>
  <si>
    <t>Astral Ltd</t>
  </si>
  <si>
    <t>INE006I01046</t>
  </si>
  <si>
    <t>Oberoi Realty Ltd</t>
  </si>
  <si>
    <t>INE093I01010</t>
  </si>
  <si>
    <t>Container Corporation Of India Ltd</t>
  </si>
  <si>
    <t>INE111A01025</t>
  </si>
  <si>
    <t>KPIT Technologies Ltd</t>
  </si>
  <si>
    <t>INE04I401011</t>
  </si>
  <si>
    <t>Patanjali Foods Ltd</t>
  </si>
  <si>
    <t>INE619A01035</t>
  </si>
  <si>
    <t>Agricultural Food &amp; other Products</t>
  </si>
  <si>
    <t>ITC Hotels Ltd</t>
  </si>
  <si>
    <t>INE379A01028</t>
  </si>
  <si>
    <t>Dalmia Bharat Ltd</t>
  </si>
  <si>
    <t>INE00R701025</t>
  </si>
  <si>
    <t>Apollo Tyres Ltd</t>
  </si>
  <si>
    <t>INE438A01022</t>
  </si>
  <si>
    <t>LIC Housing Finance Ltd</t>
  </si>
  <si>
    <t>INE115A01026</t>
  </si>
  <si>
    <t>Nippon Life India Asset Management Ltd</t>
  </si>
  <si>
    <t>INE298J01013</t>
  </si>
  <si>
    <t>AIA Engineering Ltd</t>
  </si>
  <si>
    <t>INE212H01026</t>
  </si>
  <si>
    <t>Exide Industries Ltd</t>
  </si>
  <si>
    <t>INE302A01020</t>
  </si>
  <si>
    <t>Adani Total Gas Ltd</t>
  </si>
  <si>
    <t>INE399L01023</t>
  </si>
  <si>
    <t>Schaeffler India Ltd</t>
  </si>
  <si>
    <t>INE513A01022</t>
  </si>
  <si>
    <t>Abbott India Ltd</t>
  </si>
  <si>
    <t>INE358A01014</t>
  </si>
  <si>
    <t>Lloyds Metals And Energy Ltd</t>
  </si>
  <si>
    <t>INE281B01032</t>
  </si>
  <si>
    <t>Bharat Dynamics Ltd</t>
  </si>
  <si>
    <t>INE171Z01026</t>
  </si>
  <si>
    <t>Cochin Shipyard Ltd</t>
  </si>
  <si>
    <t>INE704P01025</t>
  </si>
  <si>
    <t>Kalyan Jewellers India Ltd</t>
  </si>
  <si>
    <t>INE303R01014</t>
  </si>
  <si>
    <t>Apar Industries Ltd</t>
  </si>
  <si>
    <t>INE372A01015</t>
  </si>
  <si>
    <t>Bank Of Maharashtra</t>
  </si>
  <si>
    <t>INE457A01014</t>
  </si>
  <si>
    <t>Berger Paints India Ltd</t>
  </si>
  <si>
    <t>INE463A01038</t>
  </si>
  <si>
    <t>Gujarat Fluorochemicals Ltd</t>
  </si>
  <si>
    <t>INE09N301011</t>
  </si>
  <si>
    <t>Linde India Ltd</t>
  </si>
  <si>
    <t>INE473A01011</t>
  </si>
  <si>
    <t>Indraprastha Gas Ltd</t>
  </si>
  <si>
    <t>INE203G01027</t>
  </si>
  <si>
    <t>Ajanta Pharma Ltd</t>
  </si>
  <si>
    <t>INE031B01049</t>
  </si>
  <si>
    <t>General Insurance Corporation Of India</t>
  </si>
  <si>
    <t>INE481Y01014</t>
  </si>
  <si>
    <t>Motilal Oswal Financial Services Ltd</t>
  </si>
  <si>
    <t>INE338I01027</t>
  </si>
  <si>
    <t>Bharti Hexacom Ltd</t>
  </si>
  <si>
    <t>INE343G01021</t>
  </si>
  <si>
    <t>CRISIL Ltd</t>
  </si>
  <si>
    <t>INE007A01025</t>
  </si>
  <si>
    <t>Deepak Nitrite Ltd</t>
  </si>
  <si>
    <t>INE288B01029</t>
  </si>
  <si>
    <t>Escorts Kubota Ltd</t>
  </si>
  <si>
    <t>INE042A01014</t>
  </si>
  <si>
    <t>Thermax Ltd</t>
  </si>
  <si>
    <t>INE152A01029</t>
  </si>
  <si>
    <t>Procter &amp; Gamble Hygiene and Health Care Ltd</t>
  </si>
  <si>
    <t>INE179A01014</t>
  </si>
  <si>
    <t>Tata Technologies Ltd</t>
  </si>
  <si>
    <t>INE142M01025</t>
  </si>
  <si>
    <t>IT - Services</t>
  </si>
  <si>
    <t>United Breweries Ltd</t>
  </si>
  <si>
    <t>INE686F01025</t>
  </si>
  <si>
    <t>Indian Renewable Energy Development Agency Ltd</t>
  </si>
  <si>
    <t>INE202E01016</t>
  </si>
  <si>
    <t>Hexaware Technologies Ltd</t>
  </si>
  <si>
    <t>INE093A01041</t>
  </si>
  <si>
    <t>L&amp;T Technology Services Ltd</t>
  </si>
  <si>
    <t>INE010V01017</t>
  </si>
  <si>
    <t>K.P.R. Mill Ltd</t>
  </si>
  <si>
    <t>INE930H01031</t>
  </si>
  <si>
    <t>ACC Ltd</t>
  </si>
  <si>
    <t>INE012A01025</t>
  </si>
  <si>
    <t>Awl Agri Business Ltd</t>
  </si>
  <si>
    <t>INE699H01024</t>
  </si>
  <si>
    <t>Glaxosmithkline Pharmaceuticals Ltd</t>
  </si>
  <si>
    <t>INE159A01016</t>
  </si>
  <si>
    <t>3M India Ltd</t>
  </si>
  <si>
    <t>INE470A01017</t>
  </si>
  <si>
    <t>Diversified</t>
  </si>
  <si>
    <t>Housing &amp; Urban Development Corporation Ltd</t>
  </si>
  <si>
    <t>INE031A01017</t>
  </si>
  <si>
    <t>Syngene International Ltd</t>
  </si>
  <si>
    <t>INE398R01022</t>
  </si>
  <si>
    <t>Global Health Ltd</t>
  </si>
  <si>
    <t>INE474Q01031</t>
  </si>
  <si>
    <t>Endurance Technologies Ltd</t>
  </si>
  <si>
    <t>INE913H01037</t>
  </si>
  <si>
    <t>NLC India Ltd</t>
  </si>
  <si>
    <t>INE589A01014</t>
  </si>
  <si>
    <t>JSW Infrastructure Ltd</t>
  </si>
  <si>
    <t>INE880J01026</t>
  </si>
  <si>
    <t>Premier Energies Ltd</t>
  </si>
  <si>
    <t>INE0BS701011</t>
  </si>
  <si>
    <t>Godfrey Phillips India Ltd</t>
  </si>
  <si>
    <t>INE260B01028</t>
  </si>
  <si>
    <t>Cigarettes &amp; Tobacco Products</t>
  </si>
  <si>
    <t>IRB Infrastructure Developers Ltd</t>
  </si>
  <si>
    <t>INE821I01022</t>
  </si>
  <si>
    <t>Tata Investment Corporation Ltd</t>
  </si>
  <si>
    <t>INE672A01026</t>
  </si>
  <si>
    <t>NTPC Green Energy Ltd</t>
  </si>
  <si>
    <t>INE0ONG01011</t>
  </si>
  <si>
    <t>Honeywell Automation India Ltd</t>
  </si>
  <si>
    <t>INE671A01010</t>
  </si>
  <si>
    <t>Gujarat Gas Ltd</t>
  </si>
  <si>
    <t>INE844O01030</t>
  </si>
  <si>
    <t>IDBI Bank Ltd</t>
  </si>
  <si>
    <t>INE008A01015</t>
  </si>
  <si>
    <t>Indian Overseas Bank</t>
  </si>
  <si>
    <t>INE565A01014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</si>
  <si>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</si>
  <si>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</si>
  <si>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</si>
  <si>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</si>
  <si>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</si>
  <si>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</si>
  <si>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</si>
  <si>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</si>
  <si>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UCO Bank</t>
  </si>
  <si>
    <t>INE691A01018</t>
  </si>
  <si>
    <t>Benchmark Risk-O-Meter</t>
  </si>
  <si>
    <t>Benchmark Name - NIFTY Midcap 150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</si>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</sst>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714375</xdr:colOff>
      <xdr:row>182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1C09F-038C-4C64-A0AF-F6333F01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682075"/>
          <a:ext cx="4000500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619125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5697D-CA99-4385-9D2F-849AE49EA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069675"/>
          <a:ext cx="37338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448E-2CFD-44DA-BEB4-846A6431E21C}">
  <dimension ref="A1:I408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1.1796875" style="8" bestFit="1" customWidth="1"/>
    <col min="4" max="4" width="33.81640625" style="8" bestFit="1" customWidth="1"/>
    <col min="5" max="5" width="13.6328125" style="9" bestFit="1" customWidth="1"/>
    <col min="6" max="6" width="12.7265625" style="11" bestFit="1" customWidth="1"/>
    <col min="7" max="7" width="6.7265625" style="14" bestFit="1" customWidth="1"/>
    <col min="8" max="8" width="13.90625" style="8" bestFit="1" customWidth="1"/>
    <col min="9" max="16384" width="9.08984375" style="8"/>
  </cols>
  <sheetData>
    <row r="1" spans="1:9" s="1" customFormat="1" ht="16.75" customHeight="1" x14ac:dyDescent="0.35">
      <c r="B1" s="52" t="s">
        <v>7</v>
      </c>
      <c r="C1" s="53"/>
      <c r="D1" s="13"/>
      <c r="E1" s="6"/>
      <c r="F1" s="7"/>
      <c r="G1" s="14"/>
    </row>
    <row r="2" spans="1:9" s="1" customFormat="1" ht="14.5" x14ac:dyDescent="0.35">
      <c r="A2" s="48" t="s">
        <v>362</v>
      </c>
      <c r="E2" s="6"/>
      <c r="F2" s="7"/>
      <c r="G2" s="14"/>
    </row>
    <row r="3" spans="1:9" s="1" customFormat="1" ht="11.5" x14ac:dyDescent="0.25">
      <c r="B3" s="10" t="s">
        <v>6</v>
      </c>
      <c r="C3" s="2"/>
      <c r="D3" s="3"/>
      <c r="E3" s="4"/>
      <c r="F3" s="5"/>
      <c r="G3" s="14"/>
    </row>
    <row r="4" spans="1:9" s="1" customFormat="1" ht="21" x14ac:dyDescent="0.25">
      <c r="B4" s="17" t="s">
        <v>4</v>
      </c>
      <c r="C4" s="17" t="s">
        <v>5</v>
      </c>
      <c r="D4" s="18" t="s">
        <v>39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ht="10.5" x14ac:dyDescent="0.25">
      <c r="B5" s="22" t="s">
        <v>15</v>
      </c>
      <c r="C5" s="23"/>
      <c r="D5" s="23"/>
      <c r="E5" s="24"/>
      <c r="F5" s="25"/>
      <c r="G5" s="26"/>
      <c r="H5" s="23"/>
    </row>
    <row r="6" spans="1:9" ht="10.5" x14ac:dyDescent="0.25">
      <c r="B6" s="22" t="s">
        <v>14</v>
      </c>
      <c r="C6" s="23"/>
      <c r="D6" s="23"/>
      <c r="E6" s="24"/>
      <c r="F6" s="25"/>
      <c r="G6" s="26"/>
      <c r="H6" s="23"/>
    </row>
    <row r="7" spans="1:9" x14ac:dyDescent="0.2">
      <c r="B7" s="23" t="s">
        <v>49</v>
      </c>
      <c r="C7" s="23" t="s">
        <v>50</v>
      </c>
      <c r="D7" s="23" t="s">
        <v>51</v>
      </c>
      <c r="E7" s="27">
        <v>22084</v>
      </c>
      <c r="F7" s="25">
        <v>617.68948</v>
      </c>
      <c r="G7" s="26">
        <v>3.0703765697429599</v>
      </c>
      <c r="H7" s="28"/>
    </row>
    <row r="8" spans="1:9" x14ac:dyDescent="0.2">
      <c r="B8" s="23" t="s">
        <v>52</v>
      </c>
      <c r="C8" s="23" t="s">
        <v>53</v>
      </c>
      <c r="D8" s="23" t="s">
        <v>21</v>
      </c>
      <c r="E8" s="27">
        <v>7014</v>
      </c>
      <c r="F8" s="25">
        <v>388.15476000000001</v>
      </c>
      <c r="G8" s="26">
        <v>1.9294181285687499</v>
      </c>
      <c r="H8" s="28"/>
    </row>
    <row r="9" spans="1:9" x14ac:dyDescent="0.2">
      <c r="B9" s="23" t="s">
        <v>54</v>
      </c>
      <c r="C9" s="23" t="s">
        <v>55</v>
      </c>
      <c r="D9" s="23" t="s">
        <v>16</v>
      </c>
      <c r="E9" s="27">
        <v>132960</v>
      </c>
      <c r="F9" s="25">
        <v>382.5924</v>
      </c>
      <c r="G9" s="26">
        <v>1.9017690583328799</v>
      </c>
      <c r="H9" s="28"/>
    </row>
    <row r="10" spans="1:9" x14ac:dyDescent="0.2">
      <c r="B10" s="23" t="s">
        <v>56</v>
      </c>
      <c r="C10" s="23" t="s">
        <v>57</v>
      </c>
      <c r="D10" s="23" t="s">
        <v>18</v>
      </c>
      <c r="E10" s="27">
        <v>5881</v>
      </c>
      <c r="F10" s="25">
        <v>354.91834999999998</v>
      </c>
      <c r="G10" s="26">
        <v>1.7642084272049301</v>
      </c>
      <c r="H10" s="28"/>
    </row>
    <row r="11" spans="1:9" x14ac:dyDescent="0.2">
      <c r="B11" s="23" t="s">
        <v>58</v>
      </c>
      <c r="C11" s="23" t="s">
        <v>59</v>
      </c>
      <c r="D11" s="23" t="s">
        <v>16</v>
      </c>
      <c r="E11" s="27">
        <v>35591</v>
      </c>
      <c r="F11" s="25">
        <v>318.93095099999999</v>
      </c>
      <c r="G11" s="26">
        <v>1.58532426246962</v>
      </c>
      <c r="H11" s="28"/>
    </row>
    <row r="12" spans="1:9" x14ac:dyDescent="0.2">
      <c r="B12" s="23" t="s">
        <v>60</v>
      </c>
      <c r="C12" s="23" t="s">
        <v>61</v>
      </c>
      <c r="D12" s="23" t="s">
        <v>47</v>
      </c>
      <c r="E12" s="27">
        <v>655788</v>
      </c>
      <c r="F12" s="25">
        <v>312.61413959999999</v>
      </c>
      <c r="G12" s="26">
        <v>1.5539250071058299</v>
      </c>
      <c r="H12" s="28"/>
    </row>
    <row r="13" spans="1:9" x14ac:dyDescent="0.2">
      <c r="B13" s="23" t="s">
        <v>62</v>
      </c>
      <c r="C13" s="23" t="s">
        <v>63</v>
      </c>
      <c r="D13" s="23" t="s">
        <v>19</v>
      </c>
      <c r="E13" s="27">
        <v>69947</v>
      </c>
      <c r="F13" s="25">
        <v>310.77452099999999</v>
      </c>
      <c r="G13" s="26">
        <v>1.5447807331144601</v>
      </c>
      <c r="H13" s="28"/>
    </row>
    <row r="14" spans="1:9" x14ac:dyDescent="0.2">
      <c r="B14" s="23" t="s">
        <v>64</v>
      </c>
      <c r="C14" s="23" t="s">
        <v>65</v>
      </c>
      <c r="D14" s="23" t="s">
        <v>66</v>
      </c>
      <c r="E14" s="27">
        <v>18427</v>
      </c>
      <c r="F14" s="25">
        <v>304.87471499999998</v>
      </c>
      <c r="G14" s="26">
        <v>1.51545430503861</v>
      </c>
      <c r="H14" s="28"/>
    </row>
    <row r="15" spans="1:9" x14ac:dyDescent="0.2">
      <c r="B15" s="23" t="s">
        <v>67</v>
      </c>
      <c r="C15" s="23" t="s">
        <v>68</v>
      </c>
      <c r="D15" s="23" t="s">
        <v>69</v>
      </c>
      <c r="E15" s="27">
        <v>154636</v>
      </c>
      <c r="F15" s="25">
        <v>304.15354839999998</v>
      </c>
      <c r="G15" s="26">
        <v>1.51186957014638</v>
      </c>
      <c r="H15" s="28"/>
    </row>
    <row r="16" spans="1:9" x14ac:dyDescent="0.2">
      <c r="B16" s="23" t="s">
        <v>70</v>
      </c>
      <c r="C16" s="23" t="s">
        <v>71</v>
      </c>
      <c r="D16" s="23" t="s">
        <v>72</v>
      </c>
      <c r="E16" s="27">
        <v>7304</v>
      </c>
      <c r="F16" s="25">
        <v>300.37700000000001</v>
      </c>
      <c r="G16" s="26">
        <v>1.49309731305393</v>
      </c>
      <c r="H16" s="28"/>
    </row>
    <row r="17" spans="2:8" x14ac:dyDescent="0.2">
      <c r="B17" s="23" t="s">
        <v>73</v>
      </c>
      <c r="C17" s="23" t="s">
        <v>74</v>
      </c>
      <c r="D17" s="23" t="s">
        <v>16</v>
      </c>
      <c r="E17" s="27">
        <v>30500</v>
      </c>
      <c r="F17" s="25">
        <v>299.61675000000002</v>
      </c>
      <c r="G17" s="26">
        <v>1.4893183045670999</v>
      </c>
      <c r="H17" s="28"/>
    </row>
    <row r="18" spans="2:8" x14ac:dyDescent="0.2">
      <c r="B18" s="23" t="s">
        <v>75</v>
      </c>
      <c r="C18" s="23" t="s">
        <v>76</v>
      </c>
      <c r="D18" s="23" t="s">
        <v>18</v>
      </c>
      <c r="E18" s="27">
        <v>18094</v>
      </c>
      <c r="F18" s="25">
        <v>299.23857199999998</v>
      </c>
      <c r="G18" s="26">
        <v>1.48743847836318</v>
      </c>
      <c r="H18" s="28"/>
    </row>
    <row r="19" spans="2:8" x14ac:dyDescent="0.2">
      <c r="B19" s="23" t="s">
        <v>77</v>
      </c>
      <c r="C19" s="23" t="s">
        <v>78</v>
      </c>
      <c r="D19" s="23" t="s">
        <v>16</v>
      </c>
      <c r="E19" s="27">
        <v>357697</v>
      </c>
      <c r="F19" s="25">
        <v>298.9631526</v>
      </c>
      <c r="G19" s="26">
        <v>1.48606943890242</v>
      </c>
      <c r="H19" s="28"/>
    </row>
    <row r="20" spans="2:8" x14ac:dyDescent="0.2">
      <c r="B20" s="23" t="s">
        <v>79</v>
      </c>
      <c r="C20" s="23" t="s">
        <v>80</v>
      </c>
      <c r="D20" s="23" t="s">
        <v>24</v>
      </c>
      <c r="E20" s="27">
        <v>13101</v>
      </c>
      <c r="F20" s="25">
        <v>282.03832799999998</v>
      </c>
      <c r="G20" s="26">
        <v>1.4019404605379999</v>
      </c>
      <c r="H20" s="28"/>
    </row>
    <row r="21" spans="2:8" x14ac:dyDescent="0.2">
      <c r="B21" s="23" t="s">
        <v>81</v>
      </c>
      <c r="C21" s="23" t="s">
        <v>82</v>
      </c>
      <c r="D21" s="23" t="s">
        <v>51</v>
      </c>
      <c r="E21" s="27">
        <v>10999</v>
      </c>
      <c r="F21" s="25">
        <v>276.701843</v>
      </c>
      <c r="G21" s="26">
        <v>1.37541415721034</v>
      </c>
      <c r="H21" s="28"/>
    </row>
    <row r="22" spans="2:8" x14ac:dyDescent="0.2">
      <c r="B22" s="23" t="s">
        <v>83</v>
      </c>
      <c r="C22" s="23" t="s">
        <v>84</v>
      </c>
      <c r="D22" s="23" t="s">
        <v>66</v>
      </c>
      <c r="E22" s="27">
        <v>21940</v>
      </c>
      <c r="F22" s="25">
        <v>249.5675</v>
      </c>
      <c r="G22" s="26">
        <v>1.2405362716705599</v>
      </c>
      <c r="H22" s="28"/>
    </row>
    <row r="23" spans="2:8" x14ac:dyDescent="0.2">
      <c r="B23" s="23" t="s">
        <v>85</v>
      </c>
      <c r="C23" s="23" t="s">
        <v>86</v>
      </c>
      <c r="D23" s="23" t="s">
        <v>36</v>
      </c>
      <c r="E23" s="27">
        <v>28163</v>
      </c>
      <c r="F23" s="25">
        <v>239.80794499999999</v>
      </c>
      <c r="G23" s="26">
        <v>1.19202401757953</v>
      </c>
      <c r="H23" s="28"/>
    </row>
    <row r="24" spans="2:8" x14ac:dyDescent="0.2">
      <c r="B24" s="23" t="s">
        <v>87</v>
      </c>
      <c r="C24" s="23" t="s">
        <v>88</v>
      </c>
      <c r="D24" s="23" t="s">
        <v>26</v>
      </c>
      <c r="E24" s="27">
        <v>2223</v>
      </c>
      <c r="F24" s="25">
        <v>232.21458000000001</v>
      </c>
      <c r="G24" s="26">
        <v>1.15427934046198</v>
      </c>
      <c r="H24" s="28"/>
    </row>
    <row r="25" spans="2:8" x14ac:dyDescent="0.2">
      <c r="B25" s="23" t="s">
        <v>89</v>
      </c>
      <c r="C25" s="23" t="s">
        <v>90</v>
      </c>
      <c r="D25" s="23" t="s">
        <v>34</v>
      </c>
      <c r="E25" s="27">
        <v>14247</v>
      </c>
      <c r="F25" s="25">
        <v>229.88959199999999</v>
      </c>
      <c r="G25" s="26">
        <v>1.1427224192074099</v>
      </c>
      <c r="H25" s="28"/>
    </row>
    <row r="26" spans="2:8" x14ac:dyDescent="0.2">
      <c r="B26" s="23" t="s">
        <v>91</v>
      </c>
      <c r="C26" s="23" t="s">
        <v>92</v>
      </c>
      <c r="D26" s="23" t="s">
        <v>23</v>
      </c>
      <c r="E26" s="27">
        <v>72234</v>
      </c>
      <c r="F26" s="25">
        <v>223.74481499999999</v>
      </c>
      <c r="G26" s="26">
        <v>1.1121783028868699</v>
      </c>
      <c r="H26" s="28"/>
    </row>
    <row r="27" spans="2:8" x14ac:dyDescent="0.2">
      <c r="B27" s="23" t="s">
        <v>93</v>
      </c>
      <c r="C27" s="23" t="s">
        <v>94</v>
      </c>
      <c r="D27" s="23" t="s">
        <v>22</v>
      </c>
      <c r="E27" s="27">
        <v>5796</v>
      </c>
      <c r="F27" s="25">
        <v>221.963616</v>
      </c>
      <c r="G27" s="26">
        <v>1.1033244177994199</v>
      </c>
      <c r="H27" s="28"/>
    </row>
    <row r="28" spans="2:8" x14ac:dyDescent="0.2">
      <c r="B28" s="23" t="s">
        <v>95</v>
      </c>
      <c r="C28" s="23" t="s">
        <v>96</v>
      </c>
      <c r="D28" s="23" t="s">
        <v>17</v>
      </c>
      <c r="E28" s="27">
        <v>51903</v>
      </c>
      <c r="F28" s="25">
        <v>221.62581</v>
      </c>
      <c r="G28" s="26">
        <v>1.1016452704914199</v>
      </c>
      <c r="H28" s="28"/>
    </row>
    <row r="29" spans="2:8" x14ac:dyDescent="0.2">
      <c r="B29" s="23" t="s">
        <v>97</v>
      </c>
      <c r="C29" s="23" t="s">
        <v>98</v>
      </c>
      <c r="D29" s="23" t="s">
        <v>45</v>
      </c>
      <c r="E29" s="27">
        <v>7847</v>
      </c>
      <c r="F29" s="25">
        <v>220.99506099999999</v>
      </c>
      <c r="G29" s="26">
        <v>1.0985099783848</v>
      </c>
      <c r="H29" s="28"/>
    </row>
    <row r="30" spans="2:8" x14ac:dyDescent="0.2">
      <c r="B30" s="23" t="s">
        <v>99</v>
      </c>
      <c r="C30" s="23" t="s">
        <v>100</v>
      </c>
      <c r="D30" s="23" t="s">
        <v>47</v>
      </c>
      <c r="E30" s="27">
        <v>6696</v>
      </c>
      <c r="F30" s="25">
        <v>216.30088799999999</v>
      </c>
      <c r="G30" s="26">
        <v>1.0751764438821201</v>
      </c>
      <c r="H30" s="28"/>
    </row>
    <row r="31" spans="2:8" x14ac:dyDescent="0.2">
      <c r="B31" s="23" t="s">
        <v>101</v>
      </c>
      <c r="C31" s="23" t="s">
        <v>102</v>
      </c>
      <c r="D31" s="23" t="s">
        <v>103</v>
      </c>
      <c r="E31" s="27">
        <v>30272</v>
      </c>
      <c r="F31" s="25">
        <v>213.09974399999999</v>
      </c>
      <c r="G31" s="26">
        <v>1.0592643750316499</v>
      </c>
      <c r="H31" s="28"/>
    </row>
    <row r="32" spans="2:8" x14ac:dyDescent="0.2">
      <c r="B32" s="23" t="s">
        <v>104</v>
      </c>
      <c r="C32" s="23" t="s">
        <v>105</v>
      </c>
      <c r="D32" s="23" t="s">
        <v>35</v>
      </c>
      <c r="E32" s="27">
        <v>28566</v>
      </c>
      <c r="F32" s="25">
        <v>208.47466800000001</v>
      </c>
      <c r="G32" s="26">
        <v>1.03627430405993</v>
      </c>
      <c r="H32" s="28"/>
    </row>
    <row r="33" spans="2:8" x14ac:dyDescent="0.2">
      <c r="B33" s="23" t="s">
        <v>106</v>
      </c>
      <c r="C33" s="23" t="s">
        <v>107</v>
      </c>
      <c r="D33" s="23" t="s">
        <v>42</v>
      </c>
      <c r="E33" s="27">
        <v>14410</v>
      </c>
      <c r="F33" s="25">
        <v>207.70573999999999</v>
      </c>
      <c r="G33" s="26">
        <v>1.03245215945255</v>
      </c>
      <c r="H33" s="28"/>
    </row>
    <row r="34" spans="2:8" x14ac:dyDescent="0.2">
      <c r="B34" s="23" t="s">
        <v>108</v>
      </c>
      <c r="C34" s="23" t="s">
        <v>109</v>
      </c>
      <c r="D34" s="23" t="s">
        <v>16</v>
      </c>
      <c r="E34" s="27">
        <v>948840</v>
      </c>
      <c r="F34" s="25">
        <v>203.14664400000001</v>
      </c>
      <c r="G34" s="26">
        <v>1.00979005820127</v>
      </c>
      <c r="H34" s="28"/>
    </row>
    <row r="35" spans="2:8" x14ac:dyDescent="0.2">
      <c r="B35" s="23" t="s">
        <v>110</v>
      </c>
      <c r="C35" s="23" t="s">
        <v>111</v>
      </c>
      <c r="D35" s="23" t="s">
        <v>72</v>
      </c>
      <c r="E35" s="27">
        <v>9823</v>
      </c>
      <c r="F35" s="25">
        <v>200.94911099999999</v>
      </c>
      <c r="G35" s="26">
        <v>0.99886668318372196</v>
      </c>
      <c r="H35" s="28"/>
    </row>
    <row r="36" spans="2:8" x14ac:dyDescent="0.2">
      <c r="B36" s="23" t="s">
        <v>112</v>
      </c>
      <c r="C36" s="23" t="s">
        <v>113</v>
      </c>
      <c r="D36" s="23" t="s">
        <v>72</v>
      </c>
      <c r="E36" s="27">
        <v>2846</v>
      </c>
      <c r="F36" s="25">
        <v>199.60420999999999</v>
      </c>
      <c r="G36" s="26">
        <v>0.99218152396905601</v>
      </c>
      <c r="H36" s="28"/>
    </row>
    <row r="37" spans="2:8" x14ac:dyDescent="0.2">
      <c r="B37" s="23" t="s">
        <v>114</v>
      </c>
      <c r="C37" s="23" t="s">
        <v>115</v>
      </c>
      <c r="D37" s="23" t="s">
        <v>22</v>
      </c>
      <c r="E37" s="27">
        <v>3721</v>
      </c>
      <c r="F37" s="25">
        <v>196.39438000000001</v>
      </c>
      <c r="G37" s="26">
        <v>0.97622627923207606</v>
      </c>
      <c r="H37" s="28"/>
    </row>
    <row r="38" spans="2:8" x14ac:dyDescent="0.2">
      <c r="B38" s="23" t="s">
        <v>116</v>
      </c>
      <c r="C38" s="23" t="s">
        <v>117</v>
      </c>
      <c r="D38" s="23" t="s">
        <v>16</v>
      </c>
      <c r="E38" s="27">
        <v>104428</v>
      </c>
      <c r="F38" s="25">
        <v>188.7640528</v>
      </c>
      <c r="G38" s="26">
        <v>0.93829787246310803</v>
      </c>
      <c r="H38" s="28"/>
    </row>
    <row r="39" spans="2:8" x14ac:dyDescent="0.2">
      <c r="B39" s="23" t="s">
        <v>118</v>
      </c>
      <c r="C39" s="23" t="s">
        <v>119</v>
      </c>
      <c r="D39" s="23" t="s">
        <v>30</v>
      </c>
      <c r="E39" s="27">
        <v>48465</v>
      </c>
      <c r="F39" s="25">
        <v>186.80834250000001</v>
      </c>
      <c r="G39" s="26">
        <v>0.92857653629541903</v>
      </c>
      <c r="H39" s="28"/>
    </row>
    <row r="40" spans="2:8" x14ac:dyDescent="0.2">
      <c r="B40" s="23" t="s">
        <v>120</v>
      </c>
      <c r="C40" s="23" t="s">
        <v>121</v>
      </c>
      <c r="D40" s="23" t="s">
        <v>24</v>
      </c>
      <c r="E40" s="27">
        <v>15116</v>
      </c>
      <c r="F40" s="25">
        <v>182.55593200000001</v>
      </c>
      <c r="G40" s="26">
        <v>0.90743889029871405</v>
      </c>
      <c r="H40" s="28"/>
    </row>
    <row r="41" spans="2:8" x14ac:dyDescent="0.2">
      <c r="B41" s="23" t="s">
        <v>122</v>
      </c>
      <c r="C41" s="23" t="s">
        <v>123</v>
      </c>
      <c r="D41" s="23" t="s">
        <v>47</v>
      </c>
      <c r="E41" s="27">
        <v>69450</v>
      </c>
      <c r="F41" s="25">
        <v>182.44515000000001</v>
      </c>
      <c r="G41" s="26">
        <v>0.906888221284326</v>
      </c>
      <c r="H41" s="28"/>
    </row>
    <row r="42" spans="2:8" x14ac:dyDescent="0.2">
      <c r="B42" s="23" t="s">
        <v>124</v>
      </c>
      <c r="C42" s="23" t="s">
        <v>125</v>
      </c>
      <c r="D42" s="23" t="s">
        <v>31</v>
      </c>
      <c r="E42" s="27">
        <v>192838</v>
      </c>
      <c r="F42" s="25">
        <v>181.05559819999999</v>
      </c>
      <c r="G42" s="26">
        <v>0.89998111435227302</v>
      </c>
      <c r="H42" s="28"/>
    </row>
    <row r="43" spans="2:8" x14ac:dyDescent="0.2">
      <c r="B43" s="23" t="s">
        <v>126</v>
      </c>
      <c r="C43" s="23" t="s">
        <v>127</v>
      </c>
      <c r="D43" s="23" t="s">
        <v>24</v>
      </c>
      <c r="E43" s="27">
        <v>3162</v>
      </c>
      <c r="F43" s="25">
        <v>179.52255</v>
      </c>
      <c r="G43" s="26">
        <v>0.89236072348279205</v>
      </c>
      <c r="H43" s="28"/>
    </row>
    <row r="44" spans="2:8" x14ac:dyDescent="0.2">
      <c r="B44" s="23" t="s">
        <v>128</v>
      </c>
      <c r="C44" s="23" t="s">
        <v>129</v>
      </c>
      <c r="D44" s="23" t="s">
        <v>23</v>
      </c>
      <c r="E44" s="27">
        <v>73825</v>
      </c>
      <c r="F44" s="25">
        <v>175.33437499999999</v>
      </c>
      <c r="G44" s="26">
        <v>0.87154237574278604</v>
      </c>
      <c r="H44" s="28"/>
    </row>
    <row r="45" spans="2:8" x14ac:dyDescent="0.2">
      <c r="B45" s="23" t="s">
        <v>130</v>
      </c>
      <c r="C45" s="23" t="s">
        <v>131</v>
      </c>
      <c r="D45" s="23" t="s">
        <v>16</v>
      </c>
      <c r="E45" s="27">
        <v>19099</v>
      </c>
      <c r="F45" s="25">
        <v>174.12558300000001</v>
      </c>
      <c r="G45" s="26">
        <v>0.86553377958781696</v>
      </c>
      <c r="H45" s="28"/>
    </row>
    <row r="46" spans="2:8" x14ac:dyDescent="0.2">
      <c r="B46" s="23" t="s">
        <v>132</v>
      </c>
      <c r="C46" s="23" t="s">
        <v>133</v>
      </c>
      <c r="D46" s="23" t="s">
        <v>18</v>
      </c>
      <c r="E46" s="27">
        <v>6163</v>
      </c>
      <c r="F46" s="25">
        <v>170.03717</v>
      </c>
      <c r="G46" s="26">
        <v>0.84521132325808901</v>
      </c>
      <c r="H46" s="28"/>
    </row>
    <row r="47" spans="2:8" x14ac:dyDescent="0.2">
      <c r="B47" s="23" t="s">
        <v>134</v>
      </c>
      <c r="C47" s="23" t="s">
        <v>135</v>
      </c>
      <c r="D47" s="23" t="s">
        <v>46</v>
      </c>
      <c r="E47" s="27">
        <v>10084</v>
      </c>
      <c r="F47" s="25">
        <v>168.473388</v>
      </c>
      <c r="G47" s="26">
        <v>0.83743816252207304</v>
      </c>
      <c r="H47" s="28"/>
    </row>
    <row r="48" spans="2:8" x14ac:dyDescent="0.2">
      <c r="B48" s="23" t="s">
        <v>136</v>
      </c>
      <c r="C48" s="23" t="s">
        <v>137</v>
      </c>
      <c r="D48" s="23" t="s">
        <v>19</v>
      </c>
      <c r="E48" s="27">
        <v>1492203</v>
      </c>
      <c r="F48" s="25">
        <v>166.67907510000001</v>
      </c>
      <c r="G48" s="26">
        <v>0.828519091588653</v>
      </c>
      <c r="H48" s="28"/>
    </row>
    <row r="49" spans="2:8" x14ac:dyDescent="0.2">
      <c r="B49" s="23" t="s">
        <v>138</v>
      </c>
      <c r="C49" s="23" t="s">
        <v>139</v>
      </c>
      <c r="D49" s="23" t="s">
        <v>24</v>
      </c>
      <c r="E49" s="27">
        <v>8138</v>
      </c>
      <c r="F49" s="25">
        <v>164.05394200000001</v>
      </c>
      <c r="G49" s="26">
        <v>0.81547022573667705</v>
      </c>
      <c r="H49" s="28"/>
    </row>
    <row r="50" spans="2:8" x14ac:dyDescent="0.2">
      <c r="B50" s="23" t="s">
        <v>140</v>
      </c>
      <c r="C50" s="23" t="s">
        <v>141</v>
      </c>
      <c r="D50" s="23" t="s">
        <v>26</v>
      </c>
      <c r="E50" s="27">
        <v>12307</v>
      </c>
      <c r="F50" s="25">
        <v>163.42465300000001</v>
      </c>
      <c r="G50" s="26">
        <v>0.81234219091698601</v>
      </c>
      <c r="H50" s="28"/>
    </row>
    <row r="51" spans="2:8" x14ac:dyDescent="0.2">
      <c r="B51" s="23" t="s">
        <v>142</v>
      </c>
      <c r="C51" s="23" t="s">
        <v>143</v>
      </c>
      <c r="D51" s="23" t="s">
        <v>43</v>
      </c>
      <c r="E51" s="27">
        <v>31836</v>
      </c>
      <c r="F51" s="25">
        <v>161.28117599999999</v>
      </c>
      <c r="G51" s="26">
        <v>0.80168751446275399</v>
      </c>
      <c r="H51" s="28"/>
    </row>
    <row r="52" spans="2:8" x14ac:dyDescent="0.2">
      <c r="B52" s="23" t="s">
        <v>144</v>
      </c>
      <c r="C52" s="23" t="s">
        <v>145</v>
      </c>
      <c r="D52" s="23" t="s">
        <v>51</v>
      </c>
      <c r="E52" s="27">
        <v>13737</v>
      </c>
      <c r="F52" s="25">
        <v>155.818791</v>
      </c>
      <c r="G52" s="26">
        <v>0.77453539440573804</v>
      </c>
      <c r="H52" s="28"/>
    </row>
    <row r="53" spans="2:8" x14ac:dyDescent="0.2">
      <c r="B53" s="23" t="s">
        <v>146</v>
      </c>
      <c r="C53" s="23" t="s">
        <v>147</v>
      </c>
      <c r="D53" s="23" t="s">
        <v>148</v>
      </c>
      <c r="E53" s="27">
        <v>186794</v>
      </c>
      <c r="F53" s="25">
        <v>151.69540739999999</v>
      </c>
      <c r="G53" s="26">
        <v>0.75403910815928599</v>
      </c>
      <c r="H53" s="28"/>
    </row>
    <row r="54" spans="2:8" x14ac:dyDescent="0.2">
      <c r="B54" s="23" t="s">
        <v>149</v>
      </c>
      <c r="C54" s="23" t="s">
        <v>150</v>
      </c>
      <c r="D54" s="23" t="s">
        <v>43</v>
      </c>
      <c r="E54" s="27">
        <v>7117</v>
      </c>
      <c r="F54" s="25">
        <v>150.467614</v>
      </c>
      <c r="G54" s="26">
        <v>0.74793606090025699</v>
      </c>
      <c r="H54" s="28"/>
    </row>
    <row r="55" spans="2:8" x14ac:dyDescent="0.2">
      <c r="B55" s="23" t="s">
        <v>151</v>
      </c>
      <c r="C55" s="23" t="s">
        <v>152</v>
      </c>
      <c r="D55" s="23" t="s">
        <v>32</v>
      </c>
      <c r="E55" s="27">
        <v>29477</v>
      </c>
      <c r="F55" s="25">
        <v>150.34743850000001</v>
      </c>
      <c r="G55" s="26">
        <v>0.74733869919764695</v>
      </c>
      <c r="H55" s="28"/>
    </row>
    <row r="56" spans="2:8" x14ac:dyDescent="0.2">
      <c r="B56" s="23" t="s">
        <v>153</v>
      </c>
      <c r="C56" s="23" t="s">
        <v>154</v>
      </c>
      <c r="D56" s="23" t="s">
        <v>103</v>
      </c>
      <c r="E56" s="27">
        <v>6388</v>
      </c>
      <c r="F56" s="25">
        <v>145.812488</v>
      </c>
      <c r="G56" s="26">
        <v>0.72479661905708204</v>
      </c>
      <c r="H56" s="28"/>
    </row>
    <row r="57" spans="2:8" x14ac:dyDescent="0.2">
      <c r="B57" s="23" t="s">
        <v>155</v>
      </c>
      <c r="C57" s="23" t="s">
        <v>156</v>
      </c>
      <c r="D57" s="23" t="s">
        <v>42</v>
      </c>
      <c r="E57" s="27">
        <v>110</v>
      </c>
      <c r="F57" s="25">
        <v>145.38149999999999</v>
      </c>
      <c r="G57" s="26">
        <v>0.722654287837453</v>
      </c>
      <c r="H57" s="28"/>
    </row>
    <row r="58" spans="2:8" x14ac:dyDescent="0.2">
      <c r="B58" s="23" t="s">
        <v>157</v>
      </c>
      <c r="C58" s="23" t="s">
        <v>158</v>
      </c>
      <c r="D58" s="23" t="s">
        <v>23</v>
      </c>
      <c r="E58" s="27">
        <v>115020</v>
      </c>
      <c r="F58" s="25">
        <v>144.86769000000001</v>
      </c>
      <c r="G58" s="26">
        <v>0.72010026961894602</v>
      </c>
      <c r="H58" s="28"/>
    </row>
    <row r="59" spans="2:8" x14ac:dyDescent="0.2">
      <c r="B59" s="23" t="s">
        <v>159</v>
      </c>
      <c r="C59" s="23" t="s">
        <v>160</v>
      </c>
      <c r="D59" s="23" t="s">
        <v>47</v>
      </c>
      <c r="E59" s="27">
        <v>5177</v>
      </c>
      <c r="F59" s="25">
        <v>144.308875</v>
      </c>
      <c r="G59" s="26">
        <v>0.71732254304536003</v>
      </c>
      <c r="H59" s="28"/>
    </row>
    <row r="60" spans="2:8" x14ac:dyDescent="0.2">
      <c r="B60" s="23" t="s">
        <v>161</v>
      </c>
      <c r="C60" s="23" t="s">
        <v>162</v>
      </c>
      <c r="D60" s="23" t="s">
        <v>25</v>
      </c>
      <c r="E60" s="27">
        <v>10283</v>
      </c>
      <c r="F60" s="25">
        <v>142.68690799999999</v>
      </c>
      <c r="G60" s="26">
        <v>0.70926015954208799</v>
      </c>
      <c r="H60" s="28"/>
    </row>
    <row r="61" spans="2:8" x14ac:dyDescent="0.2">
      <c r="B61" s="23" t="s">
        <v>163</v>
      </c>
      <c r="C61" s="23" t="s">
        <v>164</v>
      </c>
      <c r="D61" s="23" t="s">
        <v>28</v>
      </c>
      <c r="E61" s="27">
        <v>17279</v>
      </c>
      <c r="F61" s="25">
        <v>142.12841449999999</v>
      </c>
      <c r="G61" s="26">
        <v>0.70648403106284996</v>
      </c>
      <c r="H61" s="28"/>
    </row>
    <row r="62" spans="2:8" x14ac:dyDescent="0.2">
      <c r="B62" s="23" t="s">
        <v>165</v>
      </c>
      <c r="C62" s="23" t="s">
        <v>166</v>
      </c>
      <c r="D62" s="23" t="s">
        <v>24</v>
      </c>
      <c r="E62" s="27">
        <v>38571</v>
      </c>
      <c r="F62" s="25">
        <v>141.47842800000001</v>
      </c>
      <c r="G62" s="26">
        <v>0.70325311425939596</v>
      </c>
      <c r="H62" s="28"/>
    </row>
    <row r="63" spans="2:8" x14ac:dyDescent="0.2">
      <c r="B63" s="23" t="s">
        <v>167</v>
      </c>
      <c r="C63" s="23" t="s">
        <v>168</v>
      </c>
      <c r="D63" s="23" t="s">
        <v>22</v>
      </c>
      <c r="E63" s="27">
        <v>41458</v>
      </c>
      <c r="F63" s="25">
        <v>140.87428399999999</v>
      </c>
      <c r="G63" s="26">
        <v>0.70025006880951901</v>
      </c>
      <c r="H63" s="28"/>
    </row>
    <row r="64" spans="2:8" x14ac:dyDescent="0.2">
      <c r="B64" s="23" t="s">
        <v>169</v>
      </c>
      <c r="C64" s="23" t="s">
        <v>170</v>
      </c>
      <c r="D64" s="23" t="s">
        <v>103</v>
      </c>
      <c r="E64" s="27">
        <v>4378</v>
      </c>
      <c r="F64" s="25">
        <v>139.894612</v>
      </c>
      <c r="G64" s="26">
        <v>0.69538036962857497</v>
      </c>
      <c r="H64" s="28"/>
    </row>
    <row r="65" spans="2:8" x14ac:dyDescent="0.2">
      <c r="B65" s="23" t="s">
        <v>171</v>
      </c>
      <c r="C65" s="23" t="s">
        <v>172</v>
      </c>
      <c r="D65" s="23" t="s">
        <v>34</v>
      </c>
      <c r="E65" s="27">
        <v>21235</v>
      </c>
      <c r="F65" s="25">
        <v>135.23509749999999</v>
      </c>
      <c r="G65" s="26">
        <v>0.67221911367327303</v>
      </c>
      <c r="H65" s="28"/>
    </row>
    <row r="66" spans="2:8" x14ac:dyDescent="0.2">
      <c r="B66" s="23" t="s">
        <v>173</v>
      </c>
      <c r="C66" s="23" t="s">
        <v>174</v>
      </c>
      <c r="D66" s="23" t="s">
        <v>42</v>
      </c>
      <c r="E66" s="27">
        <v>5771</v>
      </c>
      <c r="F66" s="25">
        <v>134.75862100000001</v>
      </c>
      <c r="G66" s="26">
        <v>0.66985067074361004</v>
      </c>
      <c r="H66" s="28"/>
    </row>
    <row r="67" spans="2:8" x14ac:dyDescent="0.2">
      <c r="B67" s="23" t="s">
        <v>175</v>
      </c>
      <c r="C67" s="23" t="s">
        <v>176</v>
      </c>
      <c r="D67" s="23" t="s">
        <v>22</v>
      </c>
      <c r="E67" s="27">
        <v>35752</v>
      </c>
      <c r="F67" s="25">
        <v>134.26663600000001</v>
      </c>
      <c r="G67" s="26">
        <v>0.66740513902326304</v>
      </c>
      <c r="H67" s="28"/>
    </row>
    <row r="68" spans="2:8" x14ac:dyDescent="0.2">
      <c r="B68" s="23" t="s">
        <v>177</v>
      </c>
      <c r="C68" s="23" t="s">
        <v>178</v>
      </c>
      <c r="D68" s="23" t="s">
        <v>72</v>
      </c>
      <c r="E68" s="27">
        <v>3334</v>
      </c>
      <c r="F68" s="25">
        <v>134.06347400000001</v>
      </c>
      <c r="G68" s="26">
        <v>0.66639527263430898</v>
      </c>
      <c r="H68" s="28"/>
    </row>
    <row r="69" spans="2:8" x14ac:dyDescent="0.2">
      <c r="B69" s="23" t="s">
        <v>179</v>
      </c>
      <c r="C69" s="23" t="s">
        <v>180</v>
      </c>
      <c r="D69" s="23" t="s">
        <v>25</v>
      </c>
      <c r="E69" s="27">
        <v>170985</v>
      </c>
      <c r="F69" s="25">
        <v>133.71027000000001</v>
      </c>
      <c r="G69" s="26">
        <v>0.66463958580289495</v>
      </c>
      <c r="H69" s="28"/>
    </row>
    <row r="70" spans="2:8" x14ac:dyDescent="0.2">
      <c r="B70" s="23" t="s">
        <v>181</v>
      </c>
      <c r="C70" s="23" t="s">
        <v>182</v>
      </c>
      <c r="D70" s="23" t="s">
        <v>46</v>
      </c>
      <c r="E70" s="27">
        <v>9117</v>
      </c>
      <c r="F70" s="25">
        <v>133.244955</v>
      </c>
      <c r="G70" s="26">
        <v>0.66232662383768504</v>
      </c>
      <c r="H70" s="28"/>
    </row>
    <row r="71" spans="2:8" x14ac:dyDescent="0.2">
      <c r="B71" s="23" t="s">
        <v>183</v>
      </c>
      <c r="C71" s="23" t="s">
        <v>184</v>
      </c>
      <c r="D71" s="23" t="s">
        <v>24</v>
      </c>
      <c r="E71" s="27">
        <v>6113</v>
      </c>
      <c r="F71" s="25">
        <v>129.84012000000001</v>
      </c>
      <c r="G71" s="26">
        <v>0.64540205907443104</v>
      </c>
      <c r="H71" s="28"/>
    </row>
    <row r="72" spans="2:8" x14ac:dyDescent="0.2">
      <c r="B72" s="23" t="s">
        <v>185</v>
      </c>
      <c r="C72" s="23" t="s">
        <v>186</v>
      </c>
      <c r="D72" s="23" t="s">
        <v>47</v>
      </c>
      <c r="E72" s="27">
        <v>687</v>
      </c>
      <c r="F72" s="25">
        <v>129.58194</v>
      </c>
      <c r="G72" s="26">
        <v>0.64411871226597295</v>
      </c>
      <c r="H72" s="28"/>
    </row>
    <row r="73" spans="2:8" x14ac:dyDescent="0.2">
      <c r="B73" s="23" t="s">
        <v>187</v>
      </c>
      <c r="C73" s="23" t="s">
        <v>188</v>
      </c>
      <c r="D73" s="23" t="s">
        <v>26</v>
      </c>
      <c r="E73" s="27">
        <v>7013</v>
      </c>
      <c r="F73" s="25">
        <v>127.419197</v>
      </c>
      <c r="G73" s="26">
        <v>0.63336826944869196</v>
      </c>
      <c r="H73" s="28"/>
    </row>
    <row r="74" spans="2:8" x14ac:dyDescent="0.2">
      <c r="B74" s="23" t="s">
        <v>189</v>
      </c>
      <c r="C74" s="23" t="s">
        <v>190</v>
      </c>
      <c r="D74" s="23" t="s">
        <v>46</v>
      </c>
      <c r="E74" s="27">
        <v>8061</v>
      </c>
      <c r="F74" s="25">
        <v>127.10584799999999</v>
      </c>
      <c r="G74" s="26">
        <v>0.63181069163831405</v>
      </c>
      <c r="H74" s="28"/>
    </row>
    <row r="75" spans="2:8" x14ac:dyDescent="0.2">
      <c r="B75" s="23" t="s">
        <v>191</v>
      </c>
      <c r="C75" s="23" t="s">
        <v>192</v>
      </c>
      <c r="D75" s="23" t="s">
        <v>22</v>
      </c>
      <c r="E75" s="27">
        <v>44200</v>
      </c>
      <c r="F75" s="25">
        <v>126.5667</v>
      </c>
      <c r="G75" s="26">
        <v>0.62913072469630904</v>
      </c>
      <c r="H75" s="28"/>
    </row>
    <row r="76" spans="2:8" x14ac:dyDescent="0.2">
      <c r="B76" s="23" t="s">
        <v>193</v>
      </c>
      <c r="C76" s="23" t="s">
        <v>194</v>
      </c>
      <c r="D76" s="23" t="s">
        <v>29</v>
      </c>
      <c r="E76" s="27">
        <v>2262</v>
      </c>
      <c r="F76" s="25">
        <v>124.94157</v>
      </c>
      <c r="G76" s="26">
        <v>0.621052618728265</v>
      </c>
      <c r="H76" s="28"/>
    </row>
    <row r="77" spans="2:8" x14ac:dyDescent="0.2">
      <c r="B77" s="23" t="s">
        <v>195</v>
      </c>
      <c r="C77" s="23" t="s">
        <v>196</v>
      </c>
      <c r="D77" s="23" t="s">
        <v>72</v>
      </c>
      <c r="E77" s="27">
        <v>3485</v>
      </c>
      <c r="F77" s="25">
        <v>122.445475</v>
      </c>
      <c r="G77" s="26">
        <v>0.60864516829888005</v>
      </c>
      <c r="H77" s="28"/>
    </row>
    <row r="78" spans="2:8" x14ac:dyDescent="0.2">
      <c r="B78" s="23" t="s">
        <v>197</v>
      </c>
      <c r="C78" s="23" t="s">
        <v>198</v>
      </c>
      <c r="D78" s="23" t="s">
        <v>22</v>
      </c>
      <c r="E78" s="27">
        <v>16200</v>
      </c>
      <c r="F78" s="25">
        <v>122.07510000000001</v>
      </c>
      <c r="G78" s="26">
        <v>0.60680412881409096</v>
      </c>
      <c r="H78" s="28"/>
    </row>
    <row r="79" spans="2:8" x14ac:dyDescent="0.2">
      <c r="B79" s="23" t="s">
        <v>199</v>
      </c>
      <c r="C79" s="23" t="s">
        <v>200</v>
      </c>
      <c r="D79" s="23" t="s">
        <v>42</v>
      </c>
      <c r="E79" s="27">
        <v>24223</v>
      </c>
      <c r="F79" s="25">
        <v>120.0855225</v>
      </c>
      <c r="G79" s="26">
        <v>0.59691444744913102</v>
      </c>
      <c r="H79" s="28"/>
    </row>
    <row r="80" spans="2:8" x14ac:dyDescent="0.2">
      <c r="B80" s="23" t="s">
        <v>201</v>
      </c>
      <c r="C80" s="23" t="s">
        <v>202</v>
      </c>
      <c r="D80" s="23" t="s">
        <v>28</v>
      </c>
      <c r="E80" s="27">
        <v>78129</v>
      </c>
      <c r="F80" s="25">
        <v>118.0763577</v>
      </c>
      <c r="G80" s="26">
        <v>0.58692740262092402</v>
      </c>
      <c r="H80" s="28"/>
    </row>
    <row r="81" spans="2:8" x14ac:dyDescent="0.2">
      <c r="B81" s="23" t="s">
        <v>203</v>
      </c>
      <c r="C81" s="23" t="s">
        <v>204</v>
      </c>
      <c r="D81" s="23" t="s">
        <v>44</v>
      </c>
      <c r="E81" s="27">
        <v>40507</v>
      </c>
      <c r="F81" s="25">
        <v>117.3690325</v>
      </c>
      <c r="G81" s="26">
        <v>0.58341146979126202</v>
      </c>
      <c r="H81" s="28"/>
    </row>
    <row r="82" spans="2:8" x14ac:dyDescent="0.2">
      <c r="B82" s="23" t="s">
        <v>205</v>
      </c>
      <c r="C82" s="23" t="s">
        <v>206</v>
      </c>
      <c r="D82" s="23" t="s">
        <v>42</v>
      </c>
      <c r="E82" s="27">
        <v>9796</v>
      </c>
      <c r="F82" s="25">
        <v>115.818108</v>
      </c>
      <c r="G82" s="26">
        <v>0.57570222040232899</v>
      </c>
      <c r="H82" s="28"/>
    </row>
    <row r="83" spans="2:8" x14ac:dyDescent="0.2">
      <c r="B83" s="23" t="s">
        <v>207</v>
      </c>
      <c r="C83" s="23" t="s">
        <v>208</v>
      </c>
      <c r="D83" s="23" t="s">
        <v>209</v>
      </c>
      <c r="E83" s="27">
        <v>341</v>
      </c>
      <c r="F83" s="25">
        <v>112.51295</v>
      </c>
      <c r="G83" s="26">
        <v>0.55927312453607203</v>
      </c>
      <c r="H83" s="28"/>
    </row>
    <row r="84" spans="2:8" x14ac:dyDescent="0.2">
      <c r="B84" s="23" t="s">
        <v>210</v>
      </c>
      <c r="C84" s="23" t="s">
        <v>211</v>
      </c>
      <c r="D84" s="23" t="s">
        <v>24</v>
      </c>
      <c r="E84" s="27">
        <v>7512</v>
      </c>
      <c r="F84" s="25">
        <v>110.486496</v>
      </c>
      <c r="G84" s="26">
        <v>0.54920013951249302</v>
      </c>
      <c r="H84" s="28"/>
    </row>
    <row r="85" spans="2:8" x14ac:dyDescent="0.2">
      <c r="B85" s="23" t="s">
        <v>212</v>
      </c>
      <c r="C85" s="23" t="s">
        <v>213</v>
      </c>
      <c r="D85" s="23" t="s">
        <v>16</v>
      </c>
      <c r="E85" s="27">
        <v>65674</v>
      </c>
      <c r="F85" s="25">
        <v>107.771034</v>
      </c>
      <c r="G85" s="26">
        <v>0.53570227177994401</v>
      </c>
      <c r="H85" s="28"/>
    </row>
    <row r="86" spans="2:8" x14ac:dyDescent="0.2">
      <c r="B86" s="23" t="s">
        <v>214</v>
      </c>
      <c r="C86" s="23" t="s">
        <v>215</v>
      </c>
      <c r="D86" s="23" t="s">
        <v>20</v>
      </c>
      <c r="E86" s="27">
        <v>30678</v>
      </c>
      <c r="F86" s="25">
        <v>105.348252</v>
      </c>
      <c r="G86" s="26">
        <v>0.52365924154022703</v>
      </c>
      <c r="H86" s="28"/>
    </row>
    <row r="87" spans="2:8" x14ac:dyDescent="0.2">
      <c r="B87" s="23" t="s">
        <v>216</v>
      </c>
      <c r="C87" s="23" t="s">
        <v>217</v>
      </c>
      <c r="D87" s="23" t="s">
        <v>41</v>
      </c>
      <c r="E87" s="27">
        <v>21153</v>
      </c>
      <c r="F87" s="25">
        <v>105.1409865</v>
      </c>
      <c r="G87" s="26">
        <v>0.522628977701322</v>
      </c>
      <c r="H87" s="28"/>
    </row>
    <row r="88" spans="2:8" x14ac:dyDescent="0.2">
      <c r="B88" s="23" t="s">
        <v>218</v>
      </c>
      <c r="C88" s="23" t="s">
        <v>219</v>
      </c>
      <c r="D88" s="23" t="s">
        <v>41</v>
      </c>
      <c r="E88" s="27">
        <v>16303</v>
      </c>
      <c r="F88" s="25">
        <v>101.5758415</v>
      </c>
      <c r="G88" s="26">
        <v>0.50490755289134104</v>
      </c>
      <c r="H88" s="28"/>
    </row>
    <row r="89" spans="2:8" x14ac:dyDescent="0.2">
      <c r="B89" s="23" t="s">
        <v>220</v>
      </c>
      <c r="C89" s="23" t="s">
        <v>221</v>
      </c>
      <c r="D89" s="23" t="s">
        <v>18</v>
      </c>
      <c r="E89" s="27">
        <v>1286</v>
      </c>
      <c r="F89" s="25">
        <v>99.793599999999998</v>
      </c>
      <c r="G89" s="26">
        <v>0.496048485802771</v>
      </c>
      <c r="H89" s="28"/>
    </row>
    <row r="90" spans="2:8" x14ac:dyDescent="0.2">
      <c r="B90" s="23" t="s">
        <v>222</v>
      </c>
      <c r="C90" s="23" t="s">
        <v>223</v>
      </c>
      <c r="D90" s="23" t="s">
        <v>42</v>
      </c>
      <c r="E90" s="27">
        <v>4327</v>
      </c>
      <c r="F90" s="25">
        <v>99.771966000000006</v>
      </c>
      <c r="G90" s="26">
        <v>0.495940948716807</v>
      </c>
      <c r="H90" s="28"/>
    </row>
    <row r="91" spans="2:8" x14ac:dyDescent="0.2">
      <c r="B91" s="23" t="s">
        <v>224</v>
      </c>
      <c r="C91" s="23" t="s">
        <v>225</v>
      </c>
      <c r="D91" s="23" t="s">
        <v>19</v>
      </c>
      <c r="E91" s="27">
        <v>6347</v>
      </c>
      <c r="F91" s="25">
        <v>99.679635000000005</v>
      </c>
      <c r="G91" s="26">
        <v>0.49548199490872102</v>
      </c>
      <c r="H91" s="28"/>
    </row>
    <row r="92" spans="2:8" x14ac:dyDescent="0.2">
      <c r="B92" s="23" t="s">
        <v>226</v>
      </c>
      <c r="C92" s="23" t="s">
        <v>227</v>
      </c>
      <c r="D92" s="23" t="s">
        <v>18</v>
      </c>
      <c r="E92" s="27">
        <v>1860</v>
      </c>
      <c r="F92" s="25">
        <v>99.017099999999999</v>
      </c>
      <c r="G92" s="26">
        <v>0.49218870271822601</v>
      </c>
      <c r="H92" s="28"/>
    </row>
    <row r="93" spans="2:8" x14ac:dyDescent="0.2">
      <c r="B93" s="23" t="s">
        <v>228</v>
      </c>
      <c r="C93" s="23" t="s">
        <v>229</v>
      </c>
      <c r="D93" s="23" t="s">
        <v>72</v>
      </c>
      <c r="E93" s="27">
        <v>6622</v>
      </c>
      <c r="F93" s="25">
        <v>97.780451999999997</v>
      </c>
      <c r="G93" s="26">
        <v>0.48604164150517198</v>
      </c>
      <c r="H93" s="28"/>
    </row>
    <row r="94" spans="2:8" x14ac:dyDescent="0.2">
      <c r="B94" s="23" t="s">
        <v>230</v>
      </c>
      <c r="C94" s="23" t="s">
        <v>231</v>
      </c>
      <c r="D94" s="23" t="s">
        <v>46</v>
      </c>
      <c r="E94" s="27">
        <v>6361</v>
      </c>
      <c r="F94" s="25">
        <v>94.836149000000006</v>
      </c>
      <c r="G94" s="26">
        <v>0.471406263636306</v>
      </c>
      <c r="H94" s="28"/>
    </row>
    <row r="95" spans="2:8" x14ac:dyDescent="0.2">
      <c r="B95" s="23" t="s">
        <v>232</v>
      </c>
      <c r="C95" s="23" t="s">
        <v>233</v>
      </c>
      <c r="D95" s="23" t="s">
        <v>33</v>
      </c>
      <c r="E95" s="27">
        <v>18657</v>
      </c>
      <c r="F95" s="25">
        <v>93.704782499999993</v>
      </c>
      <c r="G95" s="26">
        <v>0.465782529857657</v>
      </c>
      <c r="H95" s="28"/>
    </row>
    <row r="96" spans="2:8" x14ac:dyDescent="0.2">
      <c r="B96" s="23" t="s">
        <v>234</v>
      </c>
      <c r="C96" s="23" t="s">
        <v>235</v>
      </c>
      <c r="D96" s="23" t="s">
        <v>18</v>
      </c>
      <c r="E96" s="27">
        <v>8851</v>
      </c>
      <c r="F96" s="25">
        <v>92.218569000000002</v>
      </c>
      <c r="G96" s="26">
        <v>0.45839494231442102</v>
      </c>
      <c r="H96" s="28"/>
    </row>
    <row r="97" spans="2:8" x14ac:dyDescent="0.2">
      <c r="B97" s="23" t="s">
        <v>236</v>
      </c>
      <c r="C97" s="23" t="s">
        <v>237</v>
      </c>
      <c r="D97" s="23" t="s">
        <v>238</v>
      </c>
      <c r="E97" s="27">
        <v>18379</v>
      </c>
      <c r="F97" s="25">
        <v>91.968515999999994</v>
      </c>
      <c r="G97" s="26">
        <v>0.45715199274630802</v>
      </c>
      <c r="H97" s="28"/>
    </row>
    <row r="98" spans="2:8" x14ac:dyDescent="0.2">
      <c r="B98" s="23" t="s">
        <v>239</v>
      </c>
      <c r="C98" s="23" t="s">
        <v>240</v>
      </c>
      <c r="D98" s="23" t="s">
        <v>41</v>
      </c>
      <c r="E98" s="27">
        <v>50388</v>
      </c>
      <c r="F98" s="25">
        <v>91.081348800000001</v>
      </c>
      <c r="G98" s="26">
        <v>0.45274211128884101</v>
      </c>
      <c r="H98" s="28"/>
    </row>
    <row r="99" spans="2:8" x14ac:dyDescent="0.2">
      <c r="B99" s="23" t="s">
        <v>241</v>
      </c>
      <c r="C99" s="23" t="s">
        <v>242</v>
      </c>
      <c r="D99" s="23" t="s">
        <v>29</v>
      </c>
      <c r="E99" s="27">
        <v>4305</v>
      </c>
      <c r="F99" s="25">
        <v>88.919775000000001</v>
      </c>
      <c r="G99" s="26">
        <v>0.441997480266</v>
      </c>
      <c r="H99" s="28"/>
    </row>
    <row r="100" spans="2:8" x14ac:dyDescent="0.2">
      <c r="B100" s="23" t="s">
        <v>243</v>
      </c>
      <c r="C100" s="23" t="s">
        <v>244</v>
      </c>
      <c r="D100" s="23" t="s">
        <v>42</v>
      </c>
      <c r="E100" s="27">
        <v>17481</v>
      </c>
      <c r="F100" s="25">
        <v>86.0327415</v>
      </c>
      <c r="G100" s="26">
        <v>0.42764677444782301</v>
      </c>
      <c r="H100" s="28"/>
    </row>
    <row r="101" spans="2:8" x14ac:dyDescent="0.2">
      <c r="B101" s="23" t="s">
        <v>245</v>
      </c>
      <c r="C101" s="23" t="s">
        <v>246</v>
      </c>
      <c r="D101" s="23" t="s">
        <v>22</v>
      </c>
      <c r="E101" s="27">
        <v>16251</v>
      </c>
      <c r="F101" s="25">
        <v>85.529013000000006</v>
      </c>
      <c r="G101" s="26">
        <v>0.425142868789738</v>
      </c>
      <c r="H101" s="28"/>
    </row>
    <row r="102" spans="2:8" x14ac:dyDescent="0.2">
      <c r="B102" s="23" t="s">
        <v>247</v>
      </c>
      <c r="C102" s="23" t="s">
        <v>248</v>
      </c>
      <c r="D102" s="23" t="s">
        <v>51</v>
      </c>
      <c r="E102" s="27">
        <v>9606</v>
      </c>
      <c r="F102" s="25">
        <v>84.350285999999997</v>
      </c>
      <c r="G102" s="26">
        <v>0.419283718067398</v>
      </c>
      <c r="H102" s="28"/>
    </row>
    <row r="103" spans="2:8" x14ac:dyDescent="0.2">
      <c r="B103" s="23" t="s">
        <v>249</v>
      </c>
      <c r="C103" s="23" t="s">
        <v>250</v>
      </c>
      <c r="D103" s="23" t="s">
        <v>72</v>
      </c>
      <c r="E103" s="27">
        <v>2098</v>
      </c>
      <c r="F103" s="25">
        <v>83.689220000000006</v>
      </c>
      <c r="G103" s="26">
        <v>0.41599772790053702</v>
      </c>
      <c r="H103" s="28"/>
    </row>
    <row r="104" spans="2:8" x14ac:dyDescent="0.2">
      <c r="B104" s="23" t="s">
        <v>251</v>
      </c>
      <c r="C104" s="23" t="s">
        <v>252</v>
      </c>
      <c r="D104" s="23" t="s">
        <v>42</v>
      </c>
      <c r="E104" s="27">
        <v>24588</v>
      </c>
      <c r="F104" s="25">
        <v>79.075007999999997</v>
      </c>
      <c r="G104" s="26">
        <v>0.39306165909679602</v>
      </c>
      <c r="H104" s="28"/>
    </row>
    <row r="105" spans="2:8" x14ac:dyDescent="0.2">
      <c r="B105" s="23" t="s">
        <v>253</v>
      </c>
      <c r="C105" s="23" t="s">
        <v>254</v>
      </c>
      <c r="D105" s="23" t="s">
        <v>44</v>
      </c>
      <c r="E105" s="27">
        <v>14992</v>
      </c>
      <c r="F105" s="25">
        <v>79.000343999999998</v>
      </c>
      <c r="G105" s="26">
        <v>0.39269052343134297</v>
      </c>
      <c r="H105" s="28"/>
    </row>
    <row r="106" spans="2:8" x14ac:dyDescent="0.2">
      <c r="B106" s="23" t="s">
        <v>255</v>
      </c>
      <c r="C106" s="23" t="s">
        <v>256</v>
      </c>
      <c r="D106" s="23" t="s">
        <v>42</v>
      </c>
      <c r="E106" s="27">
        <v>2175</v>
      </c>
      <c r="F106" s="25">
        <v>78.780675000000002</v>
      </c>
      <c r="G106" s="26">
        <v>0.39159860496334697</v>
      </c>
      <c r="H106" s="28"/>
    </row>
    <row r="107" spans="2:8" x14ac:dyDescent="0.2">
      <c r="B107" s="23" t="s">
        <v>257</v>
      </c>
      <c r="C107" s="23" t="s">
        <v>258</v>
      </c>
      <c r="D107" s="23" t="s">
        <v>24</v>
      </c>
      <c r="E107" s="27">
        <v>282</v>
      </c>
      <c r="F107" s="25">
        <v>77.7333</v>
      </c>
      <c r="G107" s="26">
        <v>0.38639237146923799</v>
      </c>
      <c r="H107" s="28"/>
    </row>
    <row r="108" spans="2:8" x14ac:dyDescent="0.2">
      <c r="B108" s="23" t="s">
        <v>259</v>
      </c>
      <c r="C108" s="23" t="s">
        <v>260</v>
      </c>
      <c r="D108" s="23" t="s">
        <v>148</v>
      </c>
      <c r="E108" s="27">
        <v>7003</v>
      </c>
      <c r="F108" s="25">
        <v>77.299114000000003</v>
      </c>
      <c r="G108" s="26">
        <v>0.38423414380877902</v>
      </c>
      <c r="H108" s="28"/>
    </row>
    <row r="109" spans="2:8" x14ac:dyDescent="0.2">
      <c r="B109" s="23" t="s">
        <v>261</v>
      </c>
      <c r="C109" s="23" t="s">
        <v>262</v>
      </c>
      <c r="D109" s="23" t="s">
        <v>27</v>
      </c>
      <c r="E109" s="27">
        <v>4981</v>
      </c>
      <c r="F109" s="25">
        <v>76.617742000000007</v>
      </c>
      <c r="G109" s="26">
        <v>0.38084721770461599</v>
      </c>
      <c r="H109" s="28"/>
    </row>
    <row r="110" spans="2:8" x14ac:dyDescent="0.2">
      <c r="B110" s="23" t="s">
        <v>263</v>
      </c>
      <c r="C110" s="23" t="s">
        <v>264</v>
      </c>
      <c r="D110" s="23" t="s">
        <v>48</v>
      </c>
      <c r="E110" s="27">
        <v>4574</v>
      </c>
      <c r="F110" s="25">
        <v>75.923826000000005</v>
      </c>
      <c r="G110" s="26">
        <v>0.37739793858176401</v>
      </c>
      <c r="H110" s="28"/>
    </row>
    <row r="111" spans="2:8" x14ac:dyDescent="0.2">
      <c r="B111" s="23" t="s">
        <v>265</v>
      </c>
      <c r="C111" s="23" t="s">
        <v>266</v>
      </c>
      <c r="D111" s="23" t="s">
        <v>26</v>
      </c>
      <c r="E111" s="27">
        <v>20809</v>
      </c>
      <c r="F111" s="25">
        <v>75.255748499999996</v>
      </c>
      <c r="G111" s="26">
        <v>0.37407709604001799</v>
      </c>
      <c r="H111" s="28"/>
    </row>
    <row r="112" spans="2:8" x14ac:dyDescent="0.2">
      <c r="B112" s="23" t="s">
        <v>267</v>
      </c>
      <c r="C112" s="23" t="s">
        <v>268</v>
      </c>
      <c r="D112" s="23" t="s">
        <v>47</v>
      </c>
      <c r="E112" s="27">
        <v>913</v>
      </c>
      <c r="F112" s="25">
        <v>72.985219999999998</v>
      </c>
      <c r="G112" s="26">
        <v>0.36279087904416901</v>
      </c>
      <c r="H112" s="28"/>
    </row>
    <row r="113" spans="2:8" x14ac:dyDescent="0.2">
      <c r="B113" s="23" t="s">
        <v>269</v>
      </c>
      <c r="C113" s="23" t="s">
        <v>270</v>
      </c>
      <c r="D113" s="23" t="s">
        <v>16</v>
      </c>
      <c r="E113" s="27">
        <v>110043</v>
      </c>
      <c r="F113" s="25">
        <v>71.825066100000001</v>
      </c>
      <c r="G113" s="26">
        <v>0.35702405045603097</v>
      </c>
      <c r="H113" s="28"/>
    </row>
    <row r="114" spans="2:8" x14ac:dyDescent="0.2">
      <c r="B114" s="23" t="s">
        <v>271</v>
      </c>
      <c r="C114" s="23" t="s">
        <v>272</v>
      </c>
      <c r="D114" s="23" t="s">
        <v>26</v>
      </c>
      <c r="E114" s="27">
        <v>15384</v>
      </c>
      <c r="F114" s="25">
        <v>71.212536</v>
      </c>
      <c r="G114" s="26">
        <v>0.35397931984591502</v>
      </c>
      <c r="H114" s="28"/>
    </row>
    <row r="115" spans="2:8" x14ac:dyDescent="0.2">
      <c r="B115" s="23" t="s">
        <v>273</v>
      </c>
      <c r="C115" s="23" t="s">
        <v>274</v>
      </c>
      <c r="D115" s="23" t="s">
        <v>45</v>
      </c>
      <c r="E115" s="27">
        <v>2278</v>
      </c>
      <c r="F115" s="25">
        <v>69.558729999999997</v>
      </c>
      <c r="G115" s="26">
        <v>0.34575867280931599</v>
      </c>
      <c r="H115" s="28"/>
    </row>
    <row r="116" spans="2:8" x14ac:dyDescent="0.2">
      <c r="B116" s="23" t="s">
        <v>275</v>
      </c>
      <c r="C116" s="23" t="s">
        <v>276</v>
      </c>
      <c r="D116" s="23" t="s">
        <v>45</v>
      </c>
      <c r="E116" s="27">
        <v>1137</v>
      </c>
      <c r="F116" s="25">
        <v>68.299589999999995</v>
      </c>
      <c r="G116" s="26">
        <v>0.33949980961153903</v>
      </c>
      <c r="H116" s="28"/>
    </row>
    <row r="117" spans="2:8" x14ac:dyDescent="0.2">
      <c r="B117" s="23" t="s">
        <v>277</v>
      </c>
      <c r="C117" s="23" t="s">
        <v>278</v>
      </c>
      <c r="D117" s="23" t="s">
        <v>44</v>
      </c>
      <c r="E117" s="27">
        <v>37910</v>
      </c>
      <c r="F117" s="25">
        <v>67.438098999999994</v>
      </c>
      <c r="G117" s="26">
        <v>0.33521755798335201</v>
      </c>
      <c r="H117" s="28"/>
    </row>
    <row r="118" spans="2:8" x14ac:dyDescent="0.2">
      <c r="B118" s="23" t="s">
        <v>279</v>
      </c>
      <c r="C118" s="23" t="s">
        <v>280</v>
      </c>
      <c r="D118" s="23" t="s">
        <v>24</v>
      </c>
      <c r="E118" s="27">
        <v>2277</v>
      </c>
      <c r="F118" s="25">
        <v>63.343862999999999</v>
      </c>
      <c r="G118" s="26">
        <v>0.31486615700854798</v>
      </c>
      <c r="H118" s="28"/>
    </row>
    <row r="119" spans="2:8" x14ac:dyDescent="0.2">
      <c r="B119" s="23" t="s">
        <v>281</v>
      </c>
      <c r="C119" s="23" t="s">
        <v>282</v>
      </c>
      <c r="D119" s="23" t="s">
        <v>34</v>
      </c>
      <c r="E119" s="27">
        <v>16712</v>
      </c>
      <c r="F119" s="25">
        <v>63.179715999999999</v>
      </c>
      <c r="G119" s="26">
        <v>0.31405022421527201</v>
      </c>
      <c r="H119" s="28"/>
    </row>
    <row r="120" spans="2:8" x14ac:dyDescent="0.2">
      <c r="B120" s="23" t="s">
        <v>283</v>
      </c>
      <c r="C120" s="23" t="s">
        <v>284</v>
      </c>
      <c r="D120" s="23" t="s">
        <v>51</v>
      </c>
      <c r="E120" s="27">
        <v>8376</v>
      </c>
      <c r="F120" s="25">
        <v>63.117348</v>
      </c>
      <c r="G120" s="26">
        <v>0.31374020882387799</v>
      </c>
      <c r="H120" s="28"/>
    </row>
    <row r="121" spans="2:8" x14ac:dyDescent="0.2">
      <c r="B121" s="23" t="s">
        <v>285</v>
      </c>
      <c r="C121" s="23" t="s">
        <v>286</v>
      </c>
      <c r="D121" s="23" t="s">
        <v>19</v>
      </c>
      <c r="E121" s="27">
        <v>4065</v>
      </c>
      <c r="F121" s="25">
        <v>62.796120000000002</v>
      </c>
      <c r="G121" s="26">
        <v>0.31214346651778402</v>
      </c>
      <c r="H121" s="28"/>
    </row>
    <row r="122" spans="2:8" x14ac:dyDescent="0.2">
      <c r="B122" s="23" t="s">
        <v>287</v>
      </c>
      <c r="C122" s="23" t="s">
        <v>288</v>
      </c>
      <c r="D122" s="23" t="s">
        <v>22</v>
      </c>
      <c r="E122" s="27">
        <v>1318</v>
      </c>
      <c r="F122" s="25">
        <v>61.472838000000003</v>
      </c>
      <c r="G122" s="26">
        <v>0.305565769827916</v>
      </c>
      <c r="H122" s="28"/>
    </row>
    <row r="123" spans="2:8" x14ac:dyDescent="0.2">
      <c r="B123" s="23" t="s">
        <v>289</v>
      </c>
      <c r="C123" s="23" t="s">
        <v>290</v>
      </c>
      <c r="D123" s="23" t="s">
        <v>45</v>
      </c>
      <c r="E123" s="27">
        <v>3712</v>
      </c>
      <c r="F123" s="25">
        <v>60.9696</v>
      </c>
      <c r="G123" s="26">
        <v>0.30306430231999498</v>
      </c>
      <c r="H123" s="28"/>
    </row>
    <row r="124" spans="2:8" x14ac:dyDescent="0.2">
      <c r="B124" s="23" t="s">
        <v>291</v>
      </c>
      <c r="C124" s="23" t="s">
        <v>292</v>
      </c>
      <c r="D124" s="23" t="s">
        <v>69</v>
      </c>
      <c r="E124" s="27">
        <v>1796</v>
      </c>
      <c r="F124" s="25">
        <v>60.719168000000003</v>
      </c>
      <c r="G124" s="26">
        <v>0.30181946883972599</v>
      </c>
      <c r="H124" s="28"/>
    </row>
    <row r="125" spans="2:8" x14ac:dyDescent="0.2">
      <c r="B125" s="23" t="s">
        <v>293</v>
      </c>
      <c r="C125" s="23" t="s">
        <v>294</v>
      </c>
      <c r="D125" s="23" t="s">
        <v>47</v>
      </c>
      <c r="E125" s="27">
        <v>2094</v>
      </c>
      <c r="F125" s="25">
        <v>60.265320000000003</v>
      </c>
      <c r="G125" s="26">
        <v>0.299563506401407</v>
      </c>
      <c r="H125" s="28"/>
    </row>
    <row r="126" spans="2:8" x14ac:dyDescent="0.2">
      <c r="B126" s="23" t="s">
        <v>295</v>
      </c>
      <c r="C126" s="23" t="s">
        <v>296</v>
      </c>
      <c r="D126" s="23" t="s">
        <v>43</v>
      </c>
      <c r="E126" s="27">
        <v>511</v>
      </c>
      <c r="F126" s="25">
        <v>60.12426</v>
      </c>
      <c r="G126" s="26">
        <v>0.29886233318581701</v>
      </c>
      <c r="H126" s="28"/>
    </row>
    <row r="127" spans="2:8" x14ac:dyDescent="0.2">
      <c r="B127" s="23" t="s">
        <v>297</v>
      </c>
      <c r="C127" s="23" t="s">
        <v>298</v>
      </c>
      <c r="D127" s="23" t="s">
        <v>299</v>
      </c>
      <c r="E127" s="27">
        <v>9274</v>
      </c>
      <c r="F127" s="25">
        <v>59.905403</v>
      </c>
      <c r="G127" s="26">
        <v>0.29777445096233401</v>
      </c>
      <c r="H127" s="28"/>
    </row>
    <row r="128" spans="2:8" x14ac:dyDescent="0.2">
      <c r="B128" s="23" t="s">
        <v>300</v>
      </c>
      <c r="C128" s="23" t="s">
        <v>301</v>
      </c>
      <c r="D128" s="23" t="s">
        <v>40</v>
      </c>
      <c r="E128" s="27">
        <v>3903</v>
      </c>
      <c r="F128" s="25">
        <v>57.315555000000003</v>
      </c>
      <c r="G128" s="26">
        <v>0.28490097832622002</v>
      </c>
      <c r="H128" s="28"/>
    </row>
    <row r="129" spans="2:8" x14ac:dyDescent="0.2">
      <c r="B129" s="23" t="s">
        <v>302</v>
      </c>
      <c r="C129" s="23" t="s">
        <v>303</v>
      </c>
      <c r="D129" s="23" t="s">
        <v>22</v>
      </c>
      <c r="E129" s="27">
        <v>42996</v>
      </c>
      <c r="F129" s="25">
        <v>56.789116800000002</v>
      </c>
      <c r="G129" s="26">
        <v>0.282284188552339</v>
      </c>
      <c r="H129" s="28"/>
    </row>
    <row r="130" spans="2:8" x14ac:dyDescent="0.2">
      <c r="B130" s="23" t="s">
        <v>304</v>
      </c>
      <c r="C130" s="23" t="s">
        <v>305</v>
      </c>
      <c r="D130" s="23" t="s">
        <v>18</v>
      </c>
      <c r="E130" s="27">
        <v>8021</v>
      </c>
      <c r="F130" s="25">
        <v>55.950485499999999</v>
      </c>
      <c r="G130" s="26">
        <v>0.27811556665161802</v>
      </c>
      <c r="H130" s="28"/>
    </row>
    <row r="131" spans="2:8" x14ac:dyDescent="0.2">
      <c r="B131" s="23" t="s">
        <v>306</v>
      </c>
      <c r="C131" s="23" t="s">
        <v>307</v>
      </c>
      <c r="D131" s="23" t="s">
        <v>299</v>
      </c>
      <c r="E131" s="27">
        <v>1489</v>
      </c>
      <c r="F131" s="25">
        <v>55.432492000000003</v>
      </c>
      <c r="G131" s="26">
        <v>0.27554075332360201</v>
      </c>
      <c r="H131" s="28"/>
    </row>
    <row r="132" spans="2:8" x14ac:dyDescent="0.2">
      <c r="B132" s="23" t="s">
        <v>308</v>
      </c>
      <c r="C132" s="23" t="s">
        <v>309</v>
      </c>
      <c r="D132" s="23" t="s">
        <v>209</v>
      </c>
      <c r="E132" s="27">
        <v>6236</v>
      </c>
      <c r="F132" s="25">
        <v>54.225138000000001</v>
      </c>
      <c r="G132" s="26">
        <v>0.269539305099188</v>
      </c>
      <c r="H132" s="28"/>
    </row>
    <row r="133" spans="2:8" x14ac:dyDescent="0.2">
      <c r="B133" s="23" t="s">
        <v>310</v>
      </c>
      <c r="C133" s="23" t="s">
        <v>311</v>
      </c>
      <c r="D133" s="23" t="s">
        <v>29</v>
      </c>
      <c r="E133" s="27">
        <v>3297</v>
      </c>
      <c r="F133" s="25">
        <v>53.968592999999998</v>
      </c>
      <c r="G133" s="26">
        <v>0.268264085457946</v>
      </c>
      <c r="H133" s="28"/>
    </row>
    <row r="134" spans="2:8" x14ac:dyDescent="0.2">
      <c r="B134" s="23" t="s">
        <v>312</v>
      </c>
      <c r="C134" s="23" t="s">
        <v>313</v>
      </c>
      <c r="D134" s="23" t="s">
        <v>35</v>
      </c>
      <c r="E134" s="27">
        <v>25164</v>
      </c>
      <c r="F134" s="25">
        <v>53.843410800000001</v>
      </c>
      <c r="G134" s="26">
        <v>0.26764183672897501</v>
      </c>
      <c r="H134" s="28"/>
    </row>
    <row r="135" spans="2:8" x14ac:dyDescent="0.2">
      <c r="B135" s="23" t="s">
        <v>314</v>
      </c>
      <c r="C135" s="23" t="s">
        <v>315</v>
      </c>
      <c r="D135" s="23" t="s">
        <v>24</v>
      </c>
      <c r="E135" s="27">
        <v>2236</v>
      </c>
      <c r="F135" s="25">
        <v>53.699776</v>
      </c>
      <c r="G135" s="26">
        <v>0.26692786484051101</v>
      </c>
      <c r="H135" s="28"/>
    </row>
    <row r="136" spans="2:8" x14ac:dyDescent="0.2">
      <c r="B136" s="23" t="s">
        <v>316</v>
      </c>
      <c r="C136" s="23" t="s">
        <v>317</v>
      </c>
      <c r="D136" s="23" t="s">
        <v>318</v>
      </c>
      <c r="E136" s="27">
        <v>153</v>
      </c>
      <c r="F136" s="25">
        <v>52.616700000000002</v>
      </c>
      <c r="G136" s="26">
        <v>0.26154417079791398</v>
      </c>
      <c r="H136" s="28"/>
    </row>
    <row r="137" spans="2:8" x14ac:dyDescent="0.2">
      <c r="B137" s="23" t="s">
        <v>319</v>
      </c>
      <c r="C137" s="23" t="s">
        <v>320</v>
      </c>
      <c r="D137" s="23" t="s">
        <v>22</v>
      </c>
      <c r="E137" s="27">
        <v>27122</v>
      </c>
      <c r="F137" s="25">
        <v>51.979312999999998</v>
      </c>
      <c r="G137" s="26">
        <v>0.258375882889467</v>
      </c>
      <c r="H137" s="28"/>
    </row>
    <row r="138" spans="2:8" x14ac:dyDescent="0.2">
      <c r="B138" s="23" t="s">
        <v>321</v>
      </c>
      <c r="C138" s="23" t="s">
        <v>322</v>
      </c>
      <c r="D138" s="23" t="s">
        <v>36</v>
      </c>
      <c r="E138" s="27">
        <v>10253</v>
      </c>
      <c r="F138" s="25">
        <v>48.542828499999999</v>
      </c>
      <c r="G138" s="26">
        <v>0.241293996548963</v>
      </c>
      <c r="H138" s="28"/>
    </row>
    <row r="139" spans="2:8" x14ac:dyDescent="0.2">
      <c r="B139" s="23" t="s">
        <v>323</v>
      </c>
      <c r="C139" s="23" t="s">
        <v>324</v>
      </c>
      <c r="D139" s="23" t="s">
        <v>36</v>
      </c>
      <c r="E139" s="27">
        <v>4575</v>
      </c>
      <c r="F139" s="25">
        <v>48.211350000000003</v>
      </c>
      <c r="G139" s="26">
        <v>0.239646301626632</v>
      </c>
      <c r="H139" s="28"/>
    </row>
    <row r="140" spans="2:8" x14ac:dyDescent="0.2">
      <c r="B140" s="23" t="s">
        <v>325</v>
      </c>
      <c r="C140" s="23" t="s">
        <v>326</v>
      </c>
      <c r="D140" s="23" t="s">
        <v>42</v>
      </c>
      <c r="E140" s="27">
        <v>1906</v>
      </c>
      <c r="F140" s="25">
        <v>46.254807999999997</v>
      </c>
      <c r="G140" s="26">
        <v>0.22992083129076299</v>
      </c>
      <c r="H140" s="28"/>
    </row>
    <row r="141" spans="2:8" x14ac:dyDescent="0.2">
      <c r="B141" s="23" t="s">
        <v>327</v>
      </c>
      <c r="C141" s="23" t="s">
        <v>328</v>
      </c>
      <c r="D141" s="23" t="s">
        <v>25</v>
      </c>
      <c r="E141" s="27">
        <v>17630</v>
      </c>
      <c r="F141" s="25">
        <v>45.67933</v>
      </c>
      <c r="G141" s="26">
        <v>0.22706027720199601</v>
      </c>
      <c r="H141" s="28"/>
    </row>
    <row r="142" spans="2:8" x14ac:dyDescent="0.2">
      <c r="B142" s="23" t="s">
        <v>329</v>
      </c>
      <c r="C142" s="23" t="s">
        <v>330</v>
      </c>
      <c r="D142" s="23" t="s">
        <v>31</v>
      </c>
      <c r="E142" s="27">
        <v>17477</v>
      </c>
      <c r="F142" s="25">
        <v>45.178044999999997</v>
      </c>
      <c r="G142" s="26">
        <v>0.224568517558034</v>
      </c>
      <c r="H142" s="28"/>
    </row>
    <row r="143" spans="2:8" x14ac:dyDescent="0.2">
      <c r="B143" s="23" t="s">
        <v>331</v>
      </c>
      <c r="C143" s="23" t="s">
        <v>332</v>
      </c>
      <c r="D143" s="23" t="s">
        <v>47</v>
      </c>
      <c r="E143" s="27">
        <v>6239</v>
      </c>
      <c r="F143" s="25">
        <v>44.914560999999999</v>
      </c>
      <c r="G143" s="26">
        <v>0.22325880592088301</v>
      </c>
      <c r="H143" s="28"/>
    </row>
    <row r="144" spans="2:8" x14ac:dyDescent="0.2">
      <c r="B144" s="23" t="s">
        <v>333</v>
      </c>
      <c r="C144" s="23" t="s">
        <v>334</v>
      </c>
      <c r="D144" s="23" t="s">
        <v>335</v>
      </c>
      <c r="E144" s="27">
        <v>2203</v>
      </c>
      <c r="F144" s="25">
        <v>44.842064999999998</v>
      </c>
      <c r="G144" s="26">
        <v>0.22289844682945101</v>
      </c>
      <c r="H144" s="28"/>
    </row>
    <row r="145" spans="2:9" x14ac:dyDescent="0.2">
      <c r="B145" s="23" t="s">
        <v>336</v>
      </c>
      <c r="C145" s="23" t="s">
        <v>337</v>
      </c>
      <c r="D145" s="23" t="s">
        <v>20</v>
      </c>
      <c r="E145" s="27">
        <v>107213</v>
      </c>
      <c r="F145" s="25">
        <v>44.5470015</v>
      </c>
      <c r="G145" s="26">
        <v>0.22143176156716299</v>
      </c>
      <c r="H145" s="28"/>
    </row>
    <row r="146" spans="2:9" x14ac:dyDescent="0.2">
      <c r="B146" s="23" t="s">
        <v>338</v>
      </c>
      <c r="C146" s="23" t="s">
        <v>339</v>
      </c>
      <c r="D146" s="23" t="s">
        <v>22</v>
      </c>
      <c r="E146" s="27">
        <v>7024</v>
      </c>
      <c r="F146" s="25">
        <v>43.752496000000001</v>
      </c>
      <c r="G146" s="26">
        <v>0.21748247774297999</v>
      </c>
      <c r="H146" s="28"/>
    </row>
    <row r="147" spans="2:9" x14ac:dyDescent="0.2">
      <c r="B147" s="23" t="s">
        <v>340</v>
      </c>
      <c r="C147" s="23" t="s">
        <v>341</v>
      </c>
      <c r="D147" s="23" t="s">
        <v>25</v>
      </c>
      <c r="E147" s="27">
        <v>50203</v>
      </c>
      <c r="F147" s="25">
        <v>43.259925099999997</v>
      </c>
      <c r="G147" s="26">
        <v>0.21503403366344401</v>
      </c>
      <c r="H147" s="28"/>
    </row>
    <row r="148" spans="2:9" x14ac:dyDescent="0.2">
      <c r="B148" s="23" t="s">
        <v>342</v>
      </c>
      <c r="C148" s="23" t="s">
        <v>343</v>
      </c>
      <c r="D148" s="23" t="s">
        <v>48</v>
      </c>
      <c r="E148" s="27">
        <v>119</v>
      </c>
      <c r="F148" s="25">
        <v>39.716250000000002</v>
      </c>
      <c r="G148" s="26">
        <v>0.19741933024025901</v>
      </c>
      <c r="H148" s="28"/>
    </row>
    <row r="149" spans="2:9" x14ac:dyDescent="0.2">
      <c r="B149" s="23" t="s">
        <v>344</v>
      </c>
      <c r="C149" s="23" t="s">
        <v>345</v>
      </c>
      <c r="D149" s="23" t="s">
        <v>44</v>
      </c>
      <c r="E149" s="27">
        <v>9320</v>
      </c>
      <c r="F149" s="25">
        <v>39.642620000000001</v>
      </c>
      <c r="G149" s="26">
        <v>0.19705333432459299</v>
      </c>
      <c r="H149" s="28"/>
    </row>
    <row r="150" spans="2:9" x14ac:dyDescent="0.2">
      <c r="B150" s="23" t="s">
        <v>346</v>
      </c>
      <c r="C150" s="23" t="s">
        <v>347</v>
      </c>
      <c r="D150" s="23" t="s">
        <v>16</v>
      </c>
      <c r="E150" s="27">
        <v>30296</v>
      </c>
      <c r="F150" s="25">
        <v>30.165727199999999</v>
      </c>
      <c r="G150" s="26">
        <v>0.149946121802395</v>
      </c>
      <c r="H150" s="28"/>
    </row>
    <row r="151" spans="2:9" x14ac:dyDescent="0.2">
      <c r="B151" s="23" t="s">
        <v>348</v>
      </c>
      <c r="C151" s="23" t="s">
        <v>349</v>
      </c>
      <c r="D151" s="23" t="s">
        <v>16</v>
      </c>
      <c r="E151" s="27">
        <v>78914</v>
      </c>
      <c r="F151" s="25">
        <v>28.117058199999999</v>
      </c>
      <c r="G151" s="26">
        <v>0.13976271169031301</v>
      </c>
      <c r="H151" s="28"/>
    </row>
    <row r="152" spans="2:9" x14ac:dyDescent="0.2">
      <c r="B152" s="23" t="s">
        <v>350</v>
      </c>
      <c r="C152" s="23" t="s">
        <v>351</v>
      </c>
      <c r="D152" s="23" t="s">
        <v>25</v>
      </c>
      <c r="E152" s="27">
        <v>38657</v>
      </c>
      <c r="F152" s="25">
        <v>28.026325</v>
      </c>
      <c r="G152" s="26">
        <v>0.13931170013774799</v>
      </c>
      <c r="H152" s="28"/>
    </row>
    <row r="153" spans="2:9" x14ac:dyDescent="0.2">
      <c r="B153" s="23" t="s">
        <v>352</v>
      </c>
      <c r="C153" s="23" t="s">
        <v>353</v>
      </c>
      <c r="D153" s="23" t="s">
        <v>103</v>
      </c>
      <c r="E153" s="27">
        <v>3367</v>
      </c>
      <c r="F153" s="25">
        <v>27.499972499999998</v>
      </c>
      <c r="G153" s="26">
        <v>0.136695336356669</v>
      </c>
      <c r="H153" s="28"/>
    </row>
    <row r="154" spans="2:9" x14ac:dyDescent="0.2">
      <c r="B154" s="23" t="s">
        <v>354</v>
      </c>
      <c r="C154" s="23" t="s">
        <v>355</v>
      </c>
      <c r="D154" s="23" t="s">
        <v>318</v>
      </c>
      <c r="E154" s="27">
        <v>2333</v>
      </c>
      <c r="F154" s="25">
        <v>22.725753000000001</v>
      </c>
      <c r="G154" s="26">
        <v>0.112963911156405</v>
      </c>
      <c r="H154" s="28"/>
    </row>
    <row r="155" spans="2:9" x14ac:dyDescent="0.2">
      <c r="B155" s="23" t="s">
        <v>356</v>
      </c>
      <c r="C155" s="23" t="s">
        <v>357</v>
      </c>
      <c r="D155" s="23" t="s">
        <v>34</v>
      </c>
      <c r="E155" s="27">
        <v>13007</v>
      </c>
      <c r="F155" s="25">
        <v>19.3687237</v>
      </c>
      <c r="G155" s="26">
        <v>9.6276976312281104E-2</v>
      </c>
      <c r="H155" s="28"/>
    </row>
    <row r="156" spans="2:9" x14ac:dyDescent="0.2">
      <c r="B156" s="23" t="s">
        <v>358</v>
      </c>
      <c r="C156" s="23" t="s">
        <v>359</v>
      </c>
      <c r="D156" s="23" t="s">
        <v>16</v>
      </c>
      <c r="E156" s="27">
        <v>61493</v>
      </c>
      <c r="F156" s="25">
        <v>17.955956</v>
      </c>
      <c r="G156" s="26">
        <v>8.9254469073579798E-2</v>
      </c>
      <c r="H156" s="28"/>
    </row>
    <row r="157" spans="2:9" ht="10.5" x14ac:dyDescent="0.25">
      <c r="B157" s="22" t="s">
        <v>8</v>
      </c>
      <c r="C157" s="22"/>
      <c r="D157" s="22"/>
      <c r="E157" s="29"/>
      <c r="F157" s="30">
        <f>SUM(F7:F156)</f>
        <v>20106.379001000005</v>
      </c>
      <c r="G157" s="31">
        <f>SUM(G7:G156)</f>
        <v>99.943672323903428</v>
      </c>
      <c r="H157" s="22"/>
      <c r="I157" s="15"/>
    </row>
    <row r="158" spans="2:9" ht="10.5" x14ac:dyDescent="0.25">
      <c r="B158" s="22" t="s">
        <v>37</v>
      </c>
      <c r="C158" s="22"/>
      <c r="D158" s="22"/>
      <c r="E158" s="29"/>
      <c r="F158" s="44" t="s">
        <v>38</v>
      </c>
      <c r="G158" s="45" t="s">
        <v>38</v>
      </c>
      <c r="H158" s="22"/>
      <c r="I158" s="15"/>
    </row>
    <row r="159" spans="2:9" ht="10.5" x14ac:dyDescent="0.25">
      <c r="B159" s="22" t="s">
        <v>8</v>
      </c>
      <c r="C159" s="22"/>
      <c r="D159" s="22"/>
      <c r="E159" s="29"/>
      <c r="F159" s="42" t="s">
        <v>38</v>
      </c>
      <c r="G159" s="43" t="s">
        <v>38</v>
      </c>
      <c r="H159" s="22"/>
      <c r="I159" s="15"/>
    </row>
    <row r="160" spans="2:9" ht="10.5" x14ac:dyDescent="0.25">
      <c r="B160" s="32" t="s">
        <v>9</v>
      </c>
      <c r="C160" s="32"/>
      <c r="D160" s="32"/>
      <c r="E160" s="33"/>
      <c r="F160" s="34">
        <f>F157</f>
        <v>20106.379001000005</v>
      </c>
      <c r="G160" s="35">
        <f>G157</f>
        <v>99.943672323903428</v>
      </c>
      <c r="H160" s="22"/>
      <c r="I160" s="15"/>
    </row>
    <row r="161" spans="2:9" ht="10.5" x14ac:dyDescent="0.25">
      <c r="B161" s="22" t="s">
        <v>10</v>
      </c>
      <c r="C161" s="22"/>
      <c r="D161" s="22"/>
      <c r="E161" s="29"/>
      <c r="F161" s="30">
        <v>94.800894499999998</v>
      </c>
      <c r="G161" s="31">
        <v>0.47123102252522497</v>
      </c>
      <c r="H161" s="28">
        <v>5.04819029E-2</v>
      </c>
      <c r="I161" s="16"/>
    </row>
    <row r="162" spans="2:9" x14ac:dyDescent="0.2">
      <c r="B162" s="23"/>
      <c r="C162" s="23"/>
      <c r="D162" s="23"/>
      <c r="E162" s="24"/>
      <c r="F162" s="25"/>
      <c r="G162" s="26"/>
      <c r="H162" s="23"/>
    </row>
    <row r="163" spans="2:9" ht="10.5" x14ac:dyDescent="0.25">
      <c r="B163" s="40" t="s">
        <v>12</v>
      </c>
      <c r="C163" s="40"/>
      <c r="D163" s="40"/>
      <c r="E163" s="41"/>
      <c r="F163" s="30">
        <f>F164-(F157+F161)</f>
        <v>-83.469055500005197</v>
      </c>
      <c r="G163" s="31">
        <f>G164-(G157+G161)</f>
        <v>-0.41490334642865889</v>
      </c>
      <c r="H163" s="22"/>
      <c r="I163" s="15"/>
    </row>
    <row r="164" spans="2:9" ht="10.5" x14ac:dyDescent="0.25">
      <c r="B164" s="36" t="s">
        <v>11</v>
      </c>
      <c r="C164" s="36"/>
      <c r="D164" s="36"/>
      <c r="E164" s="37"/>
      <c r="F164" s="38">
        <v>20117.71084</v>
      </c>
      <c r="G164" s="39">
        <v>100</v>
      </c>
      <c r="H164" s="46"/>
      <c r="I164" s="15"/>
    </row>
    <row r="167" spans="2:9" ht="10.5" x14ac:dyDescent="0.25">
      <c r="B167" s="15" t="s">
        <v>13</v>
      </c>
      <c r="E167" s="8"/>
      <c r="G167" s="49"/>
    </row>
    <row r="168" spans="2:9" x14ac:dyDescent="0.2">
      <c r="E168" s="8"/>
      <c r="G168" s="49"/>
    </row>
    <row r="169" spans="2:9" x14ac:dyDescent="0.2">
      <c r="E169" s="8"/>
      <c r="G169" s="49"/>
    </row>
    <row r="170" spans="2:9" x14ac:dyDescent="0.2">
      <c r="E170" s="8"/>
      <c r="G170" s="49"/>
    </row>
    <row r="171" spans="2:9" x14ac:dyDescent="0.2">
      <c r="E171" s="8"/>
      <c r="G171" s="49"/>
    </row>
    <row r="172" spans="2:9" x14ac:dyDescent="0.2">
      <c r="E172" s="8"/>
      <c r="G172" s="49"/>
    </row>
    <row r="173" spans="2:9" x14ac:dyDescent="0.2">
      <c r="E173" s="8"/>
      <c r="G173" s="49"/>
    </row>
    <row r="174" spans="2:9" x14ac:dyDescent="0.2">
      <c r="E174" s="8"/>
      <c r="G174" s="49"/>
    </row>
    <row r="175" spans="2:9" x14ac:dyDescent="0.2">
      <c r="E175" s="8"/>
      <c r="G175" s="49"/>
    </row>
    <row r="176" spans="2:9" x14ac:dyDescent="0.2">
      <c r="E176" s="8"/>
      <c r="G176" s="49"/>
    </row>
    <row r="177" spans="2:7" x14ac:dyDescent="0.2">
      <c r="E177" s="8"/>
      <c r="G177" s="49"/>
    </row>
    <row r="178" spans="2:7" x14ac:dyDescent="0.2">
      <c r="E178" s="8"/>
      <c r="G178" s="49"/>
    </row>
    <row r="179" spans="2:7" x14ac:dyDescent="0.2">
      <c r="E179" s="8"/>
      <c r="G179" s="49"/>
    </row>
    <row r="180" spans="2:7" x14ac:dyDescent="0.2">
      <c r="E180" s="8"/>
      <c r="G180" s="49"/>
    </row>
    <row r="181" spans="2:7" x14ac:dyDescent="0.2">
      <c r="E181" s="8"/>
      <c r="G181" s="49"/>
    </row>
    <row r="182" spans="2:7" x14ac:dyDescent="0.2">
      <c r="E182" s="8"/>
      <c r="G182" s="49"/>
    </row>
    <row r="183" spans="2:7" x14ac:dyDescent="0.2">
      <c r="E183" s="8"/>
      <c r="G183" s="49"/>
    </row>
    <row r="184" spans="2:7" ht="10.5" x14ac:dyDescent="0.2">
      <c r="B184" s="50" t="s">
        <v>360</v>
      </c>
      <c r="E184" s="8"/>
      <c r="G184" s="49"/>
    </row>
    <row r="185" spans="2:7" ht="10.5" x14ac:dyDescent="0.25">
      <c r="B185" s="51" t="s">
        <v>361</v>
      </c>
      <c r="E185" s="8"/>
      <c r="G185" s="49"/>
    </row>
    <row r="186" spans="2:7" x14ac:dyDescent="0.2">
      <c r="E186" s="8"/>
      <c r="G186" s="49"/>
    </row>
    <row r="187" spans="2:7" x14ac:dyDescent="0.2">
      <c r="E187" s="8"/>
      <c r="G187" s="49"/>
    </row>
    <row r="188" spans="2:7" x14ac:dyDescent="0.2">
      <c r="E188" s="8"/>
      <c r="G188" s="49"/>
    </row>
    <row r="189" spans="2:7" x14ac:dyDescent="0.2">
      <c r="E189" s="8"/>
      <c r="G189" s="49"/>
    </row>
    <row r="190" spans="2:7" x14ac:dyDescent="0.2">
      <c r="E190" s="8"/>
      <c r="G190" s="49"/>
    </row>
    <row r="191" spans="2:7" x14ac:dyDescent="0.2">
      <c r="E191" s="8"/>
      <c r="G191" s="49"/>
    </row>
    <row r="192" spans="2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  <row r="205" spans="5:7" x14ac:dyDescent="0.2">
      <c r="E205" s="8"/>
      <c r="G205" s="49"/>
    </row>
    <row r="206" spans="5:7" x14ac:dyDescent="0.2">
      <c r="E206" s="8"/>
      <c r="G206" s="49"/>
    </row>
    <row r="207" spans="5:7" x14ac:dyDescent="0.2">
      <c r="E207" s="8"/>
      <c r="G207" s="49"/>
    </row>
    <row r="208" spans="5:7" x14ac:dyDescent="0.2">
      <c r="E208" s="8"/>
      <c r="G208" s="49"/>
    </row>
    <row r="209" spans="5:7" x14ac:dyDescent="0.2">
      <c r="E209" s="8"/>
      <c r="G209" s="49"/>
    </row>
    <row r="210" spans="5:7" x14ac:dyDescent="0.2">
      <c r="E210" s="8"/>
      <c r="G210" s="49"/>
    </row>
    <row r="211" spans="5:7" x14ac:dyDescent="0.2">
      <c r="E211" s="8"/>
      <c r="G211" s="49"/>
    </row>
    <row r="212" spans="5:7" x14ac:dyDescent="0.2">
      <c r="E212" s="8"/>
      <c r="G212" s="49"/>
    </row>
    <row r="213" spans="5:7" x14ac:dyDescent="0.2">
      <c r="E213" s="8"/>
      <c r="G213" s="49"/>
    </row>
    <row r="214" spans="5:7" x14ac:dyDescent="0.2">
      <c r="E214" s="8"/>
      <c r="G214" s="49"/>
    </row>
    <row r="215" spans="5:7" x14ac:dyDescent="0.2">
      <c r="E215" s="8"/>
      <c r="G215" s="49"/>
    </row>
    <row r="216" spans="5:7" x14ac:dyDescent="0.2">
      <c r="E216" s="8"/>
      <c r="G216" s="49"/>
    </row>
    <row r="217" spans="5:7" x14ac:dyDescent="0.2">
      <c r="E217" s="8"/>
      <c r="G217" s="49"/>
    </row>
    <row r="218" spans="5:7" x14ac:dyDescent="0.2">
      <c r="E218" s="8"/>
      <c r="G218" s="49"/>
    </row>
    <row r="219" spans="5:7" x14ac:dyDescent="0.2">
      <c r="E219" s="8"/>
      <c r="G219" s="49"/>
    </row>
    <row r="220" spans="5:7" x14ac:dyDescent="0.2">
      <c r="E220" s="8"/>
      <c r="G220" s="49"/>
    </row>
    <row r="221" spans="5:7" x14ac:dyDescent="0.2">
      <c r="E221" s="8"/>
      <c r="G221" s="49"/>
    </row>
    <row r="222" spans="5:7" x14ac:dyDescent="0.2">
      <c r="E222" s="8"/>
      <c r="G222" s="49"/>
    </row>
    <row r="223" spans="5:7" x14ac:dyDescent="0.2">
      <c r="E223" s="8"/>
      <c r="G223" s="49"/>
    </row>
    <row r="224" spans="5:7" x14ac:dyDescent="0.2">
      <c r="E224" s="8"/>
      <c r="G224" s="49"/>
    </row>
    <row r="225" spans="5:7" x14ac:dyDescent="0.2">
      <c r="E225" s="8"/>
      <c r="G225" s="49"/>
    </row>
    <row r="226" spans="5:7" x14ac:dyDescent="0.2">
      <c r="E226" s="8"/>
      <c r="G226" s="49"/>
    </row>
    <row r="227" spans="5:7" x14ac:dyDescent="0.2">
      <c r="E227" s="8"/>
      <c r="G227" s="49"/>
    </row>
    <row r="228" spans="5:7" x14ac:dyDescent="0.2">
      <c r="E228" s="8"/>
      <c r="G228" s="49"/>
    </row>
    <row r="229" spans="5:7" x14ac:dyDescent="0.2">
      <c r="E229" s="8"/>
      <c r="G229" s="49"/>
    </row>
    <row r="230" spans="5:7" x14ac:dyDescent="0.2">
      <c r="E230" s="8"/>
      <c r="G230" s="49"/>
    </row>
    <row r="231" spans="5:7" x14ac:dyDescent="0.2">
      <c r="E231" s="8"/>
      <c r="G231" s="49"/>
    </row>
    <row r="232" spans="5:7" x14ac:dyDescent="0.2">
      <c r="E232" s="8"/>
      <c r="G232" s="49"/>
    </row>
    <row r="233" spans="5:7" x14ac:dyDescent="0.2">
      <c r="E233" s="8"/>
      <c r="G233" s="49"/>
    </row>
    <row r="234" spans="5:7" x14ac:dyDescent="0.2">
      <c r="E234" s="8"/>
      <c r="G234" s="49"/>
    </row>
    <row r="235" spans="5:7" x14ac:dyDescent="0.2">
      <c r="E235" s="8"/>
      <c r="G235" s="49"/>
    </row>
    <row r="236" spans="5:7" x14ac:dyDescent="0.2">
      <c r="E236" s="8"/>
      <c r="G236" s="49"/>
    </row>
    <row r="237" spans="5:7" x14ac:dyDescent="0.2">
      <c r="E237" s="8"/>
      <c r="G237" s="49"/>
    </row>
    <row r="238" spans="5:7" x14ac:dyDescent="0.2">
      <c r="E238" s="8"/>
      <c r="G238" s="49"/>
    </row>
    <row r="239" spans="5:7" x14ac:dyDescent="0.2">
      <c r="E239" s="8"/>
      <c r="G239" s="49"/>
    </row>
    <row r="240" spans="5:7" x14ac:dyDescent="0.2">
      <c r="E240" s="8"/>
      <c r="G240" s="49"/>
    </row>
    <row r="241" spans="5:7" x14ac:dyDescent="0.2">
      <c r="E241" s="8"/>
      <c r="G241" s="49"/>
    </row>
    <row r="242" spans="5:7" x14ac:dyDescent="0.2">
      <c r="E242" s="8"/>
      <c r="G242" s="49"/>
    </row>
    <row r="243" spans="5:7" x14ac:dyDescent="0.2">
      <c r="E243" s="8"/>
      <c r="G243" s="49"/>
    </row>
    <row r="244" spans="5:7" x14ac:dyDescent="0.2">
      <c r="E244" s="8"/>
      <c r="G244" s="49"/>
    </row>
    <row r="245" spans="5:7" x14ac:dyDescent="0.2">
      <c r="E245" s="8"/>
      <c r="G245" s="49"/>
    </row>
    <row r="246" spans="5:7" x14ac:dyDescent="0.2">
      <c r="E246" s="8"/>
      <c r="G246" s="49"/>
    </row>
    <row r="247" spans="5:7" x14ac:dyDescent="0.2">
      <c r="E247" s="8"/>
      <c r="G247" s="49"/>
    </row>
    <row r="248" spans="5:7" x14ac:dyDescent="0.2">
      <c r="E248" s="8"/>
      <c r="G248" s="49"/>
    </row>
    <row r="249" spans="5:7" x14ac:dyDescent="0.2">
      <c r="E249" s="8"/>
      <c r="G249" s="49"/>
    </row>
    <row r="250" spans="5:7" x14ac:dyDescent="0.2">
      <c r="E250" s="8"/>
      <c r="G250" s="49"/>
    </row>
    <row r="251" spans="5:7" x14ac:dyDescent="0.2">
      <c r="E251" s="8"/>
      <c r="G251" s="49"/>
    </row>
    <row r="252" spans="5:7" x14ac:dyDescent="0.2">
      <c r="E252" s="8"/>
      <c r="G252" s="49"/>
    </row>
    <row r="253" spans="5:7" x14ac:dyDescent="0.2">
      <c r="E253" s="8"/>
      <c r="G253" s="49"/>
    </row>
    <row r="254" spans="5:7" x14ac:dyDescent="0.2">
      <c r="E254" s="8"/>
      <c r="G254" s="49"/>
    </row>
    <row r="255" spans="5:7" x14ac:dyDescent="0.2">
      <c r="E255" s="8"/>
      <c r="G255" s="49"/>
    </row>
    <row r="256" spans="5:7" x14ac:dyDescent="0.2">
      <c r="E256" s="8"/>
      <c r="G256" s="49"/>
    </row>
    <row r="257" spans="5:7" x14ac:dyDescent="0.2">
      <c r="E257" s="8"/>
      <c r="G257" s="49"/>
    </row>
    <row r="258" spans="5:7" x14ac:dyDescent="0.2">
      <c r="E258" s="8"/>
      <c r="G258" s="49"/>
    </row>
    <row r="259" spans="5:7" x14ac:dyDescent="0.2">
      <c r="E259" s="8"/>
      <c r="G259" s="49"/>
    </row>
    <row r="260" spans="5:7" x14ac:dyDescent="0.2">
      <c r="E260" s="8"/>
      <c r="G260" s="49"/>
    </row>
    <row r="261" spans="5:7" x14ac:dyDescent="0.2">
      <c r="E261" s="8"/>
      <c r="G261" s="49"/>
    </row>
    <row r="262" spans="5:7" x14ac:dyDescent="0.2">
      <c r="E262" s="8"/>
      <c r="G262" s="49"/>
    </row>
    <row r="263" spans="5:7" x14ac:dyDescent="0.2">
      <c r="E263" s="8"/>
      <c r="G263" s="49"/>
    </row>
    <row r="264" spans="5:7" x14ac:dyDescent="0.2">
      <c r="E264" s="8"/>
      <c r="G264" s="49"/>
    </row>
    <row r="265" spans="5:7" x14ac:dyDescent="0.2">
      <c r="E265" s="8"/>
      <c r="G265" s="49"/>
    </row>
    <row r="266" spans="5:7" x14ac:dyDescent="0.2">
      <c r="E266" s="8"/>
      <c r="G266" s="49"/>
    </row>
    <row r="267" spans="5:7" x14ac:dyDescent="0.2">
      <c r="E267" s="8"/>
      <c r="G267" s="49"/>
    </row>
    <row r="268" spans="5:7" x14ac:dyDescent="0.2">
      <c r="E268" s="8"/>
      <c r="G268" s="49"/>
    </row>
    <row r="269" spans="5:7" x14ac:dyDescent="0.2">
      <c r="E269" s="8"/>
      <c r="G269" s="49"/>
    </row>
    <row r="270" spans="5:7" x14ac:dyDescent="0.2">
      <c r="E270" s="8"/>
      <c r="G270" s="49"/>
    </row>
    <row r="271" spans="5:7" x14ac:dyDescent="0.2">
      <c r="E271" s="8"/>
      <c r="G271" s="49"/>
    </row>
    <row r="272" spans="5:7" x14ac:dyDescent="0.2">
      <c r="E272" s="8"/>
      <c r="G272" s="49"/>
    </row>
    <row r="273" spans="5:7" x14ac:dyDescent="0.2">
      <c r="E273" s="8"/>
      <c r="G273" s="49"/>
    </row>
    <row r="274" spans="5:7" x14ac:dyDescent="0.2">
      <c r="E274" s="8"/>
      <c r="G274" s="49"/>
    </row>
    <row r="275" spans="5:7" x14ac:dyDescent="0.2">
      <c r="E275" s="8"/>
      <c r="G275" s="49"/>
    </row>
    <row r="276" spans="5:7" x14ac:dyDescent="0.2">
      <c r="E276" s="8"/>
      <c r="G276" s="49"/>
    </row>
    <row r="277" spans="5:7" x14ac:dyDescent="0.2">
      <c r="E277" s="8"/>
      <c r="G277" s="49"/>
    </row>
    <row r="278" spans="5:7" x14ac:dyDescent="0.2">
      <c r="E278" s="8"/>
      <c r="G278" s="49"/>
    </row>
    <row r="279" spans="5:7" x14ac:dyDescent="0.2">
      <c r="E279" s="8"/>
      <c r="G279" s="49"/>
    </row>
    <row r="280" spans="5:7" x14ac:dyDescent="0.2">
      <c r="E280" s="8"/>
      <c r="G280" s="49"/>
    </row>
    <row r="281" spans="5:7" x14ac:dyDescent="0.2">
      <c r="E281" s="8"/>
      <c r="G281" s="49"/>
    </row>
    <row r="282" spans="5:7" x14ac:dyDescent="0.2">
      <c r="E282" s="8"/>
      <c r="G282" s="49"/>
    </row>
    <row r="283" spans="5:7" x14ac:dyDescent="0.2">
      <c r="E283" s="8"/>
      <c r="G283" s="49"/>
    </row>
    <row r="284" spans="5:7" x14ac:dyDescent="0.2">
      <c r="E284" s="8"/>
      <c r="G284" s="49"/>
    </row>
    <row r="285" spans="5:7" x14ac:dyDescent="0.2">
      <c r="E285" s="8"/>
      <c r="G285" s="49"/>
    </row>
    <row r="286" spans="5:7" x14ac:dyDescent="0.2">
      <c r="E286" s="8"/>
      <c r="G286" s="49"/>
    </row>
    <row r="287" spans="5:7" x14ac:dyDescent="0.2">
      <c r="E287" s="8"/>
      <c r="G287" s="49"/>
    </row>
    <row r="288" spans="5:7" x14ac:dyDescent="0.2">
      <c r="E288" s="8"/>
      <c r="G288" s="49"/>
    </row>
    <row r="289" spans="5:7" x14ac:dyDescent="0.2">
      <c r="E289" s="8"/>
      <c r="G289" s="49"/>
    </row>
    <row r="290" spans="5:7" x14ac:dyDescent="0.2">
      <c r="E290" s="8"/>
      <c r="G290" s="49"/>
    </row>
    <row r="291" spans="5:7" x14ac:dyDescent="0.2">
      <c r="E291" s="8"/>
      <c r="G291" s="49"/>
    </row>
    <row r="292" spans="5:7" x14ac:dyDescent="0.2">
      <c r="E292" s="8"/>
      <c r="G292" s="49"/>
    </row>
    <row r="293" spans="5:7" x14ac:dyDescent="0.2">
      <c r="E293" s="8"/>
      <c r="G293" s="49"/>
    </row>
    <row r="294" spans="5:7" x14ac:dyDescent="0.2">
      <c r="E294" s="8"/>
      <c r="G294" s="49"/>
    </row>
    <row r="295" spans="5:7" x14ac:dyDescent="0.2">
      <c r="E295" s="8"/>
      <c r="G295" s="49"/>
    </row>
    <row r="296" spans="5:7" x14ac:dyDescent="0.2">
      <c r="E296" s="8"/>
      <c r="G296" s="49"/>
    </row>
    <row r="297" spans="5:7" x14ac:dyDescent="0.2">
      <c r="E297" s="8"/>
      <c r="G297" s="49"/>
    </row>
    <row r="298" spans="5:7" x14ac:dyDescent="0.2">
      <c r="E298" s="8"/>
      <c r="G298" s="49"/>
    </row>
    <row r="299" spans="5:7" x14ac:dyDescent="0.2">
      <c r="E299" s="8"/>
      <c r="G299" s="49"/>
    </row>
    <row r="300" spans="5:7" x14ac:dyDescent="0.2">
      <c r="E300" s="8"/>
      <c r="G300" s="49"/>
    </row>
    <row r="301" spans="5:7" x14ac:dyDescent="0.2">
      <c r="E301" s="8"/>
      <c r="G301" s="49"/>
    </row>
    <row r="302" spans="5:7" x14ac:dyDescent="0.2">
      <c r="E302" s="8"/>
      <c r="G302" s="49"/>
    </row>
    <row r="303" spans="5:7" x14ac:dyDescent="0.2">
      <c r="E303" s="8"/>
      <c r="G303" s="49"/>
    </row>
    <row r="304" spans="5:7" x14ac:dyDescent="0.2">
      <c r="E304" s="8"/>
      <c r="G304" s="49"/>
    </row>
    <row r="305" spans="5:7" x14ac:dyDescent="0.2">
      <c r="E305" s="8"/>
      <c r="G305" s="49"/>
    </row>
    <row r="306" spans="5:7" x14ac:dyDescent="0.2">
      <c r="E306" s="8"/>
      <c r="G306" s="49"/>
    </row>
    <row r="307" spans="5:7" x14ac:dyDescent="0.2">
      <c r="E307" s="8"/>
      <c r="G307" s="49"/>
    </row>
    <row r="308" spans="5:7" x14ac:dyDescent="0.2">
      <c r="E308" s="8"/>
      <c r="G308" s="49"/>
    </row>
    <row r="309" spans="5:7" x14ac:dyDescent="0.2">
      <c r="E309" s="8"/>
      <c r="G309" s="49"/>
    </row>
    <row r="310" spans="5:7" x14ac:dyDescent="0.2">
      <c r="E310" s="8"/>
      <c r="G310" s="49"/>
    </row>
    <row r="311" spans="5:7" x14ac:dyDescent="0.2">
      <c r="E311" s="8"/>
      <c r="G311" s="49"/>
    </row>
    <row r="312" spans="5:7" x14ac:dyDescent="0.2">
      <c r="E312" s="8"/>
      <c r="G312" s="49"/>
    </row>
    <row r="313" spans="5:7" x14ac:dyDescent="0.2">
      <c r="E313" s="8"/>
      <c r="G313" s="49"/>
    </row>
    <row r="314" spans="5:7" x14ac:dyDescent="0.2">
      <c r="E314" s="8"/>
      <c r="G314" s="49"/>
    </row>
    <row r="315" spans="5:7" x14ac:dyDescent="0.2">
      <c r="E315" s="8"/>
      <c r="G315" s="49"/>
    </row>
    <row r="316" spans="5:7" x14ac:dyDescent="0.2">
      <c r="E316" s="8"/>
      <c r="G316" s="49"/>
    </row>
    <row r="317" spans="5:7" x14ac:dyDescent="0.2">
      <c r="E317" s="8"/>
      <c r="G317" s="49"/>
    </row>
    <row r="318" spans="5:7" x14ac:dyDescent="0.2">
      <c r="E318" s="8"/>
      <c r="G318" s="49"/>
    </row>
    <row r="319" spans="5:7" x14ac:dyDescent="0.2">
      <c r="E319" s="8"/>
      <c r="G319" s="49"/>
    </row>
    <row r="320" spans="5:7" x14ac:dyDescent="0.2">
      <c r="E320" s="8"/>
      <c r="G320" s="49"/>
    </row>
    <row r="321" spans="5:7" x14ac:dyDescent="0.2">
      <c r="E321" s="8"/>
      <c r="G321" s="49"/>
    </row>
    <row r="322" spans="5:7" x14ac:dyDescent="0.2">
      <c r="E322" s="8"/>
      <c r="G322" s="49"/>
    </row>
    <row r="323" spans="5:7" x14ac:dyDescent="0.2">
      <c r="E323" s="8"/>
      <c r="G323" s="49"/>
    </row>
    <row r="324" spans="5:7" x14ac:dyDescent="0.2">
      <c r="E324" s="8"/>
      <c r="G324" s="49"/>
    </row>
    <row r="325" spans="5:7" x14ac:dyDescent="0.2">
      <c r="E325" s="8"/>
      <c r="G325" s="49"/>
    </row>
    <row r="326" spans="5:7" x14ac:dyDescent="0.2">
      <c r="E326" s="8"/>
      <c r="G326" s="49"/>
    </row>
    <row r="327" spans="5:7" x14ac:dyDescent="0.2">
      <c r="E327" s="8"/>
      <c r="G327" s="49"/>
    </row>
    <row r="328" spans="5:7" x14ac:dyDescent="0.2">
      <c r="E328" s="8"/>
      <c r="G328" s="49"/>
    </row>
    <row r="329" spans="5:7" x14ac:dyDescent="0.2">
      <c r="E329" s="8"/>
      <c r="G329" s="49"/>
    </row>
    <row r="330" spans="5:7" x14ac:dyDescent="0.2">
      <c r="E330" s="8"/>
      <c r="G330" s="49"/>
    </row>
    <row r="331" spans="5:7" x14ac:dyDescent="0.2">
      <c r="E331" s="8"/>
      <c r="G331" s="49"/>
    </row>
    <row r="332" spans="5:7" x14ac:dyDescent="0.2">
      <c r="E332" s="8"/>
      <c r="G332" s="49"/>
    </row>
    <row r="333" spans="5:7" x14ac:dyDescent="0.2">
      <c r="E333" s="8"/>
      <c r="G333" s="49"/>
    </row>
    <row r="334" spans="5:7" x14ac:dyDescent="0.2">
      <c r="E334" s="8"/>
      <c r="G334" s="49"/>
    </row>
    <row r="335" spans="5:7" x14ac:dyDescent="0.2">
      <c r="E335" s="8"/>
      <c r="G335" s="49"/>
    </row>
    <row r="336" spans="5:7" x14ac:dyDescent="0.2">
      <c r="E336" s="8"/>
      <c r="G336" s="49"/>
    </row>
    <row r="337" spans="5:7" x14ac:dyDescent="0.2">
      <c r="E337" s="8"/>
      <c r="G337" s="49"/>
    </row>
    <row r="338" spans="5:7" x14ac:dyDescent="0.2">
      <c r="E338" s="8"/>
      <c r="G338" s="49"/>
    </row>
    <row r="339" spans="5:7" x14ac:dyDescent="0.2">
      <c r="E339" s="8"/>
      <c r="G339" s="49"/>
    </row>
    <row r="340" spans="5:7" x14ac:dyDescent="0.2">
      <c r="E340" s="8"/>
      <c r="G340" s="49"/>
    </row>
    <row r="341" spans="5:7" x14ac:dyDescent="0.2">
      <c r="E341" s="8"/>
      <c r="G341" s="49"/>
    </row>
    <row r="342" spans="5:7" x14ac:dyDescent="0.2">
      <c r="E342" s="8"/>
      <c r="G342" s="49"/>
    </row>
    <row r="343" spans="5:7" x14ac:dyDescent="0.2">
      <c r="E343" s="8"/>
      <c r="G343" s="49"/>
    </row>
    <row r="344" spans="5:7" x14ac:dyDescent="0.2">
      <c r="E344" s="8"/>
      <c r="G344" s="49"/>
    </row>
    <row r="345" spans="5:7" x14ac:dyDescent="0.2">
      <c r="E345" s="8"/>
      <c r="G345" s="49"/>
    </row>
    <row r="346" spans="5:7" x14ac:dyDescent="0.2">
      <c r="E346" s="8"/>
      <c r="G346" s="49"/>
    </row>
    <row r="347" spans="5:7" x14ac:dyDescent="0.2">
      <c r="E347" s="8"/>
      <c r="G347" s="49"/>
    </row>
    <row r="348" spans="5:7" x14ac:dyDescent="0.2">
      <c r="E348" s="8"/>
      <c r="G348" s="49"/>
    </row>
    <row r="349" spans="5:7" x14ac:dyDescent="0.2">
      <c r="E349" s="8"/>
      <c r="G349" s="49"/>
    </row>
    <row r="350" spans="5:7" x14ac:dyDescent="0.2">
      <c r="E350" s="8"/>
      <c r="G350" s="49"/>
    </row>
    <row r="351" spans="5:7" x14ac:dyDescent="0.2">
      <c r="E351" s="8"/>
      <c r="G351" s="49"/>
    </row>
    <row r="352" spans="5:7" x14ac:dyDescent="0.2">
      <c r="E352" s="8"/>
      <c r="G352" s="49"/>
    </row>
    <row r="353" spans="5:7" x14ac:dyDescent="0.2">
      <c r="E353" s="8"/>
      <c r="G353" s="49"/>
    </row>
    <row r="354" spans="5:7" x14ac:dyDescent="0.2">
      <c r="E354" s="8"/>
      <c r="G354" s="49"/>
    </row>
    <row r="355" spans="5:7" x14ac:dyDescent="0.2">
      <c r="E355" s="8"/>
      <c r="G355" s="49"/>
    </row>
    <row r="356" spans="5:7" x14ac:dyDescent="0.2">
      <c r="E356" s="8"/>
      <c r="G356" s="49"/>
    </row>
    <row r="357" spans="5:7" x14ac:dyDescent="0.2">
      <c r="E357" s="8"/>
      <c r="G357" s="49"/>
    </row>
    <row r="358" spans="5:7" x14ac:dyDescent="0.2">
      <c r="E358" s="8"/>
      <c r="G358" s="49"/>
    </row>
    <row r="359" spans="5:7" x14ac:dyDescent="0.2">
      <c r="E359" s="8"/>
      <c r="G359" s="49"/>
    </row>
    <row r="360" spans="5:7" x14ac:dyDescent="0.2">
      <c r="E360" s="8"/>
      <c r="G360" s="49"/>
    </row>
    <row r="361" spans="5:7" x14ac:dyDescent="0.2">
      <c r="E361" s="8"/>
      <c r="G361" s="49"/>
    </row>
    <row r="362" spans="5:7" x14ac:dyDescent="0.2">
      <c r="E362" s="8"/>
      <c r="G362" s="49"/>
    </row>
    <row r="363" spans="5:7" x14ac:dyDescent="0.2">
      <c r="E363" s="8"/>
      <c r="G363" s="49"/>
    </row>
    <row r="364" spans="5:7" x14ac:dyDescent="0.2">
      <c r="E364" s="8"/>
      <c r="G364" s="49"/>
    </row>
    <row r="365" spans="5:7" x14ac:dyDescent="0.2">
      <c r="E365" s="8"/>
      <c r="G365" s="49"/>
    </row>
    <row r="366" spans="5:7" x14ac:dyDescent="0.2">
      <c r="E366" s="8"/>
      <c r="G366" s="49"/>
    </row>
    <row r="367" spans="5:7" x14ac:dyDescent="0.2">
      <c r="E367" s="8"/>
      <c r="G367" s="49"/>
    </row>
    <row r="368" spans="5:7" x14ac:dyDescent="0.2">
      <c r="E368" s="8"/>
      <c r="G368" s="49"/>
    </row>
    <row r="369" spans="5:7" x14ac:dyDescent="0.2">
      <c r="E369" s="8"/>
      <c r="G369" s="49"/>
    </row>
    <row r="370" spans="5:7" x14ac:dyDescent="0.2">
      <c r="E370" s="8"/>
      <c r="G370" s="49"/>
    </row>
    <row r="371" spans="5:7" x14ac:dyDescent="0.2">
      <c r="E371" s="8"/>
      <c r="G371" s="49"/>
    </row>
    <row r="372" spans="5:7" x14ac:dyDescent="0.2">
      <c r="E372" s="8"/>
      <c r="G372" s="49"/>
    </row>
    <row r="373" spans="5:7" x14ac:dyDescent="0.2">
      <c r="E373" s="8"/>
      <c r="G373" s="49"/>
    </row>
    <row r="374" spans="5:7" x14ac:dyDescent="0.2">
      <c r="E374" s="8"/>
      <c r="G374" s="49"/>
    </row>
    <row r="375" spans="5:7" x14ac:dyDescent="0.2">
      <c r="E375" s="8"/>
      <c r="G375" s="49"/>
    </row>
    <row r="376" spans="5:7" x14ac:dyDescent="0.2">
      <c r="E376" s="8"/>
      <c r="G376" s="49"/>
    </row>
    <row r="377" spans="5:7" x14ac:dyDescent="0.2">
      <c r="E377" s="8"/>
      <c r="G377" s="49"/>
    </row>
    <row r="378" spans="5:7" x14ac:dyDescent="0.2">
      <c r="E378" s="8"/>
      <c r="G378" s="49"/>
    </row>
    <row r="379" spans="5:7" x14ac:dyDescent="0.2">
      <c r="E379" s="8"/>
      <c r="G379" s="49"/>
    </row>
    <row r="380" spans="5:7" x14ac:dyDescent="0.2">
      <c r="E380" s="8"/>
      <c r="G380" s="49"/>
    </row>
    <row r="381" spans="5:7" x14ac:dyDescent="0.2">
      <c r="E381" s="8"/>
      <c r="G381" s="49"/>
    </row>
    <row r="382" spans="5:7" x14ac:dyDescent="0.2">
      <c r="E382" s="8"/>
      <c r="G382" s="49"/>
    </row>
    <row r="383" spans="5:7" x14ac:dyDescent="0.2">
      <c r="E383" s="8"/>
      <c r="G383" s="49"/>
    </row>
    <row r="384" spans="5:7" x14ac:dyDescent="0.2">
      <c r="E384" s="8"/>
      <c r="G384" s="49"/>
    </row>
    <row r="385" spans="5:7" x14ac:dyDescent="0.2">
      <c r="E385" s="8"/>
      <c r="G385" s="49"/>
    </row>
    <row r="386" spans="5:7" x14ac:dyDescent="0.2">
      <c r="E386" s="8"/>
      <c r="G386" s="49"/>
    </row>
    <row r="387" spans="5:7" x14ac:dyDescent="0.2">
      <c r="E387" s="8"/>
      <c r="G387" s="49"/>
    </row>
    <row r="388" spans="5:7" x14ac:dyDescent="0.2">
      <c r="E388" s="8"/>
      <c r="G388" s="49"/>
    </row>
    <row r="389" spans="5:7" x14ac:dyDescent="0.2">
      <c r="E389" s="8"/>
      <c r="G389" s="49"/>
    </row>
    <row r="390" spans="5:7" x14ac:dyDescent="0.2">
      <c r="E390" s="8"/>
      <c r="G390" s="49"/>
    </row>
    <row r="391" spans="5:7" x14ac:dyDescent="0.2">
      <c r="E391" s="8"/>
      <c r="G391" s="49"/>
    </row>
    <row r="392" spans="5:7" x14ac:dyDescent="0.2">
      <c r="E392" s="8"/>
      <c r="G392" s="49"/>
    </row>
    <row r="393" spans="5:7" x14ac:dyDescent="0.2">
      <c r="E393" s="8"/>
      <c r="G393" s="49"/>
    </row>
    <row r="394" spans="5:7" x14ac:dyDescent="0.2">
      <c r="E394" s="8"/>
      <c r="G394" s="49"/>
    </row>
    <row r="395" spans="5:7" x14ac:dyDescent="0.2">
      <c r="E395" s="8"/>
      <c r="G395" s="49"/>
    </row>
    <row r="396" spans="5:7" x14ac:dyDescent="0.2">
      <c r="E396" s="8"/>
      <c r="G396" s="49"/>
    </row>
    <row r="397" spans="5:7" x14ac:dyDescent="0.2">
      <c r="E397" s="8"/>
      <c r="G397" s="49"/>
    </row>
    <row r="398" spans="5:7" x14ac:dyDescent="0.2">
      <c r="E398" s="8"/>
      <c r="G398" s="49"/>
    </row>
    <row r="399" spans="5:7" x14ac:dyDescent="0.2">
      <c r="E399" s="8"/>
      <c r="G399" s="49"/>
    </row>
    <row r="400" spans="5:7" x14ac:dyDescent="0.2">
      <c r="E400" s="8"/>
      <c r="G400" s="49"/>
    </row>
    <row r="401" spans="5:7" x14ac:dyDescent="0.2">
      <c r="E401" s="8"/>
      <c r="G401" s="49"/>
    </row>
    <row r="402" spans="5:7" x14ac:dyDescent="0.2">
      <c r="E402" s="8"/>
      <c r="G402" s="49"/>
    </row>
    <row r="403" spans="5:7" x14ac:dyDescent="0.2">
      <c r="E403" s="8"/>
      <c r="G403" s="49"/>
    </row>
    <row r="404" spans="5:7" x14ac:dyDescent="0.2">
      <c r="E404" s="8"/>
      <c r="G404" s="49"/>
    </row>
    <row r="405" spans="5:7" x14ac:dyDescent="0.2">
      <c r="E405" s="8"/>
      <c r="G405" s="49"/>
    </row>
    <row r="406" spans="5:7" x14ac:dyDescent="0.2">
      <c r="E406" s="8"/>
      <c r="G406" s="49"/>
    </row>
    <row r="407" spans="5:7" x14ac:dyDescent="0.2">
      <c r="E407" s="8"/>
      <c r="G407" s="49"/>
    </row>
    <row r="408" spans="5:7" x14ac:dyDescent="0.2">
      <c r="E408" s="8"/>
      <c r="G408" s="49"/>
    </row>
  </sheetData>
  <mergeCells count="1">
    <mergeCell ref="B1:C1"/>
  </mergeCells>
  <conditionalFormatting sqref="G1:G3 G5:G204">
    <cfRule type="cellIs" dxfId="0" priority="2" stopIfTrue="1" operator="between">
      <formula>0.009</formula>
      <formula>-0.009</formula>
    </cfRule>
  </conditionalFormatting>
  <hyperlinks>
    <hyperlink ref="A2" location="Index!A1" display="-" xr:uid="{BEE37677-5702-4EF1-BAC1-35E9A9C8A9CF}"/>
  </hyperlinks>
  <pageMargins left="0.7" right="0.7" top="0.75" bottom="0.75" header="0.3" footer="0.3"/>
  <pageSetup paperSize="9" scale="36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203" min="1" max="7" man="1"/>
  </rowBreaks>
  <colBreaks count="1" manualBreakCount="1">
    <brk id="8" max="41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