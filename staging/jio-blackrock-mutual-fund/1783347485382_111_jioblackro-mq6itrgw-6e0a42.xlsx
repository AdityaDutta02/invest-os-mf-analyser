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CADA4046-7F50-4E69-A9B9-0008F6E0D320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50" sheetId="10" r:id="rId1"/>
  </sheets>
  <definedNames>
    <definedName name="_xlnm.Print_Area" localSheetId="0">'JBN50'!$B$1:$H$121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0" l="1"/>
  <c r="G63" i="10" s="1"/>
  <c r="F57" i="10"/>
  <c r="F63" i="10" s="1"/>
  <c r="F60" i="10" l="1"/>
  <c r="G60" i="10"/>
</calcChain>
</file>

<file path=xl/sharedStrings.xml><?xml version="1.0" encoding="utf-8"?>
<sst xmlns="http://schemas.openxmlformats.org/spreadsheetml/2006/main" count="189" uniqueCount="160">
  <si>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</si>
  <si>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</si>
  <si>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</si>
  <si>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</si>
  <si>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</si>
  <si>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</si>
  <si>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</si>
  <si>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Nifty 50 Index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</si>
  <si>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</si>
  <si>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</si>
  <si>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</si>
  <si>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</si>
  <si>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</si>
  <si>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</si>
  <si>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</si>
  <si>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</si>
  <si>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</si>
  <si>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</si>
  <si>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</si>
  <si>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</si>
  <si>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</si>
  <si>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Mahindra &amp; Mahindra Ltd</t>
  </si>
  <si>
    <t>INE101A01026</t>
  </si>
  <si>
    <t>Automobiles</t>
  </si>
  <si>
    <t>State Bank of India</t>
  </si>
  <si>
    <t>INE062A01020</t>
  </si>
  <si>
    <t>Infosys Ltd</t>
  </si>
  <si>
    <t>INE009A01021</t>
  </si>
  <si>
    <t>IT - Software</t>
  </si>
  <si>
    <t>Larsen &amp; Toubro Ltd</t>
  </si>
  <si>
    <t>INE018A01030</t>
  </si>
  <si>
    <t>Construction</t>
  </si>
  <si>
    <t>NTPC Ltd</t>
  </si>
  <si>
    <t>INE733E01010</t>
  </si>
  <si>
    <t>Power</t>
  </si>
  <si>
    <t>Nestle India Ltd</t>
  </si>
  <si>
    <t>INE239A01024</t>
  </si>
  <si>
    <t>Food Products</t>
  </si>
  <si>
    <t>Tata Consultancy Services Ltd</t>
  </si>
  <si>
    <t>INE467B01029</t>
  </si>
  <si>
    <t>Tata Steel Ltd</t>
  </si>
  <si>
    <t>INE081A01020</t>
  </si>
  <si>
    <t>Ferrous Metals</t>
  </si>
  <si>
    <t>ITC Ltd</t>
  </si>
  <si>
    <t>INE154A01025</t>
  </si>
  <si>
    <t>Diversified FMCG</t>
  </si>
  <si>
    <t>Interglobe Aviation Ltd</t>
  </si>
  <si>
    <t>INE646L01027</t>
  </si>
  <si>
    <t>Transport Services</t>
  </si>
  <si>
    <t>Ultratech Cement Ltd</t>
  </si>
  <si>
    <t>INE481G01011</t>
  </si>
  <si>
    <t>Cement &amp; Cement Products</t>
  </si>
  <si>
    <t>Axis Bank Ltd</t>
  </si>
  <si>
    <t>INE238A01034</t>
  </si>
  <si>
    <t>Sun Pharmaceutical Industries Ltd</t>
  </si>
  <si>
    <t>INE044A01036</t>
  </si>
  <si>
    <t>Pharmaceuticals &amp; Biotechnology</t>
  </si>
  <si>
    <t>Kotak Mahindra Bank Ltd</t>
  </si>
  <si>
    <t>INE237A01036</t>
  </si>
  <si>
    <t>JSW Steel Ltd</t>
  </si>
  <si>
    <t>INE019A01038</t>
  </si>
  <si>
    <t>Eternal Ltd</t>
  </si>
  <si>
    <t>INE758T01015</t>
  </si>
  <si>
    <t>Retailing</t>
  </si>
  <si>
    <t>Titan Co Ltd</t>
  </si>
  <si>
    <t>INE280A01028</t>
  </si>
  <si>
    <t>Consumer Durables</t>
  </si>
  <si>
    <t>Oil &amp; Natural Gas Corporation Ltd</t>
  </si>
  <si>
    <t>INE213A01029</t>
  </si>
  <si>
    <t>Oil</t>
  </si>
  <si>
    <t>SBI Life Insurance Co Ltd</t>
  </si>
  <si>
    <t>INE123W01016</t>
  </si>
  <si>
    <t>Insurance</t>
  </si>
  <si>
    <t>Tech Mahindra Ltd</t>
  </si>
  <si>
    <t>INE669C01036</t>
  </si>
  <si>
    <t>Bajaj Finance Ltd</t>
  </si>
  <si>
    <t>INE296A01032</t>
  </si>
  <si>
    <t>Finance</t>
  </si>
  <si>
    <t>Non - Ferrous Metals</t>
  </si>
  <si>
    <t>Asian Paints Ltd</t>
  </si>
  <si>
    <t>INE021A01026</t>
  </si>
  <si>
    <t>Power Grid Corporation of India Ltd</t>
  </si>
  <si>
    <t>INE752E01010</t>
  </si>
  <si>
    <t>Dr. Reddy's Laboratories Ltd</t>
  </si>
  <si>
    <t>INE089A01031</t>
  </si>
  <si>
    <t>Adani Enterprises Ltd</t>
  </si>
  <si>
    <t>INE423A01024</t>
  </si>
  <si>
    <t>Metals &amp; Minerals Trading</t>
  </si>
  <si>
    <t>Maruti Suzuki India Ltd</t>
  </si>
  <si>
    <t>INE585B01010</t>
  </si>
  <si>
    <t>Shriram Finance Ltd</t>
  </si>
  <si>
    <t>INE721A01047</t>
  </si>
  <si>
    <t>Eicher Motors Ltd</t>
  </si>
  <si>
    <t>INE066A01021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</si>
  <si>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</si>
  <si>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</si>
  <si>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</si>
  <si>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</si>
  <si>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</si>
  <si>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</si>
  <si>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</si>
  <si>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</si>
  <si>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</si>
  <si>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</si>
  <si>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Hindustan Unilever Ltd</t>
  </si>
  <si>
    <t>INE030A01027</t>
  </si>
  <si>
    <t>Hindalco Industries Ltd</t>
  </si>
  <si>
    <t>INE038A01020</t>
  </si>
  <si>
    <t>Bharat Electronics Ltd</t>
  </si>
  <si>
    <t>INE263A01024</t>
  </si>
  <si>
    <t>Aerospace &amp; Defense</t>
  </si>
  <si>
    <t>Adani Ports and Special Economic Zone Ltd</t>
  </si>
  <si>
    <t>INE742F01042</t>
  </si>
  <si>
    <t>Transport Infrastructure</t>
  </si>
  <si>
    <t>HCL Technologies Ltd</t>
  </si>
  <si>
    <t>INE860A01027</t>
  </si>
  <si>
    <t>Grasim Industries Ltd</t>
  </si>
  <si>
    <t>INE047A01021</t>
  </si>
  <si>
    <t>Bajaj Auto Ltd</t>
  </si>
  <si>
    <t>INE917I01010</t>
  </si>
  <si>
    <t>Coal India Ltd</t>
  </si>
  <si>
    <t>INE522F01014</t>
  </si>
  <si>
    <t>Consumable Fuels</t>
  </si>
  <si>
    <t>Bajaj Finserv Ltd</t>
  </si>
  <si>
    <t>INE918I01026</t>
  </si>
  <si>
    <t>Trent Ltd</t>
  </si>
  <si>
    <t>INE849A01020</t>
  </si>
  <si>
    <t>Apollo Hospitals Enterprise Ltd</t>
  </si>
  <si>
    <t>INE437A01024</t>
  </si>
  <si>
    <t>Healthcare Services</t>
  </si>
  <si>
    <t>Tata Motors Passenger Vehicles Ltd</t>
  </si>
  <si>
    <t>INE155A01022</t>
  </si>
  <si>
    <t>Cipla Ltd</t>
  </si>
  <si>
    <t>INE059A01026</t>
  </si>
  <si>
    <t>Jio Financial Services Ltd</t>
  </si>
  <si>
    <t>INE758E01017</t>
  </si>
  <si>
    <t>Tata Consumer Products Ltd</t>
  </si>
  <si>
    <t>INE192A01025</t>
  </si>
  <si>
    <t>Agricultural Food &amp; Other Products</t>
  </si>
  <si>
    <t>Max Healthcare Institute Ltd</t>
  </si>
  <si>
    <t>INE027H01010</t>
  </si>
  <si>
    <t>HDFC Life Insurance Co Ltd</t>
  </si>
  <si>
    <t>INE795G01014</t>
  </si>
  <si>
    <t>Wipro Ltd</t>
  </si>
  <si>
    <t>INE075A01022</t>
  </si>
  <si>
    <t>Benchmark Risk-O-Meter</t>
  </si>
  <si>
    <t>Benchmark Name - NIFTY 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</si>
  <si>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</si>
  <si>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</si>
  <si>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</si>
  <si>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</si>
  <si>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</si>
  <si>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</si>
  <si>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</si>
  <si>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(4) There was no distribution (of income and capital) during the month ended May 31, 2026.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</si>
  <si>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</si>
  <si>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</si>
  <si>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</si>
  <si>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(5) Total outstanding exposure in derivative instruments as on May 31, 2026 is Rs. Nil.</t>
  </si>
  <si>
    <t>(7) During the period, the portfolio turnover ratio is 0.12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</si>
</sst>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166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87</xdr:row>
      <xdr:rowOff>9525</xdr:rowOff>
    </xdr:from>
    <xdr:to>
      <xdr:col>2</xdr:col>
      <xdr:colOff>827794</xdr:colOff>
      <xdr:row>101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D34A3-004A-405B-9E66-437A25138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11255375"/>
          <a:ext cx="4043363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104</xdr:row>
      <xdr:rowOff>9524</xdr:rowOff>
    </xdr:from>
    <xdr:to>
      <xdr:col>2</xdr:col>
      <xdr:colOff>942094</xdr:colOff>
      <xdr:row>120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A8BAD-A9E0-42D0-AA2D-EFED0D62C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3427074"/>
          <a:ext cx="4014788" cy="2035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40F7-2D86-4ACC-9536-4D8E09BCA3E8}">
  <dimension ref="A1:I121"/>
  <sheetViews>
    <sheetView tabSelected="1"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453125" style="8" bestFit="1" customWidth="1"/>
    <col min="4" max="4" width="23.36328125" style="8" bestFit="1" customWidth="1"/>
    <col min="5" max="5" width="13.90625" style="9" bestFit="1" customWidth="1"/>
    <col min="6" max="6" width="12.7265625" style="11" bestFit="1" customWidth="1"/>
    <col min="7" max="7" width="6.7265625" style="15" bestFit="1" customWidth="1"/>
    <col min="8" max="8" width="11.81640625" style="8" bestFit="1" customWidth="1"/>
    <col min="9" max="16384" width="9.08984375" style="8"/>
  </cols>
  <sheetData>
    <row r="1" spans="1:9" s="1" customFormat="1" ht="16.75" customHeight="1" x14ac:dyDescent="0.35">
      <c r="B1" s="62" t="s">
        <v>7</v>
      </c>
      <c r="C1" s="63"/>
      <c r="D1" s="13"/>
      <c r="E1" s="6"/>
      <c r="F1" s="7"/>
      <c r="G1" s="15"/>
    </row>
    <row r="2" spans="1:9" s="1" customFormat="1" ht="14.5" x14ac:dyDescent="0.35">
      <c r="A2" s="50" t="s">
        <v>147</v>
      </c>
      <c r="E2" s="6"/>
      <c r="F2" s="7"/>
      <c r="G2" s="15"/>
    </row>
    <row r="3" spans="1:9" s="1" customFormat="1" ht="11.5" x14ac:dyDescent="0.25">
      <c r="B3" s="10" t="s">
        <v>6</v>
      </c>
      <c r="C3" s="2"/>
      <c r="D3" s="3"/>
      <c r="E3" s="4"/>
      <c r="F3" s="5"/>
      <c r="G3" s="15"/>
    </row>
    <row r="4" spans="1:9" s="1" customFormat="1" ht="25.5" customHeight="1" x14ac:dyDescent="0.25">
      <c r="B4" s="19" t="s">
        <v>4</v>
      </c>
      <c r="C4" s="19" t="s">
        <v>5</v>
      </c>
      <c r="D4" s="20" t="s">
        <v>101</v>
      </c>
      <c r="E4" s="21" t="s">
        <v>0</v>
      </c>
      <c r="F4" s="22" t="s">
        <v>1</v>
      </c>
      <c r="G4" s="23" t="s">
        <v>2</v>
      </c>
      <c r="H4" s="22" t="s">
        <v>3</v>
      </c>
      <c r="I4" s="12"/>
    </row>
    <row r="5" spans="1:9" ht="10.5" x14ac:dyDescent="0.25">
      <c r="B5" s="24" t="s">
        <v>8</v>
      </c>
      <c r="C5" s="25"/>
      <c r="D5" s="25"/>
      <c r="E5" s="26"/>
      <c r="F5" s="27"/>
      <c r="G5" s="28"/>
      <c r="H5" s="25"/>
    </row>
    <row r="6" spans="1:9" ht="10.5" x14ac:dyDescent="0.25">
      <c r="B6" s="24" t="s">
        <v>9</v>
      </c>
      <c r="C6" s="25"/>
      <c r="D6" s="25"/>
      <c r="E6" s="26"/>
      <c r="F6" s="27"/>
      <c r="G6" s="28"/>
      <c r="H6" s="25"/>
    </row>
    <row r="7" spans="1:9" x14ac:dyDescent="0.2">
      <c r="B7" s="25" t="s">
        <v>10</v>
      </c>
      <c r="C7" s="25" t="s">
        <v>11</v>
      </c>
      <c r="D7" s="25" t="s">
        <v>12</v>
      </c>
      <c r="E7" s="29">
        <v>349115</v>
      </c>
      <c r="F7" s="27">
        <v>2599.3357325000002</v>
      </c>
      <c r="G7" s="28">
        <v>10.536123280187599</v>
      </c>
      <c r="H7" s="30"/>
    </row>
    <row r="8" spans="1:9" x14ac:dyDescent="0.2">
      <c r="B8" s="25" t="s">
        <v>13</v>
      </c>
      <c r="C8" s="25" t="s">
        <v>14</v>
      </c>
      <c r="D8" s="25" t="s">
        <v>12</v>
      </c>
      <c r="E8" s="29">
        <v>163083</v>
      </c>
      <c r="F8" s="27">
        <v>2048.9748119999999</v>
      </c>
      <c r="G8" s="28">
        <v>8.3052954442587392</v>
      </c>
      <c r="H8" s="30"/>
    </row>
    <row r="9" spans="1:9" x14ac:dyDescent="0.2">
      <c r="B9" s="25" t="s">
        <v>18</v>
      </c>
      <c r="C9" s="25" t="s">
        <v>19</v>
      </c>
      <c r="D9" s="25" t="s">
        <v>20</v>
      </c>
      <c r="E9" s="29">
        <v>154076</v>
      </c>
      <c r="F9" s="27">
        <v>2035.652112</v>
      </c>
      <c r="G9" s="28">
        <v>8.2512933360008898</v>
      </c>
      <c r="H9" s="30"/>
    </row>
    <row r="10" spans="1:9" x14ac:dyDescent="0.2">
      <c r="B10" s="25" t="s">
        <v>15</v>
      </c>
      <c r="C10" s="25" t="s">
        <v>16</v>
      </c>
      <c r="D10" s="25" t="s">
        <v>17</v>
      </c>
      <c r="E10" s="29">
        <v>70017</v>
      </c>
      <c r="F10" s="27">
        <v>1280.6109300000001</v>
      </c>
      <c r="G10" s="28">
        <v>5.19081643195765</v>
      </c>
      <c r="H10" s="30"/>
    </row>
    <row r="11" spans="1:9" x14ac:dyDescent="0.2">
      <c r="B11" s="25" t="s">
        <v>29</v>
      </c>
      <c r="C11" s="25" t="s">
        <v>30</v>
      </c>
      <c r="D11" s="25" t="s">
        <v>31</v>
      </c>
      <c r="E11" s="29">
        <v>26783</v>
      </c>
      <c r="F11" s="27">
        <v>1091.8089950000001</v>
      </c>
      <c r="G11" s="28">
        <v>4.4255284247848596</v>
      </c>
      <c r="H11" s="30"/>
    </row>
    <row r="12" spans="1:9" x14ac:dyDescent="0.2">
      <c r="B12" s="25" t="s">
        <v>26</v>
      </c>
      <c r="C12" s="25" t="s">
        <v>27</v>
      </c>
      <c r="D12" s="25" t="s">
        <v>28</v>
      </c>
      <c r="E12" s="29">
        <v>79979</v>
      </c>
      <c r="F12" s="27">
        <v>928.47621100000003</v>
      </c>
      <c r="G12" s="28">
        <v>3.7634768373721301</v>
      </c>
      <c r="H12" s="30"/>
    </row>
    <row r="13" spans="1:9" x14ac:dyDescent="0.2">
      <c r="B13" s="25" t="s">
        <v>24</v>
      </c>
      <c r="C13" s="25" t="s">
        <v>25</v>
      </c>
      <c r="D13" s="25" t="s">
        <v>12</v>
      </c>
      <c r="E13" s="29">
        <v>94661</v>
      </c>
      <c r="F13" s="27">
        <v>912.91068399999995</v>
      </c>
      <c r="G13" s="28">
        <v>3.70038367501432</v>
      </c>
      <c r="H13" s="30"/>
    </row>
    <row r="14" spans="1:9" x14ac:dyDescent="0.2">
      <c r="B14" s="25" t="s">
        <v>52</v>
      </c>
      <c r="C14" s="25" t="s">
        <v>53</v>
      </c>
      <c r="D14" s="25" t="s">
        <v>12</v>
      </c>
      <c r="E14" s="29">
        <v>65451</v>
      </c>
      <c r="F14" s="27">
        <v>842.09256600000003</v>
      </c>
      <c r="G14" s="28">
        <v>3.4133301742334701</v>
      </c>
      <c r="H14" s="30"/>
    </row>
    <row r="15" spans="1:9" x14ac:dyDescent="0.2">
      <c r="B15" s="25" t="s">
        <v>57</v>
      </c>
      <c r="C15" s="25" t="s">
        <v>58</v>
      </c>
      <c r="D15" s="25" t="s">
        <v>12</v>
      </c>
      <c r="E15" s="29">
        <v>167938</v>
      </c>
      <c r="F15" s="27">
        <v>645.21779600000002</v>
      </c>
      <c r="G15" s="28">
        <v>2.6153198127617898</v>
      </c>
      <c r="H15" s="30"/>
    </row>
    <row r="16" spans="1:9" x14ac:dyDescent="0.2">
      <c r="B16" s="25" t="s">
        <v>43</v>
      </c>
      <c r="C16" s="25" t="s">
        <v>44</v>
      </c>
      <c r="D16" s="25" t="s">
        <v>45</v>
      </c>
      <c r="E16" s="29">
        <v>219864</v>
      </c>
      <c r="F16" s="27">
        <v>630.78981599999997</v>
      </c>
      <c r="G16" s="28">
        <v>2.5568375728327899</v>
      </c>
      <c r="H16" s="30"/>
    </row>
    <row r="17" spans="2:8" x14ac:dyDescent="0.2">
      <c r="B17" s="25" t="s">
        <v>21</v>
      </c>
      <c r="C17" s="25" t="s">
        <v>22</v>
      </c>
      <c r="D17" s="25" t="s">
        <v>23</v>
      </c>
      <c r="E17" s="29">
        <v>20384</v>
      </c>
      <c r="F17" s="27">
        <v>620.81510400000002</v>
      </c>
      <c r="G17" s="28">
        <v>2.51640616799257</v>
      </c>
      <c r="H17" s="30"/>
    </row>
    <row r="18" spans="2:8" x14ac:dyDescent="0.2">
      <c r="B18" s="25" t="s">
        <v>75</v>
      </c>
      <c r="C18" s="25" t="s">
        <v>76</v>
      </c>
      <c r="D18" s="25" t="s">
        <v>77</v>
      </c>
      <c r="E18" s="29">
        <v>61024</v>
      </c>
      <c r="F18" s="27">
        <v>554.25048000000004</v>
      </c>
      <c r="G18" s="28">
        <v>2.2465937402271101</v>
      </c>
      <c r="H18" s="30"/>
    </row>
    <row r="19" spans="2:8" x14ac:dyDescent="0.2">
      <c r="B19" s="25" t="s">
        <v>38</v>
      </c>
      <c r="C19" s="25" t="s">
        <v>39</v>
      </c>
      <c r="D19" s="25" t="s">
        <v>28</v>
      </c>
      <c r="E19" s="29">
        <v>23294</v>
      </c>
      <c r="F19" s="27">
        <v>526.18816600000002</v>
      </c>
      <c r="G19" s="28">
        <v>2.1328462176833498</v>
      </c>
      <c r="H19" s="30"/>
    </row>
    <row r="20" spans="2:8" x14ac:dyDescent="0.2">
      <c r="B20" s="25" t="s">
        <v>104</v>
      </c>
      <c r="C20" s="25" t="s">
        <v>105</v>
      </c>
      <c r="D20" s="25" t="s">
        <v>45</v>
      </c>
      <c r="E20" s="29">
        <v>20243</v>
      </c>
      <c r="F20" s="27">
        <v>435.93300499999998</v>
      </c>
      <c r="G20" s="28">
        <v>1.7670067876015101</v>
      </c>
      <c r="H20" s="30"/>
    </row>
    <row r="21" spans="2:8" x14ac:dyDescent="0.2">
      <c r="B21" s="25" t="s">
        <v>54</v>
      </c>
      <c r="C21" s="25" t="s">
        <v>55</v>
      </c>
      <c r="D21" s="25" t="s">
        <v>56</v>
      </c>
      <c r="E21" s="29">
        <v>24153</v>
      </c>
      <c r="F21" s="27">
        <v>434.56077599999998</v>
      </c>
      <c r="G21" s="28">
        <v>1.7614446073368</v>
      </c>
      <c r="H21" s="30"/>
    </row>
    <row r="22" spans="2:8" x14ac:dyDescent="0.2">
      <c r="B22" s="25" t="s">
        <v>32</v>
      </c>
      <c r="C22" s="25" t="s">
        <v>33</v>
      </c>
      <c r="D22" s="25" t="s">
        <v>34</v>
      </c>
      <c r="E22" s="29">
        <v>108145</v>
      </c>
      <c r="F22" s="27">
        <v>418.413005</v>
      </c>
      <c r="G22" s="28">
        <v>1.69599138256518</v>
      </c>
      <c r="H22" s="30"/>
    </row>
    <row r="23" spans="2:8" x14ac:dyDescent="0.2">
      <c r="B23" s="25" t="s">
        <v>61</v>
      </c>
      <c r="C23" s="25" t="s">
        <v>62</v>
      </c>
      <c r="D23" s="25" t="s">
        <v>63</v>
      </c>
      <c r="E23" s="29">
        <v>164318</v>
      </c>
      <c r="F23" s="27">
        <v>411.74804440000003</v>
      </c>
      <c r="G23" s="28">
        <v>1.6689756932638</v>
      </c>
      <c r="H23" s="30"/>
    </row>
    <row r="24" spans="2:8" x14ac:dyDescent="0.2">
      <c r="B24" s="25" t="s">
        <v>88</v>
      </c>
      <c r="C24" s="25" t="s">
        <v>89</v>
      </c>
      <c r="D24" s="25" t="s">
        <v>23</v>
      </c>
      <c r="E24" s="29">
        <v>2993</v>
      </c>
      <c r="F24" s="27">
        <v>392.89111000000003</v>
      </c>
      <c r="G24" s="28">
        <v>1.5925411707661099</v>
      </c>
      <c r="H24" s="30"/>
    </row>
    <row r="25" spans="2:8" x14ac:dyDescent="0.2">
      <c r="B25" s="25" t="s">
        <v>40</v>
      </c>
      <c r="C25" s="25" t="s">
        <v>41</v>
      </c>
      <c r="D25" s="25" t="s">
        <v>42</v>
      </c>
      <c r="E25" s="29">
        <v>188543</v>
      </c>
      <c r="F25" s="27">
        <v>392.20714859999998</v>
      </c>
      <c r="G25" s="28">
        <v>1.58976880798928</v>
      </c>
      <c r="H25" s="30"/>
    </row>
    <row r="26" spans="2:8" x14ac:dyDescent="0.2">
      <c r="B26" s="25" t="s">
        <v>64</v>
      </c>
      <c r="C26" s="25" t="s">
        <v>65</v>
      </c>
      <c r="D26" s="25" t="s">
        <v>66</v>
      </c>
      <c r="E26" s="29">
        <v>9413</v>
      </c>
      <c r="F26" s="27">
        <v>383.57033699999999</v>
      </c>
      <c r="G26" s="28">
        <v>1.55476043618583</v>
      </c>
      <c r="H26" s="30"/>
    </row>
    <row r="27" spans="2:8" x14ac:dyDescent="0.2">
      <c r="B27" s="25" t="s">
        <v>106</v>
      </c>
      <c r="C27" s="25" t="s">
        <v>107</v>
      </c>
      <c r="D27" s="25" t="s">
        <v>78</v>
      </c>
      <c r="E27" s="29">
        <v>33018</v>
      </c>
      <c r="F27" s="27">
        <v>372.01380599999999</v>
      </c>
      <c r="G27" s="28">
        <v>1.50791730092442</v>
      </c>
      <c r="H27" s="30"/>
    </row>
    <row r="28" spans="2:8" x14ac:dyDescent="0.2">
      <c r="B28" s="25" t="s">
        <v>108</v>
      </c>
      <c r="C28" s="25" t="s">
        <v>109</v>
      </c>
      <c r="D28" s="25" t="s">
        <v>110</v>
      </c>
      <c r="E28" s="29">
        <v>81704</v>
      </c>
      <c r="F28" s="27">
        <v>335.59917999999999</v>
      </c>
      <c r="G28" s="28">
        <v>1.3603145946095501</v>
      </c>
      <c r="H28" s="30"/>
    </row>
    <row r="29" spans="2:8" x14ac:dyDescent="0.2">
      <c r="B29" s="25" t="s">
        <v>49</v>
      </c>
      <c r="C29" s="25" t="s">
        <v>50</v>
      </c>
      <c r="D29" s="25" t="s">
        <v>51</v>
      </c>
      <c r="E29" s="29">
        <v>2701</v>
      </c>
      <c r="F29" s="27">
        <v>310.12882000000002</v>
      </c>
      <c r="G29" s="28">
        <v>1.2570732743001301</v>
      </c>
      <c r="H29" s="30"/>
    </row>
    <row r="30" spans="2:8" x14ac:dyDescent="0.2">
      <c r="B30" s="25" t="s">
        <v>111</v>
      </c>
      <c r="C30" s="25" t="s">
        <v>112</v>
      </c>
      <c r="D30" s="25" t="s">
        <v>113</v>
      </c>
      <c r="E30" s="29">
        <v>16829</v>
      </c>
      <c r="F30" s="27">
        <v>303.69613399999997</v>
      </c>
      <c r="G30" s="28">
        <v>1.2309990847018699</v>
      </c>
      <c r="H30" s="30"/>
    </row>
    <row r="31" spans="2:8" x14ac:dyDescent="0.2">
      <c r="B31" s="25" t="s">
        <v>90</v>
      </c>
      <c r="C31" s="25" t="s">
        <v>91</v>
      </c>
      <c r="D31" s="25" t="s">
        <v>77</v>
      </c>
      <c r="E31" s="29">
        <v>31945</v>
      </c>
      <c r="F31" s="27">
        <v>302.56706750000001</v>
      </c>
      <c r="G31" s="28">
        <v>1.2264225370528701</v>
      </c>
      <c r="H31" s="30"/>
    </row>
    <row r="32" spans="2:8" x14ac:dyDescent="0.2">
      <c r="B32" s="25" t="s">
        <v>81</v>
      </c>
      <c r="C32" s="25" t="s">
        <v>82</v>
      </c>
      <c r="D32" s="25" t="s">
        <v>34</v>
      </c>
      <c r="E32" s="29">
        <v>103314</v>
      </c>
      <c r="F32" s="27">
        <v>300.17882700000001</v>
      </c>
      <c r="G32" s="28">
        <v>1.2167420652245799</v>
      </c>
      <c r="H32" s="30"/>
    </row>
    <row r="33" spans="2:8" x14ac:dyDescent="0.2">
      <c r="B33" s="25" t="s">
        <v>114</v>
      </c>
      <c r="C33" s="25" t="s">
        <v>115</v>
      </c>
      <c r="D33" s="25" t="s">
        <v>28</v>
      </c>
      <c r="E33" s="29">
        <v>24072</v>
      </c>
      <c r="F33" s="27">
        <v>284.964336</v>
      </c>
      <c r="G33" s="28">
        <v>1.1550717889239801</v>
      </c>
      <c r="H33" s="30"/>
    </row>
    <row r="34" spans="2:8" x14ac:dyDescent="0.2">
      <c r="B34" s="25" t="s">
        <v>79</v>
      </c>
      <c r="C34" s="25" t="s">
        <v>80</v>
      </c>
      <c r="D34" s="25" t="s">
        <v>66</v>
      </c>
      <c r="E34" s="29">
        <v>10314</v>
      </c>
      <c r="F34" s="27">
        <v>275.54882400000002</v>
      </c>
      <c r="G34" s="28">
        <v>1.11690704016231</v>
      </c>
      <c r="H34" s="30"/>
    </row>
    <row r="35" spans="2:8" x14ac:dyDescent="0.2">
      <c r="B35" s="25" t="s">
        <v>59</v>
      </c>
      <c r="C35" s="25" t="s">
        <v>60</v>
      </c>
      <c r="D35" s="25" t="s">
        <v>42</v>
      </c>
      <c r="E35" s="29">
        <v>21388</v>
      </c>
      <c r="F35" s="27">
        <v>273.33864</v>
      </c>
      <c r="G35" s="28">
        <v>1.10794830089492</v>
      </c>
      <c r="H35" s="30"/>
    </row>
    <row r="36" spans="2:8" x14ac:dyDescent="0.2">
      <c r="B36" s="25" t="s">
        <v>116</v>
      </c>
      <c r="C36" s="25" t="s">
        <v>117</v>
      </c>
      <c r="D36" s="25" t="s">
        <v>51</v>
      </c>
      <c r="E36" s="29">
        <v>8684</v>
      </c>
      <c r="F36" s="27">
        <v>271.14921600000002</v>
      </c>
      <c r="G36" s="28">
        <v>1.09907371001842</v>
      </c>
      <c r="H36" s="30"/>
    </row>
    <row r="37" spans="2:8" x14ac:dyDescent="0.2">
      <c r="B37" s="25" t="s">
        <v>118</v>
      </c>
      <c r="C37" s="25" t="s">
        <v>119</v>
      </c>
      <c r="D37" s="25" t="s">
        <v>23</v>
      </c>
      <c r="E37" s="29">
        <v>2528</v>
      </c>
      <c r="F37" s="27">
        <v>264.42880000000002</v>
      </c>
      <c r="G37" s="28">
        <v>1.0718332383144999</v>
      </c>
      <c r="H37" s="30"/>
    </row>
    <row r="38" spans="2:8" x14ac:dyDescent="0.2">
      <c r="B38" s="25" t="s">
        <v>120</v>
      </c>
      <c r="C38" s="25" t="s">
        <v>121</v>
      </c>
      <c r="D38" s="25" t="s">
        <v>122</v>
      </c>
      <c r="E38" s="29">
        <v>51791</v>
      </c>
      <c r="F38" s="27">
        <v>237.15098900000001</v>
      </c>
      <c r="G38" s="28">
        <v>0.96126561293382795</v>
      </c>
      <c r="H38" s="30"/>
    </row>
    <row r="39" spans="2:8" x14ac:dyDescent="0.2">
      <c r="B39" s="25" t="s">
        <v>67</v>
      </c>
      <c r="C39" s="25" t="s">
        <v>68</v>
      </c>
      <c r="D39" s="25" t="s">
        <v>69</v>
      </c>
      <c r="E39" s="29">
        <v>88612</v>
      </c>
      <c r="F39" s="27">
        <v>235.17624799999999</v>
      </c>
      <c r="G39" s="28">
        <v>0.95326121613263803</v>
      </c>
      <c r="H39" s="30"/>
    </row>
    <row r="40" spans="2:8" x14ac:dyDescent="0.2">
      <c r="B40" s="25" t="s">
        <v>123</v>
      </c>
      <c r="C40" s="25" t="s">
        <v>124</v>
      </c>
      <c r="D40" s="25" t="s">
        <v>77</v>
      </c>
      <c r="E40" s="29">
        <v>13166</v>
      </c>
      <c r="F40" s="27">
        <v>234.828776</v>
      </c>
      <c r="G40" s="28">
        <v>0.95185277635987597</v>
      </c>
      <c r="H40" s="30"/>
    </row>
    <row r="41" spans="2:8" x14ac:dyDescent="0.2">
      <c r="B41" s="25" t="s">
        <v>35</v>
      </c>
      <c r="C41" s="25" t="s">
        <v>36</v>
      </c>
      <c r="D41" s="25" t="s">
        <v>37</v>
      </c>
      <c r="E41" s="29">
        <v>16355</v>
      </c>
      <c r="F41" s="27">
        <v>232.48632499999999</v>
      </c>
      <c r="G41" s="28">
        <v>0.94235790726497004</v>
      </c>
      <c r="H41" s="30"/>
    </row>
    <row r="42" spans="2:8" x14ac:dyDescent="0.2">
      <c r="B42" s="25" t="s">
        <v>46</v>
      </c>
      <c r="C42" s="25" t="s">
        <v>47</v>
      </c>
      <c r="D42" s="25" t="s">
        <v>48</v>
      </c>
      <c r="E42" s="29">
        <v>5160</v>
      </c>
      <c r="F42" s="27">
        <v>227.298</v>
      </c>
      <c r="G42" s="28">
        <v>0.92132759896958805</v>
      </c>
      <c r="H42" s="30"/>
    </row>
    <row r="43" spans="2:8" x14ac:dyDescent="0.2">
      <c r="B43" s="25" t="s">
        <v>92</v>
      </c>
      <c r="C43" s="25" t="s">
        <v>93</v>
      </c>
      <c r="D43" s="25" t="s">
        <v>23</v>
      </c>
      <c r="E43" s="29">
        <v>3139</v>
      </c>
      <c r="F43" s="27">
        <v>225.28603000000001</v>
      </c>
      <c r="G43" s="28">
        <v>0.91317229848608705</v>
      </c>
      <c r="H43" s="30"/>
    </row>
    <row r="44" spans="2:8" x14ac:dyDescent="0.2">
      <c r="B44" s="25" t="s">
        <v>73</v>
      </c>
      <c r="C44" s="25" t="s">
        <v>74</v>
      </c>
      <c r="D44" s="25" t="s">
        <v>28</v>
      </c>
      <c r="E44" s="29">
        <v>14482</v>
      </c>
      <c r="F44" s="27">
        <v>214.89839799999999</v>
      </c>
      <c r="G44" s="28">
        <v>0.87106716755867097</v>
      </c>
      <c r="H44" s="30"/>
    </row>
    <row r="45" spans="2:8" x14ac:dyDescent="0.2">
      <c r="B45" s="25" t="s">
        <v>125</v>
      </c>
      <c r="C45" s="25" t="s">
        <v>126</v>
      </c>
      <c r="D45" s="25" t="s">
        <v>63</v>
      </c>
      <c r="E45" s="29">
        <v>5061</v>
      </c>
      <c r="F45" s="27">
        <v>213.77663999999999</v>
      </c>
      <c r="G45" s="28">
        <v>0.86652024411559203</v>
      </c>
      <c r="H45" s="30"/>
    </row>
    <row r="46" spans="2:8" x14ac:dyDescent="0.2">
      <c r="B46" s="25" t="s">
        <v>85</v>
      </c>
      <c r="C46" s="25" t="s">
        <v>86</v>
      </c>
      <c r="D46" s="25" t="s">
        <v>87</v>
      </c>
      <c r="E46" s="29">
        <v>6537</v>
      </c>
      <c r="F46" s="27">
        <v>192.01783800000001</v>
      </c>
      <c r="G46" s="28">
        <v>0.77832331848001901</v>
      </c>
      <c r="H46" s="30"/>
    </row>
    <row r="47" spans="2:8" x14ac:dyDescent="0.2">
      <c r="B47" s="25" t="s">
        <v>127</v>
      </c>
      <c r="C47" s="25" t="s">
        <v>128</v>
      </c>
      <c r="D47" s="25" t="s">
        <v>129</v>
      </c>
      <c r="E47" s="29">
        <v>2347</v>
      </c>
      <c r="F47" s="27">
        <v>191.902455</v>
      </c>
      <c r="G47" s="28">
        <v>0.77785562610106296</v>
      </c>
      <c r="H47" s="30"/>
    </row>
    <row r="48" spans="2:8" x14ac:dyDescent="0.2">
      <c r="B48" s="25" t="s">
        <v>130</v>
      </c>
      <c r="C48" s="25" t="s">
        <v>131</v>
      </c>
      <c r="D48" s="25" t="s">
        <v>23</v>
      </c>
      <c r="E48" s="29">
        <v>47775</v>
      </c>
      <c r="F48" s="27">
        <v>188.18572499999999</v>
      </c>
      <c r="G48" s="28">
        <v>0.76279026729052202</v>
      </c>
      <c r="H48" s="30"/>
    </row>
    <row r="49" spans="2:9" x14ac:dyDescent="0.2">
      <c r="B49" s="25" t="s">
        <v>70</v>
      </c>
      <c r="C49" s="25" t="s">
        <v>71</v>
      </c>
      <c r="D49" s="25" t="s">
        <v>72</v>
      </c>
      <c r="E49" s="29">
        <v>10245</v>
      </c>
      <c r="F49" s="27">
        <v>187.49374499999999</v>
      </c>
      <c r="G49" s="28">
        <v>0.75998540199502895</v>
      </c>
      <c r="H49" s="30"/>
    </row>
    <row r="50" spans="2:9" x14ac:dyDescent="0.2">
      <c r="B50" s="25" t="s">
        <v>83</v>
      </c>
      <c r="C50" s="25" t="s">
        <v>84</v>
      </c>
      <c r="D50" s="25" t="s">
        <v>56</v>
      </c>
      <c r="E50" s="29">
        <v>13901</v>
      </c>
      <c r="F50" s="27">
        <v>181.199535</v>
      </c>
      <c r="G50" s="28">
        <v>0.73447250972712397</v>
      </c>
      <c r="H50" s="30"/>
    </row>
    <row r="51" spans="2:9" x14ac:dyDescent="0.2">
      <c r="B51" s="25" t="s">
        <v>132</v>
      </c>
      <c r="C51" s="25" t="s">
        <v>133</v>
      </c>
      <c r="D51" s="25" t="s">
        <v>56</v>
      </c>
      <c r="E51" s="29">
        <v>12834</v>
      </c>
      <c r="F51" s="27">
        <v>179.80434</v>
      </c>
      <c r="G51" s="28">
        <v>0.72881723929164099</v>
      </c>
      <c r="H51" s="30"/>
    </row>
    <row r="52" spans="2:9" x14ac:dyDescent="0.2">
      <c r="B52" s="25" t="s">
        <v>134</v>
      </c>
      <c r="C52" s="25" t="s">
        <v>135</v>
      </c>
      <c r="D52" s="25" t="s">
        <v>77</v>
      </c>
      <c r="E52" s="29">
        <v>74811</v>
      </c>
      <c r="F52" s="27">
        <v>178.7608845</v>
      </c>
      <c r="G52" s="28">
        <v>0.72458770647372495</v>
      </c>
      <c r="H52" s="30"/>
    </row>
    <row r="53" spans="2:9" x14ac:dyDescent="0.2">
      <c r="B53" s="25" t="s">
        <v>136</v>
      </c>
      <c r="C53" s="25" t="s">
        <v>137</v>
      </c>
      <c r="D53" s="25" t="s">
        <v>138</v>
      </c>
      <c r="E53" s="29">
        <v>14853</v>
      </c>
      <c r="F53" s="27">
        <v>175.02775199999999</v>
      </c>
      <c r="G53" s="28">
        <v>0.70945586192225396</v>
      </c>
      <c r="H53" s="30"/>
    </row>
    <row r="54" spans="2:9" x14ac:dyDescent="0.2">
      <c r="B54" s="25" t="s">
        <v>139</v>
      </c>
      <c r="C54" s="25" t="s">
        <v>140</v>
      </c>
      <c r="D54" s="25" t="s">
        <v>129</v>
      </c>
      <c r="E54" s="29">
        <v>16973</v>
      </c>
      <c r="F54" s="27">
        <v>163.806423</v>
      </c>
      <c r="G54" s="28">
        <v>0.66397143132973702</v>
      </c>
      <c r="H54" s="30"/>
    </row>
    <row r="55" spans="2:9" x14ac:dyDescent="0.2">
      <c r="B55" s="25" t="s">
        <v>141</v>
      </c>
      <c r="C55" s="25" t="s">
        <v>142</v>
      </c>
      <c r="D55" s="25" t="s">
        <v>72</v>
      </c>
      <c r="E55" s="29">
        <v>24530</v>
      </c>
      <c r="F55" s="27">
        <v>145.90443999999999</v>
      </c>
      <c r="G55" s="28">
        <v>0.59140769995425502</v>
      </c>
      <c r="H55" s="30"/>
    </row>
    <row r="56" spans="2:9" x14ac:dyDescent="0.2">
      <c r="B56" s="25" t="s">
        <v>143</v>
      </c>
      <c r="C56" s="25" t="s">
        <v>144</v>
      </c>
      <c r="D56" s="25" t="s">
        <v>28</v>
      </c>
      <c r="E56" s="29">
        <v>65190</v>
      </c>
      <c r="F56" s="27">
        <v>133.150575</v>
      </c>
      <c r="G56" s="28">
        <v>0.53971130219434404</v>
      </c>
      <c r="H56" s="30"/>
    </row>
    <row r="57" spans="2:9" ht="10.5" x14ac:dyDescent="0.25">
      <c r="B57" s="24" t="s">
        <v>94</v>
      </c>
      <c r="C57" s="24"/>
      <c r="D57" s="24"/>
      <c r="E57" s="31"/>
      <c r="F57" s="32">
        <f>SUM(F7:F56)</f>
        <v>24618.215599500007</v>
      </c>
      <c r="G57" s="33">
        <f>SUM(G7:G56)</f>
        <v>99.787246122724255</v>
      </c>
      <c r="H57" s="24"/>
      <c r="I57" s="16"/>
    </row>
    <row r="58" spans="2:9" ht="10.5" x14ac:dyDescent="0.25">
      <c r="B58" s="24" t="s">
        <v>95</v>
      </c>
      <c r="C58" s="24"/>
      <c r="D58" s="24"/>
      <c r="E58" s="31"/>
      <c r="F58" s="34" t="s">
        <v>96</v>
      </c>
      <c r="G58" s="35" t="s">
        <v>96</v>
      </c>
      <c r="H58" s="24"/>
      <c r="I58" s="16"/>
    </row>
    <row r="59" spans="2:9" ht="10.5" x14ac:dyDescent="0.25">
      <c r="B59" s="24" t="s">
        <v>94</v>
      </c>
      <c r="C59" s="24"/>
      <c r="D59" s="24"/>
      <c r="E59" s="31"/>
      <c r="F59" s="36" t="s">
        <v>96</v>
      </c>
      <c r="G59" s="37" t="s">
        <v>96</v>
      </c>
      <c r="H59" s="24"/>
      <c r="I59" s="16"/>
    </row>
    <row r="60" spans="2:9" ht="10.5" x14ac:dyDescent="0.25">
      <c r="B60" s="38" t="s">
        <v>97</v>
      </c>
      <c r="C60" s="38"/>
      <c r="D60" s="38"/>
      <c r="E60" s="39"/>
      <c r="F60" s="40">
        <f>F57</f>
        <v>24618.215599500007</v>
      </c>
      <c r="G60" s="41">
        <f>G57</f>
        <v>99.787246122724255</v>
      </c>
      <c r="H60" s="24"/>
      <c r="I60" s="16"/>
    </row>
    <row r="61" spans="2:9" ht="10.5" x14ac:dyDescent="0.25">
      <c r="B61" s="24" t="s">
        <v>98</v>
      </c>
      <c r="C61" s="24"/>
      <c r="D61" s="24"/>
      <c r="E61" s="31"/>
      <c r="F61" s="32">
        <v>95.643816700000002</v>
      </c>
      <c r="G61" s="33">
        <v>0.387681756973217</v>
      </c>
      <c r="H61" s="30">
        <v>5.3499999999999999E-2</v>
      </c>
      <c r="I61" s="17"/>
    </row>
    <row r="62" spans="2:9" x14ac:dyDescent="0.2">
      <c r="B62" s="25"/>
      <c r="C62" s="25"/>
      <c r="D62" s="25"/>
      <c r="E62" s="26"/>
      <c r="F62" s="27"/>
      <c r="G62" s="28"/>
      <c r="H62" s="25"/>
    </row>
    <row r="63" spans="2:9" ht="10.5" x14ac:dyDescent="0.25">
      <c r="B63" s="47" t="s">
        <v>100</v>
      </c>
      <c r="C63" s="47"/>
      <c r="D63" s="47"/>
      <c r="E63" s="48"/>
      <c r="F63" s="32">
        <f>F64-(F57+F61)</f>
        <v>-43.155938500007323</v>
      </c>
      <c r="G63" s="33">
        <f>G64-(G57+G61)</f>
        <v>-0.17492787969747781</v>
      </c>
      <c r="H63" s="24"/>
      <c r="I63" s="16"/>
    </row>
    <row r="64" spans="2:9" ht="10.5" x14ac:dyDescent="0.25">
      <c r="B64" s="42" t="s">
        <v>99</v>
      </c>
      <c r="C64" s="42"/>
      <c r="D64" s="42"/>
      <c r="E64" s="43"/>
      <c r="F64" s="44">
        <v>24670.703477700001</v>
      </c>
      <c r="G64" s="45">
        <v>100</v>
      </c>
      <c r="H64" s="46"/>
      <c r="I64" s="16"/>
    </row>
    <row r="66" spans="2:4" ht="10.5" x14ac:dyDescent="0.25">
      <c r="B66" s="16"/>
    </row>
    <row r="67" spans="2:4" ht="10.5" x14ac:dyDescent="0.25">
      <c r="B67" s="16"/>
    </row>
    <row r="69" spans="2:4" ht="10.5" x14ac:dyDescent="0.2">
      <c r="B69" s="52" t="s">
        <v>102</v>
      </c>
    </row>
    <row r="70" spans="2:4" ht="10.5" x14ac:dyDescent="0.2">
      <c r="B70" s="52"/>
    </row>
    <row r="71" spans="2:4" x14ac:dyDescent="0.2">
      <c r="B71" s="54" t="s">
        <v>148</v>
      </c>
    </row>
    <row r="72" spans="2:4" x14ac:dyDescent="0.2">
      <c r="B72" s="54" t="s">
        <v>152</v>
      </c>
    </row>
    <row r="73" spans="2:4" x14ac:dyDescent="0.2">
      <c r="B73" s="54" t="s">
        <v>153</v>
      </c>
    </row>
    <row r="74" spans="2:4" ht="10.5" x14ac:dyDescent="0.2">
      <c r="B74" s="52"/>
    </row>
    <row r="75" spans="2:4" ht="10.5" x14ac:dyDescent="0.2">
      <c r="B75" s="56" t="s">
        <v>149</v>
      </c>
      <c r="C75" s="58" t="s">
        <v>150</v>
      </c>
      <c r="D75" s="59" t="s">
        <v>157</v>
      </c>
    </row>
    <row r="76" spans="2:4" x14ac:dyDescent="0.2">
      <c r="B76" s="55" t="s">
        <v>151</v>
      </c>
      <c r="C76" s="57">
        <v>9.6644000000000005</v>
      </c>
      <c r="D76" s="60">
        <v>9.4972999999999992</v>
      </c>
    </row>
    <row r="77" spans="2:4" ht="10.5" x14ac:dyDescent="0.2">
      <c r="B77" s="52"/>
    </row>
    <row r="78" spans="2:4" x14ac:dyDescent="0.2">
      <c r="B78" s="54" t="s">
        <v>154</v>
      </c>
    </row>
    <row r="79" spans="2:4" x14ac:dyDescent="0.2">
      <c r="B79" s="54" t="s">
        <v>158</v>
      </c>
    </row>
    <row r="80" spans="2:4" x14ac:dyDescent="0.2">
      <c r="B80" s="54" t="s">
        <v>155</v>
      </c>
    </row>
    <row r="81" spans="2:7" ht="10.5" x14ac:dyDescent="0.25">
      <c r="B81" s="61" t="s">
        <v>159</v>
      </c>
      <c r="E81" s="18"/>
    </row>
    <row r="82" spans="2:7" x14ac:dyDescent="0.2">
      <c r="B82" s="54" t="s">
        <v>156</v>
      </c>
      <c r="E82" s="49"/>
    </row>
    <row r="86" spans="2:7" ht="10.5" x14ac:dyDescent="0.25">
      <c r="B86" s="16" t="s">
        <v>103</v>
      </c>
      <c r="E86" s="8"/>
      <c r="G86" s="51"/>
    </row>
    <row r="87" spans="2:7" x14ac:dyDescent="0.2">
      <c r="E87" s="8"/>
      <c r="G87" s="51"/>
    </row>
    <row r="88" spans="2:7" x14ac:dyDescent="0.2">
      <c r="E88" s="8"/>
      <c r="G88" s="51"/>
    </row>
    <row r="89" spans="2:7" x14ac:dyDescent="0.2">
      <c r="E89" s="8"/>
      <c r="G89" s="51"/>
    </row>
    <row r="90" spans="2:7" x14ac:dyDescent="0.2">
      <c r="E90" s="8"/>
      <c r="G90" s="51"/>
    </row>
    <row r="91" spans="2:7" x14ac:dyDescent="0.2">
      <c r="E91" s="8"/>
      <c r="G91" s="51"/>
    </row>
    <row r="92" spans="2:7" x14ac:dyDescent="0.2">
      <c r="E92" s="8"/>
      <c r="G92" s="51"/>
    </row>
    <row r="93" spans="2:7" x14ac:dyDescent="0.2">
      <c r="E93" s="8"/>
      <c r="G93" s="51"/>
    </row>
    <row r="94" spans="2:7" x14ac:dyDescent="0.2">
      <c r="E94" s="8"/>
      <c r="G94" s="51"/>
    </row>
    <row r="95" spans="2:7" x14ac:dyDescent="0.2">
      <c r="E95" s="8"/>
      <c r="G95" s="51"/>
    </row>
    <row r="96" spans="2:7" x14ac:dyDescent="0.2">
      <c r="E96" s="8"/>
      <c r="G96" s="51"/>
    </row>
    <row r="97" spans="2:7" x14ac:dyDescent="0.2">
      <c r="E97" s="8"/>
      <c r="G97" s="51"/>
    </row>
    <row r="98" spans="2:7" x14ac:dyDescent="0.2">
      <c r="E98" s="8"/>
      <c r="G98" s="51"/>
    </row>
    <row r="99" spans="2:7" x14ac:dyDescent="0.2">
      <c r="E99" s="8"/>
      <c r="G99" s="51"/>
    </row>
    <row r="100" spans="2:7" x14ac:dyDescent="0.2">
      <c r="E100" s="8"/>
      <c r="G100" s="51"/>
    </row>
    <row r="101" spans="2:7" x14ac:dyDescent="0.2">
      <c r="E101" s="8"/>
      <c r="G101" s="51"/>
    </row>
    <row r="102" spans="2:7" x14ac:dyDescent="0.2">
      <c r="E102" s="8"/>
      <c r="G102" s="51"/>
    </row>
    <row r="103" spans="2:7" ht="10.5" x14ac:dyDescent="0.2">
      <c r="B103" s="52" t="s">
        <v>145</v>
      </c>
      <c r="E103" s="8"/>
      <c r="G103" s="51"/>
    </row>
    <row r="104" spans="2:7" ht="10.5" x14ac:dyDescent="0.25">
      <c r="B104" s="53" t="s">
        <v>146</v>
      </c>
      <c r="E104" s="8"/>
      <c r="G104" s="51"/>
    </row>
    <row r="105" spans="2:7" x14ac:dyDescent="0.2">
      <c r="E105" s="8"/>
      <c r="G105" s="51"/>
    </row>
    <row r="106" spans="2:7" x14ac:dyDescent="0.2">
      <c r="E106" s="8"/>
      <c r="G106" s="51"/>
    </row>
    <row r="107" spans="2:7" x14ac:dyDescent="0.2">
      <c r="E107" s="8"/>
      <c r="G107" s="51"/>
    </row>
    <row r="108" spans="2:7" x14ac:dyDescent="0.2">
      <c r="E108" s="8"/>
      <c r="G108" s="51"/>
    </row>
    <row r="109" spans="2:7" x14ac:dyDescent="0.2">
      <c r="E109" s="8"/>
      <c r="G109" s="51"/>
    </row>
    <row r="110" spans="2:7" x14ac:dyDescent="0.2">
      <c r="E110" s="8"/>
      <c r="G110" s="51"/>
    </row>
    <row r="111" spans="2:7" x14ac:dyDescent="0.2">
      <c r="E111" s="8"/>
      <c r="G111" s="51"/>
    </row>
    <row r="112" spans="2:7" x14ac:dyDescent="0.2">
      <c r="E112" s="8"/>
      <c r="G112" s="51"/>
    </row>
    <row r="113" spans="5:8" x14ac:dyDescent="0.2">
      <c r="E113" s="8"/>
      <c r="G113" s="51"/>
    </row>
    <row r="114" spans="5:8" x14ac:dyDescent="0.2">
      <c r="E114" s="8"/>
      <c r="G114" s="51"/>
    </row>
    <row r="115" spans="5:8" x14ac:dyDescent="0.2">
      <c r="E115" s="8"/>
      <c r="G115" s="51"/>
    </row>
    <row r="116" spans="5:8" x14ac:dyDescent="0.2">
      <c r="E116" s="8"/>
      <c r="G116" s="51"/>
    </row>
    <row r="117" spans="5:8" x14ac:dyDescent="0.2">
      <c r="E117" s="8"/>
      <c r="G117" s="51"/>
    </row>
    <row r="118" spans="5:8" x14ac:dyDescent="0.2">
      <c r="E118" s="8"/>
      <c r="G118" s="51"/>
    </row>
    <row r="119" spans="5:8" x14ac:dyDescent="0.2">
      <c r="E119" s="8"/>
      <c r="G119" s="51"/>
    </row>
    <row r="120" spans="5:8" x14ac:dyDescent="0.2">
      <c r="E120" s="8"/>
      <c r="G120" s="51"/>
    </row>
    <row r="121" spans="5:8" x14ac:dyDescent="0.2">
      <c r="E121" s="8"/>
      <c r="G121" s="51"/>
      <c r="H121" s="14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120">
    <cfRule type="cellIs" dxfId="0" priority="1" stopIfTrue="1" operator="between">
      <formula>0.009</formula>
      <formula>-0.009</formula>
    </cfRule>
  </conditionalFormatting>
  <hyperlinks>
    <hyperlink ref="A2" location="Index!A1" display="-" xr:uid="{B01A3A1E-8F98-4892-8059-5EEC8F5D35FC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