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FAEAAA27-D2B3-4C6F-91D1-28FC57AFEEF3}" xr6:coauthVersionLast="47" xr6:coauthVersionMax="47" xr10:uidLastSave="{00000000-0000-0000-0000-000000000000}"/>
  <bookViews>
    <workbookView xWindow="1560" yWindow="1560" windowWidth="21600" windowHeight="11235" xr2:uid="{7291B499-DD8C-4F12-BA28-9EE7F24AB421}"/>
  </bookViews>
  <sheets>
    <sheet name="JBN8-13" sheetId="16" r:id="rId1"/>
  </sheets>
  <definedNames>
    <definedName name="_xlnm.Print_Area" localSheetId="0">'JBN8-13'!$B$1:$I$55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/>
  <c r="G13" i="16" s="1"/>
  <c r="F9" i="16"/>
  <c r="F13" i="16" s="1"/>
  <c r="A2" i="16"/>
</calcChain>
</file>

<file path=xl/sharedStrings.xml><?xml version="1.0" encoding="utf-8"?>
<sst xmlns="http://schemas.openxmlformats.org/spreadsheetml/2006/main" count="29" uniqueCount="27">
  <si>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</si>
  <si>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</si>
  <si>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</si>
  <si>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</si>
  <si>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</si>
  <si>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</si>
  <si>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</si>
  <si>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Nifty 8-13 yr G-Sec Index Fund</t>
  </si>
  <si>
    <t>Yield to Call ^</t>
  </si>
  <si>
    <t>Total</t>
  </si>
  <si>
    <t>Government Securities</t>
  </si>
  <si>
    <t>SOVEREIGN</t>
  </si>
  <si>
    <t>TREPS</t>
  </si>
  <si>
    <t>Grand Total</t>
  </si>
  <si>
    <t>Net Receivables / (Payables)</t>
  </si>
  <si>
    <t>Rating</t>
  </si>
  <si>
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</si>
  <si>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 xml:space="preserve">Scheme Risk-O-Meter </t>
  </si>
  <si>
    <t>6.33% GOI 2035 (05-MAY-2035)</t>
  </si>
  <si>
    <t>IN0020250026</t>
  </si>
  <si>
    <t>6.48% GOI 2035 (06-OCT-2035)</t>
  </si>
  <si>
    <t>IN0020250091</t>
  </si>
  <si>
    <t>6.79% GOI 2034 (07-OCT-2034)</t>
  </si>
  <si>
    <t>IN0020240126</t>
  </si>
  <si>
    <t>Benchmark Risk-O-Meter</t>
  </si>
  <si>
    <t>Benchmark Name - NIFTY 8-13 yr G-Sec</t>
  </si>
  <si>
    <t>Debt Index Replication Factor (DIRF) : 98.43%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</si>
</sst>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/>
    <xf numFmtId="0" fontId="5" fillId="2" borderId="1" xfId="0" applyFont="1" applyFill="1" applyBorder="1"/>
    <xf numFmtId="0" fontId="6" fillId="2" borderId="1" xfId="0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10" fontId="6" fillId="2" borderId="1" xfId="0" applyNumberFormat="1" applyFont="1" applyFill="1" applyBorder="1"/>
    <xf numFmtId="3" fontId="6" fillId="2" borderId="1" xfId="0" applyNumberFormat="1" applyFont="1" applyFill="1" applyBorder="1"/>
    <xf numFmtId="4" fontId="6" fillId="2" borderId="1" xfId="0" applyNumberFormat="1" applyFont="1" applyFill="1" applyBorder="1"/>
    <xf numFmtId="10" fontId="5" fillId="2" borderId="1" xfId="0" applyNumberFormat="1" applyFont="1" applyFill="1" applyBorder="1"/>
    <xf numFmtId="164" fontId="6" fillId="2" borderId="1" xfId="0" applyNumberFormat="1" applyFont="1" applyFill="1" applyBorder="1"/>
    <xf numFmtId="0" fontId="5" fillId="2" borderId="2" xfId="0" applyFont="1" applyFill="1" applyBorder="1"/>
    <xf numFmtId="39" fontId="5" fillId="2" borderId="2" xfId="0" applyNumberFormat="1" applyFont="1" applyFill="1" applyBorder="1"/>
    <xf numFmtId="39" fontId="5" fillId="3" borderId="2" xfId="0" applyNumberFormat="1" applyFont="1" applyFill="1" applyBorder="1"/>
    <xf numFmtId="10" fontId="5" fillId="2" borderId="3" xfId="0" applyNumberFormat="1" applyFont="1" applyFill="1" applyBorder="1"/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 wrapText="1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 wrapText="1"/>
    </xf>
    <xf numFmtId="39" fontId="5" fillId="0" borderId="2" xfId="0" applyNumberFormat="1" applyFont="1" applyBorder="1" applyAlignment="1">
      <alignment horizontal="center" vertical="center" wrapText="1"/>
    </xf>
    <xf numFmtId="10" fontId="5" fillId="0" borderId="2" xfId="0" applyNumberFormat="1" applyFont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5" fillId="2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638175</xdr:colOff>
      <xdr:row>21</xdr:row>
      <xdr:rowOff>95250</xdr:rowOff>
    </xdr:from>
    <xdr:to>
      <xdr:col>3</xdr:col>
      <xdr:colOff>368300</xdr:colOff>
      <xdr:row>36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5181C-50FA-4570-8553-68ADE393C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4425" y="3867150"/>
          <a:ext cx="3959225" cy="2124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533400</xdr:colOff>
      <xdr:row>40</xdr:row>
      <xdr:rowOff>114300</xdr:rowOff>
    </xdr:from>
    <xdr:to>
      <xdr:col>3</xdr:col>
      <xdr:colOff>415925</xdr:colOff>
      <xdr:row>54</xdr:row>
      <xdr:rowOff>57150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99DC4-69CB-4330-9012-D8780E332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9650" y="6600825"/>
          <a:ext cx="4111625" cy="1943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BF57-18CD-41A6-A443-E9E7D8F7676F}">
  <dimension ref="A1:K39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6" customWidth="1"/>
    <col min="2" max="2" width="52.5703125" style="6" bestFit="1" customWidth="1"/>
    <col min="3" max="3" width="10.85546875" style="6" bestFit="1" customWidth="1"/>
    <col min="4" max="5" width="13.85546875" style="6" bestFit="1" customWidth="1"/>
    <col min="6" max="6" width="12.7109375" style="8" bestFit="1" customWidth="1"/>
    <col min="7" max="7" width="10.140625" style="29" customWidth="1"/>
    <col min="8" max="8" width="11.85546875" style="11" bestFit="1" customWidth="1"/>
    <col min="9" max="9" width="11.7109375" style="11" customWidth="1"/>
    <col min="10" max="10" width="25.85546875" style="6" customWidth="1"/>
    <col min="11" max="16384" width="9.140625" style="6"/>
  </cols>
  <sheetData>
    <row r="1" spans="1:11" s="1" customFormat="1" ht="16.7" customHeight="1" x14ac:dyDescent="0.2">
      <c r="B1" s="37" t="s">
        <v>7</v>
      </c>
      <c r="C1" s="38"/>
      <c r="D1" s="10"/>
      <c r="F1" s="5"/>
      <c r="G1" s="29"/>
      <c r="H1" s="11"/>
      <c r="I1" s="12"/>
    </row>
    <row r="2" spans="1:11" s="1" customFormat="1" ht="15" x14ac:dyDescent="0.25">
      <c r="A2" s="28" t="str">
        <f>HYPERLINK("[Monthly-Portfolio-ISIN-31-Dec-2025.xlsx]index!A1","")</f>
        <v/>
      </c>
      <c r="F2" s="5"/>
      <c r="G2" s="29"/>
      <c r="H2" s="11"/>
      <c r="I2" s="12"/>
    </row>
    <row r="3" spans="1:11" s="1" customFormat="1" ht="12" x14ac:dyDescent="0.2">
      <c r="B3" s="7" t="s">
        <v>6</v>
      </c>
      <c r="C3" s="2"/>
      <c r="D3" s="3"/>
      <c r="E3" s="3"/>
      <c r="F3" s="4"/>
      <c r="G3" s="29"/>
      <c r="H3" s="11"/>
      <c r="I3" s="12"/>
    </row>
    <row r="4" spans="1:11" s="1" customFormat="1" ht="33.75" x14ac:dyDescent="0.2">
      <c r="B4" s="31" t="s">
        <v>4</v>
      </c>
      <c r="C4" s="31" t="s">
        <v>5</v>
      </c>
      <c r="D4" s="32" t="s">
        <v>15</v>
      </c>
      <c r="E4" s="32" t="s">
        <v>0</v>
      </c>
      <c r="F4" s="33" t="s">
        <v>1</v>
      </c>
      <c r="G4" s="34" t="s">
        <v>2</v>
      </c>
      <c r="H4" s="35" t="s">
        <v>3</v>
      </c>
      <c r="I4" s="35" t="s">
        <v>8</v>
      </c>
      <c r="J4" s="13"/>
      <c r="K4" s="9"/>
    </row>
    <row r="5" spans="1:11" x14ac:dyDescent="0.2">
      <c r="B5" s="15" t="s">
        <v>10</v>
      </c>
      <c r="C5" s="16"/>
      <c r="D5" s="16"/>
      <c r="E5" s="16"/>
      <c r="F5" s="17"/>
      <c r="G5" s="18"/>
      <c r="H5" s="19"/>
      <c r="I5" s="19"/>
    </row>
    <row r="6" spans="1:11" x14ac:dyDescent="0.2">
      <c r="B6" s="16" t="s">
        <v>18</v>
      </c>
      <c r="C6" s="16" t="s">
        <v>19</v>
      </c>
      <c r="D6" s="16" t="s">
        <v>11</v>
      </c>
      <c r="E6" s="20">
        <v>1225000</v>
      </c>
      <c r="F6" s="17">
        <v>1201.9038499999999</v>
      </c>
      <c r="G6" s="18">
        <v>44.772727160854203</v>
      </c>
      <c r="H6" s="19">
        <v>6.7109830049999902E-2</v>
      </c>
      <c r="I6" s="21"/>
    </row>
    <row r="7" spans="1:11" x14ac:dyDescent="0.2">
      <c r="B7" s="16" t="s">
        <v>20</v>
      </c>
      <c r="C7" s="16" t="s">
        <v>21</v>
      </c>
      <c r="D7" s="16" t="s">
        <v>11</v>
      </c>
      <c r="E7" s="20">
        <v>788100</v>
      </c>
      <c r="F7" s="17">
        <v>781.29002790000004</v>
      </c>
      <c r="G7" s="18">
        <v>29.104229304750898</v>
      </c>
      <c r="H7" s="19">
        <v>6.7084934002000093E-2</v>
      </c>
      <c r="I7" s="21"/>
    </row>
    <row r="8" spans="1:11" x14ac:dyDescent="0.2">
      <c r="B8" s="16" t="s">
        <v>22</v>
      </c>
      <c r="C8" s="16" t="s">
        <v>23</v>
      </c>
      <c r="D8" s="16" t="s">
        <v>11</v>
      </c>
      <c r="E8" s="20">
        <v>653200</v>
      </c>
      <c r="F8" s="17">
        <v>659.05463159999999</v>
      </c>
      <c r="G8" s="18">
        <v>24.5507768401974</v>
      </c>
      <c r="H8" s="19">
        <v>6.7618997396124994E-2</v>
      </c>
      <c r="I8" s="21"/>
    </row>
    <row r="9" spans="1:11" x14ac:dyDescent="0.2">
      <c r="B9" s="15" t="s">
        <v>9</v>
      </c>
      <c r="C9" s="15"/>
      <c r="D9" s="15"/>
      <c r="E9" s="15"/>
      <c r="F9" s="25">
        <f>SUM(F6:F8)</f>
        <v>2642.2485095000002</v>
      </c>
      <c r="G9" s="26">
        <f>SUM(G6:G8)</f>
        <v>98.427733305802505</v>
      </c>
      <c r="H9" s="22"/>
      <c r="I9" s="22"/>
    </row>
    <row r="10" spans="1:11" x14ac:dyDescent="0.2">
      <c r="B10" s="15"/>
      <c r="C10" s="16"/>
      <c r="D10" s="16"/>
      <c r="E10" s="16"/>
      <c r="F10" s="17"/>
      <c r="G10" s="18"/>
      <c r="H10" s="19"/>
      <c r="I10" s="19"/>
    </row>
    <row r="11" spans="1:11" x14ac:dyDescent="0.2">
      <c r="B11" s="15" t="s">
        <v>12</v>
      </c>
      <c r="C11" s="15"/>
      <c r="D11" s="15"/>
      <c r="E11" s="15"/>
      <c r="F11" s="25">
        <v>9.0591258000000003</v>
      </c>
      <c r="G11" s="26">
        <v>0.33746606915291499</v>
      </c>
      <c r="H11" s="23">
        <v>5.3636339999999998E-2</v>
      </c>
      <c r="I11" s="23"/>
    </row>
    <row r="12" spans="1:11" x14ac:dyDescent="0.2">
      <c r="B12" s="16"/>
      <c r="C12" s="16"/>
      <c r="D12" s="16"/>
      <c r="E12" s="16"/>
      <c r="F12" s="17"/>
      <c r="G12" s="18"/>
      <c r="H12" s="19"/>
      <c r="I12" s="19"/>
    </row>
    <row r="13" spans="1:11" x14ac:dyDescent="0.2">
      <c r="B13" s="24" t="s">
        <v>14</v>
      </c>
      <c r="C13" s="24"/>
      <c r="D13" s="24"/>
      <c r="E13" s="24"/>
      <c r="F13" s="25">
        <f>F14-(F9+F11)</f>
        <v>33.147670899999866</v>
      </c>
      <c r="G13" s="26">
        <f>G14-(G9+G11)</f>
        <v>1.2348006250445849</v>
      </c>
      <c r="H13" s="22"/>
      <c r="I13" s="22"/>
    </row>
    <row r="14" spans="1:11" x14ac:dyDescent="0.2">
      <c r="B14" s="24" t="s">
        <v>13</v>
      </c>
      <c r="C14" s="24"/>
      <c r="D14" s="24"/>
      <c r="E14" s="24"/>
      <c r="F14" s="25">
        <v>2684.4553062</v>
      </c>
      <c r="G14" s="26">
        <v>100</v>
      </c>
      <c r="H14" s="27"/>
      <c r="I14" s="27"/>
    </row>
    <row r="16" spans="1:11" ht="39.950000000000003" customHeight="1" x14ac:dyDescent="0.2">
      <c r="B16" s="39" t="s">
        <v>16</v>
      </c>
      <c r="C16" s="39"/>
      <c r="D16" s="39"/>
      <c r="E16" s="39"/>
      <c r="F16" s="39"/>
      <c r="G16" s="39"/>
      <c r="H16" s="39"/>
      <c r="I16" s="39"/>
    </row>
    <row r="17" spans="2:9" x14ac:dyDescent="0.2">
      <c r="B17" s="30"/>
      <c r="C17" s="30"/>
      <c r="D17" s="30"/>
      <c r="E17" s="30"/>
      <c r="F17" s="30"/>
      <c r="G17" s="30"/>
      <c r="H17" s="30"/>
      <c r="I17" s="30"/>
    </row>
    <row r="18" spans="2:9" x14ac:dyDescent="0.2">
      <c r="B18" s="40" t="s">
        <v>26</v>
      </c>
      <c r="C18" s="40"/>
      <c r="D18" s="40"/>
      <c r="E18" s="40"/>
      <c r="F18" s="40"/>
      <c r="G18" s="40"/>
      <c r="H18" s="40"/>
      <c r="I18" s="40"/>
    </row>
    <row r="19" spans="2:9" x14ac:dyDescent="0.2">
      <c r="B19" s="36"/>
      <c r="C19" s="36"/>
      <c r="D19" s="36"/>
      <c r="E19" s="36"/>
      <c r="F19" s="36"/>
      <c r="G19" s="36"/>
      <c r="H19" s="36"/>
      <c r="I19" s="36"/>
    </row>
    <row r="20" spans="2:9" x14ac:dyDescent="0.2">
      <c r="B20" s="14" t="s">
        <v>17</v>
      </c>
    </row>
    <row r="38" spans="2:2" x14ac:dyDescent="0.2">
      <c r="B38" s="14" t="s">
        <v>24</v>
      </c>
    </row>
    <row r="39" spans="2:2" x14ac:dyDescent="0.2">
      <c r="B39" s="14" t="s">
        <v>25</v>
      </c>
    </row>
  </sheetData>
  <mergeCells count="3">
    <mergeCell ref="B1:C1"/>
    <mergeCell ref="B16:I16"/>
    <mergeCell ref="B18:I18"/>
  </mergeCells>
  <conditionalFormatting sqref="G1:G3 G5:G15 G20:G58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63" orientation="portrait" r:id="rId1"/>
  <headerFooter>
    <oddFooter>&amp;C&amp;1#&amp;"Calibri"&amp;10&amp;K000000RESTRICTED</oddFooter>
    <evenFooter>&amp;LPUBLIC</evenFooter>
    <firstFooter>&amp;LPUBLIC</firstFooter>
  </headerFooter>
  <colBreaks count="1" manualBreakCount="1">
    <brk id="9" max="16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JBN8-13</vt:lpstr>
      <vt:lpstr>'JBN8-13'!Print_Area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2026-01-06T14:16:53Z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2026-01-05T10:44:00Z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b4ccb590-cac6-471e-83f7-f42418f1d7e6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