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C3811E6B-9573-45D3-A5E3-D4C752C4B023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N8-13" sheetId="6" r:id="rId1"/>
  </sheets>
  <definedNames>
    <definedName name="_xlnm.Print_Area" localSheetId="0">'JBN8-13'!$B$1:$I$58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G13" i="6" s="1"/>
  <c r="F9" i="6"/>
  <c r="F13" i="6" s="1"/>
</calcChain>
</file>

<file path=xl/sharedStrings.xml><?xml version="1.0" encoding="utf-8"?>
<sst xmlns="http://schemas.openxmlformats.org/spreadsheetml/2006/main" count="30" uniqueCount="28">
  <si>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</si>
  <si>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</si>
  <si>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</si>
  <si>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</si>
  <si>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</si>
  <si>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</si>
  <si>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</si>
  <si>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Nifty 8-13 yr G-Sec Index Fund</t>
  </si>
  <si>
    <t>Yield to Call ^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</si>
  <si>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</si>
  <si>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</si>
  <si>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</si>
  <si>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</si>
  <si>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</si>
  <si>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</si>
  <si>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</si>
  <si>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</si>
  <si>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</si>
  <si>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6.33% GOI 2035 (05-MAY-2035)</t>
  </si>
  <si>
    <t>IN0020250026</t>
  </si>
  <si>
    <t>6.79% GOI 2034 (07-OCT-2034)</t>
  </si>
  <si>
    <t>IN0020240126</t>
  </si>
  <si>
    <t>6.48% GOI 2035 (06-OCT-2035)</t>
  </si>
  <si>
    <t>IN0020250091</t>
  </si>
  <si>
    <t>Benchmark Risk-O-Meter</t>
  </si>
  <si>
    <t>Benchmark Name - NIFTY 8-13 yr G-Sec</t>
  </si>
  <si>
    <t>-</t>
  </si>
  <si>
    <t>Debt Index Replication Factor (DIRF) : 98.77%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</si>
</sst>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3" borderId="0" xfId="0" applyNumberFormat="1" applyFont="1" applyFill="1" applyBorder="1"/>
    <xf numFmtId="0" fontId="9" fillId="2" borderId="0" xfId="0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4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10" fontId="9" fillId="2" borderId="2" xfId="0" applyNumberFormat="1" applyFont="1" applyFill="1" applyBorder="1"/>
    <xf numFmtId="164" fontId="5" fillId="2" borderId="2" xfId="0" applyNumberFormat="1" applyFont="1" applyFill="1" applyBorder="1"/>
    <xf numFmtId="0" fontId="9" fillId="2" borderId="4" xfId="0" applyFont="1" applyFill="1" applyBorder="1"/>
    <xf numFmtId="0" fontId="9" fillId="2" borderId="4" xfId="0" applyNumberFormat="1" applyFont="1" applyFill="1" applyBorder="1"/>
    <xf numFmtId="39" fontId="9" fillId="2" borderId="4" xfId="0" applyNumberFormat="1" applyFont="1" applyFill="1" applyBorder="1"/>
    <xf numFmtId="39" fontId="9" fillId="3" borderId="4" xfId="0" applyNumberFormat="1" applyFont="1" applyFill="1" applyBorder="1"/>
    <xf numFmtId="10" fontId="9" fillId="2" borderId="5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400050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DFCC7-482F-4790-B3C9-CB88D662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476625"/>
          <a:ext cx="39624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447675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324A4-D9EF-4F9F-8203-E66CDA68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210300"/>
          <a:ext cx="41148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E8D-8808-4795-AC64-DB99B6D90E7E}">
  <dimension ref="A1:K58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0.28515625" style="8" bestFit="1" customWidth="1"/>
    <col min="4" max="4" width="13.85546875" style="8" bestFit="1" customWidth="1"/>
    <col min="5" max="5" width="13.85546875" style="9" bestFit="1" customWidth="1"/>
    <col min="6" max="6" width="12.7109375" style="11" bestFit="1" customWidth="1"/>
    <col min="7" max="7" width="12.140625" style="17" customWidth="1"/>
    <col min="8" max="8" width="11.85546875" style="14" bestFit="1" customWidth="1"/>
    <col min="9" max="9" width="10.140625" style="14" bestFit="1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49" t="s">
        <v>7</v>
      </c>
      <c r="C1" s="50"/>
      <c r="D1" s="13"/>
      <c r="E1" s="6"/>
      <c r="F1" s="7"/>
      <c r="G1" s="17"/>
      <c r="H1" s="14"/>
      <c r="I1" s="15"/>
    </row>
    <row r="2" spans="1:11" s="1" customFormat="1" ht="15" x14ac:dyDescent="0.25">
      <c r="A2" s="45" t="s">
        <v>26</v>
      </c>
      <c r="E2" s="6"/>
      <c r="F2" s="7"/>
      <c r="G2" s="17"/>
      <c r="H2" s="14"/>
      <c r="I2" s="15"/>
    </row>
    <row r="3" spans="1:11" s="1" customFormat="1" ht="12" x14ac:dyDescent="0.2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33.75" x14ac:dyDescent="0.2">
      <c r="B4" s="19" t="s">
        <v>4</v>
      </c>
      <c r="C4" s="19" t="s">
        <v>5</v>
      </c>
      <c r="D4" s="20" t="s">
        <v>15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x14ac:dyDescent="0.2">
      <c r="B5" s="25" t="s">
        <v>10</v>
      </c>
      <c r="C5" s="26"/>
      <c r="D5" s="26"/>
      <c r="E5" s="27"/>
      <c r="F5" s="28"/>
      <c r="G5" s="29"/>
      <c r="H5" s="30"/>
      <c r="I5" s="30"/>
    </row>
    <row r="6" spans="1:11" x14ac:dyDescent="0.2">
      <c r="B6" s="26" t="s">
        <v>18</v>
      </c>
      <c r="C6" s="26" t="s">
        <v>19</v>
      </c>
      <c r="D6" s="26" t="s">
        <v>11</v>
      </c>
      <c r="E6" s="31">
        <v>1497000</v>
      </c>
      <c r="F6" s="28">
        <v>1474.672245</v>
      </c>
      <c r="G6" s="29">
        <v>54.625318954524403</v>
      </c>
      <c r="H6" s="30">
        <v>6.65062337620001E-2</v>
      </c>
      <c r="I6" s="32"/>
    </row>
    <row r="7" spans="1:11" x14ac:dyDescent="0.2">
      <c r="B7" s="26" t="s">
        <v>20</v>
      </c>
      <c r="C7" s="26" t="s">
        <v>21</v>
      </c>
      <c r="D7" s="26" t="s">
        <v>11</v>
      </c>
      <c r="E7" s="31">
        <v>700000</v>
      </c>
      <c r="F7" s="28">
        <v>709.39750000000004</v>
      </c>
      <c r="G7" s="29">
        <v>26.277747366868098</v>
      </c>
      <c r="H7" s="30">
        <v>6.6941143056124905E-2</v>
      </c>
      <c r="I7" s="32"/>
    </row>
    <row r="8" spans="1:11" x14ac:dyDescent="0.2">
      <c r="B8" s="26" t="s">
        <v>22</v>
      </c>
      <c r="C8" s="26" t="s">
        <v>23</v>
      </c>
      <c r="D8" s="26" t="s">
        <v>11</v>
      </c>
      <c r="E8" s="31">
        <v>483100</v>
      </c>
      <c r="F8" s="28">
        <v>482.27969619999999</v>
      </c>
      <c r="G8" s="29">
        <v>17.864771185285399</v>
      </c>
      <c r="H8" s="30">
        <v>6.6077966305125094E-2</v>
      </c>
      <c r="I8" s="32"/>
    </row>
    <row r="9" spans="1:11" x14ac:dyDescent="0.2">
      <c r="B9" s="25" t="s">
        <v>9</v>
      </c>
      <c r="C9" s="25"/>
      <c r="D9" s="25"/>
      <c r="E9" s="33"/>
      <c r="F9" s="34">
        <f>SUM(F6:F8)</f>
        <v>2666.3494412</v>
      </c>
      <c r="G9" s="35">
        <f>SUM(G6:G8)</f>
        <v>98.767837506677893</v>
      </c>
      <c r="H9" s="36"/>
      <c r="I9" s="36"/>
    </row>
    <row r="10" spans="1:11" x14ac:dyDescent="0.2">
      <c r="B10" s="25"/>
      <c r="C10" s="26"/>
      <c r="D10" s="26"/>
      <c r="E10" s="27"/>
      <c r="F10" s="28"/>
      <c r="G10" s="29"/>
      <c r="H10" s="30"/>
      <c r="I10" s="30"/>
    </row>
    <row r="11" spans="1:11" x14ac:dyDescent="0.2">
      <c r="B11" s="25" t="s">
        <v>12</v>
      </c>
      <c r="C11" s="25"/>
      <c r="D11" s="25"/>
      <c r="E11" s="33"/>
      <c r="F11" s="34">
        <v>38.815051599999997</v>
      </c>
      <c r="G11" s="35">
        <v>1.4378005560729401</v>
      </c>
      <c r="H11" s="37">
        <v>5.305E-2</v>
      </c>
      <c r="I11" s="37"/>
    </row>
    <row r="12" spans="1:11" x14ac:dyDescent="0.2">
      <c r="B12" s="26"/>
      <c r="C12" s="26"/>
      <c r="D12" s="26"/>
      <c r="E12" s="27"/>
      <c r="F12" s="28"/>
      <c r="G12" s="29"/>
      <c r="H12" s="30"/>
      <c r="I12" s="30"/>
    </row>
    <row r="13" spans="1:11" x14ac:dyDescent="0.2">
      <c r="B13" s="43" t="s">
        <v>14</v>
      </c>
      <c r="C13" s="43"/>
      <c r="D13" s="43"/>
      <c r="E13" s="44"/>
      <c r="F13" s="34">
        <f>F14-(F9+F11)</f>
        <v>-5.5514320000002044</v>
      </c>
      <c r="G13" s="35">
        <f>G14-(G9+G11)</f>
        <v>-0.20563806275083607</v>
      </c>
      <c r="H13" s="36"/>
      <c r="I13" s="36"/>
    </row>
    <row r="14" spans="1:11" x14ac:dyDescent="0.2">
      <c r="B14" s="38" t="s">
        <v>13</v>
      </c>
      <c r="C14" s="38"/>
      <c r="D14" s="38"/>
      <c r="E14" s="39"/>
      <c r="F14" s="40">
        <v>2699.6130607999999</v>
      </c>
      <c r="G14" s="41">
        <v>100</v>
      </c>
      <c r="H14" s="42"/>
      <c r="I14" s="42"/>
    </row>
    <row r="16" spans="1:11" ht="39.950000000000003" customHeight="1" x14ac:dyDescent="0.2">
      <c r="B16" s="51" t="s">
        <v>16</v>
      </c>
      <c r="C16" s="51"/>
      <c r="D16" s="51"/>
      <c r="E16" s="51"/>
      <c r="F16" s="51"/>
      <c r="G16" s="51"/>
      <c r="H16" s="51"/>
      <c r="I16" s="51"/>
    </row>
    <row r="17" spans="2:9" ht="12" customHeight="1" x14ac:dyDescent="0.2">
      <c r="B17" s="47"/>
      <c r="C17" s="47"/>
      <c r="D17" s="47"/>
      <c r="E17" s="47"/>
      <c r="F17" s="47"/>
      <c r="G17" s="47"/>
      <c r="H17" s="47"/>
      <c r="I17" s="47"/>
    </row>
    <row r="18" spans="2:9" ht="12" customHeight="1" x14ac:dyDescent="0.2">
      <c r="B18" s="48" t="s">
        <v>27</v>
      </c>
      <c r="C18" s="47"/>
      <c r="D18" s="47"/>
      <c r="E18" s="47"/>
      <c r="F18" s="47"/>
      <c r="G18" s="47"/>
      <c r="H18" s="47"/>
      <c r="I18" s="47"/>
    </row>
    <row r="19" spans="2:9" ht="12.6" customHeight="1" x14ac:dyDescent="0.2">
      <c r="B19" s="47"/>
      <c r="C19" s="47"/>
      <c r="D19" s="47"/>
      <c r="E19" s="47"/>
      <c r="F19" s="47"/>
      <c r="G19" s="47"/>
      <c r="H19" s="47"/>
      <c r="I19" s="47"/>
    </row>
    <row r="20" spans="2:9" x14ac:dyDescent="0.2">
      <c r="B20" s="18" t="s">
        <v>17</v>
      </c>
      <c r="E20" s="8"/>
      <c r="G20" s="46"/>
    </row>
    <row r="21" spans="2:9" x14ac:dyDescent="0.2">
      <c r="E21" s="8"/>
      <c r="G21" s="46"/>
    </row>
    <row r="22" spans="2:9" x14ac:dyDescent="0.2">
      <c r="E22" s="8"/>
      <c r="G22" s="46"/>
    </row>
    <row r="23" spans="2:9" x14ac:dyDescent="0.2">
      <c r="E23" s="8"/>
      <c r="G23" s="46"/>
    </row>
    <row r="24" spans="2:9" x14ac:dyDescent="0.2">
      <c r="E24" s="8"/>
      <c r="G24" s="46"/>
    </row>
    <row r="25" spans="2:9" x14ac:dyDescent="0.2">
      <c r="E25" s="8"/>
      <c r="G25" s="46"/>
    </row>
    <row r="26" spans="2:9" x14ac:dyDescent="0.2">
      <c r="E26" s="8"/>
      <c r="G26" s="46"/>
    </row>
    <row r="27" spans="2:9" x14ac:dyDescent="0.2">
      <c r="E27" s="8"/>
      <c r="G27" s="46"/>
    </row>
    <row r="28" spans="2:9" x14ac:dyDescent="0.2">
      <c r="E28" s="8"/>
      <c r="G28" s="46"/>
    </row>
    <row r="29" spans="2:9" x14ac:dyDescent="0.2">
      <c r="E29" s="8"/>
      <c r="G29" s="46"/>
    </row>
    <row r="30" spans="2:9" x14ac:dyDescent="0.2">
      <c r="E30" s="8"/>
      <c r="G30" s="46"/>
    </row>
    <row r="31" spans="2:9" x14ac:dyDescent="0.2">
      <c r="E31" s="8"/>
      <c r="G31" s="46"/>
    </row>
    <row r="32" spans="2:9" x14ac:dyDescent="0.2">
      <c r="E32" s="8"/>
      <c r="G32" s="46"/>
    </row>
    <row r="33" spans="2:7" x14ac:dyDescent="0.2">
      <c r="E33" s="8"/>
      <c r="G33" s="46"/>
    </row>
    <row r="34" spans="2:7" x14ac:dyDescent="0.2">
      <c r="E34" s="8"/>
      <c r="G34" s="46"/>
    </row>
    <row r="35" spans="2:7" x14ac:dyDescent="0.2">
      <c r="E35" s="8"/>
      <c r="G35" s="46"/>
    </row>
    <row r="36" spans="2:7" x14ac:dyDescent="0.2">
      <c r="E36" s="8"/>
      <c r="G36" s="46"/>
    </row>
    <row r="37" spans="2:7" x14ac:dyDescent="0.2">
      <c r="E37" s="8"/>
      <c r="G37" s="46"/>
    </row>
    <row r="38" spans="2:7" x14ac:dyDescent="0.2">
      <c r="B38" s="18" t="s">
        <v>24</v>
      </c>
      <c r="E38" s="8"/>
      <c r="G38" s="46"/>
    </row>
    <row r="39" spans="2:7" x14ac:dyDescent="0.2">
      <c r="B39" s="18" t="s">
        <v>25</v>
      </c>
      <c r="E39" s="8"/>
      <c r="G39" s="46"/>
    </row>
    <row r="40" spans="2:7" x14ac:dyDescent="0.2">
      <c r="E40" s="8"/>
      <c r="G40" s="46"/>
    </row>
    <row r="41" spans="2:7" x14ac:dyDescent="0.2">
      <c r="E41" s="8"/>
      <c r="G41" s="46"/>
    </row>
    <row r="42" spans="2:7" x14ac:dyDescent="0.2">
      <c r="E42" s="8"/>
      <c r="G42" s="46"/>
    </row>
    <row r="43" spans="2:7" x14ac:dyDescent="0.2">
      <c r="E43" s="8"/>
      <c r="G43" s="46"/>
    </row>
    <row r="44" spans="2:7" x14ac:dyDescent="0.2">
      <c r="E44" s="8"/>
      <c r="G44" s="46"/>
    </row>
    <row r="45" spans="2:7" x14ac:dyDescent="0.2">
      <c r="E45" s="8"/>
      <c r="G45" s="46"/>
    </row>
    <row r="46" spans="2:7" x14ac:dyDescent="0.2">
      <c r="E46" s="8"/>
      <c r="G46" s="46"/>
    </row>
    <row r="47" spans="2:7" x14ac:dyDescent="0.2">
      <c r="E47" s="8"/>
      <c r="G47" s="46"/>
    </row>
    <row r="48" spans="2:7" x14ac:dyDescent="0.2">
      <c r="E48" s="8"/>
      <c r="G48" s="46"/>
    </row>
    <row r="49" spans="5:7" x14ac:dyDescent="0.2">
      <c r="E49" s="8"/>
      <c r="G49" s="46"/>
    </row>
    <row r="50" spans="5:7" x14ac:dyDescent="0.2">
      <c r="E50" s="8"/>
      <c r="G50" s="46"/>
    </row>
    <row r="51" spans="5:7" x14ac:dyDescent="0.2">
      <c r="E51" s="8"/>
      <c r="G51" s="46"/>
    </row>
    <row r="52" spans="5:7" x14ac:dyDescent="0.2">
      <c r="E52" s="8"/>
      <c r="G52" s="46"/>
    </row>
    <row r="53" spans="5:7" x14ac:dyDescent="0.2">
      <c r="E53" s="8"/>
      <c r="G53" s="46"/>
    </row>
    <row r="54" spans="5:7" x14ac:dyDescent="0.2">
      <c r="E54" s="8"/>
      <c r="G54" s="46"/>
    </row>
    <row r="55" spans="5:7" x14ac:dyDescent="0.2">
      <c r="E55" s="8"/>
      <c r="G55" s="46"/>
    </row>
    <row r="56" spans="5:7" x14ac:dyDescent="0.2">
      <c r="E56" s="8"/>
      <c r="G56" s="46"/>
    </row>
    <row r="57" spans="5:7" x14ac:dyDescent="0.2">
      <c r="E57" s="8"/>
      <c r="G57" s="46"/>
    </row>
    <row r="58" spans="5:7" x14ac:dyDescent="0.2">
      <c r="E58" s="8"/>
      <c r="G58" s="46"/>
    </row>
  </sheetData>
  <mergeCells count="2">
    <mergeCell ref="B1:C1"/>
    <mergeCell ref="B16:I16"/>
  </mergeCells>
  <conditionalFormatting sqref="G1:G3 G5:G15 G20:G58">
    <cfRule type="cellIs" dxfId="0" priority="2" stopIfTrue="1" operator="between">
      <formula>0.009</formula>
      <formula>-0.009</formula>
    </cfRule>
  </conditionalFormatting>
  <hyperlinks>
    <hyperlink ref="A2" location="'JBN8-13'!A1" display="-" xr:uid="{F78402DB-82AF-46C2-9969-2EF6110844C2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