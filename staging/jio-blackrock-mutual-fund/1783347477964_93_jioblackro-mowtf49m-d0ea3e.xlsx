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08014C12-E9B6-48A7-9569-2A1898533896}" xr6:coauthVersionLast="47" xr6:coauthVersionMax="47" xr10:uidLastSave="{00000000-0000-0000-0000-000000000000}"/>
  <bookViews>
    <workbookView xWindow="16830" yWindow="10720" windowWidth="2370" windowHeight="560" tabRatio="669" xr2:uid="{7291B499-DD8C-4F12-BA28-9EE7F24AB421}"/>
  </bookViews>
  <sheets>
    <sheet name="JBFLEXI" sheetId="14" r:id="rId1"/>
  </sheets>
  <definedNames>
    <definedName name="_xlnm.Print_Area" localSheetId="0">JBFLEXI!$B$1:$H$244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8" i="14" l="1"/>
  <c r="F138" i="14"/>
  <c r="G130" i="14"/>
  <c r="G124" i="14"/>
  <c r="G127" i="14" s="1"/>
  <c r="F124" i="14"/>
  <c r="F131" i="14" s="1"/>
  <c r="G131" i="14" l="1"/>
  <c r="F127" i="14"/>
</calcChain>
</file>

<file path=xl/sharedStrings.xml><?xml version="1.0" encoding="utf-8"?>
<sst xmlns="http://schemas.openxmlformats.org/spreadsheetml/2006/main" count="458" uniqueCount="353">
  <si>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</si>
  <si>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</si>
  <si>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</si>
  <si>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</si>
  <si>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</si>
  <si>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</si>
  <si>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April 30, 2026</t>
  </si>
  <si>
    <t>JioBlackRock Flexi Cap Fund</t>
  </si>
  <si>
    <t>Equity &amp; Equity related</t>
  </si>
  <si>
    <t>(a) Listed / awaiting listing on Stock Exchanges</t>
  </si>
  <si>
    <t>HDFC Bank Ltd</t>
  </si>
  <si>
    <t>INE040A01034</t>
  </si>
  <si>
    <t>Banks</t>
  </si>
  <si>
    <t>ICICI Bank Ltd</t>
  </si>
  <si>
    <t>INE090A01021</t>
  </si>
  <si>
    <t>Bharti Airtel Ltd</t>
  </si>
  <si>
    <t>INE397D01024</t>
  </si>
  <si>
    <t>Telecom - Services</t>
  </si>
  <si>
    <t>State Bank of India</t>
  </si>
  <si>
    <t>INE062A01020</t>
  </si>
  <si>
    <t>Mahindra &amp; Mahindra Ltd</t>
  </si>
  <si>
    <t>INE101A01026</t>
  </si>
  <si>
    <t>Automobiles</t>
  </si>
  <si>
    <t>Larsen &amp; Toubro Ltd</t>
  </si>
  <si>
    <t>INE018A01030</t>
  </si>
  <si>
    <t>Construction</t>
  </si>
  <si>
    <t>Reliance Industries Ltd</t>
  </si>
  <si>
    <t>INE002A01018</t>
  </si>
  <si>
    <t>Petroleum Products</t>
  </si>
  <si>
    <t>NTPC Ltd</t>
  </si>
  <si>
    <t>INE733E01010</t>
  </si>
  <si>
    <t>Power</t>
  </si>
  <si>
    <t>Infosys Ltd</t>
  </si>
  <si>
    <t>INE009A01021</t>
  </si>
  <si>
    <t>IT - Software</t>
  </si>
  <si>
    <t>Britannia Industries Ltd</t>
  </si>
  <si>
    <t>INE216A01030</t>
  </si>
  <si>
    <t>Food Products</t>
  </si>
  <si>
    <t>Indian Oil Corporation Ltd</t>
  </si>
  <si>
    <t>INE242A01010</t>
  </si>
  <si>
    <t>Escorts Kubota Ltd</t>
  </si>
  <si>
    <t>INE042A01014</t>
  </si>
  <si>
    <t>Agricultural, Commercial &amp; Construction Vehicles</t>
  </si>
  <si>
    <t>ITC Ltd</t>
  </si>
  <si>
    <t>INE154A01025</t>
  </si>
  <si>
    <t>Diversified FMCG</t>
  </si>
  <si>
    <t>Tata Steel Ltd</t>
  </si>
  <si>
    <t>INE081A01020</t>
  </si>
  <si>
    <t>Ferrous Metals</t>
  </si>
  <si>
    <t>Apollo Tyres Ltd</t>
  </si>
  <si>
    <t>INE438A01022</t>
  </si>
  <si>
    <t>Auto Components</t>
  </si>
  <si>
    <t>Interglobe Aviation Ltd</t>
  </si>
  <si>
    <t>INE646L01027</t>
  </si>
  <si>
    <t>Transport Services</t>
  </si>
  <si>
    <t>Nestle India Ltd</t>
  </si>
  <si>
    <t>INE239A01024</t>
  </si>
  <si>
    <t>Tata Consultancy Services Ltd</t>
  </si>
  <si>
    <t>INE467B01029</t>
  </si>
  <si>
    <t>Axis Bank Ltd</t>
  </si>
  <si>
    <t>INE238A01034</t>
  </si>
  <si>
    <t>Multi Commodity Exchange Of India Ltd</t>
  </si>
  <si>
    <t>INE745G01043</t>
  </si>
  <si>
    <t>Capital Markets</t>
  </si>
  <si>
    <t>Kotak Mahindra Bank Ltd</t>
  </si>
  <si>
    <t>INE237A01036</t>
  </si>
  <si>
    <t>Eternal Ltd</t>
  </si>
  <si>
    <t>INE758T01015</t>
  </si>
  <si>
    <t>Retailing</t>
  </si>
  <si>
    <t>Titan Co Ltd</t>
  </si>
  <si>
    <t>INE280A01028</t>
  </si>
  <si>
    <t>Consumer Durables</t>
  </si>
  <si>
    <t>ICICI Prudential Asset Management Co Ltd</t>
  </si>
  <si>
    <t>INE346A01027</t>
  </si>
  <si>
    <t>Federal Bank Ltd</t>
  </si>
  <si>
    <t>INE171A01029</t>
  </si>
  <si>
    <t>Sun Pharmaceutical Industries Ltd</t>
  </si>
  <si>
    <t>INE044A01036</t>
  </si>
  <si>
    <t>Pharmaceuticals &amp; Biotechnology</t>
  </si>
  <si>
    <t>Oil &amp; Natural Gas Corporation Ltd</t>
  </si>
  <si>
    <t>INE213A01029</t>
  </si>
  <si>
    <t>Oil</t>
  </si>
  <si>
    <t>SBI Life Insurance Co Ltd</t>
  </si>
  <si>
    <t>INE123W01016</t>
  </si>
  <si>
    <t>Insurance</t>
  </si>
  <si>
    <t>Samvardhana Motherson International Ltd</t>
  </si>
  <si>
    <t>INE775A01035</t>
  </si>
  <si>
    <t>Lenskart Solutions Ltd</t>
  </si>
  <si>
    <t>INE956O01016</t>
  </si>
  <si>
    <t>Tech Mahindra Ltd</t>
  </si>
  <si>
    <t>INE669C01036</t>
  </si>
  <si>
    <t>Vedanta Ltd</t>
  </si>
  <si>
    <t>INE205A01025</t>
  </si>
  <si>
    <t>Diversified Metals</t>
  </si>
  <si>
    <t>Life Insurance Corporation Of India</t>
  </si>
  <si>
    <t>INE0J1Y01017</t>
  </si>
  <si>
    <t>Hero MotoCorp Ltd</t>
  </si>
  <si>
    <t>INE158A01026</t>
  </si>
  <si>
    <t>Yes Bank Ltd</t>
  </si>
  <si>
    <t>INE528G01035</t>
  </si>
  <si>
    <t>Max Financial Services Ltd</t>
  </si>
  <si>
    <t>INE180A01020</t>
  </si>
  <si>
    <t>JSW Steel Ltd</t>
  </si>
  <si>
    <t>INE019A01038</t>
  </si>
  <si>
    <t>Cement &amp; Cement Products</t>
  </si>
  <si>
    <t>Billionbrains Garage Ventures Ltd</t>
  </si>
  <si>
    <t>INE0HOQ01053</t>
  </si>
  <si>
    <t>Bharat Petroleum Corporation Ltd</t>
  </si>
  <si>
    <t>INE029A01011</t>
  </si>
  <si>
    <t>Beverages</t>
  </si>
  <si>
    <t>INE704J01044</t>
  </si>
  <si>
    <t>INE694L01019</t>
  </si>
  <si>
    <t>INE1CDF01017</t>
  </si>
  <si>
    <t>Metals &amp; Minerals Trading</t>
  </si>
  <si>
    <t>INE1CLE01013</t>
  </si>
  <si>
    <t>Ashok Leyland Ltd</t>
  </si>
  <si>
    <t>INE208A01029</t>
  </si>
  <si>
    <t>Hindustan Petroleum Corporation Ltd</t>
  </si>
  <si>
    <t>INE094A01015</t>
  </si>
  <si>
    <t>Steel Authority of India Ltd</t>
  </si>
  <si>
    <t>INE114A01011</t>
  </si>
  <si>
    <t>Schaeffler India Ltd</t>
  </si>
  <si>
    <t>INE513A01022</t>
  </si>
  <si>
    <t>Adani Enterprises Ltd</t>
  </si>
  <si>
    <t>INE423A01024</t>
  </si>
  <si>
    <t>MRF Ltd</t>
  </si>
  <si>
    <t>INE883A01011</t>
  </si>
  <si>
    <t>Ltm Ltd</t>
  </si>
  <si>
    <t>INE214T01019</t>
  </si>
  <si>
    <t>Laurus Labs Ltd</t>
  </si>
  <si>
    <t>INE947Q01028</t>
  </si>
  <si>
    <t>Mahindra &amp; Mahindra Financial Services Ltd</t>
  </si>
  <si>
    <t>INE774D01024</t>
  </si>
  <si>
    <t>Finance</t>
  </si>
  <si>
    <t>Nippon Life India Asset Management Ltd</t>
  </si>
  <si>
    <t>INE298J01013</t>
  </si>
  <si>
    <t>Oracle Financial Services Software Ltd</t>
  </si>
  <si>
    <t>INE881D01027</t>
  </si>
  <si>
    <t>Sub Total</t>
  </si>
  <si>
    <t xml:space="preserve">(b) Unlisted </t>
  </si>
  <si>
    <t>NIL</t>
  </si>
  <si>
    <t>Total</t>
  </si>
  <si>
    <t>TREPS</t>
  </si>
  <si>
    <t>Grand Total</t>
  </si>
  <si>
    <t>Margin on Derivatives</t>
  </si>
  <si>
    <t>Net Receivables / (Payables)</t>
  </si>
  <si>
    <t>Derivatives</t>
  </si>
  <si>
    <t>Long / Short</t>
  </si>
  <si>
    <t>Industry Classification</t>
  </si>
  <si>
    <t>Market/Fair Value (Rs. in Lakhs)</t>
  </si>
  <si>
    <t xml:space="preserve">% to Net Assets </t>
  </si>
  <si>
    <t>NIFTY 26-MAY-26 FUT</t>
  </si>
  <si>
    <t>Long</t>
  </si>
  <si>
    <t>Index</t>
  </si>
  <si>
    <t>Notes</t>
  </si>
  <si>
    <t xml:space="preserve">Scheme Risk-O-Meter </t>
  </si>
  <si>
    <t>** Non Traded Security</t>
  </si>
  <si>
    <t>Nil</t>
  </si>
  <si>
    <t>Non - Ferrous Metals</t>
  </si>
  <si>
    <t>Adani Ports and Special Economic Zone Ltd</t>
  </si>
  <si>
    <t>INE742F01042</t>
  </si>
  <si>
    <t>Transport Infrastructure</t>
  </si>
  <si>
    <t>Healthcare Services</t>
  </si>
  <si>
    <t>Agricultural Food &amp; Other Products</t>
  </si>
  <si>
    <t>TVS Motor Co Ltd</t>
  </si>
  <si>
    <t>INE494B01023</t>
  </si>
  <si>
    <t>Industrial Products</t>
  </si>
  <si>
    <t>Electrical Equipment</t>
  </si>
  <si>
    <t>Gas</t>
  </si>
  <si>
    <t>Personal Products</t>
  </si>
  <si>
    <t>Chemicals &amp; Petrochemicals</t>
  </si>
  <si>
    <t>Hindustan Zinc Ltd</t>
  </si>
  <si>
    <t>INE267A01025</t>
  </si>
  <si>
    <t>Industrial Manufacturing</t>
  </si>
  <si>
    <t>Tata Capital Ltd</t>
  </si>
  <si>
    <t>INE976I01016</t>
  </si>
  <si>
    <t>BSE Ltd</t>
  </si>
  <si>
    <t>INE118H01025</t>
  </si>
  <si>
    <t>Polycab India Ltd</t>
  </si>
  <si>
    <t>INE455K01017</t>
  </si>
  <si>
    <t>Marico Ltd</t>
  </si>
  <si>
    <t>INE196A01026</t>
  </si>
  <si>
    <t>Aurobindo Pharma Ltd</t>
  </si>
  <si>
    <t>INE406A01037</t>
  </si>
  <si>
    <t>Fertilizers &amp; Agrochemicals</t>
  </si>
  <si>
    <t>National Aluminium Co Ltd</t>
  </si>
  <si>
    <t>INE139A01034</t>
  </si>
  <si>
    <t>Indian Bank</t>
  </si>
  <si>
    <t>INE562A01011</t>
  </si>
  <si>
    <t>Radico Khaitan Ltd</t>
  </si>
  <si>
    <t>INE944F01028</t>
  </si>
  <si>
    <t>ICICI Prudential Life Insurance Co Ltd</t>
  </si>
  <si>
    <t>INE726G01019</t>
  </si>
  <si>
    <t>Agricultural Food &amp; other Products</t>
  </si>
  <si>
    <t>Kalyan Jewellers India Ltd</t>
  </si>
  <si>
    <t>INE303R01014</t>
  </si>
  <si>
    <t>IT - Services</t>
  </si>
  <si>
    <t>Karur Vysya Bank Ltd</t>
  </si>
  <si>
    <t>INE036D01028</t>
  </si>
  <si>
    <t>Navin Fluorine International Ltd</t>
  </si>
  <si>
    <t>INE048G01026</t>
  </si>
  <si>
    <t>City Union Bank Ltd</t>
  </si>
  <si>
    <t>INE491A01021</t>
  </si>
  <si>
    <t>Ather Energy Ltd</t>
  </si>
  <si>
    <t>INE0LEZ01016</t>
  </si>
  <si>
    <t>Great Eastern Shipping Co Ltd</t>
  </si>
  <si>
    <t>INE017A01032</t>
  </si>
  <si>
    <t>Kalpataru Projects International Ltd</t>
  </si>
  <si>
    <t>INE220B01022</t>
  </si>
  <si>
    <t>Commercial Services &amp; Supplies</t>
  </si>
  <si>
    <t>Elgi Equipments Ltd</t>
  </si>
  <si>
    <t>INE285A01027</t>
  </si>
  <si>
    <t>CESC Ltd</t>
  </si>
  <si>
    <t>INE486A01021</t>
  </si>
  <si>
    <t>Indraprastha Gas Ltd</t>
  </si>
  <si>
    <t>INE203G01027</t>
  </si>
  <si>
    <t>Dr. Lal Path Labs Ltd</t>
  </si>
  <si>
    <t>INE600L01024</t>
  </si>
  <si>
    <t>Natco Pharma Ltd</t>
  </si>
  <si>
    <t>INE987B01026</t>
  </si>
  <si>
    <t>Sagility Ltd</t>
  </si>
  <si>
    <t>INE0W2G01015</t>
  </si>
  <si>
    <t>Nava Ltd</t>
  </si>
  <si>
    <t>INE725A01030</t>
  </si>
  <si>
    <t>Castrol India Ltd</t>
  </si>
  <si>
    <t>INE172A01027</t>
  </si>
  <si>
    <t>Entertainment</t>
  </si>
  <si>
    <t>CCL Products (India) Ltd</t>
  </si>
  <si>
    <t>INE421D01022</t>
  </si>
  <si>
    <t>PVR Inox Ltd</t>
  </si>
  <si>
    <t>INE191H01014</t>
  </si>
  <si>
    <t>Cyient Ltd</t>
  </si>
  <si>
    <t>INE136B01020</t>
  </si>
  <si>
    <t>Syrma SGS Technology Ltd</t>
  </si>
  <si>
    <t>INE0DYJ01015</t>
  </si>
  <si>
    <t>CEAT Ltd</t>
  </si>
  <si>
    <t>INE482A01020</t>
  </si>
  <si>
    <t>Pfizer Ltd</t>
  </si>
  <si>
    <t>INE182A01018</t>
  </si>
  <si>
    <t>JM Financial Ltd</t>
  </si>
  <si>
    <t>INE780C01023</t>
  </si>
  <si>
    <t>R R Kabel Ltd</t>
  </si>
  <si>
    <t>INE777K01022</t>
  </si>
  <si>
    <t>JK Tyre &amp; Industries Ltd</t>
  </si>
  <si>
    <t>INE573A01042</t>
  </si>
  <si>
    <t>Honasa Consumer Ltd</t>
  </si>
  <si>
    <t>INE0J5401028</t>
  </si>
  <si>
    <t>Aditya Infotech Ltd</t>
  </si>
  <si>
    <t>INE819V01029</t>
  </si>
  <si>
    <t>Telecom - Equipment &amp; Accessories</t>
  </si>
  <si>
    <t>Nuvoco Vistas Corporation Ltd</t>
  </si>
  <si>
    <t>INE118D01016</t>
  </si>
  <si>
    <t>Bombay Burmah Trading Corporation Ltd</t>
  </si>
  <si>
    <t>INE050A01025</t>
  </si>
  <si>
    <t>VA Tech Wabag Ltd</t>
  </si>
  <si>
    <t>INE956G01038</t>
  </si>
  <si>
    <t>Other Utilities</t>
  </si>
  <si>
    <t>Jamna Auto Industries Ltd</t>
  </si>
  <si>
    <t>INE039C01032</t>
  </si>
  <si>
    <t>PTC India Ltd</t>
  </si>
  <si>
    <t>INE877F01012</t>
  </si>
  <si>
    <t>Akums Drugs And Pharmaceuticals Ltd</t>
  </si>
  <si>
    <t>INE09XN01023</t>
  </si>
  <si>
    <t>CIE Automotive India Ltd</t>
  </si>
  <si>
    <t>INE536H01010</t>
  </si>
  <si>
    <t>Ujjivan Small Finance Bank Ltd</t>
  </si>
  <si>
    <t>INE551W01018</t>
  </si>
  <si>
    <t>Fiem Industries Ltd</t>
  </si>
  <si>
    <t>INE737H01014</t>
  </si>
  <si>
    <t>KRBL Ltd</t>
  </si>
  <si>
    <t>INE001B01026</t>
  </si>
  <si>
    <t>MTAR Technologies Ltd</t>
  </si>
  <si>
    <t>INE864I01014</t>
  </si>
  <si>
    <t>Sharda Cropchem Ltd</t>
  </si>
  <si>
    <t>INE221J01015</t>
  </si>
  <si>
    <t>V-Mart Retail Ltd</t>
  </si>
  <si>
    <t>INE665J01013</t>
  </si>
  <si>
    <t>Rubicon Research Ltd</t>
  </si>
  <si>
    <t>INE506V01022</t>
  </si>
  <si>
    <t>WeWork India Management Ltd</t>
  </si>
  <si>
    <t>INE085001019</t>
  </si>
  <si>
    <t>Rashtriya Chemicals and Fertilizers Ltd</t>
  </si>
  <si>
    <t>INE027A01015</t>
  </si>
  <si>
    <t>Strides Pharma Science Ltd</t>
  </si>
  <si>
    <t>INE939A01011</t>
  </si>
  <si>
    <t>Advanced Enzyme Technologies Ltd</t>
  </si>
  <si>
    <t>INE837H01020</t>
  </si>
  <si>
    <t>INE1YPB01014</t>
  </si>
  <si>
    <t>GMM Pfaudler Ltd</t>
  </si>
  <si>
    <t>INE541A01023</t>
  </si>
  <si>
    <t>Ahluwalia Contracts (India) Ltd</t>
  </si>
  <si>
    <t>INE758C01029</t>
  </si>
  <si>
    <t>TVS Supply Chain Solutions Ltd</t>
  </si>
  <si>
    <t>INE395N01027</t>
  </si>
  <si>
    <t>Godrej Agrovet Ltd</t>
  </si>
  <si>
    <t>INE850D01014</t>
  </si>
  <si>
    <t>Birla Corporation Ltd</t>
  </si>
  <si>
    <t>INE340A01012</t>
  </si>
  <si>
    <t>Sterlite Technologies Ltd</t>
  </si>
  <si>
    <t>INE089C01029</t>
  </si>
  <si>
    <t>Benchmark Risk-O-Meter</t>
  </si>
  <si>
    <t>Benchmark Name - Nifty 500 Index (TRI)</t>
  </si>
  <si>
    <t>-</t>
  </si>
  <si>
    <t>(1) There is no security which is in default beyond its maturity/ interest payment date.</t>
  </si>
  <si>
    <t>Plan/ Option</t>
  </si>
  <si>
    <t>As on April 30, 2026</t>
  </si>
  <si>
    <t>Direct Plan - Growth Option</t>
  </si>
  <si>
    <t>(2) Aggregate value of illiquid equity shares of the fund amounts to Rs. Nil and their percentage to net asset value is Nil.</t>
  </si>
  <si>
    <t>(3) Plan/ Option wise per unit net asset value are as follows:</t>
  </si>
  <si>
    <t>As on March 31, 2026</t>
  </si>
  <si>
    <t>Underlying</t>
  </si>
  <si>
    <t>Long/Short</t>
  </si>
  <si>
    <t>Futures Price When purchased</t>
  </si>
  <si>
    <t>Current price of the contract</t>
  </si>
  <si>
    <t>Margin maintained
in Rs. Lakhs</t>
  </si>
  <si>
    <t>Total percentage of existing assets hedged through futures: Nil</t>
  </si>
  <si>
    <t>Number of contracts bought</t>
  </si>
  <si>
    <t>Number of contracts Sold</t>
  </si>
  <si>
    <t>Gross Notional Value of contracts where futures were bought  in Rs. Lakhs</t>
  </si>
  <si>
    <t>Gross Notional Value of contracts where futures were  sold in Rs. Lakhs</t>
  </si>
  <si>
    <t>Net Profit/Loss value on all contracts in Rs. Lakhs</t>
  </si>
  <si>
    <t xml:space="preserve">     </t>
  </si>
  <si>
    <t>Number of Contracts</t>
  </si>
  <si>
    <t>Option Price when purchased</t>
  </si>
  <si>
    <t>Current Option Price</t>
  </si>
  <si>
    <t>Total percentage of existing assets hedged through put options: Nil</t>
  </si>
  <si>
    <t>Number of contracts entered</t>
  </si>
  <si>
    <t>Gross Notional Value of contracts in Rs. Lakhs</t>
  </si>
  <si>
    <t>Net profit/ (loss) on all contracts (premium paid treated as (loss))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</si>
  <si>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</si>
  <si>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</si>
  <si>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</si>
  <si>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</si>
  <si>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</si>
  <si>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(6) Total market value of investments in foreign securities/ American Depository Receipts/ Global Depository Receipts as at April 30, 2026 is Rs. Nil.</t>
  </si>
  <si>
    <t>(8) Repo transactions in corporate debt securities as on April 30, 2026 is Rs. Nil.</t>
  </si>
  <si>
    <t>(5) Exposure to Derivative Instruments as on April 30, 2026:</t>
  </si>
  <si>
    <t>a)  Hedging positions through futures as on April 30, 2026 is :</t>
  </si>
  <si>
    <t>b) Other than Hedging Positions through Futures as on April 30, 2026 is :</t>
  </si>
  <si>
    <t>c) Hedging positions through Put options as on April 30, 2026</t>
  </si>
  <si>
    <t>d) Other than hedging positions through options as on April 30, 2026</t>
  </si>
  <si>
    <t>For the period ended April 30, 2026, following details specified for non-hedging transactions through options which have already been exercised/ expired:</t>
  </si>
  <si>
    <t>For the Month ended April 30, 2026 following were the non-hedging transactions through futures which have been squared off/expired:</t>
  </si>
  <si>
    <t>For the Month ended April 30, 2026, following details specified for hedging transactions through Put options which have already been exercised/ expired:</t>
  </si>
  <si>
    <t>Vedanta Iron And Steel Ltd **</t>
  </si>
  <si>
    <t>Talwandi Sabo Power Ltd **</t>
  </si>
  <si>
    <t>Malco Energy Ltd **</t>
  </si>
  <si>
    <t>Vedanta Aluminium Metal Ltd **</t>
  </si>
  <si>
    <t>Allcargo Global Ltd **</t>
  </si>
  <si>
    <t>For the Month ended April 30, 2026 following were the hedging transactions through futures which have been squared off/expired:</t>
  </si>
  <si>
    <t>(4) There was no distribution (of income and capital) during the Month ended April 30, 2026.</t>
  </si>
  <si>
    <t>(7) During the period, the portfolio turnover ratio is 1.15 times.</t>
  </si>
  <si>
    <t>Total exposure due to futures (non hedging positions) as a percentage of net assets: 0.24%.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</si>
</sst>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_);_(* \(#,##0.00\);_(* &quot;-&quot;??_);_(@_)"/>
    <numFmt numFmtId="165" formatCode="#,##0.00%"/>
    <numFmt numFmtId="166" formatCode="#,##0;\(#,##0.\)"/>
    <numFmt numFmtId="169" formatCode="#,##0.0000_ ;\-#,##0.0000\ "/>
  </numFmts>
  <fonts count="1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43" fontId="11" fillId="0" borderId="0" applyFont="0" applyFill="0" applyBorder="0" applyAlignment="0" applyProtection="0"/>
  </cellStyleXfs>
  <cellXfs count="98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/>
    <xf numFmtId="0" fontId="5" fillId="2" borderId="0" xfId="0" applyFont="1" applyFill="1"/>
    <xf numFmtId="165" fontId="6" fillId="2" borderId="0" xfId="0" applyNumberFormat="1" applyFont="1" applyFill="1"/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 wrapText="1"/>
    </xf>
    <xf numFmtId="39" fontId="5" fillId="0" borderId="5" xfId="0" applyNumberFormat="1" applyFont="1" applyBorder="1" applyAlignment="1">
      <alignment horizontal="center" vertical="center" wrapText="1"/>
    </xf>
    <xf numFmtId="0" fontId="5" fillId="2" borderId="6" xfId="0" applyFont="1" applyFill="1" applyBorder="1"/>
    <xf numFmtId="0" fontId="6" fillId="2" borderId="6" xfId="0" applyFont="1" applyFill="1" applyBorder="1"/>
    <xf numFmtId="39" fontId="6" fillId="2" borderId="6" xfId="0" applyNumberFormat="1" applyFont="1" applyFill="1" applyBorder="1"/>
    <xf numFmtId="39" fontId="6" fillId="3" borderId="6" xfId="0" applyNumberFormat="1" applyFont="1" applyFill="1" applyBorder="1"/>
    <xf numFmtId="3" fontId="6" fillId="2" borderId="6" xfId="0" applyNumberFormat="1" applyFont="1" applyFill="1" applyBorder="1"/>
    <xf numFmtId="165" fontId="6" fillId="2" borderId="6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39" fontId="5" fillId="2" borderId="6" xfId="0" applyNumberFormat="1" applyFont="1" applyFill="1" applyBorder="1" applyAlignment="1">
      <alignment horizontal="right"/>
    </xf>
    <xf numFmtId="39" fontId="5" fillId="3" borderId="6" xfId="0" applyNumberFormat="1" applyFont="1" applyFill="1" applyBorder="1" applyAlignment="1">
      <alignment horizontal="right"/>
    </xf>
    <xf numFmtId="39" fontId="5" fillId="2" borderId="8" xfId="0" applyNumberFormat="1" applyFont="1" applyFill="1" applyBorder="1" applyAlignment="1">
      <alignment horizontal="right"/>
    </xf>
    <xf numFmtId="39" fontId="5" fillId="3" borderId="8" xfId="0" applyNumberFormat="1" applyFont="1" applyFill="1" applyBorder="1" applyAlignment="1">
      <alignment horizontal="right"/>
    </xf>
    <xf numFmtId="0" fontId="5" fillId="2" borderId="9" xfId="0" applyFont="1" applyFill="1" applyBorder="1"/>
    <xf numFmtId="39" fontId="5" fillId="2" borderId="9" xfId="0" applyNumberFormat="1" applyFont="1" applyFill="1" applyBorder="1"/>
    <xf numFmtId="39" fontId="5" fillId="3" borderId="9" xfId="0" applyNumberFormat="1" applyFont="1" applyFill="1" applyBorder="1"/>
    <xf numFmtId="0" fontId="5" fillId="2" borderId="10" xfId="0" applyFont="1" applyFill="1" applyBorder="1"/>
    <xf numFmtId="39" fontId="5" fillId="2" borderId="10" xfId="0" applyNumberFormat="1" applyFont="1" applyFill="1" applyBorder="1"/>
    <xf numFmtId="39" fontId="5" fillId="3" borderId="10" xfId="0" applyNumberFormat="1" applyFont="1" applyFill="1" applyBorder="1"/>
    <xf numFmtId="0" fontId="5" fillId="2" borderId="11" xfId="0" applyFont="1" applyFill="1" applyBorder="1"/>
    <xf numFmtId="0" fontId="5" fillId="2" borderId="7" xfId="0" applyFont="1" applyFill="1" applyBorder="1"/>
    <xf numFmtId="0" fontId="5" fillId="2" borderId="1" xfId="0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0" fontId="10" fillId="2" borderId="5" xfId="0" applyFont="1" applyFill="1" applyBorder="1"/>
    <xf numFmtId="0" fontId="9" fillId="2" borderId="0" xfId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6" fillId="2" borderId="0" xfId="0" applyFont="1" applyFill="1" applyAlignment="1">
      <alignment vertical="center"/>
    </xf>
    <xf numFmtId="0" fontId="5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5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0" fontId="12" fillId="3" borderId="0" xfId="0" applyFont="1" applyFill="1"/>
    <xf numFmtId="0" fontId="12" fillId="3" borderId="0" xfId="0" applyFont="1" applyFill="1" applyAlignment="1">
      <alignment horizontal="left"/>
    </xf>
    <xf numFmtId="0" fontId="12" fillId="3" borderId="12" xfId="0" applyFont="1" applyFill="1" applyBorder="1" applyAlignment="1">
      <alignment horizontal="justify" vertical="center"/>
    </xf>
    <xf numFmtId="43" fontId="12" fillId="3" borderId="11" xfId="2" applyFont="1" applyFill="1" applyBorder="1" applyAlignment="1">
      <alignment horizontal="justify" vertical="center"/>
    </xf>
    <xf numFmtId="43" fontId="12" fillId="3" borderId="13" xfId="2" applyFont="1" applyFill="1" applyBorder="1" applyAlignment="1">
      <alignment horizontal="center" vertical="center"/>
    </xf>
    <xf numFmtId="43" fontId="12" fillId="3" borderId="11" xfId="2" applyFont="1" applyFill="1" applyBorder="1" applyAlignment="1">
      <alignment horizontal="right" vertical="center"/>
    </xf>
    <xf numFmtId="43" fontId="12" fillId="3" borderId="0" xfId="2" applyFont="1" applyFill="1" applyAlignment="1">
      <alignment horizontal="justify" vertical="center"/>
    </xf>
    <xf numFmtId="2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justify" vertical="center"/>
    </xf>
    <xf numFmtId="0" fontId="6" fillId="3" borderId="0" xfId="0" applyFont="1" applyFill="1"/>
    <xf numFmtId="0" fontId="3" fillId="3" borderId="0" xfId="0" applyFont="1" applyFill="1" applyAlignment="1">
      <alignment vertical="top"/>
    </xf>
    <xf numFmtId="169" fontId="13" fillId="3" borderId="0" xfId="0" applyNumberFormat="1" applyFont="1" applyFill="1" applyAlignment="1">
      <alignment horizontal="center" vertical="top"/>
    </xf>
    <xf numFmtId="0" fontId="13" fillId="3" borderId="0" xfId="0" applyFont="1" applyFill="1" applyAlignment="1">
      <alignment vertical="top"/>
    </xf>
    <xf numFmtId="0" fontId="14" fillId="3" borderId="0" xfId="0" applyFont="1" applyFill="1" applyAlignment="1">
      <alignment vertical="top"/>
    </xf>
    <xf numFmtId="0" fontId="12" fillId="3" borderId="0" xfId="0" applyFont="1" applyFill="1" applyAlignment="1">
      <alignment vertical="top"/>
    </xf>
    <xf numFmtId="169" fontId="12" fillId="3" borderId="0" xfId="0" applyNumberFormat="1" applyFont="1" applyFill="1" applyAlignment="1">
      <alignment horizontal="center" vertical="top"/>
    </xf>
    <xf numFmtId="3" fontId="12" fillId="3" borderId="0" xfId="0" applyNumberFormat="1" applyFont="1" applyFill="1" applyAlignment="1">
      <alignment horizontal="center" vertical="center"/>
    </xf>
    <xf numFmtId="3" fontId="12" fillId="3" borderId="0" xfId="0" applyNumberFormat="1" applyFont="1" applyFill="1" applyAlignment="1">
      <alignment horizontal="left" vertical="center"/>
    </xf>
    <xf numFmtId="39" fontId="6" fillId="0" borderId="6" xfId="0" applyNumberFormat="1" applyFont="1" applyBorder="1"/>
    <xf numFmtId="3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39" fontId="5" fillId="3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4" fontId="12" fillId="0" borderId="12" xfId="0" applyNumberFormat="1" applyFont="1" applyFill="1" applyBorder="1" applyAlignment="1">
      <alignment horizontal="center" vertical="center"/>
    </xf>
    <xf numFmtId="43" fontId="12" fillId="0" borderId="11" xfId="2" applyFont="1" applyFill="1" applyBorder="1" applyAlignment="1">
      <alignment horizontal="left" vertical="center"/>
    </xf>
    <xf numFmtId="164" fontId="12" fillId="0" borderId="11" xfId="0" applyNumberFormat="1" applyFont="1" applyFill="1" applyBorder="1" applyAlignment="1">
      <alignment vertical="center"/>
    </xf>
    <xf numFmtId="0" fontId="12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3" fontId="12" fillId="3" borderId="10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</cellXfs>
  <cellStyles count="3">
    <cellStyle name="Comma" xfId="2" builtinId="3"/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209</xdr:row>
      <xdr:rowOff>0</xdr:rowOff>
    </xdr:from>
    <xdr:to>
      <xdr:col>2</xdr:col>
      <xdr:colOff>396875</xdr:colOff>
      <xdr:row>223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D98963-378A-4523-A712-A958D952D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17348200"/>
          <a:ext cx="4070350" cy="177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939800</xdr:colOff>
      <xdr:row>227</xdr:row>
      <xdr:rowOff>47624</xdr:rowOff>
    </xdr:from>
    <xdr:to>
      <xdr:col>2</xdr:col>
      <xdr:colOff>454025</xdr:colOff>
      <xdr:row>242</xdr:row>
      <xdr:rowOff>85724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CE4EF7-AD77-4777-BE01-86E7AF7DF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1450" y="19694524"/>
          <a:ext cx="4092575" cy="194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2D50-FFD3-4371-9C0E-011D74E1321B}">
  <dimension ref="A1:I226"/>
  <sheetViews>
    <sheetView tabSelected="1" topLeftCell="A158" zoomScaleNormal="100" zoomScaleSheetLayoutView="90" workbookViewId="0">
      <selection activeCell="B178" sqref="B178"/>
    </sheetView>
  </sheetViews>
  <sheetFormatPr defaultColWidth="9.1796875" defaultRowHeight="10" x14ac:dyDescent="0.2"/>
  <cols>
    <col min="1" max="1" width="7.1796875" style="6" customWidth="1"/>
    <col min="2" max="2" width="65.54296875" style="6" bestFit="1" customWidth="1"/>
    <col min="3" max="3" width="17.54296875" style="6" customWidth="1"/>
    <col min="4" max="4" width="32.1796875" style="6" bestFit="1" customWidth="1"/>
    <col min="5" max="5" width="17" style="6" customWidth="1"/>
    <col min="6" max="6" width="22.81640625" style="8" bestFit="1" customWidth="1"/>
    <col min="7" max="7" width="14" style="10" bestFit="1" customWidth="1"/>
    <col min="8" max="8" width="14.453125" style="6" bestFit="1" customWidth="1"/>
    <col min="9" max="16384" width="9.1796875" style="6"/>
  </cols>
  <sheetData>
    <row r="1" spans="1:8" s="1" customFormat="1" ht="16.75" customHeight="1" x14ac:dyDescent="0.35">
      <c r="B1" s="96" t="s">
        <v>7</v>
      </c>
      <c r="C1" s="97"/>
      <c r="D1" s="9"/>
      <c r="F1" s="5"/>
      <c r="G1" s="10"/>
    </row>
    <row r="2" spans="1:8" s="1" customFormat="1" ht="14.5" x14ac:dyDescent="0.35">
      <c r="A2" s="45" t="s">
        <v>302</v>
      </c>
      <c r="F2" s="5"/>
      <c r="G2" s="10"/>
    </row>
    <row r="3" spans="1:8" s="1" customFormat="1" ht="11.5" x14ac:dyDescent="0.25">
      <c r="B3" s="7" t="s">
        <v>6</v>
      </c>
      <c r="C3" s="2"/>
      <c r="D3" s="3"/>
      <c r="E3" s="3"/>
      <c r="F3" s="4"/>
      <c r="G3" s="10"/>
    </row>
    <row r="4" spans="1:8" s="1" customFormat="1" ht="25.5" customHeight="1" x14ac:dyDescent="0.25">
      <c r="B4" s="13" t="s">
        <v>4</v>
      </c>
      <c r="C4" s="13" t="s">
        <v>5</v>
      </c>
      <c r="D4" s="14" t="s">
        <v>148</v>
      </c>
      <c r="E4" s="14" t="s">
        <v>0</v>
      </c>
      <c r="F4" s="15" t="s">
        <v>1</v>
      </c>
      <c r="G4" s="16" t="s">
        <v>2</v>
      </c>
      <c r="H4" s="44" t="s">
        <v>3</v>
      </c>
    </row>
    <row r="5" spans="1:8" ht="10.5" x14ac:dyDescent="0.25">
      <c r="B5" s="17" t="s">
        <v>8</v>
      </c>
      <c r="C5" s="18"/>
      <c r="D5" s="18"/>
      <c r="E5" s="18"/>
      <c r="F5" s="19"/>
      <c r="G5" s="20"/>
      <c r="H5" s="18"/>
    </row>
    <row r="6" spans="1:8" ht="10.5" x14ac:dyDescent="0.25">
      <c r="B6" s="17" t="s">
        <v>9</v>
      </c>
      <c r="C6" s="18"/>
      <c r="D6" s="18"/>
      <c r="E6" s="18"/>
      <c r="F6" s="19"/>
      <c r="G6" s="20"/>
      <c r="H6" s="18"/>
    </row>
    <row r="7" spans="1:8" x14ac:dyDescent="0.2">
      <c r="B7" s="18" t="s">
        <v>10</v>
      </c>
      <c r="C7" s="18" t="s">
        <v>11</v>
      </c>
      <c r="D7" s="18" t="s">
        <v>12</v>
      </c>
      <c r="E7" s="21">
        <v>2992033</v>
      </c>
      <c r="F7" s="19">
        <v>23089.518660999998</v>
      </c>
      <c r="G7" s="20">
        <v>7.6182494197297803</v>
      </c>
      <c r="H7" s="22"/>
    </row>
    <row r="8" spans="1:8" x14ac:dyDescent="0.2">
      <c r="B8" s="18" t="s">
        <v>13</v>
      </c>
      <c r="C8" s="18" t="s">
        <v>14</v>
      </c>
      <c r="D8" s="18" t="s">
        <v>12</v>
      </c>
      <c r="E8" s="21">
        <v>1409551</v>
      </c>
      <c r="F8" s="19">
        <v>17808.267334</v>
      </c>
      <c r="G8" s="20">
        <v>5.8757319403453803</v>
      </c>
      <c r="H8" s="22"/>
    </row>
    <row r="9" spans="1:8" x14ac:dyDescent="0.2">
      <c r="B9" s="18" t="s">
        <v>15</v>
      </c>
      <c r="C9" s="18" t="s">
        <v>16</v>
      </c>
      <c r="D9" s="18" t="s">
        <v>17</v>
      </c>
      <c r="E9" s="21">
        <v>708498</v>
      </c>
      <c r="F9" s="19">
        <v>13367.940264000001</v>
      </c>
      <c r="G9" s="20">
        <v>4.41067242043537</v>
      </c>
      <c r="H9" s="22"/>
    </row>
    <row r="10" spans="1:8" x14ac:dyDescent="0.2">
      <c r="B10" s="18" t="s">
        <v>23</v>
      </c>
      <c r="C10" s="18" t="s">
        <v>24</v>
      </c>
      <c r="D10" s="18" t="s">
        <v>25</v>
      </c>
      <c r="E10" s="21">
        <v>286651</v>
      </c>
      <c r="F10" s="19">
        <v>11506.17114</v>
      </c>
      <c r="G10" s="20">
        <v>3.7963927658083199</v>
      </c>
      <c r="H10" s="22"/>
    </row>
    <row r="11" spans="1:8" x14ac:dyDescent="0.2">
      <c r="B11" s="18" t="s">
        <v>18</v>
      </c>
      <c r="C11" s="18" t="s">
        <v>19</v>
      </c>
      <c r="D11" s="18" t="s">
        <v>12</v>
      </c>
      <c r="E11" s="21">
        <v>1057545</v>
      </c>
      <c r="F11" s="19">
        <v>11299.3395525</v>
      </c>
      <c r="G11" s="20">
        <v>3.7281499130841902</v>
      </c>
      <c r="H11" s="22"/>
    </row>
    <row r="12" spans="1:8" x14ac:dyDescent="0.2">
      <c r="B12" s="18" t="s">
        <v>26</v>
      </c>
      <c r="C12" s="18" t="s">
        <v>27</v>
      </c>
      <c r="D12" s="18" t="s">
        <v>28</v>
      </c>
      <c r="E12" s="21">
        <v>711879</v>
      </c>
      <c r="F12" s="19">
        <v>10185.564732000001</v>
      </c>
      <c r="G12" s="20">
        <v>3.3606665322237799</v>
      </c>
      <c r="H12" s="22"/>
    </row>
    <row r="13" spans="1:8" x14ac:dyDescent="0.2">
      <c r="B13" s="18" t="s">
        <v>20</v>
      </c>
      <c r="C13" s="18" t="s">
        <v>21</v>
      </c>
      <c r="D13" s="18" t="s">
        <v>22</v>
      </c>
      <c r="E13" s="21">
        <v>283389</v>
      </c>
      <c r="F13" s="19">
        <v>8777.9742750000005</v>
      </c>
      <c r="G13" s="20">
        <v>2.8962404287740799</v>
      </c>
      <c r="H13" s="22"/>
    </row>
    <row r="14" spans="1:8" x14ac:dyDescent="0.2">
      <c r="B14" s="18" t="s">
        <v>32</v>
      </c>
      <c r="C14" s="18" t="s">
        <v>33</v>
      </c>
      <c r="D14" s="18" t="s">
        <v>34</v>
      </c>
      <c r="E14" s="21">
        <v>650814</v>
      </c>
      <c r="F14" s="19">
        <v>7691.3198519999996</v>
      </c>
      <c r="G14" s="20">
        <v>2.53770526184358</v>
      </c>
      <c r="H14" s="22"/>
    </row>
    <row r="15" spans="1:8" x14ac:dyDescent="0.2">
      <c r="B15" s="18" t="s">
        <v>43</v>
      </c>
      <c r="C15" s="18" t="s">
        <v>44</v>
      </c>
      <c r="D15" s="18" t="s">
        <v>45</v>
      </c>
      <c r="E15" s="21">
        <v>2161448</v>
      </c>
      <c r="F15" s="19">
        <v>6806.3997520000003</v>
      </c>
      <c r="G15" s="20">
        <v>2.2457311355176302</v>
      </c>
      <c r="H15" s="22"/>
    </row>
    <row r="16" spans="1:8" x14ac:dyDescent="0.2">
      <c r="B16" s="18" t="s">
        <v>57</v>
      </c>
      <c r="C16" s="18" t="s">
        <v>58</v>
      </c>
      <c r="D16" s="18" t="s">
        <v>34</v>
      </c>
      <c r="E16" s="21">
        <v>236359</v>
      </c>
      <c r="F16" s="19">
        <v>5847.2853009999999</v>
      </c>
      <c r="G16" s="20">
        <v>1.9292770241494701</v>
      </c>
      <c r="H16" s="22"/>
    </row>
    <row r="17" spans="2:8" x14ac:dyDescent="0.2">
      <c r="B17" s="18" t="s">
        <v>69</v>
      </c>
      <c r="C17" s="18" t="s">
        <v>70</v>
      </c>
      <c r="D17" s="18" t="s">
        <v>71</v>
      </c>
      <c r="E17" s="21">
        <v>132090</v>
      </c>
      <c r="F17" s="19">
        <v>5792.41068</v>
      </c>
      <c r="G17" s="20">
        <v>1.9111714691689199</v>
      </c>
      <c r="H17" s="22"/>
    </row>
    <row r="18" spans="2:8" x14ac:dyDescent="0.2">
      <c r="B18" s="18" t="s">
        <v>29</v>
      </c>
      <c r="C18" s="18" t="s">
        <v>30</v>
      </c>
      <c r="D18" s="18" t="s">
        <v>31</v>
      </c>
      <c r="E18" s="21">
        <v>1449063</v>
      </c>
      <c r="F18" s="19">
        <v>5783.9349645000002</v>
      </c>
      <c r="G18" s="20">
        <v>1.90837495722609</v>
      </c>
      <c r="H18" s="22"/>
    </row>
    <row r="19" spans="2:8" x14ac:dyDescent="0.2">
      <c r="B19" s="18" t="s">
        <v>61</v>
      </c>
      <c r="C19" s="18" t="s">
        <v>62</v>
      </c>
      <c r="D19" s="18" t="s">
        <v>63</v>
      </c>
      <c r="E19" s="21">
        <v>193650</v>
      </c>
      <c r="F19" s="19">
        <v>5754.3097500000003</v>
      </c>
      <c r="G19" s="20">
        <v>1.89860029381766</v>
      </c>
      <c r="H19" s="22"/>
    </row>
    <row r="20" spans="2:8" x14ac:dyDescent="0.2">
      <c r="B20" s="18" t="s">
        <v>46</v>
      </c>
      <c r="C20" s="18" t="s">
        <v>47</v>
      </c>
      <c r="D20" s="18" t="s">
        <v>48</v>
      </c>
      <c r="E20" s="21">
        <v>2684562</v>
      </c>
      <c r="F20" s="19">
        <v>5674.0902432000003</v>
      </c>
      <c r="G20" s="20">
        <v>1.8721323444375599</v>
      </c>
      <c r="H20" s="22"/>
    </row>
    <row r="21" spans="2:8" x14ac:dyDescent="0.2">
      <c r="B21" s="18" t="s">
        <v>35</v>
      </c>
      <c r="C21" s="18" t="s">
        <v>36</v>
      </c>
      <c r="D21" s="18" t="s">
        <v>37</v>
      </c>
      <c r="E21" s="21">
        <v>98946</v>
      </c>
      <c r="F21" s="19">
        <v>5665.6479600000002</v>
      </c>
      <c r="G21" s="20">
        <v>1.8693468632833701</v>
      </c>
      <c r="H21" s="22"/>
    </row>
    <row r="22" spans="2:8" x14ac:dyDescent="0.2">
      <c r="B22" s="18" t="s">
        <v>38</v>
      </c>
      <c r="C22" s="18" t="s">
        <v>39</v>
      </c>
      <c r="D22" s="18" t="s">
        <v>28</v>
      </c>
      <c r="E22" s="21">
        <v>3662253</v>
      </c>
      <c r="F22" s="19">
        <v>5209.5548925000003</v>
      </c>
      <c r="G22" s="20">
        <v>1.71886166704177</v>
      </c>
      <c r="H22" s="22"/>
    </row>
    <row r="23" spans="2:8" x14ac:dyDescent="0.2">
      <c r="B23" s="18" t="s">
        <v>199</v>
      </c>
      <c r="C23" s="18" t="s">
        <v>200</v>
      </c>
      <c r="D23" s="18" t="s">
        <v>170</v>
      </c>
      <c r="E23" s="21">
        <v>74157</v>
      </c>
      <c r="F23" s="19">
        <v>5058.2489699999996</v>
      </c>
      <c r="G23" s="20">
        <v>1.6689391773956701</v>
      </c>
      <c r="H23" s="22"/>
    </row>
    <row r="24" spans="2:8" x14ac:dyDescent="0.2">
      <c r="B24" s="18" t="s">
        <v>40</v>
      </c>
      <c r="C24" s="18" t="s">
        <v>41</v>
      </c>
      <c r="D24" s="18" t="s">
        <v>42</v>
      </c>
      <c r="E24" s="21">
        <v>142828</v>
      </c>
      <c r="F24" s="19">
        <v>4629.912448</v>
      </c>
      <c r="G24" s="20">
        <v>1.5276120883348101</v>
      </c>
      <c r="H24" s="22"/>
    </row>
    <row r="25" spans="2:8" x14ac:dyDescent="0.2">
      <c r="B25" s="18" t="s">
        <v>100</v>
      </c>
      <c r="C25" s="18" t="s">
        <v>101</v>
      </c>
      <c r="D25" s="18" t="s">
        <v>84</v>
      </c>
      <c r="E25" s="21">
        <v>284615</v>
      </c>
      <c r="F25" s="19">
        <v>4513.1400549999998</v>
      </c>
      <c r="G25" s="20">
        <v>1.4890837314524601</v>
      </c>
      <c r="H25" s="22"/>
    </row>
    <row r="26" spans="2:8" x14ac:dyDescent="0.2">
      <c r="B26" s="18" t="s">
        <v>49</v>
      </c>
      <c r="C26" s="18" t="s">
        <v>50</v>
      </c>
      <c r="D26" s="18" t="s">
        <v>51</v>
      </c>
      <c r="E26" s="21">
        <v>1097962</v>
      </c>
      <c r="F26" s="19">
        <v>4484.0768079999998</v>
      </c>
      <c r="G26" s="20">
        <v>1.47949448587987</v>
      </c>
      <c r="H26" s="22"/>
    </row>
    <row r="27" spans="2:8" x14ac:dyDescent="0.2">
      <c r="B27" s="18" t="s">
        <v>55</v>
      </c>
      <c r="C27" s="18" t="s">
        <v>56</v>
      </c>
      <c r="D27" s="18" t="s">
        <v>37</v>
      </c>
      <c r="E27" s="21">
        <v>293607</v>
      </c>
      <c r="F27" s="19">
        <v>4282.5517019999998</v>
      </c>
      <c r="G27" s="20">
        <v>1.41300247518071</v>
      </c>
      <c r="H27" s="22"/>
    </row>
    <row r="28" spans="2:8" x14ac:dyDescent="0.2">
      <c r="B28" s="18" t="s">
        <v>66</v>
      </c>
      <c r="C28" s="18" t="s">
        <v>67</v>
      </c>
      <c r="D28" s="18" t="s">
        <v>68</v>
      </c>
      <c r="E28" s="21">
        <v>1695007</v>
      </c>
      <c r="F28" s="19">
        <v>4187.1757920999999</v>
      </c>
      <c r="G28" s="20">
        <v>1.38153376069949</v>
      </c>
      <c r="H28" s="22"/>
    </row>
    <row r="29" spans="2:8" x14ac:dyDescent="0.2">
      <c r="B29" s="18" t="s">
        <v>229</v>
      </c>
      <c r="C29" s="18" t="s">
        <v>230</v>
      </c>
      <c r="D29" s="18" t="s">
        <v>226</v>
      </c>
      <c r="E29" s="21">
        <v>388631</v>
      </c>
      <c r="F29" s="19">
        <v>4154.0767589999996</v>
      </c>
      <c r="G29" s="20">
        <v>1.3706129314951301</v>
      </c>
      <c r="H29" s="22"/>
    </row>
    <row r="30" spans="2:8" x14ac:dyDescent="0.2">
      <c r="B30" s="18" t="s">
        <v>214</v>
      </c>
      <c r="C30" s="18" t="s">
        <v>215</v>
      </c>
      <c r="D30" s="18" t="s">
        <v>168</v>
      </c>
      <c r="E30" s="21">
        <v>2429075</v>
      </c>
      <c r="F30" s="19">
        <v>4032.7503149999998</v>
      </c>
      <c r="G30" s="20">
        <v>1.3305819925582301</v>
      </c>
      <c r="H30" s="22"/>
    </row>
    <row r="31" spans="2:8" x14ac:dyDescent="0.2">
      <c r="B31" s="18" t="s">
        <v>164</v>
      </c>
      <c r="C31" s="18" t="s">
        <v>165</v>
      </c>
      <c r="D31" s="18" t="s">
        <v>22</v>
      </c>
      <c r="E31" s="21">
        <v>112806</v>
      </c>
      <c r="F31" s="19">
        <v>3940.2007739999999</v>
      </c>
      <c r="G31" s="20">
        <v>1.3000458216933799</v>
      </c>
      <c r="H31" s="22"/>
    </row>
    <row r="32" spans="2:8" x14ac:dyDescent="0.2">
      <c r="B32" s="18" t="s">
        <v>72</v>
      </c>
      <c r="C32" s="18" t="s">
        <v>73</v>
      </c>
      <c r="D32" s="18" t="s">
        <v>63</v>
      </c>
      <c r="E32" s="21">
        <v>114133</v>
      </c>
      <c r="F32" s="19">
        <v>3755.203966</v>
      </c>
      <c r="G32" s="20">
        <v>1.2390072246619701</v>
      </c>
      <c r="H32" s="22"/>
    </row>
    <row r="33" spans="2:8" x14ac:dyDescent="0.2">
      <c r="B33" s="18" t="s">
        <v>94</v>
      </c>
      <c r="C33" s="18" t="s">
        <v>95</v>
      </c>
      <c r="D33" s="18" t="s">
        <v>84</v>
      </c>
      <c r="E33" s="21">
        <v>470473</v>
      </c>
      <c r="F33" s="19">
        <v>3753.9040669999999</v>
      </c>
      <c r="G33" s="20">
        <v>1.2385783307145599</v>
      </c>
      <c r="H33" s="22"/>
    </row>
    <row r="34" spans="2:8" x14ac:dyDescent="0.2">
      <c r="B34" s="18" t="s">
        <v>178</v>
      </c>
      <c r="C34" s="18" t="s">
        <v>179</v>
      </c>
      <c r="D34" s="18" t="s">
        <v>166</v>
      </c>
      <c r="E34" s="21">
        <v>45946</v>
      </c>
      <c r="F34" s="19">
        <v>3726.4503300000001</v>
      </c>
      <c r="G34" s="20">
        <v>1.2295201333982599</v>
      </c>
      <c r="H34" s="22"/>
    </row>
    <row r="35" spans="2:8" x14ac:dyDescent="0.2">
      <c r="B35" s="18" t="s">
        <v>205</v>
      </c>
      <c r="C35" s="18" t="s">
        <v>206</v>
      </c>
      <c r="D35" s="18" t="s">
        <v>54</v>
      </c>
      <c r="E35" s="21">
        <v>232711</v>
      </c>
      <c r="F35" s="19">
        <v>3669.387048</v>
      </c>
      <c r="G35" s="20">
        <v>1.2106924427318999</v>
      </c>
      <c r="H35" s="22"/>
    </row>
    <row r="36" spans="2:8" x14ac:dyDescent="0.2">
      <c r="B36" s="18" t="s">
        <v>52</v>
      </c>
      <c r="C36" s="18" t="s">
        <v>53</v>
      </c>
      <c r="D36" s="18" t="s">
        <v>54</v>
      </c>
      <c r="E36" s="21">
        <v>76386</v>
      </c>
      <c r="F36" s="19">
        <v>3281.0078579999999</v>
      </c>
      <c r="G36" s="20">
        <v>1.0825490378262701</v>
      </c>
      <c r="H36" s="22"/>
    </row>
    <row r="37" spans="2:8" x14ac:dyDescent="0.2">
      <c r="B37" s="18" t="s">
        <v>197</v>
      </c>
      <c r="C37" s="18" t="s">
        <v>198</v>
      </c>
      <c r="D37" s="18" t="s">
        <v>12</v>
      </c>
      <c r="E37" s="21">
        <v>1073446</v>
      </c>
      <c r="F37" s="19">
        <v>3150.5640100000001</v>
      </c>
      <c r="G37" s="20">
        <v>1.03950986564068</v>
      </c>
      <c r="H37" s="22"/>
    </row>
    <row r="38" spans="2:8" x14ac:dyDescent="0.2">
      <c r="B38" s="18" t="s">
        <v>76</v>
      </c>
      <c r="C38" s="18" t="s">
        <v>77</v>
      </c>
      <c r="D38" s="18" t="s">
        <v>78</v>
      </c>
      <c r="E38" s="21">
        <v>164899</v>
      </c>
      <c r="F38" s="19">
        <v>2981.8686170000001</v>
      </c>
      <c r="G38" s="20">
        <v>0.98384982357994499</v>
      </c>
      <c r="H38" s="22"/>
    </row>
    <row r="39" spans="2:8" x14ac:dyDescent="0.2">
      <c r="B39" s="18" t="s">
        <v>74</v>
      </c>
      <c r="C39" s="18" t="s">
        <v>75</v>
      </c>
      <c r="D39" s="18" t="s">
        <v>12</v>
      </c>
      <c r="E39" s="21">
        <v>989676</v>
      </c>
      <c r="F39" s="19">
        <v>2839.875282</v>
      </c>
      <c r="G39" s="20">
        <v>0.93699996681803699</v>
      </c>
      <c r="H39" s="22"/>
    </row>
    <row r="40" spans="2:8" x14ac:dyDescent="0.2">
      <c r="B40" s="18" t="s">
        <v>241</v>
      </c>
      <c r="C40" s="18" t="s">
        <v>242</v>
      </c>
      <c r="D40" s="18" t="s">
        <v>166</v>
      </c>
      <c r="E40" s="21">
        <v>180669</v>
      </c>
      <c r="F40" s="19">
        <v>2838.3099900000002</v>
      </c>
      <c r="G40" s="20">
        <v>0.93648350802797797</v>
      </c>
      <c r="H40" s="22"/>
    </row>
    <row r="41" spans="2:8" x14ac:dyDescent="0.2">
      <c r="B41" s="18" t="s">
        <v>210</v>
      </c>
      <c r="C41" s="18" t="s">
        <v>211</v>
      </c>
      <c r="D41" s="18" t="s">
        <v>166</v>
      </c>
      <c r="E41" s="21">
        <v>506446</v>
      </c>
      <c r="F41" s="19">
        <v>2803.1786099999999</v>
      </c>
      <c r="G41" s="20">
        <v>0.92489211804584903</v>
      </c>
      <c r="H41" s="22"/>
    </row>
    <row r="42" spans="2:8" x14ac:dyDescent="0.2">
      <c r="B42" s="18" t="s">
        <v>254</v>
      </c>
      <c r="C42" s="18" t="s">
        <v>255</v>
      </c>
      <c r="D42" s="18" t="s">
        <v>256</v>
      </c>
      <c r="E42" s="21">
        <v>184962</v>
      </c>
      <c r="F42" s="19">
        <v>2792.1863520000002</v>
      </c>
      <c r="G42" s="20">
        <v>0.92126528786547501</v>
      </c>
      <c r="H42" s="22"/>
    </row>
    <row r="43" spans="2:8" x14ac:dyDescent="0.2">
      <c r="B43" s="18" t="s">
        <v>129</v>
      </c>
      <c r="C43" s="18" t="s">
        <v>130</v>
      </c>
      <c r="D43" s="18" t="s">
        <v>78</v>
      </c>
      <c r="E43" s="21">
        <v>242309</v>
      </c>
      <c r="F43" s="19">
        <v>2667.7009355</v>
      </c>
      <c r="G43" s="20">
        <v>0.88019206473164702</v>
      </c>
      <c r="H43" s="22"/>
    </row>
    <row r="44" spans="2:8" x14ac:dyDescent="0.2">
      <c r="B44" s="18" t="s">
        <v>89</v>
      </c>
      <c r="C44" s="18" t="s">
        <v>90</v>
      </c>
      <c r="D44" s="18" t="s">
        <v>34</v>
      </c>
      <c r="E44" s="21">
        <v>179059</v>
      </c>
      <c r="F44" s="19">
        <v>2638.4343650000001</v>
      </c>
      <c r="G44" s="20">
        <v>0.87053573377894899</v>
      </c>
      <c r="H44" s="22"/>
    </row>
    <row r="45" spans="2:8" x14ac:dyDescent="0.2">
      <c r="B45" s="18" t="s">
        <v>117</v>
      </c>
      <c r="C45" s="18" t="s">
        <v>118</v>
      </c>
      <c r="D45" s="18" t="s">
        <v>28</v>
      </c>
      <c r="E45" s="21">
        <v>678493</v>
      </c>
      <c r="F45" s="19">
        <v>2541.2955314999999</v>
      </c>
      <c r="G45" s="20">
        <v>0.83848535313612604</v>
      </c>
      <c r="H45" s="22"/>
    </row>
    <row r="46" spans="2:8" x14ac:dyDescent="0.2">
      <c r="B46" s="18" t="s">
        <v>134</v>
      </c>
      <c r="C46" s="18" t="s">
        <v>135</v>
      </c>
      <c r="D46" s="18" t="s">
        <v>63</v>
      </c>
      <c r="E46" s="21">
        <v>242858</v>
      </c>
      <c r="F46" s="19">
        <v>2452.7443709999998</v>
      </c>
      <c r="G46" s="20">
        <v>0.80926842414769395</v>
      </c>
      <c r="H46" s="22"/>
    </row>
    <row r="47" spans="2:8" x14ac:dyDescent="0.2">
      <c r="B47" s="18" t="s">
        <v>102</v>
      </c>
      <c r="C47" s="18" t="s">
        <v>103</v>
      </c>
      <c r="D47" s="18" t="s">
        <v>48</v>
      </c>
      <c r="E47" s="21">
        <v>178144</v>
      </c>
      <c r="F47" s="19">
        <v>2252.6308800000002</v>
      </c>
      <c r="G47" s="20">
        <v>0.743242167426029</v>
      </c>
      <c r="H47" s="22"/>
    </row>
    <row r="48" spans="2:8" x14ac:dyDescent="0.2">
      <c r="B48" s="18" t="s">
        <v>87</v>
      </c>
      <c r="C48" s="18" t="s">
        <v>88</v>
      </c>
      <c r="D48" s="18" t="s">
        <v>68</v>
      </c>
      <c r="E48" s="21">
        <v>435986</v>
      </c>
      <c r="F48" s="19">
        <v>2249.469767</v>
      </c>
      <c r="G48" s="20">
        <v>0.74219917698384996</v>
      </c>
      <c r="H48" s="22"/>
    </row>
    <row r="49" spans="2:8" x14ac:dyDescent="0.2">
      <c r="B49" s="18" t="s">
        <v>91</v>
      </c>
      <c r="C49" s="18" t="s">
        <v>92</v>
      </c>
      <c r="D49" s="18" t="s">
        <v>93</v>
      </c>
      <c r="E49" s="21">
        <v>816494</v>
      </c>
      <c r="F49" s="19">
        <v>2217.1894569999999</v>
      </c>
      <c r="G49" s="20">
        <v>0.73154848059919197</v>
      </c>
      <c r="H49" s="22"/>
    </row>
    <row r="50" spans="2:8" x14ac:dyDescent="0.2">
      <c r="B50" s="18" t="s">
        <v>115</v>
      </c>
      <c r="C50" s="18" t="s">
        <v>116</v>
      </c>
      <c r="D50" s="18" t="s">
        <v>42</v>
      </c>
      <c r="E50" s="21">
        <v>1248690</v>
      </c>
      <c r="F50" s="19">
        <v>2024.0016209999999</v>
      </c>
      <c r="G50" s="20">
        <v>0.667807302573175</v>
      </c>
      <c r="H50" s="22"/>
    </row>
    <row r="51" spans="2:8" x14ac:dyDescent="0.2">
      <c r="B51" s="18" t="s">
        <v>96</v>
      </c>
      <c r="C51" s="18" t="s">
        <v>97</v>
      </c>
      <c r="D51" s="18" t="s">
        <v>22</v>
      </c>
      <c r="E51" s="21">
        <v>39184</v>
      </c>
      <c r="F51" s="19">
        <v>1997.99216</v>
      </c>
      <c r="G51" s="20">
        <v>0.65922563553715197</v>
      </c>
      <c r="H51" s="22"/>
    </row>
    <row r="52" spans="2:8" x14ac:dyDescent="0.2">
      <c r="B52" s="18" t="s">
        <v>216</v>
      </c>
      <c r="C52" s="18" t="s">
        <v>217</v>
      </c>
      <c r="D52" s="18" t="s">
        <v>162</v>
      </c>
      <c r="E52" s="21">
        <v>143199</v>
      </c>
      <c r="F52" s="19">
        <v>1957.816728</v>
      </c>
      <c r="G52" s="20">
        <v>0.64596999058348004</v>
      </c>
      <c r="H52" s="22"/>
    </row>
    <row r="53" spans="2:8" x14ac:dyDescent="0.2">
      <c r="B53" s="18" t="s">
        <v>85</v>
      </c>
      <c r="C53" s="18" t="s">
        <v>86</v>
      </c>
      <c r="D53" s="18" t="s">
        <v>51</v>
      </c>
      <c r="E53" s="21">
        <v>1462708</v>
      </c>
      <c r="F53" s="19">
        <v>1772.9483668</v>
      </c>
      <c r="G53" s="20">
        <v>0.58497377381014604</v>
      </c>
      <c r="H53" s="22"/>
    </row>
    <row r="54" spans="2:8" x14ac:dyDescent="0.2">
      <c r="B54" s="18" t="s">
        <v>257</v>
      </c>
      <c r="C54" s="18" t="s">
        <v>258</v>
      </c>
      <c r="D54" s="18" t="s">
        <v>51</v>
      </c>
      <c r="E54" s="21">
        <v>1421410</v>
      </c>
      <c r="F54" s="19">
        <v>1727.865996</v>
      </c>
      <c r="G54" s="20">
        <v>0.57009911357016296</v>
      </c>
      <c r="H54" s="22"/>
    </row>
    <row r="55" spans="2:8" x14ac:dyDescent="0.2">
      <c r="B55" s="18" t="s">
        <v>59</v>
      </c>
      <c r="C55" s="18" t="s">
        <v>60</v>
      </c>
      <c r="D55" s="18" t="s">
        <v>12</v>
      </c>
      <c r="E55" s="21">
        <v>134554</v>
      </c>
      <c r="F55" s="19">
        <v>1706.5483819999999</v>
      </c>
      <c r="G55" s="20">
        <v>0.56306549355971902</v>
      </c>
      <c r="H55" s="22"/>
    </row>
    <row r="56" spans="2:8" x14ac:dyDescent="0.2">
      <c r="B56" s="18" t="s">
        <v>218</v>
      </c>
      <c r="C56" s="18" t="s">
        <v>219</v>
      </c>
      <c r="D56" s="18" t="s">
        <v>78</v>
      </c>
      <c r="E56" s="21">
        <v>147842</v>
      </c>
      <c r="F56" s="19">
        <v>1619.978715</v>
      </c>
      <c r="G56" s="20">
        <v>0.53450234657203799</v>
      </c>
      <c r="H56" s="22"/>
    </row>
    <row r="57" spans="2:8" x14ac:dyDescent="0.2">
      <c r="B57" s="18" t="s">
        <v>259</v>
      </c>
      <c r="C57" s="18" t="s">
        <v>260</v>
      </c>
      <c r="D57" s="18" t="s">
        <v>31</v>
      </c>
      <c r="E57" s="21">
        <v>768087</v>
      </c>
      <c r="F57" s="19">
        <v>1595.316699</v>
      </c>
      <c r="G57" s="20">
        <v>0.52636526100348002</v>
      </c>
      <c r="H57" s="22"/>
    </row>
    <row r="58" spans="2:8" x14ac:dyDescent="0.2">
      <c r="B58" s="18" t="s">
        <v>82</v>
      </c>
      <c r="C58" s="18" t="s">
        <v>83</v>
      </c>
      <c r="D58" s="18" t="s">
        <v>84</v>
      </c>
      <c r="E58" s="21">
        <v>86053</v>
      </c>
      <c r="F58" s="19">
        <v>1565.3040699999999</v>
      </c>
      <c r="G58" s="20">
        <v>0.51646277248387196</v>
      </c>
      <c r="H58" s="22"/>
    </row>
    <row r="59" spans="2:8" x14ac:dyDescent="0.2">
      <c r="B59" s="18" t="s">
        <v>105</v>
      </c>
      <c r="C59" s="18" t="s">
        <v>106</v>
      </c>
      <c r="D59" s="18" t="s">
        <v>63</v>
      </c>
      <c r="E59" s="21">
        <v>614003</v>
      </c>
      <c r="F59" s="19">
        <v>1320.0450496999999</v>
      </c>
      <c r="G59" s="20">
        <v>0.43554101675061302</v>
      </c>
      <c r="H59" s="22"/>
    </row>
    <row r="60" spans="2:8" x14ac:dyDescent="0.2">
      <c r="B60" s="18" t="s">
        <v>98</v>
      </c>
      <c r="C60" s="18" t="s">
        <v>99</v>
      </c>
      <c r="D60" s="18" t="s">
        <v>12</v>
      </c>
      <c r="E60" s="21">
        <v>6483231</v>
      </c>
      <c r="F60" s="19">
        <v>1292.1079382999999</v>
      </c>
      <c r="G60" s="20">
        <v>0.42632333292459801</v>
      </c>
      <c r="H60" s="22"/>
    </row>
    <row r="61" spans="2:8" x14ac:dyDescent="0.2">
      <c r="B61" s="18" t="s">
        <v>261</v>
      </c>
      <c r="C61" s="18" t="s">
        <v>262</v>
      </c>
      <c r="D61" s="18" t="s">
        <v>78</v>
      </c>
      <c r="E61" s="21">
        <v>231690</v>
      </c>
      <c r="F61" s="19">
        <v>1268.03937</v>
      </c>
      <c r="G61" s="20">
        <v>0.41838205189673</v>
      </c>
      <c r="H61" s="22"/>
    </row>
    <row r="62" spans="2:8" x14ac:dyDescent="0.2">
      <c r="B62" s="18" t="s">
        <v>159</v>
      </c>
      <c r="C62" s="18" t="s">
        <v>160</v>
      </c>
      <c r="D62" s="18" t="s">
        <v>161</v>
      </c>
      <c r="E62" s="21">
        <v>76122</v>
      </c>
      <c r="F62" s="19">
        <v>1261.5699059999999</v>
      </c>
      <c r="G62" s="20">
        <v>0.41624749070957101</v>
      </c>
      <c r="H62" s="22"/>
    </row>
    <row r="63" spans="2:8" x14ac:dyDescent="0.2">
      <c r="B63" s="18" t="s">
        <v>119</v>
      </c>
      <c r="C63" s="18" t="s">
        <v>120</v>
      </c>
      <c r="D63" s="18" t="s">
        <v>48</v>
      </c>
      <c r="E63" s="21">
        <v>672424</v>
      </c>
      <c r="F63" s="19">
        <v>1241.4291888</v>
      </c>
      <c r="G63" s="20">
        <v>0.40960218080187599</v>
      </c>
      <c r="H63" s="22"/>
    </row>
    <row r="64" spans="2:8" x14ac:dyDescent="0.2">
      <c r="B64" s="18" t="s">
        <v>191</v>
      </c>
      <c r="C64" s="18" t="s">
        <v>192</v>
      </c>
      <c r="D64" s="18" t="s">
        <v>84</v>
      </c>
      <c r="E64" s="21">
        <v>241374</v>
      </c>
      <c r="F64" s="19">
        <v>1240.300299</v>
      </c>
      <c r="G64" s="20">
        <v>0.40922971032338501</v>
      </c>
      <c r="H64" s="22"/>
    </row>
    <row r="65" spans="2:8" x14ac:dyDescent="0.2">
      <c r="B65" s="18" t="s">
        <v>127</v>
      </c>
      <c r="C65" s="18" t="s">
        <v>128</v>
      </c>
      <c r="D65" s="18" t="s">
        <v>34</v>
      </c>
      <c r="E65" s="21">
        <v>28427</v>
      </c>
      <c r="F65" s="19">
        <v>1213.719192</v>
      </c>
      <c r="G65" s="20">
        <v>0.40045943208798102</v>
      </c>
      <c r="H65" s="22"/>
    </row>
    <row r="66" spans="2:8" x14ac:dyDescent="0.2">
      <c r="B66" s="18" t="s">
        <v>220</v>
      </c>
      <c r="C66" s="18" t="s">
        <v>221</v>
      </c>
      <c r="D66" s="18" t="s">
        <v>196</v>
      </c>
      <c r="E66" s="21">
        <v>2805074</v>
      </c>
      <c r="F66" s="19">
        <v>1170.8378875999999</v>
      </c>
      <c r="G66" s="20">
        <v>0.38631100062178803</v>
      </c>
      <c r="H66" s="22"/>
    </row>
    <row r="67" spans="2:8" x14ac:dyDescent="0.2">
      <c r="B67" s="18" t="s">
        <v>245</v>
      </c>
      <c r="C67" s="18" t="s">
        <v>246</v>
      </c>
      <c r="D67" s="18" t="s">
        <v>169</v>
      </c>
      <c r="E67" s="21">
        <v>334101</v>
      </c>
      <c r="F67" s="19">
        <v>1137.9480060000001</v>
      </c>
      <c r="G67" s="20">
        <v>0.37545917971148801</v>
      </c>
      <c r="H67" s="22"/>
    </row>
    <row r="68" spans="2:8" x14ac:dyDescent="0.2">
      <c r="B68" s="18" t="s">
        <v>125</v>
      </c>
      <c r="C68" s="18" t="s">
        <v>126</v>
      </c>
      <c r="D68" s="18" t="s">
        <v>51</v>
      </c>
      <c r="E68" s="21">
        <v>866</v>
      </c>
      <c r="F68" s="19">
        <v>1123.2886000000001</v>
      </c>
      <c r="G68" s="20">
        <v>0.37062239584896001</v>
      </c>
      <c r="H68" s="22"/>
    </row>
    <row r="69" spans="2:8" x14ac:dyDescent="0.2">
      <c r="B69" s="18" t="s">
        <v>237</v>
      </c>
      <c r="C69" s="18" t="s">
        <v>238</v>
      </c>
      <c r="D69" s="18" t="s">
        <v>78</v>
      </c>
      <c r="E69" s="21">
        <v>23799</v>
      </c>
      <c r="F69" s="19">
        <v>1121.0756940000001</v>
      </c>
      <c r="G69" s="20">
        <v>0.36989226066953301</v>
      </c>
      <c r="H69" s="22"/>
    </row>
    <row r="70" spans="2:8" x14ac:dyDescent="0.2">
      <c r="B70" s="18" t="s">
        <v>171</v>
      </c>
      <c r="C70" s="18" t="s">
        <v>172</v>
      </c>
      <c r="D70" s="18" t="s">
        <v>158</v>
      </c>
      <c r="E70" s="21">
        <v>186677</v>
      </c>
      <c r="F70" s="19">
        <v>1112.5015814999999</v>
      </c>
      <c r="G70" s="20">
        <v>0.367063283221504</v>
      </c>
      <c r="H70" s="22"/>
    </row>
    <row r="71" spans="2:8" x14ac:dyDescent="0.2">
      <c r="B71" s="18" t="s">
        <v>187</v>
      </c>
      <c r="C71" s="18" t="s">
        <v>188</v>
      </c>
      <c r="D71" s="18" t="s">
        <v>12</v>
      </c>
      <c r="E71" s="21">
        <v>128532</v>
      </c>
      <c r="F71" s="19">
        <v>1094.899842</v>
      </c>
      <c r="G71" s="20">
        <v>0.36125569391222101</v>
      </c>
      <c r="H71" s="22"/>
    </row>
    <row r="72" spans="2:8" x14ac:dyDescent="0.2">
      <c r="B72" s="18" t="s">
        <v>263</v>
      </c>
      <c r="C72" s="18" t="s">
        <v>264</v>
      </c>
      <c r="D72" s="18" t="s">
        <v>51</v>
      </c>
      <c r="E72" s="21">
        <v>225663</v>
      </c>
      <c r="F72" s="19">
        <v>1069.0784624999999</v>
      </c>
      <c r="G72" s="20">
        <v>0.35273608324901701</v>
      </c>
      <c r="H72" s="22"/>
    </row>
    <row r="73" spans="2:8" x14ac:dyDescent="0.2">
      <c r="B73" s="18" t="s">
        <v>231</v>
      </c>
      <c r="C73" s="18" t="s">
        <v>232</v>
      </c>
      <c r="D73" s="18" t="s">
        <v>196</v>
      </c>
      <c r="E73" s="21">
        <v>116121</v>
      </c>
      <c r="F73" s="19">
        <v>1012.2848175</v>
      </c>
      <c r="G73" s="20">
        <v>0.33399735770787398</v>
      </c>
      <c r="H73" s="22"/>
    </row>
    <row r="74" spans="2:8" x14ac:dyDescent="0.2">
      <c r="B74" s="18" t="s">
        <v>243</v>
      </c>
      <c r="C74" s="18" t="s">
        <v>244</v>
      </c>
      <c r="D74" s="18" t="s">
        <v>51</v>
      </c>
      <c r="E74" s="21">
        <v>246745</v>
      </c>
      <c r="F74" s="19">
        <v>1002.031445</v>
      </c>
      <c r="G74" s="20">
        <v>0.33061431840570199</v>
      </c>
      <c r="H74" s="22"/>
    </row>
    <row r="75" spans="2:8" x14ac:dyDescent="0.2">
      <c r="B75" s="18" t="s">
        <v>346</v>
      </c>
      <c r="C75" s="18" t="s">
        <v>110</v>
      </c>
      <c r="D75" s="18" t="s">
        <v>31</v>
      </c>
      <c r="E75" s="21">
        <v>816494</v>
      </c>
      <c r="F75" s="19">
        <v>988.16186349999998</v>
      </c>
      <c r="G75" s="20">
        <v>0.32603813244160301</v>
      </c>
      <c r="H75" s="22"/>
    </row>
    <row r="76" spans="2:8" x14ac:dyDescent="0.2">
      <c r="B76" s="18" t="s">
        <v>347</v>
      </c>
      <c r="C76" s="18" t="s">
        <v>112</v>
      </c>
      <c r="D76" s="18" t="s">
        <v>113</v>
      </c>
      <c r="E76" s="21">
        <v>816494</v>
      </c>
      <c r="F76" s="19">
        <v>988.16186349999998</v>
      </c>
      <c r="G76" s="20">
        <v>0.32603813244160301</v>
      </c>
      <c r="H76" s="22"/>
    </row>
    <row r="77" spans="2:8" x14ac:dyDescent="0.2">
      <c r="B77" s="18" t="s">
        <v>345</v>
      </c>
      <c r="C77" s="18" t="s">
        <v>111</v>
      </c>
      <c r="D77" s="18" t="s">
        <v>31</v>
      </c>
      <c r="E77" s="21">
        <v>816494</v>
      </c>
      <c r="F77" s="19">
        <v>988.16186349999998</v>
      </c>
      <c r="G77" s="20">
        <v>0.32603813244160301</v>
      </c>
      <c r="H77" s="22"/>
    </row>
    <row r="78" spans="2:8" x14ac:dyDescent="0.2">
      <c r="B78" s="18" t="s">
        <v>344</v>
      </c>
      <c r="C78" s="18" t="s">
        <v>114</v>
      </c>
      <c r="D78" s="18" t="s">
        <v>113</v>
      </c>
      <c r="E78" s="21">
        <v>816494</v>
      </c>
      <c r="F78" s="19">
        <v>988.16186349999998</v>
      </c>
      <c r="G78" s="20">
        <v>0.32603813244160301</v>
      </c>
      <c r="H78" s="22"/>
    </row>
    <row r="79" spans="2:8" x14ac:dyDescent="0.2">
      <c r="B79" s="18" t="s">
        <v>123</v>
      </c>
      <c r="C79" s="18" t="s">
        <v>124</v>
      </c>
      <c r="D79" s="18" t="s">
        <v>113</v>
      </c>
      <c r="E79" s="21">
        <v>40731</v>
      </c>
      <c r="F79" s="19">
        <v>980.96540400000004</v>
      </c>
      <c r="G79" s="20">
        <v>0.32366370341105799</v>
      </c>
      <c r="H79" s="22"/>
    </row>
    <row r="80" spans="2:8" x14ac:dyDescent="0.2">
      <c r="B80" s="18" t="s">
        <v>180</v>
      </c>
      <c r="C80" s="18" t="s">
        <v>181</v>
      </c>
      <c r="D80" s="18" t="s">
        <v>163</v>
      </c>
      <c r="E80" s="21">
        <v>123477</v>
      </c>
      <c r="F80" s="19">
        <v>956.94674999999995</v>
      </c>
      <c r="G80" s="20">
        <v>0.31573889130974497</v>
      </c>
      <c r="H80" s="22"/>
    </row>
    <row r="81" spans="2:8" x14ac:dyDescent="0.2">
      <c r="B81" s="18" t="s">
        <v>107</v>
      </c>
      <c r="C81" s="18" t="s">
        <v>108</v>
      </c>
      <c r="D81" s="18" t="s">
        <v>28</v>
      </c>
      <c r="E81" s="21">
        <v>301721</v>
      </c>
      <c r="F81" s="19">
        <v>906.52074449999998</v>
      </c>
      <c r="G81" s="20">
        <v>0.29910113056731202</v>
      </c>
      <c r="H81" s="22"/>
    </row>
    <row r="82" spans="2:8" x14ac:dyDescent="0.2">
      <c r="B82" s="18" t="s">
        <v>201</v>
      </c>
      <c r="C82" s="18" t="s">
        <v>202</v>
      </c>
      <c r="D82" s="18" t="s">
        <v>12</v>
      </c>
      <c r="E82" s="21">
        <v>325866</v>
      </c>
      <c r="F82" s="19">
        <v>880.13147939999999</v>
      </c>
      <c r="G82" s="20">
        <v>0.290394149426352</v>
      </c>
      <c r="H82" s="22"/>
    </row>
    <row r="83" spans="2:8" x14ac:dyDescent="0.2">
      <c r="B83" s="18" t="s">
        <v>239</v>
      </c>
      <c r="C83" s="18" t="s">
        <v>240</v>
      </c>
      <c r="D83" s="18" t="s">
        <v>133</v>
      </c>
      <c r="E83" s="21">
        <v>609401</v>
      </c>
      <c r="F83" s="19">
        <v>847.49397069999998</v>
      </c>
      <c r="G83" s="20">
        <v>0.27962559745410198</v>
      </c>
      <c r="H83" s="22"/>
    </row>
    <row r="84" spans="2:8" x14ac:dyDescent="0.2">
      <c r="B84" s="18" t="s">
        <v>233</v>
      </c>
      <c r="C84" s="18" t="s">
        <v>234</v>
      </c>
      <c r="D84" s="18" t="s">
        <v>173</v>
      </c>
      <c r="E84" s="21">
        <v>81594</v>
      </c>
      <c r="F84" s="19">
        <v>782.44566299999997</v>
      </c>
      <c r="G84" s="20">
        <v>0.25816329502737601</v>
      </c>
      <c r="H84" s="22"/>
    </row>
    <row r="85" spans="2:8" x14ac:dyDescent="0.2">
      <c r="B85" s="18" t="s">
        <v>235</v>
      </c>
      <c r="C85" s="18" t="s">
        <v>236</v>
      </c>
      <c r="D85" s="18" t="s">
        <v>51</v>
      </c>
      <c r="E85" s="21">
        <v>22612</v>
      </c>
      <c r="F85" s="19">
        <v>779.02862400000004</v>
      </c>
      <c r="G85" s="20">
        <v>0.257035863322924</v>
      </c>
      <c r="H85" s="22"/>
    </row>
    <row r="86" spans="2:8" x14ac:dyDescent="0.2">
      <c r="B86" s="18" t="s">
        <v>176</v>
      </c>
      <c r="C86" s="18" t="s">
        <v>177</v>
      </c>
      <c r="D86" s="18" t="s">
        <v>63</v>
      </c>
      <c r="E86" s="21">
        <v>20965</v>
      </c>
      <c r="F86" s="19">
        <v>763.23082499999998</v>
      </c>
      <c r="G86" s="20">
        <v>0.25182347345755801</v>
      </c>
      <c r="H86" s="22"/>
    </row>
    <row r="87" spans="2:8" x14ac:dyDescent="0.2">
      <c r="B87" s="18" t="s">
        <v>250</v>
      </c>
      <c r="C87" s="18" t="s">
        <v>251</v>
      </c>
      <c r="D87" s="18" t="s">
        <v>104</v>
      </c>
      <c r="E87" s="21">
        <v>253291</v>
      </c>
      <c r="F87" s="19">
        <v>751.51439700000003</v>
      </c>
      <c r="G87" s="20">
        <v>0.247957707690727</v>
      </c>
      <c r="H87" s="22"/>
    </row>
    <row r="88" spans="2:8" x14ac:dyDescent="0.2">
      <c r="B88" s="18" t="s">
        <v>185</v>
      </c>
      <c r="C88" s="18" t="s">
        <v>186</v>
      </c>
      <c r="D88" s="18" t="s">
        <v>158</v>
      </c>
      <c r="E88" s="21">
        <v>183647</v>
      </c>
      <c r="F88" s="19">
        <v>733.30247099999997</v>
      </c>
      <c r="G88" s="20">
        <v>0.24194879097320299</v>
      </c>
      <c r="H88" s="22"/>
    </row>
    <row r="89" spans="2:8" x14ac:dyDescent="0.2">
      <c r="B89" s="18" t="s">
        <v>189</v>
      </c>
      <c r="C89" s="18" t="s">
        <v>190</v>
      </c>
      <c r="D89" s="18" t="s">
        <v>109</v>
      </c>
      <c r="E89" s="21">
        <v>21322</v>
      </c>
      <c r="F89" s="19">
        <v>729.87338199999999</v>
      </c>
      <c r="G89" s="20">
        <v>0.240817383442886</v>
      </c>
      <c r="H89" s="22"/>
    </row>
    <row r="90" spans="2:8" x14ac:dyDescent="0.2">
      <c r="B90" s="18" t="s">
        <v>265</v>
      </c>
      <c r="C90" s="18" t="s">
        <v>266</v>
      </c>
      <c r="D90" s="18" t="s">
        <v>12</v>
      </c>
      <c r="E90" s="21">
        <v>1269439</v>
      </c>
      <c r="F90" s="19">
        <v>722.05690319999997</v>
      </c>
      <c r="G90" s="20">
        <v>0.23823838273019399</v>
      </c>
      <c r="H90" s="22"/>
    </row>
    <row r="91" spans="2:8" x14ac:dyDescent="0.2">
      <c r="B91" s="18" t="s">
        <v>252</v>
      </c>
      <c r="C91" s="18" t="s">
        <v>253</v>
      </c>
      <c r="D91" s="18" t="s">
        <v>37</v>
      </c>
      <c r="E91" s="21">
        <v>44929</v>
      </c>
      <c r="F91" s="19">
        <v>674.42921899999999</v>
      </c>
      <c r="G91" s="20">
        <v>0.222523911465248</v>
      </c>
      <c r="H91" s="22"/>
    </row>
    <row r="92" spans="2:8" x14ac:dyDescent="0.2">
      <c r="B92" s="18" t="s">
        <v>174</v>
      </c>
      <c r="C92" s="18" t="s">
        <v>175</v>
      </c>
      <c r="D92" s="18" t="s">
        <v>133</v>
      </c>
      <c r="E92" s="21">
        <v>199396</v>
      </c>
      <c r="F92" s="19">
        <v>664.28777400000001</v>
      </c>
      <c r="G92" s="20">
        <v>0.21917780197631501</v>
      </c>
      <c r="H92" s="22"/>
    </row>
    <row r="93" spans="2:8" x14ac:dyDescent="0.2">
      <c r="B93" s="18" t="s">
        <v>79</v>
      </c>
      <c r="C93" s="18" t="s">
        <v>80</v>
      </c>
      <c r="D93" s="18" t="s">
        <v>81</v>
      </c>
      <c r="E93" s="21">
        <v>199129</v>
      </c>
      <c r="F93" s="19">
        <v>596.49091950000002</v>
      </c>
      <c r="G93" s="20">
        <v>0.19680863287247699</v>
      </c>
      <c r="H93" s="22"/>
    </row>
    <row r="94" spans="2:8" x14ac:dyDescent="0.2">
      <c r="B94" s="18" t="s">
        <v>267</v>
      </c>
      <c r="C94" s="18" t="s">
        <v>268</v>
      </c>
      <c r="D94" s="18" t="s">
        <v>51</v>
      </c>
      <c r="E94" s="21">
        <v>26416</v>
      </c>
      <c r="F94" s="19">
        <v>576.58203200000003</v>
      </c>
      <c r="G94" s="20">
        <v>0.19023981379611701</v>
      </c>
      <c r="H94" s="22"/>
    </row>
    <row r="95" spans="2:8" x14ac:dyDescent="0.2">
      <c r="B95" s="18" t="s">
        <v>269</v>
      </c>
      <c r="C95" s="18" t="s">
        <v>270</v>
      </c>
      <c r="D95" s="18" t="s">
        <v>193</v>
      </c>
      <c r="E95" s="21">
        <v>149606</v>
      </c>
      <c r="F95" s="19">
        <v>549.27842899999996</v>
      </c>
      <c r="G95" s="20">
        <v>0.18123115230060399</v>
      </c>
      <c r="H95" s="22"/>
    </row>
    <row r="96" spans="2:8" x14ac:dyDescent="0.2">
      <c r="B96" s="18" t="s">
        <v>271</v>
      </c>
      <c r="C96" s="18" t="s">
        <v>272</v>
      </c>
      <c r="D96" s="18" t="s">
        <v>167</v>
      </c>
      <c r="E96" s="21">
        <v>8406</v>
      </c>
      <c r="F96" s="19">
        <v>542.78382599999998</v>
      </c>
      <c r="G96" s="20">
        <v>0.17908829664984099</v>
      </c>
      <c r="H96" s="22"/>
    </row>
    <row r="97" spans="2:8" x14ac:dyDescent="0.2">
      <c r="B97" s="18" t="s">
        <v>182</v>
      </c>
      <c r="C97" s="18" t="s">
        <v>183</v>
      </c>
      <c r="D97" s="18" t="s">
        <v>78</v>
      </c>
      <c r="E97" s="21">
        <v>37992</v>
      </c>
      <c r="F97" s="19">
        <v>527.89883999999995</v>
      </c>
      <c r="G97" s="20">
        <v>0.174177084007339</v>
      </c>
      <c r="H97" s="22"/>
    </row>
    <row r="98" spans="2:8" x14ac:dyDescent="0.2">
      <c r="B98" s="18" t="s">
        <v>273</v>
      </c>
      <c r="C98" s="18" t="s">
        <v>274</v>
      </c>
      <c r="D98" s="18" t="s">
        <v>184</v>
      </c>
      <c r="E98" s="21">
        <v>49079</v>
      </c>
      <c r="F98" s="19">
        <v>526.49497250000002</v>
      </c>
      <c r="G98" s="20">
        <v>0.17371388627142001</v>
      </c>
      <c r="H98" s="22"/>
    </row>
    <row r="99" spans="2:8" x14ac:dyDescent="0.2">
      <c r="B99" s="18" t="s">
        <v>212</v>
      </c>
      <c r="C99" s="18" t="s">
        <v>213</v>
      </c>
      <c r="D99" s="18" t="s">
        <v>31</v>
      </c>
      <c r="E99" s="21">
        <v>262407</v>
      </c>
      <c r="F99" s="19">
        <v>492.0918471</v>
      </c>
      <c r="G99" s="20">
        <v>0.16236277956523501</v>
      </c>
      <c r="H99" s="22"/>
    </row>
    <row r="100" spans="2:8" x14ac:dyDescent="0.2">
      <c r="B100" s="18" t="s">
        <v>121</v>
      </c>
      <c r="C100" s="18" t="s">
        <v>122</v>
      </c>
      <c r="D100" s="18" t="s">
        <v>51</v>
      </c>
      <c r="E100" s="21">
        <v>11742</v>
      </c>
      <c r="F100" s="19">
        <v>484.33401600000002</v>
      </c>
      <c r="G100" s="20">
        <v>0.15980312931251001</v>
      </c>
      <c r="H100" s="22"/>
    </row>
    <row r="101" spans="2:8" x14ac:dyDescent="0.2">
      <c r="B101" s="18" t="s">
        <v>131</v>
      </c>
      <c r="C101" s="18" t="s">
        <v>132</v>
      </c>
      <c r="D101" s="18" t="s">
        <v>133</v>
      </c>
      <c r="E101" s="21">
        <v>155592</v>
      </c>
      <c r="F101" s="19">
        <v>483.42434400000002</v>
      </c>
      <c r="G101" s="20">
        <v>0.15950298844392399</v>
      </c>
      <c r="H101" s="22"/>
    </row>
    <row r="102" spans="2:8" x14ac:dyDescent="0.2">
      <c r="B102" s="18" t="s">
        <v>275</v>
      </c>
      <c r="C102" s="18" t="s">
        <v>276</v>
      </c>
      <c r="D102" s="18" t="s">
        <v>68</v>
      </c>
      <c r="E102" s="21">
        <v>73995</v>
      </c>
      <c r="F102" s="19">
        <v>456.1421775</v>
      </c>
      <c r="G102" s="20">
        <v>0.15050139979415</v>
      </c>
      <c r="H102" s="22"/>
    </row>
    <row r="103" spans="2:8" x14ac:dyDescent="0.2">
      <c r="B103" s="18" t="s">
        <v>203</v>
      </c>
      <c r="C103" s="18" t="s">
        <v>204</v>
      </c>
      <c r="D103" s="18" t="s">
        <v>22</v>
      </c>
      <c r="E103" s="21">
        <v>47919</v>
      </c>
      <c r="F103" s="19">
        <v>447.97077150000001</v>
      </c>
      <c r="G103" s="20">
        <v>0.14780529296178799</v>
      </c>
      <c r="H103" s="22"/>
    </row>
    <row r="104" spans="2:8" x14ac:dyDescent="0.2">
      <c r="B104" s="18" t="s">
        <v>227</v>
      </c>
      <c r="C104" s="18" t="s">
        <v>228</v>
      </c>
      <c r="D104" s="18" t="s">
        <v>163</v>
      </c>
      <c r="E104" s="21">
        <v>33156</v>
      </c>
      <c r="F104" s="19">
        <v>376.35375599999998</v>
      </c>
      <c r="G104" s="20">
        <v>0.124175684446076</v>
      </c>
      <c r="H104" s="22"/>
    </row>
    <row r="105" spans="2:8" x14ac:dyDescent="0.2">
      <c r="B105" s="18" t="s">
        <v>277</v>
      </c>
      <c r="C105" s="18" t="s">
        <v>278</v>
      </c>
      <c r="D105" s="18" t="s">
        <v>78</v>
      </c>
      <c r="E105" s="21">
        <v>38621</v>
      </c>
      <c r="F105" s="19">
        <v>374.60438950000002</v>
      </c>
      <c r="G105" s="20">
        <v>0.12359849136902699</v>
      </c>
      <c r="H105" s="22"/>
    </row>
    <row r="106" spans="2:8" x14ac:dyDescent="0.2">
      <c r="B106" s="18" t="s">
        <v>279</v>
      </c>
      <c r="C106" s="18" t="s">
        <v>280</v>
      </c>
      <c r="D106" s="18" t="s">
        <v>209</v>
      </c>
      <c r="E106" s="21">
        <v>65675</v>
      </c>
      <c r="F106" s="19">
        <v>359.11090000000002</v>
      </c>
      <c r="G106" s="20">
        <v>0.118486506614129</v>
      </c>
      <c r="H106" s="22"/>
    </row>
    <row r="107" spans="2:8" x14ac:dyDescent="0.2">
      <c r="B107" s="18" t="s">
        <v>281</v>
      </c>
      <c r="C107" s="18" t="s">
        <v>282</v>
      </c>
      <c r="D107" s="18" t="s">
        <v>184</v>
      </c>
      <c r="E107" s="21">
        <v>269184</v>
      </c>
      <c r="F107" s="19">
        <v>347.81264640000001</v>
      </c>
      <c r="G107" s="20">
        <v>0.114758715004617</v>
      </c>
      <c r="H107" s="22"/>
    </row>
    <row r="108" spans="2:8" x14ac:dyDescent="0.2">
      <c r="B108" s="18" t="s">
        <v>207</v>
      </c>
      <c r="C108" s="18" t="s">
        <v>208</v>
      </c>
      <c r="D108" s="18" t="s">
        <v>25</v>
      </c>
      <c r="E108" s="21">
        <v>24338</v>
      </c>
      <c r="F108" s="19">
        <v>304.29801400000002</v>
      </c>
      <c r="G108" s="20">
        <v>0.10040132072982901</v>
      </c>
      <c r="H108" s="22"/>
    </row>
    <row r="109" spans="2:8" x14ac:dyDescent="0.2">
      <c r="B109" s="18" t="s">
        <v>283</v>
      </c>
      <c r="C109" s="18" t="s">
        <v>284</v>
      </c>
      <c r="D109" s="18" t="s">
        <v>78</v>
      </c>
      <c r="E109" s="21">
        <v>28128</v>
      </c>
      <c r="F109" s="19">
        <v>291.63110399999999</v>
      </c>
      <c r="G109" s="20">
        <v>9.6221949077518507E-2</v>
      </c>
      <c r="H109" s="22"/>
    </row>
    <row r="110" spans="2:8" x14ac:dyDescent="0.2">
      <c r="B110" s="18" t="s">
        <v>194</v>
      </c>
      <c r="C110" s="18" t="s">
        <v>195</v>
      </c>
      <c r="D110" s="18" t="s">
        <v>71</v>
      </c>
      <c r="E110" s="21">
        <v>59635</v>
      </c>
      <c r="F110" s="19">
        <v>246.1434625</v>
      </c>
      <c r="G110" s="20">
        <v>8.1213572179321097E-2</v>
      </c>
      <c r="H110" s="22"/>
    </row>
    <row r="111" spans="2:8" x14ac:dyDescent="0.2">
      <c r="B111" s="18" t="s">
        <v>224</v>
      </c>
      <c r="C111" s="18" t="s">
        <v>225</v>
      </c>
      <c r="D111" s="18" t="s">
        <v>28</v>
      </c>
      <c r="E111" s="21">
        <v>132466</v>
      </c>
      <c r="F111" s="19">
        <v>244.8236612</v>
      </c>
      <c r="G111" s="20">
        <v>8.0778111586334994E-2</v>
      </c>
      <c r="H111" s="22"/>
    </row>
    <row r="112" spans="2:8" x14ac:dyDescent="0.2">
      <c r="B112" s="18" t="s">
        <v>285</v>
      </c>
      <c r="C112" s="18" t="s">
        <v>286</v>
      </c>
      <c r="D112" s="18" t="s">
        <v>78</v>
      </c>
      <c r="E112" s="21">
        <v>67881</v>
      </c>
      <c r="F112" s="19">
        <v>236.02223699999999</v>
      </c>
      <c r="G112" s="20">
        <v>7.78741339942121E-2</v>
      </c>
      <c r="H112" s="22"/>
    </row>
    <row r="113" spans="2:9" x14ac:dyDescent="0.2">
      <c r="B113" s="18" t="s">
        <v>136</v>
      </c>
      <c r="C113" s="18" t="s">
        <v>137</v>
      </c>
      <c r="D113" s="18" t="s">
        <v>34</v>
      </c>
      <c r="E113" s="21">
        <v>2358</v>
      </c>
      <c r="F113" s="19">
        <v>229.35086999999999</v>
      </c>
      <c r="G113" s="20">
        <v>7.5672956112474807E-2</v>
      </c>
      <c r="H113" s="22"/>
    </row>
    <row r="114" spans="2:9" x14ac:dyDescent="0.2">
      <c r="B114" s="18" t="s">
        <v>348</v>
      </c>
      <c r="C114" s="18" t="s">
        <v>287</v>
      </c>
      <c r="D114" s="18" t="s">
        <v>54</v>
      </c>
      <c r="E114" s="21">
        <v>884320</v>
      </c>
      <c r="F114" s="19">
        <v>199.591024</v>
      </c>
      <c r="G114" s="20">
        <v>6.5853871840974104E-2</v>
      </c>
      <c r="H114" s="22"/>
    </row>
    <row r="115" spans="2:9" x14ac:dyDescent="0.2">
      <c r="B115" s="18" t="s">
        <v>288</v>
      </c>
      <c r="C115" s="18" t="s">
        <v>289</v>
      </c>
      <c r="D115" s="18" t="s">
        <v>173</v>
      </c>
      <c r="E115" s="21">
        <v>18909</v>
      </c>
      <c r="F115" s="19">
        <v>171.23044949999999</v>
      </c>
      <c r="G115" s="20">
        <v>5.6496468882515402E-2</v>
      </c>
      <c r="H115" s="22"/>
    </row>
    <row r="116" spans="2:9" x14ac:dyDescent="0.2">
      <c r="B116" s="18" t="s">
        <v>290</v>
      </c>
      <c r="C116" s="18" t="s">
        <v>291</v>
      </c>
      <c r="D116" s="18" t="s">
        <v>25</v>
      </c>
      <c r="E116" s="21">
        <v>18597</v>
      </c>
      <c r="F116" s="19">
        <v>165.69927000000001</v>
      </c>
      <c r="G116" s="20">
        <v>5.4671489088221503E-2</v>
      </c>
      <c r="H116" s="22"/>
    </row>
    <row r="117" spans="2:9" x14ac:dyDescent="0.2">
      <c r="B117" s="18" t="s">
        <v>292</v>
      </c>
      <c r="C117" s="18" t="s">
        <v>293</v>
      </c>
      <c r="D117" s="18" t="s">
        <v>54</v>
      </c>
      <c r="E117" s="21">
        <v>136204</v>
      </c>
      <c r="F117" s="19">
        <v>155.9672004</v>
      </c>
      <c r="G117" s="20">
        <v>5.1460450578865301E-2</v>
      </c>
      <c r="H117" s="22"/>
    </row>
    <row r="118" spans="2:9" x14ac:dyDescent="0.2">
      <c r="B118" s="18" t="s">
        <v>294</v>
      </c>
      <c r="C118" s="18" t="s">
        <v>295</v>
      </c>
      <c r="D118" s="18" t="s">
        <v>37</v>
      </c>
      <c r="E118" s="21">
        <v>25769</v>
      </c>
      <c r="F118" s="19">
        <v>153.66054700000001</v>
      </c>
      <c r="G118" s="20">
        <v>5.0699384002118097E-2</v>
      </c>
      <c r="H118" s="22"/>
    </row>
    <row r="119" spans="2:9" x14ac:dyDescent="0.2">
      <c r="B119" s="18" t="s">
        <v>222</v>
      </c>
      <c r="C119" s="18" t="s">
        <v>223</v>
      </c>
      <c r="D119" s="18" t="s">
        <v>31</v>
      </c>
      <c r="E119" s="21">
        <v>20826</v>
      </c>
      <c r="F119" s="19">
        <v>137.83688100000001</v>
      </c>
      <c r="G119" s="20">
        <v>4.5478459473876902E-2</v>
      </c>
      <c r="H119" s="22"/>
    </row>
    <row r="120" spans="2:9" x14ac:dyDescent="0.2">
      <c r="B120" s="18" t="s">
        <v>296</v>
      </c>
      <c r="C120" s="18" t="s">
        <v>297</v>
      </c>
      <c r="D120" s="18" t="s">
        <v>104</v>
      </c>
      <c r="E120" s="21">
        <v>12560</v>
      </c>
      <c r="F120" s="19">
        <v>114.2332</v>
      </c>
      <c r="G120" s="20">
        <v>3.7690565246984102E-2</v>
      </c>
      <c r="H120" s="22"/>
    </row>
    <row r="121" spans="2:9" x14ac:dyDescent="0.2">
      <c r="B121" s="18" t="s">
        <v>247</v>
      </c>
      <c r="C121" s="18" t="s">
        <v>248</v>
      </c>
      <c r="D121" s="18" t="s">
        <v>173</v>
      </c>
      <c r="E121" s="21">
        <v>4222</v>
      </c>
      <c r="F121" s="19">
        <v>98.186831999999995</v>
      </c>
      <c r="G121" s="20">
        <v>3.2396161517760702E-2</v>
      </c>
      <c r="H121" s="22"/>
    </row>
    <row r="122" spans="2:9" x14ac:dyDescent="0.2">
      <c r="B122" s="18" t="s">
        <v>298</v>
      </c>
      <c r="C122" s="18" t="s">
        <v>299</v>
      </c>
      <c r="D122" s="18" t="s">
        <v>249</v>
      </c>
      <c r="E122" s="21">
        <v>32642</v>
      </c>
      <c r="F122" s="19">
        <v>96.228616000000002</v>
      </c>
      <c r="G122" s="20">
        <v>3.1750059789754398E-2</v>
      </c>
      <c r="H122" s="22"/>
    </row>
    <row r="123" spans="2:9" x14ac:dyDescent="0.2">
      <c r="B123" s="18" t="s">
        <v>64</v>
      </c>
      <c r="C123" s="18" t="s">
        <v>65</v>
      </c>
      <c r="D123" s="18" t="s">
        <v>12</v>
      </c>
      <c r="E123" s="21">
        <v>22517</v>
      </c>
      <c r="F123" s="19">
        <v>86.307660999999996</v>
      </c>
      <c r="G123" s="20">
        <v>2.8476699665553301E-2</v>
      </c>
      <c r="H123" s="22"/>
    </row>
    <row r="124" spans="2:9" ht="10.5" x14ac:dyDescent="0.25">
      <c r="B124" s="17" t="s">
        <v>138</v>
      </c>
      <c r="C124" s="17"/>
      <c r="D124" s="17"/>
      <c r="E124" s="17"/>
      <c r="F124" s="23">
        <f>SUM(F7:F123)</f>
        <v>301999.65438890021</v>
      </c>
      <c r="G124" s="24">
        <f>SUM(G7:G123)</f>
        <v>99.642990639424056</v>
      </c>
      <c r="H124" s="17"/>
      <c r="I124" s="11"/>
    </row>
    <row r="125" spans="2:9" ht="10.5" x14ac:dyDescent="0.25">
      <c r="B125" s="17" t="s">
        <v>139</v>
      </c>
      <c r="C125" s="17"/>
      <c r="D125" s="17"/>
      <c r="E125" s="17"/>
      <c r="F125" s="25" t="s">
        <v>140</v>
      </c>
      <c r="G125" s="26" t="s">
        <v>140</v>
      </c>
      <c r="H125" s="17"/>
      <c r="I125" s="11"/>
    </row>
    <row r="126" spans="2:9" ht="10.5" x14ac:dyDescent="0.25">
      <c r="B126" s="17" t="s">
        <v>138</v>
      </c>
      <c r="C126" s="17"/>
      <c r="D126" s="17"/>
      <c r="E126" s="17"/>
      <c r="F126" s="27" t="s">
        <v>140</v>
      </c>
      <c r="G126" s="28" t="s">
        <v>140</v>
      </c>
      <c r="H126" s="17"/>
      <c r="I126" s="11"/>
    </row>
    <row r="127" spans="2:9" ht="10.5" x14ac:dyDescent="0.25">
      <c r="B127" s="29" t="s">
        <v>141</v>
      </c>
      <c r="C127" s="29"/>
      <c r="D127" s="29"/>
      <c r="E127" s="29"/>
      <c r="F127" s="30">
        <f>F124</f>
        <v>301999.65438890021</v>
      </c>
      <c r="G127" s="31">
        <f>G124</f>
        <v>99.642990639424056</v>
      </c>
      <c r="H127" s="17"/>
      <c r="I127" s="11"/>
    </row>
    <row r="128" spans="2:9" ht="10.5" x14ac:dyDescent="0.25">
      <c r="B128" s="17" t="s">
        <v>142</v>
      </c>
      <c r="C128" s="17"/>
      <c r="D128" s="17"/>
      <c r="E128" s="17"/>
      <c r="F128" s="23">
        <v>2371.7985291</v>
      </c>
      <c r="G128" s="24">
        <v>0.78256082481926803</v>
      </c>
      <c r="H128" s="22">
        <v>5.2499999999999998E-2</v>
      </c>
      <c r="I128" s="12"/>
    </row>
    <row r="129" spans="2:9" x14ac:dyDescent="0.2">
      <c r="B129" s="18"/>
      <c r="C129" s="18"/>
      <c r="D129" s="18"/>
      <c r="E129" s="18"/>
      <c r="F129" s="19"/>
      <c r="G129" s="20"/>
      <c r="H129" s="18"/>
    </row>
    <row r="130" spans="2:9" ht="10.5" x14ac:dyDescent="0.25">
      <c r="B130" s="17" t="s">
        <v>144</v>
      </c>
      <c r="C130" s="18"/>
      <c r="D130" s="18"/>
      <c r="E130" s="18"/>
      <c r="F130" s="78">
        <v>202</v>
      </c>
      <c r="G130" s="78">
        <f>F130/F132*100</f>
        <v>6.6648699151304336E-2</v>
      </c>
      <c r="H130" s="18"/>
    </row>
    <row r="131" spans="2:9" ht="10.5" x14ac:dyDescent="0.25">
      <c r="B131" s="36" t="s">
        <v>145</v>
      </c>
      <c r="C131" s="36"/>
      <c r="D131" s="36"/>
      <c r="E131" s="36"/>
      <c r="F131" s="23">
        <f>F132-(F124+F128+F130)</f>
        <v>-1491.7685457002372</v>
      </c>
      <c r="G131" s="24">
        <f>G132-(G124+G128+G130)</f>
        <v>-0.49220016339462802</v>
      </c>
      <c r="H131" s="17"/>
      <c r="I131" s="11"/>
    </row>
    <row r="132" spans="2:9" ht="10.5" x14ac:dyDescent="0.25">
      <c r="B132" s="32" t="s">
        <v>143</v>
      </c>
      <c r="C132" s="32"/>
      <c r="D132" s="32"/>
      <c r="E132" s="32"/>
      <c r="F132" s="33">
        <v>303081.68437229999</v>
      </c>
      <c r="G132" s="34">
        <v>100</v>
      </c>
      <c r="H132" s="35"/>
      <c r="I132" s="11"/>
    </row>
    <row r="134" spans="2:9" ht="10.5" x14ac:dyDescent="0.25">
      <c r="B134" s="11" t="s">
        <v>146</v>
      </c>
    </row>
    <row r="136" spans="2:9" s="82" customFormat="1" ht="19.5" customHeight="1" x14ac:dyDescent="0.35">
      <c r="B136" s="80" t="s">
        <v>4</v>
      </c>
      <c r="C136" s="80" t="s">
        <v>147</v>
      </c>
      <c r="D136" s="80" t="s">
        <v>148</v>
      </c>
      <c r="E136" s="80" t="s">
        <v>0</v>
      </c>
      <c r="F136" s="79" t="s">
        <v>149</v>
      </c>
      <c r="G136" s="81" t="s">
        <v>150</v>
      </c>
    </row>
    <row r="137" spans="2:9" x14ac:dyDescent="0.2">
      <c r="B137" s="40" t="s">
        <v>151</v>
      </c>
      <c r="C137" s="40" t="s">
        <v>152</v>
      </c>
      <c r="D137" s="40" t="s">
        <v>153</v>
      </c>
      <c r="E137" s="41">
        <v>2990</v>
      </c>
      <c r="F137" s="42">
        <v>720.53617999999994</v>
      </c>
      <c r="G137" s="43">
        <v>0.2377366291507429</v>
      </c>
    </row>
    <row r="138" spans="2:9" ht="10.5" x14ac:dyDescent="0.25">
      <c r="B138" s="37"/>
      <c r="C138" s="37"/>
      <c r="D138" s="37"/>
      <c r="E138" s="37"/>
      <c r="F138" s="38">
        <f>SUM(F137:F137)</f>
        <v>720.53617999999994</v>
      </c>
      <c r="G138" s="39">
        <f>SUM(G137:G137)</f>
        <v>0.2377366291507429</v>
      </c>
    </row>
    <row r="140" spans="2:9" ht="10.5" x14ac:dyDescent="0.25">
      <c r="B140" s="11" t="s">
        <v>156</v>
      </c>
    </row>
    <row r="141" spans="2:9" ht="10.5" x14ac:dyDescent="0.25">
      <c r="B141" s="11"/>
    </row>
    <row r="142" spans="2:9" ht="10.5" x14ac:dyDescent="0.2">
      <c r="B142" s="46" t="s">
        <v>154</v>
      </c>
    </row>
    <row r="143" spans="2:9" ht="10.5" x14ac:dyDescent="0.2">
      <c r="B143" s="46"/>
    </row>
    <row r="144" spans="2:9" x14ac:dyDescent="0.2">
      <c r="B144" s="48" t="s">
        <v>303</v>
      </c>
    </row>
    <row r="145" spans="2:6" x14ac:dyDescent="0.2">
      <c r="B145" s="48" t="s">
        <v>307</v>
      </c>
    </row>
    <row r="146" spans="2:6" x14ac:dyDescent="0.2">
      <c r="B146" s="48" t="s">
        <v>308</v>
      </c>
    </row>
    <row r="147" spans="2:6" ht="10.5" x14ac:dyDescent="0.2">
      <c r="B147" s="46"/>
    </row>
    <row r="148" spans="2:6" ht="10.5" x14ac:dyDescent="0.2">
      <c r="B148" s="52" t="s">
        <v>304</v>
      </c>
      <c r="C148" s="49" t="s">
        <v>309</v>
      </c>
      <c r="D148" s="49" t="s">
        <v>305</v>
      </c>
    </row>
    <row r="149" spans="2:6" x14ac:dyDescent="0.2">
      <c r="B149" s="50" t="s">
        <v>306</v>
      </c>
      <c r="C149" s="53">
        <v>8.8800000000000008</v>
      </c>
      <c r="D149" s="53">
        <v>9.6951000000000001</v>
      </c>
    </row>
    <row r="150" spans="2:6" ht="10.5" x14ac:dyDescent="0.2">
      <c r="B150" s="46"/>
    </row>
    <row r="151" spans="2:6" ht="10.5" x14ac:dyDescent="0.2">
      <c r="B151" s="46"/>
    </row>
    <row r="152" spans="2:6" x14ac:dyDescent="0.2">
      <c r="B152" s="48" t="s">
        <v>350</v>
      </c>
    </row>
    <row r="153" spans="2:6" x14ac:dyDescent="0.2">
      <c r="B153" s="48"/>
    </row>
    <row r="154" spans="2:6" ht="10.5" x14ac:dyDescent="0.2">
      <c r="B154" s="55" t="s">
        <v>336</v>
      </c>
    </row>
    <row r="155" spans="2:6" x14ac:dyDescent="0.2">
      <c r="B155" s="51"/>
    </row>
    <row r="156" spans="2:6" ht="10.5" x14ac:dyDescent="0.2">
      <c r="B156" s="55" t="s">
        <v>337</v>
      </c>
    </row>
    <row r="157" spans="2:6" ht="21" x14ac:dyDescent="0.2">
      <c r="B157" s="56" t="s">
        <v>310</v>
      </c>
      <c r="C157" s="57" t="s">
        <v>311</v>
      </c>
      <c r="D157" s="57" t="s">
        <v>312</v>
      </c>
      <c r="E157" s="57" t="s">
        <v>313</v>
      </c>
      <c r="F157" s="57" t="s">
        <v>314</v>
      </c>
    </row>
    <row r="158" spans="2:6" x14ac:dyDescent="0.2">
      <c r="B158" s="91" t="s">
        <v>157</v>
      </c>
      <c r="C158" s="92"/>
      <c r="D158" s="92"/>
      <c r="E158" s="92"/>
      <c r="F158" s="93"/>
    </row>
    <row r="159" spans="2:6" x14ac:dyDescent="0.2">
      <c r="B159" s="51" t="s">
        <v>315</v>
      </c>
    </row>
    <row r="160" spans="2:6" x14ac:dyDescent="0.2">
      <c r="B160" s="51" t="s">
        <v>349</v>
      </c>
    </row>
    <row r="161" spans="2:6" x14ac:dyDescent="0.2">
      <c r="B161" s="51"/>
    </row>
    <row r="162" spans="2:6" x14ac:dyDescent="0.2">
      <c r="B162" s="88" t="s">
        <v>316</v>
      </c>
      <c r="C162" s="88" t="s">
        <v>317</v>
      </c>
      <c r="D162" s="88" t="s">
        <v>318</v>
      </c>
      <c r="E162" s="88" t="s">
        <v>319</v>
      </c>
      <c r="F162" s="88" t="s">
        <v>320</v>
      </c>
    </row>
    <row r="163" spans="2:6" x14ac:dyDescent="0.2">
      <c r="B163" s="89"/>
      <c r="C163" s="89"/>
      <c r="D163" s="89"/>
      <c r="E163" s="89"/>
      <c r="F163" s="89"/>
    </row>
    <row r="164" spans="2:6" x14ac:dyDescent="0.2">
      <c r="B164" s="91" t="s">
        <v>157</v>
      </c>
      <c r="C164" s="92"/>
      <c r="D164" s="92"/>
      <c r="E164" s="92"/>
      <c r="F164" s="93"/>
    </row>
    <row r="165" spans="2:6" x14ac:dyDescent="0.2">
      <c r="B165" s="51"/>
    </row>
    <row r="166" spans="2:6" ht="10.5" x14ac:dyDescent="0.25">
      <c r="B166" s="58" t="s">
        <v>338</v>
      </c>
      <c r="C166" s="59"/>
      <c r="D166" s="59"/>
      <c r="E166" s="59"/>
      <c r="F166" s="59"/>
    </row>
    <row r="167" spans="2:6" x14ac:dyDescent="0.2">
      <c r="B167" s="60"/>
      <c r="C167" s="59"/>
      <c r="D167" s="59"/>
      <c r="E167" s="59"/>
      <c r="F167" s="59"/>
    </row>
    <row r="168" spans="2:6" ht="21" x14ac:dyDescent="0.2">
      <c r="B168" s="56" t="s">
        <v>310</v>
      </c>
      <c r="C168" s="57" t="s">
        <v>311</v>
      </c>
      <c r="D168" s="57" t="s">
        <v>312</v>
      </c>
      <c r="E168" s="57" t="s">
        <v>313</v>
      </c>
      <c r="F168" s="57" t="s">
        <v>314</v>
      </c>
    </row>
    <row r="169" spans="2:6" x14ac:dyDescent="0.2">
      <c r="B169" s="61" t="s">
        <v>151</v>
      </c>
      <c r="C169" s="62" t="s">
        <v>152</v>
      </c>
      <c r="D169" s="63">
        <v>24113.267400000001</v>
      </c>
      <c r="E169" s="64">
        <v>24098.2</v>
      </c>
      <c r="F169" s="64">
        <v>81.667183600000001</v>
      </c>
    </row>
    <row r="170" spans="2:6" x14ac:dyDescent="0.2">
      <c r="B170" s="60"/>
      <c r="C170" s="59"/>
      <c r="D170" s="59"/>
      <c r="E170" s="59"/>
      <c r="F170" s="59"/>
    </row>
    <row r="171" spans="2:6" x14ac:dyDescent="0.2">
      <c r="B171" s="60" t="s">
        <v>352</v>
      </c>
      <c r="C171" s="59"/>
      <c r="D171" s="59"/>
      <c r="E171" s="59"/>
      <c r="F171" s="59"/>
    </row>
    <row r="172" spans="2:6" ht="10.5" x14ac:dyDescent="0.2">
      <c r="B172" s="59" t="s">
        <v>342</v>
      </c>
      <c r="C172" s="65"/>
      <c r="D172" s="66"/>
      <c r="E172" s="67"/>
      <c r="F172" s="68"/>
    </row>
    <row r="173" spans="2:6" ht="10.5" x14ac:dyDescent="0.2">
      <c r="B173" s="59" t="s">
        <v>321</v>
      </c>
      <c r="C173" s="65"/>
      <c r="D173" s="66"/>
      <c r="E173" s="67"/>
      <c r="F173" s="68"/>
    </row>
    <row r="174" spans="2:6" x14ac:dyDescent="0.2">
      <c r="B174" s="94" t="s">
        <v>316</v>
      </c>
      <c r="C174" s="94" t="s">
        <v>317</v>
      </c>
      <c r="D174" s="94" t="s">
        <v>318</v>
      </c>
      <c r="E174" s="94" t="s">
        <v>319</v>
      </c>
      <c r="F174" s="94" t="s">
        <v>320</v>
      </c>
    </row>
    <row r="175" spans="2:6" ht="48" customHeight="1" x14ac:dyDescent="0.2">
      <c r="B175" s="95"/>
      <c r="C175" s="95"/>
      <c r="D175" s="95"/>
      <c r="E175" s="95"/>
      <c r="F175" s="95"/>
    </row>
    <row r="176" spans="2:6" x14ac:dyDescent="0.2">
      <c r="B176" s="83">
        <v>713</v>
      </c>
      <c r="C176" s="83">
        <v>793</v>
      </c>
      <c r="D176" s="84">
        <v>10919.352532000001</v>
      </c>
      <c r="E176" s="85">
        <v>12404.1351247</v>
      </c>
      <c r="F176" s="86">
        <v>283.217330199998</v>
      </c>
    </row>
    <row r="177" spans="2:6" x14ac:dyDescent="0.2">
      <c r="B177" s="54"/>
      <c r="C177" s="69"/>
      <c r="D177" s="69"/>
      <c r="E177" s="69"/>
      <c r="F177" s="10"/>
    </row>
    <row r="178" spans="2:6" ht="10.5" x14ac:dyDescent="0.2">
      <c r="B178" s="70" t="s">
        <v>339</v>
      </c>
      <c r="C178" s="71"/>
      <c r="D178" s="71"/>
      <c r="E178" s="72"/>
      <c r="F178" s="10"/>
    </row>
    <row r="179" spans="2:6" ht="10.5" x14ac:dyDescent="0.2">
      <c r="B179" s="73"/>
      <c r="C179" s="71"/>
      <c r="D179" s="71"/>
      <c r="E179" s="72"/>
      <c r="F179" s="10"/>
    </row>
    <row r="180" spans="2:6" ht="10.5" x14ac:dyDescent="0.2">
      <c r="B180" s="56" t="s">
        <v>310</v>
      </c>
      <c r="C180" s="57" t="s">
        <v>322</v>
      </c>
      <c r="D180" s="57" t="s">
        <v>323</v>
      </c>
      <c r="E180" s="57" t="s">
        <v>324</v>
      </c>
      <c r="F180" s="10"/>
    </row>
    <row r="181" spans="2:6" x14ac:dyDescent="0.2">
      <c r="B181" s="91" t="s">
        <v>157</v>
      </c>
      <c r="C181" s="92"/>
      <c r="D181" s="92"/>
      <c r="E181" s="93"/>
      <c r="F181" s="10"/>
    </row>
    <row r="182" spans="2:6" x14ac:dyDescent="0.2">
      <c r="B182" s="60" t="s">
        <v>325</v>
      </c>
      <c r="C182" s="59"/>
      <c r="D182" s="59"/>
      <c r="E182" s="59"/>
      <c r="F182" s="10"/>
    </row>
    <row r="183" spans="2:6" x14ac:dyDescent="0.2">
      <c r="B183" s="74"/>
      <c r="C183" s="75"/>
      <c r="D183" s="75"/>
      <c r="E183" s="74"/>
      <c r="F183" s="10"/>
    </row>
    <row r="184" spans="2:6" x14ac:dyDescent="0.2">
      <c r="B184" s="74" t="s">
        <v>343</v>
      </c>
      <c r="C184" s="75"/>
      <c r="D184" s="75"/>
      <c r="E184" s="74"/>
      <c r="F184" s="10"/>
    </row>
    <row r="185" spans="2:6" x14ac:dyDescent="0.2">
      <c r="B185" s="74"/>
      <c r="C185" s="75"/>
      <c r="D185" s="75"/>
      <c r="E185" s="74"/>
      <c r="F185" s="10"/>
    </row>
    <row r="186" spans="2:6" x14ac:dyDescent="0.2">
      <c r="B186" s="88" t="s">
        <v>326</v>
      </c>
      <c r="C186" s="88" t="s">
        <v>327</v>
      </c>
      <c r="D186" s="88" t="s">
        <v>328</v>
      </c>
      <c r="E186" s="74"/>
      <c r="F186" s="10"/>
    </row>
    <row r="187" spans="2:6" x14ac:dyDescent="0.2">
      <c r="B187" s="89"/>
      <c r="C187" s="89"/>
      <c r="D187" s="89"/>
      <c r="E187" s="74"/>
      <c r="F187" s="10"/>
    </row>
    <row r="188" spans="2:6" x14ac:dyDescent="0.2">
      <c r="B188" s="90" t="s">
        <v>157</v>
      </c>
      <c r="C188" s="90"/>
      <c r="D188" s="90"/>
      <c r="E188" s="69"/>
      <c r="F188" s="10"/>
    </row>
    <row r="189" spans="2:6" x14ac:dyDescent="0.2">
      <c r="B189" s="76"/>
      <c r="C189" s="76"/>
      <c r="D189" s="76"/>
      <c r="E189" s="69"/>
      <c r="F189" s="10"/>
    </row>
    <row r="190" spans="2:6" ht="10.5" x14ac:dyDescent="0.2">
      <c r="B190" s="70" t="s">
        <v>340</v>
      </c>
      <c r="C190" s="76"/>
      <c r="D190" s="76"/>
      <c r="E190" s="69"/>
      <c r="F190" s="10"/>
    </row>
    <row r="191" spans="2:6" x14ac:dyDescent="0.2">
      <c r="B191" s="76"/>
      <c r="C191" s="76"/>
      <c r="D191" s="76"/>
      <c r="E191" s="69"/>
      <c r="F191" s="10"/>
    </row>
    <row r="192" spans="2:6" ht="21" x14ac:dyDescent="0.2">
      <c r="B192" s="57" t="s">
        <v>310</v>
      </c>
      <c r="C192" s="57" t="s">
        <v>329</v>
      </c>
      <c r="D192" s="57" t="s">
        <v>330</v>
      </c>
      <c r="E192" s="57" t="s">
        <v>331</v>
      </c>
      <c r="F192" s="57" t="s">
        <v>332</v>
      </c>
    </row>
    <row r="193" spans="2:6" x14ac:dyDescent="0.2">
      <c r="B193" s="87" t="s">
        <v>157</v>
      </c>
      <c r="C193" s="87"/>
      <c r="D193" s="87"/>
      <c r="E193" s="87"/>
      <c r="F193" s="87"/>
    </row>
    <row r="194" spans="2:6" x14ac:dyDescent="0.2">
      <c r="B194" s="77" t="s">
        <v>333</v>
      </c>
      <c r="C194" s="76"/>
      <c r="D194" s="76"/>
      <c r="E194" s="69"/>
      <c r="F194" s="10"/>
    </row>
    <row r="195" spans="2:6" x14ac:dyDescent="0.2">
      <c r="B195" s="76"/>
      <c r="C195" s="76"/>
      <c r="D195" s="76"/>
      <c r="E195" s="69"/>
      <c r="F195" s="10"/>
    </row>
    <row r="196" spans="2:6" x14ac:dyDescent="0.2">
      <c r="B196" s="74" t="s">
        <v>341</v>
      </c>
      <c r="C196" s="75"/>
      <c r="D196" s="75"/>
      <c r="E196" s="69"/>
      <c r="F196" s="10"/>
    </row>
    <row r="197" spans="2:6" x14ac:dyDescent="0.2">
      <c r="B197" s="74"/>
      <c r="C197" s="75"/>
      <c r="D197" s="75"/>
      <c r="E197" s="69"/>
      <c r="F197" s="10"/>
    </row>
    <row r="198" spans="2:6" x14ac:dyDescent="0.2">
      <c r="B198" s="88" t="s">
        <v>326</v>
      </c>
      <c r="C198" s="88" t="s">
        <v>327</v>
      </c>
      <c r="D198" s="88" t="s">
        <v>328</v>
      </c>
      <c r="E198" s="69"/>
      <c r="F198" s="10"/>
    </row>
    <row r="199" spans="2:6" x14ac:dyDescent="0.2">
      <c r="B199" s="89"/>
      <c r="C199" s="89"/>
      <c r="D199" s="89"/>
      <c r="E199" s="69"/>
      <c r="F199" s="10"/>
    </row>
    <row r="200" spans="2:6" x14ac:dyDescent="0.2">
      <c r="B200" s="90" t="s">
        <v>157</v>
      </c>
      <c r="C200" s="90"/>
      <c r="D200" s="90"/>
      <c r="E200" s="69"/>
      <c r="F200" s="10"/>
    </row>
    <row r="201" spans="2:6" x14ac:dyDescent="0.2">
      <c r="B201" s="48"/>
    </row>
    <row r="202" spans="2:6" x14ac:dyDescent="0.2">
      <c r="B202" s="48" t="s">
        <v>334</v>
      </c>
    </row>
    <row r="203" spans="2:6" x14ac:dyDescent="0.2">
      <c r="B203" s="51" t="s">
        <v>351</v>
      </c>
    </row>
    <row r="204" spans="2:6" x14ac:dyDescent="0.2">
      <c r="B204" s="48" t="s">
        <v>335</v>
      </c>
    </row>
    <row r="208" spans="2:6" ht="10.5" x14ac:dyDescent="0.25">
      <c r="B208" s="11" t="s">
        <v>155</v>
      </c>
    </row>
    <row r="225" spans="2:2" ht="10.5" x14ac:dyDescent="0.2">
      <c r="B225" s="46" t="s">
        <v>300</v>
      </c>
    </row>
    <row r="226" spans="2:2" ht="10.5" x14ac:dyDescent="0.25">
      <c r="B226" s="47" t="s">
        <v>301</v>
      </c>
    </row>
  </sheetData>
  <mergeCells count="23">
    <mergeCell ref="B1:C1"/>
    <mergeCell ref="B158:F158"/>
    <mergeCell ref="B162:B163"/>
    <mergeCell ref="C162:C163"/>
    <mergeCell ref="D162:D163"/>
    <mergeCell ref="E162:E163"/>
    <mergeCell ref="F162:F163"/>
    <mergeCell ref="B164:F164"/>
    <mergeCell ref="B174:B175"/>
    <mergeCell ref="C174:C175"/>
    <mergeCell ref="D174:D175"/>
    <mergeCell ref="E174:E175"/>
    <mergeCell ref="F174:F175"/>
    <mergeCell ref="B181:E181"/>
    <mergeCell ref="B186:B187"/>
    <mergeCell ref="C186:C187"/>
    <mergeCell ref="D186:D187"/>
    <mergeCell ref="B188:D188"/>
    <mergeCell ref="B193:F193"/>
    <mergeCell ref="B198:B199"/>
    <mergeCell ref="C198:C199"/>
    <mergeCell ref="D198:D199"/>
    <mergeCell ref="B200:D200"/>
  </mergeCells>
  <conditionalFormatting sqref="G1:G3 G5:G243">
    <cfRule type="cellIs" dxfId="0" priority="2" stopIfTrue="1" operator="between">
      <formula>0.009</formula>
      <formula>-0.009</formula>
    </cfRule>
  </conditionalFormatting>
  <hyperlinks>
    <hyperlink ref="A2" location="Index!A1" display="-" xr:uid="{3F2663E8-A653-4F00-A565-2C0EF95C7632}"/>
  </hyperlinks>
  <pageMargins left="0.7" right="0.7" top="0.75" bottom="0.75" header="0.3" footer="0.3"/>
  <pageSetup paperSize="9" scale="46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JBFLEXI</vt:lpstr>
      <vt:lpstr>JBFLEXI!Print_Area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2026-05-08T09:11:15Z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