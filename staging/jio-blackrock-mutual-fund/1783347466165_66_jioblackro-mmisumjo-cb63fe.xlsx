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EC67D67C-185A-4D30-839D-429994757C53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LF" sheetId="5" r:id="rId1"/>
  </sheets>
  <definedNames>
    <definedName name="_xlnm.Print_Area" localSheetId="0">JBLF!$B$1:$I$127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5" l="1"/>
  <c r="F74" i="5"/>
  <c r="G70" i="5"/>
  <c r="F70" i="5"/>
  <c r="G56" i="5"/>
  <c r="F56" i="5"/>
  <c r="G26" i="5"/>
  <c r="F26" i="5"/>
  <c r="G78" i="5" l="1"/>
  <c r="F71" i="5"/>
  <c r="G71" i="5"/>
  <c r="F78" i="5"/>
</calcChain>
</file>

<file path=xl/sharedStrings.xml><?xml version="1.0" encoding="utf-8"?>
<sst xmlns="http://schemas.openxmlformats.org/spreadsheetml/2006/main" count="209" uniqueCount="152">
  <si>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</si>
  <si>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</si>
  <si>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</si>
  <si>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</si>
  <si>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</si>
  <si>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</si>
  <si>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</si>
  <si>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Liquid Fund</t>
  </si>
  <si>
    <t>Yield to Call ^</t>
  </si>
  <si>
    <t>Money Market Instruments</t>
  </si>
  <si>
    <t>Certificate of Deposit</t>
  </si>
  <si>
    <t>CARE A1+</t>
  </si>
  <si>
    <t>IND A1+</t>
  </si>
  <si>
    <t>CRISIL A1+</t>
  </si>
  <si>
    <t>Canara Bank (12-Mar-2026)</t>
  </si>
  <si>
    <t>INE476A16B23</t>
  </si>
  <si>
    <t>Sub Total</t>
  </si>
  <si>
    <t>Commercial Paper</t>
  </si>
  <si>
    <t>NTPC Ltd (10-Mar-2026) **</t>
  </si>
  <si>
    <t>INE733E14BU9</t>
  </si>
  <si>
    <t>Kotak Securities Ltd (12-Mar-2026) **</t>
  </si>
  <si>
    <t>INE028E14TZ5</t>
  </si>
  <si>
    <t>ICICI Securities Ltd (12-Mar-2026) **</t>
  </si>
  <si>
    <t>INE763G14D60</t>
  </si>
  <si>
    <t>ICICI Securities Ltd (17-Mar-2026) **</t>
  </si>
  <si>
    <t>INE763G14XS9</t>
  </si>
  <si>
    <t>Small Industries Development Bank Of India (20-Mar-2026)</t>
  </si>
  <si>
    <t>INE556F14LX4</t>
  </si>
  <si>
    <t>Small Industries Development Bank Of India (27-Mar-2026)</t>
  </si>
  <si>
    <t>INE556F14LY2</t>
  </si>
  <si>
    <t>ICICI Securities Ltd (06-Mar-2026)</t>
  </si>
  <si>
    <t>INE763G14XX9</t>
  </si>
  <si>
    <t>ICRA A1+</t>
  </si>
  <si>
    <t>Treasury Bill</t>
  </si>
  <si>
    <t>Total</t>
  </si>
  <si>
    <t>SOVEREIGN</t>
  </si>
  <si>
    <t>Alternative Investment Fund</t>
  </si>
  <si>
    <t>Corporate Debt Market Development Fund Class A2</t>
  </si>
  <si>
    <t>INF0RQ622028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</si>
  <si>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</si>
  <si>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</si>
  <si>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</si>
  <si>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</si>
  <si>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</si>
  <si>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</si>
  <si>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Axis Bank Ltd (25-May-2026)</t>
  </si>
  <si>
    <t>INE238AD6BB3</t>
  </si>
  <si>
    <t>Canara Bank (27-May-2026) **</t>
  </si>
  <si>
    <t>INE476A16H19</t>
  </si>
  <si>
    <t>Bank of Baroda (25-May-2026) **</t>
  </si>
  <si>
    <t>INE028A16JR6</t>
  </si>
  <si>
    <t>Bank of India (19-May-2026) **</t>
  </si>
  <si>
    <t>INE084A16EU4</t>
  </si>
  <si>
    <t>Union Bank of India (26-May-2026) **</t>
  </si>
  <si>
    <t>INE692A16KG0</t>
  </si>
  <si>
    <t>Canara Bank (04-Mar-2026)</t>
  </si>
  <si>
    <t>INE476A16A73</t>
  </si>
  <si>
    <t>State Bank Of India (27-Mar-2026)</t>
  </si>
  <si>
    <t>INE062A16614</t>
  </si>
  <si>
    <t>HDFC Bank Ltd (25-May-2026) **</t>
  </si>
  <si>
    <t>INE040A16HX3</t>
  </si>
  <si>
    <t>Indian Bank (30-Apr-2026)</t>
  </si>
  <si>
    <t>INE562A16PQ3</t>
  </si>
  <si>
    <t>Axis Bank Ltd (05-Mar-2026)</t>
  </si>
  <si>
    <t>INE238AD6AO8</t>
  </si>
  <si>
    <t>National Bank For Agriculture &amp; Rural Development (13-Mar-2026) **</t>
  </si>
  <si>
    <t>INE261F16983</t>
  </si>
  <si>
    <t>Canara Bank (26-May-2026) **</t>
  </si>
  <si>
    <t>INE476A16E87</t>
  </si>
  <si>
    <t>Canara Bank (20-Mar-2026) **</t>
  </si>
  <si>
    <t>INE476A16F86</t>
  </si>
  <si>
    <t>National Bank For Agriculture &amp; Rural Development (25-Mar-2026)</t>
  </si>
  <si>
    <t>INE261F16AA7</t>
  </si>
  <si>
    <t>Union Bank of India (07-May-2026) **</t>
  </si>
  <si>
    <t>INE692A16LA1</t>
  </si>
  <si>
    <t>Canara Bank (15-May-2026) **</t>
  </si>
  <si>
    <t>INE476A16E79</t>
  </si>
  <si>
    <t>Union Bank of India (05-Mar-2026)</t>
  </si>
  <si>
    <t>INE692A16IY7</t>
  </si>
  <si>
    <t>Bank of Baroda (05-Mar-2026) **</t>
  </si>
  <si>
    <t>INE028A16KP8</t>
  </si>
  <si>
    <t>Larsen &amp; Toubro Ltd (18-Mar-2026) **</t>
  </si>
  <si>
    <t>INE018A14LT4</t>
  </si>
  <si>
    <t>Tata Steel Ltd (13-Mar-2026) **</t>
  </si>
  <si>
    <t>INE081A14GO3</t>
  </si>
  <si>
    <t>HDFC Securities Ltd (27-May-2026) **</t>
  </si>
  <si>
    <t>INE700G14SS1</t>
  </si>
  <si>
    <t>Small Industries Development Bank Of India (10-Mar-2026)</t>
  </si>
  <si>
    <t>INE556F14LV8</t>
  </si>
  <si>
    <t>ICICI Securities Ltd (18-Mar-2026)</t>
  </si>
  <si>
    <t>INE763G14D94</t>
  </si>
  <si>
    <t>Can Fin Homes Ltd (20-May-2026) **</t>
  </si>
  <si>
    <t>INE477A14EC3</t>
  </si>
  <si>
    <t>Export-Import Bank Of India (27-May-2026) **</t>
  </si>
  <si>
    <t>INE514E14TF6</t>
  </si>
  <si>
    <t>LIC Housing Finance Ltd (11-Mar-2026) **</t>
  </si>
  <si>
    <t>INE115A14FK9</t>
  </si>
  <si>
    <t>Kotak Securities Ltd (25-Mar-2026) **</t>
  </si>
  <si>
    <t>INE028E14UG3</t>
  </si>
  <si>
    <t>Export-Import Bank Of India (07-May-2026) **</t>
  </si>
  <si>
    <t>INE514E14TD1</t>
  </si>
  <si>
    <t>Aditya Birla Housing Finance Ltd (07-May-2026) **</t>
  </si>
  <si>
    <t>INE831R14FU4</t>
  </si>
  <si>
    <t>HDFC Securities Ltd (09-Mar-2026) **</t>
  </si>
  <si>
    <t>INE700G14RF0</t>
  </si>
  <si>
    <t>LIC Housing Finance Ltd (18-Mar-2026)</t>
  </si>
  <si>
    <t>INE115A14FL7</t>
  </si>
  <si>
    <t>Muthoot Finance Ltd (05-Mar-2026)</t>
  </si>
  <si>
    <t>INE414G14UL0</t>
  </si>
  <si>
    <t>ICICI Securities Ltd (10-Mar-2026) **</t>
  </si>
  <si>
    <t>INE763G14A63</t>
  </si>
  <si>
    <t>ICICI Securities Ltd (20-Apr-2026) **</t>
  </si>
  <si>
    <t>INE763G14B54</t>
  </si>
  <si>
    <t>Godrej Industries Ltd (02-Mar-2026) **</t>
  </si>
  <si>
    <t>INE233A143V5</t>
  </si>
  <si>
    <t>Muthoot Finance Ltd (02-Mar-2026) **</t>
  </si>
  <si>
    <t>INE414G14UK2</t>
  </si>
  <si>
    <t>Small Industries Development Bank Of India (06-Mar-2026) **</t>
  </si>
  <si>
    <t>INE556F14LU0</t>
  </si>
  <si>
    <t>Kotak Securities Ltd (06-Mar-2026) **</t>
  </si>
  <si>
    <t>INE028E14TR2</t>
  </si>
  <si>
    <t>Kotak Securities Ltd (02-Mar-2026)</t>
  </si>
  <si>
    <t>INE028E14TV4</t>
  </si>
  <si>
    <t>364 DTB (23-APR-2026)</t>
  </si>
  <si>
    <t>IN002025Z047</t>
  </si>
  <si>
    <t>91 DTB (17-APR-2026)</t>
  </si>
  <si>
    <t>IN002025X414</t>
  </si>
  <si>
    <t>91 DTB (23-APR-2026)</t>
  </si>
  <si>
    <t>IN002025X422</t>
  </si>
  <si>
    <t>364 DTB (16-APR-2026)</t>
  </si>
  <si>
    <t>IN002025Z039</t>
  </si>
  <si>
    <t>91 DTB (30-APR-2026)</t>
  </si>
  <si>
    <t>IN002025X430</t>
  </si>
  <si>
    <t>182 DTB (24-APR-2026)</t>
  </si>
  <si>
    <t>IN002025Y305</t>
  </si>
  <si>
    <t>364 DTB (07-MAY-2026)</t>
  </si>
  <si>
    <t>IN002025Z062</t>
  </si>
  <si>
    <t>91 DTB (07-MAY-2026)</t>
  </si>
  <si>
    <t>IN002025X448</t>
  </si>
  <si>
    <t>364 DTB (26-MAR-2026)</t>
  </si>
  <si>
    <t>IN002024Z503</t>
  </si>
  <si>
    <t>182 DTB (30-APR-2026)</t>
  </si>
  <si>
    <t>IN002025Y313</t>
  </si>
  <si>
    <t>182 DTB (08-MAY-2026)</t>
  </si>
  <si>
    <t>IN002025Y321</t>
  </si>
  <si>
    <t>364 DTB (12-MAR-2026)</t>
  </si>
  <si>
    <t>IN002024Z487</t>
  </si>
  <si>
    <t>Scheme Risk-O-Meter</t>
  </si>
  <si>
    <t>Benchmark Risk-O-Meter</t>
  </si>
  <si>
    <t>Benchmark Name - NIFTY Liquid Index A-I</t>
  </si>
  <si>
    <t>-</t>
  </si>
  <si>
    <t>Aggregate Investments by other schemes (at NAV) as on February 28, 2026, is Rs.1,520.99 Lakh's.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</si>
</sst>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 wrapText="1"/>
    </xf>
    <xf numFmtId="0" fontId="3" fillId="3" borderId="0" xfId="0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88</xdr:row>
      <xdr:rowOff>0</xdr:rowOff>
    </xdr:from>
    <xdr:to>
      <xdr:col>3</xdr:col>
      <xdr:colOff>882650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25B56-48CF-4E2F-8C62-0DD1505CC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5030450"/>
          <a:ext cx="499427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109</xdr:row>
      <xdr:rowOff>76200</xdr:rowOff>
    </xdr:from>
    <xdr:to>
      <xdr:col>4</xdr:col>
      <xdr:colOff>60325</xdr:colOff>
      <xdr:row>126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595F7E-FA18-41AC-9E7D-2616FE50F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786350"/>
          <a:ext cx="51593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9812-5C92-4D37-A950-F3A31C96B4FA}">
  <dimension ref="A1:K433"/>
  <sheetViews>
    <sheetView tabSelected="1" view="pageBreakPreview" zoomScaleNormal="100" zoomScaleSheetLayoutView="100" workbookViewId="0">
      <selection activeCell="B35" sqref="B35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1.453125" style="8" bestFit="1" customWidth="1"/>
    <col min="4" max="4" width="13.7265625" style="8" bestFit="1" customWidth="1"/>
    <col min="5" max="5" width="13.7265625" style="9" bestFit="1" customWidth="1"/>
    <col min="6" max="6" width="12.7265625" style="11" bestFit="1" customWidth="1"/>
    <col min="7" max="7" width="8.1796875" style="17" customWidth="1"/>
    <col min="8" max="8" width="11.81640625" style="14" bestFit="1" customWidth="1"/>
    <col min="9" max="9" width="12.1796875" style="14" customWidth="1"/>
    <col min="10" max="10" width="25.81640625" style="8" customWidth="1"/>
    <col min="11" max="16384" width="9.1796875" style="8"/>
  </cols>
  <sheetData>
    <row r="1" spans="1:11" s="1" customFormat="1" ht="16.75" customHeight="1" x14ac:dyDescent="0.35">
      <c r="B1" s="57" t="s">
        <v>7</v>
      </c>
      <c r="C1" s="58"/>
      <c r="D1" s="13"/>
      <c r="E1" s="6"/>
      <c r="F1" s="7"/>
      <c r="G1" s="17"/>
      <c r="H1" s="14"/>
      <c r="I1" s="15"/>
    </row>
    <row r="2" spans="1:11" s="1" customFormat="1" ht="14.5" x14ac:dyDescent="0.35">
      <c r="A2" s="53" t="s">
        <v>150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21" x14ac:dyDescent="0.25">
      <c r="B4" s="19" t="s">
        <v>4</v>
      </c>
      <c r="C4" s="19" t="s">
        <v>5</v>
      </c>
      <c r="D4" s="20" t="s">
        <v>42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9</v>
      </c>
      <c r="C5" s="26"/>
      <c r="D5" s="26"/>
      <c r="E5" s="27"/>
      <c r="F5" s="28"/>
      <c r="G5" s="29"/>
      <c r="H5" s="30"/>
      <c r="I5" s="30"/>
    </row>
    <row r="6" spans="1:11" ht="10.5" x14ac:dyDescent="0.25">
      <c r="B6" s="25" t="s">
        <v>10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45</v>
      </c>
      <c r="C7" s="26" t="s">
        <v>46</v>
      </c>
      <c r="D7" s="26" t="s">
        <v>13</v>
      </c>
      <c r="E7" s="31">
        <v>7000</v>
      </c>
      <c r="F7" s="28">
        <v>34427.96</v>
      </c>
      <c r="G7" s="29">
        <v>3.8139666760091999</v>
      </c>
      <c r="H7" s="32">
        <v>7.1348999999999996E-2</v>
      </c>
      <c r="I7" s="33"/>
    </row>
    <row r="8" spans="1:11" x14ac:dyDescent="0.2">
      <c r="B8" s="26" t="s">
        <v>47</v>
      </c>
      <c r="C8" s="26" t="s">
        <v>48</v>
      </c>
      <c r="D8" s="26" t="s">
        <v>13</v>
      </c>
      <c r="E8" s="31">
        <v>5000</v>
      </c>
      <c r="F8" s="28">
        <v>24589.724999999999</v>
      </c>
      <c r="G8" s="29">
        <v>2.72407635312201</v>
      </c>
      <c r="H8" s="32">
        <v>7.0000000000000007E-2</v>
      </c>
      <c r="I8" s="33"/>
    </row>
    <row r="9" spans="1:11" x14ac:dyDescent="0.2">
      <c r="B9" s="26" t="s">
        <v>49</v>
      </c>
      <c r="C9" s="26" t="s">
        <v>50</v>
      </c>
      <c r="D9" s="26" t="s">
        <v>13</v>
      </c>
      <c r="E9" s="31">
        <v>4500</v>
      </c>
      <c r="F9" s="28">
        <v>22137.322499999998</v>
      </c>
      <c r="G9" s="29">
        <v>2.4523965495216302</v>
      </c>
      <c r="H9" s="32">
        <v>7.0352999999999999E-2</v>
      </c>
      <c r="I9" s="33"/>
    </row>
    <row r="10" spans="1:11" x14ac:dyDescent="0.2">
      <c r="B10" s="26" t="s">
        <v>51</v>
      </c>
      <c r="C10" s="26" t="s">
        <v>52</v>
      </c>
      <c r="D10" s="26" t="s">
        <v>13</v>
      </c>
      <c r="E10" s="31">
        <v>4000</v>
      </c>
      <c r="F10" s="28">
        <v>19693.96</v>
      </c>
      <c r="G10" s="29">
        <v>2.1817182069067802</v>
      </c>
      <c r="H10" s="32">
        <v>7.1800000000000003E-2</v>
      </c>
      <c r="I10" s="33"/>
    </row>
    <row r="11" spans="1:11" x14ac:dyDescent="0.2">
      <c r="B11" s="26" t="s">
        <v>53</v>
      </c>
      <c r="C11" s="26" t="s">
        <v>54</v>
      </c>
      <c r="D11" s="26" t="s">
        <v>32</v>
      </c>
      <c r="E11" s="31">
        <v>4000</v>
      </c>
      <c r="F11" s="28">
        <v>19674.12</v>
      </c>
      <c r="G11" s="29">
        <v>2.1795203102305898</v>
      </c>
      <c r="H11" s="32">
        <v>7.0300000000000001E-2</v>
      </c>
      <c r="I11" s="33"/>
    </row>
    <row r="12" spans="1:11" x14ac:dyDescent="0.2">
      <c r="B12" s="26" t="s">
        <v>55</v>
      </c>
      <c r="C12" s="26" t="s">
        <v>56</v>
      </c>
      <c r="D12" s="26" t="s">
        <v>13</v>
      </c>
      <c r="E12" s="31">
        <v>3000</v>
      </c>
      <c r="F12" s="28">
        <v>14993.25</v>
      </c>
      <c r="G12" s="29">
        <v>1.66096846473259</v>
      </c>
      <c r="H12" s="32">
        <v>5.4774999999999997E-2</v>
      </c>
      <c r="I12" s="33"/>
    </row>
    <row r="13" spans="1:11" x14ac:dyDescent="0.2">
      <c r="B13" s="26" t="s">
        <v>57</v>
      </c>
      <c r="C13" s="26" t="s">
        <v>58</v>
      </c>
      <c r="D13" s="26" t="s">
        <v>13</v>
      </c>
      <c r="E13" s="31">
        <v>3000</v>
      </c>
      <c r="F13" s="28">
        <v>14940.81</v>
      </c>
      <c r="G13" s="29">
        <v>1.6551591047679</v>
      </c>
      <c r="H13" s="32">
        <v>5.5614999999999998E-2</v>
      </c>
      <c r="I13" s="33"/>
    </row>
    <row r="14" spans="1:11" x14ac:dyDescent="0.2">
      <c r="B14" s="26" t="s">
        <v>59</v>
      </c>
      <c r="C14" s="26" t="s">
        <v>60</v>
      </c>
      <c r="D14" s="26" t="s">
        <v>13</v>
      </c>
      <c r="E14" s="31">
        <v>3000</v>
      </c>
      <c r="F14" s="28">
        <v>14754.584999999999</v>
      </c>
      <c r="G14" s="29">
        <v>1.63452889768506</v>
      </c>
      <c r="H14" s="32">
        <v>7.1425000000000002E-2</v>
      </c>
      <c r="I14" s="33"/>
    </row>
    <row r="15" spans="1:11" x14ac:dyDescent="0.2">
      <c r="B15" s="26" t="s">
        <v>61</v>
      </c>
      <c r="C15" s="26" t="s">
        <v>62</v>
      </c>
      <c r="D15" s="26" t="s">
        <v>13</v>
      </c>
      <c r="E15" s="31">
        <v>2500</v>
      </c>
      <c r="F15" s="28">
        <v>12353.375</v>
      </c>
      <c r="G15" s="29">
        <v>1.3685202546489901</v>
      </c>
      <c r="H15" s="32">
        <v>7.2204000000000004E-2</v>
      </c>
      <c r="I15" s="33"/>
    </row>
    <row r="16" spans="1:11" x14ac:dyDescent="0.2">
      <c r="B16" s="26" t="s">
        <v>63</v>
      </c>
      <c r="C16" s="26" t="s">
        <v>64</v>
      </c>
      <c r="D16" s="26" t="s">
        <v>32</v>
      </c>
      <c r="E16" s="31">
        <v>2400</v>
      </c>
      <c r="F16" s="28">
        <v>11992.896000000001</v>
      </c>
      <c r="G16" s="29">
        <v>1.32858600082154</v>
      </c>
      <c r="H16" s="32">
        <v>5.4052000000000003E-2</v>
      </c>
      <c r="I16" s="33"/>
    </row>
    <row r="17" spans="2:9" x14ac:dyDescent="0.2">
      <c r="B17" s="26" t="s">
        <v>65</v>
      </c>
      <c r="C17" s="26" t="s">
        <v>66</v>
      </c>
      <c r="D17" s="26" t="s">
        <v>12</v>
      </c>
      <c r="E17" s="31">
        <v>2000</v>
      </c>
      <c r="F17" s="28">
        <v>9981.73</v>
      </c>
      <c r="G17" s="29">
        <v>1.10578685431612</v>
      </c>
      <c r="H17" s="32">
        <v>5.5673E-2</v>
      </c>
      <c r="I17" s="33"/>
    </row>
    <row r="18" spans="2:9" x14ac:dyDescent="0.2">
      <c r="B18" s="26" t="s">
        <v>67</v>
      </c>
      <c r="C18" s="26" t="s">
        <v>68</v>
      </c>
      <c r="D18" s="26" t="s">
        <v>13</v>
      </c>
      <c r="E18" s="31">
        <v>2000</v>
      </c>
      <c r="F18" s="28">
        <v>9837.74</v>
      </c>
      <c r="G18" s="29">
        <v>1.0898354862513699</v>
      </c>
      <c r="H18" s="32">
        <v>7.0001999999999995E-2</v>
      </c>
      <c r="I18" s="33"/>
    </row>
    <row r="19" spans="2:9" x14ac:dyDescent="0.2">
      <c r="B19" s="26" t="s">
        <v>69</v>
      </c>
      <c r="C19" s="26" t="s">
        <v>70</v>
      </c>
      <c r="D19" s="26" t="s">
        <v>13</v>
      </c>
      <c r="E19" s="31">
        <v>1000</v>
      </c>
      <c r="F19" s="28">
        <v>4985.625</v>
      </c>
      <c r="G19" s="29">
        <v>0.55231293428592299</v>
      </c>
      <c r="H19" s="32">
        <v>5.5398999999999997E-2</v>
      </c>
      <c r="I19" s="33"/>
    </row>
    <row r="20" spans="2:9" x14ac:dyDescent="0.2">
      <c r="B20" s="26" t="s">
        <v>71</v>
      </c>
      <c r="C20" s="26" t="s">
        <v>72</v>
      </c>
      <c r="D20" s="26" t="s">
        <v>13</v>
      </c>
      <c r="E20" s="31">
        <v>1000</v>
      </c>
      <c r="F20" s="28">
        <v>4981.5200000000004</v>
      </c>
      <c r="G20" s="29">
        <v>0.55185817794238701</v>
      </c>
      <c r="H20" s="32">
        <v>5.6418999999999997E-2</v>
      </c>
      <c r="I20" s="33"/>
    </row>
    <row r="21" spans="2:9" x14ac:dyDescent="0.2">
      <c r="B21" s="26" t="s">
        <v>73</v>
      </c>
      <c r="C21" s="26" t="s">
        <v>74</v>
      </c>
      <c r="D21" s="26" t="s">
        <v>13</v>
      </c>
      <c r="E21" s="31">
        <v>1000</v>
      </c>
      <c r="F21" s="28">
        <v>4935.05</v>
      </c>
      <c r="G21" s="29">
        <v>0.54671018104003899</v>
      </c>
      <c r="H21" s="32">
        <v>7.1697999999999998E-2</v>
      </c>
      <c r="I21" s="33"/>
    </row>
    <row r="22" spans="2:9" x14ac:dyDescent="0.2">
      <c r="B22" s="26" t="s">
        <v>75</v>
      </c>
      <c r="C22" s="26" t="s">
        <v>76</v>
      </c>
      <c r="D22" s="26" t="s">
        <v>13</v>
      </c>
      <c r="E22" s="31">
        <v>1000</v>
      </c>
      <c r="F22" s="28">
        <v>4927.2049999999999</v>
      </c>
      <c r="G22" s="29">
        <v>0.54584110344806702</v>
      </c>
      <c r="H22" s="32">
        <v>7.1901000000000007E-2</v>
      </c>
      <c r="I22" s="33"/>
    </row>
    <row r="23" spans="2:9" x14ac:dyDescent="0.2">
      <c r="B23" s="26" t="s">
        <v>77</v>
      </c>
      <c r="C23" s="26" t="s">
        <v>78</v>
      </c>
      <c r="D23" s="26" t="s">
        <v>13</v>
      </c>
      <c r="E23" s="31">
        <v>500</v>
      </c>
      <c r="F23" s="28">
        <v>2498.5124999999998</v>
      </c>
      <c r="G23" s="29">
        <v>0.27678791931303598</v>
      </c>
      <c r="H23" s="32">
        <v>5.4325999999999999E-2</v>
      </c>
      <c r="I23" s="33"/>
    </row>
    <row r="24" spans="2:9" x14ac:dyDescent="0.2">
      <c r="B24" s="26" t="s">
        <v>14</v>
      </c>
      <c r="C24" s="26" t="s">
        <v>15</v>
      </c>
      <c r="D24" s="26" t="s">
        <v>13</v>
      </c>
      <c r="E24" s="31">
        <v>500</v>
      </c>
      <c r="F24" s="28">
        <v>2495.83</v>
      </c>
      <c r="G24" s="29">
        <v>0.27649074905931298</v>
      </c>
      <c r="H24" s="32">
        <v>5.5440000000000003E-2</v>
      </c>
      <c r="I24" s="33"/>
    </row>
    <row r="25" spans="2:9" x14ac:dyDescent="0.2">
      <c r="B25" s="26" t="s">
        <v>79</v>
      </c>
      <c r="C25" s="26" t="s">
        <v>80</v>
      </c>
      <c r="D25" s="26" t="s">
        <v>13</v>
      </c>
      <c r="E25" s="31">
        <v>300</v>
      </c>
      <c r="F25" s="28">
        <v>1499.1015</v>
      </c>
      <c r="G25" s="29">
        <v>0.16607208690132699</v>
      </c>
      <c r="H25" s="32">
        <v>5.4737000000000001E-2</v>
      </c>
      <c r="I25" s="33"/>
    </row>
    <row r="26" spans="2:9" ht="10.5" x14ac:dyDescent="0.25">
      <c r="B26" s="25" t="s">
        <v>16</v>
      </c>
      <c r="C26" s="25"/>
      <c r="D26" s="25"/>
      <c r="E26" s="34"/>
      <c r="F26" s="35">
        <f>SUM(F6:F25)</f>
        <v>235700.31749999995</v>
      </c>
      <c r="G26" s="36">
        <f>SUM(G6:G25)</f>
        <v>26.111136311003868</v>
      </c>
      <c r="H26" s="37"/>
      <c r="I26" s="37"/>
    </row>
    <row r="27" spans="2:9" ht="10.5" x14ac:dyDescent="0.25">
      <c r="B27" s="25" t="s">
        <v>17</v>
      </c>
      <c r="C27" s="26"/>
      <c r="D27" s="26"/>
      <c r="E27" s="27"/>
      <c r="F27" s="28"/>
      <c r="G27" s="29"/>
      <c r="H27" s="30"/>
      <c r="I27" s="30"/>
    </row>
    <row r="28" spans="2:9" x14ac:dyDescent="0.2">
      <c r="B28" s="26" t="s">
        <v>81</v>
      </c>
      <c r="C28" s="26" t="s">
        <v>82</v>
      </c>
      <c r="D28" s="26" t="s">
        <v>13</v>
      </c>
      <c r="E28" s="31">
        <v>10000</v>
      </c>
      <c r="F28" s="28">
        <v>49862.05</v>
      </c>
      <c r="G28" s="29">
        <v>5.5237718731375498</v>
      </c>
      <c r="H28" s="32">
        <v>5.9401000000000002E-2</v>
      </c>
      <c r="I28" s="33"/>
    </row>
    <row r="29" spans="2:9" x14ac:dyDescent="0.2">
      <c r="B29" s="26" t="s">
        <v>26</v>
      </c>
      <c r="C29" s="26" t="s">
        <v>27</v>
      </c>
      <c r="D29" s="26" t="s">
        <v>13</v>
      </c>
      <c r="E29" s="31">
        <v>9900</v>
      </c>
      <c r="F29" s="28">
        <v>49354.866000000002</v>
      </c>
      <c r="G29" s="29">
        <v>5.4675854806064503</v>
      </c>
      <c r="H29" s="32">
        <v>5.6491E-2</v>
      </c>
      <c r="I29" s="33"/>
    </row>
    <row r="30" spans="2:9" x14ac:dyDescent="0.2">
      <c r="B30" s="26" t="s">
        <v>83</v>
      </c>
      <c r="C30" s="26" t="s">
        <v>84</v>
      </c>
      <c r="D30" s="26" t="s">
        <v>13</v>
      </c>
      <c r="E30" s="31">
        <v>8000</v>
      </c>
      <c r="F30" s="28">
        <v>39920.120000000003</v>
      </c>
      <c r="G30" s="29">
        <v>4.4223941059037104</v>
      </c>
      <c r="H30" s="32">
        <v>6.0864000000000001E-2</v>
      </c>
      <c r="I30" s="33"/>
    </row>
    <row r="31" spans="2:9" x14ac:dyDescent="0.2">
      <c r="B31" s="26" t="s">
        <v>85</v>
      </c>
      <c r="C31" s="26" t="s">
        <v>86</v>
      </c>
      <c r="D31" s="26" t="s">
        <v>11</v>
      </c>
      <c r="E31" s="31">
        <v>8000</v>
      </c>
      <c r="F31" s="28">
        <v>39290.120000000003</v>
      </c>
      <c r="G31" s="29">
        <v>4.3526020239480596</v>
      </c>
      <c r="H31" s="32">
        <v>7.5800999999999993E-2</v>
      </c>
      <c r="I31" s="33"/>
    </row>
    <row r="32" spans="2:9" x14ac:dyDescent="0.2">
      <c r="B32" s="26" t="s">
        <v>87</v>
      </c>
      <c r="C32" s="26" t="s">
        <v>88</v>
      </c>
      <c r="D32" s="26" t="s">
        <v>13</v>
      </c>
      <c r="E32" s="31">
        <v>4000</v>
      </c>
      <c r="F32" s="28">
        <v>19972.18</v>
      </c>
      <c r="G32" s="29">
        <v>2.2125397196713799</v>
      </c>
      <c r="H32" s="32">
        <v>5.6491E-2</v>
      </c>
      <c r="I32" s="33"/>
    </row>
    <row r="33" spans="2:9" x14ac:dyDescent="0.2">
      <c r="B33" s="26" t="s">
        <v>24</v>
      </c>
      <c r="C33" s="26" t="s">
        <v>25</v>
      </c>
      <c r="D33" s="26" t="s">
        <v>13</v>
      </c>
      <c r="E33" s="31">
        <v>4000</v>
      </c>
      <c r="F33" s="28">
        <v>19945.18</v>
      </c>
      <c r="G33" s="29">
        <v>2.2095486304447101</v>
      </c>
      <c r="H33" s="32">
        <v>6.2701000000000007E-2</v>
      </c>
      <c r="I33" s="33"/>
    </row>
    <row r="34" spans="2:9" x14ac:dyDescent="0.2">
      <c r="B34" s="26" t="s">
        <v>89</v>
      </c>
      <c r="C34" s="26" t="s">
        <v>90</v>
      </c>
      <c r="D34" s="26" t="s">
        <v>13</v>
      </c>
      <c r="E34" s="31">
        <v>4000</v>
      </c>
      <c r="F34" s="28">
        <v>19941.759999999998</v>
      </c>
      <c r="G34" s="29">
        <v>2.20916975914266</v>
      </c>
      <c r="H34" s="32">
        <v>6.2704999999999997E-2</v>
      </c>
      <c r="I34" s="33"/>
    </row>
    <row r="35" spans="2:9" x14ac:dyDescent="0.2">
      <c r="B35" s="26" t="s">
        <v>91</v>
      </c>
      <c r="C35" s="26" t="s">
        <v>92</v>
      </c>
      <c r="D35" s="26" t="s">
        <v>13</v>
      </c>
      <c r="E35" s="31">
        <v>4000</v>
      </c>
      <c r="F35" s="28">
        <v>19687.16</v>
      </c>
      <c r="G35" s="29">
        <v>2.1809648955459902</v>
      </c>
      <c r="H35" s="32">
        <v>7.2500999999999996E-2</v>
      </c>
      <c r="I35" s="33"/>
    </row>
    <row r="36" spans="2:9" x14ac:dyDescent="0.2">
      <c r="B36" s="26" t="s">
        <v>93</v>
      </c>
      <c r="C36" s="26" t="s">
        <v>94</v>
      </c>
      <c r="D36" s="26" t="s">
        <v>32</v>
      </c>
      <c r="E36" s="31">
        <v>4000</v>
      </c>
      <c r="F36" s="28">
        <v>19669.48</v>
      </c>
      <c r="G36" s="29">
        <v>2.17900628600793</v>
      </c>
      <c r="H36" s="32">
        <v>7.0498000000000005E-2</v>
      </c>
      <c r="I36" s="33"/>
    </row>
    <row r="37" spans="2:9" x14ac:dyDescent="0.2">
      <c r="B37" s="26" t="s">
        <v>95</v>
      </c>
      <c r="C37" s="26" t="s">
        <v>96</v>
      </c>
      <c r="D37" s="26" t="s">
        <v>13</v>
      </c>
      <c r="E37" s="31">
        <v>3500</v>
      </c>
      <c r="F37" s="28">
        <v>17471.912499999999</v>
      </c>
      <c r="G37" s="29">
        <v>1.9355573795586101</v>
      </c>
      <c r="H37" s="32">
        <v>5.8694999999999997E-2</v>
      </c>
      <c r="I37" s="33"/>
    </row>
    <row r="38" spans="2:9" x14ac:dyDescent="0.2">
      <c r="B38" s="26" t="s">
        <v>28</v>
      </c>
      <c r="C38" s="26" t="s">
        <v>29</v>
      </c>
      <c r="D38" s="26" t="s">
        <v>13</v>
      </c>
      <c r="E38" s="31">
        <v>3500</v>
      </c>
      <c r="F38" s="28">
        <v>17429.842499999999</v>
      </c>
      <c r="G38" s="29">
        <v>1.9308968194191301</v>
      </c>
      <c r="H38" s="32">
        <v>5.6507000000000002E-2</v>
      </c>
      <c r="I38" s="33"/>
    </row>
    <row r="39" spans="2:9" x14ac:dyDescent="0.2">
      <c r="B39" s="26" t="s">
        <v>97</v>
      </c>
      <c r="C39" s="26" t="s">
        <v>98</v>
      </c>
      <c r="D39" s="26" t="s">
        <v>13</v>
      </c>
      <c r="E39" s="31">
        <v>3500</v>
      </c>
      <c r="F39" s="28">
        <v>17428.6175</v>
      </c>
      <c r="G39" s="29">
        <v>1.9307611125930999</v>
      </c>
      <c r="H39" s="32">
        <v>6.2296999999999998E-2</v>
      </c>
      <c r="I39" s="33"/>
    </row>
    <row r="40" spans="2:9" x14ac:dyDescent="0.2">
      <c r="B40" s="26" t="s">
        <v>99</v>
      </c>
      <c r="C40" s="26" t="s">
        <v>100</v>
      </c>
      <c r="D40" s="26" t="s">
        <v>13</v>
      </c>
      <c r="E40" s="31">
        <v>3500</v>
      </c>
      <c r="F40" s="28">
        <v>17271.887500000001</v>
      </c>
      <c r="G40" s="29">
        <v>1.9133983935376899</v>
      </c>
      <c r="H40" s="32">
        <v>7.1952000000000002E-2</v>
      </c>
      <c r="I40" s="33"/>
    </row>
    <row r="41" spans="2:9" x14ac:dyDescent="0.2">
      <c r="B41" s="26" t="s">
        <v>101</v>
      </c>
      <c r="C41" s="26" t="s">
        <v>102</v>
      </c>
      <c r="D41" s="26" t="s">
        <v>13</v>
      </c>
      <c r="E41" s="31">
        <v>3000</v>
      </c>
      <c r="F41" s="28">
        <v>14801.76</v>
      </c>
      <c r="G41" s="29">
        <v>1.6397549952505499</v>
      </c>
      <c r="H41" s="32">
        <v>7.2961999999999999E-2</v>
      </c>
      <c r="I41" s="33"/>
    </row>
    <row r="42" spans="2:9" x14ac:dyDescent="0.2">
      <c r="B42" s="26" t="s">
        <v>103</v>
      </c>
      <c r="C42" s="26" t="s">
        <v>104</v>
      </c>
      <c r="D42" s="26" t="s">
        <v>11</v>
      </c>
      <c r="E42" s="31">
        <v>2500</v>
      </c>
      <c r="F42" s="28">
        <v>12483.2</v>
      </c>
      <c r="G42" s="29">
        <v>1.3829024086805599</v>
      </c>
      <c r="H42" s="32">
        <v>6.1402999999999999E-2</v>
      </c>
      <c r="I42" s="33"/>
    </row>
    <row r="43" spans="2:9" x14ac:dyDescent="0.2">
      <c r="B43" s="26" t="s">
        <v>105</v>
      </c>
      <c r="C43" s="26" t="s">
        <v>106</v>
      </c>
      <c r="D43" s="26" t="s">
        <v>13</v>
      </c>
      <c r="E43" s="31">
        <v>2500</v>
      </c>
      <c r="F43" s="28">
        <v>12465.8</v>
      </c>
      <c r="G43" s="29">
        <v>1.3809748178456001</v>
      </c>
      <c r="H43" s="32">
        <v>5.8904999999999999E-2</v>
      </c>
      <c r="I43" s="33"/>
    </row>
    <row r="44" spans="2:9" x14ac:dyDescent="0.2">
      <c r="B44" s="26" t="s">
        <v>107</v>
      </c>
      <c r="C44" s="26" t="s">
        <v>108</v>
      </c>
      <c r="D44" s="26" t="s">
        <v>32</v>
      </c>
      <c r="E44" s="31">
        <v>2000</v>
      </c>
      <c r="F44" s="28">
        <v>9993.2099999999991</v>
      </c>
      <c r="G44" s="29">
        <v>1.1070586211428699</v>
      </c>
      <c r="H44" s="32">
        <v>6.2001000000000001E-2</v>
      </c>
      <c r="I44" s="33"/>
    </row>
    <row r="45" spans="2:9" x14ac:dyDescent="0.2">
      <c r="B45" s="26" t="s">
        <v>109</v>
      </c>
      <c r="C45" s="26" t="s">
        <v>110</v>
      </c>
      <c r="D45" s="26" t="s">
        <v>13</v>
      </c>
      <c r="E45" s="31">
        <v>2000</v>
      </c>
      <c r="F45" s="28">
        <v>9984.7900000000009</v>
      </c>
      <c r="G45" s="29">
        <v>1.1061258444284801</v>
      </c>
      <c r="H45" s="32">
        <v>6.1799E-2</v>
      </c>
      <c r="I45" s="33"/>
    </row>
    <row r="46" spans="2:9" x14ac:dyDescent="0.2">
      <c r="B46" s="26" t="s">
        <v>20</v>
      </c>
      <c r="C46" s="26" t="s">
        <v>21</v>
      </c>
      <c r="D46" s="26" t="s">
        <v>13</v>
      </c>
      <c r="E46" s="31">
        <v>2000</v>
      </c>
      <c r="F46" s="28">
        <v>9981.58</v>
      </c>
      <c r="G46" s="29">
        <v>1.1057702371537499</v>
      </c>
      <c r="H46" s="32">
        <v>6.1249999999999999E-2</v>
      </c>
      <c r="I46" s="33"/>
    </row>
    <row r="47" spans="2:9" x14ac:dyDescent="0.2">
      <c r="B47" s="26" t="s">
        <v>22</v>
      </c>
      <c r="C47" s="26" t="s">
        <v>23</v>
      </c>
      <c r="D47" s="26" t="s">
        <v>13</v>
      </c>
      <c r="E47" s="31">
        <v>2000</v>
      </c>
      <c r="F47" s="28">
        <v>9981.41</v>
      </c>
      <c r="G47" s="29">
        <v>1.1057514043697301</v>
      </c>
      <c r="H47" s="32">
        <v>6.1800000000000001E-2</v>
      </c>
      <c r="I47" s="33"/>
    </row>
    <row r="48" spans="2:9" x14ac:dyDescent="0.2">
      <c r="B48" s="26" t="s">
        <v>111</v>
      </c>
      <c r="C48" s="26" t="s">
        <v>112</v>
      </c>
      <c r="D48" s="26" t="s">
        <v>13</v>
      </c>
      <c r="E48" s="31">
        <v>2000</v>
      </c>
      <c r="F48" s="28">
        <v>9895.4699999999993</v>
      </c>
      <c r="G48" s="29">
        <v>1.09623087814232</v>
      </c>
      <c r="H48" s="32">
        <v>7.7113000000000001E-2</v>
      </c>
      <c r="I48" s="33"/>
    </row>
    <row r="49" spans="2:9" x14ac:dyDescent="0.2">
      <c r="B49" s="26" t="s">
        <v>113</v>
      </c>
      <c r="C49" s="26" t="s">
        <v>114</v>
      </c>
      <c r="D49" s="26" t="s">
        <v>13</v>
      </c>
      <c r="E49" s="31">
        <v>1500</v>
      </c>
      <c r="F49" s="28">
        <v>7498.8374999999996</v>
      </c>
      <c r="G49" s="29">
        <v>0.83072933551125805</v>
      </c>
      <c r="H49" s="32">
        <v>5.6584000000000002E-2</v>
      </c>
      <c r="I49" s="33"/>
    </row>
    <row r="50" spans="2:9" x14ac:dyDescent="0.2">
      <c r="B50" s="26" t="s">
        <v>115</v>
      </c>
      <c r="C50" s="26" t="s">
        <v>116</v>
      </c>
      <c r="D50" s="26" t="s">
        <v>13</v>
      </c>
      <c r="E50" s="31">
        <v>1500</v>
      </c>
      <c r="F50" s="28">
        <v>7498.8374999999996</v>
      </c>
      <c r="G50" s="29">
        <v>0.83072933551125805</v>
      </c>
      <c r="H50" s="32">
        <v>5.6765999999999997E-2</v>
      </c>
      <c r="I50" s="33"/>
    </row>
    <row r="51" spans="2:9" x14ac:dyDescent="0.2">
      <c r="B51" s="26" t="s">
        <v>117</v>
      </c>
      <c r="C51" s="26" t="s">
        <v>118</v>
      </c>
      <c r="D51" s="26" t="s">
        <v>13</v>
      </c>
      <c r="E51" s="31">
        <v>1000</v>
      </c>
      <c r="F51" s="28">
        <v>4996.1850000000004</v>
      </c>
      <c r="G51" s="29">
        <v>0.55348278251679905</v>
      </c>
      <c r="H51" s="32">
        <v>5.5742E-2</v>
      </c>
      <c r="I51" s="33"/>
    </row>
    <row r="52" spans="2:9" x14ac:dyDescent="0.2">
      <c r="B52" s="26" t="s">
        <v>119</v>
      </c>
      <c r="C52" s="26" t="s">
        <v>120</v>
      </c>
      <c r="D52" s="26" t="s">
        <v>13</v>
      </c>
      <c r="E52" s="31">
        <v>1000</v>
      </c>
      <c r="F52" s="28">
        <v>4995.8549999999996</v>
      </c>
      <c r="G52" s="29">
        <v>0.55344622475958405</v>
      </c>
      <c r="H52" s="32">
        <v>6.0567000000000003E-2</v>
      </c>
      <c r="I52" s="33"/>
    </row>
    <row r="53" spans="2:9" x14ac:dyDescent="0.2">
      <c r="B53" s="26" t="s">
        <v>30</v>
      </c>
      <c r="C53" s="26" t="s">
        <v>31</v>
      </c>
      <c r="D53" s="26" t="s">
        <v>32</v>
      </c>
      <c r="E53" s="31">
        <v>1000</v>
      </c>
      <c r="F53" s="28">
        <v>4995.79</v>
      </c>
      <c r="G53" s="29">
        <v>0.55343902398922296</v>
      </c>
      <c r="H53" s="32">
        <v>6.1518000000000003E-2</v>
      </c>
      <c r="I53" s="33"/>
    </row>
    <row r="54" spans="2:9" x14ac:dyDescent="0.2">
      <c r="B54" s="26" t="s">
        <v>121</v>
      </c>
      <c r="C54" s="26" t="s">
        <v>122</v>
      </c>
      <c r="D54" s="26" t="s">
        <v>13</v>
      </c>
      <c r="E54" s="31">
        <v>500</v>
      </c>
      <c r="F54" s="28">
        <v>2499.6525000000001</v>
      </c>
      <c r="G54" s="29">
        <v>0.276914209747051</v>
      </c>
      <c r="H54" s="32">
        <v>5.0742000000000002E-2</v>
      </c>
      <c r="I54" s="33"/>
    </row>
    <row r="55" spans="2:9" x14ac:dyDescent="0.2">
      <c r="B55" s="26" t="s">
        <v>18</v>
      </c>
      <c r="C55" s="26" t="s">
        <v>19</v>
      </c>
      <c r="D55" s="26" t="s">
        <v>11</v>
      </c>
      <c r="E55" s="31">
        <v>500</v>
      </c>
      <c r="F55" s="28">
        <v>2496.5774999999999</v>
      </c>
      <c r="G55" s="29">
        <v>0.276573557918458</v>
      </c>
      <c r="H55" s="32">
        <v>5.5597000000000001E-2</v>
      </c>
      <c r="I55" s="33"/>
    </row>
    <row r="56" spans="2:9" ht="10.5" x14ac:dyDescent="0.25">
      <c r="B56" s="25" t="s">
        <v>16</v>
      </c>
      <c r="C56" s="25"/>
      <c r="D56" s="25"/>
      <c r="E56" s="34"/>
      <c r="F56" s="35">
        <f>SUM(F27:F55)</f>
        <v>471814.13099999999</v>
      </c>
      <c r="G56" s="36">
        <f>SUM(G27:G55)</f>
        <v>52.268080156484459</v>
      </c>
      <c r="H56" s="37"/>
      <c r="I56" s="37"/>
    </row>
    <row r="57" spans="2:9" ht="10.5" x14ac:dyDescent="0.25">
      <c r="B57" s="25" t="s">
        <v>33</v>
      </c>
      <c r="C57" s="26"/>
      <c r="D57" s="26"/>
      <c r="E57" s="27"/>
      <c r="F57" s="28"/>
      <c r="G57" s="29"/>
      <c r="H57" s="30"/>
      <c r="I57" s="30"/>
    </row>
    <row r="58" spans="2:9" x14ac:dyDescent="0.2">
      <c r="B58" s="26" t="s">
        <v>123</v>
      </c>
      <c r="C58" s="26" t="s">
        <v>124</v>
      </c>
      <c r="D58" s="26" t="s">
        <v>35</v>
      </c>
      <c r="E58" s="31">
        <v>39500000</v>
      </c>
      <c r="F58" s="28">
        <v>39202.565000000002</v>
      </c>
      <c r="G58" s="29">
        <v>4.3429025862724604</v>
      </c>
      <c r="H58" s="32">
        <v>5.2250999999999999E-2</v>
      </c>
      <c r="I58" s="33"/>
    </row>
    <row r="59" spans="2:9" x14ac:dyDescent="0.2">
      <c r="B59" s="26" t="s">
        <v>125</v>
      </c>
      <c r="C59" s="26" t="s">
        <v>126</v>
      </c>
      <c r="D59" s="26" t="s">
        <v>35</v>
      </c>
      <c r="E59" s="31">
        <v>29000000</v>
      </c>
      <c r="F59" s="28">
        <v>28806.192999999999</v>
      </c>
      <c r="G59" s="29">
        <v>3.1911812423591099</v>
      </c>
      <c r="H59" s="32">
        <v>5.2248999999999997E-2</v>
      </c>
      <c r="I59" s="33"/>
    </row>
    <row r="60" spans="2:9" x14ac:dyDescent="0.2">
      <c r="B60" s="26" t="s">
        <v>127</v>
      </c>
      <c r="C60" s="26" t="s">
        <v>128</v>
      </c>
      <c r="D60" s="26" t="s">
        <v>35</v>
      </c>
      <c r="E60" s="31">
        <v>23500000</v>
      </c>
      <c r="F60" s="28">
        <v>23323.044999999998</v>
      </c>
      <c r="G60" s="29">
        <v>2.5837521715798202</v>
      </c>
      <c r="H60" s="32">
        <v>5.2250999999999999E-2</v>
      </c>
      <c r="I60" s="33"/>
    </row>
    <row r="61" spans="2:9" x14ac:dyDescent="0.2">
      <c r="B61" s="26" t="s">
        <v>129</v>
      </c>
      <c r="C61" s="26" t="s">
        <v>130</v>
      </c>
      <c r="D61" s="26" t="s">
        <v>35</v>
      </c>
      <c r="E61" s="31">
        <v>22500000</v>
      </c>
      <c r="F61" s="28">
        <v>22352.805</v>
      </c>
      <c r="G61" s="29">
        <v>2.4762679341248202</v>
      </c>
      <c r="H61" s="32">
        <v>5.2250999999999999E-2</v>
      </c>
      <c r="I61" s="33"/>
    </row>
    <row r="62" spans="2:9" x14ac:dyDescent="0.2">
      <c r="B62" s="26" t="s">
        <v>131</v>
      </c>
      <c r="C62" s="26" t="s">
        <v>132</v>
      </c>
      <c r="D62" s="26" t="s">
        <v>35</v>
      </c>
      <c r="E62" s="31">
        <v>16000000</v>
      </c>
      <c r="F62" s="28">
        <v>15863.76</v>
      </c>
      <c r="G62" s="29">
        <v>1.7574045048329301</v>
      </c>
      <c r="H62" s="32">
        <v>5.2248000000000003E-2</v>
      </c>
      <c r="I62" s="33"/>
    </row>
    <row r="63" spans="2:9" x14ac:dyDescent="0.2">
      <c r="B63" s="26" t="s">
        <v>133</v>
      </c>
      <c r="C63" s="26" t="s">
        <v>134</v>
      </c>
      <c r="D63" s="26" t="s">
        <v>35</v>
      </c>
      <c r="E63" s="31">
        <v>15500000</v>
      </c>
      <c r="F63" s="28">
        <v>15381.115</v>
      </c>
      <c r="G63" s="29">
        <v>1.7039365692845401</v>
      </c>
      <c r="H63" s="32">
        <v>5.2248000000000003E-2</v>
      </c>
      <c r="I63" s="33"/>
    </row>
    <row r="64" spans="2:9" x14ac:dyDescent="0.2">
      <c r="B64" s="26" t="s">
        <v>135</v>
      </c>
      <c r="C64" s="26" t="s">
        <v>136</v>
      </c>
      <c r="D64" s="26" t="s">
        <v>35</v>
      </c>
      <c r="E64" s="31">
        <v>14000000</v>
      </c>
      <c r="F64" s="28">
        <v>13866.621999999999</v>
      </c>
      <c r="G64" s="29">
        <v>1.53615939535238</v>
      </c>
      <c r="H64" s="32">
        <v>5.2400000000000002E-2</v>
      </c>
      <c r="I64" s="33"/>
    </row>
    <row r="65" spans="2:9" x14ac:dyDescent="0.2">
      <c r="B65" s="26" t="s">
        <v>137</v>
      </c>
      <c r="C65" s="26" t="s">
        <v>138</v>
      </c>
      <c r="D65" s="26" t="s">
        <v>35</v>
      </c>
      <c r="E65" s="31">
        <v>9500000</v>
      </c>
      <c r="F65" s="28">
        <v>9409.4935000000005</v>
      </c>
      <c r="G65" s="29">
        <v>1.04239387541769</v>
      </c>
      <c r="H65" s="32">
        <v>5.2400000000000002E-2</v>
      </c>
      <c r="I65" s="33"/>
    </row>
    <row r="66" spans="2:9" x14ac:dyDescent="0.2">
      <c r="B66" s="26" t="s">
        <v>139</v>
      </c>
      <c r="C66" s="26" t="s">
        <v>140</v>
      </c>
      <c r="D66" s="26" t="s">
        <v>35</v>
      </c>
      <c r="E66" s="31">
        <v>4000000</v>
      </c>
      <c r="F66" s="28">
        <v>3987.5720000000001</v>
      </c>
      <c r="G66" s="29">
        <v>0.44174754258420701</v>
      </c>
      <c r="H66" s="32">
        <v>4.5504000000000003E-2</v>
      </c>
      <c r="I66" s="33"/>
    </row>
    <row r="67" spans="2:9" x14ac:dyDescent="0.2">
      <c r="B67" s="26" t="s">
        <v>141</v>
      </c>
      <c r="C67" s="26" t="s">
        <v>142</v>
      </c>
      <c r="D67" s="26" t="s">
        <v>35</v>
      </c>
      <c r="E67" s="31">
        <v>500000</v>
      </c>
      <c r="F67" s="28">
        <v>495.74250000000001</v>
      </c>
      <c r="G67" s="29">
        <v>5.4918890776028899E-2</v>
      </c>
      <c r="H67" s="32">
        <v>5.2248000000000003E-2</v>
      </c>
      <c r="I67" s="33"/>
    </row>
    <row r="68" spans="2:9" x14ac:dyDescent="0.2">
      <c r="B68" s="26" t="s">
        <v>143</v>
      </c>
      <c r="C68" s="26" t="s">
        <v>144</v>
      </c>
      <c r="D68" s="26" t="s">
        <v>35</v>
      </c>
      <c r="E68" s="31">
        <v>500000</v>
      </c>
      <c r="F68" s="28">
        <v>495.166</v>
      </c>
      <c r="G68" s="29">
        <v>5.4855025481985398E-2</v>
      </c>
      <c r="H68" s="32">
        <v>5.2401000000000003E-2</v>
      </c>
      <c r="I68" s="33"/>
    </row>
    <row r="69" spans="2:9" x14ac:dyDescent="0.2">
      <c r="B69" s="26" t="s">
        <v>145</v>
      </c>
      <c r="C69" s="26" t="s">
        <v>146</v>
      </c>
      <c r="D69" s="26" t="s">
        <v>35</v>
      </c>
      <c r="E69" s="31">
        <v>440000</v>
      </c>
      <c r="F69" s="28">
        <v>439.36464000000001</v>
      </c>
      <c r="G69" s="29">
        <v>4.8673290417927201E-2</v>
      </c>
      <c r="H69" s="32">
        <v>4.8000000000000001E-2</v>
      </c>
      <c r="I69" s="33"/>
    </row>
    <row r="70" spans="2:9" ht="10.5" x14ac:dyDescent="0.25">
      <c r="B70" s="25" t="s">
        <v>16</v>
      </c>
      <c r="C70" s="25"/>
      <c r="D70" s="25"/>
      <c r="E70" s="34"/>
      <c r="F70" s="38">
        <f>SUM(F57:F69)</f>
        <v>173623.44364000001</v>
      </c>
      <c r="G70" s="39">
        <f>SUM(G57:G69)</f>
        <v>19.234193028483901</v>
      </c>
      <c r="H70" s="37"/>
      <c r="I70" s="37"/>
    </row>
    <row r="71" spans="2:9" ht="10.5" x14ac:dyDescent="0.25">
      <c r="B71" s="40" t="s">
        <v>34</v>
      </c>
      <c r="C71" s="40"/>
      <c r="D71" s="40"/>
      <c r="E71" s="41"/>
      <c r="F71" s="42">
        <f>+F26+F56+F70</f>
        <v>881137.89213999989</v>
      </c>
      <c r="G71" s="43">
        <f>+G26+G56+G70</f>
        <v>97.613409495972235</v>
      </c>
      <c r="H71" s="37"/>
      <c r="I71" s="37"/>
    </row>
    <row r="72" spans="2:9" ht="10.5" x14ac:dyDescent="0.25">
      <c r="B72" s="25" t="s">
        <v>36</v>
      </c>
      <c r="C72" s="26"/>
      <c r="D72" s="26"/>
      <c r="E72" s="27"/>
      <c r="F72" s="28"/>
      <c r="G72" s="29"/>
      <c r="H72" s="30"/>
      <c r="I72" s="30"/>
    </row>
    <row r="73" spans="2:9" x14ac:dyDescent="0.2">
      <c r="B73" s="26" t="s">
        <v>37</v>
      </c>
      <c r="C73" s="26" t="s">
        <v>38</v>
      </c>
      <c r="D73" s="26"/>
      <c r="E73" s="31">
        <v>15348.03</v>
      </c>
      <c r="F73" s="28">
        <v>1790.4500708999999</v>
      </c>
      <c r="G73" s="29">
        <v>0.19834799696150801</v>
      </c>
      <c r="H73" s="30"/>
      <c r="I73" s="30"/>
    </row>
    <row r="74" spans="2:9" ht="10.5" x14ac:dyDescent="0.25">
      <c r="B74" s="25" t="s">
        <v>16</v>
      </c>
      <c r="C74" s="25"/>
      <c r="D74" s="25"/>
      <c r="E74" s="34"/>
      <c r="F74" s="35">
        <f>SUM(F73:F73)</f>
        <v>1790.4500708999999</v>
      </c>
      <c r="G74" s="36">
        <f>SUM(G73:G73)</f>
        <v>0.19834799696150801</v>
      </c>
      <c r="H74" s="37"/>
      <c r="I74" s="37"/>
    </row>
    <row r="75" spans="2:9" ht="10.5" x14ac:dyDescent="0.25">
      <c r="B75" s="25"/>
      <c r="C75" s="26"/>
      <c r="D75" s="26"/>
      <c r="E75" s="27"/>
      <c r="F75" s="28"/>
      <c r="G75" s="29"/>
      <c r="H75" s="30"/>
      <c r="I75" s="30"/>
    </row>
    <row r="76" spans="2:9" ht="10.5" x14ac:dyDescent="0.25">
      <c r="B76" s="25" t="s">
        <v>39</v>
      </c>
      <c r="C76" s="25"/>
      <c r="D76" s="25"/>
      <c r="E76" s="34"/>
      <c r="F76" s="35">
        <v>19630.762456500001</v>
      </c>
      <c r="G76" s="36">
        <v>2.1747171146284501</v>
      </c>
      <c r="H76" s="32">
        <v>4.9299999999999997E-2</v>
      </c>
      <c r="I76" s="32"/>
    </row>
    <row r="77" spans="2:9" x14ac:dyDescent="0.2">
      <c r="B77" s="26"/>
      <c r="C77" s="26"/>
      <c r="D77" s="26"/>
      <c r="E77" s="27"/>
      <c r="F77" s="28"/>
      <c r="G77" s="29"/>
      <c r="H77" s="30"/>
      <c r="I77" s="30"/>
    </row>
    <row r="78" spans="2:9" ht="10.5" x14ac:dyDescent="0.25">
      <c r="B78" s="49" t="s">
        <v>41</v>
      </c>
      <c r="C78" s="49"/>
      <c r="D78" s="49"/>
      <c r="E78" s="50"/>
      <c r="F78" s="35">
        <f>F79-(F26+F56+F70+F74+F76)</f>
        <v>122.09117420006078</v>
      </c>
      <c r="G78" s="36">
        <f>G79-(G26+G56+G70+G74+G76)</f>
        <v>1.3525392437813366E-2</v>
      </c>
      <c r="H78" s="37"/>
      <c r="I78" s="37"/>
    </row>
    <row r="79" spans="2:9" ht="10.5" x14ac:dyDescent="0.25">
      <c r="B79" s="44" t="s">
        <v>40</v>
      </c>
      <c r="C79" s="44"/>
      <c r="D79" s="44"/>
      <c r="E79" s="45"/>
      <c r="F79" s="46">
        <v>902681.19584159995</v>
      </c>
      <c r="G79" s="47">
        <v>100</v>
      </c>
      <c r="H79" s="48"/>
      <c r="I79" s="48"/>
    </row>
    <row r="81" spans="2:9" ht="10.5" x14ac:dyDescent="0.25">
      <c r="B81" s="18" t="s">
        <v>43</v>
      </c>
    </row>
    <row r="82" spans="2:9" ht="40" customHeight="1" x14ac:dyDescent="0.2">
      <c r="B82" s="59" t="s">
        <v>44</v>
      </c>
      <c r="C82" s="59"/>
      <c r="D82" s="59"/>
      <c r="E82" s="59"/>
      <c r="F82" s="59"/>
      <c r="G82" s="59"/>
      <c r="H82" s="59"/>
      <c r="I82" s="59"/>
    </row>
    <row r="83" spans="2:9" ht="13.5" customHeight="1" x14ac:dyDescent="0.2">
      <c r="B83" s="55"/>
      <c r="C83" s="55"/>
      <c r="D83" s="55"/>
      <c r="E83" s="55"/>
      <c r="F83" s="55"/>
      <c r="G83" s="55"/>
      <c r="H83" s="55"/>
      <c r="I83" s="55"/>
    </row>
    <row r="84" spans="2:9" ht="10.5" x14ac:dyDescent="0.25">
      <c r="B84" s="56" t="s">
        <v>151</v>
      </c>
    </row>
    <row r="85" spans="2:9" ht="10.5" x14ac:dyDescent="0.25">
      <c r="B85" s="56"/>
    </row>
    <row r="86" spans="2:9" ht="10.5" x14ac:dyDescent="0.25">
      <c r="B86" s="18" t="s">
        <v>147</v>
      </c>
      <c r="E86" s="8"/>
      <c r="G86" s="54"/>
    </row>
    <row r="87" spans="2:9" ht="10.5" x14ac:dyDescent="0.25">
      <c r="B87" s="18"/>
      <c r="C87" s="18"/>
      <c r="D87" s="51"/>
      <c r="E87" s="18"/>
      <c r="G87" s="54"/>
    </row>
    <row r="88" spans="2:9" x14ac:dyDescent="0.2">
      <c r="D88" s="52"/>
      <c r="E88" s="52"/>
      <c r="G88" s="54"/>
    </row>
    <row r="89" spans="2:9" x14ac:dyDescent="0.2">
      <c r="E89" s="8"/>
      <c r="G89" s="54"/>
    </row>
    <row r="90" spans="2:9" x14ac:dyDescent="0.2">
      <c r="E90" s="8"/>
      <c r="G90" s="54"/>
    </row>
    <row r="91" spans="2:9" x14ac:dyDescent="0.2">
      <c r="E91" s="8"/>
      <c r="G91" s="54"/>
    </row>
    <row r="92" spans="2:9" x14ac:dyDescent="0.2">
      <c r="E92" s="8"/>
      <c r="G92" s="54"/>
    </row>
    <row r="93" spans="2:9" x14ac:dyDescent="0.2">
      <c r="E93" s="8"/>
      <c r="G93" s="54"/>
    </row>
    <row r="94" spans="2:9" x14ac:dyDescent="0.2">
      <c r="E94" s="8"/>
      <c r="G94" s="54"/>
    </row>
    <row r="95" spans="2:9" x14ac:dyDescent="0.2">
      <c r="E95" s="8"/>
      <c r="G95" s="54"/>
    </row>
    <row r="96" spans="2:9" x14ac:dyDescent="0.2">
      <c r="E96" s="8"/>
      <c r="G96" s="54"/>
    </row>
    <row r="97" spans="2:7" x14ac:dyDescent="0.2">
      <c r="E97" s="8"/>
      <c r="G97" s="54"/>
    </row>
    <row r="98" spans="2:7" x14ac:dyDescent="0.2">
      <c r="E98" s="8"/>
      <c r="G98" s="54"/>
    </row>
    <row r="99" spans="2:7" x14ac:dyDescent="0.2">
      <c r="E99" s="8"/>
      <c r="G99" s="54"/>
    </row>
    <row r="100" spans="2:7" x14ac:dyDescent="0.2">
      <c r="E100" s="8"/>
      <c r="G100" s="54"/>
    </row>
    <row r="101" spans="2:7" x14ac:dyDescent="0.2">
      <c r="E101" s="8"/>
      <c r="G101" s="54"/>
    </row>
    <row r="102" spans="2:7" x14ac:dyDescent="0.2">
      <c r="E102" s="8"/>
      <c r="G102" s="54"/>
    </row>
    <row r="103" spans="2:7" x14ac:dyDescent="0.2">
      <c r="E103" s="8"/>
      <c r="G103" s="54"/>
    </row>
    <row r="104" spans="2:7" x14ac:dyDescent="0.2">
      <c r="E104" s="8"/>
      <c r="G104" s="54"/>
    </row>
    <row r="105" spans="2:7" x14ac:dyDescent="0.2">
      <c r="E105" s="8"/>
      <c r="G105" s="54"/>
    </row>
    <row r="106" spans="2:7" x14ac:dyDescent="0.2">
      <c r="E106" s="8"/>
      <c r="G106" s="54"/>
    </row>
    <row r="107" spans="2:7" ht="10.5" x14ac:dyDescent="0.25">
      <c r="B107" s="18" t="s">
        <v>148</v>
      </c>
      <c r="E107" s="8"/>
      <c r="G107" s="54"/>
    </row>
    <row r="108" spans="2:7" ht="10.5" x14ac:dyDescent="0.25">
      <c r="B108" s="18" t="s">
        <v>149</v>
      </c>
      <c r="E108" s="8"/>
      <c r="G108" s="54"/>
    </row>
    <row r="109" spans="2:7" x14ac:dyDescent="0.2">
      <c r="E109" s="8"/>
      <c r="G109" s="54"/>
    </row>
    <row r="110" spans="2:7" x14ac:dyDescent="0.2">
      <c r="E110" s="8"/>
      <c r="G110" s="54"/>
    </row>
    <row r="111" spans="2:7" x14ac:dyDescent="0.2">
      <c r="E111" s="8"/>
      <c r="G111" s="54"/>
    </row>
    <row r="112" spans="2:7" x14ac:dyDescent="0.2">
      <c r="E112" s="8"/>
      <c r="G112" s="54"/>
    </row>
    <row r="113" spans="5:7" x14ac:dyDescent="0.2">
      <c r="E113" s="8"/>
      <c r="G113" s="54"/>
    </row>
    <row r="114" spans="5:7" x14ac:dyDescent="0.2">
      <c r="E114" s="8"/>
      <c r="G114" s="54"/>
    </row>
    <row r="115" spans="5:7" x14ac:dyDescent="0.2">
      <c r="E115" s="8"/>
      <c r="G115" s="54"/>
    </row>
    <row r="116" spans="5:7" x14ac:dyDescent="0.2">
      <c r="E116" s="8"/>
      <c r="G116" s="54"/>
    </row>
    <row r="117" spans="5:7" x14ac:dyDescent="0.2">
      <c r="E117" s="8"/>
      <c r="G117" s="54"/>
    </row>
    <row r="118" spans="5:7" x14ac:dyDescent="0.2">
      <c r="E118" s="8"/>
      <c r="G118" s="54"/>
    </row>
    <row r="119" spans="5:7" x14ac:dyDescent="0.2">
      <c r="E119" s="8"/>
      <c r="G119" s="54"/>
    </row>
    <row r="120" spans="5:7" x14ac:dyDescent="0.2">
      <c r="E120" s="8"/>
      <c r="G120" s="54"/>
    </row>
    <row r="121" spans="5:7" x14ac:dyDescent="0.2">
      <c r="E121" s="8"/>
      <c r="G121" s="54"/>
    </row>
    <row r="122" spans="5:7" x14ac:dyDescent="0.2">
      <c r="E122" s="8"/>
      <c r="G122" s="54"/>
    </row>
    <row r="123" spans="5:7" x14ac:dyDescent="0.2">
      <c r="E123" s="8"/>
      <c r="G123" s="54"/>
    </row>
    <row r="124" spans="5:7" x14ac:dyDescent="0.2">
      <c r="E124" s="8"/>
      <c r="G124" s="54"/>
    </row>
    <row r="125" spans="5:7" x14ac:dyDescent="0.2">
      <c r="E125" s="8"/>
      <c r="G125" s="54"/>
    </row>
    <row r="126" spans="5:7" x14ac:dyDescent="0.2">
      <c r="E126" s="8"/>
      <c r="G126" s="54"/>
    </row>
    <row r="127" spans="5:7" x14ac:dyDescent="0.2">
      <c r="E127" s="8"/>
      <c r="G127" s="54"/>
    </row>
    <row r="128" spans="5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  <row r="139" spans="5:7" x14ac:dyDescent="0.2">
      <c r="E139" s="8"/>
      <c r="G139" s="54"/>
    </row>
    <row r="140" spans="5:7" x14ac:dyDescent="0.2">
      <c r="E140" s="8"/>
      <c r="G140" s="54"/>
    </row>
    <row r="141" spans="5:7" x14ac:dyDescent="0.2">
      <c r="E141" s="8"/>
      <c r="G141" s="54"/>
    </row>
    <row r="142" spans="5:7" x14ac:dyDescent="0.2">
      <c r="E142" s="8"/>
      <c r="G142" s="54"/>
    </row>
    <row r="143" spans="5:7" x14ac:dyDescent="0.2">
      <c r="E143" s="8"/>
      <c r="G143" s="54"/>
    </row>
    <row r="144" spans="5:7" x14ac:dyDescent="0.2">
      <c r="E144" s="8"/>
      <c r="G144" s="54"/>
    </row>
    <row r="145" spans="5:7" x14ac:dyDescent="0.2">
      <c r="E145" s="8"/>
      <c r="G145" s="54"/>
    </row>
    <row r="146" spans="5:7" x14ac:dyDescent="0.2">
      <c r="E146" s="8"/>
      <c r="G146" s="54"/>
    </row>
    <row r="147" spans="5:7" x14ac:dyDescent="0.2">
      <c r="E147" s="8"/>
      <c r="G147" s="54"/>
    </row>
    <row r="148" spans="5:7" x14ac:dyDescent="0.2">
      <c r="E148" s="8"/>
      <c r="G148" s="54"/>
    </row>
    <row r="149" spans="5:7" x14ac:dyDescent="0.2">
      <c r="E149" s="8"/>
      <c r="G149" s="54"/>
    </row>
    <row r="150" spans="5:7" x14ac:dyDescent="0.2">
      <c r="E150" s="8"/>
      <c r="G150" s="54"/>
    </row>
    <row r="151" spans="5:7" x14ac:dyDescent="0.2">
      <c r="E151" s="8"/>
      <c r="G151" s="54"/>
    </row>
    <row r="152" spans="5:7" x14ac:dyDescent="0.2">
      <c r="E152" s="8"/>
      <c r="G152" s="54"/>
    </row>
    <row r="153" spans="5:7" x14ac:dyDescent="0.2">
      <c r="E153" s="8"/>
      <c r="G153" s="54"/>
    </row>
    <row r="154" spans="5:7" x14ac:dyDescent="0.2">
      <c r="E154" s="8"/>
      <c r="G154" s="54"/>
    </row>
    <row r="155" spans="5:7" x14ac:dyDescent="0.2">
      <c r="E155" s="8"/>
      <c r="G155" s="54"/>
    </row>
    <row r="156" spans="5:7" x14ac:dyDescent="0.2">
      <c r="E156" s="8"/>
      <c r="G156" s="54"/>
    </row>
    <row r="157" spans="5:7" x14ac:dyDescent="0.2">
      <c r="E157" s="8"/>
      <c r="G157" s="54"/>
    </row>
    <row r="158" spans="5:7" x14ac:dyDescent="0.2">
      <c r="E158" s="8"/>
      <c r="G158" s="54"/>
    </row>
    <row r="159" spans="5:7" x14ac:dyDescent="0.2">
      <c r="E159" s="8"/>
      <c r="G159" s="54"/>
    </row>
    <row r="160" spans="5:7" x14ac:dyDescent="0.2">
      <c r="E160" s="8"/>
      <c r="G160" s="54"/>
    </row>
    <row r="161" spans="5:7" x14ac:dyDescent="0.2">
      <c r="E161" s="8"/>
      <c r="G161" s="54"/>
    </row>
    <row r="162" spans="5:7" x14ac:dyDescent="0.2">
      <c r="E162" s="8"/>
      <c r="G162" s="54"/>
    </row>
    <row r="163" spans="5:7" x14ac:dyDescent="0.2">
      <c r="E163" s="8"/>
      <c r="G163" s="54"/>
    </row>
    <row r="164" spans="5:7" x14ac:dyDescent="0.2">
      <c r="E164" s="8"/>
      <c r="G164" s="54"/>
    </row>
    <row r="165" spans="5:7" x14ac:dyDescent="0.2">
      <c r="E165" s="8"/>
      <c r="G165" s="54"/>
    </row>
    <row r="166" spans="5:7" x14ac:dyDescent="0.2">
      <c r="E166" s="8"/>
      <c r="G166" s="54"/>
    </row>
    <row r="167" spans="5:7" x14ac:dyDescent="0.2">
      <c r="E167" s="8"/>
      <c r="G167" s="54"/>
    </row>
    <row r="168" spans="5:7" x14ac:dyDescent="0.2">
      <c r="E168" s="8"/>
      <c r="G168" s="54"/>
    </row>
    <row r="169" spans="5:7" x14ac:dyDescent="0.2">
      <c r="E169" s="8"/>
      <c r="G169" s="54"/>
    </row>
    <row r="170" spans="5:7" x14ac:dyDescent="0.2">
      <c r="E170" s="8"/>
      <c r="G170" s="54"/>
    </row>
    <row r="171" spans="5:7" x14ac:dyDescent="0.2">
      <c r="E171" s="8"/>
      <c r="G171" s="54"/>
    </row>
    <row r="172" spans="5:7" x14ac:dyDescent="0.2">
      <c r="E172" s="8"/>
      <c r="G172" s="54"/>
    </row>
    <row r="173" spans="5:7" x14ac:dyDescent="0.2">
      <c r="E173" s="8"/>
      <c r="G173" s="54"/>
    </row>
    <row r="174" spans="5:7" x14ac:dyDescent="0.2">
      <c r="E174" s="8"/>
      <c r="G174" s="54"/>
    </row>
    <row r="175" spans="5:7" x14ac:dyDescent="0.2">
      <c r="E175" s="8"/>
      <c r="G175" s="54"/>
    </row>
    <row r="176" spans="5:7" x14ac:dyDescent="0.2">
      <c r="E176" s="8"/>
      <c r="G176" s="54"/>
    </row>
    <row r="177" spans="5:7" x14ac:dyDescent="0.2">
      <c r="E177" s="8"/>
      <c r="G177" s="54"/>
    </row>
    <row r="178" spans="5:7" x14ac:dyDescent="0.2">
      <c r="E178" s="8"/>
      <c r="G178" s="54"/>
    </row>
    <row r="179" spans="5:7" x14ac:dyDescent="0.2">
      <c r="E179" s="8"/>
      <c r="G179" s="54"/>
    </row>
    <row r="180" spans="5:7" x14ac:dyDescent="0.2">
      <c r="E180" s="8"/>
      <c r="G180" s="54"/>
    </row>
    <row r="181" spans="5:7" x14ac:dyDescent="0.2">
      <c r="E181" s="8"/>
      <c r="G181" s="54"/>
    </row>
    <row r="182" spans="5:7" x14ac:dyDescent="0.2">
      <c r="E182" s="8"/>
      <c r="G182" s="54"/>
    </row>
    <row r="183" spans="5:7" x14ac:dyDescent="0.2">
      <c r="E183" s="8"/>
      <c r="G183" s="54"/>
    </row>
    <row r="184" spans="5:7" x14ac:dyDescent="0.2">
      <c r="E184" s="8"/>
      <c r="G184" s="54"/>
    </row>
    <row r="185" spans="5:7" x14ac:dyDescent="0.2">
      <c r="E185" s="8"/>
      <c r="G185" s="54"/>
    </row>
    <row r="186" spans="5:7" x14ac:dyDescent="0.2">
      <c r="E186" s="8"/>
      <c r="G186" s="54"/>
    </row>
    <row r="187" spans="5:7" x14ac:dyDescent="0.2">
      <c r="E187" s="8"/>
      <c r="G187" s="54"/>
    </row>
    <row r="188" spans="5:7" x14ac:dyDescent="0.2">
      <c r="E188" s="8"/>
      <c r="G188" s="54"/>
    </row>
    <row r="189" spans="5:7" x14ac:dyDescent="0.2">
      <c r="E189" s="8"/>
      <c r="G189" s="54"/>
    </row>
    <row r="190" spans="5:7" x14ac:dyDescent="0.2">
      <c r="E190" s="8"/>
      <c r="G190" s="54"/>
    </row>
    <row r="191" spans="5:7" x14ac:dyDescent="0.2">
      <c r="E191" s="8"/>
      <c r="G191" s="54"/>
    </row>
    <row r="192" spans="5:7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  <row r="206" spans="5:7" x14ac:dyDescent="0.2">
      <c r="E206" s="8"/>
      <c r="G206" s="54"/>
    </row>
    <row r="207" spans="5:7" x14ac:dyDescent="0.2">
      <c r="E207" s="8"/>
      <c r="G207" s="54"/>
    </row>
    <row r="208" spans="5:7" x14ac:dyDescent="0.2">
      <c r="E208" s="8"/>
      <c r="G208" s="54"/>
    </row>
    <row r="209" spans="5:7" x14ac:dyDescent="0.2">
      <c r="E209" s="8"/>
      <c r="G209" s="54"/>
    </row>
    <row r="210" spans="5:7" x14ac:dyDescent="0.2">
      <c r="E210" s="8"/>
      <c r="G210" s="54"/>
    </row>
    <row r="211" spans="5:7" x14ac:dyDescent="0.2">
      <c r="E211" s="8"/>
      <c r="G211" s="54"/>
    </row>
    <row r="212" spans="5:7" x14ac:dyDescent="0.2">
      <c r="E212" s="8"/>
      <c r="G212" s="54"/>
    </row>
    <row r="213" spans="5:7" x14ac:dyDescent="0.2">
      <c r="E213" s="8"/>
      <c r="G213" s="54"/>
    </row>
    <row r="214" spans="5:7" x14ac:dyDescent="0.2">
      <c r="E214" s="8"/>
      <c r="G214" s="54"/>
    </row>
    <row r="215" spans="5:7" x14ac:dyDescent="0.2">
      <c r="E215" s="8"/>
      <c r="G215" s="54"/>
    </row>
    <row r="216" spans="5:7" x14ac:dyDescent="0.2">
      <c r="E216" s="8"/>
      <c r="G216" s="54"/>
    </row>
    <row r="217" spans="5:7" x14ac:dyDescent="0.2">
      <c r="E217" s="8"/>
      <c r="G217" s="54"/>
    </row>
    <row r="218" spans="5:7" x14ac:dyDescent="0.2">
      <c r="E218" s="8"/>
      <c r="G218" s="54"/>
    </row>
    <row r="219" spans="5:7" x14ac:dyDescent="0.2">
      <c r="E219" s="8"/>
      <c r="G219" s="54"/>
    </row>
    <row r="220" spans="5:7" x14ac:dyDescent="0.2">
      <c r="E220" s="8"/>
      <c r="G220" s="54"/>
    </row>
    <row r="221" spans="5:7" x14ac:dyDescent="0.2">
      <c r="E221" s="8"/>
      <c r="G221" s="54"/>
    </row>
    <row r="222" spans="5:7" x14ac:dyDescent="0.2">
      <c r="E222" s="8"/>
      <c r="G222" s="54"/>
    </row>
    <row r="223" spans="5:7" x14ac:dyDescent="0.2">
      <c r="E223" s="8"/>
      <c r="G223" s="54"/>
    </row>
    <row r="224" spans="5:7" x14ac:dyDescent="0.2">
      <c r="E224" s="8"/>
      <c r="G224" s="54"/>
    </row>
    <row r="225" spans="5:7" x14ac:dyDescent="0.2">
      <c r="E225" s="8"/>
      <c r="G225" s="54"/>
    </row>
    <row r="226" spans="5:7" x14ac:dyDescent="0.2">
      <c r="E226" s="8"/>
      <c r="G226" s="54"/>
    </row>
    <row r="227" spans="5:7" x14ac:dyDescent="0.2">
      <c r="E227" s="8"/>
      <c r="G227" s="54"/>
    </row>
    <row r="228" spans="5:7" x14ac:dyDescent="0.2">
      <c r="E228" s="8"/>
      <c r="G228" s="54"/>
    </row>
    <row r="229" spans="5:7" x14ac:dyDescent="0.2">
      <c r="E229" s="8"/>
      <c r="G229" s="54"/>
    </row>
    <row r="230" spans="5:7" x14ac:dyDescent="0.2">
      <c r="E230" s="8"/>
      <c r="G230" s="54"/>
    </row>
    <row r="231" spans="5:7" x14ac:dyDescent="0.2">
      <c r="E231" s="8"/>
      <c r="G231" s="54"/>
    </row>
    <row r="232" spans="5:7" x14ac:dyDescent="0.2">
      <c r="E232" s="8"/>
      <c r="G232" s="54"/>
    </row>
    <row r="233" spans="5:7" x14ac:dyDescent="0.2">
      <c r="E233" s="8"/>
      <c r="G233" s="54"/>
    </row>
    <row r="234" spans="5:7" x14ac:dyDescent="0.2">
      <c r="E234" s="8"/>
      <c r="G234" s="54"/>
    </row>
    <row r="235" spans="5:7" x14ac:dyDescent="0.2">
      <c r="E235" s="8"/>
      <c r="G235" s="54"/>
    </row>
    <row r="236" spans="5:7" x14ac:dyDescent="0.2">
      <c r="E236" s="8"/>
      <c r="G236" s="54"/>
    </row>
    <row r="237" spans="5:7" x14ac:dyDescent="0.2">
      <c r="E237" s="8"/>
      <c r="G237" s="54"/>
    </row>
    <row r="238" spans="5:7" x14ac:dyDescent="0.2">
      <c r="E238" s="8"/>
      <c r="G238" s="54"/>
    </row>
    <row r="239" spans="5:7" x14ac:dyDescent="0.2">
      <c r="E239" s="8"/>
      <c r="G239" s="54"/>
    </row>
    <row r="240" spans="5:7" x14ac:dyDescent="0.2">
      <c r="E240" s="8"/>
      <c r="G240" s="54"/>
    </row>
    <row r="241" spans="5:7" x14ac:dyDescent="0.2">
      <c r="E241" s="8"/>
      <c r="G241" s="54"/>
    </row>
    <row r="242" spans="5:7" x14ac:dyDescent="0.2">
      <c r="E242" s="8"/>
      <c r="G242" s="54"/>
    </row>
    <row r="243" spans="5:7" x14ac:dyDescent="0.2">
      <c r="E243" s="8"/>
      <c r="G243" s="54"/>
    </row>
    <row r="244" spans="5:7" x14ac:dyDescent="0.2">
      <c r="E244" s="8"/>
      <c r="G244" s="54"/>
    </row>
    <row r="245" spans="5:7" x14ac:dyDescent="0.2">
      <c r="E245" s="8"/>
      <c r="G245" s="54"/>
    </row>
    <row r="246" spans="5:7" x14ac:dyDescent="0.2">
      <c r="E246" s="8"/>
      <c r="G246" s="54"/>
    </row>
    <row r="247" spans="5:7" x14ac:dyDescent="0.2">
      <c r="E247" s="8"/>
      <c r="G247" s="54"/>
    </row>
    <row r="248" spans="5:7" x14ac:dyDescent="0.2">
      <c r="E248" s="8"/>
      <c r="G248" s="54"/>
    </row>
    <row r="249" spans="5:7" x14ac:dyDescent="0.2">
      <c r="E249" s="8"/>
      <c r="G249" s="54"/>
    </row>
    <row r="250" spans="5:7" x14ac:dyDescent="0.2">
      <c r="E250" s="8"/>
      <c r="G250" s="54"/>
    </row>
    <row r="251" spans="5:7" x14ac:dyDescent="0.2">
      <c r="E251" s="8"/>
      <c r="G251" s="54"/>
    </row>
    <row r="252" spans="5:7" x14ac:dyDescent="0.2">
      <c r="E252" s="8"/>
      <c r="G252" s="54"/>
    </row>
    <row r="253" spans="5:7" x14ac:dyDescent="0.2">
      <c r="E253" s="8"/>
      <c r="G253" s="54"/>
    </row>
    <row r="254" spans="5:7" x14ac:dyDescent="0.2">
      <c r="E254" s="8"/>
      <c r="G254" s="54"/>
    </row>
    <row r="255" spans="5:7" x14ac:dyDescent="0.2">
      <c r="E255" s="8"/>
      <c r="G255" s="54"/>
    </row>
    <row r="256" spans="5:7" x14ac:dyDescent="0.2">
      <c r="E256" s="8"/>
      <c r="G256" s="54"/>
    </row>
    <row r="257" spans="5:7" x14ac:dyDescent="0.2">
      <c r="E257" s="8"/>
      <c r="G257" s="54"/>
    </row>
    <row r="258" spans="5:7" x14ac:dyDescent="0.2">
      <c r="E258" s="8"/>
      <c r="G258" s="54"/>
    </row>
    <row r="259" spans="5:7" x14ac:dyDescent="0.2">
      <c r="E259" s="8"/>
      <c r="G259" s="54"/>
    </row>
    <row r="260" spans="5:7" x14ac:dyDescent="0.2">
      <c r="E260" s="8"/>
      <c r="G260" s="54"/>
    </row>
    <row r="261" spans="5:7" x14ac:dyDescent="0.2">
      <c r="E261" s="8"/>
      <c r="G261" s="54"/>
    </row>
    <row r="262" spans="5:7" x14ac:dyDescent="0.2">
      <c r="E262" s="8"/>
      <c r="G262" s="54"/>
    </row>
    <row r="263" spans="5:7" x14ac:dyDescent="0.2">
      <c r="E263" s="8"/>
      <c r="G263" s="54"/>
    </row>
    <row r="264" spans="5:7" x14ac:dyDescent="0.2">
      <c r="E264" s="8"/>
      <c r="G264" s="54"/>
    </row>
    <row r="265" spans="5:7" x14ac:dyDescent="0.2">
      <c r="E265" s="8"/>
      <c r="G265" s="54"/>
    </row>
    <row r="266" spans="5:7" x14ac:dyDescent="0.2">
      <c r="E266" s="8"/>
      <c r="G266" s="54"/>
    </row>
    <row r="267" spans="5:7" x14ac:dyDescent="0.2">
      <c r="E267" s="8"/>
      <c r="G267" s="54"/>
    </row>
    <row r="268" spans="5:7" x14ac:dyDescent="0.2">
      <c r="E268" s="8"/>
      <c r="G268" s="54"/>
    </row>
    <row r="269" spans="5:7" x14ac:dyDescent="0.2">
      <c r="E269" s="8"/>
      <c r="G269" s="54"/>
    </row>
    <row r="270" spans="5:7" x14ac:dyDescent="0.2">
      <c r="E270" s="8"/>
      <c r="G270" s="54"/>
    </row>
    <row r="271" spans="5:7" x14ac:dyDescent="0.2">
      <c r="E271" s="8"/>
      <c r="G271" s="54"/>
    </row>
    <row r="272" spans="5:7" x14ac:dyDescent="0.2">
      <c r="E272" s="8"/>
      <c r="G272" s="54"/>
    </row>
    <row r="273" spans="5:7" x14ac:dyDescent="0.2">
      <c r="E273" s="8"/>
      <c r="G273" s="54"/>
    </row>
    <row r="274" spans="5:7" x14ac:dyDescent="0.2">
      <c r="E274" s="8"/>
      <c r="G274" s="54"/>
    </row>
    <row r="275" spans="5:7" x14ac:dyDescent="0.2">
      <c r="E275" s="8"/>
      <c r="G275" s="54"/>
    </row>
    <row r="276" spans="5:7" x14ac:dyDescent="0.2">
      <c r="E276" s="8"/>
      <c r="G276" s="54"/>
    </row>
    <row r="277" spans="5:7" x14ac:dyDescent="0.2">
      <c r="E277" s="8"/>
      <c r="G277" s="54"/>
    </row>
    <row r="278" spans="5:7" x14ac:dyDescent="0.2">
      <c r="E278" s="8"/>
      <c r="G278" s="54"/>
    </row>
    <row r="279" spans="5:7" x14ac:dyDescent="0.2">
      <c r="E279" s="8"/>
      <c r="G279" s="54"/>
    </row>
    <row r="280" spans="5:7" x14ac:dyDescent="0.2">
      <c r="E280" s="8"/>
      <c r="G280" s="54"/>
    </row>
    <row r="281" spans="5:7" x14ac:dyDescent="0.2">
      <c r="E281" s="8"/>
      <c r="G281" s="54"/>
    </row>
    <row r="282" spans="5:7" x14ac:dyDescent="0.2">
      <c r="E282" s="8"/>
      <c r="G282" s="54"/>
    </row>
    <row r="283" spans="5:7" x14ac:dyDescent="0.2">
      <c r="E283" s="8"/>
      <c r="G283" s="54"/>
    </row>
    <row r="284" spans="5:7" x14ac:dyDescent="0.2">
      <c r="E284" s="8"/>
      <c r="G284" s="54"/>
    </row>
    <row r="285" spans="5:7" x14ac:dyDescent="0.2">
      <c r="E285" s="8"/>
      <c r="G285" s="54"/>
    </row>
    <row r="286" spans="5:7" x14ac:dyDescent="0.2">
      <c r="E286" s="8"/>
      <c r="G286" s="54"/>
    </row>
    <row r="287" spans="5:7" x14ac:dyDescent="0.2">
      <c r="E287" s="8"/>
      <c r="G287" s="54"/>
    </row>
    <row r="288" spans="5:7" x14ac:dyDescent="0.2">
      <c r="E288" s="8"/>
      <c r="G288" s="54"/>
    </row>
    <row r="289" spans="5:7" x14ac:dyDescent="0.2">
      <c r="E289" s="8"/>
      <c r="G289" s="54"/>
    </row>
    <row r="290" spans="5:7" x14ac:dyDescent="0.2">
      <c r="E290" s="8"/>
      <c r="G290" s="54"/>
    </row>
    <row r="291" spans="5:7" x14ac:dyDescent="0.2">
      <c r="E291" s="8"/>
      <c r="G291" s="54"/>
    </row>
    <row r="292" spans="5:7" x14ac:dyDescent="0.2">
      <c r="E292" s="8"/>
      <c r="G292" s="54"/>
    </row>
    <row r="293" spans="5:7" x14ac:dyDescent="0.2">
      <c r="E293" s="8"/>
      <c r="G293" s="54"/>
    </row>
    <row r="294" spans="5:7" x14ac:dyDescent="0.2">
      <c r="E294" s="8"/>
      <c r="G294" s="54"/>
    </row>
    <row r="295" spans="5:7" x14ac:dyDescent="0.2">
      <c r="E295" s="8"/>
      <c r="G295" s="54"/>
    </row>
    <row r="296" spans="5:7" x14ac:dyDescent="0.2">
      <c r="E296" s="8"/>
      <c r="G296" s="54"/>
    </row>
    <row r="297" spans="5:7" x14ac:dyDescent="0.2">
      <c r="E297" s="8"/>
      <c r="G297" s="54"/>
    </row>
    <row r="298" spans="5:7" x14ac:dyDescent="0.2">
      <c r="E298" s="8"/>
      <c r="G298" s="54"/>
    </row>
    <row r="299" spans="5:7" x14ac:dyDescent="0.2">
      <c r="E299" s="8"/>
      <c r="G299" s="54"/>
    </row>
    <row r="300" spans="5:7" x14ac:dyDescent="0.2">
      <c r="E300" s="8"/>
      <c r="G300" s="54"/>
    </row>
    <row r="301" spans="5:7" x14ac:dyDescent="0.2">
      <c r="E301" s="8"/>
      <c r="G301" s="54"/>
    </row>
    <row r="302" spans="5:7" x14ac:dyDescent="0.2">
      <c r="E302" s="8"/>
      <c r="G302" s="54"/>
    </row>
    <row r="303" spans="5:7" x14ac:dyDescent="0.2">
      <c r="E303" s="8"/>
      <c r="G303" s="54"/>
    </row>
    <row r="304" spans="5:7" x14ac:dyDescent="0.2">
      <c r="E304" s="8"/>
      <c r="G304" s="54"/>
    </row>
    <row r="305" spans="5:7" x14ac:dyDescent="0.2">
      <c r="E305" s="8"/>
      <c r="G305" s="54"/>
    </row>
    <row r="306" spans="5:7" x14ac:dyDescent="0.2">
      <c r="E306" s="8"/>
      <c r="G306" s="54"/>
    </row>
    <row r="307" spans="5:7" x14ac:dyDescent="0.2">
      <c r="E307" s="8"/>
      <c r="G307" s="54"/>
    </row>
    <row r="308" spans="5:7" x14ac:dyDescent="0.2">
      <c r="E308" s="8"/>
      <c r="G308" s="54"/>
    </row>
    <row r="309" spans="5:7" x14ac:dyDescent="0.2">
      <c r="E309" s="8"/>
      <c r="G309" s="54"/>
    </row>
    <row r="310" spans="5:7" x14ac:dyDescent="0.2">
      <c r="E310" s="8"/>
      <c r="G310" s="54"/>
    </row>
    <row r="311" spans="5:7" x14ac:dyDescent="0.2">
      <c r="E311" s="8"/>
      <c r="G311" s="54"/>
    </row>
    <row r="312" spans="5:7" x14ac:dyDescent="0.2">
      <c r="E312" s="8"/>
      <c r="G312" s="54"/>
    </row>
    <row r="313" spans="5:7" x14ac:dyDescent="0.2">
      <c r="E313" s="8"/>
      <c r="G313" s="54"/>
    </row>
    <row r="314" spans="5:7" x14ac:dyDescent="0.2">
      <c r="E314" s="8"/>
      <c r="G314" s="54"/>
    </row>
    <row r="315" spans="5:7" x14ac:dyDescent="0.2">
      <c r="E315" s="8"/>
      <c r="G315" s="54"/>
    </row>
    <row r="316" spans="5:7" x14ac:dyDescent="0.2">
      <c r="E316" s="8"/>
      <c r="G316" s="54"/>
    </row>
    <row r="317" spans="5:7" x14ac:dyDescent="0.2">
      <c r="E317" s="8"/>
      <c r="G317" s="54"/>
    </row>
    <row r="318" spans="5:7" x14ac:dyDescent="0.2">
      <c r="E318" s="8"/>
      <c r="G318" s="54"/>
    </row>
    <row r="319" spans="5:7" x14ac:dyDescent="0.2">
      <c r="E319" s="8"/>
      <c r="G319" s="54"/>
    </row>
    <row r="320" spans="5:7" x14ac:dyDescent="0.2">
      <c r="E320" s="8"/>
      <c r="G320" s="54"/>
    </row>
    <row r="321" spans="5:7" x14ac:dyDescent="0.2">
      <c r="E321" s="8"/>
      <c r="G321" s="54"/>
    </row>
    <row r="322" spans="5:7" x14ac:dyDescent="0.2">
      <c r="E322" s="8"/>
      <c r="G322" s="54"/>
    </row>
    <row r="323" spans="5:7" x14ac:dyDescent="0.2">
      <c r="E323" s="8"/>
      <c r="G323" s="54"/>
    </row>
    <row r="324" spans="5:7" x14ac:dyDescent="0.2">
      <c r="E324" s="8"/>
      <c r="G324" s="54"/>
    </row>
    <row r="325" spans="5:7" x14ac:dyDescent="0.2">
      <c r="E325" s="8"/>
      <c r="G325" s="54"/>
    </row>
    <row r="326" spans="5:7" x14ac:dyDescent="0.2">
      <c r="E326" s="8"/>
      <c r="G326" s="54"/>
    </row>
    <row r="327" spans="5:7" x14ac:dyDescent="0.2">
      <c r="E327" s="8"/>
      <c r="G327" s="54"/>
    </row>
    <row r="328" spans="5:7" x14ac:dyDescent="0.2">
      <c r="E328" s="8"/>
      <c r="G328" s="54"/>
    </row>
    <row r="329" spans="5:7" x14ac:dyDescent="0.2">
      <c r="E329" s="8"/>
      <c r="G329" s="54"/>
    </row>
    <row r="330" spans="5:7" x14ac:dyDescent="0.2">
      <c r="E330" s="8"/>
      <c r="G330" s="54"/>
    </row>
    <row r="331" spans="5:7" x14ac:dyDescent="0.2">
      <c r="E331" s="8"/>
      <c r="G331" s="54"/>
    </row>
    <row r="332" spans="5:7" x14ac:dyDescent="0.2">
      <c r="E332" s="8"/>
      <c r="G332" s="54"/>
    </row>
    <row r="333" spans="5:7" x14ac:dyDescent="0.2">
      <c r="E333" s="8"/>
      <c r="G333" s="54"/>
    </row>
    <row r="334" spans="5:7" x14ac:dyDescent="0.2">
      <c r="E334" s="8"/>
      <c r="G334" s="54"/>
    </row>
    <row r="335" spans="5:7" x14ac:dyDescent="0.2">
      <c r="E335" s="8"/>
      <c r="G335" s="54"/>
    </row>
    <row r="336" spans="5:7" x14ac:dyDescent="0.2">
      <c r="E336" s="8"/>
      <c r="G336" s="54"/>
    </row>
    <row r="337" spans="5:7" x14ac:dyDescent="0.2">
      <c r="E337" s="8"/>
      <c r="G337" s="54"/>
    </row>
    <row r="338" spans="5:7" x14ac:dyDescent="0.2">
      <c r="E338" s="8"/>
      <c r="G338" s="54"/>
    </row>
    <row r="339" spans="5:7" x14ac:dyDescent="0.2">
      <c r="E339" s="8"/>
      <c r="G339" s="54"/>
    </row>
    <row r="340" spans="5:7" x14ac:dyDescent="0.2">
      <c r="E340" s="8"/>
      <c r="G340" s="54"/>
    </row>
    <row r="341" spans="5:7" x14ac:dyDescent="0.2">
      <c r="E341" s="8"/>
      <c r="G341" s="54"/>
    </row>
    <row r="342" spans="5:7" x14ac:dyDescent="0.2">
      <c r="E342" s="8"/>
      <c r="G342" s="54"/>
    </row>
    <row r="343" spans="5:7" x14ac:dyDescent="0.2">
      <c r="E343" s="8"/>
      <c r="G343" s="54"/>
    </row>
    <row r="344" spans="5:7" x14ac:dyDescent="0.2">
      <c r="E344" s="8"/>
      <c r="G344" s="54"/>
    </row>
    <row r="345" spans="5:7" x14ac:dyDescent="0.2">
      <c r="E345" s="8"/>
      <c r="G345" s="54"/>
    </row>
    <row r="346" spans="5:7" x14ac:dyDescent="0.2">
      <c r="E346" s="8"/>
      <c r="G346" s="54"/>
    </row>
    <row r="347" spans="5:7" x14ac:dyDescent="0.2">
      <c r="E347" s="8"/>
      <c r="G347" s="54"/>
    </row>
    <row r="348" spans="5:7" x14ac:dyDescent="0.2">
      <c r="E348" s="8"/>
      <c r="G348" s="54"/>
    </row>
    <row r="349" spans="5:7" x14ac:dyDescent="0.2">
      <c r="E349" s="8"/>
      <c r="G349" s="54"/>
    </row>
    <row r="350" spans="5:7" x14ac:dyDescent="0.2">
      <c r="E350" s="8"/>
      <c r="G350" s="54"/>
    </row>
    <row r="351" spans="5:7" x14ac:dyDescent="0.2">
      <c r="E351" s="8"/>
      <c r="G351" s="54"/>
    </row>
    <row r="352" spans="5:7" x14ac:dyDescent="0.2">
      <c r="E352" s="8"/>
      <c r="G352" s="54"/>
    </row>
    <row r="353" spans="5:7" x14ac:dyDescent="0.2">
      <c r="E353" s="8"/>
      <c r="G353" s="54"/>
    </row>
    <row r="354" spans="5:7" x14ac:dyDescent="0.2">
      <c r="E354" s="8"/>
      <c r="G354" s="54"/>
    </row>
    <row r="355" spans="5:7" x14ac:dyDescent="0.2">
      <c r="E355" s="8"/>
      <c r="G355" s="54"/>
    </row>
    <row r="356" spans="5:7" x14ac:dyDescent="0.2">
      <c r="E356" s="8"/>
      <c r="G356" s="54"/>
    </row>
    <row r="357" spans="5:7" x14ac:dyDescent="0.2">
      <c r="E357" s="8"/>
      <c r="G357" s="54"/>
    </row>
    <row r="358" spans="5:7" x14ac:dyDescent="0.2">
      <c r="E358" s="8"/>
      <c r="G358" s="54"/>
    </row>
    <row r="359" spans="5:7" x14ac:dyDescent="0.2">
      <c r="E359" s="8"/>
      <c r="G359" s="54"/>
    </row>
    <row r="360" spans="5:7" x14ac:dyDescent="0.2">
      <c r="E360" s="8"/>
      <c r="G360" s="54"/>
    </row>
    <row r="361" spans="5:7" x14ac:dyDescent="0.2">
      <c r="E361" s="8"/>
      <c r="G361" s="54"/>
    </row>
    <row r="362" spans="5:7" x14ac:dyDescent="0.2">
      <c r="E362" s="8"/>
      <c r="G362" s="54"/>
    </row>
    <row r="363" spans="5:7" x14ac:dyDescent="0.2">
      <c r="E363" s="8"/>
      <c r="G363" s="54"/>
    </row>
    <row r="364" spans="5:7" x14ac:dyDescent="0.2">
      <c r="E364" s="8"/>
      <c r="G364" s="54"/>
    </row>
    <row r="365" spans="5:7" x14ac:dyDescent="0.2">
      <c r="E365" s="8"/>
      <c r="G365" s="54"/>
    </row>
    <row r="366" spans="5:7" x14ac:dyDescent="0.2">
      <c r="E366" s="8"/>
      <c r="G366" s="54"/>
    </row>
    <row r="367" spans="5:7" x14ac:dyDescent="0.2">
      <c r="E367" s="8"/>
      <c r="G367" s="54"/>
    </row>
    <row r="368" spans="5:7" x14ac:dyDescent="0.2">
      <c r="E368" s="8"/>
      <c r="G368" s="54"/>
    </row>
    <row r="369" spans="5:7" x14ac:dyDescent="0.2">
      <c r="E369" s="8"/>
      <c r="G369" s="54"/>
    </row>
    <row r="370" spans="5:7" x14ac:dyDescent="0.2">
      <c r="E370" s="8"/>
      <c r="G370" s="54"/>
    </row>
    <row r="371" spans="5:7" x14ac:dyDescent="0.2">
      <c r="E371" s="8"/>
      <c r="G371" s="54"/>
    </row>
    <row r="372" spans="5:7" x14ac:dyDescent="0.2">
      <c r="E372" s="8"/>
      <c r="G372" s="54"/>
    </row>
    <row r="373" spans="5:7" x14ac:dyDescent="0.2">
      <c r="E373" s="8"/>
      <c r="G373" s="54"/>
    </row>
    <row r="374" spans="5:7" x14ac:dyDescent="0.2">
      <c r="E374" s="8"/>
      <c r="G374" s="54"/>
    </row>
    <row r="375" spans="5:7" x14ac:dyDescent="0.2">
      <c r="E375" s="8"/>
      <c r="G375" s="54"/>
    </row>
    <row r="376" spans="5:7" x14ac:dyDescent="0.2">
      <c r="E376" s="8"/>
      <c r="G376" s="54"/>
    </row>
    <row r="377" spans="5:7" x14ac:dyDescent="0.2">
      <c r="E377" s="8"/>
      <c r="G377" s="54"/>
    </row>
    <row r="378" spans="5:7" x14ac:dyDescent="0.2">
      <c r="E378" s="8"/>
      <c r="G378" s="54"/>
    </row>
    <row r="379" spans="5:7" x14ac:dyDescent="0.2">
      <c r="E379" s="8"/>
      <c r="G379" s="54"/>
    </row>
    <row r="380" spans="5:7" x14ac:dyDescent="0.2">
      <c r="E380" s="8"/>
      <c r="G380" s="54"/>
    </row>
    <row r="381" spans="5:7" x14ac:dyDescent="0.2">
      <c r="E381" s="8"/>
      <c r="G381" s="54"/>
    </row>
    <row r="382" spans="5:7" x14ac:dyDescent="0.2">
      <c r="E382" s="8"/>
      <c r="G382" s="54"/>
    </row>
    <row r="383" spans="5:7" x14ac:dyDescent="0.2">
      <c r="E383" s="8"/>
      <c r="G383" s="54"/>
    </row>
    <row r="384" spans="5:7" x14ac:dyDescent="0.2">
      <c r="E384" s="8"/>
      <c r="G384" s="54"/>
    </row>
    <row r="385" spans="5:7" x14ac:dyDescent="0.2">
      <c r="E385" s="8"/>
      <c r="G385" s="54"/>
    </row>
    <row r="386" spans="5:7" x14ac:dyDescent="0.2">
      <c r="E386" s="8"/>
      <c r="G386" s="54"/>
    </row>
    <row r="387" spans="5:7" x14ac:dyDescent="0.2">
      <c r="E387" s="8"/>
      <c r="G387" s="54"/>
    </row>
    <row r="388" spans="5:7" x14ac:dyDescent="0.2">
      <c r="E388" s="8"/>
      <c r="G388" s="54"/>
    </row>
    <row r="389" spans="5:7" x14ac:dyDescent="0.2">
      <c r="E389" s="8"/>
      <c r="G389" s="54"/>
    </row>
    <row r="390" spans="5:7" x14ac:dyDescent="0.2">
      <c r="E390" s="8"/>
      <c r="G390" s="54"/>
    </row>
    <row r="391" spans="5:7" x14ac:dyDescent="0.2">
      <c r="E391" s="8"/>
      <c r="G391" s="54"/>
    </row>
    <row r="392" spans="5:7" x14ac:dyDescent="0.2">
      <c r="E392" s="8"/>
      <c r="G392" s="54"/>
    </row>
    <row r="393" spans="5:7" x14ac:dyDescent="0.2">
      <c r="E393" s="8"/>
      <c r="G393" s="54"/>
    </row>
    <row r="394" spans="5:7" x14ac:dyDescent="0.2">
      <c r="E394" s="8"/>
      <c r="G394" s="54"/>
    </row>
    <row r="395" spans="5:7" x14ac:dyDescent="0.2">
      <c r="E395" s="8"/>
      <c r="G395" s="54"/>
    </row>
    <row r="396" spans="5:7" x14ac:dyDescent="0.2">
      <c r="E396" s="8"/>
      <c r="G396" s="54"/>
    </row>
    <row r="397" spans="5:7" x14ac:dyDescent="0.2">
      <c r="E397" s="8"/>
      <c r="G397" s="54"/>
    </row>
    <row r="398" spans="5:7" x14ac:dyDescent="0.2">
      <c r="E398" s="8"/>
      <c r="G398" s="54"/>
    </row>
    <row r="399" spans="5:7" x14ac:dyDescent="0.2">
      <c r="E399" s="8"/>
      <c r="G399" s="54"/>
    </row>
    <row r="400" spans="5:7" x14ac:dyDescent="0.2">
      <c r="E400" s="8"/>
      <c r="G400" s="54"/>
    </row>
    <row r="401" spans="5:7" x14ac:dyDescent="0.2">
      <c r="E401" s="8"/>
      <c r="G401" s="54"/>
    </row>
    <row r="402" spans="5:7" x14ac:dyDescent="0.2">
      <c r="E402" s="8"/>
      <c r="G402" s="54"/>
    </row>
    <row r="403" spans="5:7" x14ac:dyDescent="0.2">
      <c r="E403" s="8"/>
      <c r="G403" s="54"/>
    </row>
    <row r="404" spans="5:7" x14ac:dyDescent="0.2">
      <c r="E404" s="8"/>
      <c r="G404" s="54"/>
    </row>
    <row r="405" spans="5:7" x14ac:dyDescent="0.2">
      <c r="E405" s="8"/>
      <c r="G405" s="54"/>
    </row>
    <row r="406" spans="5:7" x14ac:dyDescent="0.2">
      <c r="E406" s="8"/>
      <c r="G406" s="54"/>
    </row>
    <row r="407" spans="5:7" x14ac:dyDescent="0.2">
      <c r="E407" s="8"/>
      <c r="G407" s="54"/>
    </row>
    <row r="408" spans="5:7" x14ac:dyDescent="0.2">
      <c r="E408" s="8"/>
      <c r="G408" s="54"/>
    </row>
    <row r="409" spans="5:7" x14ac:dyDescent="0.2">
      <c r="E409" s="8"/>
      <c r="G409" s="54"/>
    </row>
    <row r="410" spans="5:7" x14ac:dyDescent="0.2">
      <c r="E410" s="8"/>
      <c r="G410" s="54"/>
    </row>
    <row r="411" spans="5:7" x14ac:dyDescent="0.2">
      <c r="E411" s="8"/>
      <c r="G411" s="54"/>
    </row>
    <row r="412" spans="5:7" x14ac:dyDescent="0.2">
      <c r="E412" s="8"/>
      <c r="G412" s="54"/>
    </row>
    <row r="413" spans="5:7" x14ac:dyDescent="0.2">
      <c r="E413" s="8"/>
      <c r="G413" s="54"/>
    </row>
    <row r="414" spans="5:7" x14ac:dyDescent="0.2">
      <c r="E414" s="8"/>
      <c r="G414" s="54"/>
    </row>
    <row r="415" spans="5:7" x14ac:dyDescent="0.2">
      <c r="E415" s="8"/>
      <c r="G415" s="54"/>
    </row>
    <row r="416" spans="5:7" x14ac:dyDescent="0.2">
      <c r="E416" s="8"/>
      <c r="G416" s="54"/>
    </row>
    <row r="417" spans="5:7" x14ac:dyDescent="0.2">
      <c r="E417" s="8"/>
      <c r="G417" s="54"/>
    </row>
    <row r="418" spans="5:7" x14ac:dyDescent="0.2">
      <c r="E418" s="8"/>
      <c r="G418" s="54"/>
    </row>
    <row r="419" spans="5:7" x14ac:dyDescent="0.2">
      <c r="E419" s="8"/>
      <c r="G419" s="54"/>
    </row>
    <row r="420" spans="5:7" x14ac:dyDescent="0.2">
      <c r="E420" s="8"/>
      <c r="G420" s="54"/>
    </row>
    <row r="421" spans="5:7" x14ac:dyDescent="0.2">
      <c r="E421" s="8"/>
      <c r="G421" s="54"/>
    </row>
    <row r="422" spans="5:7" x14ac:dyDescent="0.2">
      <c r="E422" s="8"/>
      <c r="G422" s="54"/>
    </row>
    <row r="423" spans="5:7" x14ac:dyDescent="0.2">
      <c r="E423" s="8"/>
      <c r="G423" s="54"/>
    </row>
    <row r="424" spans="5:7" x14ac:dyDescent="0.2">
      <c r="E424" s="8"/>
      <c r="G424" s="54"/>
    </row>
    <row r="425" spans="5:7" x14ac:dyDescent="0.2">
      <c r="E425" s="8"/>
      <c r="G425" s="54"/>
    </row>
    <row r="426" spans="5:7" x14ac:dyDescent="0.2">
      <c r="E426" s="8"/>
      <c r="G426" s="54"/>
    </row>
    <row r="427" spans="5:7" x14ac:dyDescent="0.2">
      <c r="E427" s="8"/>
      <c r="G427" s="54"/>
    </row>
    <row r="428" spans="5:7" x14ac:dyDescent="0.2">
      <c r="E428" s="8"/>
      <c r="G428" s="54"/>
    </row>
    <row r="429" spans="5:7" x14ac:dyDescent="0.2">
      <c r="E429" s="8"/>
      <c r="G429" s="54"/>
    </row>
    <row r="430" spans="5:7" x14ac:dyDescent="0.2">
      <c r="E430" s="8"/>
      <c r="G430" s="54"/>
    </row>
    <row r="431" spans="5:7" x14ac:dyDescent="0.2">
      <c r="E431" s="8"/>
      <c r="G431" s="54"/>
    </row>
    <row r="432" spans="5:7" x14ac:dyDescent="0.2">
      <c r="E432" s="8"/>
      <c r="G432" s="54"/>
    </row>
    <row r="433" spans="5:7" x14ac:dyDescent="0.2">
      <c r="E433" s="8"/>
      <c r="G433" s="54"/>
    </row>
  </sheetData>
  <mergeCells count="2">
    <mergeCell ref="B1:C1"/>
    <mergeCell ref="B82:I82"/>
  </mergeCells>
  <conditionalFormatting sqref="G1:G3 G5:G81 G84:G127">
    <cfRule type="cellIs" dxfId="0" priority="2" stopIfTrue="1" operator="between">
      <formula>0.009</formula>
      <formula>-0.009</formula>
    </cfRule>
  </conditionalFormatting>
  <hyperlinks>
    <hyperlink ref="A2" location="Index!A1" display="-" xr:uid="{FD2C9EF6-6489-4FF9-B465-A8E32BD92EF2}"/>
  </hyperlinks>
  <pageMargins left="0.7" right="0.7" top="0.75" bottom="0.75" header="0.3" footer="0.3"/>
  <pageSetup paperSize="9" scale="53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27" min="1" max="8" man="1"/>
  </rowBreaks>
  <colBreaks count="1" manualBreakCount="1">
    <brk id="9" max="43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