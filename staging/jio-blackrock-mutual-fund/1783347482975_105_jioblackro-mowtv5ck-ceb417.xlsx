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90FE6EAE-1296-491A-82D3-6D253BC74CAF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LOW" sheetId="21" r:id="rId1"/>
  </sheets>
  <definedNames>
    <definedName name="_xlnm.Print_Area" localSheetId="0">JBLOW!$B$1:$I$112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1" l="1"/>
  <c r="F37" i="21"/>
  <c r="G32" i="21"/>
  <c r="F32" i="21"/>
  <c r="G29" i="21"/>
  <c r="G38" i="21" s="1"/>
  <c r="F29" i="21"/>
  <c r="F38" i="21" s="1"/>
  <c r="G15" i="21"/>
  <c r="G42" i="21" s="1"/>
  <c r="F15" i="21"/>
  <c r="F42" i="21" s="1"/>
  <c r="F18" i="21" l="1"/>
  <c r="G18" i="21"/>
</calcChain>
</file>

<file path=xl/sharedStrings.xml><?xml version="1.0" encoding="utf-8"?>
<sst xmlns="http://schemas.openxmlformats.org/spreadsheetml/2006/main" count="107" uniqueCount="86">
  <si>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</si>
  <si>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</si>
  <si>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</si>
  <si>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</si>
  <si>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</si>
  <si>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</si>
  <si>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</si>
  <si>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Low Duration Fund</t>
  </si>
  <si>
    <t>(a) Listed / awaiting listing on Stock Exchanges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</si>
  <si>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</si>
  <si>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</si>
  <si>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</si>
  <si>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</si>
  <si>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</si>
  <si>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</si>
  <si>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</si>
  <si>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</si>
  <si>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Money Market Instruments</t>
  </si>
  <si>
    <t>Certificate of Deposit</t>
  </si>
  <si>
    <t>Bank of Baroda (05-Mar-2027)</t>
  </si>
  <si>
    <t>INE028A16LR2</t>
  </si>
  <si>
    <t>CRISIL A1+</t>
  </si>
  <si>
    <t>CARE A1+</t>
  </si>
  <si>
    <t>Axis Bank Ltd (17-Dec-2026) **</t>
  </si>
  <si>
    <t>INE238AD6CB1</t>
  </si>
  <si>
    <t>Punjab National Bank (09-Mar-2027) **</t>
  </si>
  <si>
    <t>INE160A16UQ6</t>
  </si>
  <si>
    <t>HDFC Bank Ltd (24-Feb-2027)</t>
  </si>
  <si>
    <t>INE040A16IO0</t>
  </si>
  <si>
    <t>HDFC Bank Ltd (12-Mar-2027) **</t>
  </si>
  <si>
    <t>INE040A16IZ6</t>
  </si>
  <si>
    <t>Commercial Paper</t>
  </si>
  <si>
    <t>Treasury Bill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</si>
  <si>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</si>
  <si>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</si>
  <si>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</si>
  <si>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</si>
  <si>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Debt Instruments</t>
  </si>
  <si>
    <t>7.7% National Bank For Agriculture &amp; Rural Development (30-Sep-2027) **</t>
  </si>
  <si>
    <t>INE261F08EI9</t>
  </si>
  <si>
    <t>CRISIL AAA</t>
  </si>
  <si>
    <t>7.56% REC Ltd (31-Aug-2027) **</t>
  </si>
  <si>
    <t>INE020B08FF1</t>
  </si>
  <si>
    <t>7.835% LIC Housing Finance Ltd (11-May-2027) **</t>
  </si>
  <si>
    <t>INE115A07QO2</t>
  </si>
  <si>
    <t>CARE AAA</t>
  </si>
  <si>
    <t>7.89% Tata Capital Ltd (26-Jul-2027)</t>
  </si>
  <si>
    <t>INE306N07MX0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</si>
  <si>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</si>
  <si>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</si>
  <si>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</si>
  <si>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</si>
  <si>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</si>
  <si>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</si>
  <si>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7.3763% Bajaj Finance Ltd (26-Jun-2028)</t>
  </si>
  <si>
    <t>INE296A07TJ4</t>
  </si>
  <si>
    <t>(b) Privately Placed / Unlisted</t>
  </si>
  <si>
    <t>Nil</t>
  </si>
  <si>
    <t>Small Industries Development Bank of India (18-Feb-2027) **</t>
  </si>
  <si>
    <t>INE556F16CB4</t>
  </si>
  <si>
    <t>Canara Bank (04-Mar-2027)</t>
  </si>
  <si>
    <t>INE476A16H43</t>
  </si>
  <si>
    <t>Small Industries Development Bank of India (29-Jan-2027) **</t>
  </si>
  <si>
    <t>INE556F16BX0</t>
  </si>
  <si>
    <t>Sundaram Finance Ltd (12-Mar-2027) **</t>
  </si>
  <si>
    <t>INE660A14YW0</t>
  </si>
  <si>
    <t>182 DTB (17-JUL-2026)</t>
  </si>
  <si>
    <t>IN002025Y412</t>
  </si>
  <si>
    <t>364 DTB (02-JUL-2026)</t>
  </si>
  <si>
    <t>IN002025Z146</t>
  </si>
  <si>
    <t>364 DTB (23-JUL-2026)</t>
  </si>
  <si>
    <t>IN002025Z179</t>
  </si>
  <si>
    <t>Benchmark Risk-O-Meter</t>
  </si>
  <si>
    <t>Benchmark Name - NIFTY Low Duration Debt Index A-I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</si>
  <si>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</si>
  <si>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</si>
  <si>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</si>
  <si>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</si>
  <si>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</si>
  <si>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</si>
  <si>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</si>
  <si>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</si>
  <si>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(7) Repo transactions in corporate debt securities as on April 30, 2026 is Rs. Nil.</t>
  </si>
  <si>
    <t>(6) The average maturity period of the portfolio is 1.09 years.</t>
  </si>
  <si>
    <t>As on March 31, 2026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</si>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</sst>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4" xfId="0" applyFont="1" applyFill="1" applyBorder="1"/>
    <xf numFmtId="4" fontId="6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3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68</xdr:row>
      <xdr:rowOff>74084</xdr:rowOff>
    </xdr:from>
    <xdr:to>
      <xdr:col>4</xdr:col>
      <xdr:colOff>200025</xdr:colOff>
      <xdr:row>86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D6ADCE6-B266-4F74-8D1E-448F0946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718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94</xdr:row>
      <xdr:rowOff>69850</xdr:rowOff>
    </xdr:from>
    <xdr:to>
      <xdr:col>4</xdr:col>
      <xdr:colOff>527050</xdr:colOff>
      <xdr:row>111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4B1747-632B-4697-A1D8-FF14D7AE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294765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A836-1C8C-4555-ADCE-507AAD120C43}">
  <dimension ref="A1:J395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54296875" style="6" bestFit="1" customWidth="1"/>
    <col min="4" max="4" width="14.453125" style="6" bestFit="1" customWidth="1"/>
    <col min="5" max="5" width="13.54296875" style="6" bestFit="1" customWidth="1"/>
    <col min="6" max="6" width="12.7265625" style="8" bestFit="1" customWidth="1"/>
    <col min="7" max="7" width="6.7265625" style="13" bestFit="1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51" t="s">
        <v>7</v>
      </c>
      <c r="C1" s="52"/>
      <c r="D1" s="10"/>
      <c r="F1" s="5"/>
      <c r="G1" s="13"/>
      <c r="H1" s="12"/>
    </row>
    <row r="2" spans="1:10" s="1" customFormat="1" ht="14.5" x14ac:dyDescent="0.35">
      <c r="A2" s="33" t="s">
        <v>74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25.5" customHeight="1" x14ac:dyDescent="0.25">
      <c r="B4" s="35" t="s">
        <v>4</v>
      </c>
      <c r="C4" s="35" t="s">
        <v>5</v>
      </c>
      <c r="D4" s="36" t="s">
        <v>34</v>
      </c>
      <c r="E4" s="36" t="s">
        <v>0</v>
      </c>
      <c r="F4" s="37" t="s">
        <v>1</v>
      </c>
      <c r="G4" s="38" t="s">
        <v>2</v>
      </c>
      <c r="H4" s="39" t="s">
        <v>3</v>
      </c>
      <c r="I4" s="37" t="s">
        <v>16</v>
      </c>
      <c r="J4" s="9"/>
    </row>
    <row r="5" spans="1:10" ht="10.5" x14ac:dyDescent="0.25">
      <c r="B5" s="15" t="s">
        <v>37</v>
      </c>
      <c r="C5" s="16"/>
      <c r="D5" s="16"/>
      <c r="E5" s="16"/>
      <c r="F5" s="17"/>
      <c r="G5" s="18"/>
      <c r="H5" s="19"/>
      <c r="I5" s="16"/>
    </row>
    <row r="6" spans="1:10" ht="10.5" x14ac:dyDescent="0.25">
      <c r="B6" s="15" t="s">
        <v>8</v>
      </c>
      <c r="C6" s="16"/>
      <c r="D6" s="16"/>
      <c r="E6" s="16"/>
      <c r="F6" s="17"/>
      <c r="G6" s="18"/>
      <c r="H6" s="19"/>
      <c r="I6" s="16"/>
    </row>
    <row r="7" spans="1:10" x14ac:dyDescent="0.2">
      <c r="B7" s="16" t="s">
        <v>38</v>
      </c>
      <c r="C7" s="16" t="s">
        <v>39</v>
      </c>
      <c r="D7" s="16" t="s">
        <v>40</v>
      </c>
      <c r="E7" s="20">
        <v>7000</v>
      </c>
      <c r="F7" s="17">
        <v>7018.48</v>
      </c>
      <c r="G7" s="18">
        <v>10.222765407921999</v>
      </c>
      <c r="H7" s="21">
        <v>7.4450000000000002E-2</v>
      </c>
      <c r="I7" s="30"/>
    </row>
    <row r="8" spans="1:10" x14ac:dyDescent="0.2">
      <c r="B8" s="16" t="s">
        <v>41</v>
      </c>
      <c r="C8" s="16" t="s">
        <v>42</v>
      </c>
      <c r="D8" s="16" t="s">
        <v>40</v>
      </c>
      <c r="E8" s="20">
        <v>5500</v>
      </c>
      <c r="F8" s="17">
        <v>5509.5315000000001</v>
      </c>
      <c r="G8" s="18">
        <v>8.0249068219980302</v>
      </c>
      <c r="H8" s="21">
        <v>7.3700000000000002E-2</v>
      </c>
      <c r="I8" s="30"/>
    </row>
    <row r="9" spans="1:10" x14ac:dyDescent="0.2">
      <c r="B9" s="16" t="s">
        <v>43</v>
      </c>
      <c r="C9" s="16" t="s">
        <v>44</v>
      </c>
      <c r="D9" s="16" t="s">
        <v>45</v>
      </c>
      <c r="E9" s="20">
        <v>5000</v>
      </c>
      <c r="F9" s="17">
        <v>5013.22</v>
      </c>
      <c r="G9" s="18">
        <v>7.3020044223682099</v>
      </c>
      <c r="H9" s="21">
        <v>7.5498999999999997E-2</v>
      </c>
      <c r="I9" s="30"/>
    </row>
    <row r="10" spans="1:10" x14ac:dyDescent="0.2">
      <c r="B10" s="16" t="s">
        <v>46</v>
      </c>
      <c r="C10" s="16" t="s">
        <v>47</v>
      </c>
      <c r="D10" s="16" t="s">
        <v>40</v>
      </c>
      <c r="E10" s="20">
        <v>500</v>
      </c>
      <c r="F10" s="17">
        <v>5003.8599999999997</v>
      </c>
      <c r="G10" s="18">
        <v>7.2883711165501204</v>
      </c>
      <c r="H10" s="21">
        <v>7.775E-2</v>
      </c>
      <c r="I10" s="30"/>
    </row>
    <row r="11" spans="1:10" x14ac:dyDescent="0.2">
      <c r="B11" s="16" t="s">
        <v>48</v>
      </c>
      <c r="C11" s="16" t="s">
        <v>49</v>
      </c>
      <c r="D11" s="16" t="s">
        <v>40</v>
      </c>
      <c r="E11" s="20">
        <v>5000</v>
      </c>
      <c r="F11" s="17">
        <v>4961.585</v>
      </c>
      <c r="G11" s="18">
        <v>7.22679547515484</v>
      </c>
      <c r="H11" s="21">
        <v>7.7649999999999997E-2</v>
      </c>
      <c r="I11" s="30"/>
    </row>
    <row r="12" spans="1:10" x14ac:dyDescent="0.2">
      <c r="B12" s="16" t="s">
        <v>50</v>
      </c>
      <c r="C12" s="16" t="s">
        <v>51</v>
      </c>
      <c r="D12" s="16" t="s">
        <v>40</v>
      </c>
      <c r="E12" s="20">
        <v>250</v>
      </c>
      <c r="F12" s="17">
        <v>2564.1174999999998</v>
      </c>
      <c r="G12" s="18">
        <v>3.7347647469035299</v>
      </c>
      <c r="H12" s="21">
        <v>7.4499999999999997E-2</v>
      </c>
      <c r="I12" s="30"/>
    </row>
    <row r="13" spans="1:10" x14ac:dyDescent="0.2">
      <c r="B13" s="16" t="s">
        <v>52</v>
      </c>
      <c r="C13" s="16" t="s">
        <v>53</v>
      </c>
      <c r="D13" s="16" t="s">
        <v>40</v>
      </c>
      <c r="E13" s="20">
        <v>2500</v>
      </c>
      <c r="F13" s="17">
        <v>2512.3049999999998</v>
      </c>
      <c r="G13" s="18">
        <v>3.65929726210654</v>
      </c>
      <c r="H13" s="21">
        <v>7.6186000000000004E-2</v>
      </c>
      <c r="I13" s="30"/>
    </row>
    <row r="14" spans="1:10" x14ac:dyDescent="0.2">
      <c r="B14" s="16" t="s">
        <v>54</v>
      </c>
      <c r="C14" s="16" t="s">
        <v>55</v>
      </c>
      <c r="D14" s="16" t="s">
        <v>40</v>
      </c>
      <c r="E14" s="20">
        <v>2500</v>
      </c>
      <c r="F14" s="17">
        <v>2477.9299999999998</v>
      </c>
      <c r="G14" s="18">
        <v>3.6092283638697</v>
      </c>
      <c r="H14" s="21">
        <v>7.8100000000000003E-2</v>
      </c>
      <c r="I14" s="30"/>
    </row>
    <row r="15" spans="1:10" ht="10.5" x14ac:dyDescent="0.25">
      <c r="B15" s="15" t="s">
        <v>9</v>
      </c>
      <c r="C15" s="15"/>
      <c r="D15" s="15"/>
      <c r="E15" s="15"/>
      <c r="F15" s="31">
        <f>SUM(F6:F14)</f>
        <v>35061.029000000002</v>
      </c>
      <c r="G15" s="32">
        <f>SUM(G6:G14)</f>
        <v>51.068133616872963</v>
      </c>
      <c r="H15" s="22"/>
      <c r="I15" s="15"/>
    </row>
    <row r="16" spans="1:10" ht="10.5" x14ac:dyDescent="0.25">
      <c r="B16" s="25" t="s">
        <v>56</v>
      </c>
      <c r="C16" s="45"/>
      <c r="D16" s="45"/>
      <c r="E16" s="45"/>
      <c r="F16" s="46"/>
      <c r="G16" s="47"/>
      <c r="H16" s="19"/>
      <c r="I16" s="16"/>
    </row>
    <row r="17" spans="2:9" ht="10.5" x14ac:dyDescent="0.25">
      <c r="B17" s="15" t="s">
        <v>9</v>
      </c>
      <c r="C17" s="15"/>
      <c r="D17" s="15"/>
      <c r="E17" s="15"/>
      <c r="F17" s="23" t="s">
        <v>57</v>
      </c>
      <c r="G17" s="24" t="s">
        <v>57</v>
      </c>
      <c r="H17" s="22"/>
      <c r="I17" s="15"/>
    </row>
    <row r="18" spans="2:9" ht="10.5" x14ac:dyDescent="0.25">
      <c r="B18" s="25" t="s">
        <v>10</v>
      </c>
      <c r="C18" s="25"/>
      <c r="D18" s="25"/>
      <c r="E18" s="25"/>
      <c r="F18" s="48">
        <f>F15</f>
        <v>35061.029000000002</v>
      </c>
      <c r="G18" s="49">
        <f>G15</f>
        <v>51.068133616872963</v>
      </c>
      <c r="H18" s="22"/>
      <c r="I18" s="15"/>
    </row>
    <row r="19" spans="2:9" ht="10.5" x14ac:dyDescent="0.25">
      <c r="B19" s="15" t="s">
        <v>17</v>
      </c>
      <c r="C19" s="16"/>
      <c r="D19" s="16"/>
      <c r="E19" s="16"/>
      <c r="F19" s="17"/>
      <c r="G19" s="18"/>
      <c r="H19" s="19"/>
      <c r="I19" s="16"/>
    </row>
    <row r="20" spans="2:9" ht="10.5" x14ac:dyDescent="0.25">
      <c r="B20" s="15" t="s">
        <v>18</v>
      </c>
      <c r="C20" s="16"/>
      <c r="D20" s="16"/>
      <c r="E20" s="16"/>
      <c r="F20" s="17"/>
      <c r="G20" s="18"/>
      <c r="H20" s="19"/>
      <c r="I20" s="16"/>
    </row>
    <row r="21" spans="2:9" x14ac:dyDescent="0.2">
      <c r="B21" s="16" t="s">
        <v>58</v>
      </c>
      <c r="C21" s="16" t="s">
        <v>59</v>
      </c>
      <c r="D21" s="16" t="s">
        <v>21</v>
      </c>
      <c r="E21" s="20">
        <v>1000</v>
      </c>
      <c r="F21" s="17">
        <v>4723.22</v>
      </c>
      <c r="G21" s="18">
        <v>6.8796049899701099</v>
      </c>
      <c r="H21" s="21">
        <v>7.2999999999999995E-2</v>
      </c>
      <c r="I21" s="30"/>
    </row>
    <row r="22" spans="2:9" x14ac:dyDescent="0.2">
      <c r="B22" s="16" t="s">
        <v>60</v>
      </c>
      <c r="C22" s="16" t="s">
        <v>61</v>
      </c>
      <c r="D22" s="16" t="s">
        <v>21</v>
      </c>
      <c r="E22" s="20">
        <v>1000</v>
      </c>
      <c r="F22" s="17">
        <v>4714.12</v>
      </c>
      <c r="G22" s="18">
        <v>6.8663503870914102</v>
      </c>
      <c r="H22" s="21">
        <v>7.2099999999999997E-2</v>
      </c>
      <c r="I22" s="30"/>
    </row>
    <row r="23" spans="2:9" x14ac:dyDescent="0.2">
      <c r="B23" s="16" t="s">
        <v>29</v>
      </c>
      <c r="C23" s="16" t="s">
        <v>30</v>
      </c>
      <c r="D23" s="16" t="s">
        <v>21</v>
      </c>
      <c r="E23" s="20">
        <v>1000</v>
      </c>
      <c r="F23" s="17">
        <v>4705.9449999999997</v>
      </c>
      <c r="G23" s="18">
        <v>6.8544430927470898</v>
      </c>
      <c r="H23" s="21">
        <v>7.2404999999999997E-2</v>
      </c>
      <c r="I23" s="30"/>
    </row>
    <row r="24" spans="2:9" x14ac:dyDescent="0.2">
      <c r="B24" s="16" t="s">
        <v>23</v>
      </c>
      <c r="C24" s="16" t="s">
        <v>24</v>
      </c>
      <c r="D24" s="16" t="s">
        <v>21</v>
      </c>
      <c r="E24" s="20">
        <v>500</v>
      </c>
      <c r="F24" s="17">
        <v>2393.23</v>
      </c>
      <c r="G24" s="18">
        <v>3.48585859861412</v>
      </c>
      <c r="H24" s="21">
        <v>7.0799000000000001E-2</v>
      </c>
      <c r="I24" s="30"/>
    </row>
    <row r="25" spans="2:9" x14ac:dyDescent="0.2">
      <c r="B25" s="16" t="s">
        <v>62</v>
      </c>
      <c r="C25" s="16" t="s">
        <v>63</v>
      </c>
      <c r="D25" s="16" t="s">
        <v>21</v>
      </c>
      <c r="E25" s="20">
        <v>500</v>
      </c>
      <c r="F25" s="17">
        <v>2370.5675000000001</v>
      </c>
      <c r="G25" s="18">
        <v>3.4528495395219698</v>
      </c>
      <c r="H25" s="21">
        <v>7.2999999999999995E-2</v>
      </c>
      <c r="I25" s="30"/>
    </row>
    <row r="26" spans="2:9" x14ac:dyDescent="0.2">
      <c r="B26" s="16" t="s">
        <v>27</v>
      </c>
      <c r="C26" s="16" t="s">
        <v>28</v>
      </c>
      <c r="D26" s="16" t="s">
        <v>22</v>
      </c>
      <c r="E26" s="20">
        <v>500</v>
      </c>
      <c r="F26" s="17">
        <v>2359.665</v>
      </c>
      <c r="G26" s="18">
        <v>3.4369695056884599</v>
      </c>
      <c r="H26" s="21">
        <v>7.2599999999999998E-2</v>
      </c>
      <c r="I26" s="30"/>
    </row>
    <row r="27" spans="2:9" x14ac:dyDescent="0.2">
      <c r="B27" s="16" t="s">
        <v>19</v>
      </c>
      <c r="C27" s="16" t="s">
        <v>20</v>
      </c>
      <c r="D27" s="16" t="s">
        <v>21</v>
      </c>
      <c r="E27" s="20">
        <v>500</v>
      </c>
      <c r="F27" s="17">
        <v>2357.1849999999999</v>
      </c>
      <c r="G27" s="18">
        <v>3.4333572622665698</v>
      </c>
      <c r="H27" s="21">
        <v>7.1800000000000003E-2</v>
      </c>
      <c r="I27" s="30"/>
    </row>
    <row r="28" spans="2:9" x14ac:dyDescent="0.2">
      <c r="B28" s="16" t="s">
        <v>25</v>
      </c>
      <c r="C28" s="16" t="s">
        <v>26</v>
      </c>
      <c r="D28" s="16" t="s">
        <v>21</v>
      </c>
      <c r="E28" s="20">
        <v>500</v>
      </c>
      <c r="F28" s="17">
        <v>2355.6275000000001</v>
      </c>
      <c r="G28" s="18">
        <v>3.4310886860046401</v>
      </c>
      <c r="H28" s="21">
        <v>7.17E-2</v>
      </c>
      <c r="I28" s="30"/>
    </row>
    <row r="29" spans="2:9" ht="10.5" x14ac:dyDescent="0.25">
      <c r="B29" s="15" t="s">
        <v>9</v>
      </c>
      <c r="C29" s="15"/>
      <c r="D29" s="15"/>
      <c r="E29" s="15"/>
      <c r="F29" s="26">
        <f>SUM(F20:F28)</f>
        <v>25979.56</v>
      </c>
      <c r="G29" s="27">
        <f>SUM(G20:G28)</f>
        <v>37.840522061904373</v>
      </c>
      <c r="H29" s="22"/>
      <c r="I29" s="15"/>
    </row>
    <row r="30" spans="2:9" ht="10.5" x14ac:dyDescent="0.25">
      <c r="B30" s="15" t="s">
        <v>31</v>
      </c>
      <c r="C30" s="16"/>
      <c r="D30" s="16"/>
      <c r="E30" s="16"/>
      <c r="F30" s="17"/>
      <c r="G30" s="18"/>
      <c r="H30" s="19"/>
      <c r="I30" s="16"/>
    </row>
    <row r="31" spans="2:9" x14ac:dyDescent="0.2">
      <c r="B31" s="16" t="s">
        <v>64</v>
      </c>
      <c r="C31" s="16" t="s">
        <v>65</v>
      </c>
      <c r="D31" s="16" t="s">
        <v>21</v>
      </c>
      <c r="E31" s="20">
        <v>500</v>
      </c>
      <c r="F31" s="17">
        <v>2350.1174999999998</v>
      </c>
      <c r="G31" s="18">
        <v>3.4230630967890701</v>
      </c>
      <c r="H31" s="21">
        <v>7.3899999999999993E-2</v>
      </c>
      <c r="I31" s="30"/>
    </row>
    <row r="32" spans="2:9" ht="10.5" x14ac:dyDescent="0.25">
      <c r="B32" s="15" t="s">
        <v>9</v>
      </c>
      <c r="C32" s="15"/>
      <c r="D32" s="15"/>
      <c r="E32" s="15"/>
      <c r="F32" s="26">
        <f>SUM(F30:F31)</f>
        <v>2350.1174999999998</v>
      </c>
      <c r="G32" s="27">
        <f>SUM(G30:G31)</f>
        <v>3.4230630967890701</v>
      </c>
      <c r="H32" s="22"/>
      <c r="I32" s="15"/>
    </row>
    <row r="33" spans="2:9" ht="10.5" x14ac:dyDescent="0.25">
      <c r="B33" s="15" t="s">
        <v>32</v>
      </c>
      <c r="C33" s="16"/>
      <c r="D33" s="16"/>
      <c r="E33" s="16"/>
      <c r="F33" s="17"/>
      <c r="G33" s="18"/>
      <c r="H33" s="19"/>
      <c r="I33" s="16"/>
    </row>
    <row r="34" spans="2:9" x14ac:dyDescent="0.2">
      <c r="B34" s="16" t="s">
        <v>66</v>
      </c>
      <c r="C34" s="16" t="s">
        <v>67</v>
      </c>
      <c r="D34" s="16" t="s">
        <v>33</v>
      </c>
      <c r="E34" s="20">
        <v>3000000</v>
      </c>
      <c r="F34" s="17">
        <v>2966.9940000000001</v>
      </c>
      <c r="G34" s="18">
        <v>4.32157441906398</v>
      </c>
      <c r="H34" s="21">
        <v>5.2734999999999997E-2</v>
      </c>
      <c r="I34" s="30"/>
    </row>
    <row r="35" spans="2:9" x14ac:dyDescent="0.2">
      <c r="B35" s="16" t="s">
        <v>68</v>
      </c>
      <c r="C35" s="16" t="s">
        <v>69</v>
      </c>
      <c r="D35" s="16" t="s">
        <v>33</v>
      </c>
      <c r="E35" s="20">
        <v>2000000</v>
      </c>
      <c r="F35" s="17">
        <v>1982.41</v>
      </c>
      <c r="G35" s="18">
        <v>2.8874788233803699</v>
      </c>
      <c r="H35" s="21">
        <v>5.2239000000000001E-2</v>
      </c>
      <c r="I35" s="30"/>
    </row>
    <row r="36" spans="2:9" x14ac:dyDescent="0.2">
      <c r="B36" s="16" t="s">
        <v>70</v>
      </c>
      <c r="C36" s="16" t="s">
        <v>71</v>
      </c>
      <c r="D36" s="16" t="s">
        <v>33</v>
      </c>
      <c r="E36" s="20">
        <v>1500000</v>
      </c>
      <c r="F36" s="17">
        <v>1482.3225</v>
      </c>
      <c r="G36" s="18">
        <v>2.1590764918307799</v>
      </c>
      <c r="H36" s="21">
        <v>5.2443999999999998E-2</v>
      </c>
      <c r="I36" s="30"/>
    </row>
    <row r="37" spans="2:9" ht="10.5" x14ac:dyDescent="0.25">
      <c r="B37" s="15" t="s">
        <v>9</v>
      </c>
      <c r="C37" s="15"/>
      <c r="D37" s="15"/>
      <c r="E37" s="15"/>
      <c r="F37" s="31">
        <f>SUM(F33:F36)</f>
        <v>6431.7265000000007</v>
      </c>
      <c r="G37" s="32">
        <f>SUM(G33:G36)</f>
        <v>9.3681297342751293</v>
      </c>
      <c r="H37" s="22"/>
      <c r="I37" s="15"/>
    </row>
    <row r="38" spans="2:9" ht="10.5" x14ac:dyDescent="0.25">
      <c r="B38" s="25" t="s">
        <v>10</v>
      </c>
      <c r="C38" s="25"/>
      <c r="D38" s="25"/>
      <c r="E38" s="25"/>
      <c r="F38" s="26">
        <f>+F29+F32+F37</f>
        <v>34761.404000000002</v>
      </c>
      <c r="G38" s="27">
        <f>+G29+G32+G37</f>
        <v>50.631714892968574</v>
      </c>
      <c r="H38" s="22"/>
      <c r="I38" s="15"/>
    </row>
    <row r="39" spans="2:9" ht="10.5" x14ac:dyDescent="0.25">
      <c r="B39" s="15"/>
      <c r="C39" s="16"/>
      <c r="D39" s="16"/>
      <c r="E39" s="16"/>
      <c r="F39" s="17"/>
      <c r="G39" s="18"/>
      <c r="H39" s="19"/>
      <c r="I39" s="16"/>
    </row>
    <row r="40" spans="2:9" ht="10.5" x14ac:dyDescent="0.25">
      <c r="B40" s="15" t="s">
        <v>11</v>
      </c>
      <c r="C40" s="15"/>
      <c r="D40" s="15"/>
      <c r="E40" s="15"/>
      <c r="F40" s="26">
        <v>64.517506499999996</v>
      </c>
      <c r="G40" s="27">
        <v>9.3972959052898097E-2</v>
      </c>
      <c r="H40" s="21">
        <v>5.2499999999999998E-2</v>
      </c>
      <c r="I40" s="21"/>
    </row>
    <row r="41" spans="2:9" x14ac:dyDescent="0.2">
      <c r="B41" s="16"/>
      <c r="C41" s="16"/>
      <c r="D41" s="16"/>
      <c r="E41" s="16"/>
      <c r="F41" s="17"/>
      <c r="G41" s="18"/>
      <c r="H41" s="19"/>
      <c r="I41" s="16"/>
    </row>
    <row r="42" spans="2:9" ht="10.5" x14ac:dyDescent="0.25">
      <c r="B42" s="25" t="s">
        <v>13</v>
      </c>
      <c r="C42" s="25"/>
      <c r="D42" s="25"/>
      <c r="E42" s="25"/>
      <c r="F42" s="26">
        <f>F43-(F15+F29+F32+F37+F40)</f>
        <v>-1231.5552201999963</v>
      </c>
      <c r="G42" s="27">
        <f>G43-(G15+G29+G32+G37+G40)</f>
        <v>-1.7938214688944214</v>
      </c>
      <c r="H42" s="22"/>
      <c r="I42" s="15"/>
    </row>
    <row r="43" spans="2:9" ht="10.5" x14ac:dyDescent="0.25">
      <c r="B43" s="25" t="s">
        <v>12</v>
      </c>
      <c r="C43" s="25"/>
      <c r="D43" s="25"/>
      <c r="E43" s="25"/>
      <c r="F43" s="26">
        <v>68655.395286300001</v>
      </c>
      <c r="G43" s="27">
        <v>100</v>
      </c>
      <c r="H43" s="28"/>
      <c r="I43" s="29"/>
    </row>
    <row r="45" spans="2:9" ht="10.5" x14ac:dyDescent="0.25">
      <c r="B45" s="14" t="s">
        <v>35</v>
      </c>
    </row>
    <row r="46" spans="2:9" ht="40" customHeight="1" x14ac:dyDescent="0.2">
      <c r="B46" s="53" t="s">
        <v>36</v>
      </c>
      <c r="C46" s="53"/>
      <c r="D46" s="53"/>
      <c r="E46" s="53"/>
      <c r="F46" s="53"/>
      <c r="G46" s="53"/>
      <c r="H46" s="53"/>
      <c r="I46" s="53"/>
    </row>
    <row r="47" spans="2:9" ht="10.5" x14ac:dyDescent="0.25">
      <c r="B47" s="14"/>
    </row>
    <row r="48" spans="2:9" ht="10.5" x14ac:dyDescent="0.2">
      <c r="B48" s="54"/>
      <c r="C48" s="54"/>
      <c r="D48" s="54"/>
      <c r="E48" s="54"/>
      <c r="F48" s="54"/>
      <c r="G48" s="54"/>
      <c r="H48" s="54"/>
      <c r="I48" s="54"/>
    </row>
    <row r="49" spans="2:4" ht="10.5" x14ac:dyDescent="0.25">
      <c r="B49" s="14"/>
    </row>
    <row r="50" spans="2:4" ht="10.5" x14ac:dyDescent="0.2">
      <c r="B50" s="34" t="s">
        <v>14</v>
      </c>
    </row>
    <row r="51" spans="2:4" ht="10.5" x14ac:dyDescent="0.2">
      <c r="B51" s="34"/>
    </row>
    <row r="52" spans="2:4" x14ac:dyDescent="0.2">
      <c r="B52" s="40" t="s">
        <v>75</v>
      </c>
    </row>
    <row r="53" spans="2:4" x14ac:dyDescent="0.2">
      <c r="B53" s="40" t="s">
        <v>76</v>
      </c>
    </row>
    <row r="54" spans="2:4" ht="10.5" x14ac:dyDescent="0.2">
      <c r="B54" s="34"/>
    </row>
    <row r="55" spans="2:4" ht="10.5" x14ac:dyDescent="0.2">
      <c r="B55" s="43" t="s">
        <v>77</v>
      </c>
      <c r="C55" s="50" t="s">
        <v>84</v>
      </c>
      <c r="D55" s="50" t="s">
        <v>78</v>
      </c>
    </row>
    <row r="56" spans="2:4" x14ac:dyDescent="0.2">
      <c r="B56" s="41" t="s">
        <v>79</v>
      </c>
      <c r="C56" s="44">
        <v>1011.2369</v>
      </c>
      <c r="D56" s="44">
        <v>1017.3943</v>
      </c>
    </row>
    <row r="57" spans="2:4" ht="10.5" x14ac:dyDescent="0.2">
      <c r="B57" s="34"/>
    </row>
    <row r="58" spans="2:4" ht="10.5" x14ac:dyDescent="0.2">
      <c r="B58" s="34"/>
    </row>
    <row r="59" spans="2:4" x14ac:dyDescent="0.2">
      <c r="B59" s="40" t="s">
        <v>85</v>
      </c>
    </row>
    <row r="60" spans="2:4" x14ac:dyDescent="0.2">
      <c r="B60" s="40" t="s">
        <v>80</v>
      </c>
    </row>
    <row r="61" spans="2:4" x14ac:dyDescent="0.2">
      <c r="B61" s="40" t="s">
        <v>81</v>
      </c>
    </row>
    <row r="62" spans="2:4" x14ac:dyDescent="0.2">
      <c r="B62" s="42" t="s">
        <v>83</v>
      </c>
    </row>
    <row r="63" spans="2:4" x14ac:dyDescent="0.2">
      <c r="B63" s="40" t="s">
        <v>82</v>
      </c>
    </row>
    <row r="64" spans="2:4" ht="10.5" x14ac:dyDescent="0.25">
      <c r="B64" s="14"/>
    </row>
    <row r="66" spans="2:9" ht="10.5" x14ac:dyDescent="0.25">
      <c r="B66" s="14" t="s">
        <v>15</v>
      </c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x14ac:dyDescent="0.2">
      <c r="I71" s="11"/>
    </row>
    <row r="72" spans="2:9" x14ac:dyDescent="0.2"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x14ac:dyDescent="0.2"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2:9" x14ac:dyDescent="0.2">
      <c r="I81" s="11"/>
    </row>
    <row r="82" spans="2:9" x14ac:dyDescent="0.2">
      <c r="I82" s="11"/>
    </row>
    <row r="83" spans="2:9" x14ac:dyDescent="0.2">
      <c r="I83" s="11"/>
    </row>
    <row r="84" spans="2:9" x14ac:dyDescent="0.2">
      <c r="I84" s="11"/>
    </row>
    <row r="85" spans="2:9" x14ac:dyDescent="0.2">
      <c r="I85" s="11"/>
    </row>
    <row r="86" spans="2:9" x14ac:dyDescent="0.2">
      <c r="I86" s="11"/>
    </row>
    <row r="87" spans="2:9" x14ac:dyDescent="0.2">
      <c r="I87" s="11"/>
    </row>
    <row r="88" spans="2:9" ht="10.5" x14ac:dyDescent="0.25">
      <c r="B88" s="14" t="s">
        <v>72</v>
      </c>
      <c r="I88" s="11"/>
    </row>
    <row r="89" spans="2:9" ht="10.5" x14ac:dyDescent="0.25">
      <c r="B89" s="14" t="s">
        <v>73</v>
      </c>
      <c r="I89" s="11"/>
    </row>
    <row r="90" spans="2:9" x14ac:dyDescent="0.2">
      <c r="I90" s="11"/>
    </row>
    <row r="91" spans="2:9" x14ac:dyDescent="0.2">
      <c r="I91" s="11"/>
    </row>
    <row r="92" spans="2:9" x14ac:dyDescent="0.2">
      <c r="I92" s="11"/>
    </row>
    <row r="93" spans="2:9" x14ac:dyDescent="0.2">
      <c r="I93" s="11"/>
    </row>
    <row r="94" spans="2:9" x14ac:dyDescent="0.2">
      <c r="I94" s="11"/>
    </row>
    <row r="95" spans="2:9" x14ac:dyDescent="0.2">
      <c r="I95" s="11"/>
    </row>
    <row r="96" spans="2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</sheetData>
  <mergeCells count="3">
    <mergeCell ref="B1:C1"/>
    <mergeCell ref="B46:I46"/>
    <mergeCell ref="B48:I48"/>
  </mergeCells>
  <conditionalFormatting sqref="G1:G3 G5:G45 G47 G49:G191">
    <cfRule type="cellIs" dxfId="0" priority="1" stopIfTrue="1" operator="between">
      <formula>0.009</formula>
      <formula>-0.009</formula>
    </cfRule>
  </conditionalFormatting>
  <hyperlinks>
    <hyperlink ref="A2" location="Index!A1" display="-" xr:uid="{C54C0C19-F621-4B15-BAD4-CA59A92BD6B4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2" min="1" max="8" man="1"/>
  </rowBreaks>
  <colBreaks count="1" manualBreakCount="1">
    <brk id="9" max="58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JBLOW</vt:lpstr>
      <vt:lpstr>JBLOW!Print_Area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